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6380" yWindow="1460" windowWidth="32020" windowHeight="1718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21" l="1"/>
  <c r="I20" i="21"/>
  <c r="J20" i="21"/>
  <c r="G20" i="21"/>
  <c r="F20" i="21"/>
  <c r="D20" i="21"/>
  <c r="C20" i="21"/>
  <c r="B9" i="21"/>
  <c r="I9" i="21"/>
  <c r="J9" i="21"/>
  <c r="G9" i="21"/>
  <c r="F9" i="21"/>
  <c r="D9" i="21"/>
  <c r="C9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Y7" i="7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D17" i="1"/>
  <c r="AF17" i="1"/>
  <c r="AI17" i="1"/>
  <c r="AG17" i="1"/>
  <c r="AE17" i="1"/>
  <c r="E40" i="9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AC16" i="1"/>
  <c r="E38" i="9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AC15" i="1"/>
  <c r="E33" i="9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AC14" i="1"/>
  <c r="E31" i="9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E12" i="9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E2" i="9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E5" i="9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E9" i="9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H9" i="2"/>
  <c r="E9" i="2"/>
  <c r="D9" i="2"/>
  <c r="H2" i="1"/>
  <c r="H3" i="1"/>
  <c r="H4" i="1"/>
  <c r="H5" i="1"/>
  <c r="H6" i="1"/>
  <c r="H7" i="1"/>
  <c r="H8" i="1"/>
  <c r="H9" i="1"/>
  <c r="B9" i="2"/>
  <c r="H8" i="2"/>
  <c r="E8" i="2"/>
  <c r="D8" i="2"/>
  <c r="B8" i="2"/>
  <c r="H7" i="2"/>
  <c r="E7" i="2"/>
  <c r="D7" i="2"/>
  <c r="B7" i="2"/>
  <c r="H6" i="2"/>
  <c r="E6" i="2"/>
  <c r="D6" i="2"/>
  <c r="B6" i="2"/>
  <c r="J5" i="11"/>
  <c r="O5" i="9"/>
  <c r="N5" i="9"/>
  <c r="M5" i="9"/>
  <c r="L5" i="9"/>
  <c r="K5" i="9"/>
  <c r="J5" i="9"/>
  <c r="I5" i="9"/>
  <c r="H5" i="9"/>
  <c r="G5" i="9"/>
  <c r="D5" i="9"/>
  <c r="A5" i="9"/>
  <c r="J33" i="11"/>
  <c r="O33" i="9"/>
  <c r="N33" i="9"/>
  <c r="M33" i="9"/>
  <c r="L33" i="9"/>
  <c r="K33" i="9"/>
  <c r="J33" i="9"/>
  <c r="I33" i="9"/>
  <c r="H33" i="9"/>
  <c r="G33" i="9"/>
  <c r="D33" i="9"/>
  <c r="A33" i="9"/>
  <c r="J6" i="11"/>
  <c r="J7" i="11"/>
  <c r="J8" i="11"/>
  <c r="J9" i="11"/>
  <c r="J10" i="11"/>
  <c r="M29" i="10"/>
  <c r="T29" i="10"/>
  <c r="W29" i="10"/>
  <c r="V29" i="10"/>
  <c r="X29" i="10"/>
  <c r="U29" i="10"/>
  <c r="Y29" i="10"/>
  <c r="M41" i="10"/>
  <c r="M57" i="10"/>
  <c r="N57" i="10"/>
  <c r="Q57" i="10"/>
  <c r="P57" i="10"/>
  <c r="R57" i="10"/>
  <c r="O57" i="10"/>
  <c r="S57" i="10"/>
  <c r="N41" i="10"/>
  <c r="Q41" i="10"/>
  <c r="P41" i="10"/>
  <c r="R41" i="10"/>
  <c r="O41" i="10"/>
  <c r="S41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5" i="10"/>
  <c r="T5" i="10"/>
  <c r="W5" i="10"/>
  <c r="V5" i="10"/>
  <c r="X5" i="10"/>
  <c r="U5" i="10"/>
  <c r="Y5" i="10"/>
  <c r="M17" i="10"/>
  <c r="M31" i="10"/>
  <c r="M43" i="10"/>
  <c r="N43" i="10"/>
  <c r="Q43" i="10"/>
  <c r="P43" i="10"/>
  <c r="R43" i="10"/>
  <c r="O43" i="10"/>
  <c r="S43" i="10"/>
  <c r="N31" i="10"/>
  <c r="Q31" i="10"/>
  <c r="P31" i="10"/>
  <c r="R31" i="10"/>
  <c r="O31" i="10"/>
  <c r="S31" i="10"/>
  <c r="N17" i="10"/>
  <c r="Q17" i="10"/>
  <c r="P17" i="10"/>
  <c r="R17" i="10"/>
  <c r="O17" i="10"/>
  <c r="S17" i="10"/>
  <c r="N5" i="10"/>
  <c r="Q5" i="10"/>
  <c r="P5" i="10"/>
  <c r="R5" i="10"/>
  <c r="O5" i="10"/>
  <c r="S5" i="10"/>
  <c r="G5" i="10"/>
  <c r="J5" i="10"/>
  <c r="I5" i="10"/>
  <c r="K5" i="10"/>
  <c r="H5" i="10"/>
  <c r="L5" i="10"/>
  <c r="J65" i="11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J63" i="11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3" i="11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J41" i="11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D31" i="9"/>
  <c r="A31" i="9"/>
  <c r="J29" i="11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J27" i="11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J13" i="11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M56" i="10"/>
  <c r="N56" i="10"/>
  <c r="Q56" i="10"/>
  <c r="P56" i="10"/>
  <c r="R56" i="10"/>
  <c r="O56" i="10"/>
  <c r="S56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26" i="10"/>
  <c r="T26" i="10"/>
  <c r="W26" i="10"/>
  <c r="V26" i="10"/>
  <c r="X26" i="10"/>
  <c r="U26" i="10"/>
  <c r="Y26" i="10"/>
  <c r="M42" i="10"/>
  <c r="N42" i="10"/>
  <c r="Q42" i="10"/>
  <c r="P42" i="10"/>
  <c r="R42" i="10"/>
  <c r="O42" i="10"/>
  <c r="S42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M39" i="10"/>
  <c r="M52" i="10"/>
  <c r="N52" i="10"/>
  <c r="Q52" i="10"/>
  <c r="P52" i="10"/>
  <c r="R52" i="10"/>
  <c r="O52" i="10"/>
  <c r="S52" i="10"/>
  <c r="N39" i="10"/>
  <c r="Q39" i="10"/>
  <c r="P39" i="10"/>
  <c r="R39" i="10"/>
  <c r="O39" i="10"/>
  <c r="S39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M38" i="10"/>
  <c r="M51" i="10"/>
  <c r="N51" i="10"/>
  <c r="Q51" i="10"/>
  <c r="P51" i="10"/>
  <c r="R51" i="10"/>
  <c r="O51" i="10"/>
  <c r="S51" i="10"/>
  <c r="N38" i="10"/>
  <c r="Q38" i="10"/>
  <c r="P38" i="10"/>
  <c r="R38" i="10"/>
  <c r="O38" i="10"/>
  <c r="S38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16" i="10"/>
  <c r="T16" i="10"/>
  <c r="W16" i="10"/>
  <c r="V16" i="10"/>
  <c r="X16" i="10"/>
  <c r="U16" i="10"/>
  <c r="Y16" i="10"/>
  <c r="M30" i="10"/>
  <c r="N30" i="10"/>
  <c r="Q30" i="10"/>
  <c r="P30" i="10"/>
  <c r="R30" i="10"/>
  <c r="O30" i="10"/>
  <c r="S30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M28" i="10"/>
  <c r="N28" i="10"/>
  <c r="Q28" i="10"/>
  <c r="P28" i="10"/>
  <c r="R28" i="10"/>
  <c r="O28" i="10"/>
  <c r="S28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M27" i="10"/>
  <c r="N27" i="10"/>
  <c r="Q27" i="10"/>
  <c r="P27" i="10"/>
  <c r="R27" i="10"/>
  <c r="O27" i="10"/>
  <c r="S27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M23" i="10"/>
  <c r="M37" i="10"/>
  <c r="M50" i="10"/>
  <c r="N50" i="10"/>
  <c r="Q50" i="10"/>
  <c r="P50" i="10"/>
  <c r="R50" i="10"/>
  <c r="O50" i="10"/>
  <c r="S50" i="10"/>
  <c r="N37" i="10"/>
  <c r="Q37" i="10"/>
  <c r="P37" i="10"/>
  <c r="R37" i="10"/>
  <c r="O37" i="10"/>
  <c r="S37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M22" i="10"/>
  <c r="M36" i="10"/>
  <c r="M48" i="10"/>
  <c r="N48" i="10"/>
  <c r="Q48" i="10"/>
  <c r="P48" i="10"/>
  <c r="R48" i="10"/>
  <c r="O48" i="10"/>
  <c r="S48" i="10"/>
  <c r="N36" i="10"/>
  <c r="Q36" i="10"/>
  <c r="P36" i="10"/>
  <c r="R36" i="10"/>
  <c r="O36" i="10"/>
  <c r="S36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T57" i="10"/>
  <c r="W57" i="10"/>
  <c r="V57" i="10"/>
  <c r="X57" i="10"/>
  <c r="U57" i="10"/>
  <c r="Y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T17" i="10"/>
  <c r="W17" i="10"/>
  <c r="V17" i="10"/>
  <c r="X17" i="10"/>
  <c r="U17" i="10"/>
  <c r="Y17" i="10"/>
  <c r="G17" i="10"/>
  <c r="J17" i="10"/>
  <c r="I17" i="10"/>
  <c r="K17" i="10"/>
  <c r="H17" i="10"/>
  <c r="L17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AC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AC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AC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<sst xmlns="http://schemas.openxmlformats.org/spreadsheetml/2006/main" count="1521" uniqueCount="493">
  <si>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</si>
  <si>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</si>
  <si>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</si>
  <si>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</si>
  <si>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</si>
  <si>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</si>
  <si>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</si>
  <si>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</si>
  <si>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</si>
  <si>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</si>
  <si>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</si>
  <si>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</si>
  <si>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</si>
  <si>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</si>
  <si>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</si>
  <si>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</si>
  <si>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</si>
  <si>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</si>
  <si>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</si>
  <si>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</si>
  <si>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</si>
  <si>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</si>
  <si>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</si>
  <si>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</si>
  <si>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</si>
  <si>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</si>
  <si>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</si>
  <si>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</si>
  <si>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</si>
  <si>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</si>
  <si>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</si>
  <si>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</si>
  <si>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</si>
  <si>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</si>
  <si>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</si>
  <si>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</si>
  <si>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</si>
  <si>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</si>
  <si>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</si>
  <si>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</si>
  <si>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</si>
  <si>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</si>
  <si>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</si>
  <si>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</si>
  <si>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</si>
  <si>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</si>
  <si>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</si>
  <si>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</si>
  <si>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</si>
  <si>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</si>
  <si>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</si>
  <si>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</si>
  <si>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</si>
  <si>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</si>
  <si>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</si>
  <si>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</si>
  <si>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</si>
  <si>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</si>
  <si>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</si>
  <si>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</si>
  <si>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</si>
  <si>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</si>
  <si>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</si>
  <si>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</si>
  <si>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</si>
  <si>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</si>
  <si>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</si>
  <si>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</si>
  <si>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</si>
  <si>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</si>
  <si>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</si>
  <si>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</si>
  <si>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</si>
  <si>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</si>
  <si>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</si>
  <si>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</si>
  <si>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</si>
  <si>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</si>
  <si>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</si>
  <si>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</si>
  <si>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</si>
  <si>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</si>
  <si>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</si>
  <si>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</si>
  <si>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</si>
  <si>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</si>
  <si>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</si>
  <si>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</si>
  <si>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</si>
  <si>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</si>
  <si>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</si>
  <si>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</si>
  <si>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</si>
  <si>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</si>
  <si>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</si>
  <si>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</si>
  <si>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</si>
  <si>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</si>
  <si>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</si>
  <si>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</si>
  <si>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</si>
  <si>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</si>
  <si>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</si>
  <si>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</si>
  <si>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</si>
  <si>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</si>
  <si>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</si>
  <si>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</si>
  <si>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</si>
  <si>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</si>
  <si>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</si>
  <si>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</si>
  <si>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</si>
  <si>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</si>
  <si>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</si>
  <si>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</si>
  <si>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</si>
  <si>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</si>
  <si>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</si>
  <si>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</si>
  <si>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</si>
  <si>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</si>
  <si>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</si>
  <si>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</si>
  <si>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</si>
  <si>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</si>
  <si>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</si>
  <si>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</si>
  <si>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</si>
  <si>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</si>
  <si>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</si>
  <si>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</si>
  <si>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</si>
  <si>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</si>
  <si>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</si>
  <si>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</si>
  <si>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</si>
  <si>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</si>
  <si>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</si>
  <si>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</si>
  <si>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</si>
  <si>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</si>
  <si>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</si>
  <si>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</si>
  <si>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</si>
  <si>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</si>
  <si>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</si>
  <si>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</si>
  <si>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</si>
  <si>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</si>
  <si>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</si>
  <si>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</si>
  <si>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</si>
  <si>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</si>
  <si>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</si>
  <si>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</si>
  <si>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</si>
  <si>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</si>
  <si>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</si>
  <si>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</si>
  <si>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</si>
  <si>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</si>
  <si>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</si>
  <si>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</si>
  <si>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</si>
  <si>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</si>
  <si>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</si>
  <si>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</si>
  <si>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</si>
  <si>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</si>
  <si>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</si>
  <si>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</si>
  <si>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</si>
  <si>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</si>
  <si>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</si>
  <si>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</si>
  <si>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</si>
  <si>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</si>
  <si>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</si>
  <si>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</si>
  <si>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</si>
  <si>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</si>
  <si>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</si>
  <si>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</si>
  <si>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</si>
  <si>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</si>
  <si>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</si>
  <si>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</si>
  <si>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</si>
  <si>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</si>
  <si>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</si>
  <si>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</si>
  <si>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</si>
  <si>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</si>
  <si>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</si>
  <si>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</si>
  <si>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</si>
  <si>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</si>
  <si>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</si>
  <si>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</si>
  <si>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</si>
  <si>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</si>
  <si>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</si>
  <si>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</si>
  <si>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</si>
  <si>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</si>
  <si>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</si>
  <si>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</si>
  <si>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</si>
  <si>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</si>
  <si>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</si>
  <si>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</si>
  <si>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</si>
  <si>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</si>
  <si>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</si>
  <si>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</si>
  <si>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</si>
  <si>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</si>
  <si>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</si>
  <si>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</si>
  <si>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</si>
  <si>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</si>
  <si>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</si>
  <si>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</si>
  <si>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</si>
  <si>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</si>
  <si>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</si>
  <si>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</si>
  <si>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</si>
  <si>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</si>
  <si>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</si>
  <si>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</si>
  <si>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</si>
  <si>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</si>
  <si>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</si>
  <si>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</si>
  <si>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</si>
  <si>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</si>
  <si>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</si>
  <si>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</si>
  <si>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</si>
  <si>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</si>
  <si>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</si>
  <si>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</si>
  <si>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</si>
  <si>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</si>
  <si>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</si>
  <si>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</si>
  <si>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</si>
  <si>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</si>
  <si>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</si>
  <si>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</si>
  <si>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</si>
  <si>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</si>
  <si>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</si>
  <si>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2ターン全ユニットにウィルス</t>
    <rPh sb="4" eb="5">
      <t>ゼンユ</t>
    </rPh>
    <phoneticPr fontId="5"/>
  </si>
  <si>
    <t>ウィルス状態のユニットに大ダメージ</t>
    <rPh sb="12" eb="13">
      <t>ダイダメージ</t>
    </rPh>
    <phoneticPr fontId="5"/>
  </si>
  <si>
    <t>[effect:enemy_message, val1:1.2, val2:1.2],[effect:heal, target:enemy_human, val:0.2, animation:enemy_heal]</t>
    <phoneticPr fontId="5"/>
  </si>
  <si>
    <t>チエミを回復</t>
    <rPh sb="4" eb="6">
      <t>カイフク</t>
    </rPh>
    <phoneticPr fontId="5"/>
  </si>
  <si>
    <t>全体攻撃</t>
    <rPh sb="0" eb="4">
      <t>ゼンタイコウゲキ</t>
    </rPh>
    <phoneticPr fontId="5"/>
  </si>
  <si>
    <t>どきなさい！</t>
    <phoneticPr fontId="5"/>
  </si>
  <si>
    <t>ハートパネルプロテクト</t>
    <phoneticPr fontId="5"/>
  </si>
  <si>
    <t>単体攻撃+
ランダムでパネルプロテクト(最大8個)</t>
    <rPh sb="0" eb="4">
      <t>タンタイコウゲキ</t>
    </rPh>
    <rPh sb="20" eb="22">
      <t>サイダイ</t>
    </rPh>
    <rPh sb="23" eb="24">
      <t>コ</t>
    </rPh>
    <phoneticPr fontId="5"/>
  </si>
  <si>
    <t>はい、プレゼント♪</t>
    <phoneticPr fontId="5"/>
  </si>
  <si>
    <t>ランダムでパネルプロテクト(最大4個)</t>
    <phoneticPr fontId="5"/>
  </si>
  <si>
    <t>[effect:enemy_message, val1:1.2, val2:1.2],[effect:panel_freeze, target:normal, color:block_red, count:-1]</t>
    <phoneticPr fontId="5"/>
  </si>
  <si>
    <t>赤パネルプロテクト</t>
    <rPh sb="0" eb="1">
      <t>アカパネルプロテクト</t>
    </rPh>
    <phoneticPr fontId="5"/>
  </si>
  <si>
    <t>赤パネルドロップ率UP+
全ユニットの攻撃をカウンター</t>
    <phoneticPr fontId="5"/>
  </si>
  <si>
    <t>[effect:enemy_message, val1:1.2, val2:1.9],[effect:panel_freeze, target:block_all, count:4]</t>
    <phoneticPr fontId="5"/>
  </si>
  <si>
    <t>赤パネルプロテクト+
1ターン全ユニットのアビリティ無効</t>
    <rPh sb="15" eb="16">
      <t>ゼンユニッットノ</t>
    </rPh>
    <phoneticPr fontId="5"/>
  </si>
  <si>
    <t>『それは違うよ！』</t>
    <rPh sb="4" eb="5">
      <t>チガウヨ</t>
    </rPh>
    <phoneticPr fontId="5"/>
  </si>
  <si>
    <t>『紅く…紅く…深い紅を！』</t>
    <rPh sb="4" eb="5">
      <t>akaku</t>
    </rPh>
    <rPh sb="7" eb="8">
      <t>フカクアカク</t>
    </rPh>
    <phoneticPr fontId="5"/>
  </si>
  <si>
    <t>『君も紅に溺れよう！！』</t>
    <rPh sb="1" eb="2">
      <t>キミモ</t>
    </rPh>
    <rPh sb="3" eb="4">
      <t>アカニ</t>
    </rPh>
    <rPh sb="5" eb="6">
      <t>オボレヨウ</t>
    </rPh>
    <phoneticPr fontId="5"/>
  </si>
  <si>
    <t>『もっと深い場所へ…！』</t>
    <rPh sb="4" eb="5">
      <t>フカイ</t>
    </rPh>
    <rPh sb="6" eb="8">
      <t>バショヘ</t>
    </rPh>
    <phoneticPr fontId="5"/>
  </si>
  <si>
    <t>単体攻撃+
青&amp;緑パネルプロテクト(最大4個ずつ)</t>
    <rPh sb="0" eb="4">
      <t>タンタイコウゲキ</t>
    </rPh>
    <rPh sb="6" eb="7">
      <t>アオ</t>
    </rPh>
    <phoneticPr fontId="5"/>
  </si>
  <si>
    <t>単体攻撃+
赤&amp;黄パネルプロテクト(最大4個ずつ)</t>
    <rPh sb="6" eb="7">
      <t>アカ</t>
    </rPh>
    <rPh sb="8" eb="9">
      <t>キ</t>
    </rPh>
    <phoneticPr fontId="5"/>
  </si>
  <si>
    <t>[effect:enemy_message, val1:1.2, val2:2.7],[effect:panel_freeze, target:normal, color:block_red, count:-1],[effect:ability_lock, target:unit_all, turn:1]</t>
    <phoneticPr fontId="5"/>
  </si>
  <si>
    <t>1ターン全ユニットのアビリティ無効+
1ターン全ユニットにスキルバインド</t>
    <phoneticPr fontId="5"/>
  </si>
  <si>
    <t>『縛り付けるのも…なかなか…』</t>
    <rPh sb="1" eb="2">
      <t>シバリツケルノモ</t>
    </rPh>
    <phoneticPr fontId="5"/>
  </si>
  <si>
    <t>『ああ、実にいい…』
【恍惚の表情で立ち尽くしている】</t>
    <rPh sb="4" eb="5">
      <t>ジツニイイ</t>
    </rPh>
    <rPh sb="12" eb="14">
      <t>koukotu</t>
    </rPh>
    <rPh sb="15" eb="17">
      <t>ヒョウジョウデ</t>
    </rPh>
    <rPh sb="18" eb="19">
      <t>タチツクシテイル</t>
    </rPh>
    <phoneticPr fontId="5"/>
  </si>
  <si>
    <t>[effect:enemy_message, val1:1.2, val2:1.7],[effect:damage_anti_abnormal, target:unit_one, target_effect01:virus, val1:1.2, val2:0.8]</t>
    <phoneticPr fontId="5"/>
  </si>
  <si>
    <t>全体攻撃+
青パネルプロテクト(最大8個)</t>
    <rPh sb="0" eb="4">
      <t>ゼンタイコウゲキ</t>
    </rPh>
    <rPh sb="6" eb="7">
      <t>アオパネル</t>
    </rPh>
    <rPh sb="16" eb="18">
      <t>サイダイ</t>
    </rPh>
    <rPh sb="19" eb="20">
      <t>コ</t>
    </rPh>
    <phoneticPr fontId="5"/>
  </si>
  <si>
    <t>3ターン全ユニットにウィルス+
ハートパネルプロテクト(最大8個)</t>
    <phoneticPr fontId="5"/>
  </si>
  <si>
    <t>アハハハハッ！
痛いだろぅ？</t>
    <rPh sb="8" eb="9">
      <t>イタイダロウ</t>
    </rPh>
    <phoneticPr fontId="5"/>
  </si>
  <si>
    <t>全体攻撃+
2ターン全ユニットにスキルバインド</t>
    <rPh sb="0" eb="4">
      <t>ゼンタイコウゲキ</t>
    </rPh>
    <rPh sb="10" eb="11">
      <t>ゼンユニ</t>
    </rPh>
    <phoneticPr fontId="5"/>
  </si>
  <si>
    <t>1ターン自身の行動頻度UP+
1ターン全ユニットのアビリティ無効</t>
    <rPh sb="4" eb="6">
      <t>ジシn</t>
    </rPh>
    <rPh sb="7" eb="9">
      <t>コウドウ</t>
    </rPh>
    <rPh sb="9" eb="11">
      <t>コウゲキヒンド</t>
    </rPh>
    <phoneticPr fontId="5"/>
  </si>
  <si>
    <t>全体攻撃+
赤パネルプロテクト(最大8個)</t>
    <rPh sb="0" eb="4">
      <t>ゼンタイコウゲキ</t>
    </rPh>
    <rPh sb="6" eb="7">
      <t>アカ</t>
    </rPh>
    <rPh sb="16" eb="18">
      <t>サイダイ</t>
    </rPh>
    <rPh sb="19" eb="20">
      <t>コ</t>
    </rPh>
    <phoneticPr fontId="5"/>
  </si>
  <si>
    <t>[effect:enemy_message, val1:1.5, val2:3.5],[effect:ability_lock, target:unit_all, turn:1],[effect:hungup, target:unit_all, turn:1, rate:1, animation:hungup01]</t>
    <phoneticPr fontId="5"/>
  </si>
  <si>
    <t>全体攻撃+
1ターン全ユニットにスキルバインド</t>
    <rPh sb="0" eb="4">
      <t>ゼンタイコウg</t>
    </rPh>
    <rPh sb="10" eb="11">
      <t>ゼンユニットニ</t>
    </rPh>
    <phoneticPr fontId="5"/>
  </si>
  <si>
    <t>状態異常耐性</t>
    <rPh sb="0" eb="6">
      <t>ジョウタイ</t>
    </rPh>
    <phoneticPr fontId="5"/>
  </si>
  <si>
    <t>自己回復+
ウィルス状態のユニットに大ダメージ</t>
    <rPh sb="0" eb="4">
      <t>ジコカイフク</t>
    </rPh>
    <rPh sb="18" eb="19">
      <t>ダイダメージ</t>
    </rPh>
    <phoneticPr fontId="5"/>
  </si>
  <si>
    <t>全体攻撃+
3ターン全ユニットに回復力30%DOWN</t>
    <rPh sb="0" eb="4">
      <t>ゼンタイコウゲキ</t>
    </rPh>
    <rPh sb="10" eb="11">
      <t>ゼンユニットニ</t>
    </rPh>
    <rPh sb="16" eb="19">
      <t>カイフクリョク</t>
    </rPh>
    <phoneticPr fontId="5"/>
  </si>
  <si>
    <t>全体攻撃+
3ターン全ユニットに攻撃力30%DOWN</t>
    <rPh sb="0" eb="4">
      <t>ゼンタイコウゲキ</t>
    </rPh>
    <rPh sb="10" eb="11">
      <t>ゼンユニットニ</t>
    </rPh>
    <rPh sb="16" eb="19">
      <t>コウゲキ</t>
    </rPh>
    <phoneticPr fontId="5"/>
  </si>
  <si>
    <t>『ジキル僕も混ぜてよ…』</t>
    <rPh sb="4" eb="5">
      <t>ボクモマゼテヨ</t>
    </rPh>
    <phoneticPr fontId="5"/>
  </si>
  <si>
    <t>状態異常耐性+
赤&amp;青&amp;緑&amp;黄パネルプロテクト</t>
    <rPh sb="0" eb="6">
      <t>ジョウタイイ</t>
    </rPh>
    <rPh sb="8" eb="9">
      <t>アカ</t>
    </rPh>
    <rPh sb="10" eb="11">
      <t>アオ</t>
    </rPh>
    <rPh sb="12" eb="13">
      <t>ミドリ</t>
    </rPh>
    <rPh sb="14" eb="15">
      <t>キ</t>
    </rPh>
    <phoneticPr fontId="5"/>
  </si>
  <si>
    <t>全体攻撃+
Cパネルプロテクト(最大6個)</t>
    <rPh sb="0" eb="4">
      <t>ゼンタイコウ</t>
    </rPh>
    <phoneticPr fontId="5"/>
  </si>
  <si>
    <t>[effect:enemy_message, val1:1.2, val2:3.1],[effect:freq_turn, target:myself, turn:1, val:1, animation:enemy_freq_turn],[effect:ability_lock, target:unit_all, turn:1]</t>
    <phoneticPr fontId="5"/>
  </si>
  <si>
    <t>ハートパネルプロテクト+
ウィルス状態のユニットに大ダメージ</t>
    <rPh sb="25" eb="26">
      <t>ダイダメージ</t>
    </rPh>
    <phoneticPr fontId="5"/>
  </si>
  <si>
    <t>毒気焼却</t>
    <rPh sb="0" eb="1">
      <t>ドク</t>
    </rPh>
    <rPh sb="1" eb="2">
      <t>ケ</t>
    </rPh>
    <rPh sb="2" eb="4">
      <t>ネッキショウキャ</t>
    </rPh>
    <phoneticPr fontId="5"/>
  </si>
  <si>
    <t>障壁・蒼</t>
    <phoneticPr fontId="5"/>
  </si>
  <si>
    <t>障壁・赤</t>
    <rPh sb="3" eb="4">
      <t>アカ</t>
    </rPh>
    <phoneticPr fontId="5"/>
  </si>
  <si>
    <t>障壁・黄</t>
    <rPh sb="3" eb="4">
      <t>キ</t>
    </rPh>
    <phoneticPr fontId="5"/>
  </si>
  <si>
    <t>動けないだろう！</t>
    <rPh sb="0" eb="1">
      <t>ウゴケナイダロウ</t>
    </rPh>
    <phoneticPr fontId="5"/>
  </si>
  <si>
    <t>火炎拘束</t>
    <rPh sb="0" eb="4">
      <t>カエンコウソク</t>
    </rPh>
    <phoneticPr fontId="5"/>
  </si>
  <si>
    <t>障壁・緑</t>
    <rPh sb="0" eb="2">
      <t>ショウヘキ</t>
    </rPh>
    <rPh sb="3" eb="4">
      <t>ミドリ</t>
    </rPh>
    <phoneticPr fontId="5"/>
  </si>
  <si>
    <t>old</t>
  </si>
  <si>
    <t>[effect:enemy_message, val1:2.6, val2:1.8, dead_type:suicide]</t>
    <phoneticPr fontId="5"/>
  </si>
  <si>
    <t>hp_coefficient</t>
    <phoneticPr fontId="5"/>
  </si>
  <si>
    <t>あの双子なんなのかしら</t>
    <phoneticPr fontId="5"/>
  </si>
  <si>
    <t>(表示しない)</t>
    <rPh sb="1" eb="3">
      <t>ヒョウジシナイ</t>
    </rPh>
    <phoneticPr fontId="5"/>
  </si>
  <si>
    <t>[effect:enemy_message, val1:1.2, val2:0],[effect:fix_speed, target:myself, turn:2]</t>
    <phoneticPr fontId="5"/>
  </si>
  <si>
    <t>あの双子なかなかイカしてたわ…</t>
    <phoneticPr fontId="5"/>
  </si>
  <si>
    <t>単体攻撃+
ハートパネルプロテクト(最大10個)</t>
    <phoneticPr fontId="5"/>
  </si>
  <si>
    <t>全体攻撃+
ランダムでパネルプロテクト(最大12個)</t>
    <rPh sb="0" eb="2">
      <t>ゼンタイ</t>
    </rPh>
    <rPh sb="2" eb="4">
      <t>タンタイコウゲキ</t>
    </rPh>
    <rPh sb="20" eb="22">
      <t>サイダイ</t>
    </rPh>
    <rPh sb="24" eb="25">
      <t>コ</t>
    </rPh>
    <phoneticPr fontId="5"/>
  </si>
  <si>
    <t>[effect:enemy_message, val1:1.2, val2:1.7],[effect:damage_anti_abnormal, target:unit_one, target_effect01:virus, val1:1.7, val2:0.8]</t>
    <phoneticPr fontId="5"/>
  </si>
  <si>
    <t>「ばらまいてやる！」</t>
    <phoneticPr fontId="5"/>
  </si>
  <si>
    <t>「苦しみやがれ！」</t>
    <rPh sb="1" eb="2">
      <t>クルシミヤガレ</t>
    </rPh>
    <phoneticPr fontId="5"/>
  </si>
  <si>
    <t>「ヒャヒャ！おもしれえな！」</t>
    <phoneticPr fontId="5"/>
  </si>
  <si>
    <t>「いってえな！クソが！」</t>
    <phoneticPr fontId="5"/>
  </si>
  <si>
    <t>「しばき倒すぞ！」</t>
    <phoneticPr fontId="5"/>
  </si>
  <si>
    <t>「俺の攻撃はどうだ！？」</t>
    <rPh sb="1" eb="2">
      <t>オレノコウゲキハ</t>
    </rPh>
    <phoneticPr fontId="5"/>
  </si>
  <si>
    <t>「うるせえ！引っ込んでろ！」</t>
    <rPh sb="6" eb="7">
      <t>ヒッコンデロ</t>
    </rPh>
    <phoneticPr fontId="5"/>
  </si>
  <si>
    <t>「っち、変態が来やがった…」</t>
    <rPh sb="4" eb="6">
      <t>ヘンタイガ</t>
    </rPh>
    <rPh sb="7" eb="8">
      <t>キヤガッタ</t>
    </rPh>
    <phoneticPr fontId="5"/>
  </si>
  <si>
    <t>『ああ！やはりジキルはわかってる』</t>
    <phoneticPr fontId="5"/>
  </si>
  <si>
    <t>『もっときて！』
「俺がやるんだよ！」</t>
    <rPh sb="10" eb="11">
      <t>オレガ</t>
    </rPh>
    <phoneticPr fontId="5"/>
  </si>
  <si>
    <t>「俺の獲物だから退いてろ！」
『酷い！とてもいい人なのに！』</t>
    <rPh sb="1" eb="2">
      <t>オレノエモノダ</t>
    </rPh>
    <rPh sb="8" eb="9">
      <t>ドイテロ</t>
    </rPh>
    <rPh sb="16" eb="17">
      <t>ヒドイ</t>
    </rPh>
    <phoneticPr fontId="5"/>
  </si>
  <si>
    <t>「気味の悪いこといってんじゃねえよ…」</t>
    <rPh sb="1" eb="3">
      <t>キミノワリイ</t>
    </rPh>
    <phoneticPr fontId="5"/>
  </si>
  <si>
    <t>[effect:enemy_message, val1:1.7, val2:2.0],[effect:spread, val:0.6],[effect:panel_freeze, target:crash, count:6]</t>
    <phoneticPr fontId="5"/>
  </si>
  <si>
    <t>[effect:enemy_message, val1:1.2, val2:2.5],[effect:spread, val:0.5],[effect:degrade_unit, target:unit_all, turn:3, status:heal, val:0.3, calc:mul, animation:degrade_unit_all_heal]</t>
    <phoneticPr fontId="5"/>
  </si>
  <si>
    <t>[effect:enemy_message, val1:1.3, val2:2.4],[effect:rush, count:1, val:1.0],[effect:panel_freeze, target:normal, color:block_red, count:4],[effect:panel_freeze, target:normal, color:block_yellow, count:4]</t>
    <phoneticPr fontId="5"/>
  </si>
  <si>
    <t>[effect:enemy_message, val1:1.2, val2:2.2],[effect:spread, val:0.4],[effect:hungup, target:unit_all, turn:2, rate:1, animation:hungup01]</t>
    <phoneticPr fontId="5"/>
  </si>
  <si>
    <t>[effect:enemy_message, val1:1.2, val2:2.0],[effect:spread, val:0.4],[effect:panel_freeze, target:normal, color:block_blue, count:8]</t>
    <phoneticPr fontId="5"/>
  </si>
  <si>
    <t>[effect:enemy_message, val1:1.2, val2:2.0],[effect:spread, val:0.4],[effect:panel_freeze, target:normal, color:block_red, count:8]</t>
    <phoneticPr fontId="5"/>
  </si>
  <si>
    <t>『その棘で僕を！僕を！』</t>
    <rPh sb="5" eb="6">
      <t>ボクヲ</t>
    </rPh>
    <rPh sb="8" eb="9">
      <t>ボクヲ</t>
    </rPh>
    <phoneticPr fontId="5"/>
  </si>
  <si>
    <t>『実にいい槍だ！
実に気持ちよさそうだ！！』</t>
    <rPh sb="1" eb="2">
      <t>ジツニイイヤリダ</t>
    </rPh>
    <rPh sb="9" eb="10">
      <t>ジツニ</t>
    </rPh>
    <rPh sb="11" eb="13">
      <t>キモチヨサソウダ</t>
    </rPh>
    <phoneticPr fontId="5"/>
  </si>
  <si>
    <t>「お前の苦痛の表情最高だぜ！」</t>
    <rPh sb="4" eb="6">
      <t>クツウノヒョウジョウ</t>
    </rPh>
    <rPh sb="9" eb="11">
      <t>サイコウダゼ</t>
    </rPh>
    <phoneticPr fontId="5"/>
  </si>
  <si>
    <t>『その鋭さ…僕の目に狂いは無かった！！！』</t>
    <rPh sb="3" eb="4">
      <t>スルドサ</t>
    </rPh>
    <rPh sb="6" eb="7">
      <t>ボクノメニ</t>
    </rPh>
    <rPh sb="10" eb="11">
      <t>クルイハ</t>
    </rPh>
    <rPh sb="13" eb="14">
      <t>ナカッタ</t>
    </rPh>
    <phoneticPr fontId="5"/>
  </si>
  <si>
    <t>『ああ、実に気持ち良い…
 まさにスプラッシュ！！！』</t>
    <rPh sb="4" eb="5">
      <t>ジツニ</t>
    </rPh>
    <rPh sb="6" eb="8">
      <t>キモチノイイ</t>
    </rPh>
    <phoneticPr fontId="5"/>
  </si>
  <si>
    <t>「へんな性癖拗らせやがって…クソが…」</t>
    <rPh sb="4" eb="6">
      <t>セイヘキ</t>
    </rPh>
    <rPh sb="6" eb="7">
      <t>コジラセヤガッテ</t>
    </rPh>
    <phoneticPr fontId="5"/>
  </si>
  <si>
    <t>オールエクスパーメント</t>
    <phoneticPr fontId="5"/>
  </si>
  <si>
    <t>ヒーリング</t>
    <phoneticPr fontId="5"/>
  </si>
  <si>
    <t>レッドガード</t>
    <phoneticPr fontId="5"/>
  </si>
  <si>
    <t>パネルガード</t>
    <phoneticPr fontId="5"/>
  </si>
  <si>
    <t>赤パネルドロップ率UP+
全ユニットの攻撃をカウンター</t>
    <phoneticPr fontId="5"/>
  </si>
  <si>
    <t>[effect:enemy_message, val1:1.2, val2:2.5],[effect:spread, val:0.5],[effect:attack_break, target:unit_all, turn:3, val:0.3, calc:mul, animation:attack_break01]</t>
    <phoneticPr fontId="5"/>
  </si>
  <si>
    <t>[effect:enemy_message, val1:1.2, val2:2.2],[effect:fix_speed, target:myself, turn:1],[effect:tolerance, target:myself, turn:-1, count:-1, tolerance_effect:all, animation:enemy_tolerance],[effect:panel_freeze, target:normal, color:block_red, count:-1],[effect:panel_freeze, target:normal, color:block_blue, count:-1],[effect:panel_freeze, target:normal, color:block_green, count:-1],[effect:panel_freeze, target:normal, color:block_yellow, count:-1]</t>
    <phoneticPr fontId="5"/>
  </si>
  <si>
    <t>「おい、その槍で刺してやれ…」</t>
    <rPh sb="8" eb="9">
      <t>サシテ</t>
    </rPh>
    <phoneticPr fontId="5"/>
  </si>
  <si>
    <t>[effect:enemy_message, val1:1.2, val2:1.2],[effect:fix_speed, target:myself, turn:1],[effect:tolerance, target:myself, turn:-1, count:-1, tolerance_effect:all, animation:enemy_tolerance]</t>
    <phoneticPr fontId="5"/>
  </si>
  <si>
    <t>ランダムでパネルプロテクト(最大3個)</t>
    <phoneticPr fontId="5"/>
  </si>
  <si>
    <t>[effect:enemy_message, val1:1.2, val2:1.9],[effect:panel_freeze, target:block_all, count:3]</t>
    <phoneticPr fontId="5"/>
  </si>
  <si>
    <t>[effect:enemy_message, val1:1.3, val2:3.2],[effect:virus, turn:3, rate:1, val:0.15, animation:enemy_virus],[effect:panel_freeze, target:normal, color:block_heart, count:8]</t>
    <phoneticPr fontId="5"/>
  </si>
  <si>
    <t>『ああ、その棘僕の求めてた…』
「お前の番じゃねえ！」</t>
    <rPh sb="7" eb="8">
      <t>ボクノモトメテタ</t>
    </rPh>
    <phoneticPr fontId="5"/>
  </si>
  <si>
    <t>『今度こそ僕にその槍を…』
「黙ってろ、その槍女は俺がやる！」</t>
    <rPh sb="1" eb="3">
      <t>コンドコソ</t>
    </rPh>
    <rPh sb="5" eb="6">
      <t>ボク</t>
    </rPh>
    <rPh sb="15" eb="16">
      <t>ダマッテロ</t>
    </rPh>
    <rPh sb="25" eb="26">
      <t>オレガヤル</t>
    </rPh>
    <phoneticPr fontId="5"/>
  </si>
  <si>
    <t>状態異常耐性+
全ての効果を解除+
赤パネルをプロテクトしてドロップ</t>
    <rPh sb="8" eb="9">
      <t>スベテノ</t>
    </rPh>
    <rPh sb="11" eb="13">
      <t>コウカヲ</t>
    </rPh>
    <rPh sb="14" eb="16">
      <t>カイジョ</t>
    </rPh>
    <rPh sb="18" eb="19">
      <t>アカパネル</t>
    </rPh>
    <phoneticPr fontId="5"/>
  </si>
  <si>
    <t>[effect:enemy_message, val1:2.6, val2:3.2],[effect:fix_speed,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t>
    <phoneticPr fontId="5"/>
  </si>
  <si>
    <t>[effect:enemy_message, val1:3.0, val2:3.2],[effect:fix_speed,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t>
    <phoneticPr fontId="5"/>
  </si>
  <si>
    <t>[effect:enemy_message, val1:1.2, val2:1.2],[effect:spread, val:0.27]</t>
    <phoneticPr fontId="5"/>
  </si>
  <si>
    <t>[effect:enemy_message, val1:1.2, val2:1.7],[effect:damage_anti_abnormal, target:unit_one, target_effect01:virus, val1:1.9, val2:0.8]</t>
    <phoneticPr fontId="5"/>
  </si>
  <si>
    <t>単体攻撃+
青&amp;緑パネルプロテクト(最大3個ずつ)</t>
    <rPh sb="0" eb="4">
      <t>タンタイコウゲキ</t>
    </rPh>
    <rPh sb="6" eb="7">
      <t>アオ</t>
    </rPh>
    <phoneticPr fontId="5"/>
  </si>
  <si>
    <t>単体攻撃+
赤&amp;黄パネルプロテクト(最大3個ずつ)</t>
    <rPh sb="6" eb="7">
      <t>アカ</t>
    </rPh>
    <rPh sb="8" eb="9">
      <t>キ</t>
    </rPh>
    <phoneticPr fontId="5"/>
  </si>
  <si>
    <t>[effect:enemy_message, val1:1.3, val2:2.4],[effect:rush, count:1, val:0.7],[effect:panel_freeze, target:normal, color:block_red, count:3],[effect:panel_freeze, target:normal, color:block_yellow, count:3]</t>
    <phoneticPr fontId="5"/>
  </si>
  <si>
    <t>[effect:enemy_message, val1:2.1, val2:1.8],[effect:rush, count:1, val:0.8],[effect:panel_freeze, target:block_heart, count:10]</t>
    <phoneticPr fontId="5"/>
  </si>
  <si>
    <t>[effect:enemy_message, val1:1.2, val2:1.2],[effect:fix_speed, target:myself, turn:1],[effect:tolerance, target:myself, turn:-1, count:-1, tolerance_effect:all, animation:enemy_tolerance]</t>
    <phoneticPr fontId="5"/>
  </si>
  <si>
    <t>[effect:enemy_message, val1:1.7, val2:2.0],[effect:spread, val:0.27],[effect:panel_freeze, target:crash, count:6]</t>
    <phoneticPr fontId="5"/>
  </si>
  <si>
    <t>ジキルは自身の強さを誇示して
喜びを感じるサディズムな性格で
弟のハイドは苦痛を受け快楽を感じる
マゾヒズムな性格のようです</t>
    <phoneticPr fontId="5"/>
  </si>
  <si>
    <t>作品の影響</t>
    <rPh sb="0" eb="2">
      <t>サクヒn</t>
    </rPh>
    <rPh sb="3" eb="5">
      <t>エイキョウ</t>
    </rPh>
    <phoneticPr fontId="5"/>
  </si>
  <si>
    <t>性格は変わらず</t>
    <phoneticPr fontId="5"/>
  </si>
  <si>
    <t>左右のトトはウィルス攻撃や
パネルプロテクトなど厄介な攻撃をします
左右のトトから先に倒しましょう</t>
    <phoneticPr fontId="5"/>
  </si>
  <si>
    <t>ミサコはウィルスと同時に
ハートパネルプロテクトを行います
ウィルスなどの攻撃に耐えれるように
HPを高く保ちましょう</t>
    <phoneticPr fontId="5"/>
  </si>
  <si>
    <t>デュアルストライク</t>
    <phoneticPr fontId="5"/>
  </si>
  <si>
    <t>「おい、そいつじゃねえ！とっとと行くぞ！」
【ハイドは連れて行かれた】</t>
    <rPh sb="16" eb="17">
      <t>イクゾ</t>
    </rPh>
    <rPh sb="27" eb="28">
      <t>ツレテイカレタ</t>
    </rPh>
    <phoneticPr fontId="5"/>
  </si>
  <si>
    <t>[effect:enemy_message, val1:2.6, val2:3.4, dead_type:escape]</t>
    <phoneticPr fontId="5"/>
  </si>
  <si>
    <t>unit</t>
  </si>
  <si>
    <t>link</t>
  </si>
  <si>
    <t>『その蔑む目…素晴らしい…』</t>
    <rPh sb="3" eb="4">
      <t>サゲスムメ</t>
    </rPh>
    <rPh sb="7" eb="9">
      <t>スバラシイ</t>
    </rPh>
    <phoneticPr fontId="5"/>
  </si>
  <si>
    <t>単体攻撃+
Cパネルプロテクト(最大2個)</t>
    <phoneticPr fontId="5"/>
  </si>
  <si>
    <t>[effect:enemy_message, val1:1.2, val2:2.0],[effect:rush, count:1, val:1.0],[effect:panel_freeze, target:crash, count:2]</t>
    <phoneticPr fontId="5"/>
  </si>
  <si>
    <t>単体攻撃+
ハートパネルプロテクト(最大10個)</t>
    <phoneticPr fontId="5"/>
  </si>
  <si>
    <t>[effect:enemy_message, val1:1.2, val2:2.3],[effect:rush, count:1, val:1.0],[effect:panel_freeze, target:block_heart, count:10]</t>
    <phoneticPr fontId="5"/>
  </si>
  <si>
    <t>『やはりその貫通力…実に気持ちいい…』</t>
    <rPh sb="6" eb="9">
      <t>カンツウリョク</t>
    </rPh>
    <rPh sb="10" eb="11">
      <t>ジツニ</t>
    </rPh>
    <rPh sb="12" eb="14">
      <t>キモチイイ</t>
    </rPh>
    <phoneticPr fontId="5"/>
  </si>
  <si>
    <t>3ターン全ユニットに強力なウィルス+
ハートパネルプロテクト(最大8個)</t>
    <rPh sb="10" eb="12">
      <t>キョウリョク</t>
    </rPh>
    <phoneticPr fontId="5"/>
  </si>
  <si>
    <t>[effect:enemy_message, val1:1.3, val2:3.5],[effect:virus, turn:3, rate:1, val:0.3, animation:enemy_virus],[effect:panel_freeze, target:normal, color:block_heart, count:8]</t>
    <phoneticPr fontId="5"/>
  </si>
  <si>
    <t>「なんだお前ら！？」
『ああ、僕をヤってくれるんだね！』</t>
    <rPh sb="15" eb="16">
      <t>ボクヲ</t>
    </rPh>
    <phoneticPr fontId="5"/>
  </si>
  <si>
    <t>ブラッド・ドレイン</t>
    <phoneticPr fontId="5"/>
  </si>
  <si>
    <t>全体攻撃+
2ターン全ユニットに強力なウィルス</t>
    <rPh sb="10" eb="11">
      <t>ゼンユニットニ</t>
    </rPh>
    <rPh sb="16" eb="18">
      <t>キョウリョクナ</t>
    </rPh>
    <phoneticPr fontId="5"/>
  </si>
  <si>
    <t>2回連続攻撃+
3ターンユニット2体に強力なウィルス</t>
    <rPh sb="1" eb="4">
      <t>カイレンゾク</t>
    </rPh>
    <rPh sb="4" eb="6">
      <t>コウゲキ</t>
    </rPh>
    <rPh sb="17" eb="18">
      <t>タイニ</t>
    </rPh>
    <rPh sb="19" eb="21">
      <t>キョウリョ</t>
    </rPh>
    <phoneticPr fontId="5"/>
  </si>
  <si>
    <t>全体攻撃+
解除するまで全ユニットに超強力なウィルス</t>
    <rPh sb="0" eb="4">
      <t>ゼンタイコウゲキ</t>
    </rPh>
    <rPh sb="6" eb="8">
      <t>カイジョスルマデ</t>
    </rPh>
    <rPh sb="12" eb="13">
      <t>ゼンユニ</t>
    </rPh>
    <rPh sb="18" eb="21">
      <t>チョウキョウ</t>
    </rPh>
    <phoneticPr fontId="5"/>
  </si>
  <si>
    <t>1ターン全ユニットのアビリティ無効+
解除するまで全ユニットに強力なウィルス</t>
    <rPh sb="25" eb="26">
      <t>ゼンユニ</t>
    </rPh>
    <rPh sb="31" eb="33">
      <t>キョウリョクナ</t>
    </rPh>
    <phoneticPr fontId="5"/>
  </si>
  <si>
    <t>赤&amp;青パネルプロテクト+
解除するまでユニット1体に強力なウィルス</t>
    <rPh sb="13" eb="15">
      <t>カイジョス</t>
    </rPh>
    <rPh sb="26" eb="28">
      <t>キョウリョ</t>
    </rPh>
    <phoneticPr fontId="5"/>
  </si>
  <si>
    <t>[effect:enemy_message, val1:1.8, val2:3.2],[effect:panel_freeze, target:normal, color:block_red, count:-1],[effect:panel_freeze, target:normal, color:block_blue, count:-1],[effect:virus, target:unit_one, turn:-1, rate:1, val:0.3, animation:enemy_virus]</t>
    <phoneticPr fontId="5"/>
  </si>
  <si>
    <t>[effect:enemy_message, val1:2.9, val2:2.9],[effect:panel_freeze, target:normal, color:block_heart, count:-1],[effect:damage_anti_abnormal, target:unit_one, target_effect01:virus, val1:1.7, val2:1.0]</t>
    <phoneticPr fontId="5"/>
  </si>
  <si>
    <t>[effect:enemy_message, val1:2.6, val2:2.0, dead_type:suicide]</t>
    <phoneticPr fontId="5"/>
  </si>
  <si>
    <t>[effect:enemy_message, val1:1.2, val2:2.4],[effect:rush, count:1, val:0.6],[effect:panel_freeze, target:block_all, count:5]</t>
    <phoneticPr fontId="5"/>
  </si>
  <si>
    <t>単体攻撃+
ランダムでパネルプロテクト(最大5個)</t>
    <rPh sb="0" eb="4">
      <t>タンタイコウゲキ</t>
    </rPh>
    <rPh sb="20" eb="22">
      <t>サイダイ</t>
    </rPh>
    <rPh sb="23" eb="24">
      <t>コ</t>
    </rPh>
    <phoneticPr fontId="5"/>
  </si>
  <si>
    <t>[effect:enemy_message, val1:2.7, val2:3.2],[effect:fix_speed,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t>
    <phoneticPr fontId="5"/>
  </si>
  <si>
    <t>[effect:enemy_message, val1:1.2, val2:2.5],[effect:spread, val:0.28],[effect:attack_break, target:unit_all, turn:2, val:0.3, calc:mul, animation:attack_break01]</t>
    <phoneticPr fontId="5"/>
  </si>
  <si>
    <t>全体攻撃+
2ターン全ユニットに攻撃力30%DOWN</t>
    <rPh sb="0" eb="4">
      <t>ゼンタイコウゲキ</t>
    </rPh>
    <rPh sb="10" eb="11">
      <t>ゼンユニットニ</t>
    </rPh>
    <rPh sb="16" eb="19">
      <t>コウゲキ</t>
    </rPh>
    <phoneticPr fontId="5"/>
  </si>
  <si>
    <t>全体攻撃+
2ターン全ユニットに回復力30%DOWN</t>
    <rPh sb="0" eb="4">
      <t>ゼンタイコウゲキ</t>
    </rPh>
    <rPh sb="10" eb="11">
      <t>ゼンユニットニ</t>
    </rPh>
    <rPh sb="16" eb="19">
      <t>カイフクリョク</t>
    </rPh>
    <phoneticPr fontId="5"/>
  </si>
  <si>
    <t>[effect:enemy_message, val1:1.2, val2:2.5],[effect:spread, val:0.28],[effect:degrade_unit, target:unit_all, turn:2, status:heal, val:0.3, calc:mul, animation:degrade_unit_all_heal]</t>
    <phoneticPr fontId="5"/>
  </si>
  <si>
    <t>1ターン全ユニットのアビリティ無効+
解除するまで全ユニットに超強力なウィルス</t>
    <rPh sb="25" eb="26">
      <t>ゼンユニ</t>
    </rPh>
    <rPh sb="31" eb="32">
      <t>tyou</t>
    </rPh>
    <rPh sb="32" eb="34">
      <t>キョウリョクナ</t>
    </rPh>
    <phoneticPr fontId="5"/>
  </si>
  <si>
    <t>赤&amp;青パネルプロテクト(最大8個ずつ)+
２ターンユニット1体に超強力なウィルス</t>
    <rPh sb="12" eb="14">
      <t>サイダイ</t>
    </rPh>
    <rPh sb="15" eb="16">
      <t>コズツ</t>
    </rPh>
    <rPh sb="32" eb="35">
      <t>チョウキョウ</t>
    </rPh>
    <phoneticPr fontId="5"/>
  </si>
  <si>
    <t>[effect:enemy_message, val1:2.9, val2:2.9],[effect:panel_freeze, target:normal, color:block_heart, count:-1],[effect:damage_anti_abnormal, target:unit_one, target_effect01:virus, val1:1.7, val2:0.8]</t>
    <phoneticPr fontId="5"/>
  </si>
  <si>
    <t>ランダム・オブ・ザ・エクスタシィ</t>
    <phoneticPr fontId="5"/>
  </si>
  <si>
    <t>[effect:enemy_message, val1:1.6, val2:2.5],[effect:spread, val:0.35],[effect:panel_freeze, target:block_all, count:12]</t>
    <phoneticPr fontId="5"/>
  </si>
  <si>
    <t>クラッシュ・エクスタシィ</t>
    <phoneticPr fontId="5"/>
  </si>
  <si>
    <t>『君はこれが好きなの？』</t>
    <rPh sb="1" eb="2">
      <t>キミハ</t>
    </rPh>
    <rPh sb="6" eb="7">
      <t>スキ</t>
    </rPh>
    <phoneticPr fontId="5"/>
  </si>
  <si>
    <t>『そっちが好きなんだね！』</t>
    <rPh sb="5" eb="6">
      <t>スキナンダネ</t>
    </rPh>
    <phoneticPr fontId="5"/>
  </si>
  <si>
    <t>[effect:enemy_message, val1:1.2, val2:2.4],[effect:rush, count:1, val:1.0],[effect:panel_freeze, target:normal, color:block_blue, count:4],[effect:panel_freeze, target:normal, color:block_green, count:4]</t>
    <phoneticPr fontId="5"/>
  </si>
  <si>
    <t>[effect:enemy_message, val1:1.2, val2:2.4],[effect:rush, count:1, val:0.7],[effect:panel_freeze, target:normal, color:block_blue, count:3],[effect:panel_freeze, target:normal, color:block_green, count:3]</t>
    <phoneticPr fontId="5"/>
  </si>
  <si>
    <t>full_member</t>
    <phoneticPr fontId="5"/>
  </si>
  <si>
    <t>[effect:enemy_message, val1:1.2, val2:2.2],[effect:spread, val:0.4],[effect:hungup, target:unit_all, turn:1, rate:1, animation:hungup01]</t>
    <phoneticPr fontId="5"/>
  </si>
  <si>
    <t>全体攻撃+2ターン全ユニットにウィルス</t>
    <rPh sb="9" eb="10">
      <t>ゼンユニットニ</t>
    </rPh>
    <phoneticPr fontId="5"/>
  </si>
  <si>
    <t>[effect:enemy_message, val1:1.2, val2:2.2],[effect:spread, val:0.6],[effect:virus, turn:2, rate:1, val:0.3, animation:enemy_virus]</t>
    <phoneticPr fontId="5"/>
  </si>
  <si>
    <t>2回連続攻撃+
3ターンユニット2体に強力なウィルス</t>
    <rPh sb="1" eb="4">
      <t>カイレンゾク</t>
    </rPh>
    <rPh sb="4" eb="6">
      <t>コウゲキ</t>
    </rPh>
    <rPh sb="17" eb="18">
      <t>タイニ</t>
    </rPh>
    <rPh sb="19" eb="21">
      <t>キョウリョク</t>
    </rPh>
    <phoneticPr fontId="5"/>
  </si>
  <si>
    <t>全体攻撃+
2ターン全ユニットに強力なウィルス</t>
    <rPh sb="10" eb="11">
      <t>ゼンユニットニ</t>
    </rPh>
    <rPh sb="16" eb="18">
      <t>キョウ</t>
    </rPh>
    <phoneticPr fontId="5"/>
  </si>
  <si>
    <t>[effect:enemy_message, val1:1.2, val2:2.2],[effect:spread, val:0.4],[effect:virus, turn:2, rate:1, val:0.2, animation:enemy_virus]</t>
    <phoneticPr fontId="5"/>
  </si>
  <si>
    <t>ジキル&amp;ハイド</t>
    <phoneticPr fontId="5"/>
  </si>
  <si>
    <t>ジキル&amp;ハイドの1ゲージ目は
赤パネルプロテクトを使用します
パネルプロテクトを
対処できるようにしましょう</t>
    <phoneticPr fontId="5"/>
  </si>
  <si>
    <t>ジキル&amp;ハイドの2ゲージ目は
開幕時にタップ回数を1にします
パネルが割りづらくなるので
タップ数増減のスキルを使用しましょう</t>
    <phoneticPr fontId="5"/>
  </si>
  <si>
    <t>ジキル&amp;ハイドの1ゲージ目は
永続ウィルス攻撃を行います
非常に高いダメージを受けるので
解除できるようにしましょう</t>
    <phoneticPr fontId="5"/>
  </si>
  <si>
    <t>ジキル&amp;ハイドの2ゲージ目は
攻撃力や回復力をDOWNする
攻撃を使用します
DOWN攻撃を受ける前に倒しましょう</t>
    <phoneticPr fontId="5"/>
  </si>
  <si>
    <t>ジキル&amp;ハイドの3ゲージ目は
ウィルス攻撃やパネルプロテクトが
非常に強力になっています
フィーバーで素早くクリアしましょう</t>
    <phoneticPr fontId="5"/>
  </si>
  <si>
    <t>ジキル&amp;ハイドの1ゲージ目は
赤パネルプロテクトを使用します
パネルプロテクトを
対処できるようにしましょう</t>
    <phoneticPr fontId="5"/>
  </si>
  <si>
    <t>[effect:enemy_message, val1:1.5, val2:0],[effect:fix_speed, target:myself, turn:2]</t>
    <phoneticPr fontId="5"/>
  </si>
  <si>
    <t>[effect:enemy_message, val1:1.9, val2:3.4, dead_type:escape]</t>
    <phoneticPr fontId="5"/>
  </si>
  <si>
    <t>[effect:enemy_message, val1:1.5, val2:2.2],[effect:heal, target:myself, val:0.1, animation:enemy_heal],[effect:damage_anti_abnormal, target:unit_one, target_effect01:virus, val1:1.7, val2:1.0]</t>
    <phoneticPr fontId="5"/>
  </si>
  <si>
    <t>[effect:enemy_message, val1:1.4, val2:1.7],[effect:damage_anti_abnormal, target:unit_one, target_effect01:virus, val1:1.7, val2:1.0]</t>
    <phoneticPr fontId="5"/>
  </si>
  <si>
    <t>[effect:enemy_message, val1:1.4, val2:3.7],[effect:ability_lock, target:unit_all, turn:1],[effect:virus, turn:-1, rate:1, val:0.32, animation:enemy_virus]</t>
    <phoneticPr fontId="5"/>
  </si>
  <si>
    <t>[effect:enemy_message, val1:3.0, val2:2.4, dead_type:suicide]</t>
    <phoneticPr fontId="5"/>
  </si>
  <si>
    <t>[effect:enemy_message, val1:1.5, val2:2.2],[effect:heal, target:myself, val:0.08, animation:enemy_heal],[effect:damage_anti_abnormal, target:unit_one, target_effect01:virus, val1:1.7, val2:0.8]</t>
    <phoneticPr fontId="5"/>
  </si>
  <si>
    <t>[effect:enemy_message, val1:1.4, val2:1.7],[effect:damage_anti_abnormal, target:unit_one, target_effect01:virus, val1:1.7, val2:0.8]</t>
    <phoneticPr fontId="5"/>
  </si>
  <si>
    <t>[effect:enemy_message, val1:1.4, val2:3.8],[effect:ability_lock, target:unit_all, turn:1],[effect:virus, turn:-1, rate:1, val:0.4, animation:enemy_virus]</t>
    <phoneticPr fontId="5"/>
  </si>
  <si>
    <t>[effect:enemy_message, val1:3.0, val2:2.2, dead_type:suicide]</t>
    <phoneticPr fontId="5"/>
  </si>
  <si>
    <t>本来はほんの少しの悪事で
満足していた双子が凶行に快楽を
見出したのはある作品の影響のようです</t>
    <rPh sb="6" eb="7">
      <t>スコシノ</t>
    </rPh>
    <rPh sb="9" eb="11">
      <t>アクジ</t>
    </rPh>
    <phoneticPr fontId="5"/>
  </si>
  <si>
    <t>『もっともっと僕に棘を…』
【いばら姫は面白がっている】</t>
    <phoneticPr fontId="5"/>
  </si>
  <si>
    <t>[effect:enemy_message, val1:2.7, val2:3.4, dead_type:escape]</t>
    <phoneticPr fontId="5"/>
  </si>
  <si>
    <t>『もっともっと僕に棘を…』
【いばら姫は面白がっている】</t>
    <rPh sb="7" eb="8">
      <t>ボクニ</t>
    </rPh>
    <rPh sb="9" eb="10">
      <t>トゲヲ</t>
    </rPh>
    <rPh sb="20" eb="22">
      <t>オモシロガッテイル</t>
    </rPh>
    <phoneticPr fontId="5"/>
  </si>
  <si>
    <t>『ああ、やはり君の棘は素晴らしい！』</t>
    <rPh sb="9" eb="10">
      <t>トゲハ</t>
    </rPh>
    <rPh sb="11" eb="13">
      <t>スバラシイ</t>
    </rPh>
    <phoneticPr fontId="5"/>
  </si>
  <si>
    <t>[effect:enemy_message, val1:2.3, val2:2.9, dead_type:suicide]</t>
    <phoneticPr fontId="5"/>
  </si>
  <si>
    <t>[effect:enemy_message, val1:2.3, val2:2.4, dead_type:suicide]</t>
    <phoneticPr fontId="5"/>
  </si>
  <si>
    <t>[effect:enemy_message, val1:1.2, val2:1.2],[effect:critical, val:1.2, animation:enemy_critical],[effect:heal, target:myself, val:0.1, animation:enemy_heal]</t>
    <phoneticPr fontId="5"/>
  </si>
  <si>
    <t>クリティカル！+
緑パネルプロテクト(最大8個)</t>
    <phoneticPr fontId="5"/>
  </si>
  <si>
    <t>クリティカル！+
黄パネルプロテクト(最大5個)</t>
    <rPh sb="9" eb="10">
      <t>キ</t>
    </rPh>
    <phoneticPr fontId="5"/>
  </si>
  <si>
    <t>クリティカル！+自己回復</t>
    <rPh sb="8" eb="10">
      <t>ジコ</t>
    </rPh>
    <rPh sb="10" eb="12">
      <t>カイフク</t>
    </rPh>
    <phoneticPr fontId="5"/>
  </si>
  <si>
    <t>[effect:enemy_message, val1:1.2, val2:2.3],[effect:critical, val:1.5, animation:enemy_critical],[effect:panel_freeze, target:normal, color:block_yellow, count:5]</t>
    <phoneticPr fontId="5"/>
  </si>
  <si>
    <t>[effect:enemy_message, val1:1.2, val2:2.3],[effect:critical, val:1.2, animation:enemy_critical],[effect:panel_freeze, target:normal, color:block_green, count:8]</t>
    <phoneticPr fontId="5"/>
  </si>
  <si>
    <t>[effect:enemy_message, val1:1.2, val2:2.3],[effect:critical, val:1.4, animation:enemy_critical],[effect:panel_freeze, target:normal, color:block_yellow, count:5]</t>
    <phoneticPr fontId="5"/>
  </si>
  <si>
    <t>共感</t>
    <rPh sb="0" eb="2">
      <t>キョウカn</t>
    </rPh>
    <phoneticPr fontId="5"/>
  </si>
  <si>
    <t>凶行を止められたジキル&amp;ハイドは
以前のように些細な悪事で
満足するようになりましたが
性格は変わらないようです</t>
    <rPh sb="23" eb="25">
      <t>ササイナ</t>
    </rPh>
    <rPh sb="26" eb="28">
      <t>アクジ</t>
    </rPh>
    <phoneticPr fontId="5"/>
  </si>
  <si>
    <t>ジキルといばら姫はその性格からか
すぐに意気投合し仲良くなったようです</t>
    <phoneticPr fontId="5"/>
  </si>
  <si>
    <t>状態異常耐性+
全ての効果を解除+
青&amp;ハートパネル以外はプロテクトしてドロップ</t>
    <rPh sb="8" eb="9">
      <t>スベテノ</t>
    </rPh>
    <rPh sb="11" eb="13">
      <t>コウカヲ</t>
    </rPh>
    <rPh sb="14" eb="16">
      <t>カイジョ</t>
    </rPh>
    <rPh sb="18" eb="19">
      <t>アオ</t>
    </rPh>
    <rPh sb="26" eb="28">
      <t>イガイ</t>
    </rPh>
    <phoneticPr fontId="5"/>
  </si>
  <si>
    <t>[effect:enemy_message, val1:2.7, val2:3.8],[effect:fix_speed,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t>
    <phoneticPr fontId="5"/>
  </si>
  <si>
    <t>[effect:enemy_message, val1:2.6, val2:3.8],[effect:fix_speed,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t>
    <phoneticPr fontId="5"/>
  </si>
  <si>
    <t>[effect:enemy_message, val1:3.0, val2:3.8],[effect:fix_speed,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t>
    <phoneticPr fontId="5"/>
  </si>
  <si>
    <t>[effect:enemy_message, val1:1.2, val2:2.2],[effect:spread, val:0.6],[effect:hungup, target:unit_all, turn:1, rate:1, animation:hungup01]</t>
    <phoneticPr fontId="5"/>
  </si>
  <si>
    <t>「ヒャヒャ！おもしれえな！」</t>
    <phoneticPr fontId="5"/>
  </si>
  <si>
    <t>[effect:enemy_message, val1:1.4, val2:2.5],[effect:rush, count:2, val:0.8],[effect:virus, target:unit_one, turn:3, rate:1, val:0.35, animation:enemy_virus],[effect:virus, target:unit_one, turn:3, rate:1, val:0.35, animation:enemy_virus]</t>
    <phoneticPr fontId="5"/>
  </si>
  <si>
    <t>[effect:enemy_message, val1:1.4, val2:2.5],[effect:rush, count:2, val:0.8],[effect:virus, target:unit_one, turn:3, rate:1, val:0.2, animation:enemy_virus],[effect:virus, target:unit_one, turn:3, rate:1, val:0.2, animation:enemy_virus]</t>
    <phoneticPr fontId="5"/>
  </si>
  <si>
    <t>[effect:enemy_message, val1:1.8, val2:3.9],[effect:panel_freeze, target:normal, color:block_red, count:8],[effect:panel_freeze, target:normal, color:block_blue, count:8],[effect:virus, target:unit_one, turn:2, rate:1, val:0.6, animation:enemy_virus]</t>
    <phoneticPr fontId="5"/>
  </si>
  <si>
    <t>「ばらまいてやる！」</t>
    <phoneticPr fontId="5"/>
  </si>
  <si>
    <t>ハートパネルプロテクト(最大10個)</t>
    <phoneticPr fontId="5"/>
  </si>
  <si>
    <t>[effect:enemy_message, val1:1.2, val2:1.5],[effect:rush, count:1, val:0.8],[effect:panel_freeze, target:crash, count:2]</t>
    <phoneticPr fontId="5"/>
  </si>
  <si>
    <t>全パネルプロテクト+
4ターンタップ回数を1にする+
全ユニットの攻撃をカウンター</t>
    <rPh sb="0" eb="1">
      <t>ゼンパネルプロテクト</t>
    </rPh>
    <phoneticPr fontId="5"/>
  </si>
  <si>
    <t>1ターン全ユニットのアビリティ無効+
解除するまで全ユニットに強力なウィルス+
4ターン全ユニットの回復力50%DOWN</t>
    <rPh sb="25" eb="26">
      <t>ゼンユニ</t>
    </rPh>
    <rPh sb="31" eb="33">
      <t>キョウリョクナ</t>
    </rPh>
    <rPh sb="44" eb="45">
      <t>ゼンユニ</t>
    </rPh>
    <rPh sb="50" eb="53">
      <t>カイフクリョク</t>
    </rPh>
    <phoneticPr fontId="5"/>
  </si>
  <si>
    <t>[effect:enemy_message, val1:1.2, val2:5.5],[effect:ability_lock, target:unit_all, turn:1],[effect:virus, turn:-1, rate:1, val:0.28, animation:enemy_virus],[effect:degrade_unit, target:unit_all, turn:4, status:heal, val:0.5, calc:mul, animation:degrade_unit_all_heal]</t>
    <phoneticPr fontId="5"/>
  </si>
  <si>
    <t>1ターン全ユニットのアビリティ無効+
解除するまで全ユニットに強力なウィルス+
4ターン全ユニットの回復力50%DOWN</t>
    <rPh sb="25" eb="26">
      <t>ゼンユニット</t>
    </rPh>
    <rPh sb="31" eb="33">
      <t>キョウリョクナ</t>
    </rPh>
    <rPh sb="44" eb="45">
      <t>ゼンユニ</t>
    </rPh>
    <rPh sb="50" eb="53">
      <t>カイフクリョク</t>
    </rPh>
    <phoneticPr fontId="5"/>
  </si>
  <si>
    <t>[effect:enemy_message, val1:1.2, val2:5.0],[effect:ability_lock, target:unit_all, turn:1],[effect:virus, turn:-1, rate:1, val:0.25, animation:enemy_virus],[effect:degrade_unit, target:unit_all, turn:4, status:heal, val:0.5, calc:mul, animation:degrade_unit_all_heal]</t>
    <phoneticPr fontId="5"/>
  </si>
  <si>
    <t>[effect:enemy_message, val1:1.2, val2:1.7],[effect:damage_anti_abnormal, target:unit_one, target_effect01:virus, val1:1.2, val2:0.7]</t>
    <phoneticPr fontId="5"/>
  </si>
  <si>
    <t>バイオ・プロリフェレーション</t>
    <phoneticPr fontId="5"/>
  </si>
  <si>
    <t>[effect:enemy_message, val1:1.4, val2:2.5],[effect:spread, val:0.4],[effect:virus, turn:-1, rate:1, val:0.4, animation:enemy_virus]</t>
    <phoneticPr fontId="5"/>
  </si>
  <si>
    <t>[effect:enemy_message, val1:1.4, val2:1.5],[effect:spread, val:0.28],[effect:virus, turn:2, rate:1, val:0.15, animation:enemy_virus]</t>
    <phoneticPr fontId="5"/>
  </si>
  <si>
    <t>[effect:enemy_message, val1:1.2, val2:1.2],[effect:spread, val:0.33]</t>
    <phoneticPr fontId="5"/>
  </si>
  <si>
    <t>[effect:enemy_message, val1:1.2, val2:2.4],[effect:rush, count:1, val:0.74],[effect:panel_freeze, target:block_all, count:8]</t>
    <phoneticPr fontId="5"/>
  </si>
  <si>
    <t>[effect:enemy_message, val1:1.2, val2:3.9],[effect:fix_speed, target:myself, turn:1],[effect:panel_freeze, target:block_all, count:-1],[effect:degrade_unit, target:unit_all, turn:4, status:action, val:2, animation:enemy_tap_down],[effect:enemy_counter, target:myself, invoke_condition:unit_all, counter_target:attacker, turn:-1, val:0.45, animation:enemy_counter]</t>
    <phoneticPr fontId="5"/>
  </si>
  <si>
    <t>ウィルスハント</t>
    <phoneticPr fontId="5"/>
  </si>
  <si>
    <t>ウィルスピッチ</t>
    <phoneticPr fontId="5"/>
  </si>
  <si>
    <t>全体攻撃+
赤パネルプロテクト(最大10個)+
4ターンボムの爆風を20%DOWN</t>
    <rPh sb="0" eb="4">
      <t>ゼンタイコウゲキ</t>
    </rPh>
    <rPh sb="6" eb="7">
      <t>アカパネル</t>
    </rPh>
    <phoneticPr fontId="5"/>
  </si>
  <si>
    <t>[effect:enemy_message, val1:1.3, val2:3.9],[effect:spread, val:0.3],[effect:panel_freeze, target:normal, color:block_red, count:10],[effect:change_bomb_range, target:unit_all, val:0.8, rate:1, turn:4, animation:bomb_small]</t>
    <phoneticPr fontId="5"/>
  </si>
  <si>
    <t>全体攻撃+
赤パネルプロテクト+
4ターンボムの爆風を30%DOWN</t>
    <rPh sb="0" eb="4">
      <t>ゼンタイコウゲキ</t>
    </rPh>
    <rPh sb="6" eb="7">
      <t>アカパネル</t>
    </rPh>
    <phoneticPr fontId="5"/>
  </si>
  <si>
    <t>[effect:enemy_message, val1:1.3, val2:3.2],[effect:spread, val:0.3],[effect:panel_freeze, target:normal, color:block_red, count:-1],[effect:change_bomb_range, target:unit_all, val:0.7, rate:1, turn:4, animation:bomb_small]</t>
    <phoneticPr fontId="5"/>
  </si>
  <si>
    <t>このドキドキ、恋かしら☆</t>
    <rPh sb="7" eb="8">
      <t>コイカシラ</t>
    </rPh>
    <phoneticPr fontId="5"/>
  </si>
  <si>
    <t>[effect:enemy_message, val1:1.2, val2:1.2],[effect:panel_freeze, target:block_heart, count:-1]</t>
    <phoneticPr fontId="5"/>
  </si>
  <si>
    <t>[effect:enemy_message, val1:1.2, val2:1.8],[effect:panel_freeze, target:block_heart, count:10]</t>
    <phoneticPr fontId="5"/>
  </si>
  <si>
    <t>[effect:enemy_message, val1:1.4, val2:2.6],[effect:fix_speed, target:myself, turn:2],[effect:change_panel_ratio, turn:-1, block_type:red, val:0.6, animation:block_incidence04],[effect:enemy_counter, target:myself, invoke_condition:unit_all, counter_target:attacker, turn:-1, val:0.45, animation:enemy_counter]</t>
    <phoneticPr fontId="5"/>
  </si>
  <si>
    <t>[effect:enemy_message, val1:1.2, val2:2.6],[effect:fix_speed, target:myself, turn:2],[effect:change_panel_ratio, turn:-1, block_type:red, val:0.6, animation:block_incidence04],[effect:enemy_counter, target:myself, invoke_condition:unit_all, counter_target:attacker, turn:-1, val:0.45, animation:enemy_counter]</t>
    <phoneticPr fontId="5"/>
  </si>
  <si>
    <t>[effect:enemy_message, val1:2.1, val2:2.6],[effect:fix_speed, target:myself, turn:2],[effect:change_panel_ratio, turn:-1, block_type:red, val:0.6, animation:block_incidence04],[effect:enemy_counter, target:myself, invoke_condition:unit_all, counter_target:attacker, turn:-1, val:0.45, animation:enemy_counter]</t>
    <phoneticPr fontId="5"/>
  </si>
  <si>
    <t>[effect:enemy_message, val1:1.5, val2:2.6],[effect:fix_speed, target:myself, turn:2],[effect:change_panel_ratio, turn:-1, block_type:red, val:0.6, animation:block_incidence04],[effect:enemy_counter, target:myself, invoke_condition:unit_all, counter_target:attacker, turn:-1, val:0.45, animation:enemy_counter]</t>
    <phoneticPr fontId="5"/>
  </si>
  <si>
    <t>ランダムでパネルプロテクト(最大20個)+
1ターン全ユニットのアビリティ無効+
2ターン全ユニットに超強力なウィルス</t>
    <rPh sb="45" eb="46">
      <t>ゼンユニ</t>
    </rPh>
    <rPh sb="51" eb="54">
      <t>チョウキョウリョク</t>
    </rPh>
    <phoneticPr fontId="5"/>
  </si>
  <si>
    <t>ランダムでパネルプロテクト(最大20個)+
1ターン全ユニットのアビリティ無効+
2ターン全ユニットに強力なウィルス</t>
    <phoneticPr fontId="5"/>
  </si>
  <si>
    <t>[effect:enemy_message, val1:1.2, val2:5.3],[effect:ability_lock, target:unit_all, turn:1],[effect:virus, turn:2, rate:1, val:0.25, animation:enemy_virus],[effect:panel_freeze, target:block_all, count:20]</t>
    <phoneticPr fontId="5"/>
  </si>
  <si>
    <t>[effect:enemy_message, val1:1.2, val2:5.3],[effect:ability_lock, target:unit_all, turn:1],[effect:virus, turn:2, rate:1, val:0.4, animation:enemy_virus],[effect:panel_freeze, target:block_all, count:20]</t>
    <phoneticPr fontId="5"/>
  </si>
  <si>
    <t>[effect:enemy_message, val1:1.2, val2:1.4],[effect:virus, turn:2, rate:1, val:0.13, animation:enemy_virus]</t>
    <phoneticPr fontId="5"/>
  </si>
  <si>
    <t>[effect:enemy_message, val1:1.2, val2:1.4],[effect:virus, turn:2, rate:1, val:0.19, animation:enemy_virus]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</si>
</sst>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9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3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2" fillId="7" borderId="22" xfId="0" applyFont="1" applyFill="1" applyBorder="1" applyAlignment="1">
      <alignment vertical="center"/>
    </xf>
    <xf numFmtId="176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176" fontId="4" fillId="0" borderId="29" xfId="0" applyNumberFormat="1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12" fillId="7" borderId="33" xfId="0" applyFont="1" applyFill="1" applyBorder="1" applyAlignment="1">
      <alignment vertical="center"/>
    </xf>
    <xf numFmtId="176" fontId="4" fillId="0" borderId="34" xfId="0" applyNumberFormat="1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vertical="center"/>
    </xf>
    <xf numFmtId="0" fontId="6" fillId="0" borderId="35" xfId="0" applyFont="1" applyFill="1" applyBorder="1" applyAlignment="1">
      <alignment vertical="center"/>
    </xf>
    <xf numFmtId="0" fontId="4" fillId="0" borderId="35" xfId="0" applyFont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1" fontId="32" fillId="31" borderId="35" xfId="0" applyNumberFormat="1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3" borderId="35" xfId="0" applyFont="1" applyFill="1" applyBorder="1" applyAlignment="1">
      <alignment vertical="center"/>
    </xf>
    <xf numFmtId="0" fontId="4" fillId="0" borderId="35" xfId="0" applyFont="1" applyFill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176" fontId="4" fillId="0" borderId="38" xfId="0" applyNumberFormat="1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3" borderId="39" xfId="0" applyFont="1" applyFill="1" applyBorder="1" applyAlignment="1">
      <alignment horizontal="center" vertical="center"/>
    </xf>
    <xf numFmtId="0" fontId="6" fillId="0" borderId="39" xfId="0" applyFont="1" applyFill="1" applyBorder="1" applyAlignment="1">
      <alignment vertical="center"/>
    </xf>
    <xf numFmtId="0" fontId="4" fillId="0" borderId="39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1" fontId="32" fillId="31" borderId="39" xfId="0" applyNumberFormat="1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3" borderId="39" xfId="0" applyFont="1" applyFill="1" applyBorder="1" applyAlignment="1">
      <alignment vertical="center"/>
    </xf>
    <xf numFmtId="0" fontId="4" fillId="0" borderId="39" xfId="0" applyFont="1" applyFill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11" xfId="0" applyFont="1" applyFill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16" fillId="0" borderId="11" xfId="0" applyFont="1" applyFill="1" applyBorder="1" applyAlignment="1">
      <alignment horizontal="left" vertical="center"/>
    </xf>
    <xf numFmtId="0" fontId="16" fillId="0" borderId="11" xfId="0" applyFont="1" applyFill="1" applyBorder="1" applyAlignment="1">
      <alignment horizontal="left" vertical="center" wrapText="1"/>
    </xf>
    <xf numFmtId="0" fontId="16" fillId="3" borderId="11" xfId="0" applyFont="1" applyFill="1" applyBorder="1" applyAlignment="1">
      <alignment horizontal="left" vertical="center" wrapText="1"/>
    </xf>
    <xf numFmtId="0" fontId="16" fillId="3" borderId="11" xfId="0" applyFont="1" applyFill="1" applyBorder="1" applyAlignment="1">
      <alignment vertical="center"/>
    </xf>
    <xf numFmtId="14" fontId="16" fillId="0" borderId="11" xfId="0" applyNumberFormat="1" applyFont="1" applyFill="1" applyBorder="1" applyAlignment="1">
      <alignment horizontal="left" vertical="center"/>
    </xf>
    <xf numFmtId="0" fontId="16" fillId="32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vertical="center"/>
    </xf>
    <xf numFmtId="14" fontId="16" fillId="0" borderId="24" xfId="0" applyNumberFormat="1" applyFont="1" applyFill="1" applyBorder="1" applyAlignment="1">
      <alignment horizontal="left" vertical="center"/>
    </xf>
    <xf numFmtId="0" fontId="16" fillId="33" borderId="24" xfId="0" applyFont="1" applyFill="1" applyBorder="1" applyAlignment="1">
      <alignment vertical="center"/>
    </xf>
    <xf numFmtId="0" fontId="16" fillId="33" borderId="39" xfId="0" applyFont="1" applyFill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0" fontId="16" fillId="0" borderId="39" xfId="0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 wrapText="1"/>
    </xf>
    <xf numFmtId="0" fontId="16" fillId="3" borderId="39" xfId="0" applyFont="1" applyFill="1" applyBorder="1" applyAlignment="1">
      <alignment horizontal="left" vertical="center" wrapText="1"/>
    </xf>
    <xf numFmtId="0" fontId="16" fillId="3" borderId="39" xfId="0" applyFont="1" applyFill="1" applyBorder="1" applyAlignment="1">
      <alignment vertical="center"/>
    </xf>
    <xf numFmtId="14" fontId="16" fillId="0" borderId="39" xfId="0" applyNumberFormat="1" applyFont="1" applyFill="1" applyBorder="1" applyAlignment="1">
      <alignment horizontal="left" vertical="center"/>
    </xf>
    <xf numFmtId="0" fontId="16" fillId="33" borderId="7" xfId="0" applyFont="1" applyFill="1" applyBorder="1" applyAlignment="1">
      <alignment vertical="center"/>
    </xf>
    <xf numFmtId="0" fontId="16" fillId="33" borderId="11" xfId="0" applyFont="1" applyFill="1" applyBorder="1" applyAlignment="1">
      <alignment vertical="center"/>
    </xf>
    <xf numFmtId="0" fontId="16" fillId="34" borderId="11" xfId="0" applyFont="1" applyFill="1" applyBorder="1" applyAlignment="1">
      <alignment vertical="center"/>
    </xf>
    <xf numFmtId="0" fontId="16" fillId="34" borderId="24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6" borderId="11" xfId="0" applyFont="1" applyFill="1" applyBorder="1" applyAlignment="1">
      <alignment vertical="center"/>
    </xf>
    <xf numFmtId="0" fontId="16" fillId="6" borderId="24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4" fillId="7" borderId="22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11" xfId="0" applyFont="1" applyFill="1" applyBorder="1" applyAlignment="1">
      <alignment horizontal="left" vertical="center"/>
    </xf>
    <xf numFmtId="0" fontId="16" fillId="0" borderId="41" xfId="0" applyFont="1" applyFill="1" applyBorder="1" applyAlignment="1">
      <alignment horizontal="left" vertical="center" wrapText="1"/>
    </xf>
    <xf numFmtId="0" fontId="6" fillId="5" borderId="42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6" fillId="0" borderId="30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16" fillId="0" borderId="44" xfId="0" applyFont="1" applyFill="1" applyBorder="1" applyAlignment="1">
      <alignment vertical="center"/>
    </xf>
    <xf numFmtId="0" fontId="16" fillId="0" borderId="34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11" xfId="0" applyFont="1" applyFill="1" applyBorder="1"/>
    <xf numFmtId="0" fontId="28" fillId="0" borderId="11" xfId="0" applyFont="1" applyFill="1" applyBorder="1"/>
    <xf numFmtId="0" fontId="30" fillId="0" borderId="11" xfId="0" applyFont="1" applyFill="1" applyBorder="1"/>
    <xf numFmtId="0" fontId="30" fillId="30" borderId="11" xfId="0" applyFont="1" applyFill="1" applyBorder="1"/>
    <xf numFmtId="0" fontId="30" fillId="14" borderId="11" xfId="0" applyFont="1" applyFill="1" applyBorder="1"/>
    <xf numFmtId="0" fontId="0" fillId="0" borderId="11" xfId="0" applyBorder="1"/>
    <xf numFmtId="0" fontId="27" fillId="0" borderId="24" xfId="0" applyFont="1" applyFill="1" applyBorder="1"/>
    <xf numFmtId="0" fontId="28" fillId="0" borderId="24" xfId="0" applyFont="1" applyFill="1" applyBorder="1"/>
    <xf numFmtId="0" fontId="29" fillId="3" borderId="24" xfId="0" applyFont="1" applyFill="1" applyBorder="1" applyAlignment="1">
      <alignment vertical="center"/>
    </xf>
    <xf numFmtId="0" fontId="30" fillId="0" borderId="24" xfId="0" applyFont="1" applyFill="1" applyBorder="1"/>
    <xf numFmtId="0" fontId="29" fillId="0" borderId="24" xfId="0" applyFont="1" applyFill="1" applyBorder="1" applyAlignment="1">
      <alignment vertical="center"/>
    </xf>
    <xf numFmtId="0" fontId="30" fillId="30" borderId="24" xfId="0" applyFont="1" applyFill="1" applyBorder="1"/>
    <xf numFmtId="0" fontId="30" fillId="14" borderId="24" xfId="0" applyFont="1" applyFill="1" applyBorder="1"/>
    <xf numFmtId="0" fontId="31" fillId="0" borderId="24" xfId="0" applyFont="1" applyFill="1" applyBorder="1"/>
    <xf numFmtId="38" fontId="16" fillId="0" borderId="24" xfId="628" applyFont="1" applyFill="1" applyBorder="1" applyAlignment="1">
      <alignment wrapText="1"/>
    </xf>
    <xf numFmtId="0" fontId="0" fillId="0" borderId="24" xfId="0" applyBorder="1"/>
    <xf numFmtId="0" fontId="0" fillId="3" borderId="11" xfId="0" applyFill="1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47013</v>
          </cell>
        </row>
        <row r="282">
          <cell r="A282">
            <v>49001</v>
          </cell>
        </row>
        <row r="283">
          <cell r="A283">
            <v>49002</v>
          </cell>
        </row>
        <row r="284">
          <cell r="A284">
            <v>49003</v>
          </cell>
        </row>
        <row r="285">
          <cell r="A285">
            <v>49004</v>
          </cell>
        </row>
        <row r="286">
          <cell r="A286">
            <v>49005</v>
          </cell>
        </row>
        <row r="287">
          <cell r="A287">
            <v>49006</v>
          </cell>
        </row>
        <row r="288">
          <cell r="A288">
            <v>49007</v>
          </cell>
        </row>
        <row r="289">
          <cell r="A289">
            <v>49008</v>
          </cell>
        </row>
        <row r="290">
          <cell r="A290">
            <v>49009</v>
          </cell>
        </row>
        <row r="291">
          <cell r="A291">
            <v>49010</v>
          </cell>
        </row>
        <row r="292">
          <cell r="A292">
            <v>49011</v>
          </cell>
        </row>
        <row r="293">
          <cell r="A293">
            <v>49012</v>
          </cell>
        </row>
        <row r="294">
          <cell r="A294">
            <v>49013</v>
          </cell>
        </row>
        <row r="295">
          <cell r="A295">
            <v>49014</v>
          </cell>
        </row>
        <row r="296">
          <cell r="A296">
            <v>49015</v>
          </cell>
        </row>
        <row r="297">
          <cell r="A297">
            <v>50001</v>
          </cell>
        </row>
        <row r="298">
          <cell r="A298">
            <v>50002</v>
          </cell>
        </row>
        <row r="299">
          <cell r="A299">
            <v>50003</v>
          </cell>
        </row>
        <row r="300">
          <cell r="A300">
            <v>50004</v>
          </cell>
        </row>
        <row r="301">
          <cell r="A301">
            <v>50005</v>
          </cell>
        </row>
        <row r="302">
          <cell r="A302">
            <v>50006</v>
          </cell>
        </row>
        <row r="303">
          <cell r="A303">
            <v>50007</v>
          </cell>
        </row>
        <row r="304">
          <cell r="A304">
            <v>50008</v>
          </cell>
        </row>
        <row r="305">
          <cell r="A305">
            <v>50009</v>
          </cell>
        </row>
        <row r="306">
          <cell r="A306">
            <v>50010</v>
          </cell>
        </row>
        <row r="307">
          <cell r="A307">
            <v>50011</v>
          </cell>
        </row>
        <row r="308">
          <cell r="A308">
            <v>50012</v>
          </cell>
        </row>
        <row r="309">
          <cell r="A309">
            <v>50013</v>
          </cell>
        </row>
        <row r="310">
          <cell r="A310">
            <v>50014</v>
          </cell>
        </row>
        <row r="311">
          <cell r="A311">
            <v>50015</v>
          </cell>
        </row>
        <row r="312">
          <cell r="A312">
            <v>51001</v>
          </cell>
        </row>
        <row r="313">
          <cell r="A313">
            <v>51002</v>
          </cell>
        </row>
        <row r="314">
          <cell r="A314">
            <v>58001</v>
          </cell>
        </row>
        <row r="315">
          <cell r="A315">
            <v>59001</v>
          </cell>
        </row>
        <row r="316">
          <cell r="A316">
            <v>59002</v>
          </cell>
        </row>
        <row r="317">
          <cell r="A317">
            <v>60001</v>
          </cell>
        </row>
        <row r="318">
          <cell r="A318">
            <v>60002</v>
          </cell>
        </row>
        <row r="319">
          <cell r="A319">
            <v>60003</v>
          </cell>
        </row>
        <row r="320">
          <cell r="A320">
            <v>60004</v>
          </cell>
        </row>
        <row r="321">
          <cell r="A321">
            <v>60005</v>
          </cell>
        </row>
        <row r="322">
          <cell r="A322">
            <v>60006</v>
          </cell>
        </row>
        <row r="323">
          <cell r="A323">
            <v>60007</v>
          </cell>
        </row>
        <row r="324">
          <cell r="A324">
            <v>60010</v>
          </cell>
        </row>
        <row r="325">
          <cell r="A325">
            <v>60011</v>
          </cell>
        </row>
        <row r="326">
          <cell r="A326">
            <v>61011</v>
          </cell>
        </row>
        <row r="327">
          <cell r="A327">
            <v>60012</v>
          </cell>
        </row>
        <row r="328">
          <cell r="A328">
            <v>60013</v>
          </cell>
        </row>
        <row r="329">
          <cell r="A329">
            <v>60014</v>
          </cell>
        </row>
        <row r="330">
          <cell r="A330">
            <v>60015</v>
          </cell>
        </row>
        <row r="331">
          <cell r="A331">
            <v>60016</v>
          </cell>
        </row>
        <row r="332">
          <cell r="A332">
            <v>60017</v>
          </cell>
        </row>
        <row r="333">
          <cell r="A333">
            <v>60018</v>
          </cell>
        </row>
        <row r="334">
          <cell r="A334">
            <v>60019</v>
          </cell>
        </row>
        <row r="335">
          <cell r="A335">
            <v>60020</v>
          </cell>
        </row>
        <row r="336">
          <cell r="A336">
            <v>60025</v>
          </cell>
        </row>
        <row r="337">
          <cell r="A337">
            <v>60026</v>
          </cell>
        </row>
        <row r="338">
          <cell r="A338">
            <v>60027</v>
          </cell>
        </row>
        <row r="339">
          <cell r="A339">
            <v>60028</v>
          </cell>
        </row>
        <row r="340">
          <cell r="A340">
            <v>60029</v>
          </cell>
        </row>
        <row r="341">
          <cell r="A341">
            <v>65523</v>
          </cell>
        </row>
        <row r="342">
          <cell r="A342">
            <v>65524</v>
          </cell>
        </row>
        <row r="343">
          <cell r="A343">
            <v>65525</v>
          </cell>
        </row>
        <row r="344">
          <cell r="A344">
            <v>65526</v>
          </cell>
        </row>
        <row r="345">
          <cell r="A345">
            <v>65527</v>
          </cell>
        </row>
        <row r="346">
          <cell r="A346">
            <v>65528</v>
          </cell>
        </row>
        <row r="347">
          <cell r="A347">
            <v>65529</v>
          </cell>
        </row>
        <row r="348">
          <cell r="A348">
            <v>65530</v>
          </cell>
        </row>
        <row r="349">
          <cell r="A349">
            <v>65531</v>
          </cell>
        </row>
        <row r="350">
          <cell r="A350">
            <v>65532</v>
          </cell>
        </row>
        <row r="351">
          <cell r="A351">
            <v>65533</v>
          </cell>
        </row>
        <row r="352">
          <cell r="A352">
            <v>65534</v>
          </cell>
        </row>
        <row r="353">
          <cell r="A353">
            <v>65535</v>
          </cell>
        </row>
        <row r="354">
          <cell r="A354">
            <v>60021</v>
          </cell>
        </row>
        <row r="355">
          <cell r="A355">
            <v>60022</v>
          </cell>
        </row>
        <row r="356">
          <cell r="A356">
            <v>60023</v>
          </cell>
        </row>
        <row r="357">
          <cell r="A35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47013_1</v>
          </cell>
        </row>
        <row r="862">
          <cell r="A862" t="str">
            <v>47013_2</v>
          </cell>
        </row>
        <row r="863">
          <cell r="A863" t="str">
            <v>48001_1</v>
          </cell>
        </row>
        <row r="864">
          <cell r="A864" t="str">
            <v>48002_1</v>
          </cell>
        </row>
        <row r="865">
          <cell r="A865" t="str">
            <v>48002_2</v>
          </cell>
        </row>
        <row r="866">
          <cell r="A866" t="str">
            <v>48002_3</v>
          </cell>
        </row>
        <row r="867">
          <cell r="A867" t="str">
            <v>48003_1</v>
          </cell>
        </row>
        <row r="868">
          <cell r="A868" t="str">
            <v>48003_2</v>
          </cell>
        </row>
        <row r="869">
          <cell r="A869" t="str">
            <v>48004_1</v>
          </cell>
        </row>
        <row r="870">
          <cell r="A870" t="str">
            <v>48004_2</v>
          </cell>
        </row>
        <row r="871">
          <cell r="A871" t="str">
            <v>48005_1</v>
          </cell>
        </row>
        <row r="872">
          <cell r="A872" t="str">
            <v>48005_2</v>
          </cell>
        </row>
        <row r="873">
          <cell r="A873" t="str">
            <v>48006_1</v>
          </cell>
        </row>
        <row r="874">
          <cell r="A874" t="str">
            <v>48006_2</v>
          </cell>
        </row>
        <row r="875">
          <cell r="A875" t="str">
            <v>48007_1</v>
          </cell>
        </row>
        <row r="876">
          <cell r="A876" t="str">
            <v>48007_2</v>
          </cell>
        </row>
        <row r="877">
          <cell r="A877" t="str">
            <v>48008_1</v>
          </cell>
        </row>
        <row r="878">
          <cell r="A878" t="str">
            <v>48008_2</v>
          </cell>
        </row>
        <row r="879">
          <cell r="A879" t="str">
            <v>48009_1</v>
          </cell>
        </row>
        <row r="880">
          <cell r="A880" t="str">
            <v>48009_2</v>
          </cell>
        </row>
        <row r="881">
          <cell r="A881" t="str">
            <v>48010_1</v>
          </cell>
        </row>
        <row r="882">
          <cell r="A882" t="str">
            <v>48011_1</v>
          </cell>
        </row>
        <row r="883">
          <cell r="A883" t="str">
            <v>48011_2</v>
          </cell>
        </row>
        <row r="884">
          <cell r="A884" t="str">
            <v>48012_1</v>
          </cell>
        </row>
        <row r="885">
          <cell r="A885" t="str">
            <v>48012_2</v>
          </cell>
        </row>
        <row r="886">
          <cell r="A886" t="str">
            <v>48501_1</v>
          </cell>
        </row>
        <row r="887">
          <cell r="A887" t="str">
            <v>48501_2</v>
          </cell>
        </row>
        <row r="888">
          <cell r="A888" t="str">
            <v>48502_1</v>
          </cell>
        </row>
        <row r="889">
          <cell r="A889" t="str">
            <v>48502_2</v>
          </cell>
        </row>
        <row r="890">
          <cell r="A890" t="str">
            <v>48701_1</v>
          </cell>
        </row>
        <row r="891">
          <cell r="A891" t="str">
            <v>48701_2</v>
          </cell>
        </row>
        <row r="892">
          <cell r="A892" t="str">
            <v>48702_1</v>
          </cell>
        </row>
        <row r="893">
          <cell r="A893" t="str">
            <v>48702_2</v>
          </cell>
        </row>
        <row r="894">
          <cell r="A894" t="str">
            <v>49001_1</v>
          </cell>
        </row>
        <row r="895">
          <cell r="A895" t="str">
            <v>49002_1</v>
          </cell>
        </row>
        <row r="896">
          <cell r="A896" t="str">
            <v>49002_2</v>
          </cell>
        </row>
        <row r="897">
          <cell r="A897" t="str">
            <v>49003_1</v>
          </cell>
        </row>
        <row r="898">
          <cell r="A898" t="str">
            <v>49003_2</v>
          </cell>
        </row>
        <row r="899">
          <cell r="A899" t="str">
            <v>49004_1</v>
          </cell>
        </row>
        <row r="900">
          <cell r="A900" t="str">
            <v>49004_2</v>
          </cell>
        </row>
        <row r="901">
          <cell r="A901" t="str">
            <v>49004_3</v>
          </cell>
        </row>
        <row r="902">
          <cell r="A902" t="str">
            <v>49005_1</v>
          </cell>
        </row>
        <row r="903">
          <cell r="A903" t="str">
            <v>49006_1</v>
          </cell>
        </row>
        <row r="904">
          <cell r="A904" t="str">
            <v>49006_2</v>
          </cell>
        </row>
        <row r="905">
          <cell r="A905" t="str">
            <v>49007_1</v>
          </cell>
        </row>
        <row r="906">
          <cell r="A906" t="str">
            <v>49007_2</v>
          </cell>
        </row>
        <row r="907">
          <cell r="A907" t="str">
            <v>49007_3</v>
          </cell>
        </row>
        <row r="908">
          <cell r="A908" t="str">
            <v>49008_1</v>
          </cell>
        </row>
        <row r="909">
          <cell r="A909" t="str">
            <v>49009_1</v>
          </cell>
        </row>
        <row r="910">
          <cell r="A910" t="str">
            <v>49010_1</v>
          </cell>
        </row>
        <row r="911">
          <cell r="A911" t="str">
            <v>49011_1</v>
          </cell>
        </row>
        <row r="912">
          <cell r="A912" t="str">
            <v>49012_1</v>
          </cell>
        </row>
        <row r="913">
          <cell r="A913" t="str">
            <v>49013_1</v>
          </cell>
        </row>
        <row r="914">
          <cell r="A914" t="str">
            <v>49014_1</v>
          </cell>
        </row>
        <row r="915">
          <cell r="A915" t="str">
            <v>49014_2</v>
          </cell>
        </row>
        <row r="916">
          <cell r="A916" t="str">
            <v>49015_1</v>
          </cell>
        </row>
        <row r="917">
          <cell r="A917" t="str">
            <v>49015_2</v>
          </cell>
        </row>
        <row r="918">
          <cell r="A918" t="str">
            <v>49015_3</v>
          </cell>
        </row>
        <row r="919">
          <cell r="A919" t="str">
            <v>50001_1</v>
          </cell>
        </row>
        <row r="920">
          <cell r="A920" t="str">
            <v>50002_1</v>
          </cell>
        </row>
        <row r="921">
          <cell r="A921" t="str">
            <v>50003_1</v>
          </cell>
        </row>
        <row r="922">
          <cell r="A922" t="str">
            <v>50004_1</v>
          </cell>
        </row>
        <row r="923">
          <cell r="A923" t="str">
            <v>50005_1</v>
          </cell>
        </row>
        <row r="924">
          <cell r="A924" t="str">
            <v>50006_1</v>
          </cell>
        </row>
        <row r="925">
          <cell r="A925" t="str">
            <v>50007_1</v>
          </cell>
        </row>
        <row r="926">
          <cell r="A926" t="str">
            <v>50008_1</v>
          </cell>
        </row>
        <row r="927">
          <cell r="A927" t="str">
            <v>50009_1</v>
          </cell>
        </row>
        <row r="928">
          <cell r="A928" t="str">
            <v>50010_1</v>
          </cell>
        </row>
        <row r="929">
          <cell r="A929" t="str">
            <v>50011_1</v>
          </cell>
        </row>
        <row r="930">
          <cell r="A930" t="str">
            <v>50012_1</v>
          </cell>
        </row>
        <row r="931">
          <cell r="A931" t="str">
            <v>50013_1</v>
          </cell>
        </row>
        <row r="932">
          <cell r="A932" t="str">
            <v>50014_1</v>
          </cell>
        </row>
        <row r="933">
          <cell r="A933" t="str">
            <v>50015_1</v>
          </cell>
        </row>
        <row r="934">
          <cell r="A934" t="str">
            <v>51001_1</v>
          </cell>
        </row>
        <row r="935">
          <cell r="A935" t="str">
            <v>51002_1</v>
          </cell>
        </row>
        <row r="936">
          <cell r="A936" t="str">
            <v>58001_1</v>
          </cell>
        </row>
        <row r="937">
          <cell r="A937" t="str">
            <v>59001_1</v>
          </cell>
        </row>
        <row r="938">
          <cell r="A938" t="str">
            <v>59002_1</v>
          </cell>
        </row>
        <row r="939">
          <cell r="A939" t="str">
            <v>60001_1</v>
          </cell>
        </row>
        <row r="940">
          <cell r="A940" t="str">
            <v>60002_1</v>
          </cell>
        </row>
        <row r="941">
          <cell r="A941" t="str">
            <v>60002_2</v>
          </cell>
        </row>
        <row r="942">
          <cell r="A942" t="str">
            <v>60003_1</v>
          </cell>
        </row>
        <row r="943">
          <cell r="A943" t="str">
            <v>60003_2</v>
          </cell>
        </row>
        <row r="944">
          <cell r="A944" t="str">
            <v>60003_3</v>
          </cell>
        </row>
        <row r="945">
          <cell r="A945" t="str">
            <v>60004_1</v>
          </cell>
        </row>
        <row r="946">
          <cell r="A946" t="str">
            <v>60005_1</v>
          </cell>
        </row>
        <row r="947">
          <cell r="A947" t="str">
            <v>60006_1</v>
          </cell>
        </row>
        <row r="948">
          <cell r="A948" t="str">
            <v>60006_2</v>
          </cell>
        </row>
        <row r="949">
          <cell r="A949" t="str">
            <v>60006_3</v>
          </cell>
        </row>
        <row r="950">
          <cell r="A950" t="str">
            <v>60007_1</v>
          </cell>
        </row>
        <row r="951">
          <cell r="A951" t="str">
            <v>60007_2</v>
          </cell>
        </row>
        <row r="952">
          <cell r="A952" t="str">
            <v>60007_3</v>
          </cell>
        </row>
        <row r="953">
          <cell r="A953" t="str">
            <v>60010_1</v>
          </cell>
        </row>
        <row r="954">
          <cell r="A954" t="str">
            <v>60011_1</v>
          </cell>
        </row>
        <row r="955">
          <cell r="A955" t="str">
            <v>60011_2</v>
          </cell>
        </row>
        <row r="956">
          <cell r="A956" t="str">
            <v>60012_1</v>
          </cell>
        </row>
        <row r="957">
          <cell r="A957" t="str">
            <v>60013_1</v>
          </cell>
        </row>
        <row r="958">
          <cell r="A958" t="str">
            <v>60013_2</v>
          </cell>
        </row>
        <row r="959">
          <cell r="A959" t="str">
            <v>60013_3</v>
          </cell>
        </row>
        <row r="960">
          <cell r="A960" t="str">
            <v>60014_1</v>
          </cell>
        </row>
        <row r="961">
          <cell r="A961" t="str">
            <v>60015_1</v>
          </cell>
        </row>
        <row r="962">
          <cell r="A962" t="str">
            <v>60016_1</v>
          </cell>
        </row>
        <row r="963">
          <cell r="A963" t="str">
            <v>60017_1</v>
          </cell>
        </row>
        <row r="964">
          <cell r="A964" t="str">
            <v>60018_1</v>
          </cell>
        </row>
        <row r="965">
          <cell r="A965" t="str">
            <v>60019_1</v>
          </cell>
        </row>
        <row r="966">
          <cell r="A966" t="str">
            <v>60020_1</v>
          </cell>
        </row>
        <row r="967">
          <cell r="A967" t="str">
            <v>60021_3</v>
          </cell>
        </row>
        <row r="968">
          <cell r="A968" t="str">
            <v>60022_3</v>
          </cell>
        </row>
        <row r="969">
          <cell r="A969" t="str">
            <v>60023_3</v>
          </cell>
        </row>
        <row r="970">
          <cell r="A970" t="str">
            <v>60024_3</v>
          </cell>
        </row>
        <row r="971">
          <cell r="A971" t="str">
            <v>60025_1</v>
          </cell>
        </row>
        <row r="972">
          <cell r="A972" t="str">
            <v>60026_1</v>
          </cell>
        </row>
        <row r="973">
          <cell r="A973" t="str">
            <v>61011_1</v>
          </cell>
        </row>
        <row r="974">
          <cell r="A974" t="str">
            <v>60027_1</v>
          </cell>
        </row>
        <row r="975">
          <cell r="A975" t="str">
            <v>60028_1</v>
          </cell>
        </row>
        <row r="976">
          <cell r="A976" t="str">
            <v>60029_1</v>
          </cell>
        </row>
        <row r="977">
          <cell r="A977" t="str">
            <v>65523_1</v>
          </cell>
        </row>
        <row r="978">
          <cell r="A978" t="str">
            <v>65523_2</v>
          </cell>
        </row>
        <row r="979">
          <cell r="A979" t="str">
            <v>65523_3</v>
          </cell>
        </row>
        <row r="980">
          <cell r="A980" t="str">
            <v>65524_1</v>
          </cell>
        </row>
        <row r="981">
          <cell r="A981" t="str">
            <v>65524_2</v>
          </cell>
        </row>
        <row r="982">
          <cell r="A982" t="str">
            <v>65525_1</v>
          </cell>
        </row>
        <row r="983">
          <cell r="A983" t="str">
            <v>65526_1</v>
          </cell>
        </row>
        <row r="984">
          <cell r="A984" t="str">
            <v>65526_2</v>
          </cell>
        </row>
        <row r="985">
          <cell r="A985" t="str">
            <v>65527_1</v>
          </cell>
        </row>
        <row r="986">
          <cell r="A986" t="str">
            <v>65528_1</v>
          </cell>
        </row>
        <row r="987">
          <cell r="A987" t="str">
            <v>65529_1</v>
          </cell>
        </row>
        <row r="988">
          <cell r="A988" t="str">
            <v>65530_1</v>
          </cell>
        </row>
        <row r="989">
          <cell r="A989" t="str">
            <v>65531_1</v>
          </cell>
        </row>
        <row r="990">
          <cell r="A990" t="str">
            <v>65531_2</v>
          </cell>
        </row>
        <row r="991">
          <cell r="A991" t="str">
            <v>65532_1</v>
          </cell>
        </row>
        <row r="992">
          <cell r="A992" t="str">
            <v>65532_2</v>
          </cell>
        </row>
        <row r="993">
          <cell r="A993" t="str">
            <v>65533_1</v>
          </cell>
        </row>
        <row r="994">
          <cell r="A994" t="str">
            <v>65533_2</v>
          </cell>
        </row>
        <row r="995">
          <cell r="A995" t="str">
            <v>65534_1</v>
          </cell>
        </row>
        <row r="996">
          <cell r="A996" t="str">
            <v>65534_2</v>
          </cell>
        </row>
        <row r="997">
          <cell r="A997" t="str">
            <v>65535_1</v>
          </cell>
        </row>
        <row r="998">
          <cell r="A998" t="str">
            <v>65535_2</v>
          </cell>
        </row>
        <row r="999">
          <cell r="A999" t="str">
            <v>65535_3</v>
          </cell>
        </row>
        <row r="1000">
          <cell r="A1000" t="str">
            <v>65535_4</v>
          </cell>
        </row>
        <row r="1001">
          <cell r="A1001" t="str">
            <v>65535_5</v>
          </cell>
        </row>
        <row r="1002">
          <cell r="A1002" t="str">
            <v>65535_6</v>
          </cell>
        </row>
        <row r="1003">
          <cell r="A1003" t="str">
            <v>65535_7</v>
          </cell>
        </row>
        <row r="1004">
          <cell r="A1004" t="str">
            <v>65535_8</v>
          </cell>
        </row>
        <row r="1005">
          <cell r="A1005" t="str">
            <v>65535_9</v>
          </cell>
        </row>
        <row r="1006">
          <cell r="A100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1490</v>
          </cell>
        </row>
        <row r="1448">
          <cell r="A1448">
            <v>1491</v>
          </cell>
        </row>
        <row r="1449">
          <cell r="A1449">
            <v>1495</v>
          </cell>
        </row>
        <row r="1450">
          <cell r="A1450">
            <v>1496</v>
          </cell>
        </row>
        <row r="1451">
          <cell r="A1451">
            <v>1497</v>
          </cell>
        </row>
        <row r="1452">
          <cell r="A1452">
            <v>1498</v>
          </cell>
        </row>
        <row r="1453">
          <cell r="A1453">
            <v>1499</v>
          </cell>
        </row>
        <row r="1454">
          <cell r="A1454">
            <v>1500</v>
          </cell>
        </row>
        <row r="1455">
          <cell r="A1455">
            <v>1501</v>
          </cell>
        </row>
        <row r="1456">
          <cell r="A1456">
            <v>1502</v>
          </cell>
        </row>
        <row r="1457">
          <cell r="A1457">
            <v>1503</v>
          </cell>
        </row>
        <row r="1458">
          <cell r="A1458">
            <v>1504</v>
          </cell>
        </row>
        <row r="1459">
          <cell r="A1459">
            <v>1505</v>
          </cell>
        </row>
        <row r="1460">
          <cell r="A1460">
            <v>1506</v>
          </cell>
        </row>
        <row r="1461">
          <cell r="A1461">
            <v>1507</v>
          </cell>
        </row>
        <row r="1462">
          <cell r="A1462">
            <v>1508</v>
          </cell>
        </row>
        <row r="1463">
          <cell r="A1463">
            <v>1509</v>
          </cell>
        </row>
        <row r="1464">
          <cell r="A1464">
            <v>1510</v>
          </cell>
        </row>
        <row r="1465">
          <cell r="A1465">
            <v>1511</v>
          </cell>
        </row>
        <row r="1466">
          <cell r="A1466">
            <v>1512</v>
          </cell>
        </row>
        <row r="1467">
          <cell r="A1467">
            <v>1513</v>
          </cell>
        </row>
        <row r="1468">
          <cell r="A1468">
            <v>1514</v>
          </cell>
        </row>
        <row r="1469">
          <cell r="A1469">
            <v>1515</v>
          </cell>
        </row>
        <row r="1470">
          <cell r="A1470">
            <v>1516</v>
          </cell>
        </row>
        <row r="1471">
          <cell r="A1471">
            <v>1517</v>
          </cell>
        </row>
        <row r="1472">
          <cell r="A1472">
            <v>1518</v>
          </cell>
        </row>
        <row r="1473">
          <cell r="A1473">
            <v>1519</v>
          </cell>
        </row>
        <row r="1474">
          <cell r="A1474">
            <v>1520</v>
          </cell>
        </row>
        <row r="1475">
          <cell r="A1475">
            <v>1521</v>
          </cell>
        </row>
        <row r="1476">
          <cell r="A1476">
            <v>1522</v>
          </cell>
        </row>
        <row r="1477">
          <cell r="A1477">
            <v>1523</v>
          </cell>
        </row>
        <row r="1478">
          <cell r="A1478">
            <v>1524</v>
          </cell>
        </row>
        <row r="1479">
          <cell r="A1479">
            <v>1525</v>
          </cell>
        </row>
        <row r="1480">
          <cell r="A1480">
            <v>1526</v>
          </cell>
        </row>
        <row r="1481">
          <cell r="A1481">
            <v>1527</v>
          </cell>
        </row>
        <row r="1482">
          <cell r="A1482">
            <v>1528</v>
          </cell>
        </row>
        <row r="1483">
          <cell r="A1483">
            <v>1529</v>
          </cell>
        </row>
        <row r="1484">
          <cell r="A1484">
            <v>1530</v>
          </cell>
        </row>
        <row r="1485">
          <cell r="A1485">
            <v>1531</v>
          </cell>
        </row>
        <row r="1486">
          <cell r="A1486">
            <v>1532</v>
          </cell>
        </row>
        <row r="1487">
          <cell r="A1487">
            <v>1533</v>
          </cell>
        </row>
        <row r="1488">
          <cell r="A1488">
            <v>1534</v>
          </cell>
        </row>
        <row r="1489">
          <cell r="A1489">
            <v>1535</v>
          </cell>
        </row>
        <row r="1490">
          <cell r="A1490">
            <v>1536</v>
          </cell>
        </row>
        <row r="1491">
          <cell r="A1491">
            <v>1537</v>
          </cell>
        </row>
        <row r="1492">
          <cell r="A1492">
            <v>1538</v>
          </cell>
        </row>
        <row r="1493">
          <cell r="A1493">
            <v>1539</v>
          </cell>
        </row>
        <row r="1494">
          <cell r="A1494">
            <v>1540</v>
          </cell>
        </row>
        <row r="1495">
          <cell r="A1495">
            <v>1541</v>
          </cell>
        </row>
        <row r="1496">
          <cell r="A1496">
            <v>1542</v>
          </cell>
        </row>
        <row r="1497">
          <cell r="A1497">
            <v>1543</v>
          </cell>
        </row>
        <row r="1498">
          <cell r="A1498">
            <v>1544</v>
          </cell>
        </row>
        <row r="1499">
          <cell r="A1499">
            <v>1545</v>
          </cell>
        </row>
        <row r="1500">
          <cell r="A1500">
            <v>1546</v>
          </cell>
        </row>
        <row r="1501">
          <cell r="A1501">
            <v>1547</v>
          </cell>
        </row>
        <row r="1502">
          <cell r="A1502">
            <v>1548</v>
          </cell>
        </row>
        <row r="1503">
          <cell r="A1503">
            <v>1549</v>
          </cell>
        </row>
        <row r="1504">
          <cell r="A1504">
            <v>1550</v>
          </cell>
        </row>
        <row r="1505">
          <cell r="A1505">
            <v>1551</v>
          </cell>
        </row>
        <row r="1506">
          <cell r="A1506">
            <v>1552</v>
          </cell>
        </row>
        <row r="1507">
          <cell r="A1507">
            <v>1553</v>
          </cell>
        </row>
        <row r="1508">
          <cell r="A1508">
            <v>1554</v>
          </cell>
        </row>
        <row r="1509">
          <cell r="A1509">
            <v>1555</v>
          </cell>
        </row>
        <row r="1510">
          <cell r="A1510">
            <v>1556</v>
          </cell>
        </row>
        <row r="1511">
          <cell r="A1511">
            <v>1557</v>
          </cell>
        </row>
        <row r="1512">
          <cell r="A1512">
            <v>1558</v>
          </cell>
        </row>
        <row r="1513">
          <cell r="A1513">
            <v>1559</v>
          </cell>
        </row>
        <row r="1514">
          <cell r="A1514">
            <v>1560</v>
          </cell>
        </row>
        <row r="1515">
          <cell r="A1515">
            <v>1561</v>
          </cell>
        </row>
        <row r="1516">
          <cell r="A1516">
            <v>1562</v>
          </cell>
        </row>
        <row r="1517">
          <cell r="A1517">
            <v>1563</v>
          </cell>
        </row>
        <row r="1518">
          <cell r="A1518">
            <v>1564</v>
          </cell>
        </row>
        <row r="1519">
          <cell r="A1519">
            <v>1565</v>
          </cell>
        </row>
        <row r="1520">
          <cell r="A1520">
            <v>1566</v>
          </cell>
        </row>
        <row r="1521">
          <cell r="A1521">
            <v>1567</v>
          </cell>
        </row>
        <row r="1522">
          <cell r="A1522">
            <v>1568</v>
          </cell>
        </row>
        <row r="1523">
          <cell r="A1523">
            <v>1569</v>
          </cell>
        </row>
        <row r="1524">
          <cell r="A1524">
            <v>1570</v>
          </cell>
        </row>
        <row r="1525">
          <cell r="A1525">
            <v>1571</v>
          </cell>
        </row>
        <row r="1526">
          <cell r="A1526">
            <v>1572</v>
          </cell>
        </row>
        <row r="1527">
          <cell r="A1527">
            <v>1573</v>
          </cell>
        </row>
        <row r="1528">
          <cell r="A1528">
            <v>1574</v>
          </cell>
        </row>
        <row r="1529">
          <cell r="A1529">
            <v>1575</v>
          </cell>
        </row>
        <row r="1530">
          <cell r="A1530">
            <v>1576</v>
          </cell>
        </row>
        <row r="1531">
          <cell r="A1531">
            <v>1577</v>
          </cell>
        </row>
        <row r="1532">
          <cell r="A1532">
            <v>1578</v>
          </cell>
        </row>
        <row r="1533">
          <cell r="A1533">
            <v>1579</v>
          </cell>
        </row>
        <row r="1534">
          <cell r="A1534">
            <v>1580</v>
          </cell>
        </row>
        <row r="1535">
          <cell r="A1535">
            <v>1581</v>
          </cell>
        </row>
        <row r="1536">
          <cell r="A1536">
            <v>1582</v>
          </cell>
        </row>
        <row r="1537">
          <cell r="A1537">
            <v>1583</v>
          </cell>
        </row>
        <row r="1538">
          <cell r="A1538">
            <v>1584</v>
          </cell>
        </row>
        <row r="1539">
          <cell r="A1539">
            <v>1585</v>
          </cell>
        </row>
        <row r="1540">
          <cell r="A1540">
            <v>1586</v>
          </cell>
        </row>
        <row r="1541">
          <cell r="A1541">
            <v>1587</v>
          </cell>
        </row>
        <row r="1542">
          <cell r="A1542">
            <v>1588</v>
          </cell>
        </row>
        <row r="1543">
          <cell r="A1543">
            <v>1613</v>
          </cell>
        </row>
        <row r="1544">
          <cell r="A1544">
            <v>1614</v>
          </cell>
        </row>
        <row r="1545">
          <cell r="A1545">
            <v>5001</v>
          </cell>
        </row>
        <row r="1546">
          <cell r="A1546">
            <v>5002</v>
          </cell>
        </row>
        <row r="1547">
          <cell r="A1547">
            <v>5003</v>
          </cell>
        </row>
        <row r="1548">
          <cell r="A1548">
            <v>5004</v>
          </cell>
        </row>
        <row r="1549">
          <cell r="A1549">
            <v>5005</v>
          </cell>
        </row>
        <row r="1550">
          <cell r="A1550">
            <v>5006</v>
          </cell>
        </row>
        <row r="1551">
          <cell r="A1551">
            <v>5007</v>
          </cell>
        </row>
        <row r="1552">
          <cell r="A1552">
            <v>5008</v>
          </cell>
        </row>
        <row r="1553">
          <cell r="A1553">
            <v>6001</v>
          </cell>
        </row>
        <row r="1554">
          <cell r="A1554">
            <v>6002</v>
          </cell>
        </row>
        <row r="1555">
          <cell r="A1555">
            <v>6003</v>
          </cell>
        </row>
        <row r="1556">
          <cell r="A1556">
            <v>6004</v>
          </cell>
        </row>
        <row r="1557">
          <cell r="A1557">
            <v>6005</v>
          </cell>
        </row>
        <row r="1558">
          <cell r="A1558">
            <v>6006</v>
          </cell>
        </row>
        <row r="1559">
          <cell r="A1559">
            <v>6007</v>
          </cell>
        </row>
        <row r="1560">
          <cell r="A1560">
            <v>6008</v>
          </cell>
        </row>
        <row r="1561">
          <cell r="A1561">
            <v>6009</v>
          </cell>
        </row>
        <row r="1562">
          <cell r="A1562">
            <v>6010</v>
          </cell>
        </row>
        <row r="1563">
          <cell r="A1563">
            <v>6011</v>
          </cell>
        </row>
        <row r="1564">
          <cell r="A1564">
            <v>6012</v>
          </cell>
        </row>
        <row r="1565">
          <cell r="A1565">
            <v>6013</v>
          </cell>
        </row>
        <row r="1566">
          <cell r="A1566">
            <v>6014</v>
          </cell>
        </row>
        <row r="1567">
          <cell r="A1567">
            <v>6015</v>
          </cell>
        </row>
        <row r="1568">
          <cell r="A1568">
            <v>6016</v>
          </cell>
        </row>
        <row r="1569">
          <cell r="A1569">
            <v>6017</v>
          </cell>
        </row>
        <row r="1570">
          <cell r="A1570">
            <v>6018</v>
          </cell>
        </row>
        <row r="1571">
          <cell r="A1571">
            <v>6019</v>
          </cell>
        </row>
        <row r="1572">
          <cell r="A1572">
            <v>6020</v>
          </cell>
        </row>
        <row r="1573">
          <cell r="A1573">
            <v>8001</v>
          </cell>
        </row>
        <row r="1574">
          <cell r="A1574">
            <v>8002</v>
          </cell>
        </row>
        <row r="1575">
          <cell r="A1575">
            <v>8003</v>
          </cell>
        </row>
        <row r="1576">
          <cell r="A1576">
            <v>8004</v>
          </cell>
        </row>
        <row r="1577">
          <cell r="A1577">
            <v>8005</v>
          </cell>
        </row>
        <row r="1578">
          <cell r="A1578">
            <v>8006</v>
          </cell>
        </row>
        <row r="1579">
          <cell r="A1579">
            <v>8007</v>
          </cell>
        </row>
        <row r="1580">
          <cell r="A1580">
            <v>8008</v>
          </cell>
        </row>
        <row r="1581">
          <cell r="A1581">
            <v>8009</v>
          </cell>
        </row>
        <row r="1582">
          <cell r="A1582">
            <v>8010</v>
          </cell>
        </row>
        <row r="1583">
          <cell r="A1583">
            <v>8011</v>
          </cell>
        </row>
        <row r="1584">
          <cell r="A1584">
            <v>8012</v>
          </cell>
        </row>
        <row r="1585">
          <cell r="A1585">
            <v>8013</v>
          </cell>
        </row>
        <row r="1586">
          <cell r="A1586">
            <v>8014</v>
          </cell>
        </row>
        <row r="1587">
          <cell r="A1587">
            <v>8015</v>
          </cell>
        </row>
        <row r="1588">
          <cell r="A1588">
            <v>8016</v>
          </cell>
        </row>
        <row r="1589">
          <cell r="A1589">
            <v>8017</v>
          </cell>
        </row>
        <row r="1590">
          <cell r="A1590">
            <v>8018</v>
          </cell>
        </row>
        <row r="1591">
          <cell r="A1591">
            <v>8019</v>
          </cell>
        </row>
        <row r="1592">
          <cell r="A1592">
            <v>8020</v>
          </cell>
        </row>
        <row r="1593">
          <cell r="A1593">
            <v>8021</v>
          </cell>
        </row>
        <row r="1594">
          <cell r="A1594">
            <v>8022</v>
          </cell>
        </row>
        <row r="1595">
          <cell r="A1595">
            <v>8023</v>
          </cell>
        </row>
        <row r="1596">
          <cell r="A1596">
            <v>8024</v>
          </cell>
        </row>
        <row r="1597">
          <cell r="A1597">
            <v>8025</v>
          </cell>
        </row>
        <row r="1598">
          <cell r="A1598">
            <v>8026</v>
          </cell>
        </row>
        <row r="1599">
          <cell r="A1599">
            <v>8027</v>
          </cell>
        </row>
        <row r="1600">
          <cell r="A1600">
            <v>8028</v>
          </cell>
        </row>
        <row r="1601">
          <cell r="A1601">
            <v>8029</v>
          </cell>
        </row>
        <row r="1602">
          <cell r="A1602">
            <v>8030</v>
          </cell>
        </row>
        <row r="1603">
          <cell r="A1603">
            <v>8031</v>
          </cell>
        </row>
        <row r="1604">
          <cell r="A1604">
            <v>8032</v>
          </cell>
        </row>
        <row r="1605">
          <cell r="A1605">
            <v>8033</v>
          </cell>
        </row>
        <row r="1606">
          <cell r="A1606">
            <v>8034</v>
          </cell>
        </row>
        <row r="1607">
          <cell r="A1607">
            <v>8035</v>
          </cell>
        </row>
        <row r="1608">
          <cell r="A1608">
            <v>8036</v>
          </cell>
        </row>
        <row r="1609">
          <cell r="A1609">
            <v>8037</v>
          </cell>
        </row>
        <row r="1610">
          <cell r="A1610">
            <v>8038</v>
          </cell>
        </row>
        <row r="1611">
          <cell r="A1611">
            <v>8039</v>
          </cell>
        </row>
        <row r="1612">
          <cell r="A1612">
            <v>8040</v>
          </cell>
        </row>
        <row r="1613">
          <cell r="A1613">
            <v>8041</v>
          </cell>
        </row>
        <row r="1614">
          <cell r="A1614">
            <v>8042</v>
          </cell>
        </row>
        <row r="1615">
          <cell r="A1615">
            <v>8043</v>
          </cell>
        </row>
        <row r="1616">
          <cell r="A1616">
            <v>8044</v>
          </cell>
        </row>
        <row r="1617">
          <cell r="A1617">
            <v>8045</v>
          </cell>
        </row>
        <row r="1618">
          <cell r="A1618">
            <v>8046</v>
          </cell>
        </row>
        <row r="1619">
          <cell r="A1619">
            <v>8047</v>
          </cell>
        </row>
        <row r="1620">
          <cell r="A1620">
            <v>8048</v>
          </cell>
        </row>
        <row r="1621">
          <cell r="A1621">
            <v>8049</v>
          </cell>
        </row>
        <row r="1622">
          <cell r="A1622">
            <v>8050</v>
          </cell>
        </row>
        <row r="1623">
          <cell r="A1623">
            <v>8051</v>
          </cell>
        </row>
        <row r="1624">
          <cell r="A1624">
            <v>8052</v>
          </cell>
        </row>
        <row r="1625">
          <cell r="A1625">
            <v>8053</v>
          </cell>
        </row>
        <row r="1626">
          <cell r="A1626">
            <v>8054</v>
          </cell>
        </row>
        <row r="1627">
          <cell r="A1627">
            <v>8055</v>
          </cell>
        </row>
        <row r="1628">
          <cell r="A1628">
            <v>8056</v>
          </cell>
        </row>
        <row r="1629">
          <cell r="A1629">
            <v>8057</v>
          </cell>
        </row>
        <row r="1630">
          <cell r="A1630">
            <v>8058</v>
          </cell>
        </row>
        <row r="1631">
          <cell r="A1631">
            <v>8059</v>
          </cell>
        </row>
        <row r="1632">
          <cell r="A1632">
            <v>8060</v>
          </cell>
        </row>
        <row r="1633">
          <cell r="A1633">
            <v>8061</v>
          </cell>
        </row>
        <row r="1634">
          <cell r="A1634">
            <v>8062</v>
          </cell>
        </row>
        <row r="1635">
          <cell r="A1635">
            <v>8063</v>
          </cell>
        </row>
        <row r="1636">
          <cell r="A1636">
            <v>8064</v>
          </cell>
        </row>
        <row r="1637">
          <cell r="A1637">
            <v>8065</v>
          </cell>
        </row>
        <row r="1638">
          <cell r="A1638">
            <v>8066</v>
          </cell>
        </row>
        <row r="1639">
          <cell r="A1639">
            <v>8067</v>
          </cell>
        </row>
        <row r="1640">
          <cell r="A1640">
            <v>8068</v>
          </cell>
        </row>
        <row r="1641">
          <cell r="A1641">
            <v>8069</v>
          </cell>
        </row>
        <row r="1642">
          <cell r="A1642">
            <v>8070</v>
          </cell>
        </row>
        <row r="1643">
          <cell r="A1643">
            <v>8071</v>
          </cell>
        </row>
        <row r="1644">
          <cell r="A1644">
            <v>8072</v>
          </cell>
        </row>
        <row r="1645">
          <cell r="A1645">
            <v>8073</v>
          </cell>
        </row>
        <row r="1646">
          <cell r="A1646">
            <v>8074</v>
          </cell>
        </row>
        <row r="1647">
          <cell r="A1647">
            <v>8075</v>
          </cell>
        </row>
        <row r="1648">
          <cell r="A1648">
            <v>8076</v>
          </cell>
        </row>
        <row r="1649">
          <cell r="A1649">
            <v>8077</v>
          </cell>
        </row>
        <row r="1650">
          <cell r="A1650">
            <v>8078</v>
          </cell>
        </row>
        <row r="1651">
          <cell r="A1651">
            <v>8079</v>
          </cell>
        </row>
        <row r="1652">
          <cell r="A1652">
            <v>8080</v>
          </cell>
        </row>
        <row r="1653">
          <cell r="A1653">
            <v>8081</v>
          </cell>
        </row>
        <row r="1654">
          <cell r="A1654">
            <v>8082</v>
          </cell>
        </row>
        <row r="1655">
          <cell r="A1655">
            <v>8083</v>
          </cell>
        </row>
        <row r="1656">
          <cell r="A1656">
            <v>8084</v>
          </cell>
        </row>
        <row r="1657">
          <cell r="A1657">
            <v>8085</v>
          </cell>
        </row>
        <row r="1658">
          <cell r="A1658">
            <v>8086</v>
          </cell>
        </row>
        <row r="1659">
          <cell r="A1659">
            <v>8087</v>
          </cell>
        </row>
        <row r="1660">
          <cell r="A1660">
            <v>8088</v>
          </cell>
        </row>
        <row r="1661">
          <cell r="A1661">
            <v>8089</v>
          </cell>
        </row>
        <row r="1662">
          <cell r="A1662">
            <v>8090</v>
          </cell>
        </row>
        <row r="1663">
          <cell r="A1663">
            <v>8095</v>
          </cell>
        </row>
        <row r="1664">
          <cell r="A1664">
            <v>8096</v>
          </cell>
        </row>
        <row r="1665">
          <cell r="A1665">
            <v>8097</v>
          </cell>
        </row>
        <row r="1666">
          <cell r="A1666">
            <v>8098</v>
          </cell>
        </row>
        <row r="1667">
          <cell r="A1667">
            <v>8099</v>
          </cell>
        </row>
        <row r="1668">
          <cell r="A1668">
            <v>8100</v>
          </cell>
        </row>
        <row r="1669">
          <cell r="A1669">
            <v>8101</v>
          </cell>
        </row>
        <row r="1670">
          <cell r="A1670">
            <v>8102</v>
          </cell>
        </row>
        <row r="1671">
          <cell r="A1671">
            <v>8103</v>
          </cell>
        </row>
        <row r="1672">
          <cell r="A1672">
            <v>8104</v>
          </cell>
        </row>
        <row r="1673">
          <cell r="A1673">
            <v>8105</v>
          </cell>
        </row>
        <row r="1674">
          <cell r="A1674">
            <v>8106</v>
          </cell>
        </row>
        <row r="1675">
          <cell r="A1675">
            <v>9001</v>
          </cell>
        </row>
        <row r="1676">
          <cell r="A1676">
            <v>9002</v>
          </cell>
        </row>
        <row r="1677">
          <cell r="A1677">
            <v>9003</v>
          </cell>
        </row>
        <row r="1678">
          <cell r="A1678">
            <v>9004</v>
          </cell>
        </row>
        <row r="1679">
          <cell r="A1679">
            <v>9005</v>
          </cell>
        </row>
        <row r="1680">
          <cell r="A1680">
            <v>9006</v>
          </cell>
        </row>
        <row r="1681">
          <cell r="A1681">
            <v>9007</v>
          </cell>
        </row>
        <row r="1682">
          <cell r="A1682">
            <v>9008</v>
          </cell>
        </row>
        <row r="1683">
          <cell r="A1683">
            <v>10001</v>
          </cell>
        </row>
        <row r="1684">
          <cell r="A1684">
            <v>10002</v>
          </cell>
        </row>
        <row r="1685">
          <cell r="A1685">
            <v>10003</v>
          </cell>
        </row>
        <row r="1686">
          <cell r="A1686">
            <v>10004</v>
          </cell>
        </row>
        <row r="1687">
          <cell r="A1687">
            <v>10005</v>
          </cell>
        </row>
        <row r="1688">
          <cell r="A1688">
            <v>10006</v>
          </cell>
        </row>
        <row r="1689">
          <cell r="A1689">
            <v>10007</v>
          </cell>
        </row>
        <row r="1690">
          <cell r="A1690">
            <v>10008</v>
          </cell>
        </row>
        <row r="1691">
          <cell r="A1691">
            <v>10009</v>
          </cell>
        </row>
        <row r="1692">
          <cell r="A1692">
            <v>10010</v>
          </cell>
        </row>
        <row r="1693">
          <cell r="A1693">
            <v>10011</v>
          </cell>
        </row>
        <row r="1694">
          <cell r="A1694">
            <v>10012</v>
          </cell>
        </row>
        <row r="1695">
          <cell r="A1695">
            <v>10013</v>
          </cell>
        </row>
        <row r="1696">
          <cell r="A1696">
            <v>10014</v>
          </cell>
        </row>
        <row r="1697">
          <cell r="A1697">
            <v>10015</v>
          </cell>
        </row>
        <row r="1698">
          <cell r="A1698">
            <v>10016</v>
          </cell>
        </row>
        <row r="1699">
          <cell r="A1699">
            <v>10017</v>
          </cell>
        </row>
        <row r="1700">
          <cell r="A1700">
            <v>10018</v>
          </cell>
        </row>
        <row r="1701">
          <cell r="A1701">
            <v>10019</v>
          </cell>
        </row>
        <row r="1702">
          <cell r="A1702">
            <v>10020</v>
          </cell>
        </row>
        <row r="1703">
          <cell r="A1703">
            <v>10021</v>
          </cell>
        </row>
        <row r="1704">
          <cell r="A1704">
            <v>10022</v>
          </cell>
        </row>
        <row r="1705">
          <cell r="A1705">
            <v>10023</v>
          </cell>
        </row>
        <row r="1706">
          <cell r="A1706">
            <v>10024</v>
          </cell>
        </row>
        <row r="1707">
          <cell r="A1707">
            <v>10025</v>
          </cell>
        </row>
        <row r="1708">
          <cell r="A1708">
            <v>10026</v>
          </cell>
        </row>
        <row r="1709">
          <cell r="A1709">
            <v>10027</v>
          </cell>
        </row>
        <row r="1710">
          <cell r="A1710">
            <v>10028</v>
          </cell>
        </row>
        <row r="1711">
          <cell r="A1711">
            <v>10029</v>
          </cell>
        </row>
        <row r="1712">
          <cell r="A1712">
            <v>10030</v>
          </cell>
        </row>
        <row r="1713">
          <cell r="A1713">
            <v>10031</v>
          </cell>
        </row>
        <row r="1714">
          <cell r="A1714">
            <v>10032</v>
          </cell>
        </row>
        <row r="1715">
          <cell r="A1715">
            <v>10033</v>
          </cell>
        </row>
        <row r="1716">
          <cell r="A1716">
            <v>10034</v>
          </cell>
        </row>
        <row r="1717">
          <cell r="A1717">
            <v>10035</v>
          </cell>
        </row>
        <row r="1718">
          <cell r="A1718">
            <v>10036</v>
          </cell>
        </row>
        <row r="1719">
          <cell r="A1719">
            <v>10037</v>
          </cell>
        </row>
        <row r="1720">
          <cell r="A1720">
            <v>10038</v>
          </cell>
        </row>
        <row r="1721">
          <cell r="A1721">
            <v>10039</v>
          </cell>
        </row>
        <row r="1722">
          <cell r="A1722">
            <v>10040</v>
          </cell>
        </row>
        <row r="1723">
          <cell r="A1723">
            <v>10041</v>
          </cell>
        </row>
        <row r="1724">
          <cell r="A1724">
            <v>10042</v>
          </cell>
        </row>
        <row r="1725">
          <cell r="A1725">
            <v>10043</v>
          </cell>
        </row>
        <row r="1726">
          <cell r="A1726">
            <v>10044</v>
          </cell>
        </row>
        <row r="1727">
          <cell r="A1727">
            <v>10045</v>
          </cell>
        </row>
        <row r="1728">
          <cell r="A1728">
            <v>10046</v>
          </cell>
        </row>
        <row r="1729">
          <cell r="A1729">
            <v>10047</v>
          </cell>
        </row>
        <row r="1730">
          <cell r="A1730">
            <v>10048</v>
          </cell>
        </row>
        <row r="1731">
          <cell r="A1731">
            <v>10049</v>
          </cell>
        </row>
        <row r="1732">
          <cell r="A1732">
            <v>10050</v>
          </cell>
        </row>
        <row r="1733">
          <cell r="A1733">
            <v>10051</v>
          </cell>
        </row>
        <row r="1734">
          <cell r="A1734">
            <v>10052</v>
          </cell>
        </row>
        <row r="1735">
          <cell r="A1735">
            <v>10053</v>
          </cell>
        </row>
        <row r="1736">
          <cell r="A1736">
            <v>10054</v>
          </cell>
        </row>
        <row r="1737">
          <cell r="A1737">
            <v>10055</v>
          </cell>
        </row>
        <row r="1738">
          <cell r="A1738">
            <v>10056</v>
          </cell>
        </row>
        <row r="1739">
          <cell r="A1739">
            <v>10057</v>
          </cell>
        </row>
        <row r="1740">
          <cell r="A1740">
            <v>10058</v>
          </cell>
        </row>
        <row r="1741">
          <cell r="A1741">
            <v>10059</v>
          </cell>
        </row>
        <row r="1742">
          <cell r="A1742">
            <v>10060</v>
          </cell>
        </row>
        <row r="1743">
          <cell r="A1743">
            <v>10061</v>
          </cell>
        </row>
        <row r="1744">
          <cell r="A1744">
            <v>10062</v>
          </cell>
        </row>
        <row r="1745">
          <cell r="A1745">
            <v>10063</v>
          </cell>
        </row>
        <row r="1746">
          <cell r="A1746">
            <v>10064</v>
          </cell>
        </row>
        <row r="1747">
          <cell r="A1747">
            <v>10065</v>
          </cell>
        </row>
        <row r="1748">
          <cell r="A1748">
            <v>10066</v>
          </cell>
        </row>
        <row r="1749">
          <cell r="A1749">
            <v>10067</v>
          </cell>
        </row>
        <row r="1750">
          <cell r="A1750">
            <v>10068</v>
          </cell>
        </row>
        <row r="1751">
          <cell r="A1751">
            <v>10069</v>
          </cell>
        </row>
        <row r="1752">
          <cell r="A1752">
            <v>10070</v>
          </cell>
        </row>
        <row r="1753">
          <cell r="A1753">
            <v>10071</v>
          </cell>
        </row>
        <row r="1754">
          <cell r="A1754">
            <v>10072</v>
          </cell>
        </row>
        <row r="1755">
          <cell r="A1755">
            <v>10073</v>
          </cell>
        </row>
        <row r="1756">
          <cell r="A1756">
            <v>10074</v>
          </cell>
        </row>
        <row r="1757">
          <cell r="A1757">
            <v>10075</v>
          </cell>
        </row>
        <row r="1758">
          <cell r="A1758">
            <v>10076</v>
          </cell>
        </row>
        <row r="1759">
          <cell r="A1759">
            <v>10077</v>
          </cell>
        </row>
        <row r="1760">
          <cell r="A1760">
            <v>10078</v>
          </cell>
        </row>
        <row r="1761">
          <cell r="A1761">
            <v>10079</v>
          </cell>
        </row>
        <row r="1762">
          <cell r="A1762">
            <v>10080</v>
          </cell>
        </row>
        <row r="1763">
          <cell r="A1763">
            <v>10081</v>
          </cell>
        </row>
        <row r="1764">
          <cell r="A1764">
            <v>10082</v>
          </cell>
        </row>
        <row r="1765">
          <cell r="A1765">
            <v>10083</v>
          </cell>
        </row>
        <row r="1766">
          <cell r="A1766">
            <v>10084</v>
          </cell>
        </row>
        <row r="1767">
          <cell r="A1767">
            <v>10085</v>
          </cell>
        </row>
        <row r="1768">
          <cell r="A1768">
            <v>10086</v>
          </cell>
        </row>
        <row r="1769">
          <cell r="A1769">
            <v>10087</v>
          </cell>
        </row>
        <row r="1770">
          <cell r="A1770">
            <v>10088</v>
          </cell>
        </row>
        <row r="1771">
          <cell r="A1771">
            <v>10089</v>
          </cell>
        </row>
        <row r="1772">
          <cell r="A1772">
            <v>10090</v>
          </cell>
        </row>
        <row r="1773">
          <cell r="A1773">
            <v>10101</v>
          </cell>
        </row>
        <row r="1774">
          <cell r="A1774">
            <v>10102</v>
          </cell>
        </row>
        <row r="1775">
          <cell r="A17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8" sqref="A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305</v>
      </c>
      <c r="B2" s="57" t="s">
        <v>106</v>
      </c>
      <c r="C2" s="63">
        <v>40044</v>
      </c>
      <c r="D2" s="57" t="s">
        <v>107</v>
      </c>
      <c r="E2" s="56" t="str">
        <f>B2&amp;C2&amp;D2</f>
        <v>floors_40044.tmp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305</v>
      </c>
      <c r="B3" s="57" t="s">
        <v>109</v>
      </c>
      <c r="C3" s="63">
        <v>40044</v>
      </c>
      <c r="D3" s="57" t="s">
        <v>107</v>
      </c>
      <c r="E3" s="56" t="str">
        <f>B3&amp;C3&amp;D3</f>
        <v>enemy_habitats_40044.tmp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305</v>
      </c>
      <c r="B4" s="57" t="s">
        <v>111</v>
      </c>
      <c r="C4" s="63">
        <v>40044</v>
      </c>
      <c r="D4" s="57" t="s">
        <v>107</v>
      </c>
      <c r="E4" s="56" t="str">
        <f>B4&amp;C4&amp;D4</f>
        <v>enemy_habitat_S_40044.tmp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305</v>
      </c>
      <c r="B5" s="57" t="s">
        <v>113</v>
      </c>
      <c r="C5" s="63">
        <v>40044</v>
      </c>
      <c r="D5" s="57" t="s">
        <v>107</v>
      </c>
      <c r="E5" s="56" t="str">
        <f>B5&amp;C5&amp;D5</f>
        <v>enemy_skill_sets_40044.tmp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305</v>
      </c>
      <c r="B6" s="57" t="s">
        <v>115</v>
      </c>
      <c r="C6" s="63">
        <v>40044</v>
      </c>
      <c r="D6" s="57" t="s">
        <v>116</v>
      </c>
      <c r="E6" s="56" t="str">
        <f t="shared" ref="E6:E10" si="0">B6&amp;C6&amp;D6</f>
        <v>enemy_skills_tmp_40044.tmp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305</v>
      </c>
      <c r="B7" s="57" t="s">
        <v>117</v>
      </c>
      <c r="C7" s="63">
        <v>40044</v>
      </c>
      <c r="D7" s="57" t="s">
        <v>107</v>
      </c>
      <c r="E7" s="56" t="str">
        <f>B7&amp;C7&amp;D7</f>
        <v>enemy_skills_i18n_40044.tmp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305</v>
      </c>
      <c r="B8" s="57" t="s">
        <v>119</v>
      </c>
      <c r="C8" s="63">
        <v>40044</v>
      </c>
      <c r="D8" s="57" t="s">
        <v>120</v>
      </c>
      <c r="E8" s="56" t="str">
        <f t="shared" si="0"/>
        <v>enemy_skill_triggers_40044.tmp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305</v>
      </c>
      <c r="B9" s="68" t="s">
        <v>177</v>
      </c>
      <c r="C9" s="63">
        <v>40044</v>
      </c>
      <c r="D9" s="68" t="s">
        <v>171</v>
      </c>
      <c r="E9" s="69" t="str">
        <f t="shared" si="0"/>
        <v>stage_bug_bonuses_40044.tmp</v>
      </c>
      <c r="F9" s="68" t="s">
        <v>172</v>
      </c>
      <c r="G9" s="65" t="s">
        <v>150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305</v>
      </c>
      <c r="B10" s="68" t="s">
        <v>200</v>
      </c>
      <c r="C10" s="63">
        <v>40044</v>
      </c>
      <c r="D10" s="68" t="s">
        <v>180</v>
      </c>
      <c r="E10" s="69" t="str">
        <f t="shared" si="0"/>
        <v>stage_hints_data_c_40044.tmp</v>
      </c>
      <c r="F10" s="68" t="s">
        <v>208</v>
      </c>
      <c r="G10" s="73" t="s">
        <v>181</v>
      </c>
      <c r="H10" s="73" t="s">
        <v>173</v>
      </c>
      <c r="I10" s="74" t="s">
        <v>182</v>
      </c>
      <c r="J10" s="67" t="s">
        <v>183</v>
      </c>
      <c r="K10" s="67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305</v>
      </c>
      <c r="B11" s="68" t="s">
        <v>201</v>
      </c>
      <c r="C11" s="63">
        <v>40044</v>
      </c>
      <c r="D11" s="68" t="s">
        <v>171</v>
      </c>
      <c r="E11" s="69" t="str">
        <f t="shared" ref="E11:E13" si="1">B11&amp;C11&amp;D11</f>
        <v>stage_hints_data_f_40044.tmp</v>
      </c>
      <c r="F11" s="68" t="s">
        <v>209</v>
      </c>
      <c r="G11" s="73" t="s">
        <v>181</v>
      </c>
      <c r="H11" s="73" t="s">
        <v>173</v>
      </c>
      <c r="I11" s="74" t="s">
        <v>182</v>
      </c>
      <c r="J11" s="67" t="s">
        <v>183</v>
      </c>
      <c r="K11" s="67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305</v>
      </c>
      <c r="B12" s="68" t="s">
        <v>202</v>
      </c>
      <c r="C12" s="63">
        <v>40044</v>
      </c>
      <c r="D12" s="68" t="s">
        <v>171</v>
      </c>
      <c r="E12" s="69" t="str">
        <f t="shared" si="1"/>
        <v>stage_hints_i18n_40044.tmp</v>
      </c>
      <c r="F12" s="68" t="s">
        <v>210</v>
      </c>
      <c r="G12" s="74" t="s">
        <v>203</v>
      </c>
      <c r="H12" s="93" t="s">
        <v>204</v>
      </c>
      <c r="I12" s="73" t="s">
        <v>205</v>
      </c>
      <c r="J12" s="101" t="s">
        <v>206</v>
      </c>
      <c r="K12" s="67" t="s">
        <v>207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305</v>
      </c>
      <c r="B13" s="68" t="s">
        <v>250</v>
      </c>
      <c r="C13" s="63">
        <v>40044</v>
      </c>
      <c r="D13" s="68" t="s">
        <v>231</v>
      </c>
      <c r="E13" s="69" t="str">
        <f t="shared" si="1"/>
        <v>stage_bonuses_40044.tmp</v>
      </c>
      <c r="F13" s="68" t="s">
        <v>230</v>
      </c>
      <c r="G13" s="73" t="s">
        <v>232</v>
      </c>
      <c r="H13" s="73" t="s">
        <v>233</v>
      </c>
      <c r="I13" s="73" t="s">
        <v>234</v>
      </c>
      <c r="J13" s="73" t="s">
        <v>235</v>
      </c>
      <c r="K13" s="73" t="s">
        <v>236</v>
      </c>
      <c r="L13" s="73" t="s">
        <v>237</v>
      </c>
      <c r="M13" s="73" t="s">
        <v>238</v>
      </c>
      <c r="N13" s="73" t="s">
        <v>239</v>
      </c>
      <c r="O13" s="73" t="s">
        <v>240</v>
      </c>
      <c r="P13" s="73" t="s">
        <v>241</v>
      </c>
      <c r="Q13" s="73" t="s">
        <v>242</v>
      </c>
      <c r="R13" s="73" t="s">
        <v>243</v>
      </c>
      <c r="S13" s="73" t="s">
        <v>244</v>
      </c>
      <c r="T13" s="73" t="s">
        <v>245</v>
      </c>
      <c r="U13" s="73" t="s">
        <v>246</v>
      </c>
      <c r="V13" s="73" t="s">
        <v>247</v>
      </c>
      <c r="W13" s="73" t="s">
        <v>248</v>
      </c>
      <c r="X13" s="73" t="s">
        <v>249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H7" sqref="H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40044_2-1</v>
      </c>
      <c r="B2" s="16" t="str">
        <f>IF(COUNTIF(enemy_habitats!$H:$H,A2),"OK","NG")</f>
        <v>OK</v>
      </c>
      <c r="C2" s="7">
        <v>40044</v>
      </c>
      <c r="D2" s="11" t="str">
        <f ca="1">VLOOKUP($C2,OFFSET([2]quests!$A$1,0,0,COUNTA([2]quests!$A:$A),MATCH(D$1,[2]quests!$1:$1,0)-MATCH($C$1,[2]quests!$1:$1,0)+1),MATCH(D$1,[2]quests!$1:$1,0)-MATCH($C$1,[2]quests!$1:$1,0)+1,FALSE)</f>
        <v>ジキル&amp;ハイド襲来！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降臨44</v>
      </c>
      <c r="F2" s="21">
        <v>2</v>
      </c>
      <c r="G2" s="23" t="str">
        <f t="shared" ref="G2:G9" si="1">C2&amp;"_"&amp;F2</f>
        <v>40044_2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【ウィザード級】ジキル&amp;ハイド襲来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40044_2-2</v>
      </c>
      <c r="B3" s="16" t="str">
        <f>IF(COUNTIF(enemy_habitats!$H:$H,A3),"OK","NG")</f>
        <v>OK</v>
      </c>
      <c r="C3" s="7">
        <v>40044</v>
      </c>
      <c r="D3" s="11" t="str">
        <f ca="1">VLOOKUP($C3,OFFSET([2]quests!$A$1,0,0,COUNTA([2]quests!$A:$A),MATCH(D$1,[2]quests!$1:$1,0)-MATCH($C$1,[2]quests!$1:$1,0)+1),MATCH(D$1,[2]quests!$1:$1,0)-MATCH($C$1,[2]quests!$1:$1,0)+1,FALSE)</f>
        <v>ジキル&amp;ハイド襲来！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降臨44</v>
      </c>
      <c r="F3" s="21">
        <v>2</v>
      </c>
      <c r="G3" s="23" t="str">
        <f t="shared" si="1"/>
        <v>40044_2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【ウィザード級】ジキル&amp;ハイド襲来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40044_2-3</v>
      </c>
      <c r="B4" s="16" t="str">
        <f>IF(COUNTIF(enemy_habitats!$H:$H,A4),"OK","NG")</f>
        <v>OK</v>
      </c>
      <c r="C4" s="7">
        <v>40044</v>
      </c>
      <c r="D4" s="11" t="str">
        <f ca="1">VLOOKUP($C4,OFFSET([2]quests!$A$1,0,0,COUNTA([2]quests!$A:$A),MATCH(D$1,[2]quests!$1:$1,0)-MATCH($C$1,[2]quests!$1:$1,0)+1),MATCH(D$1,[2]quests!$1:$1,0)-MATCH($C$1,[2]quests!$1:$1,0)+1,FALSE)</f>
        <v>ジキル&amp;ハイド襲来！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降臨44</v>
      </c>
      <c r="F4" s="21">
        <v>2</v>
      </c>
      <c r="G4" s="23" t="str">
        <f t="shared" si="1"/>
        <v>40044_2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【ウィザード級】ジキル&amp;ハイド襲来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40044_2-4</v>
      </c>
      <c r="B5" s="16" t="str">
        <f>IF(COUNTIF(enemy_habitats!$H:$H,A5),"OK","NG")</f>
        <v>OK</v>
      </c>
      <c r="C5" s="7">
        <v>40044</v>
      </c>
      <c r="D5" s="11" t="str">
        <f ca="1">VLOOKUP($C5,OFFSET([2]quests!$A$1,0,0,COUNTA([2]quests!$A:$A),MATCH(D$1,[2]quests!$1:$1,0)-MATCH($C$1,[2]quests!$1:$1,0)+1),MATCH(D$1,[2]quests!$1:$1,0)-MATCH($C$1,[2]quests!$1:$1,0)+1,FALSE)</f>
        <v>ジキル&amp;ハイド襲来！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降臨44</v>
      </c>
      <c r="F5" s="21">
        <v>2</v>
      </c>
      <c r="G5" s="23" t="str">
        <f t="shared" si="1"/>
        <v>40044_2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【ウィザード級】ジキル&amp;ハイド襲来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40044_1-1</v>
      </c>
      <c r="B6" s="16" t="str">
        <f>IF(COUNTIF(enemy_habitats!$H:$H,A6),"OK","NG")</f>
        <v>OK</v>
      </c>
      <c r="C6" s="7">
        <v>40044</v>
      </c>
      <c r="D6" s="11" t="str">
        <f ca="1">VLOOKUP($C6,OFFSET([2]quests!$A$1,0,0,COUNTA([2]quests!$A:$A),MATCH(D$1,[2]quests!$1:$1,0)-MATCH($C$1,[2]quests!$1:$1,0)+1),MATCH(D$1,[2]quests!$1:$1,0)-MATCH($C$1,[2]quests!$1:$1,0)+1,FALSE)</f>
        <v>ジキル&amp;ハイド襲来！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降臨44</v>
      </c>
      <c r="F6" s="21">
        <v>1</v>
      </c>
      <c r="G6" s="23" t="str">
        <f t="shared" si="1"/>
        <v>40044_1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【超絶級】ジキル&amp;ハイド襲来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40044_1-2</v>
      </c>
      <c r="B7" s="16" t="str">
        <f>IF(COUNTIF(enemy_habitats!$H:$H,A7),"OK","NG")</f>
        <v>OK</v>
      </c>
      <c r="C7" s="7">
        <v>40044</v>
      </c>
      <c r="D7" s="11" t="str">
        <f ca="1">VLOOKUP($C7,OFFSET([2]quests!$A$1,0,0,COUNTA([2]quests!$A:$A),MATCH(D$1,[2]quests!$1:$1,0)-MATCH($C$1,[2]quests!$1:$1,0)+1),MATCH(D$1,[2]quests!$1:$1,0)-MATCH($C$1,[2]quests!$1:$1,0)+1,FALSE)</f>
        <v>ジキル&amp;ハイド襲来！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降臨44</v>
      </c>
      <c r="F7" s="21">
        <v>1</v>
      </c>
      <c r="G7" s="23" t="str">
        <f t="shared" si="1"/>
        <v>40044_1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【超絶級】ジキル&amp;ハイド襲来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40044_1-3</v>
      </c>
      <c r="B8" s="16" t="str">
        <f>IF(COUNTIF(enemy_habitats!$H:$H,A8),"OK","NG")</f>
        <v>OK</v>
      </c>
      <c r="C8" s="7">
        <v>40044</v>
      </c>
      <c r="D8" s="11" t="str">
        <f ca="1">VLOOKUP($C8,OFFSET([2]quests!$A$1,0,0,COUNTA([2]quests!$A:$A),MATCH(D$1,[2]quests!$1:$1,0)-MATCH($C$1,[2]quests!$1:$1,0)+1),MATCH(D$1,[2]quests!$1:$1,0)-MATCH($C$1,[2]quests!$1:$1,0)+1,FALSE)</f>
        <v>ジキル&amp;ハイド襲来！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降臨44</v>
      </c>
      <c r="F8" s="21">
        <v>1</v>
      </c>
      <c r="G8" s="23" t="str">
        <f t="shared" si="1"/>
        <v>40044_1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【超絶級】ジキル&amp;ハイド襲来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40044_1-4</v>
      </c>
      <c r="B9" s="16" t="str">
        <f>IF(COUNTIF(enemy_habitats!$H:$H,A9),"OK","NG")</f>
        <v>OK</v>
      </c>
      <c r="C9" s="7">
        <v>40044</v>
      </c>
      <c r="D9" s="11" t="str">
        <f ca="1">VLOOKUP($C9,OFFSET([2]quests!$A$1,0,0,COUNTA([2]quests!$A:$A),MATCH(D$1,[2]quests!$1:$1,0)-MATCH($C$1,[2]quests!$1:$1,0)+1),MATCH(D$1,[2]quests!$1:$1,0)-MATCH($C$1,[2]quests!$1:$1,0)+1,FALSE)</f>
        <v>ジキル&amp;ハイド襲来！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降臨44</v>
      </c>
      <c r="F9" s="21">
        <v>1</v>
      </c>
      <c r="G9" s="23" t="str">
        <f t="shared" si="1"/>
        <v>40044_1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【超絶級】ジキル&amp;ハイド襲来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13" sqref="U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307</v>
      </c>
      <c r="T1" s="102" t="s">
        <v>251</v>
      </c>
      <c r="U1" s="26" t="s">
        <v>50</v>
      </c>
      <c r="V1" s="102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9" si="0">B2&amp;"_"&amp;C2&amp;"-"&amp;G2&amp;"/"&amp;L2&amp;"&lt;lv"&amp;R2&amp;"&gt;s"&amp;AC2</f>
        <v>40044_2-1/367&lt;lv80&gt;s2</v>
      </c>
      <c r="B2" s="22">
        <v>40044</v>
      </c>
      <c r="C2" s="21">
        <v>2</v>
      </c>
      <c r="D2" s="2" t="str">
        <f t="shared" ref="D2:D9" si="1">B2&amp;"_"&amp;C2</f>
        <v>40044_2</v>
      </c>
      <c r="E2" s="4" t="str">
        <f ca="1">VLOOKUP($B2,OFFSET([2]quests!$A$1,0,0,COUNTA([2]quests!$A:$A),MATCH(E$1,[2]quests!$1:$1,0)-MATCH($B$1,[2]quests!$1:$1,0)+1),MATCH(E$1,[2]quests!$1:$1,0)-MATCH($B$1,[2]quests!$1:$1,0)+1,FALSE)</f>
        <v>ジキル&amp;ハイド襲来！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【ウィザード級】ジキル&amp;ハイド襲来</v>
      </c>
      <c r="G2" s="21">
        <v>1</v>
      </c>
      <c r="H2" s="15" t="str">
        <f t="shared" ref="H2:H9" si="2">B2&amp;"_"&amp;C2&amp;"-"&amp;G2</f>
        <v>40044_2-1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367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爆進の小兵 トト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3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47922</v>
      </c>
      <c r="U2" s="25">
        <v>0.5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2716.5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ランダムでパネルプロテクト(最大4個)</v>
      </c>
      <c r="Y2" s="62">
        <v>40044003</v>
      </c>
      <c r="Z2" s="6">
        <v>1</v>
      </c>
      <c r="AA2" s="6">
        <v>100</v>
      </c>
      <c r="AB2" s="6">
        <v>0</v>
      </c>
      <c r="AC2" s="17">
        <v>2</v>
      </c>
      <c r="AD2" s="24">
        <f t="shared" ref="AD2:AD9" si="3">L2</f>
        <v>367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爆進の小兵 トト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t="shared" ref="AI2:AI9" ca="1" si="4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40044_2-1/305&lt;lv80&gt;s2</v>
      </c>
      <c r="B3" s="22">
        <v>40044</v>
      </c>
      <c r="C3" s="21">
        <v>2</v>
      </c>
      <c r="D3" s="2" t="str">
        <f t="shared" si="1"/>
        <v>40044_2</v>
      </c>
      <c r="E3" s="4" t="str">
        <f ca="1">VLOOKUP($B3,OFFSET([2]quests!$A$1,0,0,COUNTA([2]quests!$A:$A),MATCH(E$1,[2]quests!$1:$1,0)-MATCH($B$1,[2]quests!$1:$1,0)+1),MATCH(E$1,[2]quests!$1:$1,0)-MATCH($B$1,[2]quests!$1:$1,0)+1,FALSE)</f>
        <v>ジキル&amp;ハイド襲来！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【ウィザード級】ジキル&amp;ハイド襲来</v>
      </c>
      <c r="G3" s="21">
        <v>1</v>
      </c>
      <c r="H3" s="15" t="str">
        <f t="shared" si="2"/>
        <v>40044_2-1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305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螺旋の雷電 チエミ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0.8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78080.800000000003</v>
      </c>
      <c r="U3" s="25">
        <v>0.5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5495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3" s="62">
        <v>40044002</v>
      </c>
      <c r="Z3" s="6">
        <v>1</v>
      </c>
      <c r="AA3" s="6">
        <v>100</v>
      </c>
      <c r="AB3" s="6">
        <v>1</v>
      </c>
      <c r="AC3" s="17">
        <v>2</v>
      </c>
      <c r="AD3" s="24">
        <f t="shared" si="3"/>
        <v>305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螺旋の雷電 チエミ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Drop2W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thickBot="1" x14ac:dyDescent="0.2">
      <c r="A4" s="105" t="str">
        <f t="shared" si="0"/>
        <v>40044_2-1/367&lt;lv79&gt;s2</v>
      </c>
      <c r="B4" s="106">
        <v>40044</v>
      </c>
      <c r="C4" s="107">
        <v>2</v>
      </c>
      <c r="D4" s="108" t="str">
        <f t="shared" si="1"/>
        <v>40044_2</v>
      </c>
      <c r="E4" s="109" t="str">
        <f ca="1">VLOOKUP($B4,OFFSET([2]quests!$A$1,0,0,COUNTA([2]quests!$A:$A),MATCH(E$1,[2]quests!$1:$1,0)-MATCH($B$1,[2]quests!$1:$1,0)+1),MATCH(E$1,[2]quests!$1:$1,0)-MATCH($B$1,[2]quests!$1:$1,0)+1,FALSE)</f>
        <v>ジキル&amp;ハイド襲来！</v>
      </c>
      <c r="F4" s="109" t="str">
        <f ca="1">VLOOKUP($D4,OFFSET([2]stages!$A$1,0,0,COUNTA([2]stages!$A:$A),MATCH(F$1,[2]stages!$2:$2,0)-MATCH($D$1,[2]stages!$2:$2,0)+1),MATCH(F$1,[2]stages!$2:$2,0)-MATCH($D$1,[2]stages!$2:$2,0)+1,FALSE)</f>
        <v>【ウィザード級】ジキル&amp;ハイド襲来</v>
      </c>
      <c r="G4" s="107">
        <v>1</v>
      </c>
      <c r="H4" s="108" t="str">
        <f t="shared" si="2"/>
        <v>40044_2-1</v>
      </c>
      <c r="I4" s="109">
        <f ca="1">VLOOKUP($H4,OFFSET(floors!$A$1,0,0,COUNTA(floors!$A:$A),MATCH(I$1,floors!$1:$1,0)-MATCH($H$1,floors!$1:$1,0)+1),MATCH(I$1,floors!$1:$1,0)-MATCH($H$1,floors!$1:$1,0)+1,FALSE)</f>
        <v>60</v>
      </c>
      <c r="J4" s="109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111">
        <v>367</v>
      </c>
      <c r="M4" s="112" t="str">
        <f ca="1">VLOOKUP($L4,OFFSET([3]enemies!$A$1,0,0,COUNTA([3]enemies!$A:$A),MATCH(M$1,[3]enemies!$1:$1,0)-MATCH($L$1,[3]enemies!$1:$1,0)+1),MATCH(M$1,[3]enemies!$1:$1,0)-MATCH($L$1,[3]enemies!$1:$1,0)+1,FALSE)</f>
        <v>爆進の小兵 トト</v>
      </c>
      <c r="N4" s="112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12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12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12">
        <f ca="1">VLOOKUP($L4,OFFSET([3]enemies!$A$1,0,0,COUNTA([3]enemies!$A:$A),MATCH(Q$1,[3]enemies!$1:$1,0)-MATCH($L$1,[3]enemies!$1:$1,0)+1),MATCH(Q$1,[3]enemies!$1:$1,0)-MATCH($L$1,[3]enemies!$1:$1,0)+1,FALSE)</f>
        <v>15</v>
      </c>
      <c r="R4" s="113">
        <v>79</v>
      </c>
      <c r="S4" s="114">
        <v>3</v>
      </c>
      <c r="T4" s="115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47334</v>
      </c>
      <c r="U4" s="114">
        <v>0.5</v>
      </c>
      <c r="V4" s="115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2683</v>
      </c>
      <c r="W4" s="113">
        <v>0</v>
      </c>
      <c r="X4" s="109" t="str">
        <f ca="1">VLOOKUP($Y4,OFFSET(enemy_skill_sets!$B$1,0,0,COUNTA(enemy_skill_sets!$B:$B),MATCH(M$1,enemy_skill_sets!$1:$1,0)-MATCH($Y$1,enemy_skill_sets!$1:$1,0)+2),MATCH(M$1,enemy_skill_sets!$1:$1,0)-MATCH($Y$1,enemy_skill_sets!$1:$1,0)+2,FALSE)</f>
        <v>2ターン全ユニットにウィルス</v>
      </c>
      <c r="Y4" s="203">
        <v>40044001</v>
      </c>
      <c r="Z4" s="116">
        <v>1</v>
      </c>
      <c r="AA4" s="116">
        <v>100</v>
      </c>
      <c r="AB4" s="116">
        <v>0</v>
      </c>
      <c r="AC4" s="112">
        <v>2</v>
      </c>
      <c r="AD4" s="117">
        <f t="shared" si="3"/>
        <v>367</v>
      </c>
      <c r="AE4" s="109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爆進の小兵 トト</v>
      </c>
      <c r="AF4" s="109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109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118">
        <v>1</v>
      </c>
      <c r="AI4" s="117">
        <f t="shared" ca="1" si="4"/>
        <v>3</v>
      </c>
      <c r="AJ4" s="119">
        <v>0</v>
      </c>
      <c r="AK4" s="118">
        <v>0</v>
      </c>
      <c r="AL4" s="118">
        <v>0</v>
      </c>
      <c r="AM4" s="118">
        <v>0</v>
      </c>
      <c r="AN4" s="118">
        <v>0</v>
      </c>
      <c r="AO4" s="118">
        <v>1</v>
      </c>
      <c r="AP4" s="120">
        <v>1</v>
      </c>
    </row>
    <row r="5" spans="1:42" ht="21" customHeight="1" thickBot="1" x14ac:dyDescent="0.2">
      <c r="A5" s="135" t="str">
        <f t="shared" si="0"/>
        <v>40044_2-2/1375&lt;lv80&gt;s2</v>
      </c>
      <c r="B5" s="136">
        <v>40044</v>
      </c>
      <c r="C5" s="137">
        <v>2</v>
      </c>
      <c r="D5" s="138" t="str">
        <f t="shared" si="1"/>
        <v>40044_2</v>
      </c>
      <c r="E5" s="139" t="str">
        <f ca="1">VLOOKUP($B5,OFFSET([2]quests!$A$1,0,0,COUNTA([2]quests!$A:$A),MATCH(E$1,[2]quests!$1:$1,0)-MATCH($B$1,[2]quests!$1:$1,0)+1),MATCH(E$1,[2]quests!$1:$1,0)-MATCH($B$1,[2]quests!$1:$1,0)+1,FALSE)</f>
        <v>ジキル&amp;ハイド襲来！</v>
      </c>
      <c r="F5" s="139" t="str">
        <f ca="1">VLOOKUP($D5,OFFSET([2]stages!$A$1,0,0,COUNTA([2]stages!$A:$A),MATCH(F$1,[2]stages!$2:$2,0)-MATCH($D$1,[2]stages!$2:$2,0)+1),MATCH(F$1,[2]stages!$2:$2,0)-MATCH($D$1,[2]stages!$2:$2,0)+1,FALSE)</f>
        <v>【ウィザード級】ジキル&amp;ハイド襲来</v>
      </c>
      <c r="G5" s="137">
        <v>2</v>
      </c>
      <c r="H5" s="138" t="str">
        <f t="shared" si="2"/>
        <v>40044_2-2</v>
      </c>
      <c r="I5" s="139">
        <f ca="1">VLOOKUP($H5,OFFSET(floors!$A$1,0,0,COUNTA(floors!$A:$A),MATCH(I$1,floors!$1:$1,0)-MATCH($H$1,floors!$1:$1,0)+1),MATCH(I$1,floors!$1:$1,0)-MATCH($H$1,floors!$1:$1,0)+1,FALSE)</f>
        <v>60</v>
      </c>
      <c r="J5" s="139">
        <f ca="1">VLOOKUP($H5,OFFSET(floors!$A$1,0,0,COUNTA(floors!$A:$A),MATCH(J$1,floors!$1:$1,0)-MATCH($H$1,floors!$1:$1,0)+1),MATCH(J$1,floors!$1:$1,0)-MATCH($H$1,floors!$1:$1,0)+1,FALSE)</f>
        <v>60</v>
      </c>
      <c r="K5" s="140">
        <v>1</v>
      </c>
      <c r="L5" s="141">
        <v>1375</v>
      </c>
      <c r="M5" s="142" t="str">
        <f ca="1">VLOOKUP($L5,OFFSET([3]enemies!$A$1,0,0,COUNTA([3]enemies!$A:$A),MATCH(M$1,[3]enemies!$1:$1,0)-MATCH($L$1,[3]enemies!$1:$1,0)+1),MATCH(M$1,[3]enemies!$1:$1,0)-MATCH($L$1,[3]enemies!$1:$1,0)+1,FALSE)</f>
        <v>ジキル&amp;ハイド</v>
      </c>
      <c r="N5" s="142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42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42" t="str">
        <f ca="1">VLOOKUP($L5,OFFSET([3]enemies!$A$1,0,0,COUNTA([3]enemies!$A:$A),MATCH(P$1,[3]enemies!$1:$1,0)-MATCH($L$1,[3]enemies!$1:$1,0)+1),MATCH(P$1,[3]enemies!$1:$1,0)-MATCH($L$1,[3]enemies!$1:$1,0)+1,FALSE)</f>
        <v>demon</v>
      </c>
      <c r="Q5" s="142">
        <f ca="1">VLOOKUP($L5,OFFSET([3]enemies!$A$1,0,0,COUNTA([3]enemies!$A:$A),MATCH(Q$1,[3]enemies!$1:$1,0)-MATCH($L$1,[3]enemies!$1:$1,0)+1),MATCH(Q$1,[3]enemies!$1:$1,0)-MATCH($L$1,[3]enemies!$1:$1,0)+1,FALSE)</f>
        <v>60</v>
      </c>
      <c r="R5" s="143">
        <v>80</v>
      </c>
      <c r="S5" s="144">
        <v>2</v>
      </c>
      <c r="T5" s="145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266016</v>
      </c>
      <c r="U5" s="144">
        <v>0.6</v>
      </c>
      <c r="V5" s="145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7389</v>
      </c>
      <c r="W5" s="143">
        <v>0</v>
      </c>
      <c r="X5" s="139" t="str">
        <f ca="1">VLOOKUP($Y5,OFFSET(enemy_skill_sets!$B$1,0,0,COUNTA(enemy_skill_sets!$B:$B),MATCH(M$1,enemy_skill_sets!$1:$1,0)-MATCH($Y$1,enemy_skill_sets!$1:$1,0)+2),MATCH(M$1,enemy_skill_sets!$1:$1,0)-MATCH($Y$1,enemy_skill_sets!$1:$1,0)+2,FALSE)</f>
        <v>赤パネルドロップ率UP+_x000D_全ユニットの攻撃をカウンター</v>
      </c>
      <c r="Y5" s="146">
        <v>40044004</v>
      </c>
      <c r="Z5" s="147">
        <v>1</v>
      </c>
      <c r="AA5" s="147">
        <v>100</v>
      </c>
      <c r="AB5" s="147">
        <v>0</v>
      </c>
      <c r="AC5" s="142">
        <v>2</v>
      </c>
      <c r="AD5" s="148">
        <f t="shared" si="3"/>
        <v>1375</v>
      </c>
      <c r="AE5" s="139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ジキル&amp;ハイド</v>
      </c>
      <c r="AF5" s="139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139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149">
        <v>1</v>
      </c>
      <c r="AI5" s="148">
        <f t="shared" ca="1" si="4"/>
        <v>5</v>
      </c>
      <c r="AJ5" s="150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1</v>
      </c>
      <c r="AP5" s="151">
        <v>1</v>
      </c>
    </row>
    <row r="6" spans="1:42" ht="21" customHeight="1" x14ac:dyDescent="0.15">
      <c r="A6" s="16" t="str">
        <f t="shared" ca="1" si="0"/>
        <v>40044_2-3/370&lt;lv80&gt;s2</v>
      </c>
      <c r="B6" s="22">
        <v>40044</v>
      </c>
      <c r="C6" s="123">
        <v>2</v>
      </c>
      <c r="D6" s="124" t="str">
        <f t="shared" si="1"/>
        <v>40044_2</v>
      </c>
      <c r="E6" s="4" t="str">
        <f ca="1">VLOOKUP($B6,OFFSET([2]quests!$A$1,0,0,COUNTA([2]quests!$A:$A),MATCH(E$1,[2]quests!$1:$1,0)-MATCH($B$1,[2]quests!$1:$1,0)+1),MATCH(E$1,[2]quests!$1:$1,0)-MATCH($B$1,[2]quests!$1:$1,0)+1,FALSE)</f>
        <v>ジキル&amp;ハイド襲来！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【ウィザード級】ジキル&amp;ハイド襲来</v>
      </c>
      <c r="G6" s="123">
        <v>3</v>
      </c>
      <c r="H6" s="124" t="str">
        <f t="shared" si="2"/>
        <v>40044_2-3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126">
        <v>370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タイチ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127">
        <v>80</v>
      </c>
      <c r="S6" s="128">
        <v>4.3</v>
      </c>
      <c r="T6" s="12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70090</v>
      </c>
      <c r="U6" s="128">
        <v>0.9</v>
      </c>
      <c r="V6" s="12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5970.6</v>
      </c>
      <c r="W6" s="127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ウィルス状態のユニットに大ダメージ</v>
      </c>
      <c r="Y6" s="62">
        <v>40044006</v>
      </c>
      <c r="Z6" s="130">
        <v>1</v>
      </c>
      <c r="AA6" s="130">
        <v>100</v>
      </c>
      <c r="AB6" s="130">
        <v>0</v>
      </c>
      <c r="AC6" s="17">
        <f ca="1">VLOOKUP($L6,OFFSET([3]enemies!$A$1,0,0,COUNTA([3]enemies!$A:$A),MATCH(AC$1,[3]enemies!$1:$1,0)-MATCH($L$1,[3]enemies!$1:$1,0)+1),MATCH(AC$1,[3]enemies!$1:$1,0)-MATCH($L$1,[3]enemies!$1:$1,0)+1,FALSE)</f>
        <v>2</v>
      </c>
      <c r="AD6" s="131">
        <f t="shared" si="3"/>
        <v>370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132">
        <v>1</v>
      </c>
      <c r="AI6" s="131">
        <f t="shared" ca="1" si="4"/>
        <v>2</v>
      </c>
      <c r="AJ6" s="133">
        <v>0</v>
      </c>
      <c r="AK6" s="132">
        <v>0</v>
      </c>
      <c r="AL6" s="132">
        <v>0</v>
      </c>
      <c r="AM6" s="132">
        <v>0</v>
      </c>
      <c r="AN6" s="132">
        <v>0</v>
      </c>
      <c r="AO6" s="132">
        <v>1</v>
      </c>
      <c r="AP6" s="134">
        <v>1</v>
      </c>
    </row>
    <row r="7" spans="1:42" ht="21" customHeight="1" x14ac:dyDescent="0.15">
      <c r="A7" s="16" t="str">
        <f t="shared" ca="1" si="0"/>
        <v>40044_2-3/299&lt;lv80&gt;s2</v>
      </c>
      <c r="B7" s="22">
        <v>40044</v>
      </c>
      <c r="C7" s="21">
        <v>2</v>
      </c>
      <c r="D7" s="2" t="str">
        <f t="shared" si="1"/>
        <v>40044_2</v>
      </c>
      <c r="E7" s="4" t="str">
        <f ca="1">VLOOKUP($B7,OFFSET([2]quests!$A$1,0,0,COUNTA([2]quests!$A:$A),MATCH(E$1,[2]quests!$1:$1,0)-MATCH($B$1,[2]quests!$1:$1,0)+1),MATCH(E$1,[2]quests!$1:$1,0)-MATCH($B$1,[2]quests!$1:$1,0)+1,FALSE)</f>
        <v>ジキル&amp;ハイド襲来！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【ウィザード級】ジキル&amp;ハイド襲来</v>
      </c>
      <c r="G7" s="21">
        <v>3</v>
      </c>
      <c r="H7" s="15" t="str">
        <f t="shared" si="2"/>
        <v>40044_2-3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299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狂気の炎風 ミサコ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1.2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173292</v>
      </c>
      <c r="U7" s="25">
        <v>1.1000000000000001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7802.3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7" s="62">
        <v>40044007</v>
      </c>
      <c r="Z7" s="6">
        <v>1</v>
      </c>
      <c r="AA7" s="6">
        <v>100</v>
      </c>
      <c r="AB7" s="6">
        <v>1</v>
      </c>
      <c r="AC7" s="17">
        <f ca="1">VLOOKUP($L7,OFFSET([3]enemies!$A$1,0,0,COUNTA([3]enemies!$A:$A),MATCH(AC$1,[3]enemies!$1:$1,0)-MATCH($L$1,[3]enemies!$1:$1,0)+1),MATCH(AC$1,[3]enemies!$1:$1,0)-MATCH($L$1,[3]enemies!$1:$1,0)+1,FALSE)</f>
        <v>2</v>
      </c>
      <c r="AD7" s="24">
        <f t="shared" si="3"/>
        <v>299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狂気の炎風 ミサコ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Drop2W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thickBot="1" x14ac:dyDescent="0.2">
      <c r="A8" s="16" t="str">
        <f t="shared" ca="1" si="0"/>
        <v>40044_2-3/370&lt;lv79&gt;s2</v>
      </c>
      <c r="B8" s="106">
        <v>40044</v>
      </c>
      <c r="C8" s="107">
        <v>2</v>
      </c>
      <c r="D8" s="108" t="str">
        <f t="shared" si="1"/>
        <v>40044_2</v>
      </c>
      <c r="E8" s="109" t="str">
        <f ca="1">VLOOKUP($B8,OFFSET([2]quests!$A$1,0,0,COUNTA([2]quests!$A:$A),MATCH(E$1,[2]quests!$1:$1,0)-MATCH($B$1,[2]quests!$1:$1,0)+1),MATCH(E$1,[2]quests!$1:$1,0)-MATCH($B$1,[2]quests!$1:$1,0)+1,FALSE)</f>
        <v>ジキル&amp;ハイド襲来！</v>
      </c>
      <c r="F8" s="109" t="str">
        <f ca="1">VLOOKUP($D8,OFFSET([2]stages!$A$1,0,0,COUNTA([2]stages!$A:$A),MATCH(F$1,[2]stages!$2:$2,0)-MATCH($D$1,[2]stages!$2:$2,0)+1),MATCH(F$1,[2]stages!$2:$2,0)-MATCH($D$1,[2]stages!$2:$2,0)+1,FALSE)</f>
        <v>【ウィザード級】ジキル&amp;ハイド襲来</v>
      </c>
      <c r="G8" s="107">
        <v>3</v>
      </c>
      <c r="H8" s="108" t="str">
        <f t="shared" si="2"/>
        <v>40044_2-3</v>
      </c>
      <c r="I8" s="109">
        <f ca="1">VLOOKUP($H8,OFFSET(floors!$A$1,0,0,COUNTA(floors!$A:$A),MATCH(I$1,floors!$1:$1,0)-MATCH($H$1,floors!$1:$1,0)+1),MATCH(I$1,floors!$1:$1,0)-MATCH($H$1,floors!$1:$1,0)+1,FALSE)</f>
        <v>60</v>
      </c>
      <c r="J8" s="109">
        <f ca="1">VLOOKUP($H8,OFFSET(floors!$A$1,0,0,COUNTA(floors!$A:$A),MATCH(J$1,floors!$1:$1,0)-MATCH($H$1,floors!$1:$1,0)+1),MATCH(J$1,floors!$1:$1,0)-MATCH($H$1,floors!$1:$1,0)+1,FALSE)</f>
        <v>60</v>
      </c>
      <c r="K8" s="204" t="s">
        <v>53</v>
      </c>
      <c r="L8" s="111">
        <v>370</v>
      </c>
      <c r="M8" s="112" t="str">
        <f ca="1">VLOOKUP($L8,OFFSET([3]enemies!$A$1,0,0,COUNTA([3]enemies!$A:$A),MATCH(M$1,[3]enemies!$1:$1,0)-MATCH($L$1,[3]enemies!$1:$1,0)+1),MATCH(M$1,[3]enemies!$1:$1,0)-MATCH($L$1,[3]enemies!$1:$1,0)+1,FALSE)</f>
        <v>タイチ</v>
      </c>
      <c r="N8" s="112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12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12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12">
        <f ca="1">VLOOKUP($L8,OFFSET([3]enemies!$A$1,0,0,COUNTA([3]enemies!$A:$A),MATCH(Q$1,[3]enemies!$1:$1,0)-MATCH($L$1,[3]enemies!$1:$1,0)+1),MATCH(Q$1,[3]enemies!$1:$1,0)-MATCH($L$1,[3]enemies!$1:$1,0)+1,FALSE)</f>
        <v>15</v>
      </c>
      <c r="R8" s="113">
        <v>79</v>
      </c>
      <c r="S8" s="114">
        <v>4.3</v>
      </c>
      <c r="T8" s="115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69230</v>
      </c>
      <c r="U8" s="114">
        <v>0.9</v>
      </c>
      <c r="V8" s="115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5896.8</v>
      </c>
      <c r="W8" s="113">
        <v>0</v>
      </c>
      <c r="X8" s="109" t="str">
        <f ca="1">VLOOKUP($Y8,OFFSET(enemy_skill_sets!$B$1,0,0,COUNTA(enemy_skill_sets!$B:$B),MATCH(M$1,enemy_skill_sets!$1:$1,0)-MATCH($Y$1,enemy_skill_sets!$1:$1,0)+2),MATCH(M$1,enemy_skill_sets!$1:$1,0)-MATCH($Y$1,enemy_skill_sets!$1:$1,0)+2,FALSE)</f>
        <v>クリティカル！+_x000D_黄パネルプロテクト(最大5個)</v>
      </c>
      <c r="Y8" s="203">
        <v>40044008</v>
      </c>
      <c r="Z8" s="116">
        <v>1</v>
      </c>
      <c r="AA8" s="116">
        <v>100</v>
      </c>
      <c r="AB8" s="116">
        <v>0</v>
      </c>
      <c r="AC8" s="112">
        <f ca="1">VLOOKUP($L8,OFFSET([3]enemies!$A$1,0,0,COUNTA([3]enemies!$A:$A),MATCH(AC$1,[3]enemies!$1:$1,0)-MATCH($L$1,[3]enemies!$1:$1,0)+1),MATCH(AC$1,[3]enemies!$1:$1,0)-MATCH($L$1,[3]enemies!$1:$1,0)+1,FALSE)</f>
        <v>2</v>
      </c>
      <c r="AD8" s="117">
        <f t="shared" si="3"/>
        <v>370</v>
      </c>
      <c r="AE8" s="109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8" s="109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109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118">
        <v>1</v>
      </c>
      <c r="AI8" s="117">
        <f t="shared" ca="1" si="4"/>
        <v>2</v>
      </c>
      <c r="AJ8" s="119">
        <v>0</v>
      </c>
      <c r="AK8" s="118">
        <v>0</v>
      </c>
      <c r="AL8" s="118">
        <v>0</v>
      </c>
      <c r="AM8" s="118">
        <v>0</v>
      </c>
      <c r="AN8" s="118">
        <v>0</v>
      </c>
      <c r="AO8" s="118">
        <v>1</v>
      </c>
      <c r="AP8" s="120">
        <v>1</v>
      </c>
    </row>
    <row r="9" spans="1:42" ht="21" customHeight="1" thickBot="1" x14ac:dyDescent="0.2">
      <c r="A9" s="105" t="str">
        <f t="shared" si="0"/>
        <v>40044_2-4/1375&lt;lv80&gt;s2</v>
      </c>
      <c r="B9" s="152">
        <v>40044</v>
      </c>
      <c r="C9" s="153">
        <v>2</v>
      </c>
      <c r="D9" s="154" t="str">
        <f t="shared" si="1"/>
        <v>40044_2</v>
      </c>
      <c r="E9" s="109" t="str">
        <f ca="1">VLOOKUP($B9,OFFSET([2]quests!$A$1,0,0,COUNTA([2]quests!$A:$A),MATCH(E$1,[2]quests!$1:$1,0)-MATCH($B$1,[2]quests!$1:$1,0)+1),MATCH(E$1,[2]quests!$1:$1,0)-MATCH($B$1,[2]quests!$1:$1,0)+1,FALSE)</f>
        <v>ジキル&amp;ハイド襲来！</v>
      </c>
      <c r="F9" s="109" t="str">
        <f ca="1">VLOOKUP($D9,OFFSET([2]stages!$A$1,0,0,COUNTA([2]stages!$A:$A),MATCH(F$1,[2]stages!$2:$2,0)-MATCH($D$1,[2]stages!$2:$2,0)+1),MATCH(F$1,[2]stages!$2:$2,0)-MATCH($D$1,[2]stages!$2:$2,0)+1,FALSE)</f>
        <v>【ウィザード級】ジキル&amp;ハイド襲来</v>
      </c>
      <c r="G9" s="153">
        <v>4</v>
      </c>
      <c r="H9" s="154" t="str">
        <f t="shared" si="2"/>
        <v>40044_2-4</v>
      </c>
      <c r="I9" s="109">
        <f ca="1">VLOOKUP($H9,OFFSET(floors!$A$1,0,0,COUNTA(floors!$A:$A),MATCH(I$1,floors!$1:$1,0)-MATCH($H$1,floors!$1:$1,0)+1),MATCH(I$1,floors!$1:$1,0)-MATCH($H$1,floors!$1:$1,0)+1,FALSE)</f>
        <v>60</v>
      </c>
      <c r="J9" s="109">
        <f ca="1">VLOOKUP($H9,OFFSET(floors!$A$1,0,0,COUNTA(floors!$A:$A),MATCH(J$1,floors!$1:$1,0)-MATCH($H$1,floors!$1:$1,0)+1),MATCH(J$1,floors!$1:$1,0)-MATCH($H$1,floors!$1:$1,0)+1,FALSE)</f>
        <v>60</v>
      </c>
      <c r="K9" s="155">
        <v>1</v>
      </c>
      <c r="L9" s="156">
        <v>1375</v>
      </c>
      <c r="M9" s="112" t="str">
        <f ca="1">VLOOKUP($L9,OFFSET([3]enemies!$A$1,0,0,COUNTA([3]enemies!$A:$A),MATCH(M$1,[3]enemies!$1:$1,0)-MATCH($L$1,[3]enemies!$1:$1,0)+1),MATCH(M$1,[3]enemies!$1:$1,0)-MATCH($L$1,[3]enemies!$1:$1,0)+1,FALSE)</f>
        <v>ジキル&amp;ハイド</v>
      </c>
      <c r="N9" s="112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12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12" t="str">
        <f ca="1">VLOOKUP($L9,OFFSET([3]enemies!$A$1,0,0,COUNTA([3]enemies!$A:$A),MATCH(P$1,[3]enemies!$1:$1,0)-MATCH($L$1,[3]enemies!$1:$1,0)+1),MATCH(P$1,[3]enemies!$1:$1,0)-MATCH($L$1,[3]enemies!$1:$1,0)+1,FALSE)</f>
        <v>demon</v>
      </c>
      <c r="Q9" s="112">
        <f ca="1">VLOOKUP($L9,OFFSET([3]enemies!$A$1,0,0,COUNTA([3]enemies!$A:$A),MATCH(Q$1,[3]enemies!$1:$1,0)-MATCH($L$1,[3]enemies!$1:$1,0)+1),MATCH(Q$1,[3]enemies!$1:$1,0)-MATCH($L$1,[3]enemies!$1:$1,0)+1,FALSE)</f>
        <v>60</v>
      </c>
      <c r="R9" s="157">
        <v>80</v>
      </c>
      <c r="S9" s="158">
        <v>3.4</v>
      </c>
      <c r="T9" s="15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452227.2</v>
      </c>
      <c r="U9" s="158">
        <v>0.7</v>
      </c>
      <c r="V9" s="15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8620.5</v>
      </c>
      <c r="W9" s="157">
        <v>0</v>
      </c>
      <c r="X9" s="109" t="str">
        <f ca="1">VLOOKUP($Y9,OFFSET(enemy_skill_sets!$B$1,0,0,COUNTA(enemy_skill_sets!$B:$B),MATCH(M$1,enemy_skill_sets!$1:$1,0)-MATCH($Y$1,enemy_skill_sets!$1:$1,0)+2),MATCH(M$1,enemy_skill_sets!$1:$1,0)-MATCH($Y$1,enemy_skill_sets!$1:$1,0)+2,FALSE)</f>
        <v>状態異常耐性+_x000D_全ての効果を解除+_x000D_青&amp;ハートパネル以外はプロテクトしてドロップ</v>
      </c>
      <c r="Y9" s="146">
        <v>40044009</v>
      </c>
      <c r="Z9" s="160">
        <v>1</v>
      </c>
      <c r="AA9" s="160">
        <v>100</v>
      </c>
      <c r="AB9" s="160">
        <v>0</v>
      </c>
      <c r="AC9" s="112">
        <v>2</v>
      </c>
      <c r="AD9" s="161">
        <f t="shared" si="3"/>
        <v>1375</v>
      </c>
      <c r="AE9" s="109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ジキル&amp;ハイド</v>
      </c>
      <c r="AF9" s="109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109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162">
        <v>1</v>
      </c>
      <c r="AI9" s="161">
        <f t="shared" ca="1" si="4"/>
        <v>5</v>
      </c>
      <c r="AJ9" s="163">
        <v>30</v>
      </c>
      <c r="AK9" s="162">
        <v>0</v>
      </c>
      <c r="AL9" s="162">
        <v>0</v>
      </c>
      <c r="AM9" s="162">
        <v>0</v>
      </c>
      <c r="AN9" s="162">
        <v>0</v>
      </c>
      <c r="AO9" s="162">
        <v>1</v>
      </c>
      <c r="AP9" s="164">
        <v>1</v>
      </c>
    </row>
    <row r="10" spans="1:42" ht="21" customHeight="1" x14ac:dyDescent="0.15">
      <c r="A10" s="16" t="str">
        <f t="shared" ref="A10:A17" si="5">B10&amp;"_"&amp;C10&amp;"-"&amp;G10&amp;"/"&amp;L10&amp;"&lt;lv"&amp;R10&amp;"&gt;s"&amp;AC10</f>
        <v>40044_1-1/367&lt;lv60&gt;s2</v>
      </c>
      <c r="B10" s="22">
        <v>40044</v>
      </c>
      <c r="C10" s="21">
        <v>1</v>
      </c>
      <c r="D10" s="2" t="str">
        <f t="shared" ref="D10:D17" si="6">B10&amp;"_"&amp;C10</f>
        <v>40044_1</v>
      </c>
      <c r="E10" s="4" t="str">
        <f ca="1">VLOOKUP($B10,OFFSET([2]quests!$A$1,0,0,COUNTA([2]quests!$A:$A),MATCH(E$1,[2]quests!$1:$1,0)-MATCH($B$1,[2]quests!$1:$1,0)+1),MATCH(E$1,[2]quests!$1:$1,0)-MATCH($B$1,[2]quests!$1:$1,0)+1,FALSE)</f>
        <v>ジキル&amp;ハイド襲来！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【超絶級】ジキル&amp;ハイド襲来</v>
      </c>
      <c r="G10" s="21">
        <v>1</v>
      </c>
      <c r="H10" s="15" t="str">
        <f t="shared" ref="H10:H17" si="7">B10&amp;"_"&amp;C10&amp;"-"&amp;G10</f>
        <v>40044_1-1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367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爆進の小兵 トト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60</v>
      </c>
      <c r="S10" s="25">
        <v>1.6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19286.400000000001</v>
      </c>
      <c r="U10" s="25">
        <v>0.5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2050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ランダムでパネルプロテクト(最大3個)</v>
      </c>
      <c r="Y10" s="167">
        <v>40044014</v>
      </c>
      <c r="Z10" s="6">
        <v>1</v>
      </c>
      <c r="AA10" s="6">
        <v>100</v>
      </c>
      <c r="AB10" s="6">
        <v>0</v>
      </c>
      <c r="AC10" s="17">
        <v>2</v>
      </c>
      <c r="AD10" s="24">
        <f t="shared" ref="AD10:AD17" si="8">L10</f>
        <v>367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爆進の小兵 トト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ref="AI10:AI17" ca="1" si="9">AF10</f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40044_1-1/305&lt;lv60&gt;s2</v>
      </c>
      <c r="B11" s="22">
        <v>40044</v>
      </c>
      <c r="C11" s="21">
        <v>1</v>
      </c>
      <c r="D11" s="2" t="str">
        <f t="shared" si="6"/>
        <v>40044_1</v>
      </c>
      <c r="E11" s="4" t="str">
        <f ca="1">VLOOKUP($B11,OFFSET([2]quests!$A$1,0,0,COUNTA([2]quests!$A:$A),MATCH(E$1,[2]quests!$1:$1,0)-MATCH($B$1,[2]quests!$1:$1,0)+1),MATCH(E$1,[2]quests!$1:$1,0)-MATCH($B$1,[2]quests!$1:$1,0)+1,FALSE)</f>
        <v>ジキル&amp;ハイド襲来！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【超絶級】ジキル&amp;ハイド襲来</v>
      </c>
      <c r="G11" s="21">
        <v>1</v>
      </c>
      <c r="H11" s="15" t="str">
        <f t="shared" si="7"/>
        <v>40044_1-1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305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螺旋の雷電 チエミ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60</v>
      </c>
      <c r="S11" s="25">
        <v>0.7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51555</v>
      </c>
      <c r="U11" s="25">
        <v>0.6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4975.8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1" s="167">
        <v>40044013</v>
      </c>
      <c r="Z11" s="6">
        <v>1</v>
      </c>
      <c r="AA11" s="6">
        <v>100</v>
      </c>
      <c r="AB11" s="6">
        <v>1</v>
      </c>
      <c r="AC11" s="17">
        <v>2</v>
      </c>
      <c r="AD11" s="24">
        <f t="shared" si="8"/>
        <v>305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螺旋の雷電 チエミ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Drop2W</v>
      </c>
      <c r="AH11" s="7">
        <v>1</v>
      </c>
      <c r="AI11" s="24">
        <f t="shared" ca="1" si="9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thickBot="1" x14ac:dyDescent="0.2">
      <c r="A12" s="105" t="str">
        <f t="shared" si="5"/>
        <v>40044_1-1/367&lt;lv59&gt;s2</v>
      </c>
      <c r="B12" s="106">
        <v>40044</v>
      </c>
      <c r="C12" s="107">
        <v>1</v>
      </c>
      <c r="D12" s="108" t="str">
        <f t="shared" si="6"/>
        <v>40044_1</v>
      </c>
      <c r="E12" s="109" t="str">
        <f ca="1">VLOOKUP($B12,OFFSET([2]quests!$A$1,0,0,COUNTA([2]quests!$A:$A),MATCH(E$1,[2]quests!$1:$1,0)-MATCH($B$1,[2]quests!$1:$1,0)+1),MATCH(E$1,[2]quests!$1:$1,0)-MATCH($B$1,[2]quests!$1:$1,0)+1,FALSE)</f>
        <v>ジキル&amp;ハイド襲来！</v>
      </c>
      <c r="F12" s="109" t="str">
        <f ca="1">VLOOKUP($D12,OFFSET([2]stages!$A$1,0,0,COUNTA([2]stages!$A:$A),MATCH(F$1,[2]stages!$2:$2,0)-MATCH($D$1,[2]stages!$2:$2,0)+1),MATCH(F$1,[2]stages!$2:$2,0)-MATCH($D$1,[2]stages!$2:$2,0)+1,FALSE)</f>
        <v>【超絶級】ジキル&amp;ハイド襲来</v>
      </c>
      <c r="G12" s="107">
        <v>1</v>
      </c>
      <c r="H12" s="108" t="str">
        <f t="shared" si="7"/>
        <v>40044_1-1</v>
      </c>
      <c r="I12" s="109">
        <f ca="1">VLOOKUP($H12,OFFSET(floors!$A$1,0,0,COUNTA(floors!$A:$A),MATCH(I$1,floors!$1:$1,0)-MATCH($H$1,floors!$1:$1,0)+1),MATCH(I$1,floors!$1:$1,0)-MATCH($H$1,floors!$1:$1,0)+1,FALSE)</f>
        <v>60</v>
      </c>
      <c r="J12" s="109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111">
        <v>367</v>
      </c>
      <c r="M12" s="112" t="str">
        <f ca="1">VLOOKUP($L12,OFFSET([3]enemies!$A$1,0,0,COUNTA([3]enemies!$A:$A),MATCH(M$1,[3]enemies!$1:$1,0)-MATCH($L$1,[3]enemies!$1:$1,0)+1),MATCH(M$1,[3]enemies!$1:$1,0)-MATCH($L$1,[3]enemies!$1:$1,0)+1,FALSE)</f>
        <v>爆進の小兵 トト</v>
      </c>
      <c r="N12" s="112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12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12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12">
        <f ca="1">VLOOKUP($L12,OFFSET([3]enemies!$A$1,0,0,COUNTA([3]enemies!$A:$A),MATCH(Q$1,[3]enemies!$1:$1,0)-MATCH($L$1,[3]enemies!$1:$1,0)+1),MATCH(Q$1,[3]enemies!$1:$1,0)-MATCH($L$1,[3]enemies!$1:$1,0)+1,FALSE)</f>
        <v>15</v>
      </c>
      <c r="R12" s="113">
        <v>59</v>
      </c>
      <c r="S12" s="114">
        <v>1.6</v>
      </c>
      <c r="T12" s="115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18972.8</v>
      </c>
      <c r="U12" s="114">
        <v>0.5</v>
      </c>
      <c r="V12" s="115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2016.5</v>
      </c>
      <c r="W12" s="113">
        <v>0</v>
      </c>
      <c r="X12" s="109" t="str">
        <f ca="1">VLOOKUP($Y12,OFFSET(enemy_skill_sets!$B$1,0,0,COUNTA(enemy_skill_sets!$B:$B),MATCH(M$1,enemy_skill_sets!$1:$1,0)-MATCH($Y$1,enemy_skill_sets!$1:$1,0)+2),MATCH(M$1,enemy_skill_sets!$1:$1,0)-MATCH($Y$1,enemy_skill_sets!$1:$1,0)+2,FALSE)</f>
        <v>2ターン全ユニットにウィルス</v>
      </c>
      <c r="Y12" s="205">
        <v>40044012</v>
      </c>
      <c r="Z12" s="116">
        <v>1</v>
      </c>
      <c r="AA12" s="116">
        <v>100</v>
      </c>
      <c r="AB12" s="116">
        <v>0</v>
      </c>
      <c r="AC12" s="112">
        <v>2</v>
      </c>
      <c r="AD12" s="117">
        <f t="shared" si="8"/>
        <v>367</v>
      </c>
      <c r="AE12" s="109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爆進の小兵 トト</v>
      </c>
      <c r="AF12" s="109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109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118">
        <v>1</v>
      </c>
      <c r="AI12" s="117">
        <f t="shared" ca="1" si="9"/>
        <v>3</v>
      </c>
      <c r="AJ12" s="119">
        <v>0</v>
      </c>
      <c r="AK12" s="118">
        <v>0</v>
      </c>
      <c r="AL12" s="118">
        <v>0</v>
      </c>
      <c r="AM12" s="118">
        <v>0</v>
      </c>
      <c r="AN12" s="118">
        <v>0</v>
      </c>
      <c r="AO12" s="118">
        <v>1</v>
      </c>
      <c r="AP12" s="120">
        <v>1</v>
      </c>
    </row>
    <row r="13" spans="1:42" ht="21" customHeight="1" thickBot="1" x14ac:dyDescent="0.2">
      <c r="A13" s="135" t="str">
        <f t="shared" si="5"/>
        <v>40044_1-2/1375&lt;lv60&gt;s2</v>
      </c>
      <c r="B13" s="136">
        <v>40044</v>
      </c>
      <c r="C13" s="137">
        <v>1</v>
      </c>
      <c r="D13" s="138" t="str">
        <f t="shared" si="6"/>
        <v>40044_1</v>
      </c>
      <c r="E13" s="139" t="str">
        <f ca="1">VLOOKUP($B13,OFFSET([2]quests!$A$1,0,0,COUNTA([2]quests!$A:$A),MATCH(E$1,[2]quests!$1:$1,0)-MATCH($B$1,[2]quests!$1:$1,0)+1),MATCH(E$1,[2]quests!$1:$1,0)-MATCH($B$1,[2]quests!$1:$1,0)+1,FALSE)</f>
        <v>ジキル&amp;ハイド襲来！</v>
      </c>
      <c r="F13" s="139" t="str">
        <f ca="1">VLOOKUP($D13,OFFSET([2]stages!$A$1,0,0,COUNTA([2]stages!$A:$A),MATCH(F$1,[2]stages!$2:$2,0)-MATCH($D$1,[2]stages!$2:$2,0)+1),MATCH(F$1,[2]stages!$2:$2,0)-MATCH($D$1,[2]stages!$2:$2,0)+1,FALSE)</f>
        <v>【超絶級】ジキル&amp;ハイド襲来</v>
      </c>
      <c r="G13" s="137">
        <v>2</v>
      </c>
      <c r="H13" s="138" t="str">
        <f t="shared" si="7"/>
        <v>40044_1-2</v>
      </c>
      <c r="I13" s="139">
        <f ca="1">VLOOKUP($H13,OFFSET(floors!$A$1,0,0,COUNTA(floors!$A:$A),MATCH(I$1,floors!$1:$1,0)-MATCH($H$1,floors!$1:$1,0)+1),MATCH(I$1,floors!$1:$1,0)-MATCH($H$1,floors!$1:$1,0)+1,FALSE)</f>
        <v>60</v>
      </c>
      <c r="J13" s="139">
        <f ca="1">VLOOKUP($H13,OFFSET(floors!$A$1,0,0,COUNTA(floors!$A:$A),MATCH(J$1,floors!$1:$1,0)-MATCH($H$1,floors!$1:$1,0)+1),MATCH(J$1,floors!$1:$1,0)-MATCH($H$1,floors!$1:$1,0)+1,FALSE)</f>
        <v>60</v>
      </c>
      <c r="K13" s="140">
        <v>1</v>
      </c>
      <c r="L13" s="141">
        <v>1375</v>
      </c>
      <c r="M13" s="142" t="str">
        <f ca="1">VLOOKUP($L13,OFFSET([3]enemies!$A$1,0,0,COUNTA([3]enemies!$A:$A),MATCH(M$1,[3]enemies!$1:$1,0)-MATCH($L$1,[3]enemies!$1:$1,0)+1),MATCH(M$1,[3]enemies!$1:$1,0)-MATCH($L$1,[3]enemies!$1:$1,0)+1,FALSE)</f>
        <v>ジキル&amp;ハイド</v>
      </c>
      <c r="N13" s="142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42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42" t="str">
        <f ca="1">VLOOKUP($L13,OFFSET([3]enemies!$A$1,0,0,COUNTA([3]enemies!$A:$A),MATCH(P$1,[3]enemies!$1:$1,0)-MATCH($L$1,[3]enemies!$1:$1,0)+1),MATCH(P$1,[3]enemies!$1:$1,0)-MATCH($L$1,[3]enemies!$1:$1,0)+1,FALSE)</f>
        <v>demon</v>
      </c>
      <c r="Q13" s="142">
        <f ca="1">VLOOKUP($L13,OFFSET([3]enemies!$A$1,0,0,COUNTA([3]enemies!$A:$A),MATCH(Q$1,[3]enemies!$1:$1,0)-MATCH($L$1,[3]enemies!$1:$1,0)+1),MATCH(Q$1,[3]enemies!$1:$1,0)-MATCH($L$1,[3]enemies!$1:$1,0)+1,FALSE)</f>
        <v>60</v>
      </c>
      <c r="R13" s="143">
        <v>60</v>
      </c>
      <c r="S13" s="144">
        <v>1.8</v>
      </c>
      <c r="T13" s="145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180662.39999999999</v>
      </c>
      <c r="U13" s="144">
        <v>0.6</v>
      </c>
      <c r="V13" s="145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5575.8</v>
      </c>
      <c r="W13" s="143">
        <v>0</v>
      </c>
      <c r="X13" s="139" t="str">
        <f ca="1">VLOOKUP($Y13,OFFSET(enemy_skill_sets!$B$1,0,0,COUNTA(enemy_skill_sets!$B:$B),MATCH(M$1,enemy_skill_sets!$1:$1,0)-MATCH($Y$1,enemy_skill_sets!$1:$1,0)+2),MATCH(M$1,enemy_skill_sets!$1:$1,0)-MATCH($Y$1,enemy_skill_sets!$1:$1,0)+2,FALSE)</f>
        <v>赤パネルドロップ率UP+_x000D_全ユニットの攻撃をカウンター</v>
      </c>
      <c r="Y13" s="206">
        <v>40044015</v>
      </c>
      <c r="Z13" s="147">
        <v>1</v>
      </c>
      <c r="AA13" s="147">
        <v>100</v>
      </c>
      <c r="AB13" s="147">
        <v>0</v>
      </c>
      <c r="AC13" s="142">
        <v>2</v>
      </c>
      <c r="AD13" s="148">
        <f t="shared" si="8"/>
        <v>1375</v>
      </c>
      <c r="AE13" s="139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ジキル&amp;ハイド</v>
      </c>
      <c r="AF13" s="139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139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149">
        <v>1</v>
      </c>
      <c r="AI13" s="148">
        <f t="shared" ca="1" si="9"/>
        <v>5</v>
      </c>
      <c r="AJ13" s="150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v>1</v>
      </c>
      <c r="AP13" s="151">
        <v>1</v>
      </c>
    </row>
    <row r="14" spans="1:42" ht="21" customHeight="1" x14ac:dyDescent="0.15">
      <c r="A14" s="16" t="str">
        <f t="shared" ca="1" si="5"/>
        <v>40044_1-3/370&lt;lv60&gt;s2</v>
      </c>
      <c r="B14" s="22">
        <v>40044</v>
      </c>
      <c r="C14" s="123">
        <v>1</v>
      </c>
      <c r="D14" s="124" t="str">
        <f t="shared" si="6"/>
        <v>40044_1</v>
      </c>
      <c r="E14" s="4" t="str">
        <f ca="1">VLOOKUP($B14,OFFSET([2]quests!$A$1,0,0,COUNTA([2]quests!$A:$A),MATCH(E$1,[2]quests!$1:$1,0)-MATCH($B$1,[2]quests!$1:$1,0)+1),MATCH(E$1,[2]quests!$1:$1,0)-MATCH($B$1,[2]quests!$1:$1,0)+1,FALSE)</f>
        <v>ジキル&amp;ハイド襲来！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【超絶級】ジキル&amp;ハイド襲来</v>
      </c>
      <c r="G14" s="123">
        <v>3</v>
      </c>
      <c r="H14" s="124" t="str">
        <f t="shared" si="7"/>
        <v>40044_1-3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126">
        <v>370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タイチ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127">
        <v>60</v>
      </c>
      <c r="S14" s="128">
        <v>4</v>
      </c>
      <c r="T14" s="129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49200</v>
      </c>
      <c r="U14" s="128">
        <v>0.9</v>
      </c>
      <c r="V14" s="129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4505.4000000000005</v>
      </c>
      <c r="W14" s="127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ウィルス状態のユニットに大ダメージ</v>
      </c>
      <c r="Y14" s="208">
        <v>40044017</v>
      </c>
      <c r="Z14" s="130">
        <v>1</v>
      </c>
      <c r="AA14" s="130">
        <v>100</v>
      </c>
      <c r="AB14" s="130">
        <v>0</v>
      </c>
      <c r="AC14" s="17">
        <f ca="1">VLOOKUP($L14,OFFSET([3]enemies!$A$1,0,0,COUNTA([3]enemies!$A:$A),MATCH(AC$1,[3]enemies!$1:$1,0)-MATCH($L$1,[3]enemies!$1:$1,0)+1),MATCH(AC$1,[3]enemies!$1:$1,0)-MATCH($L$1,[3]enemies!$1:$1,0)+1,FALSE)</f>
        <v>2</v>
      </c>
      <c r="AD14" s="131">
        <f t="shared" si="8"/>
        <v>370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132">
        <v>1</v>
      </c>
      <c r="AI14" s="131">
        <f t="shared" ca="1" si="9"/>
        <v>2</v>
      </c>
      <c r="AJ14" s="133">
        <v>0</v>
      </c>
      <c r="AK14" s="132">
        <v>0</v>
      </c>
      <c r="AL14" s="132">
        <v>0</v>
      </c>
      <c r="AM14" s="132">
        <v>0</v>
      </c>
      <c r="AN14" s="132">
        <v>0</v>
      </c>
      <c r="AO14" s="132">
        <v>1</v>
      </c>
      <c r="AP14" s="134">
        <v>1</v>
      </c>
    </row>
    <row r="15" spans="1:42" ht="21" customHeight="1" x14ac:dyDescent="0.15">
      <c r="A15" s="16" t="str">
        <f t="shared" ca="1" si="5"/>
        <v>40044_1-3/299&lt;lv60&gt;s2</v>
      </c>
      <c r="B15" s="22">
        <v>40044</v>
      </c>
      <c r="C15" s="21">
        <v>1</v>
      </c>
      <c r="D15" s="2" t="str">
        <f t="shared" si="6"/>
        <v>40044_1</v>
      </c>
      <c r="E15" s="4" t="str">
        <f ca="1">VLOOKUP($B15,OFFSET([2]quests!$A$1,0,0,COUNTA([2]quests!$A:$A),MATCH(E$1,[2]quests!$1:$1,0)-MATCH($B$1,[2]quests!$1:$1,0)+1),MATCH(E$1,[2]quests!$1:$1,0)-MATCH($B$1,[2]quests!$1:$1,0)+1,FALSE)</f>
        <v>ジキル&amp;ハイド襲来！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【超絶級】ジキル&amp;ハイド襲来</v>
      </c>
      <c r="G15" s="21">
        <v>3</v>
      </c>
      <c r="H15" s="15" t="str">
        <f t="shared" si="7"/>
        <v>40044_1-3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299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狂気の炎風 ミサコ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Drop2W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5">
        <v>1.2</v>
      </c>
      <c r="T15" s="103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130766.39999999999</v>
      </c>
      <c r="U15" s="25">
        <v>1.1000000000000001</v>
      </c>
      <c r="V15" s="103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5888.3</v>
      </c>
      <c r="W15" s="5">
        <v>0</v>
      </c>
      <c r="X15" s="17" t="str">
        <f ca="1">VLOOKUP($Y15,OFFSET(enemy_skill_sets!$B$1,0,0,COUNTA(enemy_skill_sets!$B:$B),MATCH(M$1,enemy_skill_sets!$1:$1,0)-MATCH($Y$1,enemy_skill_sets!$1:$1,0)+2),MATCH(M$1,enemy_skill_sets!$1:$1,0)-MATCH($Y$1,enemy_skill_sets!$1:$1,0)+2,FALSE)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5" s="47">
        <v>40044018</v>
      </c>
      <c r="Z15" s="207">
        <v>1</v>
      </c>
      <c r="AA15" s="6">
        <v>100</v>
      </c>
      <c r="AB15" s="6">
        <v>1</v>
      </c>
      <c r="AC15" s="17">
        <f ca="1">VLOOKUP($L15,OFFSET([3]enemies!$A$1,0,0,COUNTA([3]enemies!$A:$A),MATCH(AC$1,[3]enemies!$1:$1,0)-MATCH($L$1,[3]enemies!$1:$1,0)+1),MATCH(AC$1,[3]enemies!$1:$1,0)-MATCH($L$1,[3]enemies!$1:$1,0)+1,FALSE)</f>
        <v>2</v>
      </c>
      <c r="AD15" s="24">
        <f t="shared" si="8"/>
        <v>299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狂気の炎風 ミサコ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Drop2W</v>
      </c>
      <c r="AH15" s="7">
        <v>1</v>
      </c>
      <c r="AI15" s="24">
        <f t="shared" ca="1" si="9"/>
        <v>4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thickBot="1" x14ac:dyDescent="0.2">
      <c r="A16" s="16" t="str">
        <f t="shared" ca="1" si="5"/>
        <v>40044_1-3/370&lt;lv59&gt;s2</v>
      </c>
      <c r="B16" s="106">
        <v>40044</v>
      </c>
      <c r="C16" s="107">
        <v>1</v>
      </c>
      <c r="D16" s="108" t="str">
        <f t="shared" si="6"/>
        <v>40044_1</v>
      </c>
      <c r="E16" s="109" t="str">
        <f ca="1">VLOOKUP($B16,OFFSET([2]quests!$A$1,0,0,COUNTA([2]quests!$A:$A),MATCH(E$1,[2]quests!$1:$1,0)-MATCH($B$1,[2]quests!$1:$1,0)+1),MATCH(E$1,[2]quests!$1:$1,0)-MATCH($B$1,[2]quests!$1:$1,0)+1,FALSE)</f>
        <v>ジキル&amp;ハイド襲来！</v>
      </c>
      <c r="F16" s="109" t="str">
        <f ca="1">VLOOKUP($D16,OFFSET([2]stages!$A$1,0,0,COUNTA([2]stages!$A:$A),MATCH(F$1,[2]stages!$2:$2,0)-MATCH($D$1,[2]stages!$2:$2,0)+1),MATCH(F$1,[2]stages!$2:$2,0)-MATCH($D$1,[2]stages!$2:$2,0)+1,FALSE)</f>
        <v>【超絶級】ジキル&amp;ハイド襲来</v>
      </c>
      <c r="G16" s="107">
        <v>3</v>
      </c>
      <c r="H16" s="108" t="str">
        <f t="shared" si="7"/>
        <v>40044_1-3</v>
      </c>
      <c r="I16" s="109">
        <f ca="1">VLOOKUP($H16,OFFSET(floors!$A$1,0,0,COUNTA(floors!$A:$A),MATCH(I$1,floors!$1:$1,0)-MATCH($H$1,floors!$1:$1,0)+1),MATCH(I$1,floors!$1:$1,0)-MATCH($H$1,floors!$1:$1,0)+1,FALSE)</f>
        <v>60</v>
      </c>
      <c r="J16" s="109">
        <f ca="1">VLOOKUP($H16,OFFSET(floors!$A$1,0,0,COUNTA(floors!$A:$A),MATCH(J$1,floors!$1:$1,0)-MATCH($H$1,floors!$1:$1,0)+1),MATCH(J$1,floors!$1:$1,0)-MATCH($H$1,floors!$1:$1,0)+1,FALSE)</f>
        <v>60</v>
      </c>
      <c r="K16" s="204" t="s">
        <v>53</v>
      </c>
      <c r="L16" s="111">
        <v>370</v>
      </c>
      <c r="M16" s="112" t="str">
        <f ca="1">VLOOKUP($L16,OFFSET([3]enemies!$A$1,0,0,COUNTA([3]enemies!$A:$A),MATCH(M$1,[3]enemies!$1:$1,0)-MATCH($L$1,[3]enemies!$1:$1,0)+1),MATCH(M$1,[3]enemies!$1:$1,0)-MATCH($L$1,[3]enemies!$1:$1,0)+1,FALSE)</f>
        <v>タイチ</v>
      </c>
      <c r="N16" s="112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12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12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12">
        <f ca="1">VLOOKUP($L16,OFFSET([3]enemies!$A$1,0,0,COUNTA([3]enemies!$A:$A),MATCH(Q$1,[3]enemies!$1:$1,0)-MATCH($L$1,[3]enemies!$1:$1,0)+1),MATCH(Q$1,[3]enemies!$1:$1,0)-MATCH($L$1,[3]enemies!$1:$1,0)+1,FALSE)</f>
        <v>15</v>
      </c>
      <c r="R16" s="113">
        <v>59</v>
      </c>
      <c r="S16" s="114">
        <v>4</v>
      </c>
      <c r="T16" s="115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48400</v>
      </c>
      <c r="U16" s="114">
        <v>0.9</v>
      </c>
      <c r="V16" s="115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4431.6000000000004</v>
      </c>
      <c r="W16" s="113">
        <v>0</v>
      </c>
      <c r="X16" s="109" t="str">
        <f ca="1">VLOOKUP($Y16,OFFSET(enemy_skill_sets!$B$1,0,0,COUNTA(enemy_skill_sets!$B:$B),MATCH(M$1,enemy_skill_sets!$1:$1,0)-MATCH($Y$1,enemy_skill_sets!$1:$1,0)+2),MATCH(M$1,enemy_skill_sets!$1:$1,0)-MATCH($Y$1,enemy_skill_sets!$1:$1,0)+2,FALSE)</f>
        <v>クリティカル！+_x000D_黄パネルプロテクト(最大5個)</v>
      </c>
      <c r="Y16" s="174">
        <v>40044019</v>
      </c>
      <c r="Z16" s="116">
        <v>1</v>
      </c>
      <c r="AA16" s="116">
        <v>100</v>
      </c>
      <c r="AB16" s="116">
        <v>0</v>
      </c>
      <c r="AC16" s="112">
        <f ca="1">VLOOKUP($L16,OFFSET([3]enemies!$A$1,0,0,COUNTA([3]enemies!$A:$A),MATCH(AC$1,[3]enemies!$1:$1,0)-MATCH($L$1,[3]enemies!$1:$1,0)+1),MATCH(AC$1,[3]enemies!$1:$1,0)-MATCH($L$1,[3]enemies!$1:$1,0)+1,FALSE)</f>
        <v>2</v>
      </c>
      <c r="AD16" s="117">
        <f t="shared" si="8"/>
        <v>370</v>
      </c>
      <c r="AE16" s="109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6" s="109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109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Drop1S</v>
      </c>
      <c r="AH16" s="118">
        <v>1</v>
      </c>
      <c r="AI16" s="117">
        <f t="shared" ca="1" si="9"/>
        <v>2</v>
      </c>
      <c r="AJ16" s="119">
        <v>0</v>
      </c>
      <c r="AK16" s="118">
        <v>0</v>
      </c>
      <c r="AL16" s="118">
        <v>0</v>
      </c>
      <c r="AM16" s="118">
        <v>0</v>
      </c>
      <c r="AN16" s="118">
        <v>0</v>
      </c>
      <c r="AO16" s="118">
        <v>1</v>
      </c>
      <c r="AP16" s="120">
        <v>1</v>
      </c>
    </row>
    <row r="17" spans="1:42" ht="21" customHeight="1" thickBot="1" x14ac:dyDescent="0.2">
      <c r="A17" s="105" t="str">
        <f t="shared" si="5"/>
        <v>40044_1-4/1375&lt;lv60&gt;s2</v>
      </c>
      <c r="B17" s="152">
        <v>40044</v>
      </c>
      <c r="C17" s="153">
        <v>1</v>
      </c>
      <c r="D17" s="154" t="str">
        <f t="shared" si="6"/>
        <v>40044_1</v>
      </c>
      <c r="E17" s="109" t="str">
        <f ca="1">VLOOKUP($B17,OFFSET([2]quests!$A$1,0,0,COUNTA([2]quests!$A:$A),MATCH(E$1,[2]quests!$1:$1,0)-MATCH($B$1,[2]quests!$1:$1,0)+1),MATCH(E$1,[2]quests!$1:$1,0)-MATCH($B$1,[2]quests!$1:$1,0)+1,FALSE)</f>
        <v>ジキル&amp;ハイド襲来！</v>
      </c>
      <c r="F17" s="109" t="str">
        <f ca="1">VLOOKUP($D17,OFFSET([2]stages!$A$1,0,0,COUNTA([2]stages!$A:$A),MATCH(F$1,[2]stages!$2:$2,0)-MATCH($D$1,[2]stages!$2:$2,0)+1),MATCH(F$1,[2]stages!$2:$2,0)-MATCH($D$1,[2]stages!$2:$2,0)+1,FALSE)</f>
        <v>【超絶級】ジキル&amp;ハイド襲来</v>
      </c>
      <c r="G17" s="153">
        <v>4</v>
      </c>
      <c r="H17" s="154" t="str">
        <f t="shared" si="7"/>
        <v>40044_1-4</v>
      </c>
      <c r="I17" s="109">
        <f ca="1">VLOOKUP($H17,OFFSET(floors!$A$1,0,0,COUNTA(floors!$A:$A),MATCH(I$1,floors!$1:$1,0)-MATCH($H$1,floors!$1:$1,0)+1),MATCH(I$1,floors!$1:$1,0)-MATCH($H$1,floors!$1:$1,0)+1,FALSE)</f>
        <v>60</v>
      </c>
      <c r="J17" s="109">
        <f ca="1">VLOOKUP($H17,OFFSET(floors!$A$1,0,0,COUNTA(floors!$A:$A),MATCH(J$1,floors!$1:$1,0)-MATCH($H$1,floors!$1:$1,0)+1),MATCH(J$1,floors!$1:$1,0)-MATCH($H$1,floors!$1:$1,0)+1,FALSE)</f>
        <v>60</v>
      </c>
      <c r="K17" s="155">
        <v>1</v>
      </c>
      <c r="L17" s="156">
        <v>1375</v>
      </c>
      <c r="M17" s="112" t="str">
        <f ca="1">VLOOKUP($L17,OFFSET([3]enemies!$A$1,0,0,COUNTA([3]enemies!$A:$A),MATCH(M$1,[3]enemies!$1:$1,0)-MATCH($L$1,[3]enemies!$1:$1,0)+1),MATCH(M$1,[3]enemies!$1:$1,0)-MATCH($L$1,[3]enemies!$1:$1,0)+1,FALSE)</f>
        <v>ジキル&amp;ハイド</v>
      </c>
      <c r="N17" s="112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12" t="str">
        <f ca="1">VLOOKUP($L17,OFFSET([4]characters!$A$1,0,0,COUNTA([4]characters!$A:$A),MATCH(O$1,[4]characters!$1:$1,0)-MATCH($L$1,[4]characters!$1:$1,0)+1),MATCH(O$1,[4]characters!$1:$1,0)-MATCH($L$1,[4]characters!$1:$1,0)+1,FALSE)</f>
        <v>DropWizS</v>
      </c>
      <c r="P17" s="112" t="str">
        <f ca="1">VLOOKUP($L17,OFFSET([3]enemies!$A$1,0,0,COUNTA([3]enemies!$A:$A),MATCH(P$1,[3]enemies!$1:$1,0)-MATCH($L$1,[3]enemies!$1:$1,0)+1),MATCH(P$1,[3]enemies!$1:$1,0)-MATCH($L$1,[3]enemies!$1:$1,0)+1,FALSE)</f>
        <v>demon</v>
      </c>
      <c r="Q17" s="112">
        <f ca="1">VLOOKUP($L17,OFFSET([3]enemies!$A$1,0,0,COUNTA([3]enemies!$A:$A),MATCH(Q$1,[3]enemies!$1:$1,0)-MATCH($L$1,[3]enemies!$1:$1,0)+1),MATCH(Q$1,[3]enemies!$1:$1,0)-MATCH($L$1,[3]enemies!$1:$1,0)+1,FALSE)</f>
        <v>60</v>
      </c>
      <c r="R17" s="157">
        <v>60</v>
      </c>
      <c r="S17" s="158">
        <v>2.7</v>
      </c>
      <c r="T17" s="159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270993.60000000003</v>
      </c>
      <c r="U17" s="158">
        <v>0.7</v>
      </c>
      <c r="V17" s="159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6505.0999999999995</v>
      </c>
      <c r="W17" s="157">
        <v>0</v>
      </c>
      <c r="X17" s="109" t="str">
        <f ca="1">VLOOKUP($Y17,OFFSET(enemy_skill_sets!$B$1,0,0,COUNTA(enemy_skill_sets!$B:$B),MATCH(M$1,enemy_skill_sets!$1:$1,0)-MATCH($Y$1,enemy_skill_sets!$1:$1,0)+2),MATCH(M$1,enemy_skill_sets!$1:$1,0)-MATCH($Y$1,enemy_skill_sets!$1:$1,0)+2,FALSE)</f>
        <v>状態異常耐性+_x000D_全ての効果を解除+_x000D_赤パネルをプロテクトしてドロップ</v>
      </c>
      <c r="Y17" s="209">
        <v>40044020</v>
      </c>
      <c r="Z17" s="160">
        <v>1</v>
      </c>
      <c r="AA17" s="160">
        <v>100</v>
      </c>
      <c r="AB17" s="160">
        <v>0</v>
      </c>
      <c r="AC17" s="112">
        <v>2</v>
      </c>
      <c r="AD17" s="161">
        <f t="shared" si="8"/>
        <v>1375</v>
      </c>
      <c r="AE17" s="109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ジキル&amp;ハイド</v>
      </c>
      <c r="AF17" s="109">
        <f ca="1">VLOOKUP($AD17,OFFSET([4]characters!$A$1,0,0,COUNTA([4]characters!$A:$A),MATCH(AF$1,[4]characters!$1:$1,0)-MATCH("character_id",[4]characters!$1:$1,0)+1),MATCH(AF$1,[4]characters!$1:$1,0)-MATCH("character_id",[4]characters!$1:$1,0)+1,FALSE)</f>
        <v>5</v>
      </c>
      <c r="AG17" s="109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7" s="162">
        <v>1</v>
      </c>
      <c r="AI17" s="161">
        <f t="shared" ca="1" si="9"/>
        <v>5</v>
      </c>
      <c r="AJ17" s="163">
        <v>15</v>
      </c>
      <c r="AK17" s="162">
        <v>0</v>
      </c>
      <c r="AL17" s="162">
        <v>0</v>
      </c>
      <c r="AM17" s="162">
        <v>0</v>
      </c>
      <c r="AN17" s="162">
        <v>0</v>
      </c>
      <c r="AO17" s="162">
        <v>1</v>
      </c>
      <c r="AP17" s="164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27" sqref="L27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251</v>
      </c>
      <c r="V1" s="26" t="s">
        <v>50</v>
      </c>
      <c r="W1" s="102" t="s">
        <v>252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thickBot="1" x14ac:dyDescent="0.2">
      <c r="A2" s="105" t="str">
        <f t="shared" ref="A2:A7" si="0">B2&amp;"_"&amp;C2&amp;"-"&amp;G2&amp;"/"&amp;M2&amp;"&lt;lv"&amp;S2&amp;"&gt;sq"&amp;K2&amp;"st"&amp;L2</f>
        <v>40044_2-2/1375&lt;lv80&gt;sq1st2</v>
      </c>
      <c r="B2" s="106">
        <v>40044</v>
      </c>
      <c r="C2" s="107">
        <v>2</v>
      </c>
      <c r="D2" s="108" t="str">
        <f t="shared" ref="D2:D7" si="1">B2&amp;"_"&amp;C2</f>
        <v>40044_2</v>
      </c>
      <c r="E2" s="109" t="str">
        <f ca="1">VLOOKUP($B2,OFFSET([2]quests!$A$1,0,0,COUNTA([2]quests!$A:$A),MATCH(E$1,[2]quests!$1:$1,0)-MATCH($B$1,[2]quests!$1:$1,0)+1),MATCH(E$1,[2]quests!$1:$1,0)-MATCH($B$1,[2]quests!$1:$1,0)+1,FALSE)</f>
        <v>ジキル&amp;ハイド襲来！</v>
      </c>
      <c r="F2" s="109" t="str">
        <f ca="1">VLOOKUP($D2,OFFSET([2]stages!$A$1,0,0,COUNTA([2]stages!$A:$A),MATCH(F$1,[2]stages!$2:$2,0)-MATCH($D$1,[2]stages!$2:$2,0)+1),MATCH(F$1,[2]stages!$2:$2,0)-MATCH($D$1,[2]stages!$2:$2,0)+1,FALSE)</f>
        <v>【ウィザード級】ジキル&amp;ハイド襲来</v>
      </c>
      <c r="G2" s="107">
        <v>2</v>
      </c>
      <c r="H2" s="108" t="str">
        <f t="shared" ref="H2:H7" si="2">B2&amp;"_"&amp;C2&amp;"-"&amp;G2</f>
        <v>40044_2-2</v>
      </c>
      <c r="I2" s="109">
        <f ca="1">VLOOKUP($H2,OFFSET(floors!$A$1,0,0,COUNTA(floors!$A:$A),MATCH(I$1,floors!$1:$1,0)-MATCH($H$1,floors!$1:$1,0)+1),MATCH(I$1,floors!$1:$1,0)-MATCH($H$1,floors!$1:$1,0)+1,FALSE)</f>
        <v>60</v>
      </c>
      <c r="J2" s="109">
        <f ca="1">VLOOKUP($H2,OFFSET(floors!$A$1,0,0,COUNTA(floors!$A:$A),MATCH(J$1,floors!$1:$1,0)-MATCH($H$1,floors!$1:$1,0)+1),MATCH(J$1,floors!$1:$1,0)-MATCH($H$1,floors!$1:$1,0)+1,FALSE)</f>
        <v>60</v>
      </c>
      <c r="K2" s="110">
        <v>1</v>
      </c>
      <c r="L2" s="110">
        <v>2</v>
      </c>
      <c r="M2" s="111">
        <v>1375</v>
      </c>
      <c r="N2" s="112" t="str">
        <f ca="1">VLOOKUP($M2,OFFSET([3]enemies!$A$1,0,0,COUNTA([3]enemies!$A:$A),MATCH(N$1,[3]enemies!$1:$1,0)-MATCH($M$1,[3]enemies!$1:$1,0)+1),MATCH(N$1,[3]enemies!$1:$1,0)-MATCH($M$1,[3]enemies!$1:$1,0)+1,FALSE)</f>
        <v>ジキル&amp;ハイド</v>
      </c>
      <c r="O2" s="112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12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12" t="str">
        <f ca="1">VLOOKUP($M2,OFFSET([3]enemies!$A$1,0,0,COUNTA([3]enemies!$A:$A),MATCH(Q$1,[3]enemies!$1:$1,0)-MATCH($M$1,[3]enemies!$1:$1,0)+1),MATCH(Q$1,[3]enemies!$1:$1,0)-MATCH($M$1,[3]enemies!$1:$1,0)+1,FALSE)</f>
        <v>demon</v>
      </c>
      <c r="R2" s="112">
        <f ca="1">VLOOKUP($M2,OFFSET([3]enemies!$A$1,0,0,COUNTA([3]enemies!$A:$A),MATCH(R$1,[3]enemies!$1:$1,0)-MATCH($M$1,[3]enemies!$1:$1,0)+1),MATCH(R$1,[3]enemies!$1:$1,0)-MATCH($M$1,[3]enemies!$1:$1,0)+1,FALSE)</f>
        <v>60</v>
      </c>
      <c r="S2" s="113">
        <v>80</v>
      </c>
      <c r="T2" s="114">
        <v>2.7</v>
      </c>
      <c r="U2" s="11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359121.60000000003</v>
      </c>
      <c r="V2" s="114">
        <v>0.7</v>
      </c>
      <c r="W2" s="11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8620.5</v>
      </c>
      <c r="X2" s="113">
        <v>0</v>
      </c>
      <c r="Y2" s="109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202">
        <v>40044005</v>
      </c>
      <c r="AA2" s="122">
        <v>1</v>
      </c>
    </row>
    <row r="3" spans="1:27" ht="21" customHeight="1" x14ac:dyDescent="0.15">
      <c r="A3" s="16" t="str">
        <f t="shared" si="0"/>
        <v>40044_2-4/1375&lt;lv80&gt;sq1st2</v>
      </c>
      <c r="B3" s="22">
        <v>40044</v>
      </c>
      <c r="C3" s="123">
        <v>2</v>
      </c>
      <c r="D3" s="124" t="str">
        <f t="shared" si="1"/>
        <v>40044_2</v>
      </c>
      <c r="E3" s="4" t="str">
        <f ca="1">VLOOKUP($B3,OFFSET([2]quests!$A$1,0,0,COUNTA([2]quests!$A:$A),MATCH(E$1,[2]quests!$1:$1,0)-MATCH($B$1,[2]quests!$1:$1,0)+1),MATCH(E$1,[2]quests!$1:$1,0)-MATCH($B$1,[2]quests!$1:$1,0)+1,FALSE)</f>
        <v>ジキル&amp;ハイド襲来！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【ウィザード級】ジキル&amp;ハイド襲来</v>
      </c>
      <c r="G3" s="123">
        <v>4</v>
      </c>
      <c r="H3" s="124" t="str">
        <f t="shared" si="2"/>
        <v>40044_2-4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25">
        <v>1</v>
      </c>
      <c r="L3" s="125">
        <v>2</v>
      </c>
      <c r="M3" s="126">
        <v>1375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ジキル&amp;ハイド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demon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27">
        <v>80</v>
      </c>
      <c r="T3" s="128">
        <v>3.9</v>
      </c>
      <c r="U3" s="12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518731.2</v>
      </c>
      <c r="V3" s="128">
        <v>0.9</v>
      </c>
      <c r="W3" s="12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11083.5</v>
      </c>
      <c r="X3" s="127">
        <v>0</v>
      </c>
      <c r="Y3" s="17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201">
        <v>40044010</v>
      </c>
      <c r="AA3" s="200">
        <v>1</v>
      </c>
    </row>
    <row r="4" spans="1:27" ht="21" customHeight="1" thickBot="1" x14ac:dyDescent="0.2">
      <c r="A4" s="105" t="str">
        <f t="shared" si="0"/>
        <v>40044_2-4/1376&lt;lv80&gt;sq1st3</v>
      </c>
      <c r="B4" s="121">
        <v>40044</v>
      </c>
      <c r="C4" s="107">
        <v>2</v>
      </c>
      <c r="D4" s="108" t="str">
        <f t="shared" si="1"/>
        <v>40044_2</v>
      </c>
      <c r="E4" s="109" t="str">
        <f ca="1">VLOOKUP($B4,OFFSET([2]quests!$A$1,0,0,COUNTA([2]quests!$A:$A),MATCH(E$1,[2]quests!$1:$1,0)-MATCH($B$1,[2]quests!$1:$1,0)+1),MATCH(E$1,[2]quests!$1:$1,0)-MATCH($B$1,[2]quests!$1:$1,0)+1,FALSE)</f>
        <v>ジキル&amp;ハイド襲来！</v>
      </c>
      <c r="F4" s="109" t="str">
        <f ca="1">VLOOKUP($D4,OFFSET([2]stages!$A$1,0,0,COUNTA([2]stages!$A:$A),MATCH(F$1,[2]stages!$2:$2,0)-MATCH($D$1,[2]stages!$2:$2,0)+1),MATCH(F$1,[2]stages!$2:$2,0)-MATCH($D$1,[2]stages!$2:$2,0)+1,FALSE)</f>
        <v>【ウィザード級】ジキル&amp;ハイド襲来</v>
      </c>
      <c r="G4" s="107">
        <v>4</v>
      </c>
      <c r="H4" s="108" t="str">
        <f t="shared" si="2"/>
        <v>40044_2-4</v>
      </c>
      <c r="I4" s="109">
        <f ca="1">VLOOKUP($H4,OFFSET(floors!$A$1,0,0,COUNTA(floors!$A:$A),MATCH(I$1,floors!$1:$1,0)-MATCH($H$1,floors!$1:$1,0)+1),MATCH(I$1,floors!$1:$1,0)-MATCH($H$1,floors!$1:$1,0)+1,FALSE)</f>
        <v>60</v>
      </c>
      <c r="J4" s="109">
        <f ca="1">VLOOKUP($H4,OFFSET(floors!$A$1,0,0,COUNTA(floors!$A:$A),MATCH(J$1,floors!$1:$1,0)-MATCH($H$1,floors!$1:$1,0)+1),MATCH(J$1,floors!$1:$1,0)-MATCH($H$1,floors!$1:$1,0)+1,FALSE)</f>
        <v>60</v>
      </c>
      <c r="K4" s="110">
        <v>1</v>
      </c>
      <c r="L4" s="110">
        <v>3</v>
      </c>
      <c r="M4" s="111">
        <v>1376</v>
      </c>
      <c r="N4" s="112" t="str">
        <f ca="1">VLOOKUP($M4,OFFSET([3]enemies!$A$1,0,0,COUNTA([3]enemies!$A:$A),MATCH(N$1,[3]enemies!$1:$1,0)-MATCH($M$1,[3]enemies!$1:$1,0)+1),MATCH(N$1,[3]enemies!$1:$1,0)-MATCH($M$1,[3]enemies!$1:$1,0)+1,FALSE)</f>
        <v>剥離性異常衝動 ジキル&amp;ハイド</v>
      </c>
      <c r="O4" s="112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12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12" t="str">
        <f ca="1">VLOOKUP($M4,OFFSET([3]enemies!$A$1,0,0,COUNTA([3]enemies!$A:$A),MATCH(Q$1,[3]enemies!$1:$1,0)-MATCH($M$1,[3]enemies!$1:$1,0)+1),MATCH(Q$1,[3]enemies!$1:$1,0)-MATCH($M$1,[3]enemies!$1:$1,0)+1,FALSE)</f>
        <v>demon</v>
      </c>
      <c r="R4" s="112">
        <f ca="1">VLOOKUP($M4,OFFSET([3]enemies!$A$1,0,0,COUNTA([3]enemies!$A:$A),MATCH(R$1,[3]enemies!$1:$1,0)-MATCH($M$1,[3]enemies!$1:$1,0)+1),MATCH(R$1,[3]enemies!$1:$1,0)-MATCH($M$1,[3]enemies!$1:$1,0)+1,FALSE)</f>
        <v>60</v>
      </c>
      <c r="S4" s="113">
        <v>80</v>
      </c>
      <c r="T4" s="114">
        <v>4.4000000000000004</v>
      </c>
      <c r="U4" s="115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585235.20000000007</v>
      </c>
      <c r="V4" s="114">
        <v>0.8</v>
      </c>
      <c r="W4" s="115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9852</v>
      </c>
      <c r="X4" s="113">
        <v>0</v>
      </c>
      <c r="Y4" s="109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09">
        <v>40044011</v>
      </c>
      <c r="AA4" s="122">
        <v>1</v>
      </c>
    </row>
    <row r="5" spans="1:27" ht="21" customHeight="1" thickBot="1" x14ac:dyDescent="0.2">
      <c r="A5" s="105" t="str">
        <f t="shared" si="0"/>
        <v>40044_1-2/1375&lt;lv60&gt;sq1st2</v>
      </c>
      <c r="B5" s="106">
        <v>40044</v>
      </c>
      <c r="C5" s="107">
        <v>1</v>
      </c>
      <c r="D5" s="108" t="str">
        <f t="shared" si="1"/>
        <v>40044_1</v>
      </c>
      <c r="E5" s="109" t="str">
        <f ca="1">VLOOKUP($B5,OFFSET([2]quests!$A$1,0,0,COUNTA([2]quests!$A:$A),MATCH(E$1,[2]quests!$1:$1,0)-MATCH($B$1,[2]quests!$1:$1,0)+1),MATCH(E$1,[2]quests!$1:$1,0)-MATCH($B$1,[2]quests!$1:$1,0)+1,FALSE)</f>
        <v>ジキル&amp;ハイド襲来！</v>
      </c>
      <c r="F5" s="109" t="str">
        <f ca="1">VLOOKUP($D5,OFFSET([2]stages!$A$1,0,0,COUNTA([2]stages!$A:$A),MATCH(F$1,[2]stages!$2:$2,0)-MATCH($D$1,[2]stages!$2:$2,0)+1),MATCH(F$1,[2]stages!$2:$2,0)-MATCH($D$1,[2]stages!$2:$2,0)+1,FALSE)</f>
        <v>【超絶級】ジキル&amp;ハイド襲来</v>
      </c>
      <c r="G5" s="107">
        <v>2</v>
      </c>
      <c r="H5" s="108" t="str">
        <f t="shared" si="2"/>
        <v>40044_1-2</v>
      </c>
      <c r="I5" s="109">
        <f ca="1">VLOOKUP($H5,OFFSET(floors!$A$1,0,0,COUNTA(floors!$A:$A),MATCH(I$1,floors!$1:$1,0)-MATCH($H$1,floors!$1:$1,0)+1),MATCH(I$1,floors!$1:$1,0)-MATCH($H$1,floors!$1:$1,0)+1,FALSE)</f>
        <v>60</v>
      </c>
      <c r="J5" s="109">
        <f ca="1">VLOOKUP($H5,OFFSET(floors!$A$1,0,0,COUNTA(floors!$A:$A),MATCH(J$1,floors!$1:$1,0)-MATCH($H$1,floors!$1:$1,0)+1),MATCH(J$1,floors!$1:$1,0)-MATCH($H$1,floors!$1:$1,0)+1,FALSE)</f>
        <v>60</v>
      </c>
      <c r="K5" s="110">
        <v>1</v>
      </c>
      <c r="L5" s="110">
        <v>2</v>
      </c>
      <c r="M5" s="111">
        <v>1375</v>
      </c>
      <c r="N5" s="112" t="str">
        <f ca="1">VLOOKUP($M5,OFFSET([3]enemies!$A$1,0,0,COUNTA([3]enemies!$A:$A),MATCH(N$1,[3]enemies!$1:$1,0)-MATCH($M$1,[3]enemies!$1:$1,0)+1),MATCH(N$1,[3]enemies!$1:$1,0)-MATCH($M$1,[3]enemies!$1:$1,0)+1,FALSE)</f>
        <v>ジキル&amp;ハイド</v>
      </c>
      <c r="O5" s="112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12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12" t="str">
        <f ca="1">VLOOKUP($M5,OFFSET([3]enemies!$A$1,0,0,COUNTA([3]enemies!$A:$A),MATCH(Q$1,[3]enemies!$1:$1,0)-MATCH($M$1,[3]enemies!$1:$1,0)+1),MATCH(Q$1,[3]enemies!$1:$1,0)-MATCH($M$1,[3]enemies!$1:$1,0)+1,FALSE)</f>
        <v>demon</v>
      </c>
      <c r="R5" s="112">
        <f ca="1">VLOOKUP($M5,OFFSET([3]enemies!$A$1,0,0,COUNTA([3]enemies!$A:$A),MATCH(R$1,[3]enemies!$1:$1,0)-MATCH($M$1,[3]enemies!$1:$1,0)+1),MATCH(R$1,[3]enemies!$1:$1,0)-MATCH($M$1,[3]enemies!$1:$1,0)+1,FALSE)</f>
        <v>60</v>
      </c>
      <c r="S5" s="113">
        <v>60</v>
      </c>
      <c r="T5" s="114">
        <v>2.2000000000000002</v>
      </c>
      <c r="U5" s="115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220809.60000000001</v>
      </c>
      <c r="V5" s="114">
        <v>0.7</v>
      </c>
      <c r="W5" s="115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6505.0999999999995</v>
      </c>
      <c r="X5" s="113">
        <v>0</v>
      </c>
      <c r="Y5" s="109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67">
        <v>40044016</v>
      </c>
      <c r="AA5" s="122">
        <v>1</v>
      </c>
    </row>
    <row r="6" spans="1:27" ht="21" customHeight="1" x14ac:dyDescent="0.15">
      <c r="A6" s="16" t="str">
        <f t="shared" si="0"/>
        <v>40044_1-4/1375&lt;lv60&gt;sq1st2</v>
      </c>
      <c r="B6" s="22">
        <v>40044</v>
      </c>
      <c r="C6" s="123">
        <v>1</v>
      </c>
      <c r="D6" s="124" t="str">
        <f t="shared" si="1"/>
        <v>40044_1</v>
      </c>
      <c r="E6" s="4" t="str">
        <f ca="1">VLOOKUP($B6,OFFSET([2]quests!$A$1,0,0,COUNTA([2]quests!$A:$A),MATCH(E$1,[2]quests!$1:$1,0)-MATCH($B$1,[2]quests!$1:$1,0)+1),MATCH(E$1,[2]quests!$1:$1,0)-MATCH($B$1,[2]quests!$1:$1,0)+1,FALSE)</f>
        <v>ジキル&amp;ハイド襲来！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【超絶級】ジキル&amp;ハイド襲来</v>
      </c>
      <c r="G6" s="123">
        <v>4</v>
      </c>
      <c r="H6" s="124" t="str">
        <f t="shared" si="2"/>
        <v>40044_1-4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25">
        <v>1</v>
      </c>
      <c r="L6" s="125">
        <v>2</v>
      </c>
      <c r="M6" s="126">
        <v>1375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ジキル&amp;ハイド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demon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127">
        <v>60</v>
      </c>
      <c r="T6" s="128">
        <v>3</v>
      </c>
      <c r="U6" s="129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301104</v>
      </c>
      <c r="V6" s="128">
        <v>0.9</v>
      </c>
      <c r="W6" s="129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8363.7000000000007</v>
      </c>
      <c r="X6" s="127">
        <v>0</v>
      </c>
      <c r="Y6" s="17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167">
        <v>40044021</v>
      </c>
      <c r="AA6" s="200">
        <v>1</v>
      </c>
    </row>
    <row r="7" spans="1:27" ht="21" customHeight="1" thickBot="1" x14ac:dyDescent="0.2">
      <c r="A7" s="105" t="str">
        <f t="shared" si="0"/>
        <v>40044_1-4/1376&lt;lv60&gt;sq1st3</v>
      </c>
      <c r="B7" s="121">
        <v>40044</v>
      </c>
      <c r="C7" s="107">
        <v>1</v>
      </c>
      <c r="D7" s="108" t="str">
        <f t="shared" si="1"/>
        <v>40044_1</v>
      </c>
      <c r="E7" s="109" t="str">
        <f ca="1">VLOOKUP($B7,OFFSET([2]quests!$A$1,0,0,COUNTA([2]quests!$A:$A),MATCH(E$1,[2]quests!$1:$1,0)-MATCH($B$1,[2]quests!$1:$1,0)+1),MATCH(E$1,[2]quests!$1:$1,0)-MATCH($B$1,[2]quests!$1:$1,0)+1,FALSE)</f>
        <v>ジキル&amp;ハイド襲来！</v>
      </c>
      <c r="F7" s="109" t="str">
        <f ca="1">VLOOKUP($D7,OFFSET([2]stages!$A$1,0,0,COUNTA([2]stages!$A:$A),MATCH(F$1,[2]stages!$2:$2,0)-MATCH($D$1,[2]stages!$2:$2,0)+1),MATCH(F$1,[2]stages!$2:$2,0)-MATCH($D$1,[2]stages!$2:$2,0)+1,FALSE)</f>
        <v>【超絶級】ジキル&amp;ハイド襲来</v>
      </c>
      <c r="G7" s="107">
        <v>4</v>
      </c>
      <c r="H7" s="108" t="str">
        <f t="shared" si="2"/>
        <v>40044_1-4</v>
      </c>
      <c r="I7" s="109">
        <f ca="1">VLOOKUP($H7,OFFSET(floors!$A$1,0,0,COUNTA(floors!$A:$A),MATCH(I$1,floors!$1:$1,0)-MATCH($H$1,floors!$1:$1,0)+1),MATCH(I$1,floors!$1:$1,0)-MATCH($H$1,floors!$1:$1,0)+1,FALSE)</f>
        <v>60</v>
      </c>
      <c r="J7" s="109">
        <f ca="1">VLOOKUP($H7,OFFSET(floors!$A$1,0,0,COUNTA(floors!$A:$A),MATCH(J$1,floors!$1:$1,0)-MATCH($H$1,floors!$1:$1,0)+1),MATCH(J$1,floors!$1:$1,0)-MATCH($H$1,floors!$1:$1,0)+1,FALSE)</f>
        <v>60</v>
      </c>
      <c r="K7" s="110">
        <v>1</v>
      </c>
      <c r="L7" s="110">
        <v>3</v>
      </c>
      <c r="M7" s="111">
        <v>1376</v>
      </c>
      <c r="N7" s="112" t="str">
        <f ca="1">VLOOKUP($M7,OFFSET([3]enemies!$A$1,0,0,COUNTA([3]enemies!$A:$A),MATCH(N$1,[3]enemies!$1:$1,0)-MATCH($M$1,[3]enemies!$1:$1,0)+1),MATCH(N$1,[3]enemies!$1:$1,0)-MATCH($M$1,[3]enemies!$1:$1,0)+1,FALSE)</f>
        <v>剥離性異常衝動 ジキル&amp;ハイド</v>
      </c>
      <c r="O7" s="112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12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12" t="str">
        <f ca="1">VLOOKUP($M7,OFFSET([3]enemies!$A$1,0,0,COUNTA([3]enemies!$A:$A),MATCH(Q$1,[3]enemies!$1:$1,0)-MATCH($M$1,[3]enemies!$1:$1,0)+1),MATCH(Q$1,[3]enemies!$1:$1,0)-MATCH($M$1,[3]enemies!$1:$1,0)+1,FALSE)</f>
        <v>demon</v>
      </c>
      <c r="R7" s="112">
        <f ca="1">VLOOKUP($M7,OFFSET([3]enemies!$A$1,0,0,COUNTA([3]enemies!$A:$A),MATCH(R$1,[3]enemies!$1:$1,0)-MATCH($M$1,[3]enemies!$1:$1,0)+1),MATCH(R$1,[3]enemies!$1:$1,0)-MATCH($M$1,[3]enemies!$1:$1,0)+1,FALSE)</f>
        <v>60</v>
      </c>
      <c r="S7" s="113">
        <v>60</v>
      </c>
      <c r="T7" s="114">
        <v>3.2</v>
      </c>
      <c r="U7" s="115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321177.60000000003</v>
      </c>
      <c r="V7" s="114">
        <v>0.8</v>
      </c>
      <c r="W7" s="115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7434.4000000000005</v>
      </c>
      <c r="X7" s="113">
        <v>0</v>
      </c>
      <c r="Y7" s="109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67">
        <v>40044022</v>
      </c>
      <c r="AA7" s="122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15"/>
  <sheetViews>
    <sheetView showGridLines="0" tabSelected="1" workbookViewId="0">
      <pane ySplit="1" topLeftCell="A2" activePane="bottomLeft" state="frozenSplit"/>
      <selection pane="bottomLeft" activeCell="B3" sqref="B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65">
        <v>40044001</v>
      </c>
      <c r="B2" s="47" t="s">
        <v>492</v>
      </c>
      <c r="C2" s="50">
        <v>3</v>
      </c>
      <c r="D2" s="50" t="s">
        <v>127</v>
      </c>
      <c r="E2" s="51" t="s">
        <v>475</v>
      </c>
      <c r="F2" s="51" t="s">
        <v>255</v>
      </c>
      <c r="G2" s="64" t="str">
        <f t="shared" ref="G2:G35" si="0">IFERROR(LEFT(B2,FIND("],",B2)),B2)</f>
        <v>[effect:enemy_message, val1:1.2, val2:1.4]</v>
      </c>
      <c r="H2" s="64">
        <f t="shared" ref="H2:H35" si="1">FIND("effect:",G2)+7</f>
        <v>9</v>
      </c>
      <c r="I2" s="64">
        <f t="shared" ref="I2:I35" si="2">IFERROR(FIND(",",G2),LEN(G2))</f>
        <v>22</v>
      </c>
      <c r="J2" s="64" t="e">
        <f t="shared" ref="J2:J35" si="3">FIND("target:",G2)+7</f>
        <v>#VALUE!</v>
      </c>
      <c r="K2" s="64">
        <f t="shared" ref="K2:K35" si="4"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35" si="5">IFERROR(RIGHT(B2,LEN(B2)-FIND("],",B2)-1),"none")</f>
        <v>[effect:virus, turn:2, rate:1, val:0.19, animation:enemy_virus]</v>
      </c>
      <c r="N2" s="48" t="str">
        <f>IFERROR(LEFT(M2,FIND("],",M2)+S15),M2)</f>
        <v>[effect:virus, turn:2, rate:1, val:0.19, animation:enemy_virus]</v>
      </c>
      <c r="O2" s="64">
        <f t="shared" ref="O2:O35" si="6">FIND("effect:",N2)+7</f>
        <v>9</v>
      </c>
      <c r="P2" s="64">
        <f t="shared" ref="P2:P35" si="7">IFERROR(FIND(",",N2),LEN(N2))</f>
        <v>14</v>
      </c>
      <c r="Q2" s="64" t="e">
        <f t="shared" ref="Q2:Q35" si="8">FIND("target:",N2)+7</f>
        <v>#VALUE!</v>
      </c>
      <c r="R2" s="64">
        <f t="shared" ref="R2:R35" si="9">FIND(",",N2,P2+1)</f>
        <v>22</v>
      </c>
      <c r="S2" s="64" t="str">
        <f>IFERROR(VLOOKUP(MID(N2,Q2,R2-Q2),[6]skilldef!$C:$D,2,FALSE),"-") &amp; " / " &amp; IFERROR(VLOOKUP(MID(N2,O2,P2-O2),[6]skilldef!$A:$B,2,FALSE),"-")</f>
        <v>- / ウィルス</v>
      </c>
      <c r="T2" s="48" t="str">
        <f t="shared" ref="T2:T35" si="10">IFERROR(RIGHT(M2,LEN(M2)-FIND("],",M2)-1),"none")</f>
        <v>none</v>
      </c>
      <c r="U2" s="64" t="e">
        <f t="shared" ref="U2:U35" si="11">FIND("effect:",T2)+7</f>
        <v>#VALUE!</v>
      </c>
      <c r="V2" s="64">
        <f t="shared" ref="V2:V35" si="12">IFERROR(FIND(",",T2),LEN(T2))</f>
        <v>4</v>
      </c>
      <c r="W2" s="64" t="e">
        <f t="shared" ref="W2:W35" si="13">FIND("target:",T2)+7</f>
        <v>#VALUE!</v>
      </c>
      <c r="X2" s="64" t="e">
        <f t="shared" ref="X2:X35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165">
        <v>40044002</v>
      </c>
      <c r="B3" s="47" t="s">
        <v>280</v>
      </c>
      <c r="C3" s="50">
        <v>3</v>
      </c>
      <c r="D3" s="50" t="s">
        <v>127</v>
      </c>
      <c r="E3" s="51" t="s">
        <v>474</v>
      </c>
      <c r="F3" s="51" t="s">
        <v>256</v>
      </c>
      <c r="G3" s="64" t="str">
        <f t="shared" si="0"/>
        <v>[effect:enemy_message, val1:1.2, val2:1.7]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32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si="5"/>
        <v>[effect:damage_anti_abnormal, target:unit_one, target_effect01:virus, val1:1.2, val2:0.8]</v>
      </c>
      <c r="N3" s="48" t="str">
        <f>IFERROR(LEFT(M3,FIND("],",M3)+S16),M3)</f>
        <v>[effect:damage_anti_abnormal, target:unit_one, target_effect01:virus, val1:1.2, val2:0.8]</v>
      </c>
      <c r="O3" s="64">
        <f t="shared" si="6"/>
        <v>9</v>
      </c>
      <c r="P3" s="64">
        <f t="shared" si="7"/>
        <v>29</v>
      </c>
      <c r="Q3" s="64">
        <f t="shared" si="8"/>
        <v>38</v>
      </c>
      <c r="R3" s="64">
        <f t="shared" si="9"/>
        <v>46</v>
      </c>
      <c r="S3" s="64" t="str">
        <f>IFERROR(VLOOKUP(MID(N3,Q3,R3-Q3),[6]skilldef!$C:$D,2,FALSE),"-") &amp; " / " &amp; IFERROR(VLOOKUP(MID(N3,O3,P3-O3),[6]skilldef!$A:$B,2,FALSE),"-")</f>
        <v>味方単体に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thickBot="1" x14ac:dyDescent="0.2">
      <c r="A4" s="173">
        <v>40044003</v>
      </c>
      <c r="B4" s="174" t="s">
        <v>257</v>
      </c>
      <c r="C4" s="175">
        <v>3</v>
      </c>
      <c r="D4" s="175" t="s">
        <v>127</v>
      </c>
      <c r="E4" s="176" t="s">
        <v>340</v>
      </c>
      <c r="F4" s="176" t="s">
        <v>258</v>
      </c>
      <c r="G4" s="177" t="str">
        <f t="shared" si="0"/>
        <v>[effect:enemy_message, val1:1.2, val2:1.2]</v>
      </c>
      <c r="H4" s="177">
        <f t="shared" si="1"/>
        <v>9</v>
      </c>
      <c r="I4" s="177">
        <f t="shared" si="2"/>
        <v>22</v>
      </c>
      <c r="J4" s="177" t="e">
        <f t="shared" si="3"/>
        <v>#VALUE!</v>
      </c>
      <c r="K4" s="177">
        <f t="shared" si="4"/>
        <v>32</v>
      </c>
      <c r="L4" s="177" t="str">
        <f>IFERROR(VLOOKUP(MID(G4,J4,K4-J4),[6]skilldef!$C:$D,2,FALSE),"-") &amp; " / " &amp; IFERROR(VLOOKUP(MID(G4,H4,I4-H4),[6]skilldef!$A:$B,2,FALSE),"-")</f>
        <v>- / -</v>
      </c>
      <c r="M4" s="177" t="str">
        <f t="shared" si="5"/>
        <v>[effect:heal, target:enemy_human, val:0.2, animation:enemy_heal]</v>
      </c>
      <c r="N4" s="178" t="str">
        <f>IFERROR(LEFT(M4,FIND("],",M4)+S17),M4)</f>
        <v>[effect:heal, target:enemy_human, val:0.2, animation:enemy_heal]</v>
      </c>
      <c r="O4" s="177">
        <f t="shared" si="6"/>
        <v>9</v>
      </c>
      <c r="P4" s="177">
        <f t="shared" si="7"/>
        <v>13</v>
      </c>
      <c r="Q4" s="177">
        <f t="shared" si="8"/>
        <v>22</v>
      </c>
      <c r="R4" s="177">
        <f t="shared" si="9"/>
        <v>33</v>
      </c>
      <c r="S4" s="177" t="str">
        <f>IFERROR(VLOOKUP(MID(N4,Q4,R4-Q4),[6]skilldef!$C:$D,2,FALSE),"-") &amp; " / " &amp; IFERROR(VLOOKUP(MID(N4,O4,P4-O4),[6]skilldef!$A:$B,2,FALSE),"-")</f>
        <v>- / 回復</v>
      </c>
      <c r="T4" s="178" t="str">
        <f t="shared" si="10"/>
        <v>none</v>
      </c>
      <c r="U4" s="177" t="e">
        <f t="shared" si="11"/>
        <v>#VALUE!</v>
      </c>
      <c r="V4" s="177">
        <f t="shared" si="12"/>
        <v>4</v>
      </c>
      <c r="W4" s="177" t="e">
        <f t="shared" si="13"/>
        <v>#VALUE!</v>
      </c>
      <c r="X4" s="177" t="e">
        <f t="shared" si="14"/>
        <v>#VALUE!</v>
      </c>
      <c r="Y4" s="177" t="str">
        <f>IFERROR(VLOOKUP(MID(T4,W4,X4-W4),[6]skilldef!$C:$D,2,FALSE),"-") &amp; " / " &amp; IFERROR(VLOOKUP(MID(T4,U4,V4-U4),[6]skilldef!$A:$B,2,FALSE),"-")</f>
        <v>- / -</v>
      </c>
      <c r="Z4" s="175"/>
      <c r="AA4" s="179"/>
      <c r="AB4" s="175"/>
    </row>
    <row r="5" spans="1:28" ht="21" customHeight="1" x14ac:dyDescent="0.15">
      <c r="A5" s="166">
        <v>40044004</v>
      </c>
      <c r="B5" s="167" t="s">
        <v>310</v>
      </c>
      <c r="C5" s="168">
        <v>3</v>
      </c>
      <c r="D5" s="168" t="s">
        <v>127</v>
      </c>
      <c r="E5" s="169" t="s">
        <v>308</v>
      </c>
      <c r="F5" s="169" t="s">
        <v>309</v>
      </c>
      <c r="G5" s="170" t="str">
        <f t="shared" ref="G5" si="15">IFERROR(LEFT(B5,FIND("],",B5)),B5)</f>
        <v>[effect:enemy_message, val1:1.2, val2:0]</v>
      </c>
      <c r="H5" s="170">
        <f t="shared" ref="H5" si="16">FIND("effect:",G5)+7</f>
        <v>9</v>
      </c>
      <c r="I5" s="170">
        <f t="shared" ref="I5" si="17">IFERROR(FIND(",",G5),LEN(G5))</f>
        <v>22</v>
      </c>
      <c r="J5" s="170" t="e">
        <f t="shared" ref="J5" si="18">FIND("target:",G5)+7</f>
        <v>#VALUE!</v>
      </c>
      <c r="K5" s="170">
        <f t="shared" ref="K5" si="19">FIND(",",G5,I5+1)</f>
        <v>32</v>
      </c>
      <c r="L5" s="170" t="str">
        <f>IFERROR(VLOOKUP(MID(G5,J5,K5-J5),[6]skilldef!$C:$D,2,FALSE),"-") &amp; " / " &amp; IFERROR(VLOOKUP(MID(G5,H5,I5-H5),[6]skilldef!$A:$B,2,FALSE),"-")</f>
        <v>- / -</v>
      </c>
      <c r="M5" s="170" t="str">
        <f t="shared" ref="M5" si="20">IFERROR(RIGHT(B5,LEN(B5)-FIND("],",B5)-1),"none")</f>
        <v>[effect:fix_speed, target:myself, turn:2]</v>
      </c>
      <c r="N5" s="171" t="str">
        <f t="shared" ref="N5" si="21">IFERROR(LEFT(M5,FIND("],",M5)+S17),M5)</f>
        <v>[effect:fix_speed, target:myself, turn:2]</v>
      </c>
      <c r="O5" s="170">
        <f t="shared" ref="O5" si="22">FIND("effect:",N5)+7</f>
        <v>9</v>
      </c>
      <c r="P5" s="170">
        <f t="shared" ref="P5" si="23">IFERROR(FIND(",",N5),LEN(N5))</f>
        <v>18</v>
      </c>
      <c r="Q5" s="170">
        <f t="shared" ref="Q5" si="24">FIND("target:",N5)+7</f>
        <v>27</v>
      </c>
      <c r="R5" s="170">
        <f t="shared" ref="R5" si="25">FIND(",",N5,P5+1)</f>
        <v>33</v>
      </c>
      <c r="S5" s="170" t="str">
        <f>IFERROR(VLOOKUP(MID(N5,Q5,R5-Q5),[6]skilldef!$C:$D,2,FALSE),"-") &amp; " / " &amp; IFERROR(VLOOKUP(MID(N5,O5,P5-O5),[6]skilldef!$A:$B,2,FALSE),"-")</f>
        <v>自分自身に / 行動値設定</v>
      </c>
      <c r="T5" s="171" t="str">
        <f t="shared" ref="T5" si="26">IFERROR(RIGHT(M5,LEN(M5)-FIND("],",M5)-1),"none")</f>
        <v>none</v>
      </c>
      <c r="U5" s="170" t="e">
        <f t="shared" ref="U5" si="27">FIND("effect:",T5)+7</f>
        <v>#VALUE!</v>
      </c>
      <c r="V5" s="170">
        <f t="shared" ref="V5" si="28">IFERROR(FIND(",",T5),LEN(T5))</f>
        <v>4</v>
      </c>
      <c r="W5" s="170" t="e">
        <f t="shared" ref="W5" si="29">FIND("target:",T5)+7</f>
        <v>#VALUE!</v>
      </c>
      <c r="X5" s="170" t="e">
        <f t="shared" ref="X5" si="30">FIND(",",T5,V5+1)</f>
        <v>#VALUE!</v>
      </c>
      <c r="Y5" s="170" t="str">
        <f>IFERROR(VLOOKUP(MID(T5,W5,X5-W5),[6]skilldef!$C:$D,2,FALSE),"-") &amp; " / " &amp; IFERROR(VLOOKUP(MID(T5,U5,V5-U5),[6]skilldef!$A:$B,2,FALSE),"-")</f>
        <v>- / -</v>
      </c>
      <c r="Z5" s="168"/>
      <c r="AA5" s="172"/>
      <c r="AB5" s="168"/>
    </row>
    <row r="6" spans="1:28" ht="21" customHeight="1" x14ac:dyDescent="0.15">
      <c r="A6" s="165">
        <v>40044005</v>
      </c>
      <c r="B6" s="167" t="s">
        <v>471</v>
      </c>
      <c r="C6" s="50">
        <v>3</v>
      </c>
      <c r="D6" s="168" t="s">
        <v>127</v>
      </c>
      <c r="E6" s="169" t="s">
        <v>260</v>
      </c>
      <c r="F6" s="169" t="s">
        <v>259</v>
      </c>
      <c r="G6" s="170" t="str">
        <f t="shared" si="0"/>
        <v>[effect:enemy_message, val1:1.2, val2:1.2]</v>
      </c>
      <c r="H6" s="170">
        <f t="shared" si="1"/>
        <v>9</v>
      </c>
      <c r="I6" s="170">
        <f t="shared" si="2"/>
        <v>22</v>
      </c>
      <c r="J6" s="170" t="e">
        <f t="shared" si="3"/>
        <v>#VALUE!</v>
      </c>
      <c r="K6" s="170">
        <f t="shared" si="4"/>
        <v>32</v>
      </c>
      <c r="L6" s="170" t="str">
        <f>IFERROR(VLOOKUP(MID(G6,J6,K6-J6),[6]skilldef!$C:$D,2,FALSE),"-") &amp; " / " &amp; IFERROR(VLOOKUP(MID(G6,H6,I6-H6),[6]skilldef!$A:$B,2,FALSE),"-")</f>
        <v>- / -</v>
      </c>
      <c r="M6" s="170" t="str">
        <f t="shared" si="5"/>
        <v>[effect:spread, val:0.33]</v>
      </c>
      <c r="N6" s="171" t="str">
        <f t="shared" ref="N6:N11" si="31">IFERROR(LEFT(M6,FIND("],",M6)+S18),M6)</f>
        <v>[effect:spread, val:0.33]</v>
      </c>
      <c r="O6" s="170">
        <f t="shared" si="6"/>
        <v>9</v>
      </c>
      <c r="P6" s="170">
        <f t="shared" si="7"/>
        <v>15</v>
      </c>
      <c r="Q6" s="170" t="e">
        <f t="shared" si="8"/>
        <v>#VALUE!</v>
      </c>
      <c r="R6" s="170" t="e">
        <f t="shared" si="9"/>
        <v>#VALUE!</v>
      </c>
      <c r="S6" s="170" t="str">
        <f>IFERROR(VLOOKUP(MID(N6,Q6,R6-Q6),[6]skilldef!$C:$D,2,FALSE),"-") &amp; " / " &amp; IFERROR(VLOOKUP(MID(N6,O6,P6-O6),[6]skilldef!$A:$B,2,FALSE),"-")</f>
        <v>- / 全体攻撃</v>
      </c>
      <c r="T6" s="171" t="str">
        <f t="shared" si="10"/>
        <v>none</v>
      </c>
      <c r="U6" s="170" t="e">
        <f t="shared" si="11"/>
        <v>#VALUE!</v>
      </c>
      <c r="V6" s="170">
        <f t="shared" si="12"/>
        <v>4</v>
      </c>
      <c r="W6" s="170" t="e">
        <f t="shared" si="13"/>
        <v>#VALUE!</v>
      </c>
      <c r="X6" s="170" t="e">
        <f t="shared" si="14"/>
        <v>#VALUE!</v>
      </c>
      <c r="Y6" s="170" t="str">
        <f>IFERROR(VLOOKUP(MID(T6,W6,X6-W6),[6]skilldef!$C:$D,2,FALSE),"-") &amp; " / " &amp; IFERROR(VLOOKUP(MID(T6,U6,V6-U6),[6]skilldef!$A:$B,2,FALSE),"-")</f>
        <v>- / -</v>
      </c>
      <c r="Z6" s="168"/>
      <c r="AA6" s="172"/>
      <c r="AB6" s="168"/>
    </row>
    <row r="7" spans="1:28" ht="21" customHeight="1" x14ac:dyDescent="0.15">
      <c r="A7" s="165">
        <v>40044006</v>
      </c>
      <c r="B7" s="47" t="s">
        <v>481</v>
      </c>
      <c r="C7" s="50">
        <v>3</v>
      </c>
      <c r="D7" s="50" t="s">
        <v>127</v>
      </c>
      <c r="E7" s="51" t="s">
        <v>480</v>
      </c>
      <c r="F7" s="51" t="s">
        <v>261</v>
      </c>
      <c r="G7" s="64" t="str">
        <f t="shared" si="0"/>
        <v>[effect:enemy_message, val1:1.2, val2:1.2]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32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[effect:panel_freeze, target:block_heart, count:-1]</v>
      </c>
      <c r="N7" s="48" t="str">
        <f t="shared" si="31"/>
        <v>[effect:panel_freeze, target:block_heart, count:-1]</v>
      </c>
      <c r="O7" s="64">
        <f t="shared" si="6"/>
        <v>9</v>
      </c>
      <c r="P7" s="64">
        <f t="shared" si="7"/>
        <v>21</v>
      </c>
      <c r="Q7" s="64">
        <f t="shared" si="8"/>
        <v>30</v>
      </c>
      <c r="R7" s="64">
        <f t="shared" si="9"/>
        <v>41</v>
      </c>
      <c r="S7" s="64" t="str">
        <f>IFERROR(VLOOKUP(MID(N7,Q7,R7-Q7),[6]skilldef!$C:$D,2,FALSE),"-") &amp; " / " &amp; IFERROR(VLOOKUP(MID(N7,O7,P7-O7),[6]skilldef!$A:$B,2,FALSE),"-")</f>
        <v>ハートパネルを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thickBot="1" x14ac:dyDescent="0.2">
      <c r="A8" s="173">
        <v>40044007</v>
      </c>
      <c r="B8" s="174" t="s">
        <v>472</v>
      </c>
      <c r="C8" s="175">
        <v>3</v>
      </c>
      <c r="D8" s="175" t="s">
        <v>127</v>
      </c>
      <c r="E8" s="176" t="s">
        <v>263</v>
      </c>
      <c r="F8" s="176" t="s">
        <v>262</v>
      </c>
      <c r="G8" s="177" t="str">
        <f t="shared" si="0"/>
        <v>[effect:enemy_message, val1:1.2, val2:2.4]</v>
      </c>
      <c r="H8" s="177">
        <f t="shared" si="1"/>
        <v>9</v>
      </c>
      <c r="I8" s="177">
        <f t="shared" si="2"/>
        <v>22</v>
      </c>
      <c r="J8" s="177" t="e">
        <f t="shared" si="3"/>
        <v>#VALUE!</v>
      </c>
      <c r="K8" s="177">
        <f t="shared" si="4"/>
        <v>32</v>
      </c>
      <c r="L8" s="177" t="str">
        <f>IFERROR(VLOOKUP(MID(G8,J8,K8-J8),[6]skilldef!$C:$D,2,FALSE),"-") &amp; " / " &amp; IFERROR(VLOOKUP(MID(G8,H8,I8-H8),[6]skilldef!$A:$B,2,FALSE),"-")</f>
        <v>- / -</v>
      </c>
      <c r="M8" s="177" t="str">
        <f t="shared" si="5"/>
        <v>[effect:rush, count:1, val:0.74],[effect:panel_freeze, target:block_all, count:8]</v>
      </c>
      <c r="N8" s="178" t="str">
        <f t="shared" si="31"/>
        <v>[effect:rush, count:1, val:0.74],[effect:panel_freeze, target:block_all, count:8]</v>
      </c>
      <c r="O8" s="177">
        <f t="shared" si="6"/>
        <v>9</v>
      </c>
      <c r="P8" s="177">
        <f t="shared" si="7"/>
        <v>13</v>
      </c>
      <c r="Q8" s="177">
        <f t="shared" si="8"/>
        <v>63</v>
      </c>
      <c r="R8" s="177">
        <f t="shared" si="9"/>
        <v>22</v>
      </c>
      <c r="S8" s="177" t="str">
        <f>IFERROR(VLOOKUP(MID(N8,Q8,R8-Q8),[6]skilldef!$C:$D,2,FALSE),"-") &amp; " / " &amp; IFERROR(VLOOKUP(MID(N8,O8,P8-O8),[6]skilldef!$A:$B,2,FALSE),"-")</f>
        <v>- / 連続攻撃</v>
      </c>
      <c r="T8" s="178" t="str">
        <f t="shared" si="10"/>
        <v>[effect:panel_freeze, target:block_all, count:8]</v>
      </c>
      <c r="U8" s="177">
        <f t="shared" si="11"/>
        <v>9</v>
      </c>
      <c r="V8" s="177">
        <f t="shared" si="12"/>
        <v>21</v>
      </c>
      <c r="W8" s="177">
        <f t="shared" si="13"/>
        <v>30</v>
      </c>
      <c r="X8" s="177">
        <f t="shared" si="14"/>
        <v>39</v>
      </c>
      <c r="Y8" s="177" t="str">
        <f>IFERROR(VLOOKUP(MID(T8,W8,X8-W8),[6]skilldef!$C:$D,2,FALSE),"-") &amp; " / " &amp; IFERROR(VLOOKUP(MID(T8,U8,V8-U8),[6]skilldef!$A:$B,2,FALSE),"-")</f>
        <v>- / -</v>
      </c>
      <c r="Z8" s="175"/>
      <c r="AA8" s="179"/>
      <c r="AB8" s="175"/>
    </row>
    <row r="9" spans="1:28" ht="21" customHeight="1" x14ac:dyDescent="0.15">
      <c r="A9" s="166">
        <v>40044008</v>
      </c>
      <c r="B9" s="167" t="s">
        <v>268</v>
      </c>
      <c r="C9" s="168">
        <v>3</v>
      </c>
      <c r="D9" s="168" t="s">
        <v>127</v>
      </c>
      <c r="E9" s="169" t="s">
        <v>342</v>
      </c>
      <c r="F9" s="169" t="s">
        <v>264</v>
      </c>
      <c r="G9" s="170" t="str">
        <f t="shared" si="0"/>
        <v>[effect:enemy_message, val1:1.2, val2:1.9]</v>
      </c>
      <c r="H9" s="170">
        <f t="shared" si="1"/>
        <v>9</v>
      </c>
      <c r="I9" s="170">
        <f t="shared" si="2"/>
        <v>22</v>
      </c>
      <c r="J9" s="170" t="e">
        <f t="shared" si="3"/>
        <v>#VALUE!</v>
      </c>
      <c r="K9" s="170">
        <f t="shared" si="4"/>
        <v>32</v>
      </c>
      <c r="L9" s="170" t="str">
        <f>IFERROR(VLOOKUP(MID(G9,J9,K9-J9),[6]skilldef!$C:$D,2,FALSE),"-") &amp; " / " &amp; IFERROR(VLOOKUP(MID(G9,H9,I9-H9),[6]skilldef!$A:$B,2,FALSE),"-")</f>
        <v>- / -</v>
      </c>
      <c r="M9" s="170" t="str">
        <f t="shared" si="5"/>
        <v>[effect:panel_freeze, target:block_all, count:4]</v>
      </c>
      <c r="N9" s="171" t="str">
        <f t="shared" si="31"/>
        <v>[effect:panel_freeze, target:block_all, count:4]</v>
      </c>
      <c r="O9" s="170">
        <f t="shared" si="6"/>
        <v>9</v>
      </c>
      <c r="P9" s="170">
        <f t="shared" si="7"/>
        <v>21</v>
      </c>
      <c r="Q9" s="170">
        <f t="shared" si="8"/>
        <v>30</v>
      </c>
      <c r="R9" s="170">
        <f t="shared" si="9"/>
        <v>39</v>
      </c>
      <c r="S9" s="170" t="str">
        <f>IFERROR(VLOOKUP(MID(N9,Q9,R9-Q9),[6]skilldef!$C:$D,2,FALSE),"-") &amp; " / " &amp; IFERROR(VLOOKUP(MID(N9,O9,P9-O9),[6]skilldef!$A:$B,2,FALSE),"-")</f>
        <v>- / -</v>
      </c>
      <c r="T9" s="171" t="str">
        <f t="shared" si="10"/>
        <v>none</v>
      </c>
      <c r="U9" s="170" t="e">
        <f t="shared" si="11"/>
        <v>#VALUE!</v>
      </c>
      <c r="V9" s="170">
        <f t="shared" si="12"/>
        <v>4</v>
      </c>
      <c r="W9" s="170" t="e">
        <f t="shared" si="13"/>
        <v>#VALUE!</v>
      </c>
      <c r="X9" s="170" t="e">
        <f t="shared" si="14"/>
        <v>#VALUE!</v>
      </c>
      <c r="Y9" s="170" t="str">
        <f>IFERROR(VLOOKUP(MID(T9,W9,X9-W9),[6]skilldef!$C:$D,2,FALSE),"-") &amp; " / " &amp; IFERROR(VLOOKUP(MID(T9,U9,V9-U9),[6]skilldef!$A:$B,2,FALSE),"-")</f>
        <v>- / -</v>
      </c>
      <c r="Z9" s="168"/>
      <c r="AA9" s="172"/>
      <c r="AB9" s="168"/>
    </row>
    <row r="10" spans="1:28" ht="21" customHeight="1" x14ac:dyDescent="0.15">
      <c r="A10" s="165">
        <v>40044009</v>
      </c>
      <c r="B10" s="47" t="s">
        <v>280</v>
      </c>
      <c r="C10" s="50">
        <v>3</v>
      </c>
      <c r="D10" s="50" t="s">
        <v>127</v>
      </c>
      <c r="E10" s="51" t="s">
        <v>474</v>
      </c>
      <c r="F10" s="51" t="s">
        <v>256</v>
      </c>
      <c r="G10" s="64" t="str">
        <f t="shared" si="0"/>
        <v>[effect:enemy_message, val1:1.2, val2:1.7]</v>
      </c>
      <c r="H10" s="64">
        <f t="shared" si="1"/>
        <v>9</v>
      </c>
      <c r="I10" s="64">
        <f t="shared" si="2"/>
        <v>22</v>
      </c>
      <c r="J10" s="64" t="e">
        <f t="shared" si="3"/>
        <v>#VALUE!</v>
      </c>
      <c r="K10" s="64">
        <f t="shared" si="4"/>
        <v>32</v>
      </c>
      <c r="L10" s="64" t="str">
        <f>IFERROR(VLOOKUP(MID(G10,J10,K10-J10),[6]skilldef!$C:$D,2,FALSE),"-") &amp; " / " &amp; IFERROR(VLOOKUP(MID(G10,H10,I10-H10),[6]skilldef!$A:$B,2,FALSE),"-")</f>
        <v>- / -</v>
      </c>
      <c r="M10" s="64" t="str">
        <f t="shared" si="5"/>
        <v>[effect:damage_anti_abnormal, target:unit_one, target_effect01:virus, val1:1.2, val2:0.8]</v>
      </c>
      <c r="N10" s="48" t="str">
        <f t="shared" si="31"/>
        <v>[effect:damage_anti_abnormal, target:unit_one, target_effect01:virus, val1:1.2, val2:0.8]</v>
      </c>
      <c r="O10" s="64">
        <f t="shared" si="6"/>
        <v>9</v>
      </c>
      <c r="P10" s="64">
        <f t="shared" si="7"/>
        <v>29</v>
      </c>
      <c r="Q10" s="64">
        <f t="shared" si="8"/>
        <v>38</v>
      </c>
      <c r="R10" s="64">
        <f t="shared" si="9"/>
        <v>46</v>
      </c>
      <c r="S10" s="64" t="str">
        <f>IFERROR(VLOOKUP(MID(N10,Q10,R10-Q10),[6]skilldef!$C:$D,2,FALSE),"-") &amp; " / " &amp; IFERROR(VLOOKUP(MID(N10,O10,P10-O10),[6]skilldef!$A:$B,2,FALSE),"-")</f>
        <v>味方単体に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thickBot="1" x14ac:dyDescent="0.2">
      <c r="A11" s="173">
        <v>40044010</v>
      </c>
      <c r="B11" s="174" t="s">
        <v>265</v>
      </c>
      <c r="C11" s="175">
        <v>3</v>
      </c>
      <c r="D11" s="175" t="s">
        <v>127</v>
      </c>
      <c r="E11" s="176" t="s">
        <v>341</v>
      </c>
      <c r="F11" s="176" t="s">
        <v>266</v>
      </c>
      <c r="G11" s="177" t="str">
        <f t="shared" si="0"/>
        <v>[effect:enemy_message, val1:1.2, val2:1.2]</v>
      </c>
      <c r="H11" s="177">
        <f t="shared" si="1"/>
        <v>9</v>
      </c>
      <c r="I11" s="177">
        <f t="shared" si="2"/>
        <v>22</v>
      </c>
      <c r="J11" s="177" t="e">
        <f t="shared" si="3"/>
        <v>#VALUE!</v>
      </c>
      <c r="K11" s="177">
        <f t="shared" si="4"/>
        <v>32</v>
      </c>
      <c r="L11" s="177" t="str">
        <f>IFERROR(VLOOKUP(MID(G11,J11,K11-J11),[6]skilldef!$C:$D,2,FALSE),"-") &amp; " / " &amp; IFERROR(VLOOKUP(MID(G11,H11,I11-H11),[6]skilldef!$A:$B,2,FALSE),"-")</f>
        <v>- / -</v>
      </c>
      <c r="M11" s="177" t="str">
        <f t="shared" si="5"/>
        <v>[effect:panel_freeze, target:normal, color:block_red, count:-1]</v>
      </c>
      <c r="N11" s="178" t="str">
        <f t="shared" si="31"/>
        <v>[effect:panel_freeze, target:normal, color:block_red, count:-1]</v>
      </c>
      <c r="O11" s="177">
        <f t="shared" si="6"/>
        <v>9</v>
      </c>
      <c r="P11" s="177">
        <f t="shared" si="7"/>
        <v>21</v>
      </c>
      <c r="Q11" s="177">
        <f t="shared" si="8"/>
        <v>30</v>
      </c>
      <c r="R11" s="177">
        <f t="shared" si="9"/>
        <v>36</v>
      </c>
      <c r="S11" s="177" t="str">
        <f>IFERROR(VLOOKUP(MID(N11,Q11,R11-Q11),[6]skilldef!$C:$D,2,FALSE),"-") &amp; " / " &amp; IFERROR(VLOOKUP(MID(N11,O11,P11-O11),[6]skilldef!$A:$B,2,FALSE),"-")</f>
        <v>- / -</v>
      </c>
      <c r="T11" s="178" t="str">
        <f t="shared" si="10"/>
        <v>none</v>
      </c>
      <c r="U11" s="177" t="e">
        <f t="shared" si="11"/>
        <v>#VALUE!</v>
      </c>
      <c r="V11" s="177">
        <f t="shared" si="12"/>
        <v>4</v>
      </c>
      <c r="W11" s="177" t="e">
        <f t="shared" si="13"/>
        <v>#VALUE!</v>
      </c>
      <c r="X11" s="177" t="e">
        <f t="shared" si="14"/>
        <v>#VALUE!</v>
      </c>
      <c r="Y11" s="177" t="str">
        <f>IFERROR(VLOOKUP(MID(T11,W11,X11-W11),[6]skilldef!$C:$D,2,FALSE),"-") &amp; " / " &amp; IFERROR(VLOOKUP(MID(T11,U11,V11-U11),[6]skilldef!$A:$B,2,FALSE),"-")</f>
        <v>- / -</v>
      </c>
      <c r="Z11" s="175"/>
      <c r="AA11" s="179"/>
      <c r="AB11" s="175"/>
    </row>
    <row r="12" spans="1:28" ht="21" customHeight="1" x14ac:dyDescent="0.15">
      <c r="A12" s="189">
        <v>40044011</v>
      </c>
      <c r="B12" s="167" t="s">
        <v>483</v>
      </c>
      <c r="C12" s="168">
        <v>3</v>
      </c>
      <c r="D12" s="168" t="s">
        <v>127</v>
      </c>
      <c r="E12" s="169" t="s">
        <v>374</v>
      </c>
      <c r="F12" s="169" t="s">
        <v>267</v>
      </c>
      <c r="G12" s="170" t="str">
        <f t="shared" si="0"/>
        <v>[effect:enemy_message, val1:1.4, val2:2.6]</v>
      </c>
      <c r="H12" s="170">
        <f t="shared" si="1"/>
        <v>9</v>
      </c>
      <c r="I12" s="170">
        <f t="shared" si="2"/>
        <v>22</v>
      </c>
      <c r="J12" s="170" t="e">
        <f t="shared" si="3"/>
        <v>#VALUE!</v>
      </c>
      <c r="K12" s="170">
        <f t="shared" si="4"/>
        <v>32</v>
      </c>
      <c r="L12" s="170" t="str">
        <f>IFERROR(VLOOKUP(MID(G12,J12,K12-J12),[6]skilldef!$C:$D,2,FALSE),"-") &amp; " / " &amp; IFERROR(VLOOKUP(MID(G12,H12,I12-H12),[6]skilldef!$A:$B,2,FALSE),"-")</f>
        <v>- / -</v>
      </c>
      <c r="M12" s="170" t="str">
        <f t="shared" si="5"/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N12" s="171" t="str">
        <f>IFERROR(LEFT(M12,FIND("],",M12)+S22),M12)</f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O12" s="170">
        <f t="shared" si="6"/>
        <v>9</v>
      </c>
      <c r="P12" s="170">
        <f t="shared" si="7"/>
        <v>18</v>
      </c>
      <c r="Q12" s="170">
        <f t="shared" si="8"/>
        <v>27</v>
      </c>
      <c r="R12" s="170">
        <f t="shared" si="9"/>
        <v>33</v>
      </c>
      <c r="S12" s="170" t="str">
        <f>IFERROR(VLOOKUP(MID(N12,Q12,R12-Q12),[6]skilldef!$C:$D,2,FALSE),"-") &amp; " / " &amp; IFERROR(VLOOKUP(MID(N12,O12,P12-O12),[6]skilldef!$A:$B,2,FALSE),"-")</f>
        <v>自分自身に / 行動値設定</v>
      </c>
      <c r="T12" s="171" t="str">
        <f t="shared" si="10"/>
        <v>[effect:change_panel_ratio, turn:-1, block_type:red, val:0.6, animation:block_incidence04],[effect:enemy_counter, target:myself, invoke_condition:unit_all, counter_target:attacker, turn:-1, val:0.45, animation:enemy_counter]</v>
      </c>
      <c r="U12" s="170">
        <f t="shared" si="11"/>
        <v>9</v>
      </c>
      <c r="V12" s="170">
        <f t="shared" si="12"/>
        <v>27</v>
      </c>
      <c r="W12" s="170">
        <f t="shared" si="13"/>
        <v>122</v>
      </c>
      <c r="X12" s="170">
        <f t="shared" si="14"/>
        <v>36</v>
      </c>
      <c r="Y12" s="170" t="str">
        <f>IFERROR(VLOOKUP(MID(T12,W12,X12-W12),[6]skilldef!$C:$D,2,FALSE),"-") &amp; " / " &amp; IFERROR(VLOOKUP(MID(T12,U12,V12-U12),[6]skilldef!$A:$B,2,FALSE),"-")</f>
        <v>- / -</v>
      </c>
      <c r="Z12" s="168"/>
      <c r="AA12" s="172"/>
      <c r="AB12" s="168"/>
    </row>
    <row r="13" spans="1:28" ht="21" customHeight="1" x14ac:dyDescent="0.15">
      <c r="A13" s="188">
        <v>40044012</v>
      </c>
      <c r="B13" s="167" t="s">
        <v>484</v>
      </c>
      <c r="C13" s="50">
        <v>3</v>
      </c>
      <c r="D13" s="50" t="s">
        <v>127</v>
      </c>
      <c r="E13" s="51" t="s">
        <v>333</v>
      </c>
      <c r="F13" s="169" t="s">
        <v>267</v>
      </c>
      <c r="G13" s="64" t="str">
        <f t="shared" si="0"/>
        <v>[effect:enemy_message, val1:1.2, val2:2.6]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N13" s="48" t="str">
        <f>IFERROR(LEFT(M13,FIND("],",M13)+S23),M13)</f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O13" s="64">
        <f t="shared" si="6"/>
        <v>9</v>
      </c>
      <c r="P13" s="64">
        <f t="shared" si="7"/>
        <v>18</v>
      </c>
      <c r="Q13" s="64">
        <f t="shared" si="8"/>
        <v>27</v>
      </c>
      <c r="R13" s="64">
        <f t="shared" si="9"/>
        <v>33</v>
      </c>
      <c r="S13" s="64" t="str">
        <f>IFERROR(VLOOKUP(MID(N13,Q13,R13-Q13),[6]skilldef!$C:$D,2,FALSE),"-") &amp; " / " &amp; IFERROR(VLOOKUP(MID(N13,O13,P13-O13),[6]skilldef!$A:$B,2,FALSE),"-")</f>
        <v>自分自身に / 行動値設定</v>
      </c>
      <c r="T13" s="48" t="str">
        <f t="shared" si="10"/>
        <v>[effect:change_panel_ratio, turn:-1, block_type:red, val:0.6, animation:block_incidence04],[effect:enemy_counter, target:myself, invoke_condition:unit_all, counter_target:attacker, turn:-1, val:0.45, animation:enemy_counter]</v>
      </c>
      <c r="U13" s="64">
        <f t="shared" si="11"/>
        <v>9</v>
      </c>
      <c r="V13" s="64">
        <f t="shared" si="12"/>
        <v>27</v>
      </c>
      <c r="W13" s="64">
        <f t="shared" si="13"/>
        <v>122</v>
      </c>
      <c r="X13" s="64">
        <f t="shared" si="14"/>
        <v>36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188">
        <v>40044013</v>
      </c>
      <c r="B14" s="167" t="s">
        <v>485</v>
      </c>
      <c r="C14" s="50">
        <v>3</v>
      </c>
      <c r="D14" s="50" t="s">
        <v>127</v>
      </c>
      <c r="E14" s="51" t="s">
        <v>334</v>
      </c>
      <c r="F14" s="169" t="s">
        <v>267</v>
      </c>
      <c r="G14" s="64" t="str">
        <f t="shared" si="0"/>
        <v>[effect:enemy_message, val1:2.1, val2:2.6]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N14" s="48" t="str">
        <f t="shared" ref="N14:N15" si="32">IFERROR(LEFT(M14,FIND("],",M14)+S27),M14)</f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O14" s="64">
        <f t="shared" si="6"/>
        <v>9</v>
      </c>
      <c r="P14" s="64">
        <f t="shared" si="7"/>
        <v>18</v>
      </c>
      <c r="Q14" s="64">
        <f t="shared" si="8"/>
        <v>27</v>
      </c>
      <c r="R14" s="64">
        <f t="shared" si="9"/>
        <v>33</v>
      </c>
      <c r="S14" s="64" t="str">
        <f>IFERROR(VLOOKUP(MID(N14,Q14,R14-Q14),[6]skilldef!$C:$D,2,FALSE),"-") &amp; " / " &amp; IFERROR(VLOOKUP(MID(N14,O14,P14-O14),[6]skilldef!$A:$B,2,FALSE),"-")</f>
        <v>自分自身に / 行動値設定</v>
      </c>
      <c r="T14" s="48" t="str">
        <f t="shared" si="10"/>
        <v>[effect:change_panel_ratio, turn:-1, block_type:red, val:0.6, animation:block_incidence04],[effect:enemy_counter, target:myself, invoke_condition:unit_all, counter_target:attacker, turn:-1, val:0.45, animation:enemy_counter]</v>
      </c>
      <c r="U14" s="64">
        <f t="shared" si="11"/>
        <v>9</v>
      </c>
      <c r="V14" s="64">
        <f t="shared" si="12"/>
        <v>27</v>
      </c>
      <c r="W14" s="64">
        <f t="shared" si="13"/>
        <v>122</v>
      </c>
      <c r="X14" s="64">
        <f t="shared" si="14"/>
        <v>36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188">
        <v>40044014</v>
      </c>
      <c r="B15" s="47" t="s">
        <v>376</v>
      </c>
      <c r="C15" s="50">
        <v>3</v>
      </c>
      <c r="D15" s="50" t="s">
        <v>127</v>
      </c>
      <c r="E15" s="51" t="s">
        <v>404</v>
      </c>
      <c r="F15" s="51" t="s">
        <v>375</v>
      </c>
      <c r="G15" s="64" t="str">
        <f t="shared" si="0"/>
        <v>[effect:enemy_message, val1:1.2, val2:2.0]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5"/>
        <v>[effect:rush, count:1, val:1.0],[effect:panel_freeze, target:crash, count:2]</v>
      </c>
      <c r="N15" s="48" t="str">
        <f t="shared" si="32"/>
        <v>[effect:rush, count:1, val:1.0],[effect:panel_freeze, target:crash, count:2]</v>
      </c>
      <c r="O15" s="64">
        <f t="shared" si="6"/>
        <v>9</v>
      </c>
      <c r="P15" s="64">
        <f t="shared" si="7"/>
        <v>13</v>
      </c>
      <c r="Q15" s="64">
        <f t="shared" si="8"/>
        <v>62</v>
      </c>
      <c r="R15" s="64">
        <f t="shared" si="9"/>
        <v>22</v>
      </c>
      <c r="S15" s="64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10"/>
        <v>[effect:panel_freeze, target:crash, count:2]</v>
      </c>
      <c r="U15" s="64">
        <f t="shared" si="11"/>
        <v>9</v>
      </c>
      <c r="V15" s="64">
        <f t="shared" si="12"/>
        <v>21</v>
      </c>
      <c r="W15" s="64">
        <f t="shared" si="13"/>
        <v>30</v>
      </c>
      <c r="X15" s="64">
        <f t="shared" si="14"/>
        <v>35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88">
        <v>40044015</v>
      </c>
      <c r="B16" s="47" t="s">
        <v>378</v>
      </c>
      <c r="C16" s="50">
        <v>3</v>
      </c>
      <c r="D16" s="50" t="s">
        <v>127</v>
      </c>
      <c r="E16" s="51" t="s">
        <v>270</v>
      </c>
      <c r="F16" s="51" t="s">
        <v>377</v>
      </c>
      <c r="G16" s="64" t="str">
        <f t="shared" si="0"/>
        <v>[effect:enemy_message, val1:1.2, val2:2.3]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5"/>
        <v>[effect:rush, count:1, val:1.0],[effect:panel_freeze, target:block_heart, count:10]</v>
      </c>
      <c r="N16" s="48" t="str">
        <f t="shared" ref="N16:N25" si="33">IFERROR(LEFT(M16,FIND("],",M16)+S30),M16)</f>
        <v>[effect:rush, count:1, val:1.0],[effect:panel_freeze, target:block_heart, count:10]</v>
      </c>
      <c r="O16" s="64">
        <f t="shared" si="6"/>
        <v>9</v>
      </c>
      <c r="P16" s="64">
        <f t="shared" si="7"/>
        <v>13</v>
      </c>
      <c r="Q16" s="64">
        <f t="shared" si="8"/>
        <v>62</v>
      </c>
      <c r="R16" s="64">
        <f t="shared" si="9"/>
        <v>22</v>
      </c>
      <c r="S16" s="64" t="str">
        <f>IFERROR(VLOOKUP(MID(N16,Q16,R16-Q16),[6]skilldef!$C:$D,2,FALSE),"-") &amp; " / " &amp; IFERROR(VLOOKUP(MID(N16,O16,P16-O16),[6]skilldef!$A:$B,2,FALSE),"-")</f>
        <v>- / 連続攻撃</v>
      </c>
      <c r="T16" s="48" t="str">
        <f t="shared" si="10"/>
        <v>[effect:panel_freeze, target:block_heart, count:10]</v>
      </c>
      <c r="U16" s="64">
        <f t="shared" si="11"/>
        <v>9</v>
      </c>
      <c r="V16" s="64">
        <f t="shared" si="12"/>
        <v>21</v>
      </c>
      <c r="W16" s="64">
        <f t="shared" si="13"/>
        <v>30</v>
      </c>
      <c r="X16" s="64">
        <f t="shared" si="14"/>
        <v>41</v>
      </c>
      <c r="Y16" s="64" t="str">
        <f>IFERROR(VLOOKUP(MID(T16,W16,X16-W16),[6]skilldef!$C:$D,2,FALSE),"-") &amp; " / " &amp; IFERROR(VLOOKUP(MID(T16,U16,V16-U16),[6]skilldef!$A:$B,2,FALSE),"-")</f>
        <v>ハートパネルを / -</v>
      </c>
      <c r="Z16" s="50"/>
      <c r="AA16" s="52"/>
      <c r="AB16" s="50"/>
    </row>
    <row r="17" spans="1:28" ht="21" customHeight="1" x14ac:dyDescent="0.15">
      <c r="A17" s="188">
        <v>40044016</v>
      </c>
      <c r="B17" s="47" t="s">
        <v>479</v>
      </c>
      <c r="C17" s="50">
        <v>3</v>
      </c>
      <c r="D17" s="50" t="s">
        <v>127</v>
      </c>
      <c r="E17" s="51" t="s">
        <v>271</v>
      </c>
      <c r="F17" s="51" t="s">
        <v>478</v>
      </c>
      <c r="G17" s="64" t="str">
        <f t="shared" si="0"/>
        <v>[effect:enemy_message, val1:1.3, val2:3.2]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32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>[effect:spread, val:0.3],[effect:panel_freeze, target:normal, color:block_red, count:-1],[effect:change_bomb_range, target:unit_all, val:0.7, rate:1, turn:4, animation:bomb_small]</v>
      </c>
      <c r="N17" s="48" t="str">
        <f t="shared" si="33"/>
        <v>[effect:spread, val:0.3],[effect:panel_freeze, target:normal, color:block_red, count:-1],[effect:change_bomb_range, target:unit_all, val:0.7, rate:1, turn:4, animation:bomb_small]</v>
      </c>
      <c r="O17" s="64">
        <f t="shared" si="6"/>
        <v>9</v>
      </c>
      <c r="P17" s="64">
        <f t="shared" si="7"/>
        <v>15</v>
      </c>
      <c r="Q17" s="64">
        <f t="shared" si="8"/>
        <v>55</v>
      </c>
      <c r="R17" s="64">
        <f t="shared" si="9"/>
        <v>25</v>
      </c>
      <c r="S17" s="64" t="str">
        <f>IFERROR(VLOOKUP(MID(N17,Q17,R17-Q17),[6]skilldef!$C:$D,2,FALSE),"-") &amp; " / " &amp; IFERROR(VLOOKUP(MID(N17,O17,P17-O17),[6]skilldef!$A:$B,2,FALSE),"-")</f>
        <v>- / 全体攻撃</v>
      </c>
      <c r="T17" s="48" t="str">
        <f t="shared" si="10"/>
        <v>[effect:panel_freeze, target:normal, color:block_red, count:-1],[effect:change_bomb_range, target:unit_all, val:0.7, rate:1, turn:4, animation:bomb_small]</v>
      </c>
      <c r="U17" s="64">
        <f t="shared" si="11"/>
        <v>9</v>
      </c>
      <c r="V17" s="64">
        <f t="shared" si="12"/>
        <v>21</v>
      </c>
      <c r="W17" s="64">
        <f t="shared" si="13"/>
        <v>30</v>
      </c>
      <c r="X17" s="64">
        <f t="shared" si="14"/>
        <v>36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thickBot="1" x14ac:dyDescent="0.2">
      <c r="A18" s="180">
        <v>40044017</v>
      </c>
      <c r="B18" s="182" t="s">
        <v>276</v>
      </c>
      <c r="C18" s="175">
        <v>3</v>
      </c>
      <c r="D18" s="183" t="s">
        <v>127</v>
      </c>
      <c r="E18" s="184" t="s">
        <v>272</v>
      </c>
      <c r="F18" s="184" t="s">
        <v>269</v>
      </c>
      <c r="G18" s="185" t="str">
        <f t="shared" si="0"/>
        <v>[effect:enemy_message, val1:1.2, val2:2.7]</v>
      </c>
      <c r="H18" s="185">
        <f t="shared" si="1"/>
        <v>9</v>
      </c>
      <c r="I18" s="185">
        <f t="shared" si="2"/>
        <v>22</v>
      </c>
      <c r="J18" s="185" t="e">
        <f t="shared" si="3"/>
        <v>#VALUE!</v>
      </c>
      <c r="K18" s="185">
        <f t="shared" si="4"/>
        <v>32</v>
      </c>
      <c r="L18" s="185" t="str">
        <f>IFERROR(VLOOKUP(MID(G18,J18,K18-J18),[6]skilldef!$C:$D,2,FALSE),"-") &amp; " / " &amp; IFERROR(VLOOKUP(MID(G18,H18,I18-H18),[6]skilldef!$A:$B,2,FALSE),"-")</f>
        <v>- / -</v>
      </c>
      <c r="M18" s="185" t="str">
        <f t="shared" si="5"/>
        <v>[effect:panel_freeze, target:normal, color:block_red, count:-1],[effect:ability_lock, target:unit_all, turn:1]</v>
      </c>
      <c r="N18" s="186" t="str">
        <f t="shared" si="33"/>
        <v>[effect:panel_freeze, target:normal, color:block_red, count:-1],[effect:ability_lock, target:unit_all, turn:1]</v>
      </c>
      <c r="O18" s="185">
        <f t="shared" si="6"/>
        <v>9</v>
      </c>
      <c r="P18" s="185">
        <f t="shared" si="7"/>
        <v>21</v>
      </c>
      <c r="Q18" s="185">
        <f t="shared" si="8"/>
        <v>30</v>
      </c>
      <c r="R18" s="185">
        <f t="shared" si="9"/>
        <v>36</v>
      </c>
      <c r="S18" s="185" t="str">
        <f>IFERROR(VLOOKUP(MID(N18,Q18,R18-Q18),[6]skilldef!$C:$D,2,FALSE),"-") &amp; " / " &amp; IFERROR(VLOOKUP(MID(N18,O18,P18-O18),[6]skilldef!$A:$B,2,FALSE),"-")</f>
        <v>- / -</v>
      </c>
      <c r="T18" s="186" t="str">
        <f t="shared" si="10"/>
        <v>[effect:ability_lock, target:unit_all, turn:1]</v>
      </c>
      <c r="U18" s="185">
        <f t="shared" si="11"/>
        <v>9</v>
      </c>
      <c r="V18" s="185">
        <f t="shared" si="12"/>
        <v>21</v>
      </c>
      <c r="W18" s="185">
        <f t="shared" si="13"/>
        <v>30</v>
      </c>
      <c r="X18" s="185">
        <f t="shared" si="14"/>
        <v>38</v>
      </c>
      <c r="Y18" s="185" t="str">
        <f>IFERROR(VLOOKUP(MID(T18,W18,X18-W18),[6]skilldef!$C:$D,2,FALSE),"-") &amp; " / " &amp; IFERROR(VLOOKUP(MID(T18,U18,V18-U18),[6]skilldef!$A:$B,2,FALSE),"-")</f>
        <v>味方全体に / -</v>
      </c>
      <c r="Z18" s="183"/>
      <c r="AA18" s="187"/>
      <c r="AB18" s="183"/>
    </row>
    <row r="19" spans="1:28" ht="46" customHeight="1" x14ac:dyDescent="0.15">
      <c r="A19" s="189">
        <v>40044018</v>
      </c>
      <c r="B19" s="167" t="s">
        <v>473</v>
      </c>
      <c r="C19" s="168">
        <v>3</v>
      </c>
      <c r="D19" s="168" t="s">
        <v>127</v>
      </c>
      <c r="E19" s="169" t="s">
        <v>273</v>
      </c>
      <c r="F19" s="169" t="s">
        <v>462</v>
      </c>
      <c r="G19" s="170" t="str">
        <f t="shared" si="0"/>
        <v>[effect:enemy_message, val1:1.2, val2:3.9]</v>
      </c>
      <c r="H19" s="170">
        <f t="shared" si="1"/>
        <v>9</v>
      </c>
      <c r="I19" s="170">
        <f t="shared" si="2"/>
        <v>22</v>
      </c>
      <c r="J19" s="170" t="e">
        <f t="shared" si="3"/>
        <v>#VALUE!</v>
      </c>
      <c r="K19" s="170">
        <f t="shared" si="4"/>
        <v>32</v>
      </c>
      <c r="L19" s="170" t="str">
        <f>IFERROR(VLOOKUP(MID(G19,J19,K19-J19),[6]skilldef!$C:$D,2,FALSE),"-") &amp; " / " &amp; IFERROR(VLOOKUP(MID(G19,H19,I19-H19),[6]skilldef!$A:$B,2,FALSE),"-")</f>
        <v>- / -</v>
      </c>
      <c r="M19" s="170" t="str">
        <f t="shared" si="5"/>
        <v>[effect:fix_speed, target:myself, turn:1],[effect:panel_freeze, target:block_all, count:-1],[effect:degrade_unit, target:unit_all, turn:4, status:action, val:2, animation:enemy_tap_down],[effect:enemy_counter, target:myself, invoke_condition:unit_all, counter_target:attacker, turn:-1, val:0.45, animation:enemy_counter]</v>
      </c>
      <c r="N19" s="171" t="str">
        <f t="shared" si="33"/>
        <v>[effect:fix_speed, target:myself, turn:1],[effect:panel_freeze, target:block_all, count:-1],[effect:degrade_unit, target:unit_all, turn:4, status:action, val:2, animation:enemy_tap_down],[effect:enemy_counter, target:myself, invoke_condition:unit_all, counter_target:attacker, turn:-1, val:0.45, animation:enemy_counter]</v>
      </c>
      <c r="O19" s="170">
        <f t="shared" si="6"/>
        <v>9</v>
      </c>
      <c r="P19" s="170">
        <f t="shared" si="7"/>
        <v>18</v>
      </c>
      <c r="Q19" s="170">
        <f t="shared" si="8"/>
        <v>27</v>
      </c>
      <c r="R19" s="170">
        <f t="shared" si="9"/>
        <v>33</v>
      </c>
      <c r="S19" s="170" t="str">
        <f>IFERROR(VLOOKUP(MID(N19,Q19,R19-Q19),[6]skilldef!$C:$D,2,FALSE),"-") &amp; " / " &amp; IFERROR(VLOOKUP(MID(N19,O19,P19-O19),[6]skilldef!$A:$B,2,FALSE),"-")</f>
        <v>自分自身に / 行動値設定</v>
      </c>
      <c r="T19" s="171" t="str">
        <f t="shared" si="10"/>
        <v>[effect:panel_freeze, target:block_all, count:-1],[effect:degrade_unit, target:unit_all, turn:4, status:action, val:2, animation:enemy_tap_down],[effect:enemy_counter, target:myself, invoke_condition:unit_all, counter_target:attacker, turn:-1, val:0.45, animation:enemy_counter]</v>
      </c>
      <c r="U19" s="170">
        <f t="shared" si="11"/>
        <v>9</v>
      </c>
      <c r="V19" s="170">
        <f t="shared" si="12"/>
        <v>21</v>
      </c>
      <c r="W19" s="170">
        <f t="shared" si="13"/>
        <v>30</v>
      </c>
      <c r="X19" s="170">
        <f t="shared" si="14"/>
        <v>39</v>
      </c>
      <c r="Y19" s="170" t="str">
        <f>IFERROR(VLOOKUP(MID(T19,W19,X19-W19),[6]skilldef!$C:$D,2,FALSE),"-") &amp; " / " &amp; IFERROR(VLOOKUP(MID(T19,U19,V19-U19),[6]skilldef!$A:$B,2,FALSE),"-")</f>
        <v>- / -</v>
      </c>
      <c r="Z19" s="168"/>
      <c r="AA19" s="172"/>
      <c r="AB19" s="168"/>
    </row>
    <row r="20" spans="1:28" ht="39" customHeight="1" x14ac:dyDescent="0.15">
      <c r="A20" s="188">
        <v>40044019</v>
      </c>
      <c r="B20" s="47" t="s">
        <v>407</v>
      </c>
      <c r="C20" s="50">
        <v>3</v>
      </c>
      <c r="D20" s="50" t="s">
        <v>127</v>
      </c>
      <c r="E20" s="51" t="s">
        <v>405</v>
      </c>
      <c r="F20" s="51" t="s">
        <v>274</v>
      </c>
      <c r="G20" s="64" t="str">
        <f t="shared" si="0"/>
        <v>[effect:enemy_message, val1:1.2, val2:2.4]</v>
      </c>
      <c r="H20" s="64">
        <f t="shared" si="1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32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si="5"/>
        <v>[effect:rush, count:1, val:1.0],[effect:panel_freeze, target:normal, color:block_blue, count:4],[effect:panel_freeze, target:normal, color:block_green, count:4]</v>
      </c>
      <c r="N20" s="48" t="str">
        <f t="shared" si="33"/>
        <v>[effect:rush, count:1, val:1.0],[effect:panel_freeze, target:normal, color:block_blue, count:4],[effect:panel_freeze, target:normal, color:block_green, count:4]</v>
      </c>
      <c r="O20" s="64">
        <f t="shared" si="6"/>
        <v>9</v>
      </c>
      <c r="P20" s="64">
        <f t="shared" si="7"/>
        <v>13</v>
      </c>
      <c r="Q20" s="64">
        <f t="shared" si="8"/>
        <v>62</v>
      </c>
      <c r="R20" s="64">
        <f t="shared" si="9"/>
        <v>22</v>
      </c>
      <c r="S20" s="64" t="str">
        <f>IFERROR(VLOOKUP(MID(N20,Q20,R20-Q20),[6]skilldef!$C:$D,2,FALSE),"-") &amp; " / " &amp; IFERROR(VLOOKUP(MID(N20,O20,P20-O20),[6]skilldef!$A:$B,2,FALSE),"-")</f>
        <v>- / 連続攻撃</v>
      </c>
      <c r="T20" s="48" t="str">
        <f t="shared" si="10"/>
        <v>[effect:panel_freeze, target:normal, color:block_blue, count:4],[effect:panel_freeze, target:normal, color:block_green, count:4]</v>
      </c>
      <c r="U20" s="64">
        <f t="shared" si="11"/>
        <v>9</v>
      </c>
      <c r="V20" s="64">
        <f t="shared" si="12"/>
        <v>21</v>
      </c>
      <c r="W20" s="64">
        <f t="shared" si="13"/>
        <v>30</v>
      </c>
      <c r="X20" s="64">
        <f t="shared" si="14"/>
        <v>36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39" customHeight="1" x14ac:dyDescent="0.15">
      <c r="A21" s="188">
        <v>40044020</v>
      </c>
      <c r="B21" s="47" t="s">
        <v>329</v>
      </c>
      <c r="C21" s="50">
        <v>3</v>
      </c>
      <c r="D21" s="50" t="s">
        <v>127</v>
      </c>
      <c r="E21" s="51" t="s">
        <v>406</v>
      </c>
      <c r="F21" s="51" t="s">
        <v>275</v>
      </c>
      <c r="G21" s="64" t="str">
        <f t="shared" si="0"/>
        <v>[effect:enemy_message, val1:1.3, val2:2.4]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32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5"/>
        <v>[effect:rush, count:1, val:1.0],[effect:panel_freeze, target:normal, color:block_red, count:4],[effect:panel_freeze, target:normal, color:block_yellow, count:4]</v>
      </c>
      <c r="N21" s="48" t="str">
        <f t="shared" si="33"/>
        <v>[effect:rush, count:1, val:1.0],[effect:panel_freeze, target:normal, color:block_red, count:4],[effect:panel_freeze, target:normal, color:block_yellow, count:4]</v>
      </c>
      <c r="O21" s="64">
        <f t="shared" si="6"/>
        <v>9</v>
      </c>
      <c r="P21" s="64">
        <f t="shared" si="7"/>
        <v>13</v>
      </c>
      <c r="Q21" s="64">
        <f t="shared" si="8"/>
        <v>62</v>
      </c>
      <c r="R21" s="64">
        <f t="shared" si="9"/>
        <v>22</v>
      </c>
      <c r="S21" s="64" t="str">
        <f>IFERROR(VLOOKUP(MID(N21,Q21,R21-Q21),[6]skilldef!$C:$D,2,FALSE),"-") &amp; " / " &amp; IFERROR(VLOOKUP(MID(N21,O21,P21-O21),[6]skilldef!$A:$B,2,FALSE),"-")</f>
        <v>- / 連続攻撃</v>
      </c>
      <c r="T21" s="48" t="str">
        <f t="shared" si="10"/>
        <v>[effect:panel_freeze, target:normal, color:block_red, count:4],[effect:panel_freeze, target:normal, color:block_yellow, count:4]</v>
      </c>
      <c r="U21" s="64">
        <f t="shared" si="11"/>
        <v>9</v>
      </c>
      <c r="V21" s="64">
        <f t="shared" si="12"/>
        <v>21</v>
      </c>
      <c r="W21" s="64">
        <f t="shared" si="13"/>
        <v>30</v>
      </c>
      <c r="X21" s="64">
        <f t="shared" si="14"/>
        <v>36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88">
        <v>40044021</v>
      </c>
      <c r="B22" s="47" t="s">
        <v>287</v>
      </c>
      <c r="C22" s="50">
        <v>3</v>
      </c>
      <c r="D22" s="50" t="s">
        <v>127</v>
      </c>
      <c r="E22" s="51" t="s">
        <v>278</v>
      </c>
      <c r="F22" s="51" t="s">
        <v>277</v>
      </c>
      <c r="G22" s="64" t="str">
        <f t="shared" si="0"/>
        <v>[effect:enemy_message, val1:1.5, val2:3.5]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>
        <f t="shared" si="4"/>
        <v>32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5"/>
        <v>[effect:ability_lock, target:unit_all, turn:1],[effect:hungup, target:unit_all, turn:1, rate:1, animation:hungup01]</v>
      </c>
      <c r="N22" s="48" t="str">
        <f t="shared" si="33"/>
        <v>[effect:ability_lock, target:unit_all, turn:1],[effect:hungup, target:unit_all, turn:1, rate:1, animation:hungup01]</v>
      </c>
      <c r="O22" s="64">
        <f t="shared" si="6"/>
        <v>9</v>
      </c>
      <c r="P22" s="64">
        <f t="shared" si="7"/>
        <v>21</v>
      </c>
      <c r="Q22" s="64">
        <f t="shared" si="8"/>
        <v>30</v>
      </c>
      <c r="R22" s="64">
        <f t="shared" si="9"/>
        <v>38</v>
      </c>
      <c r="S22" s="64" t="str">
        <f>IFERROR(VLOOKUP(MID(N22,Q22,R22-Q22),[6]skilldef!$C:$D,2,FALSE),"-") &amp; " / " &amp; IFERROR(VLOOKUP(MID(N22,O22,P22-O22),[6]skilldef!$A:$B,2,FALSE),"-")</f>
        <v>味方全体に / -</v>
      </c>
      <c r="T22" s="48" t="str">
        <f t="shared" si="10"/>
        <v>[effect:hungup, target:unit_all, turn:1, rate:1, animation:hungup01]</v>
      </c>
      <c r="U22" s="64">
        <f t="shared" si="11"/>
        <v>9</v>
      </c>
      <c r="V22" s="64">
        <f t="shared" si="12"/>
        <v>15</v>
      </c>
      <c r="W22" s="64">
        <f t="shared" si="13"/>
        <v>24</v>
      </c>
      <c r="X22" s="64">
        <f t="shared" si="14"/>
        <v>32</v>
      </c>
      <c r="Y22" s="64" t="str">
        <f>IFERROR(VLOOKUP(MID(T22,W22,X22-W22),[6]skilldef!$C:$D,2,FALSE),"-") &amp; " / " &amp; IFERROR(VLOOKUP(MID(T22,U22,V22-U22),[6]skilldef!$A:$B,2,FALSE),"-")</f>
        <v>味方全体に / ハングアップ</v>
      </c>
      <c r="Z22" s="50"/>
      <c r="AA22" s="52"/>
      <c r="AB22" s="50"/>
    </row>
    <row r="23" spans="1:28" ht="21" customHeight="1" x14ac:dyDescent="0.15">
      <c r="A23" s="188">
        <v>40044022</v>
      </c>
      <c r="B23" s="47" t="s">
        <v>403</v>
      </c>
      <c r="C23" s="50">
        <v>3</v>
      </c>
      <c r="D23" s="50" t="s">
        <v>127</v>
      </c>
      <c r="E23" s="51" t="s">
        <v>402</v>
      </c>
      <c r="F23" s="51" t="s">
        <v>313</v>
      </c>
      <c r="G23" s="64" t="str">
        <f t="shared" si="0"/>
        <v>[effect:enemy_message, val1:1.6, val2:2.5]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32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5"/>
        <v>[effect:spread, val:0.35],[effect:panel_freeze, target:block_all, count:12]</v>
      </c>
      <c r="N23" s="48" t="str">
        <f t="shared" si="33"/>
        <v>[effect:spread, val:0.35],[effect:panel_freeze, target:block_all, count:12]</v>
      </c>
      <c r="O23" s="64">
        <f t="shared" si="6"/>
        <v>9</v>
      </c>
      <c r="P23" s="64">
        <f t="shared" si="7"/>
        <v>15</v>
      </c>
      <c r="Q23" s="64">
        <f t="shared" si="8"/>
        <v>56</v>
      </c>
      <c r="R23" s="64">
        <f t="shared" si="9"/>
        <v>26</v>
      </c>
      <c r="S23" s="64" t="str">
        <f>IFERROR(VLOOKUP(MID(N23,Q23,R23-Q23),[6]skilldef!$C:$D,2,FALSE),"-") &amp; " / " &amp; IFERROR(VLOOKUP(MID(N23,O23,P23-O23),[6]skilldef!$A:$B,2,FALSE),"-")</f>
        <v>- / 全体攻撃</v>
      </c>
      <c r="T23" s="48" t="str">
        <f t="shared" si="10"/>
        <v>[effect:panel_freeze, target:block_all, count:12]</v>
      </c>
      <c r="U23" s="64">
        <f t="shared" si="11"/>
        <v>9</v>
      </c>
      <c r="V23" s="64">
        <f t="shared" si="12"/>
        <v>21</v>
      </c>
      <c r="W23" s="64">
        <f t="shared" si="13"/>
        <v>30</v>
      </c>
      <c r="X23" s="64">
        <f t="shared" si="14"/>
        <v>39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88">
        <v>40044023</v>
      </c>
      <c r="B24" s="47" t="s">
        <v>371</v>
      </c>
      <c r="C24" s="50">
        <v>3</v>
      </c>
      <c r="D24" s="50" t="s">
        <v>127</v>
      </c>
      <c r="E24" s="51" t="s">
        <v>279</v>
      </c>
      <c r="F24" s="169" t="s">
        <v>370</v>
      </c>
      <c r="G24" s="64" t="str">
        <f t="shared" si="0"/>
        <v>[effect:enemy_message, val1:2.6, val2:3.4, dead_type:escape]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32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"/>
        <v>none</v>
      </c>
      <c r="N24" s="48" t="str">
        <f t="shared" si="33"/>
        <v>none</v>
      </c>
      <c r="O24" s="64" t="e">
        <f t="shared" si="6"/>
        <v>#VALUE!</v>
      </c>
      <c r="P24" s="64">
        <f t="shared" si="7"/>
        <v>4</v>
      </c>
      <c r="Q24" s="64" t="e">
        <f t="shared" si="8"/>
        <v>#VALUE!</v>
      </c>
      <c r="R24" s="64" t="e">
        <f t="shared" si="9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4" t="e">
        <f t="shared" si="11"/>
        <v>#VALUE!</v>
      </c>
      <c r="V24" s="64">
        <f t="shared" si="12"/>
        <v>4</v>
      </c>
      <c r="W24" s="64" t="e">
        <f t="shared" si="13"/>
        <v>#VALUE!</v>
      </c>
      <c r="X24" s="64" t="e">
        <f t="shared" si="14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188">
        <v>40044024</v>
      </c>
      <c r="B25" s="47" t="s">
        <v>435</v>
      </c>
      <c r="C25" s="50">
        <v>3</v>
      </c>
      <c r="D25" s="50" t="s">
        <v>127</v>
      </c>
      <c r="E25" s="51" t="s">
        <v>436</v>
      </c>
      <c r="F25" s="169" t="s">
        <v>370</v>
      </c>
      <c r="G25" s="64" t="str">
        <f t="shared" si="0"/>
        <v>[effect:enemy_message, val1:2.7, val2:3.4, dead_type:escape]</v>
      </c>
      <c r="H25" s="64">
        <f t="shared" si="1"/>
        <v>9</v>
      </c>
      <c r="I25" s="64">
        <f t="shared" si="2"/>
        <v>22</v>
      </c>
      <c r="J25" s="64" t="e">
        <f t="shared" si="3"/>
        <v>#VALUE!</v>
      </c>
      <c r="K25" s="64">
        <f t="shared" si="4"/>
        <v>32</v>
      </c>
      <c r="L25" s="64" t="str">
        <f>IFERROR(VLOOKUP(MID(G25,J25,K25-J25),[6]skilldef!$C:$D,2,FALSE),"-") &amp; " / " &amp; IFERROR(VLOOKUP(MID(G25,H25,I25-H25),[6]skilldef!$A:$B,2,FALSE),"-")</f>
        <v>- / -</v>
      </c>
      <c r="M25" s="64" t="str">
        <f t="shared" si="5"/>
        <v>none</v>
      </c>
      <c r="N25" s="48" t="str">
        <f t="shared" si="33"/>
        <v>none</v>
      </c>
      <c r="O25" s="64" t="e">
        <f t="shared" si="6"/>
        <v>#VALUE!</v>
      </c>
      <c r="P25" s="64">
        <f t="shared" si="7"/>
        <v>4</v>
      </c>
      <c r="Q25" s="64" t="e">
        <f t="shared" si="8"/>
        <v>#VALUE!</v>
      </c>
      <c r="R25" s="64" t="e">
        <f t="shared" si="9"/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thickBot="1" x14ac:dyDescent="0.2">
      <c r="A26" s="180">
        <v>40044025</v>
      </c>
      <c r="B26" s="174" t="s">
        <v>424</v>
      </c>
      <c r="C26" s="175">
        <v>3</v>
      </c>
      <c r="D26" s="183" t="s">
        <v>127</v>
      </c>
      <c r="E26" s="184" t="s">
        <v>379</v>
      </c>
      <c r="F26" s="176" t="s">
        <v>370</v>
      </c>
      <c r="G26" s="185" t="str">
        <f t="shared" si="0"/>
        <v>[effect:enemy_message, val1:1.9, val2:3.4, dead_type:escape]</v>
      </c>
      <c r="H26" s="185">
        <f t="shared" si="1"/>
        <v>9</v>
      </c>
      <c r="I26" s="185">
        <f t="shared" si="2"/>
        <v>22</v>
      </c>
      <c r="J26" s="185" t="e">
        <f t="shared" si="3"/>
        <v>#VALUE!</v>
      </c>
      <c r="K26" s="185">
        <f t="shared" si="4"/>
        <v>32</v>
      </c>
      <c r="L26" s="185" t="str">
        <f>IFERROR(VLOOKUP(MID(G26,J26,K26-J26),[6]skilldef!$C:$D,2,FALSE),"-") &amp; " / " &amp; IFERROR(VLOOKUP(MID(G26,H26,I26-H26),[6]skilldef!$A:$B,2,FALSE),"-")</f>
        <v>- / -</v>
      </c>
      <c r="M26" s="185" t="str">
        <f t="shared" si="5"/>
        <v>none</v>
      </c>
      <c r="N26" s="186" t="str">
        <f>IFERROR(LEFT(M26,FIND("],",M26)+S42),M26)</f>
        <v>none</v>
      </c>
      <c r="O26" s="185" t="e">
        <f t="shared" si="6"/>
        <v>#VALUE!</v>
      </c>
      <c r="P26" s="185">
        <f t="shared" si="7"/>
        <v>4</v>
      </c>
      <c r="Q26" s="185" t="e">
        <f t="shared" si="8"/>
        <v>#VALUE!</v>
      </c>
      <c r="R26" s="185" t="e">
        <f t="shared" si="9"/>
        <v>#VALUE!</v>
      </c>
      <c r="S26" s="185" t="str">
        <f>IFERROR(VLOOKUP(MID(N26,Q26,R26-Q26),[6]skilldef!$C:$D,2,FALSE),"-") &amp; " / " &amp; IFERROR(VLOOKUP(MID(N26,O26,P26-O26),[6]skilldef!$A:$B,2,FALSE),"-")</f>
        <v>- / -</v>
      </c>
      <c r="T26" s="186" t="str">
        <f t="shared" si="10"/>
        <v>none</v>
      </c>
      <c r="U26" s="185" t="e">
        <f t="shared" si="11"/>
        <v>#VALUE!</v>
      </c>
      <c r="V26" s="185">
        <f t="shared" si="12"/>
        <v>4</v>
      </c>
      <c r="W26" s="185" t="e">
        <f t="shared" si="13"/>
        <v>#VALUE!</v>
      </c>
      <c r="X26" s="185" t="e">
        <f t="shared" si="14"/>
        <v>#VALUE!</v>
      </c>
      <c r="Y26" s="185" t="str">
        <f>IFERROR(VLOOKUP(MID(T26,W26,X26-W26),[6]skilldef!$C:$D,2,FALSE),"-") &amp; " / " &amp; IFERROR(VLOOKUP(MID(T26,U26,V26-U26),[6]skilldef!$A:$B,2,FALSE),"-")</f>
        <v>- / -</v>
      </c>
      <c r="Z26" s="183"/>
      <c r="AA26" s="187"/>
      <c r="AB26" s="183"/>
    </row>
    <row r="27" spans="1:28" ht="21" customHeight="1" x14ac:dyDescent="0.15">
      <c r="A27" s="190">
        <v>40044026</v>
      </c>
      <c r="B27" s="167" t="s">
        <v>314</v>
      </c>
      <c r="C27" s="168">
        <v>3</v>
      </c>
      <c r="D27" s="50" t="s">
        <v>127</v>
      </c>
      <c r="E27" s="51" t="s">
        <v>298</v>
      </c>
      <c r="F27" s="51" t="s">
        <v>256</v>
      </c>
      <c r="G27" s="64" t="str">
        <f t="shared" si="0"/>
        <v>[effect:enemy_message, val1:1.2, val2:1.7]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>[effect:damage_anti_abnormal, target:unit_one, target_effect01:virus, val1:1.7, val2:0.8]</v>
      </c>
      <c r="N27" s="48" t="str">
        <f>IFERROR(LEFT(M27,FIND("],",M27)+S38),M27)</f>
        <v>[effect:damage_anti_abnormal, target:unit_one, target_effect01:virus, val1:1.7, val2:0.8]</v>
      </c>
      <c r="O27" s="64">
        <f t="shared" si="6"/>
        <v>9</v>
      </c>
      <c r="P27" s="64">
        <f t="shared" si="7"/>
        <v>29</v>
      </c>
      <c r="Q27" s="64">
        <f t="shared" si="8"/>
        <v>38</v>
      </c>
      <c r="R27" s="64">
        <f t="shared" si="9"/>
        <v>46</v>
      </c>
      <c r="S27" s="64" t="str">
        <f>IFERROR(VLOOKUP(MID(N27,Q27,R27-Q27),[6]skilldef!$C:$D,2,FALSE),"-") &amp; " / " &amp; IFERROR(VLOOKUP(MID(N27,O27,P27-O27),[6]skilldef!$A:$B,2,FALSE),"-")</f>
        <v>味方単体に / -</v>
      </c>
      <c r="T27" s="48" t="str">
        <f t="shared" si="10"/>
        <v>none</v>
      </c>
      <c r="U27" s="64" t="e">
        <f t="shared" si="11"/>
        <v>#VALUE!</v>
      </c>
      <c r="V27" s="64">
        <f t="shared" si="12"/>
        <v>4</v>
      </c>
      <c r="W27" s="64" t="e">
        <f t="shared" si="13"/>
        <v>#VALUE!</v>
      </c>
      <c r="X27" s="64" t="e">
        <f t="shared" si="14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thickBot="1" x14ac:dyDescent="0.2">
      <c r="A28" s="191">
        <v>40044027</v>
      </c>
      <c r="B28" s="182" t="s">
        <v>331</v>
      </c>
      <c r="C28" s="175">
        <v>3</v>
      </c>
      <c r="D28" s="183" t="s">
        <v>127</v>
      </c>
      <c r="E28" s="184" t="s">
        <v>299</v>
      </c>
      <c r="F28" s="184" t="s">
        <v>281</v>
      </c>
      <c r="G28" s="185" t="str">
        <f t="shared" si="0"/>
        <v>[effect:enemy_message, val1:1.2, val2:2.0]</v>
      </c>
      <c r="H28" s="185">
        <f t="shared" si="1"/>
        <v>9</v>
      </c>
      <c r="I28" s="185">
        <f t="shared" si="2"/>
        <v>22</v>
      </c>
      <c r="J28" s="185" t="e">
        <f t="shared" si="3"/>
        <v>#VALUE!</v>
      </c>
      <c r="K28" s="185">
        <f t="shared" si="4"/>
        <v>32</v>
      </c>
      <c r="L28" s="185" t="str">
        <f>IFERROR(VLOOKUP(MID(G28,J28,K28-J28),[6]skilldef!$C:$D,2,FALSE),"-") &amp; " / " &amp; IFERROR(VLOOKUP(MID(G28,H28,I28-H28),[6]skilldef!$A:$B,2,FALSE),"-")</f>
        <v>- / -</v>
      </c>
      <c r="M28" s="185" t="str">
        <f t="shared" si="5"/>
        <v>[effect:spread, val:0.4],[effect:panel_freeze, target:normal, color:block_blue, count:8]</v>
      </c>
      <c r="N28" s="186" t="str">
        <f>IFERROR(LEFT(M28,FIND("],",M28)+S39),M28)</f>
        <v>[effect:spread, val:0.4],[effect:panel_freeze, target:normal, color:block_blue, count:8]</v>
      </c>
      <c r="O28" s="185">
        <f t="shared" si="6"/>
        <v>9</v>
      </c>
      <c r="P28" s="185">
        <f t="shared" si="7"/>
        <v>15</v>
      </c>
      <c r="Q28" s="185">
        <f t="shared" si="8"/>
        <v>55</v>
      </c>
      <c r="R28" s="185">
        <f t="shared" si="9"/>
        <v>25</v>
      </c>
      <c r="S28" s="185" t="str">
        <f>IFERROR(VLOOKUP(MID(N28,Q28,R28-Q28),[6]skilldef!$C:$D,2,FALSE),"-") &amp; " / " &amp; IFERROR(VLOOKUP(MID(N28,O28,P28-O28),[6]skilldef!$A:$B,2,FALSE),"-")</f>
        <v>- / 全体攻撃</v>
      </c>
      <c r="T28" s="186" t="str">
        <f t="shared" si="10"/>
        <v>[effect:panel_freeze, target:normal, color:block_blue, count:8]</v>
      </c>
      <c r="U28" s="185">
        <f t="shared" si="11"/>
        <v>9</v>
      </c>
      <c r="V28" s="185">
        <f t="shared" si="12"/>
        <v>21</v>
      </c>
      <c r="W28" s="185">
        <f t="shared" si="13"/>
        <v>30</v>
      </c>
      <c r="X28" s="185">
        <f t="shared" si="14"/>
        <v>36</v>
      </c>
      <c r="Y28" s="185" t="str">
        <f>IFERROR(VLOOKUP(MID(T28,W28,X28-W28),[6]skilldef!$C:$D,2,FALSE),"-") &amp; " / " &amp; IFERROR(VLOOKUP(MID(T28,U28,V28-U28),[6]skilldef!$A:$B,2,FALSE),"-")</f>
        <v>- / -</v>
      </c>
      <c r="Z28" s="183"/>
      <c r="AA28" s="187"/>
      <c r="AB28" s="183"/>
    </row>
    <row r="29" spans="1:28" ht="21" customHeight="1" x14ac:dyDescent="0.15">
      <c r="A29" s="190">
        <v>40044028</v>
      </c>
      <c r="B29" s="167" t="s">
        <v>423</v>
      </c>
      <c r="C29" s="168">
        <v>3</v>
      </c>
      <c r="D29" s="168" t="s">
        <v>127</v>
      </c>
      <c r="E29" s="169" t="s">
        <v>311</v>
      </c>
      <c r="F29" s="169" t="s">
        <v>309</v>
      </c>
      <c r="G29" s="170" t="str">
        <f t="shared" si="0"/>
        <v>[effect:enemy_message, val1:1.5, val2:0]</v>
      </c>
      <c r="H29" s="170">
        <f t="shared" si="1"/>
        <v>9</v>
      </c>
      <c r="I29" s="170">
        <f t="shared" si="2"/>
        <v>22</v>
      </c>
      <c r="J29" s="170" t="e">
        <f t="shared" si="3"/>
        <v>#VALUE!</v>
      </c>
      <c r="K29" s="170">
        <f t="shared" si="4"/>
        <v>32</v>
      </c>
      <c r="L29" s="170" t="str">
        <f>IFERROR(VLOOKUP(MID(G29,J29,K29-J29),[6]skilldef!$C:$D,2,FALSE),"-") &amp; " / " &amp; IFERROR(VLOOKUP(MID(G29,H29,I29-H29),[6]skilldef!$A:$B,2,FALSE),"-")</f>
        <v>- / -</v>
      </c>
      <c r="M29" s="170" t="str">
        <f t="shared" si="5"/>
        <v>[effect:fix_speed, target:myself, turn:2]</v>
      </c>
      <c r="N29" s="171" t="str">
        <f t="shared" ref="N29" si="34">IFERROR(LEFT(M29,FIND("],",M29)+S41),M29)</f>
        <v>[effect:fix_speed, target:myself, turn:2]</v>
      </c>
      <c r="O29" s="170">
        <f t="shared" si="6"/>
        <v>9</v>
      </c>
      <c r="P29" s="170">
        <f t="shared" si="7"/>
        <v>18</v>
      </c>
      <c r="Q29" s="170">
        <f t="shared" si="8"/>
        <v>27</v>
      </c>
      <c r="R29" s="170">
        <f t="shared" si="9"/>
        <v>33</v>
      </c>
      <c r="S29" s="170" t="str">
        <f>IFERROR(VLOOKUP(MID(N29,Q29,R29-Q29),[6]skilldef!$C:$D,2,FALSE),"-") &amp; " / " &amp; IFERROR(VLOOKUP(MID(N29,O29,P29-O29),[6]skilldef!$A:$B,2,FALSE),"-")</f>
        <v>自分自身に / 行動値設定</v>
      </c>
      <c r="T29" s="171" t="str">
        <f t="shared" si="10"/>
        <v>none</v>
      </c>
      <c r="U29" s="170" t="e">
        <f t="shared" si="11"/>
        <v>#VALUE!</v>
      </c>
      <c r="V29" s="170">
        <f t="shared" si="12"/>
        <v>4</v>
      </c>
      <c r="W29" s="170" t="e">
        <f t="shared" si="13"/>
        <v>#VALUE!</v>
      </c>
      <c r="X29" s="170" t="e">
        <f t="shared" si="14"/>
        <v>#VALUE!</v>
      </c>
      <c r="Y29" s="170" t="str">
        <f>IFERROR(VLOOKUP(MID(T29,W29,X29-W29),[6]skilldef!$C:$D,2,FALSE),"-") &amp; " / " &amp; IFERROR(VLOOKUP(MID(T29,U29,V29-U29),[6]skilldef!$A:$B,2,FALSE),"-")</f>
        <v>- / -</v>
      </c>
      <c r="Z29" s="168"/>
      <c r="AA29" s="172"/>
      <c r="AB29" s="168"/>
    </row>
    <row r="30" spans="1:28" ht="21" customHeight="1" x14ac:dyDescent="0.15">
      <c r="A30" s="192">
        <v>40044029</v>
      </c>
      <c r="B30" s="47" t="s">
        <v>381</v>
      </c>
      <c r="C30" s="50">
        <v>3</v>
      </c>
      <c r="D30" s="50" t="s">
        <v>127</v>
      </c>
      <c r="E30" s="51" t="s">
        <v>283</v>
      </c>
      <c r="F30" s="51" t="s">
        <v>380</v>
      </c>
      <c r="G30" s="64" t="str">
        <f t="shared" si="0"/>
        <v>[effect:enemy_message, val1:1.3, val2:3.5]</v>
      </c>
      <c r="H30" s="64">
        <f t="shared" si="1"/>
        <v>9</v>
      </c>
      <c r="I30" s="64">
        <f t="shared" si="2"/>
        <v>22</v>
      </c>
      <c r="J30" s="64" t="e">
        <f t="shared" si="3"/>
        <v>#VALUE!</v>
      </c>
      <c r="K30" s="64">
        <f t="shared" si="4"/>
        <v>32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si="5"/>
        <v>[effect:virus, turn:3, rate:1, val:0.3, animation:enemy_virus],[effect:panel_freeze, target:normal, color:block_heart, count:8]</v>
      </c>
      <c r="N30" s="48" t="str">
        <f t="shared" ref="N30:N36" si="35">IFERROR(LEFT(M30,FIND("],",M30)+S42),M30)</f>
        <v>[effect:virus, turn:3, rate:1, val:0.3, animation:enemy_virus],[effect:panel_freeze, target:normal, color:block_heart, count:8]</v>
      </c>
      <c r="O30" s="64">
        <f t="shared" si="6"/>
        <v>9</v>
      </c>
      <c r="P30" s="64">
        <f t="shared" si="7"/>
        <v>14</v>
      </c>
      <c r="Q30" s="64">
        <f t="shared" si="8"/>
        <v>93</v>
      </c>
      <c r="R30" s="64">
        <f t="shared" si="9"/>
        <v>22</v>
      </c>
      <c r="S30" s="64" t="str">
        <f>IFERROR(VLOOKUP(MID(N30,Q30,R30-Q30),[6]skilldef!$C:$D,2,FALSE),"-") &amp; " / " &amp; IFERROR(VLOOKUP(MID(N30,O30,P30-O30),[6]skilldef!$A:$B,2,FALSE),"-")</f>
        <v>- / ウィルス</v>
      </c>
      <c r="T30" s="48" t="str">
        <f t="shared" si="10"/>
        <v>[effect:panel_freeze, target:normal, color:block_heart, count:8]</v>
      </c>
      <c r="U30" s="64">
        <f t="shared" si="11"/>
        <v>9</v>
      </c>
      <c r="V30" s="64">
        <f t="shared" si="12"/>
        <v>21</v>
      </c>
      <c r="W30" s="64">
        <f t="shared" si="13"/>
        <v>30</v>
      </c>
      <c r="X30" s="64">
        <f t="shared" si="14"/>
        <v>36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192">
        <v>40044030</v>
      </c>
      <c r="B31" s="47" t="s">
        <v>445</v>
      </c>
      <c r="C31" s="50">
        <v>3</v>
      </c>
      <c r="D31" s="50" t="s">
        <v>127</v>
      </c>
      <c r="E31" s="51" t="s">
        <v>304</v>
      </c>
      <c r="F31" s="51" t="s">
        <v>441</v>
      </c>
      <c r="G31" s="64" t="str">
        <f t="shared" si="0"/>
        <v>[effect:enemy_message, val1:1.2, val2:2.3]</v>
      </c>
      <c r="H31" s="64">
        <f t="shared" si="1"/>
        <v>9</v>
      </c>
      <c r="I31" s="64">
        <f t="shared" si="2"/>
        <v>22</v>
      </c>
      <c r="J31" s="64" t="e">
        <f t="shared" si="3"/>
        <v>#VALUE!</v>
      </c>
      <c r="K31" s="64">
        <f t="shared" si="4"/>
        <v>32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5"/>
        <v>[effect:critical, val:1.2, animation:enemy_critical],[effect:panel_freeze, target:normal, color:block_green, count:8]</v>
      </c>
      <c r="N31" s="48" t="str">
        <f t="shared" si="35"/>
        <v>[effect:critical, val:1.2, animation:enemy_critical],[effect:panel_freeze, target:normal, color:block_green, count:8]</v>
      </c>
      <c r="O31" s="64">
        <f t="shared" si="6"/>
        <v>9</v>
      </c>
      <c r="P31" s="64">
        <f t="shared" si="7"/>
        <v>17</v>
      </c>
      <c r="Q31" s="64">
        <f t="shared" si="8"/>
        <v>83</v>
      </c>
      <c r="R31" s="64">
        <f t="shared" si="9"/>
        <v>26</v>
      </c>
      <c r="S31" s="64" t="str">
        <f>IFERROR(VLOOKUP(MID(N31,Q31,R31-Q31),[6]skilldef!$C:$D,2,FALSE),"-") &amp; " / " &amp; IFERROR(VLOOKUP(MID(N31,O31,P31-O31),[6]skilldef!$A:$B,2,FALSE),"-")</f>
        <v>- / 大攻撃</v>
      </c>
      <c r="T31" s="48" t="str">
        <f t="shared" si="10"/>
        <v>[effect:panel_freeze, target:normal, color:block_green, count:8]</v>
      </c>
      <c r="U31" s="64">
        <f t="shared" si="11"/>
        <v>9</v>
      </c>
      <c r="V31" s="64">
        <f t="shared" si="12"/>
        <v>21</v>
      </c>
      <c r="W31" s="64">
        <f t="shared" si="13"/>
        <v>30</v>
      </c>
      <c r="X31" s="64">
        <f t="shared" si="14"/>
        <v>36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92">
        <v>40044031</v>
      </c>
      <c r="B32" s="47" t="s">
        <v>330</v>
      </c>
      <c r="C32" s="50">
        <v>3</v>
      </c>
      <c r="D32" s="50" t="s">
        <v>127</v>
      </c>
      <c r="E32" s="51" t="s">
        <v>303</v>
      </c>
      <c r="F32" s="51" t="s">
        <v>284</v>
      </c>
      <c r="G32" s="64" t="str">
        <f t="shared" si="0"/>
        <v>[effect:enemy_message, val1:1.2, val2:2.2]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5"/>
        <v>[effect:spread, val:0.4],[effect:hungup, target:unit_all, turn:2, rate:1, animation:hungup01]</v>
      </c>
      <c r="N32" s="48" t="str">
        <f t="shared" si="35"/>
        <v>[effect:spread, val:0.4],[effect:hungup, target:unit_all, turn:2, rate:1, animation:hungup01]</v>
      </c>
      <c r="O32" s="64">
        <f t="shared" si="6"/>
        <v>9</v>
      </c>
      <c r="P32" s="64">
        <f t="shared" si="7"/>
        <v>15</v>
      </c>
      <c r="Q32" s="64">
        <f t="shared" si="8"/>
        <v>49</v>
      </c>
      <c r="R32" s="64">
        <f t="shared" si="9"/>
        <v>25</v>
      </c>
      <c r="S32" s="64" t="str">
        <f>IFERROR(VLOOKUP(MID(N32,Q32,R32-Q32),[6]skilldef!$C:$D,2,FALSE),"-") &amp; " / " &amp; IFERROR(VLOOKUP(MID(N32,O32,P32-O32),[6]skilldef!$A:$B,2,FALSE),"-")</f>
        <v>- / 全体攻撃</v>
      </c>
      <c r="T32" s="48" t="str">
        <f t="shared" si="10"/>
        <v>[effect:hungup, target:unit_all, turn:2, rate:1, animation:hungup01]</v>
      </c>
      <c r="U32" s="64">
        <f t="shared" si="11"/>
        <v>9</v>
      </c>
      <c r="V32" s="64">
        <f t="shared" si="12"/>
        <v>15</v>
      </c>
      <c r="W32" s="64">
        <f t="shared" si="13"/>
        <v>24</v>
      </c>
      <c r="X32" s="64">
        <f t="shared" si="14"/>
        <v>32</v>
      </c>
      <c r="Y32" s="64" t="str">
        <f>IFERROR(VLOOKUP(MID(T32,W32,X32-W32),[6]skilldef!$C:$D,2,FALSE),"-") &amp; " / " &amp; IFERROR(VLOOKUP(MID(T32,U32,V32-U32),[6]skilldef!$A:$B,2,FALSE),"-")</f>
        <v>味方全体に / ハングアップ</v>
      </c>
      <c r="Z32" s="50"/>
      <c r="AA32" s="52"/>
      <c r="AB32" s="50"/>
    </row>
    <row r="33" spans="1:28" ht="21" customHeight="1" thickBot="1" x14ac:dyDescent="0.2">
      <c r="A33" s="191">
        <v>40044032</v>
      </c>
      <c r="B33" s="182" t="s">
        <v>296</v>
      </c>
      <c r="C33" s="175">
        <v>3</v>
      </c>
      <c r="D33" s="183" t="s">
        <v>127</v>
      </c>
      <c r="E33" s="184" t="s">
        <v>302</v>
      </c>
      <c r="F33" s="184" t="s">
        <v>285</v>
      </c>
      <c r="G33" s="185" t="str">
        <f t="shared" si="0"/>
        <v>[effect:enemy_message, val1:1.2, val2:3.1]</v>
      </c>
      <c r="H33" s="185">
        <f t="shared" si="1"/>
        <v>9</v>
      </c>
      <c r="I33" s="185">
        <f t="shared" si="2"/>
        <v>22</v>
      </c>
      <c r="J33" s="185" t="e">
        <f t="shared" si="3"/>
        <v>#VALUE!</v>
      </c>
      <c r="K33" s="185">
        <f t="shared" si="4"/>
        <v>32</v>
      </c>
      <c r="L33" s="185" t="str">
        <f>IFERROR(VLOOKUP(MID(G33,J33,K33-J33),[6]skilldef!$C:$D,2,FALSE),"-") &amp; " / " &amp; IFERROR(VLOOKUP(MID(G33,H33,I33-H33),[6]skilldef!$A:$B,2,FALSE),"-")</f>
        <v>- / -</v>
      </c>
      <c r="M33" s="185" t="str">
        <f t="shared" si="5"/>
        <v>[effect:freq_turn, target:myself, turn:1, val:1, animation:enemy_freq_turn],[effect:ability_lock, target:unit_all, turn:1]</v>
      </c>
      <c r="N33" s="186" t="str">
        <f t="shared" si="35"/>
        <v>[effect:freq_turn, target:myself, turn:1, val:1, animation:enemy_freq_turn],[effect:ability_lock, target:unit_all, turn:1]</v>
      </c>
      <c r="O33" s="185">
        <f t="shared" si="6"/>
        <v>9</v>
      </c>
      <c r="P33" s="185">
        <f t="shared" si="7"/>
        <v>18</v>
      </c>
      <c r="Q33" s="185">
        <f t="shared" si="8"/>
        <v>27</v>
      </c>
      <c r="R33" s="185">
        <f t="shared" si="9"/>
        <v>33</v>
      </c>
      <c r="S33" s="185" t="str">
        <f>IFERROR(VLOOKUP(MID(N33,Q33,R33-Q33),[6]skilldef!$C:$D,2,FALSE),"-") &amp; " / " &amp; IFERROR(VLOOKUP(MID(N33,O33,P33-O33),[6]skilldef!$A:$B,2,FALSE),"-")</f>
        <v>自分自身に / 攻撃頻度がUP</v>
      </c>
      <c r="T33" s="186" t="str">
        <f t="shared" si="10"/>
        <v>[effect:ability_lock, target:unit_all, turn:1]</v>
      </c>
      <c r="U33" s="185">
        <f t="shared" si="11"/>
        <v>9</v>
      </c>
      <c r="V33" s="185">
        <f t="shared" si="12"/>
        <v>21</v>
      </c>
      <c r="W33" s="185">
        <f t="shared" si="13"/>
        <v>30</v>
      </c>
      <c r="X33" s="185">
        <f t="shared" si="14"/>
        <v>38</v>
      </c>
      <c r="Y33" s="185" t="str">
        <f>IFERROR(VLOOKUP(MID(T33,W33,X33-W33),[6]skilldef!$C:$D,2,FALSE),"-") &amp; " / " &amp; IFERROR(VLOOKUP(MID(T33,U33,V33-U33),[6]skilldef!$A:$B,2,FALSE),"-")</f>
        <v>味方全体に / -</v>
      </c>
      <c r="Z33" s="183"/>
      <c r="AA33" s="187"/>
      <c r="AB33" s="183"/>
    </row>
    <row r="34" spans="1:28" ht="21" customHeight="1" x14ac:dyDescent="0.15">
      <c r="A34" s="190">
        <v>40044033</v>
      </c>
      <c r="B34" s="47" t="s">
        <v>444</v>
      </c>
      <c r="C34" s="168">
        <v>3</v>
      </c>
      <c r="D34" s="50" t="s">
        <v>127</v>
      </c>
      <c r="E34" s="199" t="s">
        <v>301</v>
      </c>
      <c r="F34" s="51" t="s">
        <v>442</v>
      </c>
      <c r="G34" s="64" t="str">
        <f t="shared" si="0"/>
        <v>[effect:enemy_message, val1:1.2, val2:2.3]</v>
      </c>
      <c r="H34" s="64">
        <f t="shared" si="1"/>
        <v>9</v>
      </c>
      <c r="I34" s="64">
        <f t="shared" si="2"/>
        <v>22</v>
      </c>
      <c r="J34" s="64" t="e">
        <f t="shared" si="3"/>
        <v>#VALUE!</v>
      </c>
      <c r="K34" s="64">
        <f t="shared" si="4"/>
        <v>32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si="5"/>
        <v>[effect:critical, val:1.5, animation:enemy_critical],[effect:panel_freeze, target:normal, color:block_yellow, count:5]</v>
      </c>
      <c r="N34" s="48" t="str">
        <f t="shared" si="35"/>
        <v>[effect:critical, val:1.5, animation:enemy_critical],[effect:panel_freeze, target:normal, color:block_yellow, count:5]</v>
      </c>
      <c r="O34" s="64">
        <f t="shared" si="6"/>
        <v>9</v>
      </c>
      <c r="P34" s="64">
        <f t="shared" si="7"/>
        <v>17</v>
      </c>
      <c r="Q34" s="64">
        <f t="shared" si="8"/>
        <v>83</v>
      </c>
      <c r="R34" s="64">
        <f t="shared" si="9"/>
        <v>26</v>
      </c>
      <c r="S34" s="64" t="str">
        <f>IFERROR(VLOOKUP(MID(N34,Q34,R34-Q34),[6]skilldef!$C:$D,2,FALSE),"-") &amp; " / " &amp; IFERROR(VLOOKUP(MID(N34,O34,P34-O34),[6]skilldef!$A:$B,2,FALSE),"-")</f>
        <v>- / 大攻撃</v>
      </c>
      <c r="T34" s="48" t="str">
        <f t="shared" si="10"/>
        <v>[effect:panel_freeze, target:normal, color:block_yellow, count:5]</v>
      </c>
      <c r="U34" s="64">
        <f t="shared" si="11"/>
        <v>9</v>
      </c>
      <c r="V34" s="64">
        <f t="shared" si="12"/>
        <v>21</v>
      </c>
      <c r="W34" s="64">
        <f t="shared" si="13"/>
        <v>30</v>
      </c>
      <c r="X34" s="64">
        <f t="shared" si="14"/>
        <v>36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thickBot="1" x14ac:dyDescent="0.2">
      <c r="A35" s="191">
        <v>40044034</v>
      </c>
      <c r="B35" s="182" t="s">
        <v>332</v>
      </c>
      <c r="C35" s="175">
        <v>3</v>
      </c>
      <c r="D35" s="183" t="s">
        <v>127</v>
      </c>
      <c r="E35" s="184" t="s">
        <v>300</v>
      </c>
      <c r="F35" s="184" t="s">
        <v>286</v>
      </c>
      <c r="G35" s="185" t="str">
        <f t="shared" si="0"/>
        <v>[effect:enemy_message, val1:1.2, val2:2.0]</v>
      </c>
      <c r="H35" s="185">
        <f t="shared" si="1"/>
        <v>9</v>
      </c>
      <c r="I35" s="185">
        <f t="shared" si="2"/>
        <v>22</v>
      </c>
      <c r="J35" s="185" t="e">
        <f t="shared" si="3"/>
        <v>#VALUE!</v>
      </c>
      <c r="K35" s="185">
        <f t="shared" si="4"/>
        <v>32</v>
      </c>
      <c r="L35" s="185" t="str">
        <f>IFERROR(VLOOKUP(MID(G35,J35,K35-J35),[6]skilldef!$C:$D,2,FALSE),"-") &amp; " / " &amp; IFERROR(VLOOKUP(MID(G35,H35,I35-H35),[6]skilldef!$A:$B,2,FALSE),"-")</f>
        <v>- / -</v>
      </c>
      <c r="M35" s="185" t="str">
        <f t="shared" si="5"/>
        <v>[effect:spread, val:0.4],[effect:panel_freeze, target:normal, color:block_red, count:8]</v>
      </c>
      <c r="N35" s="186" t="str">
        <f t="shared" si="35"/>
        <v>[effect:spread, val:0.4],[effect:panel_freeze, target:normal, color:block_red, count:8]</v>
      </c>
      <c r="O35" s="185">
        <f t="shared" si="6"/>
        <v>9</v>
      </c>
      <c r="P35" s="185">
        <f t="shared" si="7"/>
        <v>15</v>
      </c>
      <c r="Q35" s="185">
        <f t="shared" si="8"/>
        <v>55</v>
      </c>
      <c r="R35" s="185">
        <f t="shared" si="9"/>
        <v>25</v>
      </c>
      <c r="S35" s="185" t="str">
        <f>IFERROR(VLOOKUP(MID(N35,Q35,R35-Q35),[6]skilldef!$C:$D,2,FALSE),"-") &amp; " / " &amp; IFERROR(VLOOKUP(MID(N35,O35,P35-O35),[6]skilldef!$A:$B,2,FALSE),"-")</f>
        <v>- / 全体攻撃</v>
      </c>
      <c r="T35" s="186" t="str">
        <f t="shared" si="10"/>
        <v>[effect:panel_freeze, target:normal, color:block_red, count:8]</v>
      </c>
      <c r="U35" s="185">
        <f t="shared" si="11"/>
        <v>9</v>
      </c>
      <c r="V35" s="185">
        <f t="shared" si="12"/>
        <v>21</v>
      </c>
      <c r="W35" s="185">
        <f t="shared" si="13"/>
        <v>30</v>
      </c>
      <c r="X35" s="185">
        <f t="shared" si="14"/>
        <v>36</v>
      </c>
      <c r="Y35" s="185" t="str">
        <f>IFERROR(VLOOKUP(MID(T35,W35,X35-W35),[6]skilldef!$C:$D,2,FALSE),"-") &amp; " / " &amp; IFERROR(VLOOKUP(MID(T35,U35,V35-U35),[6]skilldef!$A:$B,2,FALSE),"-")</f>
        <v>- / -</v>
      </c>
      <c r="Z35" s="183"/>
      <c r="AA35" s="187"/>
      <c r="AB35" s="183"/>
    </row>
    <row r="36" spans="1:28" ht="21" customHeight="1" x14ac:dyDescent="0.15">
      <c r="A36" s="193">
        <v>40044035</v>
      </c>
      <c r="B36" s="47" t="s">
        <v>451</v>
      </c>
      <c r="C36" s="168">
        <v>3</v>
      </c>
      <c r="D36" s="50" t="s">
        <v>127</v>
      </c>
      <c r="E36" s="51" t="s">
        <v>382</v>
      </c>
      <c r="F36" s="51" t="s">
        <v>450</v>
      </c>
      <c r="G36" s="64" t="str">
        <f t="shared" ref="G36:G92" si="36">IFERROR(LEFT(B36,FIND("],",B36)),B36)</f>
        <v>[effect:enemy_message, val1:2.7, val2:3.8]</v>
      </c>
      <c r="H36" s="64">
        <f t="shared" ref="H36:H92" si="37">FIND("effect:",G36)+7</f>
        <v>9</v>
      </c>
      <c r="I36" s="64">
        <f t="shared" ref="I36:I92" si="38">IFERROR(FIND(",",G36),LEN(G36))</f>
        <v>22</v>
      </c>
      <c r="J36" s="64" t="e">
        <f t="shared" ref="J36:J92" si="39">FIND("target:",G36)+7</f>
        <v>#VALUE!</v>
      </c>
      <c r="K36" s="64">
        <f t="shared" ref="K36:K92" si="40">FIND(",",G36,I36+1)</f>
        <v>32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 t="shared" ref="M36:M92" si="41">IFERROR(RIGHT(B36,LEN(B36)-FIND("],",B36)-1),"none")</f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N36" s="48" t="str">
        <f t="shared" si="35"/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O36" s="64">
        <f t="shared" ref="O36:O92" si="42">FIND("effect:",N36)+7</f>
        <v>9</v>
      </c>
      <c r="P36" s="64">
        <f t="shared" ref="P36:P92" si="43">IFERROR(FIND(",",N36),LEN(N36))</f>
        <v>18</v>
      </c>
      <c r="Q36" s="64">
        <f t="shared" ref="Q36:Q92" si="44">FIND("target:",N36)+7</f>
        <v>27</v>
      </c>
      <c r="R36" s="64">
        <f t="shared" ref="R36:R92" si="45">FIND(",",N36,P36+1)</f>
        <v>33</v>
      </c>
      <c r="S36" s="64" t="str">
        <f>IFERROR(VLOOKUP(MID(N36,Q36,R36-Q36),[6]skilldef!$C:$D,2,FALSE),"-") &amp; " / " &amp; IFERROR(VLOOKUP(MID(N36,O36,P36-O36),[6]skilldef!$A:$B,2,FALSE),"-")</f>
        <v>自分自身に / 行動値設定</v>
      </c>
      <c r="T36" s="48" t="str">
        <f t="shared" ref="T36:T92" si="46">IFERROR(RIGHT(M36,LEN(M36)-FIND("],",M36)-1),"none")</f>
        <v>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U36" s="64">
        <f t="shared" ref="U36:U92" si="47">FIND("effect:",T36)+7</f>
        <v>9</v>
      </c>
      <c r="V36" s="64">
        <f t="shared" ref="V36:V92" si="48">IFERROR(FIND(",",T36),LEN(T36))</f>
        <v>18</v>
      </c>
      <c r="W36" s="64">
        <f t="shared" ref="W36:W92" si="49">FIND("target:",T36)+7</f>
        <v>27</v>
      </c>
      <c r="X36" s="64">
        <f t="shared" ref="X36:X92" si="50">FIND(",",T36,V36+1)</f>
        <v>33</v>
      </c>
      <c r="Y36" s="64" t="str">
        <f>IFERROR(VLOOKUP(MID(T36,W36,X36-W36),[6]skilldef!$C:$D,2,FALSE),"-") &amp; " / " &amp; IFERROR(VLOOKUP(MID(T36,U36,V36-U36),[6]skilldef!$A:$B,2,FALSE),"-")</f>
        <v>自分自身に / 状態異常耐性</v>
      </c>
      <c r="Z36" s="50"/>
      <c r="AA36" s="52"/>
      <c r="AB36" s="50"/>
    </row>
    <row r="37" spans="1:28" ht="21" customHeight="1" x14ac:dyDescent="0.15">
      <c r="A37" s="195">
        <v>40044036</v>
      </c>
      <c r="B37" s="47" t="s">
        <v>452</v>
      </c>
      <c r="C37" s="50">
        <v>3</v>
      </c>
      <c r="D37" s="50" t="s">
        <v>127</v>
      </c>
      <c r="E37" s="51" t="s">
        <v>351</v>
      </c>
      <c r="F37" s="51" t="s">
        <v>450</v>
      </c>
      <c r="G37" s="64" t="str">
        <f t="shared" si="36"/>
        <v>[effect:enemy_message, val1:2.6, val2:3.8]</v>
      </c>
      <c r="H37" s="64">
        <f t="shared" si="37"/>
        <v>9</v>
      </c>
      <c r="I37" s="64">
        <f t="shared" si="38"/>
        <v>22</v>
      </c>
      <c r="J37" s="64" t="e">
        <f t="shared" si="39"/>
        <v>#VALUE!</v>
      </c>
      <c r="K37" s="64">
        <f t="shared" si="40"/>
        <v>32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 t="shared" si="41"/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N37" s="48" t="str">
        <f>IFERROR(LEFT(M37,FIND("],",M37)+S50),M37)</f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O37" s="64">
        <f t="shared" si="42"/>
        <v>9</v>
      </c>
      <c r="P37" s="64">
        <f t="shared" si="43"/>
        <v>18</v>
      </c>
      <c r="Q37" s="64">
        <f t="shared" si="44"/>
        <v>27</v>
      </c>
      <c r="R37" s="64">
        <f t="shared" si="45"/>
        <v>33</v>
      </c>
      <c r="S37" s="64" t="str">
        <f>IFERROR(VLOOKUP(MID(N37,Q37,R37-Q37),[6]skilldef!$C:$D,2,FALSE),"-") &amp; " / " &amp; IFERROR(VLOOKUP(MID(N37,O37,P37-O37),[6]skilldef!$A:$B,2,FALSE),"-")</f>
        <v>自分自身に / 行動値設定</v>
      </c>
      <c r="T37" s="48" t="str">
        <f t="shared" si="46"/>
        <v>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U37" s="64">
        <f t="shared" si="47"/>
        <v>9</v>
      </c>
      <c r="V37" s="64">
        <f t="shared" si="48"/>
        <v>18</v>
      </c>
      <c r="W37" s="64">
        <f t="shared" si="49"/>
        <v>27</v>
      </c>
      <c r="X37" s="64">
        <f t="shared" si="50"/>
        <v>33</v>
      </c>
      <c r="Y37" s="64" t="str">
        <f>IFERROR(VLOOKUP(MID(T37,W37,X37-W37),[6]skilldef!$C:$D,2,FALSE),"-") &amp; " / " &amp; IFERROR(VLOOKUP(MID(T37,U37,V37-U37),[6]skilldef!$A:$B,2,FALSE),"-")</f>
        <v>自分自身に / 状態異常耐性</v>
      </c>
      <c r="Z37" s="50"/>
      <c r="AA37" s="52"/>
      <c r="AB37" s="50"/>
    </row>
    <row r="38" spans="1:28" ht="21" customHeight="1" x14ac:dyDescent="0.15">
      <c r="A38" s="195">
        <v>40044037</v>
      </c>
      <c r="B38" s="47" t="s">
        <v>453</v>
      </c>
      <c r="C38" s="50">
        <v>3</v>
      </c>
      <c r="D38" s="50" t="s">
        <v>127</v>
      </c>
      <c r="E38" s="51" t="s">
        <v>352</v>
      </c>
      <c r="F38" s="51" t="s">
        <v>450</v>
      </c>
      <c r="G38" s="64" t="str">
        <f t="shared" si="36"/>
        <v>[effect:enemy_message, val1:3.0, val2:3.8]</v>
      </c>
      <c r="H38" s="64">
        <f t="shared" si="37"/>
        <v>9</v>
      </c>
      <c r="I38" s="64">
        <f t="shared" si="38"/>
        <v>22</v>
      </c>
      <c r="J38" s="64" t="e">
        <f t="shared" si="39"/>
        <v>#VALUE!</v>
      </c>
      <c r="K38" s="64">
        <f t="shared" si="40"/>
        <v>32</v>
      </c>
      <c r="L38" s="64" t="str">
        <f>IFERROR(VLOOKUP(MID(G38,J38,K38-J38),[6]skilldef!$C:$D,2,FALSE),"-") &amp; " / " &amp; IFERROR(VLOOKUP(MID(G38,H38,I38-H38),[6]skilldef!$A:$B,2,FALSE),"-")</f>
        <v>- / -</v>
      </c>
      <c r="M38" s="64" t="str">
        <f t="shared" si="41"/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N38" s="48" t="str">
        <f>IFERROR(LEFT(M38,FIND("],",M38)+S51),M38)</f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O38" s="64">
        <f t="shared" si="42"/>
        <v>9</v>
      </c>
      <c r="P38" s="64">
        <f t="shared" si="43"/>
        <v>18</v>
      </c>
      <c r="Q38" s="64">
        <f t="shared" si="44"/>
        <v>27</v>
      </c>
      <c r="R38" s="64">
        <f t="shared" si="45"/>
        <v>33</v>
      </c>
      <c r="S38" s="64" t="str">
        <f>IFERROR(VLOOKUP(MID(N38,Q38,R38-Q38),[6]skilldef!$C:$D,2,FALSE),"-") &amp; " / " &amp; IFERROR(VLOOKUP(MID(N38,O38,P38-O38),[6]skilldef!$A:$B,2,FALSE),"-")</f>
        <v>自分自身に / 行動値設定</v>
      </c>
      <c r="T38" s="48" t="str">
        <f t="shared" si="46"/>
        <v>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animation:drop_protect],[effect:drop_freeze, turn:-1, block_type:normal, block_color:block_green, rate:1],[effect:drop_freeze, turn:-1, block_type:normal, block_color:block_yellow, rate:1]</v>
      </c>
      <c r="U38" s="64">
        <f t="shared" si="47"/>
        <v>9</v>
      </c>
      <c r="V38" s="64">
        <f t="shared" si="48"/>
        <v>18</v>
      </c>
      <c r="W38" s="64">
        <f t="shared" si="49"/>
        <v>27</v>
      </c>
      <c r="X38" s="64">
        <f t="shared" si="50"/>
        <v>33</v>
      </c>
      <c r="Y38" s="64" t="str">
        <f>IFERROR(VLOOKUP(MID(T38,W38,X38-W38),[6]skilldef!$C:$D,2,FALSE),"-") &amp; " / " &amp; IFERROR(VLOOKUP(MID(T38,U38,V38-U38),[6]skilldef!$A:$B,2,FALSE),"-")</f>
        <v>自分自身に / 状態異常耐性</v>
      </c>
      <c r="Z38" s="50"/>
      <c r="AA38" s="52"/>
      <c r="AB38" s="50"/>
    </row>
    <row r="39" spans="1:28" ht="21" customHeight="1" x14ac:dyDescent="0.15">
      <c r="A39" s="195">
        <v>40044038</v>
      </c>
      <c r="B39" s="47" t="s">
        <v>440</v>
      </c>
      <c r="C39" s="50">
        <v>3</v>
      </c>
      <c r="D39" s="50" t="s">
        <v>127</v>
      </c>
      <c r="E39" s="51" t="s">
        <v>383</v>
      </c>
      <c r="F39" s="51" t="s">
        <v>443</v>
      </c>
      <c r="G39" s="64" t="str">
        <f t="shared" si="36"/>
        <v>[effect:enemy_message, val1:1.2, val2:1.2]</v>
      </c>
      <c r="H39" s="64">
        <f t="shared" si="37"/>
        <v>9</v>
      </c>
      <c r="I39" s="64">
        <f t="shared" si="38"/>
        <v>22</v>
      </c>
      <c r="J39" s="64" t="e">
        <f t="shared" si="39"/>
        <v>#VALUE!</v>
      </c>
      <c r="K39" s="64">
        <f t="shared" si="40"/>
        <v>32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si="41"/>
        <v>[effect:critical, val:1.2, animation:enemy_critical],[effect:heal, target:myself, val:0.1, animation:enemy_heal]</v>
      </c>
      <c r="N39" s="48" t="str">
        <f>IFERROR(LEFT(M39,FIND("],",M39)+S52),M39)</f>
        <v>[effect:critical, val:1.2, animation:enemy_critical],[effect:heal, target:myself, val:0.1, animation:enemy_heal]</v>
      </c>
      <c r="O39" s="64">
        <f t="shared" si="42"/>
        <v>9</v>
      </c>
      <c r="P39" s="64">
        <f t="shared" si="43"/>
        <v>17</v>
      </c>
      <c r="Q39" s="64">
        <f t="shared" si="44"/>
        <v>75</v>
      </c>
      <c r="R39" s="64">
        <f t="shared" si="45"/>
        <v>26</v>
      </c>
      <c r="S39" s="64" t="str">
        <f>IFERROR(VLOOKUP(MID(N39,Q39,R39-Q39),[6]skilldef!$C:$D,2,FALSE),"-") &amp; " / " &amp; IFERROR(VLOOKUP(MID(N39,O39,P39-O39),[6]skilldef!$A:$B,2,FALSE),"-")</f>
        <v>- / 大攻撃</v>
      </c>
      <c r="T39" s="48" t="str">
        <f t="shared" si="46"/>
        <v>[effect:heal, target:myself, val:0.1, animation:enemy_heal]</v>
      </c>
      <c r="U39" s="64">
        <f t="shared" si="47"/>
        <v>9</v>
      </c>
      <c r="V39" s="64">
        <f t="shared" si="48"/>
        <v>13</v>
      </c>
      <c r="W39" s="64">
        <f t="shared" si="49"/>
        <v>22</v>
      </c>
      <c r="X39" s="64">
        <f t="shared" si="50"/>
        <v>28</v>
      </c>
      <c r="Y39" s="64" t="str">
        <f>IFERROR(VLOOKUP(MID(T39,W39,X39-W39),[6]skilldef!$C:$D,2,FALSE),"-") &amp; " / " &amp; IFERROR(VLOOKUP(MID(T39,U39,V39-U39),[6]skilldef!$A:$B,2,FALSE),"-")</f>
        <v>自分自身に / 回復</v>
      </c>
      <c r="Z39" s="50"/>
      <c r="AA39" s="52"/>
      <c r="AB39" s="50"/>
    </row>
    <row r="40" spans="1:28" ht="21" customHeight="1" x14ac:dyDescent="0.15">
      <c r="A40" s="195">
        <v>40044039</v>
      </c>
      <c r="B40" s="47" t="s">
        <v>412</v>
      </c>
      <c r="C40" s="50">
        <v>3</v>
      </c>
      <c r="D40" s="50" t="s">
        <v>127</v>
      </c>
      <c r="E40" s="51" t="s">
        <v>459</v>
      </c>
      <c r="F40" s="51" t="s">
        <v>384</v>
      </c>
      <c r="G40" s="64" t="str">
        <f t="shared" si="36"/>
        <v>[effect:enemy_message, val1:1.2, val2:2.2]</v>
      </c>
      <c r="H40" s="64">
        <f t="shared" si="37"/>
        <v>9</v>
      </c>
      <c r="I40" s="64">
        <f t="shared" si="38"/>
        <v>22</v>
      </c>
      <c r="J40" s="64" t="e">
        <f t="shared" si="39"/>
        <v>#VALUE!</v>
      </c>
      <c r="K40" s="64">
        <f t="shared" si="40"/>
        <v>32</v>
      </c>
      <c r="L40" s="64" t="str">
        <f>IFERROR(VLOOKUP(MID(G40,J40,K40-J40),[6]skilldef!$C:$D,2,FALSE),"-") &amp; " / " &amp; IFERROR(VLOOKUP(MID(G40,H40,I40-H40),[6]skilldef!$A:$B,2,FALSE),"-")</f>
        <v>- / -</v>
      </c>
      <c r="M40" s="64" t="str">
        <f t="shared" si="41"/>
        <v>[effect:spread, val:0.6],[effect:virus, turn:2, rate:1, val:0.3, animation:enemy_virus]</v>
      </c>
      <c r="N40" s="48" t="str">
        <f>IFERROR(LEFT(M40,FIND("],",M40)+S56),M40)</f>
        <v>[effect:spread, val:0.6],[effect:virus, turn:2, rate:1, val:0.3, animation:enemy_virus]</v>
      </c>
      <c r="O40" s="64">
        <f t="shared" si="42"/>
        <v>9</v>
      </c>
      <c r="P40" s="64">
        <f t="shared" si="43"/>
        <v>15</v>
      </c>
      <c r="Q40" s="64" t="e">
        <f t="shared" si="44"/>
        <v>#VALUE!</v>
      </c>
      <c r="R40" s="64">
        <f t="shared" si="45"/>
        <v>25</v>
      </c>
      <c r="S40" s="64" t="str">
        <f>IFERROR(VLOOKUP(MID(N40,Q40,R40-Q40),[6]skilldef!$C:$D,2,FALSE),"-") &amp; " / " &amp; IFERROR(VLOOKUP(MID(N40,O40,P40-O40),[6]skilldef!$A:$B,2,FALSE),"-")</f>
        <v>- / 全体攻撃</v>
      </c>
      <c r="T40" s="48" t="str">
        <f t="shared" si="46"/>
        <v>[effect:virus, turn:2, rate:1, val:0.3, animation:enemy_virus]</v>
      </c>
      <c r="U40" s="64">
        <f t="shared" si="47"/>
        <v>9</v>
      </c>
      <c r="V40" s="64">
        <f t="shared" si="48"/>
        <v>14</v>
      </c>
      <c r="W40" s="64" t="e">
        <f t="shared" si="49"/>
        <v>#VALUE!</v>
      </c>
      <c r="X40" s="64">
        <f t="shared" si="50"/>
        <v>22</v>
      </c>
      <c r="Y40" s="64" t="str">
        <f>IFERROR(VLOOKUP(MID(T40,W40,X40-W40),[6]skilldef!$C:$D,2,FALSE),"-") &amp; " / " &amp; IFERROR(VLOOKUP(MID(T40,U40,V40-U40),[6]skilldef!$A:$B,2,FALSE),"-")</f>
        <v>- / ウィルス</v>
      </c>
      <c r="Z40" s="50"/>
      <c r="AA40" s="52"/>
      <c r="AB40" s="50"/>
    </row>
    <row r="41" spans="1:28" ht="46" customHeight="1" x14ac:dyDescent="0.15">
      <c r="A41" s="195">
        <v>40044040</v>
      </c>
      <c r="B41" s="47" t="s">
        <v>464</v>
      </c>
      <c r="C41" s="50">
        <v>3</v>
      </c>
      <c r="D41" s="50" t="s">
        <v>127</v>
      </c>
      <c r="E41" s="51" t="s">
        <v>316</v>
      </c>
      <c r="F41" s="51" t="s">
        <v>463</v>
      </c>
      <c r="G41" s="64" t="str">
        <f t="shared" si="36"/>
        <v>[effect:enemy_message, val1:1.2, val2:5.5]</v>
      </c>
      <c r="H41" s="64">
        <f t="shared" si="37"/>
        <v>9</v>
      </c>
      <c r="I41" s="64">
        <f t="shared" si="38"/>
        <v>22</v>
      </c>
      <c r="J41" s="64" t="e">
        <f t="shared" si="39"/>
        <v>#VALUE!</v>
      </c>
      <c r="K41" s="64">
        <f t="shared" si="40"/>
        <v>32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si="41"/>
        <v>[effect:ability_lock, target:unit_all, turn:1],[effect:virus, turn:-1, rate:1, val:0.28, animation:enemy_virus],[effect:degrade_unit, target:unit_all, turn:4, status:heal, val:0.5, calc:mul, animation:degrade_unit_all_heal]</v>
      </c>
      <c r="N41" s="48" t="str">
        <f>IFERROR(LEFT(M41,FIND("],",M41)+S57),M41)</f>
        <v>[effect:ability_lock, target:unit_all, turn:1],[effect:virus, turn:-1, rate:1, val:0.28, animation:enemy_virus],[effect:degrade_unit, target:unit_all, turn:4, status:heal, val:0.5, calc:mul, animation:degrade_unit_all_heal]</v>
      </c>
      <c r="O41" s="64">
        <f t="shared" si="42"/>
        <v>9</v>
      </c>
      <c r="P41" s="64">
        <f t="shared" si="43"/>
        <v>21</v>
      </c>
      <c r="Q41" s="64">
        <f t="shared" si="44"/>
        <v>30</v>
      </c>
      <c r="R41" s="64">
        <f t="shared" si="45"/>
        <v>38</v>
      </c>
      <c r="S41" s="64" t="str">
        <f>IFERROR(VLOOKUP(MID(N41,Q41,R41-Q41),[6]skilldef!$C:$D,2,FALSE),"-") &amp; " / " &amp; IFERROR(VLOOKUP(MID(N41,O41,P41-O41),[6]skilldef!$A:$B,2,FALSE),"-")</f>
        <v>味方全体に / -</v>
      </c>
      <c r="T41" s="48" t="str">
        <f t="shared" si="46"/>
        <v>[effect:virus, turn:-1, rate:1, val:0.28, animation:enemy_virus],[effect:degrade_unit, target:unit_all, turn:4, status:heal, val:0.5, calc:mul, animation:degrade_unit_all_heal]</v>
      </c>
      <c r="U41" s="64">
        <f t="shared" si="47"/>
        <v>9</v>
      </c>
      <c r="V41" s="64">
        <f t="shared" si="48"/>
        <v>14</v>
      </c>
      <c r="W41" s="64">
        <f t="shared" si="49"/>
        <v>95</v>
      </c>
      <c r="X41" s="64">
        <f t="shared" si="50"/>
        <v>23</v>
      </c>
      <c r="Y41" s="64" t="str">
        <f>IFERROR(VLOOKUP(MID(T41,W41,X41-W41),[6]skilldef!$C:$D,2,FALSE),"-") &amp; " / " &amp; IFERROR(VLOOKUP(MID(T41,U41,V41-U41),[6]skilldef!$A:$B,2,FALSE),"-")</f>
        <v>- / ウィルス</v>
      </c>
      <c r="Z41" s="50"/>
      <c r="AA41" s="52"/>
      <c r="AB41" s="50"/>
    </row>
    <row r="42" spans="1:28" ht="21" customHeight="1" x14ac:dyDescent="0.15">
      <c r="A42" s="195">
        <v>40044041</v>
      </c>
      <c r="B42" s="47" t="s">
        <v>454</v>
      </c>
      <c r="C42" s="50">
        <v>3</v>
      </c>
      <c r="D42" s="50" t="s">
        <v>127</v>
      </c>
      <c r="E42" s="51" t="s">
        <v>339</v>
      </c>
      <c r="F42" s="51" t="s">
        <v>288</v>
      </c>
      <c r="G42" s="64" t="str">
        <f t="shared" si="36"/>
        <v>[effect:enemy_message, val1:1.2, val2:2.2]</v>
      </c>
      <c r="H42" s="64">
        <f t="shared" si="37"/>
        <v>9</v>
      </c>
      <c r="I42" s="64">
        <f t="shared" si="38"/>
        <v>22</v>
      </c>
      <c r="J42" s="64" t="e">
        <f t="shared" si="39"/>
        <v>#VALUE!</v>
      </c>
      <c r="K42" s="64">
        <f t="shared" si="40"/>
        <v>32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si="41"/>
        <v>[effect:spread, val:0.6],[effect:hungup, target:unit_all, turn:1, rate:1, animation:hungup01]</v>
      </c>
      <c r="N42" s="48" t="str">
        <f t="shared" ref="N42:N48" si="51">IFERROR(LEFT(M42,FIND("],",M42)+S56),M42)</f>
        <v>[effect:spread, val:0.6],[effect:hungup, target:unit_all, turn:1, rate:1, animation:hungup01]</v>
      </c>
      <c r="O42" s="64">
        <f t="shared" si="42"/>
        <v>9</v>
      </c>
      <c r="P42" s="64">
        <f t="shared" si="43"/>
        <v>15</v>
      </c>
      <c r="Q42" s="64">
        <f t="shared" si="44"/>
        <v>49</v>
      </c>
      <c r="R42" s="64">
        <f t="shared" si="45"/>
        <v>25</v>
      </c>
      <c r="S42" s="64" t="str">
        <f>IFERROR(VLOOKUP(MID(N42,Q42,R42-Q42),[6]skilldef!$C:$D,2,FALSE),"-") &amp; " / " &amp; IFERROR(VLOOKUP(MID(N42,O42,P42-O42),[6]skilldef!$A:$B,2,FALSE),"-")</f>
        <v>- / 全体攻撃</v>
      </c>
      <c r="T42" s="48" t="str">
        <f t="shared" si="46"/>
        <v>[effect:hungup, target:unit_all, turn:1, rate:1, animation:hungup01]</v>
      </c>
      <c r="U42" s="64">
        <f t="shared" si="47"/>
        <v>9</v>
      </c>
      <c r="V42" s="64">
        <f t="shared" si="48"/>
        <v>15</v>
      </c>
      <c r="W42" s="64">
        <f t="shared" si="49"/>
        <v>24</v>
      </c>
      <c r="X42" s="64">
        <f t="shared" si="50"/>
        <v>32</v>
      </c>
      <c r="Y42" s="64" t="str">
        <f>IFERROR(VLOOKUP(MID(T42,W42,X42-W42),[6]skilldef!$C:$D,2,FALSE),"-") &amp; " / " &amp; IFERROR(VLOOKUP(MID(T42,U42,V42-U42),[6]skilldef!$A:$B,2,FALSE),"-")</f>
        <v>味方全体に / ハングアップ</v>
      </c>
      <c r="Z42" s="50"/>
      <c r="AA42" s="52"/>
      <c r="AB42" s="50"/>
    </row>
    <row r="43" spans="1:28" ht="21" customHeight="1" thickBot="1" x14ac:dyDescent="0.2">
      <c r="A43" s="194">
        <v>40044042</v>
      </c>
      <c r="B43" s="182" t="s">
        <v>456</v>
      </c>
      <c r="C43" s="175">
        <v>3</v>
      </c>
      <c r="D43" s="183" t="s">
        <v>127</v>
      </c>
      <c r="E43" s="184" t="s">
        <v>455</v>
      </c>
      <c r="F43" s="184" t="s">
        <v>385</v>
      </c>
      <c r="G43" s="185" t="str">
        <f t="shared" si="36"/>
        <v>[effect:enemy_message, val1:1.4, val2:2.5]</v>
      </c>
      <c r="H43" s="185">
        <f t="shared" si="37"/>
        <v>9</v>
      </c>
      <c r="I43" s="185">
        <f t="shared" si="38"/>
        <v>22</v>
      </c>
      <c r="J43" s="185" t="e">
        <f t="shared" si="39"/>
        <v>#VALUE!</v>
      </c>
      <c r="K43" s="185">
        <f t="shared" si="40"/>
        <v>32</v>
      </c>
      <c r="L43" s="185" t="str">
        <f>IFERROR(VLOOKUP(MID(G43,J43,K43-J43),[6]skilldef!$C:$D,2,FALSE),"-") &amp; " / " &amp; IFERROR(VLOOKUP(MID(G43,H43,I43-H43),[6]skilldef!$A:$B,2,FALSE),"-")</f>
        <v>- / -</v>
      </c>
      <c r="M43" s="185" t="str">
        <f t="shared" si="41"/>
        <v>[effect:rush, count:2, val:0.8],[effect:virus, target:unit_one, turn:3, rate:1, val:0.35, animation:enemy_virus],[effect:virus, target:unit_one, turn:3, rate:1, val:0.35, animation:enemy_virus]</v>
      </c>
      <c r="N43" s="186" t="str">
        <f t="shared" si="51"/>
        <v>[effect:rush, count:2, val:0.8],[effect:virus, target:unit_one, turn:3, rate:1, val:0.35, animation:enemy_virus],[effect:virus, target:unit_one, turn:3, rate:1, val:0.35, animation:enemy_virus]</v>
      </c>
      <c r="O43" s="185">
        <f t="shared" si="42"/>
        <v>9</v>
      </c>
      <c r="P43" s="185">
        <f t="shared" si="43"/>
        <v>13</v>
      </c>
      <c r="Q43" s="185">
        <f t="shared" si="44"/>
        <v>55</v>
      </c>
      <c r="R43" s="185">
        <f t="shared" si="45"/>
        <v>22</v>
      </c>
      <c r="S43" s="185" t="str">
        <f>IFERROR(VLOOKUP(MID(N43,Q43,R43-Q43),[6]skilldef!$C:$D,2,FALSE),"-") &amp; " / " &amp; IFERROR(VLOOKUP(MID(N43,O43,P43-O43),[6]skilldef!$A:$B,2,FALSE),"-")</f>
        <v>- / 連続攻撃</v>
      </c>
      <c r="T43" s="186" t="str">
        <f t="shared" si="46"/>
        <v>[effect:virus, target:unit_one, turn:3, rate:1, val:0.35, animation:enemy_virus],[effect:virus, target:unit_one, turn:3, rate:1, val:0.35, animation:enemy_virus]</v>
      </c>
      <c r="U43" s="185">
        <f t="shared" si="47"/>
        <v>9</v>
      </c>
      <c r="V43" s="185">
        <f t="shared" si="48"/>
        <v>14</v>
      </c>
      <c r="W43" s="185">
        <f t="shared" si="49"/>
        <v>23</v>
      </c>
      <c r="X43" s="185">
        <f t="shared" si="50"/>
        <v>31</v>
      </c>
      <c r="Y43" s="185" t="str">
        <f>IFERROR(VLOOKUP(MID(T43,W43,X43-W43),[6]skilldef!$C:$D,2,FALSE),"-") &amp; " / " &amp; IFERROR(VLOOKUP(MID(T43,U43,V43-U43),[6]skilldef!$A:$B,2,FALSE),"-")</f>
        <v>味方単体に / ウィルス</v>
      </c>
      <c r="Z43" s="183"/>
      <c r="AA43" s="187"/>
      <c r="AB43" s="183"/>
    </row>
    <row r="44" spans="1:28" ht="21" customHeight="1" x14ac:dyDescent="0.15">
      <c r="A44" s="193">
        <v>40044043</v>
      </c>
      <c r="B44" s="47" t="s">
        <v>347</v>
      </c>
      <c r="C44" s="168">
        <v>3</v>
      </c>
      <c r="D44" s="50" t="s">
        <v>127</v>
      </c>
      <c r="E44" s="51" t="s">
        <v>318</v>
      </c>
      <c r="F44" s="51" t="s">
        <v>289</v>
      </c>
      <c r="G44" s="64" t="str">
        <f t="shared" si="36"/>
        <v>[effect:enemy_message, val1:1.2, val2:1.2]</v>
      </c>
      <c r="H44" s="64">
        <f t="shared" si="37"/>
        <v>9</v>
      </c>
      <c r="I44" s="64">
        <f t="shared" si="38"/>
        <v>22</v>
      </c>
      <c r="J44" s="64" t="e">
        <f t="shared" si="39"/>
        <v>#VALUE!</v>
      </c>
      <c r="K44" s="64">
        <f t="shared" si="40"/>
        <v>32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si="41"/>
        <v>[effect:fix_speed, target:myself, turn:1],[effect:tolerance, target:myself, turn:-1, count:-1, tolerance_effect:all, animation:enemy_tolerance]</v>
      </c>
      <c r="N44" s="48" t="str">
        <f t="shared" si="51"/>
        <v>[effect:fix_speed, target:myself, turn:1],[effect:tolerance, target:myself, turn:-1, count:-1, tolerance_effect:all, animation:enemy_tolerance]</v>
      </c>
      <c r="O44" s="64">
        <f t="shared" si="42"/>
        <v>9</v>
      </c>
      <c r="P44" s="64">
        <f t="shared" si="43"/>
        <v>18</v>
      </c>
      <c r="Q44" s="64">
        <f t="shared" si="44"/>
        <v>27</v>
      </c>
      <c r="R44" s="64">
        <f t="shared" si="45"/>
        <v>33</v>
      </c>
      <c r="S44" s="64" t="str">
        <f>IFERROR(VLOOKUP(MID(N44,Q44,R44-Q44),[6]skilldef!$C:$D,2,FALSE),"-") &amp; " / " &amp; IFERROR(VLOOKUP(MID(N44,O44,P44-O44),[6]skilldef!$A:$B,2,FALSE),"-")</f>
        <v>自分自身に / 行動値設定</v>
      </c>
      <c r="T44" s="48" t="str">
        <f t="shared" si="46"/>
        <v>[effect:tolerance, target:myself, turn:-1, count:-1, tolerance_effect:all, animation:enemy_tolerance]</v>
      </c>
      <c r="U44" s="64">
        <f t="shared" si="47"/>
        <v>9</v>
      </c>
      <c r="V44" s="64">
        <f t="shared" si="48"/>
        <v>18</v>
      </c>
      <c r="W44" s="64">
        <f t="shared" si="49"/>
        <v>27</v>
      </c>
      <c r="X44" s="64">
        <f t="shared" si="50"/>
        <v>33</v>
      </c>
      <c r="Y44" s="64" t="str">
        <f>IFERROR(VLOOKUP(MID(T44,W44,X44-W44),[6]skilldef!$C:$D,2,FALSE),"-") &amp; " / " &amp; IFERROR(VLOOKUP(MID(T44,U44,V44-U44),[6]skilldef!$A:$B,2,FALSE),"-")</f>
        <v>自分自身に / 状態異常耐性</v>
      </c>
      <c r="Z44" s="50"/>
      <c r="AA44" s="52"/>
      <c r="AB44" s="50"/>
    </row>
    <row r="45" spans="1:28" ht="21" customHeight="1" x14ac:dyDescent="0.15">
      <c r="A45" s="195">
        <v>40044044</v>
      </c>
      <c r="B45" s="47" t="s">
        <v>469</v>
      </c>
      <c r="C45" s="50">
        <v>3</v>
      </c>
      <c r="D45" s="50" t="s">
        <v>127</v>
      </c>
      <c r="E45" s="51" t="s">
        <v>468</v>
      </c>
      <c r="F45" s="51" t="s">
        <v>386</v>
      </c>
      <c r="G45" s="64" t="str">
        <f t="shared" si="36"/>
        <v>[effect:enemy_message, val1:1.4, val2:2.5]</v>
      </c>
      <c r="H45" s="64">
        <f t="shared" si="37"/>
        <v>9</v>
      </c>
      <c r="I45" s="64">
        <f t="shared" si="38"/>
        <v>22</v>
      </c>
      <c r="J45" s="64" t="e">
        <f t="shared" si="39"/>
        <v>#VALUE!</v>
      </c>
      <c r="K45" s="64">
        <f t="shared" si="40"/>
        <v>32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41"/>
        <v>[effect:spread, val:0.4],[effect:virus, turn:-1, rate:1, val:0.4, animation:enemy_virus]</v>
      </c>
      <c r="N45" s="48" t="str">
        <f t="shared" si="51"/>
        <v>[effect:spread, val:0.4],[effect:virus, turn:-1, rate:1, val:0.4, animation:enemy_virus]</v>
      </c>
      <c r="O45" s="64">
        <f t="shared" si="42"/>
        <v>9</v>
      </c>
      <c r="P45" s="64">
        <f t="shared" si="43"/>
        <v>15</v>
      </c>
      <c r="Q45" s="64" t="e">
        <f t="shared" si="44"/>
        <v>#VALUE!</v>
      </c>
      <c r="R45" s="64">
        <f t="shared" si="45"/>
        <v>25</v>
      </c>
      <c r="S45" s="64" t="str">
        <f>IFERROR(VLOOKUP(MID(N45,Q45,R45-Q45),[6]skilldef!$C:$D,2,FALSE),"-") &amp; " / " &amp; IFERROR(VLOOKUP(MID(N45,O45,P45-O45),[6]skilldef!$A:$B,2,FALSE),"-")</f>
        <v>- / 全体攻撃</v>
      </c>
      <c r="T45" s="48" t="str">
        <f t="shared" si="46"/>
        <v>[effect:virus, turn:-1, rate:1, val:0.4, animation:enemy_virus]</v>
      </c>
      <c r="U45" s="64">
        <f t="shared" si="47"/>
        <v>9</v>
      </c>
      <c r="V45" s="64">
        <f t="shared" si="48"/>
        <v>14</v>
      </c>
      <c r="W45" s="64" t="e">
        <f t="shared" si="49"/>
        <v>#VALUE!</v>
      </c>
      <c r="X45" s="64">
        <f t="shared" si="50"/>
        <v>23</v>
      </c>
      <c r="Y45" s="64" t="str">
        <f>IFERROR(VLOOKUP(MID(T45,W45,X45-W45),[6]skilldef!$C:$D,2,FALSE),"-") &amp; " / " &amp; IFERROR(VLOOKUP(MID(T45,U45,V45-U45),[6]skilldef!$A:$B,2,FALSE),"-")</f>
        <v>- / ウィルス</v>
      </c>
      <c r="Z45" s="50"/>
      <c r="AA45" s="52"/>
      <c r="AB45" s="50"/>
    </row>
    <row r="46" spans="1:28" ht="21" customHeight="1" x14ac:dyDescent="0.15">
      <c r="A46" s="195">
        <v>40044045</v>
      </c>
      <c r="B46" s="47" t="s">
        <v>425</v>
      </c>
      <c r="C46" s="50">
        <v>3</v>
      </c>
      <c r="D46" s="50" t="s">
        <v>127</v>
      </c>
      <c r="E46" s="51" t="s">
        <v>335</v>
      </c>
      <c r="F46" s="51" t="s">
        <v>290</v>
      </c>
      <c r="G46" s="64" t="str">
        <f t="shared" si="36"/>
        <v>[effect:enemy_message, val1:1.5, val2:2.2]</v>
      </c>
      <c r="H46" s="64">
        <f t="shared" si="37"/>
        <v>9</v>
      </c>
      <c r="I46" s="64">
        <f t="shared" si="38"/>
        <v>22</v>
      </c>
      <c r="J46" s="64" t="e">
        <f t="shared" si="39"/>
        <v>#VALUE!</v>
      </c>
      <c r="K46" s="64">
        <f t="shared" si="40"/>
        <v>32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si="41"/>
        <v>[effect:heal, target:myself, val:0.1, animation:enemy_heal],[effect:damage_anti_abnormal, target:unit_one, target_effect01:virus, val1:1.7, val2:1.0]</v>
      </c>
      <c r="N46" s="48" t="str">
        <f t="shared" si="51"/>
        <v>[effect:heal, target:myself, val:0.1, animation:enemy_heal],[effect:damage_anti_abnormal, target:unit_one, target_effect01:virus, val1:1.7, val2:1.0]</v>
      </c>
      <c r="O46" s="64">
        <f t="shared" si="42"/>
        <v>9</v>
      </c>
      <c r="P46" s="64">
        <f t="shared" si="43"/>
        <v>13</v>
      </c>
      <c r="Q46" s="64">
        <f t="shared" si="44"/>
        <v>22</v>
      </c>
      <c r="R46" s="64">
        <f t="shared" si="45"/>
        <v>28</v>
      </c>
      <c r="S46" s="64" t="str">
        <f>IFERROR(VLOOKUP(MID(N46,Q46,R46-Q46),[6]skilldef!$C:$D,2,FALSE),"-") &amp; " / " &amp; IFERROR(VLOOKUP(MID(N46,O46,P46-O46),[6]skilldef!$A:$B,2,FALSE),"-")</f>
        <v>自分自身に / 回復</v>
      </c>
      <c r="T46" s="48" t="str">
        <f t="shared" si="46"/>
        <v>[effect:damage_anti_abnormal, target:unit_one, target_effect01:virus, val1:1.7, val2:1.0]</v>
      </c>
      <c r="U46" s="64">
        <f t="shared" si="47"/>
        <v>9</v>
      </c>
      <c r="V46" s="64">
        <f t="shared" si="48"/>
        <v>29</v>
      </c>
      <c r="W46" s="64">
        <f t="shared" si="49"/>
        <v>38</v>
      </c>
      <c r="X46" s="64">
        <f t="shared" si="50"/>
        <v>46</v>
      </c>
      <c r="Y46" s="64" t="str">
        <f>IFERROR(VLOOKUP(MID(T46,W46,X46-W46),[6]skilldef!$C:$D,2,FALSE),"-") &amp; " / " &amp; IFERROR(VLOOKUP(MID(T46,U46,V46-U46),[6]skilldef!$A:$B,2,FALSE),"-")</f>
        <v>味方単体に / -</v>
      </c>
      <c r="Z46" s="50"/>
      <c r="AA46" s="52"/>
      <c r="AB46" s="50"/>
    </row>
    <row r="47" spans="1:28" ht="21" customHeight="1" x14ac:dyDescent="0.15">
      <c r="A47" s="195">
        <v>40044046</v>
      </c>
      <c r="B47" s="47" t="s">
        <v>344</v>
      </c>
      <c r="C47" s="50">
        <v>3</v>
      </c>
      <c r="D47" s="50" t="s">
        <v>127</v>
      </c>
      <c r="E47" s="51" t="s">
        <v>319</v>
      </c>
      <c r="F47" s="51" t="s">
        <v>292</v>
      </c>
      <c r="G47" s="64" t="str">
        <f t="shared" si="36"/>
        <v>[effect:enemy_message, val1:1.2, val2:2.5]</v>
      </c>
      <c r="H47" s="64">
        <f t="shared" si="37"/>
        <v>9</v>
      </c>
      <c r="I47" s="64">
        <f t="shared" si="38"/>
        <v>22</v>
      </c>
      <c r="J47" s="64" t="e">
        <f t="shared" si="39"/>
        <v>#VALUE!</v>
      </c>
      <c r="K47" s="64">
        <f t="shared" si="40"/>
        <v>32</v>
      </c>
      <c r="L47" s="64" t="str">
        <f>IFERROR(VLOOKUP(MID(G47,J47,K47-J47),[6]skilldef!$C:$D,2,FALSE),"-") &amp; " / " &amp; IFERROR(VLOOKUP(MID(G47,H47,I47-H47),[6]skilldef!$A:$B,2,FALSE),"-")</f>
        <v>- / -</v>
      </c>
      <c r="M47" s="64" t="str">
        <f t="shared" si="41"/>
        <v>[effect:spread, val:0.5],[effect:attack_break, target:unit_all, turn:3, val:0.3, calc:mul, animation:attack_break01]</v>
      </c>
      <c r="N47" s="48" t="str">
        <f t="shared" si="51"/>
        <v>[effect:spread, val:0.5],[effect:attack_break, target:unit_all, turn:3, val:0.3, calc:mul, animation:attack_break01]</v>
      </c>
      <c r="O47" s="64">
        <f t="shared" si="42"/>
        <v>9</v>
      </c>
      <c r="P47" s="64">
        <f t="shared" si="43"/>
        <v>15</v>
      </c>
      <c r="Q47" s="64">
        <f t="shared" si="44"/>
        <v>55</v>
      </c>
      <c r="R47" s="64">
        <f t="shared" si="45"/>
        <v>25</v>
      </c>
      <c r="S47" s="64" t="str">
        <f>IFERROR(VLOOKUP(MID(N47,Q47,R47-Q47),[6]skilldef!$C:$D,2,FALSE),"-") &amp; " / " &amp; IFERROR(VLOOKUP(MID(N47,O47,P47-O47),[6]skilldef!$A:$B,2,FALSE),"-")</f>
        <v>- / 全体攻撃</v>
      </c>
      <c r="T47" s="48" t="str">
        <f t="shared" si="46"/>
        <v>[effect:attack_break, target:unit_all, turn:3, val:0.3, calc:mul, animation:attack_break01]</v>
      </c>
      <c r="U47" s="64">
        <f t="shared" si="47"/>
        <v>9</v>
      </c>
      <c r="V47" s="64">
        <f t="shared" si="48"/>
        <v>21</v>
      </c>
      <c r="W47" s="64">
        <f t="shared" si="49"/>
        <v>30</v>
      </c>
      <c r="X47" s="64">
        <f t="shared" si="50"/>
        <v>38</v>
      </c>
      <c r="Y47" s="64" t="str">
        <f>IFERROR(VLOOKUP(MID(T47,W47,X47-W47),[6]skilldef!$C:$D,2,FALSE),"-") &amp; " / " &amp; IFERROR(VLOOKUP(MID(T47,U47,V47-U47),[6]skilldef!$A:$B,2,FALSE),"-")</f>
        <v>味方全体に / -</v>
      </c>
      <c r="Z47" s="50"/>
      <c r="AA47" s="52"/>
      <c r="AB47" s="50"/>
    </row>
    <row r="48" spans="1:28" ht="21" customHeight="1" thickBot="1" x14ac:dyDescent="0.2">
      <c r="A48" s="194">
        <v>40044047</v>
      </c>
      <c r="B48" s="182" t="s">
        <v>328</v>
      </c>
      <c r="C48" s="175">
        <v>3</v>
      </c>
      <c r="D48" s="183" t="s">
        <v>127</v>
      </c>
      <c r="E48" s="184" t="s">
        <v>320</v>
      </c>
      <c r="F48" s="184" t="s">
        <v>291</v>
      </c>
      <c r="G48" s="185" t="str">
        <f t="shared" si="36"/>
        <v>[effect:enemy_message, val1:1.2, val2:2.5]</v>
      </c>
      <c r="H48" s="185">
        <f t="shared" si="37"/>
        <v>9</v>
      </c>
      <c r="I48" s="185">
        <f t="shared" si="38"/>
        <v>22</v>
      </c>
      <c r="J48" s="185" t="e">
        <f t="shared" si="39"/>
        <v>#VALUE!</v>
      </c>
      <c r="K48" s="185">
        <f t="shared" si="40"/>
        <v>32</v>
      </c>
      <c r="L48" s="185" t="str">
        <f>IFERROR(VLOOKUP(MID(G48,J48,K48-J48),[6]skilldef!$C:$D,2,FALSE),"-") &amp; " / " &amp; IFERROR(VLOOKUP(MID(G48,H48,I48-H48),[6]skilldef!$A:$B,2,FALSE),"-")</f>
        <v>- / -</v>
      </c>
      <c r="M48" s="185" t="str">
        <f t="shared" si="41"/>
        <v>[effect:spread, val:0.5],[effect:degrade_unit, target:unit_all, turn:3, status:heal, val:0.3, calc:mul, animation:degrade_unit_all_heal]</v>
      </c>
      <c r="N48" s="186" t="str">
        <f t="shared" si="51"/>
        <v>[effect:spread, val:0.5],[effect:degrade_unit, target:unit_all, turn:3, status:heal, val:0.3, calc:mul, animation:degrade_unit_all_heal]</v>
      </c>
      <c r="O48" s="185">
        <f t="shared" si="42"/>
        <v>9</v>
      </c>
      <c r="P48" s="185">
        <f t="shared" si="43"/>
        <v>15</v>
      </c>
      <c r="Q48" s="185">
        <f t="shared" si="44"/>
        <v>55</v>
      </c>
      <c r="R48" s="185">
        <f t="shared" si="45"/>
        <v>25</v>
      </c>
      <c r="S48" s="185" t="str">
        <f>IFERROR(VLOOKUP(MID(N48,Q48,R48-Q48),[6]skilldef!$C:$D,2,FALSE),"-") &amp; " / " &amp; IFERROR(VLOOKUP(MID(N48,O48,P48-O48),[6]skilldef!$A:$B,2,FALSE),"-")</f>
        <v>- / 全体攻撃</v>
      </c>
      <c r="T48" s="186" t="str">
        <f t="shared" si="46"/>
        <v>[effect:degrade_unit, target:unit_all, turn:3, status:heal, val:0.3, calc:mul, animation:degrade_unit_all_heal]</v>
      </c>
      <c r="U48" s="185">
        <f t="shared" si="47"/>
        <v>9</v>
      </c>
      <c r="V48" s="185">
        <f t="shared" si="48"/>
        <v>21</v>
      </c>
      <c r="W48" s="185">
        <f t="shared" si="49"/>
        <v>30</v>
      </c>
      <c r="X48" s="185">
        <f t="shared" si="50"/>
        <v>38</v>
      </c>
      <c r="Y48" s="185" t="str">
        <f>IFERROR(VLOOKUP(MID(T48,W48,X48-W48),[6]skilldef!$C:$D,2,FALSE),"-") &amp; " / " &amp; IFERROR(VLOOKUP(MID(T48,U48,V48-U48),[6]skilldef!$A:$B,2,FALSE),"-")</f>
        <v>味方全体に / ステータスDOWN</v>
      </c>
      <c r="Z48" s="183"/>
      <c r="AA48" s="187"/>
      <c r="AB48" s="183"/>
    </row>
    <row r="49" spans="1:28" ht="21" customHeight="1" x14ac:dyDescent="0.15">
      <c r="A49" s="193">
        <v>40044048</v>
      </c>
      <c r="B49" s="47" t="s">
        <v>345</v>
      </c>
      <c r="C49" s="168">
        <v>3</v>
      </c>
      <c r="D49" s="50" t="s">
        <v>127</v>
      </c>
      <c r="E49" s="51" t="s">
        <v>293</v>
      </c>
      <c r="F49" s="51" t="s">
        <v>294</v>
      </c>
      <c r="G49" s="64" t="str">
        <f t="shared" si="36"/>
        <v>[effect:enemy_message, val1:1.2, val2:2.2]</v>
      </c>
      <c r="H49" s="64">
        <f t="shared" si="37"/>
        <v>9</v>
      </c>
      <c r="I49" s="64">
        <f t="shared" si="38"/>
        <v>22</v>
      </c>
      <c r="J49" s="64" t="e">
        <f t="shared" si="39"/>
        <v>#VALUE!</v>
      </c>
      <c r="K49" s="64">
        <f t="shared" si="40"/>
        <v>32</v>
      </c>
      <c r="L49" s="64" t="str">
        <f>IFERROR(VLOOKUP(MID(G49,J49,K49-J49),[6]skilldef!$C:$D,2,FALSE),"-") &amp; " / " &amp; IFERROR(VLOOKUP(MID(G49,H49,I49-H49),[6]skilldef!$A:$B,2,FALSE),"-")</f>
        <v>- / -</v>
      </c>
      <c r="M49" s="64" t="str">
        <f t="shared" si="41"/>
        <v>[effect:fix_speed, target:myself, turn:1],[effect:tolerance, target:myself, turn:-1, count:-1, tolerance_effect:all, animation:enemy_tolerance],[effect:panel_freeze,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N49" s="48" t="str">
        <f t="shared" ref="N49:N55" si="52">IFERROR(LEFT(M49,FIND("],",M49)+S62),M49)</f>
        <v>[effect:fix_speed, target:myself, turn:1],[effect:tolerance, target:myself, turn:-1, count:-1, tolerance_effect:all, animation:enemy_tolerance],[effect:panel_freeze,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O49" s="64">
        <f t="shared" si="42"/>
        <v>9</v>
      </c>
      <c r="P49" s="64">
        <f t="shared" si="43"/>
        <v>18</v>
      </c>
      <c r="Q49" s="64">
        <f t="shared" si="44"/>
        <v>27</v>
      </c>
      <c r="R49" s="64">
        <f t="shared" si="45"/>
        <v>33</v>
      </c>
      <c r="S49" s="64" t="str">
        <f>IFERROR(VLOOKUP(MID(N49,Q49,R49-Q49),[6]skilldef!$C:$D,2,FALSE),"-") &amp; " / " &amp; IFERROR(VLOOKUP(MID(N49,O49,P49-O49),[6]skilldef!$A:$B,2,FALSE),"-")</f>
        <v>自分自身に / 行動値設定</v>
      </c>
      <c r="T49" s="48" t="str">
        <f t="shared" si="46"/>
        <v>[effect:tolerance, target:myself, turn:-1, count:-1, tolerance_effect:all, animation:enemy_tolerance],[effect:panel_freeze,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U49" s="64">
        <f t="shared" si="47"/>
        <v>9</v>
      </c>
      <c r="V49" s="64">
        <f t="shared" si="48"/>
        <v>18</v>
      </c>
      <c r="W49" s="64">
        <f t="shared" si="49"/>
        <v>27</v>
      </c>
      <c r="X49" s="64">
        <f t="shared" si="50"/>
        <v>33</v>
      </c>
      <c r="Y49" s="64" t="str">
        <f>IFERROR(VLOOKUP(MID(T49,W49,X49-W49),[6]skilldef!$C:$D,2,FALSE),"-") &amp; " / " &amp; IFERROR(VLOOKUP(MID(T49,U49,V49-U49),[6]skilldef!$A:$B,2,FALSE),"-")</f>
        <v>自分自身に / 状態異常耐性</v>
      </c>
      <c r="Z49" s="50"/>
      <c r="AA49" s="52"/>
      <c r="AB49" s="50"/>
    </row>
    <row r="50" spans="1:28" ht="21" customHeight="1" x14ac:dyDescent="0.15">
      <c r="A50" s="195">
        <v>40044049</v>
      </c>
      <c r="B50" s="47" t="s">
        <v>426</v>
      </c>
      <c r="C50" s="50">
        <v>3</v>
      </c>
      <c r="D50" s="50" t="s">
        <v>127</v>
      </c>
      <c r="E50" s="51" t="s">
        <v>321</v>
      </c>
      <c r="F50" s="51" t="s">
        <v>256</v>
      </c>
      <c r="G50" s="64" t="str">
        <f t="shared" si="36"/>
        <v>[effect:enemy_message, val1:1.4, val2:1.7]</v>
      </c>
      <c r="H50" s="64">
        <f t="shared" si="37"/>
        <v>9</v>
      </c>
      <c r="I50" s="64">
        <f t="shared" si="38"/>
        <v>22</v>
      </c>
      <c r="J50" s="64" t="e">
        <f t="shared" si="39"/>
        <v>#VALUE!</v>
      </c>
      <c r="K50" s="64">
        <f t="shared" si="40"/>
        <v>32</v>
      </c>
      <c r="L50" s="64" t="str">
        <f>IFERROR(VLOOKUP(MID(G50,J50,K50-J50),[6]skilldef!$C:$D,2,FALSE),"-") &amp; " / " &amp; IFERROR(VLOOKUP(MID(G50,H50,I50-H50),[6]skilldef!$A:$B,2,FALSE),"-")</f>
        <v>- / -</v>
      </c>
      <c r="M50" s="64" t="str">
        <f t="shared" si="41"/>
        <v>[effect:damage_anti_abnormal, target:unit_one, target_effect01:virus, val1:1.7, val2:1.0]</v>
      </c>
      <c r="N50" s="48" t="str">
        <f t="shared" si="52"/>
        <v>[effect:damage_anti_abnormal, target:unit_one, target_effect01:virus, val1:1.7, val2:1.0]</v>
      </c>
      <c r="O50" s="64">
        <f t="shared" si="42"/>
        <v>9</v>
      </c>
      <c r="P50" s="64">
        <f t="shared" si="43"/>
        <v>29</v>
      </c>
      <c r="Q50" s="64">
        <f t="shared" si="44"/>
        <v>38</v>
      </c>
      <c r="R50" s="64">
        <f t="shared" si="45"/>
        <v>46</v>
      </c>
      <c r="S50" s="64" t="str">
        <f>IFERROR(VLOOKUP(MID(N50,Q50,R50-Q50),[6]skilldef!$C:$D,2,FALSE),"-") &amp; " / " &amp; IFERROR(VLOOKUP(MID(N50,O50,P50-O50),[6]skilldef!$A:$B,2,FALSE),"-")</f>
        <v>味方単体に / -</v>
      </c>
      <c r="T50" s="48" t="str">
        <f t="shared" si="46"/>
        <v>none</v>
      </c>
      <c r="U50" s="64" t="e">
        <f t="shared" si="47"/>
        <v>#VALUE!</v>
      </c>
      <c r="V50" s="64">
        <f t="shared" si="48"/>
        <v>4</v>
      </c>
      <c r="W50" s="64" t="e">
        <f t="shared" si="49"/>
        <v>#VALUE!</v>
      </c>
      <c r="X50" s="64" t="e">
        <f t="shared" si="50"/>
        <v>#VALUE!</v>
      </c>
      <c r="Y50" s="64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195">
        <v>40044050</v>
      </c>
      <c r="B51" s="47" t="s">
        <v>327</v>
      </c>
      <c r="C51" s="50">
        <v>3</v>
      </c>
      <c r="D51" s="50" t="s">
        <v>127</v>
      </c>
      <c r="E51" s="51" t="s">
        <v>323</v>
      </c>
      <c r="F51" s="51" t="s">
        <v>295</v>
      </c>
      <c r="G51" s="64" t="str">
        <f t="shared" si="36"/>
        <v>[effect:enemy_message, val1:1.7, val2:2.0]</v>
      </c>
      <c r="H51" s="64">
        <f t="shared" si="37"/>
        <v>9</v>
      </c>
      <c r="I51" s="64">
        <f t="shared" si="38"/>
        <v>22</v>
      </c>
      <c r="J51" s="64" t="e">
        <f t="shared" si="39"/>
        <v>#VALUE!</v>
      </c>
      <c r="K51" s="64">
        <f t="shared" si="40"/>
        <v>32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41"/>
        <v>[effect:spread, val:0.6],[effect:panel_freeze, target:crash, count:6]</v>
      </c>
      <c r="N51" s="48" t="str">
        <f t="shared" si="52"/>
        <v>[effect:spread, val:0.6],[effect:panel_freeze, target:crash, count:6]</v>
      </c>
      <c r="O51" s="64">
        <f t="shared" si="42"/>
        <v>9</v>
      </c>
      <c r="P51" s="64">
        <f t="shared" si="43"/>
        <v>15</v>
      </c>
      <c r="Q51" s="64">
        <f t="shared" si="44"/>
        <v>55</v>
      </c>
      <c r="R51" s="64">
        <f t="shared" si="45"/>
        <v>25</v>
      </c>
      <c r="S51" s="64" t="str">
        <f>IFERROR(VLOOKUP(MID(N51,Q51,R51-Q51),[6]skilldef!$C:$D,2,FALSE),"-") &amp; " / " &amp; IFERROR(VLOOKUP(MID(N51,O51,P51-O51),[6]skilldef!$A:$B,2,FALSE),"-")</f>
        <v>- / 全体攻撃</v>
      </c>
      <c r="T51" s="48" t="str">
        <f t="shared" si="46"/>
        <v>[effect:panel_freeze, target:crash, count:6]</v>
      </c>
      <c r="U51" s="64">
        <f t="shared" si="47"/>
        <v>9</v>
      </c>
      <c r="V51" s="64">
        <f t="shared" si="48"/>
        <v>21</v>
      </c>
      <c r="W51" s="64">
        <f t="shared" si="49"/>
        <v>30</v>
      </c>
      <c r="X51" s="64">
        <f t="shared" si="50"/>
        <v>35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195">
        <v>40044051</v>
      </c>
      <c r="B52" s="47" t="s">
        <v>427</v>
      </c>
      <c r="C52" s="50">
        <v>3</v>
      </c>
      <c r="D52" s="50" t="s">
        <v>127</v>
      </c>
      <c r="E52" s="51" t="s">
        <v>322</v>
      </c>
      <c r="F52" s="51" t="s">
        <v>387</v>
      </c>
      <c r="G52" s="64" t="str">
        <f t="shared" si="36"/>
        <v>[effect:enemy_message, val1:1.4, val2:3.7]</v>
      </c>
      <c r="H52" s="64">
        <f t="shared" si="37"/>
        <v>9</v>
      </c>
      <c r="I52" s="64">
        <f t="shared" si="38"/>
        <v>22</v>
      </c>
      <c r="J52" s="64" t="e">
        <f t="shared" si="39"/>
        <v>#VALUE!</v>
      </c>
      <c r="K52" s="64">
        <f t="shared" si="40"/>
        <v>32</v>
      </c>
      <c r="L52" s="64" t="str">
        <f>IFERROR(VLOOKUP(MID(G52,J52,K52-J52),[6]skilldef!$C:$D,2,FALSE),"-") &amp; " / " &amp; IFERROR(VLOOKUP(MID(G52,H52,I52-H52),[6]skilldef!$A:$B,2,FALSE),"-")</f>
        <v>- / -</v>
      </c>
      <c r="M52" s="64" t="str">
        <f t="shared" si="41"/>
        <v>[effect:ability_lock, target:unit_all, turn:1],[effect:virus, turn:-1, rate:1, val:0.32, animation:enemy_virus]</v>
      </c>
      <c r="N52" s="48" t="str">
        <f t="shared" si="52"/>
        <v>[effect:ability_lock, target:unit_all, turn:1],[effect:virus, turn:-1, rate:1, val:0.32, animation:enemy_virus]</v>
      </c>
      <c r="O52" s="64">
        <f t="shared" si="42"/>
        <v>9</v>
      </c>
      <c r="P52" s="64">
        <f t="shared" si="43"/>
        <v>21</v>
      </c>
      <c r="Q52" s="64">
        <f t="shared" si="44"/>
        <v>30</v>
      </c>
      <c r="R52" s="64">
        <f t="shared" si="45"/>
        <v>38</v>
      </c>
      <c r="S52" s="64" t="str">
        <f>IFERROR(VLOOKUP(MID(N52,Q52,R52-Q52),[6]skilldef!$C:$D,2,FALSE),"-") &amp; " / " &amp; IFERROR(VLOOKUP(MID(N52,O52,P52-O52),[6]skilldef!$A:$B,2,FALSE),"-")</f>
        <v>味方全体に / -</v>
      </c>
      <c r="T52" s="48" t="str">
        <f t="shared" si="46"/>
        <v>[effect:virus, turn:-1, rate:1, val:0.32, animation:enemy_virus]</v>
      </c>
      <c r="U52" s="64">
        <f t="shared" si="47"/>
        <v>9</v>
      </c>
      <c r="V52" s="64">
        <f t="shared" si="48"/>
        <v>14</v>
      </c>
      <c r="W52" s="64" t="e">
        <f t="shared" si="49"/>
        <v>#VALUE!</v>
      </c>
      <c r="X52" s="64">
        <f t="shared" si="50"/>
        <v>23</v>
      </c>
      <c r="Y52" s="64" t="str">
        <f>IFERROR(VLOOKUP(MID(T52,W52,X52-W52),[6]skilldef!$C:$D,2,FALSE),"-") &amp; " / " &amp; IFERROR(VLOOKUP(MID(T52,U52,V52-U52),[6]skilldef!$A:$B,2,FALSE),"-")</f>
        <v>- / ウィルス</v>
      </c>
      <c r="Z52" s="50"/>
      <c r="AA52" s="52"/>
      <c r="AB52" s="50"/>
    </row>
    <row r="53" spans="1:28" ht="21" customHeight="1" x14ac:dyDescent="0.15">
      <c r="A53" s="195">
        <v>40044052</v>
      </c>
      <c r="B53" s="47" t="s">
        <v>389</v>
      </c>
      <c r="C53" s="50">
        <v>3</v>
      </c>
      <c r="D53" s="50" t="s">
        <v>127</v>
      </c>
      <c r="E53" s="51" t="s">
        <v>324</v>
      </c>
      <c r="F53" s="51" t="s">
        <v>388</v>
      </c>
      <c r="G53" s="64" t="str">
        <f t="shared" si="36"/>
        <v>[effect:enemy_message, val1:1.8, val2:3.2]</v>
      </c>
      <c r="H53" s="64">
        <f t="shared" si="37"/>
        <v>9</v>
      </c>
      <c r="I53" s="64">
        <f t="shared" si="38"/>
        <v>22</v>
      </c>
      <c r="J53" s="64" t="e">
        <f t="shared" si="39"/>
        <v>#VALUE!</v>
      </c>
      <c r="K53" s="64">
        <f t="shared" si="40"/>
        <v>32</v>
      </c>
      <c r="L53" s="64" t="str">
        <f>IFERROR(VLOOKUP(MID(G53,J53,K53-J53),[6]skilldef!$C:$D,2,FALSE),"-") &amp; " / " &amp; IFERROR(VLOOKUP(MID(G53,H53,I53-H53),[6]skilldef!$A:$B,2,FALSE),"-")</f>
        <v>- / -</v>
      </c>
      <c r="M53" s="64" t="str">
        <f t="shared" si="41"/>
        <v>[effect:panel_freeze, target:normal, color:block_red, count:-1],[effect:panel_freeze, target:normal, color:block_blue, count:-1],[effect:virus, target:unit_one, turn:-1, rate:1, val:0.3, animation:enemy_virus]</v>
      </c>
      <c r="N53" s="48" t="str">
        <f t="shared" si="52"/>
        <v>[effect:panel_freeze, target:normal, color:block_red, count:-1],[effect:panel_freeze, target:normal, color:block_blue, count:-1],[effect:virus, target:unit_one, turn:-1, rate:1, val:0.3, animation:enemy_virus]</v>
      </c>
      <c r="O53" s="64">
        <f t="shared" si="42"/>
        <v>9</v>
      </c>
      <c r="P53" s="64">
        <f t="shared" si="43"/>
        <v>21</v>
      </c>
      <c r="Q53" s="64">
        <f t="shared" si="44"/>
        <v>30</v>
      </c>
      <c r="R53" s="64">
        <f t="shared" si="45"/>
        <v>36</v>
      </c>
      <c r="S53" s="64" t="str">
        <f>IFERROR(VLOOKUP(MID(N53,Q53,R53-Q53),[6]skilldef!$C:$D,2,FALSE),"-") &amp; " / " &amp; IFERROR(VLOOKUP(MID(N53,O53,P53-O53),[6]skilldef!$A:$B,2,FALSE),"-")</f>
        <v>- / -</v>
      </c>
      <c r="T53" s="48" t="str">
        <f t="shared" si="46"/>
        <v>[effect:panel_freeze, target:normal, color:block_blue, count:-1],[effect:virus, target:unit_one, turn:-1, rate:1, val:0.3, animation:enemy_virus]</v>
      </c>
      <c r="U53" s="64">
        <f t="shared" si="47"/>
        <v>9</v>
      </c>
      <c r="V53" s="64">
        <f t="shared" si="48"/>
        <v>21</v>
      </c>
      <c r="W53" s="64">
        <f t="shared" si="49"/>
        <v>30</v>
      </c>
      <c r="X53" s="64">
        <f t="shared" si="50"/>
        <v>36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195">
        <v>40044053</v>
      </c>
      <c r="B54" s="47" t="s">
        <v>390</v>
      </c>
      <c r="C54" s="50">
        <v>3</v>
      </c>
      <c r="D54" s="50" t="s">
        <v>127</v>
      </c>
      <c r="E54" s="51" t="s">
        <v>325</v>
      </c>
      <c r="F54" s="51" t="s">
        <v>297</v>
      </c>
      <c r="G54" s="64" t="str">
        <f t="shared" si="36"/>
        <v>[effect:enemy_message, val1:2.9, val2:2.9]</v>
      </c>
      <c r="H54" s="64">
        <f t="shared" si="37"/>
        <v>9</v>
      </c>
      <c r="I54" s="64">
        <f t="shared" si="38"/>
        <v>22</v>
      </c>
      <c r="J54" s="64" t="e">
        <f t="shared" si="39"/>
        <v>#VALUE!</v>
      </c>
      <c r="K54" s="64">
        <f t="shared" si="40"/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si="41"/>
        <v>[effect:panel_freeze, target:normal, color:block_heart, count:-1],[effect:damage_anti_abnormal, target:unit_one, target_effect01:virus, val1:1.7, val2:1.0]</v>
      </c>
      <c r="N54" s="48" t="str">
        <f t="shared" si="52"/>
        <v>[effect:panel_freeze, target:normal, color:block_heart, count:-1],[effect:damage_anti_abnormal, target:unit_one, target_effect01:virus, val1:1.7, val2:1.0]</v>
      </c>
      <c r="O54" s="64">
        <f t="shared" si="42"/>
        <v>9</v>
      </c>
      <c r="P54" s="64">
        <f t="shared" si="43"/>
        <v>21</v>
      </c>
      <c r="Q54" s="64">
        <f t="shared" si="44"/>
        <v>30</v>
      </c>
      <c r="R54" s="64">
        <f t="shared" si="45"/>
        <v>36</v>
      </c>
      <c r="S54" s="64" t="str">
        <f>IFERROR(VLOOKUP(MID(N54,Q54,R54-Q54),[6]skilldef!$C:$D,2,FALSE),"-") &amp; " / " &amp; IFERROR(VLOOKUP(MID(N54,O54,P54-O54),[6]skilldef!$A:$B,2,FALSE),"-")</f>
        <v>- / -</v>
      </c>
      <c r="T54" s="48" t="str">
        <f t="shared" si="46"/>
        <v>[effect:damage_anti_abnormal, target:unit_one, target_effect01:virus, val1:1.7, val2:1.0]</v>
      </c>
      <c r="U54" s="64">
        <f t="shared" si="47"/>
        <v>9</v>
      </c>
      <c r="V54" s="64">
        <f t="shared" si="48"/>
        <v>29</v>
      </c>
      <c r="W54" s="64">
        <f t="shared" si="49"/>
        <v>38</v>
      </c>
      <c r="X54" s="64">
        <f t="shared" si="50"/>
        <v>46</v>
      </c>
      <c r="Y54" s="64" t="str">
        <f>IFERROR(VLOOKUP(MID(T54,W54,X54-W54),[6]skilldef!$C:$D,2,FALSE),"-") &amp; " / " &amp; IFERROR(VLOOKUP(MID(T54,U54,V54-U54),[6]skilldef!$A:$B,2,FALSE),"-")</f>
        <v>味方単体に / -</v>
      </c>
      <c r="Z54" s="50"/>
      <c r="AA54" s="52"/>
      <c r="AB54" s="50"/>
    </row>
    <row r="55" spans="1:28" ht="41" customHeight="1" x14ac:dyDescent="0.15">
      <c r="A55" s="195">
        <v>40044054</v>
      </c>
      <c r="B55" s="47" t="s">
        <v>490</v>
      </c>
      <c r="C55" s="50">
        <v>3</v>
      </c>
      <c r="D55" s="50" t="s">
        <v>127</v>
      </c>
      <c r="E55" s="51" t="s">
        <v>369</v>
      </c>
      <c r="F55" s="51" t="s">
        <v>487</v>
      </c>
      <c r="G55" s="64" t="str">
        <f t="shared" si="36"/>
        <v>[effect:enemy_message, val1:1.2, val2:5.3]</v>
      </c>
      <c r="H55" s="64">
        <f t="shared" si="37"/>
        <v>9</v>
      </c>
      <c r="I55" s="64">
        <f t="shared" si="38"/>
        <v>22</v>
      </c>
      <c r="J55" s="64" t="e">
        <f t="shared" si="39"/>
        <v>#VALUE!</v>
      </c>
      <c r="K55" s="64">
        <f t="shared" si="40"/>
        <v>32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si="41"/>
        <v>[effect:ability_lock, target:unit_all, turn:1],[effect:virus, turn:2, rate:1, val:0.4, animation:enemy_virus],[effect:panel_freeze, target:block_all, count:20]</v>
      </c>
      <c r="N55" s="48" t="str">
        <f t="shared" si="52"/>
        <v>[effect:ability_lock, target:unit_all, turn:1],[effect:virus, turn:2, rate:1, val:0.4, animation:enemy_virus],[effect:panel_freeze, target:block_all, count:20]</v>
      </c>
      <c r="O55" s="64">
        <f t="shared" si="42"/>
        <v>9</v>
      </c>
      <c r="P55" s="64">
        <f t="shared" si="43"/>
        <v>21</v>
      </c>
      <c r="Q55" s="64">
        <f t="shared" si="44"/>
        <v>30</v>
      </c>
      <c r="R55" s="64">
        <f t="shared" si="45"/>
        <v>38</v>
      </c>
      <c r="S55" s="64" t="str">
        <f>IFERROR(VLOOKUP(MID(N55,Q55,R55-Q55),[6]skilldef!$C:$D,2,FALSE),"-") &amp; " / " &amp; IFERROR(VLOOKUP(MID(N55,O55,P55-O55),[6]skilldef!$A:$B,2,FALSE),"-")</f>
        <v>味方全体に / -</v>
      </c>
      <c r="T55" s="48" t="str">
        <f t="shared" si="46"/>
        <v>[effect:virus, turn:2, rate:1, val:0.4, animation:enemy_virus],[effect:panel_freeze, target:block_all, count:20]</v>
      </c>
      <c r="U55" s="64">
        <f t="shared" si="47"/>
        <v>9</v>
      </c>
      <c r="V55" s="64">
        <f t="shared" si="48"/>
        <v>14</v>
      </c>
      <c r="W55" s="64">
        <f t="shared" si="49"/>
        <v>93</v>
      </c>
      <c r="X55" s="64">
        <f t="shared" si="50"/>
        <v>22</v>
      </c>
      <c r="Y55" s="64" t="str">
        <f>IFERROR(VLOOKUP(MID(T55,W55,X55-W55),[6]skilldef!$C:$D,2,FALSE),"-") &amp; " / " &amp; IFERROR(VLOOKUP(MID(T55,U55,V55-U55),[6]skilldef!$A:$B,2,FALSE),"-")</f>
        <v>- / ウィルス</v>
      </c>
      <c r="Z55" s="50"/>
      <c r="AA55" s="52"/>
      <c r="AB55" s="50"/>
    </row>
    <row r="56" spans="1:28" ht="21" customHeight="1" x14ac:dyDescent="0.15">
      <c r="A56" s="195">
        <v>40044055</v>
      </c>
      <c r="B56" s="47" t="s">
        <v>428</v>
      </c>
      <c r="C56" s="50">
        <v>3</v>
      </c>
      <c r="D56" s="50" t="s">
        <v>197</v>
      </c>
      <c r="E56" s="51" t="s">
        <v>337</v>
      </c>
      <c r="F56" s="51" t="s">
        <v>326</v>
      </c>
      <c r="G56" s="64" t="str">
        <f t="shared" si="36"/>
        <v>[effect:enemy_message, val1:3.0, val2:2.4, dead_type:suicide]</v>
      </c>
      <c r="H56" s="64">
        <f t="shared" si="37"/>
        <v>9</v>
      </c>
      <c r="I56" s="64">
        <f t="shared" si="38"/>
        <v>22</v>
      </c>
      <c r="J56" s="64" t="e">
        <f t="shared" si="39"/>
        <v>#VALUE!</v>
      </c>
      <c r="K56" s="64">
        <f t="shared" si="40"/>
        <v>32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si="41"/>
        <v>none</v>
      </c>
      <c r="N56" s="48" t="str">
        <f>IFERROR(LEFT(M56,FIND("],",M56)+S66),M56)</f>
        <v>none</v>
      </c>
      <c r="O56" s="64" t="e">
        <f t="shared" si="42"/>
        <v>#VALUE!</v>
      </c>
      <c r="P56" s="64">
        <f t="shared" si="43"/>
        <v>4</v>
      </c>
      <c r="Q56" s="64" t="e">
        <f t="shared" si="44"/>
        <v>#VALUE!</v>
      </c>
      <c r="R56" s="64" t="e">
        <f t="shared" si="45"/>
        <v>#VALUE!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si="46"/>
        <v>none</v>
      </c>
      <c r="U56" s="64" t="e">
        <f t="shared" si="47"/>
        <v>#VALUE!</v>
      </c>
      <c r="V56" s="64">
        <f t="shared" si="48"/>
        <v>4</v>
      </c>
      <c r="W56" s="64" t="e">
        <f t="shared" si="49"/>
        <v>#VALUE!</v>
      </c>
      <c r="X56" s="64" t="e">
        <f t="shared" si="50"/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195">
        <v>40044056</v>
      </c>
      <c r="B57" s="47" t="s">
        <v>439</v>
      </c>
      <c r="C57" s="50">
        <v>3</v>
      </c>
      <c r="D57" s="50" t="s">
        <v>127</v>
      </c>
      <c r="E57" s="51" t="s">
        <v>437</v>
      </c>
      <c r="F57" s="51" t="s">
        <v>338</v>
      </c>
      <c r="G57" s="64" t="str">
        <f t="shared" si="36"/>
        <v>[effect:enemy_message, val1:2.3, val2:2.4, dead_type:suicide]</v>
      </c>
      <c r="H57" s="64">
        <f t="shared" si="37"/>
        <v>9</v>
      </c>
      <c r="I57" s="64">
        <f t="shared" si="38"/>
        <v>22</v>
      </c>
      <c r="J57" s="64" t="e">
        <f t="shared" si="39"/>
        <v>#VALUE!</v>
      </c>
      <c r="K57" s="64">
        <f t="shared" si="40"/>
        <v>32</v>
      </c>
      <c r="L57" s="64" t="str">
        <f>IFERROR(VLOOKUP(MID(G57,J57,K57-J57),[6]skilldef!$C:$D,2,FALSE),"-") &amp; " / " &amp; IFERROR(VLOOKUP(MID(G57,H57,I57-H57),[6]skilldef!$A:$B,2,FALSE),"-")</f>
        <v>- / -</v>
      </c>
      <c r="M57" s="64" t="str">
        <f t="shared" si="41"/>
        <v>none</v>
      </c>
      <c r="N57" s="48" t="str">
        <f>IFERROR(LEFT(M57,FIND("],",M57)+S67),M57)</f>
        <v>none</v>
      </c>
      <c r="O57" s="64" t="e">
        <f t="shared" si="42"/>
        <v>#VALUE!</v>
      </c>
      <c r="P57" s="64">
        <f t="shared" si="43"/>
        <v>4</v>
      </c>
      <c r="Q57" s="64" t="e">
        <f t="shared" si="44"/>
        <v>#VALUE!</v>
      </c>
      <c r="R57" s="64" t="e">
        <f t="shared" si="45"/>
        <v>#VALUE!</v>
      </c>
      <c r="S57" s="64" t="str">
        <f>IFERROR(VLOOKUP(MID(N57,Q57,R57-Q57),[6]skilldef!$C:$D,2,FALSE),"-") &amp; " / " &amp; IFERROR(VLOOKUP(MID(N57,O57,P57-O57),[6]skilldef!$A:$B,2,FALSE),"-")</f>
        <v>- / -</v>
      </c>
      <c r="T57" s="48" t="str">
        <f t="shared" si="46"/>
        <v>none</v>
      </c>
      <c r="U57" s="64" t="e">
        <f t="shared" si="47"/>
        <v>#VALUE!</v>
      </c>
      <c r="V57" s="64">
        <f t="shared" si="48"/>
        <v>4</v>
      </c>
      <c r="W57" s="64" t="e">
        <f t="shared" si="49"/>
        <v>#VALUE!</v>
      </c>
      <c r="X57" s="64" t="e">
        <f t="shared" si="50"/>
        <v>#VALUE!</v>
      </c>
      <c r="Y57" s="64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thickBot="1" x14ac:dyDescent="0.2">
      <c r="A58" s="194">
        <v>40044057</v>
      </c>
      <c r="B58" s="174" t="s">
        <v>391</v>
      </c>
      <c r="C58" s="175">
        <v>3</v>
      </c>
      <c r="D58" s="183" t="s">
        <v>127</v>
      </c>
      <c r="E58" s="184" t="s">
        <v>336</v>
      </c>
      <c r="F58" s="184" t="s">
        <v>346</v>
      </c>
      <c r="G58" s="185" t="str">
        <f t="shared" si="36"/>
        <v>[effect:enemy_message, val1:2.6, val2:2.0, dead_type:suicide]</v>
      </c>
      <c r="H58" s="185">
        <f t="shared" si="37"/>
        <v>9</v>
      </c>
      <c r="I58" s="185">
        <f t="shared" si="38"/>
        <v>22</v>
      </c>
      <c r="J58" s="185" t="e">
        <f t="shared" si="39"/>
        <v>#VALUE!</v>
      </c>
      <c r="K58" s="185">
        <f t="shared" si="40"/>
        <v>32</v>
      </c>
      <c r="L58" s="185" t="str">
        <f>IFERROR(VLOOKUP(MID(G58,J58,K58-J58),[6]skilldef!$C:$D,2,FALSE),"-") &amp; " / " &amp; IFERROR(VLOOKUP(MID(G58,H58,I58-H58),[6]skilldef!$A:$B,2,FALSE),"-")</f>
        <v>- / -</v>
      </c>
      <c r="M58" s="185" t="str">
        <f t="shared" si="41"/>
        <v>none</v>
      </c>
      <c r="N58" s="186" t="str">
        <f>IFERROR(LEFT(M58,FIND("],",M58)+S68),M58)</f>
        <v>none</v>
      </c>
      <c r="O58" s="185" t="e">
        <f t="shared" si="42"/>
        <v>#VALUE!</v>
      </c>
      <c r="P58" s="185">
        <f t="shared" si="43"/>
        <v>4</v>
      </c>
      <c r="Q58" s="185" t="e">
        <f t="shared" si="44"/>
        <v>#VALUE!</v>
      </c>
      <c r="R58" s="185" t="e">
        <f t="shared" si="45"/>
        <v>#VALUE!</v>
      </c>
      <c r="S58" s="185" t="str">
        <f>IFERROR(VLOOKUP(MID(N58,Q58,R58-Q58),[6]skilldef!$C:$D,2,FALSE),"-") &amp; " / " &amp; IFERROR(VLOOKUP(MID(N58,O58,P58-O58),[6]skilldef!$A:$B,2,FALSE),"-")</f>
        <v>- / -</v>
      </c>
      <c r="T58" s="186" t="str">
        <f t="shared" si="46"/>
        <v>none</v>
      </c>
      <c r="U58" s="185" t="e">
        <f t="shared" si="47"/>
        <v>#VALUE!</v>
      </c>
      <c r="V58" s="185">
        <f t="shared" si="48"/>
        <v>4</v>
      </c>
      <c r="W58" s="185" t="e">
        <f t="shared" si="49"/>
        <v>#VALUE!</v>
      </c>
      <c r="X58" s="185" t="e">
        <f t="shared" si="50"/>
        <v>#VALUE!</v>
      </c>
      <c r="Y58" s="185" t="str">
        <f>IFERROR(VLOOKUP(MID(T58,W58,X58-W58),[6]skilldef!$C:$D,2,FALSE),"-") &amp; " / " &amp; IFERROR(VLOOKUP(MID(T58,U58,V58-U58),[6]skilldef!$A:$B,2,FALSE),"-")</f>
        <v>- / -</v>
      </c>
      <c r="Z58" s="183"/>
      <c r="AA58" s="187"/>
      <c r="AB58" s="183"/>
    </row>
    <row r="59" spans="1:28" ht="21" customHeight="1" x14ac:dyDescent="0.15">
      <c r="A59" s="165">
        <v>40044058</v>
      </c>
      <c r="B59" s="47" t="s">
        <v>491</v>
      </c>
      <c r="C59" s="168">
        <v>3</v>
      </c>
      <c r="D59" s="50" t="s">
        <v>127</v>
      </c>
      <c r="E59" s="51" t="s">
        <v>475</v>
      </c>
      <c r="F59" s="51" t="s">
        <v>255</v>
      </c>
      <c r="G59" s="64" t="str">
        <f t="shared" si="36"/>
        <v>[effect:enemy_message, val1:1.2, val2:1.4]</v>
      </c>
      <c r="H59" s="64">
        <f t="shared" si="37"/>
        <v>9</v>
      </c>
      <c r="I59" s="64">
        <f t="shared" si="38"/>
        <v>22</v>
      </c>
      <c r="J59" s="64" t="e">
        <f t="shared" si="39"/>
        <v>#VALUE!</v>
      </c>
      <c r="K59" s="64">
        <f t="shared" si="40"/>
        <v>32</v>
      </c>
      <c r="L59" s="64" t="str">
        <f>IFERROR(VLOOKUP(MID(G59,J59,K59-J59),[6]skilldef!$C:$D,2,FALSE),"-") &amp; " / " &amp; IFERROR(VLOOKUP(MID(G59,H59,I59-H59),[6]skilldef!$A:$B,2,FALSE),"-")</f>
        <v>- / -</v>
      </c>
      <c r="M59" s="64" t="str">
        <f t="shared" si="41"/>
        <v>[effect:virus, turn:2, rate:1, val:0.13, animation:enemy_virus]</v>
      </c>
      <c r="N59" s="48" t="str">
        <f>IFERROR(LEFT(M59,FIND("],",M59)+S72),M59)</f>
        <v>[effect:virus, turn:2, rate:1, val:0.13, animation:enemy_virus]</v>
      </c>
      <c r="O59" s="64">
        <f t="shared" si="42"/>
        <v>9</v>
      </c>
      <c r="P59" s="64">
        <f t="shared" si="43"/>
        <v>14</v>
      </c>
      <c r="Q59" s="64" t="e">
        <f t="shared" si="44"/>
        <v>#VALUE!</v>
      </c>
      <c r="R59" s="64">
        <f t="shared" si="45"/>
        <v>22</v>
      </c>
      <c r="S59" s="64" t="str">
        <f>IFERROR(VLOOKUP(MID(N59,Q59,R59-Q59),[6]skilldef!$C:$D,2,FALSE),"-") &amp; " / " &amp; IFERROR(VLOOKUP(MID(N59,O59,P59-O59),[6]skilldef!$A:$B,2,FALSE),"-")</f>
        <v>- / ウィルス</v>
      </c>
      <c r="T59" s="48" t="str">
        <f t="shared" si="46"/>
        <v>none</v>
      </c>
      <c r="U59" s="64" t="e">
        <f t="shared" si="47"/>
        <v>#VALUE!</v>
      </c>
      <c r="V59" s="64">
        <f t="shared" si="48"/>
        <v>4</v>
      </c>
      <c r="W59" s="64" t="e">
        <f t="shared" si="49"/>
        <v>#VALUE!</v>
      </c>
      <c r="X59" s="64" t="e">
        <f t="shared" si="50"/>
        <v>#VALUE!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165">
        <v>40044059</v>
      </c>
      <c r="B60" s="47" t="s">
        <v>467</v>
      </c>
      <c r="C60" s="50">
        <v>3</v>
      </c>
      <c r="D60" s="50" t="s">
        <v>127</v>
      </c>
      <c r="E60" s="51" t="s">
        <v>474</v>
      </c>
      <c r="F60" s="51" t="s">
        <v>256</v>
      </c>
      <c r="G60" s="64" t="str">
        <f t="shared" si="36"/>
        <v>[effect:enemy_message, val1:1.2, val2:1.7]</v>
      </c>
      <c r="H60" s="64">
        <f t="shared" si="37"/>
        <v>9</v>
      </c>
      <c r="I60" s="64">
        <f t="shared" si="38"/>
        <v>22</v>
      </c>
      <c r="J60" s="64" t="e">
        <f t="shared" si="39"/>
        <v>#VALUE!</v>
      </c>
      <c r="K60" s="64">
        <f t="shared" si="40"/>
        <v>32</v>
      </c>
      <c r="L60" s="64" t="str">
        <f>IFERROR(VLOOKUP(MID(G60,J60,K60-J60),[6]skilldef!$C:$D,2,FALSE),"-") &amp; " / " &amp; IFERROR(VLOOKUP(MID(G60,H60,I60-H60),[6]skilldef!$A:$B,2,FALSE),"-")</f>
        <v>- / -</v>
      </c>
      <c r="M60" s="64" t="str">
        <f t="shared" si="41"/>
        <v>[effect:damage_anti_abnormal, target:unit_one, target_effect01:virus, val1:1.2, val2:0.7]</v>
      </c>
      <c r="N60" s="48" t="str">
        <f>IFERROR(LEFT(M60,FIND("],",M60)+S73),M60)</f>
        <v>[effect:damage_anti_abnormal, target:unit_one, target_effect01:virus, val1:1.2, val2:0.7]</v>
      </c>
      <c r="O60" s="64">
        <f t="shared" si="42"/>
        <v>9</v>
      </c>
      <c r="P60" s="64">
        <f t="shared" si="43"/>
        <v>29</v>
      </c>
      <c r="Q60" s="64">
        <f t="shared" si="44"/>
        <v>38</v>
      </c>
      <c r="R60" s="64">
        <f t="shared" si="45"/>
        <v>46</v>
      </c>
      <c r="S60" s="64" t="str">
        <f>IFERROR(VLOOKUP(MID(N60,Q60,R60-Q60),[6]skilldef!$C:$D,2,FALSE),"-") &amp; " / " &amp; IFERROR(VLOOKUP(MID(N60,O60,P60-O60),[6]skilldef!$A:$B,2,FALSE),"-")</f>
        <v>味方単体に / -</v>
      </c>
      <c r="T60" s="48" t="str">
        <f t="shared" si="46"/>
        <v>none</v>
      </c>
      <c r="U60" s="64" t="e">
        <f t="shared" si="47"/>
        <v>#VALUE!</v>
      </c>
      <c r="V60" s="64">
        <f t="shared" si="48"/>
        <v>4</v>
      </c>
      <c r="W60" s="64" t="e">
        <f t="shared" si="49"/>
        <v>#VALUE!</v>
      </c>
      <c r="X60" s="64" t="e">
        <f t="shared" si="50"/>
        <v>#VALUE!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thickBot="1" x14ac:dyDescent="0.2">
      <c r="A61" s="173">
        <v>40044060</v>
      </c>
      <c r="B61" s="174" t="s">
        <v>257</v>
      </c>
      <c r="C61" s="175">
        <v>3</v>
      </c>
      <c r="D61" s="175" t="s">
        <v>127</v>
      </c>
      <c r="E61" s="176" t="s">
        <v>340</v>
      </c>
      <c r="F61" s="176" t="s">
        <v>258</v>
      </c>
      <c r="G61" s="177" t="str">
        <f t="shared" si="36"/>
        <v>[effect:enemy_message, val1:1.2, val2:1.2]</v>
      </c>
      <c r="H61" s="177">
        <f t="shared" si="37"/>
        <v>9</v>
      </c>
      <c r="I61" s="177">
        <f t="shared" si="38"/>
        <v>22</v>
      </c>
      <c r="J61" s="177" t="e">
        <f t="shared" si="39"/>
        <v>#VALUE!</v>
      </c>
      <c r="K61" s="177">
        <f t="shared" si="40"/>
        <v>32</v>
      </c>
      <c r="L61" s="177" t="str">
        <f>IFERROR(VLOOKUP(MID(G61,J61,K61-J61),[6]skilldef!$C:$D,2,FALSE),"-") &amp; " / " &amp; IFERROR(VLOOKUP(MID(G61,H61,I61-H61),[6]skilldef!$A:$B,2,FALSE),"-")</f>
        <v>- / -</v>
      </c>
      <c r="M61" s="177" t="str">
        <f t="shared" si="41"/>
        <v>[effect:heal, target:enemy_human, val:0.2, animation:enemy_heal]</v>
      </c>
      <c r="N61" s="178" t="str">
        <f>IFERROR(LEFT(M61,FIND("],",M61)+S74),M61)</f>
        <v>[effect:heal, target:enemy_human, val:0.2, animation:enemy_heal]</v>
      </c>
      <c r="O61" s="177">
        <f t="shared" si="42"/>
        <v>9</v>
      </c>
      <c r="P61" s="177">
        <f t="shared" si="43"/>
        <v>13</v>
      </c>
      <c r="Q61" s="177">
        <f t="shared" si="44"/>
        <v>22</v>
      </c>
      <c r="R61" s="177">
        <f t="shared" si="45"/>
        <v>33</v>
      </c>
      <c r="S61" s="177" t="str">
        <f>IFERROR(VLOOKUP(MID(N61,Q61,R61-Q61),[6]skilldef!$C:$D,2,FALSE),"-") &amp; " / " &amp; IFERROR(VLOOKUP(MID(N61,O61,P61-O61),[6]skilldef!$A:$B,2,FALSE),"-")</f>
        <v>- / 回復</v>
      </c>
      <c r="T61" s="178" t="str">
        <f t="shared" si="46"/>
        <v>none</v>
      </c>
      <c r="U61" s="177" t="e">
        <f t="shared" si="47"/>
        <v>#VALUE!</v>
      </c>
      <c r="V61" s="177">
        <f t="shared" si="48"/>
        <v>4</v>
      </c>
      <c r="W61" s="177" t="e">
        <f t="shared" si="49"/>
        <v>#VALUE!</v>
      </c>
      <c r="X61" s="177" t="e">
        <f t="shared" si="50"/>
        <v>#VALUE!</v>
      </c>
      <c r="Y61" s="177" t="str">
        <f>IFERROR(VLOOKUP(MID(T61,W61,X61-W61),[6]skilldef!$C:$D,2,FALSE),"-") &amp; " / " &amp; IFERROR(VLOOKUP(MID(T61,U61,V61-U61),[6]skilldef!$A:$B,2,FALSE),"-")</f>
        <v>- / -</v>
      </c>
      <c r="Z61" s="175"/>
      <c r="AA61" s="179"/>
      <c r="AB61" s="175"/>
    </row>
    <row r="62" spans="1:28" ht="21" customHeight="1" x14ac:dyDescent="0.15">
      <c r="A62" s="166">
        <v>40044061</v>
      </c>
      <c r="B62" s="167" t="s">
        <v>310</v>
      </c>
      <c r="C62" s="168">
        <v>3</v>
      </c>
      <c r="D62" s="168" t="s">
        <v>127</v>
      </c>
      <c r="E62" s="169" t="s">
        <v>308</v>
      </c>
      <c r="F62" s="169" t="s">
        <v>309</v>
      </c>
      <c r="G62" s="170" t="str">
        <f t="shared" si="36"/>
        <v>[effect:enemy_message, val1:1.2, val2:0]</v>
      </c>
      <c r="H62" s="170">
        <f t="shared" si="37"/>
        <v>9</v>
      </c>
      <c r="I62" s="170">
        <f t="shared" si="38"/>
        <v>22</v>
      </c>
      <c r="J62" s="170" t="e">
        <f t="shared" si="39"/>
        <v>#VALUE!</v>
      </c>
      <c r="K62" s="170">
        <f t="shared" si="40"/>
        <v>32</v>
      </c>
      <c r="L62" s="170" t="str">
        <f>IFERROR(VLOOKUP(MID(G62,J62,K62-J62),[6]skilldef!$C:$D,2,FALSE),"-") &amp; " / " &amp; IFERROR(VLOOKUP(MID(G62,H62,I62-H62),[6]skilldef!$A:$B,2,FALSE),"-")</f>
        <v>- / -</v>
      </c>
      <c r="M62" s="170" t="str">
        <f t="shared" si="41"/>
        <v>[effect:fix_speed, target:myself, turn:2]</v>
      </c>
      <c r="N62" s="171" t="str">
        <f t="shared" ref="N62:N68" si="53">IFERROR(LEFT(M62,FIND("],",M62)+S74),M62)</f>
        <v>[effect:fix_speed, target:myself, turn:2]</v>
      </c>
      <c r="O62" s="170">
        <f t="shared" si="42"/>
        <v>9</v>
      </c>
      <c r="P62" s="170">
        <f t="shared" si="43"/>
        <v>18</v>
      </c>
      <c r="Q62" s="170">
        <f t="shared" si="44"/>
        <v>27</v>
      </c>
      <c r="R62" s="170">
        <f t="shared" si="45"/>
        <v>33</v>
      </c>
      <c r="S62" s="170" t="str">
        <f>IFERROR(VLOOKUP(MID(N62,Q62,R62-Q62),[6]skilldef!$C:$D,2,FALSE),"-") &amp; " / " &amp; IFERROR(VLOOKUP(MID(N62,O62,P62-O62),[6]skilldef!$A:$B,2,FALSE),"-")</f>
        <v>自分自身に / 行動値設定</v>
      </c>
      <c r="T62" s="171" t="str">
        <f t="shared" si="46"/>
        <v>none</v>
      </c>
      <c r="U62" s="170" t="e">
        <f t="shared" si="47"/>
        <v>#VALUE!</v>
      </c>
      <c r="V62" s="170">
        <f t="shared" si="48"/>
        <v>4</v>
      </c>
      <c r="W62" s="170" t="e">
        <f t="shared" si="49"/>
        <v>#VALUE!</v>
      </c>
      <c r="X62" s="170" t="e">
        <f t="shared" si="50"/>
        <v>#VALUE!</v>
      </c>
      <c r="Y62" s="170" t="str">
        <f>IFERROR(VLOOKUP(MID(T62,W62,X62-W62),[6]skilldef!$C:$D,2,FALSE),"-") &amp; " / " &amp; IFERROR(VLOOKUP(MID(T62,U62,V62-U62),[6]skilldef!$A:$B,2,FALSE),"-")</f>
        <v>- / -</v>
      </c>
      <c r="Z62" s="168"/>
      <c r="AA62" s="172"/>
      <c r="AB62" s="168"/>
    </row>
    <row r="63" spans="1:28" ht="21" customHeight="1" x14ac:dyDescent="0.15">
      <c r="A63" s="165">
        <v>40044062</v>
      </c>
      <c r="B63" s="167" t="s">
        <v>356</v>
      </c>
      <c r="C63" s="50">
        <v>3</v>
      </c>
      <c r="D63" s="168" t="s">
        <v>127</v>
      </c>
      <c r="E63" s="169" t="s">
        <v>260</v>
      </c>
      <c r="F63" s="169" t="s">
        <v>259</v>
      </c>
      <c r="G63" s="170" t="str">
        <f t="shared" si="36"/>
        <v>[effect:enemy_message, val1:1.2, val2:1.2]</v>
      </c>
      <c r="H63" s="170">
        <f t="shared" si="37"/>
        <v>9</v>
      </c>
      <c r="I63" s="170">
        <f t="shared" si="38"/>
        <v>22</v>
      </c>
      <c r="J63" s="170" t="e">
        <f t="shared" si="39"/>
        <v>#VALUE!</v>
      </c>
      <c r="K63" s="170">
        <f t="shared" si="40"/>
        <v>32</v>
      </c>
      <c r="L63" s="170" t="str">
        <f>IFERROR(VLOOKUP(MID(G63,J63,K63-J63),[6]skilldef!$C:$D,2,FALSE),"-") &amp; " / " &amp; IFERROR(VLOOKUP(MID(G63,H63,I63-H63),[6]skilldef!$A:$B,2,FALSE),"-")</f>
        <v>- / -</v>
      </c>
      <c r="M63" s="170" t="str">
        <f t="shared" si="41"/>
        <v>[effect:spread, val:0.27]</v>
      </c>
      <c r="N63" s="171" t="str">
        <f t="shared" si="53"/>
        <v>[effect:spread, val:0.27]</v>
      </c>
      <c r="O63" s="170">
        <f t="shared" si="42"/>
        <v>9</v>
      </c>
      <c r="P63" s="170">
        <f t="shared" si="43"/>
        <v>15</v>
      </c>
      <c r="Q63" s="170" t="e">
        <f t="shared" si="44"/>
        <v>#VALUE!</v>
      </c>
      <c r="R63" s="170" t="e">
        <f t="shared" si="45"/>
        <v>#VALUE!</v>
      </c>
      <c r="S63" s="170" t="str">
        <f>IFERROR(VLOOKUP(MID(N63,Q63,R63-Q63),[6]skilldef!$C:$D,2,FALSE),"-") &amp; " / " &amp; IFERROR(VLOOKUP(MID(N63,O63,P63-O63),[6]skilldef!$A:$B,2,FALSE),"-")</f>
        <v>- / 全体攻撃</v>
      </c>
      <c r="T63" s="171" t="str">
        <f t="shared" si="46"/>
        <v>none</v>
      </c>
      <c r="U63" s="170" t="e">
        <f t="shared" si="47"/>
        <v>#VALUE!</v>
      </c>
      <c r="V63" s="170">
        <f t="shared" si="48"/>
        <v>4</v>
      </c>
      <c r="W63" s="170" t="e">
        <f t="shared" si="49"/>
        <v>#VALUE!</v>
      </c>
      <c r="X63" s="170" t="e">
        <f t="shared" si="50"/>
        <v>#VALUE!</v>
      </c>
      <c r="Y63" s="170" t="str">
        <f>IFERROR(VLOOKUP(MID(T63,W63,X63-W63),[6]skilldef!$C:$D,2,FALSE),"-") &amp; " / " &amp; IFERROR(VLOOKUP(MID(T63,U63,V63-U63),[6]skilldef!$A:$B,2,FALSE),"-")</f>
        <v>- / -</v>
      </c>
      <c r="Z63" s="168"/>
      <c r="AA63" s="172"/>
      <c r="AB63" s="168"/>
    </row>
    <row r="64" spans="1:28" ht="21" customHeight="1" x14ac:dyDescent="0.15">
      <c r="A64" s="165">
        <v>40044063</v>
      </c>
      <c r="B64" s="47" t="s">
        <v>482</v>
      </c>
      <c r="C64" s="50">
        <v>3</v>
      </c>
      <c r="D64" s="50" t="s">
        <v>127</v>
      </c>
      <c r="E64" s="51" t="s">
        <v>480</v>
      </c>
      <c r="F64" s="51" t="s">
        <v>460</v>
      </c>
      <c r="G64" s="64" t="str">
        <f t="shared" si="36"/>
        <v>[effect:enemy_message, val1:1.2, val2:1.8]</v>
      </c>
      <c r="H64" s="64">
        <f t="shared" si="37"/>
        <v>9</v>
      </c>
      <c r="I64" s="64">
        <f t="shared" si="38"/>
        <v>22</v>
      </c>
      <c r="J64" s="64" t="e">
        <f t="shared" si="39"/>
        <v>#VALUE!</v>
      </c>
      <c r="K64" s="64">
        <f t="shared" si="40"/>
        <v>32</v>
      </c>
      <c r="L64" s="64" t="str">
        <f>IFERROR(VLOOKUP(MID(G64,J64,K64-J64),[6]skilldef!$C:$D,2,FALSE),"-") &amp; " / " &amp; IFERROR(VLOOKUP(MID(G64,H64,I64-H64),[6]skilldef!$A:$B,2,FALSE),"-")</f>
        <v>- / -</v>
      </c>
      <c r="M64" s="64" t="str">
        <f t="shared" si="41"/>
        <v>[effect:panel_freeze, target:block_heart, count:10]</v>
      </c>
      <c r="N64" s="48" t="str">
        <f t="shared" si="53"/>
        <v>[effect:panel_freeze, target:block_heart, count:10]</v>
      </c>
      <c r="O64" s="64">
        <f t="shared" si="42"/>
        <v>9</v>
      </c>
      <c r="P64" s="64">
        <f t="shared" si="43"/>
        <v>21</v>
      </c>
      <c r="Q64" s="64">
        <f t="shared" si="44"/>
        <v>30</v>
      </c>
      <c r="R64" s="64">
        <f t="shared" si="45"/>
        <v>41</v>
      </c>
      <c r="S64" s="64" t="str">
        <f>IFERROR(VLOOKUP(MID(N64,Q64,R64-Q64),[6]skilldef!$C:$D,2,FALSE),"-") &amp; " / " &amp; IFERROR(VLOOKUP(MID(N64,O64,P64-O64),[6]skilldef!$A:$B,2,FALSE),"-")</f>
        <v>ハートパネルを / -</v>
      </c>
      <c r="T64" s="48" t="str">
        <f t="shared" si="46"/>
        <v>none</v>
      </c>
      <c r="U64" s="64" t="e">
        <f t="shared" si="47"/>
        <v>#VALUE!</v>
      </c>
      <c r="V64" s="64">
        <f t="shared" si="48"/>
        <v>4</v>
      </c>
      <c r="W64" s="64" t="e">
        <f t="shared" si="49"/>
        <v>#VALUE!</v>
      </c>
      <c r="X64" s="64" t="e">
        <f t="shared" si="50"/>
        <v>#VALUE!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thickBot="1" x14ac:dyDescent="0.2">
      <c r="A65" s="173">
        <v>40044064</v>
      </c>
      <c r="B65" s="174" t="s">
        <v>392</v>
      </c>
      <c r="C65" s="175">
        <v>3</v>
      </c>
      <c r="D65" s="175" t="s">
        <v>127</v>
      </c>
      <c r="E65" s="176" t="s">
        <v>263</v>
      </c>
      <c r="F65" s="176" t="s">
        <v>393</v>
      </c>
      <c r="G65" s="177" t="str">
        <f t="shared" si="36"/>
        <v>[effect:enemy_message, val1:1.2, val2:2.4]</v>
      </c>
      <c r="H65" s="177">
        <f t="shared" si="37"/>
        <v>9</v>
      </c>
      <c r="I65" s="177">
        <f t="shared" si="38"/>
        <v>22</v>
      </c>
      <c r="J65" s="177" t="e">
        <f t="shared" si="39"/>
        <v>#VALUE!</v>
      </c>
      <c r="K65" s="177">
        <f t="shared" si="40"/>
        <v>32</v>
      </c>
      <c r="L65" s="177" t="str">
        <f>IFERROR(VLOOKUP(MID(G65,J65,K65-J65),[6]skilldef!$C:$D,2,FALSE),"-") &amp; " / " &amp; IFERROR(VLOOKUP(MID(G65,H65,I65-H65),[6]skilldef!$A:$B,2,FALSE),"-")</f>
        <v>- / -</v>
      </c>
      <c r="M65" s="177" t="str">
        <f t="shared" si="41"/>
        <v>[effect:rush, count:1, val:0.6],[effect:panel_freeze, target:block_all, count:5]</v>
      </c>
      <c r="N65" s="178" t="str">
        <f t="shared" si="53"/>
        <v>[effect:rush, count:1, val:0.6],[effect:panel_freeze, target:block_all, count:5]</v>
      </c>
      <c r="O65" s="177">
        <f t="shared" si="42"/>
        <v>9</v>
      </c>
      <c r="P65" s="177">
        <f t="shared" si="43"/>
        <v>13</v>
      </c>
      <c r="Q65" s="177">
        <f t="shared" si="44"/>
        <v>62</v>
      </c>
      <c r="R65" s="177">
        <f t="shared" si="45"/>
        <v>22</v>
      </c>
      <c r="S65" s="177" t="str">
        <f>IFERROR(VLOOKUP(MID(N65,Q65,R65-Q65),[6]skilldef!$C:$D,2,FALSE),"-") &amp; " / " &amp; IFERROR(VLOOKUP(MID(N65,O65,P65-O65),[6]skilldef!$A:$B,2,FALSE),"-")</f>
        <v>- / 連続攻撃</v>
      </c>
      <c r="T65" s="178" t="str">
        <f t="shared" si="46"/>
        <v>[effect:panel_freeze, target:block_all, count:5]</v>
      </c>
      <c r="U65" s="177">
        <f t="shared" si="47"/>
        <v>9</v>
      </c>
      <c r="V65" s="177">
        <f t="shared" si="48"/>
        <v>21</v>
      </c>
      <c r="W65" s="177">
        <f t="shared" si="49"/>
        <v>30</v>
      </c>
      <c r="X65" s="177">
        <f t="shared" si="50"/>
        <v>39</v>
      </c>
      <c r="Y65" s="177" t="str">
        <f>IFERROR(VLOOKUP(MID(T65,W65,X65-W65),[6]skilldef!$C:$D,2,FALSE),"-") &amp; " / " &amp; IFERROR(VLOOKUP(MID(T65,U65,V65-U65),[6]skilldef!$A:$B,2,FALSE),"-")</f>
        <v>- / -</v>
      </c>
      <c r="Z65" s="175"/>
      <c r="AA65" s="179"/>
      <c r="AB65" s="175"/>
    </row>
    <row r="66" spans="1:28" ht="21" customHeight="1" x14ac:dyDescent="0.15">
      <c r="A66" s="166">
        <v>40044065</v>
      </c>
      <c r="B66" s="167" t="s">
        <v>349</v>
      </c>
      <c r="C66" s="168">
        <v>3</v>
      </c>
      <c r="D66" s="168" t="s">
        <v>127</v>
      </c>
      <c r="E66" s="169" t="s">
        <v>342</v>
      </c>
      <c r="F66" s="169" t="s">
        <v>348</v>
      </c>
      <c r="G66" s="170" t="str">
        <f t="shared" si="36"/>
        <v>[effect:enemy_message, val1:1.2, val2:1.9]</v>
      </c>
      <c r="H66" s="170">
        <f t="shared" si="37"/>
        <v>9</v>
      </c>
      <c r="I66" s="170">
        <f t="shared" si="38"/>
        <v>22</v>
      </c>
      <c r="J66" s="170" t="e">
        <f t="shared" si="39"/>
        <v>#VALUE!</v>
      </c>
      <c r="K66" s="170">
        <f t="shared" si="40"/>
        <v>32</v>
      </c>
      <c r="L66" s="170" t="str">
        <f>IFERROR(VLOOKUP(MID(G66,J66,K66-J66),[6]skilldef!$C:$D,2,FALSE),"-") &amp; " / " &amp; IFERROR(VLOOKUP(MID(G66,H66,I66-H66),[6]skilldef!$A:$B,2,FALSE),"-")</f>
        <v>- / -</v>
      </c>
      <c r="M66" s="170" t="str">
        <f t="shared" si="41"/>
        <v>[effect:panel_freeze, target:block_all, count:3]</v>
      </c>
      <c r="N66" s="171" t="str">
        <f t="shared" si="53"/>
        <v>[effect:panel_freeze, target:block_all, count:3]</v>
      </c>
      <c r="O66" s="170">
        <f t="shared" si="42"/>
        <v>9</v>
      </c>
      <c r="P66" s="170">
        <f t="shared" si="43"/>
        <v>21</v>
      </c>
      <c r="Q66" s="170">
        <f t="shared" si="44"/>
        <v>30</v>
      </c>
      <c r="R66" s="170">
        <f t="shared" si="45"/>
        <v>39</v>
      </c>
      <c r="S66" s="170" t="str">
        <f>IFERROR(VLOOKUP(MID(N66,Q66,R66-Q66),[6]skilldef!$C:$D,2,FALSE),"-") &amp; " / " &amp; IFERROR(VLOOKUP(MID(N66,O66,P66-O66),[6]skilldef!$A:$B,2,FALSE),"-")</f>
        <v>- / -</v>
      </c>
      <c r="T66" s="171" t="str">
        <f t="shared" si="46"/>
        <v>none</v>
      </c>
      <c r="U66" s="170" t="e">
        <f t="shared" si="47"/>
        <v>#VALUE!</v>
      </c>
      <c r="V66" s="170">
        <f t="shared" si="48"/>
        <v>4</v>
      </c>
      <c r="W66" s="170" t="e">
        <f t="shared" si="49"/>
        <v>#VALUE!</v>
      </c>
      <c r="X66" s="170" t="e">
        <f t="shared" si="50"/>
        <v>#VALUE!</v>
      </c>
      <c r="Y66" s="170" t="str">
        <f>IFERROR(VLOOKUP(MID(T66,W66,X66-W66),[6]skilldef!$C:$D,2,FALSE),"-") &amp; " / " &amp; IFERROR(VLOOKUP(MID(T66,U66,V66-U66),[6]skilldef!$A:$B,2,FALSE),"-")</f>
        <v>- / -</v>
      </c>
      <c r="Z66" s="168"/>
      <c r="AA66" s="172"/>
      <c r="AB66" s="168"/>
    </row>
    <row r="67" spans="1:28" ht="21" customHeight="1" x14ac:dyDescent="0.15">
      <c r="A67" s="165">
        <v>40044066</v>
      </c>
      <c r="B67" s="47" t="s">
        <v>467</v>
      </c>
      <c r="C67" s="50">
        <v>3</v>
      </c>
      <c r="D67" s="50" t="s">
        <v>127</v>
      </c>
      <c r="E67" s="51" t="s">
        <v>474</v>
      </c>
      <c r="F67" s="51" t="s">
        <v>256</v>
      </c>
      <c r="G67" s="64" t="str">
        <f t="shared" si="36"/>
        <v>[effect:enemy_message, val1:1.2, val2:1.7]</v>
      </c>
      <c r="H67" s="64">
        <f t="shared" si="37"/>
        <v>9</v>
      </c>
      <c r="I67" s="64">
        <f t="shared" si="38"/>
        <v>22</v>
      </c>
      <c r="J67" s="64" t="e">
        <f t="shared" si="39"/>
        <v>#VALUE!</v>
      </c>
      <c r="K67" s="64">
        <f t="shared" si="40"/>
        <v>32</v>
      </c>
      <c r="L67" s="64" t="str">
        <f>IFERROR(VLOOKUP(MID(G67,J67,K67-J67),[6]skilldef!$C:$D,2,FALSE),"-") &amp; " / " &amp; IFERROR(VLOOKUP(MID(G67,H67,I67-H67),[6]skilldef!$A:$B,2,FALSE),"-")</f>
        <v>- / -</v>
      </c>
      <c r="M67" s="64" t="str">
        <f t="shared" si="41"/>
        <v>[effect:damage_anti_abnormal, target:unit_one, target_effect01:virus, val1:1.2, val2:0.7]</v>
      </c>
      <c r="N67" s="48" t="str">
        <f t="shared" si="53"/>
        <v>[effect:damage_anti_abnormal, target:unit_one, target_effect01:virus, val1:1.2, val2:0.7]</v>
      </c>
      <c r="O67" s="64">
        <f t="shared" si="42"/>
        <v>9</v>
      </c>
      <c r="P67" s="64">
        <f t="shared" si="43"/>
        <v>29</v>
      </c>
      <c r="Q67" s="64">
        <f t="shared" si="44"/>
        <v>38</v>
      </c>
      <c r="R67" s="64">
        <f t="shared" si="45"/>
        <v>46</v>
      </c>
      <c r="S67" s="64" t="str">
        <f>IFERROR(VLOOKUP(MID(N67,Q67,R67-Q67),[6]skilldef!$C:$D,2,FALSE),"-") &amp; " / " &amp; IFERROR(VLOOKUP(MID(N67,O67,P67-O67),[6]skilldef!$A:$B,2,FALSE),"-")</f>
        <v>味方単体に / -</v>
      </c>
      <c r="T67" s="48" t="str">
        <f t="shared" si="46"/>
        <v>none</v>
      </c>
      <c r="U67" s="64" t="e">
        <f t="shared" si="47"/>
        <v>#VALUE!</v>
      </c>
      <c r="V67" s="64">
        <f t="shared" si="48"/>
        <v>4</v>
      </c>
      <c r="W67" s="64" t="e">
        <f t="shared" si="49"/>
        <v>#VALUE!</v>
      </c>
      <c r="X67" s="64" t="e">
        <f t="shared" si="50"/>
        <v>#VALUE!</v>
      </c>
      <c r="Y67" s="64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thickBot="1" x14ac:dyDescent="0.2">
      <c r="A68" s="173">
        <v>40044067</v>
      </c>
      <c r="B68" s="174" t="s">
        <v>265</v>
      </c>
      <c r="C68" s="175">
        <v>3</v>
      </c>
      <c r="D68" s="175" t="s">
        <v>127</v>
      </c>
      <c r="E68" s="176" t="s">
        <v>341</v>
      </c>
      <c r="F68" s="176" t="s">
        <v>266</v>
      </c>
      <c r="G68" s="177" t="str">
        <f t="shared" si="36"/>
        <v>[effect:enemy_message, val1:1.2, val2:1.2]</v>
      </c>
      <c r="H68" s="177">
        <f t="shared" si="37"/>
        <v>9</v>
      </c>
      <c r="I68" s="177">
        <f t="shared" si="38"/>
        <v>22</v>
      </c>
      <c r="J68" s="177" t="e">
        <f t="shared" si="39"/>
        <v>#VALUE!</v>
      </c>
      <c r="K68" s="177">
        <f t="shared" si="40"/>
        <v>32</v>
      </c>
      <c r="L68" s="177" t="str">
        <f>IFERROR(VLOOKUP(MID(G68,J68,K68-J68),[6]skilldef!$C:$D,2,FALSE),"-") &amp; " / " &amp; IFERROR(VLOOKUP(MID(G68,H68,I68-H68),[6]skilldef!$A:$B,2,FALSE),"-")</f>
        <v>- / -</v>
      </c>
      <c r="M68" s="177" t="str">
        <f t="shared" si="41"/>
        <v>[effect:panel_freeze, target:normal, color:block_red, count:-1]</v>
      </c>
      <c r="N68" s="178" t="str">
        <f t="shared" si="53"/>
        <v>[effect:panel_freeze, target:normal, color:block_red, count:-1]</v>
      </c>
      <c r="O68" s="177">
        <f t="shared" si="42"/>
        <v>9</v>
      </c>
      <c r="P68" s="177">
        <f t="shared" si="43"/>
        <v>21</v>
      </c>
      <c r="Q68" s="177">
        <f t="shared" si="44"/>
        <v>30</v>
      </c>
      <c r="R68" s="177">
        <f t="shared" si="45"/>
        <v>36</v>
      </c>
      <c r="S68" s="177" t="str">
        <f>IFERROR(VLOOKUP(MID(N68,Q68,R68-Q68),[6]skilldef!$C:$D,2,FALSE),"-") &amp; " / " &amp; IFERROR(VLOOKUP(MID(N68,O68,P68-O68),[6]skilldef!$A:$B,2,FALSE),"-")</f>
        <v>- / -</v>
      </c>
      <c r="T68" s="178" t="str">
        <f t="shared" si="46"/>
        <v>none</v>
      </c>
      <c r="U68" s="177" t="e">
        <f t="shared" si="47"/>
        <v>#VALUE!</v>
      </c>
      <c r="V68" s="177">
        <f t="shared" si="48"/>
        <v>4</v>
      </c>
      <c r="W68" s="177" t="e">
        <f t="shared" si="49"/>
        <v>#VALUE!</v>
      </c>
      <c r="X68" s="177" t="e">
        <f t="shared" si="50"/>
        <v>#VALUE!</v>
      </c>
      <c r="Y68" s="177" t="str">
        <f>IFERROR(VLOOKUP(MID(T68,W68,X68-W68),[6]skilldef!$C:$D,2,FALSE),"-") &amp; " / " &amp; IFERROR(VLOOKUP(MID(T68,U68,V68-U68),[6]skilldef!$A:$B,2,FALSE),"-")</f>
        <v>- / -</v>
      </c>
      <c r="Z68" s="175"/>
      <c r="AA68" s="179"/>
      <c r="AB68" s="175"/>
    </row>
    <row r="69" spans="1:28" ht="21" customHeight="1" x14ac:dyDescent="0.15">
      <c r="A69" s="189">
        <v>40044068</v>
      </c>
      <c r="B69" s="167" t="s">
        <v>486</v>
      </c>
      <c r="C69" s="168">
        <v>3</v>
      </c>
      <c r="D69" s="168" t="s">
        <v>127</v>
      </c>
      <c r="E69" s="169" t="s">
        <v>374</v>
      </c>
      <c r="F69" s="169" t="s">
        <v>267</v>
      </c>
      <c r="G69" s="170" t="str">
        <f t="shared" si="36"/>
        <v>[effect:enemy_message, val1:1.5, val2:2.6]</v>
      </c>
      <c r="H69" s="170">
        <f t="shared" si="37"/>
        <v>9</v>
      </c>
      <c r="I69" s="170">
        <f t="shared" si="38"/>
        <v>22</v>
      </c>
      <c r="J69" s="170" t="e">
        <f t="shared" si="39"/>
        <v>#VALUE!</v>
      </c>
      <c r="K69" s="170">
        <f t="shared" si="40"/>
        <v>32</v>
      </c>
      <c r="L69" s="170" t="str">
        <f>IFERROR(VLOOKUP(MID(G69,J69,K69-J69),[6]skilldef!$C:$D,2,FALSE),"-") &amp; " / " &amp; IFERROR(VLOOKUP(MID(G69,H69,I69-H69),[6]skilldef!$A:$B,2,FALSE),"-")</f>
        <v>- / -</v>
      </c>
      <c r="M69" s="170" t="str">
        <f t="shared" si="41"/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N69" s="171" t="str">
        <f>IFERROR(LEFT(M69,FIND("],",M69)+S79),M69)</f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O69" s="170">
        <f t="shared" si="42"/>
        <v>9</v>
      </c>
      <c r="P69" s="170">
        <f t="shared" si="43"/>
        <v>18</v>
      </c>
      <c r="Q69" s="170">
        <f t="shared" si="44"/>
        <v>27</v>
      </c>
      <c r="R69" s="170">
        <f t="shared" si="45"/>
        <v>33</v>
      </c>
      <c r="S69" s="170" t="str">
        <f>IFERROR(VLOOKUP(MID(N69,Q69,R69-Q69),[6]skilldef!$C:$D,2,FALSE),"-") &amp; " / " &amp; IFERROR(VLOOKUP(MID(N69,O69,P69-O69),[6]skilldef!$A:$B,2,FALSE),"-")</f>
        <v>自分自身に / 行動値設定</v>
      </c>
      <c r="T69" s="171" t="str">
        <f t="shared" si="46"/>
        <v>[effect:change_panel_ratio, turn:-1, block_type:red, val:0.6, animation:block_incidence04],[effect:enemy_counter, target:myself, invoke_condition:unit_all, counter_target:attacker, turn:-1, val:0.45, animation:enemy_counter]</v>
      </c>
      <c r="U69" s="170">
        <f t="shared" si="47"/>
        <v>9</v>
      </c>
      <c r="V69" s="170">
        <f t="shared" si="48"/>
        <v>27</v>
      </c>
      <c r="W69" s="170">
        <f t="shared" si="49"/>
        <v>122</v>
      </c>
      <c r="X69" s="170">
        <f t="shared" si="50"/>
        <v>36</v>
      </c>
      <c r="Y69" s="170" t="str">
        <f>IFERROR(VLOOKUP(MID(T69,W69,X69-W69),[6]skilldef!$C:$D,2,FALSE),"-") &amp; " / " &amp; IFERROR(VLOOKUP(MID(T69,U69,V69-U69),[6]skilldef!$A:$B,2,FALSE),"-")</f>
        <v>- / -</v>
      </c>
      <c r="Z69" s="168"/>
      <c r="AA69" s="172"/>
      <c r="AB69" s="168"/>
    </row>
    <row r="70" spans="1:28" ht="21" customHeight="1" x14ac:dyDescent="0.15">
      <c r="A70" s="189">
        <v>40044069</v>
      </c>
      <c r="B70" s="167" t="s">
        <v>484</v>
      </c>
      <c r="C70" s="50">
        <v>3</v>
      </c>
      <c r="D70" s="50" t="s">
        <v>127</v>
      </c>
      <c r="E70" s="51" t="s">
        <v>333</v>
      </c>
      <c r="F70" s="169" t="s">
        <v>343</v>
      </c>
      <c r="G70" s="64" t="str">
        <f t="shared" si="36"/>
        <v>[effect:enemy_message, val1:1.2, val2:2.6]</v>
      </c>
      <c r="H70" s="64">
        <f t="shared" si="37"/>
        <v>9</v>
      </c>
      <c r="I70" s="64">
        <f t="shared" si="38"/>
        <v>22</v>
      </c>
      <c r="J70" s="64" t="e">
        <f t="shared" si="39"/>
        <v>#VALUE!</v>
      </c>
      <c r="K70" s="64">
        <f t="shared" si="40"/>
        <v>32</v>
      </c>
      <c r="L70" s="64" t="str">
        <f>IFERROR(VLOOKUP(MID(G70,J70,K70-J70),[6]skilldef!$C:$D,2,FALSE),"-") &amp; " / " &amp; IFERROR(VLOOKUP(MID(G70,H70,I70-H70),[6]skilldef!$A:$B,2,FALSE),"-")</f>
        <v>- / -</v>
      </c>
      <c r="M70" s="64" t="str">
        <f t="shared" si="41"/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N70" s="48" t="str">
        <f>IFERROR(LEFT(M70,FIND("],",M70)+S80),M70)</f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O70" s="64">
        <f t="shared" si="42"/>
        <v>9</v>
      </c>
      <c r="P70" s="64">
        <f t="shared" si="43"/>
        <v>18</v>
      </c>
      <c r="Q70" s="64">
        <f t="shared" si="44"/>
        <v>27</v>
      </c>
      <c r="R70" s="64">
        <f t="shared" si="45"/>
        <v>33</v>
      </c>
      <c r="S70" s="64" t="str">
        <f>IFERROR(VLOOKUP(MID(N70,Q70,R70-Q70),[6]skilldef!$C:$D,2,FALSE),"-") &amp; " / " &amp; IFERROR(VLOOKUP(MID(N70,O70,P70-O70),[6]skilldef!$A:$B,2,FALSE),"-")</f>
        <v>自分自身に / 行動値設定</v>
      </c>
      <c r="T70" s="48" t="str">
        <f t="shared" si="46"/>
        <v>[effect:change_panel_ratio, turn:-1, block_type:red, val:0.6, animation:block_incidence04],[effect:enemy_counter, target:myself, invoke_condition:unit_all, counter_target:attacker, turn:-1, val:0.45, animation:enemy_counter]</v>
      </c>
      <c r="U70" s="64">
        <f t="shared" si="47"/>
        <v>9</v>
      </c>
      <c r="V70" s="64">
        <f t="shared" si="48"/>
        <v>27</v>
      </c>
      <c r="W70" s="64">
        <f t="shared" si="49"/>
        <v>122</v>
      </c>
      <c r="X70" s="64">
        <f t="shared" si="50"/>
        <v>36</v>
      </c>
      <c r="Y70" s="64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 x14ac:dyDescent="0.15">
      <c r="A71" s="189">
        <v>40044070</v>
      </c>
      <c r="B71" s="167" t="s">
        <v>485</v>
      </c>
      <c r="C71" s="50">
        <v>3</v>
      </c>
      <c r="D71" s="50" t="s">
        <v>127</v>
      </c>
      <c r="E71" s="51" t="s">
        <v>334</v>
      </c>
      <c r="F71" s="169" t="s">
        <v>267</v>
      </c>
      <c r="G71" s="64" t="str">
        <f t="shared" si="36"/>
        <v>[effect:enemy_message, val1:2.1, val2:2.6]</v>
      </c>
      <c r="H71" s="64">
        <f t="shared" si="37"/>
        <v>9</v>
      </c>
      <c r="I71" s="64">
        <f t="shared" si="38"/>
        <v>22</v>
      </c>
      <c r="J71" s="64" t="e">
        <f t="shared" si="39"/>
        <v>#VALUE!</v>
      </c>
      <c r="K71" s="64">
        <f t="shared" si="40"/>
        <v>32</v>
      </c>
      <c r="L71" s="64" t="str">
        <f>IFERROR(VLOOKUP(MID(G71,J71,K71-J71),[6]skilldef!$C:$D,2,FALSE),"-") &amp; " / " &amp; IFERROR(VLOOKUP(MID(G71,H71,I71-H71),[6]skilldef!$A:$B,2,FALSE),"-")</f>
        <v>- / -</v>
      </c>
      <c r="M71" s="64" t="str">
        <f t="shared" si="41"/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N71" s="48" t="str">
        <f t="shared" ref="N71:N72" si="54">IFERROR(LEFT(M71,FIND("],",M71)+S84),M71)</f>
        <v>[effect:fix_speed, target:myself, turn:2],[effect:change_panel_ratio, turn:-1, block_type:red, val:0.6, animation:block_incidence04],[effect:enemy_counter, target:myself, invoke_condition:unit_all, counter_target:attacker, turn:-1, val:0.45, animation:enemy_counter]</v>
      </c>
      <c r="O71" s="64">
        <f t="shared" si="42"/>
        <v>9</v>
      </c>
      <c r="P71" s="64">
        <f t="shared" si="43"/>
        <v>18</v>
      </c>
      <c r="Q71" s="64">
        <f t="shared" si="44"/>
        <v>27</v>
      </c>
      <c r="R71" s="64">
        <f t="shared" si="45"/>
        <v>33</v>
      </c>
      <c r="S71" s="64" t="str">
        <f>IFERROR(VLOOKUP(MID(N71,Q71,R71-Q71),[6]skilldef!$C:$D,2,FALSE),"-") &amp; " / " &amp; IFERROR(VLOOKUP(MID(N71,O71,P71-O71),[6]skilldef!$A:$B,2,FALSE),"-")</f>
        <v>自分自身に / 行動値設定</v>
      </c>
      <c r="T71" s="48" t="str">
        <f t="shared" si="46"/>
        <v>[effect:change_panel_ratio, turn:-1, block_type:red, val:0.6, animation:block_incidence04],[effect:enemy_counter, target:myself, invoke_condition:unit_all, counter_target:attacker, turn:-1, val:0.45, animation:enemy_counter]</v>
      </c>
      <c r="U71" s="64">
        <f t="shared" si="47"/>
        <v>9</v>
      </c>
      <c r="V71" s="64">
        <f t="shared" si="48"/>
        <v>27</v>
      </c>
      <c r="W71" s="64">
        <f t="shared" si="49"/>
        <v>122</v>
      </c>
      <c r="X71" s="64">
        <f t="shared" si="50"/>
        <v>36</v>
      </c>
      <c r="Y71" s="64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 x14ac:dyDescent="0.15">
      <c r="A72" s="189">
        <v>40044071</v>
      </c>
      <c r="B72" s="47" t="s">
        <v>461</v>
      </c>
      <c r="C72" s="50">
        <v>3</v>
      </c>
      <c r="D72" s="50" t="s">
        <v>127</v>
      </c>
      <c r="E72" s="51" t="s">
        <v>404</v>
      </c>
      <c r="F72" s="51" t="s">
        <v>375</v>
      </c>
      <c r="G72" s="64" t="str">
        <f t="shared" si="36"/>
        <v>[effect:enemy_message, val1:1.2, val2:1.5]</v>
      </c>
      <c r="H72" s="64">
        <f t="shared" si="37"/>
        <v>9</v>
      </c>
      <c r="I72" s="64">
        <f t="shared" si="38"/>
        <v>22</v>
      </c>
      <c r="J72" s="64" t="e">
        <f t="shared" si="39"/>
        <v>#VALUE!</v>
      </c>
      <c r="K72" s="64">
        <f t="shared" si="40"/>
        <v>32</v>
      </c>
      <c r="L72" s="64" t="str">
        <f>IFERROR(VLOOKUP(MID(G72,J72,K72-J72),[6]skilldef!$C:$D,2,FALSE),"-") &amp; " / " &amp; IFERROR(VLOOKUP(MID(G72,H72,I72-H72),[6]skilldef!$A:$B,2,FALSE),"-")</f>
        <v>- / -</v>
      </c>
      <c r="M72" s="64" t="str">
        <f t="shared" si="41"/>
        <v>[effect:rush, count:1, val:0.8],[effect:panel_freeze, target:crash, count:2]</v>
      </c>
      <c r="N72" s="48" t="str">
        <f t="shared" si="54"/>
        <v>[effect:rush, count:1, val:0.8],[effect:panel_freeze, target:crash, count:2]</v>
      </c>
      <c r="O72" s="64">
        <f t="shared" si="42"/>
        <v>9</v>
      </c>
      <c r="P72" s="64">
        <f t="shared" si="43"/>
        <v>13</v>
      </c>
      <c r="Q72" s="64">
        <f t="shared" si="44"/>
        <v>62</v>
      </c>
      <c r="R72" s="64">
        <f t="shared" si="45"/>
        <v>22</v>
      </c>
      <c r="S72" s="64" t="str">
        <f>IFERROR(VLOOKUP(MID(N72,Q72,R72-Q72),[6]skilldef!$C:$D,2,FALSE),"-") &amp; " / " &amp; IFERROR(VLOOKUP(MID(N72,O72,P72-O72),[6]skilldef!$A:$B,2,FALSE),"-")</f>
        <v>- / 連続攻撃</v>
      </c>
      <c r="T72" s="48" t="str">
        <f t="shared" si="46"/>
        <v>[effect:panel_freeze, target:crash, count:2]</v>
      </c>
      <c r="U72" s="64">
        <f t="shared" si="47"/>
        <v>9</v>
      </c>
      <c r="V72" s="64">
        <f t="shared" si="48"/>
        <v>21</v>
      </c>
      <c r="W72" s="64">
        <f t="shared" si="49"/>
        <v>30</v>
      </c>
      <c r="X72" s="64">
        <f t="shared" si="50"/>
        <v>35</v>
      </c>
      <c r="Y72" s="64" t="str">
        <f>IFERROR(VLOOKUP(MID(T72,W72,X72-W72),[6]skilldef!$C:$D,2,FALSE),"-") &amp; " / " &amp; IFERROR(VLOOKUP(MID(T72,U72,V72-U72),[6]skilldef!$A:$B,2,FALSE),"-")</f>
        <v>- / -</v>
      </c>
      <c r="Z72" s="50"/>
      <c r="AA72" s="52"/>
      <c r="AB72" s="50"/>
    </row>
    <row r="73" spans="1:28" ht="21" customHeight="1" x14ac:dyDescent="0.15">
      <c r="A73" s="189">
        <v>40044072</v>
      </c>
      <c r="B73" s="47" t="s">
        <v>361</v>
      </c>
      <c r="C73" s="50">
        <v>3</v>
      </c>
      <c r="D73" s="50" t="s">
        <v>127</v>
      </c>
      <c r="E73" s="51" t="s">
        <v>270</v>
      </c>
      <c r="F73" s="51" t="s">
        <v>312</v>
      </c>
      <c r="G73" s="64" t="str">
        <f t="shared" si="36"/>
        <v>[effect:enemy_message, val1:2.1, val2:1.8]</v>
      </c>
      <c r="H73" s="64">
        <f t="shared" si="37"/>
        <v>9</v>
      </c>
      <c r="I73" s="64">
        <f t="shared" si="38"/>
        <v>22</v>
      </c>
      <c r="J73" s="64" t="e">
        <f t="shared" si="39"/>
        <v>#VALUE!</v>
      </c>
      <c r="K73" s="64">
        <f t="shared" si="40"/>
        <v>32</v>
      </c>
      <c r="L73" s="64" t="str">
        <f>IFERROR(VLOOKUP(MID(G73,J73,K73-J73),[6]skilldef!$C:$D,2,FALSE),"-") &amp; " / " &amp; IFERROR(VLOOKUP(MID(G73,H73,I73-H73),[6]skilldef!$A:$B,2,FALSE),"-")</f>
        <v>- / -</v>
      </c>
      <c r="M73" s="64" t="str">
        <f t="shared" si="41"/>
        <v>[effect:rush, count:1, val:0.8],[effect:panel_freeze, target:block_heart, count:10]</v>
      </c>
      <c r="N73" s="48" t="str">
        <f t="shared" ref="N73:N82" si="55">IFERROR(LEFT(M73,FIND("],",M73)+S87),M73)</f>
        <v>[effect:rush, count:1, val:0.8],[effect:panel_freeze, target:block_heart, count:10]</v>
      </c>
      <c r="O73" s="64">
        <f t="shared" si="42"/>
        <v>9</v>
      </c>
      <c r="P73" s="64">
        <f t="shared" si="43"/>
        <v>13</v>
      </c>
      <c r="Q73" s="64">
        <f t="shared" si="44"/>
        <v>62</v>
      </c>
      <c r="R73" s="64">
        <f t="shared" si="45"/>
        <v>22</v>
      </c>
      <c r="S73" s="64" t="str">
        <f>IFERROR(VLOOKUP(MID(N73,Q73,R73-Q73),[6]skilldef!$C:$D,2,FALSE),"-") &amp; " / " &amp; IFERROR(VLOOKUP(MID(N73,O73,P73-O73),[6]skilldef!$A:$B,2,FALSE),"-")</f>
        <v>- / 連続攻撃</v>
      </c>
      <c r="T73" s="48" t="str">
        <f t="shared" si="46"/>
        <v>[effect:panel_freeze, target:block_heart, count:10]</v>
      </c>
      <c r="U73" s="64">
        <f t="shared" si="47"/>
        <v>9</v>
      </c>
      <c r="V73" s="64">
        <f t="shared" si="48"/>
        <v>21</v>
      </c>
      <c r="W73" s="64">
        <f t="shared" si="49"/>
        <v>30</v>
      </c>
      <c r="X73" s="64">
        <f t="shared" si="50"/>
        <v>41</v>
      </c>
      <c r="Y73" s="64" t="str">
        <f>IFERROR(VLOOKUP(MID(T73,W73,X73-W73),[6]skilldef!$C:$D,2,FALSE),"-") &amp; " / " &amp; IFERROR(VLOOKUP(MID(T73,U73,V73-U73),[6]skilldef!$A:$B,2,FALSE),"-")</f>
        <v>ハートパネルを / -</v>
      </c>
      <c r="Z73" s="50"/>
      <c r="AA73" s="52"/>
      <c r="AB73" s="50"/>
    </row>
    <row r="74" spans="1:28" ht="21" customHeight="1" x14ac:dyDescent="0.15">
      <c r="A74" s="189">
        <v>40044073</v>
      </c>
      <c r="B74" s="47" t="s">
        <v>477</v>
      </c>
      <c r="C74" s="50">
        <v>3</v>
      </c>
      <c r="D74" s="50" t="s">
        <v>127</v>
      </c>
      <c r="E74" s="51" t="s">
        <v>271</v>
      </c>
      <c r="F74" s="51" t="s">
        <v>476</v>
      </c>
      <c r="G74" s="64" t="str">
        <f t="shared" si="36"/>
        <v>[effect:enemy_message, val1:1.3, val2:3.9]</v>
      </c>
      <c r="H74" s="64">
        <f t="shared" si="37"/>
        <v>9</v>
      </c>
      <c r="I74" s="64">
        <f t="shared" si="38"/>
        <v>22</v>
      </c>
      <c r="J74" s="64" t="e">
        <f t="shared" si="39"/>
        <v>#VALUE!</v>
      </c>
      <c r="K74" s="64">
        <f t="shared" si="40"/>
        <v>32</v>
      </c>
      <c r="L74" s="64" t="str">
        <f>IFERROR(VLOOKUP(MID(G74,J74,K74-J74),[6]skilldef!$C:$D,2,FALSE),"-") &amp; " / " &amp; IFERROR(VLOOKUP(MID(G74,H74,I74-H74),[6]skilldef!$A:$B,2,FALSE),"-")</f>
        <v>- / -</v>
      </c>
      <c r="M74" s="64" t="str">
        <f t="shared" si="41"/>
        <v>[effect:spread, val:0.3],[effect:panel_freeze, target:normal, color:block_red, count:10],[effect:change_bomb_range, target:unit_all, val:0.8, rate:1, turn:4, animation:bomb_small]</v>
      </c>
      <c r="N74" s="48" t="str">
        <f t="shared" si="55"/>
        <v>[effect:spread, val:0.3],[effect:panel_freeze, target:normal, color:block_red, count:10],[effect:change_bomb_range, target:unit_all, val:0.8, rate:1, turn:4, animation:bomb_small]</v>
      </c>
      <c r="O74" s="64">
        <f t="shared" si="42"/>
        <v>9</v>
      </c>
      <c r="P74" s="64">
        <f t="shared" si="43"/>
        <v>15</v>
      </c>
      <c r="Q74" s="64">
        <f t="shared" si="44"/>
        <v>55</v>
      </c>
      <c r="R74" s="64">
        <f t="shared" si="45"/>
        <v>25</v>
      </c>
      <c r="S74" s="64" t="str">
        <f>IFERROR(VLOOKUP(MID(N74,Q74,R74-Q74),[6]skilldef!$C:$D,2,FALSE),"-") &amp; " / " &amp; IFERROR(VLOOKUP(MID(N74,O74,P74-O74),[6]skilldef!$A:$B,2,FALSE),"-")</f>
        <v>- / 全体攻撃</v>
      </c>
      <c r="T74" s="48" t="str">
        <f t="shared" si="46"/>
        <v>[effect:panel_freeze, target:normal, color:block_red, count:10],[effect:change_bomb_range, target:unit_all, val:0.8, rate:1, turn:4, animation:bomb_small]</v>
      </c>
      <c r="U74" s="64">
        <f t="shared" si="47"/>
        <v>9</v>
      </c>
      <c r="V74" s="64">
        <f t="shared" si="48"/>
        <v>21</v>
      </c>
      <c r="W74" s="64">
        <f t="shared" si="49"/>
        <v>30</v>
      </c>
      <c r="X74" s="64">
        <f t="shared" si="50"/>
        <v>36</v>
      </c>
      <c r="Y74" s="64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21" customHeight="1" thickBot="1" x14ac:dyDescent="0.2">
      <c r="A75" s="180">
        <v>40044074</v>
      </c>
      <c r="B75" s="182" t="s">
        <v>276</v>
      </c>
      <c r="C75" s="175">
        <v>3</v>
      </c>
      <c r="D75" s="183" t="s">
        <v>127</v>
      </c>
      <c r="E75" s="184" t="s">
        <v>272</v>
      </c>
      <c r="F75" s="184" t="s">
        <v>269</v>
      </c>
      <c r="G75" s="185" t="str">
        <f t="shared" si="36"/>
        <v>[effect:enemy_message, val1:1.2, val2:2.7]</v>
      </c>
      <c r="H75" s="185">
        <f t="shared" si="37"/>
        <v>9</v>
      </c>
      <c r="I75" s="185">
        <f t="shared" si="38"/>
        <v>22</v>
      </c>
      <c r="J75" s="185" t="e">
        <f t="shared" si="39"/>
        <v>#VALUE!</v>
      </c>
      <c r="K75" s="185">
        <f t="shared" si="40"/>
        <v>32</v>
      </c>
      <c r="L75" s="185" t="str">
        <f>IFERROR(VLOOKUP(MID(G75,J75,K75-J75),[6]skilldef!$C:$D,2,FALSE),"-") &amp; " / " &amp; IFERROR(VLOOKUP(MID(G75,H75,I75-H75),[6]skilldef!$A:$B,2,FALSE),"-")</f>
        <v>- / -</v>
      </c>
      <c r="M75" s="185" t="str">
        <f t="shared" si="41"/>
        <v>[effect:panel_freeze, target:normal, color:block_red, count:-1],[effect:ability_lock, target:unit_all, turn:1]</v>
      </c>
      <c r="N75" s="186" t="str">
        <f t="shared" si="55"/>
        <v>[effect:panel_freeze, target:normal, color:block_red, count:-1],[effect:ability_lock, target:unit_all, turn:1]</v>
      </c>
      <c r="O75" s="185">
        <f t="shared" si="42"/>
        <v>9</v>
      </c>
      <c r="P75" s="185">
        <f t="shared" si="43"/>
        <v>21</v>
      </c>
      <c r="Q75" s="185">
        <f t="shared" si="44"/>
        <v>30</v>
      </c>
      <c r="R75" s="185">
        <f t="shared" si="45"/>
        <v>36</v>
      </c>
      <c r="S75" s="185" t="str">
        <f>IFERROR(VLOOKUP(MID(N75,Q75,R75-Q75),[6]skilldef!$C:$D,2,FALSE),"-") &amp; " / " &amp; IFERROR(VLOOKUP(MID(N75,O75,P75-O75),[6]skilldef!$A:$B,2,FALSE),"-")</f>
        <v>- / -</v>
      </c>
      <c r="T75" s="186" t="str">
        <f t="shared" si="46"/>
        <v>[effect:ability_lock, target:unit_all, turn:1]</v>
      </c>
      <c r="U75" s="185">
        <f t="shared" si="47"/>
        <v>9</v>
      </c>
      <c r="V75" s="185">
        <f t="shared" si="48"/>
        <v>21</v>
      </c>
      <c r="W75" s="185">
        <f t="shared" si="49"/>
        <v>30</v>
      </c>
      <c r="X75" s="185">
        <f t="shared" si="50"/>
        <v>38</v>
      </c>
      <c r="Y75" s="185" t="str">
        <f>IFERROR(VLOOKUP(MID(T75,W75,X75-W75),[6]skilldef!$C:$D,2,FALSE),"-") &amp; " / " &amp; IFERROR(VLOOKUP(MID(T75,U75,V75-U75),[6]skilldef!$A:$B,2,FALSE),"-")</f>
        <v>味方全体に / -</v>
      </c>
      <c r="Z75" s="183"/>
      <c r="AA75" s="187"/>
      <c r="AB75" s="183"/>
    </row>
    <row r="76" spans="1:28" ht="46" customHeight="1" x14ac:dyDescent="0.15">
      <c r="A76" s="189">
        <v>40044075</v>
      </c>
      <c r="B76" s="167" t="s">
        <v>473</v>
      </c>
      <c r="C76" s="168">
        <v>3</v>
      </c>
      <c r="D76" s="168" t="s">
        <v>127</v>
      </c>
      <c r="E76" s="169" t="s">
        <v>273</v>
      </c>
      <c r="F76" s="169" t="s">
        <v>462</v>
      </c>
      <c r="G76" s="170" t="str">
        <f t="shared" si="36"/>
        <v>[effect:enemy_message, val1:1.2, val2:3.9]</v>
      </c>
      <c r="H76" s="170">
        <f t="shared" si="37"/>
        <v>9</v>
      </c>
      <c r="I76" s="170">
        <f t="shared" si="38"/>
        <v>22</v>
      </c>
      <c r="J76" s="170" t="e">
        <f t="shared" si="39"/>
        <v>#VALUE!</v>
      </c>
      <c r="K76" s="170">
        <f t="shared" si="40"/>
        <v>32</v>
      </c>
      <c r="L76" s="170" t="str">
        <f>IFERROR(VLOOKUP(MID(G76,J76,K76-J76),[6]skilldef!$C:$D,2,FALSE),"-") &amp; " / " &amp; IFERROR(VLOOKUP(MID(G76,H76,I76-H76),[6]skilldef!$A:$B,2,FALSE),"-")</f>
        <v>- / -</v>
      </c>
      <c r="M76" s="170" t="str">
        <f t="shared" si="41"/>
        <v>[effect:fix_speed, target:myself, turn:1],[effect:panel_freeze, target:block_all, count:-1],[effect:degrade_unit, target:unit_all, turn:4, status:action, val:2, animation:enemy_tap_down],[effect:enemy_counter, target:myself, invoke_condition:unit_all, counter_target:attacker, turn:-1, val:0.45, animation:enemy_counter]</v>
      </c>
      <c r="N76" s="171" t="str">
        <f t="shared" si="55"/>
        <v>[effect:fix_speed, target:myself, turn:1],[effect:panel_freeze, target:block_all, count:-1],[effect:degrade_unit, target:unit_all, turn:4, status:action, val:2, animation:enemy_tap_down],[effect:enemy_counter, target:myself, invoke_condition:unit_all, counter_target:attacker, turn:-1, val:0.45, animation:enemy_counter]</v>
      </c>
      <c r="O76" s="170">
        <f t="shared" si="42"/>
        <v>9</v>
      </c>
      <c r="P76" s="170">
        <f t="shared" si="43"/>
        <v>18</v>
      </c>
      <c r="Q76" s="170">
        <f t="shared" si="44"/>
        <v>27</v>
      </c>
      <c r="R76" s="170">
        <f t="shared" si="45"/>
        <v>33</v>
      </c>
      <c r="S76" s="170" t="str">
        <f>IFERROR(VLOOKUP(MID(N76,Q76,R76-Q76),[6]skilldef!$C:$D,2,FALSE),"-") &amp; " / " &amp; IFERROR(VLOOKUP(MID(N76,O76,P76-O76),[6]skilldef!$A:$B,2,FALSE),"-")</f>
        <v>自分自身に / 行動値設定</v>
      </c>
      <c r="T76" s="171" t="str">
        <f t="shared" si="46"/>
        <v>[effect:panel_freeze, target:block_all, count:-1],[effect:degrade_unit, target:unit_all, turn:4, status:action, val:2, animation:enemy_tap_down],[effect:enemy_counter, target:myself, invoke_condition:unit_all, counter_target:attacker, turn:-1, val:0.45, animation:enemy_counter]</v>
      </c>
      <c r="U76" s="170">
        <f t="shared" si="47"/>
        <v>9</v>
      </c>
      <c r="V76" s="170">
        <f t="shared" si="48"/>
        <v>21</v>
      </c>
      <c r="W76" s="170">
        <f t="shared" si="49"/>
        <v>30</v>
      </c>
      <c r="X76" s="170">
        <f t="shared" si="50"/>
        <v>39</v>
      </c>
      <c r="Y76" s="170" t="str">
        <f>IFERROR(VLOOKUP(MID(T76,W76,X76-W76),[6]skilldef!$C:$D,2,FALSE),"-") &amp; " / " &amp; IFERROR(VLOOKUP(MID(T76,U76,V76-U76),[6]skilldef!$A:$B,2,FALSE),"-")</f>
        <v>- / -</v>
      </c>
      <c r="Z76" s="168"/>
      <c r="AA76" s="172"/>
      <c r="AB76" s="168"/>
    </row>
    <row r="77" spans="1:28" ht="39" customHeight="1" x14ac:dyDescent="0.15">
      <c r="A77" s="189">
        <v>40044076</v>
      </c>
      <c r="B77" s="47" t="s">
        <v>408</v>
      </c>
      <c r="C77" s="50">
        <v>3</v>
      </c>
      <c r="D77" s="50" t="s">
        <v>127</v>
      </c>
      <c r="E77" s="51" t="s">
        <v>405</v>
      </c>
      <c r="F77" s="51" t="s">
        <v>358</v>
      </c>
      <c r="G77" s="64" t="str">
        <f t="shared" si="36"/>
        <v>[effect:enemy_message, val1:1.2, val2:2.4]</v>
      </c>
      <c r="H77" s="64">
        <f t="shared" si="37"/>
        <v>9</v>
      </c>
      <c r="I77" s="64">
        <f t="shared" si="38"/>
        <v>22</v>
      </c>
      <c r="J77" s="64" t="e">
        <f t="shared" si="39"/>
        <v>#VALUE!</v>
      </c>
      <c r="K77" s="64">
        <f t="shared" si="40"/>
        <v>32</v>
      </c>
      <c r="L77" s="64" t="str">
        <f>IFERROR(VLOOKUP(MID(G77,J77,K77-J77),[6]skilldef!$C:$D,2,FALSE),"-") &amp; " / " &amp; IFERROR(VLOOKUP(MID(G77,H77,I77-H77),[6]skilldef!$A:$B,2,FALSE),"-")</f>
        <v>- / -</v>
      </c>
      <c r="M77" s="64" t="str">
        <f t="shared" si="41"/>
        <v>[effect:rush, count:1, val:0.7],[effect:panel_freeze, target:normal, color:block_blue, count:3],[effect:panel_freeze, target:normal, color:block_green, count:3]</v>
      </c>
      <c r="N77" s="48" t="str">
        <f t="shared" si="55"/>
        <v>[effect:rush, count:1, val:0.7],[effect:panel_freeze, target:normal, color:block_blue, count:3],[effect:panel_freeze, target:normal, color:block_green, count:3]</v>
      </c>
      <c r="O77" s="64">
        <f t="shared" si="42"/>
        <v>9</v>
      </c>
      <c r="P77" s="64">
        <f t="shared" si="43"/>
        <v>13</v>
      </c>
      <c r="Q77" s="64">
        <f t="shared" si="44"/>
        <v>62</v>
      </c>
      <c r="R77" s="64">
        <f t="shared" si="45"/>
        <v>22</v>
      </c>
      <c r="S77" s="64" t="str">
        <f>IFERROR(VLOOKUP(MID(N77,Q77,R77-Q77),[6]skilldef!$C:$D,2,FALSE),"-") &amp; " / " &amp; IFERROR(VLOOKUP(MID(N77,O77,P77-O77),[6]skilldef!$A:$B,2,FALSE),"-")</f>
        <v>- / 連続攻撃</v>
      </c>
      <c r="T77" s="48" t="str">
        <f t="shared" si="46"/>
        <v>[effect:panel_freeze, target:normal, color:block_blue, count:3],[effect:panel_freeze, target:normal, color:block_green, count:3]</v>
      </c>
      <c r="U77" s="64">
        <f t="shared" si="47"/>
        <v>9</v>
      </c>
      <c r="V77" s="64">
        <f t="shared" si="48"/>
        <v>21</v>
      </c>
      <c r="W77" s="64">
        <f t="shared" si="49"/>
        <v>30</v>
      </c>
      <c r="X77" s="64">
        <f t="shared" si="50"/>
        <v>36</v>
      </c>
      <c r="Y77" s="64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39" customHeight="1" x14ac:dyDescent="0.15">
      <c r="A78" s="189">
        <v>40044077</v>
      </c>
      <c r="B78" s="47" t="s">
        <v>360</v>
      </c>
      <c r="C78" s="50">
        <v>3</v>
      </c>
      <c r="D78" s="50" t="s">
        <v>127</v>
      </c>
      <c r="E78" s="51" t="s">
        <v>406</v>
      </c>
      <c r="F78" s="51" t="s">
        <v>359</v>
      </c>
      <c r="G78" s="64" t="str">
        <f t="shared" si="36"/>
        <v>[effect:enemy_message, val1:1.3, val2:2.4]</v>
      </c>
      <c r="H78" s="64">
        <f t="shared" si="37"/>
        <v>9</v>
      </c>
      <c r="I78" s="64">
        <f t="shared" si="38"/>
        <v>22</v>
      </c>
      <c r="J78" s="64" t="e">
        <f t="shared" si="39"/>
        <v>#VALUE!</v>
      </c>
      <c r="K78" s="64">
        <f t="shared" si="40"/>
        <v>32</v>
      </c>
      <c r="L78" s="64" t="str">
        <f>IFERROR(VLOOKUP(MID(G78,J78,K78-J78),[6]skilldef!$C:$D,2,FALSE),"-") &amp; " / " &amp; IFERROR(VLOOKUP(MID(G78,H78,I78-H78),[6]skilldef!$A:$B,2,FALSE),"-")</f>
        <v>- / -</v>
      </c>
      <c r="M78" s="64" t="str">
        <f t="shared" si="41"/>
        <v>[effect:rush, count:1, val:0.7],[effect:panel_freeze, target:normal, color:block_red, count:3],[effect:panel_freeze, target:normal, color:block_yellow, count:3]</v>
      </c>
      <c r="N78" s="48" t="str">
        <f t="shared" si="55"/>
        <v>[effect:rush, count:1, val:0.7],[effect:panel_freeze, target:normal, color:block_red, count:3],[effect:panel_freeze, target:normal, color:block_yellow, count:3]</v>
      </c>
      <c r="O78" s="64">
        <f t="shared" si="42"/>
        <v>9</v>
      </c>
      <c r="P78" s="64">
        <f t="shared" si="43"/>
        <v>13</v>
      </c>
      <c r="Q78" s="64">
        <f t="shared" si="44"/>
        <v>62</v>
      </c>
      <c r="R78" s="64">
        <f t="shared" si="45"/>
        <v>22</v>
      </c>
      <c r="S78" s="64" t="str">
        <f>IFERROR(VLOOKUP(MID(N78,Q78,R78-Q78),[6]skilldef!$C:$D,2,FALSE),"-") &amp; " / " &amp; IFERROR(VLOOKUP(MID(N78,O78,P78-O78),[6]skilldef!$A:$B,2,FALSE),"-")</f>
        <v>- / 連続攻撃</v>
      </c>
      <c r="T78" s="48" t="str">
        <f t="shared" si="46"/>
        <v>[effect:panel_freeze, target:normal, color:block_red, count:3],[effect:panel_freeze, target:normal, color:block_yellow, count:3]</v>
      </c>
      <c r="U78" s="64">
        <f t="shared" si="47"/>
        <v>9</v>
      </c>
      <c r="V78" s="64">
        <f t="shared" si="48"/>
        <v>21</v>
      </c>
      <c r="W78" s="64">
        <f t="shared" si="49"/>
        <v>30</v>
      </c>
      <c r="X78" s="64">
        <f t="shared" si="50"/>
        <v>36</v>
      </c>
      <c r="Y78" s="64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 x14ac:dyDescent="0.15">
      <c r="A79" s="189">
        <v>40044078</v>
      </c>
      <c r="B79" s="47" t="s">
        <v>287</v>
      </c>
      <c r="C79" s="50">
        <v>3</v>
      </c>
      <c r="D79" s="50" t="s">
        <v>127</v>
      </c>
      <c r="E79" s="51" t="s">
        <v>278</v>
      </c>
      <c r="F79" s="51" t="s">
        <v>277</v>
      </c>
      <c r="G79" s="64" t="str">
        <f t="shared" si="36"/>
        <v>[effect:enemy_message, val1:1.5, val2:3.5]</v>
      </c>
      <c r="H79" s="64">
        <f t="shared" si="37"/>
        <v>9</v>
      </c>
      <c r="I79" s="64">
        <f t="shared" si="38"/>
        <v>22</v>
      </c>
      <c r="J79" s="64" t="e">
        <f t="shared" si="39"/>
        <v>#VALUE!</v>
      </c>
      <c r="K79" s="64">
        <f t="shared" si="40"/>
        <v>32</v>
      </c>
      <c r="L79" s="64" t="str">
        <f>IFERROR(VLOOKUP(MID(G79,J79,K79-J79),[6]skilldef!$C:$D,2,FALSE),"-") &amp; " / " &amp; IFERROR(VLOOKUP(MID(G79,H79,I79-H79),[6]skilldef!$A:$B,2,FALSE),"-")</f>
        <v>- / -</v>
      </c>
      <c r="M79" s="64" t="str">
        <f t="shared" si="41"/>
        <v>[effect:ability_lock, target:unit_all, turn:1],[effect:hungup, target:unit_all, turn:1, rate:1, animation:hungup01]</v>
      </c>
      <c r="N79" s="48" t="str">
        <f t="shared" si="55"/>
        <v>[effect:ability_lock, target:unit_all, turn:1],[effect:hungup, target:unit_all, turn:1, rate:1, animation:hungup01]</v>
      </c>
      <c r="O79" s="64">
        <f t="shared" si="42"/>
        <v>9</v>
      </c>
      <c r="P79" s="64">
        <f t="shared" si="43"/>
        <v>21</v>
      </c>
      <c r="Q79" s="64">
        <f t="shared" si="44"/>
        <v>30</v>
      </c>
      <c r="R79" s="64">
        <f t="shared" si="45"/>
        <v>38</v>
      </c>
      <c r="S79" s="64" t="str">
        <f>IFERROR(VLOOKUP(MID(N79,Q79,R79-Q79),[6]skilldef!$C:$D,2,FALSE),"-") &amp; " / " &amp; IFERROR(VLOOKUP(MID(N79,O79,P79-O79),[6]skilldef!$A:$B,2,FALSE),"-")</f>
        <v>味方全体に / -</v>
      </c>
      <c r="T79" s="48" t="str">
        <f t="shared" si="46"/>
        <v>[effect:hungup, target:unit_all, turn:1, rate:1, animation:hungup01]</v>
      </c>
      <c r="U79" s="64">
        <f t="shared" si="47"/>
        <v>9</v>
      </c>
      <c r="V79" s="64">
        <f t="shared" si="48"/>
        <v>15</v>
      </c>
      <c r="W79" s="64">
        <f t="shared" si="49"/>
        <v>24</v>
      </c>
      <c r="X79" s="64">
        <f t="shared" si="50"/>
        <v>32</v>
      </c>
      <c r="Y79" s="64" t="str">
        <f>IFERROR(VLOOKUP(MID(T79,W79,X79-W79),[6]skilldef!$C:$D,2,FALSE),"-") &amp; " / " &amp; IFERROR(VLOOKUP(MID(T79,U79,V79-U79),[6]skilldef!$A:$B,2,FALSE),"-")</f>
        <v>味方全体に / ハングアップ</v>
      </c>
      <c r="Z79" s="50"/>
      <c r="AA79" s="52"/>
      <c r="AB79" s="50"/>
    </row>
    <row r="80" spans="1:28" ht="21" customHeight="1" x14ac:dyDescent="0.15">
      <c r="A80" s="189">
        <v>40044079</v>
      </c>
      <c r="B80" s="47" t="s">
        <v>403</v>
      </c>
      <c r="C80" s="50">
        <v>3</v>
      </c>
      <c r="D80" s="50" t="s">
        <v>127</v>
      </c>
      <c r="E80" s="51" t="s">
        <v>402</v>
      </c>
      <c r="F80" s="51" t="s">
        <v>313</v>
      </c>
      <c r="G80" s="64" t="str">
        <f t="shared" si="36"/>
        <v>[effect:enemy_message, val1:1.6, val2:2.5]</v>
      </c>
      <c r="H80" s="64">
        <f t="shared" si="37"/>
        <v>9</v>
      </c>
      <c r="I80" s="64">
        <f t="shared" si="38"/>
        <v>22</v>
      </c>
      <c r="J80" s="64" t="e">
        <f t="shared" si="39"/>
        <v>#VALUE!</v>
      </c>
      <c r="K80" s="64">
        <f t="shared" si="40"/>
        <v>32</v>
      </c>
      <c r="L80" s="64" t="str">
        <f>IFERROR(VLOOKUP(MID(G80,J80,K80-J80),[6]skilldef!$C:$D,2,FALSE),"-") &amp; " / " &amp; IFERROR(VLOOKUP(MID(G80,H80,I80-H80),[6]skilldef!$A:$B,2,FALSE),"-")</f>
        <v>- / -</v>
      </c>
      <c r="M80" s="64" t="str">
        <f t="shared" si="41"/>
        <v>[effect:spread, val:0.35],[effect:panel_freeze, target:block_all, count:12]</v>
      </c>
      <c r="N80" s="48" t="str">
        <f t="shared" si="55"/>
        <v>[effect:spread, val:0.35],[effect:panel_freeze, target:block_all, count:12]</v>
      </c>
      <c r="O80" s="64">
        <f t="shared" si="42"/>
        <v>9</v>
      </c>
      <c r="P80" s="64">
        <f t="shared" si="43"/>
        <v>15</v>
      </c>
      <c r="Q80" s="64">
        <f t="shared" si="44"/>
        <v>56</v>
      </c>
      <c r="R80" s="64">
        <f t="shared" si="45"/>
        <v>26</v>
      </c>
      <c r="S80" s="64" t="str">
        <f>IFERROR(VLOOKUP(MID(N80,Q80,R80-Q80),[6]skilldef!$C:$D,2,FALSE),"-") &amp; " / " &amp; IFERROR(VLOOKUP(MID(N80,O80,P80-O80),[6]skilldef!$A:$B,2,FALSE),"-")</f>
        <v>- / 全体攻撃</v>
      </c>
      <c r="T80" s="48" t="str">
        <f t="shared" si="46"/>
        <v>[effect:panel_freeze, target:block_all, count:12]</v>
      </c>
      <c r="U80" s="64">
        <f t="shared" si="47"/>
        <v>9</v>
      </c>
      <c r="V80" s="64">
        <f t="shared" si="48"/>
        <v>21</v>
      </c>
      <c r="W80" s="64">
        <f t="shared" si="49"/>
        <v>30</v>
      </c>
      <c r="X80" s="64">
        <f t="shared" si="50"/>
        <v>39</v>
      </c>
      <c r="Y80" s="64" t="str">
        <f>IFERROR(VLOOKUP(MID(T80,W80,X80-W80),[6]skilldef!$C:$D,2,FALSE),"-") &amp; " / " &amp; IFERROR(VLOOKUP(MID(T80,U80,V80-U80),[6]skilldef!$A:$B,2,FALSE),"-")</f>
        <v>- / -</v>
      </c>
      <c r="Z80" s="50"/>
      <c r="AA80" s="52"/>
      <c r="AB80" s="50"/>
    </row>
    <row r="81" spans="1:28" ht="21" customHeight="1" x14ac:dyDescent="0.15">
      <c r="A81" s="189">
        <v>40044080</v>
      </c>
      <c r="B81" s="47" t="s">
        <v>371</v>
      </c>
      <c r="C81" s="50">
        <v>3</v>
      </c>
      <c r="D81" s="50" t="s">
        <v>127</v>
      </c>
      <c r="E81" s="51" t="s">
        <v>279</v>
      </c>
      <c r="F81" s="169" t="s">
        <v>370</v>
      </c>
      <c r="G81" s="64" t="str">
        <f t="shared" si="36"/>
        <v>[effect:enemy_message, val1:2.6, val2:3.4, dead_type:escape]</v>
      </c>
      <c r="H81" s="64">
        <f t="shared" si="37"/>
        <v>9</v>
      </c>
      <c r="I81" s="64">
        <f t="shared" si="38"/>
        <v>22</v>
      </c>
      <c r="J81" s="64" t="e">
        <f t="shared" si="39"/>
        <v>#VALUE!</v>
      </c>
      <c r="K81" s="64">
        <f t="shared" si="40"/>
        <v>32</v>
      </c>
      <c r="L81" s="64" t="str">
        <f>IFERROR(VLOOKUP(MID(G81,J81,K81-J81),[6]skilldef!$C:$D,2,FALSE),"-") &amp; " / " &amp; IFERROR(VLOOKUP(MID(G81,H81,I81-H81),[6]skilldef!$A:$B,2,FALSE),"-")</f>
        <v>- / -</v>
      </c>
      <c r="M81" s="64" t="str">
        <f t="shared" si="41"/>
        <v>none</v>
      </c>
      <c r="N81" s="48" t="str">
        <f t="shared" si="55"/>
        <v>none</v>
      </c>
      <c r="O81" s="64" t="e">
        <f t="shared" si="42"/>
        <v>#VALUE!</v>
      </c>
      <c r="P81" s="64">
        <f t="shared" si="43"/>
        <v>4</v>
      </c>
      <c r="Q81" s="64" t="e">
        <f t="shared" si="44"/>
        <v>#VALUE!</v>
      </c>
      <c r="R81" s="64" t="e">
        <f t="shared" si="45"/>
        <v>#VALUE!</v>
      </c>
      <c r="S81" s="64" t="str">
        <f>IFERROR(VLOOKUP(MID(N81,Q81,R81-Q81),[6]skilldef!$C:$D,2,FALSE),"-") &amp; " / " &amp; IFERROR(VLOOKUP(MID(N81,O81,P81-O81),[6]skilldef!$A:$B,2,FALSE),"-")</f>
        <v>- / -</v>
      </c>
      <c r="T81" s="48" t="str">
        <f t="shared" si="46"/>
        <v>none</v>
      </c>
      <c r="U81" s="64" t="e">
        <f t="shared" si="47"/>
        <v>#VALUE!</v>
      </c>
      <c r="V81" s="64">
        <f t="shared" si="48"/>
        <v>4</v>
      </c>
      <c r="W81" s="64" t="e">
        <f t="shared" si="49"/>
        <v>#VALUE!</v>
      </c>
      <c r="X81" s="64" t="e">
        <f t="shared" si="50"/>
        <v>#VALUE!</v>
      </c>
      <c r="Y81" s="64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21" customHeight="1" x14ac:dyDescent="0.15">
      <c r="A82" s="189">
        <v>40044081</v>
      </c>
      <c r="B82" s="47" t="s">
        <v>435</v>
      </c>
      <c r="C82" s="50">
        <v>3</v>
      </c>
      <c r="D82" s="50" t="s">
        <v>127</v>
      </c>
      <c r="E82" s="51" t="s">
        <v>434</v>
      </c>
      <c r="F82" s="169" t="s">
        <v>370</v>
      </c>
      <c r="G82" s="64" t="str">
        <f t="shared" si="36"/>
        <v>[effect:enemy_message, val1:2.7, val2:3.4, dead_type:escape]</v>
      </c>
      <c r="H82" s="64">
        <f t="shared" si="37"/>
        <v>9</v>
      </c>
      <c r="I82" s="64">
        <f t="shared" si="38"/>
        <v>22</v>
      </c>
      <c r="J82" s="64" t="e">
        <f t="shared" si="39"/>
        <v>#VALUE!</v>
      </c>
      <c r="K82" s="64">
        <f t="shared" si="40"/>
        <v>32</v>
      </c>
      <c r="L82" s="64" t="str">
        <f>IFERROR(VLOOKUP(MID(G82,J82,K82-J82),[6]skilldef!$C:$D,2,FALSE),"-") &amp; " / " &amp; IFERROR(VLOOKUP(MID(G82,H82,I82-H82),[6]skilldef!$A:$B,2,FALSE),"-")</f>
        <v>- / -</v>
      </c>
      <c r="M82" s="64" t="str">
        <f t="shared" si="41"/>
        <v>none</v>
      </c>
      <c r="N82" s="48" t="str">
        <f t="shared" si="55"/>
        <v>none</v>
      </c>
      <c r="O82" s="64" t="e">
        <f t="shared" si="42"/>
        <v>#VALUE!</v>
      </c>
      <c r="P82" s="64">
        <f t="shared" si="43"/>
        <v>4</v>
      </c>
      <c r="Q82" s="64" t="e">
        <f t="shared" si="44"/>
        <v>#VALUE!</v>
      </c>
      <c r="R82" s="64" t="e">
        <f t="shared" si="45"/>
        <v>#VALUE!</v>
      </c>
      <c r="S82" s="64" t="str">
        <f>IFERROR(VLOOKUP(MID(N82,Q82,R82-Q82),[6]skilldef!$C:$D,2,FALSE),"-") &amp; " / " &amp; IFERROR(VLOOKUP(MID(N82,O82,P82-O82),[6]skilldef!$A:$B,2,FALSE),"-")</f>
        <v>- / -</v>
      </c>
      <c r="T82" s="48" t="str">
        <f t="shared" si="46"/>
        <v>none</v>
      </c>
      <c r="U82" s="64" t="e">
        <f t="shared" si="47"/>
        <v>#VALUE!</v>
      </c>
      <c r="V82" s="64">
        <f t="shared" si="48"/>
        <v>4</v>
      </c>
      <c r="W82" s="64" t="e">
        <f t="shared" si="49"/>
        <v>#VALUE!</v>
      </c>
      <c r="X82" s="64" t="e">
        <f t="shared" si="50"/>
        <v>#VALUE!</v>
      </c>
      <c r="Y82" s="64" t="str">
        <f>IFERROR(VLOOKUP(MID(T82,W82,X82-W82),[6]skilldef!$C:$D,2,FALSE),"-") &amp; " / " &amp; IFERROR(VLOOKUP(MID(T82,U82,V82-U82),[6]skilldef!$A:$B,2,FALSE),"-")</f>
        <v>- / -</v>
      </c>
      <c r="Z82" s="50"/>
      <c r="AA82" s="52"/>
      <c r="AB82" s="50"/>
    </row>
    <row r="83" spans="1:28" ht="21" customHeight="1" thickBot="1" x14ac:dyDescent="0.2">
      <c r="A83" s="180">
        <v>40044082</v>
      </c>
      <c r="B83" s="174" t="s">
        <v>424</v>
      </c>
      <c r="C83" s="175">
        <v>3</v>
      </c>
      <c r="D83" s="183" t="s">
        <v>127</v>
      </c>
      <c r="E83" s="184" t="s">
        <v>379</v>
      </c>
      <c r="F83" s="176" t="s">
        <v>370</v>
      </c>
      <c r="G83" s="185" t="str">
        <f t="shared" si="36"/>
        <v>[effect:enemy_message, val1:1.9, val2:3.4, dead_type:escape]</v>
      </c>
      <c r="H83" s="185">
        <f t="shared" si="37"/>
        <v>9</v>
      </c>
      <c r="I83" s="185">
        <f t="shared" si="38"/>
        <v>22</v>
      </c>
      <c r="J83" s="185" t="e">
        <f t="shared" si="39"/>
        <v>#VALUE!</v>
      </c>
      <c r="K83" s="185">
        <f t="shared" si="40"/>
        <v>32</v>
      </c>
      <c r="L83" s="185" t="str">
        <f>IFERROR(VLOOKUP(MID(G83,J83,K83-J83),[6]skilldef!$C:$D,2,FALSE),"-") &amp; " / " &amp; IFERROR(VLOOKUP(MID(G83,H83,I83-H83),[6]skilldef!$A:$B,2,FALSE),"-")</f>
        <v>- / -</v>
      </c>
      <c r="M83" s="185" t="str">
        <f t="shared" si="41"/>
        <v>none</v>
      </c>
      <c r="N83" s="186" t="str">
        <f>IFERROR(LEFT(M83,FIND("],",M83)+S99),M83)</f>
        <v>none</v>
      </c>
      <c r="O83" s="185" t="e">
        <f t="shared" si="42"/>
        <v>#VALUE!</v>
      </c>
      <c r="P83" s="185">
        <f t="shared" si="43"/>
        <v>4</v>
      </c>
      <c r="Q83" s="185" t="e">
        <f t="shared" si="44"/>
        <v>#VALUE!</v>
      </c>
      <c r="R83" s="185" t="e">
        <f t="shared" si="45"/>
        <v>#VALUE!</v>
      </c>
      <c r="S83" s="185" t="str">
        <f>IFERROR(VLOOKUP(MID(N83,Q83,R83-Q83),[6]skilldef!$C:$D,2,FALSE),"-") &amp; " / " &amp; IFERROR(VLOOKUP(MID(N83,O83,P83-O83),[6]skilldef!$A:$B,2,FALSE),"-")</f>
        <v>- / -</v>
      </c>
      <c r="T83" s="186" t="str">
        <f t="shared" si="46"/>
        <v>none</v>
      </c>
      <c r="U83" s="185" t="e">
        <f t="shared" si="47"/>
        <v>#VALUE!</v>
      </c>
      <c r="V83" s="185">
        <f t="shared" si="48"/>
        <v>4</v>
      </c>
      <c r="W83" s="185" t="e">
        <f t="shared" si="49"/>
        <v>#VALUE!</v>
      </c>
      <c r="X83" s="185" t="e">
        <f t="shared" si="50"/>
        <v>#VALUE!</v>
      </c>
      <c r="Y83" s="185" t="str">
        <f>IFERROR(VLOOKUP(MID(T83,W83,X83-W83),[6]skilldef!$C:$D,2,FALSE),"-") &amp; " / " &amp; IFERROR(VLOOKUP(MID(T83,U83,V83-U83),[6]skilldef!$A:$B,2,FALSE),"-")</f>
        <v>- / -</v>
      </c>
      <c r="Z83" s="183"/>
      <c r="AA83" s="187"/>
      <c r="AB83" s="183"/>
    </row>
    <row r="84" spans="1:28" ht="21" customHeight="1" x14ac:dyDescent="0.15">
      <c r="A84" s="190">
        <v>40044083</v>
      </c>
      <c r="B84" s="167" t="s">
        <v>357</v>
      </c>
      <c r="C84" s="168">
        <v>3</v>
      </c>
      <c r="D84" s="50" t="s">
        <v>127</v>
      </c>
      <c r="E84" s="51" t="s">
        <v>298</v>
      </c>
      <c r="F84" s="169" t="s">
        <v>256</v>
      </c>
      <c r="G84" s="64" t="str">
        <f t="shared" si="36"/>
        <v>[effect:enemy_message, val1:1.2, val2:1.7]</v>
      </c>
      <c r="H84" s="64">
        <f t="shared" si="37"/>
        <v>9</v>
      </c>
      <c r="I84" s="64">
        <f t="shared" si="38"/>
        <v>22</v>
      </c>
      <c r="J84" s="64" t="e">
        <f t="shared" si="39"/>
        <v>#VALUE!</v>
      </c>
      <c r="K84" s="64">
        <f t="shared" si="40"/>
        <v>32</v>
      </c>
      <c r="L84" s="64" t="str">
        <f>IFERROR(VLOOKUP(MID(G84,J84,K84-J84),[6]skilldef!$C:$D,2,FALSE),"-") &amp; " / " &amp; IFERROR(VLOOKUP(MID(G84,H84,I84-H84),[6]skilldef!$A:$B,2,FALSE),"-")</f>
        <v>- / -</v>
      </c>
      <c r="M84" s="64" t="str">
        <f t="shared" si="41"/>
        <v>[effect:damage_anti_abnormal, target:unit_one, target_effect01:virus, val1:1.9, val2:0.8]</v>
      </c>
      <c r="N84" s="48" t="str">
        <f>IFERROR(LEFT(M84,FIND("],",M84)+S95),M84)</f>
        <v>[effect:damage_anti_abnormal, target:unit_one, target_effect01:virus, val1:1.9, val2:0.8]</v>
      </c>
      <c r="O84" s="64">
        <f t="shared" si="42"/>
        <v>9</v>
      </c>
      <c r="P84" s="64">
        <f t="shared" si="43"/>
        <v>29</v>
      </c>
      <c r="Q84" s="64">
        <f t="shared" si="44"/>
        <v>38</v>
      </c>
      <c r="R84" s="64">
        <f t="shared" si="45"/>
        <v>46</v>
      </c>
      <c r="S84" s="64" t="str">
        <f>IFERROR(VLOOKUP(MID(N84,Q84,R84-Q84),[6]skilldef!$C:$D,2,FALSE),"-") &amp; " / " &amp; IFERROR(VLOOKUP(MID(N84,O84,P84-O84),[6]skilldef!$A:$B,2,FALSE),"-")</f>
        <v>味方単体に / -</v>
      </c>
      <c r="T84" s="48" t="str">
        <f t="shared" si="46"/>
        <v>none</v>
      </c>
      <c r="U84" s="64" t="e">
        <f t="shared" si="47"/>
        <v>#VALUE!</v>
      </c>
      <c r="V84" s="64">
        <f t="shared" si="48"/>
        <v>4</v>
      </c>
      <c r="W84" s="64" t="e">
        <f t="shared" si="49"/>
        <v>#VALUE!</v>
      </c>
      <c r="X84" s="64" t="e">
        <f t="shared" si="50"/>
        <v>#VALUE!</v>
      </c>
      <c r="Y84" s="64" t="str">
        <f>IFERROR(VLOOKUP(MID(T84,W84,X84-W84),[6]skilldef!$C:$D,2,FALSE),"-") &amp; " / " &amp; IFERROR(VLOOKUP(MID(T84,U84,V84-U84),[6]skilldef!$A:$B,2,FALSE),"-")</f>
        <v>- / -</v>
      </c>
      <c r="Z84" s="50"/>
      <c r="AA84" s="52"/>
      <c r="AB84" s="50"/>
    </row>
    <row r="85" spans="1:28" ht="21" customHeight="1" thickBot="1" x14ac:dyDescent="0.2">
      <c r="A85" s="191">
        <v>40044084</v>
      </c>
      <c r="B85" s="182" t="s">
        <v>331</v>
      </c>
      <c r="C85" s="175">
        <v>3</v>
      </c>
      <c r="D85" s="183" t="s">
        <v>127</v>
      </c>
      <c r="E85" s="184" t="s">
        <v>299</v>
      </c>
      <c r="F85" s="184" t="s">
        <v>281</v>
      </c>
      <c r="G85" s="185" t="str">
        <f t="shared" si="36"/>
        <v>[effect:enemy_message, val1:1.2, val2:2.0]</v>
      </c>
      <c r="H85" s="185">
        <f t="shared" si="37"/>
        <v>9</v>
      </c>
      <c r="I85" s="185">
        <f t="shared" si="38"/>
        <v>22</v>
      </c>
      <c r="J85" s="185" t="e">
        <f t="shared" si="39"/>
        <v>#VALUE!</v>
      </c>
      <c r="K85" s="185">
        <f t="shared" si="40"/>
        <v>32</v>
      </c>
      <c r="L85" s="185" t="str">
        <f>IFERROR(VLOOKUP(MID(G85,J85,K85-J85),[6]skilldef!$C:$D,2,FALSE),"-") &amp; " / " &amp; IFERROR(VLOOKUP(MID(G85,H85,I85-H85),[6]skilldef!$A:$B,2,FALSE),"-")</f>
        <v>- / -</v>
      </c>
      <c r="M85" s="185" t="str">
        <f t="shared" si="41"/>
        <v>[effect:spread, val:0.4],[effect:panel_freeze, target:normal, color:block_blue, count:8]</v>
      </c>
      <c r="N85" s="186" t="str">
        <f>IFERROR(LEFT(M85,FIND("],",M85)+S96),M85)</f>
        <v>[effect:spread, val:0.4],[effect:panel_freeze, target:normal, color:block_blue, count:8]</v>
      </c>
      <c r="O85" s="185">
        <f t="shared" si="42"/>
        <v>9</v>
      </c>
      <c r="P85" s="185">
        <f t="shared" si="43"/>
        <v>15</v>
      </c>
      <c r="Q85" s="185">
        <f t="shared" si="44"/>
        <v>55</v>
      </c>
      <c r="R85" s="185">
        <f t="shared" si="45"/>
        <v>25</v>
      </c>
      <c r="S85" s="185" t="str">
        <f>IFERROR(VLOOKUP(MID(N85,Q85,R85-Q85),[6]skilldef!$C:$D,2,FALSE),"-") &amp; " / " &amp; IFERROR(VLOOKUP(MID(N85,O85,P85-O85),[6]skilldef!$A:$B,2,FALSE),"-")</f>
        <v>- / 全体攻撃</v>
      </c>
      <c r="T85" s="186" t="str">
        <f t="shared" si="46"/>
        <v>[effect:panel_freeze, target:normal, color:block_blue, count:8]</v>
      </c>
      <c r="U85" s="185">
        <f t="shared" si="47"/>
        <v>9</v>
      </c>
      <c r="V85" s="185">
        <f t="shared" si="48"/>
        <v>21</v>
      </c>
      <c r="W85" s="185">
        <f t="shared" si="49"/>
        <v>30</v>
      </c>
      <c r="X85" s="185">
        <f t="shared" si="50"/>
        <v>36</v>
      </c>
      <c r="Y85" s="185" t="str">
        <f>IFERROR(VLOOKUP(MID(T85,W85,X85-W85),[6]skilldef!$C:$D,2,FALSE),"-") &amp; " / " &amp; IFERROR(VLOOKUP(MID(T85,U85,V85-U85),[6]skilldef!$A:$B,2,FALSE),"-")</f>
        <v>- / -</v>
      </c>
      <c r="Z85" s="183"/>
      <c r="AA85" s="187"/>
      <c r="AB85" s="183"/>
    </row>
    <row r="86" spans="1:28" ht="21" customHeight="1" x14ac:dyDescent="0.15">
      <c r="A86" s="190">
        <v>40044085</v>
      </c>
      <c r="B86" s="167" t="s">
        <v>423</v>
      </c>
      <c r="C86" s="168">
        <v>3</v>
      </c>
      <c r="D86" s="168" t="s">
        <v>127</v>
      </c>
      <c r="E86" s="169" t="s">
        <v>311</v>
      </c>
      <c r="F86" s="169" t="s">
        <v>309</v>
      </c>
      <c r="G86" s="170" t="str">
        <f t="shared" si="36"/>
        <v>[effect:enemy_message, val1:1.5, val2:0]</v>
      </c>
      <c r="H86" s="170">
        <f t="shared" si="37"/>
        <v>9</v>
      </c>
      <c r="I86" s="170">
        <f t="shared" si="38"/>
        <v>22</v>
      </c>
      <c r="J86" s="170" t="e">
        <f t="shared" si="39"/>
        <v>#VALUE!</v>
      </c>
      <c r="K86" s="170">
        <f t="shared" si="40"/>
        <v>32</v>
      </c>
      <c r="L86" s="170" t="str">
        <f>IFERROR(VLOOKUP(MID(G86,J86,K86-J86),[6]skilldef!$C:$D,2,FALSE),"-") &amp; " / " &amp; IFERROR(VLOOKUP(MID(G86,H86,I86-H86),[6]skilldef!$A:$B,2,FALSE),"-")</f>
        <v>- / -</v>
      </c>
      <c r="M86" s="170" t="str">
        <f t="shared" si="41"/>
        <v>[effect:fix_speed, target:myself, turn:2]</v>
      </c>
      <c r="N86" s="171" t="str">
        <f t="shared" ref="N86:N93" si="56">IFERROR(LEFT(M86,FIND("],",M86)+S98),M86)</f>
        <v>[effect:fix_speed, target:myself, turn:2]</v>
      </c>
      <c r="O86" s="170">
        <f t="shared" si="42"/>
        <v>9</v>
      </c>
      <c r="P86" s="170">
        <f t="shared" si="43"/>
        <v>18</v>
      </c>
      <c r="Q86" s="170">
        <f t="shared" si="44"/>
        <v>27</v>
      </c>
      <c r="R86" s="170">
        <f t="shared" si="45"/>
        <v>33</v>
      </c>
      <c r="S86" s="170" t="str">
        <f>IFERROR(VLOOKUP(MID(N86,Q86,R86-Q86),[6]skilldef!$C:$D,2,FALSE),"-") &amp; " / " &amp; IFERROR(VLOOKUP(MID(N86,O86,P86-O86),[6]skilldef!$A:$B,2,FALSE),"-")</f>
        <v>自分自身に / 行動値設定</v>
      </c>
      <c r="T86" s="171" t="str">
        <f t="shared" si="46"/>
        <v>none</v>
      </c>
      <c r="U86" s="170" t="e">
        <f t="shared" si="47"/>
        <v>#VALUE!</v>
      </c>
      <c r="V86" s="170">
        <f t="shared" si="48"/>
        <v>4</v>
      </c>
      <c r="W86" s="170" t="e">
        <f t="shared" si="49"/>
        <v>#VALUE!</v>
      </c>
      <c r="X86" s="170" t="e">
        <f t="shared" si="50"/>
        <v>#VALUE!</v>
      </c>
      <c r="Y86" s="170" t="str">
        <f>IFERROR(VLOOKUP(MID(T86,W86,X86-W86),[6]skilldef!$C:$D,2,FALSE),"-") &amp; " / " &amp; IFERROR(VLOOKUP(MID(T86,U86,V86-U86),[6]skilldef!$A:$B,2,FALSE),"-")</f>
        <v>- / -</v>
      </c>
      <c r="Z86" s="168"/>
      <c r="AA86" s="172"/>
      <c r="AB86" s="168"/>
    </row>
    <row r="87" spans="1:28" ht="21" customHeight="1" x14ac:dyDescent="0.15">
      <c r="A87" s="190">
        <v>40044086</v>
      </c>
      <c r="B87" s="47" t="s">
        <v>350</v>
      </c>
      <c r="C87" s="50">
        <v>3</v>
      </c>
      <c r="D87" s="50" t="s">
        <v>127</v>
      </c>
      <c r="E87" s="51" t="s">
        <v>283</v>
      </c>
      <c r="F87" s="51" t="s">
        <v>282</v>
      </c>
      <c r="G87" s="64" t="str">
        <f t="shared" si="36"/>
        <v>[effect:enemy_message, val1:1.3, val2:3.2]</v>
      </c>
      <c r="H87" s="64">
        <f t="shared" si="37"/>
        <v>9</v>
      </c>
      <c r="I87" s="64">
        <f t="shared" si="38"/>
        <v>22</v>
      </c>
      <c r="J87" s="64" t="e">
        <f t="shared" si="39"/>
        <v>#VALUE!</v>
      </c>
      <c r="K87" s="64">
        <f t="shared" si="40"/>
        <v>32</v>
      </c>
      <c r="L87" s="64" t="str">
        <f>IFERROR(VLOOKUP(MID(G87,J87,K87-J87),[6]skilldef!$C:$D,2,FALSE),"-") &amp; " / " &amp; IFERROR(VLOOKUP(MID(G87,H87,I87-H87),[6]skilldef!$A:$B,2,FALSE),"-")</f>
        <v>- / -</v>
      </c>
      <c r="M87" s="64" t="str">
        <f t="shared" si="41"/>
        <v>[effect:virus, turn:3, rate:1, val:0.15, animation:enemy_virus],[effect:panel_freeze, target:normal, color:block_heart, count:8]</v>
      </c>
      <c r="N87" s="48" t="str">
        <f t="shared" si="56"/>
        <v>[effect:virus, turn:3, rate:1, val:0.15, animation:enemy_virus],[effect:panel_freeze, target:normal, color:block_heart, count:8]</v>
      </c>
      <c r="O87" s="64">
        <f t="shared" si="42"/>
        <v>9</v>
      </c>
      <c r="P87" s="64">
        <f t="shared" si="43"/>
        <v>14</v>
      </c>
      <c r="Q87" s="64">
        <f t="shared" si="44"/>
        <v>94</v>
      </c>
      <c r="R87" s="64">
        <f t="shared" si="45"/>
        <v>22</v>
      </c>
      <c r="S87" s="64" t="str">
        <f>IFERROR(VLOOKUP(MID(N87,Q87,R87-Q87),[6]skilldef!$C:$D,2,FALSE),"-") &amp; " / " &amp; IFERROR(VLOOKUP(MID(N87,O87,P87-O87),[6]skilldef!$A:$B,2,FALSE),"-")</f>
        <v>- / ウィルス</v>
      </c>
      <c r="T87" s="48" t="str">
        <f t="shared" si="46"/>
        <v>[effect:panel_freeze, target:normal, color:block_heart, count:8]</v>
      </c>
      <c r="U87" s="64">
        <f t="shared" si="47"/>
        <v>9</v>
      </c>
      <c r="V87" s="64">
        <f t="shared" si="48"/>
        <v>21</v>
      </c>
      <c r="W87" s="64">
        <f t="shared" si="49"/>
        <v>30</v>
      </c>
      <c r="X87" s="64">
        <f t="shared" si="50"/>
        <v>36</v>
      </c>
      <c r="Y87" s="64" t="str">
        <f>IFERROR(VLOOKUP(MID(T87,W87,X87-W87),[6]skilldef!$C:$D,2,FALSE),"-") &amp; " / " &amp; IFERROR(VLOOKUP(MID(T87,U87,V87-U87),[6]skilldef!$A:$B,2,FALSE),"-")</f>
        <v>- / -</v>
      </c>
      <c r="Z87" s="50"/>
      <c r="AA87" s="52"/>
      <c r="AB87" s="50"/>
    </row>
    <row r="88" spans="1:28" ht="21" customHeight="1" x14ac:dyDescent="0.15">
      <c r="A88" s="190">
        <v>40044087</v>
      </c>
      <c r="B88" s="47" t="s">
        <v>445</v>
      </c>
      <c r="C88" s="50">
        <v>3</v>
      </c>
      <c r="D88" s="50" t="s">
        <v>127</v>
      </c>
      <c r="E88" s="51" t="s">
        <v>304</v>
      </c>
      <c r="F88" s="51" t="s">
        <v>441</v>
      </c>
      <c r="G88" s="64" t="str">
        <f t="shared" si="36"/>
        <v>[effect:enemy_message, val1:1.2, val2:2.3]</v>
      </c>
      <c r="H88" s="64">
        <f t="shared" si="37"/>
        <v>9</v>
      </c>
      <c r="I88" s="64">
        <f t="shared" si="38"/>
        <v>22</v>
      </c>
      <c r="J88" s="64" t="e">
        <f t="shared" si="39"/>
        <v>#VALUE!</v>
      </c>
      <c r="K88" s="64">
        <f t="shared" si="40"/>
        <v>32</v>
      </c>
      <c r="L88" s="64" t="str">
        <f>IFERROR(VLOOKUP(MID(G88,J88,K88-J88),[6]skilldef!$C:$D,2,FALSE),"-") &amp; " / " &amp; IFERROR(VLOOKUP(MID(G88,H88,I88-H88),[6]skilldef!$A:$B,2,FALSE),"-")</f>
        <v>- / -</v>
      </c>
      <c r="M88" s="64" t="str">
        <f t="shared" si="41"/>
        <v>[effect:critical, val:1.2, animation:enemy_critical],[effect:panel_freeze, target:normal, color:block_green, count:8]</v>
      </c>
      <c r="N88" s="48" t="str">
        <f t="shared" si="56"/>
        <v>[effect:critical, val:1.2, animation:enemy_critical],[effect:panel_freeze, target:normal, color:block_green, count:8]</v>
      </c>
      <c r="O88" s="64">
        <f t="shared" si="42"/>
        <v>9</v>
      </c>
      <c r="P88" s="64">
        <f t="shared" si="43"/>
        <v>17</v>
      </c>
      <c r="Q88" s="64">
        <f t="shared" si="44"/>
        <v>83</v>
      </c>
      <c r="R88" s="64">
        <f t="shared" si="45"/>
        <v>26</v>
      </c>
      <c r="S88" s="64" t="str">
        <f>IFERROR(VLOOKUP(MID(N88,Q88,R88-Q88),[6]skilldef!$C:$D,2,FALSE),"-") &amp; " / " &amp; IFERROR(VLOOKUP(MID(N88,O88,P88-O88),[6]skilldef!$A:$B,2,FALSE),"-")</f>
        <v>- / 大攻撃</v>
      </c>
      <c r="T88" s="48" t="str">
        <f t="shared" si="46"/>
        <v>[effect:panel_freeze, target:normal, color:block_green, count:8]</v>
      </c>
      <c r="U88" s="64">
        <f t="shared" si="47"/>
        <v>9</v>
      </c>
      <c r="V88" s="64">
        <f t="shared" si="48"/>
        <v>21</v>
      </c>
      <c r="W88" s="64">
        <f t="shared" si="49"/>
        <v>30</v>
      </c>
      <c r="X88" s="64">
        <f t="shared" si="50"/>
        <v>36</v>
      </c>
      <c r="Y88" s="64" t="str">
        <f>IFERROR(VLOOKUP(MID(T88,W88,X88-W88),[6]skilldef!$C:$D,2,FALSE),"-") &amp; " / " &amp; IFERROR(VLOOKUP(MID(T88,U88,V88-U88),[6]skilldef!$A:$B,2,FALSE),"-")</f>
        <v>- / -</v>
      </c>
      <c r="Z88" s="50"/>
      <c r="AA88" s="52"/>
      <c r="AB88" s="50"/>
    </row>
    <row r="89" spans="1:28" ht="21" customHeight="1" x14ac:dyDescent="0.15">
      <c r="A89" s="190">
        <v>40044088</v>
      </c>
      <c r="B89" s="47" t="s">
        <v>330</v>
      </c>
      <c r="C89" s="50">
        <v>3</v>
      </c>
      <c r="D89" s="50" t="s">
        <v>127</v>
      </c>
      <c r="E89" s="51" t="s">
        <v>303</v>
      </c>
      <c r="F89" s="51" t="s">
        <v>284</v>
      </c>
      <c r="G89" s="64" t="str">
        <f t="shared" si="36"/>
        <v>[effect:enemy_message, val1:1.2, val2:2.2]</v>
      </c>
      <c r="H89" s="64">
        <f t="shared" si="37"/>
        <v>9</v>
      </c>
      <c r="I89" s="64">
        <f t="shared" si="38"/>
        <v>22</v>
      </c>
      <c r="J89" s="64" t="e">
        <f t="shared" si="39"/>
        <v>#VALUE!</v>
      </c>
      <c r="K89" s="64">
        <f t="shared" si="40"/>
        <v>32</v>
      </c>
      <c r="L89" s="64" t="str">
        <f>IFERROR(VLOOKUP(MID(G89,J89,K89-J89),[6]skilldef!$C:$D,2,FALSE),"-") &amp; " / " &amp; IFERROR(VLOOKUP(MID(G89,H89,I89-H89),[6]skilldef!$A:$B,2,FALSE),"-")</f>
        <v>- / -</v>
      </c>
      <c r="M89" s="64" t="str">
        <f t="shared" si="41"/>
        <v>[effect:spread, val:0.4],[effect:hungup, target:unit_all, turn:2, rate:1, animation:hungup01]</v>
      </c>
      <c r="N89" s="48" t="str">
        <f t="shared" si="56"/>
        <v>[effect:spread, val:0.4],[effect:hungup, target:unit_all, turn:2, rate:1, animation:hungup01]</v>
      </c>
      <c r="O89" s="64">
        <f t="shared" si="42"/>
        <v>9</v>
      </c>
      <c r="P89" s="64">
        <f t="shared" si="43"/>
        <v>15</v>
      </c>
      <c r="Q89" s="64">
        <f t="shared" si="44"/>
        <v>49</v>
      </c>
      <c r="R89" s="64">
        <f t="shared" si="45"/>
        <v>25</v>
      </c>
      <c r="S89" s="64" t="str">
        <f>IFERROR(VLOOKUP(MID(N89,Q89,R89-Q89),[6]skilldef!$C:$D,2,FALSE),"-") &amp; " / " &amp; IFERROR(VLOOKUP(MID(N89,O89,P89-O89),[6]skilldef!$A:$B,2,FALSE),"-")</f>
        <v>- / 全体攻撃</v>
      </c>
      <c r="T89" s="48" t="str">
        <f t="shared" si="46"/>
        <v>[effect:hungup, target:unit_all, turn:2, rate:1, animation:hungup01]</v>
      </c>
      <c r="U89" s="64">
        <f t="shared" si="47"/>
        <v>9</v>
      </c>
      <c r="V89" s="64">
        <f t="shared" si="48"/>
        <v>15</v>
      </c>
      <c r="W89" s="64">
        <f t="shared" si="49"/>
        <v>24</v>
      </c>
      <c r="X89" s="64">
        <f t="shared" si="50"/>
        <v>32</v>
      </c>
      <c r="Y89" s="64" t="str">
        <f>IFERROR(VLOOKUP(MID(T89,W89,X89-W89),[6]skilldef!$C:$D,2,FALSE),"-") &amp; " / " &amp; IFERROR(VLOOKUP(MID(T89,U89,V89-U89),[6]skilldef!$A:$B,2,FALSE),"-")</f>
        <v>味方全体に / ハングアップ</v>
      </c>
      <c r="Z89" s="50"/>
      <c r="AA89" s="52"/>
      <c r="AB89" s="50"/>
    </row>
    <row r="90" spans="1:28" ht="21" customHeight="1" thickBot="1" x14ac:dyDescent="0.2">
      <c r="A90" s="191">
        <v>40044089</v>
      </c>
      <c r="B90" s="182" t="s">
        <v>296</v>
      </c>
      <c r="C90" s="175">
        <v>3</v>
      </c>
      <c r="D90" s="183" t="s">
        <v>127</v>
      </c>
      <c r="E90" s="184" t="s">
        <v>302</v>
      </c>
      <c r="F90" s="184" t="s">
        <v>285</v>
      </c>
      <c r="G90" s="185" t="str">
        <f t="shared" si="36"/>
        <v>[effect:enemy_message, val1:1.2, val2:3.1]</v>
      </c>
      <c r="H90" s="185">
        <f t="shared" si="37"/>
        <v>9</v>
      </c>
      <c r="I90" s="185">
        <f t="shared" si="38"/>
        <v>22</v>
      </c>
      <c r="J90" s="185" t="e">
        <f t="shared" si="39"/>
        <v>#VALUE!</v>
      </c>
      <c r="K90" s="185">
        <f t="shared" si="40"/>
        <v>32</v>
      </c>
      <c r="L90" s="185" t="str">
        <f>IFERROR(VLOOKUP(MID(G90,J90,K90-J90),[6]skilldef!$C:$D,2,FALSE),"-") &amp; " / " &amp; IFERROR(VLOOKUP(MID(G90,H90,I90-H90),[6]skilldef!$A:$B,2,FALSE),"-")</f>
        <v>- / -</v>
      </c>
      <c r="M90" s="185" t="str">
        <f t="shared" si="41"/>
        <v>[effect:freq_turn, target:myself, turn:1, val:1, animation:enemy_freq_turn],[effect:ability_lock, target:unit_all, turn:1]</v>
      </c>
      <c r="N90" s="186" t="str">
        <f t="shared" si="56"/>
        <v>[effect:freq_turn, target:myself, turn:1, val:1, animation:enemy_freq_turn],[effect:ability_lock, target:unit_all, turn:1]</v>
      </c>
      <c r="O90" s="185">
        <f t="shared" si="42"/>
        <v>9</v>
      </c>
      <c r="P90" s="185">
        <f t="shared" si="43"/>
        <v>18</v>
      </c>
      <c r="Q90" s="185">
        <f t="shared" si="44"/>
        <v>27</v>
      </c>
      <c r="R90" s="185">
        <f t="shared" si="45"/>
        <v>33</v>
      </c>
      <c r="S90" s="185" t="str">
        <f>IFERROR(VLOOKUP(MID(N90,Q90,R90-Q90),[6]skilldef!$C:$D,2,FALSE),"-") &amp; " / " &amp; IFERROR(VLOOKUP(MID(N90,O90,P90-O90),[6]skilldef!$A:$B,2,FALSE),"-")</f>
        <v>自分自身に / 攻撃頻度がUP</v>
      </c>
      <c r="T90" s="186" t="str">
        <f t="shared" si="46"/>
        <v>[effect:ability_lock, target:unit_all, turn:1]</v>
      </c>
      <c r="U90" s="185">
        <f t="shared" si="47"/>
        <v>9</v>
      </c>
      <c r="V90" s="185">
        <f t="shared" si="48"/>
        <v>21</v>
      </c>
      <c r="W90" s="185">
        <f t="shared" si="49"/>
        <v>30</v>
      </c>
      <c r="X90" s="185">
        <f t="shared" si="50"/>
        <v>38</v>
      </c>
      <c r="Y90" s="185" t="str">
        <f>IFERROR(VLOOKUP(MID(T90,W90,X90-W90),[6]skilldef!$C:$D,2,FALSE),"-") &amp; " / " &amp; IFERROR(VLOOKUP(MID(T90,U90,V90-U90),[6]skilldef!$A:$B,2,FALSE),"-")</f>
        <v>味方全体に / -</v>
      </c>
      <c r="Z90" s="183"/>
      <c r="AA90" s="187"/>
      <c r="AB90" s="183"/>
    </row>
    <row r="91" spans="1:28" ht="21" customHeight="1" x14ac:dyDescent="0.15">
      <c r="A91" s="190">
        <v>40044090</v>
      </c>
      <c r="B91" s="47" t="s">
        <v>446</v>
      </c>
      <c r="C91" s="168">
        <v>3</v>
      </c>
      <c r="D91" s="50" t="s">
        <v>127</v>
      </c>
      <c r="E91" s="199" t="s">
        <v>301</v>
      </c>
      <c r="F91" s="51" t="s">
        <v>442</v>
      </c>
      <c r="G91" s="64" t="str">
        <f t="shared" si="36"/>
        <v>[effect:enemy_message, val1:1.2, val2:2.3]</v>
      </c>
      <c r="H91" s="64">
        <f t="shared" si="37"/>
        <v>9</v>
      </c>
      <c r="I91" s="64">
        <f t="shared" si="38"/>
        <v>22</v>
      </c>
      <c r="J91" s="64" t="e">
        <f t="shared" si="39"/>
        <v>#VALUE!</v>
      </c>
      <c r="K91" s="64">
        <f t="shared" si="40"/>
        <v>32</v>
      </c>
      <c r="L91" s="64" t="str">
        <f>IFERROR(VLOOKUP(MID(G91,J91,K91-J91),[6]skilldef!$C:$D,2,FALSE),"-") &amp; " / " &amp; IFERROR(VLOOKUP(MID(G91,H91,I91-H91),[6]skilldef!$A:$B,2,FALSE),"-")</f>
        <v>- / -</v>
      </c>
      <c r="M91" s="64" t="str">
        <f t="shared" si="41"/>
        <v>[effect:critical, val:1.4, animation:enemy_critical],[effect:panel_freeze, target:normal, color:block_yellow, count:5]</v>
      </c>
      <c r="N91" s="48" t="str">
        <f t="shared" si="56"/>
        <v>[effect:critical, val:1.4, animation:enemy_critical],[effect:panel_freeze, target:normal, color:block_yellow, count:5]</v>
      </c>
      <c r="O91" s="64">
        <f t="shared" si="42"/>
        <v>9</v>
      </c>
      <c r="P91" s="64">
        <f t="shared" si="43"/>
        <v>17</v>
      </c>
      <c r="Q91" s="64">
        <f t="shared" si="44"/>
        <v>83</v>
      </c>
      <c r="R91" s="64">
        <f t="shared" si="45"/>
        <v>26</v>
      </c>
      <c r="S91" s="64" t="str">
        <f>IFERROR(VLOOKUP(MID(N91,Q91,R91-Q91),[6]skilldef!$C:$D,2,FALSE),"-") &amp; " / " &amp; IFERROR(VLOOKUP(MID(N91,O91,P91-O91),[6]skilldef!$A:$B,2,FALSE),"-")</f>
        <v>- / 大攻撃</v>
      </c>
      <c r="T91" s="48" t="str">
        <f t="shared" si="46"/>
        <v>[effect:panel_freeze, target:normal, color:block_yellow, count:5]</v>
      </c>
      <c r="U91" s="64">
        <f t="shared" si="47"/>
        <v>9</v>
      </c>
      <c r="V91" s="64">
        <f t="shared" si="48"/>
        <v>21</v>
      </c>
      <c r="W91" s="64">
        <f t="shared" si="49"/>
        <v>30</v>
      </c>
      <c r="X91" s="64">
        <f t="shared" si="50"/>
        <v>36</v>
      </c>
      <c r="Y91" s="64" t="str">
        <f>IFERROR(VLOOKUP(MID(T91,W91,X91-W91),[6]skilldef!$C:$D,2,FALSE),"-") &amp; " / " &amp; IFERROR(VLOOKUP(MID(T91,U91,V91-U91),[6]skilldef!$A:$B,2,FALSE),"-")</f>
        <v>- / -</v>
      </c>
      <c r="Z91" s="50"/>
      <c r="AA91" s="52"/>
      <c r="AB91" s="50"/>
    </row>
    <row r="92" spans="1:28" ht="21" customHeight="1" thickBot="1" x14ac:dyDescent="0.2">
      <c r="A92" s="191">
        <v>40044091</v>
      </c>
      <c r="B92" s="182" t="s">
        <v>332</v>
      </c>
      <c r="C92" s="175">
        <v>3</v>
      </c>
      <c r="D92" s="183" t="s">
        <v>127</v>
      </c>
      <c r="E92" s="184" t="s">
        <v>300</v>
      </c>
      <c r="F92" s="184" t="s">
        <v>286</v>
      </c>
      <c r="G92" s="185" t="str">
        <f t="shared" si="36"/>
        <v>[effect:enemy_message, val1:1.2, val2:2.0]</v>
      </c>
      <c r="H92" s="185">
        <f t="shared" si="37"/>
        <v>9</v>
      </c>
      <c r="I92" s="185">
        <f t="shared" si="38"/>
        <v>22</v>
      </c>
      <c r="J92" s="185" t="e">
        <f t="shared" si="39"/>
        <v>#VALUE!</v>
      </c>
      <c r="K92" s="185">
        <f t="shared" si="40"/>
        <v>32</v>
      </c>
      <c r="L92" s="185" t="str">
        <f>IFERROR(VLOOKUP(MID(G92,J92,K92-J92),[6]skilldef!$C:$D,2,FALSE),"-") &amp; " / " &amp; IFERROR(VLOOKUP(MID(G92,H92,I92-H92),[6]skilldef!$A:$B,2,FALSE),"-")</f>
        <v>- / -</v>
      </c>
      <c r="M92" s="185" t="str">
        <f t="shared" si="41"/>
        <v>[effect:spread, val:0.4],[effect:panel_freeze, target:normal, color:block_red, count:8]</v>
      </c>
      <c r="N92" s="186" t="str">
        <f t="shared" si="56"/>
        <v>[effect:spread, val:0.4],[effect:panel_freeze, target:normal, color:block_red, count:8]</v>
      </c>
      <c r="O92" s="185">
        <f t="shared" si="42"/>
        <v>9</v>
      </c>
      <c r="P92" s="185">
        <f t="shared" si="43"/>
        <v>15</v>
      </c>
      <c r="Q92" s="185">
        <f t="shared" si="44"/>
        <v>55</v>
      </c>
      <c r="R92" s="185">
        <f t="shared" si="45"/>
        <v>25</v>
      </c>
      <c r="S92" s="185" t="str">
        <f>IFERROR(VLOOKUP(MID(N92,Q92,R92-Q92),[6]skilldef!$C:$D,2,FALSE),"-") &amp; " / " &amp; IFERROR(VLOOKUP(MID(N92,O92,P92-O92),[6]skilldef!$A:$B,2,FALSE),"-")</f>
        <v>- / 全体攻撃</v>
      </c>
      <c r="T92" s="186" t="str">
        <f t="shared" si="46"/>
        <v>[effect:panel_freeze, target:normal, color:block_red, count:8]</v>
      </c>
      <c r="U92" s="185">
        <f t="shared" si="47"/>
        <v>9</v>
      </c>
      <c r="V92" s="185">
        <f t="shared" si="48"/>
        <v>21</v>
      </c>
      <c r="W92" s="185">
        <f t="shared" si="49"/>
        <v>30</v>
      </c>
      <c r="X92" s="185">
        <f t="shared" si="50"/>
        <v>36</v>
      </c>
      <c r="Y92" s="185" t="str">
        <f>IFERROR(VLOOKUP(MID(T92,W92,X92-W92),[6]skilldef!$C:$D,2,FALSE),"-") &amp; " / " &amp; IFERROR(VLOOKUP(MID(T92,U92,V92-U92),[6]skilldef!$A:$B,2,FALSE),"-")</f>
        <v>- / -</v>
      </c>
      <c r="Z92" s="183"/>
      <c r="AA92" s="187"/>
      <c r="AB92" s="183"/>
    </row>
    <row r="93" spans="1:28" ht="21" customHeight="1" x14ac:dyDescent="0.15">
      <c r="A93" s="193">
        <v>40044092</v>
      </c>
      <c r="B93" s="47" t="s">
        <v>394</v>
      </c>
      <c r="C93" s="168">
        <v>3</v>
      </c>
      <c r="D93" s="50" t="s">
        <v>127</v>
      </c>
      <c r="E93" s="51" t="s">
        <v>382</v>
      </c>
      <c r="F93" s="51" t="s">
        <v>353</v>
      </c>
      <c r="G93" s="64" t="str">
        <f t="shared" ref="G93:G115" si="57">IFERROR(LEFT(B93,FIND("],",B93)),B93)</f>
        <v>[effect:enemy_message, val1:2.7, val2:3.2]</v>
      </c>
      <c r="H93" s="64">
        <f t="shared" ref="H93:H115" si="58">FIND("effect:",G93)+7</f>
        <v>9</v>
      </c>
      <c r="I93" s="64">
        <f t="shared" ref="I93:I115" si="59">IFERROR(FIND(",",G93),LEN(G93))</f>
        <v>22</v>
      </c>
      <c r="J93" s="64" t="e">
        <f t="shared" ref="J93:J115" si="60">FIND("target:",G93)+7</f>
        <v>#VALUE!</v>
      </c>
      <c r="K93" s="64">
        <f t="shared" ref="K93:K115" si="61">FIND(",",G93,I93+1)</f>
        <v>32</v>
      </c>
      <c r="L93" s="64" t="str">
        <f>IFERROR(VLOOKUP(MID(G93,J93,K93-J93),[6]skilldef!$C:$D,2,FALSE),"-") &amp; " / " &amp; IFERROR(VLOOKUP(MID(G93,H93,I93-H93),[6]skilldef!$A:$B,2,FALSE),"-")</f>
        <v>- / -</v>
      </c>
      <c r="M93" s="64" t="str">
        <f t="shared" ref="M93:M115" si="62">IFERROR(RIGHT(B93,LEN(B93)-FIND("],",B93)-1),"none")</f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N93" s="48" t="str">
        <f t="shared" si="56"/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O93" s="64">
        <f t="shared" ref="O93:O115" si="63">FIND("effect:",N93)+7</f>
        <v>9</v>
      </c>
      <c r="P93" s="64">
        <f t="shared" ref="P93:P115" si="64">IFERROR(FIND(",",N93),LEN(N93))</f>
        <v>18</v>
      </c>
      <c r="Q93" s="64">
        <f t="shared" ref="Q93:Q115" si="65">FIND("target:",N93)+7</f>
        <v>27</v>
      </c>
      <c r="R93" s="64">
        <f t="shared" ref="R93:R115" si="66">FIND(",",N93,P93+1)</f>
        <v>33</v>
      </c>
      <c r="S93" s="64" t="str">
        <f>IFERROR(VLOOKUP(MID(N93,Q93,R93-Q93),[6]skilldef!$C:$D,2,FALSE),"-") &amp; " / " &amp; IFERROR(VLOOKUP(MID(N93,O93,P93-O93),[6]skilldef!$A:$B,2,FALSE),"-")</f>
        <v>自分自身に / 行動値設定</v>
      </c>
      <c r="T93" s="48" t="str">
        <f t="shared" ref="T93:T115" si="67">IFERROR(RIGHT(M93,LEN(M93)-FIND("],",M93)-1),"none")</f>
        <v>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U93" s="64">
        <f t="shared" ref="U93:U115" si="68">FIND("effect:",T93)+7</f>
        <v>9</v>
      </c>
      <c r="V93" s="64">
        <f t="shared" ref="V93:V115" si="69">IFERROR(FIND(",",T93),LEN(T93))</f>
        <v>18</v>
      </c>
      <c r="W93" s="64">
        <f t="shared" ref="W93:W115" si="70">FIND("target:",T93)+7</f>
        <v>27</v>
      </c>
      <c r="X93" s="64">
        <f t="shared" ref="X93:X115" si="71">FIND(",",T93,V93+1)</f>
        <v>33</v>
      </c>
      <c r="Y93" s="64" t="str">
        <f>IFERROR(VLOOKUP(MID(T93,W93,X93-W93),[6]skilldef!$C:$D,2,FALSE),"-") &amp; " / " &amp; IFERROR(VLOOKUP(MID(T93,U93,V93-U93),[6]skilldef!$A:$B,2,FALSE),"-")</f>
        <v>自分自身に / 状態異常耐性</v>
      </c>
      <c r="Z93" s="50"/>
      <c r="AA93" s="52"/>
      <c r="AB93" s="50"/>
    </row>
    <row r="94" spans="1:28" ht="21" customHeight="1" x14ac:dyDescent="0.15">
      <c r="A94" s="193">
        <v>40044093</v>
      </c>
      <c r="B94" s="47" t="s">
        <v>354</v>
      </c>
      <c r="C94" s="50">
        <v>3</v>
      </c>
      <c r="D94" s="50" t="s">
        <v>127</v>
      </c>
      <c r="E94" s="51" t="s">
        <v>351</v>
      </c>
      <c r="F94" s="51" t="s">
        <v>353</v>
      </c>
      <c r="G94" s="64" t="str">
        <f t="shared" si="57"/>
        <v>[effect:enemy_message, val1:2.6, val2:3.2]</v>
      </c>
      <c r="H94" s="64">
        <f t="shared" si="58"/>
        <v>9</v>
      </c>
      <c r="I94" s="64">
        <f t="shared" si="59"/>
        <v>22</v>
      </c>
      <c r="J94" s="64" t="e">
        <f t="shared" si="60"/>
        <v>#VALUE!</v>
      </c>
      <c r="K94" s="64">
        <f t="shared" si="61"/>
        <v>32</v>
      </c>
      <c r="L94" s="64" t="str">
        <f>IFERROR(VLOOKUP(MID(G94,J94,K94-J94),[6]skilldef!$C:$D,2,FALSE),"-") &amp; " / " &amp; IFERROR(VLOOKUP(MID(G94,H94,I94-H94),[6]skilldef!$A:$B,2,FALSE),"-")</f>
        <v>- / -</v>
      </c>
      <c r="M94" s="64" t="str">
        <f t="shared" si="62"/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N94" s="48" t="str">
        <f>IFERROR(LEFT(M94,FIND("],",M94)+S107),M94)</f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O94" s="64">
        <f t="shared" si="63"/>
        <v>9</v>
      </c>
      <c r="P94" s="64">
        <f t="shared" si="64"/>
        <v>18</v>
      </c>
      <c r="Q94" s="64">
        <f t="shared" si="65"/>
        <v>27</v>
      </c>
      <c r="R94" s="64">
        <f t="shared" si="66"/>
        <v>33</v>
      </c>
      <c r="S94" s="64" t="str">
        <f>IFERROR(VLOOKUP(MID(N94,Q94,R94-Q94),[6]skilldef!$C:$D,2,FALSE),"-") &amp; " / " &amp; IFERROR(VLOOKUP(MID(N94,O94,P94-O94),[6]skilldef!$A:$B,2,FALSE),"-")</f>
        <v>自分自身に / 行動値設定</v>
      </c>
      <c r="T94" s="48" t="str">
        <f t="shared" si="67"/>
        <v>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U94" s="64">
        <f t="shared" si="68"/>
        <v>9</v>
      </c>
      <c r="V94" s="64">
        <f t="shared" si="69"/>
        <v>18</v>
      </c>
      <c r="W94" s="64">
        <f t="shared" si="70"/>
        <v>27</v>
      </c>
      <c r="X94" s="64">
        <f t="shared" si="71"/>
        <v>33</v>
      </c>
      <c r="Y94" s="64" t="str">
        <f>IFERROR(VLOOKUP(MID(T94,W94,X94-W94),[6]skilldef!$C:$D,2,FALSE),"-") &amp; " / " &amp; IFERROR(VLOOKUP(MID(T94,U94,V94-U94),[6]skilldef!$A:$B,2,FALSE),"-")</f>
        <v>自分自身に / 状態異常耐性</v>
      </c>
      <c r="Z94" s="50"/>
      <c r="AA94" s="52"/>
      <c r="AB94" s="50"/>
    </row>
    <row r="95" spans="1:28" ht="21" customHeight="1" x14ac:dyDescent="0.15">
      <c r="A95" s="193">
        <v>40044094</v>
      </c>
      <c r="B95" s="47" t="s">
        <v>355</v>
      </c>
      <c r="C95" s="50">
        <v>3</v>
      </c>
      <c r="D95" s="50" t="s">
        <v>127</v>
      </c>
      <c r="E95" s="51" t="s">
        <v>352</v>
      </c>
      <c r="F95" s="51" t="s">
        <v>353</v>
      </c>
      <c r="G95" s="64" t="str">
        <f t="shared" si="57"/>
        <v>[effect:enemy_message, val1:3.0, val2:3.2]</v>
      </c>
      <c r="H95" s="64">
        <f t="shared" si="58"/>
        <v>9</v>
      </c>
      <c r="I95" s="64">
        <f t="shared" si="59"/>
        <v>22</v>
      </c>
      <c r="J95" s="64" t="e">
        <f t="shared" si="60"/>
        <v>#VALUE!</v>
      </c>
      <c r="K95" s="64">
        <f t="shared" si="61"/>
        <v>32</v>
      </c>
      <c r="L95" s="64" t="str">
        <f>IFERROR(VLOOKUP(MID(G95,J95,K95-J95),[6]skilldef!$C:$D,2,FALSE),"-") &amp; " / " &amp; IFERROR(VLOOKUP(MID(G95,H95,I95-H95),[6]skilldef!$A:$B,2,FALSE),"-")</f>
        <v>- / -</v>
      </c>
      <c r="M95" s="64" t="str">
        <f t="shared" si="62"/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N95" s="48" t="str">
        <f>IFERROR(LEFT(M95,FIND("],",M95)+S108),M95)</f>
        <v>[effect:fix_speed, target:myself, turn:2],[effect:tolerance,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O95" s="64">
        <f t="shared" si="63"/>
        <v>9</v>
      </c>
      <c r="P95" s="64">
        <f t="shared" si="64"/>
        <v>18</v>
      </c>
      <c r="Q95" s="64">
        <f t="shared" si="65"/>
        <v>27</v>
      </c>
      <c r="R95" s="64">
        <f t="shared" si="66"/>
        <v>33</v>
      </c>
      <c r="S95" s="64" t="str">
        <f>IFERROR(VLOOKUP(MID(N95,Q95,R95-Q95),[6]skilldef!$C:$D,2,FALSE),"-") &amp; " / " &amp; IFERROR(VLOOKUP(MID(N95,O95,P95-O95),[6]skilldef!$A:$B,2,FALSE),"-")</f>
        <v>自分自身に / 行動値設定</v>
      </c>
      <c r="T95" s="48" t="str">
        <f t="shared" si="67"/>
        <v>[effect:tolerance, target:myself, turn:-1, count:-1, tolerance_effect:all, animation:enemy_tolerance],[effect:remove_enhancement, target:unit_all, target_effect:all, animation:frozen_wave],[effect:drop_freeze, turn:-1, block_type:normal, block_color:block_red, rate:1, animation:drop_protect]</v>
      </c>
      <c r="U95" s="64">
        <f t="shared" si="68"/>
        <v>9</v>
      </c>
      <c r="V95" s="64">
        <f t="shared" si="69"/>
        <v>18</v>
      </c>
      <c r="W95" s="64">
        <f t="shared" si="70"/>
        <v>27</v>
      </c>
      <c r="X95" s="64">
        <f t="shared" si="71"/>
        <v>33</v>
      </c>
      <c r="Y95" s="64" t="str">
        <f>IFERROR(VLOOKUP(MID(T95,W95,X95-W95),[6]skilldef!$C:$D,2,FALSE),"-") &amp; " / " &amp; IFERROR(VLOOKUP(MID(T95,U95,V95-U95),[6]skilldef!$A:$B,2,FALSE),"-")</f>
        <v>自分自身に / 状態異常耐性</v>
      </c>
      <c r="Z95" s="50"/>
      <c r="AA95" s="52"/>
      <c r="AB95" s="50"/>
    </row>
    <row r="96" spans="1:28" ht="21" customHeight="1" x14ac:dyDescent="0.15">
      <c r="A96" s="193">
        <v>40044095</v>
      </c>
      <c r="B96" s="47" t="s">
        <v>440</v>
      </c>
      <c r="C96" s="50">
        <v>3</v>
      </c>
      <c r="D96" s="50" t="s">
        <v>127</v>
      </c>
      <c r="E96" s="51" t="s">
        <v>383</v>
      </c>
      <c r="F96" s="51" t="s">
        <v>443</v>
      </c>
      <c r="G96" s="64" t="str">
        <f t="shared" si="57"/>
        <v>[effect:enemy_message, val1:1.2, val2:1.2]</v>
      </c>
      <c r="H96" s="64">
        <f t="shared" si="58"/>
        <v>9</v>
      </c>
      <c r="I96" s="64">
        <f t="shared" si="59"/>
        <v>22</v>
      </c>
      <c r="J96" s="64" t="e">
        <f t="shared" si="60"/>
        <v>#VALUE!</v>
      </c>
      <c r="K96" s="64">
        <f t="shared" si="61"/>
        <v>32</v>
      </c>
      <c r="L96" s="64" t="str">
        <f>IFERROR(VLOOKUP(MID(G96,J96,K96-J96),[6]skilldef!$C:$D,2,FALSE),"-") &amp; " / " &amp; IFERROR(VLOOKUP(MID(G96,H96,I96-H96),[6]skilldef!$A:$B,2,FALSE),"-")</f>
        <v>- / -</v>
      </c>
      <c r="M96" s="64" t="str">
        <f t="shared" si="62"/>
        <v>[effect:critical, val:1.2, animation:enemy_critical],[effect:heal, target:myself, val:0.1, animation:enemy_heal]</v>
      </c>
      <c r="N96" s="48" t="str">
        <f>IFERROR(LEFT(M96,FIND("],",M96)+S109),M96)</f>
        <v>[effect:critical, val:1.2, animation:enemy_critical],[effect:heal, target:myself, val:0.1, animation:enemy_heal]</v>
      </c>
      <c r="O96" s="64">
        <f t="shared" si="63"/>
        <v>9</v>
      </c>
      <c r="P96" s="64">
        <f t="shared" si="64"/>
        <v>17</v>
      </c>
      <c r="Q96" s="64">
        <f t="shared" si="65"/>
        <v>75</v>
      </c>
      <c r="R96" s="64">
        <f t="shared" si="66"/>
        <v>26</v>
      </c>
      <c r="S96" s="64" t="str">
        <f>IFERROR(VLOOKUP(MID(N96,Q96,R96-Q96),[6]skilldef!$C:$D,2,FALSE),"-") &amp; " / " &amp; IFERROR(VLOOKUP(MID(N96,O96,P96-O96),[6]skilldef!$A:$B,2,FALSE),"-")</f>
        <v>- / 大攻撃</v>
      </c>
      <c r="T96" s="48" t="str">
        <f t="shared" si="67"/>
        <v>[effect:heal, target:myself, val:0.1, animation:enemy_heal]</v>
      </c>
      <c r="U96" s="64">
        <f t="shared" si="68"/>
        <v>9</v>
      </c>
      <c r="V96" s="64">
        <f t="shared" si="69"/>
        <v>13</v>
      </c>
      <c r="W96" s="64">
        <f t="shared" si="70"/>
        <v>22</v>
      </c>
      <c r="X96" s="64">
        <f t="shared" si="71"/>
        <v>28</v>
      </c>
      <c r="Y96" s="64" t="str">
        <f>IFERROR(VLOOKUP(MID(T96,W96,X96-W96),[6]skilldef!$C:$D,2,FALSE),"-") &amp; " / " &amp; IFERROR(VLOOKUP(MID(T96,U96,V96-U96),[6]skilldef!$A:$B,2,FALSE),"-")</f>
        <v>自分自身に / 回復</v>
      </c>
      <c r="Z96" s="50"/>
      <c r="AA96" s="52"/>
      <c r="AB96" s="50"/>
    </row>
    <row r="97" spans="1:28" ht="21" customHeight="1" x14ac:dyDescent="0.15">
      <c r="A97" s="193">
        <v>40044096</v>
      </c>
      <c r="B97" s="47" t="s">
        <v>415</v>
      </c>
      <c r="C97" s="50">
        <v>3</v>
      </c>
      <c r="D97" s="50" t="s">
        <v>127</v>
      </c>
      <c r="E97" s="51" t="s">
        <v>315</v>
      </c>
      <c r="F97" s="51" t="s">
        <v>414</v>
      </c>
      <c r="G97" s="64" t="str">
        <f t="shared" si="57"/>
        <v>[effect:enemy_message, val1:1.2, val2:2.2]</v>
      </c>
      <c r="H97" s="64">
        <f t="shared" si="58"/>
        <v>9</v>
      </c>
      <c r="I97" s="64">
        <f t="shared" si="59"/>
        <v>22</v>
      </c>
      <c r="J97" s="64" t="e">
        <f t="shared" si="60"/>
        <v>#VALUE!</v>
      </c>
      <c r="K97" s="64">
        <f t="shared" si="61"/>
        <v>32</v>
      </c>
      <c r="L97" s="64" t="str">
        <f>IFERROR(VLOOKUP(MID(G97,J97,K97-J97),[6]skilldef!$C:$D,2,FALSE),"-") &amp; " / " &amp; IFERROR(VLOOKUP(MID(G97,H97,I97-H97),[6]skilldef!$A:$B,2,FALSE),"-")</f>
        <v>- / -</v>
      </c>
      <c r="M97" s="64" t="str">
        <f t="shared" si="62"/>
        <v>[effect:spread, val:0.4],[effect:virus, turn:2, rate:1, val:0.2, animation:enemy_virus]</v>
      </c>
      <c r="N97" s="48" t="str">
        <f>IFERROR(LEFT(M97,FIND("],",M97)+S113),M97)</f>
        <v>[effect:spread, val:0.4],[effect:virus, turn:2, rate:1, val:0.2, animation:enemy_virus]</v>
      </c>
      <c r="O97" s="64">
        <f t="shared" si="63"/>
        <v>9</v>
      </c>
      <c r="P97" s="64">
        <f t="shared" si="64"/>
        <v>15</v>
      </c>
      <c r="Q97" s="64" t="e">
        <f t="shared" si="65"/>
        <v>#VALUE!</v>
      </c>
      <c r="R97" s="64">
        <f t="shared" si="66"/>
        <v>25</v>
      </c>
      <c r="S97" s="64" t="str">
        <f>IFERROR(VLOOKUP(MID(N97,Q97,R97-Q97),[6]skilldef!$C:$D,2,FALSE),"-") &amp; " / " &amp; IFERROR(VLOOKUP(MID(N97,O97,P97-O97),[6]skilldef!$A:$B,2,FALSE),"-")</f>
        <v>- / 全体攻撃</v>
      </c>
      <c r="T97" s="48" t="str">
        <f t="shared" si="67"/>
        <v>[effect:virus, turn:2, rate:1, val:0.2, animation:enemy_virus]</v>
      </c>
      <c r="U97" s="64">
        <f t="shared" si="68"/>
        <v>9</v>
      </c>
      <c r="V97" s="64">
        <f t="shared" si="69"/>
        <v>14</v>
      </c>
      <c r="W97" s="64" t="e">
        <f t="shared" si="70"/>
        <v>#VALUE!</v>
      </c>
      <c r="X97" s="64">
        <f t="shared" si="71"/>
        <v>22</v>
      </c>
      <c r="Y97" s="64" t="str">
        <f>IFERROR(VLOOKUP(MID(T97,W97,X97-W97),[6]skilldef!$C:$D,2,FALSE),"-") &amp; " / " &amp; IFERROR(VLOOKUP(MID(T97,U97,V97-U97),[6]skilldef!$A:$B,2,FALSE),"-")</f>
        <v>- / ウィルス</v>
      </c>
      <c r="Z97" s="50"/>
      <c r="AA97" s="52"/>
      <c r="AB97" s="50"/>
    </row>
    <row r="98" spans="1:28" ht="46" customHeight="1" x14ac:dyDescent="0.15">
      <c r="A98" s="193">
        <v>40044097</v>
      </c>
      <c r="B98" s="47" t="s">
        <v>466</v>
      </c>
      <c r="C98" s="50">
        <v>3</v>
      </c>
      <c r="D98" s="50" t="s">
        <v>127</v>
      </c>
      <c r="E98" s="51" t="s">
        <v>316</v>
      </c>
      <c r="F98" s="51" t="s">
        <v>465</v>
      </c>
      <c r="G98" s="64" t="str">
        <f t="shared" si="57"/>
        <v>[effect:enemy_message, val1:1.2, val2:5.0]</v>
      </c>
      <c r="H98" s="64">
        <f t="shared" si="58"/>
        <v>9</v>
      </c>
      <c r="I98" s="64">
        <f t="shared" si="59"/>
        <v>22</v>
      </c>
      <c r="J98" s="64" t="e">
        <f t="shared" si="60"/>
        <v>#VALUE!</v>
      </c>
      <c r="K98" s="64">
        <f t="shared" si="61"/>
        <v>32</v>
      </c>
      <c r="L98" s="64" t="str">
        <f>IFERROR(VLOOKUP(MID(G98,J98,K98-J98),[6]skilldef!$C:$D,2,FALSE),"-") &amp; " / " &amp; IFERROR(VLOOKUP(MID(G98,H98,I98-H98),[6]skilldef!$A:$B,2,FALSE),"-")</f>
        <v>- / -</v>
      </c>
      <c r="M98" s="64" t="str">
        <f t="shared" si="62"/>
        <v>[effect:ability_lock, target:unit_all, turn:1],[effect:virus, turn:-1, rate:1, val:0.25, animation:enemy_virus],[effect:degrade_unit, target:unit_all, turn:4, status:heal, val:0.5, calc:mul, animation:degrade_unit_all_heal]</v>
      </c>
      <c r="N98" s="48" t="str">
        <f>IFERROR(LEFT(M98,FIND("],",M98)+S114),M98)</f>
        <v>[effect:ability_lock, target:unit_all, turn:1],[effect:virus, turn:-1, rate:1, val:0.25, animation:enemy_virus],[effect:degrade_unit, target:unit_all, turn:4, status:heal, val:0.5, calc:mul, animation:degrade_unit_all_heal]</v>
      </c>
      <c r="O98" s="64">
        <f t="shared" si="63"/>
        <v>9</v>
      </c>
      <c r="P98" s="64">
        <f t="shared" si="64"/>
        <v>21</v>
      </c>
      <c r="Q98" s="64">
        <f t="shared" si="65"/>
        <v>30</v>
      </c>
      <c r="R98" s="64">
        <f t="shared" si="66"/>
        <v>38</v>
      </c>
      <c r="S98" s="64" t="str">
        <f>IFERROR(VLOOKUP(MID(N98,Q98,R98-Q98),[6]skilldef!$C:$D,2,FALSE),"-") &amp; " / " &amp; IFERROR(VLOOKUP(MID(N98,O98,P98-O98),[6]skilldef!$A:$B,2,FALSE),"-")</f>
        <v>味方全体に / -</v>
      </c>
      <c r="T98" s="48" t="str">
        <f t="shared" si="67"/>
        <v>[effect:virus, turn:-1, rate:1, val:0.25, animation:enemy_virus],[effect:degrade_unit, target:unit_all, turn:4, status:heal, val:0.5, calc:mul, animation:degrade_unit_all_heal]</v>
      </c>
      <c r="U98" s="64">
        <f t="shared" si="68"/>
        <v>9</v>
      </c>
      <c r="V98" s="64">
        <f t="shared" si="69"/>
        <v>14</v>
      </c>
      <c r="W98" s="64">
        <f t="shared" si="70"/>
        <v>95</v>
      </c>
      <c r="X98" s="64">
        <f t="shared" si="71"/>
        <v>23</v>
      </c>
      <c r="Y98" s="64" t="str">
        <f>IFERROR(VLOOKUP(MID(T98,W98,X98-W98),[6]skilldef!$C:$D,2,FALSE),"-") &amp; " / " &amp; IFERROR(VLOOKUP(MID(T98,U98,V98-U98),[6]skilldef!$A:$B,2,FALSE),"-")</f>
        <v>- / ウィルス</v>
      </c>
      <c r="Z98" s="50"/>
      <c r="AA98" s="52"/>
      <c r="AB98" s="50"/>
    </row>
    <row r="99" spans="1:28" ht="21" customHeight="1" x14ac:dyDescent="0.15">
      <c r="A99" s="193">
        <v>40044098</v>
      </c>
      <c r="B99" s="47" t="s">
        <v>410</v>
      </c>
      <c r="C99" s="50">
        <v>3</v>
      </c>
      <c r="D99" s="50" t="s">
        <v>127</v>
      </c>
      <c r="E99" s="51" t="s">
        <v>339</v>
      </c>
      <c r="F99" s="51" t="s">
        <v>288</v>
      </c>
      <c r="G99" s="64" t="str">
        <f t="shared" si="57"/>
        <v>[effect:enemy_message, val1:1.2, val2:2.2]</v>
      </c>
      <c r="H99" s="64">
        <f t="shared" si="58"/>
        <v>9</v>
      </c>
      <c r="I99" s="64">
        <f t="shared" si="59"/>
        <v>22</v>
      </c>
      <c r="J99" s="64" t="e">
        <f t="shared" si="60"/>
        <v>#VALUE!</v>
      </c>
      <c r="K99" s="64">
        <f t="shared" si="61"/>
        <v>32</v>
      </c>
      <c r="L99" s="64" t="str">
        <f>IFERROR(VLOOKUP(MID(G99,J99,K99-J99),[6]skilldef!$C:$D,2,FALSE),"-") &amp; " / " &amp; IFERROR(VLOOKUP(MID(G99,H99,I99-H99),[6]skilldef!$A:$B,2,FALSE),"-")</f>
        <v>- / -</v>
      </c>
      <c r="M99" s="64" t="str">
        <f t="shared" si="62"/>
        <v>[effect:spread, val:0.4],[effect:hungup, target:unit_all, turn:1, rate:1, animation:hungup01]</v>
      </c>
      <c r="N99" s="48" t="str">
        <f t="shared" ref="N99:N105" si="72">IFERROR(LEFT(M99,FIND("],",M99)+S113),M99)</f>
        <v>[effect:spread, val:0.4],[effect:hungup, target:unit_all, turn:1, rate:1, animation:hungup01]</v>
      </c>
      <c r="O99" s="64">
        <f t="shared" si="63"/>
        <v>9</v>
      </c>
      <c r="P99" s="64">
        <f t="shared" si="64"/>
        <v>15</v>
      </c>
      <c r="Q99" s="64">
        <f t="shared" si="65"/>
        <v>49</v>
      </c>
      <c r="R99" s="64">
        <f t="shared" si="66"/>
        <v>25</v>
      </c>
      <c r="S99" s="64" t="str">
        <f>IFERROR(VLOOKUP(MID(N99,Q99,R99-Q99),[6]skilldef!$C:$D,2,FALSE),"-") &amp; " / " &amp; IFERROR(VLOOKUP(MID(N99,O99,P99-O99),[6]skilldef!$A:$B,2,FALSE),"-")</f>
        <v>- / 全体攻撃</v>
      </c>
      <c r="T99" s="48" t="str">
        <f t="shared" si="67"/>
        <v>[effect:hungup, target:unit_all, turn:1, rate:1, animation:hungup01]</v>
      </c>
      <c r="U99" s="64">
        <f t="shared" si="68"/>
        <v>9</v>
      </c>
      <c r="V99" s="64">
        <f t="shared" si="69"/>
        <v>15</v>
      </c>
      <c r="W99" s="64">
        <f t="shared" si="70"/>
        <v>24</v>
      </c>
      <c r="X99" s="64">
        <f t="shared" si="71"/>
        <v>32</v>
      </c>
      <c r="Y99" s="64" t="str">
        <f>IFERROR(VLOOKUP(MID(T99,W99,X99-W99),[6]skilldef!$C:$D,2,FALSE),"-") &amp; " / " &amp; IFERROR(VLOOKUP(MID(T99,U99,V99-U99),[6]skilldef!$A:$B,2,FALSE),"-")</f>
        <v>味方全体に / ハングアップ</v>
      </c>
      <c r="Z99" s="50"/>
      <c r="AA99" s="52"/>
      <c r="AB99" s="50"/>
    </row>
    <row r="100" spans="1:28" ht="21" customHeight="1" thickBot="1" x14ac:dyDescent="0.2">
      <c r="A100" s="194">
        <v>40044099</v>
      </c>
      <c r="B100" s="182" t="s">
        <v>457</v>
      </c>
      <c r="C100" s="175">
        <v>3</v>
      </c>
      <c r="D100" s="183" t="s">
        <v>127</v>
      </c>
      <c r="E100" s="184" t="s">
        <v>317</v>
      </c>
      <c r="F100" s="184" t="s">
        <v>413</v>
      </c>
      <c r="G100" s="185" t="str">
        <f t="shared" si="57"/>
        <v>[effect:enemy_message, val1:1.4, val2:2.5]</v>
      </c>
      <c r="H100" s="185">
        <f t="shared" si="58"/>
        <v>9</v>
      </c>
      <c r="I100" s="185">
        <f t="shared" si="59"/>
        <v>22</v>
      </c>
      <c r="J100" s="185" t="e">
        <f t="shared" si="60"/>
        <v>#VALUE!</v>
      </c>
      <c r="K100" s="185">
        <f t="shared" si="61"/>
        <v>32</v>
      </c>
      <c r="L100" s="185" t="str">
        <f>IFERROR(VLOOKUP(MID(G100,J100,K100-J100),[6]skilldef!$C:$D,2,FALSE),"-") &amp; " / " &amp; IFERROR(VLOOKUP(MID(G100,H100,I100-H100),[6]skilldef!$A:$B,2,FALSE),"-")</f>
        <v>- / -</v>
      </c>
      <c r="M100" s="185" t="str">
        <f t="shared" si="62"/>
        <v>[effect:rush, count:2, val:0.8],[effect:virus, target:unit_one, turn:3, rate:1, val:0.2, animation:enemy_virus],[effect:virus, target:unit_one, turn:3, rate:1, val:0.2, animation:enemy_virus]</v>
      </c>
      <c r="N100" s="186" t="str">
        <f t="shared" si="72"/>
        <v>[effect:rush, count:2, val:0.8],[effect:virus, target:unit_one, turn:3, rate:1, val:0.2, animation:enemy_virus],[effect:virus, target:unit_one, turn:3, rate:1, val:0.2, animation:enemy_virus]</v>
      </c>
      <c r="O100" s="185">
        <f t="shared" si="63"/>
        <v>9</v>
      </c>
      <c r="P100" s="185">
        <f t="shared" si="64"/>
        <v>13</v>
      </c>
      <c r="Q100" s="185">
        <f t="shared" si="65"/>
        <v>55</v>
      </c>
      <c r="R100" s="185">
        <f t="shared" si="66"/>
        <v>22</v>
      </c>
      <c r="S100" s="185" t="str">
        <f>IFERROR(VLOOKUP(MID(N100,Q100,R100-Q100),[6]skilldef!$C:$D,2,FALSE),"-") &amp; " / " &amp; IFERROR(VLOOKUP(MID(N100,O100,P100-O100),[6]skilldef!$A:$B,2,FALSE),"-")</f>
        <v>- / 連続攻撃</v>
      </c>
      <c r="T100" s="186" t="str">
        <f t="shared" si="67"/>
        <v>[effect:virus, target:unit_one, turn:3, rate:1, val:0.2, animation:enemy_virus],[effect:virus, target:unit_one, turn:3, rate:1, val:0.2, animation:enemy_virus]</v>
      </c>
      <c r="U100" s="185">
        <f t="shared" si="68"/>
        <v>9</v>
      </c>
      <c r="V100" s="185">
        <f t="shared" si="69"/>
        <v>14</v>
      </c>
      <c r="W100" s="185">
        <f t="shared" si="70"/>
        <v>23</v>
      </c>
      <c r="X100" s="185">
        <f t="shared" si="71"/>
        <v>31</v>
      </c>
      <c r="Y100" s="185" t="str">
        <f>IFERROR(VLOOKUP(MID(T100,W100,X100-W100),[6]skilldef!$C:$D,2,FALSE),"-") &amp; " / " &amp; IFERROR(VLOOKUP(MID(T100,U100,V100-U100),[6]skilldef!$A:$B,2,FALSE),"-")</f>
        <v>味方単体に / ウィルス</v>
      </c>
      <c r="Z100" s="183"/>
      <c r="AA100" s="187"/>
      <c r="AB100" s="183"/>
    </row>
    <row r="101" spans="1:28" ht="21" customHeight="1" x14ac:dyDescent="0.15">
      <c r="A101" s="193">
        <v>40044100</v>
      </c>
      <c r="B101" s="47" t="s">
        <v>362</v>
      </c>
      <c r="C101" s="168">
        <v>3</v>
      </c>
      <c r="D101" s="50" t="s">
        <v>127</v>
      </c>
      <c r="E101" s="51" t="s">
        <v>318</v>
      </c>
      <c r="F101" s="51" t="s">
        <v>289</v>
      </c>
      <c r="G101" s="64" t="str">
        <f t="shared" si="57"/>
        <v>[effect:enemy_message, val1:1.2, val2:1.2]</v>
      </c>
      <c r="H101" s="64">
        <f t="shared" si="58"/>
        <v>9</v>
      </c>
      <c r="I101" s="64">
        <f t="shared" si="59"/>
        <v>22</v>
      </c>
      <c r="J101" s="64" t="e">
        <f t="shared" si="60"/>
        <v>#VALUE!</v>
      </c>
      <c r="K101" s="64">
        <f t="shared" si="61"/>
        <v>32</v>
      </c>
      <c r="L101" s="64" t="str">
        <f>IFERROR(VLOOKUP(MID(G101,J101,K101-J101),[6]skilldef!$C:$D,2,FALSE),"-") &amp; " / " &amp; IFERROR(VLOOKUP(MID(G101,H101,I101-H101),[6]skilldef!$A:$B,2,FALSE),"-")</f>
        <v>- / -</v>
      </c>
      <c r="M101" s="64" t="str">
        <f t="shared" si="62"/>
        <v>[effect:fix_speed, target:myself, turn:1],[effect:tolerance, target:myself, turn:-1, count:-1, tolerance_effect:all, animation:enemy_tolerance]</v>
      </c>
      <c r="N101" s="48" t="str">
        <f t="shared" si="72"/>
        <v>[effect:fix_speed, target:myself, turn:1],[effect:tolerance, target:myself, turn:-1, count:-1, tolerance_effect:all, animation:enemy_tolerance]</v>
      </c>
      <c r="O101" s="64">
        <f t="shared" si="63"/>
        <v>9</v>
      </c>
      <c r="P101" s="64">
        <f t="shared" si="64"/>
        <v>18</v>
      </c>
      <c r="Q101" s="64">
        <f t="shared" si="65"/>
        <v>27</v>
      </c>
      <c r="R101" s="64">
        <f t="shared" si="66"/>
        <v>33</v>
      </c>
      <c r="S101" s="64" t="str">
        <f>IFERROR(VLOOKUP(MID(N101,Q101,R101-Q101),[6]skilldef!$C:$D,2,FALSE),"-") &amp; " / " &amp; IFERROR(VLOOKUP(MID(N101,O101,P101-O101),[6]skilldef!$A:$B,2,FALSE),"-")</f>
        <v>自分自身に / 行動値設定</v>
      </c>
      <c r="T101" s="48" t="str">
        <f t="shared" si="67"/>
        <v>[effect:tolerance, target:myself, turn:-1, count:-1, tolerance_effect:all, animation:enemy_tolerance]</v>
      </c>
      <c r="U101" s="64">
        <f t="shared" si="68"/>
        <v>9</v>
      </c>
      <c r="V101" s="64">
        <f t="shared" si="69"/>
        <v>18</v>
      </c>
      <c r="W101" s="64">
        <f t="shared" si="70"/>
        <v>27</v>
      </c>
      <c r="X101" s="64">
        <f t="shared" si="71"/>
        <v>33</v>
      </c>
      <c r="Y101" s="64" t="str">
        <f>IFERROR(VLOOKUP(MID(T101,W101,X101-W101),[6]skilldef!$C:$D,2,FALSE),"-") &amp; " / " &amp; IFERROR(VLOOKUP(MID(T101,U101,V101-U101),[6]skilldef!$A:$B,2,FALSE),"-")</f>
        <v>自分自身に / 状態異常耐性</v>
      </c>
      <c r="Z101" s="50"/>
      <c r="AA101" s="52"/>
      <c r="AB101" s="50"/>
    </row>
    <row r="102" spans="1:28" ht="21" customHeight="1" x14ac:dyDescent="0.15">
      <c r="A102" s="193">
        <v>40044101</v>
      </c>
      <c r="B102" s="47" t="s">
        <v>470</v>
      </c>
      <c r="C102" s="50">
        <v>3</v>
      </c>
      <c r="D102" s="50" t="s">
        <v>127</v>
      </c>
      <c r="E102" s="51" t="s">
        <v>468</v>
      </c>
      <c r="F102" s="51" t="s">
        <v>411</v>
      </c>
      <c r="G102" s="64" t="str">
        <f t="shared" si="57"/>
        <v>[effect:enemy_message, val1:1.4, val2:1.5]</v>
      </c>
      <c r="H102" s="64">
        <f t="shared" si="58"/>
        <v>9</v>
      </c>
      <c r="I102" s="64">
        <f t="shared" si="59"/>
        <v>22</v>
      </c>
      <c r="J102" s="64" t="e">
        <f t="shared" si="60"/>
        <v>#VALUE!</v>
      </c>
      <c r="K102" s="64">
        <f t="shared" si="61"/>
        <v>32</v>
      </c>
      <c r="L102" s="64" t="str">
        <f>IFERROR(VLOOKUP(MID(G102,J102,K102-J102),[6]skilldef!$C:$D,2,FALSE),"-") &amp; " / " &amp; IFERROR(VLOOKUP(MID(G102,H102,I102-H102),[6]skilldef!$A:$B,2,FALSE),"-")</f>
        <v>- / -</v>
      </c>
      <c r="M102" s="64" t="str">
        <f t="shared" si="62"/>
        <v>[effect:spread, val:0.28],[effect:virus, turn:2, rate:1, val:0.15, animation:enemy_virus]</v>
      </c>
      <c r="N102" s="48" t="str">
        <f t="shared" si="72"/>
        <v>[effect:spread, val:0.28]</v>
      </c>
      <c r="O102" s="64">
        <f t="shared" si="63"/>
        <v>9</v>
      </c>
      <c r="P102" s="64">
        <f t="shared" si="64"/>
        <v>15</v>
      </c>
      <c r="Q102" s="64" t="e">
        <f t="shared" si="65"/>
        <v>#VALUE!</v>
      </c>
      <c r="R102" s="64" t="e">
        <f t="shared" si="66"/>
        <v>#VALUE!</v>
      </c>
      <c r="S102" s="64" t="str">
        <f>IFERROR(VLOOKUP(MID(N102,Q102,R102-Q102),[6]skilldef!$C:$D,2,FALSE),"-") &amp; " / " &amp; IFERROR(VLOOKUP(MID(N102,O102,P102-O102),[6]skilldef!$A:$B,2,FALSE),"-")</f>
        <v>- / 全体攻撃</v>
      </c>
      <c r="T102" s="48" t="str">
        <f t="shared" si="67"/>
        <v>[effect:virus, turn:2, rate:1, val:0.15, animation:enemy_virus]</v>
      </c>
      <c r="U102" s="64">
        <f t="shared" si="68"/>
        <v>9</v>
      </c>
      <c r="V102" s="64">
        <f t="shared" si="69"/>
        <v>14</v>
      </c>
      <c r="W102" s="64" t="e">
        <f t="shared" si="70"/>
        <v>#VALUE!</v>
      </c>
      <c r="X102" s="64">
        <f t="shared" si="71"/>
        <v>22</v>
      </c>
      <c r="Y102" s="64" t="str">
        <f>IFERROR(VLOOKUP(MID(T102,W102,X102-W102),[6]skilldef!$C:$D,2,FALSE),"-") &amp; " / " &amp; IFERROR(VLOOKUP(MID(T102,U102,V102-U102),[6]skilldef!$A:$B,2,FALSE),"-")</f>
        <v>- / ウィルス</v>
      </c>
      <c r="Z102" s="50"/>
      <c r="AA102" s="52"/>
      <c r="AB102" s="50"/>
    </row>
    <row r="103" spans="1:28" ht="21" customHeight="1" x14ac:dyDescent="0.15">
      <c r="A103" s="193">
        <v>40044102</v>
      </c>
      <c r="B103" s="47" t="s">
        <v>429</v>
      </c>
      <c r="C103" s="50">
        <v>3</v>
      </c>
      <c r="D103" s="50" t="s">
        <v>127</v>
      </c>
      <c r="E103" s="51" t="s">
        <v>335</v>
      </c>
      <c r="F103" s="51" t="s">
        <v>290</v>
      </c>
      <c r="G103" s="64" t="str">
        <f t="shared" si="57"/>
        <v>[effect:enemy_message, val1:1.5, val2:2.2]</v>
      </c>
      <c r="H103" s="64">
        <f t="shared" si="58"/>
        <v>9</v>
      </c>
      <c r="I103" s="64">
        <f t="shared" si="59"/>
        <v>22</v>
      </c>
      <c r="J103" s="64" t="e">
        <f t="shared" si="60"/>
        <v>#VALUE!</v>
      </c>
      <c r="K103" s="64">
        <f t="shared" si="61"/>
        <v>32</v>
      </c>
      <c r="L103" s="64" t="str">
        <f>IFERROR(VLOOKUP(MID(G103,J103,K103-J103),[6]skilldef!$C:$D,2,FALSE),"-") &amp; " / " &amp; IFERROR(VLOOKUP(MID(G103,H103,I103-H103),[6]skilldef!$A:$B,2,FALSE),"-")</f>
        <v>- / -</v>
      </c>
      <c r="M103" s="64" t="str">
        <f t="shared" si="62"/>
        <v>[effect:heal, target:myself, val:0.08, animation:enemy_heal],[effect:damage_anti_abnormal, target:unit_one, target_effect01:virus, val1:1.7, val2:0.8]</v>
      </c>
      <c r="N103" s="48" t="str">
        <f t="shared" si="72"/>
        <v>[effect:heal, target:myself, val:0.08, animation:enemy_heal]</v>
      </c>
      <c r="O103" s="64">
        <f t="shared" si="63"/>
        <v>9</v>
      </c>
      <c r="P103" s="64">
        <f t="shared" si="64"/>
        <v>13</v>
      </c>
      <c r="Q103" s="64">
        <f t="shared" si="65"/>
        <v>22</v>
      </c>
      <c r="R103" s="64">
        <f t="shared" si="66"/>
        <v>28</v>
      </c>
      <c r="S103" s="64" t="str">
        <f>IFERROR(VLOOKUP(MID(N103,Q103,R103-Q103),[6]skilldef!$C:$D,2,FALSE),"-") &amp; " / " &amp; IFERROR(VLOOKUP(MID(N103,O103,P103-O103),[6]skilldef!$A:$B,2,FALSE),"-")</f>
        <v>自分自身に / 回復</v>
      </c>
      <c r="T103" s="48" t="str">
        <f t="shared" si="67"/>
        <v>[effect:damage_anti_abnormal, target:unit_one, target_effect01:virus, val1:1.7, val2:0.8]</v>
      </c>
      <c r="U103" s="64">
        <f t="shared" si="68"/>
        <v>9</v>
      </c>
      <c r="V103" s="64">
        <f t="shared" si="69"/>
        <v>29</v>
      </c>
      <c r="W103" s="64">
        <f t="shared" si="70"/>
        <v>38</v>
      </c>
      <c r="X103" s="64">
        <f t="shared" si="71"/>
        <v>46</v>
      </c>
      <c r="Y103" s="64" t="str">
        <f>IFERROR(VLOOKUP(MID(T103,W103,X103-W103),[6]skilldef!$C:$D,2,FALSE),"-") &amp; " / " &amp; IFERROR(VLOOKUP(MID(T103,U103,V103-U103),[6]skilldef!$A:$B,2,FALSE),"-")</f>
        <v>味方単体に / -</v>
      </c>
      <c r="Z103" s="50"/>
      <c r="AA103" s="52"/>
      <c r="AB103" s="50"/>
    </row>
    <row r="104" spans="1:28" ht="21" customHeight="1" x14ac:dyDescent="0.15">
      <c r="A104" s="193">
        <v>40044103</v>
      </c>
      <c r="B104" s="47" t="s">
        <v>395</v>
      </c>
      <c r="C104" s="50">
        <v>3</v>
      </c>
      <c r="D104" s="50" t="s">
        <v>127</v>
      </c>
      <c r="E104" s="51" t="s">
        <v>319</v>
      </c>
      <c r="F104" s="51" t="s">
        <v>396</v>
      </c>
      <c r="G104" s="64" t="str">
        <f t="shared" si="57"/>
        <v>[effect:enemy_message, val1:1.2, val2:2.5]</v>
      </c>
      <c r="H104" s="64">
        <f t="shared" si="58"/>
        <v>9</v>
      </c>
      <c r="I104" s="64">
        <f t="shared" si="59"/>
        <v>22</v>
      </c>
      <c r="J104" s="64" t="e">
        <f t="shared" si="60"/>
        <v>#VALUE!</v>
      </c>
      <c r="K104" s="64">
        <f t="shared" si="61"/>
        <v>32</v>
      </c>
      <c r="L104" s="64" t="str">
        <f>IFERROR(VLOOKUP(MID(G104,J104,K104-J104),[6]skilldef!$C:$D,2,FALSE),"-") &amp; " / " &amp; IFERROR(VLOOKUP(MID(G104,H104,I104-H104),[6]skilldef!$A:$B,2,FALSE),"-")</f>
        <v>- / -</v>
      </c>
      <c r="M104" s="64" t="str">
        <f t="shared" si="62"/>
        <v>[effect:spread, val:0.28],[effect:attack_break, target:unit_all, turn:2, val:0.3, calc:mul, animation:attack_break01]</v>
      </c>
      <c r="N104" s="48" t="str">
        <f t="shared" si="72"/>
        <v>[effect:spread, val:0.28]</v>
      </c>
      <c r="O104" s="64">
        <f t="shared" si="63"/>
        <v>9</v>
      </c>
      <c r="P104" s="64">
        <f t="shared" si="64"/>
        <v>15</v>
      </c>
      <c r="Q104" s="64" t="e">
        <f t="shared" si="65"/>
        <v>#VALUE!</v>
      </c>
      <c r="R104" s="64" t="e">
        <f t="shared" si="66"/>
        <v>#VALUE!</v>
      </c>
      <c r="S104" s="64" t="str">
        <f>IFERROR(VLOOKUP(MID(N104,Q104,R104-Q104),[6]skilldef!$C:$D,2,FALSE),"-") &amp; " / " &amp; IFERROR(VLOOKUP(MID(N104,O104,P104-O104),[6]skilldef!$A:$B,2,FALSE),"-")</f>
        <v>- / 全体攻撃</v>
      </c>
      <c r="T104" s="48" t="str">
        <f t="shared" si="67"/>
        <v>[effect:attack_break, target:unit_all, turn:2, val:0.3, calc:mul, animation:attack_break01]</v>
      </c>
      <c r="U104" s="64">
        <f t="shared" si="68"/>
        <v>9</v>
      </c>
      <c r="V104" s="64">
        <f t="shared" si="69"/>
        <v>21</v>
      </c>
      <c r="W104" s="64">
        <f t="shared" si="70"/>
        <v>30</v>
      </c>
      <c r="X104" s="64">
        <f t="shared" si="71"/>
        <v>38</v>
      </c>
      <c r="Y104" s="64" t="str">
        <f>IFERROR(VLOOKUP(MID(T104,W104,X104-W104),[6]skilldef!$C:$D,2,FALSE),"-") &amp; " / " &amp; IFERROR(VLOOKUP(MID(T104,U104,V104-U104),[6]skilldef!$A:$B,2,FALSE),"-")</f>
        <v>味方全体に / -</v>
      </c>
      <c r="Z104" s="50"/>
      <c r="AA104" s="52"/>
      <c r="AB104" s="50"/>
    </row>
    <row r="105" spans="1:28" ht="21" customHeight="1" thickBot="1" x14ac:dyDescent="0.2">
      <c r="A105" s="194">
        <v>40044104</v>
      </c>
      <c r="B105" s="182" t="s">
        <v>398</v>
      </c>
      <c r="C105" s="175">
        <v>3</v>
      </c>
      <c r="D105" s="183" t="s">
        <v>127</v>
      </c>
      <c r="E105" s="184" t="s">
        <v>320</v>
      </c>
      <c r="F105" s="184" t="s">
        <v>397</v>
      </c>
      <c r="G105" s="185" t="str">
        <f t="shared" si="57"/>
        <v>[effect:enemy_message, val1:1.2, val2:2.5]</v>
      </c>
      <c r="H105" s="185">
        <f t="shared" si="58"/>
        <v>9</v>
      </c>
      <c r="I105" s="185">
        <f t="shared" si="59"/>
        <v>22</v>
      </c>
      <c r="J105" s="185" t="e">
        <f t="shared" si="60"/>
        <v>#VALUE!</v>
      </c>
      <c r="K105" s="185">
        <f t="shared" si="61"/>
        <v>32</v>
      </c>
      <c r="L105" s="185" t="str">
        <f>IFERROR(VLOOKUP(MID(G105,J105,K105-J105),[6]skilldef!$C:$D,2,FALSE),"-") &amp; " / " &amp; IFERROR(VLOOKUP(MID(G105,H105,I105-H105),[6]skilldef!$A:$B,2,FALSE),"-")</f>
        <v>- / -</v>
      </c>
      <c r="M105" s="185" t="str">
        <f t="shared" si="62"/>
        <v>[effect:spread, val:0.28],[effect:degrade_unit, target:unit_all, turn:2, status:heal, val:0.3, calc:mul, animation:degrade_unit_all_heal]</v>
      </c>
      <c r="N105" s="186" t="str">
        <f t="shared" si="72"/>
        <v>[effect:spread, val:0.28]</v>
      </c>
      <c r="O105" s="185">
        <f t="shared" si="63"/>
        <v>9</v>
      </c>
      <c r="P105" s="185">
        <f t="shared" si="64"/>
        <v>15</v>
      </c>
      <c r="Q105" s="185" t="e">
        <f t="shared" si="65"/>
        <v>#VALUE!</v>
      </c>
      <c r="R105" s="185" t="e">
        <f t="shared" si="66"/>
        <v>#VALUE!</v>
      </c>
      <c r="S105" s="185" t="str">
        <f>IFERROR(VLOOKUP(MID(N105,Q105,R105-Q105),[6]skilldef!$C:$D,2,FALSE),"-") &amp; " / " &amp; IFERROR(VLOOKUP(MID(N105,O105,P105-O105),[6]skilldef!$A:$B,2,FALSE),"-")</f>
        <v>- / 全体攻撃</v>
      </c>
      <c r="T105" s="186" t="str">
        <f t="shared" si="67"/>
        <v>[effect:degrade_unit, target:unit_all, turn:2, status:heal, val:0.3, calc:mul, animation:degrade_unit_all_heal]</v>
      </c>
      <c r="U105" s="185">
        <f t="shared" si="68"/>
        <v>9</v>
      </c>
      <c r="V105" s="185">
        <f t="shared" si="69"/>
        <v>21</v>
      </c>
      <c r="W105" s="185">
        <f t="shared" si="70"/>
        <v>30</v>
      </c>
      <c r="X105" s="185">
        <f t="shared" si="71"/>
        <v>38</v>
      </c>
      <c r="Y105" s="185" t="str">
        <f>IFERROR(VLOOKUP(MID(T105,W105,X105-W105),[6]skilldef!$C:$D,2,FALSE),"-") &amp; " / " &amp; IFERROR(VLOOKUP(MID(T105,U105,V105-U105),[6]skilldef!$A:$B,2,FALSE),"-")</f>
        <v>味方全体に / ステータスDOWN</v>
      </c>
      <c r="Z105" s="183"/>
      <c r="AA105" s="187"/>
      <c r="AB105" s="183"/>
    </row>
    <row r="106" spans="1:28" ht="21" customHeight="1" x14ac:dyDescent="0.15">
      <c r="A106" s="193">
        <v>40044105</v>
      </c>
      <c r="B106" s="47" t="s">
        <v>345</v>
      </c>
      <c r="C106" s="168">
        <v>3</v>
      </c>
      <c r="D106" s="50" t="s">
        <v>127</v>
      </c>
      <c r="E106" s="51" t="s">
        <v>293</v>
      </c>
      <c r="F106" s="51" t="s">
        <v>294</v>
      </c>
      <c r="G106" s="64" t="str">
        <f t="shared" si="57"/>
        <v>[effect:enemy_message, val1:1.2, val2:2.2]</v>
      </c>
      <c r="H106" s="64">
        <f t="shared" si="58"/>
        <v>9</v>
      </c>
      <c r="I106" s="64">
        <f t="shared" si="59"/>
        <v>22</v>
      </c>
      <c r="J106" s="64" t="e">
        <f t="shared" si="60"/>
        <v>#VALUE!</v>
      </c>
      <c r="K106" s="64">
        <f t="shared" si="61"/>
        <v>32</v>
      </c>
      <c r="L106" s="64" t="str">
        <f>IFERROR(VLOOKUP(MID(G106,J106,K106-J106),[6]skilldef!$C:$D,2,FALSE),"-") &amp; " / " &amp; IFERROR(VLOOKUP(MID(G106,H106,I106-H106),[6]skilldef!$A:$B,2,FALSE),"-")</f>
        <v>- / -</v>
      </c>
      <c r="M106" s="64" t="str">
        <f t="shared" si="62"/>
        <v>[effect:fix_speed, target:myself, turn:1],[effect:tolerance, target:myself, turn:-1, count:-1, tolerance_effect:all, animation:enemy_tolerance],[effect:panel_freeze,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N106" s="48" t="str">
        <f t="shared" ref="N106:N112" si="73">IFERROR(LEFT(M106,FIND("],",M106)+S119),M106)</f>
        <v>[effect:fix_speed, target:myself, turn:1]</v>
      </c>
      <c r="O106" s="64">
        <f t="shared" si="63"/>
        <v>9</v>
      </c>
      <c r="P106" s="64">
        <f t="shared" si="64"/>
        <v>18</v>
      </c>
      <c r="Q106" s="64">
        <f t="shared" si="65"/>
        <v>27</v>
      </c>
      <c r="R106" s="64">
        <f t="shared" si="66"/>
        <v>33</v>
      </c>
      <c r="S106" s="64" t="str">
        <f>IFERROR(VLOOKUP(MID(N106,Q106,R106-Q106),[6]skilldef!$C:$D,2,FALSE),"-") &amp; " / " &amp; IFERROR(VLOOKUP(MID(N106,O106,P106-O106),[6]skilldef!$A:$B,2,FALSE),"-")</f>
        <v>自分自身に / 行動値設定</v>
      </c>
      <c r="T106" s="48" t="str">
        <f t="shared" si="67"/>
        <v>[effect:tolerance, target:myself, turn:-1, count:-1, tolerance_effect:all, animation:enemy_tolerance],[effect:panel_freeze, target:normal, color:block_red, count:-1],[effect:panel_freeze, target:normal, color:block_blue, count:-1],[effect:panel_freeze, target:normal, color:block_green, count:-1],[effect:panel_freeze, target:normal, color:block_yellow, count:-1]</v>
      </c>
      <c r="U106" s="64">
        <f t="shared" si="68"/>
        <v>9</v>
      </c>
      <c r="V106" s="64">
        <f t="shared" si="69"/>
        <v>18</v>
      </c>
      <c r="W106" s="64">
        <f t="shared" si="70"/>
        <v>27</v>
      </c>
      <c r="X106" s="64">
        <f t="shared" si="71"/>
        <v>33</v>
      </c>
      <c r="Y106" s="64" t="str">
        <f>IFERROR(VLOOKUP(MID(T106,W106,X106-W106),[6]skilldef!$C:$D,2,FALSE),"-") &amp; " / " &amp; IFERROR(VLOOKUP(MID(T106,U106,V106-U106),[6]skilldef!$A:$B,2,FALSE),"-")</f>
        <v>自分自身に / 状態異常耐性</v>
      </c>
      <c r="Z106" s="50"/>
      <c r="AA106" s="52"/>
      <c r="AB106" s="50"/>
    </row>
    <row r="107" spans="1:28" ht="21" customHeight="1" x14ac:dyDescent="0.15">
      <c r="A107" s="193">
        <v>40044106</v>
      </c>
      <c r="B107" s="47" t="s">
        <v>430</v>
      </c>
      <c r="C107" s="50">
        <v>3</v>
      </c>
      <c r="D107" s="50" t="s">
        <v>127</v>
      </c>
      <c r="E107" s="51" t="s">
        <v>321</v>
      </c>
      <c r="F107" s="51" t="s">
        <v>256</v>
      </c>
      <c r="G107" s="64" t="str">
        <f t="shared" si="57"/>
        <v>[effect:enemy_message, val1:1.4, val2:1.7]</v>
      </c>
      <c r="H107" s="64">
        <f t="shared" si="58"/>
        <v>9</v>
      </c>
      <c r="I107" s="64">
        <f t="shared" si="59"/>
        <v>22</v>
      </c>
      <c r="J107" s="64" t="e">
        <f t="shared" si="60"/>
        <v>#VALUE!</v>
      </c>
      <c r="K107" s="64">
        <f t="shared" si="61"/>
        <v>32</v>
      </c>
      <c r="L107" s="64" t="str">
        <f>IFERROR(VLOOKUP(MID(G107,J107,K107-J107),[6]skilldef!$C:$D,2,FALSE),"-") &amp; " / " &amp; IFERROR(VLOOKUP(MID(G107,H107,I107-H107),[6]skilldef!$A:$B,2,FALSE),"-")</f>
        <v>- / -</v>
      </c>
      <c r="M107" s="64" t="str">
        <f t="shared" si="62"/>
        <v>[effect:damage_anti_abnormal, target:unit_one, target_effect01:virus, val1:1.7, val2:0.8]</v>
      </c>
      <c r="N107" s="48" t="str">
        <f t="shared" si="73"/>
        <v>[effect:damage_anti_abnormal, target:unit_one, target_effect01:virus, val1:1.7, val2:0.8]</v>
      </c>
      <c r="O107" s="64">
        <f t="shared" si="63"/>
        <v>9</v>
      </c>
      <c r="P107" s="64">
        <f t="shared" si="64"/>
        <v>29</v>
      </c>
      <c r="Q107" s="64">
        <f t="shared" si="65"/>
        <v>38</v>
      </c>
      <c r="R107" s="64">
        <f t="shared" si="66"/>
        <v>46</v>
      </c>
      <c r="S107" s="64" t="str">
        <f>IFERROR(VLOOKUP(MID(N107,Q107,R107-Q107),[6]skilldef!$C:$D,2,FALSE),"-") &amp; " / " &amp; IFERROR(VLOOKUP(MID(N107,O107,P107-O107),[6]skilldef!$A:$B,2,FALSE),"-")</f>
        <v>味方単体に / -</v>
      </c>
      <c r="T107" s="48" t="str">
        <f t="shared" si="67"/>
        <v>none</v>
      </c>
      <c r="U107" s="64" t="e">
        <f t="shared" si="68"/>
        <v>#VALUE!</v>
      </c>
      <c r="V107" s="64">
        <f t="shared" si="69"/>
        <v>4</v>
      </c>
      <c r="W107" s="64" t="e">
        <f t="shared" si="70"/>
        <v>#VALUE!</v>
      </c>
      <c r="X107" s="64" t="e">
        <f t="shared" si="71"/>
        <v>#VALUE!</v>
      </c>
      <c r="Y107" s="64" t="str">
        <f>IFERROR(VLOOKUP(MID(T107,W107,X107-W107),[6]skilldef!$C:$D,2,FALSE),"-") &amp; " / " &amp; IFERROR(VLOOKUP(MID(T107,U107,V107-U107),[6]skilldef!$A:$B,2,FALSE),"-")</f>
        <v>- / -</v>
      </c>
      <c r="Z107" s="50"/>
      <c r="AA107" s="52"/>
      <c r="AB107" s="50"/>
    </row>
    <row r="108" spans="1:28" ht="21" customHeight="1" x14ac:dyDescent="0.15">
      <c r="A108" s="193">
        <v>40044107</v>
      </c>
      <c r="B108" s="47" t="s">
        <v>363</v>
      </c>
      <c r="C108" s="50">
        <v>3</v>
      </c>
      <c r="D108" s="50" t="s">
        <v>127</v>
      </c>
      <c r="E108" s="51" t="s">
        <v>323</v>
      </c>
      <c r="F108" s="51" t="s">
        <v>295</v>
      </c>
      <c r="G108" s="64" t="str">
        <f t="shared" si="57"/>
        <v>[effect:enemy_message, val1:1.7, val2:2.0]</v>
      </c>
      <c r="H108" s="64">
        <f t="shared" si="58"/>
        <v>9</v>
      </c>
      <c r="I108" s="64">
        <f t="shared" si="59"/>
        <v>22</v>
      </c>
      <c r="J108" s="64" t="e">
        <f t="shared" si="60"/>
        <v>#VALUE!</v>
      </c>
      <c r="K108" s="64">
        <f t="shared" si="61"/>
        <v>32</v>
      </c>
      <c r="L108" s="64" t="str">
        <f>IFERROR(VLOOKUP(MID(G108,J108,K108-J108),[6]skilldef!$C:$D,2,FALSE),"-") &amp; " / " &amp; IFERROR(VLOOKUP(MID(G108,H108,I108-H108),[6]skilldef!$A:$B,2,FALSE),"-")</f>
        <v>- / -</v>
      </c>
      <c r="M108" s="64" t="str">
        <f t="shared" si="62"/>
        <v>[effect:spread, val:0.27],[effect:panel_freeze, target:crash, count:6]</v>
      </c>
      <c r="N108" s="48" t="str">
        <f t="shared" si="73"/>
        <v>[effect:spread, val:0.27]</v>
      </c>
      <c r="O108" s="64">
        <f t="shared" si="63"/>
        <v>9</v>
      </c>
      <c r="P108" s="64">
        <f t="shared" si="64"/>
        <v>15</v>
      </c>
      <c r="Q108" s="64" t="e">
        <f t="shared" si="65"/>
        <v>#VALUE!</v>
      </c>
      <c r="R108" s="64" t="e">
        <f t="shared" si="66"/>
        <v>#VALUE!</v>
      </c>
      <c r="S108" s="64" t="str">
        <f>IFERROR(VLOOKUP(MID(N108,Q108,R108-Q108),[6]skilldef!$C:$D,2,FALSE),"-") &amp; " / " &amp; IFERROR(VLOOKUP(MID(N108,O108,P108-O108),[6]skilldef!$A:$B,2,FALSE),"-")</f>
        <v>- / 全体攻撃</v>
      </c>
      <c r="T108" s="48" t="str">
        <f t="shared" si="67"/>
        <v>[effect:panel_freeze, target:crash, count:6]</v>
      </c>
      <c r="U108" s="64">
        <f t="shared" si="68"/>
        <v>9</v>
      </c>
      <c r="V108" s="64">
        <f t="shared" si="69"/>
        <v>21</v>
      </c>
      <c r="W108" s="64">
        <f t="shared" si="70"/>
        <v>30</v>
      </c>
      <c r="X108" s="64">
        <f t="shared" si="71"/>
        <v>35</v>
      </c>
      <c r="Y108" s="64" t="str">
        <f>IFERROR(VLOOKUP(MID(T108,W108,X108-W108),[6]skilldef!$C:$D,2,FALSE),"-") &amp; " / " &amp; IFERROR(VLOOKUP(MID(T108,U108,V108-U108),[6]skilldef!$A:$B,2,FALSE),"-")</f>
        <v>- / -</v>
      </c>
      <c r="Z108" s="50"/>
      <c r="AA108" s="52"/>
      <c r="AB108" s="50"/>
    </row>
    <row r="109" spans="1:28" ht="21" customHeight="1" x14ac:dyDescent="0.15">
      <c r="A109" s="193">
        <v>40044108</v>
      </c>
      <c r="B109" s="47" t="s">
        <v>431</v>
      </c>
      <c r="C109" s="50">
        <v>3</v>
      </c>
      <c r="D109" s="50" t="s">
        <v>127</v>
      </c>
      <c r="E109" s="51" t="s">
        <v>322</v>
      </c>
      <c r="F109" s="51" t="s">
        <v>399</v>
      </c>
      <c r="G109" s="64" t="str">
        <f t="shared" si="57"/>
        <v>[effect:enemy_message, val1:1.4, val2:3.8]</v>
      </c>
      <c r="H109" s="64">
        <f t="shared" si="58"/>
        <v>9</v>
      </c>
      <c r="I109" s="64">
        <f t="shared" si="59"/>
        <v>22</v>
      </c>
      <c r="J109" s="64" t="e">
        <f t="shared" si="60"/>
        <v>#VALUE!</v>
      </c>
      <c r="K109" s="64">
        <f t="shared" si="61"/>
        <v>32</v>
      </c>
      <c r="L109" s="64" t="str">
        <f>IFERROR(VLOOKUP(MID(G109,J109,K109-J109),[6]skilldef!$C:$D,2,FALSE),"-") &amp; " / " &amp; IFERROR(VLOOKUP(MID(G109,H109,I109-H109),[6]skilldef!$A:$B,2,FALSE),"-")</f>
        <v>- / -</v>
      </c>
      <c r="M109" s="64" t="str">
        <f t="shared" si="62"/>
        <v>[effect:ability_lock, target:unit_all, turn:1],[effect:virus, turn:-1, rate:1, val:0.4, animation:enemy_virus]</v>
      </c>
      <c r="N109" s="48" t="str">
        <f t="shared" si="73"/>
        <v>[effect:ability_lock, target:unit_all, turn:1]</v>
      </c>
      <c r="O109" s="64">
        <f t="shared" si="63"/>
        <v>9</v>
      </c>
      <c r="P109" s="64">
        <f t="shared" si="64"/>
        <v>21</v>
      </c>
      <c r="Q109" s="64">
        <f t="shared" si="65"/>
        <v>30</v>
      </c>
      <c r="R109" s="64">
        <f t="shared" si="66"/>
        <v>38</v>
      </c>
      <c r="S109" s="64" t="str">
        <f>IFERROR(VLOOKUP(MID(N109,Q109,R109-Q109),[6]skilldef!$C:$D,2,FALSE),"-") &amp; " / " &amp; IFERROR(VLOOKUP(MID(N109,O109,P109-O109),[6]skilldef!$A:$B,2,FALSE),"-")</f>
        <v>味方全体に / -</v>
      </c>
      <c r="T109" s="48" t="str">
        <f t="shared" si="67"/>
        <v>[effect:virus, turn:-1, rate:1, val:0.4, animation:enemy_virus]</v>
      </c>
      <c r="U109" s="64">
        <f t="shared" si="68"/>
        <v>9</v>
      </c>
      <c r="V109" s="64">
        <f t="shared" si="69"/>
        <v>14</v>
      </c>
      <c r="W109" s="64" t="e">
        <f t="shared" si="70"/>
        <v>#VALUE!</v>
      </c>
      <c r="X109" s="64">
        <f t="shared" si="71"/>
        <v>23</v>
      </c>
      <c r="Y109" s="64" t="str">
        <f>IFERROR(VLOOKUP(MID(T109,W109,X109-W109),[6]skilldef!$C:$D,2,FALSE),"-") &amp; " / " &amp; IFERROR(VLOOKUP(MID(T109,U109,V109-U109),[6]skilldef!$A:$B,2,FALSE),"-")</f>
        <v>- / ウィルス</v>
      </c>
      <c r="Z109" s="50"/>
      <c r="AA109" s="52"/>
      <c r="AB109" s="50"/>
    </row>
    <row r="110" spans="1:28" ht="21" customHeight="1" x14ac:dyDescent="0.15">
      <c r="A110" s="193">
        <v>40044109</v>
      </c>
      <c r="B110" s="47" t="s">
        <v>458</v>
      </c>
      <c r="C110" s="50">
        <v>3</v>
      </c>
      <c r="D110" s="50" t="s">
        <v>127</v>
      </c>
      <c r="E110" s="51" t="s">
        <v>324</v>
      </c>
      <c r="F110" s="51" t="s">
        <v>400</v>
      </c>
      <c r="G110" s="64" t="str">
        <f t="shared" si="57"/>
        <v>[effect:enemy_message, val1:1.8, val2:3.9]</v>
      </c>
      <c r="H110" s="64">
        <f t="shared" si="58"/>
        <v>9</v>
      </c>
      <c r="I110" s="64">
        <f t="shared" si="59"/>
        <v>22</v>
      </c>
      <c r="J110" s="64" t="e">
        <f t="shared" si="60"/>
        <v>#VALUE!</v>
      </c>
      <c r="K110" s="64">
        <f t="shared" si="61"/>
        <v>32</v>
      </c>
      <c r="L110" s="64" t="str">
        <f>IFERROR(VLOOKUP(MID(G110,J110,K110-J110),[6]skilldef!$C:$D,2,FALSE),"-") &amp; " / " &amp; IFERROR(VLOOKUP(MID(G110,H110,I110-H110),[6]skilldef!$A:$B,2,FALSE),"-")</f>
        <v>- / -</v>
      </c>
      <c r="M110" s="64" t="str">
        <f t="shared" si="62"/>
        <v>[effect:panel_freeze, target:normal, color:block_red, count:8],[effect:panel_freeze, target:normal, color:block_blue, count:8],[effect:virus, target:unit_one, turn:2, rate:1, val:0.6, animation:enemy_virus]</v>
      </c>
      <c r="N110" s="48" t="str">
        <f t="shared" si="73"/>
        <v>[effect:panel_freeze, target:normal, color:block_red, count:8]</v>
      </c>
      <c r="O110" s="64">
        <f t="shared" si="63"/>
        <v>9</v>
      </c>
      <c r="P110" s="64">
        <f t="shared" si="64"/>
        <v>21</v>
      </c>
      <c r="Q110" s="64">
        <f t="shared" si="65"/>
        <v>30</v>
      </c>
      <c r="R110" s="64">
        <f t="shared" si="66"/>
        <v>36</v>
      </c>
      <c r="S110" s="64" t="str">
        <f>IFERROR(VLOOKUP(MID(N110,Q110,R110-Q110),[6]skilldef!$C:$D,2,FALSE),"-") &amp; " / " &amp; IFERROR(VLOOKUP(MID(N110,O110,P110-O110),[6]skilldef!$A:$B,2,FALSE),"-")</f>
        <v>- / -</v>
      </c>
      <c r="T110" s="48" t="str">
        <f t="shared" si="67"/>
        <v>[effect:panel_freeze, target:normal, color:block_blue, count:8],[effect:virus, target:unit_one, turn:2, rate:1, val:0.6, animation:enemy_virus]</v>
      </c>
      <c r="U110" s="64">
        <f t="shared" si="68"/>
        <v>9</v>
      </c>
      <c r="V110" s="64">
        <f t="shared" si="69"/>
        <v>21</v>
      </c>
      <c r="W110" s="64">
        <f t="shared" si="70"/>
        <v>30</v>
      </c>
      <c r="X110" s="64">
        <f t="shared" si="71"/>
        <v>36</v>
      </c>
      <c r="Y110" s="64" t="str">
        <f>IFERROR(VLOOKUP(MID(T110,W110,X110-W110),[6]skilldef!$C:$D,2,FALSE),"-") &amp; " / " &amp; IFERROR(VLOOKUP(MID(T110,U110,V110-U110),[6]skilldef!$A:$B,2,FALSE),"-")</f>
        <v>- / -</v>
      </c>
      <c r="Z110" s="50"/>
      <c r="AA110" s="52"/>
      <c r="AB110" s="50"/>
    </row>
    <row r="111" spans="1:28" ht="21" customHeight="1" x14ac:dyDescent="0.15">
      <c r="A111" s="193">
        <v>40044110</v>
      </c>
      <c r="B111" s="47" t="s">
        <v>401</v>
      </c>
      <c r="C111" s="50">
        <v>3</v>
      </c>
      <c r="D111" s="50" t="s">
        <v>127</v>
      </c>
      <c r="E111" s="51" t="s">
        <v>325</v>
      </c>
      <c r="F111" s="51" t="s">
        <v>297</v>
      </c>
      <c r="G111" s="64" t="str">
        <f t="shared" si="57"/>
        <v>[effect:enemy_message, val1:2.9, val2:2.9]</v>
      </c>
      <c r="H111" s="64">
        <f t="shared" si="58"/>
        <v>9</v>
      </c>
      <c r="I111" s="64">
        <f t="shared" si="59"/>
        <v>22</v>
      </c>
      <c r="J111" s="64" t="e">
        <f t="shared" si="60"/>
        <v>#VALUE!</v>
      </c>
      <c r="K111" s="64">
        <f t="shared" si="61"/>
        <v>32</v>
      </c>
      <c r="L111" s="64" t="str">
        <f>IFERROR(VLOOKUP(MID(G111,J111,K111-J111),[6]skilldef!$C:$D,2,FALSE),"-") &amp; " / " &amp; IFERROR(VLOOKUP(MID(G111,H111,I111-H111),[6]skilldef!$A:$B,2,FALSE),"-")</f>
        <v>- / -</v>
      </c>
      <c r="M111" s="64" t="str">
        <f t="shared" si="62"/>
        <v>[effect:panel_freeze, target:normal, color:block_heart, count:-1],[effect:damage_anti_abnormal, target:unit_one, target_effect01:virus, val1:1.7, val2:0.8]</v>
      </c>
      <c r="N111" s="48" t="str">
        <f t="shared" si="73"/>
        <v>[effect:panel_freeze, target:normal, color:block_heart, count:-1]</v>
      </c>
      <c r="O111" s="64">
        <f t="shared" si="63"/>
        <v>9</v>
      </c>
      <c r="P111" s="64">
        <f t="shared" si="64"/>
        <v>21</v>
      </c>
      <c r="Q111" s="64">
        <f t="shared" si="65"/>
        <v>30</v>
      </c>
      <c r="R111" s="64">
        <f t="shared" si="66"/>
        <v>36</v>
      </c>
      <c r="S111" s="64" t="str">
        <f>IFERROR(VLOOKUP(MID(N111,Q111,R111-Q111),[6]skilldef!$C:$D,2,FALSE),"-") &amp; " / " &amp; IFERROR(VLOOKUP(MID(N111,O111,P111-O111),[6]skilldef!$A:$B,2,FALSE),"-")</f>
        <v>- / -</v>
      </c>
      <c r="T111" s="48" t="str">
        <f t="shared" si="67"/>
        <v>[effect:damage_anti_abnormal, target:unit_one, target_effect01:virus, val1:1.7, val2:0.8]</v>
      </c>
      <c r="U111" s="64">
        <f t="shared" si="68"/>
        <v>9</v>
      </c>
      <c r="V111" s="64">
        <f t="shared" si="69"/>
        <v>29</v>
      </c>
      <c r="W111" s="64">
        <f t="shared" si="70"/>
        <v>38</v>
      </c>
      <c r="X111" s="64">
        <f t="shared" si="71"/>
        <v>46</v>
      </c>
      <c r="Y111" s="64" t="str">
        <f>IFERROR(VLOOKUP(MID(T111,W111,X111-W111),[6]skilldef!$C:$D,2,FALSE),"-") &amp; " / " &amp; IFERROR(VLOOKUP(MID(T111,U111,V111-U111),[6]skilldef!$A:$B,2,FALSE),"-")</f>
        <v>味方単体に / -</v>
      </c>
      <c r="Z111" s="50"/>
      <c r="AA111" s="52"/>
      <c r="AB111" s="50"/>
    </row>
    <row r="112" spans="1:28" ht="41" customHeight="1" x14ac:dyDescent="0.15">
      <c r="A112" s="193">
        <v>40044111</v>
      </c>
      <c r="B112" s="47" t="s">
        <v>489</v>
      </c>
      <c r="C112" s="50">
        <v>3</v>
      </c>
      <c r="D112" s="50" t="s">
        <v>127</v>
      </c>
      <c r="E112" s="51" t="s">
        <v>369</v>
      </c>
      <c r="F112" s="51" t="s">
        <v>488</v>
      </c>
      <c r="G112" s="64" t="str">
        <f t="shared" si="57"/>
        <v>[effect:enemy_message, val1:1.2, val2:5.3]</v>
      </c>
      <c r="H112" s="64">
        <f t="shared" si="58"/>
        <v>9</v>
      </c>
      <c r="I112" s="64">
        <f t="shared" si="59"/>
        <v>22</v>
      </c>
      <c r="J112" s="64" t="e">
        <f t="shared" si="60"/>
        <v>#VALUE!</v>
      </c>
      <c r="K112" s="64">
        <f t="shared" si="61"/>
        <v>32</v>
      </c>
      <c r="L112" s="64" t="str">
        <f>IFERROR(VLOOKUP(MID(G112,J112,K112-J112),[6]skilldef!$C:$D,2,FALSE),"-") &amp; " / " &amp; IFERROR(VLOOKUP(MID(G112,H112,I112-H112),[6]skilldef!$A:$B,2,FALSE),"-")</f>
        <v>- / -</v>
      </c>
      <c r="M112" s="64" t="str">
        <f t="shared" si="62"/>
        <v>[effect:ability_lock, target:unit_all, turn:1],[effect:virus, turn:2, rate:1, val:0.25, animation:enemy_virus],[effect:panel_freeze, target:block_all, count:20]</v>
      </c>
      <c r="N112" s="48" t="str">
        <f t="shared" si="73"/>
        <v>[effect:ability_lock, target:unit_all, turn:1]</v>
      </c>
      <c r="O112" s="64">
        <f t="shared" si="63"/>
        <v>9</v>
      </c>
      <c r="P112" s="64">
        <f t="shared" si="64"/>
        <v>21</v>
      </c>
      <c r="Q112" s="64">
        <f t="shared" si="65"/>
        <v>30</v>
      </c>
      <c r="R112" s="64">
        <f t="shared" si="66"/>
        <v>38</v>
      </c>
      <c r="S112" s="64" t="str">
        <f>IFERROR(VLOOKUP(MID(N112,Q112,R112-Q112),[6]skilldef!$C:$D,2,FALSE),"-") &amp; " / " &amp; IFERROR(VLOOKUP(MID(N112,O112,P112-O112),[6]skilldef!$A:$B,2,FALSE),"-")</f>
        <v>味方全体に / -</v>
      </c>
      <c r="T112" s="48" t="str">
        <f t="shared" si="67"/>
        <v>[effect:virus, turn:2, rate:1, val:0.25, animation:enemy_virus],[effect:panel_freeze, target:block_all, count:20]</v>
      </c>
      <c r="U112" s="64">
        <f t="shared" si="68"/>
        <v>9</v>
      </c>
      <c r="V112" s="64">
        <f t="shared" si="69"/>
        <v>14</v>
      </c>
      <c r="W112" s="64">
        <f t="shared" si="70"/>
        <v>94</v>
      </c>
      <c r="X112" s="64">
        <f t="shared" si="71"/>
        <v>22</v>
      </c>
      <c r="Y112" s="64" t="str">
        <f>IFERROR(VLOOKUP(MID(T112,W112,X112-W112),[6]skilldef!$C:$D,2,FALSE),"-") &amp; " / " &amp; IFERROR(VLOOKUP(MID(T112,U112,V112-U112),[6]skilldef!$A:$B,2,FALSE),"-")</f>
        <v>- / ウィルス</v>
      </c>
      <c r="Z112" s="50"/>
      <c r="AA112" s="52"/>
      <c r="AB112" s="50"/>
    </row>
    <row r="113" spans="1:28" ht="21" customHeight="1" x14ac:dyDescent="0.15">
      <c r="A113" s="193">
        <v>40044112</v>
      </c>
      <c r="B113" s="47" t="s">
        <v>432</v>
      </c>
      <c r="C113" s="50">
        <v>3</v>
      </c>
      <c r="D113" s="50" t="s">
        <v>127</v>
      </c>
      <c r="E113" s="51" t="s">
        <v>337</v>
      </c>
      <c r="F113" s="51" t="s">
        <v>326</v>
      </c>
      <c r="G113" s="64" t="str">
        <f t="shared" si="57"/>
        <v>[effect:enemy_message, val1:3.0, val2:2.2, dead_type:suicide]</v>
      </c>
      <c r="H113" s="64">
        <f t="shared" si="58"/>
        <v>9</v>
      </c>
      <c r="I113" s="64">
        <f t="shared" si="59"/>
        <v>22</v>
      </c>
      <c r="J113" s="64" t="e">
        <f t="shared" si="60"/>
        <v>#VALUE!</v>
      </c>
      <c r="K113" s="64">
        <f t="shared" si="61"/>
        <v>32</v>
      </c>
      <c r="L113" s="64" t="str">
        <f>IFERROR(VLOOKUP(MID(G113,J113,K113-J113),[6]skilldef!$C:$D,2,FALSE),"-") &amp; " / " &amp; IFERROR(VLOOKUP(MID(G113,H113,I113-H113),[6]skilldef!$A:$B,2,FALSE),"-")</f>
        <v>- / -</v>
      </c>
      <c r="M113" s="64" t="str">
        <f t="shared" si="62"/>
        <v>none</v>
      </c>
      <c r="N113" s="48" t="str">
        <f>IFERROR(LEFT(M113,FIND("],",M113)+S123),M113)</f>
        <v>none</v>
      </c>
      <c r="O113" s="64" t="e">
        <f t="shared" si="63"/>
        <v>#VALUE!</v>
      </c>
      <c r="P113" s="64">
        <f t="shared" si="64"/>
        <v>4</v>
      </c>
      <c r="Q113" s="64" t="e">
        <f t="shared" si="65"/>
        <v>#VALUE!</v>
      </c>
      <c r="R113" s="64" t="e">
        <f t="shared" si="66"/>
        <v>#VALUE!</v>
      </c>
      <c r="S113" s="64" t="str">
        <f>IFERROR(VLOOKUP(MID(N113,Q113,R113-Q113),[6]skilldef!$C:$D,2,FALSE),"-") &amp; " / " &amp; IFERROR(VLOOKUP(MID(N113,O113,P113-O113),[6]skilldef!$A:$B,2,FALSE),"-")</f>
        <v>- / -</v>
      </c>
      <c r="T113" s="48" t="str">
        <f t="shared" si="67"/>
        <v>none</v>
      </c>
      <c r="U113" s="64" t="e">
        <f t="shared" si="68"/>
        <v>#VALUE!</v>
      </c>
      <c r="V113" s="64">
        <f t="shared" si="69"/>
        <v>4</v>
      </c>
      <c r="W113" s="64" t="e">
        <f t="shared" si="70"/>
        <v>#VALUE!</v>
      </c>
      <c r="X113" s="64" t="e">
        <f t="shared" si="71"/>
        <v>#VALUE!</v>
      </c>
      <c r="Y113" s="64" t="str">
        <f>IFERROR(VLOOKUP(MID(T113,W113,X113-W113),[6]skilldef!$C:$D,2,FALSE),"-") &amp; " / " &amp; IFERROR(VLOOKUP(MID(T113,U113,V113-U113),[6]skilldef!$A:$B,2,FALSE),"-")</f>
        <v>- / -</v>
      </c>
      <c r="Z113" s="50"/>
      <c r="AA113" s="52"/>
      <c r="AB113" s="50"/>
    </row>
    <row r="114" spans="1:28" ht="21" customHeight="1" x14ac:dyDescent="0.15">
      <c r="A114" s="193">
        <v>40044113</v>
      </c>
      <c r="B114" s="47" t="s">
        <v>438</v>
      </c>
      <c r="C114" s="50">
        <v>3</v>
      </c>
      <c r="D114" s="50" t="s">
        <v>127</v>
      </c>
      <c r="E114" s="51" t="s">
        <v>437</v>
      </c>
      <c r="F114" s="51" t="s">
        <v>338</v>
      </c>
      <c r="G114" s="64" t="str">
        <f t="shared" si="57"/>
        <v>[effect:enemy_message, val1:2.3, val2:2.9, dead_type:suicide]</v>
      </c>
      <c r="H114" s="64">
        <f t="shared" si="58"/>
        <v>9</v>
      </c>
      <c r="I114" s="64">
        <f t="shared" si="59"/>
        <v>22</v>
      </c>
      <c r="J114" s="64" t="e">
        <f t="shared" si="60"/>
        <v>#VALUE!</v>
      </c>
      <c r="K114" s="64">
        <f t="shared" si="61"/>
        <v>32</v>
      </c>
      <c r="L114" s="64" t="str">
        <f>IFERROR(VLOOKUP(MID(G114,J114,K114-J114),[6]skilldef!$C:$D,2,FALSE),"-") &amp; " / " &amp; IFERROR(VLOOKUP(MID(G114,H114,I114-H114),[6]skilldef!$A:$B,2,FALSE),"-")</f>
        <v>- / -</v>
      </c>
      <c r="M114" s="64" t="str">
        <f t="shared" si="62"/>
        <v>none</v>
      </c>
      <c r="N114" s="48" t="str">
        <f>IFERROR(LEFT(M114,FIND("],",M114)+S124),M114)</f>
        <v>none</v>
      </c>
      <c r="O114" s="64" t="e">
        <f t="shared" si="63"/>
        <v>#VALUE!</v>
      </c>
      <c r="P114" s="64">
        <f t="shared" si="64"/>
        <v>4</v>
      </c>
      <c r="Q114" s="64" t="e">
        <f t="shared" si="65"/>
        <v>#VALUE!</v>
      </c>
      <c r="R114" s="64" t="e">
        <f t="shared" si="66"/>
        <v>#VALUE!</v>
      </c>
      <c r="S114" s="64" t="str">
        <f>IFERROR(VLOOKUP(MID(N114,Q114,R114-Q114),[6]skilldef!$C:$D,2,FALSE),"-") &amp; " / " &amp; IFERROR(VLOOKUP(MID(N114,O114,P114-O114),[6]skilldef!$A:$B,2,FALSE),"-")</f>
        <v>- / -</v>
      </c>
      <c r="T114" s="48" t="str">
        <f t="shared" si="67"/>
        <v>none</v>
      </c>
      <c r="U114" s="64" t="e">
        <f t="shared" si="68"/>
        <v>#VALUE!</v>
      </c>
      <c r="V114" s="64">
        <f t="shared" si="69"/>
        <v>4</v>
      </c>
      <c r="W114" s="64" t="e">
        <f t="shared" si="70"/>
        <v>#VALUE!</v>
      </c>
      <c r="X114" s="64" t="e">
        <f t="shared" si="71"/>
        <v>#VALUE!</v>
      </c>
      <c r="Y114" s="64" t="str">
        <f>IFERROR(VLOOKUP(MID(T114,W114,X114-W114),[6]skilldef!$C:$D,2,FALSE),"-") &amp; " / " &amp; IFERROR(VLOOKUP(MID(T114,U114,V114-U114),[6]skilldef!$A:$B,2,FALSE),"-")</f>
        <v>- / -</v>
      </c>
      <c r="Z114" s="50"/>
      <c r="AA114" s="52"/>
      <c r="AB114" s="50"/>
    </row>
    <row r="115" spans="1:28" ht="21" customHeight="1" thickBot="1" x14ac:dyDescent="0.2">
      <c r="A115" s="194">
        <v>40044114</v>
      </c>
      <c r="B115" s="174" t="s">
        <v>306</v>
      </c>
      <c r="C115" s="175">
        <v>3</v>
      </c>
      <c r="D115" s="183" t="s">
        <v>127</v>
      </c>
      <c r="E115" s="184" t="s">
        <v>336</v>
      </c>
      <c r="F115" s="184" t="s">
        <v>346</v>
      </c>
      <c r="G115" s="185" t="str">
        <f t="shared" si="57"/>
        <v>[effect:enemy_message, val1:2.6, val2:1.8, dead_type:suicide]</v>
      </c>
      <c r="H115" s="185">
        <f t="shared" si="58"/>
        <v>9</v>
      </c>
      <c r="I115" s="185">
        <f t="shared" si="59"/>
        <v>22</v>
      </c>
      <c r="J115" s="185" t="e">
        <f t="shared" si="60"/>
        <v>#VALUE!</v>
      </c>
      <c r="K115" s="185">
        <f t="shared" si="61"/>
        <v>32</v>
      </c>
      <c r="L115" s="185" t="str">
        <f>IFERROR(VLOOKUP(MID(G115,J115,K115-J115),[6]skilldef!$C:$D,2,FALSE),"-") &amp; " / " &amp; IFERROR(VLOOKUP(MID(G115,H115,I115-H115),[6]skilldef!$A:$B,2,FALSE),"-")</f>
        <v>- / -</v>
      </c>
      <c r="M115" s="185" t="str">
        <f t="shared" si="62"/>
        <v>none</v>
      </c>
      <c r="N115" s="186" t="str">
        <f>IFERROR(LEFT(M115,FIND("],",M115)+S125),M115)</f>
        <v>none</v>
      </c>
      <c r="O115" s="185" t="e">
        <f t="shared" si="63"/>
        <v>#VALUE!</v>
      </c>
      <c r="P115" s="185">
        <f t="shared" si="64"/>
        <v>4</v>
      </c>
      <c r="Q115" s="185" t="e">
        <f t="shared" si="65"/>
        <v>#VALUE!</v>
      </c>
      <c r="R115" s="185" t="e">
        <f t="shared" si="66"/>
        <v>#VALUE!</v>
      </c>
      <c r="S115" s="185" t="str">
        <f>IFERROR(VLOOKUP(MID(N115,Q115,R115-Q115),[6]skilldef!$C:$D,2,FALSE),"-") &amp; " / " &amp; IFERROR(VLOOKUP(MID(N115,O115,P115-O115),[6]skilldef!$A:$B,2,FALSE),"-")</f>
        <v>- / -</v>
      </c>
      <c r="T115" s="186" t="str">
        <f t="shared" si="67"/>
        <v>none</v>
      </c>
      <c r="U115" s="185" t="e">
        <f t="shared" si="68"/>
        <v>#VALUE!</v>
      </c>
      <c r="V115" s="185">
        <f t="shared" si="69"/>
        <v>4</v>
      </c>
      <c r="W115" s="185" t="e">
        <f t="shared" si="70"/>
        <v>#VALUE!</v>
      </c>
      <c r="X115" s="185" t="e">
        <f t="shared" si="71"/>
        <v>#VALUE!</v>
      </c>
      <c r="Y115" s="185" t="str">
        <f>IFERROR(VLOOKUP(MID(T115,W115,X115-W115),[6]skilldef!$C:$D,2,FALSE),"-") &amp; " / " &amp; IFERROR(VLOOKUP(MID(T115,U115,V115-U115),[6]skilldef!$A:$B,2,FALSE),"-")</f>
        <v>- / -</v>
      </c>
      <c r="Z115" s="183"/>
      <c r="AA115" s="187"/>
      <c r="AB115" s="18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1"/>
  <sheetViews>
    <sheetView showGridLines="0" workbookViewId="0">
      <pane ySplit="1" topLeftCell="A48" activePane="bottomLeft" state="frozenSplit"/>
      <selection pane="bottomLeft" activeCell="C80" sqref="C80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65">
        <v>40044001</v>
      </c>
      <c r="B2" s="47">
        <v>0</v>
      </c>
      <c r="C2" s="47">
        <v>10</v>
      </c>
      <c r="D2" s="47">
        <v>100</v>
      </c>
      <c r="E2" s="47" t="s">
        <v>254</v>
      </c>
      <c r="F2" s="47" t="s">
        <v>89</v>
      </c>
      <c r="G2" s="47" t="s">
        <v>254</v>
      </c>
      <c r="H2" s="47">
        <v>2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165">
        <v>40044002</v>
      </c>
      <c r="B3" s="47">
        <v>0</v>
      </c>
      <c r="C3" s="47">
        <v>20</v>
      </c>
      <c r="D3" s="47">
        <v>100</v>
      </c>
      <c r="E3" s="47" t="s">
        <v>254</v>
      </c>
      <c r="F3" s="47" t="s">
        <v>53</v>
      </c>
      <c r="G3" s="47" t="s">
        <v>254</v>
      </c>
      <c r="H3" s="47">
        <v>3</v>
      </c>
      <c r="I3" s="47" t="s">
        <v>53</v>
      </c>
      <c r="J3" s="48">
        <f t="shared" ref="J3:J9" si="1">D3</f>
        <v>100</v>
      </c>
    </row>
    <row r="4" spans="1:11" ht="21" customHeight="1" thickBot="1" x14ac:dyDescent="0.2">
      <c r="A4" s="173">
        <v>40044003</v>
      </c>
      <c r="B4" s="174">
        <v>0</v>
      </c>
      <c r="C4" s="174">
        <v>30</v>
      </c>
      <c r="D4" s="174">
        <v>100</v>
      </c>
      <c r="E4" s="174" t="s">
        <v>254</v>
      </c>
      <c r="F4" s="174" t="s">
        <v>53</v>
      </c>
      <c r="G4" s="174" t="s">
        <v>254</v>
      </c>
      <c r="H4" s="174">
        <v>4</v>
      </c>
      <c r="I4" s="174" t="s">
        <v>53</v>
      </c>
      <c r="J4" s="178">
        <f t="shared" si="1"/>
        <v>100</v>
      </c>
    </row>
    <row r="5" spans="1:11" ht="21" customHeight="1" x14ac:dyDescent="0.15">
      <c r="A5" s="166">
        <v>40044004</v>
      </c>
      <c r="B5" s="167">
        <v>1</v>
      </c>
      <c r="C5" s="167">
        <v>40</v>
      </c>
      <c r="D5" s="167">
        <v>100</v>
      </c>
      <c r="E5" s="167" t="s">
        <v>254</v>
      </c>
      <c r="F5" s="167" t="s">
        <v>53</v>
      </c>
      <c r="G5" s="167">
        <v>1</v>
      </c>
      <c r="H5" s="167" t="s">
        <v>53</v>
      </c>
      <c r="I5" s="167" t="s">
        <v>53</v>
      </c>
      <c r="J5" s="171">
        <f t="shared" si="1"/>
        <v>100</v>
      </c>
    </row>
    <row r="6" spans="1:11" ht="21" customHeight="1" x14ac:dyDescent="0.15">
      <c r="A6" s="165">
        <v>40044005</v>
      </c>
      <c r="B6" s="167">
        <v>0</v>
      </c>
      <c r="C6" s="167">
        <v>10</v>
      </c>
      <c r="D6" s="167">
        <v>100</v>
      </c>
      <c r="E6" s="167" t="s">
        <v>254</v>
      </c>
      <c r="F6" s="167" t="s">
        <v>53</v>
      </c>
      <c r="G6" s="167" t="s">
        <v>254</v>
      </c>
      <c r="H6" s="167" t="s">
        <v>53</v>
      </c>
      <c r="I6" s="167" t="s">
        <v>53</v>
      </c>
      <c r="J6" s="171">
        <f t="shared" si="1"/>
        <v>100</v>
      </c>
    </row>
    <row r="7" spans="1:11" ht="21" customHeight="1" x14ac:dyDescent="0.15">
      <c r="A7" s="165">
        <v>40044006</v>
      </c>
      <c r="B7" s="47">
        <v>0</v>
      </c>
      <c r="C7" s="47">
        <v>20</v>
      </c>
      <c r="D7" s="47">
        <v>100</v>
      </c>
      <c r="E7" s="47" t="s">
        <v>254</v>
      </c>
      <c r="F7" s="47" t="s">
        <v>53</v>
      </c>
      <c r="G7" s="47">
        <v>1</v>
      </c>
      <c r="H7" s="47">
        <v>1</v>
      </c>
      <c r="I7" s="47" t="s">
        <v>53</v>
      </c>
      <c r="J7" s="48">
        <f t="shared" si="1"/>
        <v>100</v>
      </c>
    </row>
    <row r="8" spans="1:11" ht="21" customHeight="1" thickBot="1" x14ac:dyDescent="0.2">
      <c r="A8" s="173">
        <v>40044007</v>
      </c>
      <c r="B8" s="174">
        <v>0</v>
      </c>
      <c r="C8" s="174">
        <v>30</v>
      </c>
      <c r="D8" s="174">
        <v>100</v>
      </c>
      <c r="E8" s="174" t="s">
        <v>254</v>
      </c>
      <c r="F8" s="174" t="s">
        <v>53</v>
      </c>
      <c r="G8" s="174" t="s">
        <v>254</v>
      </c>
      <c r="H8" s="174">
        <v>2</v>
      </c>
      <c r="I8" s="174" t="s">
        <v>53</v>
      </c>
      <c r="J8" s="178">
        <f t="shared" si="1"/>
        <v>100</v>
      </c>
    </row>
    <row r="9" spans="1:11" ht="21" customHeight="1" x14ac:dyDescent="0.15">
      <c r="A9" s="166">
        <v>40044008</v>
      </c>
      <c r="B9" s="167">
        <v>0</v>
      </c>
      <c r="C9" s="167">
        <v>10</v>
      </c>
      <c r="D9" s="167">
        <v>100</v>
      </c>
      <c r="E9" s="167" t="s">
        <v>254</v>
      </c>
      <c r="F9" s="167" t="s">
        <v>53</v>
      </c>
      <c r="G9" s="167" t="s">
        <v>254</v>
      </c>
      <c r="H9" s="167" t="s">
        <v>53</v>
      </c>
      <c r="I9" s="167" t="s">
        <v>53</v>
      </c>
      <c r="J9" s="171">
        <f t="shared" si="1"/>
        <v>100</v>
      </c>
    </row>
    <row r="10" spans="1:11" ht="21" customHeight="1" x14ac:dyDescent="0.15">
      <c r="A10" s="165">
        <v>40044009</v>
      </c>
      <c r="B10" s="47">
        <v>0</v>
      </c>
      <c r="C10" s="47">
        <v>20</v>
      </c>
      <c r="D10" s="47">
        <v>100</v>
      </c>
      <c r="E10" s="47" t="s">
        <v>254</v>
      </c>
      <c r="F10" s="47" t="s">
        <v>53</v>
      </c>
      <c r="G10" s="47" t="s">
        <v>254</v>
      </c>
      <c r="H10" s="47">
        <v>2</v>
      </c>
      <c r="I10" s="47" t="s">
        <v>53</v>
      </c>
      <c r="J10" s="48">
        <f t="shared" ref="J10:J27" si="2">D10</f>
        <v>100</v>
      </c>
    </row>
    <row r="11" spans="1:11" ht="21" customHeight="1" thickBot="1" x14ac:dyDescent="0.2">
      <c r="A11" s="173">
        <v>40044010</v>
      </c>
      <c r="B11" s="174">
        <v>0</v>
      </c>
      <c r="C11" s="174">
        <v>30</v>
      </c>
      <c r="D11" s="174">
        <v>100</v>
      </c>
      <c r="E11" s="174" t="s">
        <v>254</v>
      </c>
      <c r="F11" s="174" t="s">
        <v>53</v>
      </c>
      <c r="G11" s="174" t="s">
        <v>254</v>
      </c>
      <c r="H11" s="174">
        <v>3</v>
      </c>
      <c r="I11" s="174" t="s">
        <v>53</v>
      </c>
      <c r="J11" s="178">
        <f t="shared" si="2"/>
        <v>100</v>
      </c>
      <c r="K11" s="196"/>
    </row>
    <row r="12" spans="1:11" ht="21" customHeight="1" x14ac:dyDescent="0.15">
      <c r="A12" s="189">
        <v>40044011</v>
      </c>
      <c r="B12" s="167">
        <v>1</v>
      </c>
      <c r="C12" s="167">
        <v>96</v>
      </c>
      <c r="D12" s="167">
        <v>100</v>
      </c>
      <c r="E12" s="167" t="s">
        <v>254</v>
      </c>
      <c r="F12" s="167" t="s">
        <v>53</v>
      </c>
      <c r="G12" s="167">
        <v>1</v>
      </c>
      <c r="H12" s="167" t="s">
        <v>53</v>
      </c>
      <c r="I12" s="167" t="s">
        <v>53</v>
      </c>
      <c r="J12" s="171">
        <f t="shared" si="2"/>
        <v>100</v>
      </c>
    </row>
    <row r="13" spans="1:11" ht="21" customHeight="1" x14ac:dyDescent="0.15">
      <c r="A13" s="188">
        <v>40044012</v>
      </c>
      <c r="B13" s="47">
        <v>1</v>
      </c>
      <c r="C13" s="47">
        <v>99</v>
      </c>
      <c r="D13" s="47">
        <v>100</v>
      </c>
      <c r="E13" s="47" t="s">
        <v>254</v>
      </c>
      <c r="F13" s="47" t="s">
        <v>53</v>
      </c>
      <c r="G13" s="47">
        <v>1</v>
      </c>
      <c r="H13" s="47" t="s">
        <v>53</v>
      </c>
      <c r="I13" s="47">
        <v>1385</v>
      </c>
      <c r="J13" s="48">
        <f t="shared" si="2"/>
        <v>100</v>
      </c>
    </row>
    <row r="14" spans="1:11" ht="21" customHeight="1" x14ac:dyDescent="0.15">
      <c r="A14" s="188">
        <v>40044013</v>
      </c>
      <c r="B14" s="47">
        <v>1</v>
      </c>
      <c r="C14" s="47">
        <v>100</v>
      </c>
      <c r="D14" s="47">
        <v>100</v>
      </c>
      <c r="E14" s="47" t="s">
        <v>254</v>
      </c>
      <c r="F14" s="47" t="s">
        <v>53</v>
      </c>
      <c r="G14" s="47">
        <v>1</v>
      </c>
      <c r="H14" s="47" t="s">
        <v>53</v>
      </c>
      <c r="I14" s="47">
        <v>1386</v>
      </c>
      <c r="J14" s="48">
        <f t="shared" si="2"/>
        <v>100</v>
      </c>
    </row>
    <row r="15" spans="1:11" ht="21" customHeight="1" x14ac:dyDescent="0.15">
      <c r="A15" s="188">
        <v>40044014</v>
      </c>
      <c r="B15" s="47">
        <v>1</v>
      </c>
      <c r="C15" s="47">
        <v>97</v>
      </c>
      <c r="D15" s="47">
        <v>100</v>
      </c>
      <c r="E15" s="47" t="s">
        <v>254</v>
      </c>
      <c r="F15" s="47" t="s">
        <v>53</v>
      </c>
      <c r="G15" s="47">
        <v>1</v>
      </c>
      <c r="H15" s="47" t="s">
        <v>53</v>
      </c>
      <c r="I15" s="47">
        <v>1379</v>
      </c>
      <c r="J15" s="48">
        <f t="shared" si="2"/>
        <v>100</v>
      </c>
    </row>
    <row r="16" spans="1:11" ht="21" customHeight="1" x14ac:dyDescent="0.15">
      <c r="A16" s="188">
        <v>40044015</v>
      </c>
      <c r="B16" s="47">
        <v>1</v>
      </c>
      <c r="C16" s="47">
        <v>98</v>
      </c>
      <c r="D16" s="47">
        <v>100</v>
      </c>
      <c r="E16" s="47" t="s">
        <v>254</v>
      </c>
      <c r="F16" s="47" t="s">
        <v>53</v>
      </c>
      <c r="G16" s="47">
        <v>1</v>
      </c>
      <c r="H16" s="47" t="s">
        <v>53</v>
      </c>
      <c r="I16" s="47">
        <v>1380</v>
      </c>
      <c r="J16" s="48">
        <f t="shared" si="2"/>
        <v>100</v>
      </c>
    </row>
    <row r="17" spans="1:11" ht="21" customHeight="1" x14ac:dyDescent="0.15">
      <c r="A17" s="188">
        <v>40044016</v>
      </c>
      <c r="B17" s="47">
        <v>0</v>
      </c>
      <c r="C17" s="47">
        <v>80</v>
      </c>
      <c r="D17" s="47">
        <v>50</v>
      </c>
      <c r="E17" s="47" t="s">
        <v>254</v>
      </c>
      <c r="F17" s="47" t="s">
        <v>53</v>
      </c>
      <c r="G17" s="47" t="s">
        <v>254</v>
      </c>
      <c r="H17" s="47" t="s">
        <v>53</v>
      </c>
      <c r="I17" s="167" t="s">
        <v>53</v>
      </c>
      <c r="J17" s="48">
        <f t="shared" si="2"/>
        <v>50</v>
      </c>
    </row>
    <row r="18" spans="1:11" ht="21" customHeight="1" x14ac:dyDescent="0.15">
      <c r="A18" s="188">
        <v>40044017</v>
      </c>
      <c r="B18" s="47">
        <v>0</v>
      </c>
      <c r="C18" s="47">
        <v>70</v>
      </c>
      <c r="D18" s="47">
        <v>100</v>
      </c>
      <c r="E18" s="47" t="s">
        <v>254</v>
      </c>
      <c r="F18" s="47" t="s">
        <v>53</v>
      </c>
      <c r="G18" s="47" t="s">
        <v>254</v>
      </c>
      <c r="H18" s="47" t="s">
        <v>53</v>
      </c>
      <c r="I18" s="47" t="s">
        <v>53</v>
      </c>
      <c r="J18" s="48">
        <f t="shared" si="2"/>
        <v>100</v>
      </c>
    </row>
    <row r="19" spans="1:11" ht="21" customHeight="1" x14ac:dyDescent="0.15">
      <c r="A19" s="188">
        <v>40044018</v>
      </c>
      <c r="B19" s="47">
        <v>0</v>
      </c>
      <c r="C19" s="47">
        <v>90</v>
      </c>
      <c r="D19" s="47">
        <v>100</v>
      </c>
      <c r="E19" s="47" t="s">
        <v>254</v>
      </c>
      <c r="F19" s="47" t="s">
        <v>53</v>
      </c>
      <c r="G19" s="47">
        <v>1</v>
      </c>
      <c r="H19" s="47">
        <v>1</v>
      </c>
      <c r="I19" s="47" t="s">
        <v>53</v>
      </c>
      <c r="J19" s="48">
        <f t="shared" si="2"/>
        <v>100</v>
      </c>
    </row>
    <row r="20" spans="1:11" ht="21" customHeight="1" thickBot="1" x14ac:dyDescent="0.2">
      <c r="A20" s="180">
        <v>40044019</v>
      </c>
      <c r="B20" s="174">
        <v>0</v>
      </c>
      <c r="C20" s="174">
        <v>85</v>
      </c>
      <c r="D20" s="174">
        <v>100</v>
      </c>
      <c r="E20" s="174" t="s">
        <v>254</v>
      </c>
      <c r="F20" s="174" t="s">
        <v>53</v>
      </c>
      <c r="G20" s="174" t="s">
        <v>254</v>
      </c>
      <c r="H20" s="174">
        <v>2</v>
      </c>
      <c r="I20" s="174" t="s">
        <v>53</v>
      </c>
      <c r="J20" s="178">
        <f t="shared" si="2"/>
        <v>100</v>
      </c>
      <c r="K20" s="196"/>
    </row>
    <row r="21" spans="1:11" ht="21" customHeight="1" x14ac:dyDescent="0.15">
      <c r="A21" s="189">
        <v>40044020</v>
      </c>
      <c r="B21" s="167">
        <v>1</v>
      </c>
      <c r="C21" s="167">
        <v>90</v>
      </c>
      <c r="D21" s="167">
        <v>100</v>
      </c>
      <c r="E21" s="167" t="s">
        <v>254</v>
      </c>
      <c r="F21" s="167" t="s">
        <v>53</v>
      </c>
      <c r="G21" s="167">
        <v>1</v>
      </c>
      <c r="H21" s="167" t="s">
        <v>53</v>
      </c>
      <c r="I21" s="167" t="s">
        <v>53</v>
      </c>
      <c r="J21" s="171">
        <f t="shared" si="2"/>
        <v>100</v>
      </c>
    </row>
    <row r="22" spans="1:11" ht="21" customHeight="1" x14ac:dyDescent="0.15">
      <c r="A22" s="188">
        <v>40044021</v>
      </c>
      <c r="B22" s="47">
        <v>0</v>
      </c>
      <c r="C22" s="47">
        <v>75</v>
      </c>
      <c r="D22" s="47">
        <v>50</v>
      </c>
      <c r="E22" s="47" t="s">
        <v>254</v>
      </c>
      <c r="F22" s="47" t="s">
        <v>53</v>
      </c>
      <c r="G22" s="47" t="s">
        <v>254</v>
      </c>
      <c r="H22" s="47" t="s">
        <v>53</v>
      </c>
      <c r="I22" s="47" t="s">
        <v>53</v>
      </c>
      <c r="J22" s="48">
        <f t="shared" si="2"/>
        <v>50</v>
      </c>
    </row>
    <row r="23" spans="1:11" ht="21" customHeight="1" x14ac:dyDescent="0.15">
      <c r="A23" s="188">
        <v>40044022</v>
      </c>
      <c r="B23" s="47">
        <v>0</v>
      </c>
      <c r="C23" s="47">
        <v>70</v>
      </c>
      <c r="D23" s="47">
        <v>100</v>
      </c>
      <c r="E23" s="47" t="s">
        <v>254</v>
      </c>
      <c r="F23" s="47" t="s">
        <v>53</v>
      </c>
      <c r="G23" s="47" t="s">
        <v>254</v>
      </c>
      <c r="H23" s="47" t="s">
        <v>53</v>
      </c>
      <c r="I23" s="47" t="s">
        <v>53</v>
      </c>
      <c r="J23" s="48">
        <f t="shared" si="2"/>
        <v>100</v>
      </c>
    </row>
    <row r="24" spans="1:11" ht="21" customHeight="1" x14ac:dyDescent="0.15">
      <c r="A24" s="188">
        <v>40044023</v>
      </c>
      <c r="B24" s="47">
        <v>0</v>
      </c>
      <c r="C24" s="47">
        <v>80</v>
      </c>
      <c r="D24" s="47">
        <v>100</v>
      </c>
      <c r="E24" s="47" t="s">
        <v>254</v>
      </c>
      <c r="F24" s="47" t="s">
        <v>53</v>
      </c>
      <c r="G24" s="47" t="s">
        <v>254</v>
      </c>
      <c r="H24" s="47">
        <v>3</v>
      </c>
      <c r="I24" s="47" t="s">
        <v>53</v>
      </c>
      <c r="J24" s="48">
        <f t="shared" si="2"/>
        <v>100</v>
      </c>
    </row>
    <row r="25" spans="1:11" ht="21" customHeight="1" x14ac:dyDescent="0.15">
      <c r="A25" s="188">
        <v>40044024</v>
      </c>
      <c r="B25" s="47">
        <v>0</v>
      </c>
      <c r="C25" s="47">
        <v>85</v>
      </c>
      <c r="D25" s="47">
        <v>100</v>
      </c>
      <c r="E25" s="47" t="s">
        <v>254</v>
      </c>
      <c r="F25" s="47" t="s">
        <v>53</v>
      </c>
      <c r="G25" s="47" t="s">
        <v>254</v>
      </c>
      <c r="H25" s="47">
        <v>4</v>
      </c>
      <c r="I25" s="47" t="s">
        <v>53</v>
      </c>
      <c r="J25" s="48">
        <f t="shared" si="2"/>
        <v>100</v>
      </c>
    </row>
    <row r="26" spans="1:11" ht="21" customHeight="1" x14ac:dyDescent="0.15">
      <c r="A26" s="188">
        <v>40044025</v>
      </c>
      <c r="B26" s="47">
        <v>0</v>
      </c>
      <c r="C26" s="47">
        <v>96</v>
      </c>
      <c r="D26" s="47">
        <v>100</v>
      </c>
      <c r="E26" s="47" t="s">
        <v>254</v>
      </c>
      <c r="F26" s="47" t="s">
        <v>53</v>
      </c>
      <c r="G26" s="47">
        <v>0</v>
      </c>
      <c r="H26" s="47" t="s">
        <v>53</v>
      </c>
      <c r="I26" s="47">
        <v>0</v>
      </c>
      <c r="J26" s="48">
        <f t="shared" si="2"/>
        <v>100</v>
      </c>
    </row>
    <row r="27" spans="1:11" ht="21" customHeight="1" x14ac:dyDescent="0.15">
      <c r="A27" s="188">
        <v>40044026</v>
      </c>
      <c r="B27" s="47">
        <v>0</v>
      </c>
      <c r="C27" s="47">
        <v>99</v>
      </c>
      <c r="D27" s="47">
        <v>100</v>
      </c>
      <c r="E27" s="47" t="s">
        <v>254</v>
      </c>
      <c r="F27" s="47" t="s">
        <v>53</v>
      </c>
      <c r="G27" s="47">
        <v>0</v>
      </c>
      <c r="H27" s="47" t="s">
        <v>53</v>
      </c>
      <c r="I27" s="47">
        <v>1385</v>
      </c>
      <c r="J27" s="48">
        <f t="shared" si="2"/>
        <v>100</v>
      </c>
    </row>
    <row r="28" spans="1:11" ht="21" customHeight="1" x14ac:dyDescent="0.15">
      <c r="A28" s="188">
        <v>40044027</v>
      </c>
      <c r="B28" s="47">
        <v>0</v>
      </c>
      <c r="C28" s="47">
        <v>100</v>
      </c>
      <c r="D28" s="47">
        <v>100</v>
      </c>
      <c r="E28" s="47" t="s">
        <v>254</v>
      </c>
      <c r="F28" s="47" t="s">
        <v>53</v>
      </c>
      <c r="G28" s="47">
        <v>0</v>
      </c>
      <c r="H28" s="47" t="s">
        <v>53</v>
      </c>
      <c r="I28" s="47">
        <v>1386</v>
      </c>
      <c r="J28" s="48">
        <f t="shared" ref="J28:J57" si="3">D28</f>
        <v>100</v>
      </c>
    </row>
    <row r="29" spans="1:11" ht="21" customHeight="1" x14ac:dyDescent="0.15">
      <c r="A29" s="188">
        <v>40044028</v>
      </c>
      <c r="B29" s="47">
        <v>0</v>
      </c>
      <c r="C29" s="47">
        <v>97</v>
      </c>
      <c r="D29" s="47">
        <v>100</v>
      </c>
      <c r="E29" s="47" t="s">
        <v>254</v>
      </c>
      <c r="F29" s="47" t="s">
        <v>53</v>
      </c>
      <c r="G29" s="47">
        <v>0</v>
      </c>
      <c r="H29" s="47" t="s">
        <v>53</v>
      </c>
      <c r="I29" s="47">
        <v>1379</v>
      </c>
      <c r="J29" s="48">
        <f t="shared" si="3"/>
        <v>100</v>
      </c>
    </row>
    <row r="30" spans="1:11" ht="21" customHeight="1" thickBot="1" x14ac:dyDescent="0.2">
      <c r="A30" s="180">
        <v>40044029</v>
      </c>
      <c r="B30" s="174">
        <v>0</v>
      </c>
      <c r="C30" s="174">
        <v>98</v>
      </c>
      <c r="D30" s="174">
        <v>100</v>
      </c>
      <c r="E30" s="174" t="s">
        <v>254</v>
      </c>
      <c r="F30" s="174" t="s">
        <v>53</v>
      </c>
      <c r="G30" s="174">
        <v>0</v>
      </c>
      <c r="H30" s="174" t="s">
        <v>53</v>
      </c>
      <c r="I30" s="174">
        <v>1380</v>
      </c>
      <c r="J30" s="178">
        <f t="shared" si="3"/>
        <v>100</v>
      </c>
      <c r="K30" s="196"/>
    </row>
    <row r="31" spans="1:11" ht="21" customHeight="1" x14ac:dyDescent="0.15">
      <c r="A31" s="190">
        <v>40044030</v>
      </c>
      <c r="B31" s="167">
        <v>0</v>
      </c>
      <c r="C31" s="167">
        <v>90</v>
      </c>
      <c r="D31" s="167">
        <v>100</v>
      </c>
      <c r="E31" s="167" t="s">
        <v>254</v>
      </c>
      <c r="F31" s="167" t="s">
        <v>53</v>
      </c>
      <c r="G31" s="167" t="s">
        <v>254</v>
      </c>
      <c r="H31" s="167" t="s">
        <v>53</v>
      </c>
      <c r="I31" s="167" t="s">
        <v>53</v>
      </c>
      <c r="J31" s="171">
        <f t="shared" si="3"/>
        <v>100</v>
      </c>
    </row>
    <row r="32" spans="1:11" ht="21" customHeight="1" thickBot="1" x14ac:dyDescent="0.2">
      <c r="A32" s="191">
        <v>40044031</v>
      </c>
      <c r="B32" s="174">
        <v>0</v>
      </c>
      <c r="C32" s="174">
        <v>100</v>
      </c>
      <c r="D32" s="174">
        <v>100</v>
      </c>
      <c r="E32" s="174" t="s">
        <v>254</v>
      </c>
      <c r="F32" s="174" t="s">
        <v>53</v>
      </c>
      <c r="G32" s="174" t="s">
        <v>254</v>
      </c>
      <c r="H32" s="174">
        <v>2</v>
      </c>
      <c r="I32" s="174" t="s">
        <v>53</v>
      </c>
      <c r="J32" s="178">
        <f t="shared" si="3"/>
        <v>100</v>
      </c>
      <c r="K32" s="196"/>
    </row>
    <row r="33" spans="1:11" ht="21" customHeight="1" x14ac:dyDescent="0.15">
      <c r="A33" s="190">
        <v>40044032</v>
      </c>
      <c r="B33" s="167">
        <v>1</v>
      </c>
      <c r="C33" s="167">
        <v>60</v>
      </c>
      <c r="D33" s="167">
        <v>100</v>
      </c>
      <c r="E33" s="167" t="s">
        <v>254</v>
      </c>
      <c r="F33" s="167" t="s">
        <v>53</v>
      </c>
      <c r="G33" s="167">
        <v>1</v>
      </c>
      <c r="H33" s="167" t="s">
        <v>53</v>
      </c>
      <c r="I33" s="167" t="s">
        <v>53</v>
      </c>
      <c r="J33" s="171">
        <f t="shared" ref="J33" si="4">D33</f>
        <v>100</v>
      </c>
    </row>
    <row r="34" spans="1:11" ht="21" customHeight="1" x14ac:dyDescent="0.15">
      <c r="A34" s="192">
        <v>40044033</v>
      </c>
      <c r="B34" s="167">
        <v>0</v>
      </c>
      <c r="C34" s="167">
        <v>80</v>
      </c>
      <c r="D34" s="167">
        <v>50</v>
      </c>
      <c r="E34" s="167" t="s">
        <v>254</v>
      </c>
      <c r="F34" s="167" t="s">
        <v>53</v>
      </c>
      <c r="G34" s="167" t="s">
        <v>254</v>
      </c>
      <c r="H34" s="167" t="s">
        <v>53</v>
      </c>
      <c r="I34" s="167" t="s">
        <v>53</v>
      </c>
      <c r="J34" s="171">
        <f t="shared" si="3"/>
        <v>50</v>
      </c>
    </row>
    <row r="35" spans="1:11" ht="21" customHeight="1" x14ac:dyDescent="0.15">
      <c r="A35" s="192">
        <v>40044034</v>
      </c>
      <c r="B35" s="47">
        <v>0</v>
      </c>
      <c r="C35" s="47">
        <v>70</v>
      </c>
      <c r="D35" s="47">
        <v>100</v>
      </c>
      <c r="E35" s="47" t="s">
        <v>254</v>
      </c>
      <c r="F35" s="47" t="s">
        <v>53</v>
      </c>
      <c r="G35" s="47" t="s">
        <v>254</v>
      </c>
      <c r="H35" s="47" t="s">
        <v>53</v>
      </c>
      <c r="I35" s="47" t="s">
        <v>53</v>
      </c>
      <c r="J35" s="48">
        <f t="shared" si="3"/>
        <v>100</v>
      </c>
    </row>
    <row r="36" spans="1:11" ht="21" customHeight="1" x14ac:dyDescent="0.15">
      <c r="A36" s="192">
        <v>40044035</v>
      </c>
      <c r="B36" s="47">
        <v>0</v>
      </c>
      <c r="C36" s="47">
        <v>90</v>
      </c>
      <c r="D36" s="47">
        <v>100</v>
      </c>
      <c r="E36" s="47" t="s">
        <v>254</v>
      </c>
      <c r="F36" s="47" t="s">
        <v>53</v>
      </c>
      <c r="G36" s="47" t="s">
        <v>254</v>
      </c>
      <c r="H36" s="47">
        <v>2</v>
      </c>
      <c r="I36" s="47" t="s">
        <v>53</v>
      </c>
      <c r="J36" s="48">
        <f t="shared" si="3"/>
        <v>100</v>
      </c>
    </row>
    <row r="37" spans="1:11" ht="21" customHeight="1" thickBot="1" x14ac:dyDescent="0.2">
      <c r="A37" s="191">
        <v>40044036</v>
      </c>
      <c r="B37" s="174">
        <v>0</v>
      </c>
      <c r="C37" s="174">
        <v>100</v>
      </c>
      <c r="D37" s="174">
        <v>100</v>
      </c>
      <c r="E37" s="174" t="s">
        <v>254</v>
      </c>
      <c r="F37" s="174" t="s">
        <v>53</v>
      </c>
      <c r="G37" s="174" t="s">
        <v>254</v>
      </c>
      <c r="H37" s="174">
        <v>3</v>
      </c>
      <c r="I37" s="174" t="s">
        <v>53</v>
      </c>
      <c r="J37" s="178">
        <f t="shared" si="3"/>
        <v>100</v>
      </c>
      <c r="K37" s="196"/>
    </row>
    <row r="38" spans="1:11" ht="21" customHeight="1" x14ac:dyDescent="0.15">
      <c r="A38" s="190">
        <v>40044037</v>
      </c>
      <c r="B38" s="167">
        <v>0</v>
      </c>
      <c r="C38" s="167">
        <v>90</v>
      </c>
      <c r="D38" s="167">
        <v>100</v>
      </c>
      <c r="E38" s="167" t="s">
        <v>254</v>
      </c>
      <c r="F38" s="167" t="s">
        <v>53</v>
      </c>
      <c r="G38" s="167" t="s">
        <v>254</v>
      </c>
      <c r="H38" s="167" t="s">
        <v>53</v>
      </c>
      <c r="I38" s="167" t="s">
        <v>53</v>
      </c>
      <c r="J38" s="171">
        <f t="shared" si="3"/>
        <v>100</v>
      </c>
    </row>
    <row r="39" spans="1:11" ht="21" customHeight="1" thickBot="1" x14ac:dyDescent="0.2">
      <c r="A39" s="191">
        <v>40044038</v>
      </c>
      <c r="B39" s="174">
        <v>0</v>
      </c>
      <c r="C39" s="174">
        <v>100</v>
      </c>
      <c r="D39" s="174">
        <v>100</v>
      </c>
      <c r="E39" s="174" t="s">
        <v>254</v>
      </c>
      <c r="F39" s="174" t="s">
        <v>53</v>
      </c>
      <c r="G39" s="174" t="s">
        <v>254</v>
      </c>
      <c r="H39" s="174">
        <v>2</v>
      </c>
      <c r="I39" s="174" t="s">
        <v>53</v>
      </c>
      <c r="J39" s="178">
        <f t="shared" si="3"/>
        <v>100</v>
      </c>
      <c r="K39" s="196"/>
    </row>
    <row r="40" spans="1:11" ht="21" customHeight="1" x14ac:dyDescent="0.15">
      <c r="A40" s="193">
        <v>40044039</v>
      </c>
      <c r="B40" s="167">
        <v>1</v>
      </c>
      <c r="C40" s="167">
        <v>96</v>
      </c>
      <c r="D40" s="167">
        <v>100</v>
      </c>
      <c r="E40" s="167" t="s">
        <v>254</v>
      </c>
      <c r="F40" s="167" t="s">
        <v>53</v>
      </c>
      <c r="G40" s="167">
        <v>1</v>
      </c>
      <c r="H40" s="167" t="s">
        <v>53</v>
      </c>
      <c r="I40" s="167" t="s">
        <v>53</v>
      </c>
      <c r="J40" s="171">
        <f t="shared" si="3"/>
        <v>100</v>
      </c>
    </row>
    <row r="41" spans="1:11" ht="21" customHeight="1" x14ac:dyDescent="0.15">
      <c r="A41" s="195">
        <v>40044040</v>
      </c>
      <c r="B41" s="47">
        <v>1</v>
      </c>
      <c r="C41" s="47">
        <v>99</v>
      </c>
      <c r="D41" s="47">
        <v>100</v>
      </c>
      <c r="E41" s="47" t="s">
        <v>254</v>
      </c>
      <c r="F41" s="47" t="s">
        <v>53</v>
      </c>
      <c r="G41" s="47">
        <v>1</v>
      </c>
      <c r="H41" s="47" t="s">
        <v>53</v>
      </c>
      <c r="I41" s="47">
        <v>1385</v>
      </c>
      <c r="J41" s="48">
        <f t="shared" si="3"/>
        <v>100</v>
      </c>
    </row>
    <row r="42" spans="1:11" ht="21" customHeight="1" x14ac:dyDescent="0.15">
      <c r="A42" s="195">
        <v>40044041</v>
      </c>
      <c r="B42" s="47">
        <v>1</v>
      </c>
      <c r="C42" s="47">
        <v>100</v>
      </c>
      <c r="D42" s="47">
        <v>100</v>
      </c>
      <c r="E42" s="47" t="s">
        <v>254</v>
      </c>
      <c r="F42" s="47" t="s">
        <v>53</v>
      </c>
      <c r="G42" s="47">
        <v>1</v>
      </c>
      <c r="H42" s="47" t="s">
        <v>53</v>
      </c>
      <c r="I42" s="47">
        <v>1386</v>
      </c>
      <c r="J42" s="48">
        <f t="shared" si="3"/>
        <v>100</v>
      </c>
    </row>
    <row r="43" spans="1:11" ht="21" customHeight="1" x14ac:dyDescent="0.15">
      <c r="A43" s="195">
        <v>40044042</v>
      </c>
      <c r="B43" s="47">
        <v>1</v>
      </c>
      <c r="C43" s="47">
        <v>97</v>
      </c>
      <c r="D43" s="47">
        <v>100</v>
      </c>
      <c r="E43" s="47" t="s">
        <v>254</v>
      </c>
      <c r="F43" s="47" t="s">
        <v>53</v>
      </c>
      <c r="G43" s="47">
        <v>1</v>
      </c>
      <c r="H43" s="47" t="s">
        <v>53</v>
      </c>
      <c r="I43" s="47">
        <v>1379</v>
      </c>
      <c r="J43" s="48">
        <f t="shared" si="3"/>
        <v>100</v>
      </c>
    </row>
    <row r="44" spans="1:11" ht="21" customHeight="1" x14ac:dyDescent="0.15">
      <c r="A44" s="195">
        <v>40044043</v>
      </c>
      <c r="B44" s="47">
        <v>1</v>
      </c>
      <c r="C44" s="47">
        <v>98</v>
      </c>
      <c r="D44" s="47">
        <v>100</v>
      </c>
      <c r="E44" s="47" t="s">
        <v>254</v>
      </c>
      <c r="F44" s="47" t="s">
        <v>53</v>
      </c>
      <c r="G44" s="47">
        <v>1</v>
      </c>
      <c r="H44" s="47" t="s">
        <v>53</v>
      </c>
      <c r="I44" s="47">
        <v>1380</v>
      </c>
      <c r="J44" s="48">
        <f t="shared" si="3"/>
        <v>100</v>
      </c>
    </row>
    <row r="45" spans="1:11" ht="21" customHeight="1" x14ac:dyDescent="0.15">
      <c r="A45" s="195">
        <v>40044044</v>
      </c>
      <c r="B45" s="47">
        <v>0</v>
      </c>
      <c r="C45" s="47">
        <v>60</v>
      </c>
      <c r="D45" s="47">
        <v>50</v>
      </c>
      <c r="E45" s="47" t="s">
        <v>254</v>
      </c>
      <c r="F45" s="47" t="s">
        <v>53</v>
      </c>
      <c r="G45" s="47" t="s">
        <v>254</v>
      </c>
      <c r="H45" s="47" t="s">
        <v>53</v>
      </c>
      <c r="I45" s="47" t="s">
        <v>53</v>
      </c>
      <c r="J45" s="48">
        <f t="shared" si="3"/>
        <v>50</v>
      </c>
    </row>
    <row r="46" spans="1:11" ht="21" customHeight="1" x14ac:dyDescent="0.15">
      <c r="A46" s="195">
        <v>40044045</v>
      </c>
      <c r="B46" s="47">
        <v>0</v>
      </c>
      <c r="C46" s="47">
        <v>50</v>
      </c>
      <c r="D46" s="47">
        <v>100</v>
      </c>
      <c r="E46" s="47" t="s">
        <v>254</v>
      </c>
      <c r="F46" s="47" t="s">
        <v>53</v>
      </c>
      <c r="G46" s="47" t="s">
        <v>254</v>
      </c>
      <c r="H46" s="47" t="s">
        <v>53</v>
      </c>
      <c r="I46" s="47" t="s">
        <v>53</v>
      </c>
      <c r="J46" s="48">
        <f t="shared" si="3"/>
        <v>100</v>
      </c>
    </row>
    <row r="47" spans="1:11" ht="21" customHeight="1" x14ac:dyDescent="0.15">
      <c r="A47" s="195">
        <v>40044046</v>
      </c>
      <c r="B47" s="47">
        <v>0</v>
      </c>
      <c r="C47" s="47">
        <v>90</v>
      </c>
      <c r="D47" s="47">
        <v>100</v>
      </c>
      <c r="E47" s="47" t="s">
        <v>254</v>
      </c>
      <c r="F47" s="47" t="s">
        <v>53</v>
      </c>
      <c r="G47" s="47">
        <v>1</v>
      </c>
      <c r="H47" s="47">
        <v>1</v>
      </c>
      <c r="I47" s="47" t="s">
        <v>53</v>
      </c>
      <c r="J47" s="48">
        <f t="shared" si="3"/>
        <v>100</v>
      </c>
    </row>
    <row r="48" spans="1:11" ht="21" customHeight="1" x14ac:dyDescent="0.15">
      <c r="A48" s="195">
        <v>40044047</v>
      </c>
      <c r="B48" s="47">
        <v>0</v>
      </c>
      <c r="C48" s="47">
        <v>70</v>
      </c>
      <c r="D48" s="47">
        <v>100</v>
      </c>
      <c r="E48" s="47" t="s">
        <v>254</v>
      </c>
      <c r="F48" s="47" t="s">
        <v>53</v>
      </c>
      <c r="G48" s="47" t="s">
        <v>254</v>
      </c>
      <c r="H48" s="47">
        <v>2</v>
      </c>
      <c r="I48" s="47" t="s">
        <v>53</v>
      </c>
      <c r="J48" s="48">
        <f t="shared" si="3"/>
        <v>100</v>
      </c>
    </row>
    <row r="49" spans="1:11" ht="21" customHeight="1" thickBot="1" x14ac:dyDescent="0.2">
      <c r="A49" s="194">
        <v>40044048</v>
      </c>
      <c r="B49" s="174">
        <v>0</v>
      </c>
      <c r="C49" s="174">
        <v>80</v>
      </c>
      <c r="D49" s="174">
        <v>100</v>
      </c>
      <c r="E49" s="174" t="s">
        <v>254</v>
      </c>
      <c r="F49" s="174" t="s">
        <v>53</v>
      </c>
      <c r="G49" s="174" t="s">
        <v>254</v>
      </c>
      <c r="H49" s="174">
        <v>4</v>
      </c>
      <c r="I49" s="174" t="s">
        <v>53</v>
      </c>
      <c r="J49" s="178">
        <f t="shared" si="3"/>
        <v>100</v>
      </c>
      <c r="K49" s="196"/>
    </row>
    <row r="50" spans="1:11" ht="21" customHeight="1" x14ac:dyDescent="0.15">
      <c r="A50" s="193">
        <v>40044049</v>
      </c>
      <c r="B50" s="167">
        <v>1</v>
      </c>
      <c r="C50" s="167">
        <v>100</v>
      </c>
      <c r="D50" s="167">
        <v>100</v>
      </c>
      <c r="E50" s="167" t="s">
        <v>254</v>
      </c>
      <c r="F50" s="167" t="s">
        <v>53</v>
      </c>
      <c r="G50" s="167">
        <v>1</v>
      </c>
      <c r="H50" s="167" t="s">
        <v>53</v>
      </c>
      <c r="I50" s="167" t="s">
        <v>53</v>
      </c>
      <c r="J50" s="171">
        <f t="shared" si="3"/>
        <v>100</v>
      </c>
    </row>
    <row r="51" spans="1:11" ht="21" customHeight="1" x14ac:dyDescent="0.15">
      <c r="A51" s="195">
        <v>40044050</v>
      </c>
      <c r="B51" s="47">
        <v>0</v>
      </c>
      <c r="C51" s="47">
        <v>70</v>
      </c>
      <c r="D51" s="47">
        <v>50</v>
      </c>
      <c r="E51" s="47" t="s">
        <v>254</v>
      </c>
      <c r="F51" s="47" t="s">
        <v>53</v>
      </c>
      <c r="G51" s="47" t="s">
        <v>254</v>
      </c>
      <c r="H51" s="47" t="s">
        <v>53</v>
      </c>
      <c r="I51" s="47" t="s">
        <v>53</v>
      </c>
      <c r="J51" s="48">
        <f t="shared" si="3"/>
        <v>50</v>
      </c>
    </row>
    <row r="52" spans="1:11" ht="21" customHeight="1" x14ac:dyDescent="0.15">
      <c r="A52" s="195">
        <v>40044051</v>
      </c>
      <c r="B52" s="47">
        <v>0</v>
      </c>
      <c r="C52" s="47">
        <v>60</v>
      </c>
      <c r="D52" s="47">
        <v>100</v>
      </c>
      <c r="E52" s="47" t="s">
        <v>254</v>
      </c>
      <c r="F52" s="47" t="s">
        <v>53</v>
      </c>
      <c r="G52" s="47" t="s">
        <v>254</v>
      </c>
      <c r="H52" s="47" t="s">
        <v>53</v>
      </c>
      <c r="I52" s="47" t="s">
        <v>53</v>
      </c>
      <c r="J52" s="48">
        <f t="shared" si="3"/>
        <v>100</v>
      </c>
    </row>
    <row r="53" spans="1:11" ht="21" customHeight="1" x14ac:dyDescent="0.15">
      <c r="A53" s="195">
        <v>40044052</v>
      </c>
      <c r="B53" s="47">
        <v>0</v>
      </c>
      <c r="C53" s="47">
        <v>80</v>
      </c>
      <c r="D53" s="47">
        <v>100</v>
      </c>
      <c r="E53" s="47" t="s">
        <v>254</v>
      </c>
      <c r="F53" s="47" t="s">
        <v>53</v>
      </c>
      <c r="G53" s="47" t="s">
        <v>254</v>
      </c>
      <c r="H53" s="47">
        <v>3</v>
      </c>
      <c r="I53" s="47" t="s">
        <v>53</v>
      </c>
      <c r="J53" s="48">
        <f t="shared" si="3"/>
        <v>100</v>
      </c>
    </row>
    <row r="54" spans="1:11" ht="21" customHeight="1" thickBot="1" x14ac:dyDescent="0.2">
      <c r="A54" s="194">
        <v>40044053</v>
      </c>
      <c r="B54" s="174">
        <v>0</v>
      </c>
      <c r="C54" s="174">
        <v>90</v>
      </c>
      <c r="D54" s="174">
        <v>100</v>
      </c>
      <c r="E54" s="174" t="s">
        <v>254</v>
      </c>
      <c r="F54" s="174" t="s">
        <v>53</v>
      </c>
      <c r="G54" s="174" t="s">
        <v>254</v>
      </c>
      <c r="H54" s="174">
        <v>4</v>
      </c>
      <c r="I54" s="174" t="s">
        <v>53</v>
      </c>
      <c r="J54" s="178">
        <f t="shared" si="3"/>
        <v>100</v>
      </c>
      <c r="K54" s="196"/>
    </row>
    <row r="55" spans="1:11" ht="21" customHeight="1" x14ac:dyDescent="0.15">
      <c r="A55" s="193">
        <v>40044054</v>
      </c>
      <c r="B55" s="167">
        <v>1</v>
      </c>
      <c r="C55" s="167">
        <v>100</v>
      </c>
      <c r="D55" s="167">
        <v>100</v>
      </c>
      <c r="E55" s="167" t="s">
        <v>89</v>
      </c>
      <c r="F55" s="167" t="s">
        <v>53</v>
      </c>
      <c r="G55" s="167">
        <v>1</v>
      </c>
      <c r="H55" s="167" t="s">
        <v>53</v>
      </c>
      <c r="I55" s="167" t="s">
        <v>53</v>
      </c>
      <c r="J55" s="171">
        <f t="shared" si="3"/>
        <v>100</v>
      </c>
    </row>
    <row r="56" spans="1:11" ht="21" customHeight="1" x14ac:dyDescent="0.15">
      <c r="A56" s="195">
        <v>40044055</v>
      </c>
      <c r="B56" s="47">
        <v>0</v>
      </c>
      <c r="C56" s="47">
        <v>70</v>
      </c>
      <c r="D56" s="47">
        <v>50</v>
      </c>
      <c r="E56" s="47" t="s">
        <v>254</v>
      </c>
      <c r="F56" s="47" t="s">
        <v>53</v>
      </c>
      <c r="G56" s="47" t="s">
        <v>254</v>
      </c>
      <c r="H56" s="47" t="s">
        <v>53</v>
      </c>
      <c r="I56" s="47" t="s">
        <v>53</v>
      </c>
      <c r="J56" s="48">
        <f t="shared" si="3"/>
        <v>50</v>
      </c>
    </row>
    <row r="57" spans="1:11" ht="21" customHeight="1" x14ac:dyDescent="0.15">
      <c r="A57" s="195">
        <v>40044056</v>
      </c>
      <c r="B57" s="47">
        <v>0</v>
      </c>
      <c r="C57" s="47">
        <v>65</v>
      </c>
      <c r="D57" s="47">
        <v>100</v>
      </c>
      <c r="E57" s="47" t="s">
        <v>254</v>
      </c>
      <c r="F57" s="47" t="s">
        <v>53</v>
      </c>
      <c r="G57" s="47" t="s">
        <v>254</v>
      </c>
      <c r="H57" s="47" t="s">
        <v>53</v>
      </c>
      <c r="I57" s="47" t="s">
        <v>53</v>
      </c>
      <c r="J57" s="48">
        <f t="shared" si="3"/>
        <v>100</v>
      </c>
    </row>
    <row r="58" spans="1:11" ht="21" customHeight="1" x14ac:dyDescent="0.15">
      <c r="A58" s="195">
        <v>40044057</v>
      </c>
      <c r="B58" s="47">
        <v>0</v>
      </c>
      <c r="C58" s="47">
        <v>90</v>
      </c>
      <c r="D58" s="47">
        <v>100</v>
      </c>
      <c r="E58" s="47" t="s">
        <v>254</v>
      </c>
      <c r="F58" s="47" t="s">
        <v>53</v>
      </c>
      <c r="G58" s="47">
        <v>1</v>
      </c>
      <c r="H58" s="47">
        <v>1</v>
      </c>
      <c r="I58" s="47" t="s">
        <v>53</v>
      </c>
      <c r="J58" s="48">
        <f t="shared" ref="J58:J121" si="5">D58</f>
        <v>100</v>
      </c>
    </row>
    <row r="59" spans="1:11" ht="21" customHeight="1" x14ac:dyDescent="0.15">
      <c r="A59" s="195">
        <v>40044058</v>
      </c>
      <c r="B59" s="47">
        <v>0</v>
      </c>
      <c r="C59" s="47">
        <v>75</v>
      </c>
      <c r="D59" s="47">
        <v>100</v>
      </c>
      <c r="E59" s="47" t="s">
        <v>254</v>
      </c>
      <c r="F59" s="47" t="s">
        <v>53</v>
      </c>
      <c r="G59" s="47" t="s">
        <v>254</v>
      </c>
      <c r="H59" s="47">
        <v>2</v>
      </c>
      <c r="I59" s="47" t="s">
        <v>53</v>
      </c>
      <c r="J59" s="48">
        <f t="shared" si="5"/>
        <v>100</v>
      </c>
    </row>
    <row r="60" spans="1:11" ht="21" customHeight="1" x14ac:dyDescent="0.15">
      <c r="A60" s="195">
        <v>40044059</v>
      </c>
      <c r="B60" s="47">
        <v>0</v>
      </c>
      <c r="C60" s="47">
        <v>80</v>
      </c>
      <c r="D60" s="47">
        <v>100</v>
      </c>
      <c r="E60" s="47" t="s">
        <v>254</v>
      </c>
      <c r="F60" s="47" t="s">
        <v>53</v>
      </c>
      <c r="G60" s="47" t="s">
        <v>254</v>
      </c>
      <c r="H60" s="47">
        <v>3</v>
      </c>
      <c r="I60" s="47" t="s">
        <v>53</v>
      </c>
      <c r="J60" s="48">
        <f t="shared" si="5"/>
        <v>100</v>
      </c>
    </row>
    <row r="61" spans="1:11" ht="21" customHeight="1" x14ac:dyDescent="0.15">
      <c r="A61" s="195">
        <v>40044060</v>
      </c>
      <c r="B61" s="47">
        <v>0</v>
      </c>
      <c r="C61" s="47">
        <v>85</v>
      </c>
      <c r="D61" s="47">
        <v>100</v>
      </c>
      <c r="E61" s="47" t="s">
        <v>254</v>
      </c>
      <c r="F61" s="47" t="s">
        <v>53</v>
      </c>
      <c r="G61" s="47" t="s">
        <v>254</v>
      </c>
      <c r="H61" s="47">
        <v>5</v>
      </c>
      <c r="I61" s="47" t="s">
        <v>53</v>
      </c>
      <c r="J61" s="48">
        <f t="shared" si="5"/>
        <v>100</v>
      </c>
    </row>
    <row r="62" spans="1:11" ht="21" customHeight="1" x14ac:dyDescent="0.15">
      <c r="A62" s="195">
        <v>40044061</v>
      </c>
      <c r="B62" s="47">
        <v>0</v>
      </c>
      <c r="C62" s="47">
        <v>95</v>
      </c>
      <c r="D62" s="47">
        <v>100</v>
      </c>
      <c r="E62" s="47" t="s">
        <v>254</v>
      </c>
      <c r="F62" s="47" t="s">
        <v>53</v>
      </c>
      <c r="G62" s="47">
        <v>0</v>
      </c>
      <c r="H62" s="47" t="s">
        <v>53</v>
      </c>
      <c r="I62" s="47">
        <v>0</v>
      </c>
      <c r="J62" s="48">
        <f t="shared" si="5"/>
        <v>100</v>
      </c>
    </row>
    <row r="63" spans="1:11" ht="21" customHeight="1" x14ac:dyDescent="0.15">
      <c r="A63" s="195">
        <v>40044062</v>
      </c>
      <c r="B63" s="47">
        <v>0</v>
      </c>
      <c r="C63" s="47">
        <v>98</v>
      </c>
      <c r="D63" s="47">
        <v>100</v>
      </c>
      <c r="E63" s="47" t="s">
        <v>254</v>
      </c>
      <c r="F63" s="47" t="s">
        <v>53</v>
      </c>
      <c r="G63" s="47">
        <v>0</v>
      </c>
      <c r="H63" s="47" t="s">
        <v>53</v>
      </c>
      <c r="I63" s="47">
        <v>1385</v>
      </c>
      <c r="J63" s="48">
        <f t="shared" si="5"/>
        <v>100</v>
      </c>
    </row>
    <row r="64" spans="1:11" ht="21" customHeight="1" x14ac:dyDescent="0.15">
      <c r="A64" s="195">
        <v>40044063</v>
      </c>
      <c r="B64" s="47">
        <v>0</v>
      </c>
      <c r="C64" s="47">
        <v>99</v>
      </c>
      <c r="D64" s="47">
        <v>100</v>
      </c>
      <c r="E64" s="47" t="s">
        <v>254</v>
      </c>
      <c r="F64" s="47" t="s">
        <v>53</v>
      </c>
      <c r="G64" s="47">
        <v>0</v>
      </c>
      <c r="H64" s="47" t="s">
        <v>53</v>
      </c>
      <c r="I64" s="47">
        <v>1386</v>
      </c>
      <c r="J64" s="48">
        <f t="shared" si="5"/>
        <v>100</v>
      </c>
    </row>
    <row r="65" spans="1:11" ht="21" customHeight="1" x14ac:dyDescent="0.15">
      <c r="A65" s="195">
        <v>40044064</v>
      </c>
      <c r="B65" s="47">
        <v>0</v>
      </c>
      <c r="C65" s="47">
        <v>96</v>
      </c>
      <c r="D65" s="47">
        <v>100</v>
      </c>
      <c r="E65" s="47" t="s">
        <v>254</v>
      </c>
      <c r="F65" s="47" t="s">
        <v>53</v>
      </c>
      <c r="G65" s="47">
        <v>0</v>
      </c>
      <c r="H65" s="47" t="s">
        <v>53</v>
      </c>
      <c r="I65" s="47">
        <v>1379</v>
      </c>
      <c r="J65" s="48">
        <f t="shared" si="5"/>
        <v>100</v>
      </c>
    </row>
    <row r="66" spans="1:11" ht="21" customHeight="1" thickBot="1" x14ac:dyDescent="0.2">
      <c r="A66" s="194">
        <v>40044065</v>
      </c>
      <c r="B66" s="174">
        <v>0</v>
      </c>
      <c r="C66" s="174">
        <v>97</v>
      </c>
      <c r="D66" s="174">
        <v>100</v>
      </c>
      <c r="E66" s="174" t="s">
        <v>254</v>
      </c>
      <c r="F66" s="174" t="s">
        <v>53</v>
      </c>
      <c r="G66" s="174">
        <v>0</v>
      </c>
      <c r="H66" s="174" t="s">
        <v>53</v>
      </c>
      <c r="I66" s="174">
        <v>1380</v>
      </c>
      <c r="J66" s="178">
        <f t="shared" si="5"/>
        <v>100</v>
      </c>
      <c r="K66" s="196"/>
    </row>
    <row r="67" spans="1:11" ht="21" customHeight="1" x14ac:dyDescent="0.15">
      <c r="A67" s="165">
        <v>40044066</v>
      </c>
      <c r="B67" s="47">
        <v>0</v>
      </c>
      <c r="C67" s="47">
        <v>10</v>
      </c>
      <c r="D67" s="47">
        <v>100</v>
      </c>
      <c r="E67" s="47" t="s">
        <v>254</v>
      </c>
      <c r="F67" s="47" t="s">
        <v>89</v>
      </c>
      <c r="G67" s="47" t="s">
        <v>254</v>
      </c>
      <c r="H67" s="47">
        <v>2</v>
      </c>
      <c r="I67" s="47" t="s">
        <v>89</v>
      </c>
      <c r="J67" s="48">
        <f t="shared" si="5"/>
        <v>100</v>
      </c>
    </row>
    <row r="68" spans="1:11" ht="21" customHeight="1" x14ac:dyDescent="0.15">
      <c r="A68" s="165">
        <v>40044067</v>
      </c>
      <c r="B68" s="47">
        <v>0</v>
      </c>
      <c r="C68" s="47">
        <v>20</v>
      </c>
      <c r="D68" s="47">
        <v>100</v>
      </c>
      <c r="E68" s="47" t="s">
        <v>254</v>
      </c>
      <c r="F68" s="47" t="s">
        <v>53</v>
      </c>
      <c r="G68" s="47" t="s">
        <v>254</v>
      </c>
      <c r="H68" s="47">
        <v>3</v>
      </c>
      <c r="I68" s="47" t="s">
        <v>53</v>
      </c>
      <c r="J68" s="48">
        <f t="shared" si="5"/>
        <v>100</v>
      </c>
    </row>
    <row r="69" spans="1:11" ht="21" customHeight="1" thickBot="1" x14ac:dyDescent="0.2">
      <c r="A69" s="173">
        <v>40044068</v>
      </c>
      <c r="B69" s="174">
        <v>0</v>
      </c>
      <c r="C69" s="174">
        <v>30</v>
      </c>
      <c r="D69" s="174">
        <v>100</v>
      </c>
      <c r="E69" s="174" t="s">
        <v>254</v>
      </c>
      <c r="F69" s="174" t="s">
        <v>53</v>
      </c>
      <c r="G69" s="174" t="s">
        <v>254</v>
      </c>
      <c r="H69" s="174">
        <v>4</v>
      </c>
      <c r="I69" s="174" t="s">
        <v>53</v>
      </c>
      <c r="J69" s="178">
        <f t="shared" si="5"/>
        <v>100</v>
      </c>
    </row>
    <row r="70" spans="1:11" ht="21" customHeight="1" x14ac:dyDescent="0.15">
      <c r="A70" s="166">
        <v>40044069</v>
      </c>
      <c r="B70" s="167">
        <v>1</v>
      </c>
      <c r="C70" s="167">
        <v>40</v>
      </c>
      <c r="D70" s="167">
        <v>100</v>
      </c>
      <c r="E70" s="167" t="s">
        <v>254</v>
      </c>
      <c r="F70" s="167" t="s">
        <v>53</v>
      </c>
      <c r="G70" s="167">
        <v>1</v>
      </c>
      <c r="H70" s="167" t="s">
        <v>53</v>
      </c>
      <c r="I70" s="167" t="s">
        <v>53</v>
      </c>
      <c r="J70" s="171">
        <f t="shared" si="5"/>
        <v>100</v>
      </c>
    </row>
    <row r="71" spans="1:11" ht="21" customHeight="1" x14ac:dyDescent="0.15">
      <c r="A71" s="165">
        <v>40044070</v>
      </c>
      <c r="B71" s="167">
        <v>0</v>
      </c>
      <c r="C71" s="167">
        <v>10</v>
      </c>
      <c r="D71" s="167">
        <v>100</v>
      </c>
      <c r="E71" s="167" t="s">
        <v>254</v>
      </c>
      <c r="F71" s="167" t="s">
        <v>53</v>
      </c>
      <c r="G71" s="167" t="s">
        <v>254</v>
      </c>
      <c r="H71" s="167" t="s">
        <v>53</v>
      </c>
      <c r="I71" s="167" t="s">
        <v>53</v>
      </c>
      <c r="J71" s="171">
        <f t="shared" si="5"/>
        <v>100</v>
      </c>
    </row>
    <row r="72" spans="1:11" ht="21" customHeight="1" x14ac:dyDescent="0.15">
      <c r="A72" s="165">
        <v>40044071</v>
      </c>
      <c r="B72" s="47">
        <v>0</v>
      </c>
      <c r="C72" s="47">
        <v>20</v>
      </c>
      <c r="D72" s="47">
        <v>100</v>
      </c>
      <c r="E72" s="47" t="s">
        <v>254</v>
      </c>
      <c r="F72" s="47" t="s">
        <v>53</v>
      </c>
      <c r="G72" s="47">
        <v>1</v>
      </c>
      <c r="H72" s="47">
        <v>1</v>
      </c>
      <c r="I72" s="47" t="s">
        <v>53</v>
      </c>
      <c r="J72" s="48">
        <f t="shared" si="5"/>
        <v>100</v>
      </c>
    </row>
    <row r="73" spans="1:11" ht="21" customHeight="1" thickBot="1" x14ac:dyDescent="0.2">
      <c r="A73" s="173">
        <v>40044072</v>
      </c>
      <c r="B73" s="174">
        <v>0</v>
      </c>
      <c r="C73" s="174">
        <v>30</v>
      </c>
      <c r="D73" s="174">
        <v>100</v>
      </c>
      <c r="E73" s="174" t="s">
        <v>254</v>
      </c>
      <c r="F73" s="174" t="s">
        <v>53</v>
      </c>
      <c r="G73" s="174" t="s">
        <v>254</v>
      </c>
      <c r="H73" s="174">
        <v>2</v>
      </c>
      <c r="I73" s="174" t="s">
        <v>53</v>
      </c>
      <c r="J73" s="178">
        <f t="shared" si="5"/>
        <v>100</v>
      </c>
    </row>
    <row r="74" spans="1:11" ht="21" customHeight="1" x14ac:dyDescent="0.15">
      <c r="A74" s="166">
        <v>40044073</v>
      </c>
      <c r="B74" s="167">
        <v>0</v>
      </c>
      <c r="C74" s="167">
        <v>10</v>
      </c>
      <c r="D74" s="167">
        <v>100</v>
      </c>
      <c r="E74" s="167" t="s">
        <v>254</v>
      </c>
      <c r="F74" s="167" t="s">
        <v>53</v>
      </c>
      <c r="G74" s="167" t="s">
        <v>254</v>
      </c>
      <c r="H74" s="167" t="s">
        <v>53</v>
      </c>
      <c r="I74" s="167" t="s">
        <v>53</v>
      </c>
      <c r="J74" s="171">
        <f t="shared" si="5"/>
        <v>100</v>
      </c>
    </row>
    <row r="75" spans="1:11" ht="21" customHeight="1" x14ac:dyDescent="0.15">
      <c r="A75" s="165">
        <v>40044074</v>
      </c>
      <c r="B75" s="47">
        <v>0</v>
      </c>
      <c r="C75" s="47">
        <v>20</v>
      </c>
      <c r="D75" s="47">
        <v>100</v>
      </c>
      <c r="E75" s="47" t="s">
        <v>254</v>
      </c>
      <c r="F75" s="47" t="s">
        <v>53</v>
      </c>
      <c r="G75" s="47" t="s">
        <v>254</v>
      </c>
      <c r="H75" s="47">
        <v>2</v>
      </c>
      <c r="I75" s="47" t="s">
        <v>53</v>
      </c>
      <c r="J75" s="48">
        <f t="shared" si="5"/>
        <v>100</v>
      </c>
    </row>
    <row r="76" spans="1:11" ht="21" customHeight="1" thickBot="1" x14ac:dyDescent="0.2">
      <c r="A76" s="173">
        <v>40044075</v>
      </c>
      <c r="B76" s="174">
        <v>0</v>
      </c>
      <c r="C76" s="174">
        <v>30</v>
      </c>
      <c r="D76" s="174">
        <v>100</v>
      </c>
      <c r="E76" s="174" t="s">
        <v>254</v>
      </c>
      <c r="F76" s="174" t="s">
        <v>53</v>
      </c>
      <c r="G76" s="174" t="s">
        <v>254</v>
      </c>
      <c r="H76" s="174">
        <v>3</v>
      </c>
      <c r="I76" s="174" t="s">
        <v>53</v>
      </c>
      <c r="J76" s="178">
        <f t="shared" si="5"/>
        <v>100</v>
      </c>
      <c r="K76" s="196"/>
    </row>
    <row r="77" spans="1:11" ht="21" customHeight="1" x14ac:dyDescent="0.15">
      <c r="A77" s="189">
        <v>40044076</v>
      </c>
      <c r="B77" s="167">
        <v>1</v>
      </c>
      <c r="C77" s="167">
        <v>96</v>
      </c>
      <c r="D77" s="167">
        <v>100</v>
      </c>
      <c r="E77" s="167" t="s">
        <v>254</v>
      </c>
      <c r="F77" s="167" t="s">
        <v>53</v>
      </c>
      <c r="G77" s="167">
        <v>1</v>
      </c>
      <c r="H77" s="167" t="s">
        <v>53</v>
      </c>
      <c r="I77" s="167" t="s">
        <v>53</v>
      </c>
      <c r="J77" s="171">
        <f t="shared" si="5"/>
        <v>100</v>
      </c>
    </row>
    <row r="78" spans="1:11" ht="21" customHeight="1" x14ac:dyDescent="0.15">
      <c r="A78" s="189">
        <v>40044077</v>
      </c>
      <c r="B78" s="47">
        <v>1</v>
      </c>
      <c r="C78" s="47">
        <v>99</v>
      </c>
      <c r="D78" s="47">
        <v>100</v>
      </c>
      <c r="E78" s="47" t="s">
        <v>254</v>
      </c>
      <c r="F78" s="47" t="s">
        <v>53</v>
      </c>
      <c r="G78" s="47">
        <v>1</v>
      </c>
      <c r="H78" s="47" t="s">
        <v>53</v>
      </c>
      <c r="I78" s="47">
        <v>1385</v>
      </c>
      <c r="J78" s="48">
        <f t="shared" si="5"/>
        <v>100</v>
      </c>
    </row>
    <row r="79" spans="1:11" ht="21" customHeight="1" x14ac:dyDescent="0.15">
      <c r="A79" s="189">
        <v>40044078</v>
      </c>
      <c r="B79" s="47">
        <v>1</v>
      </c>
      <c r="C79" s="47">
        <v>100</v>
      </c>
      <c r="D79" s="47">
        <v>100</v>
      </c>
      <c r="E79" s="47" t="s">
        <v>254</v>
      </c>
      <c r="F79" s="47" t="s">
        <v>53</v>
      </c>
      <c r="G79" s="47">
        <v>1</v>
      </c>
      <c r="H79" s="47" t="s">
        <v>53</v>
      </c>
      <c r="I79" s="47">
        <v>1386</v>
      </c>
      <c r="J79" s="48">
        <f t="shared" si="5"/>
        <v>100</v>
      </c>
    </row>
    <row r="80" spans="1:11" ht="21" customHeight="1" x14ac:dyDescent="0.15">
      <c r="A80" s="189">
        <v>40044079</v>
      </c>
      <c r="B80" s="47">
        <v>1</v>
      </c>
      <c r="C80" s="47">
        <v>97</v>
      </c>
      <c r="D80" s="47">
        <v>100</v>
      </c>
      <c r="E80" s="47" t="s">
        <v>254</v>
      </c>
      <c r="F80" s="47" t="s">
        <v>53</v>
      </c>
      <c r="G80" s="47">
        <v>1</v>
      </c>
      <c r="H80" s="47" t="s">
        <v>53</v>
      </c>
      <c r="I80" s="47">
        <v>1379</v>
      </c>
      <c r="J80" s="48">
        <f t="shared" si="5"/>
        <v>100</v>
      </c>
    </row>
    <row r="81" spans="1:11" ht="21" customHeight="1" x14ac:dyDescent="0.15">
      <c r="A81" s="189">
        <v>40044080</v>
      </c>
      <c r="B81" s="47">
        <v>1</v>
      </c>
      <c r="C81" s="47">
        <v>98</v>
      </c>
      <c r="D81" s="47">
        <v>100</v>
      </c>
      <c r="E81" s="47" t="s">
        <v>254</v>
      </c>
      <c r="F81" s="47" t="s">
        <v>53</v>
      </c>
      <c r="G81" s="47">
        <v>1</v>
      </c>
      <c r="H81" s="47" t="s">
        <v>53</v>
      </c>
      <c r="I81" s="47">
        <v>1380</v>
      </c>
      <c r="J81" s="48">
        <f t="shared" si="5"/>
        <v>100</v>
      </c>
    </row>
    <row r="82" spans="1:11" ht="21" customHeight="1" x14ac:dyDescent="0.15">
      <c r="A82" s="189">
        <v>40044081</v>
      </c>
      <c r="B82" s="47">
        <v>0</v>
      </c>
      <c r="C82" s="47">
        <v>80</v>
      </c>
      <c r="D82" s="47">
        <v>50</v>
      </c>
      <c r="E82" s="47" t="s">
        <v>254</v>
      </c>
      <c r="F82" s="47" t="s">
        <v>53</v>
      </c>
      <c r="G82" s="47" t="s">
        <v>254</v>
      </c>
      <c r="H82" s="47" t="s">
        <v>53</v>
      </c>
      <c r="I82" s="167" t="s">
        <v>53</v>
      </c>
      <c r="J82" s="48">
        <f t="shared" si="5"/>
        <v>50</v>
      </c>
    </row>
    <row r="83" spans="1:11" ht="21" customHeight="1" x14ac:dyDescent="0.15">
      <c r="A83" s="189">
        <v>40044082</v>
      </c>
      <c r="B83" s="47">
        <v>0</v>
      </c>
      <c r="C83" s="47">
        <v>70</v>
      </c>
      <c r="D83" s="47">
        <v>100</v>
      </c>
      <c r="E83" s="47" t="s">
        <v>254</v>
      </c>
      <c r="F83" s="47" t="s">
        <v>53</v>
      </c>
      <c r="G83" s="47" t="s">
        <v>254</v>
      </c>
      <c r="H83" s="47" t="s">
        <v>53</v>
      </c>
      <c r="I83" s="47" t="s">
        <v>53</v>
      </c>
      <c r="J83" s="48">
        <f t="shared" si="5"/>
        <v>100</v>
      </c>
    </row>
    <row r="84" spans="1:11" ht="21" customHeight="1" x14ac:dyDescent="0.15">
      <c r="A84" s="189">
        <v>40044083</v>
      </c>
      <c r="B84" s="47">
        <v>0</v>
      </c>
      <c r="C84" s="47">
        <v>90</v>
      </c>
      <c r="D84" s="47">
        <v>100</v>
      </c>
      <c r="E84" s="47" t="s">
        <v>254</v>
      </c>
      <c r="F84" s="47" t="s">
        <v>53</v>
      </c>
      <c r="G84" s="47">
        <v>1</v>
      </c>
      <c r="H84" s="47">
        <v>1</v>
      </c>
      <c r="I84" s="47" t="s">
        <v>53</v>
      </c>
      <c r="J84" s="48">
        <f t="shared" si="5"/>
        <v>100</v>
      </c>
    </row>
    <row r="85" spans="1:11" ht="21" customHeight="1" thickBot="1" x14ac:dyDescent="0.2">
      <c r="A85" s="180">
        <v>40044084</v>
      </c>
      <c r="B85" s="174">
        <v>0</v>
      </c>
      <c r="C85" s="174">
        <v>85</v>
      </c>
      <c r="D85" s="174">
        <v>100</v>
      </c>
      <c r="E85" s="174" t="s">
        <v>254</v>
      </c>
      <c r="F85" s="174" t="s">
        <v>53</v>
      </c>
      <c r="G85" s="174" t="s">
        <v>254</v>
      </c>
      <c r="H85" s="174">
        <v>2</v>
      </c>
      <c r="I85" s="174" t="s">
        <v>53</v>
      </c>
      <c r="J85" s="178">
        <f t="shared" si="5"/>
        <v>100</v>
      </c>
      <c r="K85" s="196"/>
    </row>
    <row r="86" spans="1:11" ht="21" customHeight="1" x14ac:dyDescent="0.15">
      <c r="A86" s="189">
        <v>40044085</v>
      </c>
      <c r="B86" s="167">
        <v>1</v>
      </c>
      <c r="C86" s="167">
        <v>90</v>
      </c>
      <c r="D86" s="167">
        <v>100</v>
      </c>
      <c r="E86" s="167" t="s">
        <v>254</v>
      </c>
      <c r="F86" s="167" t="s">
        <v>53</v>
      </c>
      <c r="G86" s="167">
        <v>1</v>
      </c>
      <c r="H86" s="167" t="s">
        <v>53</v>
      </c>
      <c r="I86" s="167" t="s">
        <v>53</v>
      </c>
      <c r="J86" s="171">
        <f t="shared" si="5"/>
        <v>100</v>
      </c>
    </row>
    <row r="87" spans="1:11" ht="21" customHeight="1" x14ac:dyDescent="0.15">
      <c r="A87" s="189">
        <v>40044086</v>
      </c>
      <c r="B87" s="47">
        <v>0</v>
      </c>
      <c r="C87" s="47">
        <v>75</v>
      </c>
      <c r="D87" s="47">
        <v>50</v>
      </c>
      <c r="E87" s="47" t="s">
        <v>254</v>
      </c>
      <c r="F87" s="47" t="s">
        <v>53</v>
      </c>
      <c r="G87" s="47" t="s">
        <v>254</v>
      </c>
      <c r="H87" s="47" t="s">
        <v>53</v>
      </c>
      <c r="I87" s="47" t="s">
        <v>53</v>
      </c>
      <c r="J87" s="48">
        <f t="shared" si="5"/>
        <v>50</v>
      </c>
    </row>
    <row r="88" spans="1:11" ht="21" customHeight="1" x14ac:dyDescent="0.15">
      <c r="A88" s="189">
        <v>40044087</v>
      </c>
      <c r="B88" s="47">
        <v>0</v>
      </c>
      <c r="C88" s="47">
        <v>70</v>
      </c>
      <c r="D88" s="47">
        <v>100</v>
      </c>
      <c r="E88" s="47" t="s">
        <v>254</v>
      </c>
      <c r="F88" s="47" t="s">
        <v>53</v>
      </c>
      <c r="G88" s="47" t="s">
        <v>254</v>
      </c>
      <c r="H88" s="47" t="s">
        <v>53</v>
      </c>
      <c r="I88" s="47" t="s">
        <v>53</v>
      </c>
      <c r="J88" s="48">
        <f t="shared" si="5"/>
        <v>100</v>
      </c>
    </row>
    <row r="89" spans="1:11" ht="21" customHeight="1" x14ac:dyDescent="0.15">
      <c r="A89" s="189">
        <v>40044088</v>
      </c>
      <c r="B89" s="47">
        <v>0</v>
      </c>
      <c r="C89" s="47">
        <v>80</v>
      </c>
      <c r="D89" s="47">
        <v>100</v>
      </c>
      <c r="E89" s="47" t="s">
        <v>254</v>
      </c>
      <c r="F89" s="47" t="s">
        <v>53</v>
      </c>
      <c r="G89" s="47" t="s">
        <v>254</v>
      </c>
      <c r="H89" s="47">
        <v>3</v>
      </c>
      <c r="I89" s="47" t="s">
        <v>53</v>
      </c>
      <c r="J89" s="48">
        <f t="shared" si="5"/>
        <v>100</v>
      </c>
    </row>
    <row r="90" spans="1:11" ht="21" customHeight="1" x14ac:dyDescent="0.15">
      <c r="A90" s="189">
        <v>40044089</v>
      </c>
      <c r="B90" s="47">
        <v>0</v>
      </c>
      <c r="C90" s="47">
        <v>85</v>
      </c>
      <c r="D90" s="47">
        <v>100</v>
      </c>
      <c r="E90" s="47" t="s">
        <v>254</v>
      </c>
      <c r="F90" s="47" t="s">
        <v>53</v>
      </c>
      <c r="G90" s="47" t="s">
        <v>254</v>
      </c>
      <c r="H90" s="47">
        <v>4</v>
      </c>
      <c r="I90" s="47" t="s">
        <v>53</v>
      </c>
      <c r="J90" s="48">
        <f t="shared" si="5"/>
        <v>100</v>
      </c>
    </row>
    <row r="91" spans="1:11" ht="21" customHeight="1" x14ac:dyDescent="0.15">
      <c r="A91" s="189">
        <v>40044090</v>
      </c>
      <c r="B91" s="47">
        <v>0</v>
      </c>
      <c r="C91" s="47">
        <v>96</v>
      </c>
      <c r="D91" s="47">
        <v>100</v>
      </c>
      <c r="E91" s="47" t="s">
        <v>254</v>
      </c>
      <c r="F91" s="47" t="s">
        <v>53</v>
      </c>
      <c r="G91" s="47">
        <v>0</v>
      </c>
      <c r="H91" s="47" t="s">
        <v>53</v>
      </c>
      <c r="I91" s="47">
        <v>0</v>
      </c>
      <c r="J91" s="48">
        <f t="shared" si="5"/>
        <v>100</v>
      </c>
    </row>
    <row r="92" spans="1:11" ht="21" customHeight="1" x14ac:dyDescent="0.15">
      <c r="A92" s="189">
        <v>40044091</v>
      </c>
      <c r="B92" s="47">
        <v>0</v>
      </c>
      <c r="C92" s="47">
        <v>99</v>
      </c>
      <c r="D92" s="47">
        <v>100</v>
      </c>
      <c r="E92" s="47" t="s">
        <v>254</v>
      </c>
      <c r="F92" s="47" t="s">
        <v>53</v>
      </c>
      <c r="G92" s="47">
        <v>0</v>
      </c>
      <c r="H92" s="47" t="s">
        <v>53</v>
      </c>
      <c r="I92" s="47">
        <v>1385</v>
      </c>
      <c r="J92" s="48">
        <f t="shared" si="5"/>
        <v>100</v>
      </c>
    </row>
    <row r="93" spans="1:11" ht="21" customHeight="1" x14ac:dyDescent="0.15">
      <c r="A93" s="189">
        <v>40044092</v>
      </c>
      <c r="B93" s="47">
        <v>0</v>
      </c>
      <c r="C93" s="47">
        <v>100</v>
      </c>
      <c r="D93" s="47">
        <v>100</v>
      </c>
      <c r="E93" s="47" t="s">
        <v>254</v>
      </c>
      <c r="F93" s="47" t="s">
        <v>53</v>
      </c>
      <c r="G93" s="47">
        <v>0</v>
      </c>
      <c r="H93" s="47" t="s">
        <v>53</v>
      </c>
      <c r="I93" s="47">
        <v>1386</v>
      </c>
      <c r="J93" s="48">
        <f t="shared" si="5"/>
        <v>100</v>
      </c>
    </row>
    <row r="94" spans="1:11" ht="21" customHeight="1" x14ac:dyDescent="0.15">
      <c r="A94" s="189">
        <v>40044093</v>
      </c>
      <c r="B94" s="47">
        <v>0</v>
      </c>
      <c r="C94" s="47">
        <v>97</v>
      </c>
      <c r="D94" s="47">
        <v>100</v>
      </c>
      <c r="E94" s="47" t="s">
        <v>254</v>
      </c>
      <c r="F94" s="47" t="s">
        <v>53</v>
      </c>
      <c r="G94" s="47">
        <v>0</v>
      </c>
      <c r="H94" s="47" t="s">
        <v>53</v>
      </c>
      <c r="I94" s="47">
        <v>1379</v>
      </c>
      <c r="J94" s="48">
        <f t="shared" si="5"/>
        <v>100</v>
      </c>
    </row>
    <row r="95" spans="1:11" ht="21" customHeight="1" thickBot="1" x14ac:dyDescent="0.2">
      <c r="A95" s="180">
        <v>40044094</v>
      </c>
      <c r="B95" s="174">
        <v>0</v>
      </c>
      <c r="C95" s="174">
        <v>98</v>
      </c>
      <c r="D95" s="174">
        <v>100</v>
      </c>
      <c r="E95" s="174" t="s">
        <v>254</v>
      </c>
      <c r="F95" s="174" t="s">
        <v>53</v>
      </c>
      <c r="G95" s="174">
        <v>0</v>
      </c>
      <c r="H95" s="174" t="s">
        <v>53</v>
      </c>
      <c r="I95" s="174">
        <v>1380</v>
      </c>
      <c r="J95" s="178">
        <f t="shared" si="5"/>
        <v>100</v>
      </c>
      <c r="K95" s="196"/>
    </row>
    <row r="96" spans="1:11" ht="21" customHeight="1" x14ac:dyDescent="0.15">
      <c r="A96" s="190">
        <v>40044095</v>
      </c>
      <c r="B96" s="167">
        <v>0</v>
      </c>
      <c r="C96" s="167">
        <v>90</v>
      </c>
      <c r="D96" s="167">
        <v>100</v>
      </c>
      <c r="E96" s="167" t="s">
        <v>254</v>
      </c>
      <c r="F96" s="167" t="s">
        <v>53</v>
      </c>
      <c r="G96" s="167" t="s">
        <v>254</v>
      </c>
      <c r="H96" s="167" t="s">
        <v>53</v>
      </c>
      <c r="I96" s="167" t="s">
        <v>53</v>
      </c>
      <c r="J96" s="171">
        <f t="shared" si="5"/>
        <v>100</v>
      </c>
    </row>
    <row r="97" spans="1:11" ht="21" customHeight="1" thickBot="1" x14ac:dyDescent="0.2">
      <c r="A97" s="191">
        <v>40044096</v>
      </c>
      <c r="B97" s="174">
        <v>0</v>
      </c>
      <c r="C97" s="174">
        <v>100</v>
      </c>
      <c r="D97" s="174">
        <v>100</v>
      </c>
      <c r="E97" s="174" t="s">
        <v>254</v>
      </c>
      <c r="F97" s="174" t="s">
        <v>53</v>
      </c>
      <c r="G97" s="174" t="s">
        <v>254</v>
      </c>
      <c r="H97" s="174">
        <v>2</v>
      </c>
      <c r="I97" s="174" t="s">
        <v>53</v>
      </c>
      <c r="J97" s="178">
        <f t="shared" si="5"/>
        <v>100</v>
      </c>
      <c r="K97" s="196"/>
    </row>
    <row r="98" spans="1:11" ht="21" customHeight="1" x14ac:dyDescent="0.15">
      <c r="A98" s="190">
        <v>40044097</v>
      </c>
      <c r="B98" s="167">
        <v>1</v>
      </c>
      <c r="C98" s="167">
        <v>60</v>
      </c>
      <c r="D98" s="167">
        <v>100</v>
      </c>
      <c r="E98" s="167" t="s">
        <v>254</v>
      </c>
      <c r="F98" s="167" t="s">
        <v>53</v>
      </c>
      <c r="G98" s="167">
        <v>1</v>
      </c>
      <c r="H98" s="167" t="s">
        <v>53</v>
      </c>
      <c r="I98" s="167" t="s">
        <v>53</v>
      </c>
      <c r="J98" s="171">
        <f t="shared" si="5"/>
        <v>100</v>
      </c>
    </row>
    <row r="99" spans="1:11" ht="21" customHeight="1" x14ac:dyDescent="0.15">
      <c r="A99" s="190">
        <v>40044098</v>
      </c>
      <c r="B99" s="167">
        <v>0</v>
      </c>
      <c r="C99" s="167">
        <v>80</v>
      </c>
      <c r="D99" s="167">
        <v>50</v>
      </c>
      <c r="E99" s="167" t="s">
        <v>254</v>
      </c>
      <c r="F99" s="167" t="s">
        <v>53</v>
      </c>
      <c r="G99" s="167" t="s">
        <v>254</v>
      </c>
      <c r="H99" s="167" t="s">
        <v>53</v>
      </c>
      <c r="I99" s="167" t="s">
        <v>53</v>
      </c>
      <c r="J99" s="171">
        <f t="shared" si="5"/>
        <v>50</v>
      </c>
    </row>
    <row r="100" spans="1:11" ht="21" customHeight="1" x14ac:dyDescent="0.15">
      <c r="A100" s="190">
        <v>40044099</v>
      </c>
      <c r="B100" s="47">
        <v>0</v>
      </c>
      <c r="C100" s="47">
        <v>70</v>
      </c>
      <c r="D100" s="47">
        <v>100</v>
      </c>
      <c r="E100" s="47" t="s">
        <v>254</v>
      </c>
      <c r="F100" s="47" t="s">
        <v>53</v>
      </c>
      <c r="G100" s="47" t="s">
        <v>254</v>
      </c>
      <c r="H100" s="47" t="s">
        <v>53</v>
      </c>
      <c r="I100" s="47" t="s">
        <v>53</v>
      </c>
      <c r="J100" s="48">
        <f t="shared" si="5"/>
        <v>100</v>
      </c>
    </row>
    <row r="101" spans="1:11" ht="21" customHeight="1" x14ac:dyDescent="0.15">
      <c r="A101" s="190">
        <v>40044100</v>
      </c>
      <c r="B101" s="47">
        <v>0</v>
      </c>
      <c r="C101" s="47">
        <v>90</v>
      </c>
      <c r="D101" s="47">
        <v>100</v>
      </c>
      <c r="E101" s="47" t="s">
        <v>254</v>
      </c>
      <c r="F101" s="47" t="s">
        <v>53</v>
      </c>
      <c r="G101" s="47" t="s">
        <v>254</v>
      </c>
      <c r="H101" s="47">
        <v>2</v>
      </c>
      <c r="I101" s="47" t="s">
        <v>53</v>
      </c>
      <c r="J101" s="48">
        <f t="shared" si="5"/>
        <v>100</v>
      </c>
    </row>
    <row r="102" spans="1:11" ht="21" customHeight="1" thickBot="1" x14ac:dyDescent="0.2">
      <c r="A102" s="191">
        <v>40044101</v>
      </c>
      <c r="B102" s="174">
        <v>0</v>
      </c>
      <c r="C102" s="174">
        <v>100</v>
      </c>
      <c r="D102" s="174">
        <v>100</v>
      </c>
      <c r="E102" s="174" t="s">
        <v>254</v>
      </c>
      <c r="F102" s="174" t="s">
        <v>53</v>
      </c>
      <c r="G102" s="174" t="s">
        <v>254</v>
      </c>
      <c r="H102" s="174">
        <v>3</v>
      </c>
      <c r="I102" s="174" t="s">
        <v>53</v>
      </c>
      <c r="J102" s="178">
        <f t="shared" si="5"/>
        <v>100</v>
      </c>
      <c r="K102" s="196"/>
    </row>
    <row r="103" spans="1:11" ht="21" customHeight="1" x14ac:dyDescent="0.15">
      <c r="A103" s="190">
        <v>40044102</v>
      </c>
      <c r="B103" s="167">
        <v>0</v>
      </c>
      <c r="C103" s="167">
        <v>90</v>
      </c>
      <c r="D103" s="167">
        <v>100</v>
      </c>
      <c r="E103" s="167" t="s">
        <v>254</v>
      </c>
      <c r="F103" s="167" t="s">
        <v>53</v>
      </c>
      <c r="G103" s="167" t="s">
        <v>254</v>
      </c>
      <c r="H103" s="167" t="s">
        <v>53</v>
      </c>
      <c r="I103" s="167" t="s">
        <v>53</v>
      </c>
      <c r="J103" s="171">
        <f t="shared" si="5"/>
        <v>100</v>
      </c>
    </row>
    <row r="104" spans="1:11" ht="21" customHeight="1" thickBot="1" x14ac:dyDescent="0.2">
      <c r="A104" s="191">
        <v>40044103</v>
      </c>
      <c r="B104" s="174">
        <v>0</v>
      </c>
      <c r="C104" s="174">
        <v>100</v>
      </c>
      <c r="D104" s="174">
        <v>100</v>
      </c>
      <c r="E104" s="174" t="s">
        <v>254</v>
      </c>
      <c r="F104" s="174" t="s">
        <v>53</v>
      </c>
      <c r="G104" s="174" t="s">
        <v>254</v>
      </c>
      <c r="H104" s="174">
        <v>2</v>
      </c>
      <c r="I104" s="174" t="s">
        <v>53</v>
      </c>
      <c r="J104" s="178">
        <f t="shared" si="5"/>
        <v>100</v>
      </c>
      <c r="K104" s="196"/>
    </row>
    <row r="105" spans="1:11" ht="21" customHeight="1" x14ac:dyDescent="0.15">
      <c r="A105" s="193">
        <v>40044104</v>
      </c>
      <c r="B105" s="167">
        <v>1</v>
      </c>
      <c r="C105" s="167">
        <v>96</v>
      </c>
      <c r="D105" s="167">
        <v>100</v>
      </c>
      <c r="E105" s="167" t="s">
        <v>254</v>
      </c>
      <c r="F105" s="167" t="s">
        <v>53</v>
      </c>
      <c r="G105" s="167">
        <v>1</v>
      </c>
      <c r="H105" s="167" t="s">
        <v>53</v>
      </c>
      <c r="I105" s="167" t="s">
        <v>53</v>
      </c>
      <c r="J105" s="171">
        <f t="shared" si="5"/>
        <v>100</v>
      </c>
    </row>
    <row r="106" spans="1:11" ht="21" customHeight="1" x14ac:dyDescent="0.15">
      <c r="A106" s="193">
        <v>40044105</v>
      </c>
      <c r="B106" s="47">
        <v>1</v>
      </c>
      <c r="C106" s="47">
        <v>99</v>
      </c>
      <c r="D106" s="47">
        <v>100</v>
      </c>
      <c r="E106" s="47" t="s">
        <v>254</v>
      </c>
      <c r="F106" s="47" t="s">
        <v>53</v>
      </c>
      <c r="G106" s="47">
        <v>1</v>
      </c>
      <c r="H106" s="47" t="s">
        <v>53</v>
      </c>
      <c r="I106" s="47">
        <v>1385</v>
      </c>
      <c r="J106" s="48">
        <f t="shared" si="5"/>
        <v>100</v>
      </c>
    </row>
    <row r="107" spans="1:11" ht="21" customHeight="1" x14ac:dyDescent="0.15">
      <c r="A107" s="193">
        <v>40044106</v>
      </c>
      <c r="B107" s="47">
        <v>1</v>
      </c>
      <c r="C107" s="47">
        <v>100</v>
      </c>
      <c r="D107" s="47">
        <v>100</v>
      </c>
      <c r="E107" s="47" t="s">
        <v>254</v>
      </c>
      <c r="F107" s="47" t="s">
        <v>53</v>
      </c>
      <c r="G107" s="47">
        <v>1</v>
      </c>
      <c r="H107" s="47" t="s">
        <v>53</v>
      </c>
      <c r="I107" s="47">
        <v>1386</v>
      </c>
      <c r="J107" s="48">
        <f t="shared" si="5"/>
        <v>100</v>
      </c>
    </row>
    <row r="108" spans="1:11" ht="21" customHeight="1" x14ac:dyDescent="0.15">
      <c r="A108" s="193">
        <v>40044107</v>
      </c>
      <c r="B108" s="47">
        <v>1</v>
      </c>
      <c r="C108" s="47">
        <v>97</v>
      </c>
      <c r="D108" s="47">
        <v>100</v>
      </c>
      <c r="E108" s="47" t="s">
        <v>254</v>
      </c>
      <c r="F108" s="47" t="s">
        <v>53</v>
      </c>
      <c r="G108" s="47">
        <v>1</v>
      </c>
      <c r="H108" s="47" t="s">
        <v>53</v>
      </c>
      <c r="I108" s="47">
        <v>1379</v>
      </c>
      <c r="J108" s="48">
        <f t="shared" si="5"/>
        <v>100</v>
      </c>
    </row>
    <row r="109" spans="1:11" ht="21" customHeight="1" x14ac:dyDescent="0.15">
      <c r="A109" s="193">
        <v>40044108</v>
      </c>
      <c r="B109" s="47">
        <v>1</v>
      </c>
      <c r="C109" s="47">
        <v>98</v>
      </c>
      <c r="D109" s="47">
        <v>100</v>
      </c>
      <c r="E109" s="47" t="s">
        <v>254</v>
      </c>
      <c r="F109" s="47" t="s">
        <v>53</v>
      </c>
      <c r="G109" s="47">
        <v>1</v>
      </c>
      <c r="H109" s="47" t="s">
        <v>53</v>
      </c>
      <c r="I109" s="47">
        <v>1380</v>
      </c>
      <c r="J109" s="48">
        <f t="shared" si="5"/>
        <v>100</v>
      </c>
    </row>
    <row r="110" spans="1:11" ht="21" customHeight="1" x14ac:dyDescent="0.15">
      <c r="A110" s="193">
        <v>40044109</v>
      </c>
      <c r="B110" s="47">
        <v>0</v>
      </c>
      <c r="C110" s="47">
        <v>60</v>
      </c>
      <c r="D110" s="47">
        <v>50</v>
      </c>
      <c r="E110" s="47" t="s">
        <v>254</v>
      </c>
      <c r="F110" s="47" t="s">
        <v>53</v>
      </c>
      <c r="G110" s="47" t="s">
        <v>254</v>
      </c>
      <c r="H110" s="47" t="s">
        <v>53</v>
      </c>
      <c r="I110" s="47" t="s">
        <v>53</v>
      </c>
      <c r="J110" s="48">
        <f t="shared" si="5"/>
        <v>50</v>
      </c>
    </row>
    <row r="111" spans="1:11" ht="21" customHeight="1" x14ac:dyDescent="0.15">
      <c r="A111" s="193">
        <v>40044110</v>
      </c>
      <c r="B111" s="47">
        <v>0</v>
      </c>
      <c r="C111" s="47">
        <v>50</v>
      </c>
      <c r="D111" s="47">
        <v>100</v>
      </c>
      <c r="E111" s="47" t="s">
        <v>254</v>
      </c>
      <c r="F111" s="47" t="s">
        <v>53</v>
      </c>
      <c r="G111" s="47" t="s">
        <v>254</v>
      </c>
      <c r="H111" s="47" t="s">
        <v>53</v>
      </c>
      <c r="I111" s="47" t="s">
        <v>53</v>
      </c>
      <c r="J111" s="48">
        <f t="shared" si="5"/>
        <v>100</v>
      </c>
    </row>
    <row r="112" spans="1:11" ht="21" customHeight="1" x14ac:dyDescent="0.15">
      <c r="A112" s="193">
        <v>40044111</v>
      </c>
      <c r="B112" s="47">
        <v>0</v>
      </c>
      <c r="C112" s="47">
        <v>90</v>
      </c>
      <c r="D112" s="47">
        <v>100</v>
      </c>
      <c r="E112" s="47" t="s">
        <v>254</v>
      </c>
      <c r="F112" s="47" t="s">
        <v>53</v>
      </c>
      <c r="G112" s="47">
        <v>1</v>
      </c>
      <c r="H112" s="47">
        <v>1</v>
      </c>
      <c r="I112" s="47" t="s">
        <v>53</v>
      </c>
      <c r="J112" s="48">
        <f t="shared" si="5"/>
        <v>100</v>
      </c>
    </row>
    <row r="113" spans="1:11" ht="21" customHeight="1" x14ac:dyDescent="0.15">
      <c r="A113" s="193">
        <v>40044112</v>
      </c>
      <c r="B113" s="47">
        <v>0</v>
      </c>
      <c r="C113" s="47">
        <v>70</v>
      </c>
      <c r="D113" s="47">
        <v>100</v>
      </c>
      <c r="E113" s="47" t="s">
        <v>254</v>
      </c>
      <c r="F113" s="47" t="s">
        <v>53</v>
      </c>
      <c r="G113" s="47" t="s">
        <v>254</v>
      </c>
      <c r="H113" s="47">
        <v>2</v>
      </c>
      <c r="I113" s="47" t="s">
        <v>53</v>
      </c>
      <c r="J113" s="48">
        <f t="shared" si="5"/>
        <v>100</v>
      </c>
    </row>
    <row r="114" spans="1:11" ht="21" customHeight="1" thickBot="1" x14ac:dyDescent="0.2">
      <c r="A114" s="194">
        <v>40044113</v>
      </c>
      <c r="B114" s="174">
        <v>0</v>
      </c>
      <c r="C114" s="174">
        <v>80</v>
      </c>
      <c r="D114" s="174">
        <v>100</v>
      </c>
      <c r="E114" s="174" t="s">
        <v>254</v>
      </c>
      <c r="F114" s="174" t="s">
        <v>53</v>
      </c>
      <c r="G114" s="174" t="s">
        <v>254</v>
      </c>
      <c r="H114" s="174">
        <v>4</v>
      </c>
      <c r="I114" s="174" t="s">
        <v>53</v>
      </c>
      <c r="J114" s="178">
        <f t="shared" si="5"/>
        <v>100</v>
      </c>
      <c r="K114" s="196"/>
    </row>
    <row r="115" spans="1:11" ht="21" customHeight="1" x14ac:dyDescent="0.15">
      <c r="A115" s="193">
        <v>40044114</v>
      </c>
      <c r="B115" s="167">
        <v>1</v>
      </c>
      <c r="C115" s="167">
        <v>100</v>
      </c>
      <c r="D115" s="167">
        <v>100</v>
      </c>
      <c r="E115" s="167" t="s">
        <v>254</v>
      </c>
      <c r="F115" s="167" t="s">
        <v>53</v>
      </c>
      <c r="G115" s="167">
        <v>1</v>
      </c>
      <c r="H115" s="167" t="s">
        <v>53</v>
      </c>
      <c r="I115" s="167" t="s">
        <v>53</v>
      </c>
      <c r="J115" s="171">
        <f t="shared" si="5"/>
        <v>100</v>
      </c>
    </row>
    <row r="116" spans="1:11" ht="21" customHeight="1" x14ac:dyDescent="0.15">
      <c r="A116" s="193">
        <v>40044115</v>
      </c>
      <c r="B116" s="47">
        <v>0</v>
      </c>
      <c r="C116" s="47">
        <v>70</v>
      </c>
      <c r="D116" s="47">
        <v>50</v>
      </c>
      <c r="E116" s="47" t="s">
        <v>254</v>
      </c>
      <c r="F116" s="47" t="s">
        <v>53</v>
      </c>
      <c r="G116" s="47" t="s">
        <v>254</v>
      </c>
      <c r="H116" s="47" t="s">
        <v>53</v>
      </c>
      <c r="I116" s="47" t="s">
        <v>53</v>
      </c>
      <c r="J116" s="48">
        <f t="shared" si="5"/>
        <v>50</v>
      </c>
    </row>
    <row r="117" spans="1:11" ht="21" customHeight="1" x14ac:dyDescent="0.15">
      <c r="A117" s="193">
        <v>40044116</v>
      </c>
      <c r="B117" s="47">
        <v>0</v>
      </c>
      <c r="C117" s="47">
        <v>60</v>
      </c>
      <c r="D117" s="47">
        <v>100</v>
      </c>
      <c r="E117" s="47" t="s">
        <v>254</v>
      </c>
      <c r="F117" s="47" t="s">
        <v>53</v>
      </c>
      <c r="G117" s="47" t="s">
        <v>254</v>
      </c>
      <c r="H117" s="47" t="s">
        <v>53</v>
      </c>
      <c r="I117" s="47" t="s">
        <v>53</v>
      </c>
      <c r="J117" s="48">
        <f t="shared" si="5"/>
        <v>100</v>
      </c>
    </row>
    <row r="118" spans="1:11" ht="21" customHeight="1" x14ac:dyDescent="0.15">
      <c r="A118" s="193">
        <v>40044117</v>
      </c>
      <c r="B118" s="47">
        <v>0</v>
      </c>
      <c r="C118" s="47">
        <v>80</v>
      </c>
      <c r="D118" s="47">
        <v>100</v>
      </c>
      <c r="E118" s="47" t="s">
        <v>254</v>
      </c>
      <c r="F118" s="47" t="s">
        <v>53</v>
      </c>
      <c r="G118" s="47" t="s">
        <v>254</v>
      </c>
      <c r="H118" s="47">
        <v>3</v>
      </c>
      <c r="I118" s="47" t="s">
        <v>53</v>
      </c>
      <c r="J118" s="48">
        <f t="shared" si="5"/>
        <v>100</v>
      </c>
    </row>
    <row r="119" spans="1:11" ht="21" customHeight="1" thickBot="1" x14ac:dyDescent="0.2">
      <c r="A119" s="194">
        <v>40044118</v>
      </c>
      <c r="B119" s="174">
        <v>0</v>
      </c>
      <c r="C119" s="174">
        <v>90</v>
      </c>
      <c r="D119" s="174">
        <v>100</v>
      </c>
      <c r="E119" s="174" t="s">
        <v>254</v>
      </c>
      <c r="F119" s="174" t="s">
        <v>53</v>
      </c>
      <c r="G119" s="174" t="s">
        <v>254</v>
      </c>
      <c r="H119" s="174">
        <v>4</v>
      </c>
      <c r="I119" s="174" t="s">
        <v>53</v>
      </c>
      <c r="J119" s="178">
        <f t="shared" si="5"/>
        <v>100</v>
      </c>
      <c r="K119" s="196"/>
    </row>
    <row r="120" spans="1:11" ht="21" customHeight="1" x14ac:dyDescent="0.15">
      <c r="A120" s="193">
        <v>40044119</v>
      </c>
      <c r="B120" s="167">
        <v>1</v>
      </c>
      <c r="C120" s="167">
        <v>100</v>
      </c>
      <c r="D120" s="167">
        <v>100</v>
      </c>
      <c r="E120" s="167" t="s">
        <v>89</v>
      </c>
      <c r="F120" s="167" t="s">
        <v>53</v>
      </c>
      <c r="G120" s="167">
        <v>1</v>
      </c>
      <c r="H120" s="167" t="s">
        <v>53</v>
      </c>
      <c r="I120" s="167" t="s">
        <v>53</v>
      </c>
      <c r="J120" s="171">
        <f t="shared" si="5"/>
        <v>100</v>
      </c>
    </row>
    <row r="121" spans="1:11" ht="21" customHeight="1" x14ac:dyDescent="0.15">
      <c r="A121" s="193">
        <v>40044120</v>
      </c>
      <c r="B121" s="47">
        <v>0</v>
      </c>
      <c r="C121" s="47">
        <v>70</v>
      </c>
      <c r="D121" s="47">
        <v>50</v>
      </c>
      <c r="E121" s="47" t="s">
        <v>254</v>
      </c>
      <c r="F121" s="47" t="s">
        <v>53</v>
      </c>
      <c r="G121" s="47" t="s">
        <v>254</v>
      </c>
      <c r="H121" s="47" t="s">
        <v>53</v>
      </c>
      <c r="I121" s="47" t="s">
        <v>53</v>
      </c>
      <c r="J121" s="48">
        <f t="shared" si="5"/>
        <v>50</v>
      </c>
    </row>
    <row r="122" spans="1:11" ht="21" customHeight="1" x14ac:dyDescent="0.15">
      <c r="A122" s="193">
        <v>40044121</v>
      </c>
      <c r="B122" s="47">
        <v>0</v>
      </c>
      <c r="C122" s="47">
        <v>65</v>
      </c>
      <c r="D122" s="47">
        <v>100</v>
      </c>
      <c r="E122" s="47" t="s">
        <v>254</v>
      </c>
      <c r="F122" s="47" t="s">
        <v>53</v>
      </c>
      <c r="G122" s="47" t="s">
        <v>254</v>
      </c>
      <c r="H122" s="47" t="s">
        <v>53</v>
      </c>
      <c r="I122" s="47" t="s">
        <v>53</v>
      </c>
      <c r="J122" s="48">
        <f t="shared" ref="J122:J131" si="6">D122</f>
        <v>100</v>
      </c>
    </row>
    <row r="123" spans="1:11" ht="21" customHeight="1" x14ac:dyDescent="0.15">
      <c r="A123" s="193">
        <v>40044122</v>
      </c>
      <c r="B123" s="47">
        <v>0</v>
      </c>
      <c r="C123" s="47">
        <v>90</v>
      </c>
      <c r="D123" s="47">
        <v>100</v>
      </c>
      <c r="E123" s="47" t="s">
        <v>254</v>
      </c>
      <c r="F123" s="47" t="s">
        <v>53</v>
      </c>
      <c r="G123" s="47">
        <v>1</v>
      </c>
      <c r="H123" s="47">
        <v>1</v>
      </c>
      <c r="I123" s="47" t="s">
        <v>53</v>
      </c>
      <c r="J123" s="48">
        <f t="shared" si="6"/>
        <v>100</v>
      </c>
    </row>
    <row r="124" spans="1:11" ht="21" customHeight="1" x14ac:dyDescent="0.15">
      <c r="A124" s="193">
        <v>40044123</v>
      </c>
      <c r="B124" s="47">
        <v>0</v>
      </c>
      <c r="C124" s="47">
        <v>75</v>
      </c>
      <c r="D124" s="47">
        <v>100</v>
      </c>
      <c r="E124" s="47" t="s">
        <v>254</v>
      </c>
      <c r="F124" s="47" t="s">
        <v>53</v>
      </c>
      <c r="G124" s="47" t="s">
        <v>254</v>
      </c>
      <c r="H124" s="47">
        <v>2</v>
      </c>
      <c r="I124" s="47" t="s">
        <v>53</v>
      </c>
      <c r="J124" s="48">
        <f t="shared" si="6"/>
        <v>100</v>
      </c>
    </row>
    <row r="125" spans="1:11" ht="21" customHeight="1" x14ac:dyDescent="0.15">
      <c r="A125" s="193">
        <v>40044124</v>
      </c>
      <c r="B125" s="47">
        <v>0</v>
      </c>
      <c r="C125" s="47">
        <v>80</v>
      </c>
      <c r="D125" s="47">
        <v>100</v>
      </c>
      <c r="E125" s="47" t="s">
        <v>254</v>
      </c>
      <c r="F125" s="47" t="s">
        <v>53</v>
      </c>
      <c r="G125" s="47" t="s">
        <v>254</v>
      </c>
      <c r="H125" s="47">
        <v>3</v>
      </c>
      <c r="I125" s="47" t="s">
        <v>53</v>
      </c>
      <c r="J125" s="48">
        <f t="shared" si="6"/>
        <v>100</v>
      </c>
    </row>
    <row r="126" spans="1:11" ht="21" customHeight="1" x14ac:dyDescent="0.15">
      <c r="A126" s="193">
        <v>40044125</v>
      </c>
      <c r="B126" s="47">
        <v>0</v>
      </c>
      <c r="C126" s="47">
        <v>85</v>
      </c>
      <c r="D126" s="47">
        <v>100</v>
      </c>
      <c r="E126" s="47" t="s">
        <v>254</v>
      </c>
      <c r="F126" s="47" t="s">
        <v>53</v>
      </c>
      <c r="G126" s="47" t="s">
        <v>254</v>
      </c>
      <c r="H126" s="47">
        <v>5</v>
      </c>
      <c r="I126" s="47" t="s">
        <v>53</v>
      </c>
      <c r="J126" s="48">
        <f t="shared" si="6"/>
        <v>100</v>
      </c>
    </row>
    <row r="127" spans="1:11" ht="21" customHeight="1" x14ac:dyDescent="0.15">
      <c r="A127" s="193">
        <v>40044126</v>
      </c>
      <c r="B127" s="47">
        <v>0</v>
      </c>
      <c r="C127" s="47">
        <v>95</v>
      </c>
      <c r="D127" s="47">
        <v>100</v>
      </c>
      <c r="E127" s="47" t="s">
        <v>254</v>
      </c>
      <c r="F127" s="47" t="s">
        <v>53</v>
      </c>
      <c r="G127" s="47">
        <v>0</v>
      </c>
      <c r="H127" s="47" t="s">
        <v>53</v>
      </c>
      <c r="I127" s="47">
        <v>0</v>
      </c>
      <c r="J127" s="48">
        <f t="shared" si="6"/>
        <v>100</v>
      </c>
    </row>
    <row r="128" spans="1:11" ht="21" customHeight="1" x14ac:dyDescent="0.15">
      <c r="A128" s="193">
        <v>40044127</v>
      </c>
      <c r="B128" s="47">
        <v>0</v>
      </c>
      <c r="C128" s="47">
        <v>98</v>
      </c>
      <c r="D128" s="47">
        <v>100</v>
      </c>
      <c r="E128" s="47" t="s">
        <v>254</v>
      </c>
      <c r="F128" s="47" t="s">
        <v>53</v>
      </c>
      <c r="G128" s="47">
        <v>0</v>
      </c>
      <c r="H128" s="47" t="s">
        <v>53</v>
      </c>
      <c r="I128" s="47">
        <v>1385</v>
      </c>
      <c r="J128" s="48">
        <f t="shared" si="6"/>
        <v>100</v>
      </c>
    </row>
    <row r="129" spans="1:11" ht="21" customHeight="1" x14ac:dyDescent="0.15">
      <c r="A129" s="193">
        <v>40044128</v>
      </c>
      <c r="B129" s="47">
        <v>0</v>
      </c>
      <c r="C129" s="47">
        <v>99</v>
      </c>
      <c r="D129" s="47">
        <v>100</v>
      </c>
      <c r="E129" s="47" t="s">
        <v>254</v>
      </c>
      <c r="F129" s="47" t="s">
        <v>53</v>
      </c>
      <c r="G129" s="47">
        <v>0</v>
      </c>
      <c r="H129" s="47" t="s">
        <v>53</v>
      </c>
      <c r="I129" s="47">
        <v>1386</v>
      </c>
      <c r="J129" s="48">
        <f t="shared" si="6"/>
        <v>100</v>
      </c>
    </row>
    <row r="130" spans="1:11" ht="21" customHeight="1" x14ac:dyDescent="0.15">
      <c r="A130" s="193">
        <v>40044129</v>
      </c>
      <c r="B130" s="47">
        <v>0</v>
      </c>
      <c r="C130" s="47">
        <v>96</v>
      </c>
      <c r="D130" s="47">
        <v>100</v>
      </c>
      <c r="E130" s="47" t="s">
        <v>254</v>
      </c>
      <c r="F130" s="47" t="s">
        <v>53</v>
      </c>
      <c r="G130" s="47">
        <v>0</v>
      </c>
      <c r="H130" s="47" t="s">
        <v>53</v>
      </c>
      <c r="I130" s="47">
        <v>1379</v>
      </c>
      <c r="J130" s="48">
        <f t="shared" si="6"/>
        <v>100</v>
      </c>
    </row>
    <row r="131" spans="1:11" ht="21" customHeight="1" thickBot="1" x14ac:dyDescent="0.2">
      <c r="A131" s="194">
        <v>40044130</v>
      </c>
      <c r="B131" s="174">
        <v>0</v>
      </c>
      <c r="C131" s="174">
        <v>97</v>
      </c>
      <c r="D131" s="174">
        <v>100</v>
      </c>
      <c r="E131" s="174" t="s">
        <v>254</v>
      </c>
      <c r="F131" s="174" t="s">
        <v>53</v>
      </c>
      <c r="G131" s="174">
        <v>0</v>
      </c>
      <c r="H131" s="174" t="s">
        <v>53</v>
      </c>
      <c r="I131" s="174">
        <v>1380</v>
      </c>
      <c r="J131" s="178">
        <f t="shared" si="6"/>
        <v>100</v>
      </c>
      <c r="K131" s="196"/>
    </row>
  </sheetData>
  <autoFilter ref="A1:G1"/>
  <phoneticPr fontId="5"/>
  <conditionalFormatting sqref="K132:K1048576 K1:K2">
    <cfRule type="duplicateValues" dxfId="129" priority="135"/>
  </conditionalFormatting>
  <conditionalFormatting sqref="K3">
    <cfRule type="duplicateValues" dxfId="128" priority="133"/>
  </conditionalFormatting>
  <conditionalFormatting sqref="K4">
    <cfRule type="duplicateValues" dxfId="127" priority="132"/>
  </conditionalFormatting>
  <conditionalFormatting sqref="K6">
    <cfRule type="duplicateValues" dxfId="126" priority="131"/>
  </conditionalFormatting>
  <conditionalFormatting sqref="K7">
    <cfRule type="duplicateValues" dxfId="125" priority="130"/>
  </conditionalFormatting>
  <conditionalFormatting sqref="K8">
    <cfRule type="duplicateValues" dxfId="124" priority="129"/>
  </conditionalFormatting>
  <conditionalFormatting sqref="K9">
    <cfRule type="duplicateValues" dxfId="123" priority="128"/>
  </conditionalFormatting>
  <conditionalFormatting sqref="K10">
    <cfRule type="duplicateValues" dxfId="122" priority="127"/>
  </conditionalFormatting>
  <conditionalFormatting sqref="K11">
    <cfRule type="duplicateValues" dxfId="121" priority="126"/>
  </conditionalFormatting>
  <conditionalFormatting sqref="K12">
    <cfRule type="duplicateValues" dxfId="120" priority="125"/>
  </conditionalFormatting>
  <conditionalFormatting sqref="K13">
    <cfRule type="duplicateValues" dxfId="119" priority="124"/>
  </conditionalFormatting>
  <conditionalFormatting sqref="K14">
    <cfRule type="duplicateValues" dxfId="118" priority="123"/>
  </conditionalFormatting>
  <conditionalFormatting sqref="K15">
    <cfRule type="duplicateValues" dxfId="117" priority="122"/>
  </conditionalFormatting>
  <conditionalFormatting sqref="K16">
    <cfRule type="duplicateValues" dxfId="116" priority="121"/>
  </conditionalFormatting>
  <conditionalFormatting sqref="K17">
    <cfRule type="duplicateValues" dxfId="115" priority="120"/>
  </conditionalFormatting>
  <conditionalFormatting sqref="K18">
    <cfRule type="duplicateValues" dxfId="114" priority="119"/>
  </conditionalFormatting>
  <conditionalFormatting sqref="K19">
    <cfRule type="duplicateValues" dxfId="113" priority="118"/>
  </conditionalFormatting>
  <conditionalFormatting sqref="K20">
    <cfRule type="duplicateValues" dxfId="112" priority="117"/>
  </conditionalFormatting>
  <conditionalFormatting sqref="K21">
    <cfRule type="duplicateValues" dxfId="111" priority="116"/>
  </conditionalFormatting>
  <conditionalFormatting sqref="K22">
    <cfRule type="duplicateValues" dxfId="110" priority="115"/>
  </conditionalFormatting>
  <conditionalFormatting sqref="K23">
    <cfRule type="duplicateValues" dxfId="109" priority="114"/>
  </conditionalFormatting>
  <conditionalFormatting sqref="K24">
    <cfRule type="duplicateValues" dxfId="108" priority="113"/>
  </conditionalFormatting>
  <conditionalFormatting sqref="K25">
    <cfRule type="duplicateValues" dxfId="107" priority="112"/>
  </conditionalFormatting>
  <conditionalFormatting sqref="K26">
    <cfRule type="duplicateValues" dxfId="106" priority="111"/>
  </conditionalFormatting>
  <conditionalFormatting sqref="K27">
    <cfRule type="duplicateValues" dxfId="105" priority="110"/>
  </conditionalFormatting>
  <conditionalFormatting sqref="K28">
    <cfRule type="duplicateValues" dxfId="104" priority="109"/>
  </conditionalFormatting>
  <conditionalFormatting sqref="K29">
    <cfRule type="duplicateValues" dxfId="103" priority="108"/>
  </conditionalFormatting>
  <conditionalFormatting sqref="K30">
    <cfRule type="duplicateValues" dxfId="102" priority="107"/>
  </conditionalFormatting>
  <conditionalFormatting sqref="K31">
    <cfRule type="duplicateValues" dxfId="101" priority="106"/>
  </conditionalFormatting>
  <conditionalFormatting sqref="K32">
    <cfRule type="duplicateValues" dxfId="100" priority="105"/>
  </conditionalFormatting>
  <conditionalFormatting sqref="K34">
    <cfRule type="duplicateValues" dxfId="99" priority="104"/>
  </conditionalFormatting>
  <conditionalFormatting sqref="K35">
    <cfRule type="duplicateValues" dxfId="98" priority="103"/>
  </conditionalFormatting>
  <conditionalFormatting sqref="K36">
    <cfRule type="duplicateValues" dxfId="97" priority="102"/>
  </conditionalFormatting>
  <conditionalFormatting sqref="K37">
    <cfRule type="duplicateValues" dxfId="96" priority="101"/>
  </conditionalFormatting>
  <conditionalFormatting sqref="K38">
    <cfRule type="duplicateValues" dxfId="95" priority="100"/>
  </conditionalFormatting>
  <conditionalFormatting sqref="K39">
    <cfRule type="duplicateValues" dxfId="94" priority="99"/>
  </conditionalFormatting>
  <conditionalFormatting sqref="K40">
    <cfRule type="duplicateValues" dxfId="93" priority="98"/>
  </conditionalFormatting>
  <conditionalFormatting sqref="K41">
    <cfRule type="duplicateValues" dxfId="92" priority="97"/>
  </conditionalFormatting>
  <conditionalFormatting sqref="K42">
    <cfRule type="duplicateValues" dxfId="91" priority="96"/>
  </conditionalFormatting>
  <conditionalFormatting sqref="K43">
    <cfRule type="duplicateValues" dxfId="90" priority="95"/>
  </conditionalFormatting>
  <conditionalFormatting sqref="K44">
    <cfRule type="duplicateValues" dxfId="89" priority="94"/>
  </conditionalFormatting>
  <conditionalFormatting sqref="K45">
    <cfRule type="duplicateValues" dxfId="88" priority="93"/>
  </conditionalFormatting>
  <conditionalFormatting sqref="K46">
    <cfRule type="duplicateValues" dxfId="87" priority="92"/>
  </conditionalFormatting>
  <conditionalFormatting sqref="K47">
    <cfRule type="duplicateValues" dxfId="86" priority="91"/>
  </conditionalFormatting>
  <conditionalFormatting sqref="K48">
    <cfRule type="duplicateValues" dxfId="85" priority="90"/>
  </conditionalFormatting>
  <conditionalFormatting sqref="K49">
    <cfRule type="duplicateValues" dxfId="84" priority="89"/>
  </conditionalFormatting>
  <conditionalFormatting sqref="K50">
    <cfRule type="duplicateValues" dxfId="83" priority="88"/>
  </conditionalFormatting>
  <conditionalFormatting sqref="K51">
    <cfRule type="duplicateValues" dxfId="82" priority="87"/>
  </conditionalFormatting>
  <conditionalFormatting sqref="K52">
    <cfRule type="duplicateValues" dxfId="81" priority="86"/>
  </conditionalFormatting>
  <conditionalFormatting sqref="K53">
    <cfRule type="duplicateValues" dxfId="80" priority="85"/>
  </conditionalFormatting>
  <conditionalFormatting sqref="K54">
    <cfRule type="duplicateValues" dxfId="79" priority="84"/>
  </conditionalFormatting>
  <conditionalFormatting sqref="K55">
    <cfRule type="duplicateValues" dxfId="78" priority="83"/>
  </conditionalFormatting>
  <conditionalFormatting sqref="K56">
    <cfRule type="duplicateValues" dxfId="77" priority="82"/>
  </conditionalFormatting>
  <conditionalFormatting sqref="K57">
    <cfRule type="duplicateValues" dxfId="76" priority="81"/>
  </conditionalFormatting>
  <conditionalFormatting sqref="K58">
    <cfRule type="duplicateValues" dxfId="75" priority="80"/>
  </conditionalFormatting>
  <conditionalFormatting sqref="K59">
    <cfRule type="duplicateValues" dxfId="74" priority="79"/>
  </conditionalFormatting>
  <conditionalFormatting sqref="K60">
    <cfRule type="duplicateValues" dxfId="73" priority="78"/>
  </conditionalFormatting>
  <conditionalFormatting sqref="K61">
    <cfRule type="duplicateValues" dxfId="72" priority="77"/>
  </conditionalFormatting>
  <conditionalFormatting sqref="K62">
    <cfRule type="duplicateValues" dxfId="71" priority="76"/>
  </conditionalFormatting>
  <conditionalFormatting sqref="K63">
    <cfRule type="duplicateValues" dxfId="70" priority="75"/>
  </conditionalFormatting>
  <conditionalFormatting sqref="K64">
    <cfRule type="duplicateValues" dxfId="69" priority="74"/>
  </conditionalFormatting>
  <conditionalFormatting sqref="K65">
    <cfRule type="duplicateValues" dxfId="68" priority="73"/>
  </conditionalFormatting>
  <conditionalFormatting sqref="K66">
    <cfRule type="duplicateValues" dxfId="67" priority="72"/>
  </conditionalFormatting>
  <conditionalFormatting sqref="K5">
    <cfRule type="duplicateValues" dxfId="66" priority="67"/>
  </conditionalFormatting>
  <conditionalFormatting sqref="K33">
    <cfRule type="duplicateValues" dxfId="65" priority="66"/>
  </conditionalFormatting>
  <conditionalFormatting sqref="K67">
    <cfRule type="duplicateValues" dxfId="64" priority="65"/>
  </conditionalFormatting>
  <conditionalFormatting sqref="K68">
    <cfRule type="duplicateValues" dxfId="63" priority="64"/>
  </conditionalFormatting>
  <conditionalFormatting sqref="K69">
    <cfRule type="duplicateValues" dxfId="62" priority="63"/>
  </conditionalFormatting>
  <conditionalFormatting sqref="K71">
    <cfRule type="duplicateValues" dxfId="61" priority="62"/>
  </conditionalFormatting>
  <conditionalFormatting sqref="K72">
    <cfRule type="duplicateValues" dxfId="60" priority="61"/>
  </conditionalFormatting>
  <conditionalFormatting sqref="K73">
    <cfRule type="duplicateValues" dxfId="59" priority="60"/>
  </conditionalFormatting>
  <conditionalFormatting sqref="K74">
    <cfRule type="duplicateValues" dxfId="58" priority="59"/>
  </conditionalFormatting>
  <conditionalFormatting sqref="K75">
    <cfRule type="duplicateValues" dxfId="57" priority="58"/>
  </conditionalFormatting>
  <conditionalFormatting sqref="K76">
    <cfRule type="duplicateValues" dxfId="56" priority="57"/>
  </conditionalFormatting>
  <conditionalFormatting sqref="K77">
    <cfRule type="duplicateValues" dxfId="55" priority="56"/>
  </conditionalFormatting>
  <conditionalFormatting sqref="K78">
    <cfRule type="duplicateValues" dxfId="54" priority="55"/>
  </conditionalFormatting>
  <conditionalFormatting sqref="K79">
    <cfRule type="duplicateValues" dxfId="53" priority="54"/>
  </conditionalFormatting>
  <conditionalFormatting sqref="K80">
    <cfRule type="duplicateValues" dxfId="52" priority="53"/>
  </conditionalFormatting>
  <conditionalFormatting sqref="K81">
    <cfRule type="duplicateValues" dxfId="51" priority="52"/>
  </conditionalFormatting>
  <conditionalFormatting sqref="K82">
    <cfRule type="duplicateValues" dxfId="50" priority="51"/>
  </conditionalFormatting>
  <conditionalFormatting sqref="K83">
    <cfRule type="duplicateValues" dxfId="49" priority="50"/>
  </conditionalFormatting>
  <conditionalFormatting sqref="K84">
    <cfRule type="duplicateValues" dxfId="48" priority="49"/>
  </conditionalFormatting>
  <conditionalFormatting sqref="K85">
    <cfRule type="duplicateValues" dxfId="47" priority="48"/>
  </conditionalFormatting>
  <conditionalFormatting sqref="K86">
    <cfRule type="duplicateValues" dxfId="46" priority="47"/>
  </conditionalFormatting>
  <conditionalFormatting sqref="K87">
    <cfRule type="duplicateValues" dxfId="45" priority="46"/>
  </conditionalFormatting>
  <conditionalFormatting sqref="K88">
    <cfRule type="duplicateValues" dxfId="44" priority="45"/>
  </conditionalFormatting>
  <conditionalFormatting sqref="K89">
    <cfRule type="duplicateValues" dxfId="43" priority="44"/>
  </conditionalFormatting>
  <conditionalFormatting sqref="K90">
    <cfRule type="duplicateValues" dxfId="42" priority="43"/>
  </conditionalFormatting>
  <conditionalFormatting sqref="K91">
    <cfRule type="duplicateValues" dxfId="41" priority="42"/>
  </conditionalFormatting>
  <conditionalFormatting sqref="K92">
    <cfRule type="duplicateValues" dxfId="40" priority="41"/>
  </conditionalFormatting>
  <conditionalFormatting sqref="K93">
    <cfRule type="duplicateValues" dxfId="39" priority="40"/>
  </conditionalFormatting>
  <conditionalFormatting sqref="K94">
    <cfRule type="duplicateValues" dxfId="38" priority="39"/>
  </conditionalFormatting>
  <conditionalFormatting sqref="K95">
    <cfRule type="duplicateValues" dxfId="37" priority="38"/>
  </conditionalFormatting>
  <conditionalFormatting sqref="K96">
    <cfRule type="duplicateValues" dxfId="36" priority="37"/>
  </conditionalFormatting>
  <conditionalFormatting sqref="K97">
    <cfRule type="duplicateValues" dxfId="35" priority="36"/>
  </conditionalFormatting>
  <conditionalFormatting sqref="K99">
    <cfRule type="duplicateValues" dxfId="34" priority="35"/>
  </conditionalFormatting>
  <conditionalFormatting sqref="K100">
    <cfRule type="duplicateValues" dxfId="33" priority="34"/>
  </conditionalFormatting>
  <conditionalFormatting sqref="K101">
    <cfRule type="duplicateValues" dxfId="32" priority="33"/>
  </conditionalFormatting>
  <conditionalFormatting sqref="K102">
    <cfRule type="duplicateValues" dxfId="31" priority="32"/>
  </conditionalFormatting>
  <conditionalFormatting sqref="K103">
    <cfRule type="duplicateValues" dxfId="30" priority="31"/>
  </conditionalFormatting>
  <conditionalFormatting sqref="K104">
    <cfRule type="duplicateValues" dxfId="29" priority="30"/>
  </conditionalFormatting>
  <conditionalFormatting sqref="K105">
    <cfRule type="duplicateValues" dxfId="28" priority="29"/>
  </conditionalFormatting>
  <conditionalFormatting sqref="K106">
    <cfRule type="duplicateValues" dxfId="27" priority="28"/>
  </conditionalFormatting>
  <conditionalFormatting sqref="K107">
    <cfRule type="duplicateValues" dxfId="26" priority="27"/>
  </conditionalFormatting>
  <conditionalFormatting sqref="K108">
    <cfRule type="duplicateValues" dxfId="25" priority="26"/>
  </conditionalFormatting>
  <conditionalFormatting sqref="K109">
    <cfRule type="duplicateValues" dxfId="24" priority="25"/>
  </conditionalFormatting>
  <conditionalFormatting sqref="K110">
    <cfRule type="duplicateValues" dxfId="23" priority="24"/>
  </conditionalFormatting>
  <conditionalFormatting sqref="K111">
    <cfRule type="duplicateValues" dxfId="22" priority="23"/>
  </conditionalFormatting>
  <conditionalFormatting sqref="K112">
    <cfRule type="duplicateValues" dxfId="21" priority="22"/>
  </conditionalFormatting>
  <conditionalFormatting sqref="K113">
    <cfRule type="duplicateValues" dxfId="20" priority="21"/>
  </conditionalFormatting>
  <conditionalFormatting sqref="K114">
    <cfRule type="duplicateValues" dxfId="19" priority="20"/>
  </conditionalFormatting>
  <conditionalFormatting sqref="K115">
    <cfRule type="duplicateValues" dxfId="18" priority="19"/>
  </conditionalFormatting>
  <conditionalFormatting sqref="K116">
    <cfRule type="duplicateValues" dxfId="17" priority="18"/>
  </conditionalFormatting>
  <conditionalFormatting sqref="K117">
    <cfRule type="duplicateValues" dxfId="16" priority="17"/>
  </conditionalFormatting>
  <conditionalFormatting sqref="K118">
    <cfRule type="duplicateValues" dxfId="15" priority="16"/>
  </conditionalFormatting>
  <conditionalFormatting sqref="K119">
    <cfRule type="duplicateValues" dxfId="14" priority="15"/>
  </conditionalFormatting>
  <conditionalFormatting sqref="K120">
    <cfRule type="duplicateValues" dxfId="13" priority="14"/>
  </conditionalFormatting>
  <conditionalFormatting sqref="K121">
    <cfRule type="duplicateValues" dxfId="12" priority="13"/>
  </conditionalFormatting>
  <conditionalFormatting sqref="K122">
    <cfRule type="duplicateValues" dxfId="11" priority="12"/>
  </conditionalFormatting>
  <conditionalFormatting sqref="K123">
    <cfRule type="duplicateValues" dxfId="10" priority="11"/>
  </conditionalFormatting>
  <conditionalFormatting sqref="K124">
    <cfRule type="duplicateValues" dxfId="9" priority="10"/>
  </conditionalFormatting>
  <conditionalFormatting sqref="K125">
    <cfRule type="duplicateValues" dxfId="8" priority="9"/>
  </conditionalFormatting>
  <conditionalFormatting sqref="K126">
    <cfRule type="duplicateValues" dxfId="7" priority="8"/>
  </conditionalFormatting>
  <conditionalFormatting sqref="K127">
    <cfRule type="duplicateValues" dxfId="6" priority="7"/>
  </conditionalFormatting>
  <conditionalFormatting sqref="K128">
    <cfRule type="duplicateValues" dxfId="5" priority="6"/>
  </conditionalFormatting>
  <conditionalFormatting sqref="K129">
    <cfRule type="duplicateValues" dxfId="4" priority="5"/>
  </conditionalFormatting>
  <conditionalFormatting sqref="K130">
    <cfRule type="duplicateValues" dxfId="3" priority="4"/>
  </conditionalFormatting>
  <conditionalFormatting sqref="K131">
    <cfRule type="duplicateValues" dxfId="2" priority="3"/>
  </conditionalFormatting>
  <conditionalFormatting sqref="K70">
    <cfRule type="duplicateValues" dxfId="1" priority="2"/>
  </conditionalFormatting>
  <conditionalFormatting sqref="K9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31"/>
  <sheetViews>
    <sheetView showGridLines="0" workbookViewId="0">
      <pane xSplit="5" ySplit="1" topLeftCell="F6" activePane="bottomRight" state="frozen"/>
      <selection pane="topRight"/>
      <selection pane="bottomLeft"/>
      <selection pane="bottomRight" activeCell="F83" sqref="F8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40044001_40044001</v>
      </c>
      <c r="B2" s="47">
        <v>40044001</v>
      </c>
      <c r="C2" s="165">
        <v>40044001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ウィルスピッチ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2" s="165">
        <v>40044001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1" si="1">B3&amp;"_"&amp;C3</f>
        <v>40044001_40044002</v>
      </c>
      <c r="B3" s="47">
        <v>40044001</v>
      </c>
      <c r="C3" s="165">
        <v>40044002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ウィルスハント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3" s="165">
        <v>40044002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thickBot="1" x14ac:dyDescent="0.2">
      <c r="A4" s="196" t="str">
        <f t="shared" si="1"/>
        <v>40044001_40044003</v>
      </c>
      <c r="B4" s="174">
        <v>40044001</v>
      </c>
      <c r="C4" s="173">
        <v>40044003</v>
      </c>
      <c r="D4" s="197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ヒーリング</v>
      </c>
      <c r="E4" s="197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チエミを回復</v>
      </c>
      <c r="F4" s="173">
        <v>40044003</v>
      </c>
      <c r="G4" s="17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7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" s="17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17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7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7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7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" s="17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7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174"/>
      <c r="Q4" s="174"/>
      <c r="R4" s="174"/>
    </row>
    <row r="5" spans="1:18" ht="21" customHeight="1" x14ac:dyDescent="0.15">
      <c r="A5" s="39" t="str">
        <f t="shared" ref="A5" si="2">B5&amp;"_"&amp;C5</f>
        <v>40044002_40044004</v>
      </c>
      <c r="B5" s="167">
        <v>40044002</v>
      </c>
      <c r="C5" s="166">
        <v>40044004</v>
      </c>
      <c r="D5" s="198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あの双子なんなのかしら</v>
      </c>
      <c r="E5" s="198" t="str">
        <f ca="1">VLOOKUP($C5,OFFSET(enemy_skills!$A$1,0,0,COUNTA(enemy_skills!$A:$A),MATCH(E$1,enemy_skills!$1:$1,0)-MATCH("enemy_skill_id",enemy_skills!$1:$1,0)+1),MATCH(E$1,enemy_skills!$1:$1,0)-MATCH("enemy_skill_id",enemy_skills!$1:$1,0)+1,FALSE)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5" s="166">
        <v>40044004</v>
      </c>
      <c r="G5" s="171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71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" s="171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71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71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71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71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71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71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67"/>
      <c r="Q5" s="167"/>
      <c r="R5" s="167"/>
    </row>
    <row r="6" spans="1:18" ht="21" customHeight="1" x14ac:dyDescent="0.15">
      <c r="A6" s="39" t="str">
        <f t="shared" si="1"/>
        <v>40044002_40044005</v>
      </c>
      <c r="B6" s="167">
        <v>40044002</v>
      </c>
      <c r="C6" s="165">
        <v>40044005</v>
      </c>
      <c r="D6" s="198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どきなさい！</v>
      </c>
      <c r="E6" s="198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165">
        <v>40044005</v>
      </c>
      <c r="G6" s="171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71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" s="171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71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71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71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171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71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71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67"/>
      <c r="Q6" s="167"/>
      <c r="R6" s="167"/>
    </row>
    <row r="7" spans="1:18" ht="21" customHeight="1" x14ac:dyDescent="0.15">
      <c r="A7" s="39" t="str">
        <f t="shared" si="1"/>
        <v>40044002_40044006</v>
      </c>
      <c r="B7" s="47">
        <v>40044002</v>
      </c>
      <c r="C7" s="165">
        <v>40044006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このドキドキ、恋かしら☆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7" s="165">
        <v>40044006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thickBot="1" x14ac:dyDescent="0.2">
      <c r="A8" s="196" t="str">
        <f t="shared" si="1"/>
        <v>40044002_40044007</v>
      </c>
      <c r="B8" s="174">
        <v>40044002</v>
      </c>
      <c r="C8" s="173">
        <v>40044007</v>
      </c>
      <c r="D8" s="197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はい、プレゼント♪</v>
      </c>
      <c r="E8" s="197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単体攻撃+_x000D_ランダムでパネルプロテクト(最大8個)</v>
      </c>
      <c r="F8" s="173">
        <v>40044007</v>
      </c>
      <c r="G8" s="17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7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" s="17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7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7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7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17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17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7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74"/>
      <c r="Q8" s="174"/>
      <c r="R8" s="174"/>
    </row>
    <row r="9" spans="1:18" ht="21" customHeight="1" x14ac:dyDescent="0.15">
      <c r="A9" s="39" t="str">
        <f t="shared" si="1"/>
        <v>40044003_40044008</v>
      </c>
      <c r="B9" s="167">
        <v>40044003</v>
      </c>
      <c r="C9" s="166">
        <v>40044008</v>
      </c>
      <c r="D9" s="198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パネルガード</v>
      </c>
      <c r="E9" s="198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ランダムでパネルプロテクト(最大4個)</v>
      </c>
      <c r="F9" s="166">
        <v>40044008</v>
      </c>
      <c r="G9" s="171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171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171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71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71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71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171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71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71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67"/>
      <c r="Q9" s="167"/>
      <c r="R9" s="167"/>
    </row>
    <row r="10" spans="1:18" ht="21" customHeight="1" x14ac:dyDescent="0.15">
      <c r="A10" s="39" t="str">
        <f t="shared" si="1"/>
        <v>40044003_40044009</v>
      </c>
      <c r="B10" s="47">
        <v>40044003</v>
      </c>
      <c r="C10" s="165">
        <v>40044009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ウィルスハント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10" s="165">
        <v>40044009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thickBot="1" x14ac:dyDescent="0.2">
      <c r="A11" s="196" t="str">
        <f t="shared" si="1"/>
        <v>40044003_40044010</v>
      </c>
      <c r="B11" s="174">
        <v>40044003</v>
      </c>
      <c r="C11" s="173">
        <v>40044010</v>
      </c>
      <c r="D11" s="197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レッドガード</v>
      </c>
      <c r="E11" s="197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赤パネルプロテクト</v>
      </c>
      <c r="F11" s="173">
        <v>40044010</v>
      </c>
      <c r="G11" s="17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17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" s="17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7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7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7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17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17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7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74"/>
      <c r="Q11" s="174"/>
      <c r="R11" s="174"/>
    </row>
    <row r="12" spans="1:18" ht="21" customHeight="1" x14ac:dyDescent="0.15">
      <c r="A12" s="39" t="str">
        <f t="shared" ref="A12:A36" si="3">B12&amp;"_"&amp;C12</f>
        <v>40044004_40044011</v>
      </c>
      <c r="B12" s="167">
        <v>40044004</v>
      </c>
      <c r="C12" s="189">
        <v>40044011</v>
      </c>
      <c r="D12" s="198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『その蔑む目…素晴らしい…』</v>
      </c>
      <c r="E12" s="198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12" s="189">
        <v>40044011</v>
      </c>
      <c r="G12" s="171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171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2" s="171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71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71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71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71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71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71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67"/>
      <c r="Q12" s="167"/>
      <c r="R12" s="167"/>
    </row>
    <row r="13" spans="1:18" ht="21" customHeight="1" x14ac:dyDescent="0.15">
      <c r="A13" s="39" t="str">
        <f t="shared" si="3"/>
        <v>40044004_40044012</v>
      </c>
      <c r="B13" s="47">
        <v>40044004</v>
      </c>
      <c r="C13" s="188">
        <v>40044012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『その棘で僕を！僕を！』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13" s="188">
        <v>40044012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1385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40044004_40044012</v>
      </c>
      <c r="B14" s="47">
        <v>40044004</v>
      </c>
      <c r="C14" s="188">
        <v>40044012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『その棘で僕を！僕を！』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14" s="188">
        <v>40044013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1386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40044004_40044013</v>
      </c>
      <c r="B15" s="47">
        <v>40044004</v>
      </c>
      <c r="C15" s="188">
        <v>40044013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『実にいい槍だ！_x000D_実に気持ちよさそうだ！！』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15" s="188">
        <v>40044014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3"/>
        <v>40044004_40044013</v>
      </c>
      <c r="B16" s="47">
        <v>40044004</v>
      </c>
      <c r="C16" s="188">
        <v>40044013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『実にいい槍だ！_x000D_実に気持ちよさそうだ！！』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16" s="188">
        <v>40044015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3"/>
        <v>40044004_40044014</v>
      </c>
      <c r="B17" s="47">
        <v>40044004</v>
      </c>
      <c r="C17" s="188">
        <v>40044014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クラッシュ・エクスタシィ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単体攻撃+_x000D_Cパネルプロテクト(最大2個)</v>
      </c>
      <c r="F17" s="188">
        <v>40044016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7"/>
      <c r="Q17" s="47"/>
      <c r="R17" s="47"/>
    </row>
    <row r="18" spans="1:18" ht="21" customHeight="1" x14ac:dyDescent="0.15">
      <c r="A18" s="39" t="str">
        <f t="shared" si="3"/>
        <v>40044004_40044015</v>
      </c>
      <c r="B18" s="47">
        <v>40044004</v>
      </c>
      <c r="C18" s="188">
        <v>40044015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『それは違うよ！』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単体攻撃+_x000D_ハートパネルプロテクト(最大10個)</v>
      </c>
      <c r="F18" s="188">
        <v>40044017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40044004_40044016</v>
      </c>
      <c r="B19" s="47">
        <v>40044004</v>
      </c>
      <c r="C19" s="188">
        <v>40044016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『紅く…紅く…深い紅を！』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全体攻撃+_x000D_赤パネルプロテクト+_x000D_4ターンボムの爆風を30%DOWN</v>
      </c>
      <c r="F19" s="188">
        <v>40044018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thickBot="1" x14ac:dyDescent="0.2">
      <c r="A20" s="196" t="str">
        <f t="shared" si="3"/>
        <v>40044004_40044017</v>
      </c>
      <c r="B20" s="174">
        <v>40044004</v>
      </c>
      <c r="C20" s="180">
        <v>40044017</v>
      </c>
      <c r="D20" s="197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『君も紅に溺れよう！！』</v>
      </c>
      <c r="E20" s="197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赤パネルプロテクト+_x000D_1ターン全ユニットのアビリティ無効</v>
      </c>
      <c r="F20" s="180">
        <v>40044019</v>
      </c>
      <c r="G20" s="17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17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20" s="17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7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7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7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17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17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7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74"/>
      <c r="Q20" s="174"/>
      <c r="R20" s="174"/>
    </row>
    <row r="21" spans="1:18" ht="21" customHeight="1" x14ac:dyDescent="0.15">
      <c r="A21" s="39" t="str">
        <f t="shared" si="3"/>
        <v>40044005_40044018</v>
      </c>
      <c r="B21" s="167">
        <v>40044005</v>
      </c>
      <c r="C21" s="189">
        <v>40044018</v>
      </c>
      <c r="D21" s="198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『もっと深い場所へ…！』</v>
      </c>
      <c r="E21" s="198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全パネルプロテクト+_x000D_4ターンタップ回数を1にする+_x000D_全ユニットの攻撃をカウンター</v>
      </c>
      <c r="F21" s="189">
        <v>40044020</v>
      </c>
      <c r="G21" s="171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171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1" s="171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71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171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71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71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171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171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67"/>
      <c r="Q21" s="167"/>
      <c r="R21" s="167"/>
    </row>
    <row r="22" spans="1:18" ht="21" customHeight="1" x14ac:dyDescent="0.15">
      <c r="A22" s="39" t="str">
        <f t="shared" si="3"/>
        <v>40044005_40044019</v>
      </c>
      <c r="B22" s="47">
        <v>40044005</v>
      </c>
      <c r="C22" s="188">
        <v>40044019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『君はこれが好きなの？』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単体攻撃+_x000D_青&amp;緑パネルプロテクト(最大4個ずつ)</v>
      </c>
      <c r="F22" s="188">
        <v>40044021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3"/>
        <v>40044005_40044020</v>
      </c>
      <c r="B23" s="47">
        <v>40044005</v>
      </c>
      <c r="C23" s="188">
        <v>40044020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『そっちが好きなんだね！』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単体攻撃+_x000D_赤&amp;黄パネルプロテクト(最大4個ずつ)</v>
      </c>
      <c r="F23" s="188">
        <v>40044022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40044005_40044021</v>
      </c>
      <c r="B24" s="47">
        <v>40044005</v>
      </c>
      <c r="C24" s="188">
        <v>40044021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『縛り付けるのも…なかなか…』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1ターン全ユニットのアビリティ無効+_x000D_1ターン全ユニットにスキルバインド</v>
      </c>
      <c r="F24" s="188">
        <v>40044023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40044005_40044022</v>
      </c>
      <c r="B25" s="47">
        <v>40044005</v>
      </c>
      <c r="C25" s="188">
        <v>40044022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ランダム・オブ・ザ・エクスタシィ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全体攻撃+_x000D_ランダムでパネルプロテクト(最大12個)</v>
      </c>
      <c r="F25" s="188">
        <v>40044024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3"/>
        <v>40044005_40044023</v>
      </c>
      <c r="B26" s="47">
        <v>40044005</v>
      </c>
      <c r="C26" s="188">
        <v>40044023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『ああ、実にいい…』_x000D_【恍惚の表情で立ち尽くしている】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26" s="188">
        <v>40044025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3"/>
        <v>40044005_40044024</v>
      </c>
      <c r="B27" s="47">
        <v>40044005</v>
      </c>
      <c r="C27" s="188">
        <v>40044024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『もっともっと僕に棘を…』_x000D_【いばら姫は面白がっている】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27" s="188">
        <v>40044026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1385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40044005_40044024</v>
      </c>
      <c r="B28" s="47">
        <v>40044005</v>
      </c>
      <c r="C28" s="188">
        <v>40044024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『もっともっと僕に棘を…』_x000D_【いばら姫は面白がっている】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28" s="188">
        <v>40044027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1386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3"/>
        <v>40044005_40044025</v>
      </c>
      <c r="B29" s="47">
        <v>40044005</v>
      </c>
      <c r="C29" s="188">
        <v>40044025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『やはりその貫通力…実に気持ちいい…』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29" s="188">
        <v>40044028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thickBot="1" x14ac:dyDescent="0.2">
      <c r="A30" s="196" t="str">
        <f t="shared" si="3"/>
        <v>40044005_40044025</v>
      </c>
      <c r="B30" s="174">
        <v>40044005</v>
      </c>
      <c r="C30" s="181">
        <v>40044025</v>
      </c>
      <c r="D30" s="197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『やはりその貫通力…実に気持ちいい…』</v>
      </c>
      <c r="E30" s="197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30" s="180">
        <v>40044029</v>
      </c>
      <c r="G30" s="17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7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0" s="17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7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7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7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17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7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30" s="17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74"/>
      <c r="Q30" s="174"/>
      <c r="R30" s="174"/>
    </row>
    <row r="31" spans="1:18" ht="21" customHeight="1" x14ac:dyDescent="0.15">
      <c r="A31" s="39" t="str">
        <f t="shared" si="3"/>
        <v>40044006_40044026</v>
      </c>
      <c r="B31" s="167">
        <v>40044006</v>
      </c>
      <c r="C31" s="190">
        <v>40044026</v>
      </c>
      <c r="D31" s="198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毒気焼却</v>
      </c>
      <c r="E31" s="198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31" s="190">
        <v>40044030</v>
      </c>
      <c r="G31" s="171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71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" s="171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71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71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71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171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71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71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67"/>
      <c r="Q31" s="167"/>
      <c r="R31" s="167"/>
    </row>
    <row r="32" spans="1:18" ht="21" customHeight="1" thickBot="1" x14ac:dyDescent="0.2">
      <c r="A32" s="196" t="str">
        <f t="shared" si="3"/>
        <v>40044006_40044027</v>
      </c>
      <c r="B32" s="174">
        <v>40044006</v>
      </c>
      <c r="C32" s="191">
        <v>40044027</v>
      </c>
      <c r="D32" s="197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障壁・蒼</v>
      </c>
      <c r="E32" s="197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全体攻撃+_x000D_青パネルプロテクト(最大8個)</v>
      </c>
      <c r="F32" s="191">
        <v>40044031</v>
      </c>
      <c r="G32" s="17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7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17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17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7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7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17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17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7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174"/>
      <c r="Q32" s="174"/>
      <c r="R32" s="174"/>
    </row>
    <row r="33" spans="1:18" ht="21" customHeight="1" x14ac:dyDescent="0.15">
      <c r="A33" s="39" t="str">
        <f t="shared" ref="A33" si="4">B33&amp;"_"&amp;C33</f>
        <v>40044007_40044028</v>
      </c>
      <c r="B33" s="167">
        <v>40044007</v>
      </c>
      <c r="C33" s="192">
        <v>40044028</v>
      </c>
      <c r="D33" s="198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あの双子なかなかイカしてたわ…</v>
      </c>
      <c r="E33" s="198" t="str">
        <f ca="1">VLOOKUP($C33,OFFSET(enemy_skills!$A$1,0,0,COUNTA(enemy_skills!$A:$A),MATCH(E$1,enemy_skills!$1:$1,0)-MATCH("enemy_skill_id",enemy_skills!$1:$1,0)+1),MATCH(E$1,enemy_skills!$1:$1,0)-MATCH("enemy_skill_id",enemy_skills!$1:$1,0)+1,FALSE)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33" s="190">
        <v>40044032</v>
      </c>
      <c r="G33" s="171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171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3" s="171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171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171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171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171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171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171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67"/>
      <c r="Q33" s="167"/>
      <c r="R33" s="167"/>
    </row>
    <row r="34" spans="1:18" ht="21" customHeight="1" x14ac:dyDescent="0.15">
      <c r="A34" s="39" t="str">
        <f t="shared" si="3"/>
        <v>40044007_40044029</v>
      </c>
      <c r="B34" s="167">
        <v>40044007</v>
      </c>
      <c r="C34" s="192">
        <v>40044029</v>
      </c>
      <c r="D34" s="198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アハハハハッ！_x000D_痛いだろぅ？</v>
      </c>
      <c r="E34" s="198" t="str">
        <f ca="1">VLOOKUP($C34,OFFSET(enemy_skills!$A$1,0,0,COUNTA(enemy_skills!$A:$A),MATCH(E$1,enemy_skills!$1:$1,0)-MATCH("enemy_skill_id",enemy_skills!$1:$1,0)+1),MATCH(E$1,enemy_skills!$1:$1,0)-MATCH("enemy_skill_id",enemy_skills!$1:$1,0)+1,FALSE)</f>
        <v>3ターン全ユニットに強力なウィルス+_x000D_ハートパネルプロテクト(最大8個)</v>
      </c>
      <c r="F34" s="192">
        <v>40044033</v>
      </c>
      <c r="G34" s="171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171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4" s="171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171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171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171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171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171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171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167"/>
      <c r="Q34" s="167"/>
      <c r="R34" s="167"/>
    </row>
    <row r="35" spans="1:18" ht="21" customHeight="1" x14ac:dyDescent="0.15">
      <c r="A35" s="39" t="str">
        <f t="shared" si="3"/>
        <v>40044007_40044030</v>
      </c>
      <c r="B35" s="47">
        <v>40044007</v>
      </c>
      <c r="C35" s="192">
        <v>40044030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障壁・緑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クリティカル！+_x000D_緑パネルプロテクト(最大8個)</v>
      </c>
      <c r="F35" s="192">
        <v>40044034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40044007_40044031</v>
      </c>
      <c r="B36" s="47">
        <v>40044007</v>
      </c>
      <c r="C36" s="192">
        <v>40044031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火炎拘束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全体攻撃+_x000D_2ターン全ユニットにスキルバインド</v>
      </c>
      <c r="F36" s="192">
        <v>40044035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thickBot="1" x14ac:dyDescent="0.2">
      <c r="A37" s="196" t="str">
        <f t="shared" ref="A37:A53" si="5">B37&amp;"_"&amp;C37</f>
        <v>40044007_40044032</v>
      </c>
      <c r="B37" s="174">
        <v>40044007</v>
      </c>
      <c r="C37" s="191">
        <v>40044032</v>
      </c>
      <c r="D37" s="197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動けないだろう！</v>
      </c>
      <c r="E37" s="197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1ターン自身の行動頻度UP+_x000D_1ターン全ユニットのアビリティ無効</v>
      </c>
      <c r="F37" s="191">
        <v>40044036</v>
      </c>
      <c r="G37" s="17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17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17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7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17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17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17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" s="17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17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74"/>
      <c r="Q37" s="174"/>
      <c r="R37" s="174"/>
    </row>
    <row r="38" spans="1:18" ht="21" customHeight="1" x14ac:dyDescent="0.15">
      <c r="A38" s="39" t="str">
        <f t="shared" si="5"/>
        <v>40044008_40044033</v>
      </c>
      <c r="B38" s="167">
        <v>40044008</v>
      </c>
      <c r="C38" s="190">
        <v>40044033</v>
      </c>
      <c r="D38" s="198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障壁・黄</v>
      </c>
      <c r="E38" s="198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クリティカル！+_x000D_黄パネルプロテクト(最大5個)</v>
      </c>
      <c r="F38" s="190">
        <v>40044037</v>
      </c>
      <c r="G38" s="171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171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8" s="171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71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71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71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171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171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71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67"/>
      <c r="Q38" s="167"/>
      <c r="R38" s="167"/>
    </row>
    <row r="39" spans="1:18" ht="21" customHeight="1" thickBot="1" x14ac:dyDescent="0.2">
      <c r="A39" s="196" t="str">
        <f t="shared" si="5"/>
        <v>40044008_40044034</v>
      </c>
      <c r="B39" s="174">
        <v>40044008</v>
      </c>
      <c r="C39" s="191">
        <v>40044034</v>
      </c>
      <c r="D39" s="197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障壁・赤</v>
      </c>
      <c r="E39" s="197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全体攻撃+_x000D_赤パネルプロテクト(最大8個)</v>
      </c>
      <c r="F39" s="191">
        <v>40044038</v>
      </c>
      <c r="G39" s="17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17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17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17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17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17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17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17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17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174"/>
      <c r="Q39" s="174"/>
      <c r="R39" s="174"/>
    </row>
    <row r="40" spans="1:18" ht="21" customHeight="1" x14ac:dyDescent="0.15">
      <c r="A40" s="39" t="str">
        <f t="shared" si="5"/>
        <v>40044009_40044035</v>
      </c>
      <c r="B40" s="167">
        <v>40044009</v>
      </c>
      <c r="C40" s="193">
        <v>40044035</v>
      </c>
      <c r="D40" s="198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「なんだお前ら！？」_x000D_『ああ、僕をヤってくれるんだね！』</v>
      </c>
      <c r="E40" s="198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状態異常耐性+_x000D_全ての効果を解除+_x000D_青&amp;ハートパネル以外はプロテクトしてドロップ</v>
      </c>
      <c r="F40" s="193">
        <v>40044039</v>
      </c>
      <c r="G40" s="171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171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0" s="171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71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71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71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171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71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171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67"/>
      <c r="Q40" s="167"/>
      <c r="R40" s="167"/>
    </row>
    <row r="41" spans="1:18" ht="21" customHeight="1" x14ac:dyDescent="0.15">
      <c r="A41" s="39" t="str">
        <f t="shared" si="5"/>
        <v>40044009_40044036</v>
      </c>
      <c r="B41" s="47">
        <v>40044009</v>
      </c>
      <c r="C41" s="195">
        <v>40044036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『ああ、その棘僕の求めてた…』_x000D_「お前の番じゃねえ！」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状態異常耐性+_x000D_全ての効果を解除+_x000D_青&amp;ハートパネル以外はプロテクトしてドロップ</v>
      </c>
      <c r="F41" s="195">
        <v>40044040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1385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5"/>
        <v>40044009_40044036</v>
      </c>
      <c r="B42" s="47">
        <v>40044009</v>
      </c>
      <c r="C42" s="195">
        <v>40044036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『ああ、その棘僕の求めてた…』_x000D_「お前の番じゃねえ！」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状態異常耐性+_x000D_全ての効果を解除+_x000D_青&amp;ハートパネル以外はプロテクトしてドロップ</v>
      </c>
      <c r="F42" s="195">
        <v>40044041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1386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5"/>
        <v>40044009_40044037</v>
      </c>
      <c r="B43" s="47">
        <v>40044009</v>
      </c>
      <c r="C43" s="195">
        <v>40044037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『今度こそ僕にその槍を…』_x000D_「黙ってろ、その槍女は俺がやる！」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状態異常耐性+_x000D_全ての効果を解除+_x000D_青&amp;ハートパネル以外はプロテクトしてドロップ</v>
      </c>
      <c r="F43" s="195">
        <v>40044042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5"/>
        <v>40044009_40044037</v>
      </c>
      <c r="B44" s="47">
        <v>40044009</v>
      </c>
      <c r="C44" s="195">
        <v>40044037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『今度こそ僕にその槍を…』_x000D_「黙ってろ、その槍女は俺がやる！」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状態異常耐性+_x000D_全ての効果を解除+_x000D_青&amp;ハートパネル以外はプロテクトしてドロップ</v>
      </c>
      <c r="F44" s="195">
        <v>40044043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5"/>
        <v>40044009_40044038</v>
      </c>
      <c r="B45" s="47">
        <v>40044009</v>
      </c>
      <c r="C45" s="195">
        <v>40044038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ブラッド・ドレイン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クリティカル！+自己回復</v>
      </c>
      <c r="F45" s="195">
        <v>40044044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47"/>
      <c r="Q45" s="47"/>
      <c r="R45" s="47"/>
    </row>
    <row r="46" spans="1:18" ht="21" customHeight="1" x14ac:dyDescent="0.15">
      <c r="A46" s="39" t="str">
        <f t="shared" si="5"/>
        <v>40044009_40044039</v>
      </c>
      <c r="B46" s="47">
        <v>40044009</v>
      </c>
      <c r="C46" s="195">
        <v>40044039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「ばらまいてやる！」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全体攻撃+_x000D_2ターン全ユニットに強力なウィルス</v>
      </c>
      <c r="F46" s="195">
        <v>40044045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5"/>
        <v>40044009_40044040</v>
      </c>
      <c r="B47" s="47">
        <v>40044009</v>
      </c>
      <c r="C47" s="195">
        <v>40044040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「苦しみやがれ！」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1ターン全ユニットのアビリティ無効+_x000D_解除するまで全ユニットに強力なウィルス+_x000D_4ターン全ユニットの回復力50%DOWN</v>
      </c>
      <c r="F47" s="195">
        <v>40044046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5"/>
        <v>40044009_40044041</v>
      </c>
      <c r="B48" s="47">
        <v>40044009</v>
      </c>
      <c r="C48" s="195">
        <v>40044041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オールエクスパーメント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全体攻撃+_x000D_1ターン全ユニットにスキルバインド</v>
      </c>
      <c r="F48" s="195">
        <v>40044047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thickBot="1" x14ac:dyDescent="0.2">
      <c r="A49" s="196" t="str">
        <f t="shared" si="5"/>
        <v>40044009_40044042</v>
      </c>
      <c r="B49" s="174">
        <v>40044009</v>
      </c>
      <c r="C49" s="194">
        <v>40044042</v>
      </c>
      <c r="D49" s="197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「ヒャヒャ！おもしれえな！」</v>
      </c>
      <c r="E49" s="197" t="str">
        <f ca="1">VLOOKUP($C49,OFFSET(enemy_skills!$A$1,0,0,COUNTA(enemy_skills!$A:$A),MATCH(E$1,enemy_skills!$1:$1,0)-MATCH("enemy_skill_id",enemy_skills!$1:$1,0)+1),MATCH(E$1,enemy_skills!$1:$1,0)-MATCH("enemy_skill_id",enemy_skills!$1:$1,0)+1,FALSE)</f>
        <v>2回連続攻撃+_x000D_3ターンユニット2体に強力なウィルス</v>
      </c>
      <c r="F49" s="194">
        <v>40044048</v>
      </c>
      <c r="G49" s="17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17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9" s="17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17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17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7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17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9" s="17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17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174"/>
      <c r="Q49" s="174"/>
      <c r="R49" s="174"/>
    </row>
    <row r="50" spans="1:18" ht="21" customHeight="1" x14ac:dyDescent="0.15">
      <c r="A50" s="39" t="str">
        <f t="shared" si="5"/>
        <v>40044010_40044043</v>
      </c>
      <c r="B50" s="167">
        <v>40044010</v>
      </c>
      <c r="C50" s="193">
        <v>40044043</v>
      </c>
      <c r="D50" s="198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「いってえな！クソが！」</v>
      </c>
      <c r="E50" s="198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0" s="193">
        <v>40044049</v>
      </c>
      <c r="G50" s="171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171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171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71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71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71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171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171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171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67"/>
      <c r="Q50" s="167"/>
      <c r="R50" s="167"/>
    </row>
    <row r="51" spans="1:18" ht="21" customHeight="1" x14ac:dyDescent="0.15">
      <c r="A51" s="39" t="str">
        <f t="shared" si="5"/>
        <v>40044010_40044044</v>
      </c>
      <c r="B51" s="47">
        <v>40044010</v>
      </c>
      <c r="C51" s="195">
        <v>40044044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バイオ・プロリフェレーション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全体攻撃+_x000D_解除するまで全ユニットに超強力なウィルス</v>
      </c>
      <c r="F51" s="195">
        <v>40044050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1" s="47"/>
      <c r="Q51" s="47"/>
      <c r="R51" s="47"/>
    </row>
    <row r="52" spans="1:18" ht="21" customHeight="1" x14ac:dyDescent="0.15">
      <c r="A52" s="39" t="str">
        <f t="shared" si="5"/>
        <v>40044010_40044045</v>
      </c>
      <c r="B52" s="47">
        <v>40044010</v>
      </c>
      <c r="C52" s="195">
        <v>40044045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「お前の苦痛の表情最高だぜ！」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自己回復+_x000D_ウィルス状態のユニットに大ダメージ</v>
      </c>
      <c r="F52" s="195">
        <v>40044051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5"/>
        <v>40044010_40044046</v>
      </c>
      <c r="B53" s="47">
        <v>40044010</v>
      </c>
      <c r="C53" s="195">
        <v>40044046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「しばき倒すぞ！」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全体攻撃+_x000D_3ターン全ユニットに攻撃力30%DOWN</v>
      </c>
      <c r="F53" s="195">
        <v>40044052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thickBot="1" x14ac:dyDescent="0.2">
      <c r="A54" s="196" t="str">
        <f t="shared" ref="A54:A117" si="6">B54&amp;"_"&amp;C54</f>
        <v>40044010_40044047</v>
      </c>
      <c r="B54" s="174">
        <v>40044010</v>
      </c>
      <c r="C54" s="194">
        <v>40044047</v>
      </c>
      <c r="D54" s="197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「俺の攻撃はどうだ！？」</v>
      </c>
      <c r="E54" s="197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全体攻撃+_x000D_3ターン全ユニットに回復力30%DOWN</v>
      </c>
      <c r="F54" s="194">
        <v>40044053</v>
      </c>
      <c r="G54" s="17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17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4" s="17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7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7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7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17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4" s="17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17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74"/>
      <c r="Q54" s="174"/>
      <c r="R54" s="174"/>
    </row>
    <row r="55" spans="1:18" ht="21" customHeight="1" x14ac:dyDescent="0.15">
      <c r="A55" s="39" t="str">
        <f t="shared" si="6"/>
        <v>40044011_40044048</v>
      </c>
      <c r="B55" s="167">
        <v>40044011</v>
      </c>
      <c r="C55" s="193">
        <v>40044048</v>
      </c>
      <c r="D55" s="198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『ジキル僕も混ぜてよ…』</v>
      </c>
      <c r="E55" s="198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状態異常耐性+_x000D_赤&amp;青&amp;緑&amp;黄パネルプロテクト</v>
      </c>
      <c r="F55" s="193">
        <v>40044054</v>
      </c>
      <c r="G55" s="171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171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171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71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71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71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71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171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171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67"/>
      <c r="Q55" s="167"/>
      <c r="R55" s="167"/>
    </row>
    <row r="56" spans="1:18" ht="21" customHeight="1" x14ac:dyDescent="0.15">
      <c r="A56" s="39" t="str">
        <f t="shared" si="6"/>
        <v>40044011_40044049</v>
      </c>
      <c r="B56" s="47">
        <v>40044011</v>
      </c>
      <c r="C56" s="195">
        <v>40044049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「うるせえ！引っ込んでろ！」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56" s="195">
        <v>40044055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6" s="47"/>
      <c r="Q56" s="47"/>
      <c r="R56" s="47"/>
    </row>
    <row r="57" spans="1:18" ht="21" customHeight="1" x14ac:dyDescent="0.15">
      <c r="A57" s="39" t="str">
        <f t="shared" si="6"/>
        <v>40044011_40044050</v>
      </c>
      <c r="B57" s="47">
        <v>40044011</v>
      </c>
      <c r="C57" s="195">
        <v>40044050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『ああ！やはりジキルはわかってる』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全体攻撃+_x000D_Cパネルプロテクト(最大6個)</v>
      </c>
      <c r="F57" s="195">
        <v>40044056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6"/>
        <v>40044011_40044051</v>
      </c>
      <c r="B58" s="47">
        <v>40044011</v>
      </c>
      <c r="C58" s="195">
        <v>40044051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「っち、変態が来やがった…」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1ターン全ユニットのアビリティ無効+_x000D_解除するまで全ユニットに強力なウィルス</v>
      </c>
      <c r="F58" s="195">
        <v>40044057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6"/>
        <v>40044011_40044052</v>
      </c>
      <c r="B59" s="47">
        <v>40044011</v>
      </c>
      <c r="C59" s="195">
        <v>40044052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『もっときて！』_x000D_「俺がやるんだよ！」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赤&amp;青パネルプロテクト+_x000D_解除するまでユニット1体に強力なウィルス</v>
      </c>
      <c r="F59" s="195">
        <v>40044058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6"/>
        <v>40044011_40044053</v>
      </c>
      <c r="B60" s="47">
        <v>40044011</v>
      </c>
      <c r="C60" s="195">
        <v>40044053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「俺の獲物だから退いてろ！」_x000D_『酷い！とてもいい人なのに！』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ハートパネルプロテクト+_x000D_ウィルス状態のユニットに大ダメージ</v>
      </c>
      <c r="F60" s="195">
        <v>40044059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6"/>
        <v>40044011_40044054</v>
      </c>
      <c r="B61" s="47">
        <v>40044011</v>
      </c>
      <c r="C61" s="195">
        <v>40044054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デュアルストライク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ランダムでパネルプロテクト(最大20個)+_x000D_1ターン全ユニットのアビリティ無効+_x000D_2ターン全ユニットに超強力なウィルス</v>
      </c>
      <c r="F61" s="195">
        <v>40044060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6"/>
        <v>40044011_40044055</v>
      </c>
      <c r="B62" s="47">
        <v>40044011</v>
      </c>
      <c r="C62" s="195">
        <v>40044055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『ああ、実に気持ち良い…_x000D_ まさにスプラッシュ！！！』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「気味の悪いこといってんじゃねえよ…」</v>
      </c>
      <c r="F62" s="195">
        <v>40044061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6"/>
        <v>40044011_40044056</v>
      </c>
      <c r="B63" s="47">
        <v>40044011</v>
      </c>
      <c r="C63" s="195">
        <v>40044056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『ああ、やはり君の棘は素晴らしい！』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「へんな性癖拗らせやがって…クソが…」</v>
      </c>
      <c r="F63" s="195">
        <v>40044062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1385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6"/>
        <v>40044011_40044056</v>
      </c>
      <c r="B64" s="47">
        <v>40044011</v>
      </c>
      <c r="C64" s="195">
        <v>40044056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『ああ、やはり君の棘は素晴らしい！』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「へんな性癖拗らせやがって…クソが…」</v>
      </c>
      <c r="F64" s="195">
        <v>40044063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1386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6"/>
        <v>40044011_40044057</v>
      </c>
      <c r="B65" s="47">
        <v>40044011</v>
      </c>
      <c r="C65" s="195">
        <v>40044057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『その鋭さ…僕の目に狂いは無かった！！！』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「おい、その槍で刺してやれ…」</v>
      </c>
      <c r="F65" s="195">
        <v>40044064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thickBot="1" x14ac:dyDescent="0.2">
      <c r="A66" s="196" t="str">
        <f t="shared" si="6"/>
        <v>40044011_40044057</v>
      </c>
      <c r="B66" s="174">
        <v>40044011</v>
      </c>
      <c r="C66" s="194">
        <v>40044057</v>
      </c>
      <c r="D66" s="197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『その鋭さ…僕の目に狂いは無かった！！！』</v>
      </c>
      <c r="E66" s="197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「おい、その槍で刺してやれ…」</v>
      </c>
      <c r="F66" s="194">
        <v>40044065</v>
      </c>
      <c r="G66" s="17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17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6" s="17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17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17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17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17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17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66" s="17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174"/>
      <c r="Q66" s="174"/>
      <c r="R66" s="174"/>
    </row>
    <row r="67" spans="1:18" ht="21" customHeight="1" x14ac:dyDescent="0.15">
      <c r="A67" s="39" t="str">
        <f t="shared" si="6"/>
        <v>40044012_40044058</v>
      </c>
      <c r="B67" s="47">
        <v>40044012</v>
      </c>
      <c r="C67" s="165">
        <v>40044058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ウィルスピッチ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67" s="165">
        <v>40044066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6"/>
        <v>40044012_40044059</v>
      </c>
      <c r="B68" s="47">
        <v>40044012</v>
      </c>
      <c r="C68" s="165">
        <v>40044059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ウィルスハント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68" s="165">
        <v>40044067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thickBot="1" x14ac:dyDescent="0.2">
      <c r="A69" s="196" t="str">
        <f t="shared" si="6"/>
        <v>40044012_40044060</v>
      </c>
      <c r="B69" s="174">
        <v>40044012</v>
      </c>
      <c r="C69" s="173">
        <v>40044060</v>
      </c>
      <c r="D69" s="197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ヒーリング</v>
      </c>
      <c r="E69" s="197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チエミを回復</v>
      </c>
      <c r="F69" s="173">
        <v>40044068</v>
      </c>
      <c r="G69" s="17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17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9" s="17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17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17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17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17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9" s="17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17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174"/>
      <c r="Q69" s="174"/>
      <c r="R69" s="174"/>
    </row>
    <row r="70" spans="1:18" ht="21" customHeight="1" x14ac:dyDescent="0.15">
      <c r="A70" s="39" t="str">
        <f t="shared" si="6"/>
        <v>40044013_40044061</v>
      </c>
      <c r="B70" s="167">
        <v>40044013</v>
      </c>
      <c r="C70" s="166">
        <v>40044061</v>
      </c>
      <c r="D70" s="198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あの双子なんなのかしら</v>
      </c>
      <c r="E70" s="198" t="str">
        <f ca="1">VLOOKUP($C70,OFFSET(enemy_skills!$A$1,0,0,COUNTA(enemy_skills!$A:$A),MATCH(E$1,enemy_skills!$1:$1,0)-MATCH("enemy_skill_id",enemy_skills!$1:$1,0)+1),MATCH(E$1,enemy_skills!$1:$1,0)-MATCH("enemy_skill_id",enemy_skills!$1:$1,0)+1,FALSE)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70" s="166">
        <v>40044069</v>
      </c>
      <c r="G70" s="171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171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0" s="171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171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171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171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171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171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171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167"/>
      <c r="Q70" s="167"/>
      <c r="R70" s="167"/>
    </row>
    <row r="71" spans="1:18" ht="21" customHeight="1" x14ac:dyDescent="0.15">
      <c r="A71" s="39" t="str">
        <f t="shared" si="6"/>
        <v>40044013_40044062</v>
      </c>
      <c r="B71" s="167">
        <v>40044013</v>
      </c>
      <c r="C71" s="165">
        <v>40044062</v>
      </c>
      <c r="D71" s="198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どきなさい！</v>
      </c>
      <c r="E71" s="198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1" s="165">
        <v>40044070</v>
      </c>
      <c r="G71" s="171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171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1" s="171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71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171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71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171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171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171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167"/>
      <c r="Q71" s="167"/>
      <c r="R71" s="167"/>
    </row>
    <row r="72" spans="1:18" ht="21" customHeight="1" x14ac:dyDescent="0.15">
      <c r="A72" s="39" t="str">
        <f t="shared" si="6"/>
        <v>40044013_40044063</v>
      </c>
      <c r="B72" s="167">
        <v>40044013</v>
      </c>
      <c r="C72" s="165">
        <v>40044063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このドキドキ、恋かしら☆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ハートパネルプロテクト(最大10個)</v>
      </c>
      <c r="F72" s="165">
        <v>40044071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thickBot="1" x14ac:dyDescent="0.2">
      <c r="A73" s="196" t="str">
        <f t="shared" si="6"/>
        <v>40044013_40044064</v>
      </c>
      <c r="B73" s="174">
        <v>40044013</v>
      </c>
      <c r="C73" s="173">
        <v>40044064</v>
      </c>
      <c r="D73" s="197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はい、プレゼント♪</v>
      </c>
      <c r="E73" s="197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単体攻撃+_x000D_ランダムでパネルプロテクト(最大5個)</v>
      </c>
      <c r="F73" s="173">
        <v>40044072</v>
      </c>
      <c r="G73" s="17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17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3" s="17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17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17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17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17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3" s="17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17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174"/>
      <c r="Q73" s="174"/>
      <c r="R73" s="174"/>
    </row>
    <row r="74" spans="1:18" ht="21" customHeight="1" x14ac:dyDescent="0.15">
      <c r="A74" s="39" t="str">
        <f t="shared" si="6"/>
        <v>40044014_40044065</v>
      </c>
      <c r="B74" s="167">
        <v>40044014</v>
      </c>
      <c r="C74" s="166">
        <v>40044065</v>
      </c>
      <c r="D74" s="198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パネルガード</v>
      </c>
      <c r="E74" s="198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ランダムでパネルプロテクト(最大3個)</v>
      </c>
      <c r="F74" s="166">
        <v>40044073</v>
      </c>
      <c r="G74" s="171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171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4" s="171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171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171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171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171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171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171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167"/>
      <c r="Q74" s="167"/>
      <c r="R74" s="167"/>
    </row>
    <row r="75" spans="1:18" ht="21" customHeight="1" x14ac:dyDescent="0.15">
      <c r="A75" s="39" t="str">
        <f t="shared" si="6"/>
        <v>40044014_40044066</v>
      </c>
      <c r="B75" s="167">
        <v>40044014</v>
      </c>
      <c r="C75" s="165">
        <v>40044066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ウィルスハント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75" s="165">
        <v>40044074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thickBot="1" x14ac:dyDescent="0.2">
      <c r="A76" s="196" t="str">
        <f t="shared" si="6"/>
        <v>40044014_40044067</v>
      </c>
      <c r="B76" s="174">
        <v>40044014</v>
      </c>
      <c r="C76" s="173">
        <v>40044067</v>
      </c>
      <c r="D76" s="197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レッドガード</v>
      </c>
      <c r="E76" s="197" t="str">
        <f ca="1">VLOOKUP($C76,OFFSET(enemy_skills!$A$1,0,0,COUNTA(enemy_skills!$A:$A),MATCH(E$1,enemy_skills!$1:$1,0)-MATCH("enemy_skill_id",enemy_skills!$1:$1,0)+1),MATCH(E$1,enemy_skills!$1:$1,0)-MATCH("enemy_skill_id",enemy_skills!$1:$1,0)+1,FALSE)</f>
        <v>赤パネルプロテクト</v>
      </c>
      <c r="F76" s="173">
        <v>40044075</v>
      </c>
      <c r="G76" s="17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17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6" s="17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17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17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17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17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6" s="17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17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174"/>
      <c r="Q76" s="174"/>
      <c r="R76" s="174"/>
    </row>
    <row r="77" spans="1:18" ht="21" customHeight="1" x14ac:dyDescent="0.15">
      <c r="A77" s="39" t="str">
        <f t="shared" si="6"/>
        <v>40044015_40044068</v>
      </c>
      <c r="B77" s="167">
        <v>40044015</v>
      </c>
      <c r="C77" s="189">
        <v>40044068</v>
      </c>
      <c r="D77" s="198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『その蔑む目…素晴らしい…』</v>
      </c>
      <c r="E77" s="198" t="str">
        <f ca="1">VLOOKUP($C77,OFFSET(enemy_skills!$A$1,0,0,COUNTA(enemy_skills!$A:$A),MATCH(E$1,enemy_skills!$1:$1,0)-MATCH("enemy_skill_id",enemy_skills!$1:$1,0)+1),MATCH(E$1,enemy_skills!$1:$1,0)-MATCH("enemy_skill_id",enemy_skills!$1:$1,0)+1,FALSE)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77" s="189">
        <v>40044076</v>
      </c>
      <c r="G77" s="171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171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7" s="171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171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171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171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171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171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171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167"/>
      <c r="Q77" s="167"/>
      <c r="R77" s="167"/>
    </row>
    <row r="78" spans="1:18" ht="21" customHeight="1" x14ac:dyDescent="0.15">
      <c r="A78" s="39" t="str">
        <f t="shared" si="6"/>
        <v>40044015_40044069</v>
      </c>
      <c r="B78" s="167">
        <v>40044015</v>
      </c>
      <c r="C78" s="189">
        <v>40044069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『その棘で僕を！僕を！』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78" s="189">
        <v>40044077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1385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6"/>
        <v>40044015_40044069</v>
      </c>
      <c r="B79" s="167">
        <v>40044015</v>
      </c>
      <c r="C79" s="189">
        <v>40044069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『その棘で僕を！僕を！』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79" s="189">
        <v>40044078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1386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6"/>
        <v>40044015_40044070</v>
      </c>
      <c r="B80" s="167">
        <v>40044015</v>
      </c>
      <c r="C80" s="189">
        <v>40044070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『実にいい槍だ！_x000D_実に気持ちよさそうだ！！』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80" s="189">
        <v>40044079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6"/>
        <v>40044015_40044070</v>
      </c>
      <c r="B81" s="167">
        <v>40044015</v>
      </c>
      <c r="C81" s="189">
        <v>40044070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『実にいい槍だ！_x000D_実に気持ちよさそうだ！！』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赤パネルドロップ率UP+_x000D_全ユニットの攻撃をカウンター</v>
      </c>
      <c r="F81" s="189">
        <v>40044080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6"/>
        <v>40044015_40044071</v>
      </c>
      <c r="B82" s="167">
        <v>40044015</v>
      </c>
      <c r="C82" s="189">
        <v>40044071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クラッシュ・エクスタシィ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単体攻撃+_x000D_Cパネルプロテクト(最大2個)</v>
      </c>
      <c r="F82" s="189">
        <v>40044081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2" s="47"/>
      <c r="Q82" s="47"/>
      <c r="R82" s="47"/>
    </row>
    <row r="83" spans="1:18" ht="21" customHeight="1" x14ac:dyDescent="0.15">
      <c r="A83" s="39" t="str">
        <f t="shared" si="6"/>
        <v>40044015_40044072</v>
      </c>
      <c r="B83" s="167">
        <v>40044015</v>
      </c>
      <c r="C83" s="189">
        <v>40044072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『それは違うよ！』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単体攻撃+_x000D_ハートパネルプロテクト(最大10個)</v>
      </c>
      <c r="F83" s="189">
        <v>40044082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6"/>
        <v>40044015_40044073</v>
      </c>
      <c r="B84" s="167">
        <v>40044015</v>
      </c>
      <c r="C84" s="189">
        <v>40044073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『紅く…紅く…深い紅を！』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全体攻撃+_x000D_赤パネルプロテクト(最大10個)+_x000D_4ターンボムの爆風を20%DOWN</v>
      </c>
      <c r="F84" s="189">
        <v>40044083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thickBot="1" x14ac:dyDescent="0.2">
      <c r="A85" s="196" t="str">
        <f t="shared" si="6"/>
        <v>40044015_40044074</v>
      </c>
      <c r="B85" s="174">
        <v>40044015</v>
      </c>
      <c r="C85" s="180">
        <v>40044074</v>
      </c>
      <c r="D85" s="197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『君も紅に溺れよう！！』</v>
      </c>
      <c r="E85" s="197" t="str">
        <f ca="1">VLOOKUP($C85,OFFSET(enemy_skills!$A$1,0,0,COUNTA(enemy_skills!$A:$A),MATCH(E$1,enemy_skills!$1:$1,0)-MATCH("enemy_skill_id",enemy_skills!$1:$1,0)+1),MATCH(E$1,enemy_skills!$1:$1,0)-MATCH("enemy_skill_id",enemy_skills!$1:$1,0)+1,FALSE)</f>
        <v>赤パネルプロテクト+_x000D_1ターン全ユニットのアビリティ無効</v>
      </c>
      <c r="F85" s="180">
        <v>40044084</v>
      </c>
      <c r="G85" s="17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17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85" s="17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17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17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17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17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5" s="17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17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174"/>
      <c r="Q85" s="174"/>
      <c r="R85" s="174"/>
    </row>
    <row r="86" spans="1:18" ht="21" customHeight="1" x14ac:dyDescent="0.15">
      <c r="A86" s="39" t="str">
        <f t="shared" si="6"/>
        <v>40044016_40044075</v>
      </c>
      <c r="B86" s="167">
        <v>40044016</v>
      </c>
      <c r="C86" s="189">
        <v>40044075</v>
      </c>
      <c r="D86" s="198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『もっと深い場所へ…！』</v>
      </c>
      <c r="E86" s="198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全パネルプロテクト+_x000D_4ターンタップ回数を1にする+_x000D_全ユニットの攻撃をカウンター</v>
      </c>
      <c r="F86" s="189">
        <v>40044085</v>
      </c>
      <c r="G86" s="171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171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6" s="171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171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171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171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171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171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171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167"/>
      <c r="Q86" s="167"/>
      <c r="R86" s="167"/>
    </row>
    <row r="87" spans="1:18" ht="21" customHeight="1" x14ac:dyDescent="0.15">
      <c r="A87" s="39" t="str">
        <f t="shared" si="6"/>
        <v>40044016_40044076</v>
      </c>
      <c r="B87" s="167">
        <v>40044016</v>
      </c>
      <c r="C87" s="189">
        <v>40044076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『君はこれが好きなの？』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単体攻撃+_x000D_青&amp;緑パネルプロテクト(最大3個ずつ)</v>
      </c>
      <c r="F87" s="189">
        <v>40044086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7" s="47"/>
      <c r="Q87" s="47"/>
      <c r="R87" s="47"/>
    </row>
    <row r="88" spans="1:18" ht="21" customHeight="1" x14ac:dyDescent="0.15">
      <c r="A88" s="39" t="str">
        <f t="shared" si="6"/>
        <v>40044016_40044077</v>
      </c>
      <c r="B88" s="167">
        <v>40044016</v>
      </c>
      <c r="C88" s="189">
        <v>40044077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『そっちが好きなんだね！』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単体攻撃+_x000D_赤&amp;黄パネルプロテクト(最大3個ずつ)</v>
      </c>
      <c r="F88" s="189">
        <v>40044087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6"/>
        <v>40044016_40044078</v>
      </c>
      <c r="B89" s="167">
        <v>40044016</v>
      </c>
      <c r="C89" s="189">
        <v>40044078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『縛り付けるのも…なかなか…』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1ターン全ユニットのアビリティ無効+_x000D_1ターン全ユニットにスキルバインド</v>
      </c>
      <c r="F89" s="189">
        <v>40044088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6"/>
        <v>40044016_40044079</v>
      </c>
      <c r="B90" s="167">
        <v>40044016</v>
      </c>
      <c r="C90" s="189">
        <v>40044079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ランダム・オブ・ザ・エクスタシィ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全体攻撃+_x000D_ランダムでパネルプロテクト(最大12個)</v>
      </c>
      <c r="F90" s="189">
        <v>40044089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6"/>
        <v>40044016_40044080</v>
      </c>
      <c r="B91" s="167">
        <v>40044016</v>
      </c>
      <c r="C91" s="189">
        <v>40044080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『ああ、実にいい…』_x000D_【恍惚の表情で立ち尽くしている】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91" s="189">
        <v>40044090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6"/>
        <v>40044016_40044081</v>
      </c>
      <c r="B92" s="167">
        <v>40044016</v>
      </c>
      <c r="C92" s="189">
        <v>40044081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『もっともっと僕に棘を…』_x000D_【いばら姫は面白がっている】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92" s="189">
        <v>40044091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1385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6"/>
        <v>40044016_40044081</v>
      </c>
      <c r="B93" s="167">
        <v>40044016</v>
      </c>
      <c r="C93" s="189">
        <v>40044081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『もっともっと僕に棘を…』_x000D_【いばら姫は面白がっている】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93" s="189">
        <v>40044092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1386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6"/>
        <v>40044016_40044082</v>
      </c>
      <c r="B94" s="167">
        <v>40044016</v>
      </c>
      <c r="C94" s="188">
        <v>40044082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『やはりその貫通力…実に気持ちいい…』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94" s="189">
        <v>40044093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thickBot="1" x14ac:dyDescent="0.2">
      <c r="A95" s="196" t="str">
        <f t="shared" si="6"/>
        <v>40044016_40044082</v>
      </c>
      <c r="B95" s="174">
        <v>40044016</v>
      </c>
      <c r="C95" s="180">
        <v>40044082</v>
      </c>
      <c r="D95" s="197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『やはりその貫通力…実に気持ちいい…』</v>
      </c>
      <c r="E95" s="197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「おい、そいつじゃねえ！とっとと行くぞ！」_x000D_【ハイドは連れて行かれた】</v>
      </c>
      <c r="F95" s="180">
        <v>40044094</v>
      </c>
      <c r="G95" s="17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17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5" s="17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17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17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17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17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17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95" s="17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174"/>
      <c r="Q95" s="174"/>
      <c r="R95" s="174"/>
    </row>
    <row r="96" spans="1:18" ht="21" customHeight="1" x14ac:dyDescent="0.15">
      <c r="A96" s="39" t="str">
        <f t="shared" si="6"/>
        <v>40044017_40044083</v>
      </c>
      <c r="B96" s="167">
        <v>40044017</v>
      </c>
      <c r="C96" s="190">
        <v>40044083</v>
      </c>
      <c r="D96" s="198" t="str">
        <f ca="1">VLOOKUP($C96,OFFSET(enemy_skills!$A$1,0,0,COUNTA(enemy_skills!$A:$A),MATCH(D$1,enemy_skills!$1:$1,0)-MATCH("enemy_skill_id",enemy_skills!$1:$1,0)+1),MATCH(D$1,enemy_skills!$1:$1,0)-MATCH("enemy_skill_id",enemy_skills!$1:$1,0)+1,FALSE)</f>
        <v>毒気焼却</v>
      </c>
      <c r="E96" s="198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96" s="190">
        <v>40044095</v>
      </c>
      <c r="G96" s="171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171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6" s="171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171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171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171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171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171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171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167"/>
      <c r="Q96" s="167"/>
      <c r="R96" s="167"/>
    </row>
    <row r="97" spans="1:18" ht="21" customHeight="1" thickBot="1" x14ac:dyDescent="0.2">
      <c r="A97" s="196" t="str">
        <f t="shared" si="6"/>
        <v>40044017_40044084</v>
      </c>
      <c r="B97" s="174">
        <v>40044017</v>
      </c>
      <c r="C97" s="191">
        <v>40044084</v>
      </c>
      <c r="D97" s="197" t="str">
        <f ca="1">VLOOKUP($C97,OFFSET(enemy_skills!$A$1,0,0,COUNTA(enemy_skills!$A:$A),MATCH(D$1,enemy_skills!$1:$1,0)-MATCH("enemy_skill_id",enemy_skills!$1:$1,0)+1),MATCH(D$1,enemy_skills!$1:$1,0)-MATCH("enemy_skill_id",enemy_skills!$1:$1,0)+1,FALSE)</f>
        <v>障壁・蒼</v>
      </c>
      <c r="E97" s="197" t="str">
        <f ca="1">VLOOKUP($C97,OFFSET(enemy_skills!$A$1,0,0,COUNTA(enemy_skills!$A:$A),MATCH(E$1,enemy_skills!$1:$1,0)-MATCH("enemy_skill_id",enemy_skills!$1:$1,0)+1),MATCH(E$1,enemy_skills!$1:$1,0)-MATCH("enemy_skill_id",enemy_skills!$1:$1,0)+1,FALSE)</f>
        <v>全体攻撃+_x000D_青パネルプロテクト(最大8個)</v>
      </c>
      <c r="F97" s="191">
        <v>40044096</v>
      </c>
      <c r="G97" s="17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17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7" s="17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17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17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178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17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7" s="17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17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174"/>
      <c r="Q97" s="174"/>
      <c r="R97" s="174"/>
    </row>
    <row r="98" spans="1:18" ht="21" customHeight="1" x14ac:dyDescent="0.15">
      <c r="A98" s="39" t="str">
        <f t="shared" si="6"/>
        <v>40044018_40044085</v>
      </c>
      <c r="B98" s="167">
        <v>40044018</v>
      </c>
      <c r="C98" s="190">
        <v>40044085</v>
      </c>
      <c r="D98" s="198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あの双子なかなかイカしてたわ…</v>
      </c>
      <c r="E98" s="198" t="str">
        <f ca="1">VLOOKUP($C98,OFFSET(enemy_skills!$A$1,0,0,COUNTA(enemy_skills!$A:$A),MATCH(E$1,enemy_skills!$1:$1,0)-MATCH("enemy_skill_id",enemy_skills!$1:$1,0)+1),MATCH(E$1,enemy_skills!$1:$1,0)-MATCH("enemy_skill_id",enemy_skills!$1:$1,0)+1,FALSE)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98" s="190">
        <v>40044097</v>
      </c>
      <c r="G98" s="171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171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8" s="171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171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171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171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171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171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171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167"/>
      <c r="Q98" s="167"/>
      <c r="R98" s="167"/>
    </row>
    <row r="99" spans="1:18" ht="21" customHeight="1" x14ac:dyDescent="0.15">
      <c r="A99" s="39" t="str">
        <f t="shared" si="6"/>
        <v>40044018_40044086</v>
      </c>
      <c r="B99" s="167">
        <v>40044018</v>
      </c>
      <c r="C99" s="190">
        <v>40044086</v>
      </c>
      <c r="D99" s="198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アハハハハッ！_x000D_痛いだろぅ？</v>
      </c>
      <c r="E99" s="198" t="str">
        <f ca="1">VLOOKUP($C99,OFFSET(enemy_skills!$A$1,0,0,COUNTA(enemy_skills!$A:$A),MATCH(E$1,enemy_skills!$1:$1,0)-MATCH("enemy_skill_id",enemy_skills!$1:$1,0)+1),MATCH(E$1,enemy_skills!$1:$1,0)-MATCH("enemy_skill_id",enemy_skills!$1:$1,0)+1,FALSE)</f>
        <v>3ターン全ユニットにウィルス+_x000D_ハートパネルプロテクト(最大8個)</v>
      </c>
      <c r="F99" s="190">
        <v>40044098</v>
      </c>
      <c r="G99" s="171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171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9" s="171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9" s="171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171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171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171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171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171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9" s="167"/>
      <c r="Q99" s="167"/>
      <c r="R99" s="167"/>
    </row>
    <row r="100" spans="1:18" ht="21" customHeight="1" x14ac:dyDescent="0.15">
      <c r="A100" s="39" t="str">
        <f t="shared" si="6"/>
        <v>40044018_40044087</v>
      </c>
      <c r="B100" s="167">
        <v>40044018</v>
      </c>
      <c r="C100" s="190">
        <v>40044087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障壁・緑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クリティカル！+_x000D_緑パネルプロテクト(最大8個)</v>
      </c>
      <c r="F100" s="190">
        <v>40044099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6"/>
        <v>40044018_40044088</v>
      </c>
      <c r="B101" s="167">
        <v>40044018</v>
      </c>
      <c r="C101" s="190">
        <v>40044088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火炎拘束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全体攻撃+_x000D_2ターン全ユニットにスキルバインド</v>
      </c>
      <c r="F101" s="190">
        <v>40044100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thickBot="1" x14ac:dyDescent="0.2">
      <c r="A102" s="196" t="str">
        <f t="shared" si="6"/>
        <v>40044018_40044089</v>
      </c>
      <c r="B102" s="174">
        <v>40044018</v>
      </c>
      <c r="C102" s="191">
        <v>40044089</v>
      </c>
      <c r="D102" s="197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動けないだろう！</v>
      </c>
      <c r="E102" s="197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1ターン自身の行動頻度UP+_x000D_1ターン全ユニットのアビリティ無効</v>
      </c>
      <c r="F102" s="191">
        <v>40044101</v>
      </c>
      <c r="G102" s="17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17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2" s="17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17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17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178" t="str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2" s="17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2" s="17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17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174"/>
      <c r="Q102" s="174"/>
      <c r="R102" s="174"/>
    </row>
    <row r="103" spans="1:18" ht="21" customHeight="1" x14ac:dyDescent="0.15">
      <c r="A103" s="39" t="str">
        <f t="shared" si="6"/>
        <v>40044019_40044090</v>
      </c>
      <c r="B103" s="167">
        <v>40044019</v>
      </c>
      <c r="C103" s="190">
        <v>40044090</v>
      </c>
      <c r="D103" s="198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障壁・黄</v>
      </c>
      <c r="E103" s="198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クリティカル！+_x000D_黄パネルプロテクト(最大5個)</v>
      </c>
      <c r="F103" s="190">
        <v>40044102</v>
      </c>
      <c r="G103" s="171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171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3" s="171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171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171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171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171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171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171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167"/>
      <c r="Q103" s="167"/>
      <c r="R103" s="167"/>
    </row>
    <row r="104" spans="1:18" ht="21" customHeight="1" thickBot="1" x14ac:dyDescent="0.2">
      <c r="A104" s="196" t="str">
        <f t="shared" si="6"/>
        <v>40044019_40044091</v>
      </c>
      <c r="B104" s="174">
        <v>40044019</v>
      </c>
      <c r="C104" s="191">
        <v>40044091</v>
      </c>
      <c r="D104" s="197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障壁・赤</v>
      </c>
      <c r="E104" s="197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全体攻撃+_x000D_赤パネルプロテクト(最大8個)</v>
      </c>
      <c r="F104" s="191">
        <v>40044103</v>
      </c>
      <c r="G104" s="17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17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4" s="17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17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17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178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17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4" s="17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17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174"/>
      <c r="Q104" s="174"/>
      <c r="R104" s="174"/>
    </row>
    <row r="105" spans="1:18" ht="21" customHeight="1" x14ac:dyDescent="0.15">
      <c r="A105" s="39" t="str">
        <f t="shared" si="6"/>
        <v>40044020_40044092</v>
      </c>
      <c r="B105" s="167">
        <v>40044020</v>
      </c>
      <c r="C105" s="193">
        <v>40044092</v>
      </c>
      <c r="D105" s="198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「なんだお前ら！？」_x000D_『ああ、僕をヤってくれるんだね！』</v>
      </c>
      <c r="E105" s="198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状態異常耐性+_x000D_全ての効果を解除+_x000D_赤パネルをプロテクトしてドロップ</v>
      </c>
      <c r="F105" s="193">
        <v>40044104</v>
      </c>
      <c r="G105" s="171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171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05" s="171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171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171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171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171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171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171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167"/>
      <c r="Q105" s="167"/>
      <c r="R105" s="167"/>
    </row>
    <row r="106" spans="1:18" ht="21" customHeight="1" x14ac:dyDescent="0.15">
      <c r="A106" s="39" t="str">
        <f t="shared" si="6"/>
        <v>40044020_40044093</v>
      </c>
      <c r="B106" s="167">
        <v>40044020</v>
      </c>
      <c r="C106" s="193">
        <v>40044093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『ああ、その棘僕の求めてた…』_x000D_「お前の番じゃねえ！」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状態異常耐性+_x000D_全ての効果を解除+_x000D_赤パネルをプロテクトしてドロップ</v>
      </c>
      <c r="F106" s="193">
        <v>40044105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1385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6"/>
        <v>40044020_40044093</v>
      </c>
      <c r="B107" s="167">
        <v>40044020</v>
      </c>
      <c r="C107" s="193">
        <v>40044093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『ああ、その棘僕の求めてた…』_x000D_「お前の番じゃねえ！」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状態異常耐性+_x000D_全ての効果を解除+_x000D_赤パネルをプロテクトしてドロップ</v>
      </c>
      <c r="F107" s="193">
        <v>40044106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1386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6"/>
        <v>40044020_40044094</v>
      </c>
      <c r="B108" s="167">
        <v>40044020</v>
      </c>
      <c r="C108" s="193">
        <v>40044094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『今度こそ僕にその槍を…』_x000D_「黙ってろ、その槍女は俺がやる！」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状態異常耐性+_x000D_全ての効果を解除+_x000D_赤パネルをプロテクトしてドロップ</v>
      </c>
      <c r="F108" s="193">
        <v>40044107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6"/>
        <v>40044020_40044094</v>
      </c>
      <c r="B109" s="167">
        <v>40044020</v>
      </c>
      <c r="C109" s="193">
        <v>40044094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『今度こそ僕にその槍を…』_x000D_「黙ってろ、その槍女は俺がやる！」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状態異常耐性+_x000D_全ての効果を解除+_x000D_赤パネルをプロテクトしてドロップ</v>
      </c>
      <c r="F109" s="193">
        <v>40044108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6"/>
        <v>40044020_40044095</v>
      </c>
      <c r="B110" s="167">
        <v>40044020</v>
      </c>
      <c r="C110" s="193">
        <v>40044095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ブラッド・ドレイン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クリティカル！+自己回復</v>
      </c>
      <c r="F110" s="193">
        <v>40044109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0" s="47"/>
      <c r="Q110" s="47"/>
      <c r="R110" s="47"/>
    </row>
    <row r="111" spans="1:18" ht="21" customHeight="1" x14ac:dyDescent="0.15">
      <c r="A111" s="39" t="str">
        <f t="shared" si="6"/>
        <v>40044020_40044096</v>
      </c>
      <c r="B111" s="167">
        <v>40044020</v>
      </c>
      <c r="C111" s="193">
        <v>40044096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「ばらまいてやる！」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全体攻撃+_x000D_2ターン全ユニットに強力なウィルス</v>
      </c>
      <c r="F111" s="193">
        <v>40044110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6"/>
        <v>40044020_40044097</v>
      </c>
      <c r="B112" s="167">
        <v>40044020</v>
      </c>
      <c r="C112" s="193">
        <v>40044097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「苦しみやがれ！」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1ターン全ユニットのアビリティ無効+_x000D_解除するまで全ユニットに強力なウィルス+_x000D_4ターン全ユニットの回復力50%DOWN</v>
      </c>
      <c r="F112" s="193">
        <v>40044111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6"/>
        <v>40044020_40044098</v>
      </c>
      <c r="B113" s="167">
        <v>40044020</v>
      </c>
      <c r="C113" s="193">
        <v>40044098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オールエクスパーメント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全体攻撃+_x000D_1ターン全ユニットにスキルバインド</v>
      </c>
      <c r="F113" s="193">
        <v>40044112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 t="str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3" s="48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thickBot="1" x14ac:dyDescent="0.2">
      <c r="A114" s="196" t="str">
        <f t="shared" si="6"/>
        <v>40044020_40044099</v>
      </c>
      <c r="B114" s="174">
        <v>40044020</v>
      </c>
      <c r="C114" s="194">
        <v>40044099</v>
      </c>
      <c r="D114" s="197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「ヒャヒャ！おもしれえな！」</v>
      </c>
      <c r="E114" s="197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2回連続攻撃+_x000D_3ターンユニット2体に強力なウィルス</v>
      </c>
      <c r="F114" s="194">
        <v>40044113</v>
      </c>
      <c r="G114" s="17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17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4" s="17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17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17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178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17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4" s="17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17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174"/>
      <c r="Q114" s="174"/>
      <c r="R114" s="174"/>
    </row>
    <row r="115" spans="1:18" ht="21" customHeight="1" x14ac:dyDescent="0.15">
      <c r="A115" s="39" t="str">
        <f t="shared" si="6"/>
        <v>40044021_40044100</v>
      </c>
      <c r="B115" s="167">
        <v>40044021</v>
      </c>
      <c r="C115" s="193">
        <v>40044100</v>
      </c>
      <c r="D115" s="198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「いってえな！クソが！」</v>
      </c>
      <c r="E115" s="198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5" s="193">
        <v>40044114</v>
      </c>
      <c r="G115" s="171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171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5" s="171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171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171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171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171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171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171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167"/>
      <c r="Q115" s="167"/>
      <c r="R115" s="167"/>
    </row>
    <row r="116" spans="1:18" ht="21" customHeight="1" x14ac:dyDescent="0.15">
      <c r="A116" s="39" t="str">
        <f t="shared" si="6"/>
        <v>40044021_40044101</v>
      </c>
      <c r="B116" s="167">
        <v>40044021</v>
      </c>
      <c r="C116" s="193">
        <v>40044101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バイオ・プロリフェレーション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全体攻撃+2ターン全ユニットにウィルス</v>
      </c>
      <c r="F116" s="193">
        <v>40044115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 t="str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6" s="47"/>
      <c r="Q116" s="47"/>
      <c r="R116" s="47"/>
    </row>
    <row r="117" spans="1:18" ht="21" customHeight="1" x14ac:dyDescent="0.15">
      <c r="A117" s="39" t="str">
        <f t="shared" si="6"/>
        <v>40044021_40044102</v>
      </c>
      <c r="B117" s="167">
        <v>40044021</v>
      </c>
      <c r="C117" s="193">
        <v>40044102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「お前の苦痛の表情最高だぜ！」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自己回復+_x000D_ウィルス状態のユニットに大ダメージ</v>
      </c>
      <c r="F117" s="193">
        <v>40044116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 t="str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ref="A118:A131" si="7">B118&amp;"_"&amp;C118</f>
        <v>40044021_40044103</v>
      </c>
      <c r="B118" s="167">
        <v>40044021</v>
      </c>
      <c r="C118" s="193">
        <v>40044103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「しばき倒すぞ！」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全体攻撃+_x000D_2ターン全ユニットに攻撃力30%DOWN</v>
      </c>
      <c r="F118" s="193">
        <v>40044117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 t="str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8" s="48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8" s="48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thickBot="1" x14ac:dyDescent="0.2">
      <c r="A119" s="196" t="str">
        <f t="shared" si="7"/>
        <v>40044021_40044104</v>
      </c>
      <c r="B119" s="174">
        <v>40044021</v>
      </c>
      <c r="C119" s="194">
        <v>40044104</v>
      </c>
      <c r="D119" s="197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「俺の攻撃はどうだ！？」</v>
      </c>
      <c r="E119" s="197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全体攻撃+_x000D_2ターン全ユニットに回復力30%DOWN</v>
      </c>
      <c r="F119" s="194">
        <v>40044118</v>
      </c>
      <c r="G119" s="17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17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9" s="17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17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17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178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178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9" s="178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17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174"/>
      <c r="Q119" s="174"/>
      <c r="R119" s="174"/>
    </row>
    <row r="120" spans="1:18" ht="21" customHeight="1" x14ac:dyDescent="0.15">
      <c r="A120" s="39" t="str">
        <f t="shared" si="7"/>
        <v>40044022_40044105</v>
      </c>
      <c r="B120" s="167">
        <v>40044022</v>
      </c>
      <c r="C120" s="193">
        <v>40044105</v>
      </c>
      <c r="D120" s="198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『ジキル僕も混ぜてよ…』</v>
      </c>
      <c r="E120" s="198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状態異常耐性+_x000D_赤&amp;青&amp;緑&amp;黄パネルプロテクト</v>
      </c>
      <c r="F120" s="193">
        <v>40044119</v>
      </c>
      <c r="G120" s="171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171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0" s="171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171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171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171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171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171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171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167"/>
      <c r="Q120" s="167"/>
      <c r="R120" s="167"/>
    </row>
    <row r="121" spans="1:18" ht="21" customHeight="1" x14ac:dyDescent="0.15">
      <c r="A121" s="39" t="str">
        <f t="shared" si="7"/>
        <v>40044022_40044106</v>
      </c>
      <c r="B121" s="167">
        <v>40044022</v>
      </c>
      <c r="C121" s="193">
        <v>40044106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「うるせえ！引っ込んでろ！」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121" s="193">
        <v>40044120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 t="str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1" s="47"/>
      <c r="Q121" s="47"/>
      <c r="R121" s="47"/>
    </row>
    <row r="122" spans="1:18" ht="21" customHeight="1" x14ac:dyDescent="0.15">
      <c r="A122" s="39" t="str">
        <f t="shared" si="7"/>
        <v>40044022_40044107</v>
      </c>
      <c r="B122" s="167">
        <v>40044022</v>
      </c>
      <c r="C122" s="193">
        <v>40044107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『ああ！やはりジキルはわかってる』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全体攻撃+_x000D_Cパネルプロテクト(最大6個)</v>
      </c>
      <c r="F122" s="193">
        <v>40044121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48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7"/>
        <v>40044022_40044108</v>
      </c>
      <c r="B123" s="167">
        <v>40044022</v>
      </c>
      <c r="C123" s="193">
        <v>40044108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「っち、変態が来やがった…」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1ターン全ユニットのアビリティ無効+_x000D_解除するまで全ユニットに超強力なウィルス</v>
      </c>
      <c r="F123" s="193">
        <v>40044122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7"/>
        <v>40044022_40044109</v>
      </c>
      <c r="B124" s="167">
        <v>40044022</v>
      </c>
      <c r="C124" s="193">
        <v>40044109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『もっときて！』_x000D_「俺がやるんだよ！」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赤&amp;青パネルプロテクト(最大8個ずつ)+_x000D_２ターンユニット1体に超強力なウィルス</v>
      </c>
      <c r="F124" s="193">
        <v>40044123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 t="str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7"/>
        <v>40044022_40044110</v>
      </c>
      <c r="B125" s="167">
        <v>40044022</v>
      </c>
      <c r="C125" s="193">
        <v>40044110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「俺の獲物だから退いてろ！」_x000D_『酷い！とてもいい人なのに！』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ハートパネルプロテクト+_x000D_ウィルス状態のユニットに大ダメージ</v>
      </c>
      <c r="F125" s="193">
        <v>40044124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 t="str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5" s="48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5" s="48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7"/>
        <v>40044022_40044111</v>
      </c>
      <c r="B126" s="167">
        <v>40044022</v>
      </c>
      <c r="C126" s="193">
        <v>40044111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デュアルストライク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ランダムでパネルプロテクト(最大20個)+_x000D_1ターン全ユニットのアビリティ無効+_x000D_2ターン全ユニットに強力なウィルス</v>
      </c>
      <c r="F126" s="193">
        <v>40044125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48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7"/>
        <v>40044022_40044112</v>
      </c>
      <c r="B127" s="167">
        <v>40044022</v>
      </c>
      <c r="C127" s="193">
        <v>40044112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『ああ、実に気持ち良い…_x000D_ まさにスプラッシュ！！！』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「気味の悪いこといってんじゃねえよ…」</v>
      </c>
      <c r="F127" s="193">
        <v>40044126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8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8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7"/>
        <v>40044022_40044113</v>
      </c>
      <c r="B128" s="167">
        <v>40044022</v>
      </c>
      <c r="C128" s="193">
        <v>40044113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『ああ、やはり君の棘は素晴らしい！』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「へんな性癖拗らせやがって…クソが…」</v>
      </c>
      <c r="F128" s="193">
        <v>40044127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8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8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1385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7"/>
        <v>40044022_40044113</v>
      </c>
      <c r="B129" s="167">
        <v>40044022</v>
      </c>
      <c r="C129" s="193">
        <v>40044113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『ああ、やはり君の棘は素晴らしい！』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「へんな性癖拗らせやがって…クソが…」</v>
      </c>
      <c r="F129" s="193">
        <v>40044128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1386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7"/>
        <v>40044022_40044114</v>
      </c>
      <c r="B130" s="167">
        <v>40044022</v>
      </c>
      <c r="C130" s="195">
        <v>40044114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『その鋭さ…僕の目に狂いは無かった！！！』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「おい、その槍で刺してやれ…」</v>
      </c>
      <c r="F130" s="193">
        <v>40044129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1379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thickBot="1" x14ac:dyDescent="0.2">
      <c r="A131" s="196" t="str">
        <f t="shared" si="7"/>
        <v>40044022_40044114</v>
      </c>
      <c r="B131" s="174">
        <v>40044022</v>
      </c>
      <c r="C131" s="194">
        <v>40044114</v>
      </c>
      <c r="D131" s="197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『その鋭さ…僕の目に狂いは無かった！！！』</v>
      </c>
      <c r="E131" s="197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「おい、その槍で刺してやれ…」</v>
      </c>
      <c r="F131" s="194">
        <v>40044130</v>
      </c>
      <c r="G131" s="17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17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31" s="17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17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17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17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17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17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1380</v>
      </c>
      <c r="O131" s="17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174"/>
      <c r="Q131" s="174"/>
      <c r="R131" s="174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opLeftCell="C1" workbookViewId="0">
      <selection activeCell="G12" sqref="G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v>40044</v>
      </c>
      <c r="B2" s="57">
        <v>2</v>
      </c>
      <c r="C2" s="71" t="str">
        <f t="shared" ref="C2:C18" si="0">A2&amp; "_"&amp;B2</f>
        <v>40044_2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372</v>
      </c>
      <c r="G2" s="57">
        <v>1375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500</v>
      </c>
      <c r="Q2" s="57" t="s">
        <v>169</v>
      </c>
      <c r="R2" s="57" t="s">
        <v>170</v>
      </c>
    </row>
    <row r="3" spans="1:18" x14ac:dyDescent="0.15">
      <c r="A3" s="57">
        <v>40044</v>
      </c>
      <c r="B3" s="57">
        <v>2</v>
      </c>
      <c r="C3" s="71" t="str">
        <f t="shared" si="0"/>
        <v>40044_2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372</v>
      </c>
      <c r="G3" s="57">
        <v>334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50</v>
      </c>
      <c r="Q3" s="57" t="s">
        <v>169</v>
      </c>
      <c r="R3" s="57" t="s">
        <v>170</v>
      </c>
    </row>
    <row r="4" spans="1:18" x14ac:dyDescent="0.15">
      <c r="A4" s="57">
        <v>40044</v>
      </c>
      <c r="B4" s="57">
        <v>2</v>
      </c>
      <c r="C4" s="71" t="str">
        <f t="shared" si="0"/>
        <v>40044_2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372</v>
      </c>
      <c r="G4" s="57">
        <v>348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120</v>
      </c>
      <c r="Q4" s="57" t="s">
        <v>169</v>
      </c>
      <c r="R4" s="57" t="s">
        <v>170</v>
      </c>
    </row>
    <row r="5" spans="1:18" x14ac:dyDescent="0.15">
      <c r="A5" s="57">
        <v>40044</v>
      </c>
      <c r="B5" s="57">
        <v>2</v>
      </c>
      <c r="C5" s="71" t="str">
        <f t="shared" si="0"/>
        <v>40044_2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372</v>
      </c>
      <c r="G5" s="57">
        <v>607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100</v>
      </c>
      <c r="Q5" s="57" t="s">
        <v>169</v>
      </c>
      <c r="R5" s="57" t="s">
        <v>170</v>
      </c>
    </row>
    <row r="6" spans="1:18" x14ac:dyDescent="0.15">
      <c r="A6" s="57">
        <v>40044</v>
      </c>
      <c r="B6" s="57">
        <v>2</v>
      </c>
      <c r="C6" s="71" t="str">
        <f t="shared" si="0"/>
        <v>40044_2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372</v>
      </c>
      <c r="G6" s="57">
        <v>608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169</v>
      </c>
      <c r="R6" s="57" t="s">
        <v>170</v>
      </c>
    </row>
    <row r="7" spans="1:18" x14ac:dyDescent="0.15">
      <c r="A7" s="57">
        <v>40044</v>
      </c>
      <c r="B7" s="57">
        <v>2</v>
      </c>
      <c r="C7" s="71" t="str">
        <f t="shared" si="0"/>
        <v>40044_2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372</v>
      </c>
      <c r="G7" s="57">
        <v>609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169</v>
      </c>
      <c r="R7" s="57" t="s">
        <v>170</v>
      </c>
    </row>
    <row r="8" spans="1:18" ht="16" thickBot="1" x14ac:dyDescent="0.2">
      <c r="A8" s="226">
        <v>40044</v>
      </c>
      <c r="B8" s="226">
        <v>2</v>
      </c>
      <c r="C8" s="228" t="str">
        <f t="shared" si="0"/>
        <v>40044_2</v>
      </c>
      <c r="D8" s="229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26">
        <v>7</v>
      </c>
      <c r="F8" s="226" t="s">
        <v>372</v>
      </c>
      <c r="G8" s="226">
        <v>125</v>
      </c>
      <c r="H8" s="226">
        <v>1</v>
      </c>
      <c r="I8" s="226">
        <v>1</v>
      </c>
      <c r="J8" s="226">
        <v>1</v>
      </c>
      <c r="K8" s="226">
        <v>0</v>
      </c>
      <c r="L8" s="226">
        <v>0</v>
      </c>
      <c r="M8" s="226">
        <v>0</v>
      </c>
      <c r="N8" s="226">
        <v>0</v>
      </c>
      <c r="O8" s="226">
        <v>1</v>
      </c>
      <c r="P8" s="226">
        <v>30</v>
      </c>
      <c r="Q8" s="226" t="s">
        <v>169</v>
      </c>
      <c r="R8" s="226" t="s">
        <v>170</v>
      </c>
    </row>
    <row r="9" spans="1:18" x14ac:dyDescent="0.15">
      <c r="A9" s="216">
        <v>40044</v>
      </c>
      <c r="B9" s="216">
        <v>1</v>
      </c>
      <c r="C9" s="227" t="str">
        <f t="shared" si="0"/>
        <v>40044_1</v>
      </c>
      <c r="D9" s="20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16">
        <v>8</v>
      </c>
      <c r="F9" s="216" t="s">
        <v>168</v>
      </c>
      <c r="G9" s="216">
        <v>40000</v>
      </c>
      <c r="H9" s="216" t="s">
        <v>53</v>
      </c>
      <c r="I9" s="216">
        <v>1</v>
      </c>
      <c r="J9" s="216">
        <v>1</v>
      </c>
      <c r="K9" s="216">
        <v>0</v>
      </c>
      <c r="L9" s="216">
        <v>0</v>
      </c>
      <c r="M9" s="216">
        <v>0</v>
      </c>
      <c r="N9" s="216">
        <v>0</v>
      </c>
      <c r="O9" s="216">
        <v>1</v>
      </c>
      <c r="P9" s="216">
        <v>150</v>
      </c>
      <c r="Q9" s="216" t="s">
        <v>169</v>
      </c>
      <c r="R9" s="216" t="s">
        <v>170</v>
      </c>
    </row>
    <row r="10" spans="1:18" x14ac:dyDescent="0.15">
      <c r="A10" s="57">
        <v>40044</v>
      </c>
      <c r="B10" s="57">
        <v>1</v>
      </c>
      <c r="C10" s="71" t="str">
        <f t="shared" si="0"/>
        <v>40044_1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373</v>
      </c>
      <c r="G10" s="57">
        <v>30</v>
      </c>
      <c r="H10" s="57" t="s">
        <v>53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150</v>
      </c>
      <c r="Q10" s="57" t="s">
        <v>169</v>
      </c>
      <c r="R10" s="57" t="s">
        <v>170</v>
      </c>
    </row>
    <row r="11" spans="1:18" x14ac:dyDescent="0.15">
      <c r="A11" s="57">
        <v>40044</v>
      </c>
      <c r="B11" s="57">
        <v>1</v>
      </c>
      <c r="C11" s="71" t="str">
        <f t="shared" si="0"/>
        <v>40044_1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372</v>
      </c>
      <c r="G11" s="57">
        <v>1375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100</v>
      </c>
      <c r="Q11" s="57" t="s">
        <v>169</v>
      </c>
      <c r="R11" s="57" t="s">
        <v>170</v>
      </c>
    </row>
    <row r="12" spans="1:18" x14ac:dyDescent="0.15">
      <c r="A12" s="57">
        <v>40044</v>
      </c>
      <c r="B12" s="57">
        <v>1</v>
      </c>
      <c r="C12" s="71" t="str">
        <f t="shared" si="0"/>
        <v>40044_1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372</v>
      </c>
      <c r="G12" s="57">
        <v>333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28</v>
      </c>
      <c r="Q12" s="57" t="s">
        <v>169</v>
      </c>
      <c r="R12" s="57" t="s">
        <v>170</v>
      </c>
    </row>
    <row r="13" spans="1:18" x14ac:dyDescent="0.15">
      <c r="A13" s="57">
        <v>40044</v>
      </c>
      <c r="B13" s="57">
        <v>1</v>
      </c>
      <c r="C13" s="71" t="str">
        <f t="shared" si="0"/>
        <v>40044_1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372</v>
      </c>
      <c r="G13" s="57">
        <v>334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112</v>
      </c>
      <c r="Q13" s="57" t="s">
        <v>169</v>
      </c>
      <c r="R13" s="57" t="s">
        <v>170</v>
      </c>
    </row>
    <row r="14" spans="1:18" x14ac:dyDescent="0.15">
      <c r="A14" s="57">
        <v>40044</v>
      </c>
      <c r="B14" s="57">
        <v>1</v>
      </c>
      <c r="C14" s="71" t="str">
        <f t="shared" si="0"/>
        <v>40044_1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372</v>
      </c>
      <c r="G14" s="57">
        <v>348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150</v>
      </c>
      <c r="Q14" s="57" t="s">
        <v>169</v>
      </c>
      <c r="R14" s="57" t="s">
        <v>170</v>
      </c>
    </row>
    <row r="15" spans="1:18" x14ac:dyDescent="0.15">
      <c r="A15" s="57">
        <v>40044</v>
      </c>
      <c r="B15" s="57">
        <v>1</v>
      </c>
      <c r="C15" s="71" t="str">
        <f t="shared" si="0"/>
        <v>40044_1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372</v>
      </c>
      <c r="G15" s="57">
        <v>121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169</v>
      </c>
      <c r="R15" s="57" t="s">
        <v>170</v>
      </c>
    </row>
    <row r="16" spans="1:18" x14ac:dyDescent="0.15">
      <c r="A16" s="57">
        <v>40044</v>
      </c>
      <c r="B16" s="216">
        <v>1</v>
      </c>
      <c r="C16" s="71" t="str">
        <f t="shared" si="0"/>
        <v>40044_1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216" t="s">
        <v>372</v>
      </c>
      <c r="G16" s="216">
        <v>122</v>
      </c>
      <c r="H16" s="216">
        <v>1</v>
      </c>
      <c r="I16" s="216">
        <v>1</v>
      </c>
      <c r="J16" s="216">
        <v>1</v>
      </c>
      <c r="K16" s="216">
        <v>0</v>
      </c>
      <c r="L16" s="216">
        <v>0</v>
      </c>
      <c r="M16" s="216">
        <v>0</v>
      </c>
      <c r="N16" s="216">
        <v>0</v>
      </c>
      <c r="O16" s="216">
        <v>1</v>
      </c>
      <c r="P16" s="216">
        <v>100</v>
      </c>
      <c r="Q16" s="57" t="s">
        <v>169</v>
      </c>
      <c r="R16" s="57" t="s">
        <v>170</v>
      </c>
    </row>
    <row r="17" spans="1:18" x14ac:dyDescent="0.15">
      <c r="A17" s="57">
        <v>40044</v>
      </c>
      <c r="B17" s="57">
        <v>1</v>
      </c>
      <c r="C17" s="71" t="str">
        <f t="shared" si="0"/>
        <v>40044_1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372</v>
      </c>
      <c r="G17" s="57">
        <v>123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100</v>
      </c>
      <c r="Q17" s="57" t="s">
        <v>169</v>
      </c>
      <c r="R17" s="57" t="s">
        <v>170</v>
      </c>
    </row>
    <row r="18" spans="1:18" ht="16" thickBot="1" x14ac:dyDescent="0.2">
      <c r="A18" s="226">
        <v>40044</v>
      </c>
      <c r="B18" s="226">
        <v>1</v>
      </c>
      <c r="C18" s="228" t="str">
        <f t="shared" si="0"/>
        <v>40044_1</v>
      </c>
      <c r="D18" s="229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26">
        <v>17</v>
      </c>
      <c r="F18" s="226" t="s">
        <v>372</v>
      </c>
      <c r="G18" s="226">
        <v>125</v>
      </c>
      <c r="H18" s="226">
        <v>1</v>
      </c>
      <c r="I18" s="226">
        <v>1</v>
      </c>
      <c r="J18" s="226">
        <v>1</v>
      </c>
      <c r="K18" s="226">
        <v>0</v>
      </c>
      <c r="L18" s="226">
        <v>0</v>
      </c>
      <c r="M18" s="226">
        <v>0</v>
      </c>
      <c r="N18" s="226">
        <v>0</v>
      </c>
      <c r="O18" s="226">
        <v>1</v>
      </c>
      <c r="P18" s="226">
        <v>10</v>
      </c>
      <c r="Q18" s="226" t="s">
        <v>169</v>
      </c>
      <c r="R18" s="226" t="s">
        <v>170</v>
      </c>
    </row>
  </sheetData>
  <phoneticPr fontId="5"/>
  <dataValidations disablePrompts="1"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97" activePane="bottomLeft" state="frozen"/>
      <selection pane="bottomLeft" activeCell="A2" sqref="A2:XFD134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126</v>
      </c>
      <c r="K1" s="78" t="s">
        <v>186</v>
      </c>
      <c r="L1" s="92" t="s">
        <v>185</v>
      </c>
      <c r="M1" s="80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3"/>
  <sheetViews>
    <sheetView showGridLines="0" workbookViewId="0">
      <pane ySplit="1" topLeftCell="A7" activePane="bottomLeft" state="frozen"/>
      <selection pane="bottomLeft" activeCell="M10" sqref="M10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3" t="s">
        <v>150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126</v>
      </c>
      <c r="L1" s="78" t="s">
        <v>186</v>
      </c>
      <c r="M1" s="92" t="s">
        <v>185</v>
      </c>
      <c r="N1" s="80" t="s">
        <v>195</v>
      </c>
    </row>
    <row r="2" spans="1:14" ht="56" x14ac:dyDescent="0.15">
      <c r="A2" s="81" t="s">
        <v>196</v>
      </c>
      <c r="B2" s="82">
        <f>floors!$C$2</f>
        <v>40044</v>
      </c>
      <c r="C2" s="83" t="str">
        <f ca="1">VLOOKUP($B2,OFFSET([2]quests!$A$1,0,0,COUNTA([2]quests!$A:$A),MATCH(C$1,[2]quests!$1:$1,0)-MATCH($B$1,[2]quests!$1:$1,0)+1),MATCH(C$1,[2]quests!$1:$1,0)-MATCH($B$1,[2]quests!$1:$1,0)+1,FALSE)</f>
        <v>ジキル&amp;ハイド襲来！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降臨44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降臨44</v>
      </c>
      <c r="H2" s="85">
        <v>1</v>
      </c>
      <c r="I2" s="90">
        <f t="shared" ref="I2:I23" si="0">ROW()-1</f>
        <v>1</v>
      </c>
      <c r="J2" s="86" t="str">
        <f t="shared" ref="J2:J23" si="1">B2&amp;TEXT(I2,"00")</f>
        <v>4004401</v>
      </c>
      <c r="K2" s="84" t="s">
        <v>197</v>
      </c>
      <c r="L2" s="87" t="s">
        <v>253</v>
      </c>
      <c r="M2" s="210" t="s">
        <v>367</v>
      </c>
      <c r="N2" s="57" t="s">
        <v>198</v>
      </c>
    </row>
    <row r="3" spans="1:14" ht="70" x14ac:dyDescent="0.15">
      <c r="A3" s="81" t="s">
        <v>196</v>
      </c>
      <c r="B3" s="82">
        <f>floors!$C$2</f>
        <v>40044</v>
      </c>
      <c r="C3" s="83" t="str">
        <f ca="1">VLOOKUP($B3,OFFSET([2]quests!$A$1,0,0,COUNTA([2]quests!$A:$A),MATCH(C$1,[2]quests!$1:$1,0)-MATCH($B$1,[2]quests!$1:$1,0)+1),MATCH(C$1,[2]quests!$1:$1,0)-MATCH($B$1,[2]quests!$1:$1,0)+1,FALSE)</f>
        <v>ジキル&amp;ハイド襲来！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降臨44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降臨44</v>
      </c>
      <c r="H3" s="85">
        <v>2</v>
      </c>
      <c r="I3" s="90">
        <f t="shared" si="0"/>
        <v>2</v>
      </c>
      <c r="J3" s="86" t="str">
        <f t="shared" si="1"/>
        <v>4004402</v>
      </c>
      <c r="K3" s="84" t="s">
        <v>197</v>
      </c>
      <c r="L3" s="87" t="s">
        <v>253</v>
      </c>
      <c r="M3" s="210" t="s">
        <v>422</v>
      </c>
      <c r="N3" s="57" t="s">
        <v>198</v>
      </c>
    </row>
    <row r="4" spans="1:14" ht="70" x14ac:dyDescent="0.15">
      <c r="A4" s="81" t="s">
        <v>196</v>
      </c>
      <c r="B4" s="82">
        <f>floors!$C$2</f>
        <v>40044</v>
      </c>
      <c r="C4" s="83" t="str">
        <f ca="1">VLOOKUP($B4,OFFSET([2]quests!$A$1,0,0,COUNTA([2]quests!$A:$A),MATCH(C$1,[2]quests!$1:$1,0)-MATCH($B$1,[2]quests!$1:$1,0)+1),MATCH(C$1,[2]quests!$1:$1,0)-MATCH($B$1,[2]quests!$1:$1,0)+1,FALSE)</f>
        <v>ジキル&amp;ハイド襲来！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降臨44</v>
      </c>
      <c r="E4" s="84">
        <v>2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降臨44</v>
      </c>
      <c r="H4" s="85">
        <v>2</v>
      </c>
      <c r="I4" s="90">
        <f t="shared" si="0"/>
        <v>3</v>
      </c>
      <c r="J4" s="86" t="str">
        <f t="shared" si="1"/>
        <v>4004403</v>
      </c>
      <c r="K4" s="84" t="s">
        <v>197</v>
      </c>
      <c r="L4" s="87" t="s">
        <v>253</v>
      </c>
      <c r="M4" s="210" t="s">
        <v>418</v>
      </c>
      <c r="N4" s="57" t="s">
        <v>198</v>
      </c>
    </row>
    <row r="5" spans="1:14" ht="70" x14ac:dyDescent="0.15">
      <c r="A5" s="81" t="s">
        <v>196</v>
      </c>
      <c r="B5" s="82">
        <f>floors!$C$2</f>
        <v>40044</v>
      </c>
      <c r="C5" s="83" t="str">
        <f ca="1">VLOOKUP($B5,OFFSET([2]quests!$A$1,0,0,COUNTA([2]quests!$A:$A),MATCH(C$1,[2]quests!$1:$1,0)-MATCH($B$1,[2]quests!$1:$1,0)+1),MATCH(C$1,[2]quests!$1:$1,0)-MATCH($B$1,[2]quests!$1:$1,0)+1,FALSE)</f>
        <v>ジキル&amp;ハイド襲来！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降臨44</v>
      </c>
      <c r="E5" s="84">
        <v>2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降臨44</v>
      </c>
      <c r="H5" s="85">
        <v>3</v>
      </c>
      <c r="I5" s="90">
        <f t="shared" si="0"/>
        <v>4</v>
      </c>
      <c r="J5" s="86" t="str">
        <f t="shared" si="1"/>
        <v>4004404</v>
      </c>
      <c r="K5" s="84" t="s">
        <v>197</v>
      </c>
      <c r="L5" s="87" t="s">
        <v>253</v>
      </c>
      <c r="M5" s="210" t="s">
        <v>368</v>
      </c>
      <c r="N5" s="57" t="s">
        <v>198</v>
      </c>
    </row>
    <row r="6" spans="1:14" ht="70" x14ac:dyDescent="0.15">
      <c r="A6" s="81" t="s">
        <v>196</v>
      </c>
      <c r="B6" s="82">
        <f>floors!$C$2</f>
        <v>40044</v>
      </c>
      <c r="C6" s="83" t="str">
        <f ca="1">VLOOKUP($B6,OFFSET([2]quests!$A$1,0,0,COUNTA([2]quests!$A:$A),MATCH(C$1,[2]quests!$1:$1,0)-MATCH($B$1,[2]quests!$1:$1,0)+1),MATCH(C$1,[2]quests!$1:$1,0)-MATCH($B$1,[2]quests!$1:$1,0)+1,FALSE)</f>
        <v>ジキル&amp;ハイド襲来！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降臨44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降臨44</v>
      </c>
      <c r="H6" s="85">
        <v>4</v>
      </c>
      <c r="I6" s="90">
        <f t="shared" si="0"/>
        <v>5</v>
      </c>
      <c r="J6" s="86" t="str">
        <f t="shared" si="1"/>
        <v>4004405</v>
      </c>
      <c r="K6" s="84" t="s">
        <v>197</v>
      </c>
      <c r="L6" s="87" t="s">
        <v>253</v>
      </c>
      <c r="M6" s="210" t="s">
        <v>419</v>
      </c>
      <c r="N6" s="57" t="s">
        <v>198</v>
      </c>
    </row>
    <row r="7" spans="1:14" ht="70" x14ac:dyDescent="0.15">
      <c r="A7" s="81" t="s">
        <v>196</v>
      </c>
      <c r="B7" s="82">
        <f>floors!$C$2</f>
        <v>40044</v>
      </c>
      <c r="C7" s="83" t="str">
        <f ca="1">VLOOKUP($B7,OFFSET([2]quests!$A$1,0,0,COUNTA([2]quests!$A:$A),MATCH(C$1,[2]quests!$1:$1,0)-MATCH($B$1,[2]quests!$1:$1,0)+1),MATCH(C$1,[2]quests!$1:$1,0)-MATCH($B$1,[2]quests!$1:$1,0)+1,FALSE)</f>
        <v>ジキル&amp;ハイド襲来！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降臨44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降臨44</v>
      </c>
      <c r="H7" s="85">
        <v>4</v>
      </c>
      <c r="I7" s="90">
        <f t="shared" si="0"/>
        <v>6</v>
      </c>
      <c r="J7" s="86" t="str">
        <f t="shared" si="1"/>
        <v>4004406</v>
      </c>
      <c r="K7" s="84" t="s">
        <v>197</v>
      </c>
      <c r="L7" s="87" t="s">
        <v>253</v>
      </c>
      <c r="M7" s="210" t="s">
        <v>420</v>
      </c>
      <c r="N7" s="57" t="s">
        <v>198</v>
      </c>
    </row>
    <row r="8" spans="1:14" ht="70" x14ac:dyDescent="0.15">
      <c r="A8" s="81" t="s">
        <v>196</v>
      </c>
      <c r="B8" s="82">
        <f>floors!$C$2</f>
        <v>40044</v>
      </c>
      <c r="C8" s="83" t="str">
        <f ca="1">VLOOKUP($B8,OFFSET([2]quests!$A$1,0,0,COUNTA([2]quests!$A:$A),MATCH(C$1,[2]quests!$1:$1,0)-MATCH($B$1,[2]quests!$1:$1,0)+1),MATCH(C$1,[2]quests!$1:$1,0)-MATCH($B$1,[2]quests!$1:$1,0)+1,FALSE)</f>
        <v>ジキル&amp;ハイド襲来！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降臨44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降臨44</v>
      </c>
      <c r="H8" s="85">
        <v>4</v>
      </c>
      <c r="I8" s="90">
        <f t="shared" si="0"/>
        <v>7</v>
      </c>
      <c r="J8" s="86" t="str">
        <f t="shared" si="1"/>
        <v>4004407</v>
      </c>
      <c r="K8" s="84" t="s">
        <v>197</v>
      </c>
      <c r="L8" s="87" t="s">
        <v>253</v>
      </c>
      <c r="M8" s="210" t="s">
        <v>421</v>
      </c>
      <c r="N8" s="57" t="s">
        <v>198</v>
      </c>
    </row>
    <row r="9" spans="1:14" ht="28" x14ac:dyDescent="0.15">
      <c r="A9" s="81" t="s">
        <v>199</v>
      </c>
      <c r="B9" s="82">
        <f>floors!$C$2</f>
        <v>40044</v>
      </c>
      <c r="C9" s="83" t="str">
        <f ca="1">VLOOKUP($B9,OFFSET([2]quests!$A$1,0,0,COUNTA([2]quests!$A:$A),MATCH(C$1,[2]quests!$1:$1,0)-MATCH($B$1,[2]quests!$1:$1,0)+1),MATCH(C$1,[2]quests!$1:$1,0)-MATCH($B$1,[2]quests!$1:$1,0)+1,FALSE)</f>
        <v>ジキル&amp;ハイド襲来！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降臨44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降臨44</v>
      </c>
      <c r="H9" s="85">
        <v>0</v>
      </c>
      <c r="I9" s="90">
        <f t="shared" si="0"/>
        <v>8</v>
      </c>
      <c r="J9" s="86" t="str">
        <f t="shared" ref="J9" si="2">B9&amp;TEXT(I9,"00")</f>
        <v>4004408</v>
      </c>
      <c r="K9" s="84" t="s">
        <v>197</v>
      </c>
      <c r="L9" s="87" t="s">
        <v>447</v>
      </c>
      <c r="M9" s="210" t="s">
        <v>449</v>
      </c>
      <c r="N9" s="57" t="s">
        <v>198</v>
      </c>
    </row>
    <row r="10" spans="1:14" ht="56" x14ac:dyDescent="0.15">
      <c r="A10" s="81" t="s">
        <v>199</v>
      </c>
      <c r="B10" s="82">
        <f>floors!$C$2</f>
        <v>40044</v>
      </c>
      <c r="C10" s="83" t="str">
        <f ca="1">VLOOKUP($B10,OFFSET([2]quests!$A$1,0,0,COUNTA([2]quests!$A:$A),MATCH(C$1,[2]quests!$1:$1,0)-MATCH($B$1,[2]quests!$1:$1,0)+1),MATCH(C$1,[2]quests!$1:$1,0)-MATCH($B$1,[2]quests!$1:$1,0)+1,FALSE)</f>
        <v>ジキル&amp;ハイド襲来！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降臨44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降臨44</v>
      </c>
      <c r="H10" s="85">
        <v>0</v>
      </c>
      <c r="I10" s="90">
        <f t="shared" si="0"/>
        <v>9</v>
      </c>
      <c r="J10" s="86" t="str">
        <f t="shared" si="1"/>
        <v>4004409</v>
      </c>
      <c r="K10" s="84" t="s">
        <v>197</v>
      </c>
      <c r="L10" s="87" t="s">
        <v>416</v>
      </c>
      <c r="M10" s="210" t="s">
        <v>364</v>
      </c>
      <c r="N10" s="57" t="s">
        <v>198</v>
      </c>
    </row>
    <row r="11" spans="1:14" ht="42" x14ac:dyDescent="0.15">
      <c r="A11" s="81" t="s">
        <v>199</v>
      </c>
      <c r="B11" s="82">
        <f>floors!$C$2</f>
        <v>40044</v>
      </c>
      <c r="C11" s="83" t="str">
        <f ca="1">VLOOKUP($B11,OFFSET([2]quests!$A$1,0,0,COUNTA([2]quests!$A:$A),MATCH(C$1,[2]quests!$1:$1,0)-MATCH($B$1,[2]quests!$1:$1,0)+1),MATCH(C$1,[2]quests!$1:$1,0)-MATCH($B$1,[2]quests!$1:$1,0)+1,FALSE)</f>
        <v>ジキル&amp;ハイド襲来！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降臨44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降臨44</v>
      </c>
      <c r="H11" s="85">
        <v>0</v>
      </c>
      <c r="I11" s="90">
        <f t="shared" si="0"/>
        <v>10</v>
      </c>
      <c r="J11" s="86" t="str">
        <f t="shared" si="1"/>
        <v>4004410</v>
      </c>
      <c r="K11" s="84" t="s">
        <v>197</v>
      </c>
      <c r="L11" s="87" t="s">
        <v>365</v>
      </c>
      <c r="M11" s="210" t="s">
        <v>433</v>
      </c>
      <c r="N11" s="57" t="s">
        <v>198</v>
      </c>
    </row>
    <row r="12" spans="1:14" ht="57" thickBot="1" x14ac:dyDescent="0.2">
      <c r="A12" s="217" t="s">
        <v>199</v>
      </c>
      <c r="B12" s="218">
        <f>floors!$C$2</f>
        <v>40044</v>
      </c>
      <c r="C12" s="219" t="str">
        <f ca="1">VLOOKUP($B12,OFFSET([2]quests!$A$1,0,0,COUNTA([2]quests!$A:$A),MATCH(C$1,[2]quests!$1:$1,0)-MATCH($B$1,[2]quests!$1:$1,0)+1),MATCH(C$1,[2]quests!$1:$1,0)-MATCH($B$1,[2]quests!$1:$1,0)+1,FALSE)</f>
        <v>ジキル&amp;ハイド襲来！</v>
      </c>
      <c r="D12" s="219" t="str">
        <f ca="1">VLOOKUP($B12,OFFSET([2]quests!$A$1,0,0,COUNTA([2]quests!$A:$A),MATCH(D$1,[2]quests!$1:$1,0)-MATCH($B$1,[2]quests!$1:$1,0)+1),MATCH(D$1,[2]quests!$1:$1,0)-MATCH($B$1,[2]quests!$1:$1,0)+1,FALSE)</f>
        <v>降臨44</v>
      </c>
      <c r="E12" s="220">
        <v>2</v>
      </c>
      <c r="F12" s="219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12" s="219" t="str">
        <f ca="1">VLOOKUP($B12&amp;"_"&amp;$E12,OFFSET([2]stages!$A$1,0,0,COUNTA([2]stages!$A:$A),MATCH(G$1,[2]stages!$2:$2,0)-MATCH("temp_stage",[2]stages!$2:$2,0)+1),MATCH(G$1,[2]stages!$2:$2,0)-MATCH("temp_stage",[2]stages!$2:$2,0)+1,FALSE)</f>
        <v>降臨44</v>
      </c>
      <c r="H12" s="221">
        <v>0</v>
      </c>
      <c r="I12" s="222">
        <f t="shared" si="0"/>
        <v>11</v>
      </c>
      <c r="J12" s="223" t="str">
        <f t="shared" si="1"/>
        <v>4004411</v>
      </c>
      <c r="K12" s="220" t="s">
        <v>197</v>
      </c>
      <c r="L12" s="224" t="s">
        <v>366</v>
      </c>
      <c r="M12" s="225" t="s">
        <v>448</v>
      </c>
      <c r="N12" s="226" t="s">
        <v>198</v>
      </c>
    </row>
    <row r="13" spans="1:14" ht="56" x14ac:dyDescent="0.15">
      <c r="A13" s="211" t="s">
        <v>196</v>
      </c>
      <c r="B13" s="212">
        <f>floors!$C$2</f>
        <v>40044</v>
      </c>
      <c r="C13" s="83" t="str">
        <f ca="1">VLOOKUP($B13,OFFSET([2]quests!$A$1,0,0,COUNTA([2]quests!$A:$A),MATCH(C$1,[2]quests!$1:$1,0)-MATCH($B$1,[2]quests!$1:$1,0)+1),MATCH(C$1,[2]quests!$1:$1,0)-MATCH($B$1,[2]quests!$1:$1,0)+1,FALSE)</f>
        <v>ジキル&amp;ハイド襲来！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降臨44</v>
      </c>
      <c r="E13" s="213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降臨44</v>
      </c>
      <c r="H13" s="85">
        <v>1</v>
      </c>
      <c r="I13" s="214">
        <f t="shared" si="0"/>
        <v>12</v>
      </c>
      <c r="J13" s="215" t="str">
        <f t="shared" si="1"/>
        <v>4004412</v>
      </c>
      <c r="K13" s="213" t="s">
        <v>197</v>
      </c>
      <c r="L13" s="87" t="s">
        <v>253</v>
      </c>
      <c r="M13" s="210" t="s">
        <v>367</v>
      </c>
      <c r="N13" s="216" t="s">
        <v>198</v>
      </c>
    </row>
    <row r="14" spans="1:14" ht="70" x14ac:dyDescent="0.15">
      <c r="A14" s="81" t="s">
        <v>196</v>
      </c>
      <c r="B14" s="82">
        <f>floors!$C$2</f>
        <v>40044</v>
      </c>
      <c r="C14" s="83" t="str">
        <f ca="1">VLOOKUP($B14,OFFSET([2]quests!$A$1,0,0,COUNTA([2]quests!$A:$A),MATCH(C$1,[2]quests!$1:$1,0)-MATCH($B$1,[2]quests!$1:$1,0)+1),MATCH(C$1,[2]quests!$1:$1,0)-MATCH($B$1,[2]quests!$1:$1,0)+1,FALSE)</f>
        <v>ジキル&amp;ハイド襲来！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降臨44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降臨44</v>
      </c>
      <c r="H14" s="85">
        <v>2</v>
      </c>
      <c r="I14" s="90">
        <f t="shared" si="0"/>
        <v>13</v>
      </c>
      <c r="J14" s="86" t="str">
        <f t="shared" si="1"/>
        <v>4004413</v>
      </c>
      <c r="K14" s="84" t="s">
        <v>197</v>
      </c>
      <c r="L14" s="87" t="s">
        <v>253</v>
      </c>
      <c r="M14" s="210" t="s">
        <v>417</v>
      </c>
      <c r="N14" s="57" t="s">
        <v>198</v>
      </c>
    </row>
    <row r="15" spans="1:14" ht="70" x14ac:dyDescent="0.15">
      <c r="A15" s="81" t="s">
        <v>196</v>
      </c>
      <c r="B15" s="82">
        <f>floors!$C$2</f>
        <v>40044</v>
      </c>
      <c r="C15" s="83" t="str">
        <f ca="1">VLOOKUP($B15,OFFSET([2]quests!$A$1,0,0,COUNTA([2]quests!$A:$A),MATCH(C$1,[2]quests!$1:$1,0)-MATCH($B$1,[2]quests!$1:$1,0)+1),MATCH(C$1,[2]quests!$1:$1,0)-MATCH($B$1,[2]quests!$1:$1,0)+1,FALSE)</f>
        <v>ジキル&amp;ハイド襲来！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降臨44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降臨44</v>
      </c>
      <c r="H15" s="85">
        <v>2</v>
      </c>
      <c r="I15" s="90">
        <f t="shared" si="0"/>
        <v>14</v>
      </c>
      <c r="J15" s="86" t="str">
        <f t="shared" si="1"/>
        <v>4004414</v>
      </c>
      <c r="K15" s="84" t="s">
        <v>197</v>
      </c>
      <c r="L15" s="87" t="s">
        <v>253</v>
      </c>
      <c r="M15" s="210" t="s">
        <v>418</v>
      </c>
      <c r="N15" s="57" t="s">
        <v>198</v>
      </c>
    </row>
    <row r="16" spans="1:14" ht="70" x14ac:dyDescent="0.15">
      <c r="A16" s="81" t="s">
        <v>196</v>
      </c>
      <c r="B16" s="82">
        <f>floors!$C$2</f>
        <v>40044</v>
      </c>
      <c r="C16" s="83" t="str">
        <f ca="1">VLOOKUP($B16,OFFSET([2]quests!$A$1,0,0,COUNTA([2]quests!$A:$A),MATCH(C$1,[2]quests!$1:$1,0)-MATCH($B$1,[2]quests!$1:$1,0)+1),MATCH(C$1,[2]quests!$1:$1,0)-MATCH($B$1,[2]quests!$1:$1,0)+1,FALSE)</f>
        <v>ジキル&amp;ハイド襲来！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降臨44</v>
      </c>
      <c r="E16" s="84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降臨44</v>
      </c>
      <c r="H16" s="85">
        <v>3</v>
      </c>
      <c r="I16" s="90">
        <f t="shared" si="0"/>
        <v>15</v>
      </c>
      <c r="J16" s="86" t="str">
        <f t="shared" si="1"/>
        <v>4004415</v>
      </c>
      <c r="K16" s="84" t="s">
        <v>197</v>
      </c>
      <c r="L16" s="87" t="s">
        <v>253</v>
      </c>
      <c r="M16" s="210" t="s">
        <v>368</v>
      </c>
      <c r="N16" s="57" t="s">
        <v>198</v>
      </c>
    </row>
    <row r="17" spans="1:14" ht="70" x14ac:dyDescent="0.15">
      <c r="A17" s="81" t="s">
        <v>196</v>
      </c>
      <c r="B17" s="82">
        <f>floors!$C$2</f>
        <v>40044</v>
      </c>
      <c r="C17" s="83" t="str">
        <f ca="1">VLOOKUP($B17,OFFSET([2]quests!$A$1,0,0,COUNTA([2]quests!$A:$A),MATCH(C$1,[2]quests!$1:$1,0)-MATCH($B$1,[2]quests!$1:$1,0)+1),MATCH(C$1,[2]quests!$1:$1,0)-MATCH($B$1,[2]quests!$1:$1,0)+1,FALSE)</f>
        <v>ジキル&amp;ハイド襲来！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降臨44</v>
      </c>
      <c r="E17" s="84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降臨44</v>
      </c>
      <c r="H17" s="85">
        <v>4</v>
      </c>
      <c r="I17" s="90">
        <f t="shared" si="0"/>
        <v>16</v>
      </c>
      <c r="J17" s="86" t="str">
        <f t="shared" si="1"/>
        <v>4004416</v>
      </c>
      <c r="K17" s="84" t="s">
        <v>197</v>
      </c>
      <c r="L17" s="87" t="s">
        <v>253</v>
      </c>
      <c r="M17" s="210" t="s">
        <v>419</v>
      </c>
      <c r="N17" s="57" t="s">
        <v>198</v>
      </c>
    </row>
    <row r="18" spans="1:14" ht="70" x14ac:dyDescent="0.15">
      <c r="A18" s="81" t="s">
        <v>196</v>
      </c>
      <c r="B18" s="82">
        <f>floors!$C$2</f>
        <v>40044</v>
      </c>
      <c r="C18" s="83" t="str">
        <f ca="1">VLOOKUP($B18,OFFSET([2]quests!$A$1,0,0,COUNTA([2]quests!$A:$A),MATCH(C$1,[2]quests!$1:$1,0)-MATCH($B$1,[2]quests!$1:$1,0)+1),MATCH(C$1,[2]quests!$1:$1,0)-MATCH($B$1,[2]quests!$1:$1,0)+1,FALSE)</f>
        <v>ジキル&amp;ハイド襲来！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降臨44</v>
      </c>
      <c r="E18" s="84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降臨44</v>
      </c>
      <c r="H18" s="85">
        <v>4</v>
      </c>
      <c r="I18" s="90">
        <f t="shared" si="0"/>
        <v>17</v>
      </c>
      <c r="J18" s="86" t="str">
        <f t="shared" si="1"/>
        <v>4004417</v>
      </c>
      <c r="K18" s="84" t="s">
        <v>197</v>
      </c>
      <c r="L18" s="87" t="s">
        <v>253</v>
      </c>
      <c r="M18" s="210" t="s">
        <v>420</v>
      </c>
      <c r="N18" s="57" t="s">
        <v>198</v>
      </c>
    </row>
    <row r="19" spans="1:14" ht="70" x14ac:dyDescent="0.15">
      <c r="A19" s="81" t="s">
        <v>196</v>
      </c>
      <c r="B19" s="82">
        <f>floors!$C$2</f>
        <v>40044</v>
      </c>
      <c r="C19" s="83" t="str">
        <f ca="1">VLOOKUP($B19,OFFSET([2]quests!$A$1,0,0,COUNTA([2]quests!$A:$A),MATCH(C$1,[2]quests!$1:$1,0)-MATCH($B$1,[2]quests!$1:$1,0)+1),MATCH(C$1,[2]quests!$1:$1,0)-MATCH($B$1,[2]quests!$1:$1,0)+1,FALSE)</f>
        <v>ジキル&amp;ハイド襲来！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降臨44</v>
      </c>
      <c r="E19" s="84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降臨44</v>
      </c>
      <c r="H19" s="85">
        <v>4</v>
      </c>
      <c r="I19" s="90">
        <f t="shared" si="0"/>
        <v>18</v>
      </c>
      <c r="J19" s="86" t="str">
        <f t="shared" si="1"/>
        <v>4004418</v>
      </c>
      <c r="K19" s="84" t="s">
        <v>197</v>
      </c>
      <c r="L19" s="87" t="s">
        <v>253</v>
      </c>
      <c r="M19" s="210" t="s">
        <v>421</v>
      </c>
      <c r="N19" s="57" t="s">
        <v>198</v>
      </c>
    </row>
    <row r="20" spans="1:14" ht="28" x14ac:dyDescent="0.15">
      <c r="A20" s="81" t="s">
        <v>199</v>
      </c>
      <c r="B20" s="82">
        <f>floors!$C$2</f>
        <v>40044</v>
      </c>
      <c r="C20" s="83" t="str">
        <f ca="1">VLOOKUP($B20,OFFSET([2]quests!$A$1,0,0,COUNTA([2]quests!$A:$A),MATCH(C$1,[2]quests!$1:$1,0)-MATCH($B$1,[2]quests!$1:$1,0)+1),MATCH(C$1,[2]quests!$1:$1,0)-MATCH($B$1,[2]quests!$1:$1,0)+1,FALSE)</f>
        <v>ジキル&amp;ハイド襲来！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降臨44</v>
      </c>
      <c r="E20" s="84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降臨44</v>
      </c>
      <c r="H20" s="85">
        <v>0</v>
      </c>
      <c r="I20" s="90">
        <f t="shared" si="0"/>
        <v>19</v>
      </c>
      <c r="J20" s="86" t="str">
        <f t="shared" si="1"/>
        <v>4004419</v>
      </c>
      <c r="K20" s="84" t="s">
        <v>197</v>
      </c>
      <c r="L20" s="87" t="s">
        <v>447</v>
      </c>
      <c r="M20" s="210" t="s">
        <v>449</v>
      </c>
      <c r="N20" s="57" t="s">
        <v>198</v>
      </c>
    </row>
    <row r="21" spans="1:14" ht="56" x14ac:dyDescent="0.15">
      <c r="A21" s="81" t="s">
        <v>199</v>
      </c>
      <c r="B21" s="82">
        <f>floors!$C$2</f>
        <v>40044</v>
      </c>
      <c r="C21" s="83" t="str">
        <f ca="1">VLOOKUP($B21,OFFSET([2]quests!$A$1,0,0,COUNTA([2]quests!$A:$A),MATCH(C$1,[2]quests!$1:$1,0)-MATCH($B$1,[2]quests!$1:$1,0)+1),MATCH(C$1,[2]quests!$1:$1,0)-MATCH($B$1,[2]quests!$1:$1,0)+1,FALSE)</f>
        <v>ジキル&amp;ハイド襲来！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降臨44</v>
      </c>
      <c r="E21" s="84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降臨44</v>
      </c>
      <c r="H21" s="85">
        <v>0</v>
      </c>
      <c r="I21" s="90">
        <f t="shared" si="0"/>
        <v>20</v>
      </c>
      <c r="J21" s="86" t="str">
        <f t="shared" si="1"/>
        <v>4004420</v>
      </c>
      <c r="K21" s="84" t="s">
        <v>197</v>
      </c>
      <c r="L21" s="87" t="s">
        <v>416</v>
      </c>
      <c r="M21" s="210" t="s">
        <v>364</v>
      </c>
      <c r="N21" s="57" t="s">
        <v>198</v>
      </c>
    </row>
    <row r="22" spans="1:14" ht="42" x14ac:dyDescent="0.15">
      <c r="A22" s="81" t="s">
        <v>199</v>
      </c>
      <c r="B22" s="82">
        <f>floors!$C$2</f>
        <v>40044</v>
      </c>
      <c r="C22" s="83" t="str">
        <f ca="1">VLOOKUP($B22,OFFSET([2]quests!$A$1,0,0,COUNTA([2]quests!$A:$A),MATCH(C$1,[2]quests!$1:$1,0)-MATCH($B$1,[2]quests!$1:$1,0)+1),MATCH(C$1,[2]quests!$1:$1,0)-MATCH($B$1,[2]quests!$1:$1,0)+1,FALSE)</f>
        <v>ジキル&amp;ハイド襲来！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降臨44</v>
      </c>
      <c r="E22" s="84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降臨44</v>
      </c>
      <c r="H22" s="85">
        <v>0</v>
      </c>
      <c r="I22" s="90">
        <f t="shared" si="0"/>
        <v>21</v>
      </c>
      <c r="J22" s="86" t="str">
        <f t="shared" si="1"/>
        <v>4004421</v>
      </c>
      <c r="K22" s="84" t="s">
        <v>197</v>
      </c>
      <c r="L22" s="87" t="s">
        <v>365</v>
      </c>
      <c r="M22" s="210" t="s">
        <v>433</v>
      </c>
      <c r="N22" s="57" t="s">
        <v>198</v>
      </c>
    </row>
    <row r="23" spans="1:14" ht="57" thickBot="1" x14ac:dyDescent="0.2">
      <c r="A23" s="81" t="s">
        <v>199</v>
      </c>
      <c r="B23" s="82">
        <f>floors!$C$2</f>
        <v>40044</v>
      </c>
      <c r="C23" s="83" t="str">
        <f ca="1">VLOOKUP($B23,OFFSET([2]quests!$A$1,0,0,COUNTA([2]quests!$A:$A),MATCH(C$1,[2]quests!$1:$1,0)-MATCH($B$1,[2]quests!$1:$1,0)+1),MATCH(C$1,[2]quests!$1:$1,0)-MATCH($B$1,[2]quests!$1:$1,0)+1,FALSE)</f>
        <v>ジキル&amp;ハイド襲来！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降臨44</v>
      </c>
      <c r="E23" s="84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【超絶級】ジキル&amp;ハイド襲来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降臨44</v>
      </c>
      <c r="H23" s="85">
        <v>0</v>
      </c>
      <c r="I23" s="90">
        <f t="shared" si="0"/>
        <v>22</v>
      </c>
      <c r="J23" s="86" t="str">
        <f t="shared" si="1"/>
        <v>4004422</v>
      </c>
      <c r="K23" s="84" t="s">
        <v>197</v>
      </c>
      <c r="L23" s="224" t="s">
        <v>366</v>
      </c>
      <c r="M23" s="225" t="s">
        <v>448</v>
      </c>
      <c r="N23" s="57" t="s">
        <v>198</v>
      </c>
    </row>
  </sheetData>
  <phoneticPr fontId="5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3" sqref="M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211</v>
      </c>
      <c r="B1" s="95" t="s">
        <v>212</v>
      </c>
      <c r="C1" s="77" t="s">
        <v>213</v>
      </c>
      <c r="D1" s="77" t="s">
        <v>33</v>
      </c>
      <c r="E1" s="95" t="s">
        <v>214</v>
      </c>
      <c r="F1" s="77" t="s">
        <v>215</v>
      </c>
      <c r="G1" s="77" t="s">
        <v>33</v>
      </c>
      <c r="H1" s="95" t="s">
        <v>216</v>
      </c>
      <c r="I1" s="95" t="s">
        <v>217</v>
      </c>
      <c r="J1" s="95" t="s">
        <v>218</v>
      </c>
      <c r="K1" s="73" t="s">
        <v>219</v>
      </c>
      <c r="L1" s="73" t="s">
        <v>220</v>
      </c>
      <c r="M1" s="73" t="s">
        <v>156</v>
      </c>
      <c r="N1" s="77" t="s">
        <v>16</v>
      </c>
      <c r="O1" s="73" t="s">
        <v>221</v>
      </c>
      <c r="P1" s="73" t="s">
        <v>57</v>
      </c>
      <c r="Q1" s="73" t="s">
        <v>222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223</v>
      </c>
      <c r="X1" s="73" t="s">
        <v>224</v>
      </c>
    </row>
    <row r="2" spans="1:24" x14ac:dyDescent="0.15">
      <c r="A2" s="96" t="str">
        <f>B2&amp;"_"&amp;E2&amp;"_"&amp;H2&amp;"_"&amp;I2&amp;"_"&amp;J2</f>
        <v>40044_2_everyone_full_member_1</v>
      </c>
      <c r="B2" s="82">
        <v>40044</v>
      </c>
      <c r="C2" s="83" t="str">
        <f ca="1">VLOOKUP($B2,OFFSET([2]quests!$A$1,0,0,COUNTA([2]quests!$A:$A),MATCH(C$1,[2]quests!$1:$1,0)-MATCH($B$1,[2]quests!$1:$1,0)+1),MATCH(C$1,[2]quests!$1:$1,0)-MATCH($B$1,[2]quests!$1:$1,0)+1,FALSE)</f>
        <v>ジキル&amp;ハイド襲来！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降臨44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降臨44</v>
      </c>
      <c r="H2" s="85" t="s">
        <v>225</v>
      </c>
      <c r="I2" s="84" t="s">
        <v>409</v>
      </c>
      <c r="J2" s="84">
        <v>1</v>
      </c>
      <c r="K2" s="84">
        <v>1000</v>
      </c>
      <c r="L2" s="84" t="s">
        <v>226</v>
      </c>
      <c r="M2" s="84">
        <v>1375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ジキル&amp;ハイド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227</v>
      </c>
      <c r="X2" s="99" t="s">
        <v>228</v>
      </c>
    </row>
    <row r="3" spans="1:24" x14ac:dyDescent="0.15">
      <c r="A3" s="96" t="str">
        <f>B3&amp;"_"&amp;E3&amp;"_"&amp;H3&amp;"_"&amp;I3&amp;"_"&amp;J3</f>
        <v>40044_2_everyone_no_continue_1</v>
      </c>
      <c r="B3" s="82">
        <v>40044</v>
      </c>
      <c r="C3" s="83" t="str">
        <f ca="1">VLOOKUP($B3,OFFSET([2]quests!$A$1,0,0,COUNTA([2]quests!$A:$A),MATCH(C$1,[2]quests!$1:$1,0)-MATCH($B$1,[2]quests!$1:$1,0)+1),MATCH(C$1,[2]quests!$1:$1,0)-MATCH($B$1,[2]quests!$1:$1,0)+1,FALSE)</f>
        <v>ジキル&amp;ハイド襲来！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降臨44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【ウィザード級】ジキル&amp;ハイド襲来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降臨44</v>
      </c>
      <c r="H3" s="85" t="s">
        <v>225</v>
      </c>
      <c r="I3" s="84" t="s">
        <v>229</v>
      </c>
      <c r="J3" s="84">
        <v>1</v>
      </c>
      <c r="K3" s="84">
        <v>1000</v>
      </c>
      <c r="L3" s="84" t="s">
        <v>226</v>
      </c>
      <c r="M3" s="84">
        <v>1375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ジキル&amp;ハイド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227</v>
      </c>
      <c r="X3" s="99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2017-04-07T10:40:00Z</dcterms:modified>
</cp:coreProperties>
</file>