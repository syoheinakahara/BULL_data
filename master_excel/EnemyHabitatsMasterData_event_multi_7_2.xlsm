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1120" yWindow="1120" windowWidth="26600" windowHeight="1494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1" l="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C33" i="18"/>
  <c r="D33" i="18"/>
  <c r="J7" i="11"/>
  <c r="O17" i="9"/>
  <c r="N17" i="9"/>
  <c r="M17" i="9"/>
  <c r="L17" i="9"/>
  <c r="K17" i="9"/>
  <c r="J17" i="9"/>
  <c r="I17" i="9"/>
  <c r="H17" i="9"/>
  <c r="G17" i="9"/>
  <c r="E17" i="9"/>
  <c r="D17" i="9"/>
  <c r="A17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J8" i="11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J3" i="11"/>
  <c r="O14" i="9"/>
  <c r="N14" i="9"/>
  <c r="M14" i="9"/>
  <c r="L14" i="9"/>
  <c r="K14" i="9"/>
  <c r="J14" i="9"/>
  <c r="I14" i="9"/>
  <c r="H14" i="9"/>
  <c r="G14" i="9"/>
  <c r="E14" i="9"/>
  <c r="D14" i="9"/>
  <c r="A14" i="9"/>
  <c r="J2" i="11"/>
  <c r="O13" i="9"/>
  <c r="N13" i="9"/>
  <c r="M13" i="9"/>
  <c r="L13" i="9"/>
  <c r="K13" i="9"/>
  <c r="J13" i="9"/>
  <c r="I13" i="9"/>
  <c r="H13" i="9"/>
  <c r="G13" i="9"/>
  <c r="E13" i="9"/>
  <c r="D13" i="9"/>
  <c r="A13" i="9"/>
  <c r="AB6" i="1"/>
  <c r="AD6" i="1"/>
  <c r="AG6" i="1"/>
  <c r="AE6" i="1"/>
  <c r="AC6" i="1"/>
  <c r="AA6" i="1"/>
  <c r="W6" i="1"/>
  <c r="V6" i="1"/>
  <c r="Q6" i="1"/>
  <c r="P6" i="1"/>
  <c r="O6" i="1"/>
  <c r="N6" i="1"/>
  <c r="M6" i="1"/>
  <c r="H6" i="1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J6" i="1"/>
  <c r="I6" i="1"/>
  <c r="D6" i="1"/>
  <c r="F6" i="1"/>
  <c r="E6" i="1"/>
  <c r="A6" i="1"/>
  <c r="AB5" i="1"/>
  <c r="AD5" i="1"/>
  <c r="AG5" i="1"/>
  <c r="AE5" i="1"/>
  <c r="AC5" i="1"/>
  <c r="AA5" i="1"/>
  <c r="W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4" i="1"/>
  <c r="AD4" i="1"/>
  <c r="AG4" i="1"/>
  <c r="AE4" i="1"/>
  <c r="AC4" i="1"/>
  <c r="AA4" i="1"/>
  <c r="W4" i="1"/>
  <c r="V4" i="1"/>
  <c r="Q4" i="1"/>
  <c r="P4" i="1"/>
  <c r="O4" i="1"/>
  <c r="N4" i="1"/>
  <c r="M4" i="1"/>
  <c r="H4" i="1"/>
  <c r="J4" i="1"/>
  <c r="I4" i="1"/>
  <c r="D4" i="1"/>
  <c r="F4" i="1"/>
  <c r="E4" i="1"/>
  <c r="A4" i="1"/>
  <c r="AB3" i="1"/>
  <c r="AD3" i="1"/>
  <c r="AG3" i="1"/>
  <c r="AE3" i="1"/>
  <c r="AC3" i="1"/>
  <c r="AA3" i="1"/>
  <c r="W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13" i="1"/>
  <c r="AD13" i="1"/>
  <c r="AG13" i="1"/>
  <c r="AE13" i="1"/>
  <c r="AC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W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AA11" i="1"/>
  <c r="W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AB10" i="1"/>
  <c r="AD10" i="1"/>
  <c r="AG10" i="1"/>
  <c r="AE10" i="1"/>
  <c r="AC10" i="1"/>
  <c r="AA10" i="1"/>
  <c r="W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9" i="1"/>
  <c r="AD9" i="1"/>
  <c r="AG9" i="1"/>
  <c r="AE9" i="1"/>
  <c r="AC9" i="1"/>
  <c r="AA9" i="1"/>
  <c r="W9" i="1"/>
  <c r="V9" i="1"/>
  <c r="Q9" i="1"/>
  <c r="P9" i="1"/>
  <c r="O9" i="1"/>
  <c r="N9" i="1"/>
  <c r="M9" i="1"/>
  <c r="H9" i="1"/>
  <c r="J9" i="1"/>
  <c r="I9" i="1"/>
  <c r="D9" i="1"/>
  <c r="F9" i="1"/>
  <c r="E9" i="1"/>
  <c r="A9" i="1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AB23" i="1"/>
  <c r="AD23" i="1"/>
  <c r="AG23" i="1"/>
  <c r="AE23" i="1"/>
  <c r="AC23" i="1"/>
  <c r="AA23" i="1"/>
  <c r="V23" i="1"/>
  <c r="Q23" i="1"/>
  <c r="P23" i="1"/>
  <c r="O23" i="1"/>
  <c r="N23" i="1"/>
  <c r="M23" i="1"/>
  <c r="H23" i="1"/>
  <c r="J23" i="1"/>
  <c r="I23" i="1"/>
  <c r="D23" i="1"/>
  <c r="F23" i="1"/>
  <c r="E23" i="1"/>
  <c r="A23" i="1"/>
  <c r="W2" i="7"/>
  <c r="C3" i="16"/>
  <c r="J11" i="11"/>
  <c r="J10" i="11"/>
  <c r="J9" i="11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O9" i="9"/>
  <c r="N9" i="9"/>
  <c r="M9" i="9"/>
  <c r="L9" i="9"/>
  <c r="K9" i="9"/>
  <c r="J9" i="9"/>
  <c r="I9" i="9"/>
  <c r="H9" i="9"/>
  <c r="G9" i="9"/>
  <c r="E9" i="9"/>
  <c r="D9" i="9"/>
  <c r="A9" i="9"/>
  <c r="J6" i="11"/>
  <c r="O8" i="9"/>
  <c r="N8" i="9"/>
  <c r="M8" i="9"/>
  <c r="L8" i="9"/>
  <c r="K8" i="9"/>
  <c r="J8" i="9"/>
  <c r="I8" i="9"/>
  <c r="H8" i="9"/>
  <c r="G8" i="9"/>
  <c r="E8" i="9"/>
  <c r="D8" i="9"/>
  <c r="A8" i="9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J5" i="11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J4" i="11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B22" i="1"/>
  <c r="AD22" i="1"/>
  <c r="AG22" i="1"/>
  <c r="AE22" i="1"/>
  <c r="AC22" i="1"/>
  <c r="AA22" i="1"/>
  <c r="W22" i="1"/>
  <c r="V22" i="1"/>
  <c r="Q22" i="1"/>
  <c r="P22" i="1"/>
  <c r="O22" i="1"/>
  <c r="N22" i="1"/>
  <c r="M22" i="1"/>
  <c r="H22" i="1"/>
  <c r="J22" i="1"/>
  <c r="I22" i="1"/>
  <c r="D22" i="1"/>
  <c r="F22" i="1"/>
  <c r="E22" i="1"/>
  <c r="A22" i="1"/>
  <c r="AB21" i="1"/>
  <c r="AD21" i="1"/>
  <c r="AG21" i="1"/>
  <c r="AE21" i="1"/>
  <c r="AC21" i="1"/>
  <c r="AA21" i="1"/>
  <c r="W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AA20" i="1"/>
  <c r="W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8" i="1"/>
  <c r="AD18" i="1"/>
  <c r="AG18" i="1"/>
  <c r="AE18" i="1"/>
  <c r="AC18" i="1"/>
  <c r="AA18" i="1"/>
  <c r="W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AA17" i="1"/>
  <c r="W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AA16" i="1"/>
  <c r="W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W15" i="1"/>
  <c r="W19" i="1"/>
  <c r="AD24" i="1"/>
  <c r="AG24" i="1"/>
  <c r="AE24" i="1"/>
  <c r="AC24" i="1"/>
  <c r="V24" i="1"/>
  <c r="Q24" i="1"/>
  <c r="P24" i="1"/>
  <c r="O24" i="1"/>
  <c r="N24" i="1"/>
  <c r="M24" i="1"/>
  <c r="H24" i="1"/>
  <c r="J24" i="1"/>
  <c r="I24" i="1"/>
  <c r="D24" i="1"/>
  <c r="F24" i="1"/>
  <c r="E24" i="1"/>
  <c r="A24" i="1"/>
  <c r="AB19" i="1"/>
  <c r="AD19" i="1"/>
  <c r="AG19" i="1"/>
  <c r="AE19" i="1"/>
  <c r="AC19" i="1"/>
  <c r="AA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15" i="1"/>
  <c r="AD15" i="1"/>
  <c r="AG15" i="1"/>
  <c r="AE15" i="1"/>
  <c r="AC15" i="1"/>
  <c r="AA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H11" i="2"/>
  <c r="E11" i="2"/>
  <c r="D11" i="2"/>
  <c r="H8" i="1"/>
  <c r="H2" i="1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68" i="19"/>
  <c r="C68" i="19"/>
  <c r="D68" i="19"/>
  <c r="F68" i="19"/>
  <c r="G68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B60" i="19"/>
  <c r="C60" i="19"/>
  <c r="D60" i="19"/>
  <c r="F60" i="19"/>
  <c r="G60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B34" i="19"/>
  <c r="C34" i="19"/>
  <c r="D34" i="19"/>
  <c r="F34" i="19"/>
  <c r="G34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B28" i="19"/>
  <c r="C28" i="19"/>
  <c r="D28" i="19"/>
  <c r="F28" i="19"/>
  <c r="G28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A2" i="18"/>
  <c r="C2" i="18"/>
  <c r="D2" i="18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E9" i="16"/>
  <c r="V2" i="1"/>
  <c r="R2" i="7"/>
  <c r="Q2" i="7"/>
  <c r="P2" i="7"/>
  <c r="O2" i="7"/>
  <c r="N2" i="7"/>
  <c r="AB8" i="1"/>
  <c r="AE8" i="1"/>
  <c r="AD8" i="1"/>
  <c r="AC8" i="1"/>
  <c r="AB2" i="1"/>
  <c r="AE2" i="1"/>
  <c r="AD2" i="1"/>
  <c r="AC2" i="1"/>
  <c r="V8" i="1"/>
  <c r="Q8" i="1"/>
  <c r="P8" i="1"/>
  <c r="O8" i="1"/>
  <c r="N8" i="1"/>
  <c r="M8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8" i="1"/>
  <c r="A2" i="1"/>
  <c r="AG8" i="1"/>
  <c r="A2" i="9"/>
  <c r="J8" i="1"/>
  <c r="I8" i="1"/>
  <c r="D8" i="1"/>
  <c r="F8" i="1"/>
  <c r="E8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<sst xmlns="http://schemas.openxmlformats.org/spreadsheetml/2006/main" count="832" uniqueCount="262">
  <si>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</si>
  <si>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</si>
  <si>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</si>
  <si>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</si>
  <si>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</si>
  <si>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</si>
  <si>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</si>
  <si>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</si>
  <si>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</si>
  <si>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</si>
  <si>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</si>
  <si>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</si>
  <si>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</si>
  <si>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</si>
  <si>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</si>
  <si>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</si>
  <si>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</si>
  <si>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</si>
  <si>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</si>
  <si>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</si>
  <si>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</si>
  <si>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</si>
  <si>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</si>
  <si>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</si>
  <si>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</si>
  <si>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</si>
  <si>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</si>
  <si>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</si>
  <si>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</si>
  <si>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</si>
  <si>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</si>
  <si>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</si>
  <si>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</si>
  <si>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</si>
  <si>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</si>
  <si>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</si>
  <si>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</si>
  <si>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</si>
  <si>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</si>
  <si>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</si>
  <si>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</si>
  <si>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</si>
  <si>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</si>
  <si>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</si>
  <si>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</si>
  <si>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</si>
  <si>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</si>
  <si>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</si>
  <si>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</si>
  <si>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</si>
  <si>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</si>
  <si>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</si>
  <si>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</si>
  <si>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</si>
  <si>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</si>
  <si>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</si>
  <si>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</si>
  <si>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</si>
  <si>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</si>
  <si>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</si>
  <si>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</si>
  <si>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</si>
  <si>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</si>
  <si>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</si>
  <si>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</si>
  <si>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</si>
  <si>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</si>
  <si>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</si>
  <si>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</si>
  <si>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</si>
  <si>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</si>
  <si>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</si>
  <si>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</si>
  <si>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</si>
  <si>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</si>
  <si>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</si>
  <si>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</si>
  <si>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</si>
  <si>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</si>
  <si>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</si>
  <si>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</si>
  <si>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</si>
  <si>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</si>
  <si>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</si>
  <si>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</si>
  <si>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</si>
  <si>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</si>
  <si>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</si>
  <si>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</si>
  <si>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</si>
  <si>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</si>
  <si>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</si>
  <si>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</si>
  <si>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</si>
  <si>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</si>
  <si>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</si>
  <si>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</si>
  <si>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</si>
  <si>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</si>
  <si>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</si>
  <si>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</si>
  <si>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</si>
  <si>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</si>
  <si>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</si>
  <si>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</si>
  <si>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</si>
  <si>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</si>
  <si>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</si>
  <si>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</si>
  <si>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</si>
  <si>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</si>
  <si>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</si>
  <si>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</si>
  <si>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</si>
  <si>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</si>
  <si>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</si>
  <si>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</si>
  <si>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</si>
  <si>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</si>
  <si>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</si>
  <si>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</si>
  <si>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</si>
  <si>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</si>
  <si>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</si>
  <si>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</si>
  <si>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</si>
  <si>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</si>
  <si>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</si>
  <si>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</si>
  <si>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</si>
  <si>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</si>
  <si>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</si>
  <si>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</si>
  <si>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</si>
  <si>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</si>
  <si>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</si>
  <si>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</si>
  <si>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</si>
  <si>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</si>
  <si>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</si>
  <si>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</si>
  <si>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</si>
  <si>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</si>
  <si>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</si>
  <si>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</si>
  <si>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</si>
  <si>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</si>
  <si>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</si>
  <si>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</si>
  <si>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</si>
  <si>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</si>
  <si>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</si>
  <si>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</si>
  <si>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</si>
  <si>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</si>
  <si>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</si>
  <si>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</si>
  <si>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</si>
  <si>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</si>
  <si>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</si>
  <si>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</si>
  <si>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</si>
  <si>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</si>
  <si>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</si>
  <si>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</si>
  <si>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</si>
  <si>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</si>
  <si>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</si>
  <si>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</si>
  <si>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</si>
  <si>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</si>
  <si>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</si>
  <si>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</si>
  <si>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</si>
  <si>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</si>
  <si>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</si>
  <si>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</si>
  <si>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</si>
  <si>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</si>
  <si>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</si>
  <si>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</si>
  <si>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</si>
  <si>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</si>
  <si>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</si>
  <si>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</si>
  <si>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</si>
  <si>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</si>
  <si>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</si>
  <si>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</si>
  <si>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</si>
  <si>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</si>
  <si>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</si>
  <si>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</si>
  <si>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</si>
  <si>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</si>
  <si>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</si>
  <si>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</si>
  <si>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</si>
  <si>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</si>
  <si>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</si>
  <si>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</si>
  <si>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</si>
  <si>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</si>
  <si>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</si>
  <si>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</si>
  <si>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</si>
  <si>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</si>
  <si>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</si>
  <si>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</si>
  <si>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</si>
  <si>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</si>
  <si>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</si>
  <si>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</si>
  <si>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</si>
  <si>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種族マシン以外のユニットに大ダメージ</t>
    <rPh sb="13" eb="14">
      <t>ダイ</t>
    </rPh>
    <phoneticPr fontId="5"/>
  </si>
  <si>
    <t>[effect:spread, val:0.5, animation:enemy_spread]</t>
    <phoneticPr fontId="5"/>
  </si>
  <si>
    <t>全体攻撃</t>
    <rPh sb="0" eb="2">
      <t>ゼンタイ</t>
    </rPh>
    <rPh sb="2" eb="4">
      <t>コウゲキ</t>
    </rPh>
    <phoneticPr fontId="5"/>
  </si>
  <si>
    <t>攻撃頻度が1ターンにUP</t>
    <phoneticPr fontId="5"/>
  </si>
  <si>
    <t>[effect:freq_turn, target:myself, turn:-1, val:1, animation:enemy_freq_turn]</t>
    <phoneticPr fontId="5"/>
  </si>
  <si>
    <t>種族アニマルのユニットにタップ回数減少</t>
    <rPh sb="15" eb="17">
      <t>カイスウ</t>
    </rPh>
    <rPh sb="17" eb="19">
      <t>ゲンショウ</t>
    </rPh>
    <phoneticPr fontId="5"/>
  </si>
  <si>
    <t>3回連続攻撃</t>
    <rPh sb="1" eb="2">
      <t>カイ</t>
    </rPh>
    <rPh sb="2" eb="6">
      <t>レンゾクコウゲキ</t>
    </rPh>
    <phoneticPr fontId="5"/>
  </si>
  <si>
    <t>緑パネルを時限式ダメージパネルに変換</t>
    <rPh sb="0" eb="1">
      <t>ミドリ</t>
    </rPh>
    <rPh sb="5" eb="7">
      <t>ジゲン</t>
    </rPh>
    <rPh sb="7" eb="8">
      <t>シキ</t>
    </rPh>
    <rPh sb="16" eb="18">
      <t>ヘンカン</t>
    </rPh>
    <phoneticPr fontId="5"/>
  </si>
  <si>
    <t>時限式ダメージパネル出現</t>
    <rPh sb="0" eb="2">
      <t>ジゲン</t>
    </rPh>
    <rPh sb="2" eb="3">
      <t>シキ</t>
    </rPh>
    <rPh sb="10" eb="12">
      <t>シュツゲン</t>
    </rPh>
    <phoneticPr fontId="5"/>
  </si>
  <si>
    <t>[effect:degrade_unit, target:unit_animal, turn:-1, status:action, val:1.0,animation:enemy_tap_down]</t>
    <phoneticPr fontId="5"/>
  </si>
  <si>
    <t>4ターンの間パネルの色がわからなくなる！</t>
    <rPh sb="5" eb="6">
      <t>アイダ</t>
    </rPh>
    <rPh sb="10" eb="11">
      <t>イロ</t>
    </rPh>
    <phoneticPr fontId="5"/>
  </si>
  <si>
    <t>[effect:rush, count:3, val:0.5]</t>
    <phoneticPr fontId="5"/>
  </si>
  <si>
    <t>[effect:dark, turn:4,target:unit_all,animation:enemy_dark],[effect:rush, count:2, val:0.5]</t>
    <phoneticPr fontId="5"/>
  </si>
  <si>
    <t>ダブルからしマヨビーム</t>
    <phoneticPr fontId="5"/>
  </si>
  <si>
    <t>[effect:change_block, new_block:time_bomb, target:block_green, count:0, val:0.1, min_time_count:1, max_time_count:3, animation:change_block],[effect:rush, count:3, val:0.35]</t>
    <phoneticPr fontId="5"/>
  </si>
  <si>
    <t>[effect:change_block, new_block:time_bomb, target:block_all, count:1, val:0.3, min_time_count:3, max_time_count:3, animation:change_block],[effect:rush, count:1, val:1.0]</t>
    <phoneticPr fontId="5"/>
  </si>
  <si>
    <t>[effect:change_block, new_block:time_bomb, target:block_all, count:1, val:0.3, min_time_count:2, max_time_count:2, animation:change_block],[effect:rush, count:2, val:0.55]</t>
    <phoneticPr fontId="5"/>
  </si>
  <si>
    <t>[effect:change_block, new_block:time_bomb, target:block_all, count:1, val:0.3, min_time_count:1, max_time_count:1, animation:change_block],[effect:rush, count:3, val:0.4]</t>
    <phoneticPr fontId="5"/>
  </si>
  <si>
    <t>オモチャ遊びの時間</t>
    <rPh sb="4" eb="5">
      <t>アソ</t>
    </rPh>
    <rPh sb="7" eb="9">
      <t>ジカン</t>
    </rPh>
    <phoneticPr fontId="5"/>
  </si>
  <si>
    <t>後片付けの時間</t>
    <rPh sb="0" eb="3">
      <t>アトカタヅ</t>
    </rPh>
    <rPh sb="5" eb="7">
      <t>ジカン</t>
    </rPh>
    <phoneticPr fontId="5"/>
  </si>
  <si>
    <t>おままごとの時間</t>
    <rPh sb="6" eb="8">
      <t>ジカン</t>
    </rPh>
    <phoneticPr fontId="5"/>
  </si>
  <si>
    <t>君たちの謎を暴かせてもらう</t>
    <rPh sb="0" eb="1">
      <t>キミ</t>
    </rPh>
    <rPh sb="4" eb="5">
      <t>ナゾ</t>
    </rPh>
    <rPh sb="6" eb="7">
      <t>アバ</t>
    </rPh>
    <phoneticPr fontId="5"/>
  </si>
  <si>
    <t>迷宮入りにするわけにはいかない</t>
    <rPh sb="0" eb="2">
      <t>メイキュウ</t>
    </rPh>
    <rPh sb="2" eb="3">
      <t>イ</t>
    </rPh>
    <phoneticPr fontId="5"/>
  </si>
  <si>
    <t>手がかりは必ずあるはず…</t>
    <rPh sb="0" eb="1">
      <t>テ</t>
    </rPh>
    <rPh sb="5" eb="6">
      <t>カナラ</t>
    </rPh>
    <phoneticPr fontId="5"/>
  </si>
  <si>
    <t>アンサースペル【疑】</t>
    <rPh sb="8" eb="9">
      <t>ウタガ</t>
    </rPh>
    <phoneticPr fontId="5"/>
  </si>
  <si>
    <t>アンサースペル【迷】</t>
    <rPh sb="8" eb="9">
      <t>マヨ</t>
    </rPh>
    <phoneticPr fontId="5"/>
  </si>
  <si>
    <t>アンサースペル【真】</t>
    <rPh sb="8" eb="9">
      <t>シン</t>
    </rPh>
    <phoneticPr fontId="5"/>
  </si>
  <si>
    <t>トゥルーボイス</t>
    <phoneticPr fontId="5"/>
  </si>
  <si>
    <t>[effect:change_block, new_block:time_bomb, target:block_green, count:0, val:0.08, min_time_count:3, max_time_count:3, animation:change_block],[effect:rush, count:3, val:0.35]</t>
    <phoneticPr fontId="5"/>
  </si>
  <si>
    <t>link</t>
    <phoneticPr fontId="5"/>
  </si>
  <si>
    <t>unit</t>
    <phoneticPr fontId="5"/>
  </si>
  <si>
    <t>link</t>
    <phoneticPr fontId="5"/>
  </si>
  <si>
    <t>null</t>
    <phoneticPr fontId="5"/>
  </si>
  <si>
    <t>ベルフェゴールはマシン種族以外の
ユニットに大ダメージを与えてきます
マシン種族ユニットで編成を固めましょう</t>
    <rPh sb="13" eb="15">
      <t>イガイ</t>
    </rPh>
    <phoneticPr fontId="5"/>
  </si>
  <si>
    <t>行動頻度が速いユニットから
先に倒しましょう</t>
    <phoneticPr fontId="5"/>
  </si>
  <si>
    <t>行動頻度が速いユニットから
先に倒しましょう</t>
    <phoneticPr fontId="5"/>
  </si>
  <si>
    <t>行動頻度が速いユニットから
先に倒しましょう</t>
    <phoneticPr fontId="5"/>
  </si>
  <si>
    <t>ガンテツは暗闇スキルを使用してきます
優先して倒しましょう</t>
    <rPh sb="5" eb="7">
      <t>クラヤミ</t>
    </rPh>
    <rPh sb="11" eb="13">
      <t>シヨウ</t>
    </rPh>
    <rPh sb="20" eb="22">
      <t>ユウセン</t>
    </rPh>
    <rPh sb="24" eb="25">
      <t>タオ</t>
    </rPh>
    <phoneticPr fontId="5"/>
  </si>
  <si>
    <t>オーズは時限式ダメージパネル
変換スキルを使用してきます
時限式ダメージパネル解除スキル
を持つユニットで対策しましょう</t>
    <rPh sb="4" eb="7">
      <t>ジゲンシキ</t>
    </rPh>
    <rPh sb="15" eb="17">
      <t>ヘンカン</t>
    </rPh>
    <rPh sb="21" eb="23">
      <t>シヨウ</t>
    </rPh>
    <rPh sb="30" eb="33">
      <t>ジゲンシキ</t>
    </rPh>
    <rPh sb="40" eb="42">
      <t>カイジョ</t>
    </rPh>
    <rPh sb="47" eb="48">
      <t>モ</t>
    </rPh>
    <rPh sb="54" eb="56">
      <t>タイサク</t>
    </rPh>
    <phoneticPr fontId="5"/>
  </si>
  <si>
    <t>オーズは永続暗闇スキルを使用してきます
暗闇解除スキルを
持つユニットで対策しましょう</t>
    <rPh sb="4" eb="6">
      <t>エイゾク</t>
    </rPh>
    <rPh sb="6" eb="8">
      <t>クラヤミ</t>
    </rPh>
    <rPh sb="12" eb="14">
      <t>シヨウ</t>
    </rPh>
    <rPh sb="21" eb="23">
      <t>クラヤミ</t>
    </rPh>
    <rPh sb="23" eb="25">
      <t>カイジョ</t>
    </rPh>
    <rPh sb="30" eb="31">
      <t>モ</t>
    </rPh>
    <rPh sb="37" eb="39">
      <t>タイサク</t>
    </rPh>
    <phoneticPr fontId="5"/>
  </si>
  <si>
    <t>勝てない時はゲリラに参加して
ユニットのレベルを上げましょう</t>
    <phoneticPr fontId="5"/>
  </si>
  <si>
    <t>[effect:dark, turn:5,target:unit_all,animation:enemy_dark]</t>
    <phoneticPr fontId="5"/>
  </si>
  <si>
    <t>5ターンの間パネルの色がわからなくなる！</t>
    <rPh sb="5" eb="6">
      <t>ア</t>
    </rPh>
    <rPh sb="10" eb="11">
      <t>イロ</t>
    </rPh>
    <phoneticPr fontId="5"/>
  </si>
  <si>
    <t>skip</t>
    <phoneticPr fontId="5"/>
  </si>
  <si>
    <t>old</t>
    <phoneticPr fontId="5"/>
  </si>
  <si>
    <t>old</t>
    <phoneticPr fontId="5"/>
  </si>
  <si>
    <t>[effect:damage_anti_tribe, target:unit_all, tribe:machine, val1:0.01, val2:5.0],[effect:damage_anti_tribe, target:unit_all, tribe:machine, val1:0.01, val2:5.0]</t>
    <phoneticPr fontId="5"/>
  </si>
  <si>
    <t>skip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</si>
</sst>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81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11" fillId="0" borderId="7" xfId="0" applyFont="1" applyBorder="1" applyAlignment="1">
      <alignment vertical="center"/>
    </xf>
    <xf numFmtId="0" fontId="4" fillId="31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4" fillId="34" borderId="1" xfId="0" applyFont="1" applyFill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1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  <xf numFmtId="0" fontId="0" fillId="0" borderId="12" xfId="0" applyBorder="1"/>
    <xf numFmtId="0" fontId="27" fillId="0" borderId="12" xfId="0" applyFont="1" applyFill="1" applyBorder="1"/>
    <xf numFmtId="0" fontId="0" fillId="3" borderId="12" xfId="0" applyFill="1" applyBorder="1"/>
    <xf numFmtId="0" fontId="6" fillId="5" borderId="12" xfId="0" applyFont="1" applyFill="1" applyBorder="1" applyAlignment="1">
      <alignment vertical="center"/>
    </xf>
    <xf numFmtId="0" fontId="0" fillId="0" borderId="23" xfId="0" applyBorder="1"/>
    <xf numFmtId="0" fontId="27" fillId="0" borderId="23" xfId="0" applyFont="1" applyFill="1" applyBorder="1"/>
    <xf numFmtId="0" fontId="0" fillId="3" borderId="23" xfId="0" applyFill="1" applyBorder="1"/>
    <xf numFmtId="0" fontId="6" fillId="5" borderId="23" xfId="0" applyFont="1" applyFill="1" applyBorder="1" applyAlignment="1">
      <alignment vertical="center"/>
    </xf>
  </cellXfs>
  <cellStyles count="81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赤字強調" xfId="431"/>
    <cellStyle name="青字強調" xfId="43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1456</v>
          </cell>
        </row>
        <row r="1408">
          <cell r="A1408">
            <v>1457</v>
          </cell>
        </row>
        <row r="1409">
          <cell r="A1409">
            <v>1458</v>
          </cell>
        </row>
        <row r="1410">
          <cell r="A1410">
            <v>1459</v>
          </cell>
        </row>
        <row r="1411">
          <cell r="A1411">
            <v>1460</v>
          </cell>
        </row>
        <row r="1412">
          <cell r="A1412">
            <v>1461</v>
          </cell>
        </row>
        <row r="1413">
          <cell r="A1413">
            <v>1462</v>
          </cell>
        </row>
        <row r="1414">
          <cell r="A1414">
            <v>1463</v>
          </cell>
        </row>
        <row r="1415">
          <cell r="A1415">
            <v>1464</v>
          </cell>
        </row>
        <row r="1416">
          <cell r="A1416">
            <v>1465</v>
          </cell>
        </row>
        <row r="1417">
          <cell r="A1417">
            <v>1466</v>
          </cell>
        </row>
        <row r="1418">
          <cell r="A1418">
            <v>1467</v>
          </cell>
        </row>
        <row r="1419">
          <cell r="A1419">
            <v>1468</v>
          </cell>
        </row>
        <row r="1420">
          <cell r="A1420">
            <v>1469</v>
          </cell>
        </row>
        <row r="1421">
          <cell r="A1421">
            <v>1470</v>
          </cell>
        </row>
        <row r="1422">
          <cell r="A1422">
            <v>1488</v>
          </cell>
        </row>
        <row r="1423">
          <cell r="A1423">
            <v>1489</v>
          </cell>
        </row>
        <row r="1424">
          <cell r="A1424">
            <v>1504</v>
          </cell>
        </row>
        <row r="1425">
          <cell r="A1425">
            <v>1505</v>
          </cell>
        </row>
        <row r="1426">
          <cell r="A1426">
            <v>1506</v>
          </cell>
        </row>
        <row r="1427">
          <cell r="A1427">
            <v>1507</v>
          </cell>
        </row>
        <row r="1428">
          <cell r="A1428">
            <v>1508</v>
          </cell>
        </row>
        <row r="1429">
          <cell r="A1429">
            <v>1509</v>
          </cell>
        </row>
        <row r="1430">
          <cell r="A1430">
            <v>1510</v>
          </cell>
        </row>
        <row r="1431">
          <cell r="A1431">
            <v>1511</v>
          </cell>
        </row>
        <row r="1432">
          <cell r="A1432">
            <v>1512</v>
          </cell>
        </row>
        <row r="1433">
          <cell r="A1433">
            <v>1513</v>
          </cell>
        </row>
        <row r="1434">
          <cell r="A1434">
            <v>1514</v>
          </cell>
        </row>
        <row r="1435">
          <cell r="A1435">
            <v>1515</v>
          </cell>
        </row>
        <row r="1436">
          <cell r="A1436">
            <v>1516</v>
          </cell>
        </row>
        <row r="1437">
          <cell r="A1437">
            <v>1517</v>
          </cell>
        </row>
        <row r="1438">
          <cell r="A1438">
            <v>1518</v>
          </cell>
        </row>
        <row r="1439">
          <cell r="A1439">
            <v>1519</v>
          </cell>
        </row>
        <row r="1440">
          <cell r="A1440">
            <v>1520</v>
          </cell>
        </row>
        <row r="1441">
          <cell r="A1441">
            <v>1521</v>
          </cell>
        </row>
        <row r="1442">
          <cell r="A1442">
            <v>1522</v>
          </cell>
        </row>
        <row r="1443">
          <cell r="A1443">
            <v>1523</v>
          </cell>
        </row>
        <row r="1444">
          <cell r="A1444">
            <v>1524</v>
          </cell>
        </row>
        <row r="1445">
          <cell r="A1445">
            <v>1525</v>
          </cell>
        </row>
        <row r="1446">
          <cell r="A1446">
            <v>1526</v>
          </cell>
        </row>
        <row r="1447">
          <cell r="A1447">
            <v>1527</v>
          </cell>
        </row>
        <row r="1448">
          <cell r="A1448">
            <v>1528</v>
          </cell>
        </row>
        <row r="1449">
          <cell r="A1449">
            <v>1529</v>
          </cell>
        </row>
        <row r="1450">
          <cell r="A1450">
            <v>1530</v>
          </cell>
        </row>
        <row r="1451">
          <cell r="A1451">
            <v>1531</v>
          </cell>
        </row>
        <row r="1452">
          <cell r="A1452">
            <v>1532</v>
          </cell>
        </row>
        <row r="1453">
          <cell r="A1453">
            <v>1533</v>
          </cell>
        </row>
        <row r="1454">
          <cell r="A1454">
            <v>1534</v>
          </cell>
        </row>
        <row r="1455">
          <cell r="A1455">
            <v>1535</v>
          </cell>
        </row>
        <row r="1456">
          <cell r="A1456">
            <v>1536</v>
          </cell>
        </row>
        <row r="1457">
          <cell r="A1457">
            <v>1537</v>
          </cell>
        </row>
        <row r="1458">
          <cell r="A1458">
            <v>1538</v>
          </cell>
        </row>
        <row r="1459">
          <cell r="A1459">
            <v>1539</v>
          </cell>
        </row>
        <row r="1460">
          <cell r="A1460">
            <v>1540</v>
          </cell>
        </row>
        <row r="1461">
          <cell r="A1461">
            <v>1541</v>
          </cell>
        </row>
        <row r="1462">
          <cell r="A1462">
            <v>1542</v>
          </cell>
        </row>
        <row r="1463">
          <cell r="A1463">
            <v>1543</v>
          </cell>
        </row>
        <row r="1464">
          <cell r="A1464">
            <v>1544</v>
          </cell>
        </row>
        <row r="1465">
          <cell r="A1465">
            <v>1545</v>
          </cell>
        </row>
        <row r="1466">
          <cell r="A1466">
            <v>1546</v>
          </cell>
        </row>
        <row r="1467">
          <cell r="A1467">
            <v>1547</v>
          </cell>
        </row>
        <row r="1468">
          <cell r="A1468">
            <v>1548</v>
          </cell>
        </row>
        <row r="1469">
          <cell r="A1469">
            <v>1549</v>
          </cell>
        </row>
        <row r="1470">
          <cell r="A1470">
            <v>1550</v>
          </cell>
        </row>
        <row r="1471">
          <cell r="A1471">
            <v>5001</v>
          </cell>
        </row>
        <row r="1472">
          <cell r="A1472">
            <v>5002</v>
          </cell>
        </row>
        <row r="1473">
          <cell r="A1473">
            <v>5003</v>
          </cell>
        </row>
        <row r="1474">
          <cell r="A1474">
            <v>5004</v>
          </cell>
        </row>
        <row r="1475">
          <cell r="A1475">
            <v>5005</v>
          </cell>
        </row>
        <row r="1476">
          <cell r="A1476">
            <v>5006</v>
          </cell>
        </row>
        <row r="1477">
          <cell r="A1477">
            <v>5007</v>
          </cell>
        </row>
        <row r="1478">
          <cell r="A1478">
            <v>5008</v>
          </cell>
        </row>
        <row r="1479">
          <cell r="A1479">
            <v>6001</v>
          </cell>
        </row>
        <row r="1480">
          <cell r="A1480">
            <v>6002</v>
          </cell>
        </row>
        <row r="1481">
          <cell r="A1481">
            <v>6003</v>
          </cell>
        </row>
        <row r="1482">
          <cell r="A1482">
            <v>6004</v>
          </cell>
        </row>
        <row r="1483">
          <cell r="A1483">
            <v>6005</v>
          </cell>
        </row>
        <row r="1484">
          <cell r="A1484">
            <v>6006</v>
          </cell>
        </row>
        <row r="1485">
          <cell r="A1485">
            <v>6007</v>
          </cell>
        </row>
        <row r="1486">
          <cell r="A1486">
            <v>6008</v>
          </cell>
        </row>
        <row r="1487">
          <cell r="A1487">
            <v>6009</v>
          </cell>
        </row>
        <row r="1488">
          <cell r="A1488">
            <v>6010</v>
          </cell>
        </row>
        <row r="1489">
          <cell r="A1489">
            <v>6011</v>
          </cell>
        </row>
        <row r="1490">
          <cell r="A1490">
            <v>6012</v>
          </cell>
        </row>
        <row r="1491">
          <cell r="A1491">
            <v>6013</v>
          </cell>
        </row>
        <row r="1492">
          <cell r="A1492">
            <v>6014</v>
          </cell>
        </row>
        <row r="1493">
          <cell r="A1493">
            <v>6015</v>
          </cell>
        </row>
        <row r="1494">
          <cell r="A1494">
            <v>6016</v>
          </cell>
        </row>
        <row r="1495">
          <cell r="A1495">
            <v>6017</v>
          </cell>
        </row>
        <row r="1496">
          <cell r="A1496">
            <v>6018</v>
          </cell>
        </row>
        <row r="1497">
          <cell r="A1497">
            <v>6019</v>
          </cell>
        </row>
        <row r="1498">
          <cell r="A1498">
            <v>6020</v>
          </cell>
        </row>
        <row r="1499">
          <cell r="A1499">
            <v>8001</v>
          </cell>
        </row>
        <row r="1500">
          <cell r="A1500">
            <v>8002</v>
          </cell>
        </row>
        <row r="1501">
          <cell r="A1501">
            <v>8003</v>
          </cell>
        </row>
        <row r="1502">
          <cell r="A1502">
            <v>8004</v>
          </cell>
        </row>
        <row r="1503">
          <cell r="A1503">
            <v>8005</v>
          </cell>
        </row>
        <row r="1504">
          <cell r="A1504">
            <v>8006</v>
          </cell>
        </row>
        <row r="1505">
          <cell r="A1505">
            <v>8007</v>
          </cell>
        </row>
        <row r="1506">
          <cell r="A1506">
            <v>8008</v>
          </cell>
        </row>
        <row r="1507">
          <cell r="A1507">
            <v>8009</v>
          </cell>
        </row>
        <row r="1508">
          <cell r="A1508">
            <v>8010</v>
          </cell>
        </row>
        <row r="1509">
          <cell r="A1509">
            <v>8011</v>
          </cell>
        </row>
        <row r="1510">
          <cell r="A1510">
            <v>8012</v>
          </cell>
        </row>
        <row r="1511">
          <cell r="A1511">
            <v>8013</v>
          </cell>
        </row>
        <row r="1512">
          <cell r="A1512">
            <v>8014</v>
          </cell>
        </row>
        <row r="1513">
          <cell r="A1513">
            <v>8015</v>
          </cell>
        </row>
        <row r="1514">
          <cell r="A1514">
            <v>8016</v>
          </cell>
        </row>
        <row r="1515">
          <cell r="A1515">
            <v>8017</v>
          </cell>
        </row>
        <row r="1516">
          <cell r="A1516">
            <v>8018</v>
          </cell>
        </row>
        <row r="1517">
          <cell r="A1517">
            <v>8019</v>
          </cell>
        </row>
        <row r="1518">
          <cell r="A1518">
            <v>8020</v>
          </cell>
        </row>
        <row r="1519">
          <cell r="A1519">
            <v>8021</v>
          </cell>
        </row>
        <row r="1520">
          <cell r="A1520">
            <v>8022</v>
          </cell>
        </row>
        <row r="1521">
          <cell r="A1521">
            <v>8023</v>
          </cell>
        </row>
        <row r="1522">
          <cell r="A1522">
            <v>8024</v>
          </cell>
        </row>
        <row r="1523">
          <cell r="A1523">
            <v>8025</v>
          </cell>
        </row>
        <row r="1524">
          <cell r="A1524">
            <v>8026</v>
          </cell>
        </row>
        <row r="1525">
          <cell r="A1525">
            <v>8027</v>
          </cell>
        </row>
        <row r="1526">
          <cell r="A1526">
            <v>8028</v>
          </cell>
        </row>
        <row r="1527">
          <cell r="A1527">
            <v>8029</v>
          </cell>
        </row>
        <row r="1528">
          <cell r="A1528">
            <v>8030</v>
          </cell>
        </row>
        <row r="1529">
          <cell r="A1529">
            <v>8031</v>
          </cell>
        </row>
        <row r="1530">
          <cell r="A1530">
            <v>8032</v>
          </cell>
        </row>
        <row r="1531">
          <cell r="A1531">
            <v>8033</v>
          </cell>
        </row>
        <row r="1532">
          <cell r="A1532">
            <v>8034</v>
          </cell>
        </row>
        <row r="1533">
          <cell r="A1533">
            <v>8035</v>
          </cell>
        </row>
        <row r="1534">
          <cell r="A1534">
            <v>8036</v>
          </cell>
        </row>
        <row r="1535">
          <cell r="A1535">
            <v>8037</v>
          </cell>
        </row>
        <row r="1536">
          <cell r="A1536">
            <v>8038</v>
          </cell>
        </row>
        <row r="1537">
          <cell r="A1537">
            <v>8039</v>
          </cell>
        </row>
        <row r="1538">
          <cell r="A1538">
            <v>8040</v>
          </cell>
        </row>
        <row r="1539">
          <cell r="A1539">
            <v>8041</v>
          </cell>
        </row>
        <row r="1540">
          <cell r="A1540">
            <v>8042</v>
          </cell>
        </row>
        <row r="1541">
          <cell r="A1541">
            <v>8043</v>
          </cell>
        </row>
        <row r="1542">
          <cell r="A1542">
            <v>8044</v>
          </cell>
        </row>
        <row r="1543">
          <cell r="A1543">
            <v>8045</v>
          </cell>
        </row>
        <row r="1544">
          <cell r="A1544">
            <v>8046</v>
          </cell>
        </row>
        <row r="1545">
          <cell r="A1545">
            <v>8047</v>
          </cell>
        </row>
        <row r="1546">
          <cell r="A1546">
            <v>8048</v>
          </cell>
        </row>
        <row r="1547">
          <cell r="A1547">
            <v>8049</v>
          </cell>
        </row>
        <row r="1548">
          <cell r="A1548">
            <v>8050</v>
          </cell>
        </row>
        <row r="1549">
          <cell r="A1549">
            <v>8051</v>
          </cell>
        </row>
        <row r="1550">
          <cell r="A1550">
            <v>8052</v>
          </cell>
        </row>
        <row r="1551">
          <cell r="A1551">
            <v>8053</v>
          </cell>
        </row>
        <row r="1552">
          <cell r="A1552">
            <v>8054</v>
          </cell>
        </row>
        <row r="1553">
          <cell r="A1553">
            <v>8055</v>
          </cell>
        </row>
        <row r="1554">
          <cell r="A1554">
            <v>8056</v>
          </cell>
        </row>
        <row r="1555">
          <cell r="A1555">
            <v>8057</v>
          </cell>
        </row>
        <row r="1556">
          <cell r="A1556">
            <v>8058</v>
          </cell>
        </row>
        <row r="1557">
          <cell r="A1557">
            <v>8059</v>
          </cell>
        </row>
        <row r="1558">
          <cell r="A1558">
            <v>8060</v>
          </cell>
        </row>
        <row r="1559">
          <cell r="A1559">
            <v>8061</v>
          </cell>
        </row>
        <row r="1560">
          <cell r="A1560">
            <v>8062</v>
          </cell>
        </row>
        <row r="1561">
          <cell r="A1561">
            <v>8063</v>
          </cell>
        </row>
        <row r="1562">
          <cell r="A1562">
            <v>8064</v>
          </cell>
        </row>
        <row r="1563">
          <cell r="A1563">
            <v>8065</v>
          </cell>
        </row>
        <row r="1564">
          <cell r="A1564">
            <v>8066</v>
          </cell>
        </row>
        <row r="1565">
          <cell r="A1565">
            <v>8067</v>
          </cell>
        </row>
        <row r="1566">
          <cell r="A1566">
            <v>8068</v>
          </cell>
        </row>
        <row r="1567">
          <cell r="A1567">
            <v>8069</v>
          </cell>
        </row>
        <row r="1568">
          <cell r="A1568">
            <v>8070</v>
          </cell>
        </row>
        <row r="1569">
          <cell r="A1569">
            <v>8071</v>
          </cell>
        </row>
        <row r="1570">
          <cell r="A1570">
            <v>8072</v>
          </cell>
        </row>
        <row r="1571">
          <cell r="A1571">
            <v>8073</v>
          </cell>
        </row>
        <row r="1572">
          <cell r="A1572">
            <v>8074</v>
          </cell>
        </row>
        <row r="1573">
          <cell r="A1573">
            <v>8075</v>
          </cell>
        </row>
        <row r="1574">
          <cell r="A1574">
            <v>8076</v>
          </cell>
        </row>
        <row r="1575">
          <cell r="A1575">
            <v>8077</v>
          </cell>
        </row>
        <row r="1576">
          <cell r="A1576">
            <v>8078</v>
          </cell>
        </row>
        <row r="1577">
          <cell r="A1577">
            <v>8079</v>
          </cell>
        </row>
        <row r="1578">
          <cell r="A1578">
            <v>8080</v>
          </cell>
        </row>
        <row r="1579">
          <cell r="A1579">
            <v>8081</v>
          </cell>
        </row>
        <row r="1580">
          <cell r="A1580">
            <v>8082</v>
          </cell>
        </row>
        <row r="1581">
          <cell r="A1581">
            <v>8083</v>
          </cell>
        </row>
        <row r="1582">
          <cell r="A1582">
            <v>8084</v>
          </cell>
        </row>
        <row r="1583">
          <cell r="A1583">
            <v>8087</v>
          </cell>
        </row>
        <row r="1584">
          <cell r="A1584">
            <v>8088</v>
          </cell>
        </row>
        <row r="1585">
          <cell r="A1585">
            <v>8089</v>
          </cell>
        </row>
        <row r="1586">
          <cell r="A1586">
            <v>8090</v>
          </cell>
        </row>
        <row r="1587">
          <cell r="A1587">
            <v>8095</v>
          </cell>
        </row>
        <row r="1588">
          <cell r="A1588">
            <v>8096</v>
          </cell>
        </row>
        <row r="1589">
          <cell r="A1589">
            <v>8097</v>
          </cell>
        </row>
        <row r="1590">
          <cell r="A1590">
            <v>8098</v>
          </cell>
        </row>
        <row r="1591">
          <cell r="A1591">
            <v>8099</v>
          </cell>
        </row>
        <row r="1592">
          <cell r="A1592">
            <v>9001</v>
          </cell>
        </row>
        <row r="1593">
          <cell r="A1593">
            <v>9002</v>
          </cell>
        </row>
        <row r="1594">
          <cell r="A1594">
            <v>9003</v>
          </cell>
        </row>
        <row r="1595">
          <cell r="A1595">
            <v>9004</v>
          </cell>
        </row>
        <row r="1596">
          <cell r="A1596">
            <v>10001</v>
          </cell>
        </row>
        <row r="1597">
          <cell r="A1597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tabSelected="1" workbookViewId="0">
      <selection activeCell="I24" sqref="I2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257</v>
      </c>
      <c r="B2" s="57" t="s">
        <v>107</v>
      </c>
      <c r="C2" s="62">
        <v>30025</v>
      </c>
      <c r="D2" s="57" t="s">
        <v>108</v>
      </c>
      <c r="E2" s="56" t="str">
        <f>B2&amp;C2&amp;D2</f>
        <v>floors_30025.tmp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261</v>
      </c>
      <c r="B3" s="57" t="s">
        <v>110</v>
      </c>
      <c r="C3" s="62">
        <f>C$2</f>
        <v>30025</v>
      </c>
      <c r="D3" s="57" t="s">
        <v>108</v>
      </c>
      <c r="E3" s="56" t="str">
        <f>B3&amp;C3&amp;D3</f>
        <v>enemy_habitats_30025.tmp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257</v>
      </c>
      <c r="B4" s="57" t="s">
        <v>112</v>
      </c>
      <c r="C4" s="62">
        <f t="shared" ref="C4:C12" si="0">C$2</f>
        <v>30025</v>
      </c>
      <c r="D4" s="57" t="s">
        <v>108</v>
      </c>
      <c r="E4" s="56" t="str">
        <f>B4&amp;C4&amp;D4</f>
        <v>enemy_habitat_S_30025.tmp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257</v>
      </c>
      <c r="B5" s="57" t="s">
        <v>114</v>
      </c>
      <c r="C5" s="62">
        <f t="shared" si="0"/>
        <v>30025</v>
      </c>
      <c r="D5" s="57" t="s">
        <v>108</v>
      </c>
      <c r="E5" s="56" t="str">
        <f>B5&amp;C5&amp;D5</f>
        <v>enemy_skill_sets_30025.tmp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258</v>
      </c>
      <c r="B6" s="57" t="s">
        <v>116</v>
      </c>
      <c r="C6" s="62">
        <f t="shared" si="0"/>
        <v>30025</v>
      </c>
      <c r="D6" s="57" t="s">
        <v>117</v>
      </c>
      <c r="E6" s="56" t="str">
        <f t="shared" ref="E6:E10" si="1">B6&amp;C6&amp;D6</f>
        <v>enemy_skills_tmp_30025.tmp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259</v>
      </c>
      <c r="B7" s="57" t="s">
        <v>118</v>
      </c>
      <c r="C7" s="62">
        <f t="shared" si="0"/>
        <v>30025</v>
      </c>
      <c r="D7" s="57" t="s">
        <v>108</v>
      </c>
      <c r="E7" s="56" t="str">
        <f>B7&amp;C7&amp;D7</f>
        <v>enemy_skills_i18n_30025.tmp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257</v>
      </c>
      <c r="B8" s="57" t="s">
        <v>120</v>
      </c>
      <c r="C8" s="62">
        <f t="shared" si="0"/>
        <v>30025</v>
      </c>
      <c r="D8" s="57" t="s">
        <v>121</v>
      </c>
      <c r="E8" s="56" t="str">
        <f t="shared" si="1"/>
        <v>enemy_skill_triggers_30025.tmp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261</v>
      </c>
      <c r="B9" s="67" t="s">
        <v>178</v>
      </c>
      <c r="C9" s="62">
        <f t="shared" si="0"/>
        <v>30025</v>
      </c>
      <c r="D9" s="67" t="s">
        <v>172</v>
      </c>
      <c r="E9" s="68" t="str">
        <f t="shared" si="1"/>
        <v>stage_bug_bonuses_30025.tmp</v>
      </c>
      <c r="F9" s="67" t="s">
        <v>173</v>
      </c>
      <c r="G9" s="64" t="s">
        <v>151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 s="76" customFormat="1" x14ac:dyDescent="0.15">
      <c r="A10" s="61" t="s">
        <v>257</v>
      </c>
      <c r="B10" s="67" t="s">
        <v>202</v>
      </c>
      <c r="C10" s="62">
        <f>C$2</f>
        <v>30025</v>
      </c>
      <c r="D10" s="67" t="s">
        <v>181</v>
      </c>
      <c r="E10" s="68" t="str">
        <f t="shared" si="1"/>
        <v>stage_hints_data_c_30025.tmp</v>
      </c>
      <c r="F10" s="67" t="s">
        <v>210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75" t="s">
        <v>185</v>
      </c>
    </row>
    <row r="11" spans="1:30" s="76" customFormat="1" x14ac:dyDescent="0.15">
      <c r="A11" s="61" t="s">
        <v>257</v>
      </c>
      <c r="B11" s="67" t="s">
        <v>203</v>
      </c>
      <c r="C11" s="62">
        <f t="shared" si="0"/>
        <v>30025</v>
      </c>
      <c r="D11" s="67" t="s">
        <v>172</v>
      </c>
      <c r="E11" s="68" t="str">
        <f t="shared" ref="E11:E12" si="2">B11&amp;C11&amp;D11</f>
        <v>stage_hints_data_f_30025.tmp</v>
      </c>
      <c r="F11" s="67" t="s">
        <v>212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75" t="s">
        <v>185</v>
      </c>
    </row>
    <row r="12" spans="1:30" s="76" customFormat="1" x14ac:dyDescent="0.15">
      <c r="A12" s="61" t="s">
        <v>257</v>
      </c>
      <c r="B12" s="67" t="s">
        <v>204</v>
      </c>
      <c r="C12" s="62">
        <f t="shared" si="0"/>
        <v>30025</v>
      </c>
      <c r="D12" s="67" t="s">
        <v>172</v>
      </c>
      <c r="E12" s="68" t="str">
        <f t="shared" si="2"/>
        <v>stage_hints_i18n_30025.tmp</v>
      </c>
      <c r="F12" s="67" t="s">
        <v>213</v>
      </c>
      <c r="G12" s="74" t="s">
        <v>205</v>
      </c>
      <c r="H12" s="96" t="s">
        <v>206</v>
      </c>
      <c r="I12" s="73" t="s">
        <v>207</v>
      </c>
      <c r="J12" s="97" t="s">
        <v>208</v>
      </c>
      <c r="K12" s="75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1"/>
  <sheetViews>
    <sheetView showGridLines="0" workbookViewId="0">
      <pane ySplit="1" topLeftCell="A2" activePane="bottomLeft" state="frozen"/>
      <selection activeCell="V2" sqref="V2:X34"/>
      <selection pane="bottomLeft" activeCell="K9" sqref="K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1" si="0">G2&amp;"-"&amp;I2</f>
        <v>30025_1-1</v>
      </c>
      <c r="B2" s="16" t="str">
        <f>IF(COUNTIF(enemy_habitats!$H:$H,A2),"OK","NG")</f>
        <v>OK</v>
      </c>
      <c r="C2" s="7">
        <v>30025</v>
      </c>
      <c r="D2" s="11" t="str">
        <f ca="1">VLOOKUP($C2,OFFSET([2]quests!$A$1,0,0,COUNTA([2]quests!$A:$A),MATCH(D$1,[2]quests!$1:$1,0)-MATCH($C$1,[2]quests!$1:$1,0)+1),MATCH(D$1,[2]quests!$1:$1,0)-MATCH($C$1,[2]quests!$1:$1,0)+1,FALSE)</f>
        <v>真実の探求者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ドロップイベント7（マルチ専用）</v>
      </c>
      <c r="F2" s="21">
        <v>1</v>
      </c>
      <c r="G2" s="23" t="str">
        <f t="shared" ref="G2:G11" si="1">C2&amp;"_"&amp;F2</f>
        <v>30025_1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【中級】真実の探求者</v>
      </c>
      <c r="I2" s="21">
        <v>1</v>
      </c>
      <c r="J2" s="12">
        <v>30</v>
      </c>
      <c r="K2" s="12">
        <v>30</v>
      </c>
    </row>
    <row r="3" spans="1:11" ht="21" customHeight="1" x14ac:dyDescent="0.15">
      <c r="A3" s="16" t="str">
        <f t="shared" si="0"/>
        <v>30025_1-2</v>
      </c>
      <c r="B3" s="16" t="str">
        <f>IF(COUNTIF(enemy_habitats!$H:$H,A3),"OK","NG")</f>
        <v>OK</v>
      </c>
      <c r="C3" s="7">
        <v>30025</v>
      </c>
      <c r="D3" s="11" t="str">
        <f ca="1">VLOOKUP($C3,OFFSET([2]quests!$A$1,0,0,COUNTA([2]quests!$A:$A),MATCH(D$1,[2]quests!$1:$1,0)-MATCH($C$1,[2]quests!$1:$1,0)+1),MATCH(D$1,[2]quests!$1:$1,0)-MATCH($C$1,[2]quests!$1:$1,0)+1,FALSE)</f>
        <v>真実の探求者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ドロップイベント7（マルチ専用）</v>
      </c>
      <c r="F3" s="21">
        <v>1</v>
      </c>
      <c r="G3" s="23" t="str">
        <f t="shared" si="1"/>
        <v>30025_1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【中級】真実の探求者</v>
      </c>
      <c r="I3" s="21">
        <v>2</v>
      </c>
      <c r="J3" s="12">
        <v>45</v>
      </c>
      <c r="K3" s="12">
        <v>45</v>
      </c>
    </row>
    <row r="4" spans="1:11" ht="21" customHeight="1" x14ac:dyDescent="0.15">
      <c r="A4" s="16" t="str">
        <f t="shared" si="0"/>
        <v>30025_1-3</v>
      </c>
      <c r="B4" s="16" t="str">
        <f>IF(COUNTIF(enemy_habitats!$H:$H,A4),"OK","NG")</f>
        <v>OK</v>
      </c>
      <c r="C4" s="7">
        <v>30025</v>
      </c>
      <c r="D4" s="11" t="str">
        <f ca="1">VLOOKUP($C4,OFFSET([2]quests!$A$1,0,0,COUNTA([2]quests!$A:$A),MATCH(D$1,[2]quests!$1:$1,0)-MATCH($C$1,[2]quests!$1:$1,0)+1),MATCH(D$1,[2]quests!$1:$1,0)-MATCH($C$1,[2]quests!$1:$1,0)+1,FALSE)</f>
        <v>真実の探求者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ドロップイベント7（マルチ専用）</v>
      </c>
      <c r="F4" s="21">
        <v>1</v>
      </c>
      <c r="G4" s="23" t="str">
        <f t="shared" si="1"/>
        <v>30025_1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【中級】真実の探求者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30025_2-1</v>
      </c>
      <c r="B5" s="16" t="str">
        <f>IF(COUNTIF(enemy_habitats!$H:$H,A5),"OK","NG")</f>
        <v>OK</v>
      </c>
      <c r="C5" s="7">
        <v>30025</v>
      </c>
      <c r="D5" s="11" t="str">
        <f ca="1">VLOOKUP($C5,OFFSET([2]quests!$A$1,0,0,COUNTA([2]quests!$A:$A),MATCH(D$1,[2]quests!$1:$1,0)-MATCH($C$1,[2]quests!$1:$1,0)+1),MATCH(D$1,[2]quests!$1:$1,0)-MATCH($C$1,[2]quests!$1:$1,0)+1,FALSE)</f>
        <v>真実の探求者</v>
      </c>
      <c r="E5" s="18" t="str">
        <f ca="1">VLOOKUP($C5,OFFSET([2]quests!$A$1,0,0,COUNTA([2]quests!$A:$A),MATCH(E$1,[2]quests!$1:$1,0)-MATCH($C$1,[2]quests!$1:$1,0)+1),MATCH(E$1,[2]quests!$1:$1,0)-MATCH($C$1,[2]quests!$1:$1,0)+1,FALSE)</f>
        <v>ドロップイベント7（マルチ専用）</v>
      </c>
      <c r="F5" s="21">
        <v>2</v>
      </c>
      <c r="G5" s="23" t="str">
        <f t="shared" si="1"/>
        <v>30025_2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【上級】真実の探求者</v>
      </c>
      <c r="I5" s="21">
        <v>1</v>
      </c>
      <c r="J5" s="12">
        <v>30</v>
      </c>
      <c r="K5" s="12">
        <v>30</v>
      </c>
    </row>
    <row r="6" spans="1:11" ht="21" customHeight="1" x14ac:dyDescent="0.15">
      <c r="A6" s="16" t="str">
        <f t="shared" si="0"/>
        <v>30025_2-2</v>
      </c>
      <c r="B6" s="16" t="str">
        <f>IF(COUNTIF(enemy_habitats!$H:$H,A6),"OK","NG")</f>
        <v>OK</v>
      </c>
      <c r="C6" s="7">
        <v>30025</v>
      </c>
      <c r="D6" s="11" t="str">
        <f ca="1">VLOOKUP($C6,OFFSET([2]quests!$A$1,0,0,COUNTA([2]quests!$A:$A),MATCH(D$1,[2]quests!$1:$1,0)-MATCH($C$1,[2]quests!$1:$1,0)+1),MATCH(D$1,[2]quests!$1:$1,0)-MATCH($C$1,[2]quests!$1:$1,0)+1,FALSE)</f>
        <v>真実の探求者</v>
      </c>
      <c r="E6" s="18" t="str">
        <f ca="1">VLOOKUP($C6,OFFSET([2]quests!$A$1,0,0,COUNTA([2]quests!$A:$A),MATCH(E$1,[2]quests!$1:$1,0)-MATCH($C$1,[2]quests!$1:$1,0)+1),MATCH(E$1,[2]quests!$1:$1,0)-MATCH($C$1,[2]quests!$1:$1,0)+1,FALSE)</f>
        <v>ドロップイベント7（マルチ専用）</v>
      </c>
      <c r="F6" s="21">
        <v>2</v>
      </c>
      <c r="G6" s="23" t="str">
        <f t="shared" si="1"/>
        <v>30025_2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【上級】真実の探求者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30025_2-3</v>
      </c>
      <c r="B7" s="16" t="str">
        <f>IF(COUNTIF(enemy_habitats!$H:$H,A7),"OK","NG")</f>
        <v>OK</v>
      </c>
      <c r="C7" s="7">
        <v>30025</v>
      </c>
      <c r="D7" s="11" t="str">
        <f ca="1">VLOOKUP($C7,OFFSET([2]quests!$A$1,0,0,COUNTA([2]quests!$A:$A),MATCH(D$1,[2]quests!$1:$1,0)-MATCH($C$1,[2]quests!$1:$1,0)+1),MATCH(D$1,[2]quests!$1:$1,0)-MATCH($C$1,[2]quests!$1:$1,0)+1,FALSE)</f>
        <v>真実の探求者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ドロップイベント7（マルチ専用）</v>
      </c>
      <c r="F7" s="21">
        <v>2</v>
      </c>
      <c r="G7" s="23" t="str">
        <f t="shared" si="1"/>
        <v>30025_2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【上級】真実の探求者</v>
      </c>
      <c r="I7" s="21">
        <v>3</v>
      </c>
      <c r="J7" s="12">
        <v>30</v>
      </c>
      <c r="K7" s="12">
        <v>30</v>
      </c>
    </row>
    <row r="8" spans="1:11" ht="21" customHeight="1" x14ac:dyDescent="0.15">
      <c r="A8" s="16" t="str">
        <f t="shared" si="0"/>
        <v>30025_3-1</v>
      </c>
      <c r="B8" s="16" t="str">
        <f>IF(COUNTIF(enemy_habitats!$H:$H,A8),"OK","NG")</f>
        <v>OK</v>
      </c>
      <c r="C8" s="7">
        <v>30025</v>
      </c>
      <c r="D8" s="11" t="str">
        <f ca="1">VLOOKUP($C8,OFFSET([2]quests!$A$1,0,0,COUNTA([2]quests!$A:$A),MATCH(D$1,[2]quests!$1:$1,0)-MATCH($C$1,[2]quests!$1:$1,0)+1),MATCH(D$1,[2]quests!$1:$1,0)-MATCH($C$1,[2]quests!$1:$1,0)+1,FALSE)</f>
        <v>真実の探求者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ドロップイベント7（マルチ専用）</v>
      </c>
      <c r="F8" s="21">
        <v>3</v>
      </c>
      <c r="G8" s="23" t="str">
        <f t="shared" si="1"/>
        <v>30025_3</v>
      </c>
      <c r="H8" s="15" t="str">
        <f ca="1">VLOOKUP($G8,OFFSET([2]stages!$A$1,0,0,COUNTA([2]stages!$A:$A),MATCH(H$1,[2]stages!$2:$2,0)-MATCH($G$1,[2]stages!$2:$2,0)+1),MATCH(H$1,[2]stages!$2:$2,0)-MATCH($G$1,[2]stages!$2:$2,0)+1,FALSE)</f>
        <v>【超級】真実の探求者</v>
      </c>
      <c r="I8" s="21">
        <v>1</v>
      </c>
      <c r="J8" s="12">
        <v>30</v>
      </c>
      <c r="K8" s="12">
        <v>30</v>
      </c>
    </row>
    <row r="9" spans="1:11" ht="21" customHeight="1" x14ac:dyDescent="0.15">
      <c r="A9" s="16" t="str">
        <f t="shared" si="0"/>
        <v>30025_3-2</v>
      </c>
      <c r="B9" s="16" t="str">
        <f>IF(COUNTIF(enemy_habitats!$H:$H,A9),"OK","NG")</f>
        <v>OK</v>
      </c>
      <c r="C9" s="7">
        <v>30025</v>
      </c>
      <c r="D9" s="11" t="str">
        <f ca="1">VLOOKUP($C9,OFFSET([2]quests!$A$1,0,0,COUNTA([2]quests!$A:$A),MATCH(D$1,[2]quests!$1:$1,0)-MATCH($C$1,[2]quests!$1:$1,0)+1),MATCH(D$1,[2]quests!$1:$1,0)-MATCH($C$1,[2]quests!$1:$1,0)+1,FALSE)</f>
        <v>真実の探求者</v>
      </c>
      <c r="E9" s="18" t="str">
        <f ca="1">VLOOKUP($C9,OFFSET([2]quests!$A$1,0,0,COUNTA([2]quests!$A:$A),MATCH(E$1,[2]quests!$1:$1,0)-MATCH($C$1,[2]quests!$1:$1,0)+1),MATCH(E$1,[2]quests!$1:$1,0)-MATCH($C$1,[2]quests!$1:$1,0)+1,FALSE)</f>
        <v>ドロップイベント7（マルチ専用）</v>
      </c>
      <c r="F9" s="21">
        <v>3</v>
      </c>
      <c r="G9" s="23" t="str">
        <f t="shared" si="1"/>
        <v>30025_3</v>
      </c>
      <c r="H9" s="15" t="str">
        <f ca="1">VLOOKUP($G9,OFFSET([2]stages!$A$1,0,0,COUNTA([2]stages!$A:$A),MATCH(H$1,[2]stages!$2:$2,0)-MATCH($G$1,[2]stages!$2:$2,0)+1),MATCH(H$1,[2]stages!$2:$2,0)-MATCH($G$1,[2]stages!$2:$2,0)+1,FALSE)</f>
        <v>【超級】真実の探求者</v>
      </c>
      <c r="I9" s="21">
        <v>2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30025_3-3</v>
      </c>
      <c r="B10" s="16" t="str">
        <f>IF(COUNTIF(enemy_habitats!$H:$H,A10),"OK","NG")</f>
        <v>OK</v>
      </c>
      <c r="C10" s="7">
        <v>30025</v>
      </c>
      <c r="D10" s="11" t="str">
        <f ca="1">VLOOKUP($C10,OFFSET([2]quests!$A$1,0,0,COUNTA([2]quests!$A:$A),MATCH(D$1,[2]quests!$1:$1,0)-MATCH($C$1,[2]quests!$1:$1,0)+1),MATCH(D$1,[2]quests!$1:$1,0)-MATCH($C$1,[2]quests!$1:$1,0)+1,FALSE)</f>
        <v>真実の探求者</v>
      </c>
      <c r="E10" s="18" t="str">
        <f ca="1">VLOOKUP($C10,OFFSET([2]quests!$A$1,0,0,COUNTA([2]quests!$A:$A),MATCH(E$1,[2]quests!$1:$1,0)-MATCH($C$1,[2]quests!$1:$1,0)+1),MATCH(E$1,[2]quests!$1:$1,0)-MATCH($C$1,[2]quests!$1:$1,0)+1,FALSE)</f>
        <v>ドロップイベント7（マルチ専用）</v>
      </c>
      <c r="F10" s="21">
        <v>3</v>
      </c>
      <c r="G10" s="23" t="str">
        <f t="shared" si="1"/>
        <v>30025_3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【超級】真実の探求者</v>
      </c>
      <c r="I10" s="21">
        <v>3</v>
      </c>
      <c r="J10" s="12">
        <v>60</v>
      </c>
      <c r="K10" s="12">
        <v>60</v>
      </c>
    </row>
    <row r="11" spans="1:11" ht="21" customHeight="1" x14ac:dyDescent="0.15">
      <c r="A11" s="16" t="str">
        <f t="shared" si="0"/>
        <v>30025_3-4</v>
      </c>
      <c r="B11" s="16" t="str">
        <f>IF(COUNTIF(enemy_habitats!$H:$H,A11),"OK","NG")</f>
        <v>OK</v>
      </c>
      <c r="C11" s="7">
        <v>30025</v>
      </c>
      <c r="D11" s="11" t="str">
        <f ca="1">VLOOKUP($C11,OFFSET([2]quests!$A$1,0,0,COUNTA([2]quests!$A:$A),MATCH(D$1,[2]quests!$1:$1,0)-MATCH($C$1,[2]quests!$1:$1,0)+1),MATCH(D$1,[2]quests!$1:$1,0)-MATCH($C$1,[2]quests!$1:$1,0)+1,FALSE)</f>
        <v>真実の探求者</v>
      </c>
      <c r="E11" s="18" t="str">
        <f ca="1">VLOOKUP($C11,OFFSET([2]quests!$A$1,0,0,COUNTA([2]quests!$A:$A),MATCH(E$1,[2]quests!$1:$1,0)-MATCH($C$1,[2]quests!$1:$1,0)+1),MATCH(E$1,[2]quests!$1:$1,0)-MATCH($C$1,[2]quests!$1:$1,0)+1,FALSE)</f>
        <v>ドロップイベント7（マルチ専用）</v>
      </c>
      <c r="F11" s="21">
        <v>3</v>
      </c>
      <c r="G11" s="23" t="str">
        <f t="shared" si="1"/>
        <v>30025_3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【超級】真実の探求者</v>
      </c>
      <c r="I11" s="21">
        <v>4</v>
      </c>
      <c r="J11" s="12">
        <v>60</v>
      </c>
      <c r="K11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24"/>
  <sheetViews>
    <sheetView showGridLines="0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AG17" sqref="AG1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 x14ac:dyDescent="0.15">
      <c r="A2" s="16" t="str">
        <f t="shared" ref="A2:A24" si="0">B2&amp;"_"&amp;C2&amp;"-"&amp;G2&amp;"/"&amp;L2&amp;"&lt;lv"&amp;R2&amp;"&gt;s"&amp;AA2</f>
        <v>30025_1-1/254&lt;lv25&gt;s2</v>
      </c>
      <c r="B2" s="22">
        <v>30025</v>
      </c>
      <c r="C2" s="100">
        <v>1</v>
      </c>
      <c r="D2" s="2" t="str">
        <f t="shared" ref="D2:D24" si="1">B2&amp;"_"&amp;C2</f>
        <v>30025_1</v>
      </c>
      <c r="E2" s="4" t="str">
        <f ca="1">VLOOKUP($B2,OFFSET([2]quests!$A$1,0,0,COUNTA([2]quests!$A:$A),MATCH(E$1,[2]quests!$1:$1,0)-MATCH($B$1,[2]quests!$1:$1,0)+1),MATCH(E$1,[2]quests!$1:$1,0)-MATCH($B$1,[2]quests!$1:$1,0)+1,FALSE)</f>
        <v>真実の探求者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【中級】真実の探求者</v>
      </c>
      <c r="G2" s="100">
        <v>1</v>
      </c>
      <c r="H2" s="15" t="str">
        <f t="shared" ref="H2:H24" si="2">B2&amp;"_"&amp;C2&amp;"-"&amp;G2</f>
        <v>30025_1-1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254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怠惰 ベルフェゴール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25</v>
      </c>
      <c r="S2" s="25">
        <v>1.3</v>
      </c>
      <c r="T2" s="25">
        <v>0.9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7">
        <v>30025005</v>
      </c>
      <c r="X2" s="6">
        <v>0</v>
      </c>
      <c r="Y2" s="6">
        <v>100</v>
      </c>
      <c r="Z2" s="6">
        <v>0</v>
      </c>
      <c r="AA2" s="17">
        <v>2</v>
      </c>
      <c r="AB2" s="24">
        <f t="shared" ref="AB2:AB19" si="3">L2</f>
        <v>254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怠惰 ベルフェゴール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4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2" s="7">
        <v>1</v>
      </c>
      <c r="AG2" s="24">
        <f t="shared" ref="AG2:AG24" ca="1" si="4">AD2</f>
        <v>4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 t="shared" ca="1" si="0"/>
        <v>30025_1-2/20&lt;lv20&gt;s3</v>
      </c>
      <c r="B3" s="22">
        <v>30025</v>
      </c>
      <c r="C3" s="100">
        <v>1</v>
      </c>
      <c r="D3" s="2" t="str">
        <f t="shared" si="1"/>
        <v>30025_1</v>
      </c>
      <c r="E3" s="4" t="str">
        <f ca="1">VLOOKUP($B3,OFFSET([2]quests!$A$1,0,0,COUNTA([2]quests!$A:$A),MATCH(E$1,[2]quests!$1:$1,0)-MATCH($B$1,[2]quests!$1:$1,0)+1),MATCH(E$1,[2]quests!$1:$1,0)-MATCH($B$1,[2]quests!$1:$1,0)+1,FALSE)</f>
        <v>真実の探求者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【中級】真実の探求者</v>
      </c>
      <c r="G3" s="101">
        <v>2</v>
      </c>
      <c r="H3" s="15" t="str">
        <f t="shared" si="2"/>
        <v>30025_1-2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 t="s">
        <v>53</v>
      </c>
      <c r="L3" s="20">
        <v>20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電子妖精 ティンク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20</v>
      </c>
      <c r="S3" s="25">
        <v>0.9</v>
      </c>
      <c r="T3" s="25">
        <v>1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4">
        <f ca="1">VLOOKUP($L3,OFFSET([3]enemies!$A$1,0,0,COUNTA([3]enemies!$A:$A),MATCH(W$1,[3]enemies!$1:$1,0)-MATCH($L$1,[3]enemies!$1:$1,0)+1),MATCH(W$1,[3]enemies!$1:$1,0)-MATCH($L$1,[3]enemies!$1:$1,0)+1,FALSE)</f>
        <v>0</v>
      </c>
      <c r="X3" s="6">
        <v>0</v>
      </c>
      <c r="Y3" s="6">
        <v>100</v>
      </c>
      <c r="Z3" s="6">
        <v>0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 t="shared" si="3"/>
        <v>20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7">
        <v>1</v>
      </c>
      <c r="AG3" s="24">
        <f t="shared" ca="1" si="4"/>
        <v>2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ca="1" si="0"/>
        <v>30025_1-2/22&lt;lv20&gt;s2</v>
      </c>
      <c r="B4" s="22">
        <v>30025</v>
      </c>
      <c r="C4" s="100">
        <v>1</v>
      </c>
      <c r="D4" s="2" t="str">
        <f t="shared" si="1"/>
        <v>30025_1</v>
      </c>
      <c r="E4" s="4" t="str">
        <f ca="1">VLOOKUP($B4,OFFSET([2]quests!$A$1,0,0,COUNTA([2]quests!$A:$A),MATCH(E$1,[2]quests!$1:$1,0)-MATCH($B$1,[2]quests!$1:$1,0)+1),MATCH(E$1,[2]quests!$1:$1,0)-MATCH($B$1,[2]quests!$1:$1,0)+1,FALSE)</f>
        <v>真実の探求者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【中級】真実の探求者</v>
      </c>
      <c r="G4" s="101">
        <v>2</v>
      </c>
      <c r="H4" s="15" t="str">
        <f t="shared" si="2"/>
        <v>30025_1-2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 t="s">
        <v>53</v>
      </c>
      <c r="L4" s="20">
        <v>22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突然変異ヴェロキー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20</v>
      </c>
      <c r="S4" s="25">
        <v>0.9</v>
      </c>
      <c r="T4" s="25">
        <v>1</v>
      </c>
      <c r="U4" s="5">
        <v>0</v>
      </c>
      <c r="V4" s="4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4">
        <f ca="1">VLOOKUP($L4,OFFSET([3]enemies!$A$1,0,0,COUNTA([3]enemies!$A:$A),MATCH(W$1,[3]enemies!$1:$1,0)-MATCH($L$1,[3]enemies!$1:$1,0)+1),MATCH(W$1,[3]enemies!$1:$1,0)-MATCH($L$1,[3]enemies!$1:$1,0)+1,FALSE)</f>
        <v>0</v>
      </c>
      <c r="X4" s="6">
        <v>0</v>
      </c>
      <c r="Y4" s="6">
        <v>100</v>
      </c>
      <c r="Z4" s="6">
        <v>0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3"/>
        <v>22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突然変異ヴェロキー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Drop1N</v>
      </c>
      <c r="AF4" s="7">
        <v>1</v>
      </c>
      <c r="AG4" s="24">
        <f t="shared" ca="1" si="4"/>
        <v>2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ca="1" si="0"/>
        <v>30025_1-2/24&lt;lv20&gt;s4</v>
      </c>
      <c r="B5" s="22">
        <v>30025</v>
      </c>
      <c r="C5" s="100">
        <v>1</v>
      </c>
      <c r="D5" s="2" t="str">
        <f t="shared" si="1"/>
        <v>30025_1</v>
      </c>
      <c r="E5" s="4" t="str">
        <f ca="1">VLOOKUP($B5,OFFSET([2]quests!$A$1,0,0,COUNTA([2]quests!$A:$A),MATCH(E$1,[2]quests!$1:$1,0)-MATCH($B$1,[2]quests!$1:$1,0)+1),MATCH(E$1,[2]quests!$1:$1,0)-MATCH($B$1,[2]quests!$1:$1,0)+1,FALSE)</f>
        <v>真実の探求者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【中級】真実の探求者</v>
      </c>
      <c r="G5" s="101">
        <v>2</v>
      </c>
      <c r="H5" s="15" t="str">
        <f t="shared" si="2"/>
        <v>30025_1-2</v>
      </c>
      <c r="I5" s="4">
        <f ca="1">VLOOKUP($H5,OFFSET(floors!$A$1,0,0,COUNTA(floors!$A:$A),MATCH(I$1,floors!$1:$1,0)-MATCH($H$1,floors!$1:$1,0)+1),MATCH(I$1,floors!$1:$1,0)-MATCH($H$1,floors!$1:$1,0)+1,FALSE)</f>
        <v>45</v>
      </c>
      <c r="J5" s="4">
        <f ca="1">VLOOKUP($H5,OFFSET(floors!$A$1,0,0,COUNTA(floors!$A:$A),MATCH(J$1,floors!$1:$1,0)-MATCH($H$1,floors!$1:$1,0)+1),MATCH(J$1,floors!$1:$1,0)-MATCH($H$1,floors!$1:$1,0)+1,FALSE)</f>
        <v>45</v>
      </c>
      <c r="K5" s="38" t="s">
        <v>53</v>
      </c>
      <c r="L5" s="20">
        <v>24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天翔のミール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20</v>
      </c>
      <c r="S5" s="25">
        <v>0.9</v>
      </c>
      <c r="T5" s="25">
        <v>1</v>
      </c>
      <c r="U5" s="5">
        <v>0</v>
      </c>
      <c r="V5" s="4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4">
        <f ca="1">VLOOKUP($L5,OFFSET([3]enemies!$A$1,0,0,COUNTA([3]enemies!$A:$A),MATCH(W$1,[3]enemies!$1:$1,0)-MATCH($L$1,[3]enemies!$1:$1,0)+1),MATCH(W$1,[3]enemies!$1:$1,0)-MATCH($L$1,[3]enemies!$1:$1,0)+1,FALSE)</f>
        <v>0</v>
      </c>
      <c r="X5" s="6">
        <v>0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4</v>
      </c>
      <c r="AB5" s="24">
        <f t="shared" si="3"/>
        <v>24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2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ca="1" si="0"/>
        <v>30025_1-2/26&lt;lv20&gt;s3</v>
      </c>
      <c r="B6" s="22">
        <v>30025</v>
      </c>
      <c r="C6" s="100">
        <v>1</v>
      </c>
      <c r="D6" s="2" t="str">
        <f t="shared" si="1"/>
        <v>30025_1</v>
      </c>
      <c r="E6" s="4" t="str">
        <f ca="1">VLOOKUP($B6,OFFSET([2]quests!$A$1,0,0,COUNTA([2]quests!$A:$A),MATCH(E$1,[2]quests!$1:$1,0)-MATCH($B$1,[2]quests!$1:$1,0)+1),MATCH(E$1,[2]quests!$1:$1,0)-MATCH($B$1,[2]quests!$1:$1,0)+1,FALSE)</f>
        <v>真実の探求者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【中級】真実の探求者</v>
      </c>
      <c r="G6" s="101">
        <v>2</v>
      </c>
      <c r="H6" s="15" t="str">
        <f t="shared" si="2"/>
        <v>30025_1-2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 t="s">
        <v>53</v>
      </c>
      <c r="L6" s="20">
        <v>26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勇犬 ハチ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20</v>
      </c>
      <c r="S6" s="25">
        <v>0.9</v>
      </c>
      <c r="T6" s="25">
        <v>0.9</v>
      </c>
      <c r="U6" s="5">
        <v>0</v>
      </c>
      <c r="V6" s="4" t="e">
        <f ca="1">VLOOKUP($W6,OFFSET(enemy_skill_sets!$B$1,0,0,COUNTA(enemy_skill_sets!$B:$B),MATCH(M$1,enemy_skill_sets!$1:$1,0)-MATCH($W$1,enemy_skill_sets!$1:$1,0)+2),MATCH(M$1,enemy_skill_sets!$1:$1,0)-MATCH($W$1,enemy_skill_sets!$1:$1,0)+2,FALSE)</f>
        <v>#N/A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0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3"/>
        <v>26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勇犬 ハチ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4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30025_1-3/579&lt;lv35&gt;s2</v>
      </c>
      <c r="B7" s="22">
        <v>30025</v>
      </c>
      <c r="C7" s="100">
        <v>1</v>
      </c>
      <c r="D7" s="2" t="str">
        <f t="shared" si="1"/>
        <v>30025_1</v>
      </c>
      <c r="E7" s="4" t="str">
        <f ca="1">VLOOKUP($B7,OFFSET([2]quests!$A$1,0,0,COUNTA([2]quests!$A:$A),MATCH(E$1,[2]quests!$1:$1,0)-MATCH($B$1,[2]quests!$1:$1,0)+1),MATCH(E$1,[2]quests!$1:$1,0)-MATCH($B$1,[2]quests!$1:$1,0)+1,FALSE)</f>
        <v>真実の探求者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【中級】真実の探求者</v>
      </c>
      <c r="G7" s="102">
        <v>3</v>
      </c>
      <c r="H7" s="15" t="str">
        <f t="shared" si="2"/>
        <v>30025_1-3</v>
      </c>
      <c r="I7" s="4">
        <f ca="1">VLOOKUP($H7,OFFSET(floors!$A$1,0,0,COUNTA(floors!$A:$A),MATCH(I$1,floors!$1:$1,0)-MATCH($H$1,floors!$1:$1,0)+1),MATCH(I$1,floors!$1:$1,0)-MATCH($H$1,floors!$1:$1,0)+1,FALSE)</f>
        <v>30</v>
      </c>
      <c r="J7" s="4">
        <f ca="1">VLOOKUP($H7,OFFSET(floors!$A$1,0,0,COUNTA(floors!$A:$A),MATCH(J$1,floors!$1:$1,0)-MATCH($H$1,floors!$1:$1,0)+1),MATCH(J$1,floors!$1:$1,0)-MATCH($H$1,floors!$1:$1,0)+1,FALSE)</f>
        <v>30</v>
      </c>
      <c r="K7" s="38" t="s">
        <v>53</v>
      </c>
      <c r="L7" s="20">
        <v>579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オーズ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35</v>
      </c>
      <c r="S7" s="25">
        <v>2.2000000000000002</v>
      </c>
      <c r="T7" s="25">
        <v>1.1000000000000001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7">
        <v>30025007</v>
      </c>
      <c r="X7" s="6">
        <v>0</v>
      </c>
      <c r="Y7" s="6">
        <v>100</v>
      </c>
      <c r="Z7" s="6">
        <v>0</v>
      </c>
      <c r="AA7" s="17">
        <v>2</v>
      </c>
      <c r="AB7" s="24">
        <f t="shared" si="3"/>
        <v>579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オーズ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7">
        <v>1</v>
      </c>
      <c r="AG7" s="24">
        <f t="shared" ca="1" si="4"/>
        <v>4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30025_2-1/254&lt;lv40&gt;s2</v>
      </c>
      <c r="B8" s="22">
        <v>30025</v>
      </c>
      <c r="C8" s="101">
        <v>2</v>
      </c>
      <c r="D8" s="2" t="str">
        <f t="shared" si="1"/>
        <v>30025_2</v>
      </c>
      <c r="E8" s="4" t="str">
        <f ca="1">VLOOKUP($B8,OFFSET([2]quests!$A$1,0,0,COUNTA([2]quests!$A:$A),MATCH(E$1,[2]quests!$1:$1,0)-MATCH($B$1,[2]quests!$1:$1,0)+1),MATCH(E$1,[2]quests!$1:$1,0)-MATCH($B$1,[2]quests!$1:$1,0)+1,FALSE)</f>
        <v>真実の探求者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【上級】真実の探求者</v>
      </c>
      <c r="G8" s="100">
        <v>1</v>
      </c>
      <c r="H8" s="15" t="str">
        <f t="shared" si="2"/>
        <v>30025_2-1</v>
      </c>
      <c r="I8" s="4">
        <f ca="1">VLOOKUP($H8,OFFSET(floors!$A$1,0,0,COUNTA(floors!$A:$A),MATCH(I$1,floors!$1:$1,0)-MATCH($H$1,floors!$1:$1,0)+1),MATCH(I$1,floors!$1:$1,0)-MATCH($H$1,floors!$1:$1,0)+1,FALSE)</f>
        <v>30</v>
      </c>
      <c r="J8" s="4">
        <f ca="1">VLOOKUP($H8,OFFSET(floors!$A$1,0,0,COUNTA(floors!$A:$A),MATCH(J$1,floors!$1:$1,0)-MATCH($H$1,floors!$1:$1,0)+1),MATCH(J$1,floors!$1:$1,0)-MATCH($H$1,floors!$1:$1,0)+1,FALSE)</f>
        <v>30</v>
      </c>
      <c r="K8" s="38" t="s">
        <v>53</v>
      </c>
      <c r="L8" s="20">
        <v>254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怠惰 ベルフェゴール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40</v>
      </c>
      <c r="S8" s="25">
        <v>1.5</v>
      </c>
      <c r="T8" s="2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種族マシン以外のユニットに大ダメージ</v>
      </c>
      <c r="W8" s="47">
        <v>30025005</v>
      </c>
      <c r="X8" s="6">
        <v>0</v>
      </c>
      <c r="Y8" s="6">
        <v>100</v>
      </c>
      <c r="Z8" s="6">
        <v>0</v>
      </c>
      <c r="AA8" s="17">
        <v>2</v>
      </c>
      <c r="AB8" s="24">
        <f t="shared" si="3"/>
        <v>254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怠惰 ベルフェゴール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ref="A9:A13" ca="1" si="5">B9&amp;"_"&amp;C9&amp;"-"&amp;G9&amp;"/"&amp;L9&amp;"&lt;lv"&amp;R9&amp;"&gt;s"&amp;AA9</f>
        <v>30025_2-2/20&lt;lv35&gt;s3</v>
      </c>
      <c r="B9" s="22">
        <v>30025</v>
      </c>
      <c r="C9" s="101">
        <v>2</v>
      </c>
      <c r="D9" s="2" t="str">
        <f t="shared" ref="D9:D13" si="6">B9&amp;"_"&amp;C9</f>
        <v>30025_2</v>
      </c>
      <c r="E9" s="4" t="str">
        <f ca="1">VLOOKUP($B9,OFFSET([2]quests!$A$1,0,0,COUNTA([2]quests!$A:$A),MATCH(E$1,[2]quests!$1:$1,0)-MATCH($B$1,[2]quests!$1:$1,0)+1),MATCH(E$1,[2]quests!$1:$1,0)-MATCH($B$1,[2]quests!$1:$1,0)+1,FALSE)</f>
        <v>真実の探求者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【上級】真実の探求者</v>
      </c>
      <c r="G9" s="101">
        <v>2</v>
      </c>
      <c r="H9" s="15" t="str">
        <f t="shared" ref="H9:H13" si="7">B9&amp;"_"&amp;C9&amp;"-"&amp;G9</f>
        <v>30025_2-2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20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電子妖精 ティンク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35</v>
      </c>
      <c r="S9" s="25">
        <v>0.9</v>
      </c>
      <c r="T9" s="25">
        <v>1</v>
      </c>
      <c r="U9" s="5">
        <v>0</v>
      </c>
      <c r="V9" s="4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4">
        <f ca="1">VLOOKUP($L9,OFFSET([3]enemies!$A$1,0,0,COUNTA([3]enemies!$A:$A),MATCH(W$1,[3]enemies!$1:$1,0)-MATCH($L$1,[3]enemies!$1:$1,0)+1),MATCH(W$1,[3]enemies!$1:$1,0)-MATCH($L$1,[3]enemies!$1:$1,0)+1,FALSE)</f>
        <v>0</v>
      </c>
      <c r="X9" s="6">
        <v>0</v>
      </c>
      <c r="Y9" s="6">
        <v>100</v>
      </c>
      <c r="Z9" s="6">
        <v>0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ref="AB9:AB13" si="8">L9</f>
        <v>20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2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Drop1W</v>
      </c>
      <c r="AF9" s="7">
        <v>1</v>
      </c>
      <c r="AG9" s="24">
        <f t="shared" ref="AG9:AG13" ca="1" si="9">AD9</f>
        <v>2</v>
      </c>
      <c r="AH9" s="8">
        <v>20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ca="1" si="5"/>
        <v>30025_2-2/22&lt;lv35&gt;s2</v>
      </c>
      <c r="B10" s="22">
        <v>30025</v>
      </c>
      <c r="C10" s="101">
        <v>2</v>
      </c>
      <c r="D10" s="2" t="str">
        <f t="shared" si="6"/>
        <v>30025_2</v>
      </c>
      <c r="E10" s="4" t="str">
        <f ca="1">VLOOKUP($B10,OFFSET([2]quests!$A$1,0,0,COUNTA([2]quests!$A:$A),MATCH(E$1,[2]quests!$1:$1,0)-MATCH($B$1,[2]quests!$1:$1,0)+1),MATCH(E$1,[2]quests!$1:$1,0)-MATCH($B$1,[2]quests!$1:$1,0)+1,FALSE)</f>
        <v>真実の探求者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【上級】真実の探求者</v>
      </c>
      <c r="G10" s="101">
        <v>2</v>
      </c>
      <c r="H10" s="15" t="str">
        <f t="shared" si="7"/>
        <v>30025_2-2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22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突然変異ヴェロキー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35</v>
      </c>
      <c r="S10" s="25">
        <v>0.9</v>
      </c>
      <c r="T10" s="25">
        <v>1</v>
      </c>
      <c r="U10" s="5">
        <v>0</v>
      </c>
      <c r="V10" s="4" t="e">
        <f ca="1">VLOOKUP($W10,OFFSET(enemy_skill_sets!$B$1,0,0,COUNTA(enemy_skill_sets!$B:$B),MATCH(M$1,enemy_skill_sets!$1:$1,0)-MATCH($W$1,enemy_skill_sets!$1:$1,0)+2),MATCH(M$1,enemy_skill_sets!$1:$1,0)-MATCH($W$1,enemy_skill_sets!$1:$1,0)+2,FALSE)</f>
        <v>#N/A</v>
      </c>
      <c r="W10" s="4">
        <f ca="1">VLOOKUP($L10,OFFSET([3]enemies!$A$1,0,0,COUNTA([3]enemies!$A:$A),MATCH(W$1,[3]enemies!$1:$1,0)-MATCH($L$1,[3]enemies!$1:$1,0)+1),MATCH(W$1,[3]enemies!$1:$1,0)-MATCH($L$1,[3]enemies!$1:$1,0)+1,FALSE)</f>
        <v>0</v>
      </c>
      <c r="X10" s="6">
        <v>0</v>
      </c>
      <c r="Y10" s="6">
        <v>100</v>
      </c>
      <c r="Z10" s="6">
        <v>0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24">
        <f t="shared" si="8"/>
        <v>22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突然変異ヴェロキー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Drop1N</v>
      </c>
      <c r="AF10" s="7">
        <v>1</v>
      </c>
      <c r="AG10" s="24">
        <f t="shared" ca="1" si="9"/>
        <v>2</v>
      </c>
      <c r="AH10" s="8">
        <v>20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 x14ac:dyDescent="0.15">
      <c r="A11" s="16" t="str">
        <f t="shared" ca="1" si="5"/>
        <v>30025_2-2/24&lt;lv35&gt;s4</v>
      </c>
      <c r="B11" s="22">
        <v>30025</v>
      </c>
      <c r="C11" s="101">
        <v>2</v>
      </c>
      <c r="D11" s="2" t="str">
        <f t="shared" si="6"/>
        <v>30025_2</v>
      </c>
      <c r="E11" s="4" t="str">
        <f ca="1">VLOOKUP($B11,OFFSET([2]quests!$A$1,0,0,COUNTA([2]quests!$A:$A),MATCH(E$1,[2]quests!$1:$1,0)-MATCH($B$1,[2]quests!$1:$1,0)+1),MATCH(E$1,[2]quests!$1:$1,0)-MATCH($B$1,[2]quests!$1:$1,0)+1,FALSE)</f>
        <v>真実の探求者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【上級】真実の探求者</v>
      </c>
      <c r="G11" s="101">
        <v>2</v>
      </c>
      <c r="H11" s="15" t="str">
        <f t="shared" si="7"/>
        <v>30025_2-2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24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天翔のミール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35</v>
      </c>
      <c r="S11" s="25">
        <v>0.9</v>
      </c>
      <c r="T11" s="25">
        <v>1</v>
      </c>
      <c r="U11" s="5">
        <v>0</v>
      </c>
      <c r="V11" s="4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4">
        <f ca="1">VLOOKUP($L11,OFFSET([3]enemies!$A$1,0,0,COUNTA([3]enemies!$A:$A),MATCH(W$1,[3]enemies!$1:$1,0)-MATCH($L$1,[3]enemies!$1:$1,0)+1),MATCH(W$1,[3]enemies!$1:$1,0)-MATCH($L$1,[3]enemies!$1:$1,0)+1,FALSE)</f>
        <v>0</v>
      </c>
      <c r="X11" s="6">
        <v>0</v>
      </c>
      <c r="Y11" s="6">
        <v>100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4</v>
      </c>
      <c r="AB11" s="24">
        <f t="shared" si="8"/>
        <v>24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7">
        <v>1</v>
      </c>
      <c r="AG11" s="24">
        <f t="shared" ca="1" si="9"/>
        <v>2</v>
      </c>
      <c r="AH11" s="8">
        <v>20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 x14ac:dyDescent="0.15">
      <c r="A12" s="16" t="str">
        <f t="shared" ca="1" si="5"/>
        <v>30025_2-2/26&lt;lv35&gt;s3</v>
      </c>
      <c r="B12" s="22">
        <v>30025</v>
      </c>
      <c r="C12" s="101">
        <v>2</v>
      </c>
      <c r="D12" s="2" t="str">
        <f t="shared" si="6"/>
        <v>30025_2</v>
      </c>
      <c r="E12" s="4" t="str">
        <f ca="1">VLOOKUP($B12,OFFSET([2]quests!$A$1,0,0,COUNTA([2]quests!$A:$A),MATCH(E$1,[2]quests!$1:$1,0)-MATCH($B$1,[2]quests!$1:$1,0)+1),MATCH(E$1,[2]quests!$1:$1,0)-MATCH($B$1,[2]quests!$1:$1,0)+1,FALSE)</f>
        <v>真実の探求者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【上級】真実の探求者</v>
      </c>
      <c r="G12" s="101">
        <v>2</v>
      </c>
      <c r="H12" s="15" t="str">
        <f t="shared" si="7"/>
        <v>30025_2-2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8" t="s">
        <v>53</v>
      </c>
      <c r="L12" s="20">
        <v>26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勇犬 ハチ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35</v>
      </c>
      <c r="S12" s="25">
        <v>0.9</v>
      </c>
      <c r="T12" s="25">
        <v>0.9</v>
      </c>
      <c r="U12" s="5">
        <v>0</v>
      </c>
      <c r="V12" s="4" t="e">
        <f ca="1">VLOOKUP($W12,OFFSET(enemy_skill_sets!$B$1,0,0,COUNTA(enemy_skill_sets!$B:$B),MATCH(M$1,enemy_skill_sets!$1:$1,0)-MATCH($W$1,enemy_skill_sets!$1:$1,0)+2),MATCH(M$1,enemy_skill_sets!$1:$1,0)-MATCH($W$1,enemy_skill_sets!$1:$1,0)+2,FALSE)</f>
        <v>#N/A</v>
      </c>
      <c r="W12" s="4">
        <f ca="1">VLOOKUP($L12,OFFSET([3]enemies!$A$1,0,0,COUNTA([3]enemies!$A:$A),MATCH(W$1,[3]enemies!$1:$1,0)-MATCH($L$1,[3]enemies!$1:$1,0)+1),MATCH(W$1,[3]enemies!$1:$1,0)-MATCH($L$1,[3]enemies!$1:$1,0)+1,FALSE)</f>
        <v>0</v>
      </c>
      <c r="X12" s="6">
        <v>0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3</v>
      </c>
      <c r="AB12" s="24">
        <f t="shared" si="8"/>
        <v>26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勇犬 ハチ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4">
        <f t="shared" ca="1" si="9"/>
        <v>2</v>
      </c>
      <c r="AH12" s="8">
        <v>20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 x14ac:dyDescent="0.15">
      <c r="A13" s="16" t="str">
        <f t="shared" si="5"/>
        <v>30025_2-3/579&lt;lv45&gt;s2</v>
      </c>
      <c r="B13" s="22">
        <v>30025</v>
      </c>
      <c r="C13" s="101">
        <v>2</v>
      </c>
      <c r="D13" s="2" t="str">
        <f t="shared" si="6"/>
        <v>30025_2</v>
      </c>
      <c r="E13" s="4" t="str">
        <f ca="1">VLOOKUP($B13,OFFSET([2]quests!$A$1,0,0,COUNTA([2]quests!$A:$A),MATCH(E$1,[2]quests!$1:$1,0)-MATCH($B$1,[2]quests!$1:$1,0)+1),MATCH(E$1,[2]quests!$1:$1,0)-MATCH($B$1,[2]quests!$1:$1,0)+1,FALSE)</f>
        <v>真実の探求者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【上級】真実の探求者</v>
      </c>
      <c r="G13" s="102">
        <v>3</v>
      </c>
      <c r="H13" s="15" t="str">
        <f t="shared" si="7"/>
        <v>30025_2-3</v>
      </c>
      <c r="I13" s="4">
        <f ca="1">VLOOKUP($H13,OFFSET(floors!$A$1,0,0,COUNTA(floors!$A:$A),MATCH(I$1,floors!$1:$1,0)-MATCH($H$1,floors!$1:$1,0)+1),MATCH(I$1,floors!$1:$1,0)-MATCH($H$1,floors!$1:$1,0)+1,FALSE)</f>
        <v>30</v>
      </c>
      <c r="J13" s="4">
        <f ca="1">VLOOKUP($H13,OFFSET(floors!$A$1,0,0,COUNTA(floors!$A:$A),MATCH(J$1,floors!$1:$1,0)-MATCH($H$1,floors!$1:$1,0)+1),MATCH(J$1,floors!$1:$1,0)-MATCH($H$1,floors!$1:$1,0)+1,FALSE)</f>
        <v>30</v>
      </c>
      <c r="K13" s="38" t="s">
        <v>53</v>
      </c>
      <c r="L13" s="20">
        <v>579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オーズ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45</v>
      </c>
      <c r="S13" s="25">
        <v>2.8</v>
      </c>
      <c r="T13" s="25">
        <v>1.2</v>
      </c>
      <c r="U13" s="5">
        <v>0</v>
      </c>
      <c r="V13" s="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47">
        <v>30025006</v>
      </c>
      <c r="X13" s="6">
        <v>0</v>
      </c>
      <c r="Y13" s="6">
        <v>100</v>
      </c>
      <c r="Z13" s="6">
        <v>0</v>
      </c>
      <c r="AA13" s="17">
        <v>2</v>
      </c>
      <c r="AB13" s="24">
        <f t="shared" si="8"/>
        <v>579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オーズ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7">
        <v>1</v>
      </c>
      <c r="AG13" s="24">
        <f t="shared" ca="1" si="9"/>
        <v>4</v>
      </c>
      <c r="AH13" s="8">
        <v>50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 x14ac:dyDescent="0.15">
      <c r="A14" s="16" t="str">
        <f t="shared" si="0"/>
        <v>30025_3-1/254&lt;lv55&gt;s2</v>
      </c>
      <c r="B14" s="22">
        <v>30025</v>
      </c>
      <c r="C14" s="102">
        <v>3</v>
      </c>
      <c r="D14" s="2" t="str">
        <f t="shared" si="1"/>
        <v>30025_3</v>
      </c>
      <c r="E14" s="4" t="str">
        <f ca="1">VLOOKUP($B14,OFFSET([2]quests!$A$1,0,0,COUNTA([2]quests!$A:$A),MATCH(E$1,[2]quests!$1:$1,0)-MATCH($B$1,[2]quests!$1:$1,0)+1),MATCH(E$1,[2]quests!$1:$1,0)-MATCH($B$1,[2]quests!$1:$1,0)+1,FALSE)</f>
        <v>真実の探求者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【超級】真実の探求者</v>
      </c>
      <c r="G14" s="100">
        <v>1</v>
      </c>
      <c r="H14" s="15" t="str">
        <f t="shared" si="2"/>
        <v>30025_3-1</v>
      </c>
      <c r="I14" s="4">
        <f ca="1">VLOOKUP($H14,OFFSET(floors!$A$1,0,0,COUNTA(floors!$A:$A),MATCH(I$1,floors!$1:$1,0)-MATCH($H$1,floors!$1:$1,0)+1),MATCH(I$1,floors!$1:$1,0)-MATCH($H$1,floors!$1:$1,0)+1,FALSE)</f>
        <v>30</v>
      </c>
      <c r="J14" s="4">
        <f ca="1">VLOOKUP($H14,OFFSET(floors!$A$1,0,0,COUNTA(floors!$A:$A),MATCH(J$1,floors!$1:$1,0)-MATCH($H$1,floors!$1:$1,0)+1),MATCH(J$1,floors!$1:$1,0)-MATCH($H$1,floors!$1:$1,0)+1,FALSE)</f>
        <v>30</v>
      </c>
      <c r="K14" s="38" t="s">
        <v>53</v>
      </c>
      <c r="L14" s="20">
        <v>254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怠惰 ベルフェゴール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PremiumS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god</v>
      </c>
      <c r="Q14" s="17">
        <f ca="1">VLOOKUP($L14,OFFSET([3]enemies!$A$1,0,0,COUNTA([3]enemies!$A:$A),MATCH(Q$1,[3]enemies!$1:$1,0)-MATCH($L$1,[3]enemies!$1:$1,0)+1),MATCH(Q$1,[3]enemies!$1:$1,0)-MATCH($L$1,[3]enemies!$1:$1,0)+1,FALSE)</f>
        <v>30</v>
      </c>
      <c r="R14" s="5">
        <v>55</v>
      </c>
      <c r="S14" s="25">
        <v>1.3</v>
      </c>
      <c r="T14" s="25">
        <v>1</v>
      </c>
      <c r="U14" s="5">
        <v>0</v>
      </c>
      <c r="V14" s="4" t="e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4" s="47">
        <v>30025001</v>
      </c>
      <c r="X14" s="6">
        <v>0</v>
      </c>
      <c r="Y14" s="6">
        <v>100</v>
      </c>
      <c r="Z14" s="6">
        <v>0</v>
      </c>
      <c r="AA14" s="17">
        <v>2</v>
      </c>
      <c r="AB14" s="24">
        <f t="shared" si="3"/>
        <v>254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怠惰 ベルフェゴール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4" s="7">
        <v>1</v>
      </c>
      <c r="AG14" s="24">
        <f t="shared" ca="1" si="4"/>
        <v>4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 x14ac:dyDescent="0.15">
      <c r="A15" s="16" t="str">
        <f t="shared" ca="1" si="0"/>
        <v>30025_3-2/20&lt;lv50&gt;s3</v>
      </c>
      <c r="B15" s="22">
        <v>30025</v>
      </c>
      <c r="C15" s="102">
        <v>3</v>
      </c>
      <c r="D15" s="2" t="str">
        <f t="shared" si="1"/>
        <v>30025_3</v>
      </c>
      <c r="E15" s="4" t="str">
        <f ca="1">VLOOKUP($B15,OFFSET([2]quests!$A$1,0,0,COUNTA([2]quests!$A:$A),MATCH(E$1,[2]quests!$1:$1,0)-MATCH($B$1,[2]quests!$1:$1,0)+1),MATCH(E$1,[2]quests!$1:$1,0)-MATCH($B$1,[2]quests!$1:$1,0)+1,FALSE)</f>
        <v>真実の探求者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【超級】真実の探求者</v>
      </c>
      <c r="G15" s="101">
        <v>2</v>
      </c>
      <c r="H15" s="15" t="str">
        <f t="shared" si="2"/>
        <v>30025_3-2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8" t="s">
        <v>53</v>
      </c>
      <c r="L15" s="20">
        <v>20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電子妖精 ティンク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yellow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Drop1W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human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50</v>
      </c>
      <c r="S15" s="25">
        <v>0.9</v>
      </c>
      <c r="T15" s="25">
        <v>1</v>
      </c>
      <c r="U15" s="5">
        <v>0</v>
      </c>
      <c r="V15" s="4" t="e">
        <f ca="1">VLOOKUP($W15,OFFSET(enemy_skill_sets!$B$1,0,0,COUNTA(enemy_skill_sets!$B:$B),MATCH(M$1,enemy_skill_sets!$1:$1,0)-MATCH($W$1,enemy_skill_sets!$1:$1,0)+2),MATCH(M$1,enemy_skill_sets!$1:$1,0)-MATCH($W$1,enemy_skill_sets!$1:$1,0)+2,FALSE)</f>
        <v>#N/A</v>
      </c>
      <c r="W15" s="4">
        <f ca="1">VLOOKUP($L15,OFFSET([3]enemies!$A$1,0,0,COUNTA([3]enemies!$A:$A),MATCH(W$1,[3]enemies!$1:$1,0)-MATCH($L$1,[3]enemies!$1:$1,0)+1),MATCH(W$1,[3]enemies!$1:$1,0)-MATCH($L$1,[3]enemies!$1:$1,0)+1,FALSE)</f>
        <v>0</v>
      </c>
      <c r="X15" s="6">
        <v>0</v>
      </c>
      <c r="Y15" s="6">
        <v>100</v>
      </c>
      <c r="Z15" s="6">
        <v>0</v>
      </c>
      <c r="AA15" s="17">
        <f ca="1">VLOOKUP($L15,OFFSET([3]enemies!$A$1,0,0,COUNTA([3]enemies!$A:$A),MATCH(AA$1,[3]enemies!$1:$1,0)-MATCH($L$1,[3]enemies!$1:$1,0)+1),MATCH(AA$1,[3]enemies!$1:$1,0)-MATCH($L$1,[3]enemies!$1:$1,0)+1,FALSE)</f>
        <v>3</v>
      </c>
      <c r="AB15" s="24">
        <f t="shared" si="3"/>
        <v>20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電子妖精 ティンク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2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Drop1W</v>
      </c>
      <c r="AF15" s="7">
        <v>1</v>
      </c>
      <c r="AG15" s="24">
        <f t="shared" ca="1" si="4"/>
        <v>2</v>
      </c>
      <c r="AH15" s="8">
        <v>20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 x14ac:dyDescent="0.15">
      <c r="A16" s="16" t="str">
        <f t="shared" ref="A16:A18" ca="1" si="10">B16&amp;"_"&amp;C16&amp;"-"&amp;G16&amp;"/"&amp;L16&amp;"&lt;lv"&amp;R16&amp;"&gt;s"&amp;AA16</f>
        <v>30025_3-2/22&lt;lv50&gt;s2</v>
      </c>
      <c r="B16" s="22">
        <v>30025</v>
      </c>
      <c r="C16" s="102">
        <v>3</v>
      </c>
      <c r="D16" s="2" t="str">
        <f t="shared" ref="D16:D18" si="11">B16&amp;"_"&amp;C16</f>
        <v>30025_3</v>
      </c>
      <c r="E16" s="4" t="str">
        <f ca="1">VLOOKUP($B16,OFFSET([2]quests!$A$1,0,0,COUNTA([2]quests!$A:$A),MATCH(E$1,[2]quests!$1:$1,0)-MATCH($B$1,[2]quests!$1:$1,0)+1),MATCH(E$1,[2]quests!$1:$1,0)-MATCH($B$1,[2]quests!$1:$1,0)+1,FALSE)</f>
        <v>真実の探求者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【超級】真実の探求者</v>
      </c>
      <c r="G16" s="101">
        <v>2</v>
      </c>
      <c r="H16" s="15" t="str">
        <f t="shared" ref="H16:H18" si="12">B16&amp;"_"&amp;C16&amp;"-"&amp;G16</f>
        <v>30025_3-2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22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突然変異ヴェロキー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Drop1N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dragon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50</v>
      </c>
      <c r="S16" s="25">
        <v>0.9</v>
      </c>
      <c r="T16" s="25">
        <v>1</v>
      </c>
      <c r="U16" s="5">
        <v>0</v>
      </c>
      <c r="V16" s="4" t="e">
        <f ca="1">VLOOKUP($W16,OFFSET(enemy_skill_sets!$B$1,0,0,COUNTA(enemy_skill_sets!$B:$B),MATCH(M$1,enemy_skill_sets!$1:$1,0)-MATCH($W$1,enemy_skill_sets!$1:$1,0)+2),MATCH(M$1,enemy_skill_sets!$1:$1,0)-MATCH($W$1,enemy_skill_sets!$1:$1,0)+2,FALSE)</f>
        <v>#N/A</v>
      </c>
      <c r="W16" s="4">
        <f ca="1">VLOOKUP($L16,OFFSET([3]enemies!$A$1,0,0,COUNTA([3]enemies!$A:$A),MATCH(W$1,[3]enemies!$1:$1,0)-MATCH($L$1,[3]enemies!$1:$1,0)+1),MATCH(W$1,[3]enemies!$1:$1,0)-MATCH($L$1,[3]enemies!$1:$1,0)+1,FALSE)</f>
        <v>0</v>
      </c>
      <c r="X16" s="6">
        <v>0</v>
      </c>
      <c r="Y16" s="6">
        <v>100</v>
      </c>
      <c r="Z16" s="6">
        <v>0</v>
      </c>
      <c r="AA16" s="17">
        <f ca="1">VLOOKUP($L16,OFFSET([3]enemies!$A$1,0,0,COUNTA([3]enemies!$A:$A),MATCH(AA$1,[3]enemies!$1:$1,0)-MATCH($L$1,[3]enemies!$1:$1,0)+1),MATCH(AA$1,[3]enemies!$1:$1,0)-MATCH($L$1,[3]enemies!$1:$1,0)+1,FALSE)</f>
        <v>2</v>
      </c>
      <c r="AB16" s="24">
        <f t="shared" ref="AB16:AB18" si="13">L16</f>
        <v>22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突然変異ヴェロキー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2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Drop1N</v>
      </c>
      <c r="AF16" s="7">
        <v>1</v>
      </c>
      <c r="AG16" s="24">
        <f t="shared" ref="AG16:AG18" ca="1" si="14">AD16</f>
        <v>2</v>
      </c>
      <c r="AH16" s="8">
        <v>20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 x14ac:dyDescent="0.15">
      <c r="A17" s="16" t="str">
        <f t="shared" ca="1" si="10"/>
        <v>30025_3-2/24&lt;lv50&gt;s4</v>
      </c>
      <c r="B17" s="22">
        <v>30025</v>
      </c>
      <c r="C17" s="102">
        <v>3</v>
      </c>
      <c r="D17" s="2" t="str">
        <f t="shared" si="11"/>
        <v>30025_3</v>
      </c>
      <c r="E17" s="4" t="str">
        <f ca="1">VLOOKUP($B17,OFFSET([2]quests!$A$1,0,0,COUNTA([2]quests!$A:$A),MATCH(E$1,[2]quests!$1:$1,0)-MATCH($B$1,[2]quests!$1:$1,0)+1),MATCH(E$1,[2]quests!$1:$1,0)-MATCH($B$1,[2]quests!$1:$1,0)+1,FALSE)</f>
        <v>真実の探求者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【超級】真実の探求者</v>
      </c>
      <c r="G17" s="101">
        <v>2</v>
      </c>
      <c r="H17" s="15" t="str">
        <f t="shared" si="12"/>
        <v>30025_3-2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53</v>
      </c>
      <c r="L17" s="20">
        <v>24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天翔のミール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50</v>
      </c>
      <c r="S17" s="25">
        <v>0.9</v>
      </c>
      <c r="T17" s="25">
        <v>1</v>
      </c>
      <c r="U17" s="5">
        <v>0</v>
      </c>
      <c r="V17" s="4" t="e">
        <f ca="1">VLOOKUP($W17,OFFSET(enemy_skill_sets!$B$1,0,0,COUNTA(enemy_skill_sets!$B:$B),MATCH(M$1,enemy_skill_sets!$1:$1,0)-MATCH($W$1,enemy_skill_sets!$1:$1,0)+2),MATCH(M$1,enemy_skill_sets!$1:$1,0)-MATCH($W$1,enemy_skill_sets!$1:$1,0)+2,FALSE)</f>
        <v>#N/A</v>
      </c>
      <c r="W17" s="4">
        <f ca="1">VLOOKUP($L17,OFFSET([3]enemies!$A$1,0,0,COUNTA([3]enemies!$A:$A),MATCH(W$1,[3]enemies!$1:$1,0)-MATCH($L$1,[3]enemies!$1:$1,0)+1),MATCH(W$1,[3]enemies!$1:$1,0)-MATCH($L$1,[3]enemies!$1:$1,0)+1,FALSE)</f>
        <v>0</v>
      </c>
      <c r="X17" s="6">
        <v>0</v>
      </c>
      <c r="Y17" s="6">
        <v>100</v>
      </c>
      <c r="Z17" s="6">
        <v>0</v>
      </c>
      <c r="AA17" s="17">
        <f ca="1">VLOOKUP($L17,OFFSET([3]enemies!$A$1,0,0,COUNTA([3]enemies!$A:$A),MATCH(AA$1,[3]enemies!$1:$1,0)-MATCH($L$1,[3]enemies!$1:$1,0)+1),MATCH(AA$1,[3]enemies!$1:$1,0)-MATCH($L$1,[3]enemies!$1:$1,0)+1,FALSE)</f>
        <v>4</v>
      </c>
      <c r="AB17" s="24">
        <f t="shared" si="13"/>
        <v>24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天翔のミール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2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Drop1N</v>
      </c>
      <c r="AF17" s="7">
        <v>1</v>
      </c>
      <c r="AG17" s="24">
        <f t="shared" ca="1" si="14"/>
        <v>2</v>
      </c>
      <c r="AH17" s="8">
        <v>20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 x14ac:dyDescent="0.15">
      <c r="A18" s="16" t="str">
        <f t="shared" ca="1" si="10"/>
        <v>30025_3-2/26&lt;lv50&gt;s3</v>
      </c>
      <c r="B18" s="22">
        <v>30025</v>
      </c>
      <c r="C18" s="102">
        <v>3</v>
      </c>
      <c r="D18" s="2" t="str">
        <f t="shared" si="11"/>
        <v>30025_3</v>
      </c>
      <c r="E18" s="4" t="str">
        <f ca="1">VLOOKUP($B18,OFFSET([2]quests!$A$1,0,0,COUNTA([2]quests!$A:$A),MATCH(E$1,[2]quests!$1:$1,0)-MATCH($B$1,[2]quests!$1:$1,0)+1),MATCH(E$1,[2]quests!$1:$1,0)-MATCH($B$1,[2]quests!$1:$1,0)+1,FALSE)</f>
        <v>真実の探求者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【超級】真実の探求者</v>
      </c>
      <c r="G18" s="101">
        <v>2</v>
      </c>
      <c r="H18" s="15" t="str">
        <f t="shared" si="12"/>
        <v>30025_3-2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8" t="s">
        <v>53</v>
      </c>
      <c r="L18" s="20">
        <v>26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勇犬 ハチ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50</v>
      </c>
      <c r="S18" s="25">
        <v>0.9</v>
      </c>
      <c r="T18" s="25">
        <v>0.9</v>
      </c>
      <c r="U18" s="5">
        <v>0</v>
      </c>
      <c r="V18" s="4" t="e">
        <f ca="1">VLOOKUP($W18,OFFSET(enemy_skill_sets!$B$1,0,0,COUNTA(enemy_skill_sets!$B:$B),MATCH(M$1,enemy_skill_sets!$1:$1,0)-MATCH($W$1,enemy_skill_sets!$1:$1,0)+2),MATCH(M$1,enemy_skill_sets!$1:$1,0)-MATCH($W$1,enemy_skill_sets!$1:$1,0)+2,FALSE)</f>
        <v>#N/A</v>
      </c>
      <c r="W18" s="4">
        <f ca="1">VLOOKUP($L18,OFFSET([3]enemies!$A$1,0,0,COUNTA([3]enemies!$A:$A),MATCH(W$1,[3]enemies!$1:$1,0)-MATCH($L$1,[3]enemies!$1:$1,0)+1),MATCH(W$1,[3]enemies!$1:$1,0)-MATCH($L$1,[3]enemies!$1:$1,0)+1,FALSE)</f>
        <v>0</v>
      </c>
      <c r="X18" s="6">
        <v>0</v>
      </c>
      <c r="Y18" s="6">
        <v>100</v>
      </c>
      <c r="Z18" s="6">
        <v>0</v>
      </c>
      <c r="AA18" s="17">
        <f ca="1">VLOOKUP($L18,OFFSET([3]enemies!$A$1,0,0,COUNTA([3]enemies!$A:$A),MATCH(AA$1,[3]enemies!$1:$1,0)-MATCH($L$1,[3]enemies!$1:$1,0)+1),MATCH(AA$1,[3]enemies!$1:$1,0)-MATCH($L$1,[3]enemies!$1:$1,0)+1,FALSE)</f>
        <v>3</v>
      </c>
      <c r="AB18" s="24">
        <f t="shared" si="13"/>
        <v>26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勇犬 ハチ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7">
        <v>1</v>
      </c>
      <c r="AG18" s="24">
        <f t="shared" ca="1" si="14"/>
        <v>2</v>
      </c>
      <c r="AH18" s="8">
        <v>20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 x14ac:dyDescent="0.15">
      <c r="A19" s="16" t="str">
        <f t="shared" ca="1" si="0"/>
        <v>30025_3-3/33&lt;lv50&gt;s2</v>
      </c>
      <c r="B19" s="22">
        <v>30025</v>
      </c>
      <c r="C19" s="102">
        <v>3</v>
      </c>
      <c r="D19" s="2" t="str">
        <f t="shared" si="1"/>
        <v>30025_3</v>
      </c>
      <c r="E19" s="4" t="str">
        <f ca="1">VLOOKUP($B19,OFFSET([2]quests!$A$1,0,0,COUNTA([2]quests!$A:$A),MATCH(E$1,[2]quests!$1:$1,0)-MATCH($B$1,[2]quests!$1:$1,0)+1),MATCH(E$1,[2]quests!$1:$1,0)-MATCH($B$1,[2]quests!$1:$1,0)+1,FALSE)</f>
        <v>真実の探求者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【超級】真実の探求者</v>
      </c>
      <c r="G19" s="102">
        <v>3</v>
      </c>
      <c r="H19" s="15" t="str">
        <f t="shared" si="2"/>
        <v>30025_3-3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 t="s">
        <v>53</v>
      </c>
      <c r="L19" s="20">
        <v>33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ゴクウ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red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Drop1S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50</v>
      </c>
      <c r="S19" s="25">
        <v>1.2</v>
      </c>
      <c r="T19" s="25">
        <v>0.9</v>
      </c>
      <c r="U19" s="5">
        <v>0</v>
      </c>
      <c r="V19" s="4" t="str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次のターン強力な攻撃</v>
      </c>
      <c r="W19" s="4">
        <f ca="1">VLOOKUP($L19,OFFSET([3]enemies!$A$1,0,0,COUNTA([3]enemies!$A:$A),MATCH(W$1,[3]enemies!$1:$1,0)-MATCH($L$1,[3]enemies!$1:$1,0)+1),MATCH(W$1,[3]enemies!$1:$1,0)-MATCH($L$1,[3]enemies!$1:$1,0)+1,FALSE)</f>
        <v>33</v>
      </c>
      <c r="X19" s="6">
        <v>0</v>
      </c>
      <c r="Y19" s="6">
        <v>100</v>
      </c>
      <c r="Z19" s="6">
        <v>0</v>
      </c>
      <c r="AA19" s="17">
        <f ca="1">VLOOKUP($L19,OFFSET([3]enemies!$A$1,0,0,COUNTA([3]enemies!$A:$A),MATCH(AA$1,[3]enemies!$1:$1,0)-MATCH($L$1,[3]enemies!$1:$1,0)+1),MATCH(AA$1,[3]enemies!$1:$1,0)-MATCH($L$1,[3]enemies!$1:$1,0)+1,FALSE)</f>
        <v>2</v>
      </c>
      <c r="AB19" s="24">
        <f t="shared" si="3"/>
        <v>33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Drop1S</v>
      </c>
      <c r="AF19" s="7">
        <v>1</v>
      </c>
      <c r="AG19" s="24">
        <f t="shared" ca="1" si="4"/>
        <v>2</v>
      </c>
      <c r="AH19" s="8">
        <v>20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 x14ac:dyDescent="0.15">
      <c r="A20" s="16" t="str">
        <f t="shared" ref="A20:A22" ca="1" si="15">B20&amp;"_"&amp;C20&amp;"-"&amp;G20&amp;"/"&amp;L20&amp;"&lt;lv"&amp;R20&amp;"&gt;s"&amp;AA20</f>
        <v>30025_3-3/37&lt;lv50&gt;s3</v>
      </c>
      <c r="B20" s="22">
        <v>30025</v>
      </c>
      <c r="C20" s="102">
        <v>3</v>
      </c>
      <c r="D20" s="2" t="str">
        <f t="shared" ref="D20:D22" si="16">B20&amp;"_"&amp;C20</f>
        <v>30025_3</v>
      </c>
      <c r="E20" s="4" t="str">
        <f ca="1">VLOOKUP($B20,OFFSET([2]quests!$A$1,0,0,COUNTA([2]quests!$A:$A),MATCH(E$1,[2]quests!$1:$1,0)-MATCH($B$1,[2]quests!$1:$1,0)+1),MATCH(E$1,[2]quests!$1:$1,0)-MATCH($B$1,[2]quests!$1:$1,0)+1,FALSE)</f>
        <v>真実の探求者</v>
      </c>
      <c r="F20" s="4" t="str">
        <f ca="1">VLOOKUP($D20,OFFSET([2]stages!$A$1,0,0,COUNTA([2]stages!$A:$A),MATCH(F$1,[2]stages!$2:$2,0)-MATCH($D$1,[2]stages!$2:$2,0)+1),MATCH(F$1,[2]stages!$2:$2,0)-MATCH($D$1,[2]stages!$2:$2,0)+1,FALSE)</f>
        <v>【超級】真実の探求者</v>
      </c>
      <c r="G20" s="102">
        <v>3</v>
      </c>
      <c r="H20" s="15" t="str">
        <f t="shared" ref="H20:H22" si="17">B20&amp;"_"&amp;C20&amp;"-"&amp;G20</f>
        <v>30025_3-3</v>
      </c>
      <c r="I20" s="4">
        <f ca="1">VLOOKUP($H20,OFFSET(floors!$A$1,0,0,COUNTA(floors!$A:$A),MATCH(I$1,floors!$1:$1,0)-MATCH($H$1,floors!$1:$1,0)+1),MATCH(I$1,floors!$1:$1,0)-MATCH($H$1,floors!$1:$1,0)+1,FALSE)</f>
        <v>60</v>
      </c>
      <c r="J20" s="4">
        <f ca="1">VLOOKUP($H20,OFFSET(floors!$A$1,0,0,COUNTA(floors!$A:$A),MATCH(J$1,floors!$1:$1,0)-MATCH($H$1,floors!$1:$1,0)+1),MATCH(J$1,floors!$1:$1,0)-MATCH($H$1,floors!$1:$1,0)+1,FALSE)</f>
        <v>60</v>
      </c>
      <c r="K20" s="38" t="s">
        <v>53</v>
      </c>
      <c r="L20" s="20">
        <v>37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ガイル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Drop1S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animal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50</v>
      </c>
      <c r="S20" s="25">
        <v>1.2</v>
      </c>
      <c r="T20" s="25">
        <v>0.9</v>
      </c>
      <c r="U20" s="5">
        <v>0</v>
      </c>
      <c r="V20" s="4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じっとこちらを見ている</v>
      </c>
      <c r="W20" s="4">
        <f ca="1">VLOOKUP($L20,OFFSET([3]enemies!$A$1,0,0,COUNTA([3]enemies!$A:$A),MATCH(W$1,[3]enemies!$1:$1,0)-MATCH($L$1,[3]enemies!$1:$1,0)+1),MATCH(W$1,[3]enemies!$1:$1,0)-MATCH($L$1,[3]enemies!$1:$1,0)+1,FALSE)</f>
        <v>37</v>
      </c>
      <c r="X20" s="6">
        <v>0</v>
      </c>
      <c r="Y20" s="6">
        <v>100</v>
      </c>
      <c r="Z20" s="6">
        <v>0</v>
      </c>
      <c r="AA20" s="17">
        <f ca="1">VLOOKUP($L20,OFFSET([3]enemies!$A$1,0,0,COUNTA([3]enemies!$A:$A),MATCH(AA$1,[3]enemies!$1:$1,0)-MATCH($L$1,[3]enemies!$1:$1,0)+1),MATCH(AA$1,[3]enemies!$1:$1,0)-MATCH($L$1,[3]enemies!$1:$1,0)+1,FALSE)</f>
        <v>3</v>
      </c>
      <c r="AB20" s="24">
        <f t="shared" ref="AB20:AB22" si="18">L20</f>
        <v>37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ガイル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Drop1S</v>
      </c>
      <c r="AF20" s="7">
        <v>1</v>
      </c>
      <c r="AG20" s="24">
        <f t="shared" ref="AG20:AG22" ca="1" si="19">AD20</f>
        <v>2</v>
      </c>
      <c r="AH20" s="8">
        <v>20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 x14ac:dyDescent="0.15">
      <c r="A21" s="16" t="str">
        <f t="shared" ca="1" si="15"/>
        <v>30025_3-3/43&lt;lv50&gt;s2</v>
      </c>
      <c r="B21" s="22">
        <v>30025</v>
      </c>
      <c r="C21" s="102">
        <v>3</v>
      </c>
      <c r="D21" s="2" t="str">
        <f t="shared" si="16"/>
        <v>30025_3</v>
      </c>
      <c r="E21" s="4" t="str">
        <f ca="1">VLOOKUP($B21,OFFSET([2]quests!$A$1,0,0,COUNTA([2]quests!$A:$A),MATCH(E$1,[2]quests!$1:$1,0)-MATCH($B$1,[2]quests!$1:$1,0)+1),MATCH(E$1,[2]quests!$1:$1,0)-MATCH($B$1,[2]quests!$1:$1,0)+1,FALSE)</f>
        <v>真実の探求者</v>
      </c>
      <c r="F21" s="4" t="str">
        <f ca="1">VLOOKUP($D21,OFFSET([2]stages!$A$1,0,0,COUNTA([2]stages!$A:$A),MATCH(F$1,[2]stages!$2:$2,0)-MATCH($D$1,[2]stages!$2:$2,0)+1),MATCH(F$1,[2]stages!$2:$2,0)-MATCH($D$1,[2]stages!$2:$2,0)+1,FALSE)</f>
        <v>【超級】真実の探求者</v>
      </c>
      <c r="G21" s="102">
        <v>3</v>
      </c>
      <c r="H21" s="15" t="str">
        <f t="shared" si="17"/>
        <v>30025_3-3</v>
      </c>
      <c r="I21" s="4">
        <f ca="1">VLOOKUP($H21,OFFSET(floors!$A$1,0,0,COUNTA(floors!$A:$A),MATCH(I$1,floors!$1:$1,0)-MATCH($H$1,floors!$1:$1,0)+1),MATCH(I$1,floors!$1:$1,0)-MATCH($H$1,floors!$1:$1,0)+1,FALSE)</f>
        <v>60</v>
      </c>
      <c r="J21" s="4">
        <f ca="1">VLOOKUP($H21,OFFSET(floors!$A$1,0,0,COUNTA(floors!$A:$A),MATCH(J$1,floors!$1:$1,0)-MATCH($H$1,floors!$1:$1,0)+1),MATCH(J$1,floors!$1:$1,0)-MATCH($H$1,floors!$1:$1,0)+1,FALSE)</f>
        <v>60</v>
      </c>
      <c r="K21" s="38" t="s">
        <v>53</v>
      </c>
      <c r="L21" s="20">
        <v>43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ムゥ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green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Drop1N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dragon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50</v>
      </c>
      <c r="S21" s="25">
        <v>1.2</v>
      </c>
      <c r="T21" s="25">
        <v>1</v>
      </c>
      <c r="U21" s="5">
        <v>0</v>
      </c>
      <c r="V21" s="4" t="str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1" s="4">
        <f ca="1">VLOOKUP($L21,OFFSET([3]enemies!$A$1,0,0,COUNTA([3]enemies!$A:$A),MATCH(W$1,[3]enemies!$1:$1,0)-MATCH($L$1,[3]enemies!$1:$1,0)+1),MATCH(W$1,[3]enemies!$1:$1,0)-MATCH($L$1,[3]enemies!$1:$1,0)+1,FALSE)</f>
        <v>0</v>
      </c>
      <c r="X21" s="6">
        <v>0</v>
      </c>
      <c r="Y21" s="6">
        <v>100</v>
      </c>
      <c r="Z21" s="6">
        <v>0</v>
      </c>
      <c r="AA21" s="17">
        <f ca="1">VLOOKUP($L21,OFFSET([3]enemies!$A$1,0,0,COUNTA([3]enemies!$A:$A),MATCH(AA$1,[3]enemies!$1:$1,0)-MATCH($L$1,[3]enemies!$1:$1,0)+1),MATCH(AA$1,[3]enemies!$1:$1,0)-MATCH($L$1,[3]enemies!$1:$1,0)+1,FALSE)</f>
        <v>2</v>
      </c>
      <c r="AB21" s="24">
        <f t="shared" si="18"/>
        <v>43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ムゥ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Drop1N</v>
      </c>
      <c r="AF21" s="7">
        <v>1</v>
      </c>
      <c r="AG21" s="24">
        <f t="shared" ca="1" si="19"/>
        <v>2</v>
      </c>
      <c r="AH21" s="8">
        <v>20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 x14ac:dyDescent="0.15">
      <c r="A22" s="16" t="str">
        <f t="shared" ca="1" si="15"/>
        <v>30025_3-3/49&lt;lv50&gt;s2</v>
      </c>
      <c r="B22" s="22">
        <v>30025</v>
      </c>
      <c r="C22" s="102">
        <v>3</v>
      </c>
      <c r="D22" s="2" t="str">
        <f t="shared" si="16"/>
        <v>30025_3</v>
      </c>
      <c r="E22" s="4" t="str">
        <f ca="1">VLOOKUP($B22,OFFSET([2]quests!$A$1,0,0,COUNTA([2]quests!$A:$A),MATCH(E$1,[2]quests!$1:$1,0)-MATCH($B$1,[2]quests!$1:$1,0)+1),MATCH(E$1,[2]quests!$1:$1,0)-MATCH($B$1,[2]quests!$1:$1,0)+1,FALSE)</f>
        <v>真実の探求者</v>
      </c>
      <c r="F22" s="4" t="str">
        <f ca="1">VLOOKUP($D22,OFFSET([2]stages!$A$1,0,0,COUNTA([2]stages!$A:$A),MATCH(F$1,[2]stages!$2:$2,0)-MATCH($D$1,[2]stages!$2:$2,0)+1),MATCH(F$1,[2]stages!$2:$2,0)-MATCH($D$1,[2]stages!$2:$2,0)+1,FALSE)</f>
        <v>【超級】真実の探求者</v>
      </c>
      <c r="G22" s="102">
        <v>3</v>
      </c>
      <c r="H22" s="15" t="str">
        <f t="shared" si="17"/>
        <v>30025_3-3</v>
      </c>
      <c r="I22" s="4">
        <f ca="1">VLOOKUP($H22,OFFSET(floors!$A$1,0,0,COUNTA(floors!$A:$A),MATCH(I$1,floors!$1:$1,0)-MATCH($H$1,floors!$1:$1,0)+1),MATCH(I$1,floors!$1:$1,0)-MATCH($H$1,floors!$1:$1,0)+1,FALSE)</f>
        <v>60</v>
      </c>
      <c r="J22" s="4">
        <f ca="1">VLOOKUP($H22,OFFSET(floors!$A$1,0,0,COUNTA(floors!$A:$A),MATCH(J$1,floors!$1:$1,0)-MATCH($H$1,floors!$1:$1,0)+1),MATCH(J$1,floors!$1:$1,0)-MATCH($H$1,floors!$1:$1,0)+1,FALSE)</f>
        <v>60</v>
      </c>
      <c r="K22" s="38" t="s">
        <v>53</v>
      </c>
      <c r="L22" s="20">
        <v>49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ヨシタカ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Drop1N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human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50</v>
      </c>
      <c r="S22" s="25">
        <v>1.2</v>
      </c>
      <c r="T22" s="25">
        <v>1</v>
      </c>
      <c r="U22" s="5">
        <v>0</v>
      </c>
      <c r="V22" s="4" t="str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3ターンの間ダメージを受ける</v>
      </c>
      <c r="W22" s="4">
        <f ca="1">VLOOKUP($L22,OFFSET([3]enemies!$A$1,0,0,COUNTA([3]enemies!$A:$A),MATCH(W$1,[3]enemies!$1:$1,0)-MATCH($L$1,[3]enemies!$1:$1,0)+1),MATCH(W$1,[3]enemies!$1:$1,0)-MATCH($L$1,[3]enemies!$1:$1,0)+1,FALSE)</f>
        <v>49</v>
      </c>
      <c r="X22" s="6">
        <v>0</v>
      </c>
      <c r="Y22" s="6">
        <v>100</v>
      </c>
      <c r="Z22" s="6">
        <v>0</v>
      </c>
      <c r="AA22" s="17">
        <f ca="1">VLOOKUP($L22,OFFSET([3]enemies!$A$1,0,0,COUNTA([3]enemies!$A:$A),MATCH(AA$1,[3]enemies!$1:$1,0)-MATCH($L$1,[3]enemies!$1:$1,0)+1),MATCH(AA$1,[3]enemies!$1:$1,0)-MATCH($L$1,[3]enemies!$1:$1,0)+1,FALSE)</f>
        <v>2</v>
      </c>
      <c r="AB22" s="24">
        <f t="shared" si="18"/>
        <v>49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ヨシタカ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2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2" s="7">
        <v>1</v>
      </c>
      <c r="AG22" s="24">
        <f t="shared" ca="1" si="19"/>
        <v>2</v>
      </c>
      <c r="AH22" s="8">
        <v>20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 x14ac:dyDescent="0.15">
      <c r="A23" s="16" t="str">
        <f t="shared" ref="A23" ca="1" si="20">B23&amp;"_"&amp;C23&amp;"-"&amp;G23&amp;"/"&amp;L23&amp;"&lt;lv"&amp;R23&amp;"&gt;s"&amp;AA23</f>
        <v>30025_3-3/360&lt;lv50&gt;s3</v>
      </c>
      <c r="B23" s="22">
        <v>30025</v>
      </c>
      <c r="C23" s="102">
        <v>3</v>
      </c>
      <c r="D23" s="2" t="str">
        <f t="shared" ref="D23" si="21">B23&amp;"_"&amp;C23</f>
        <v>30025_3</v>
      </c>
      <c r="E23" s="4" t="str">
        <f ca="1">VLOOKUP($B23,OFFSET([2]quests!$A$1,0,0,COUNTA([2]quests!$A:$A),MATCH(E$1,[2]quests!$1:$1,0)-MATCH($B$1,[2]quests!$1:$1,0)+1),MATCH(E$1,[2]quests!$1:$1,0)-MATCH($B$1,[2]quests!$1:$1,0)+1,FALSE)</f>
        <v>真実の探求者</v>
      </c>
      <c r="F23" s="4" t="str">
        <f ca="1">VLOOKUP($D23,OFFSET([2]stages!$A$1,0,0,COUNTA([2]stages!$A:$A),MATCH(F$1,[2]stages!$2:$2,0)-MATCH($D$1,[2]stages!$2:$2,0)+1),MATCH(F$1,[2]stages!$2:$2,0)-MATCH($D$1,[2]stages!$2:$2,0)+1,FALSE)</f>
        <v>【超級】真実の探求者</v>
      </c>
      <c r="G23" s="102">
        <v>3</v>
      </c>
      <c r="H23" s="15" t="str">
        <f t="shared" ref="H23" si="22">B23&amp;"_"&amp;C23&amp;"-"&amp;G23</f>
        <v>30025_3-3</v>
      </c>
      <c r="I23" s="4">
        <f ca="1">VLOOKUP($H23,OFFSET(floors!$A$1,0,0,COUNTA(floors!$A:$A),MATCH(I$1,floors!$1:$1,0)-MATCH($H$1,floors!$1:$1,0)+1),MATCH(I$1,floors!$1:$1,0)-MATCH($H$1,floors!$1:$1,0)+1,FALSE)</f>
        <v>60</v>
      </c>
      <c r="J23" s="4">
        <f ca="1">VLOOKUP($H23,OFFSET(floors!$A$1,0,0,COUNTA(floors!$A:$A),MATCH(J$1,floors!$1:$1,0)-MATCH($H$1,floors!$1:$1,0)+1),MATCH(J$1,floors!$1:$1,0)-MATCH($H$1,floors!$1:$1,0)+1,FALSE)</f>
        <v>60</v>
      </c>
      <c r="K23" s="38" t="s">
        <v>53</v>
      </c>
      <c r="L23" s="20">
        <v>360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ガンテツ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red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Drop1S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animal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50</v>
      </c>
      <c r="S23" s="25">
        <v>1.2</v>
      </c>
      <c r="T23" s="25">
        <v>1</v>
      </c>
      <c r="U23" s="5">
        <v>0</v>
      </c>
      <c r="V23" s="4" t="e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3" s="47">
        <v>30025004</v>
      </c>
      <c r="X23" s="6">
        <v>0</v>
      </c>
      <c r="Y23" s="6">
        <v>100</v>
      </c>
      <c r="Z23" s="6">
        <v>1</v>
      </c>
      <c r="AA23" s="17">
        <f ca="1">VLOOKUP($L23,OFFSET([3]enemies!$A$1,0,0,COUNTA([3]enemies!$A:$A),MATCH(AA$1,[3]enemies!$1:$1,0)-MATCH($L$1,[3]enemies!$1:$1,0)+1),MATCH(AA$1,[3]enemies!$1:$1,0)-MATCH($L$1,[3]enemies!$1:$1,0)+1,FALSE)</f>
        <v>3</v>
      </c>
      <c r="AB23" s="24">
        <f t="shared" ref="AB23" si="23">L23</f>
        <v>360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ガンテツ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2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Drop1S</v>
      </c>
      <c r="AF23" s="7">
        <v>1</v>
      </c>
      <c r="AG23" s="24">
        <f t="shared" ref="AG23" ca="1" si="24">AD23</f>
        <v>2</v>
      </c>
      <c r="AH23" s="8">
        <v>20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 x14ac:dyDescent="0.15">
      <c r="A24" s="16" t="str">
        <f t="shared" si="0"/>
        <v>30025_3-4/580&lt;lv60&gt;s2</v>
      </c>
      <c r="B24" s="22">
        <v>30025</v>
      </c>
      <c r="C24" s="102">
        <v>3</v>
      </c>
      <c r="D24" s="2" t="str">
        <f t="shared" si="1"/>
        <v>30025_3</v>
      </c>
      <c r="E24" s="4" t="str">
        <f ca="1">VLOOKUP($B24,OFFSET([2]quests!$A$1,0,0,COUNTA([2]quests!$A:$A),MATCH(E$1,[2]quests!$1:$1,0)-MATCH($B$1,[2]quests!$1:$1,0)+1),MATCH(E$1,[2]quests!$1:$1,0)-MATCH($B$1,[2]quests!$1:$1,0)+1,FALSE)</f>
        <v>真実の探求者</v>
      </c>
      <c r="F24" s="4" t="str">
        <f ca="1">VLOOKUP($D24,OFFSET([2]stages!$A$1,0,0,COUNTA([2]stages!$A:$A),MATCH(F$1,[2]stages!$2:$2,0)-MATCH($D$1,[2]stages!$2:$2,0)+1),MATCH(F$1,[2]stages!$2:$2,0)-MATCH($D$1,[2]stages!$2:$2,0)+1,FALSE)</f>
        <v>【超級】真実の探求者</v>
      </c>
      <c r="G24" s="103">
        <v>4</v>
      </c>
      <c r="H24" s="15" t="str">
        <f t="shared" si="2"/>
        <v>30025_3-4</v>
      </c>
      <c r="I24" s="4">
        <f ca="1">VLOOKUP($H24,OFFSET(floors!$A$1,0,0,COUNTA(floors!$A:$A),MATCH(I$1,floors!$1:$1,0)-MATCH($H$1,floors!$1:$1,0)+1),MATCH(I$1,floors!$1:$1,0)-MATCH($H$1,floors!$1:$1,0)+1,FALSE)</f>
        <v>60</v>
      </c>
      <c r="J24" s="4">
        <f ca="1">VLOOKUP($H24,OFFSET(floors!$A$1,0,0,COUNTA(floors!$A:$A),MATCH(J$1,floors!$1:$1,0)-MATCH($H$1,floors!$1:$1,0)+1),MATCH(J$1,floors!$1:$1,0)-MATCH($H$1,floors!$1:$1,0)+1,FALSE)</f>
        <v>60</v>
      </c>
      <c r="K24" s="38">
        <v>1</v>
      </c>
      <c r="L24" s="20">
        <v>580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愛憐の旅神 オーズ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green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Drop2N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god</v>
      </c>
      <c r="Q24" s="17">
        <f ca="1">VLOOKUP($L24,OFFSET([3]enemies!$A$1,0,0,COUNTA([3]enemies!$A:$A),MATCH(Q$1,[3]enemies!$1:$1,0)-MATCH($L$1,[3]enemies!$1:$1,0)+1),MATCH(Q$1,[3]enemies!$1:$1,0)-MATCH($L$1,[3]enemies!$1:$1,0)+1,FALSE)</f>
        <v>60</v>
      </c>
      <c r="R24" s="5">
        <v>60</v>
      </c>
      <c r="S24" s="25">
        <v>2.2000000000000002</v>
      </c>
      <c r="T24" s="25">
        <v>1</v>
      </c>
      <c r="U24" s="5">
        <v>0</v>
      </c>
      <c r="V24" s="4" t="str">
        <f ca="1">VLOOKUP($W24,OFFSET(enemy_skill_sets!$B$1,0,0,COUNTA(enemy_skill_sets!$B:$B),MATCH(M$1,enemy_skill_sets!$1:$1,0)-MATCH($W$1,enemy_skill_sets!$1:$1,0)+2),MATCH(M$1,enemy_skill_sets!$1:$1,0)-MATCH($W$1,enemy_skill_sets!$1:$1,0)+2,FALSE)</f>
        <v>種族アニマルのユニットにタップ回数減少</v>
      </c>
      <c r="W24" s="106">
        <v>30025002</v>
      </c>
      <c r="X24" s="6">
        <v>0</v>
      </c>
      <c r="Y24" s="6">
        <v>100</v>
      </c>
      <c r="Z24" s="6">
        <v>0</v>
      </c>
      <c r="AA24" s="17">
        <v>2</v>
      </c>
      <c r="AB24" s="24">
        <v>579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オーズ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Drop2N</v>
      </c>
      <c r="AF24" s="7">
        <v>1</v>
      </c>
      <c r="AG24" s="24">
        <f t="shared" ca="1" si="4"/>
        <v>4</v>
      </c>
      <c r="AH24" s="8">
        <v>100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4" sqref="T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30025_3-4/580&lt;lv60&gt;sq1st2</v>
      </c>
      <c r="B2" s="22">
        <v>30025</v>
      </c>
      <c r="C2" s="21">
        <v>3</v>
      </c>
      <c r="D2" s="2" t="str">
        <f>B2&amp;"_"&amp;C2</f>
        <v>30025_3</v>
      </c>
      <c r="E2" s="4" t="str">
        <f ca="1">VLOOKUP($B2,OFFSET([2]quests!$A$1,0,0,COUNTA([2]quests!$A:$A),MATCH(E$1,[2]quests!$1:$1,0)-MATCH($B$1,[2]quests!$1:$1,0)+1),MATCH(E$1,[2]quests!$1:$1,0)-MATCH($B$1,[2]quests!$1:$1,0)+1,FALSE)</f>
        <v>真実の探求者</v>
      </c>
      <c r="F2" s="4" t="str">
        <f ca="1">VLOOKUP($D2,OFFSET([2]stages!$A$1,0,0,COUNTA([2]stages!$A:$A),MATCH(F$1,[2]stages!$2:$2,0)-MATCH($D$1,[2]stages!$2:$2,0)+1),MATCH(F$1,[2]stages!$2:$2,0)-MATCH($D$1,[2]stages!$2:$2,0)+1,FALSE)</f>
        <v>【超級】真実の探求者</v>
      </c>
      <c r="G2" s="21">
        <v>4</v>
      </c>
      <c r="H2" s="15" t="str">
        <f>B2&amp;"_"&amp;C2&amp;"-"&amp;G2</f>
        <v>30025_3-4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580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愛憐の旅神 オーズ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5">
        <v>2.2000000000000002</v>
      </c>
      <c r="U2" s="25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107">
        <v>30025003</v>
      </c>
      <c r="Y2" s="70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3"/>
  <sheetViews>
    <sheetView showGridLines="0" zoomScale="75" zoomScaleNormal="75" zoomScalePageLayoutView="75" workbookViewId="0">
      <pane ySplit="1" topLeftCell="A2" activePane="bottomLeft" state="frozenSplit"/>
      <selection pane="bottomLeft" activeCell="B3" sqref="B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05">
        <v>30025001</v>
      </c>
      <c r="B2" s="47" t="s">
        <v>260</v>
      </c>
      <c r="C2" s="50">
        <v>3</v>
      </c>
      <c r="D2" s="50" t="s">
        <v>128</v>
      </c>
      <c r="E2" s="51" t="s">
        <v>232</v>
      </c>
      <c r="F2" s="51" t="s">
        <v>214</v>
      </c>
      <c r="G2" s="63" t="str">
        <f t="shared" ref="G2:G7" si="0">IFERROR(LEFT(B2,FIND("],",B2)),B2)</f>
        <v>[effect:damage_anti_tribe, target:unit_all, tribe:machine, val1:0.01, val2:5.0]</v>
      </c>
      <c r="H2" s="63">
        <f t="shared" ref="H2:H11" si="1">FIND("effect:",G2)+7</f>
        <v>9</v>
      </c>
      <c r="I2" s="63">
        <f t="shared" ref="I2:I7" si="2">IFERROR(FIND(",",G2),LEN(G2))</f>
        <v>26</v>
      </c>
      <c r="J2" s="63">
        <f t="shared" ref="J2:J7" si="3">FIND("target:",G2)+7</f>
        <v>35</v>
      </c>
      <c r="K2" s="63">
        <f t="shared" ref="K2:K7" si="4">FIND(",",G2,I2+1)</f>
        <v>43</v>
      </c>
      <c r="L2" s="63" t="str">
        <f>IFERROR(VLOOKUP(MID(G2,J2,K2-J2),[6]skilldef!$C:$D,2,FALSE),"-") &amp; " / " &amp; IFERROR(VLOOKUP(MID(G2,H2,I2-H2),[6]skilldef!$A:$B,2,FALSE),"-")</f>
        <v>味方全体に / 種族キラー</v>
      </c>
      <c r="M2" s="63" t="str">
        <f t="shared" ref="M2:M7" si="5">IFERROR(RIGHT(B2,LEN(B2)-FIND("],",B2)-1),"none")</f>
        <v>[effect:damage_anti_tribe, target:unit_all, tribe:machine, val1:0.01, val2:5.0]</v>
      </c>
      <c r="N2" s="48" t="str">
        <f>IFERROR(LEFT(M2,FIND("],",M2)+S10),M2)</f>
        <v>[effect:damage_anti_tribe, target:unit_all, tribe:machine, val1:0.01, val2:5.0]</v>
      </c>
      <c r="O2" s="63">
        <f t="shared" ref="O2:O11" si="6">FIND("effect:",N2)+7</f>
        <v>9</v>
      </c>
      <c r="P2" s="63">
        <f t="shared" ref="P2:P7" si="7">IFERROR(FIND(",",N2),LEN(N2))</f>
        <v>26</v>
      </c>
      <c r="Q2" s="63">
        <f t="shared" ref="Q2:Q7" si="8">FIND("target:",N2)+7</f>
        <v>35</v>
      </c>
      <c r="R2" s="63">
        <f t="shared" ref="R2:R7" si="9">FIND(",",N2,P2+1)</f>
        <v>43</v>
      </c>
      <c r="S2" s="63" t="str">
        <f>IFERROR(VLOOKUP(MID(N2,Q2,R2-Q2),[6]skilldef!$C:$D,2,FALSE),"-") &amp; " / " &amp; IFERROR(VLOOKUP(MID(N2,O2,P2-O2),[6]skilldef!$A:$B,2,FALSE),"-")</f>
        <v>味方全体に / 種族キラー</v>
      </c>
      <c r="T2" s="48" t="str">
        <f t="shared" ref="T2:T7" si="10">IFERROR(RIGHT(M2,LEN(M2)-FIND("],",M2)-1),"none")</f>
        <v>none</v>
      </c>
      <c r="U2" s="63" t="e">
        <f t="shared" ref="U2:U11" si="11">FIND("effect:",T2)+7</f>
        <v>#VALUE!</v>
      </c>
      <c r="V2" s="63">
        <f t="shared" ref="V2:V7" si="12">IFERROR(FIND(",",T2),LEN(T2))</f>
        <v>4</v>
      </c>
      <c r="W2" s="63" t="e">
        <f t="shared" ref="W2:W7" si="13">FIND("target:",T2)+7</f>
        <v>#VALUE!</v>
      </c>
      <c r="X2" s="63" t="e">
        <f t="shared" ref="X2:X7" si="14"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105">
        <v>30025003</v>
      </c>
      <c r="B3" s="47" t="s">
        <v>215</v>
      </c>
      <c r="C3" s="50">
        <v>3</v>
      </c>
      <c r="D3" s="50" t="s">
        <v>128</v>
      </c>
      <c r="E3" s="51" t="s">
        <v>234</v>
      </c>
      <c r="F3" s="51" t="s">
        <v>216</v>
      </c>
      <c r="G3" s="63" t="str">
        <f t="shared" si="0"/>
        <v>[effect:spread, val:0.5, animation:enemy_spread]</v>
      </c>
      <c r="H3" s="63">
        <f t="shared" si="1"/>
        <v>9</v>
      </c>
      <c r="I3" s="63">
        <f t="shared" si="2"/>
        <v>15</v>
      </c>
      <c r="J3" s="63" t="e">
        <f t="shared" si="3"/>
        <v>#VALUE!</v>
      </c>
      <c r="K3" s="63">
        <f t="shared" si="4"/>
        <v>24</v>
      </c>
      <c r="L3" s="63" t="str">
        <f>IFERROR(VLOOKUP(MID(G3,J3,K3-J3),[6]skilldef!$C:$D,2,FALSE),"-") &amp; " / " &amp; IFERROR(VLOOKUP(MID(G3,H3,I3-H3),[6]skilldef!$A:$B,2,FALSE),"-")</f>
        <v>- / 全体攻撃</v>
      </c>
      <c r="M3" s="63" t="str">
        <f t="shared" si="5"/>
        <v>none</v>
      </c>
      <c r="N3" s="48" t="str">
        <f t="shared" ref="N3:N13" si="15">IFERROR(LEFT(M3,FIND("],",M3)+S12),M3)</f>
        <v>none</v>
      </c>
      <c r="O3" s="63" t="e">
        <f t="shared" si="6"/>
        <v>#VALUE!</v>
      </c>
      <c r="P3" s="63">
        <f t="shared" si="7"/>
        <v>4</v>
      </c>
      <c r="Q3" s="63" t="e">
        <f t="shared" si="8"/>
        <v>#VALUE!</v>
      </c>
      <c r="R3" s="63" t="e">
        <f t="shared" si="9"/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105">
        <v>30025004</v>
      </c>
      <c r="B4" s="47" t="s">
        <v>218</v>
      </c>
      <c r="C4" s="50">
        <v>3</v>
      </c>
      <c r="D4" s="50" t="s">
        <v>128</v>
      </c>
      <c r="E4" s="51" t="s">
        <v>233</v>
      </c>
      <c r="F4" s="51" t="s">
        <v>217</v>
      </c>
      <c r="G4" s="63" t="str">
        <f t="shared" si="0"/>
        <v>[effect:freq_turn, target:myself, turn:-1, val:1, animation:enemy_freq_turn]</v>
      </c>
      <c r="H4" s="63">
        <f t="shared" si="1"/>
        <v>9</v>
      </c>
      <c r="I4" s="63">
        <f t="shared" si="2"/>
        <v>18</v>
      </c>
      <c r="J4" s="63">
        <f t="shared" si="3"/>
        <v>27</v>
      </c>
      <c r="K4" s="63">
        <f t="shared" si="4"/>
        <v>33</v>
      </c>
      <c r="L4" s="63" t="str">
        <f>IFERROR(VLOOKUP(MID(G4,J4,K4-J4),[6]skilldef!$C:$D,2,FALSE),"-") &amp; " / " &amp; IFERROR(VLOOKUP(MID(G4,H4,I4-H4),[6]skilldef!$A:$B,2,FALSE),"-")</f>
        <v>自分自身に / 攻撃頻度がUP</v>
      </c>
      <c r="M4" s="63" t="str">
        <f t="shared" si="5"/>
        <v>none</v>
      </c>
      <c r="N4" s="48" t="str">
        <f t="shared" si="15"/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30025006</v>
      </c>
      <c r="B5" s="47" t="s">
        <v>223</v>
      </c>
      <c r="C5" s="50">
        <v>3</v>
      </c>
      <c r="D5" s="50" t="s">
        <v>128</v>
      </c>
      <c r="E5" s="51" t="s">
        <v>235</v>
      </c>
      <c r="F5" s="51" t="s">
        <v>219</v>
      </c>
      <c r="G5" s="63" t="str">
        <f t="shared" si="0"/>
        <v>[effect:degrade_unit, target:unit_animal, turn:-1, status:action, val:1.0,animation:enemy_tap_down]</v>
      </c>
      <c r="H5" s="63">
        <f t="shared" si="1"/>
        <v>9</v>
      </c>
      <c r="I5" s="63">
        <f t="shared" si="2"/>
        <v>21</v>
      </c>
      <c r="J5" s="63">
        <f t="shared" si="3"/>
        <v>30</v>
      </c>
      <c r="K5" s="63">
        <f t="shared" si="4"/>
        <v>41</v>
      </c>
      <c r="L5" s="63" t="str">
        <f>IFERROR(VLOOKUP(MID(G5,J5,K5-J5),[6]skilldef!$C:$D,2,FALSE),"-") &amp; " / " &amp; IFERROR(VLOOKUP(MID(G5,H5,I5-H5),[6]skilldef!$A:$B,2,FALSE),"-")</f>
        <v>アニマルの味方に / ステータスDOWN</v>
      </c>
      <c r="M5" s="63" t="str">
        <f t="shared" si="5"/>
        <v>none</v>
      </c>
      <c r="N5" s="48" t="str">
        <f t="shared" si="15"/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30025007</v>
      </c>
      <c r="B6" s="47" t="s">
        <v>225</v>
      </c>
      <c r="C6" s="50">
        <v>3</v>
      </c>
      <c r="D6" s="50" t="s">
        <v>128</v>
      </c>
      <c r="E6" s="51" t="s">
        <v>241</v>
      </c>
      <c r="F6" s="51" t="s">
        <v>220</v>
      </c>
      <c r="G6" s="63" t="str">
        <f t="shared" si="0"/>
        <v>[effect:rush, count:3, val:0.5]</v>
      </c>
      <c r="H6" s="63">
        <f t="shared" si="1"/>
        <v>9</v>
      </c>
      <c r="I6" s="63">
        <f t="shared" si="2"/>
        <v>13</v>
      </c>
      <c r="J6" s="63" t="e">
        <f t="shared" si="3"/>
        <v>#VALUE!</v>
      </c>
      <c r="K6" s="63">
        <f t="shared" si="4"/>
        <v>22</v>
      </c>
      <c r="L6" s="63" t="str">
        <f>IFERROR(VLOOKUP(MID(G6,J6,K6-J6),[6]skilldef!$C:$D,2,FALSE),"-") &amp; " / " &amp; IFERROR(VLOOKUP(MID(G6,H6,I6-H6),[6]skilldef!$A:$B,2,FALSE),"-")</f>
        <v>- / 連続攻撃</v>
      </c>
      <c r="M6" s="63" t="str">
        <f t="shared" si="5"/>
        <v>none</v>
      </c>
      <c r="N6" s="48" t="str">
        <f t="shared" si="15"/>
        <v>none</v>
      </c>
      <c r="O6" s="63" t="e">
        <f t="shared" si="6"/>
        <v>#VALUE!</v>
      </c>
      <c r="P6" s="63">
        <f t="shared" si="7"/>
        <v>4</v>
      </c>
      <c r="Q6" s="63" t="e">
        <f t="shared" si="8"/>
        <v>#VALUE!</v>
      </c>
      <c r="R6" s="63" t="e">
        <f t="shared" si="9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0"/>
        <v>none</v>
      </c>
      <c r="U6" s="63" t="e">
        <f t="shared" si="11"/>
        <v>#VALUE!</v>
      </c>
      <c r="V6" s="63">
        <f t="shared" si="12"/>
        <v>4</v>
      </c>
      <c r="W6" s="63" t="e">
        <f t="shared" si="13"/>
        <v>#VALUE!</v>
      </c>
      <c r="X6" s="63" t="e">
        <f t="shared" si="14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30025008</v>
      </c>
      <c r="B7" s="47" t="s">
        <v>228</v>
      </c>
      <c r="C7" s="50">
        <v>3</v>
      </c>
      <c r="D7" s="50" t="s">
        <v>128</v>
      </c>
      <c r="E7" s="51" t="s">
        <v>237</v>
      </c>
      <c r="F7" s="51" t="s">
        <v>221</v>
      </c>
      <c r="G7" s="63" t="str">
        <f t="shared" si="0"/>
        <v>[effect:change_block, new_block:time_bomb, target:block_green, count:0, val:0.1, min_time_count:1, max_time_count:3, animation:change_block]</v>
      </c>
      <c r="H7" s="63">
        <f t="shared" si="1"/>
        <v>9</v>
      </c>
      <c r="I7" s="63">
        <f t="shared" si="2"/>
        <v>21</v>
      </c>
      <c r="J7" s="63">
        <f t="shared" si="3"/>
        <v>51</v>
      </c>
      <c r="K7" s="63">
        <f t="shared" si="4"/>
        <v>42</v>
      </c>
      <c r="L7" s="63" t="str">
        <f>IFERROR(VLOOKUP(MID(G7,J7,K7-J7),[6]skilldef!$C:$D,2,FALSE),"-") &amp; " / " &amp; IFERROR(VLOOKUP(MID(G7,H7,I7-H7),[6]skilldef!$A:$B,2,FALSE),"-")</f>
        <v>- / ブロック変換</v>
      </c>
      <c r="M7" s="63" t="str">
        <f t="shared" si="5"/>
        <v>[effect:rush, count:3, val:0.35]</v>
      </c>
      <c r="N7" s="48" t="str">
        <f t="shared" si="15"/>
        <v>[effect:rush, count:3, val:0.35]</v>
      </c>
      <c r="O7" s="63">
        <f t="shared" si="6"/>
        <v>9</v>
      </c>
      <c r="P7" s="63">
        <f t="shared" si="7"/>
        <v>13</v>
      </c>
      <c r="Q7" s="63" t="e">
        <f t="shared" si="8"/>
        <v>#VALUE!</v>
      </c>
      <c r="R7" s="63">
        <f t="shared" si="9"/>
        <v>22</v>
      </c>
      <c r="S7" s="63" t="str">
        <f>IFERROR(VLOOKUP(MID(N7,Q7,R7-Q7),[6]skilldef!$C:$D,2,FALSE),"-") &amp; " / " &amp; IFERROR(VLOOKUP(MID(N7,O7,P7-O7),[6]skilldef!$A:$B,2,FALSE),"-")</f>
        <v>- / 連続攻撃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30025009</v>
      </c>
      <c r="B8" s="47" t="s">
        <v>255</v>
      </c>
      <c r="C8" s="50">
        <v>3</v>
      </c>
      <c r="D8" s="50" t="s">
        <v>128</v>
      </c>
      <c r="E8" s="51" t="s">
        <v>236</v>
      </c>
      <c r="F8" s="51" t="s">
        <v>256</v>
      </c>
      <c r="G8" s="63" t="str">
        <f t="shared" ref="G8:G9" si="16">IFERROR(LEFT(B8,FIND("],",B8)),B8)</f>
        <v>[effect:dark, turn:5,target:unit_all,animation:enemy_dark]</v>
      </c>
      <c r="H8" s="63">
        <f t="shared" si="1"/>
        <v>9</v>
      </c>
      <c r="I8" s="63">
        <f t="shared" ref="I8:I9" si="17">IFERROR(FIND(",",G8),LEN(G8))</f>
        <v>13</v>
      </c>
      <c r="J8" s="63">
        <f t="shared" ref="J8:J9" si="18">FIND("target:",G8)+7</f>
        <v>29</v>
      </c>
      <c r="K8" s="63">
        <f t="shared" ref="K8:K9" si="19">FIND(",",G8,I8+1)</f>
        <v>21</v>
      </c>
      <c r="L8" s="63" t="str">
        <f>IFERROR(VLOOKUP(MID(G8,J8,K8-J8),[6]skilldef!$C:$D,2,FALSE),"-") &amp; " / " &amp; IFERROR(VLOOKUP(MID(G8,H8,I8-H8),[6]skilldef!$A:$B,2,FALSE),"-")</f>
        <v>- / 暗黒</v>
      </c>
      <c r="M8" s="63" t="str">
        <f t="shared" ref="M8:M9" si="20">IFERROR(RIGHT(B8,LEN(B8)-FIND("],",B8)-1),"none")</f>
        <v>none</v>
      </c>
      <c r="N8" s="48" t="str">
        <f t="shared" si="15"/>
        <v>none</v>
      </c>
      <c r="O8" s="63" t="e">
        <f t="shared" si="6"/>
        <v>#VALUE!</v>
      </c>
      <c r="P8" s="63">
        <f t="shared" ref="P8:P9" si="21">IFERROR(FIND(",",N8),LEN(N8))</f>
        <v>4</v>
      </c>
      <c r="Q8" s="63" t="e">
        <f t="shared" ref="Q8:Q9" si="22">FIND("target:",N8)+7</f>
        <v>#VALUE!</v>
      </c>
      <c r="R8" s="63" t="e">
        <f t="shared" ref="R8:R9" si="23">FIND(",",N8,P8+1)</f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ref="T8:T9" si="24">IFERROR(RIGHT(M8,LEN(M8)-FIND("],",M8)-1),"none")</f>
        <v>none</v>
      </c>
      <c r="U8" s="63" t="e">
        <f t="shared" si="11"/>
        <v>#VALUE!</v>
      </c>
      <c r="V8" s="63">
        <f t="shared" ref="V8:V9" si="25">IFERROR(FIND(",",T8),LEN(T8))</f>
        <v>4</v>
      </c>
      <c r="W8" s="63" t="e">
        <f t="shared" ref="W8:W9" si="26">FIND("target:",T8)+7</f>
        <v>#VALUE!</v>
      </c>
      <c r="X8" s="63" t="e">
        <f t="shared" ref="X8:X9" si="27">FIND(",",T8,V8+1)</f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30025010</v>
      </c>
      <c r="B9" s="47" t="s">
        <v>229</v>
      </c>
      <c r="C9" s="50">
        <v>3</v>
      </c>
      <c r="D9" s="50" t="s">
        <v>128</v>
      </c>
      <c r="E9" s="51" t="s">
        <v>238</v>
      </c>
      <c r="F9" s="51" t="s">
        <v>222</v>
      </c>
      <c r="G9" s="63" t="str">
        <f t="shared" si="16"/>
        <v>[effect:change_block, new_block:time_bomb, target:block_all, count:1, val:0.3, min_time_count:3, max_time_count:3, animation:change_block]</v>
      </c>
      <c r="H9" s="63">
        <f t="shared" si="1"/>
        <v>9</v>
      </c>
      <c r="I9" s="63">
        <f t="shared" si="17"/>
        <v>21</v>
      </c>
      <c r="J9" s="63">
        <f t="shared" si="18"/>
        <v>51</v>
      </c>
      <c r="K9" s="63">
        <f t="shared" si="19"/>
        <v>42</v>
      </c>
      <c r="L9" s="63" t="str">
        <f>IFERROR(VLOOKUP(MID(G9,J9,K9-J9),[6]skilldef!$C:$D,2,FALSE),"-") &amp; " / " &amp; IFERROR(VLOOKUP(MID(G9,H9,I9-H9),[6]skilldef!$A:$B,2,FALSE),"-")</f>
        <v>- / ブロック変換</v>
      </c>
      <c r="M9" s="63" t="str">
        <f t="shared" si="20"/>
        <v>[effect:rush, count:1, val:1.0]</v>
      </c>
      <c r="N9" s="48" t="str">
        <f t="shared" si="15"/>
        <v>[effect:rush, count:1, val:1.0]</v>
      </c>
      <c r="O9" s="63">
        <f t="shared" si="6"/>
        <v>9</v>
      </c>
      <c r="P9" s="63">
        <f t="shared" si="21"/>
        <v>13</v>
      </c>
      <c r="Q9" s="63" t="e">
        <f t="shared" si="22"/>
        <v>#VALUE!</v>
      </c>
      <c r="R9" s="63">
        <f t="shared" si="23"/>
        <v>22</v>
      </c>
      <c r="S9" s="63" t="str">
        <f>IFERROR(VLOOKUP(MID(N9,Q9,R9-Q9),[6]skilldef!$C:$D,2,FALSE),"-") &amp; " / " &amp; IFERROR(VLOOKUP(MID(N9,O9,P9-O9),[6]skilldef!$A:$B,2,FALSE),"-")</f>
        <v>- / 連続攻撃</v>
      </c>
      <c r="T9" s="48" t="str">
        <f t="shared" si="24"/>
        <v>none</v>
      </c>
      <c r="U9" s="63" t="e">
        <f t="shared" si="11"/>
        <v>#VALUE!</v>
      </c>
      <c r="V9" s="63">
        <f t="shared" si="25"/>
        <v>4</v>
      </c>
      <c r="W9" s="63" t="e">
        <f t="shared" si="26"/>
        <v>#VALUE!</v>
      </c>
      <c r="X9" s="63" t="e">
        <f t="shared" si="27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30025011</v>
      </c>
      <c r="B10" s="47" t="s">
        <v>230</v>
      </c>
      <c r="C10" s="50">
        <v>3</v>
      </c>
      <c r="D10" s="50" t="s">
        <v>128</v>
      </c>
      <c r="E10" s="51" t="s">
        <v>239</v>
      </c>
      <c r="F10" s="51" t="s">
        <v>222</v>
      </c>
      <c r="G10" s="63" t="str">
        <f t="shared" ref="G10:G11" si="28">IFERROR(LEFT(B10,FIND("],",B10)),B10)</f>
        <v>[effect:change_block, new_block:time_bomb, target:block_all, count:1, val:0.3, min_time_count:2, max_time_count:2, animation:change_block]</v>
      </c>
      <c r="H10" s="63">
        <f t="shared" si="1"/>
        <v>9</v>
      </c>
      <c r="I10" s="63">
        <f t="shared" ref="I10:I11" si="29">IFERROR(FIND(",",G10),LEN(G10))</f>
        <v>21</v>
      </c>
      <c r="J10" s="63">
        <f t="shared" ref="J10:J11" si="30">FIND("target:",G10)+7</f>
        <v>51</v>
      </c>
      <c r="K10" s="63">
        <f t="shared" ref="K10:K11" si="31">FIND(",",G10,I10+1)</f>
        <v>42</v>
      </c>
      <c r="L10" s="63" t="str">
        <f>IFERROR(VLOOKUP(MID(G10,J10,K10-J10),[6]skilldef!$C:$D,2,FALSE),"-") &amp; " / " &amp; IFERROR(VLOOKUP(MID(G10,H10,I10-H10),[6]skilldef!$A:$B,2,FALSE),"-")</f>
        <v>- / ブロック変換</v>
      </c>
      <c r="M10" s="63" t="str">
        <f t="shared" ref="M10:M11" si="32">IFERROR(RIGHT(B10,LEN(B10)-FIND("],",B10)-1),"none")</f>
        <v>[effect:rush, count:2, val:0.55]</v>
      </c>
      <c r="N10" s="48" t="str">
        <f t="shared" si="15"/>
        <v>[effect:rush, count:2, val:0.55]</v>
      </c>
      <c r="O10" s="63">
        <f t="shared" si="6"/>
        <v>9</v>
      </c>
      <c r="P10" s="63">
        <f t="shared" ref="P10:P11" si="33">IFERROR(FIND(",",N10),LEN(N10))</f>
        <v>13</v>
      </c>
      <c r="Q10" s="63" t="e">
        <f t="shared" ref="Q10:Q11" si="34">FIND("target:",N10)+7</f>
        <v>#VALUE!</v>
      </c>
      <c r="R10" s="63">
        <f t="shared" ref="R10:R11" si="35">FIND(",",N10,P10+1)</f>
        <v>22</v>
      </c>
      <c r="S10" s="63" t="str">
        <f>IFERROR(VLOOKUP(MID(N10,Q10,R10-Q10),[6]skilldef!$C:$D,2,FALSE),"-") &amp; " / " &amp; IFERROR(VLOOKUP(MID(N10,O10,P10-O10),[6]skilldef!$A:$B,2,FALSE),"-")</f>
        <v>- / 連続攻撃</v>
      </c>
      <c r="T10" s="48" t="str">
        <f t="shared" ref="T10:T11" si="36">IFERROR(RIGHT(M10,LEN(M10)-FIND("],",M10)-1),"none")</f>
        <v>none</v>
      </c>
      <c r="U10" s="63" t="e">
        <f t="shared" si="11"/>
        <v>#VALUE!</v>
      </c>
      <c r="V10" s="63">
        <f t="shared" ref="V10:V11" si="37">IFERROR(FIND(",",T10),LEN(T10))</f>
        <v>4</v>
      </c>
      <c r="W10" s="63" t="e">
        <f t="shared" ref="W10:W11" si="38">FIND("target:",T10)+7</f>
        <v>#VALUE!</v>
      </c>
      <c r="X10" s="63" t="e">
        <f t="shared" ref="X10:X11" si="39">FIND(",",T10,V10+1)</f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30025012</v>
      </c>
      <c r="B11" s="47" t="s">
        <v>231</v>
      </c>
      <c r="C11" s="50">
        <v>3</v>
      </c>
      <c r="D11" s="50" t="s">
        <v>128</v>
      </c>
      <c r="E11" s="51" t="s">
        <v>240</v>
      </c>
      <c r="F11" s="51" t="s">
        <v>222</v>
      </c>
      <c r="G11" s="63" t="str">
        <f t="shared" si="28"/>
        <v>[effect:change_block, new_block:time_bomb, target:block_all, count:1, val:0.3, min_time_count:1, max_time_count:1, animation:change_block]</v>
      </c>
      <c r="H11" s="63">
        <f t="shared" si="1"/>
        <v>9</v>
      </c>
      <c r="I11" s="63">
        <f t="shared" si="29"/>
        <v>21</v>
      </c>
      <c r="J11" s="63">
        <f t="shared" si="30"/>
        <v>51</v>
      </c>
      <c r="K11" s="63">
        <f t="shared" si="31"/>
        <v>42</v>
      </c>
      <c r="L11" s="63" t="str">
        <f>IFERROR(VLOOKUP(MID(G11,J11,K11-J11),[6]skilldef!$C:$D,2,FALSE),"-") &amp; " / " &amp; IFERROR(VLOOKUP(MID(G11,H11,I11-H11),[6]skilldef!$A:$B,2,FALSE),"-")</f>
        <v>- / ブロック変換</v>
      </c>
      <c r="M11" s="63" t="str">
        <f t="shared" si="32"/>
        <v>[effect:rush, count:3, val:0.4]</v>
      </c>
      <c r="N11" s="48" t="str">
        <f t="shared" si="15"/>
        <v>[effect:rush, count:3, val:0.4]</v>
      </c>
      <c r="O11" s="63">
        <f t="shared" si="6"/>
        <v>9</v>
      </c>
      <c r="P11" s="63">
        <f t="shared" si="33"/>
        <v>13</v>
      </c>
      <c r="Q11" s="63" t="e">
        <f t="shared" si="34"/>
        <v>#VALUE!</v>
      </c>
      <c r="R11" s="63">
        <f t="shared" si="35"/>
        <v>22</v>
      </c>
      <c r="S11" s="63" t="str">
        <f>IFERROR(VLOOKUP(MID(N11,Q11,R11-Q11),[6]skilldef!$C:$D,2,FALSE),"-") &amp; " / " &amp; IFERROR(VLOOKUP(MID(N11,O11,P11-O11),[6]skilldef!$A:$B,2,FALSE),"-")</f>
        <v>- / 連続攻撃</v>
      </c>
      <c r="T11" s="48" t="str">
        <f t="shared" si="36"/>
        <v>none</v>
      </c>
      <c r="U11" s="63" t="e">
        <f t="shared" si="11"/>
        <v>#VALUE!</v>
      </c>
      <c r="V11" s="63">
        <f t="shared" si="37"/>
        <v>4</v>
      </c>
      <c r="W11" s="63" t="e">
        <f t="shared" si="38"/>
        <v>#VALUE!</v>
      </c>
      <c r="X11" s="63" t="e">
        <f t="shared" si="39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30025013</v>
      </c>
      <c r="B12" s="47" t="s">
        <v>226</v>
      </c>
      <c r="C12" s="50">
        <v>3</v>
      </c>
      <c r="D12" s="50" t="s">
        <v>128</v>
      </c>
      <c r="E12" s="51" t="s">
        <v>227</v>
      </c>
      <c r="F12" s="51" t="s">
        <v>224</v>
      </c>
      <c r="G12" s="63" t="str">
        <f t="shared" ref="G12:G13" si="40">IFERROR(LEFT(B12,FIND("],",B12)),B12)</f>
        <v>[effect:dark, turn:4,target:unit_all,animation:enemy_dark]</v>
      </c>
      <c r="H12" s="63">
        <f t="shared" ref="H12:H13" si="41">FIND("effect:",G12)+7</f>
        <v>9</v>
      </c>
      <c r="I12" s="63">
        <f t="shared" ref="I12:I13" si="42">IFERROR(FIND(",",G12),LEN(G12))</f>
        <v>13</v>
      </c>
      <c r="J12" s="63">
        <f t="shared" ref="J12:J13" si="43">FIND("target:",G12)+7</f>
        <v>29</v>
      </c>
      <c r="K12" s="63">
        <f t="shared" ref="K12:K13" si="44">FIND(",",G12,I12+1)</f>
        <v>21</v>
      </c>
      <c r="L12" s="63" t="str">
        <f>IFERROR(VLOOKUP(MID(G12,J12,K12-J12),[6]skilldef!$C:$D,2,FALSE),"-") &amp; " / " &amp; IFERROR(VLOOKUP(MID(G12,H12,I12-H12),[6]skilldef!$A:$B,2,FALSE),"-")</f>
        <v>- / 暗黒</v>
      </c>
      <c r="M12" s="63" t="str">
        <f t="shared" ref="M12:M13" si="45">IFERROR(RIGHT(B12,LEN(B12)-FIND("],",B12)-1),"none")</f>
        <v>[effect:rush, count:2, val:0.5]</v>
      </c>
      <c r="N12" s="48" t="str">
        <f t="shared" si="15"/>
        <v>[effect:rush, count:2, val:0.5]</v>
      </c>
      <c r="O12" s="63">
        <f t="shared" ref="O12:O13" si="46">FIND("effect:",N12)+7</f>
        <v>9</v>
      </c>
      <c r="P12" s="63">
        <f t="shared" ref="P12:P13" si="47">IFERROR(FIND(",",N12),LEN(N12))</f>
        <v>13</v>
      </c>
      <c r="Q12" s="63" t="e">
        <f t="shared" ref="Q12:Q13" si="48">FIND("target:",N12)+7</f>
        <v>#VALUE!</v>
      </c>
      <c r="R12" s="63">
        <f t="shared" ref="R12:R13" si="49">FIND(",",N12,P12+1)</f>
        <v>22</v>
      </c>
      <c r="S12" s="63" t="str">
        <f>IFERROR(VLOOKUP(MID(N12,Q12,R12-Q12),[6]skilldef!$C:$D,2,FALSE),"-") &amp; " / " &amp; IFERROR(VLOOKUP(MID(N12,O12,P12-O12),[6]skilldef!$A:$B,2,FALSE),"-")</f>
        <v>- / 連続攻撃</v>
      </c>
      <c r="T12" s="48" t="str">
        <f t="shared" ref="T12:T13" si="50">IFERROR(RIGHT(M12,LEN(M12)-FIND("],",M12)-1),"none")</f>
        <v>none</v>
      </c>
      <c r="U12" s="63" t="e">
        <f t="shared" ref="U12:U13" si="51">FIND("effect:",T12)+7</f>
        <v>#VALUE!</v>
      </c>
      <c r="V12" s="63">
        <f t="shared" ref="V12:V13" si="52">IFERROR(FIND(",",T12),LEN(T12))</f>
        <v>4</v>
      </c>
      <c r="W12" s="63" t="e">
        <f t="shared" ref="W12:W13" si="53">FIND("target:",T12)+7</f>
        <v>#VALUE!</v>
      </c>
      <c r="X12" s="63" t="e">
        <f t="shared" ref="X12:X13" si="54">FIND(",",T12,V12+1)</f>
        <v>#VALUE!</v>
      </c>
      <c r="Y12" s="63" t="str">
        <f>IFERROR(VLOOKUP(MID(T12,W12,X12-W12),[6]skilldef!$C:$D,2,FALSE),"-") &amp; " / " &amp; IFERROR(VLOOKUP(MID(T12,U12,V12-U12),[6]skilldef!$A:$B,2,FALSE),"-")</f>
        <v>- / -</v>
      </c>
      <c r="Z12" s="50"/>
      <c r="AA12" s="52"/>
      <c r="AB12" s="50"/>
    </row>
    <row r="13" spans="1:28" ht="21" customHeight="1" x14ac:dyDescent="0.15">
      <c r="A13" s="47">
        <v>30025014</v>
      </c>
      <c r="B13" s="47" t="s">
        <v>242</v>
      </c>
      <c r="C13" s="50">
        <v>3</v>
      </c>
      <c r="D13" s="50" t="s">
        <v>128</v>
      </c>
      <c r="E13" s="51" t="s">
        <v>237</v>
      </c>
      <c r="F13" s="51" t="s">
        <v>221</v>
      </c>
      <c r="G13" s="63" t="str">
        <f t="shared" si="40"/>
        <v>[effect:change_block, new_block:time_bomb, target:block_green, count:0, val:0.08, min_time_count:3, max_time_count:3, animation:change_block]</v>
      </c>
      <c r="H13" s="63">
        <f t="shared" si="41"/>
        <v>9</v>
      </c>
      <c r="I13" s="63">
        <f t="shared" si="42"/>
        <v>21</v>
      </c>
      <c r="J13" s="63">
        <f t="shared" si="43"/>
        <v>51</v>
      </c>
      <c r="K13" s="63">
        <f t="shared" si="44"/>
        <v>42</v>
      </c>
      <c r="L13" s="63" t="str">
        <f>IFERROR(VLOOKUP(MID(G13,J13,K13-J13),[6]skilldef!$C:$D,2,FALSE),"-") &amp; " / " &amp; IFERROR(VLOOKUP(MID(G13,H13,I13-H13),[6]skilldef!$A:$B,2,FALSE),"-")</f>
        <v>- / ブロック変換</v>
      </c>
      <c r="M13" s="63" t="str">
        <f t="shared" si="45"/>
        <v>[effect:rush, count:3, val:0.35]</v>
      </c>
      <c r="N13" s="48" t="str">
        <f t="shared" si="15"/>
        <v>[effect:rush, count:3, val:0.35]</v>
      </c>
      <c r="O13" s="63">
        <f t="shared" si="46"/>
        <v>9</v>
      </c>
      <c r="P13" s="63">
        <f t="shared" si="47"/>
        <v>13</v>
      </c>
      <c r="Q13" s="63" t="e">
        <f t="shared" si="48"/>
        <v>#VALUE!</v>
      </c>
      <c r="R13" s="63">
        <f t="shared" si="49"/>
        <v>22</v>
      </c>
      <c r="S13" s="63" t="str">
        <f>IFERROR(VLOOKUP(MID(N13,Q13,R13-Q13),[6]skilldef!$C:$D,2,FALSE),"-") &amp; " / " &amp; IFERROR(VLOOKUP(MID(N13,O13,P13-O13),[6]skilldef!$A:$B,2,FALSE),"-")</f>
        <v>- / 連続攻撃</v>
      </c>
      <c r="T13" s="48" t="str">
        <f t="shared" si="50"/>
        <v>none</v>
      </c>
      <c r="U13" s="63" t="e">
        <f t="shared" si="51"/>
        <v>#VALUE!</v>
      </c>
      <c r="V13" s="63">
        <f t="shared" si="52"/>
        <v>4</v>
      </c>
      <c r="W13" s="63" t="e">
        <f t="shared" si="53"/>
        <v>#VALUE!</v>
      </c>
      <c r="X13" s="63" t="e">
        <f t="shared" si="54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2"/>
  <sheetViews>
    <sheetView showGridLines="0" zoomScale="75" zoomScaleNormal="75" zoomScalePageLayoutView="75" workbookViewId="0">
      <pane ySplit="1" topLeftCell="A3" activePane="bottomLeft" state="frozenSplit"/>
      <selection pane="bottomLeft" activeCell="E37" sqref="E3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99">
        <v>30025001</v>
      </c>
      <c r="B2" s="47">
        <v>1</v>
      </c>
      <c r="C2" s="47">
        <v>2</v>
      </c>
      <c r="D2" s="47">
        <v>50</v>
      </c>
      <c r="E2" s="47" t="s">
        <v>89</v>
      </c>
      <c r="F2" s="47" t="s">
        <v>90</v>
      </c>
      <c r="G2" s="47">
        <v>2</v>
      </c>
      <c r="H2" s="47">
        <v>2</v>
      </c>
      <c r="I2" s="47" t="s">
        <v>90</v>
      </c>
      <c r="J2" s="48">
        <f t="shared" ref="J2" si="0">D2</f>
        <v>50</v>
      </c>
    </row>
    <row r="3" spans="1:11" ht="21" customHeight="1" x14ac:dyDescent="0.15">
      <c r="A3" s="99">
        <v>30025003</v>
      </c>
      <c r="B3" s="47">
        <v>0</v>
      </c>
      <c r="C3" s="47">
        <v>2</v>
      </c>
      <c r="D3" s="47">
        <v>40</v>
      </c>
      <c r="E3" s="47" t="s">
        <v>89</v>
      </c>
      <c r="F3" s="47" t="s">
        <v>89</v>
      </c>
      <c r="G3" s="47" t="s">
        <v>89</v>
      </c>
      <c r="H3" s="47" t="s">
        <v>89</v>
      </c>
      <c r="I3" s="47" t="s">
        <v>89</v>
      </c>
      <c r="J3" s="48">
        <f t="shared" ref="J3:J5" si="1">D3</f>
        <v>40</v>
      </c>
    </row>
    <row r="4" spans="1:11" ht="21" customHeight="1" x14ac:dyDescent="0.15">
      <c r="A4" s="99">
        <v>30025004</v>
      </c>
      <c r="B4" s="47">
        <v>0</v>
      </c>
      <c r="C4" s="47">
        <v>4</v>
      </c>
      <c r="D4" s="47">
        <v>100</v>
      </c>
      <c r="E4" s="47">
        <v>50</v>
      </c>
      <c r="F4" s="47" t="s">
        <v>89</v>
      </c>
      <c r="G4" s="47">
        <v>1</v>
      </c>
      <c r="H4" s="47" t="s">
        <v>89</v>
      </c>
      <c r="I4" s="47" t="s">
        <v>89</v>
      </c>
      <c r="J4" s="48">
        <f t="shared" si="1"/>
        <v>100</v>
      </c>
    </row>
    <row r="5" spans="1:11" ht="21" customHeight="1" x14ac:dyDescent="0.15">
      <c r="A5" s="99">
        <v>30025005</v>
      </c>
      <c r="B5" s="47">
        <v>0</v>
      </c>
      <c r="C5" s="47">
        <v>1</v>
      </c>
      <c r="D5" s="47">
        <v>40</v>
      </c>
      <c r="E5" s="47" t="s">
        <v>89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40</v>
      </c>
    </row>
    <row r="6" spans="1:11" ht="21" customHeight="1" x14ac:dyDescent="0.15">
      <c r="A6" s="99">
        <v>30025006</v>
      </c>
      <c r="B6" s="47">
        <v>1</v>
      </c>
      <c r="C6" s="47">
        <v>2</v>
      </c>
      <c r="D6" s="47">
        <v>100</v>
      </c>
      <c r="E6" s="47" t="s">
        <v>89</v>
      </c>
      <c r="F6" s="47" t="s">
        <v>89</v>
      </c>
      <c r="G6" s="47">
        <v>1</v>
      </c>
      <c r="H6" s="47" t="s">
        <v>89</v>
      </c>
      <c r="I6" s="47" t="s">
        <v>89</v>
      </c>
      <c r="J6" s="48">
        <f t="shared" ref="J6:J8" si="2">D6</f>
        <v>100</v>
      </c>
    </row>
    <row r="7" spans="1:11" ht="21" customHeight="1" x14ac:dyDescent="0.15">
      <c r="A7" s="99">
        <v>30025007</v>
      </c>
      <c r="B7" s="47">
        <v>0</v>
      </c>
      <c r="C7" s="47">
        <v>1</v>
      </c>
      <c r="D7" s="47">
        <v>40</v>
      </c>
      <c r="E7" s="47" t="s">
        <v>89</v>
      </c>
      <c r="F7" s="47" t="s">
        <v>89</v>
      </c>
      <c r="G7" s="47" t="s">
        <v>89</v>
      </c>
      <c r="H7" s="47" t="s">
        <v>89</v>
      </c>
      <c r="I7" s="47" t="s">
        <v>89</v>
      </c>
      <c r="J7" s="48">
        <f t="shared" si="2"/>
        <v>40</v>
      </c>
    </row>
    <row r="8" spans="1:11" ht="21" customHeight="1" x14ac:dyDescent="0.15">
      <c r="A8" s="99">
        <v>30025008</v>
      </c>
      <c r="B8" s="47">
        <v>0</v>
      </c>
      <c r="C8" s="47">
        <v>2</v>
      </c>
      <c r="D8" s="47">
        <v>100</v>
      </c>
      <c r="E8" s="47">
        <v>60</v>
      </c>
      <c r="F8" s="47" t="s">
        <v>89</v>
      </c>
      <c r="G8" s="47">
        <v>1</v>
      </c>
      <c r="H8" s="47" t="s">
        <v>89</v>
      </c>
      <c r="I8" s="47" t="s">
        <v>89</v>
      </c>
      <c r="J8" s="48">
        <f t="shared" si="2"/>
        <v>100</v>
      </c>
    </row>
    <row r="9" spans="1:11" ht="21" customHeight="1" x14ac:dyDescent="0.15">
      <c r="A9" s="99">
        <v>30025009</v>
      </c>
      <c r="B9" s="47">
        <v>0</v>
      </c>
      <c r="C9" s="47">
        <v>1</v>
      </c>
      <c r="D9" s="47">
        <v>100</v>
      </c>
      <c r="E9" s="47">
        <v>100</v>
      </c>
      <c r="F9" s="47">
        <v>70</v>
      </c>
      <c r="G9" s="47" t="s">
        <v>53</v>
      </c>
      <c r="H9" s="47" t="s">
        <v>53</v>
      </c>
      <c r="I9" s="47" t="s">
        <v>53</v>
      </c>
      <c r="J9" s="48">
        <f t="shared" ref="J9:J12" si="3">D9</f>
        <v>100</v>
      </c>
    </row>
    <row r="10" spans="1:11" ht="21" customHeight="1" x14ac:dyDescent="0.15">
      <c r="A10" s="99">
        <v>30025010</v>
      </c>
      <c r="B10" s="47">
        <v>0</v>
      </c>
      <c r="C10" s="47">
        <v>1</v>
      </c>
      <c r="D10" s="47">
        <v>100</v>
      </c>
      <c r="E10" s="47">
        <v>69</v>
      </c>
      <c r="F10" s="47">
        <v>40</v>
      </c>
      <c r="G10" s="47" t="s">
        <v>53</v>
      </c>
      <c r="H10" s="47" t="s">
        <v>53</v>
      </c>
      <c r="I10" s="47" t="s">
        <v>53</v>
      </c>
      <c r="J10" s="48">
        <f t="shared" si="3"/>
        <v>100</v>
      </c>
    </row>
    <row r="11" spans="1:11" ht="21" customHeight="1" x14ac:dyDescent="0.15">
      <c r="A11" s="99">
        <v>30025011</v>
      </c>
      <c r="B11" s="47">
        <v>0</v>
      </c>
      <c r="C11" s="47">
        <v>1</v>
      </c>
      <c r="D11" s="47">
        <v>100</v>
      </c>
      <c r="E11" s="47">
        <v>39</v>
      </c>
      <c r="F11" s="47">
        <v>1</v>
      </c>
      <c r="G11" s="47" t="s">
        <v>53</v>
      </c>
      <c r="H11" s="47" t="s">
        <v>53</v>
      </c>
      <c r="I11" s="47" t="s">
        <v>53</v>
      </c>
      <c r="J11" s="48">
        <f t="shared" si="3"/>
        <v>100</v>
      </c>
    </row>
    <row r="12" spans="1:11" ht="21" customHeight="1" x14ac:dyDescent="0.15">
      <c r="A12" s="99">
        <v>30025012</v>
      </c>
      <c r="B12" s="47">
        <v>0</v>
      </c>
      <c r="C12" s="47">
        <v>2</v>
      </c>
      <c r="D12" s="47">
        <v>100</v>
      </c>
      <c r="E12" s="47" t="s">
        <v>89</v>
      </c>
      <c r="F12" s="47" t="s">
        <v>89</v>
      </c>
      <c r="G12" s="47">
        <v>1</v>
      </c>
      <c r="H12" s="47" t="s">
        <v>89</v>
      </c>
      <c r="I12" s="47" t="s">
        <v>89</v>
      </c>
      <c r="J12" s="48">
        <f t="shared" si="3"/>
        <v>100</v>
      </c>
    </row>
  </sheetData>
  <autoFilter ref="A1:G1"/>
  <phoneticPr fontId="5"/>
  <conditionalFormatting sqref="K13:K1048576 K1:K2">
    <cfRule type="duplicateValues" dxfId="10" priority="12"/>
  </conditionalFormatting>
  <conditionalFormatting sqref="K3">
    <cfRule type="duplicateValues" dxfId="9" priority="10"/>
  </conditionalFormatting>
  <conditionalFormatting sqref="K4">
    <cfRule type="duplicateValues" dxfId="8" priority="9"/>
  </conditionalFormatting>
  <conditionalFormatting sqref="K5">
    <cfRule type="duplicateValues" dxfId="7" priority="8"/>
  </conditionalFormatting>
  <conditionalFormatting sqref="K6">
    <cfRule type="duplicateValues" dxfId="6" priority="7"/>
  </conditionalFormatting>
  <conditionalFormatting sqref="K7">
    <cfRule type="duplicateValues" dxfId="5" priority="6"/>
  </conditionalFormatting>
  <conditionalFormatting sqref="K8">
    <cfRule type="duplicateValues" dxfId="4" priority="5"/>
  </conditionalFormatting>
  <conditionalFormatting sqref="K9">
    <cfRule type="duplicateValues" dxfId="3" priority="4"/>
  </conditionalFormatting>
  <conditionalFormatting sqref="K10">
    <cfRule type="duplicateValues" dxfId="2" priority="3"/>
  </conditionalFormatting>
  <conditionalFormatting sqref="K11">
    <cfRule type="duplicateValues" dxfId="1" priority="2"/>
  </conditionalFormatting>
  <conditionalFormatting sqref="K1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7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22" sqref="E2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30025001_30025001</v>
      </c>
      <c r="B2" s="47">
        <v>30025001</v>
      </c>
      <c r="C2" s="99">
        <v>30025001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オモチャ遊びの時間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種族マシン以外のユニットに大ダメージ</v>
      </c>
      <c r="F2" s="99">
        <v>30025001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30025001_30025003</v>
      </c>
      <c r="B3" s="47">
        <v>30025001</v>
      </c>
      <c r="C3" s="99">
        <v>30025003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おままごとの時間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104">
        <v>30025003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" s="47"/>
      <c r="Q3" s="47"/>
      <c r="R3" s="47"/>
    </row>
    <row r="4" spans="1:18" ht="21" customHeight="1" x14ac:dyDescent="0.15">
      <c r="A4" s="39" t="str">
        <f t="shared" si="1"/>
        <v>30025001_30025004</v>
      </c>
      <c r="B4" s="47">
        <v>30025001</v>
      </c>
      <c r="C4" s="99">
        <v>30025004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後片付けの時間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攻撃頻度が1ターンにUP</v>
      </c>
      <c r="F4" s="104">
        <v>30025004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7" si="2">B5&amp;"_"&amp;C5</f>
        <v>30025002_30025006</v>
      </c>
      <c r="B5" s="106">
        <v>30025002</v>
      </c>
      <c r="C5" s="99">
        <v>30025006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君たちの謎を暴かせてもらう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種族アニマルのユニットにタップ回数減少</v>
      </c>
      <c r="F5" s="104">
        <v>30025006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30025002_30025007</v>
      </c>
      <c r="B6" s="106">
        <v>30025002</v>
      </c>
      <c r="C6" s="99">
        <v>30025007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トゥルーボイス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6" s="104">
        <v>30025007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" s="47"/>
      <c r="Q6" s="47"/>
      <c r="R6" s="47"/>
    </row>
    <row r="7" spans="1:18" ht="21" customHeight="1" x14ac:dyDescent="0.15">
      <c r="A7" s="39" t="str">
        <f t="shared" si="2"/>
        <v>30025002_30025008</v>
      </c>
      <c r="B7" s="106">
        <v>30025002</v>
      </c>
      <c r="C7" s="99">
        <v>30025008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手がかりは必ずあるはず…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緑パネルを時限式ダメージパネルに変換</v>
      </c>
      <c r="F7" s="104">
        <v>30025008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ref="A8:A9" si="3">B8&amp;"_"&amp;C8</f>
        <v>30025003_30025009</v>
      </c>
      <c r="B8" s="107">
        <v>30025003</v>
      </c>
      <c r="C8" s="99">
        <v>30025009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迷宮入りにするわけにはいかない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5ターンの間パネルの色がわからなくなる！</v>
      </c>
      <c r="F8" s="104">
        <v>30025006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3"/>
        <v>30025003_30025010</v>
      </c>
      <c r="B9" s="107">
        <v>30025003</v>
      </c>
      <c r="C9" s="99">
        <v>30025010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アンサースペル【疑】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時限式ダメージパネル出現</v>
      </c>
      <c r="F9" s="104">
        <v>30025009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100</v>
      </c>
      <c r="K9" s="48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ref="A10" si="4">B10&amp;"_"&amp;C10</f>
        <v>30025003_30025011</v>
      </c>
      <c r="B10" s="107">
        <v>30025003</v>
      </c>
      <c r="C10" s="99">
        <v>30025011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アンサースペル【迷】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時限式ダメージパネル出現</v>
      </c>
      <c r="F10" s="104">
        <v>30025010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69</v>
      </c>
      <c r="K10" s="48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" si="5">B11&amp;"_"&amp;C11</f>
        <v>30025003_30025012</v>
      </c>
      <c r="B11" s="107">
        <v>30025003</v>
      </c>
      <c r="C11" s="99">
        <v>30025012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アンサースペル【真】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時限式ダメージパネル出現</v>
      </c>
      <c r="F11" s="104">
        <v>30025011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39</v>
      </c>
      <c r="K11" s="48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1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16" si="6">B12&amp;"_"&amp;C12</f>
        <v>30025004_30025013</v>
      </c>
      <c r="B12" s="108">
        <v>30025004</v>
      </c>
      <c r="C12" s="99">
        <v>30025013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ダブルからしマヨビーム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4ターンの間パネルの色がわからなくなる！</v>
      </c>
      <c r="F12" s="104">
        <v>30025012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6"/>
        <v>30025005_30025001</v>
      </c>
      <c r="B13" s="47">
        <v>30025005</v>
      </c>
      <c r="C13" s="99">
        <v>30025001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オモチャ遊びの時間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種族マシン以外のユニットに大ダメージ</v>
      </c>
      <c r="F13" s="99">
        <v>30025001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7"/>
      <c r="Q13" s="47"/>
      <c r="R13" s="47"/>
    </row>
    <row r="14" spans="1:18" ht="21" customHeight="1" x14ac:dyDescent="0.15">
      <c r="A14" s="39" t="str">
        <f t="shared" si="6"/>
        <v>30025005_30025003</v>
      </c>
      <c r="B14" s="47">
        <v>30025005</v>
      </c>
      <c r="C14" s="99">
        <v>30025003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おままごとの時間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4" s="104">
        <v>30025003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47"/>
      <c r="Q14" s="47"/>
      <c r="R14" s="47"/>
    </row>
    <row r="15" spans="1:18" ht="21" customHeight="1" x14ac:dyDescent="0.15">
      <c r="A15" s="39" t="str">
        <f t="shared" si="6"/>
        <v>30025006_30025007</v>
      </c>
      <c r="B15" s="106">
        <v>30025006</v>
      </c>
      <c r="C15" s="99">
        <v>30025007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トゥルーボイス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5" s="104">
        <v>30025007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5" s="47"/>
      <c r="Q15" s="47"/>
      <c r="R15" s="47"/>
    </row>
    <row r="16" spans="1:18" ht="21" customHeight="1" x14ac:dyDescent="0.15">
      <c r="A16" s="39" t="str">
        <f t="shared" si="6"/>
        <v>30025006_30025014</v>
      </c>
      <c r="B16" s="106">
        <v>30025006</v>
      </c>
      <c r="C16" s="99">
        <v>30025014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手がかりは必ずあるはず…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緑パネルを時限式ダメージパネルに変換</v>
      </c>
      <c r="F16" s="104">
        <v>30025008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" si="7">B17&amp;"_"&amp;C17</f>
        <v>30025007_30025007</v>
      </c>
      <c r="B17" s="106">
        <v>30025007</v>
      </c>
      <c r="C17" s="99">
        <v>30025007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トゥルーボイス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7" s="104">
        <v>30025007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7" s="47"/>
      <c r="Q17" s="47"/>
      <c r="R1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M27" sqref="M2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 x14ac:dyDescent="0.15">
      <c r="A2" s="57">
        <f>floors!C2</f>
        <v>30025</v>
      </c>
      <c r="B2" s="82">
        <v>1</v>
      </c>
      <c r="C2" s="71" t="str">
        <f>A2&amp; "_"&amp;B2</f>
        <v>30025_1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82">
        <v>363</v>
      </c>
      <c r="F2" s="82" t="s">
        <v>169</v>
      </c>
      <c r="G2" s="82">
        <v>3200</v>
      </c>
      <c r="H2" s="82" t="s">
        <v>246</v>
      </c>
      <c r="I2" s="82">
        <v>1</v>
      </c>
      <c r="J2" s="82">
        <v>1</v>
      </c>
      <c r="K2" s="82">
        <v>0</v>
      </c>
      <c r="L2" s="82">
        <v>0</v>
      </c>
      <c r="M2" s="82">
        <v>0</v>
      </c>
      <c r="N2" s="82">
        <v>0</v>
      </c>
      <c r="O2" s="82">
        <v>1</v>
      </c>
      <c r="P2" s="82">
        <v>200</v>
      </c>
      <c r="Q2" s="82" t="s">
        <v>170</v>
      </c>
      <c r="R2" s="82" t="s">
        <v>171</v>
      </c>
    </row>
    <row r="3" spans="1:18" x14ac:dyDescent="0.15">
      <c r="A3" s="57">
        <v>30025</v>
      </c>
      <c r="B3" s="82">
        <v>1</v>
      </c>
      <c r="C3" s="71" t="str">
        <f t="shared" ref="C3:C33" si="0">A3&amp; "_"&amp;B3</f>
        <v>30025_1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82">
        <v>364</v>
      </c>
      <c r="F3" s="82" t="s">
        <v>243</v>
      </c>
      <c r="G3" s="82">
        <v>20</v>
      </c>
      <c r="H3" s="82" t="s">
        <v>246</v>
      </c>
      <c r="I3" s="82">
        <v>1</v>
      </c>
      <c r="J3" s="82">
        <v>1</v>
      </c>
      <c r="K3" s="82">
        <v>0</v>
      </c>
      <c r="L3" s="82">
        <v>0</v>
      </c>
      <c r="M3" s="82">
        <v>0</v>
      </c>
      <c r="N3" s="82">
        <v>0</v>
      </c>
      <c r="O3" s="82">
        <v>1</v>
      </c>
      <c r="P3" s="82">
        <v>200</v>
      </c>
      <c r="Q3" s="82" t="s">
        <v>170</v>
      </c>
      <c r="R3" s="82" t="s">
        <v>171</v>
      </c>
    </row>
    <row r="4" spans="1:18" x14ac:dyDescent="0.15">
      <c r="A4" s="57">
        <v>30025</v>
      </c>
      <c r="B4" s="82">
        <v>1</v>
      </c>
      <c r="C4" s="71" t="str">
        <f t="shared" si="0"/>
        <v>30025_1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82">
        <v>365</v>
      </c>
      <c r="F4" s="82" t="s">
        <v>244</v>
      </c>
      <c r="G4" s="82">
        <v>336</v>
      </c>
      <c r="H4" s="82">
        <v>1</v>
      </c>
      <c r="I4" s="82">
        <v>1</v>
      </c>
      <c r="J4" s="82">
        <v>1</v>
      </c>
      <c r="K4" s="82">
        <v>0</v>
      </c>
      <c r="L4" s="82">
        <v>0</v>
      </c>
      <c r="M4" s="82">
        <v>0</v>
      </c>
      <c r="N4" s="82">
        <v>0</v>
      </c>
      <c r="O4" s="82">
        <v>1</v>
      </c>
      <c r="P4" s="82">
        <v>70</v>
      </c>
      <c r="Q4" s="82" t="s">
        <v>170</v>
      </c>
      <c r="R4" s="82" t="s">
        <v>171</v>
      </c>
    </row>
    <row r="5" spans="1:18" x14ac:dyDescent="0.15">
      <c r="A5" s="57">
        <v>30025</v>
      </c>
      <c r="B5" s="82">
        <v>1</v>
      </c>
      <c r="C5" s="71" t="str">
        <f t="shared" si="0"/>
        <v>30025_1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82">
        <v>366</v>
      </c>
      <c r="F5" s="82" t="s">
        <v>244</v>
      </c>
      <c r="G5" s="82">
        <v>337</v>
      </c>
      <c r="H5" s="82">
        <v>1</v>
      </c>
      <c r="I5" s="82">
        <v>1</v>
      </c>
      <c r="J5" s="82">
        <v>1</v>
      </c>
      <c r="K5" s="82">
        <v>0</v>
      </c>
      <c r="L5" s="82">
        <v>0</v>
      </c>
      <c r="M5" s="82">
        <v>0</v>
      </c>
      <c r="N5" s="82">
        <v>0</v>
      </c>
      <c r="O5" s="82">
        <v>1</v>
      </c>
      <c r="P5" s="82">
        <v>70</v>
      </c>
      <c r="Q5" s="82" t="s">
        <v>170</v>
      </c>
      <c r="R5" s="82" t="s">
        <v>171</v>
      </c>
    </row>
    <row r="6" spans="1:18" x14ac:dyDescent="0.15">
      <c r="A6" s="57">
        <v>30025</v>
      </c>
      <c r="B6" s="82">
        <v>1</v>
      </c>
      <c r="C6" s="71" t="str">
        <f t="shared" si="0"/>
        <v>30025_1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82">
        <v>367</v>
      </c>
      <c r="F6" s="82" t="s">
        <v>244</v>
      </c>
      <c r="G6" s="82">
        <v>121</v>
      </c>
      <c r="H6" s="82">
        <v>1</v>
      </c>
      <c r="I6" s="82">
        <v>1</v>
      </c>
      <c r="J6" s="82">
        <v>1</v>
      </c>
      <c r="K6" s="82">
        <v>0</v>
      </c>
      <c r="L6" s="82">
        <v>0</v>
      </c>
      <c r="M6" s="82">
        <v>0</v>
      </c>
      <c r="N6" s="82">
        <v>0</v>
      </c>
      <c r="O6" s="82">
        <v>1</v>
      </c>
      <c r="P6" s="82">
        <v>50</v>
      </c>
      <c r="Q6" s="82" t="s">
        <v>170</v>
      </c>
      <c r="R6" s="82" t="s">
        <v>171</v>
      </c>
    </row>
    <row r="7" spans="1:18" x14ac:dyDescent="0.15">
      <c r="A7" s="57">
        <v>30025</v>
      </c>
      <c r="B7" s="82">
        <v>1</v>
      </c>
      <c r="C7" s="71" t="str">
        <f t="shared" si="0"/>
        <v>30025_1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82">
        <v>368</v>
      </c>
      <c r="F7" s="82" t="s">
        <v>244</v>
      </c>
      <c r="G7" s="82">
        <v>122</v>
      </c>
      <c r="H7" s="82">
        <v>1</v>
      </c>
      <c r="I7" s="82">
        <v>1</v>
      </c>
      <c r="J7" s="82">
        <v>1</v>
      </c>
      <c r="K7" s="82">
        <v>0</v>
      </c>
      <c r="L7" s="82">
        <v>0</v>
      </c>
      <c r="M7" s="82">
        <v>0</v>
      </c>
      <c r="N7" s="82">
        <v>0</v>
      </c>
      <c r="O7" s="82">
        <v>1</v>
      </c>
      <c r="P7" s="82">
        <v>50</v>
      </c>
      <c r="Q7" s="82" t="s">
        <v>170</v>
      </c>
      <c r="R7" s="82" t="s">
        <v>171</v>
      </c>
    </row>
    <row r="8" spans="1:18" x14ac:dyDescent="0.15">
      <c r="A8" s="57">
        <v>30025</v>
      </c>
      <c r="B8" s="82">
        <v>1</v>
      </c>
      <c r="C8" s="71" t="str">
        <f t="shared" si="0"/>
        <v>30025_1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82">
        <v>369</v>
      </c>
      <c r="F8" s="82" t="s">
        <v>244</v>
      </c>
      <c r="G8" s="82">
        <v>123</v>
      </c>
      <c r="H8" s="82">
        <v>1</v>
      </c>
      <c r="I8" s="82">
        <v>1</v>
      </c>
      <c r="J8" s="82">
        <v>1</v>
      </c>
      <c r="K8" s="82">
        <v>0</v>
      </c>
      <c r="L8" s="82">
        <v>0</v>
      </c>
      <c r="M8" s="82">
        <v>0</v>
      </c>
      <c r="N8" s="82">
        <v>0</v>
      </c>
      <c r="O8" s="82">
        <v>1</v>
      </c>
      <c r="P8" s="82">
        <v>50</v>
      </c>
      <c r="Q8" s="82" t="s">
        <v>170</v>
      </c>
      <c r="R8" s="82" t="s">
        <v>171</v>
      </c>
    </row>
    <row r="9" spans="1:18" x14ac:dyDescent="0.15">
      <c r="A9" s="57">
        <v>30025</v>
      </c>
      <c r="B9" s="82">
        <v>1</v>
      </c>
      <c r="C9" s="71" t="str">
        <f t="shared" si="0"/>
        <v>30025_1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82">
        <v>370</v>
      </c>
      <c r="F9" s="82" t="s">
        <v>244</v>
      </c>
      <c r="G9" s="82">
        <v>125</v>
      </c>
      <c r="H9" s="82">
        <v>1</v>
      </c>
      <c r="I9" s="82">
        <v>1</v>
      </c>
      <c r="J9" s="82">
        <v>1</v>
      </c>
      <c r="K9" s="82">
        <v>0</v>
      </c>
      <c r="L9" s="82">
        <v>0</v>
      </c>
      <c r="M9" s="82">
        <v>0</v>
      </c>
      <c r="N9" s="82">
        <v>0</v>
      </c>
      <c r="O9" s="82">
        <v>1</v>
      </c>
      <c r="P9" s="82">
        <v>10</v>
      </c>
      <c r="Q9" s="82" t="s">
        <v>170</v>
      </c>
      <c r="R9" s="82" t="s">
        <v>171</v>
      </c>
    </row>
    <row r="10" spans="1:18" x14ac:dyDescent="0.15">
      <c r="A10" s="57">
        <v>30025</v>
      </c>
      <c r="B10" s="82">
        <v>1</v>
      </c>
      <c r="C10" s="71" t="str">
        <f t="shared" si="0"/>
        <v>30025_1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82">
        <v>371</v>
      </c>
      <c r="F10" s="82" t="s">
        <v>244</v>
      </c>
      <c r="G10" s="82">
        <v>579</v>
      </c>
      <c r="H10" s="82">
        <v>1</v>
      </c>
      <c r="I10" s="82">
        <v>1</v>
      </c>
      <c r="J10" s="82">
        <v>1</v>
      </c>
      <c r="K10" s="82">
        <v>0</v>
      </c>
      <c r="L10" s="82">
        <v>0</v>
      </c>
      <c r="M10" s="82">
        <v>0</v>
      </c>
      <c r="N10" s="82">
        <v>0</v>
      </c>
      <c r="O10" s="82">
        <v>1</v>
      </c>
      <c r="P10" s="82">
        <v>200</v>
      </c>
      <c r="Q10" s="82" t="s">
        <v>170</v>
      </c>
      <c r="R10" s="82" t="s">
        <v>171</v>
      </c>
    </row>
    <row r="11" spans="1:18" ht="16" thickBot="1" x14ac:dyDescent="0.2">
      <c r="A11" s="114">
        <v>30025</v>
      </c>
      <c r="B11" s="115">
        <v>1</v>
      </c>
      <c r="C11" s="116" t="str">
        <f t="shared" si="0"/>
        <v>30025_1</v>
      </c>
      <c r="D11" s="1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5">
        <v>372</v>
      </c>
      <c r="F11" s="115" t="s">
        <v>244</v>
      </c>
      <c r="G11" s="115">
        <v>350</v>
      </c>
      <c r="H11" s="115">
        <v>1</v>
      </c>
      <c r="I11" s="115">
        <v>1</v>
      </c>
      <c r="J11" s="115">
        <v>1</v>
      </c>
      <c r="K11" s="115">
        <v>0</v>
      </c>
      <c r="L11" s="115">
        <v>0</v>
      </c>
      <c r="M11" s="115">
        <v>0</v>
      </c>
      <c r="N11" s="115">
        <v>0</v>
      </c>
      <c r="O11" s="115">
        <v>1</v>
      </c>
      <c r="P11" s="115">
        <v>100</v>
      </c>
      <c r="Q11" s="115" t="s">
        <v>170</v>
      </c>
      <c r="R11" s="115" t="s">
        <v>171</v>
      </c>
    </row>
    <row r="12" spans="1:18" ht="16" thickTop="1" x14ac:dyDescent="0.15">
      <c r="A12" s="110">
        <v>30025</v>
      </c>
      <c r="B12" s="111">
        <v>2</v>
      </c>
      <c r="C12" s="112" t="str">
        <f t="shared" si="0"/>
        <v>30025_2</v>
      </c>
      <c r="D12" s="113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11">
        <v>373</v>
      </c>
      <c r="F12" s="111" t="s">
        <v>169</v>
      </c>
      <c r="G12" s="111">
        <v>5000</v>
      </c>
      <c r="H12" s="111" t="s">
        <v>246</v>
      </c>
      <c r="I12" s="111">
        <v>1</v>
      </c>
      <c r="J12" s="111">
        <v>1</v>
      </c>
      <c r="K12" s="111">
        <v>0</v>
      </c>
      <c r="L12" s="111">
        <v>0</v>
      </c>
      <c r="M12" s="111">
        <v>0</v>
      </c>
      <c r="N12" s="111">
        <v>0</v>
      </c>
      <c r="O12" s="111">
        <v>1</v>
      </c>
      <c r="P12" s="111">
        <v>200</v>
      </c>
      <c r="Q12" s="111" t="s">
        <v>170</v>
      </c>
      <c r="R12" s="111" t="s">
        <v>171</v>
      </c>
    </row>
    <row r="13" spans="1:18" x14ac:dyDescent="0.15">
      <c r="A13" s="57">
        <v>30025</v>
      </c>
      <c r="B13" s="82">
        <v>2</v>
      </c>
      <c r="C13" s="71" t="str">
        <f t="shared" si="0"/>
        <v>30025_2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82">
        <v>374</v>
      </c>
      <c r="F13" s="82" t="s">
        <v>245</v>
      </c>
      <c r="G13" s="82">
        <v>25</v>
      </c>
      <c r="H13" s="82" t="s">
        <v>246</v>
      </c>
      <c r="I13" s="82">
        <v>1</v>
      </c>
      <c r="J13" s="82">
        <v>1</v>
      </c>
      <c r="K13" s="82">
        <v>0</v>
      </c>
      <c r="L13" s="82">
        <v>0</v>
      </c>
      <c r="M13" s="82">
        <v>0</v>
      </c>
      <c r="N13" s="82">
        <v>0</v>
      </c>
      <c r="O13" s="82">
        <v>1</v>
      </c>
      <c r="P13" s="82">
        <v>150</v>
      </c>
      <c r="Q13" s="82" t="s">
        <v>170</v>
      </c>
      <c r="R13" s="82" t="s">
        <v>171</v>
      </c>
    </row>
    <row r="14" spans="1:18" x14ac:dyDescent="0.15">
      <c r="A14" s="57">
        <v>30025</v>
      </c>
      <c r="B14" s="82">
        <v>2</v>
      </c>
      <c r="C14" s="71" t="str">
        <f t="shared" si="0"/>
        <v>30025_2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82">
        <v>375</v>
      </c>
      <c r="F14" s="82" t="s">
        <v>244</v>
      </c>
      <c r="G14" s="82">
        <v>336</v>
      </c>
      <c r="H14" s="82">
        <v>1</v>
      </c>
      <c r="I14" s="82">
        <v>1</v>
      </c>
      <c r="J14" s="82">
        <v>1</v>
      </c>
      <c r="K14" s="82">
        <v>0</v>
      </c>
      <c r="L14" s="82">
        <v>0</v>
      </c>
      <c r="M14" s="82">
        <v>0</v>
      </c>
      <c r="N14" s="82">
        <v>0</v>
      </c>
      <c r="O14" s="82">
        <v>1</v>
      </c>
      <c r="P14" s="82">
        <v>56</v>
      </c>
      <c r="Q14" s="82" t="s">
        <v>170</v>
      </c>
      <c r="R14" s="82" t="s">
        <v>171</v>
      </c>
    </row>
    <row r="15" spans="1:18" x14ac:dyDescent="0.15">
      <c r="A15" s="57">
        <v>30025</v>
      </c>
      <c r="B15" s="82">
        <v>2</v>
      </c>
      <c r="C15" s="71" t="str">
        <f t="shared" si="0"/>
        <v>30025_2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82">
        <v>376</v>
      </c>
      <c r="F15" s="82" t="s">
        <v>244</v>
      </c>
      <c r="G15" s="82">
        <v>337</v>
      </c>
      <c r="H15" s="82">
        <v>1</v>
      </c>
      <c r="I15" s="82">
        <v>1</v>
      </c>
      <c r="J15" s="82">
        <v>1</v>
      </c>
      <c r="K15" s="82">
        <v>0</v>
      </c>
      <c r="L15" s="82">
        <v>0</v>
      </c>
      <c r="M15" s="82">
        <v>0</v>
      </c>
      <c r="N15" s="82">
        <v>0</v>
      </c>
      <c r="O15" s="82">
        <v>1</v>
      </c>
      <c r="P15" s="82">
        <v>56</v>
      </c>
      <c r="Q15" s="82" t="s">
        <v>170</v>
      </c>
      <c r="R15" s="82" t="s">
        <v>171</v>
      </c>
    </row>
    <row r="16" spans="1:18" x14ac:dyDescent="0.15">
      <c r="A16" s="57">
        <v>30025</v>
      </c>
      <c r="B16" s="82">
        <v>2</v>
      </c>
      <c r="C16" s="71" t="str">
        <f t="shared" si="0"/>
        <v>30025_2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82">
        <v>377</v>
      </c>
      <c r="F16" s="82" t="s">
        <v>244</v>
      </c>
      <c r="G16" s="82">
        <v>338</v>
      </c>
      <c r="H16" s="82">
        <v>1</v>
      </c>
      <c r="I16" s="82">
        <v>1</v>
      </c>
      <c r="J16" s="82">
        <v>1</v>
      </c>
      <c r="K16" s="82">
        <v>0</v>
      </c>
      <c r="L16" s="82">
        <v>0</v>
      </c>
      <c r="M16" s="82">
        <v>0</v>
      </c>
      <c r="N16" s="82">
        <v>0</v>
      </c>
      <c r="O16" s="82">
        <v>1</v>
      </c>
      <c r="P16" s="82">
        <v>28</v>
      </c>
      <c r="Q16" s="82" t="s">
        <v>170</v>
      </c>
      <c r="R16" s="82" t="s">
        <v>171</v>
      </c>
    </row>
    <row r="17" spans="1:18" x14ac:dyDescent="0.15">
      <c r="A17" s="57">
        <v>30025</v>
      </c>
      <c r="B17" s="82">
        <v>2</v>
      </c>
      <c r="C17" s="71" t="str">
        <f t="shared" si="0"/>
        <v>30025_2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82">
        <v>378</v>
      </c>
      <c r="F17" s="82" t="s">
        <v>244</v>
      </c>
      <c r="G17" s="82">
        <v>121</v>
      </c>
      <c r="H17" s="82">
        <v>1</v>
      </c>
      <c r="I17" s="82">
        <v>1</v>
      </c>
      <c r="J17" s="82">
        <v>1</v>
      </c>
      <c r="K17" s="82">
        <v>0</v>
      </c>
      <c r="L17" s="82">
        <v>0</v>
      </c>
      <c r="M17" s="82">
        <v>0</v>
      </c>
      <c r="N17" s="82">
        <v>0</v>
      </c>
      <c r="O17" s="82">
        <v>1</v>
      </c>
      <c r="P17" s="82">
        <v>50</v>
      </c>
      <c r="Q17" s="82" t="s">
        <v>170</v>
      </c>
      <c r="R17" s="82" t="s">
        <v>171</v>
      </c>
    </row>
    <row r="18" spans="1:18" x14ac:dyDescent="0.15">
      <c r="A18" s="57">
        <v>30025</v>
      </c>
      <c r="B18" s="82">
        <v>2</v>
      </c>
      <c r="C18" s="71" t="str">
        <f t="shared" si="0"/>
        <v>30025_2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82">
        <v>379</v>
      </c>
      <c r="F18" s="82" t="s">
        <v>244</v>
      </c>
      <c r="G18" s="82">
        <v>122</v>
      </c>
      <c r="H18" s="82">
        <v>1</v>
      </c>
      <c r="I18" s="82">
        <v>1</v>
      </c>
      <c r="J18" s="82">
        <v>1</v>
      </c>
      <c r="K18" s="82">
        <v>0</v>
      </c>
      <c r="L18" s="82">
        <v>0</v>
      </c>
      <c r="M18" s="82">
        <v>0</v>
      </c>
      <c r="N18" s="82">
        <v>0</v>
      </c>
      <c r="O18" s="82">
        <v>1</v>
      </c>
      <c r="P18" s="82">
        <v>50</v>
      </c>
      <c r="Q18" s="82" t="s">
        <v>170</v>
      </c>
      <c r="R18" s="82" t="s">
        <v>171</v>
      </c>
    </row>
    <row r="19" spans="1:18" x14ac:dyDescent="0.15">
      <c r="A19" s="57">
        <v>30025</v>
      </c>
      <c r="B19" s="82">
        <v>2</v>
      </c>
      <c r="C19" s="71" t="str">
        <f t="shared" si="0"/>
        <v>30025_2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82">
        <v>380</v>
      </c>
      <c r="F19" s="82" t="s">
        <v>244</v>
      </c>
      <c r="G19" s="82">
        <v>123</v>
      </c>
      <c r="H19" s="82">
        <v>1</v>
      </c>
      <c r="I19" s="82">
        <v>1</v>
      </c>
      <c r="J19" s="82">
        <v>1</v>
      </c>
      <c r="K19" s="82">
        <v>0</v>
      </c>
      <c r="L19" s="82">
        <v>0</v>
      </c>
      <c r="M19" s="82">
        <v>0</v>
      </c>
      <c r="N19" s="82">
        <v>0</v>
      </c>
      <c r="O19" s="82">
        <v>1</v>
      </c>
      <c r="P19" s="82">
        <v>50</v>
      </c>
      <c r="Q19" s="82" t="s">
        <v>170</v>
      </c>
      <c r="R19" s="82" t="s">
        <v>171</v>
      </c>
    </row>
    <row r="20" spans="1:18" x14ac:dyDescent="0.15">
      <c r="A20" s="57">
        <v>30025</v>
      </c>
      <c r="B20" s="82">
        <v>2</v>
      </c>
      <c r="C20" s="71" t="str">
        <f t="shared" si="0"/>
        <v>30025_2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82">
        <v>381</v>
      </c>
      <c r="F20" s="82" t="s">
        <v>244</v>
      </c>
      <c r="G20" s="82">
        <v>125</v>
      </c>
      <c r="H20" s="82">
        <v>1</v>
      </c>
      <c r="I20" s="82">
        <v>1</v>
      </c>
      <c r="J20" s="82">
        <v>1</v>
      </c>
      <c r="K20" s="82">
        <v>0</v>
      </c>
      <c r="L20" s="82">
        <v>0</v>
      </c>
      <c r="M20" s="82">
        <v>0</v>
      </c>
      <c r="N20" s="82">
        <v>0</v>
      </c>
      <c r="O20" s="82">
        <v>1</v>
      </c>
      <c r="P20" s="82">
        <v>10</v>
      </c>
      <c r="Q20" s="82" t="s">
        <v>170</v>
      </c>
      <c r="R20" s="82" t="s">
        <v>171</v>
      </c>
    </row>
    <row r="21" spans="1:18" x14ac:dyDescent="0.15">
      <c r="A21" s="57">
        <v>30025</v>
      </c>
      <c r="B21" s="82">
        <v>2</v>
      </c>
      <c r="C21" s="71" t="str">
        <f t="shared" si="0"/>
        <v>30025_2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82">
        <v>382</v>
      </c>
      <c r="F21" s="82" t="s">
        <v>244</v>
      </c>
      <c r="G21" s="82">
        <v>579</v>
      </c>
      <c r="H21" s="82">
        <v>1</v>
      </c>
      <c r="I21" s="82">
        <v>1</v>
      </c>
      <c r="J21" s="82">
        <v>1</v>
      </c>
      <c r="K21" s="82">
        <v>0</v>
      </c>
      <c r="L21" s="82">
        <v>0</v>
      </c>
      <c r="M21" s="82">
        <v>0</v>
      </c>
      <c r="N21" s="82">
        <v>0</v>
      </c>
      <c r="O21" s="82">
        <v>1</v>
      </c>
      <c r="P21" s="82">
        <v>250</v>
      </c>
      <c r="Q21" s="82" t="s">
        <v>170</v>
      </c>
      <c r="R21" s="82" t="s">
        <v>171</v>
      </c>
    </row>
    <row r="22" spans="1:18" ht="16" thickBot="1" x14ac:dyDescent="0.2">
      <c r="A22" s="114">
        <v>30025</v>
      </c>
      <c r="B22" s="115">
        <v>2</v>
      </c>
      <c r="C22" s="116" t="str">
        <f t="shared" si="0"/>
        <v>30025_2</v>
      </c>
      <c r="D22" s="117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15">
        <v>383</v>
      </c>
      <c r="F22" s="115" t="s">
        <v>244</v>
      </c>
      <c r="G22" s="115">
        <v>350</v>
      </c>
      <c r="H22" s="115">
        <v>1</v>
      </c>
      <c r="I22" s="115">
        <v>1</v>
      </c>
      <c r="J22" s="115">
        <v>1</v>
      </c>
      <c r="K22" s="115">
        <v>0</v>
      </c>
      <c r="L22" s="115">
        <v>0</v>
      </c>
      <c r="M22" s="115">
        <v>0</v>
      </c>
      <c r="N22" s="115">
        <v>0</v>
      </c>
      <c r="O22" s="115">
        <v>1</v>
      </c>
      <c r="P22" s="115">
        <v>100</v>
      </c>
      <c r="Q22" s="115" t="s">
        <v>170</v>
      </c>
      <c r="R22" s="115" t="s">
        <v>171</v>
      </c>
    </row>
    <row r="23" spans="1:18" ht="16" thickTop="1" x14ac:dyDescent="0.15">
      <c r="A23" s="110">
        <v>30025</v>
      </c>
      <c r="B23" s="111">
        <v>3</v>
      </c>
      <c r="C23" s="112" t="str">
        <f t="shared" si="0"/>
        <v>30025_3</v>
      </c>
      <c r="D23" s="113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11">
        <v>384</v>
      </c>
      <c r="F23" s="111" t="s">
        <v>169</v>
      </c>
      <c r="G23" s="111">
        <v>6500</v>
      </c>
      <c r="H23" s="111" t="s">
        <v>246</v>
      </c>
      <c r="I23" s="111">
        <v>1</v>
      </c>
      <c r="J23" s="111">
        <v>1</v>
      </c>
      <c r="K23" s="111">
        <v>0</v>
      </c>
      <c r="L23" s="111">
        <v>0</v>
      </c>
      <c r="M23" s="111">
        <v>0</v>
      </c>
      <c r="N23" s="111">
        <v>0</v>
      </c>
      <c r="O23" s="111">
        <v>1</v>
      </c>
      <c r="P23" s="111">
        <v>100</v>
      </c>
      <c r="Q23" s="111" t="s">
        <v>170</v>
      </c>
      <c r="R23" s="111" t="s">
        <v>171</v>
      </c>
    </row>
    <row r="24" spans="1:18" x14ac:dyDescent="0.15">
      <c r="A24" s="57">
        <v>30025</v>
      </c>
      <c r="B24" s="82">
        <v>3</v>
      </c>
      <c r="C24" s="71" t="str">
        <f t="shared" si="0"/>
        <v>30025_3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82">
        <v>385</v>
      </c>
      <c r="F24" s="82" t="s">
        <v>245</v>
      </c>
      <c r="G24" s="82">
        <v>25</v>
      </c>
      <c r="H24" s="82" t="s">
        <v>246</v>
      </c>
      <c r="I24" s="82">
        <v>1</v>
      </c>
      <c r="J24" s="82">
        <v>1</v>
      </c>
      <c r="K24" s="82">
        <v>0</v>
      </c>
      <c r="L24" s="82">
        <v>0</v>
      </c>
      <c r="M24" s="82">
        <v>0</v>
      </c>
      <c r="N24" s="82">
        <v>0</v>
      </c>
      <c r="O24" s="82">
        <v>1</v>
      </c>
      <c r="P24" s="82">
        <v>100</v>
      </c>
      <c r="Q24" s="82" t="s">
        <v>170</v>
      </c>
      <c r="R24" s="82" t="s">
        <v>171</v>
      </c>
    </row>
    <row r="25" spans="1:18" x14ac:dyDescent="0.15">
      <c r="A25" s="57">
        <v>30025</v>
      </c>
      <c r="B25" s="82">
        <v>3</v>
      </c>
      <c r="C25" s="71" t="str">
        <f t="shared" si="0"/>
        <v>30025_3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82">
        <v>386</v>
      </c>
      <c r="F25" s="82" t="s">
        <v>244</v>
      </c>
      <c r="G25" s="82">
        <v>336</v>
      </c>
      <c r="H25" s="82">
        <v>1</v>
      </c>
      <c r="I25" s="82">
        <v>1</v>
      </c>
      <c r="J25" s="82">
        <v>1</v>
      </c>
      <c r="K25" s="82">
        <v>0</v>
      </c>
      <c r="L25" s="82">
        <v>0</v>
      </c>
      <c r="M25" s="82">
        <v>0</v>
      </c>
      <c r="N25" s="82">
        <v>0</v>
      </c>
      <c r="O25" s="82">
        <v>1</v>
      </c>
      <c r="P25" s="82">
        <v>28</v>
      </c>
      <c r="Q25" s="82" t="s">
        <v>170</v>
      </c>
      <c r="R25" s="82" t="s">
        <v>171</v>
      </c>
    </row>
    <row r="26" spans="1:18" x14ac:dyDescent="0.15">
      <c r="A26" s="57">
        <v>30025</v>
      </c>
      <c r="B26" s="82">
        <v>3</v>
      </c>
      <c r="C26" s="71" t="str">
        <f t="shared" si="0"/>
        <v>30025_3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82">
        <v>387</v>
      </c>
      <c r="F26" s="82" t="s">
        <v>244</v>
      </c>
      <c r="G26" s="82">
        <v>337</v>
      </c>
      <c r="H26" s="82">
        <v>1</v>
      </c>
      <c r="I26" s="82">
        <v>1</v>
      </c>
      <c r="J26" s="82">
        <v>1</v>
      </c>
      <c r="K26" s="82">
        <v>0</v>
      </c>
      <c r="L26" s="82">
        <v>0</v>
      </c>
      <c r="M26" s="82">
        <v>0</v>
      </c>
      <c r="N26" s="82">
        <v>0</v>
      </c>
      <c r="O26" s="82">
        <v>1</v>
      </c>
      <c r="P26" s="82">
        <v>56</v>
      </c>
      <c r="Q26" s="82" t="s">
        <v>170</v>
      </c>
      <c r="R26" s="82" t="s">
        <v>171</v>
      </c>
    </row>
    <row r="27" spans="1:18" x14ac:dyDescent="0.15">
      <c r="A27" s="57">
        <v>30025</v>
      </c>
      <c r="B27" s="82">
        <v>3</v>
      </c>
      <c r="C27" s="71" t="str">
        <f t="shared" si="0"/>
        <v>30025_3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82">
        <v>388</v>
      </c>
      <c r="F27" s="82" t="s">
        <v>244</v>
      </c>
      <c r="G27" s="82">
        <v>338</v>
      </c>
      <c r="H27" s="82">
        <v>1</v>
      </c>
      <c r="I27" s="82">
        <v>1</v>
      </c>
      <c r="J27" s="82">
        <v>1</v>
      </c>
      <c r="K27" s="82">
        <v>0</v>
      </c>
      <c r="L27" s="82">
        <v>0</v>
      </c>
      <c r="M27" s="82">
        <v>0</v>
      </c>
      <c r="N27" s="82">
        <v>0</v>
      </c>
      <c r="O27" s="82">
        <v>1</v>
      </c>
      <c r="P27" s="82">
        <v>56</v>
      </c>
      <c r="Q27" s="82" t="s">
        <v>170</v>
      </c>
      <c r="R27" s="82" t="s">
        <v>171</v>
      </c>
    </row>
    <row r="28" spans="1:18" x14ac:dyDescent="0.15">
      <c r="A28" s="57">
        <v>30025</v>
      </c>
      <c r="B28" s="82">
        <v>3</v>
      </c>
      <c r="C28" s="71" t="str">
        <f t="shared" si="0"/>
        <v>30025_3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82">
        <v>389</v>
      </c>
      <c r="F28" s="82" t="s">
        <v>244</v>
      </c>
      <c r="G28" s="82">
        <v>121</v>
      </c>
      <c r="H28" s="82">
        <v>1</v>
      </c>
      <c r="I28" s="82">
        <v>1</v>
      </c>
      <c r="J28" s="82">
        <v>1</v>
      </c>
      <c r="K28" s="82">
        <v>0</v>
      </c>
      <c r="L28" s="82">
        <v>0</v>
      </c>
      <c r="M28" s="82">
        <v>0</v>
      </c>
      <c r="N28" s="82">
        <v>0</v>
      </c>
      <c r="O28" s="82">
        <v>1</v>
      </c>
      <c r="P28" s="82">
        <v>50</v>
      </c>
      <c r="Q28" s="82" t="s">
        <v>170</v>
      </c>
      <c r="R28" s="82" t="s">
        <v>171</v>
      </c>
    </row>
    <row r="29" spans="1:18" x14ac:dyDescent="0.15">
      <c r="A29" s="57">
        <v>30025</v>
      </c>
      <c r="B29" s="82">
        <v>3</v>
      </c>
      <c r="C29" s="71" t="str">
        <f t="shared" si="0"/>
        <v>30025_3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82">
        <v>390</v>
      </c>
      <c r="F29" s="82" t="s">
        <v>244</v>
      </c>
      <c r="G29" s="82">
        <v>122</v>
      </c>
      <c r="H29" s="82">
        <v>1</v>
      </c>
      <c r="I29" s="82">
        <v>1</v>
      </c>
      <c r="J29" s="82">
        <v>1</v>
      </c>
      <c r="K29" s="82">
        <v>0</v>
      </c>
      <c r="L29" s="82">
        <v>0</v>
      </c>
      <c r="M29" s="82">
        <v>0</v>
      </c>
      <c r="N29" s="82">
        <v>0</v>
      </c>
      <c r="O29" s="82">
        <v>1</v>
      </c>
      <c r="P29" s="82">
        <v>50</v>
      </c>
      <c r="Q29" s="82" t="s">
        <v>170</v>
      </c>
      <c r="R29" s="82" t="s">
        <v>171</v>
      </c>
    </row>
    <row r="30" spans="1:18" x14ac:dyDescent="0.15">
      <c r="A30" s="57">
        <v>30025</v>
      </c>
      <c r="B30" s="82">
        <v>3</v>
      </c>
      <c r="C30" s="71" t="str">
        <f t="shared" si="0"/>
        <v>30025_3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82">
        <v>391</v>
      </c>
      <c r="F30" s="82" t="s">
        <v>244</v>
      </c>
      <c r="G30" s="82">
        <v>123</v>
      </c>
      <c r="H30" s="82">
        <v>1</v>
      </c>
      <c r="I30" s="82">
        <v>1</v>
      </c>
      <c r="J30" s="82">
        <v>1</v>
      </c>
      <c r="K30" s="82">
        <v>0</v>
      </c>
      <c r="L30" s="82">
        <v>0</v>
      </c>
      <c r="M30" s="82">
        <v>0</v>
      </c>
      <c r="N30" s="82">
        <v>0</v>
      </c>
      <c r="O30" s="82">
        <v>1</v>
      </c>
      <c r="P30" s="82">
        <v>50</v>
      </c>
      <c r="Q30" s="82" t="s">
        <v>170</v>
      </c>
      <c r="R30" s="82" t="s">
        <v>171</v>
      </c>
    </row>
    <row r="31" spans="1:18" x14ac:dyDescent="0.15">
      <c r="A31" s="57">
        <v>30025</v>
      </c>
      <c r="B31" s="82">
        <v>3</v>
      </c>
      <c r="C31" s="71" t="str">
        <f t="shared" si="0"/>
        <v>30025_3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82">
        <v>392</v>
      </c>
      <c r="F31" s="82" t="s">
        <v>244</v>
      </c>
      <c r="G31" s="82">
        <v>125</v>
      </c>
      <c r="H31" s="82">
        <v>1</v>
      </c>
      <c r="I31" s="82">
        <v>1</v>
      </c>
      <c r="J31" s="82">
        <v>1</v>
      </c>
      <c r="K31" s="82">
        <v>0</v>
      </c>
      <c r="L31" s="82">
        <v>0</v>
      </c>
      <c r="M31" s="82">
        <v>0</v>
      </c>
      <c r="N31" s="82">
        <v>0</v>
      </c>
      <c r="O31" s="82">
        <v>1</v>
      </c>
      <c r="P31" s="82">
        <v>10</v>
      </c>
      <c r="Q31" s="82" t="s">
        <v>170</v>
      </c>
      <c r="R31" s="82" t="s">
        <v>171</v>
      </c>
    </row>
    <row r="32" spans="1:18" x14ac:dyDescent="0.15">
      <c r="A32" s="57">
        <v>30025</v>
      </c>
      <c r="B32" s="82">
        <v>3</v>
      </c>
      <c r="C32" s="71" t="str">
        <f t="shared" si="0"/>
        <v>30025_3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82">
        <v>393</v>
      </c>
      <c r="F32" s="82" t="s">
        <v>244</v>
      </c>
      <c r="G32" s="82">
        <v>579</v>
      </c>
      <c r="H32" s="82">
        <v>1</v>
      </c>
      <c r="I32" s="82">
        <v>1</v>
      </c>
      <c r="J32" s="82">
        <v>1</v>
      </c>
      <c r="K32" s="82">
        <v>0</v>
      </c>
      <c r="L32" s="82">
        <v>0</v>
      </c>
      <c r="M32" s="82">
        <v>0</v>
      </c>
      <c r="N32" s="82">
        <v>0</v>
      </c>
      <c r="O32" s="82">
        <v>1</v>
      </c>
      <c r="P32" s="82">
        <v>400</v>
      </c>
      <c r="Q32" s="82" t="s">
        <v>170</v>
      </c>
      <c r="R32" s="82" t="s">
        <v>171</v>
      </c>
    </row>
    <row r="33" spans="1:18" x14ac:dyDescent="0.15">
      <c r="A33" s="57">
        <v>30025</v>
      </c>
      <c r="B33" s="82">
        <v>3</v>
      </c>
      <c r="C33" s="71" t="str">
        <f t="shared" si="0"/>
        <v>30025_3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82">
        <v>394</v>
      </c>
      <c r="F33" s="82" t="s">
        <v>244</v>
      </c>
      <c r="G33" s="82">
        <v>350</v>
      </c>
      <c r="H33" s="82">
        <v>1</v>
      </c>
      <c r="I33" s="82">
        <v>1</v>
      </c>
      <c r="J33" s="82">
        <v>1</v>
      </c>
      <c r="K33" s="82">
        <v>0</v>
      </c>
      <c r="L33" s="82">
        <v>0</v>
      </c>
      <c r="M33" s="82">
        <v>0</v>
      </c>
      <c r="N33" s="82">
        <v>0</v>
      </c>
      <c r="O33" s="82">
        <v>1</v>
      </c>
      <c r="P33" s="82">
        <v>100</v>
      </c>
      <c r="Q33" s="82" t="s">
        <v>170</v>
      </c>
      <c r="R33" s="82" t="s">
        <v>171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61" activePane="bottomLeft" state="frozen"/>
      <selection pane="bottomLeft" activeCell="L86" sqref="L86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188</v>
      </c>
      <c r="B1" s="73" t="s">
        <v>189</v>
      </c>
      <c r="C1" s="78" t="s">
        <v>190</v>
      </c>
      <c r="D1" s="78" t="s">
        <v>33</v>
      </c>
      <c r="E1" s="73" t="s">
        <v>191</v>
      </c>
      <c r="F1" s="78" t="s">
        <v>192</v>
      </c>
      <c r="G1" s="78" t="s">
        <v>33</v>
      </c>
      <c r="H1" s="73" t="s">
        <v>193</v>
      </c>
      <c r="I1" s="92" t="s">
        <v>195</v>
      </c>
      <c r="J1" s="80" t="s">
        <v>127</v>
      </c>
      <c r="K1" s="79" t="s">
        <v>187</v>
      </c>
      <c r="L1" s="93" t="s">
        <v>186</v>
      </c>
      <c r="M1" s="81" t="s">
        <v>196</v>
      </c>
    </row>
    <row r="2" spans="1:13" x14ac:dyDescent="0.15">
      <c r="A2" s="82" t="s">
        <v>201</v>
      </c>
      <c r="B2" s="83">
        <f>floors!$C$2</f>
        <v>30025</v>
      </c>
      <c r="C2" s="84" t="str">
        <f ca="1">VLOOKUP($B2,OFFSET([2]quests!$A$1,0,0,COUNTA([2]quests!$A:$A),MATCH(C$1,[2]quests!$1:$1,0)-MATCH($B$1,[2]quests!$1:$1,0)+1),MATCH(C$1,[2]quests!$1:$1,0)-MATCH($B$1,[2]quests!$1:$1,0)+1,FALSE)</f>
        <v>真実の探求者</v>
      </c>
      <c r="D2" s="84" t="str">
        <f ca="1">VLOOKUP($B2,OFFSET([2]quests!$A$1,0,0,COUNTA([2]quests!$A:$A),MATCH(D$1,[2]quests!$1:$1,0)-MATCH($B$1,[2]quests!$1:$1,0)+1),MATCH(D$1,[2]quests!$1:$1,0)-MATCH($B$1,[2]quests!$1:$1,0)+1,FALSE)</f>
        <v>ドロップイベント7（マルチ専用）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【中級】真実の探求者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" s="86">
        <v>0</v>
      </c>
      <c r="I2">
        <v>3</v>
      </c>
      <c r="J2" s="85" t="s">
        <v>198</v>
      </c>
      <c r="K2" s="94" t="str">
        <f>VLOOKUP(I2,[7]stage_hints!$A:$C,3,FALSE)</f>
        <v>ターゲット</v>
      </c>
      <c r="L2" s="95" t="str">
        <f>VLOOKUP(I2,[7]stage_hints!$A:$D,4,FALSE)</f>
        <v>敵ユニットをタップすると_x000D_その敵を狙い撃ちできます</v>
      </c>
      <c r="M2" s="57" t="s">
        <v>211</v>
      </c>
    </row>
    <row r="3" spans="1:13" x14ac:dyDescent="0.15">
      <c r="A3" s="82" t="s">
        <v>201</v>
      </c>
      <c r="B3" s="83">
        <f>floors!$C$2</f>
        <v>30025</v>
      </c>
      <c r="C3" s="84" t="str">
        <f ca="1">VLOOKUP($B3,OFFSET([2]quests!$A$1,0,0,COUNTA([2]quests!$A:$A),MATCH(C$1,[2]quests!$1:$1,0)-MATCH($B$1,[2]quests!$1:$1,0)+1),MATCH(C$1,[2]quests!$1:$1,0)-MATCH($B$1,[2]quests!$1:$1,0)+1,FALSE)</f>
        <v>真実の探求者</v>
      </c>
      <c r="D3" s="84" t="str">
        <f ca="1">VLOOKUP($B3,OFFSET([2]quests!$A$1,0,0,COUNTA([2]quests!$A:$A),MATCH(D$1,[2]quests!$1:$1,0)-MATCH($B$1,[2]quests!$1:$1,0)+1),MATCH(D$1,[2]quests!$1:$1,0)-MATCH($B$1,[2]quests!$1:$1,0)+1,FALSE)</f>
        <v>ドロップイベント7（マルチ専用）</v>
      </c>
      <c r="E3" s="88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【中級】真実の探求者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" s="86">
        <v>0</v>
      </c>
      <c r="I3">
        <v>6</v>
      </c>
      <c r="J3" s="85" t="s">
        <v>198</v>
      </c>
      <c r="K3" s="94" t="str">
        <f>VLOOKUP(I3,[7]stage_hints!$A:$C,3,FALSE)</f>
        <v>ユニット強化の属性ボーナス</v>
      </c>
      <c r="L3" s="95" t="str">
        <f>VLOOKUP(I3,[7]stage_hints!$A:$D,4,FALSE)</f>
        <v>同属性ユニットを強化素材にすると_x000D_経験値が多くもらえます</v>
      </c>
      <c r="M3" s="57" t="s">
        <v>211</v>
      </c>
    </row>
    <row r="4" spans="1:13" x14ac:dyDescent="0.15">
      <c r="A4" s="82" t="s">
        <v>201</v>
      </c>
      <c r="B4" s="83">
        <f>floors!$C$2</f>
        <v>30025</v>
      </c>
      <c r="C4" s="84" t="str">
        <f ca="1">VLOOKUP($B4,OFFSET([2]quests!$A$1,0,0,COUNTA([2]quests!$A:$A),MATCH(C$1,[2]quests!$1:$1,0)-MATCH($B$1,[2]quests!$1:$1,0)+1),MATCH(C$1,[2]quests!$1:$1,0)-MATCH($B$1,[2]quests!$1:$1,0)+1,FALSE)</f>
        <v>真実の探求者</v>
      </c>
      <c r="D4" s="84" t="str">
        <f ca="1">VLOOKUP($B4,OFFSET([2]quests!$A$1,0,0,COUNTA([2]quests!$A:$A),MATCH(D$1,[2]quests!$1:$1,0)-MATCH($B$1,[2]quests!$1:$1,0)+1),MATCH(D$1,[2]quests!$1:$1,0)-MATCH($B$1,[2]quests!$1:$1,0)+1,FALSE)</f>
        <v>ドロップイベント7（マルチ専用）</v>
      </c>
      <c r="E4" s="88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【中級】真実の探求者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" s="86">
        <v>0</v>
      </c>
      <c r="I4">
        <v>7</v>
      </c>
      <c r="J4" s="85" t="s">
        <v>198</v>
      </c>
      <c r="K4" s="94" t="str">
        <f>VLOOKUP(I4,[7]stage_hints!$A:$C,3,FALSE)</f>
        <v>メタルダックで経験値を獲得</v>
      </c>
      <c r="L4" s="95" t="str">
        <f>VLOOKUP(I4,[7]stage_hints!$A:$D,4,FALSE)</f>
        <v>「メタルなアヒル」を強化素材にすると_x000D_大量の経験値がもらえます</v>
      </c>
      <c r="M4" s="57" t="s">
        <v>211</v>
      </c>
    </row>
    <row r="5" spans="1:13" x14ac:dyDescent="0.15">
      <c r="A5" s="82" t="s">
        <v>201</v>
      </c>
      <c r="B5" s="83">
        <f>floors!$C$2</f>
        <v>30025</v>
      </c>
      <c r="C5" s="84" t="str">
        <f ca="1">VLOOKUP($B5,OFFSET([2]quests!$A$1,0,0,COUNTA([2]quests!$A:$A),MATCH(C$1,[2]quests!$1:$1,0)-MATCH($B$1,[2]quests!$1:$1,0)+1),MATCH(C$1,[2]quests!$1:$1,0)-MATCH($B$1,[2]quests!$1:$1,0)+1,FALSE)</f>
        <v>真実の探求者</v>
      </c>
      <c r="D5" s="84" t="str">
        <f ca="1">VLOOKUP($B5,OFFSET([2]quests!$A$1,0,0,COUNTA([2]quests!$A:$A),MATCH(D$1,[2]quests!$1:$1,0)-MATCH($B$1,[2]quests!$1:$1,0)+1),MATCH(D$1,[2]quests!$1:$1,0)-MATCH($B$1,[2]quests!$1:$1,0)+1,FALSE)</f>
        <v>ドロップイベント7（マルチ専用）</v>
      </c>
      <c r="E5" s="88">
        <v>1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【中級】真実の探求者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" s="86">
        <v>0</v>
      </c>
      <c r="I5">
        <v>8</v>
      </c>
      <c r="J5" s="85" t="s">
        <v>198</v>
      </c>
      <c r="K5" s="94" t="str">
        <f>VLOOKUP(I5,[7]stage_hints!$A:$C,3,FALSE)</f>
        <v>ゲリラクエストは要チェック</v>
      </c>
      <c r="L5" s="95" t="str">
        <f>VLOOKUP(I5,[7]stage_hints!$A:$D,4,FALSE)</f>
        <v>時間限定の「アヒル捕獲作戦」では_x000D_経験値素材ユニットが多く手に入ります</v>
      </c>
      <c r="M5" s="57" t="s">
        <v>211</v>
      </c>
    </row>
    <row r="6" spans="1:13" x14ac:dyDescent="0.15">
      <c r="A6" s="82" t="s">
        <v>201</v>
      </c>
      <c r="B6" s="83">
        <f>floors!$C$2</f>
        <v>30025</v>
      </c>
      <c r="C6" s="84" t="str">
        <f ca="1">VLOOKUP($B6,OFFSET([2]quests!$A$1,0,0,COUNTA([2]quests!$A:$A),MATCH(C$1,[2]quests!$1:$1,0)-MATCH($B$1,[2]quests!$1:$1,0)+1),MATCH(C$1,[2]quests!$1:$1,0)-MATCH($B$1,[2]quests!$1:$1,0)+1,FALSE)</f>
        <v>真実の探求者</v>
      </c>
      <c r="D6" s="84" t="str">
        <f ca="1">VLOOKUP($B6,OFFSET([2]quests!$A$1,0,0,COUNTA([2]quests!$A:$A),MATCH(D$1,[2]quests!$1:$1,0)-MATCH($B$1,[2]quests!$1:$1,0)+1),MATCH(D$1,[2]quests!$1:$1,0)-MATCH($B$1,[2]quests!$1:$1,0)+1,FALSE)</f>
        <v>ドロップイベント7（マルチ専用）</v>
      </c>
      <c r="E6" s="88">
        <v>1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【中級】真実の探求者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" s="86">
        <v>0</v>
      </c>
      <c r="I6">
        <v>9</v>
      </c>
      <c r="J6" s="85" t="s">
        <v>198</v>
      </c>
      <c r="K6" s="94" t="str">
        <f>VLOOKUP(I6,[7]stage_hints!$A:$C,3,FALSE)</f>
        <v>ゴールドダックでビットを獲得</v>
      </c>
      <c r="L6" s="95" t="str">
        <f>VLOOKUP(I6,[7]stage_hints!$A:$D,4,FALSE)</f>
        <v>「ゴールドなアヒル」を売却すると_x000D_大量のビットがもらえます</v>
      </c>
      <c r="M6" s="57" t="s">
        <v>211</v>
      </c>
    </row>
    <row r="7" spans="1:13" x14ac:dyDescent="0.15">
      <c r="A7" s="82" t="s">
        <v>201</v>
      </c>
      <c r="B7" s="83">
        <f>floors!$C$2</f>
        <v>30025</v>
      </c>
      <c r="C7" s="84" t="str">
        <f ca="1">VLOOKUP($B7,OFFSET([2]quests!$A$1,0,0,COUNTA([2]quests!$A:$A),MATCH(C$1,[2]quests!$1:$1,0)-MATCH($B$1,[2]quests!$1:$1,0)+1),MATCH(C$1,[2]quests!$1:$1,0)-MATCH($B$1,[2]quests!$1:$1,0)+1,FALSE)</f>
        <v>真実の探求者</v>
      </c>
      <c r="D7" s="84" t="str">
        <f ca="1">VLOOKUP($B7,OFFSET([2]quests!$A$1,0,0,COUNTA([2]quests!$A:$A),MATCH(D$1,[2]quests!$1:$1,0)-MATCH($B$1,[2]quests!$1:$1,0)+1),MATCH(D$1,[2]quests!$1:$1,0)-MATCH($B$1,[2]quests!$1:$1,0)+1,FALSE)</f>
        <v>ドロップイベント7（マルチ専用）</v>
      </c>
      <c r="E7" s="88">
        <v>1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【中級】真実の探求者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" s="86">
        <v>0</v>
      </c>
      <c r="I7">
        <v>10</v>
      </c>
      <c r="J7" s="85" t="s">
        <v>198</v>
      </c>
      <c r="K7" s="94" t="str">
        <f>VLOOKUP(I7,[7]stage_hints!$A:$C,3,FALSE)</f>
        <v>土日に大量のビットを獲得</v>
      </c>
      <c r="L7" s="95" t="str">
        <f>VLOOKUP(I7,[7]stage_hints!$A:$D,4,FALSE)</f>
        <v>土日限定の「ゴールドカジノ」では_x000D_売却素材ユニットが多く手に入ります</v>
      </c>
      <c r="M7" s="57" t="s">
        <v>211</v>
      </c>
    </row>
    <row r="8" spans="1:13" x14ac:dyDescent="0.15">
      <c r="A8" s="82" t="s">
        <v>201</v>
      </c>
      <c r="B8" s="83">
        <f>floors!$C$2</f>
        <v>30025</v>
      </c>
      <c r="C8" s="84" t="str">
        <f ca="1">VLOOKUP($B8,OFFSET([2]quests!$A$1,0,0,COUNTA([2]quests!$A:$A),MATCH(C$1,[2]quests!$1:$1,0)-MATCH($B$1,[2]quests!$1:$1,0)+1),MATCH(C$1,[2]quests!$1:$1,0)-MATCH($B$1,[2]quests!$1:$1,0)+1,FALSE)</f>
        <v>真実の探求者</v>
      </c>
      <c r="D8" s="84" t="str">
        <f ca="1">VLOOKUP($B8,OFFSET([2]quests!$A$1,0,0,COUNTA([2]quests!$A:$A),MATCH(D$1,[2]quests!$1:$1,0)-MATCH($B$1,[2]quests!$1:$1,0)+1),MATCH(D$1,[2]quests!$1:$1,0)-MATCH($B$1,[2]quests!$1:$1,0)+1,FALSE)</f>
        <v>ドロップイベント7（マルチ専用）</v>
      </c>
      <c r="E8" s="88">
        <v>1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【中級】真実の探求者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" s="86">
        <v>0</v>
      </c>
      <c r="I8">
        <v>11</v>
      </c>
      <c r="J8" s="85" t="s">
        <v>198</v>
      </c>
      <c r="K8" s="94" t="str">
        <f>VLOOKUP(I8,[7]stage_hints!$A:$C,3,FALSE)</f>
        <v>ランク解放クエスト</v>
      </c>
      <c r="L8" s="95" t="str">
        <f>VLOOKUP(I8,[7]stage_hints!$A:$D,4,FALSE)</f>
        <v>一定ランクに到達すると_x000D_報酬付きのランク開放クエストが現れます</v>
      </c>
      <c r="M8" s="57" t="s">
        <v>211</v>
      </c>
    </row>
    <row r="9" spans="1:13" x14ac:dyDescent="0.15">
      <c r="A9" s="82" t="s">
        <v>201</v>
      </c>
      <c r="B9" s="83">
        <f>floors!$C$2</f>
        <v>30025</v>
      </c>
      <c r="C9" s="84" t="str">
        <f ca="1">VLOOKUP($B9,OFFSET([2]quests!$A$1,0,0,COUNTA([2]quests!$A:$A),MATCH(C$1,[2]quests!$1:$1,0)-MATCH($B$1,[2]quests!$1:$1,0)+1),MATCH(C$1,[2]quests!$1:$1,0)-MATCH($B$1,[2]quests!$1:$1,0)+1,FALSE)</f>
        <v>真実の探求者</v>
      </c>
      <c r="D9" s="84" t="str">
        <f ca="1">VLOOKUP($B9,OFFSET([2]quests!$A$1,0,0,COUNTA([2]quests!$A:$A),MATCH(D$1,[2]quests!$1:$1,0)-MATCH($B$1,[2]quests!$1:$1,0)+1),MATCH(D$1,[2]quests!$1:$1,0)-MATCH($B$1,[2]quests!$1:$1,0)+1,FALSE)</f>
        <v>ドロップイベント7（マルチ専用）</v>
      </c>
      <c r="E9" s="88">
        <v>1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【中級】真実の探求者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9" s="86">
        <v>0</v>
      </c>
      <c r="I9">
        <v>12</v>
      </c>
      <c r="J9" s="85" t="s">
        <v>198</v>
      </c>
      <c r="K9" s="94" t="str">
        <f>VLOOKUP(I9,[7]stage_hints!$A:$C,3,FALSE)</f>
        <v>ユニットのお気に入り登録</v>
      </c>
      <c r="L9" s="95" t="str">
        <f>VLOOKUP(I9,[7]stage_hints!$A:$D,4,FALSE)</f>
        <v>大事なユニットを誤って消さないように_x000D_フォルダから「お気に入り登録」しましょう</v>
      </c>
      <c r="M9" s="57" t="s">
        <v>211</v>
      </c>
    </row>
    <row r="10" spans="1:13" x14ac:dyDescent="0.15">
      <c r="A10" s="82" t="s">
        <v>201</v>
      </c>
      <c r="B10" s="83">
        <f>floors!$C$2</f>
        <v>30025</v>
      </c>
      <c r="C10" s="84" t="str">
        <f ca="1">VLOOKUP($B10,OFFSET([2]quests!$A$1,0,0,COUNTA([2]quests!$A:$A),MATCH(C$1,[2]quests!$1:$1,0)-MATCH($B$1,[2]quests!$1:$1,0)+1),MATCH(C$1,[2]quests!$1:$1,0)-MATCH($B$1,[2]quests!$1:$1,0)+1,FALSE)</f>
        <v>真実の探求者</v>
      </c>
      <c r="D10" s="84" t="str">
        <f ca="1">VLOOKUP($B10,OFFSET([2]quests!$A$1,0,0,COUNTA([2]quests!$A:$A),MATCH(D$1,[2]quests!$1:$1,0)-MATCH($B$1,[2]quests!$1:$1,0)+1),MATCH(D$1,[2]quests!$1:$1,0)-MATCH($B$1,[2]quests!$1:$1,0)+1,FALSE)</f>
        <v>ドロップイベント7（マルチ専用）</v>
      </c>
      <c r="E10" s="88">
        <v>1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【中級】真実の探求者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0" s="86">
        <v>0</v>
      </c>
      <c r="I10">
        <v>13</v>
      </c>
      <c r="J10" s="85" t="s">
        <v>198</v>
      </c>
      <c r="K10" s="94" t="str">
        <f>VLOOKUP(I10,[7]stage_hints!$A:$C,3,FALSE)</f>
        <v>ユニットの覚醒</v>
      </c>
      <c r="L10" s="95" t="str">
        <f>VLOOKUP(I10,[7]stage_hints!$A:$D,4,FALSE)</f>
        <v>ユニットを覚醒させると_x000D_比べものにならない強さが手に入ります</v>
      </c>
      <c r="M10" s="57" t="s">
        <v>211</v>
      </c>
    </row>
    <row r="11" spans="1:13" x14ac:dyDescent="0.15">
      <c r="A11" s="82" t="s">
        <v>201</v>
      </c>
      <c r="B11" s="83">
        <f>floors!$C$2</f>
        <v>30025</v>
      </c>
      <c r="C11" s="84" t="str">
        <f ca="1">VLOOKUP($B11,OFFSET([2]quests!$A$1,0,0,COUNTA([2]quests!$A:$A),MATCH(C$1,[2]quests!$1:$1,0)-MATCH($B$1,[2]quests!$1:$1,0)+1),MATCH(C$1,[2]quests!$1:$1,0)-MATCH($B$1,[2]quests!$1:$1,0)+1,FALSE)</f>
        <v>真実の探求者</v>
      </c>
      <c r="D11" s="84" t="str">
        <f ca="1">VLOOKUP($B11,OFFSET([2]quests!$A$1,0,0,COUNTA([2]quests!$A:$A),MATCH(D$1,[2]quests!$1:$1,0)-MATCH($B$1,[2]quests!$1:$1,0)+1),MATCH(D$1,[2]quests!$1:$1,0)-MATCH($B$1,[2]quests!$1:$1,0)+1,FALSE)</f>
        <v>ドロップイベント7（マルチ専用）</v>
      </c>
      <c r="E11" s="88">
        <v>1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【中級】真実の探求者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1" s="86">
        <v>0</v>
      </c>
      <c r="I11">
        <v>14</v>
      </c>
      <c r="J11" s="85" t="s">
        <v>198</v>
      </c>
      <c r="K11" s="94" t="str">
        <f>VLOOKUP(I11,[7]stage_hints!$A:$C,3,FALSE)</f>
        <v>覚醒するにはレベルを最大に</v>
      </c>
      <c r="L11" s="95" t="str">
        <f>VLOOKUP(I11,[7]stage_hints!$A:$D,4,FALSE)</f>
        <v>覚醒するにはユニットのレベルを_x000D_最大まで上げる必要があります</v>
      </c>
      <c r="M11" s="57" t="s">
        <v>211</v>
      </c>
    </row>
    <row r="12" spans="1:13" x14ac:dyDescent="0.15">
      <c r="A12" s="82" t="s">
        <v>201</v>
      </c>
      <c r="B12" s="83">
        <f>floors!$C$2</f>
        <v>30025</v>
      </c>
      <c r="C12" s="84" t="str">
        <f ca="1">VLOOKUP($B12,OFFSET([2]quests!$A$1,0,0,COUNTA([2]quests!$A:$A),MATCH(C$1,[2]quests!$1:$1,0)-MATCH($B$1,[2]quests!$1:$1,0)+1),MATCH(C$1,[2]quests!$1:$1,0)-MATCH($B$1,[2]quests!$1:$1,0)+1,FALSE)</f>
        <v>真実の探求者</v>
      </c>
      <c r="D12" s="84" t="str">
        <f ca="1">VLOOKUP($B12,OFFSET([2]quests!$A$1,0,0,COUNTA([2]quests!$A:$A),MATCH(D$1,[2]quests!$1:$1,0)-MATCH($B$1,[2]quests!$1:$1,0)+1),MATCH(D$1,[2]quests!$1:$1,0)-MATCH($B$1,[2]quests!$1:$1,0)+1,FALSE)</f>
        <v>ドロップイベント7（マルチ専用）</v>
      </c>
      <c r="E12" s="88">
        <v>1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【中級】真実の探求者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2" s="86">
        <v>0</v>
      </c>
      <c r="I12">
        <v>15</v>
      </c>
      <c r="J12" s="85" t="s">
        <v>198</v>
      </c>
      <c r="K12" s="94" t="str">
        <f>VLOOKUP(I12,[7]stage_hints!$A:$C,3,FALSE)</f>
        <v>覚醒素材を獲得</v>
      </c>
      <c r="L12" s="95" t="str">
        <f>VLOOKUP(I12,[7]stage_hints!$A:$D,4,FALSE)</f>
        <v>「曜日クエスト」では_x000D_ユニットの覚醒に必要な素材が手に入ります</v>
      </c>
      <c r="M12" s="57" t="s">
        <v>211</v>
      </c>
    </row>
    <row r="13" spans="1:13" x14ac:dyDescent="0.15">
      <c r="A13" s="82" t="s">
        <v>201</v>
      </c>
      <c r="B13" s="83">
        <f>floors!$C$2</f>
        <v>30025</v>
      </c>
      <c r="C13" s="84" t="str">
        <f ca="1">VLOOKUP($B13,OFFSET([2]quests!$A$1,0,0,COUNTA([2]quests!$A:$A),MATCH(C$1,[2]quests!$1:$1,0)-MATCH($B$1,[2]quests!$1:$1,0)+1),MATCH(C$1,[2]quests!$1:$1,0)-MATCH($B$1,[2]quests!$1:$1,0)+1,FALSE)</f>
        <v>真実の探求者</v>
      </c>
      <c r="D13" s="84" t="str">
        <f ca="1">VLOOKUP($B13,OFFSET([2]quests!$A$1,0,0,COUNTA([2]quests!$A:$A),MATCH(D$1,[2]quests!$1:$1,0)-MATCH($B$1,[2]quests!$1:$1,0)+1),MATCH(D$1,[2]quests!$1:$1,0)-MATCH($B$1,[2]quests!$1:$1,0)+1,FALSE)</f>
        <v>ドロップイベント7（マルチ専用）</v>
      </c>
      <c r="E13" s="88">
        <v>1</v>
      </c>
      <c r="F13" s="84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【中級】真実の探求者</v>
      </c>
      <c r="G13" s="84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3" s="86">
        <v>0</v>
      </c>
      <c r="I13">
        <v>16</v>
      </c>
      <c r="J13" s="85" t="s">
        <v>198</v>
      </c>
      <c r="K13" s="94" t="str">
        <f>VLOOKUP(I13,[7]stage_hints!$A:$C,3,FALSE)</f>
        <v>マルチプレイのメリット（その1）</v>
      </c>
      <c r="L13" s="95" t="str">
        <f>VLOOKUP(I13,[7]stage_hints!$A:$D,4,FALSE)</f>
        <v>他のプレイヤーとマルチプレイで遊ぶと_x000D_ポリゴンがもらえます（100人まで）</v>
      </c>
      <c r="M13" s="57" t="s">
        <v>211</v>
      </c>
    </row>
    <row r="14" spans="1:13" x14ac:dyDescent="0.15">
      <c r="A14" s="82" t="s">
        <v>201</v>
      </c>
      <c r="B14" s="83">
        <f>floors!$C$2</f>
        <v>30025</v>
      </c>
      <c r="C14" s="84" t="str">
        <f ca="1">VLOOKUP($B14,OFFSET([2]quests!$A$1,0,0,COUNTA([2]quests!$A:$A),MATCH(C$1,[2]quests!$1:$1,0)-MATCH($B$1,[2]quests!$1:$1,0)+1),MATCH(C$1,[2]quests!$1:$1,0)-MATCH($B$1,[2]quests!$1:$1,0)+1,FALSE)</f>
        <v>真実の探求者</v>
      </c>
      <c r="D14" s="84" t="str">
        <f ca="1">VLOOKUP($B14,OFFSET([2]quests!$A$1,0,0,COUNTA([2]quests!$A:$A),MATCH(D$1,[2]quests!$1:$1,0)-MATCH($B$1,[2]quests!$1:$1,0)+1),MATCH(D$1,[2]quests!$1:$1,0)-MATCH($B$1,[2]quests!$1:$1,0)+1,FALSE)</f>
        <v>ドロップイベント7（マルチ専用）</v>
      </c>
      <c r="E14" s="88">
        <v>1</v>
      </c>
      <c r="F14" s="84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【中級】真実の探求者</v>
      </c>
      <c r="G14" s="84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4" s="86">
        <v>0</v>
      </c>
      <c r="I14">
        <v>17</v>
      </c>
      <c r="J14" s="85" t="s">
        <v>198</v>
      </c>
      <c r="K14" s="94" t="str">
        <f>VLOOKUP(I14,[7]stage_hints!$A:$C,3,FALSE)</f>
        <v>リンクガチャ</v>
      </c>
      <c r="L14" s="95" t="str">
        <f>VLOOKUP(I14,[7]stage_hints!$A:$D,4,FALSE)</f>
        <v>無料のリンクガチャを回して_x000D_経験値素材や売却素材を獲得しましょう</v>
      </c>
      <c r="M14" s="57" t="s">
        <v>211</v>
      </c>
    </row>
    <row r="15" spans="1:13" x14ac:dyDescent="0.15">
      <c r="A15" s="82" t="s">
        <v>201</v>
      </c>
      <c r="B15" s="83">
        <f>floors!$C$2</f>
        <v>30025</v>
      </c>
      <c r="C15" s="84" t="str">
        <f ca="1">VLOOKUP($B15,OFFSET([2]quests!$A$1,0,0,COUNTA([2]quests!$A:$A),MATCH(C$1,[2]quests!$1:$1,0)-MATCH($B$1,[2]quests!$1:$1,0)+1),MATCH(C$1,[2]quests!$1:$1,0)-MATCH($B$1,[2]quests!$1:$1,0)+1,FALSE)</f>
        <v>真実の探求者</v>
      </c>
      <c r="D15" s="84" t="str">
        <f ca="1">VLOOKUP($B15,OFFSET([2]quests!$A$1,0,0,COUNTA([2]quests!$A:$A),MATCH(D$1,[2]quests!$1:$1,0)-MATCH($B$1,[2]quests!$1:$1,0)+1),MATCH(D$1,[2]quests!$1:$1,0)-MATCH($B$1,[2]quests!$1:$1,0)+1,FALSE)</f>
        <v>ドロップイベント7（マルチ専用）</v>
      </c>
      <c r="E15" s="88">
        <v>1</v>
      </c>
      <c r="F15" s="84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【中級】真実の探求者</v>
      </c>
      <c r="G15" s="84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5" s="86">
        <v>0</v>
      </c>
      <c r="I15">
        <v>18</v>
      </c>
      <c r="J15" s="85" t="s">
        <v>198</v>
      </c>
      <c r="K15" s="94" t="str">
        <f>VLOOKUP(I15,[7]stage_hints!$A:$C,3,FALSE)</f>
        <v>マルチプレイのメリット（その2）</v>
      </c>
      <c r="L15" s="95" t="str">
        <f>VLOOKUP(I15,[7]stage_hints!$A:$D,4,FALSE)</f>
        <v>マルチプレイならリンクが2倍もらえます_x000D_リンクガチャをたくさん回しましょう</v>
      </c>
      <c r="M15" s="57" t="s">
        <v>211</v>
      </c>
    </row>
    <row r="16" spans="1:13" x14ac:dyDescent="0.15">
      <c r="A16" s="82" t="s">
        <v>201</v>
      </c>
      <c r="B16" s="83">
        <f>floors!$C$2</f>
        <v>30025</v>
      </c>
      <c r="C16" s="84" t="str">
        <f ca="1">VLOOKUP($B16,OFFSET([2]quests!$A$1,0,0,COUNTA([2]quests!$A:$A),MATCH(C$1,[2]quests!$1:$1,0)-MATCH($B$1,[2]quests!$1:$1,0)+1),MATCH(C$1,[2]quests!$1:$1,0)-MATCH($B$1,[2]quests!$1:$1,0)+1,FALSE)</f>
        <v>真実の探求者</v>
      </c>
      <c r="D16" s="84" t="str">
        <f ca="1">VLOOKUP($B16,OFFSET([2]quests!$A$1,0,0,COUNTA([2]quests!$A:$A),MATCH(D$1,[2]quests!$1:$1,0)-MATCH($B$1,[2]quests!$1:$1,0)+1),MATCH(D$1,[2]quests!$1:$1,0)-MATCH($B$1,[2]quests!$1:$1,0)+1,FALSE)</f>
        <v>ドロップイベント7（マルチ専用）</v>
      </c>
      <c r="E16" s="88">
        <v>1</v>
      </c>
      <c r="F16" s="84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【中級】真実の探求者</v>
      </c>
      <c r="G16" s="84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6" s="86">
        <v>0</v>
      </c>
      <c r="I16">
        <v>19</v>
      </c>
      <c r="J16" s="85" t="s">
        <v>198</v>
      </c>
      <c r="K16" s="94" t="str">
        <f>VLOOKUP(I16,[7]stage_hints!$A:$C,3,FALSE)</f>
        <v>ソロ専用タワーオブザクイーン</v>
      </c>
      <c r="L16" s="95" t="str">
        <f>VLOOKUP(I16,[7]stage_hints!$A:$D,4,FALSE)</f>
        <v>ソロ専用の「タワーオブザクイーン」は_x000D_期間限定で定期的に開催されます_x000D_ここでしか獲得できない報酬もあるようです</v>
      </c>
      <c r="M16" s="57" t="s">
        <v>211</v>
      </c>
    </row>
    <row r="17" spans="1:13" x14ac:dyDescent="0.15">
      <c r="A17" s="82" t="s">
        <v>201</v>
      </c>
      <c r="B17" s="83">
        <f>floors!$C$2</f>
        <v>30025</v>
      </c>
      <c r="C17" s="84" t="str">
        <f ca="1">VLOOKUP($B17,OFFSET([2]quests!$A$1,0,0,COUNTA([2]quests!$A:$A),MATCH(C$1,[2]quests!$1:$1,0)-MATCH($B$1,[2]quests!$1:$1,0)+1),MATCH(C$1,[2]quests!$1:$1,0)-MATCH($B$1,[2]quests!$1:$1,0)+1,FALSE)</f>
        <v>真実の探求者</v>
      </c>
      <c r="D17" s="84" t="str">
        <f ca="1">VLOOKUP($B17,OFFSET([2]quests!$A$1,0,0,COUNTA([2]quests!$A:$A),MATCH(D$1,[2]quests!$1:$1,0)-MATCH($B$1,[2]quests!$1:$1,0)+1),MATCH(D$1,[2]quests!$1:$1,0)-MATCH($B$1,[2]quests!$1:$1,0)+1,FALSE)</f>
        <v>ドロップイベント7（マルチ専用）</v>
      </c>
      <c r="E17" s="88">
        <v>1</v>
      </c>
      <c r="F17" s="84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【中級】真実の探求者</v>
      </c>
      <c r="G17" s="84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7" s="86">
        <v>0</v>
      </c>
      <c r="I17">
        <v>20</v>
      </c>
      <c r="J17" s="85" t="s">
        <v>198</v>
      </c>
      <c r="K17" s="94" t="str">
        <f>VLOOKUP(I17,[7]stage_hints!$A:$C,3,FALSE)</f>
        <v>マルチプレイのメリット（その3）</v>
      </c>
      <c r="L17" s="95" t="str">
        <f>VLOOKUP(I17,[7]stage_hints!$A:$D,4,FALSE)</f>
        <v>マルチプレイへの参加はエナジー消費ゼロ_x000D_いつでも好きなだけ遊ぶことができます</v>
      </c>
      <c r="M17" s="57" t="s">
        <v>211</v>
      </c>
    </row>
    <row r="18" spans="1:13" x14ac:dyDescent="0.15">
      <c r="A18" s="82" t="s">
        <v>201</v>
      </c>
      <c r="B18" s="83">
        <f>floors!$C$2</f>
        <v>30025</v>
      </c>
      <c r="C18" s="84" t="str">
        <f ca="1">VLOOKUP($B18,OFFSET([2]quests!$A$1,0,0,COUNTA([2]quests!$A:$A),MATCH(C$1,[2]quests!$1:$1,0)-MATCH($B$1,[2]quests!$1:$1,0)+1),MATCH(C$1,[2]quests!$1:$1,0)-MATCH($B$1,[2]quests!$1:$1,0)+1,FALSE)</f>
        <v>真実の探求者</v>
      </c>
      <c r="D18" s="84" t="str">
        <f ca="1">VLOOKUP($B18,OFFSET([2]quests!$A$1,0,0,COUNTA([2]quests!$A:$A),MATCH(D$1,[2]quests!$1:$1,0)-MATCH($B$1,[2]quests!$1:$1,0)+1),MATCH(D$1,[2]quests!$1:$1,0)-MATCH($B$1,[2]quests!$1:$1,0)+1,FALSE)</f>
        <v>ドロップイベント7（マルチ専用）</v>
      </c>
      <c r="E18" s="88">
        <v>1</v>
      </c>
      <c r="F18" s="84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【中級】真実の探求者</v>
      </c>
      <c r="G18" s="84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8" s="86">
        <v>0</v>
      </c>
      <c r="I18">
        <v>21</v>
      </c>
      <c r="J18" s="85" t="s">
        <v>198</v>
      </c>
      <c r="K18" s="94" t="str">
        <f>VLOOKUP(I18,[7]stage_hints!$A:$C,3,FALSE)</f>
        <v>スキルを有効に</v>
      </c>
      <c r="L18" s="95" t="str">
        <f>VLOOKUP(I18,[7]stage_hints!$A:$D,4,FALSE)</f>
        <v>ターン経過でユニットのスキルが使えます_x000D_強力スキルでバトルを有利に進めましょう</v>
      </c>
      <c r="M18" s="57" t="s">
        <v>211</v>
      </c>
    </row>
    <row r="19" spans="1:13" x14ac:dyDescent="0.15">
      <c r="A19" s="82" t="s">
        <v>201</v>
      </c>
      <c r="B19" s="83">
        <f>floors!$C$2</f>
        <v>30025</v>
      </c>
      <c r="C19" s="84" t="str">
        <f ca="1">VLOOKUP($B19,OFFSET([2]quests!$A$1,0,0,COUNTA([2]quests!$A:$A),MATCH(C$1,[2]quests!$1:$1,0)-MATCH($B$1,[2]quests!$1:$1,0)+1),MATCH(C$1,[2]quests!$1:$1,0)-MATCH($B$1,[2]quests!$1:$1,0)+1,FALSE)</f>
        <v>真実の探求者</v>
      </c>
      <c r="D19" s="84" t="str">
        <f ca="1">VLOOKUP($B19,OFFSET([2]quests!$A$1,0,0,COUNTA([2]quests!$A:$A),MATCH(D$1,[2]quests!$1:$1,0)-MATCH($B$1,[2]quests!$1:$1,0)+1),MATCH(D$1,[2]quests!$1:$1,0)-MATCH($B$1,[2]quests!$1:$1,0)+1,FALSE)</f>
        <v>ドロップイベント7（マルチ専用）</v>
      </c>
      <c r="E19" s="88">
        <v>1</v>
      </c>
      <c r="F19" s="84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【中級】真実の探求者</v>
      </c>
      <c r="G19" s="84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9" s="86">
        <v>0</v>
      </c>
      <c r="I19">
        <v>22</v>
      </c>
      <c r="J19" s="85" t="s">
        <v>198</v>
      </c>
      <c r="K19" s="94" t="str">
        <f>VLOOKUP(I19,[7]stage_hints!$A:$C,3,FALSE)</f>
        <v>フィーバーで一発逆転（その1）</v>
      </c>
      <c r="L19" s="95" t="str">
        <f>VLOOKUP(I19,[7]stage_hints!$A:$D,4,FALSE)</f>
        <v>フィーバーは攻撃と回復を兼ね備えます_x000D_ピンチからの一発逆転を狙いましょう</v>
      </c>
      <c r="M19" s="57" t="s">
        <v>211</v>
      </c>
    </row>
    <row r="20" spans="1:13" x14ac:dyDescent="0.15">
      <c r="A20" s="82" t="s">
        <v>201</v>
      </c>
      <c r="B20" s="83">
        <f>floors!$C$2</f>
        <v>30025</v>
      </c>
      <c r="C20" s="84" t="str">
        <f ca="1">VLOOKUP($B20,OFFSET([2]quests!$A$1,0,0,COUNTA([2]quests!$A:$A),MATCH(C$1,[2]quests!$1:$1,0)-MATCH($B$1,[2]quests!$1:$1,0)+1),MATCH(C$1,[2]quests!$1:$1,0)-MATCH($B$1,[2]quests!$1:$1,0)+1,FALSE)</f>
        <v>真実の探求者</v>
      </c>
      <c r="D20" s="84" t="str">
        <f ca="1">VLOOKUP($B20,OFFSET([2]quests!$A$1,0,0,COUNTA([2]quests!$A:$A),MATCH(D$1,[2]quests!$1:$1,0)-MATCH($B$1,[2]quests!$1:$1,0)+1),MATCH(D$1,[2]quests!$1:$1,0)-MATCH($B$1,[2]quests!$1:$1,0)+1,FALSE)</f>
        <v>ドロップイベント7（マルチ専用）</v>
      </c>
      <c r="E20" s="88">
        <v>1</v>
      </c>
      <c r="F20" s="84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【中級】真実の探求者</v>
      </c>
      <c r="G20" s="84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0" s="86">
        <v>0</v>
      </c>
      <c r="I20">
        <v>23</v>
      </c>
      <c r="J20" s="85" t="s">
        <v>198</v>
      </c>
      <c r="K20" s="94" t="str">
        <f>VLOOKUP(I20,[7]stage_hints!$A:$C,3,FALSE)</f>
        <v>フィーバーで一発逆転（その2）</v>
      </c>
      <c r="L20" s="95" t="str">
        <f>VLOOKUP(I20,[7]stage_hints!$A:$D,4,FALSE)</f>
        <v>フィーバー中は虹色のボムパネルを狙って_x000D_画面上のパネルを一気に破壊しましょう</v>
      </c>
      <c r="M20" s="57" t="s">
        <v>211</v>
      </c>
    </row>
    <row r="21" spans="1:13" x14ac:dyDescent="0.15">
      <c r="A21" s="82" t="s">
        <v>201</v>
      </c>
      <c r="B21" s="83">
        <f>floors!$C$2</f>
        <v>30025</v>
      </c>
      <c r="C21" s="84" t="str">
        <f ca="1">VLOOKUP($B21,OFFSET([2]quests!$A$1,0,0,COUNTA([2]quests!$A:$A),MATCH(C$1,[2]quests!$1:$1,0)-MATCH($B$1,[2]quests!$1:$1,0)+1),MATCH(C$1,[2]quests!$1:$1,0)-MATCH($B$1,[2]quests!$1:$1,0)+1,FALSE)</f>
        <v>真実の探求者</v>
      </c>
      <c r="D21" s="84" t="str">
        <f ca="1">VLOOKUP($B21,OFFSET([2]quests!$A$1,0,0,COUNTA([2]quests!$A:$A),MATCH(D$1,[2]quests!$1:$1,0)-MATCH($B$1,[2]quests!$1:$1,0)+1),MATCH(D$1,[2]quests!$1:$1,0)-MATCH($B$1,[2]quests!$1:$1,0)+1,FALSE)</f>
        <v>ドロップイベント7（マルチ専用）</v>
      </c>
      <c r="E21" s="88">
        <v>1</v>
      </c>
      <c r="F21" s="84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【中級】真実の探求者</v>
      </c>
      <c r="G21" s="84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1" s="86">
        <v>0</v>
      </c>
      <c r="I21">
        <v>24</v>
      </c>
      <c r="J21" s="85" t="s">
        <v>198</v>
      </c>
      <c r="K21" s="94" t="str">
        <f>VLOOKUP(I21,[7]stage_hints!$A:$C,3,FALSE)</f>
        <v>果実を使って限界突破</v>
      </c>
      <c r="L21" s="95" t="str">
        <f>VLOOKUP(I21,[7]stage_hints!$A:$D,4,FALSE)</f>
        <v>攻めの果実 癒しの果実_x000D_生命の果実をユニット強化に使うと_x000D_ステータスが限界突破します（計99個迄）</v>
      </c>
      <c r="M21" s="57" t="s">
        <v>211</v>
      </c>
    </row>
    <row r="22" spans="1:13" x14ac:dyDescent="0.15">
      <c r="A22" s="82" t="s">
        <v>201</v>
      </c>
      <c r="B22" s="83">
        <f>floors!$C$2</f>
        <v>30025</v>
      </c>
      <c r="C22" s="84" t="str">
        <f ca="1">VLOOKUP($B22,OFFSET([2]quests!$A$1,0,0,COUNTA([2]quests!$A:$A),MATCH(C$1,[2]quests!$1:$1,0)-MATCH($B$1,[2]quests!$1:$1,0)+1),MATCH(C$1,[2]quests!$1:$1,0)-MATCH($B$1,[2]quests!$1:$1,0)+1,FALSE)</f>
        <v>真実の探求者</v>
      </c>
      <c r="D22" s="84" t="str">
        <f ca="1">VLOOKUP($B22,OFFSET([2]quests!$A$1,0,0,COUNTA([2]quests!$A:$A),MATCH(D$1,[2]quests!$1:$1,0)-MATCH($B$1,[2]quests!$1:$1,0)+1),MATCH(D$1,[2]quests!$1:$1,0)-MATCH($B$1,[2]quests!$1:$1,0)+1,FALSE)</f>
        <v>ドロップイベント7（マルチ専用）</v>
      </c>
      <c r="E22" s="88">
        <v>1</v>
      </c>
      <c r="F22" s="84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【中級】真実の探求者</v>
      </c>
      <c r="G22" s="84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2" s="86">
        <v>0</v>
      </c>
      <c r="I22">
        <v>25</v>
      </c>
      <c r="J22" s="85" t="s">
        <v>198</v>
      </c>
      <c r="K22" s="94" t="str">
        <f>VLOOKUP(I22,[7]stage_hints!$A:$C,3,FALSE)</f>
        <v>スキルレベルアップ</v>
      </c>
      <c r="L22" s="95" t="str">
        <f>VLOOKUP(I22,[7]stage_hints!$A:$D,4,FALSE)</f>
        <v>「秘術の果実」を強化に使うと_x000D_スキルレベルを上げることができます</v>
      </c>
      <c r="M22" s="57" t="s">
        <v>211</v>
      </c>
    </row>
    <row r="23" spans="1:13" x14ac:dyDescent="0.15">
      <c r="A23" s="82" t="s">
        <v>201</v>
      </c>
      <c r="B23" s="83">
        <f>floors!$C$2</f>
        <v>30025</v>
      </c>
      <c r="C23" s="84" t="str">
        <f ca="1">VLOOKUP($B23,OFFSET([2]quests!$A$1,0,0,COUNTA([2]quests!$A:$A),MATCH(C$1,[2]quests!$1:$1,0)-MATCH($B$1,[2]quests!$1:$1,0)+1),MATCH(C$1,[2]quests!$1:$1,0)-MATCH($B$1,[2]quests!$1:$1,0)+1,FALSE)</f>
        <v>真実の探求者</v>
      </c>
      <c r="D23" s="84" t="str">
        <f ca="1">VLOOKUP($B23,OFFSET([2]quests!$A$1,0,0,COUNTA([2]quests!$A:$A),MATCH(D$1,[2]quests!$1:$1,0)-MATCH($B$1,[2]quests!$1:$1,0)+1),MATCH(D$1,[2]quests!$1:$1,0)-MATCH($B$1,[2]quests!$1:$1,0)+1,FALSE)</f>
        <v>ドロップイベント7（マルチ専用）</v>
      </c>
      <c r="E23" s="88">
        <v>1</v>
      </c>
      <c r="F23" s="84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【中級】真実の探求者</v>
      </c>
      <c r="G23" s="84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3" s="86">
        <v>0</v>
      </c>
      <c r="I23">
        <v>26</v>
      </c>
      <c r="J23" s="85" t="s">
        <v>198</v>
      </c>
      <c r="K23" s="94" t="str">
        <f>VLOOKUP(I23,[7]stage_hints!$A:$C,3,FALSE)</f>
        <v>スキルレベルの効果</v>
      </c>
      <c r="L23" s="95" t="str">
        <f>VLOOKUP(I23,[7]stage_hints!$A:$D,4,FALSE)</f>
        <v>スキルレベルが上がると_x000D_短いターンでスキルを使うことができます</v>
      </c>
      <c r="M23" s="57" t="s">
        <v>211</v>
      </c>
    </row>
    <row r="24" spans="1:13" x14ac:dyDescent="0.15">
      <c r="A24" s="82" t="s">
        <v>201</v>
      </c>
      <c r="B24" s="83">
        <f>floors!$C$2</f>
        <v>30025</v>
      </c>
      <c r="C24" s="84" t="str">
        <f ca="1">VLOOKUP($B24,OFFSET([2]quests!$A$1,0,0,COUNTA([2]quests!$A:$A),MATCH(C$1,[2]quests!$1:$1,0)-MATCH($B$1,[2]quests!$1:$1,0)+1),MATCH(C$1,[2]quests!$1:$1,0)-MATCH($B$1,[2]quests!$1:$1,0)+1,FALSE)</f>
        <v>真実の探求者</v>
      </c>
      <c r="D24" s="84" t="str">
        <f ca="1">VLOOKUP($B24,OFFSET([2]quests!$A$1,0,0,COUNTA([2]quests!$A:$A),MATCH(D$1,[2]quests!$1:$1,0)-MATCH($B$1,[2]quests!$1:$1,0)+1),MATCH(D$1,[2]quests!$1:$1,0)-MATCH($B$1,[2]quests!$1:$1,0)+1,FALSE)</f>
        <v>ドロップイベント7（マルチ専用）</v>
      </c>
      <c r="E24" s="88">
        <v>1</v>
      </c>
      <c r="F24" s="84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【中級】真実の探求者</v>
      </c>
      <c r="G24" s="84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4" s="86">
        <v>0</v>
      </c>
      <c r="I24">
        <v>27</v>
      </c>
      <c r="J24" s="85" t="s">
        <v>198</v>
      </c>
      <c r="K24" s="94" t="str">
        <f>VLOOKUP(I24,[7]stage_hints!$A:$C,3,FALSE)</f>
        <v>ホーム画面からデッキを編成</v>
      </c>
      <c r="L24" s="95" t="str">
        <f>VLOOKUP(I24,[7]stage_hints!$A:$D,4,FALSE)</f>
        <v>ホーム画面でユニットを長押しすると_x000D_すぐにパーティ編成に移動できます</v>
      </c>
      <c r="M24" s="57" t="s">
        <v>211</v>
      </c>
    </row>
    <row r="25" spans="1:13" x14ac:dyDescent="0.15">
      <c r="A25" s="82" t="s">
        <v>201</v>
      </c>
      <c r="B25" s="83">
        <f>floors!$C$2</f>
        <v>30025</v>
      </c>
      <c r="C25" s="84" t="str">
        <f ca="1">VLOOKUP($B25,OFFSET([2]quests!$A$1,0,0,COUNTA([2]quests!$A:$A),MATCH(C$1,[2]quests!$1:$1,0)-MATCH($B$1,[2]quests!$1:$1,0)+1),MATCH(C$1,[2]quests!$1:$1,0)-MATCH($B$1,[2]quests!$1:$1,0)+1,FALSE)</f>
        <v>真実の探求者</v>
      </c>
      <c r="D25" s="84" t="str">
        <f ca="1">VLOOKUP($B25,OFFSET([2]quests!$A$1,0,0,COUNTA([2]quests!$A:$A),MATCH(D$1,[2]quests!$1:$1,0)-MATCH($B$1,[2]quests!$1:$1,0)+1),MATCH(D$1,[2]quests!$1:$1,0)-MATCH($B$1,[2]quests!$1:$1,0)+1,FALSE)</f>
        <v>ドロップイベント7（マルチ専用）</v>
      </c>
      <c r="E25" s="88">
        <v>1</v>
      </c>
      <c r="F25" s="84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【中級】真実の探求者</v>
      </c>
      <c r="G25" s="84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5" s="86">
        <v>0</v>
      </c>
      <c r="I25">
        <v>28</v>
      </c>
      <c r="J25" s="85" t="s">
        <v>198</v>
      </c>
      <c r="K25" s="94" t="str">
        <f>VLOOKUP(I25,[7]stage_hints!$A:$C,3,FALSE)</f>
        <v>ステータス情報は長押しで</v>
      </c>
      <c r="L25" s="95" t="str">
        <f>VLOOKUP(I25,[7]stage_hints!$A:$D,4,FALSE)</f>
        <v>ユニットのアイコンを長押しすると_x000D_ステータス情報を確認することができます</v>
      </c>
      <c r="M25" s="57" t="s">
        <v>211</v>
      </c>
    </row>
    <row r="26" spans="1:13" x14ac:dyDescent="0.15">
      <c r="A26" s="82" t="s">
        <v>201</v>
      </c>
      <c r="B26" s="83">
        <f>floors!$C$2</f>
        <v>30025</v>
      </c>
      <c r="C26" s="84" t="str">
        <f ca="1">VLOOKUP($B26,OFFSET([2]quests!$A$1,0,0,COUNTA([2]quests!$A:$A),MATCH(C$1,[2]quests!$1:$1,0)-MATCH($B$1,[2]quests!$1:$1,0)+1),MATCH(C$1,[2]quests!$1:$1,0)-MATCH($B$1,[2]quests!$1:$1,0)+1,FALSE)</f>
        <v>真実の探求者</v>
      </c>
      <c r="D26" s="84" t="str">
        <f ca="1">VLOOKUP($B26,OFFSET([2]quests!$A$1,0,0,COUNTA([2]quests!$A:$A),MATCH(D$1,[2]quests!$1:$1,0)-MATCH($B$1,[2]quests!$1:$1,0)+1),MATCH(D$1,[2]quests!$1:$1,0)-MATCH($B$1,[2]quests!$1:$1,0)+1,FALSE)</f>
        <v>ドロップイベント7（マルチ専用）</v>
      </c>
      <c r="E26" s="88">
        <v>1</v>
      </c>
      <c r="F26" s="84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【中級】真実の探求者</v>
      </c>
      <c r="G26" s="84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6" s="86">
        <v>0</v>
      </c>
      <c r="I26">
        <v>29</v>
      </c>
      <c r="J26" s="85" t="s">
        <v>198</v>
      </c>
      <c r="K26" s="94" t="str">
        <f>VLOOKUP(I26,[7]stage_hints!$A:$C,3,FALSE)</f>
        <v>「バグ」のメリット</v>
      </c>
      <c r="L26" s="95" t="str">
        <f>VLOOKUP(I26,[7]stage_hints!$A:$D,4,FALSE)</f>
        <v>ユニットの「バグ」を増やすと_x000D_報酬をもらえる確率がアップします</v>
      </c>
      <c r="M26" s="57" t="s">
        <v>211</v>
      </c>
    </row>
    <row r="27" spans="1:13" x14ac:dyDescent="0.15">
      <c r="A27" s="82" t="s">
        <v>201</v>
      </c>
      <c r="B27" s="83">
        <f>floors!$C$2</f>
        <v>30025</v>
      </c>
      <c r="C27" s="84" t="str">
        <f ca="1">VLOOKUP($B27,OFFSET([2]quests!$A$1,0,0,COUNTA([2]quests!$A:$A),MATCH(C$1,[2]quests!$1:$1,0)-MATCH($B$1,[2]quests!$1:$1,0)+1),MATCH(C$1,[2]quests!$1:$1,0)-MATCH($B$1,[2]quests!$1:$1,0)+1,FALSE)</f>
        <v>真実の探求者</v>
      </c>
      <c r="D27" s="84" t="str">
        <f ca="1">VLOOKUP($B27,OFFSET([2]quests!$A$1,0,0,COUNTA([2]quests!$A:$A),MATCH(D$1,[2]quests!$1:$1,0)-MATCH($B$1,[2]quests!$1:$1,0)+1),MATCH(D$1,[2]quests!$1:$1,0)-MATCH($B$1,[2]quests!$1:$1,0)+1,FALSE)</f>
        <v>ドロップイベント7（マルチ専用）</v>
      </c>
      <c r="E27" s="88">
        <v>1</v>
      </c>
      <c r="F27" s="84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【中級】真実の探求者</v>
      </c>
      <c r="G27" s="84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7" s="86">
        <v>0</v>
      </c>
      <c r="I27">
        <v>30</v>
      </c>
      <c r="J27" s="85" t="s">
        <v>198</v>
      </c>
      <c r="K27" s="94" t="str">
        <f>VLOOKUP(I27,[7]stage_hints!$A:$C,3,FALSE)</f>
        <v>「バグ」の増やし方</v>
      </c>
      <c r="L27" s="95" t="str">
        <f>VLOOKUP(I27,[7]stage_hints!$A:$D,4,FALSE)</f>
        <v>同じユニット同士を強化で合成すると_x000D_「バグ」を増やすことができます</v>
      </c>
      <c r="M27" s="57" t="s">
        <v>211</v>
      </c>
    </row>
    <row r="28" spans="1:13" x14ac:dyDescent="0.15">
      <c r="A28" s="82" t="s">
        <v>201</v>
      </c>
      <c r="B28" s="83">
        <f>floors!$C$2</f>
        <v>30025</v>
      </c>
      <c r="C28" s="84" t="str">
        <f ca="1">VLOOKUP($B28,OFFSET([2]quests!$A$1,0,0,COUNTA([2]quests!$A:$A),MATCH(C$1,[2]quests!$1:$1,0)-MATCH($B$1,[2]quests!$1:$1,0)+1),MATCH(C$1,[2]quests!$1:$1,0)-MATCH($B$1,[2]quests!$1:$1,0)+1,FALSE)</f>
        <v>真実の探求者</v>
      </c>
      <c r="D28" s="84" t="str">
        <f ca="1">VLOOKUP($B28,OFFSET([2]quests!$A$1,0,0,COUNTA([2]quests!$A:$A),MATCH(D$1,[2]quests!$1:$1,0)-MATCH($B$1,[2]quests!$1:$1,0)+1),MATCH(D$1,[2]quests!$1:$1,0)-MATCH($B$1,[2]quests!$1:$1,0)+1,FALSE)</f>
        <v>ドロップイベント7（マルチ専用）</v>
      </c>
      <c r="E28" s="88">
        <v>1</v>
      </c>
      <c r="F28" s="84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【中級】真実の探求者</v>
      </c>
      <c r="G28" s="84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8" s="86">
        <v>0</v>
      </c>
      <c r="I28">
        <v>31</v>
      </c>
      <c r="J28" s="85" t="s">
        <v>198</v>
      </c>
      <c r="K28" s="94" t="str">
        <f>VLOOKUP(I28,[7]stage_hints!$A:$C,3,FALSE)</f>
        <v>イベントはお知らせでチェック</v>
      </c>
      <c r="L28" s="95" t="str">
        <f>VLOOKUP(I28,[7]stage_hints!$A:$D,4,FALSE)</f>
        <v>イベント限定ユニットを取り忘れないように_x000D_お知らせをこまめにチェックしましょう</v>
      </c>
      <c r="M28" s="57" t="s">
        <v>211</v>
      </c>
    </row>
    <row r="29" spans="1:13" x14ac:dyDescent="0.15">
      <c r="A29" s="82" t="s">
        <v>201</v>
      </c>
      <c r="B29" s="83">
        <f>floors!$C$2</f>
        <v>30025</v>
      </c>
      <c r="C29" s="84" t="str">
        <f ca="1">VLOOKUP($B29,OFFSET([2]quests!$A$1,0,0,COUNTA([2]quests!$A:$A),MATCH(C$1,[2]quests!$1:$1,0)-MATCH($B$1,[2]quests!$1:$1,0)+1),MATCH(C$1,[2]quests!$1:$1,0)-MATCH($B$1,[2]quests!$1:$1,0)+1,FALSE)</f>
        <v>真実の探求者</v>
      </c>
      <c r="D29" s="84" t="str">
        <f ca="1">VLOOKUP($B29,OFFSET([2]quests!$A$1,0,0,COUNTA([2]quests!$A:$A),MATCH(D$1,[2]quests!$1:$1,0)-MATCH($B$1,[2]quests!$1:$1,0)+1),MATCH(D$1,[2]quests!$1:$1,0)-MATCH($B$1,[2]quests!$1:$1,0)+1,FALSE)</f>
        <v>ドロップイベント7（マルチ専用）</v>
      </c>
      <c r="E29" s="88">
        <v>1</v>
      </c>
      <c r="F29" s="84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【中級】真実の探求者</v>
      </c>
      <c r="G29" s="84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9" s="86">
        <v>0</v>
      </c>
      <c r="I29">
        <v>32</v>
      </c>
      <c r="J29" s="85" t="s">
        <v>198</v>
      </c>
      <c r="K29" s="94" t="str">
        <f>VLOOKUP(I29,[7]stage_hints!$A:$C,3,FALSE)</f>
        <v>敵の連続攻撃には</v>
      </c>
      <c r="L29" s="95" t="str">
        <f>VLOOKUP(I29,[7]stage_hints!$A:$D,4,FALSE)</f>
        <v>カウンタースキルを持つユニットがいれば_x000D_ダメージ回数分の反撃ができます</v>
      </c>
      <c r="M29" s="57" t="s">
        <v>211</v>
      </c>
    </row>
    <row r="30" spans="1:13" x14ac:dyDescent="0.15">
      <c r="A30" s="82" t="s">
        <v>201</v>
      </c>
      <c r="B30" s="83">
        <f>floors!$C$2</f>
        <v>30025</v>
      </c>
      <c r="C30" s="84" t="str">
        <f ca="1">VLOOKUP($B30,OFFSET([2]quests!$A$1,0,0,COUNTA([2]quests!$A:$A),MATCH(C$1,[2]quests!$1:$1,0)-MATCH($B$1,[2]quests!$1:$1,0)+1),MATCH(C$1,[2]quests!$1:$1,0)-MATCH($B$1,[2]quests!$1:$1,0)+1,FALSE)</f>
        <v>真実の探求者</v>
      </c>
      <c r="D30" s="84" t="str">
        <f ca="1">VLOOKUP($B30,OFFSET([2]quests!$A$1,0,0,COUNTA([2]quests!$A:$A),MATCH(D$1,[2]quests!$1:$1,0)-MATCH($B$1,[2]quests!$1:$1,0)+1),MATCH(D$1,[2]quests!$1:$1,0)-MATCH($B$1,[2]quests!$1:$1,0)+1,FALSE)</f>
        <v>ドロップイベント7（マルチ専用）</v>
      </c>
      <c r="E30" s="88">
        <v>1</v>
      </c>
      <c r="F30" s="84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【中級】真実の探求者</v>
      </c>
      <c r="G30" s="84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0" s="86">
        <v>0</v>
      </c>
      <c r="I30">
        <v>33</v>
      </c>
      <c r="J30" s="85" t="s">
        <v>198</v>
      </c>
      <c r="K30" s="94" t="str">
        <f>VLOOKUP(I30,[7]stage_hints!$A:$C,3,FALSE)</f>
        <v>敵のカウンター攻撃には</v>
      </c>
      <c r="L30" s="95" t="str">
        <f>VLOOKUP(I30,[7]stage_hints!$A:$D,4,FALSE)</f>
        <v>カウンターブレイクスキルを持っていれば_x000D_敵のカウンターを解除して攻撃ができます</v>
      </c>
      <c r="M30" s="57" t="s">
        <v>211</v>
      </c>
    </row>
    <row r="31" spans="1:13" x14ac:dyDescent="0.15">
      <c r="A31" s="82" t="s">
        <v>201</v>
      </c>
      <c r="B31" s="83">
        <f>floors!$C$2</f>
        <v>30025</v>
      </c>
      <c r="C31" s="84" t="str">
        <f ca="1">VLOOKUP($B31,OFFSET([2]quests!$A$1,0,0,COUNTA([2]quests!$A:$A),MATCH(C$1,[2]quests!$1:$1,0)-MATCH($B$1,[2]quests!$1:$1,0)+1),MATCH(C$1,[2]quests!$1:$1,0)-MATCH($B$1,[2]quests!$1:$1,0)+1,FALSE)</f>
        <v>真実の探求者</v>
      </c>
      <c r="D31" s="84" t="str">
        <f ca="1">VLOOKUP($B31,OFFSET([2]quests!$A$1,0,0,COUNTA([2]quests!$A:$A),MATCH(D$1,[2]quests!$1:$1,0)-MATCH($B$1,[2]quests!$1:$1,0)+1),MATCH(D$1,[2]quests!$1:$1,0)-MATCH($B$1,[2]quests!$1:$1,0)+1,FALSE)</f>
        <v>ドロップイベント7（マルチ専用）</v>
      </c>
      <c r="E31" s="88">
        <v>1</v>
      </c>
      <c r="F31" s="84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【中級】真実の探求者</v>
      </c>
      <c r="G31" s="84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1" s="86">
        <v>0</v>
      </c>
      <c r="I31">
        <v>34</v>
      </c>
      <c r="J31" s="85" t="s">
        <v>198</v>
      </c>
      <c r="K31" s="94" t="str">
        <f>VLOOKUP(I31,[7]stage_hints!$A:$C,3,FALSE)</f>
        <v>ステータスをスキルで下げられたら</v>
      </c>
      <c r="L31" s="95" t="str">
        <f>VLOOKUP(I31,[7]stage_hints!$A:$D,4,FALSE)</f>
        <v>ステータスダウンのスキルを受けたら_x000D_ステータスアップスキルで上書きしましょう</v>
      </c>
      <c r="M31" s="57" t="s">
        <v>211</v>
      </c>
    </row>
    <row r="32" spans="1:13" x14ac:dyDescent="0.15">
      <c r="A32" s="82" t="s">
        <v>201</v>
      </c>
      <c r="B32" s="83">
        <f>floors!$C$2</f>
        <v>30025</v>
      </c>
      <c r="C32" s="84" t="str">
        <f ca="1">VLOOKUP($B32,OFFSET([2]quests!$A$1,0,0,COUNTA([2]quests!$A:$A),MATCH(C$1,[2]quests!$1:$1,0)-MATCH($B$1,[2]quests!$1:$1,0)+1),MATCH(C$1,[2]quests!$1:$1,0)-MATCH($B$1,[2]quests!$1:$1,0)+1,FALSE)</f>
        <v>真実の探求者</v>
      </c>
      <c r="D32" s="84" t="str">
        <f ca="1">VLOOKUP($B32,OFFSET([2]quests!$A$1,0,0,COUNTA([2]quests!$A:$A),MATCH(D$1,[2]quests!$1:$1,0)-MATCH($B$1,[2]quests!$1:$1,0)+1),MATCH(D$1,[2]quests!$1:$1,0)-MATCH($B$1,[2]quests!$1:$1,0)+1,FALSE)</f>
        <v>ドロップイベント7（マルチ専用）</v>
      </c>
      <c r="E32" s="88">
        <v>1</v>
      </c>
      <c r="F32" s="84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【中級】真実の探求者</v>
      </c>
      <c r="G32" s="84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2" s="86">
        <v>0</v>
      </c>
      <c r="I32">
        <v>35</v>
      </c>
      <c r="J32" s="85" t="s">
        <v>198</v>
      </c>
      <c r="K32" s="94" t="str">
        <f>VLOOKUP(I32,[7]stage_hints!$A:$C,3,FALSE)</f>
        <v>敵のステータスがスキルで上がったら</v>
      </c>
      <c r="L32" s="95" t="str">
        <f>VLOOKUP(I32,[7]stage_hints!$A:$D,4,FALSE)</f>
        <v>敵のステータスがスキルでアップしたときは_x000D_ステータスダウンスキルで上書きしましょう</v>
      </c>
      <c r="M32" s="57" t="s">
        <v>211</v>
      </c>
    </row>
    <row r="33" spans="1:13" x14ac:dyDescent="0.15">
      <c r="A33" s="82" t="s">
        <v>201</v>
      </c>
      <c r="B33" s="83">
        <f>floors!$C$2</f>
        <v>30025</v>
      </c>
      <c r="C33" s="84" t="str">
        <f ca="1">VLOOKUP($B33,OFFSET([2]quests!$A$1,0,0,COUNTA([2]quests!$A:$A),MATCH(C$1,[2]quests!$1:$1,0)-MATCH($B$1,[2]quests!$1:$1,0)+1),MATCH(C$1,[2]quests!$1:$1,0)-MATCH($B$1,[2]quests!$1:$1,0)+1,FALSE)</f>
        <v>真実の探求者</v>
      </c>
      <c r="D33" s="84" t="str">
        <f ca="1">VLOOKUP($B33,OFFSET([2]quests!$A$1,0,0,COUNTA([2]quests!$A:$A),MATCH(D$1,[2]quests!$1:$1,0)-MATCH($B$1,[2]quests!$1:$1,0)+1),MATCH(D$1,[2]quests!$1:$1,0)-MATCH($B$1,[2]quests!$1:$1,0)+1,FALSE)</f>
        <v>ドロップイベント7（マルチ専用）</v>
      </c>
      <c r="E33" s="88">
        <v>1</v>
      </c>
      <c r="F33" s="84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【中級】真実の探求者</v>
      </c>
      <c r="G33" s="84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3" s="86">
        <v>0</v>
      </c>
      <c r="I33">
        <v>39</v>
      </c>
      <c r="J33" s="85" t="s">
        <v>198</v>
      </c>
      <c r="K33" s="94" t="str">
        <f>VLOOKUP(I33,[7]stage_hints!$A:$C,3,FALSE)</f>
        <v>システム適合者を確認</v>
      </c>
      <c r="L33" s="95" t="str">
        <f>VLOOKUP(I33,[7]stage_hints!$A:$D,4,FALSE)</f>
        <v>ALICEが 「アナタ」を呼んでいます</v>
      </c>
      <c r="M33" s="57" t="s">
        <v>211</v>
      </c>
    </row>
    <row r="34" spans="1:13" x14ac:dyDescent="0.15">
      <c r="A34" s="82" t="s">
        <v>201</v>
      </c>
      <c r="B34" s="83">
        <f>floors!$C$2</f>
        <v>30025</v>
      </c>
      <c r="C34" s="84" t="str">
        <f ca="1">VLOOKUP($B34,OFFSET([2]quests!$A$1,0,0,COUNTA([2]quests!$A:$A),MATCH(C$1,[2]quests!$1:$1,0)-MATCH($B$1,[2]quests!$1:$1,0)+1),MATCH(C$1,[2]quests!$1:$1,0)-MATCH($B$1,[2]quests!$1:$1,0)+1,FALSE)</f>
        <v>真実の探求者</v>
      </c>
      <c r="D34" s="84" t="str">
        <f ca="1">VLOOKUP($B34,OFFSET([2]quests!$A$1,0,0,COUNTA([2]quests!$A:$A),MATCH(D$1,[2]quests!$1:$1,0)-MATCH($B$1,[2]quests!$1:$1,0)+1),MATCH(D$1,[2]quests!$1:$1,0)-MATCH($B$1,[2]quests!$1:$1,0)+1,FALSE)</f>
        <v>ドロップイベント7（マルチ専用）</v>
      </c>
      <c r="E34" s="88">
        <v>2</v>
      </c>
      <c r="F34" s="84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【上級】真実の探求者</v>
      </c>
      <c r="G34" s="84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4" s="86">
        <v>0</v>
      </c>
      <c r="I34" s="98">
        <v>3</v>
      </c>
      <c r="J34" s="85" t="s">
        <v>198</v>
      </c>
      <c r="K34" s="94" t="str">
        <f>VLOOKUP(I34,[7]stage_hints!$A:$C,3,FALSE)</f>
        <v>ターゲット</v>
      </c>
      <c r="L34" s="95" t="str">
        <f>VLOOKUP(I34,[7]stage_hints!$A:$D,4,FALSE)</f>
        <v>敵ユニットをタップすると_x000D_その敵を狙い撃ちできます</v>
      </c>
      <c r="M34" s="57" t="s">
        <v>211</v>
      </c>
    </row>
    <row r="35" spans="1:13" x14ac:dyDescent="0.15">
      <c r="A35" s="82" t="s">
        <v>201</v>
      </c>
      <c r="B35" s="83">
        <f>floors!$C$2</f>
        <v>30025</v>
      </c>
      <c r="C35" s="84" t="str">
        <f ca="1">VLOOKUP($B35,OFFSET([2]quests!$A$1,0,0,COUNTA([2]quests!$A:$A),MATCH(C$1,[2]quests!$1:$1,0)-MATCH($B$1,[2]quests!$1:$1,0)+1),MATCH(C$1,[2]quests!$1:$1,0)-MATCH($B$1,[2]quests!$1:$1,0)+1,FALSE)</f>
        <v>真実の探求者</v>
      </c>
      <c r="D35" s="84" t="str">
        <f ca="1">VLOOKUP($B35,OFFSET([2]quests!$A$1,0,0,COUNTA([2]quests!$A:$A),MATCH(D$1,[2]quests!$1:$1,0)-MATCH($B$1,[2]quests!$1:$1,0)+1),MATCH(D$1,[2]quests!$1:$1,0)-MATCH($B$1,[2]quests!$1:$1,0)+1,FALSE)</f>
        <v>ドロップイベント7（マルチ専用）</v>
      </c>
      <c r="E35" s="88">
        <v>2</v>
      </c>
      <c r="F35" s="84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【上級】真実の探求者</v>
      </c>
      <c r="G35" s="84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5" s="86">
        <v>0</v>
      </c>
      <c r="I35" s="98">
        <v>6</v>
      </c>
      <c r="J35" s="85" t="s">
        <v>198</v>
      </c>
      <c r="K35" s="94" t="str">
        <f>VLOOKUP(I35,[7]stage_hints!$A:$C,3,FALSE)</f>
        <v>ユニット強化の属性ボーナス</v>
      </c>
      <c r="L35" s="95" t="str">
        <f>VLOOKUP(I35,[7]stage_hints!$A:$D,4,FALSE)</f>
        <v>同属性ユニットを強化素材にすると_x000D_経験値が多くもらえます</v>
      </c>
      <c r="M35" s="57" t="s">
        <v>211</v>
      </c>
    </row>
    <row r="36" spans="1:13" x14ac:dyDescent="0.15">
      <c r="A36" s="82" t="s">
        <v>201</v>
      </c>
      <c r="B36" s="83">
        <f>floors!$C$2</f>
        <v>30025</v>
      </c>
      <c r="C36" s="84" t="str">
        <f ca="1">VLOOKUP($B36,OFFSET([2]quests!$A$1,0,0,COUNTA([2]quests!$A:$A),MATCH(C$1,[2]quests!$1:$1,0)-MATCH($B$1,[2]quests!$1:$1,0)+1),MATCH(C$1,[2]quests!$1:$1,0)-MATCH($B$1,[2]quests!$1:$1,0)+1,FALSE)</f>
        <v>真実の探求者</v>
      </c>
      <c r="D36" s="84" t="str">
        <f ca="1">VLOOKUP($B36,OFFSET([2]quests!$A$1,0,0,COUNTA([2]quests!$A:$A),MATCH(D$1,[2]quests!$1:$1,0)-MATCH($B$1,[2]quests!$1:$1,0)+1),MATCH(D$1,[2]quests!$1:$1,0)-MATCH($B$1,[2]quests!$1:$1,0)+1,FALSE)</f>
        <v>ドロップイベント7（マルチ専用）</v>
      </c>
      <c r="E36" s="88">
        <v>2</v>
      </c>
      <c r="F36" s="84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【上級】真実の探求者</v>
      </c>
      <c r="G36" s="84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6" s="86">
        <v>0</v>
      </c>
      <c r="I36" s="98">
        <v>7</v>
      </c>
      <c r="J36" s="85" t="s">
        <v>198</v>
      </c>
      <c r="K36" s="94" t="str">
        <f>VLOOKUP(I36,[7]stage_hints!$A:$C,3,FALSE)</f>
        <v>メタルダックで経験値を獲得</v>
      </c>
      <c r="L36" s="95" t="str">
        <f>VLOOKUP(I36,[7]stage_hints!$A:$D,4,FALSE)</f>
        <v>「メタルなアヒル」を強化素材にすると_x000D_大量の経験値がもらえます</v>
      </c>
      <c r="M36" s="57" t="s">
        <v>211</v>
      </c>
    </row>
    <row r="37" spans="1:13" x14ac:dyDescent="0.15">
      <c r="A37" s="82" t="s">
        <v>201</v>
      </c>
      <c r="B37" s="83">
        <f>floors!$C$2</f>
        <v>30025</v>
      </c>
      <c r="C37" s="84" t="str">
        <f ca="1">VLOOKUP($B37,OFFSET([2]quests!$A$1,0,0,COUNTA([2]quests!$A:$A),MATCH(C$1,[2]quests!$1:$1,0)-MATCH($B$1,[2]quests!$1:$1,0)+1),MATCH(C$1,[2]quests!$1:$1,0)-MATCH($B$1,[2]quests!$1:$1,0)+1,FALSE)</f>
        <v>真実の探求者</v>
      </c>
      <c r="D37" s="84" t="str">
        <f ca="1">VLOOKUP($B37,OFFSET([2]quests!$A$1,0,0,COUNTA([2]quests!$A:$A),MATCH(D$1,[2]quests!$1:$1,0)-MATCH($B$1,[2]quests!$1:$1,0)+1),MATCH(D$1,[2]quests!$1:$1,0)-MATCH($B$1,[2]quests!$1:$1,0)+1,FALSE)</f>
        <v>ドロップイベント7（マルチ専用）</v>
      </c>
      <c r="E37" s="88">
        <v>2</v>
      </c>
      <c r="F37" s="84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【上級】真実の探求者</v>
      </c>
      <c r="G37" s="84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7" s="86">
        <v>0</v>
      </c>
      <c r="I37" s="98">
        <v>8</v>
      </c>
      <c r="J37" s="85" t="s">
        <v>198</v>
      </c>
      <c r="K37" s="94" t="str">
        <f>VLOOKUP(I37,[7]stage_hints!$A:$C,3,FALSE)</f>
        <v>ゲリラクエストは要チェック</v>
      </c>
      <c r="L37" s="95" t="str">
        <f>VLOOKUP(I37,[7]stage_hints!$A:$D,4,FALSE)</f>
        <v>時間限定の「アヒル捕獲作戦」では_x000D_経験値素材ユニットが多く手に入ります</v>
      </c>
      <c r="M37" s="57" t="s">
        <v>211</v>
      </c>
    </row>
    <row r="38" spans="1:13" x14ac:dyDescent="0.15">
      <c r="A38" s="82" t="s">
        <v>201</v>
      </c>
      <c r="B38" s="83">
        <f>floors!$C$2</f>
        <v>30025</v>
      </c>
      <c r="C38" s="84" t="str">
        <f ca="1">VLOOKUP($B38,OFFSET([2]quests!$A$1,0,0,COUNTA([2]quests!$A:$A),MATCH(C$1,[2]quests!$1:$1,0)-MATCH($B$1,[2]quests!$1:$1,0)+1),MATCH(C$1,[2]quests!$1:$1,0)-MATCH($B$1,[2]quests!$1:$1,0)+1,FALSE)</f>
        <v>真実の探求者</v>
      </c>
      <c r="D38" s="84" t="str">
        <f ca="1">VLOOKUP($B38,OFFSET([2]quests!$A$1,0,0,COUNTA([2]quests!$A:$A),MATCH(D$1,[2]quests!$1:$1,0)-MATCH($B$1,[2]quests!$1:$1,0)+1),MATCH(D$1,[2]quests!$1:$1,0)-MATCH($B$1,[2]quests!$1:$1,0)+1,FALSE)</f>
        <v>ドロップイベント7（マルチ専用）</v>
      </c>
      <c r="E38" s="88">
        <v>2</v>
      </c>
      <c r="F38" s="84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【上級】真実の探求者</v>
      </c>
      <c r="G38" s="84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8" s="86">
        <v>0</v>
      </c>
      <c r="I38" s="98">
        <v>9</v>
      </c>
      <c r="J38" s="85" t="s">
        <v>198</v>
      </c>
      <c r="K38" s="94" t="str">
        <f>VLOOKUP(I38,[7]stage_hints!$A:$C,3,FALSE)</f>
        <v>ゴールドダックでビットを獲得</v>
      </c>
      <c r="L38" s="95" t="str">
        <f>VLOOKUP(I38,[7]stage_hints!$A:$D,4,FALSE)</f>
        <v>「ゴールドなアヒル」を売却すると_x000D_大量のビットがもらえます</v>
      </c>
      <c r="M38" s="57" t="s">
        <v>211</v>
      </c>
    </row>
    <row r="39" spans="1:13" x14ac:dyDescent="0.15">
      <c r="A39" s="82" t="s">
        <v>201</v>
      </c>
      <c r="B39" s="83">
        <f>floors!$C$2</f>
        <v>30025</v>
      </c>
      <c r="C39" s="84" t="str">
        <f ca="1">VLOOKUP($B39,OFFSET([2]quests!$A$1,0,0,COUNTA([2]quests!$A:$A),MATCH(C$1,[2]quests!$1:$1,0)-MATCH($B$1,[2]quests!$1:$1,0)+1),MATCH(C$1,[2]quests!$1:$1,0)-MATCH($B$1,[2]quests!$1:$1,0)+1,FALSE)</f>
        <v>真実の探求者</v>
      </c>
      <c r="D39" s="84" t="str">
        <f ca="1">VLOOKUP($B39,OFFSET([2]quests!$A$1,0,0,COUNTA([2]quests!$A:$A),MATCH(D$1,[2]quests!$1:$1,0)-MATCH($B$1,[2]quests!$1:$1,0)+1),MATCH(D$1,[2]quests!$1:$1,0)-MATCH($B$1,[2]quests!$1:$1,0)+1,FALSE)</f>
        <v>ドロップイベント7（マルチ専用）</v>
      </c>
      <c r="E39" s="88">
        <v>2</v>
      </c>
      <c r="F39" s="84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【上級】真実の探求者</v>
      </c>
      <c r="G39" s="84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9" s="86">
        <v>0</v>
      </c>
      <c r="I39" s="98">
        <v>10</v>
      </c>
      <c r="J39" s="85" t="s">
        <v>198</v>
      </c>
      <c r="K39" s="94" t="str">
        <f>VLOOKUP(I39,[7]stage_hints!$A:$C,3,FALSE)</f>
        <v>土日に大量のビットを獲得</v>
      </c>
      <c r="L39" s="95" t="str">
        <f>VLOOKUP(I39,[7]stage_hints!$A:$D,4,FALSE)</f>
        <v>土日限定の「ゴールドカジノ」では_x000D_売却素材ユニットが多く手に入ります</v>
      </c>
      <c r="M39" s="57" t="s">
        <v>211</v>
      </c>
    </row>
    <row r="40" spans="1:13" x14ac:dyDescent="0.15">
      <c r="A40" s="82" t="s">
        <v>201</v>
      </c>
      <c r="B40" s="83">
        <f>floors!$C$2</f>
        <v>30025</v>
      </c>
      <c r="C40" s="84" t="str">
        <f ca="1">VLOOKUP($B40,OFFSET([2]quests!$A$1,0,0,COUNTA([2]quests!$A:$A),MATCH(C$1,[2]quests!$1:$1,0)-MATCH($B$1,[2]quests!$1:$1,0)+1),MATCH(C$1,[2]quests!$1:$1,0)-MATCH($B$1,[2]quests!$1:$1,0)+1,FALSE)</f>
        <v>真実の探求者</v>
      </c>
      <c r="D40" s="84" t="str">
        <f ca="1">VLOOKUP($B40,OFFSET([2]quests!$A$1,0,0,COUNTA([2]quests!$A:$A),MATCH(D$1,[2]quests!$1:$1,0)-MATCH($B$1,[2]quests!$1:$1,0)+1),MATCH(D$1,[2]quests!$1:$1,0)-MATCH($B$1,[2]quests!$1:$1,0)+1,FALSE)</f>
        <v>ドロップイベント7（マルチ専用）</v>
      </c>
      <c r="E40" s="88">
        <v>2</v>
      </c>
      <c r="F40" s="84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【上級】真実の探求者</v>
      </c>
      <c r="G40" s="84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0" s="86">
        <v>0</v>
      </c>
      <c r="I40" s="98">
        <v>11</v>
      </c>
      <c r="J40" s="85" t="s">
        <v>198</v>
      </c>
      <c r="K40" s="94" t="str">
        <f>VLOOKUP(I40,[7]stage_hints!$A:$C,3,FALSE)</f>
        <v>ランク解放クエスト</v>
      </c>
      <c r="L40" s="95" t="str">
        <f>VLOOKUP(I40,[7]stage_hints!$A:$D,4,FALSE)</f>
        <v>一定ランクに到達すると_x000D_報酬付きのランク開放クエストが現れます</v>
      </c>
      <c r="M40" s="57" t="s">
        <v>211</v>
      </c>
    </row>
    <row r="41" spans="1:13" x14ac:dyDescent="0.15">
      <c r="A41" s="82" t="s">
        <v>201</v>
      </c>
      <c r="B41" s="83">
        <f>floors!$C$2</f>
        <v>30025</v>
      </c>
      <c r="C41" s="84" t="str">
        <f ca="1">VLOOKUP($B41,OFFSET([2]quests!$A$1,0,0,COUNTA([2]quests!$A:$A),MATCH(C$1,[2]quests!$1:$1,0)-MATCH($B$1,[2]quests!$1:$1,0)+1),MATCH(C$1,[2]quests!$1:$1,0)-MATCH($B$1,[2]quests!$1:$1,0)+1,FALSE)</f>
        <v>真実の探求者</v>
      </c>
      <c r="D41" s="84" t="str">
        <f ca="1">VLOOKUP($B41,OFFSET([2]quests!$A$1,0,0,COUNTA([2]quests!$A:$A),MATCH(D$1,[2]quests!$1:$1,0)-MATCH($B$1,[2]quests!$1:$1,0)+1),MATCH(D$1,[2]quests!$1:$1,0)-MATCH($B$1,[2]quests!$1:$1,0)+1,FALSE)</f>
        <v>ドロップイベント7（マルチ専用）</v>
      </c>
      <c r="E41" s="88">
        <v>2</v>
      </c>
      <c r="F41" s="84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【上級】真実の探求者</v>
      </c>
      <c r="G41" s="84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1" s="86">
        <v>0</v>
      </c>
      <c r="I41" s="98">
        <v>12</v>
      </c>
      <c r="J41" s="85" t="s">
        <v>198</v>
      </c>
      <c r="K41" s="94" t="str">
        <f>VLOOKUP(I41,[7]stage_hints!$A:$C,3,FALSE)</f>
        <v>ユニットのお気に入り登録</v>
      </c>
      <c r="L41" s="95" t="str">
        <f>VLOOKUP(I41,[7]stage_hints!$A:$D,4,FALSE)</f>
        <v>大事なユニットを誤って消さないように_x000D_フォルダから「お気に入り登録」しましょう</v>
      </c>
      <c r="M41" s="57" t="s">
        <v>211</v>
      </c>
    </row>
    <row r="42" spans="1:13" x14ac:dyDescent="0.15">
      <c r="A42" s="82" t="s">
        <v>201</v>
      </c>
      <c r="B42" s="83">
        <f>floors!$C$2</f>
        <v>30025</v>
      </c>
      <c r="C42" s="84" t="str">
        <f ca="1">VLOOKUP($B42,OFFSET([2]quests!$A$1,0,0,COUNTA([2]quests!$A:$A),MATCH(C$1,[2]quests!$1:$1,0)-MATCH($B$1,[2]quests!$1:$1,0)+1),MATCH(C$1,[2]quests!$1:$1,0)-MATCH($B$1,[2]quests!$1:$1,0)+1,FALSE)</f>
        <v>真実の探求者</v>
      </c>
      <c r="D42" s="84" t="str">
        <f ca="1">VLOOKUP($B42,OFFSET([2]quests!$A$1,0,0,COUNTA([2]quests!$A:$A),MATCH(D$1,[2]quests!$1:$1,0)-MATCH($B$1,[2]quests!$1:$1,0)+1),MATCH(D$1,[2]quests!$1:$1,0)-MATCH($B$1,[2]quests!$1:$1,0)+1,FALSE)</f>
        <v>ドロップイベント7（マルチ専用）</v>
      </c>
      <c r="E42" s="88">
        <v>2</v>
      </c>
      <c r="F42" s="84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【上級】真実の探求者</v>
      </c>
      <c r="G42" s="84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2" s="86">
        <v>0</v>
      </c>
      <c r="I42" s="98">
        <v>13</v>
      </c>
      <c r="J42" s="85" t="s">
        <v>198</v>
      </c>
      <c r="K42" s="94" t="str">
        <f>VLOOKUP(I42,[7]stage_hints!$A:$C,3,FALSE)</f>
        <v>ユニットの覚醒</v>
      </c>
      <c r="L42" s="95" t="str">
        <f>VLOOKUP(I42,[7]stage_hints!$A:$D,4,FALSE)</f>
        <v>ユニットを覚醒させると_x000D_比べものにならない強さが手に入ります</v>
      </c>
      <c r="M42" s="57" t="s">
        <v>211</v>
      </c>
    </row>
    <row r="43" spans="1:13" x14ac:dyDescent="0.15">
      <c r="A43" s="82" t="s">
        <v>201</v>
      </c>
      <c r="B43" s="83">
        <f>floors!$C$2</f>
        <v>30025</v>
      </c>
      <c r="C43" s="84" t="str">
        <f ca="1">VLOOKUP($B43,OFFSET([2]quests!$A$1,0,0,COUNTA([2]quests!$A:$A),MATCH(C$1,[2]quests!$1:$1,0)-MATCH($B$1,[2]quests!$1:$1,0)+1),MATCH(C$1,[2]quests!$1:$1,0)-MATCH($B$1,[2]quests!$1:$1,0)+1,FALSE)</f>
        <v>真実の探求者</v>
      </c>
      <c r="D43" s="84" t="str">
        <f ca="1">VLOOKUP($B43,OFFSET([2]quests!$A$1,0,0,COUNTA([2]quests!$A:$A),MATCH(D$1,[2]quests!$1:$1,0)-MATCH($B$1,[2]quests!$1:$1,0)+1),MATCH(D$1,[2]quests!$1:$1,0)-MATCH($B$1,[2]quests!$1:$1,0)+1,FALSE)</f>
        <v>ドロップイベント7（マルチ専用）</v>
      </c>
      <c r="E43" s="88">
        <v>2</v>
      </c>
      <c r="F43" s="84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【上級】真実の探求者</v>
      </c>
      <c r="G43" s="84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3" s="86">
        <v>0</v>
      </c>
      <c r="I43" s="98">
        <v>14</v>
      </c>
      <c r="J43" s="85" t="s">
        <v>198</v>
      </c>
      <c r="K43" s="94" t="str">
        <f>VLOOKUP(I43,[7]stage_hints!$A:$C,3,FALSE)</f>
        <v>覚醒するにはレベルを最大に</v>
      </c>
      <c r="L43" s="95" t="str">
        <f>VLOOKUP(I43,[7]stage_hints!$A:$D,4,FALSE)</f>
        <v>覚醒するにはユニットのレベルを_x000D_最大まで上げる必要があります</v>
      </c>
      <c r="M43" s="57" t="s">
        <v>211</v>
      </c>
    </row>
    <row r="44" spans="1:13" x14ac:dyDescent="0.15">
      <c r="A44" s="82" t="s">
        <v>201</v>
      </c>
      <c r="B44" s="83">
        <f>floors!$C$2</f>
        <v>30025</v>
      </c>
      <c r="C44" s="84" t="str">
        <f ca="1">VLOOKUP($B44,OFFSET([2]quests!$A$1,0,0,COUNTA([2]quests!$A:$A),MATCH(C$1,[2]quests!$1:$1,0)-MATCH($B$1,[2]quests!$1:$1,0)+1),MATCH(C$1,[2]quests!$1:$1,0)-MATCH($B$1,[2]quests!$1:$1,0)+1,FALSE)</f>
        <v>真実の探求者</v>
      </c>
      <c r="D44" s="84" t="str">
        <f ca="1">VLOOKUP($B44,OFFSET([2]quests!$A$1,0,0,COUNTA([2]quests!$A:$A),MATCH(D$1,[2]quests!$1:$1,0)-MATCH($B$1,[2]quests!$1:$1,0)+1),MATCH(D$1,[2]quests!$1:$1,0)-MATCH($B$1,[2]quests!$1:$1,0)+1,FALSE)</f>
        <v>ドロップイベント7（マルチ専用）</v>
      </c>
      <c r="E44" s="88">
        <v>2</v>
      </c>
      <c r="F44" s="84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【上級】真実の探求者</v>
      </c>
      <c r="G44" s="84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4" s="86">
        <v>0</v>
      </c>
      <c r="I44" s="98">
        <v>15</v>
      </c>
      <c r="J44" s="85" t="s">
        <v>198</v>
      </c>
      <c r="K44" s="94" t="str">
        <f>VLOOKUP(I44,[7]stage_hints!$A:$C,3,FALSE)</f>
        <v>覚醒素材を獲得</v>
      </c>
      <c r="L44" s="95" t="str">
        <f>VLOOKUP(I44,[7]stage_hints!$A:$D,4,FALSE)</f>
        <v>「曜日クエスト」では_x000D_ユニットの覚醒に必要な素材が手に入ります</v>
      </c>
      <c r="M44" s="57" t="s">
        <v>211</v>
      </c>
    </row>
    <row r="45" spans="1:13" x14ac:dyDescent="0.15">
      <c r="A45" s="82" t="s">
        <v>201</v>
      </c>
      <c r="B45" s="83">
        <f>floors!$C$2</f>
        <v>30025</v>
      </c>
      <c r="C45" s="84" t="str">
        <f ca="1">VLOOKUP($B45,OFFSET([2]quests!$A$1,0,0,COUNTA([2]quests!$A:$A),MATCH(C$1,[2]quests!$1:$1,0)-MATCH($B$1,[2]quests!$1:$1,0)+1),MATCH(C$1,[2]quests!$1:$1,0)-MATCH($B$1,[2]quests!$1:$1,0)+1,FALSE)</f>
        <v>真実の探求者</v>
      </c>
      <c r="D45" s="84" t="str">
        <f ca="1">VLOOKUP($B45,OFFSET([2]quests!$A$1,0,0,COUNTA([2]quests!$A:$A),MATCH(D$1,[2]quests!$1:$1,0)-MATCH($B$1,[2]quests!$1:$1,0)+1),MATCH(D$1,[2]quests!$1:$1,0)-MATCH($B$1,[2]quests!$1:$1,0)+1,FALSE)</f>
        <v>ドロップイベント7（マルチ専用）</v>
      </c>
      <c r="E45" s="88">
        <v>2</v>
      </c>
      <c r="F45" s="84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【上級】真実の探求者</v>
      </c>
      <c r="G45" s="84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5" s="86">
        <v>0</v>
      </c>
      <c r="I45" s="98">
        <v>16</v>
      </c>
      <c r="J45" s="85" t="s">
        <v>198</v>
      </c>
      <c r="K45" s="94" t="str">
        <f>VLOOKUP(I45,[7]stage_hints!$A:$C,3,FALSE)</f>
        <v>マルチプレイのメリット（その1）</v>
      </c>
      <c r="L45" s="95" t="str">
        <f>VLOOKUP(I45,[7]stage_hints!$A:$D,4,FALSE)</f>
        <v>他のプレイヤーとマルチプレイで遊ぶと_x000D_ポリゴンがもらえます（100人まで）</v>
      </c>
      <c r="M45" s="57" t="s">
        <v>211</v>
      </c>
    </row>
    <row r="46" spans="1:13" x14ac:dyDescent="0.15">
      <c r="A46" s="82" t="s">
        <v>201</v>
      </c>
      <c r="B46" s="83">
        <f>floors!$C$2</f>
        <v>30025</v>
      </c>
      <c r="C46" s="84" t="str">
        <f ca="1">VLOOKUP($B46,OFFSET([2]quests!$A$1,0,0,COUNTA([2]quests!$A:$A),MATCH(C$1,[2]quests!$1:$1,0)-MATCH($B$1,[2]quests!$1:$1,0)+1),MATCH(C$1,[2]quests!$1:$1,0)-MATCH($B$1,[2]quests!$1:$1,0)+1,FALSE)</f>
        <v>真実の探求者</v>
      </c>
      <c r="D46" s="84" t="str">
        <f ca="1">VLOOKUP($B46,OFFSET([2]quests!$A$1,0,0,COUNTA([2]quests!$A:$A),MATCH(D$1,[2]quests!$1:$1,0)-MATCH($B$1,[2]quests!$1:$1,0)+1),MATCH(D$1,[2]quests!$1:$1,0)-MATCH($B$1,[2]quests!$1:$1,0)+1,FALSE)</f>
        <v>ドロップイベント7（マルチ専用）</v>
      </c>
      <c r="E46" s="88">
        <v>2</v>
      </c>
      <c r="F46" s="84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【上級】真実の探求者</v>
      </c>
      <c r="G46" s="84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6" s="86">
        <v>0</v>
      </c>
      <c r="I46" s="98">
        <v>17</v>
      </c>
      <c r="J46" s="85" t="s">
        <v>198</v>
      </c>
      <c r="K46" s="94" t="str">
        <f>VLOOKUP(I46,[7]stage_hints!$A:$C,3,FALSE)</f>
        <v>リンクガチャ</v>
      </c>
      <c r="L46" s="95" t="str">
        <f>VLOOKUP(I46,[7]stage_hints!$A:$D,4,FALSE)</f>
        <v>無料のリンクガチャを回して_x000D_経験値素材や売却素材を獲得しましょう</v>
      </c>
      <c r="M46" s="57" t="s">
        <v>211</v>
      </c>
    </row>
    <row r="47" spans="1:13" x14ac:dyDescent="0.15">
      <c r="A47" s="82" t="s">
        <v>201</v>
      </c>
      <c r="B47" s="83">
        <f>floors!$C$2</f>
        <v>30025</v>
      </c>
      <c r="C47" s="84" t="str">
        <f ca="1">VLOOKUP($B47,OFFSET([2]quests!$A$1,0,0,COUNTA([2]quests!$A:$A),MATCH(C$1,[2]quests!$1:$1,0)-MATCH($B$1,[2]quests!$1:$1,0)+1),MATCH(C$1,[2]quests!$1:$1,0)-MATCH($B$1,[2]quests!$1:$1,0)+1,FALSE)</f>
        <v>真実の探求者</v>
      </c>
      <c r="D47" s="84" t="str">
        <f ca="1">VLOOKUP($B47,OFFSET([2]quests!$A$1,0,0,COUNTA([2]quests!$A:$A),MATCH(D$1,[2]quests!$1:$1,0)-MATCH($B$1,[2]quests!$1:$1,0)+1),MATCH(D$1,[2]quests!$1:$1,0)-MATCH($B$1,[2]quests!$1:$1,0)+1,FALSE)</f>
        <v>ドロップイベント7（マルチ専用）</v>
      </c>
      <c r="E47" s="88">
        <v>2</v>
      </c>
      <c r="F47" s="84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【上級】真実の探求者</v>
      </c>
      <c r="G47" s="84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7" s="86">
        <v>0</v>
      </c>
      <c r="I47" s="98">
        <v>18</v>
      </c>
      <c r="J47" s="85" t="s">
        <v>198</v>
      </c>
      <c r="K47" s="94" t="str">
        <f>VLOOKUP(I47,[7]stage_hints!$A:$C,3,FALSE)</f>
        <v>マルチプレイのメリット（その2）</v>
      </c>
      <c r="L47" s="95" t="str">
        <f>VLOOKUP(I47,[7]stage_hints!$A:$D,4,FALSE)</f>
        <v>マルチプレイならリンクが2倍もらえます_x000D_リンクガチャをたくさん回しましょう</v>
      </c>
      <c r="M47" s="57" t="s">
        <v>211</v>
      </c>
    </row>
    <row r="48" spans="1:13" x14ac:dyDescent="0.15">
      <c r="A48" s="82" t="s">
        <v>201</v>
      </c>
      <c r="B48" s="83">
        <f>floors!$C$2</f>
        <v>30025</v>
      </c>
      <c r="C48" s="84" t="str">
        <f ca="1">VLOOKUP($B48,OFFSET([2]quests!$A$1,0,0,COUNTA([2]quests!$A:$A),MATCH(C$1,[2]quests!$1:$1,0)-MATCH($B$1,[2]quests!$1:$1,0)+1),MATCH(C$1,[2]quests!$1:$1,0)-MATCH($B$1,[2]quests!$1:$1,0)+1,FALSE)</f>
        <v>真実の探求者</v>
      </c>
      <c r="D48" s="84" t="str">
        <f ca="1">VLOOKUP($B48,OFFSET([2]quests!$A$1,0,0,COUNTA([2]quests!$A:$A),MATCH(D$1,[2]quests!$1:$1,0)-MATCH($B$1,[2]quests!$1:$1,0)+1),MATCH(D$1,[2]quests!$1:$1,0)-MATCH($B$1,[2]quests!$1:$1,0)+1,FALSE)</f>
        <v>ドロップイベント7（マルチ専用）</v>
      </c>
      <c r="E48" s="88">
        <v>2</v>
      </c>
      <c r="F48" s="84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【上級】真実の探求者</v>
      </c>
      <c r="G48" s="84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8" s="86">
        <v>0</v>
      </c>
      <c r="I48" s="98">
        <v>19</v>
      </c>
      <c r="J48" s="85" t="s">
        <v>198</v>
      </c>
      <c r="K48" s="94" t="str">
        <f>VLOOKUP(I48,[7]stage_hints!$A:$C,3,FALSE)</f>
        <v>ソロ専用タワーオブザクイーン</v>
      </c>
      <c r="L48" s="95" t="str">
        <f>VLOOKUP(I48,[7]stage_hints!$A:$D,4,FALSE)</f>
        <v>ソロ専用の「タワーオブザクイーン」は_x000D_期間限定で定期的に開催されます_x000D_ここでしか獲得できない報酬もあるようです</v>
      </c>
      <c r="M48" s="57" t="s">
        <v>211</v>
      </c>
    </row>
    <row r="49" spans="1:13" x14ac:dyDescent="0.15">
      <c r="A49" s="82" t="s">
        <v>201</v>
      </c>
      <c r="B49" s="83">
        <f>floors!$C$2</f>
        <v>30025</v>
      </c>
      <c r="C49" s="84" t="str">
        <f ca="1">VLOOKUP($B49,OFFSET([2]quests!$A$1,0,0,COUNTA([2]quests!$A:$A),MATCH(C$1,[2]quests!$1:$1,0)-MATCH($B$1,[2]quests!$1:$1,0)+1),MATCH(C$1,[2]quests!$1:$1,0)-MATCH($B$1,[2]quests!$1:$1,0)+1,FALSE)</f>
        <v>真実の探求者</v>
      </c>
      <c r="D49" s="84" t="str">
        <f ca="1">VLOOKUP($B49,OFFSET([2]quests!$A$1,0,0,COUNTA([2]quests!$A:$A),MATCH(D$1,[2]quests!$1:$1,0)-MATCH($B$1,[2]quests!$1:$1,0)+1),MATCH(D$1,[2]quests!$1:$1,0)-MATCH($B$1,[2]quests!$1:$1,0)+1,FALSE)</f>
        <v>ドロップイベント7（マルチ専用）</v>
      </c>
      <c r="E49" s="88">
        <v>2</v>
      </c>
      <c r="F49" s="84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【上級】真実の探求者</v>
      </c>
      <c r="G49" s="84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9" s="86">
        <v>0</v>
      </c>
      <c r="I49" s="98">
        <v>20</v>
      </c>
      <c r="J49" s="85" t="s">
        <v>198</v>
      </c>
      <c r="K49" s="94" t="str">
        <f>VLOOKUP(I49,[7]stage_hints!$A:$C,3,FALSE)</f>
        <v>マルチプレイのメリット（その3）</v>
      </c>
      <c r="L49" s="95" t="str">
        <f>VLOOKUP(I49,[7]stage_hints!$A:$D,4,FALSE)</f>
        <v>マルチプレイへの参加はエナジー消費ゼロ_x000D_いつでも好きなだけ遊ぶことができます</v>
      </c>
      <c r="M49" s="57" t="s">
        <v>211</v>
      </c>
    </row>
    <row r="50" spans="1:13" x14ac:dyDescent="0.15">
      <c r="A50" s="82" t="s">
        <v>201</v>
      </c>
      <c r="B50" s="83">
        <f>floors!$C$2</f>
        <v>30025</v>
      </c>
      <c r="C50" s="84" t="str">
        <f ca="1">VLOOKUP($B50,OFFSET([2]quests!$A$1,0,0,COUNTA([2]quests!$A:$A),MATCH(C$1,[2]quests!$1:$1,0)-MATCH($B$1,[2]quests!$1:$1,0)+1),MATCH(C$1,[2]quests!$1:$1,0)-MATCH($B$1,[2]quests!$1:$1,0)+1,FALSE)</f>
        <v>真実の探求者</v>
      </c>
      <c r="D50" s="84" t="str">
        <f ca="1">VLOOKUP($B50,OFFSET([2]quests!$A$1,0,0,COUNTA([2]quests!$A:$A),MATCH(D$1,[2]quests!$1:$1,0)-MATCH($B$1,[2]quests!$1:$1,0)+1),MATCH(D$1,[2]quests!$1:$1,0)-MATCH($B$1,[2]quests!$1:$1,0)+1,FALSE)</f>
        <v>ドロップイベント7（マルチ専用）</v>
      </c>
      <c r="E50" s="88">
        <v>2</v>
      </c>
      <c r="F50" s="84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【上級】真実の探求者</v>
      </c>
      <c r="G50" s="84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0" s="86">
        <v>0</v>
      </c>
      <c r="I50" s="98">
        <v>21</v>
      </c>
      <c r="J50" s="85" t="s">
        <v>198</v>
      </c>
      <c r="K50" s="94" t="str">
        <f>VLOOKUP(I50,[7]stage_hints!$A:$C,3,FALSE)</f>
        <v>スキルを有効に</v>
      </c>
      <c r="L50" s="95" t="str">
        <f>VLOOKUP(I50,[7]stage_hints!$A:$D,4,FALSE)</f>
        <v>ターン経過でユニットのスキルが使えます_x000D_強力スキルでバトルを有利に進めましょう</v>
      </c>
      <c r="M50" s="57" t="s">
        <v>211</v>
      </c>
    </row>
    <row r="51" spans="1:13" x14ac:dyDescent="0.15">
      <c r="A51" s="82" t="s">
        <v>201</v>
      </c>
      <c r="B51" s="83">
        <f>floors!$C$2</f>
        <v>30025</v>
      </c>
      <c r="C51" s="84" t="str">
        <f ca="1">VLOOKUP($B51,OFFSET([2]quests!$A$1,0,0,COUNTA([2]quests!$A:$A),MATCH(C$1,[2]quests!$1:$1,0)-MATCH($B$1,[2]quests!$1:$1,0)+1),MATCH(C$1,[2]quests!$1:$1,0)-MATCH($B$1,[2]quests!$1:$1,0)+1,FALSE)</f>
        <v>真実の探求者</v>
      </c>
      <c r="D51" s="84" t="str">
        <f ca="1">VLOOKUP($B51,OFFSET([2]quests!$A$1,0,0,COUNTA([2]quests!$A:$A),MATCH(D$1,[2]quests!$1:$1,0)-MATCH($B$1,[2]quests!$1:$1,0)+1),MATCH(D$1,[2]quests!$1:$1,0)-MATCH($B$1,[2]quests!$1:$1,0)+1,FALSE)</f>
        <v>ドロップイベント7（マルチ専用）</v>
      </c>
      <c r="E51" s="88">
        <v>2</v>
      </c>
      <c r="F51" s="84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【上級】真実の探求者</v>
      </c>
      <c r="G51" s="84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1" s="86">
        <v>0</v>
      </c>
      <c r="I51" s="98">
        <v>22</v>
      </c>
      <c r="J51" s="85" t="s">
        <v>198</v>
      </c>
      <c r="K51" s="94" t="str">
        <f>VLOOKUP(I51,[7]stage_hints!$A:$C,3,FALSE)</f>
        <v>フィーバーで一発逆転（その1）</v>
      </c>
      <c r="L51" s="95" t="str">
        <f>VLOOKUP(I51,[7]stage_hints!$A:$D,4,FALSE)</f>
        <v>フィーバーは攻撃と回復を兼ね備えます_x000D_ピンチからの一発逆転を狙いましょう</v>
      </c>
      <c r="M51" s="57" t="s">
        <v>211</v>
      </c>
    </row>
    <row r="52" spans="1:13" x14ac:dyDescent="0.15">
      <c r="A52" s="82" t="s">
        <v>201</v>
      </c>
      <c r="B52" s="83">
        <f>floors!$C$2</f>
        <v>30025</v>
      </c>
      <c r="C52" s="84" t="str">
        <f ca="1">VLOOKUP($B52,OFFSET([2]quests!$A$1,0,0,COUNTA([2]quests!$A:$A),MATCH(C$1,[2]quests!$1:$1,0)-MATCH($B$1,[2]quests!$1:$1,0)+1),MATCH(C$1,[2]quests!$1:$1,0)-MATCH($B$1,[2]quests!$1:$1,0)+1,FALSE)</f>
        <v>真実の探求者</v>
      </c>
      <c r="D52" s="84" t="str">
        <f ca="1">VLOOKUP($B52,OFFSET([2]quests!$A$1,0,0,COUNTA([2]quests!$A:$A),MATCH(D$1,[2]quests!$1:$1,0)-MATCH($B$1,[2]quests!$1:$1,0)+1),MATCH(D$1,[2]quests!$1:$1,0)-MATCH($B$1,[2]quests!$1:$1,0)+1,FALSE)</f>
        <v>ドロップイベント7（マルチ専用）</v>
      </c>
      <c r="E52" s="88">
        <v>2</v>
      </c>
      <c r="F52" s="84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【上級】真実の探求者</v>
      </c>
      <c r="G52" s="84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2" s="86">
        <v>0</v>
      </c>
      <c r="I52" s="98">
        <v>23</v>
      </c>
      <c r="J52" s="85" t="s">
        <v>198</v>
      </c>
      <c r="K52" s="94" t="str">
        <f>VLOOKUP(I52,[7]stage_hints!$A:$C,3,FALSE)</f>
        <v>フィーバーで一発逆転（その2）</v>
      </c>
      <c r="L52" s="95" t="str">
        <f>VLOOKUP(I52,[7]stage_hints!$A:$D,4,FALSE)</f>
        <v>フィーバー中は虹色のボムパネルを狙って_x000D_画面上のパネルを一気に破壊しましょう</v>
      </c>
      <c r="M52" s="57" t="s">
        <v>211</v>
      </c>
    </row>
    <row r="53" spans="1:13" x14ac:dyDescent="0.15">
      <c r="A53" s="82" t="s">
        <v>201</v>
      </c>
      <c r="B53" s="83">
        <f>floors!$C$2</f>
        <v>30025</v>
      </c>
      <c r="C53" s="84" t="str">
        <f ca="1">VLOOKUP($B53,OFFSET([2]quests!$A$1,0,0,COUNTA([2]quests!$A:$A),MATCH(C$1,[2]quests!$1:$1,0)-MATCH($B$1,[2]quests!$1:$1,0)+1),MATCH(C$1,[2]quests!$1:$1,0)-MATCH($B$1,[2]quests!$1:$1,0)+1,FALSE)</f>
        <v>真実の探求者</v>
      </c>
      <c r="D53" s="84" t="str">
        <f ca="1">VLOOKUP($B53,OFFSET([2]quests!$A$1,0,0,COUNTA([2]quests!$A:$A),MATCH(D$1,[2]quests!$1:$1,0)-MATCH($B$1,[2]quests!$1:$1,0)+1),MATCH(D$1,[2]quests!$1:$1,0)-MATCH($B$1,[2]quests!$1:$1,0)+1,FALSE)</f>
        <v>ドロップイベント7（マルチ専用）</v>
      </c>
      <c r="E53" s="88">
        <v>2</v>
      </c>
      <c r="F53" s="84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【上級】真実の探求者</v>
      </c>
      <c r="G53" s="84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3" s="86">
        <v>0</v>
      </c>
      <c r="I53" s="98">
        <v>24</v>
      </c>
      <c r="J53" s="85" t="s">
        <v>198</v>
      </c>
      <c r="K53" s="94" t="str">
        <f>VLOOKUP(I53,[7]stage_hints!$A:$C,3,FALSE)</f>
        <v>果実を使って限界突破</v>
      </c>
      <c r="L53" s="95" t="str">
        <f>VLOOKUP(I53,[7]stage_hints!$A:$D,4,FALSE)</f>
        <v>攻めの果実 癒しの果実_x000D_生命の果実をユニット強化に使うと_x000D_ステータスが限界突破します（計99個迄）</v>
      </c>
      <c r="M53" s="57" t="s">
        <v>211</v>
      </c>
    </row>
    <row r="54" spans="1:13" x14ac:dyDescent="0.15">
      <c r="A54" s="82" t="s">
        <v>201</v>
      </c>
      <c r="B54" s="83">
        <f>floors!$C$2</f>
        <v>30025</v>
      </c>
      <c r="C54" s="84" t="str">
        <f ca="1">VLOOKUP($B54,OFFSET([2]quests!$A$1,0,0,COUNTA([2]quests!$A:$A),MATCH(C$1,[2]quests!$1:$1,0)-MATCH($B$1,[2]quests!$1:$1,0)+1),MATCH(C$1,[2]quests!$1:$1,0)-MATCH($B$1,[2]quests!$1:$1,0)+1,FALSE)</f>
        <v>真実の探求者</v>
      </c>
      <c r="D54" s="84" t="str">
        <f ca="1">VLOOKUP($B54,OFFSET([2]quests!$A$1,0,0,COUNTA([2]quests!$A:$A),MATCH(D$1,[2]quests!$1:$1,0)-MATCH($B$1,[2]quests!$1:$1,0)+1),MATCH(D$1,[2]quests!$1:$1,0)-MATCH($B$1,[2]quests!$1:$1,0)+1,FALSE)</f>
        <v>ドロップイベント7（マルチ専用）</v>
      </c>
      <c r="E54" s="88">
        <v>2</v>
      </c>
      <c r="F54" s="84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【上級】真実の探求者</v>
      </c>
      <c r="G54" s="84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4" s="86">
        <v>0</v>
      </c>
      <c r="I54" s="98">
        <v>25</v>
      </c>
      <c r="J54" s="85" t="s">
        <v>198</v>
      </c>
      <c r="K54" s="94" t="str">
        <f>VLOOKUP(I54,[7]stage_hints!$A:$C,3,FALSE)</f>
        <v>スキルレベルアップ</v>
      </c>
      <c r="L54" s="95" t="str">
        <f>VLOOKUP(I54,[7]stage_hints!$A:$D,4,FALSE)</f>
        <v>「秘術の果実」を強化に使うと_x000D_スキルレベルを上げることができます</v>
      </c>
      <c r="M54" s="57" t="s">
        <v>211</v>
      </c>
    </row>
    <row r="55" spans="1:13" x14ac:dyDescent="0.15">
      <c r="A55" s="82" t="s">
        <v>201</v>
      </c>
      <c r="B55" s="83">
        <f>floors!$C$2</f>
        <v>30025</v>
      </c>
      <c r="C55" s="84" t="str">
        <f ca="1">VLOOKUP($B55,OFFSET([2]quests!$A$1,0,0,COUNTA([2]quests!$A:$A),MATCH(C$1,[2]quests!$1:$1,0)-MATCH($B$1,[2]quests!$1:$1,0)+1),MATCH(C$1,[2]quests!$1:$1,0)-MATCH($B$1,[2]quests!$1:$1,0)+1,FALSE)</f>
        <v>真実の探求者</v>
      </c>
      <c r="D55" s="84" t="str">
        <f ca="1">VLOOKUP($B55,OFFSET([2]quests!$A$1,0,0,COUNTA([2]quests!$A:$A),MATCH(D$1,[2]quests!$1:$1,0)-MATCH($B$1,[2]quests!$1:$1,0)+1),MATCH(D$1,[2]quests!$1:$1,0)-MATCH($B$1,[2]quests!$1:$1,0)+1,FALSE)</f>
        <v>ドロップイベント7（マルチ専用）</v>
      </c>
      <c r="E55" s="88">
        <v>2</v>
      </c>
      <c r="F55" s="84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【上級】真実の探求者</v>
      </c>
      <c r="G55" s="84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5" s="86">
        <v>0</v>
      </c>
      <c r="I55" s="98">
        <v>26</v>
      </c>
      <c r="J55" s="85" t="s">
        <v>198</v>
      </c>
      <c r="K55" s="94" t="str">
        <f>VLOOKUP(I55,[7]stage_hints!$A:$C,3,FALSE)</f>
        <v>スキルレベルの効果</v>
      </c>
      <c r="L55" s="95" t="str">
        <f>VLOOKUP(I55,[7]stage_hints!$A:$D,4,FALSE)</f>
        <v>スキルレベルが上がると_x000D_短いターンでスキルを使うことができます</v>
      </c>
      <c r="M55" s="57" t="s">
        <v>211</v>
      </c>
    </row>
    <row r="56" spans="1:13" x14ac:dyDescent="0.15">
      <c r="A56" s="82" t="s">
        <v>201</v>
      </c>
      <c r="B56" s="83">
        <f>floors!$C$2</f>
        <v>30025</v>
      </c>
      <c r="C56" s="84" t="str">
        <f ca="1">VLOOKUP($B56,OFFSET([2]quests!$A$1,0,0,COUNTA([2]quests!$A:$A),MATCH(C$1,[2]quests!$1:$1,0)-MATCH($B$1,[2]quests!$1:$1,0)+1),MATCH(C$1,[2]quests!$1:$1,0)-MATCH($B$1,[2]quests!$1:$1,0)+1,FALSE)</f>
        <v>真実の探求者</v>
      </c>
      <c r="D56" s="84" t="str">
        <f ca="1">VLOOKUP($B56,OFFSET([2]quests!$A$1,0,0,COUNTA([2]quests!$A:$A),MATCH(D$1,[2]quests!$1:$1,0)-MATCH($B$1,[2]quests!$1:$1,0)+1),MATCH(D$1,[2]quests!$1:$1,0)-MATCH($B$1,[2]quests!$1:$1,0)+1,FALSE)</f>
        <v>ドロップイベント7（マルチ専用）</v>
      </c>
      <c r="E56" s="88">
        <v>2</v>
      </c>
      <c r="F56" s="84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【上級】真実の探求者</v>
      </c>
      <c r="G56" s="84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6" s="86">
        <v>0</v>
      </c>
      <c r="I56" s="98">
        <v>27</v>
      </c>
      <c r="J56" s="85" t="s">
        <v>198</v>
      </c>
      <c r="K56" s="94" t="str">
        <f>VLOOKUP(I56,[7]stage_hints!$A:$C,3,FALSE)</f>
        <v>ホーム画面からデッキを編成</v>
      </c>
      <c r="L56" s="95" t="str">
        <f>VLOOKUP(I56,[7]stage_hints!$A:$D,4,FALSE)</f>
        <v>ホーム画面でユニットを長押しすると_x000D_すぐにパーティ編成に移動できます</v>
      </c>
      <c r="M56" s="57" t="s">
        <v>211</v>
      </c>
    </row>
    <row r="57" spans="1:13" x14ac:dyDescent="0.15">
      <c r="A57" s="82" t="s">
        <v>201</v>
      </c>
      <c r="B57" s="83">
        <f>floors!$C$2</f>
        <v>30025</v>
      </c>
      <c r="C57" s="84" t="str">
        <f ca="1">VLOOKUP($B57,OFFSET([2]quests!$A$1,0,0,COUNTA([2]quests!$A:$A),MATCH(C$1,[2]quests!$1:$1,0)-MATCH($B$1,[2]quests!$1:$1,0)+1),MATCH(C$1,[2]quests!$1:$1,0)-MATCH($B$1,[2]quests!$1:$1,0)+1,FALSE)</f>
        <v>真実の探求者</v>
      </c>
      <c r="D57" s="84" t="str">
        <f ca="1">VLOOKUP($B57,OFFSET([2]quests!$A$1,0,0,COUNTA([2]quests!$A:$A),MATCH(D$1,[2]quests!$1:$1,0)-MATCH($B$1,[2]quests!$1:$1,0)+1),MATCH(D$1,[2]quests!$1:$1,0)-MATCH($B$1,[2]quests!$1:$1,0)+1,FALSE)</f>
        <v>ドロップイベント7（マルチ専用）</v>
      </c>
      <c r="E57" s="88">
        <v>2</v>
      </c>
      <c r="F57" s="84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【上級】真実の探求者</v>
      </c>
      <c r="G57" s="84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7" s="86">
        <v>0</v>
      </c>
      <c r="I57" s="98">
        <v>28</v>
      </c>
      <c r="J57" s="85" t="s">
        <v>198</v>
      </c>
      <c r="K57" s="94" t="str">
        <f>VLOOKUP(I57,[7]stage_hints!$A:$C,3,FALSE)</f>
        <v>ステータス情報は長押しで</v>
      </c>
      <c r="L57" s="95" t="str">
        <f>VLOOKUP(I57,[7]stage_hints!$A:$D,4,FALSE)</f>
        <v>ユニットのアイコンを長押しすると_x000D_ステータス情報を確認することができます</v>
      </c>
      <c r="M57" s="57" t="s">
        <v>211</v>
      </c>
    </row>
    <row r="58" spans="1:13" x14ac:dyDescent="0.15">
      <c r="A58" s="82" t="s">
        <v>201</v>
      </c>
      <c r="B58" s="83">
        <f>floors!$C$2</f>
        <v>30025</v>
      </c>
      <c r="C58" s="84" t="str">
        <f ca="1">VLOOKUP($B58,OFFSET([2]quests!$A$1,0,0,COUNTA([2]quests!$A:$A),MATCH(C$1,[2]quests!$1:$1,0)-MATCH($B$1,[2]quests!$1:$1,0)+1),MATCH(C$1,[2]quests!$1:$1,0)-MATCH($B$1,[2]quests!$1:$1,0)+1,FALSE)</f>
        <v>真実の探求者</v>
      </c>
      <c r="D58" s="84" t="str">
        <f ca="1">VLOOKUP($B58,OFFSET([2]quests!$A$1,0,0,COUNTA([2]quests!$A:$A),MATCH(D$1,[2]quests!$1:$1,0)-MATCH($B$1,[2]quests!$1:$1,0)+1),MATCH(D$1,[2]quests!$1:$1,0)-MATCH($B$1,[2]quests!$1:$1,0)+1,FALSE)</f>
        <v>ドロップイベント7（マルチ専用）</v>
      </c>
      <c r="E58" s="88">
        <v>2</v>
      </c>
      <c r="F58" s="84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【上級】真実の探求者</v>
      </c>
      <c r="G58" s="84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8" s="86">
        <v>0</v>
      </c>
      <c r="I58" s="98">
        <v>29</v>
      </c>
      <c r="J58" s="85" t="s">
        <v>198</v>
      </c>
      <c r="K58" s="94" t="str">
        <f>VLOOKUP(I58,[7]stage_hints!$A:$C,3,FALSE)</f>
        <v>「バグ」のメリット</v>
      </c>
      <c r="L58" s="95" t="str">
        <f>VLOOKUP(I58,[7]stage_hints!$A:$D,4,FALSE)</f>
        <v>ユニットの「バグ」を増やすと_x000D_報酬をもらえる確率がアップします</v>
      </c>
      <c r="M58" s="57" t="s">
        <v>211</v>
      </c>
    </row>
    <row r="59" spans="1:13" x14ac:dyDescent="0.15">
      <c r="A59" s="82" t="s">
        <v>201</v>
      </c>
      <c r="B59" s="83">
        <f>floors!$C$2</f>
        <v>30025</v>
      </c>
      <c r="C59" s="84" t="str">
        <f ca="1">VLOOKUP($B59,OFFSET([2]quests!$A$1,0,0,COUNTA([2]quests!$A:$A),MATCH(C$1,[2]quests!$1:$1,0)-MATCH($B$1,[2]quests!$1:$1,0)+1),MATCH(C$1,[2]quests!$1:$1,0)-MATCH($B$1,[2]quests!$1:$1,0)+1,FALSE)</f>
        <v>真実の探求者</v>
      </c>
      <c r="D59" s="84" t="str">
        <f ca="1">VLOOKUP($B59,OFFSET([2]quests!$A$1,0,0,COUNTA([2]quests!$A:$A),MATCH(D$1,[2]quests!$1:$1,0)-MATCH($B$1,[2]quests!$1:$1,0)+1),MATCH(D$1,[2]quests!$1:$1,0)-MATCH($B$1,[2]quests!$1:$1,0)+1,FALSE)</f>
        <v>ドロップイベント7（マルチ専用）</v>
      </c>
      <c r="E59" s="88">
        <v>2</v>
      </c>
      <c r="F59" s="84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【上級】真実の探求者</v>
      </c>
      <c r="G59" s="84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9" s="86">
        <v>0</v>
      </c>
      <c r="I59" s="98">
        <v>30</v>
      </c>
      <c r="J59" s="85" t="s">
        <v>198</v>
      </c>
      <c r="K59" s="94" t="str">
        <f>VLOOKUP(I59,[7]stage_hints!$A:$C,3,FALSE)</f>
        <v>「バグ」の増やし方</v>
      </c>
      <c r="L59" s="95" t="str">
        <f>VLOOKUP(I59,[7]stage_hints!$A:$D,4,FALSE)</f>
        <v>同じユニット同士を強化で合成すると_x000D_「バグ」を増やすことができます</v>
      </c>
      <c r="M59" s="57" t="s">
        <v>211</v>
      </c>
    </row>
    <row r="60" spans="1:13" x14ac:dyDescent="0.15">
      <c r="A60" s="82" t="s">
        <v>201</v>
      </c>
      <c r="B60" s="83">
        <f>floors!$C$2</f>
        <v>30025</v>
      </c>
      <c r="C60" s="84" t="str">
        <f ca="1">VLOOKUP($B60,OFFSET([2]quests!$A$1,0,0,COUNTA([2]quests!$A:$A),MATCH(C$1,[2]quests!$1:$1,0)-MATCH($B$1,[2]quests!$1:$1,0)+1),MATCH(C$1,[2]quests!$1:$1,0)-MATCH($B$1,[2]quests!$1:$1,0)+1,FALSE)</f>
        <v>真実の探求者</v>
      </c>
      <c r="D60" s="84" t="str">
        <f ca="1">VLOOKUP($B60,OFFSET([2]quests!$A$1,0,0,COUNTA([2]quests!$A:$A),MATCH(D$1,[2]quests!$1:$1,0)-MATCH($B$1,[2]quests!$1:$1,0)+1),MATCH(D$1,[2]quests!$1:$1,0)-MATCH($B$1,[2]quests!$1:$1,0)+1,FALSE)</f>
        <v>ドロップイベント7（マルチ専用）</v>
      </c>
      <c r="E60" s="88">
        <v>2</v>
      </c>
      <c r="F60" s="84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【上級】真実の探求者</v>
      </c>
      <c r="G60" s="84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0" s="86">
        <v>0</v>
      </c>
      <c r="I60" s="98">
        <v>31</v>
      </c>
      <c r="J60" s="85" t="s">
        <v>198</v>
      </c>
      <c r="K60" s="94" t="str">
        <f>VLOOKUP(I60,[7]stage_hints!$A:$C,3,FALSE)</f>
        <v>イベントはお知らせでチェック</v>
      </c>
      <c r="L60" s="95" t="str">
        <f>VLOOKUP(I60,[7]stage_hints!$A:$D,4,FALSE)</f>
        <v>イベント限定ユニットを取り忘れないように_x000D_お知らせをこまめにチェックしましょう</v>
      </c>
      <c r="M60" s="57" t="s">
        <v>211</v>
      </c>
    </row>
    <row r="61" spans="1:13" x14ac:dyDescent="0.15">
      <c r="A61" s="82" t="s">
        <v>201</v>
      </c>
      <c r="B61" s="83">
        <f>floors!$C$2</f>
        <v>30025</v>
      </c>
      <c r="C61" s="84" t="str">
        <f ca="1">VLOOKUP($B61,OFFSET([2]quests!$A$1,0,0,COUNTA([2]quests!$A:$A),MATCH(C$1,[2]quests!$1:$1,0)-MATCH($B$1,[2]quests!$1:$1,0)+1),MATCH(C$1,[2]quests!$1:$1,0)-MATCH($B$1,[2]quests!$1:$1,0)+1,FALSE)</f>
        <v>真実の探求者</v>
      </c>
      <c r="D61" s="84" t="str">
        <f ca="1">VLOOKUP($B61,OFFSET([2]quests!$A$1,0,0,COUNTA([2]quests!$A:$A),MATCH(D$1,[2]quests!$1:$1,0)-MATCH($B$1,[2]quests!$1:$1,0)+1),MATCH(D$1,[2]quests!$1:$1,0)-MATCH($B$1,[2]quests!$1:$1,0)+1,FALSE)</f>
        <v>ドロップイベント7（マルチ専用）</v>
      </c>
      <c r="E61" s="88">
        <v>2</v>
      </c>
      <c r="F61" s="84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【上級】真実の探求者</v>
      </c>
      <c r="G61" s="84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1" s="86">
        <v>0</v>
      </c>
      <c r="I61" s="98">
        <v>32</v>
      </c>
      <c r="J61" s="85" t="s">
        <v>198</v>
      </c>
      <c r="K61" s="94" t="str">
        <f>VLOOKUP(I61,[7]stage_hints!$A:$C,3,FALSE)</f>
        <v>敵の連続攻撃には</v>
      </c>
      <c r="L61" s="95" t="str">
        <f>VLOOKUP(I61,[7]stage_hints!$A:$D,4,FALSE)</f>
        <v>カウンタースキルを持つユニットがいれば_x000D_ダメージ回数分の反撃ができます</v>
      </c>
      <c r="M61" s="57" t="s">
        <v>211</v>
      </c>
    </row>
    <row r="62" spans="1:13" x14ac:dyDescent="0.15">
      <c r="A62" s="82" t="s">
        <v>201</v>
      </c>
      <c r="B62" s="83">
        <f>floors!$C$2</f>
        <v>30025</v>
      </c>
      <c r="C62" s="84" t="str">
        <f ca="1">VLOOKUP($B62,OFFSET([2]quests!$A$1,0,0,COUNTA([2]quests!$A:$A),MATCH(C$1,[2]quests!$1:$1,0)-MATCH($B$1,[2]quests!$1:$1,0)+1),MATCH(C$1,[2]quests!$1:$1,0)-MATCH($B$1,[2]quests!$1:$1,0)+1,FALSE)</f>
        <v>真実の探求者</v>
      </c>
      <c r="D62" s="84" t="str">
        <f ca="1">VLOOKUP($B62,OFFSET([2]quests!$A$1,0,0,COUNTA([2]quests!$A:$A),MATCH(D$1,[2]quests!$1:$1,0)-MATCH($B$1,[2]quests!$1:$1,0)+1),MATCH(D$1,[2]quests!$1:$1,0)-MATCH($B$1,[2]quests!$1:$1,0)+1,FALSE)</f>
        <v>ドロップイベント7（マルチ専用）</v>
      </c>
      <c r="E62" s="88">
        <v>2</v>
      </c>
      <c r="F62" s="84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【上級】真実の探求者</v>
      </c>
      <c r="G62" s="84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2" s="86">
        <v>0</v>
      </c>
      <c r="I62" s="98">
        <v>33</v>
      </c>
      <c r="J62" s="85" t="s">
        <v>198</v>
      </c>
      <c r="K62" s="94" t="str">
        <f>VLOOKUP(I62,[7]stage_hints!$A:$C,3,FALSE)</f>
        <v>敵のカウンター攻撃には</v>
      </c>
      <c r="L62" s="95" t="str">
        <f>VLOOKUP(I62,[7]stage_hints!$A:$D,4,FALSE)</f>
        <v>カウンターブレイクスキルを持っていれば_x000D_敵のカウンターを解除して攻撃ができます</v>
      </c>
      <c r="M62" s="57" t="s">
        <v>211</v>
      </c>
    </row>
    <row r="63" spans="1:13" x14ac:dyDescent="0.15">
      <c r="A63" s="82" t="s">
        <v>201</v>
      </c>
      <c r="B63" s="83">
        <f>floors!$C$2</f>
        <v>30025</v>
      </c>
      <c r="C63" s="84" t="str">
        <f ca="1">VLOOKUP($B63,OFFSET([2]quests!$A$1,0,0,COUNTA([2]quests!$A:$A),MATCH(C$1,[2]quests!$1:$1,0)-MATCH($B$1,[2]quests!$1:$1,0)+1),MATCH(C$1,[2]quests!$1:$1,0)-MATCH($B$1,[2]quests!$1:$1,0)+1,FALSE)</f>
        <v>真実の探求者</v>
      </c>
      <c r="D63" s="84" t="str">
        <f ca="1">VLOOKUP($B63,OFFSET([2]quests!$A$1,0,0,COUNTA([2]quests!$A:$A),MATCH(D$1,[2]quests!$1:$1,0)-MATCH($B$1,[2]quests!$1:$1,0)+1),MATCH(D$1,[2]quests!$1:$1,0)-MATCH($B$1,[2]quests!$1:$1,0)+1,FALSE)</f>
        <v>ドロップイベント7（マルチ専用）</v>
      </c>
      <c r="E63" s="88">
        <v>2</v>
      </c>
      <c r="F63" s="84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【上級】真実の探求者</v>
      </c>
      <c r="G63" s="84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3" s="86">
        <v>0</v>
      </c>
      <c r="I63" s="98">
        <v>34</v>
      </c>
      <c r="J63" s="85" t="s">
        <v>198</v>
      </c>
      <c r="K63" s="94" t="str">
        <f>VLOOKUP(I63,[7]stage_hints!$A:$C,3,FALSE)</f>
        <v>ステータスをスキルで下げられたら</v>
      </c>
      <c r="L63" s="95" t="str">
        <f>VLOOKUP(I63,[7]stage_hints!$A:$D,4,FALSE)</f>
        <v>ステータスダウンのスキルを受けたら_x000D_ステータスアップスキルで上書きしましょう</v>
      </c>
      <c r="M63" s="57" t="s">
        <v>211</v>
      </c>
    </row>
    <row r="64" spans="1:13" x14ac:dyDescent="0.15">
      <c r="A64" s="82" t="s">
        <v>201</v>
      </c>
      <c r="B64" s="83">
        <f>floors!$C$2</f>
        <v>30025</v>
      </c>
      <c r="C64" s="84" t="str">
        <f ca="1">VLOOKUP($B64,OFFSET([2]quests!$A$1,0,0,COUNTA([2]quests!$A:$A),MATCH(C$1,[2]quests!$1:$1,0)-MATCH($B$1,[2]quests!$1:$1,0)+1),MATCH(C$1,[2]quests!$1:$1,0)-MATCH($B$1,[2]quests!$1:$1,0)+1,FALSE)</f>
        <v>真実の探求者</v>
      </c>
      <c r="D64" s="84" t="str">
        <f ca="1">VLOOKUP($B64,OFFSET([2]quests!$A$1,0,0,COUNTA([2]quests!$A:$A),MATCH(D$1,[2]quests!$1:$1,0)-MATCH($B$1,[2]quests!$1:$1,0)+1),MATCH(D$1,[2]quests!$1:$1,0)-MATCH($B$1,[2]quests!$1:$1,0)+1,FALSE)</f>
        <v>ドロップイベント7（マルチ専用）</v>
      </c>
      <c r="E64" s="88">
        <v>2</v>
      </c>
      <c r="F64" s="84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【上級】真実の探求者</v>
      </c>
      <c r="G64" s="84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4" s="86">
        <v>0</v>
      </c>
      <c r="I64" s="98">
        <v>35</v>
      </c>
      <c r="J64" s="85" t="s">
        <v>198</v>
      </c>
      <c r="K64" s="94" t="str">
        <f>VLOOKUP(I64,[7]stage_hints!$A:$C,3,FALSE)</f>
        <v>敵のステータスがスキルで上がったら</v>
      </c>
      <c r="L64" s="95" t="str">
        <f>VLOOKUP(I64,[7]stage_hints!$A:$D,4,FALSE)</f>
        <v>敵のステータスがスキルでアップしたときは_x000D_ステータスダウンスキルで上書きしましょう</v>
      </c>
      <c r="M64" s="57" t="s">
        <v>211</v>
      </c>
    </row>
    <row r="65" spans="1:13" x14ac:dyDescent="0.15">
      <c r="A65" s="82" t="s">
        <v>201</v>
      </c>
      <c r="B65" s="83">
        <f>floors!$C$2</f>
        <v>30025</v>
      </c>
      <c r="C65" s="84" t="str">
        <f ca="1">VLOOKUP($B65,OFFSET([2]quests!$A$1,0,0,COUNTA([2]quests!$A:$A),MATCH(C$1,[2]quests!$1:$1,0)-MATCH($B$1,[2]quests!$1:$1,0)+1),MATCH(C$1,[2]quests!$1:$1,0)-MATCH($B$1,[2]quests!$1:$1,0)+1,FALSE)</f>
        <v>真実の探求者</v>
      </c>
      <c r="D65" s="84" t="str">
        <f ca="1">VLOOKUP($B65,OFFSET([2]quests!$A$1,0,0,COUNTA([2]quests!$A:$A),MATCH(D$1,[2]quests!$1:$1,0)-MATCH($B$1,[2]quests!$1:$1,0)+1),MATCH(D$1,[2]quests!$1:$1,0)-MATCH($B$1,[2]quests!$1:$1,0)+1,FALSE)</f>
        <v>ドロップイベント7（マルチ専用）</v>
      </c>
      <c r="E65" s="88">
        <v>2</v>
      </c>
      <c r="F65" s="84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【上級】真実の探求者</v>
      </c>
      <c r="G65" s="84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5" s="86">
        <v>0</v>
      </c>
      <c r="I65" s="98">
        <v>36</v>
      </c>
      <c r="J65" s="85" t="s">
        <v>198</v>
      </c>
      <c r="K65" s="94" t="str">
        <f>VLOOKUP(I65,[7]stage_hints!$A:$C,3,FALSE)</f>
        <v>タワーオブザクイーンのボス</v>
      </c>
      <c r="L65" s="95" t="str">
        <f>VLOOKUP(I65,[7]stage_hints!$A:$D,4,FALSE)</f>
        <v>「タワーオブザクイーン」最上階のボスは_x000D_15階の初回クリア報酬で獲得できるほか_x000D_その階にて低確率でドロップもします</v>
      </c>
      <c r="M65" s="57" t="s">
        <v>211</v>
      </c>
    </row>
    <row r="66" spans="1:13" x14ac:dyDescent="0.15">
      <c r="A66" s="82" t="s">
        <v>201</v>
      </c>
      <c r="B66" s="83">
        <f>floors!$C$2</f>
        <v>30025</v>
      </c>
      <c r="C66" s="84" t="str">
        <f ca="1">VLOOKUP($B66,OFFSET([2]quests!$A$1,0,0,COUNTA([2]quests!$A:$A),MATCH(C$1,[2]quests!$1:$1,0)-MATCH($B$1,[2]quests!$1:$1,0)+1),MATCH(C$1,[2]quests!$1:$1,0)-MATCH($B$1,[2]quests!$1:$1,0)+1,FALSE)</f>
        <v>真実の探求者</v>
      </c>
      <c r="D66" s="84" t="str">
        <f ca="1">VLOOKUP($B66,OFFSET([2]quests!$A$1,0,0,COUNTA([2]quests!$A:$A),MATCH(D$1,[2]quests!$1:$1,0)-MATCH($B$1,[2]quests!$1:$1,0)+1),MATCH(D$1,[2]quests!$1:$1,0)-MATCH($B$1,[2]quests!$1:$1,0)+1,FALSE)</f>
        <v>ドロップイベント7（マルチ専用）</v>
      </c>
      <c r="E66" s="88">
        <v>2</v>
      </c>
      <c r="F66" s="84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【上級】真実の探求者</v>
      </c>
      <c r="G66" s="84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6" s="86">
        <v>0</v>
      </c>
      <c r="I66" s="98">
        <v>37</v>
      </c>
      <c r="J66" s="85" t="s">
        <v>198</v>
      </c>
      <c r="K66" s="94" t="str">
        <f>VLOOKUP(I66,[7]stage_hints!$A:$C,3,FALSE)</f>
        <v>限界突破値の引き継ぎ</v>
      </c>
      <c r="L66" s="95" t="str">
        <f>VLOOKUP(I66,[7]stage_hints!$A:$D,4,FALSE)</f>
        <v>同じユニットを強化で合成すると_x000D_限界突破値を引き継げます（覚醒前後も可）</v>
      </c>
      <c r="M66" s="57" t="s">
        <v>211</v>
      </c>
    </row>
    <row r="67" spans="1:13" x14ac:dyDescent="0.15">
      <c r="A67" s="82" t="s">
        <v>201</v>
      </c>
      <c r="B67" s="83">
        <f>floors!$C$2</f>
        <v>30025</v>
      </c>
      <c r="C67" s="84" t="str">
        <f ca="1">VLOOKUP($B67,OFFSET([2]quests!$A$1,0,0,COUNTA([2]quests!$A:$A),MATCH(C$1,[2]quests!$1:$1,0)-MATCH($B$1,[2]quests!$1:$1,0)+1),MATCH(C$1,[2]quests!$1:$1,0)-MATCH($B$1,[2]quests!$1:$1,0)+1,FALSE)</f>
        <v>真実の探求者</v>
      </c>
      <c r="D67" s="84" t="str">
        <f ca="1">VLOOKUP($B67,OFFSET([2]quests!$A$1,0,0,COUNTA([2]quests!$A:$A),MATCH(D$1,[2]quests!$1:$1,0)-MATCH($B$1,[2]quests!$1:$1,0)+1),MATCH(D$1,[2]quests!$1:$1,0)-MATCH($B$1,[2]quests!$1:$1,0)+1,FALSE)</f>
        <v>ドロップイベント7（マルチ専用）</v>
      </c>
      <c r="E67" s="88">
        <v>2</v>
      </c>
      <c r="F67" s="84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【上級】真実の探求者</v>
      </c>
      <c r="G67" s="84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7" s="86">
        <v>0</v>
      </c>
      <c r="I67" s="98">
        <v>39</v>
      </c>
      <c r="J67" s="85" t="s">
        <v>198</v>
      </c>
      <c r="K67" s="94" t="str">
        <f>VLOOKUP(I67,[7]stage_hints!$A:$C,3,FALSE)</f>
        <v>システム適合者を確認</v>
      </c>
      <c r="L67" s="95" t="str">
        <f>VLOOKUP(I67,[7]stage_hints!$A:$D,4,FALSE)</f>
        <v>ALICEが 「アナタ」を呼んでいます</v>
      </c>
      <c r="M67" s="57" t="s">
        <v>211</v>
      </c>
    </row>
    <row r="68" spans="1:13" x14ac:dyDescent="0.15">
      <c r="A68" s="82" t="s">
        <v>201</v>
      </c>
      <c r="B68" s="83">
        <f>floors!$C$2</f>
        <v>30025</v>
      </c>
      <c r="C68" s="84" t="str">
        <f ca="1">VLOOKUP($B68,OFFSET([2]quests!$A$1,0,0,COUNTA([2]quests!$A:$A),MATCH(C$1,[2]quests!$1:$1,0)-MATCH($B$1,[2]quests!$1:$1,0)+1),MATCH(C$1,[2]quests!$1:$1,0)-MATCH($B$1,[2]quests!$1:$1,0)+1,FALSE)</f>
        <v>真実の探求者</v>
      </c>
      <c r="D68" s="84" t="str">
        <f ca="1">VLOOKUP($B68,OFFSET([2]quests!$A$1,0,0,COUNTA([2]quests!$A:$A),MATCH(D$1,[2]quests!$1:$1,0)-MATCH($B$1,[2]quests!$1:$1,0)+1),MATCH(D$1,[2]quests!$1:$1,0)-MATCH($B$1,[2]quests!$1:$1,0)+1,FALSE)</f>
        <v>ドロップイベント7（マルチ専用）</v>
      </c>
      <c r="E68" s="88">
        <v>3</v>
      </c>
      <c r="F68" s="84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【超級】真実の探求者</v>
      </c>
      <c r="G68" s="84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8" s="86">
        <v>0</v>
      </c>
      <c r="I68">
        <v>12</v>
      </c>
      <c r="J68" s="85" t="s">
        <v>198</v>
      </c>
      <c r="K68" s="94" t="str">
        <f>VLOOKUP(I68,[7]stage_hints!$A:$C,3,FALSE)</f>
        <v>ユニットのお気に入り登録</v>
      </c>
      <c r="L68" s="95" t="str">
        <f>VLOOKUP(I68,[7]stage_hints!$A:$D,4,FALSE)</f>
        <v>大事なユニットを誤って消さないように_x000D_フォルダから「お気に入り登録」しましょう</v>
      </c>
      <c r="M68" s="57" t="s">
        <v>211</v>
      </c>
    </row>
    <row r="69" spans="1:13" x14ac:dyDescent="0.15">
      <c r="A69" s="82" t="s">
        <v>201</v>
      </c>
      <c r="B69" s="83">
        <f>floors!$C$2</f>
        <v>30025</v>
      </c>
      <c r="C69" s="84" t="str">
        <f ca="1">VLOOKUP($B69,OFFSET([2]quests!$A$1,0,0,COUNTA([2]quests!$A:$A),MATCH(C$1,[2]quests!$1:$1,0)-MATCH($B$1,[2]quests!$1:$1,0)+1),MATCH(C$1,[2]quests!$1:$1,0)-MATCH($B$1,[2]quests!$1:$1,0)+1,FALSE)</f>
        <v>真実の探求者</v>
      </c>
      <c r="D69" s="84" t="str">
        <f ca="1">VLOOKUP($B69,OFFSET([2]quests!$A$1,0,0,COUNTA([2]quests!$A:$A),MATCH(D$1,[2]quests!$1:$1,0)-MATCH($B$1,[2]quests!$1:$1,0)+1),MATCH(D$1,[2]quests!$1:$1,0)-MATCH($B$1,[2]quests!$1:$1,0)+1,FALSE)</f>
        <v>ドロップイベント7（マルチ専用）</v>
      </c>
      <c r="E69" s="88">
        <v>3</v>
      </c>
      <c r="F69" s="84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【超級】真実の探求者</v>
      </c>
      <c r="G69" s="84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9" s="86">
        <v>0</v>
      </c>
      <c r="I69">
        <v>17</v>
      </c>
      <c r="J69" s="85" t="s">
        <v>198</v>
      </c>
      <c r="K69" s="94" t="str">
        <f>VLOOKUP(I69,[7]stage_hints!$A:$C,3,FALSE)</f>
        <v>リンクガチャ</v>
      </c>
      <c r="L69" s="95" t="str">
        <f>VLOOKUP(I69,[7]stage_hints!$A:$D,4,FALSE)</f>
        <v>無料のリンクガチャを回して_x000D_経験値素材や売却素材を獲得しましょう</v>
      </c>
      <c r="M69" s="57" t="s">
        <v>211</v>
      </c>
    </row>
    <row r="70" spans="1:13" x14ac:dyDescent="0.15">
      <c r="A70" s="82" t="s">
        <v>201</v>
      </c>
      <c r="B70" s="83">
        <f>floors!$C$2</f>
        <v>30025</v>
      </c>
      <c r="C70" s="84" t="str">
        <f ca="1">VLOOKUP($B70,OFFSET([2]quests!$A$1,0,0,COUNTA([2]quests!$A:$A),MATCH(C$1,[2]quests!$1:$1,0)-MATCH($B$1,[2]quests!$1:$1,0)+1),MATCH(C$1,[2]quests!$1:$1,0)-MATCH($B$1,[2]quests!$1:$1,0)+1,FALSE)</f>
        <v>真実の探求者</v>
      </c>
      <c r="D70" s="84" t="str">
        <f ca="1">VLOOKUP($B70,OFFSET([2]quests!$A$1,0,0,COUNTA([2]quests!$A:$A),MATCH(D$1,[2]quests!$1:$1,0)-MATCH($B$1,[2]quests!$1:$1,0)+1),MATCH(D$1,[2]quests!$1:$1,0)-MATCH($B$1,[2]quests!$1:$1,0)+1,FALSE)</f>
        <v>ドロップイベント7（マルチ専用）</v>
      </c>
      <c r="E70" s="88">
        <v>3</v>
      </c>
      <c r="F70" s="84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【超級】真実の探求者</v>
      </c>
      <c r="G70" s="84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0" s="86">
        <v>0</v>
      </c>
      <c r="I70">
        <v>19</v>
      </c>
      <c r="J70" s="85" t="s">
        <v>198</v>
      </c>
      <c r="K70" s="94" t="str">
        <f>VLOOKUP(I70,[7]stage_hints!$A:$C,3,FALSE)</f>
        <v>ソロ専用タワーオブザクイーン</v>
      </c>
      <c r="L70" s="95" t="str">
        <f>VLOOKUP(I70,[7]stage_hints!$A:$D,4,FALSE)</f>
        <v>ソロ専用の「タワーオブザクイーン」は_x000D_期間限定で定期的に開催されます_x000D_ここでしか獲得できない報酬もあるようです</v>
      </c>
      <c r="M70" s="57" t="s">
        <v>211</v>
      </c>
    </row>
    <row r="71" spans="1:13" x14ac:dyDescent="0.15">
      <c r="A71" s="82" t="s">
        <v>201</v>
      </c>
      <c r="B71" s="83">
        <f>floors!$C$2</f>
        <v>30025</v>
      </c>
      <c r="C71" s="84" t="str">
        <f ca="1">VLOOKUP($B71,OFFSET([2]quests!$A$1,0,0,COUNTA([2]quests!$A:$A),MATCH(C$1,[2]quests!$1:$1,0)-MATCH($B$1,[2]quests!$1:$1,0)+1),MATCH(C$1,[2]quests!$1:$1,0)-MATCH($B$1,[2]quests!$1:$1,0)+1,FALSE)</f>
        <v>真実の探求者</v>
      </c>
      <c r="D71" s="84" t="str">
        <f ca="1">VLOOKUP($B71,OFFSET([2]quests!$A$1,0,0,COUNTA([2]quests!$A:$A),MATCH(D$1,[2]quests!$1:$1,0)-MATCH($B$1,[2]quests!$1:$1,0)+1),MATCH(D$1,[2]quests!$1:$1,0)-MATCH($B$1,[2]quests!$1:$1,0)+1,FALSE)</f>
        <v>ドロップイベント7（マルチ専用）</v>
      </c>
      <c r="E71" s="88">
        <v>3</v>
      </c>
      <c r="F71" s="84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【超級】真実の探求者</v>
      </c>
      <c r="G71" s="84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1" s="86">
        <v>0</v>
      </c>
      <c r="I71">
        <v>21</v>
      </c>
      <c r="J71" s="85" t="s">
        <v>198</v>
      </c>
      <c r="K71" s="94" t="str">
        <f>VLOOKUP(I71,[7]stage_hints!$A:$C,3,FALSE)</f>
        <v>スキルを有効に</v>
      </c>
      <c r="L71" s="95" t="str">
        <f>VLOOKUP(I71,[7]stage_hints!$A:$D,4,FALSE)</f>
        <v>ターン経過でユニットのスキルが使えます_x000D_強力スキルでバトルを有利に進めましょう</v>
      </c>
      <c r="M71" s="57" t="s">
        <v>211</v>
      </c>
    </row>
    <row r="72" spans="1:13" x14ac:dyDescent="0.15">
      <c r="A72" s="82" t="s">
        <v>201</v>
      </c>
      <c r="B72" s="83">
        <f>floors!$C$2</f>
        <v>30025</v>
      </c>
      <c r="C72" s="84" t="str">
        <f ca="1">VLOOKUP($B72,OFFSET([2]quests!$A$1,0,0,COUNTA([2]quests!$A:$A),MATCH(C$1,[2]quests!$1:$1,0)-MATCH($B$1,[2]quests!$1:$1,0)+1),MATCH(C$1,[2]quests!$1:$1,0)-MATCH($B$1,[2]quests!$1:$1,0)+1,FALSE)</f>
        <v>真実の探求者</v>
      </c>
      <c r="D72" s="84" t="str">
        <f ca="1">VLOOKUP($B72,OFFSET([2]quests!$A$1,0,0,COUNTA([2]quests!$A:$A),MATCH(D$1,[2]quests!$1:$1,0)-MATCH($B$1,[2]quests!$1:$1,0)+1),MATCH(D$1,[2]quests!$1:$1,0)-MATCH($B$1,[2]quests!$1:$1,0)+1,FALSE)</f>
        <v>ドロップイベント7（マルチ専用）</v>
      </c>
      <c r="E72" s="88">
        <v>3</v>
      </c>
      <c r="F72" s="84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【超級】真実の探求者</v>
      </c>
      <c r="G72" s="84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2" s="86">
        <v>0</v>
      </c>
      <c r="I72">
        <v>27</v>
      </c>
      <c r="J72" s="85" t="s">
        <v>198</v>
      </c>
      <c r="K72" s="94" t="str">
        <f>VLOOKUP(I72,[7]stage_hints!$A:$C,3,FALSE)</f>
        <v>ホーム画面からデッキを編成</v>
      </c>
      <c r="L72" s="95" t="str">
        <f>VLOOKUP(I72,[7]stage_hints!$A:$D,4,FALSE)</f>
        <v>ホーム画面でユニットを長押しすると_x000D_すぐにパーティ編成に移動できます</v>
      </c>
      <c r="M72" s="57" t="s">
        <v>211</v>
      </c>
    </row>
    <row r="73" spans="1:13" x14ac:dyDescent="0.15">
      <c r="A73" s="82" t="s">
        <v>201</v>
      </c>
      <c r="B73" s="83">
        <f>floors!$C$2</f>
        <v>30025</v>
      </c>
      <c r="C73" s="84" t="str">
        <f ca="1">VLOOKUP($B73,OFFSET([2]quests!$A$1,0,0,COUNTA([2]quests!$A:$A),MATCH(C$1,[2]quests!$1:$1,0)-MATCH($B$1,[2]quests!$1:$1,0)+1),MATCH(C$1,[2]quests!$1:$1,0)-MATCH($B$1,[2]quests!$1:$1,0)+1,FALSE)</f>
        <v>真実の探求者</v>
      </c>
      <c r="D73" s="84" t="str">
        <f ca="1">VLOOKUP($B73,OFFSET([2]quests!$A$1,0,0,COUNTA([2]quests!$A:$A),MATCH(D$1,[2]quests!$1:$1,0)-MATCH($B$1,[2]quests!$1:$1,0)+1),MATCH(D$1,[2]quests!$1:$1,0)-MATCH($B$1,[2]quests!$1:$1,0)+1,FALSE)</f>
        <v>ドロップイベント7（マルチ専用）</v>
      </c>
      <c r="E73" s="88">
        <v>3</v>
      </c>
      <c r="F73" s="84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【超級】真実の探求者</v>
      </c>
      <c r="G73" s="84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3" s="86">
        <v>0</v>
      </c>
      <c r="I73">
        <v>28</v>
      </c>
      <c r="J73" s="85" t="s">
        <v>198</v>
      </c>
      <c r="K73" s="94" t="str">
        <f>VLOOKUP(I73,[7]stage_hints!$A:$C,3,FALSE)</f>
        <v>ステータス情報は長押しで</v>
      </c>
      <c r="L73" s="95" t="str">
        <f>VLOOKUP(I73,[7]stage_hints!$A:$D,4,FALSE)</f>
        <v>ユニットのアイコンを長押しすると_x000D_ステータス情報を確認することができます</v>
      </c>
      <c r="M73" s="57" t="s">
        <v>211</v>
      </c>
    </row>
    <row r="74" spans="1:13" x14ac:dyDescent="0.15">
      <c r="A74" s="82" t="s">
        <v>201</v>
      </c>
      <c r="B74" s="83">
        <f>floors!$C$2</f>
        <v>30025</v>
      </c>
      <c r="C74" s="84" t="str">
        <f ca="1">VLOOKUP($B74,OFFSET([2]quests!$A$1,0,0,COUNTA([2]quests!$A:$A),MATCH(C$1,[2]quests!$1:$1,0)-MATCH($B$1,[2]quests!$1:$1,0)+1),MATCH(C$1,[2]quests!$1:$1,0)-MATCH($B$1,[2]quests!$1:$1,0)+1,FALSE)</f>
        <v>真実の探求者</v>
      </c>
      <c r="D74" s="84" t="str">
        <f ca="1">VLOOKUP($B74,OFFSET([2]quests!$A$1,0,0,COUNTA([2]quests!$A:$A),MATCH(D$1,[2]quests!$1:$1,0)-MATCH($B$1,[2]quests!$1:$1,0)+1),MATCH(D$1,[2]quests!$1:$1,0)-MATCH($B$1,[2]quests!$1:$1,0)+1,FALSE)</f>
        <v>ドロップイベント7（マルチ専用）</v>
      </c>
      <c r="E74" s="88">
        <v>3</v>
      </c>
      <c r="F74" s="84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【超級】真実の探求者</v>
      </c>
      <c r="G74" s="84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4" s="86">
        <v>0</v>
      </c>
      <c r="I74">
        <v>29</v>
      </c>
      <c r="J74" s="85" t="s">
        <v>198</v>
      </c>
      <c r="K74" s="94" t="str">
        <f>VLOOKUP(I74,[7]stage_hints!$A:$C,3,FALSE)</f>
        <v>「バグ」のメリット</v>
      </c>
      <c r="L74" s="95" t="str">
        <f>VLOOKUP(I74,[7]stage_hints!$A:$D,4,FALSE)</f>
        <v>ユニットの「バグ」を増やすと_x000D_報酬をもらえる確率がアップします</v>
      </c>
      <c r="M74" s="57" t="s">
        <v>211</v>
      </c>
    </row>
    <row r="75" spans="1:13" x14ac:dyDescent="0.15">
      <c r="A75" s="82" t="s">
        <v>201</v>
      </c>
      <c r="B75" s="83">
        <f>floors!$C$2</f>
        <v>30025</v>
      </c>
      <c r="C75" s="84" t="str">
        <f ca="1">VLOOKUP($B75,OFFSET([2]quests!$A$1,0,0,COUNTA([2]quests!$A:$A),MATCH(C$1,[2]quests!$1:$1,0)-MATCH($B$1,[2]quests!$1:$1,0)+1),MATCH(C$1,[2]quests!$1:$1,0)-MATCH($B$1,[2]quests!$1:$1,0)+1,FALSE)</f>
        <v>真実の探求者</v>
      </c>
      <c r="D75" s="84" t="str">
        <f ca="1">VLOOKUP($B75,OFFSET([2]quests!$A$1,0,0,COUNTA([2]quests!$A:$A),MATCH(D$1,[2]quests!$1:$1,0)-MATCH($B$1,[2]quests!$1:$1,0)+1),MATCH(D$1,[2]quests!$1:$1,0)-MATCH($B$1,[2]quests!$1:$1,0)+1,FALSE)</f>
        <v>ドロップイベント7（マルチ専用）</v>
      </c>
      <c r="E75" s="88">
        <v>3</v>
      </c>
      <c r="F75" s="84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【超級】真実の探求者</v>
      </c>
      <c r="G75" s="84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5" s="86">
        <v>0</v>
      </c>
      <c r="I75">
        <v>30</v>
      </c>
      <c r="J75" s="85" t="s">
        <v>198</v>
      </c>
      <c r="K75" s="94" t="str">
        <f>VLOOKUP(I75,[7]stage_hints!$A:$C,3,FALSE)</f>
        <v>「バグ」の増やし方</v>
      </c>
      <c r="L75" s="95" t="str">
        <f>VLOOKUP(I75,[7]stage_hints!$A:$D,4,FALSE)</f>
        <v>同じユニット同士を強化で合成すると_x000D_「バグ」を増やすことができます</v>
      </c>
      <c r="M75" s="57" t="s">
        <v>211</v>
      </c>
    </row>
    <row r="76" spans="1:13" x14ac:dyDescent="0.15">
      <c r="A76" s="82" t="s">
        <v>201</v>
      </c>
      <c r="B76" s="83">
        <f>floors!$C$2</f>
        <v>30025</v>
      </c>
      <c r="C76" s="84" t="str">
        <f ca="1">VLOOKUP($B76,OFFSET([2]quests!$A$1,0,0,COUNTA([2]quests!$A:$A),MATCH(C$1,[2]quests!$1:$1,0)-MATCH($B$1,[2]quests!$1:$1,0)+1),MATCH(C$1,[2]quests!$1:$1,0)-MATCH($B$1,[2]quests!$1:$1,0)+1,FALSE)</f>
        <v>真実の探求者</v>
      </c>
      <c r="D76" s="84" t="str">
        <f ca="1">VLOOKUP($B76,OFFSET([2]quests!$A$1,0,0,COUNTA([2]quests!$A:$A),MATCH(D$1,[2]quests!$1:$1,0)-MATCH($B$1,[2]quests!$1:$1,0)+1),MATCH(D$1,[2]quests!$1:$1,0)-MATCH($B$1,[2]quests!$1:$1,0)+1,FALSE)</f>
        <v>ドロップイベント7（マルチ専用）</v>
      </c>
      <c r="E76" s="88">
        <v>3</v>
      </c>
      <c r="F76" s="84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【超級】真実の探求者</v>
      </c>
      <c r="G76" s="84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6" s="86">
        <v>0</v>
      </c>
      <c r="I76">
        <v>32</v>
      </c>
      <c r="J76" s="85" t="s">
        <v>198</v>
      </c>
      <c r="K76" s="94" t="str">
        <f>VLOOKUP(I76,[7]stage_hints!$A:$C,3,FALSE)</f>
        <v>敵の連続攻撃には</v>
      </c>
      <c r="L76" s="95" t="str">
        <f>VLOOKUP(I76,[7]stage_hints!$A:$D,4,FALSE)</f>
        <v>カウンタースキルを持つユニットがいれば_x000D_ダメージ回数分の反撃ができます</v>
      </c>
      <c r="M76" s="57" t="s">
        <v>211</v>
      </c>
    </row>
    <row r="77" spans="1:13" x14ac:dyDescent="0.15">
      <c r="A77" s="82" t="s">
        <v>201</v>
      </c>
      <c r="B77" s="83">
        <f>floors!$C$2</f>
        <v>30025</v>
      </c>
      <c r="C77" s="84" t="str">
        <f ca="1">VLOOKUP($B77,OFFSET([2]quests!$A$1,0,0,COUNTA([2]quests!$A:$A),MATCH(C$1,[2]quests!$1:$1,0)-MATCH($B$1,[2]quests!$1:$1,0)+1),MATCH(C$1,[2]quests!$1:$1,0)-MATCH($B$1,[2]quests!$1:$1,0)+1,FALSE)</f>
        <v>真実の探求者</v>
      </c>
      <c r="D77" s="84" t="str">
        <f ca="1">VLOOKUP($B77,OFFSET([2]quests!$A$1,0,0,COUNTA([2]quests!$A:$A),MATCH(D$1,[2]quests!$1:$1,0)-MATCH($B$1,[2]quests!$1:$1,0)+1),MATCH(D$1,[2]quests!$1:$1,0)-MATCH($B$1,[2]quests!$1:$1,0)+1,FALSE)</f>
        <v>ドロップイベント7（マルチ専用）</v>
      </c>
      <c r="E77" s="88">
        <v>3</v>
      </c>
      <c r="F77" s="84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【超級】真実の探求者</v>
      </c>
      <c r="G77" s="84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7" s="86">
        <v>0</v>
      </c>
      <c r="I77">
        <v>33</v>
      </c>
      <c r="J77" s="85" t="s">
        <v>198</v>
      </c>
      <c r="K77" s="94" t="str">
        <f>VLOOKUP(I77,[7]stage_hints!$A:$C,3,FALSE)</f>
        <v>敵のカウンター攻撃には</v>
      </c>
      <c r="L77" s="95" t="str">
        <f>VLOOKUP(I77,[7]stage_hints!$A:$D,4,FALSE)</f>
        <v>カウンターブレイクスキルを持っていれば_x000D_敵のカウンターを解除して攻撃ができます</v>
      </c>
      <c r="M77" s="57" t="s">
        <v>211</v>
      </c>
    </row>
    <row r="78" spans="1:13" x14ac:dyDescent="0.15">
      <c r="A78" s="82" t="s">
        <v>201</v>
      </c>
      <c r="B78" s="83">
        <f>floors!$C$2</f>
        <v>30025</v>
      </c>
      <c r="C78" s="84" t="str">
        <f ca="1">VLOOKUP($B78,OFFSET([2]quests!$A$1,0,0,COUNTA([2]quests!$A:$A),MATCH(C$1,[2]quests!$1:$1,0)-MATCH($B$1,[2]quests!$1:$1,0)+1),MATCH(C$1,[2]quests!$1:$1,0)-MATCH($B$1,[2]quests!$1:$1,0)+1,FALSE)</f>
        <v>真実の探求者</v>
      </c>
      <c r="D78" s="84" t="str">
        <f ca="1">VLOOKUP($B78,OFFSET([2]quests!$A$1,0,0,COUNTA([2]quests!$A:$A),MATCH(D$1,[2]quests!$1:$1,0)-MATCH($B$1,[2]quests!$1:$1,0)+1),MATCH(D$1,[2]quests!$1:$1,0)-MATCH($B$1,[2]quests!$1:$1,0)+1,FALSE)</f>
        <v>ドロップイベント7（マルチ専用）</v>
      </c>
      <c r="E78" s="88">
        <v>3</v>
      </c>
      <c r="F78" s="84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【超級】真実の探求者</v>
      </c>
      <c r="G78" s="84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8" s="86">
        <v>0</v>
      </c>
      <c r="I78">
        <v>34</v>
      </c>
      <c r="J78" s="85" t="s">
        <v>198</v>
      </c>
      <c r="K78" s="94" t="str">
        <f>VLOOKUP(I78,[7]stage_hints!$A:$C,3,FALSE)</f>
        <v>ステータスをスキルで下げられたら</v>
      </c>
      <c r="L78" s="95" t="str">
        <f>VLOOKUP(I78,[7]stage_hints!$A:$D,4,FALSE)</f>
        <v>ステータスダウンのスキルを受けたら_x000D_ステータスアップスキルで上書きしましょう</v>
      </c>
      <c r="M78" s="57" t="s">
        <v>211</v>
      </c>
    </row>
    <row r="79" spans="1:13" x14ac:dyDescent="0.15">
      <c r="A79" s="82" t="s">
        <v>201</v>
      </c>
      <c r="B79" s="83">
        <f>floors!$C$2</f>
        <v>30025</v>
      </c>
      <c r="C79" s="84" t="str">
        <f ca="1">VLOOKUP($B79,OFFSET([2]quests!$A$1,0,0,COUNTA([2]quests!$A:$A),MATCH(C$1,[2]quests!$1:$1,0)-MATCH($B$1,[2]quests!$1:$1,0)+1),MATCH(C$1,[2]quests!$1:$1,0)-MATCH($B$1,[2]quests!$1:$1,0)+1,FALSE)</f>
        <v>真実の探求者</v>
      </c>
      <c r="D79" s="84" t="str">
        <f ca="1">VLOOKUP($B79,OFFSET([2]quests!$A$1,0,0,COUNTA([2]quests!$A:$A),MATCH(D$1,[2]quests!$1:$1,0)-MATCH($B$1,[2]quests!$1:$1,0)+1),MATCH(D$1,[2]quests!$1:$1,0)-MATCH($B$1,[2]quests!$1:$1,0)+1,FALSE)</f>
        <v>ドロップイベント7（マルチ専用）</v>
      </c>
      <c r="E79" s="88">
        <v>3</v>
      </c>
      <c r="F79" s="84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【超級】真実の探求者</v>
      </c>
      <c r="G79" s="84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9" s="86">
        <v>0</v>
      </c>
      <c r="I79">
        <v>35</v>
      </c>
      <c r="J79" s="85" t="s">
        <v>198</v>
      </c>
      <c r="K79" s="94" t="str">
        <f>VLOOKUP(I79,[7]stage_hints!$A:$C,3,FALSE)</f>
        <v>敵のステータスがスキルで上がったら</v>
      </c>
      <c r="L79" s="95" t="str">
        <f>VLOOKUP(I79,[7]stage_hints!$A:$D,4,FALSE)</f>
        <v>敵のステータスがスキルでアップしたときは_x000D_ステータスダウンスキルで上書きしましょう</v>
      </c>
      <c r="M79" s="57" t="s">
        <v>211</v>
      </c>
    </row>
    <row r="80" spans="1:13" x14ac:dyDescent="0.15">
      <c r="A80" s="82" t="s">
        <v>201</v>
      </c>
      <c r="B80" s="83">
        <f>floors!$C$2</f>
        <v>30025</v>
      </c>
      <c r="C80" s="84" t="str">
        <f ca="1">VLOOKUP($B80,OFFSET([2]quests!$A$1,0,0,COUNTA([2]quests!$A:$A),MATCH(C$1,[2]quests!$1:$1,0)-MATCH($B$1,[2]quests!$1:$1,0)+1),MATCH(C$1,[2]quests!$1:$1,0)-MATCH($B$1,[2]quests!$1:$1,0)+1,FALSE)</f>
        <v>真実の探求者</v>
      </c>
      <c r="D80" s="84" t="str">
        <f ca="1">VLOOKUP($B80,OFFSET([2]quests!$A$1,0,0,COUNTA([2]quests!$A:$A),MATCH(D$1,[2]quests!$1:$1,0)-MATCH($B$1,[2]quests!$1:$1,0)+1),MATCH(D$1,[2]quests!$1:$1,0)-MATCH($B$1,[2]quests!$1:$1,0)+1,FALSE)</f>
        <v>ドロップイベント7（マルチ専用）</v>
      </c>
      <c r="E80" s="88">
        <v>3</v>
      </c>
      <c r="F80" s="84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【超級】真実の探求者</v>
      </c>
      <c r="G80" s="84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0" s="86">
        <v>0</v>
      </c>
      <c r="I80">
        <v>36</v>
      </c>
      <c r="J80" s="85" t="s">
        <v>198</v>
      </c>
      <c r="K80" s="94" t="str">
        <f>VLOOKUP(I80,[7]stage_hints!$A:$C,3,FALSE)</f>
        <v>タワーオブザクイーンのボス</v>
      </c>
      <c r="L80" s="95" t="str">
        <f>VLOOKUP(I80,[7]stage_hints!$A:$D,4,FALSE)</f>
        <v>「タワーオブザクイーン」最上階のボスは_x000D_15階の初回クリア報酬で獲得できるほか_x000D_その階にて低確率でドロップもします</v>
      </c>
      <c r="M80" s="57" t="s">
        <v>211</v>
      </c>
    </row>
    <row r="81" spans="1:13" x14ac:dyDescent="0.15">
      <c r="A81" s="82" t="s">
        <v>201</v>
      </c>
      <c r="B81" s="83">
        <f>floors!$C$2</f>
        <v>30025</v>
      </c>
      <c r="C81" s="84" t="str">
        <f ca="1">VLOOKUP($B81,OFFSET([2]quests!$A$1,0,0,COUNTA([2]quests!$A:$A),MATCH(C$1,[2]quests!$1:$1,0)-MATCH($B$1,[2]quests!$1:$1,0)+1),MATCH(C$1,[2]quests!$1:$1,0)-MATCH($B$1,[2]quests!$1:$1,0)+1,FALSE)</f>
        <v>真実の探求者</v>
      </c>
      <c r="D81" s="84" t="str">
        <f ca="1">VLOOKUP($B81,OFFSET([2]quests!$A$1,0,0,COUNTA([2]quests!$A:$A),MATCH(D$1,[2]quests!$1:$1,0)-MATCH($B$1,[2]quests!$1:$1,0)+1),MATCH(D$1,[2]quests!$1:$1,0)-MATCH($B$1,[2]quests!$1:$1,0)+1,FALSE)</f>
        <v>ドロップイベント7（マルチ専用）</v>
      </c>
      <c r="E81" s="88">
        <v>3</v>
      </c>
      <c r="F81" s="84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【超級】真実の探求者</v>
      </c>
      <c r="G81" s="84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1" s="86">
        <v>0</v>
      </c>
      <c r="I81">
        <v>37</v>
      </c>
      <c r="J81" s="85" t="s">
        <v>198</v>
      </c>
      <c r="K81" s="94" t="str">
        <f>VLOOKUP(I81,[7]stage_hints!$A:$C,3,FALSE)</f>
        <v>限界突破値の引き継ぎ</v>
      </c>
      <c r="L81" s="95" t="str">
        <f>VLOOKUP(I81,[7]stage_hints!$A:$D,4,FALSE)</f>
        <v>同じユニットを強化で合成すると_x000D_限界突破値を引き継げます（覚醒前後も可）</v>
      </c>
      <c r="M81" s="57" t="s">
        <v>211</v>
      </c>
    </row>
    <row r="82" spans="1:13" x14ac:dyDescent="0.15">
      <c r="A82" s="82" t="s">
        <v>201</v>
      </c>
      <c r="B82" s="83">
        <f>floors!$C$2</f>
        <v>30025</v>
      </c>
      <c r="C82" s="84" t="str">
        <f ca="1">VLOOKUP($B82,OFFSET([2]quests!$A$1,0,0,COUNTA([2]quests!$A:$A),MATCH(C$1,[2]quests!$1:$1,0)-MATCH($B$1,[2]quests!$1:$1,0)+1),MATCH(C$1,[2]quests!$1:$1,0)-MATCH($B$1,[2]quests!$1:$1,0)+1,FALSE)</f>
        <v>真実の探求者</v>
      </c>
      <c r="D82" s="84" t="str">
        <f ca="1">VLOOKUP($B82,OFFSET([2]quests!$A$1,0,0,COUNTA([2]quests!$A:$A),MATCH(D$1,[2]quests!$1:$1,0)-MATCH($B$1,[2]quests!$1:$1,0)+1),MATCH(D$1,[2]quests!$1:$1,0)-MATCH($B$1,[2]quests!$1:$1,0)+1,FALSE)</f>
        <v>ドロップイベント7（マルチ専用）</v>
      </c>
      <c r="E82" s="88">
        <v>3</v>
      </c>
      <c r="F82" s="84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【超級】真実の探求者</v>
      </c>
      <c r="G82" s="84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2" s="86">
        <v>0</v>
      </c>
      <c r="I82">
        <v>39</v>
      </c>
      <c r="J82" s="85" t="s">
        <v>198</v>
      </c>
      <c r="K82" s="94" t="str">
        <f>VLOOKUP(I82,[7]stage_hints!$A:$C,3,FALSE)</f>
        <v>システム適合者を確認</v>
      </c>
      <c r="L82" s="95" t="str">
        <f>VLOOKUP(I82,[7]stage_hints!$A:$D,4,FALSE)</f>
        <v>ALICEが 「アナタ」を呼んでいます</v>
      </c>
      <c r="M82" s="57" t="s">
        <v>211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2"/>
  <sheetViews>
    <sheetView showGridLines="0" workbookViewId="0">
      <pane ySplit="1" topLeftCell="A2" activePane="bottomLeft" state="frozen"/>
      <selection pane="bottomLeft" activeCell="P7" sqref="P7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188</v>
      </c>
      <c r="B1" s="73" t="s">
        <v>151</v>
      </c>
      <c r="C1" s="78" t="s">
        <v>190</v>
      </c>
      <c r="D1" s="78" t="s">
        <v>33</v>
      </c>
      <c r="E1" s="73" t="s">
        <v>191</v>
      </c>
      <c r="F1" s="78" t="s">
        <v>18</v>
      </c>
      <c r="G1" s="78" t="s">
        <v>33</v>
      </c>
      <c r="H1" s="73" t="s">
        <v>193</v>
      </c>
      <c r="I1" s="90" t="s">
        <v>194</v>
      </c>
      <c r="J1" s="92" t="s">
        <v>195</v>
      </c>
      <c r="K1" s="80" t="s">
        <v>127</v>
      </c>
      <c r="L1" s="79" t="s">
        <v>187</v>
      </c>
      <c r="M1" s="93" t="s">
        <v>186</v>
      </c>
      <c r="N1" s="81" t="s">
        <v>196</v>
      </c>
    </row>
    <row r="2" spans="1:14" ht="56" x14ac:dyDescent="0.15">
      <c r="A2" s="82" t="s">
        <v>197</v>
      </c>
      <c r="B2" s="83">
        <f>floors!$C$2</f>
        <v>30025</v>
      </c>
      <c r="C2" s="84" t="str">
        <f ca="1">VLOOKUP($B2,OFFSET([2]quests!$A$1,0,0,COUNTA([2]quests!$A:$A),MATCH(C$1,[2]quests!$1:$1,0)-MATCH($B$1,[2]quests!$1:$1,0)+1),MATCH(C$1,[2]quests!$1:$1,0)-MATCH($B$1,[2]quests!$1:$1,0)+1,FALSE)</f>
        <v>真実の探求者</v>
      </c>
      <c r="D2" s="84" t="str">
        <f ca="1">VLOOKUP($B2,OFFSET([2]quests!$A$1,0,0,COUNTA([2]quests!$A:$A),MATCH(D$1,[2]quests!$1:$1,0)-MATCH($B$1,[2]quests!$1:$1,0)+1),MATCH(D$1,[2]quests!$1:$1,0)-MATCH($B$1,[2]quests!$1:$1,0)+1,FALSE)</f>
        <v>ドロップイベント7（マルチ専用）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【中級】真実の探求者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2" s="86">
        <v>1</v>
      </c>
      <c r="I2" s="91">
        <f t="shared" ref="I2:I12" si="0">ROW()-1</f>
        <v>1</v>
      </c>
      <c r="J2" s="87" t="str">
        <f t="shared" ref="J2:J12" si="1">B2&amp;TEXT(I2,"00")</f>
        <v>3002501</v>
      </c>
      <c r="K2" s="85" t="s">
        <v>198</v>
      </c>
      <c r="L2" s="88" t="s">
        <v>199</v>
      </c>
      <c r="M2" s="109" t="s">
        <v>247</v>
      </c>
      <c r="N2" s="57" t="s">
        <v>200</v>
      </c>
    </row>
    <row r="3" spans="1:14" ht="28" x14ac:dyDescent="0.15">
      <c r="A3" s="82" t="s">
        <v>197</v>
      </c>
      <c r="B3" s="83">
        <f>floors!$C$2</f>
        <v>30025</v>
      </c>
      <c r="C3" s="84" t="str">
        <f ca="1">VLOOKUP($B3,OFFSET([2]quests!$A$1,0,0,COUNTA([2]quests!$A:$A),MATCH(C$1,[2]quests!$1:$1,0)-MATCH($B$1,[2]quests!$1:$1,0)+1),MATCH(C$1,[2]quests!$1:$1,0)-MATCH($B$1,[2]quests!$1:$1,0)+1,FALSE)</f>
        <v>真実の探求者</v>
      </c>
      <c r="D3" s="84" t="str">
        <f ca="1">VLOOKUP($B3,OFFSET([2]quests!$A$1,0,0,COUNTA([2]quests!$A:$A),MATCH(D$1,[2]quests!$1:$1,0)-MATCH($B$1,[2]quests!$1:$1,0)+1),MATCH(D$1,[2]quests!$1:$1,0)-MATCH($B$1,[2]quests!$1:$1,0)+1,FALSE)</f>
        <v>ドロップイベント7（マルチ専用）</v>
      </c>
      <c r="E3" s="85">
        <v>1</v>
      </c>
      <c r="F3" s="84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【中級】真実の探求者</v>
      </c>
      <c r="G3" s="84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3" s="86">
        <v>2</v>
      </c>
      <c r="I3" s="91">
        <f t="shared" si="0"/>
        <v>2</v>
      </c>
      <c r="J3" s="87" t="str">
        <f t="shared" si="1"/>
        <v>3002502</v>
      </c>
      <c r="K3" s="85" t="s">
        <v>128</v>
      </c>
      <c r="L3" s="88" t="s">
        <v>199</v>
      </c>
      <c r="M3" s="109" t="s">
        <v>248</v>
      </c>
      <c r="N3" s="57" t="s">
        <v>200</v>
      </c>
    </row>
    <row r="4" spans="1:14" ht="28" x14ac:dyDescent="0.15">
      <c r="A4" s="82" t="s">
        <v>197</v>
      </c>
      <c r="B4" s="83">
        <f>floors!$C$2</f>
        <v>30025</v>
      </c>
      <c r="C4" s="84" t="str">
        <f ca="1">VLOOKUP($B4,OFFSET([2]quests!$A$1,0,0,COUNTA([2]quests!$A:$A),MATCH(C$1,[2]quests!$1:$1,0)-MATCH($B$1,[2]quests!$1:$1,0)+1),MATCH(C$1,[2]quests!$1:$1,0)-MATCH($B$1,[2]quests!$1:$1,0)+1,FALSE)</f>
        <v>真実の探求者</v>
      </c>
      <c r="D4" s="84" t="str">
        <f ca="1">VLOOKUP($B4,OFFSET([2]quests!$A$1,0,0,COUNTA([2]quests!$A:$A),MATCH(D$1,[2]quests!$1:$1,0)-MATCH($B$1,[2]quests!$1:$1,0)+1),MATCH(D$1,[2]quests!$1:$1,0)-MATCH($B$1,[2]quests!$1:$1,0)+1,FALSE)</f>
        <v>ドロップイベント7（マルチ専用）</v>
      </c>
      <c r="E4" s="85">
        <v>1</v>
      </c>
      <c r="F4" s="84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【中級】真実の探求者</v>
      </c>
      <c r="G4" s="84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4" s="86">
        <v>3</v>
      </c>
      <c r="I4" s="91">
        <f t="shared" si="0"/>
        <v>3</v>
      </c>
      <c r="J4" s="87" t="str">
        <f t="shared" si="1"/>
        <v>3002503</v>
      </c>
      <c r="K4" s="85" t="s">
        <v>128</v>
      </c>
      <c r="L4" s="88" t="s">
        <v>199</v>
      </c>
      <c r="M4" s="109" t="s">
        <v>254</v>
      </c>
      <c r="N4" s="57" t="s">
        <v>200</v>
      </c>
    </row>
    <row r="5" spans="1:14" ht="56" x14ac:dyDescent="0.15">
      <c r="A5" s="82" t="s">
        <v>197</v>
      </c>
      <c r="B5" s="83">
        <f>floors!$C$2</f>
        <v>30025</v>
      </c>
      <c r="C5" s="84" t="str">
        <f ca="1">VLOOKUP($B5,OFFSET([2]quests!$A$1,0,0,COUNTA([2]quests!$A:$A),MATCH(C$1,[2]quests!$1:$1,0)-MATCH($B$1,[2]quests!$1:$1,0)+1),MATCH(C$1,[2]quests!$1:$1,0)-MATCH($B$1,[2]quests!$1:$1,0)+1,FALSE)</f>
        <v>真実の探求者</v>
      </c>
      <c r="D5" s="84" t="str">
        <f ca="1">VLOOKUP($B5,OFFSET([2]quests!$A$1,0,0,COUNTA([2]quests!$A:$A),MATCH(D$1,[2]quests!$1:$1,0)-MATCH($B$1,[2]quests!$1:$1,0)+1),MATCH(D$1,[2]quests!$1:$1,0)-MATCH($B$1,[2]quests!$1:$1,0)+1,FALSE)</f>
        <v>ドロップイベント7（マルチ専用）</v>
      </c>
      <c r="E5" s="85">
        <v>2</v>
      </c>
      <c r="F5" s="84" t="str">
        <f ca="1">VLOOKUP($B5&amp;"_"&amp;$E5,OFFSET([2]stages!$A$1,0,0,COUNTA([2]stages!$A:$A),MATCH(F$1,[2]stages!$2:$2,0)-MATCH("temp_stage",[2]stages!$2:$2,0)+1),MATCH(F$1,[2]stages!$2:$2,0)-MATCH("temp_stage",[2]stages!$2:$2,0)+1,FALSE)</f>
        <v>【上級】真実の探求者</v>
      </c>
      <c r="G5" s="84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5" s="86">
        <v>1</v>
      </c>
      <c r="I5" s="91">
        <f t="shared" si="0"/>
        <v>4</v>
      </c>
      <c r="J5" s="87" t="str">
        <f t="shared" si="1"/>
        <v>3002504</v>
      </c>
      <c r="K5" s="85" t="s">
        <v>128</v>
      </c>
      <c r="L5" s="88" t="s">
        <v>199</v>
      </c>
      <c r="M5" s="109" t="s">
        <v>247</v>
      </c>
      <c r="N5" s="57" t="s">
        <v>200</v>
      </c>
    </row>
    <row r="6" spans="1:14" ht="28" x14ac:dyDescent="0.15">
      <c r="A6" s="82" t="s">
        <v>197</v>
      </c>
      <c r="B6" s="83">
        <f>floors!$C$2</f>
        <v>30025</v>
      </c>
      <c r="C6" s="84" t="str">
        <f ca="1">VLOOKUP($B6,OFFSET([2]quests!$A$1,0,0,COUNTA([2]quests!$A:$A),MATCH(C$1,[2]quests!$1:$1,0)-MATCH($B$1,[2]quests!$1:$1,0)+1),MATCH(C$1,[2]quests!$1:$1,0)-MATCH($B$1,[2]quests!$1:$1,0)+1,FALSE)</f>
        <v>真実の探求者</v>
      </c>
      <c r="D6" s="84" t="str">
        <f ca="1">VLOOKUP($B6,OFFSET([2]quests!$A$1,0,0,COUNTA([2]quests!$A:$A),MATCH(D$1,[2]quests!$1:$1,0)-MATCH($B$1,[2]quests!$1:$1,0)+1),MATCH(D$1,[2]quests!$1:$1,0)-MATCH($B$1,[2]quests!$1:$1,0)+1,FALSE)</f>
        <v>ドロップイベント7（マルチ専用）</v>
      </c>
      <c r="E6" s="85">
        <v>2</v>
      </c>
      <c r="F6" s="84" t="str">
        <f ca="1">VLOOKUP($B6&amp;"_"&amp;$E6,OFFSET([2]stages!$A$1,0,0,COUNTA([2]stages!$A:$A),MATCH(F$1,[2]stages!$2:$2,0)-MATCH("temp_stage",[2]stages!$2:$2,0)+1),MATCH(F$1,[2]stages!$2:$2,0)-MATCH("temp_stage",[2]stages!$2:$2,0)+1,FALSE)</f>
        <v>【上級】真実の探求者</v>
      </c>
      <c r="G6" s="84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6" s="86">
        <v>2</v>
      </c>
      <c r="I6" s="91">
        <f t="shared" si="0"/>
        <v>5</v>
      </c>
      <c r="J6" s="87" t="str">
        <f t="shared" si="1"/>
        <v>3002505</v>
      </c>
      <c r="K6" s="85" t="s">
        <v>128</v>
      </c>
      <c r="L6" s="88" t="s">
        <v>199</v>
      </c>
      <c r="M6" s="109" t="s">
        <v>249</v>
      </c>
      <c r="N6" s="57" t="s">
        <v>200</v>
      </c>
    </row>
    <row r="7" spans="1:14" ht="70" x14ac:dyDescent="0.15">
      <c r="A7" s="82" t="s">
        <v>197</v>
      </c>
      <c r="B7" s="83">
        <f>floors!$C$2</f>
        <v>30025</v>
      </c>
      <c r="C7" s="84" t="str">
        <f ca="1">VLOOKUP($B7,OFFSET([2]quests!$A$1,0,0,COUNTA([2]quests!$A:$A),MATCH(C$1,[2]quests!$1:$1,0)-MATCH($B$1,[2]quests!$1:$1,0)+1),MATCH(C$1,[2]quests!$1:$1,0)-MATCH($B$1,[2]quests!$1:$1,0)+1,FALSE)</f>
        <v>真実の探求者</v>
      </c>
      <c r="D7" s="84" t="str">
        <f ca="1">VLOOKUP($B7,OFFSET([2]quests!$A$1,0,0,COUNTA([2]quests!$A:$A),MATCH(D$1,[2]quests!$1:$1,0)-MATCH($B$1,[2]quests!$1:$1,0)+1),MATCH(D$1,[2]quests!$1:$1,0)-MATCH($B$1,[2]quests!$1:$1,0)+1,FALSE)</f>
        <v>ドロップイベント7（マルチ専用）</v>
      </c>
      <c r="E7" s="85">
        <v>2</v>
      </c>
      <c r="F7" s="84" t="str">
        <f ca="1">VLOOKUP($B7&amp;"_"&amp;$E7,OFFSET([2]stages!$A$1,0,0,COUNTA([2]stages!$A:$A),MATCH(F$1,[2]stages!$2:$2,0)-MATCH("temp_stage",[2]stages!$2:$2,0)+1),MATCH(F$1,[2]stages!$2:$2,0)-MATCH("temp_stage",[2]stages!$2:$2,0)+1,FALSE)</f>
        <v>【上級】真実の探求者</v>
      </c>
      <c r="G7" s="84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7" s="86">
        <v>3</v>
      </c>
      <c r="I7" s="91">
        <f t="shared" si="0"/>
        <v>6</v>
      </c>
      <c r="J7" s="87" t="str">
        <f t="shared" si="1"/>
        <v>3002506</v>
      </c>
      <c r="K7" s="85" t="s">
        <v>128</v>
      </c>
      <c r="L7" s="88" t="s">
        <v>199</v>
      </c>
      <c r="M7" s="109" t="s">
        <v>252</v>
      </c>
      <c r="N7" s="57" t="s">
        <v>200</v>
      </c>
    </row>
    <row r="8" spans="1:14" ht="56" x14ac:dyDescent="0.15">
      <c r="A8" s="82" t="s">
        <v>197</v>
      </c>
      <c r="B8" s="83">
        <f>floors!$C$2</f>
        <v>30025</v>
      </c>
      <c r="C8" s="84" t="str">
        <f ca="1">VLOOKUP($B8,OFFSET([2]quests!$A$1,0,0,COUNTA([2]quests!$A:$A),MATCH(C$1,[2]quests!$1:$1,0)-MATCH($B$1,[2]quests!$1:$1,0)+1),MATCH(C$1,[2]quests!$1:$1,0)-MATCH($B$1,[2]quests!$1:$1,0)+1,FALSE)</f>
        <v>真実の探求者</v>
      </c>
      <c r="D8" s="84" t="str">
        <f ca="1">VLOOKUP($B8,OFFSET([2]quests!$A$1,0,0,COUNTA([2]quests!$A:$A),MATCH(D$1,[2]quests!$1:$1,0)-MATCH($B$1,[2]quests!$1:$1,0)+1),MATCH(D$1,[2]quests!$1:$1,0)-MATCH($B$1,[2]quests!$1:$1,0)+1,FALSE)</f>
        <v>ドロップイベント7（マルチ専用）</v>
      </c>
      <c r="E8" s="85">
        <v>3</v>
      </c>
      <c r="F8" s="84" t="str">
        <f ca="1">VLOOKUP($B8&amp;"_"&amp;$E8,OFFSET([2]stages!$A$1,0,0,COUNTA([2]stages!$A:$A),MATCH(F$1,[2]stages!$2:$2,0)-MATCH("temp_stage",[2]stages!$2:$2,0)+1),MATCH(F$1,[2]stages!$2:$2,0)-MATCH("temp_stage",[2]stages!$2:$2,0)+1,FALSE)</f>
        <v>【超級】真実の探求者</v>
      </c>
      <c r="G8" s="84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8" s="86">
        <v>1</v>
      </c>
      <c r="I8" s="91">
        <f t="shared" si="0"/>
        <v>7</v>
      </c>
      <c r="J8" s="87" t="str">
        <f t="shared" si="1"/>
        <v>3002507</v>
      </c>
      <c r="K8" s="85" t="s">
        <v>128</v>
      </c>
      <c r="L8" s="88" t="s">
        <v>199</v>
      </c>
      <c r="M8" s="109" t="s">
        <v>247</v>
      </c>
      <c r="N8" s="57" t="s">
        <v>200</v>
      </c>
    </row>
    <row r="9" spans="1:14" ht="28" x14ac:dyDescent="0.15">
      <c r="A9" s="82" t="s">
        <v>197</v>
      </c>
      <c r="B9" s="83">
        <f>floors!$C$2</f>
        <v>30025</v>
      </c>
      <c r="C9" s="84" t="str">
        <f ca="1">VLOOKUP($B9,OFFSET([2]quests!$A$1,0,0,COUNTA([2]quests!$A:$A),MATCH(C$1,[2]quests!$1:$1,0)-MATCH($B$1,[2]quests!$1:$1,0)+1),MATCH(C$1,[2]quests!$1:$1,0)-MATCH($B$1,[2]quests!$1:$1,0)+1,FALSE)</f>
        <v>真実の探求者</v>
      </c>
      <c r="D9" s="84" t="str">
        <f ca="1">VLOOKUP($B9,OFFSET([2]quests!$A$1,0,0,COUNTA([2]quests!$A:$A),MATCH(D$1,[2]quests!$1:$1,0)-MATCH($B$1,[2]quests!$1:$1,0)+1),MATCH(D$1,[2]quests!$1:$1,0)-MATCH($B$1,[2]quests!$1:$1,0)+1,FALSE)</f>
        <v>ドロップイベント7（マルチ専用）</v>
      </c>
      <c r="E9" s="85">
        <v>3</v>
      </c>
      <c r="F9" s="84" t="str">
        <f ca="1">VLOOKUP($B9&amp;"_"&amp;$E9,OFFSET([2]stages!$A$1,0,0,COUNTA([2]stages!$A:$A),MATCH(F$1,[2]stages!$2:$2,0)-MATCH("temp_stage",[2]stages!$2:$2,0)+1),MATCH(F$1,[2]stages!$2:$2,0)-MATCH("temp_stage",[2]stages!$2:$2,0)+1,FALSE)</f>
        <v>【超級】真実の探求者</v>
      </c>
      <c r="G9" s="84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9" s="86">
        <v>2</v>
      </c>
      <c r="I9" s="91">
        <f t="shared" si="0"/>
        <v>8</v>
      </c>
      <c r="J9" s="87" t="str">
        <f t="shared" si="1"/>
        <v>3002508</v>
      </c>
      <c r="K9" s="85" t="s">
        <v>128</v>
      </c>
      <c r="L9" s="88" t="s">
        <v>199</v>
      </c>
      <c r="M9" s="109" t="s">
        <v>250</v>
      </c>
      <c r="N9" s="57" t="s">
        <v>200</v>
      </c>
    </row>
    <row r="10" spans="1:14" ht="42" x14ac:dyDescent="0.15">
      <c r="A10" s="82" t="s">
        <v>197</v>
      </c>
      <c r="B10" s="83">
        <f>floors!$C$2</f>
        <v>30025</v>
      </c>
      <c r="C10" s="84" t="str">
        <f ca="1">VLOOKUP($B10,OFFSET([2]quests!$A$1,0,0,COUNTA([2]quests!$A:$A),MATCH(C$1,[2]quests!$1:$1,0)-MATCH($B$1,[2]quests!$1:$1,0)+1),MATCH(C$1,[2]quests!$1:$1,0)-MATCH($B$1,[2]quests!$1:$1,0)+1,FALSE)</f>
        <v>真実の探求者</v>
      </c>
      <c r="D10" s="84" t="str">
        <f ca="1">VLOOKUP($B10,OFFSET([2]quests!$A$1,0,0,COUNTA([2]quests!$A:$A),MATCH(D$1,[2]quests!$1:$1,0)-MATCH($B$1,[2]quests!$1:$1,0)+1),MATCH(D$1,[2]quests!$1:$1,0)-MATCH($B$1,[2]quests!$1:$1,0)+1,FALSE)</f>
        <v>ドロップイベント7（マルチ専用）</v>
      </c>
      <c r="E10" s="85">
        <v>3</v>
      </c>
      <c r="F10" s="84" t="str">
        <f ca="1">VLOOKUP($B10&amp;"_"&amp;$E10,OFFSET([2]stages!$A$1,0,0,COUNTA([2]stages!$A:$A),MATCH(F$1,[2]stages!$2:$2,0)-MATCH("temp_stage",[2]stages!$2:$2,0)+1),MATCH(F$1,[2]stages!$2:$2,0)-MATCH("temp_stage",[2]stages!$2:$2,0)+1,FALSE)</f>
        <v>【超級】真実の探求者</v>
      </c>
      <c r="G10" s="84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0" s="86">
        <v>3</v>
      </c>
      <c r="I10" s="91">
        <f t="shared" si="0"/>
        <v>9</v>
      </c>
      <c r="J10" s="87" t="str">
        <f t="shared" si="1"/>
        <v>3002509</v>
      </c>
      <c r="K10" s="85" t="s">
        <v>128</v>
      </c>
      <c r="L10" s="88" t="s">
        <v>199</v>
      </c>
      <c r="M10" s="109" t="s">
        <v>251</v>
      </c>
      <c r="N10" s="57" t="s">
        <v>200</v>
      </c>
    </row>
    <row r="11" spans="1:14" ht="70" x14ac:dyDescent="0.15">
      <c r="A11" s="82" t="s">
        <v>197</v>
      </c>
      <c r="B11" s="83">
        <f>floors!$C$2</f>
        <v>30025</v>
      </c>
      <c r="C11" s="84" t="str">
        <f ca="1">VLOOKUP($B11,OFFSET([2]quests!$A$1,0,0,COUNTA([2]quests!$A:$A),MATCH(C$1,[2]quests!$1:$1,0)-MATCH($B$1,[2]quests!$1:$1,0)+1),MATCH(C$1,[2]quests!$1:$1,0)-MATCH($B$1,[2]quests!$1:$1,0)+1,FALSE)</f>
        <v>真実の探求者</v>
      </c>
      <c r="D11" s="84" t="str">
        <f ca="1">VLOOKUP($B11,OFFSET([2]quests!$A$1,0,0,COUNTA([2]quests!$A:$A),MATCH(D$1,[2]quests!$1:$1,0)-MATCH($B$1,[2]quests!$1:$1,0)+1),MATCH(D$1,[2]quests!$1:$1,0)-MATCH($B$1,[2]quests!$1:$1,0)+1,FALSE)</f>
        <v>ドロップイベント7（マルチ専用）</v>
      </c>
      <c r="E11" s="85">
        <v>3</v>
      </c>
      <c r="F11" s="84" t="str">
        <f ca="1">VLOOKUP($B11&amp;"_"&amp;$E11,OFFSET([2]stages!$A$1,0,0,COUNTA([2]stages!$A:$A),MATCH(F$1,[2]stages!$2:$2,0)-MATCH("temp_stage",[2]stages!$2:$2,0)+1),MATCH(F$1,[2]stages!$2:$2,0)-MATCH("temp_stage",[2]stages!$2:$2,0)+1,FALSE)</f>
        <v>【超級】真実の探求者</v>
      </c>
      <c r="G11" s="84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1" s="86">
        <v>4</v>
      </c>
      <c r="I11" s="91">
        <f t="shared" si="0"/>
        <v>10</v>
      </c>
      <c r="J11" s="87" t="str">
        <f t="shared" si="1"/>
        <v>3002510</v>
      </c>
      <c r="K11" s="85" t="s">
        <v>128</v>
      </c>
      <c r="L11" s="88" t="s">
        <v>199</v>
      </c>
      <c r="M11" s="109" t="s">
        <v>252</v>
      </c>
      <c r="N11" s="57" t="s">
        <v>200</v>
      </c>
    </row>
    <row r="12" spans="1:14" ht="56" x14ac:dyDescent="0.15">
      <c r="A12" s="82" t="s">
        <v>197</v>
      </c>
      <c r="B12" s="83">
        <f>floors!$C$2</f>
        <v>30025</v>
      </c>
      <c r="C12" s="84" t="str">
        <f ca="1">VLOOKUP($B12,OFFSET([2]quests!$A$1,0,0,COUNTA([2]quests!$A:$A),MATCH(C$1,[2]quests!$1:$1,0)-MATCH($B$1,[2]quests!$1:$1,0)+1),MATCH(C$1,[2]quests!$1:$1,0)-MATCH($B$1,[2]quests!$1:$1,0)+1,FALSE)</f>
        <v>真実の探求者</v>
      </c>
      <c r="D12" s="84" t="str">
        <f ca="1">VLOOKUP($B12,OFFSET([2]quests!$A$1,0,0,COUNTA([2]quests!$A:$A),MATCH(D$1,[2]quests!$1:$1,0)-MATCH($B$1,[2]quests!$1:$1,0)+1),MATCH(D$1,[2]quests!$1:$1,0)-MATCH($B$1,[2]quests!$1:$1,0)+1,FALSE)</f>
        <v>ドロップイベント7（マルチ専用）</v>
      </c>
      <c r="E12" s="85">
        <v>3</v>
      </c>
      <c r="F12" s="84" t="str">
        <f ca="1">VLOOKUP($B12&amp;"_"&amp;$E12,OFFSET([2]stages!$A$1,0,0,COUNTA([2]stages!$A:$A),MATCH(F$1,[2]stages!$2:$2,0)-MATCH("temp_stage",[2]stages!$2:$2,0)+1),MATCH(F$1,[2]stages!$2:$2,0)-MATCH("temp_stage",[2]stages!$2:$2,0)+1,FALSE)</f>
        <v>【超級】真実の探求者</v>
      </c>
      <c r="G12" s="84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ドロップイベント7（マルチ専用）</v>
      </c>
      <c r="H12" s="86">
        <v>4</v>
      </c>
      <c r="I12" s="91">
        <f t="shared" si="0"/>
        <v>11</v>
      </c>
      <c r="J12" s="87" t="str">
        <f t="shared" si="1"/>
        <v>3002511</v>
      </c>
      <c r="K12" s="85" t="s">
        <v>128</v>
      </c>
      <c r="L12" s="88" t="s">
        <v>199</v>
      </c>
      <c r="M12" s="109" t="s">
        <v>253</v>
      </c>
      <c r="N12" s="57" t="s">
        <v>200</v>
      </c>
    </row>
  </sheetData>
  <phoneticPr fontId="5"/>
  <dataValidations count="1">
    <dataValidation type="list" allowBlank="1" showInputMessage="1" showErrorMessage="1" sqref="A2:A1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2017-03-08T08:14:38Z</dcterms:modified>
</cp:coreProperties>
</file>