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firstSheet="2" activeTab="4"/>
  </bookViews>
  <sheets>
    <sheet name="確率の考え方" sheetId="110" r:id="rId1"/>
    <sheet name="Sheet1" sheetId="107" r:id="rId2"/>
    <sheet name="output" sheetId="103" r:id="rId3"/>
    <sheet name="input_385101" sheetId="159" r:id="rId4"/>
    <sheet name="tables_385101" sheetId="160" r:id="rId5"/>
    <sheet name="input_385103" sheetId="153" r:id="rId6"/>
    <sheet name="tables_385103" sheetId="154" r:id="rId7"/>
    <sheet name="input_385104" sheetId="162" r:id="rId8"/>
    <sheet name="tables_385104" sheetId="163" r:id="rId9"/>
    <sheet name="input_385105" sheetId="164" r:id="rId10"/>
    <sheet name="tables_385105" sheetId="165" r:id="rId11"/>
    <sheet name="input_385100" sheetId="166" r:id="rId12"/>
    <sheet name="tables_385100" sheetId="167" r:id="rId13"/>
    <sheet name="gacha_bonus_tables" sheetId="98" r:id="rId14"/>
    <sheet name="R6追加前" sheetId="111" r:id="rId15"/>
    <sheet name="R6開放" sheetId="112" r:id="rId16"/>
  </sheets>
  <externalReferences>
    <externalReference r:id="rId17"/>
  </externalReferences>
  <definedNames>
    <definedName name="_xlnm._FilterDatabase" localSheetId="13" hidden="1">gacha_bonus_tables!$A$1:$F$1</definedName>
    <definedName name="_xlnm._FilterDatabase" localSheetId="12" hidden="1">tables_385100!$A$1:$V$294</definedName>
    <definedName name="_xlnm._FilterDatabase" localSheetId="4" hidden="1">tables_385101!$A$1:$V$294</definedName>
    <definedName name="_xlnm._FilterDatabase" localSheetId="6" hidden="1">tables_385103!$A$1:$V$294</definedName>
    <definedName name="_xlnm._FilterDatabase" localSheetId="8" hidden="1">tables_385104!$A$1:$V$294</definedName>
    <definedName name="_xlnm._FilterDatabase" localSheetId="10" hidden="1">tables_385105!$A$1:$V$294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66" l="1"/>
  <c r="A286" i="167"/>
  <c r="A287" i="167"/>
  <c r="A288" i="167"/>
  <c r="A289" i="167"/>
  <c r="A290" i="167"/>
  <c r="A291" i="167"/>
  <c r="A292" i="167"/>
  <c r="A293" i="167"/>
  <c r="A294" i="167"/>
  <c r="A295" i="167"/>
  <c r="A296" i="167"/>
  <c r="A297" i="167"/>
  <c r="A298" i="167"/>
  <c r="A299" i="167"/>
  <c r="A300" i="167"/>
  <c r="A301" i="167"/>
  <c r="A302" i="167"/>
  <c r="A303" i="167"/>
  <c r="A304" i="167"/>
  <c r="A305" i="167"/>
  <c r="A306" i="167"/>
  <c r="A2" i="164"/>
  <c r="A298" i="165"/>
  <c r="A299" i="165"/>
  <c r="A300" i="165"/>
  <c r="A301" i="165"/>
  <c r="A302" i="165"/>
  <c r="A303" i="165"/>
  <c r="A304" i="165"/>
  <c r="A305" i="165"/>
  <c r="A306" i="165"/>
  <c r="A2" i="162"/>
  <c r="A299" i="163"/>
  <c r="A300" i="163"/>
  <c r="A301" i="163"/>
  <c r="A302" i="163"/>
  <c r="A303" i="163"/>
  <c r="A304" i="163"/>
  <c r="A305" i="163"/>
  <c r="A306" i="163"/>
  <c r="A2" i="153"/>
  <c r="A300" i="154"/>
  <c r="A301" i="154"/>
  <c r="A302" i="154"/>
  <c r="A303" i="154"/>
  <c r="A304" i="154"/>
  <c r="A305" i="154"/>
  <c r="A306" i="154"/>
  <c r="C5" i="103"/>
  <c r="E5" i="103"/>
  <c r="C6" i="103"/>
  <c r="E6" i="103"/>
  <c r="C2" i="103"/>
  <c r="I2" i="167"/>
  <c r="D2" i="167"/>
  <c r="J2" i="167"/>
  <c r="E2" i="167"/>
  <c r="F2" i="167"/>
  <c r="C2" i="167"/>
  <c r="I3" i="167"/>
  <c r="D3" i="167"/>
  <c r="J3" i="167"/>
  <c r="E3" i="167"/>
  <c r="F3" i="167"/>
  <c r="C3" i="167"/>
  <c r="I4" i="167"/>
  <c r="D4" i="167"/>
  <c r="J4" i="167"/>
  <c r="E4" i="167"/>
  <c r="F4" i="167"/>
  <c r="C4" i="167"/>
  <c r="I5" i="167"/>
  <c r="D5" i="167"/>
  <c r="J5" i="167"/>
  <c r="E5" i="167"/>
  <c r="F5" i="167"/>
  <c r="C5" i="167"/>
  <c r="I6" i="167"/>
  <c r="D6" i="167"/>
  <c r="J6" i="167"/>
  <c r="E6" i="167"/>
  <c r="F6" i="167"/>
  <c r="C6" i="167"/>
  <c r="I7" i="167"/>
  <c r="D7" i="167"/>
  <c r="J7" i="167"/>
  <c r="E7" i="167"/>
  <c r="F7" i="167"/>
  <c r="C7" i="167"/>
  <c r="I8" i="167"/>
  <c r="D8" i="167"/>
  <c r="J8" i="167"/>
  <c r="E8" i="167"/>
  <c r="F8" i="167"/>
  <c r="C8" i="167"/>
  <c r="I9" i="167"/>
  <c r="D9" i="167"/>
  <c r="J9" i="167"/>
  <c r="E9" i="167"/>
  <c r="F9" i="167"/>
  <c r="C9" i="167"/>
  <c r="I10" i="167"/>
  <c r="D10" i="167"/>
  <c r="J10" i="167"/>
  <c r="E10" i="167"/>
  <c r="F10" i="167"/>
  <c r="C10" i="167"/>
  <c r="I11" i="167"/>
  <c r="D11" i="167"/>
  <c r="J11" i="167"/>
  <c r="E11" i="167"/>
  <c r="F11" i="167"/>
  <c r="C11" i="167"/>
  <c r="I12" i="167"/>
  <c r="D12" i="167"/>
  <c r="J12" i="167"/>
  <c r="E12" i="167"/>
  <c r="F12" i="167"/>
  <c r="C12" i="167"/>
  <c r="I13" i="167"/>
  <c r="D13" i="167"/>
  <c r="J13" i="167"/>
  <c r="E13" i="167"/>
  <c r="F13" i="167"/>
  <c r="C13" i="167"/>
  <c r="I14" i="167"/>
  <c r="D14" i="167"/>
  <c r="J14" i="167"/>
  <c r="E14" i="167"/>
  <c r="F14" i="167"/>
  <c r="C14" i="167"/>
  <c r="I15" i="167"/>
  <c r="D15" i="167"/>
  <c r="J15" i="167"/>
  <c r="E15" i="167"/>
  <c r="F15" i="167"/>
  <c r="C15" i="167"/>
  <c r="I16" i="167"/>
  <c r="D16" i="167"/>
  <c r="J16" i="167"/>
  <c r="E16" i="167"/>
  <c r="F16" i="167"/>
  <c r="C16" i="167"/>
  <c r="I17" i="167"/>
  <c r="D17" i="167"/>
  <c r="J17" i="167"/>
  <c r="E17" i="167"/>
  <c r="F17" i="167"/>
  <c r="C17" i="167"/>
  <c r="I18" i="167"/>
  <c r="D18" i="167"/>
  <c r="J18" i="167"/>
  <c r="E18" i="167"/>
  <c r="F18" i="167"/>
  <c r="C18" i="167"/>
  <c r="I19" i="167"/>
  <c r="D19" i="167"/>
  <c r="J19" i="167"/>
  <c r="E19" i="167"/>
  <c r="F19" i="167"/>
  <c r="C19" i="167"/>
  <c r="I20" i="167"/>
  <c r="D20" i="167"/>
  <c r="J20" i="167"/>
  <c r="E20" i="167"/>
  <c r="F20" i="167"/>
  <c r="C20" i="167"/>
  <c r="I21" i="167"/>
  <c r="D21" i="167"/>
  <c r="J21" i="167"/>
  <c r="E21" i="167"/>
  <c r="F21" i="167"/>
  <c r="C21" i="167"/>
  <c r="I22" i="167"/>
  <c r="D22" i="167"/>
  <c r="J22" i="167"/>
  <c r="E22" i="167"/>
  <c r="F22" i="167"/>
  <c r="C22" i="167"/>
  <c r="I23" i="167"/>
  <c r="D23" i="167"/>
  <c r="J23" i="167"/>
  <c r="E23" i="167"/>
  <c r="F23" i="167"/>
  <c r="C23" i="167"/>
  <c r="I24" i="167"/>
  <c r="D24" i="167"/>
  <c r="J24" i="167"/>
  <c r="E24" i="167"/>
  <c r="F24" i="167"/>
  <c r="C24" i="167"/>
  <c r="I25" i="167"/>
  <c r="D25" i="167"/>
  <c r="J25" i="167"/>
  <c r="E25" i="167"/>
  <c r="F25" i="167"/>
  <c r="C25" i="167"/>
  <c r="I26" i="167"/>
  <c r="D26" i="167"/>
  <c r="J26" i="167"/>
  <c r="E26" i="167"/>
  <c r="F26" i="167"/>
  <c r="C26" i="167"/>
  <c r="I27" i="167"/>
  <c r="D27" i="167"/>
  <c r="J27" i="167"/>
  <c r="E27" i="167"/>
  <c r="F27" i="167"/>
  <c r="C27" i="167"/>
  <c r="I28" i="167"/>
  <c r="D28" i="167"/>
  <c r="J28" i="167"/>
  <c r="E28" i="167"/>
  <c r="F28" i="167"/>
  <c r="C28" i="167"/>
  <c r="I29" i="167"/>
  <c r="D29" i="167"/>
  <c r="J29" i="167"/>
  <c r="E29" i="167"/>
  <c r="F29" i="167"/>
  <c r="C29" i="167"/>
  <c r="I30" i="167"/>
  <c r="D30" i="167"/>
  <c r="J30" i="167"/>
  <c r="E30" i="167"/>
  <c r="F30" i="167"/>
  <c r="C30" i="167"/>
  <c r="I31" i="167"/>
  <c r="D31" i="167"/>
  <c r="J31" i="167"/>
  <c r="E31" i="167"/>
  <c r="F31" i="167"/>
  <c r="C31" i="167"/>
  <c r="I32" i="167"/>
  <c r="D32" i="167"/>
  <c r="J32" i="167"/>
  <c r="E32" i="167"/>
  <c r="F32" i="167"/>
  <c r="C32" i="167"/>
  <c r="I33" i="167"/>
  <c r="D33" i="167"/>
  <c r="J33" i="167"/>
  <c r="E33" i="167"/>
  <c r="F33" i="167"/>
  <c r="C33" i="167"/>
  <c r="I34" i="167"/>
  <c r="D34" i="167"/>
  <c r="J34" i="167"/>
  <c r="E34" i="167"/>
  <c r="F34" i="167"/>
  <c r="C34" i="167"/>
  <c r="I35" i="167"/>
  <c r="D35" i="167"/>
  <c r="J35" i="167"/>
  <c r="E35" i="167"/>
  <c r="F35" i="167"/>
  <c r="C35" i="167"/>
  <c r="I36" i="167"/>
  <c r="D36" i="167"/>
  <c r="J36" i="167"/>
  <c r="E36" i="167"/>
  <c r="F36" i="167"/>
  <c r="C36" i="167"/>
  <c r="I37" i="167"/>
  <c r="D37" i="167"/>
  <c r="J37" i="167"/>
  <c r="E37" i="167"/>
  <c r="F37" i="167"/>
  <c r="C37" i="167"/>
  <c r="I38" i="167"/>
  <c r="D38" i="167"/>
  <c r="J38" i="167"/>
  <c r="E38" i="167"/>
  <c r="F38" i="167"/>
  <c r="C38" i="167"/>
  <c r="I39" i="167"/>
  <c r="D39" i="167"/>
  <c r="J39" i="167"/>
  <c r="E39" i="167"/>
  <c r="F39" i="167"/>
  <c r="C39" i="167"/>
  <c r="I40" i="167"/>
  <c r="D40" i="167"/>
  <c r="J40" i="167"/>
  <c r="E40" i="167"/>
  <c r="F40" i="167"/>
  <c r="C40" i="167"/>
  <c r="I41" i="167"/>
  <c r="D41" i="167"/>
  <c r="J41" i="167"/>
  <c r="E41" i="167"/>
  <c r="F41" i="167"/>
  <c r="C41" i="167"/>
  <c r="I42" i="167"/>
  <c r="D42" i="167"/>
  <c r="J42" i="167"/>
  <c r="E42" i="167"/>
  <c r="F42" i="167"/>
  <c r="C42" i="167"/>
  <c r="I43" i="167"/>
  <c r="D43" i="167"/>
  <c r="J43" i="167"/>
  <c r="E43" i="167"/>
  <c r="F43" i="167"/>
  <c r="C43" i="167"/>
  <c r="I44" i="167"/>
  <c r="D44" i="167"/>
  <c r="J44" i="167"/>
  <c r="E44" i="167"/>
  <c r="F44" i="167"/>
  <c r="C44" i="167"/>
  <c r="I45" i="167"/>
  <c r="D45" i="167"/>
  <c r="J45" i="167"/>
  <c r="E45" i="167"/>
  <c r="F45" i="167"/>
  <c r="C45" i="167"/>
  <c r="I46" i="167"/>
  <c r="D46" i="167"/>
  <c r="J46" i="167"/>
  <c r="E46" i="167"/>
  <c r="F46" i="167"/>
  <c r="C46" i="167"/>
  <c r="I47" i="167"/>
  <c r="D47" i="167"/>
  <c r="J47" i="167"/>
  <c r="E47" i="167"/>
  <c r="F47" i="167"/>
  <c r="C47" i="167"/>
  <c r="I48" i="167"/>
  <c r="D48" i="167"/>
  <c r="J48" i="167"/>
  <c r="E48" i="167"/>
  <c r="F48" i="167"/>
  <c r="C48" i="167"/>
  <c r="I49" i="167"/>
  <c r="D49" i="167"/>
  <c r="J49" i="167"/>
  <c r="E49" i="167"/>
  <c r="F49" i="167"/>
  <c r="C49" i="167"/>
  <c r="I50" i="167"/>
  <c r="D50" i="167"/>
  <c r="J50" i="167"/>
  <c r="E50" i="167"/>
  <c r="F50" i="167"/>
  <c r="C50" i="167"/>
  <c r="I51" i="167"/>
  <c r="D51" i="167"/>
  <c r="J51" i="167"/>
  <c r="E51" i="167"/>
  <c r="F51" i="167"/>
  <c r="C51" i="167"/>
  <c r="I52" i="167"/>
  <c r="D52" i="167"/>
  <c r="J52" i="167"/>
  <c r="E52" i="167"/>
  <c r="F52" i="167"/>
  <c r="C52" i="167"/>
  <c r="I53" i="167"/>
  <c r="D53" i="167"/>
  <c r="J53" i="167"/>
  <c r="E53" i="167"/>
  <c r="F53" i="167"/>
  <c r="C53" i="167"/>
  <c r="I54" i="167"/>
  <c r="D54" i="167"/>
  <c r="J54" i="167"/>
  <c r="E54" i="167"/>
  <c r="F54" i="167"/>
  <c r="C54" i="167"/>
  <c r="I55" i="167"/>
  <c r="D55" i="167"/>
  <c r="J55" i="167"/>
  <c r="E55" i="167"/>
  <c r="F55" i="167"/>
  <c r="C55" i="167"/>
  <c r="I56" i="167"/>
  <c r="D56" i="167"/>
  <c r="J56" i="167"/>
  <c r="E56" i="167"/>
  <c r="F56" i="167"/>
  <c r="C56" i="167"/>
  <c r="I57" i="167"/>
  <c r="D57" i="167"/>
  <c r="J57" i="167"/>
  <c r="E57" i="167"/>
  <c r="F57" i="167"/>
  <c r="C57" i="167"/>
  <c r="I58" i="167"/>
  <c r="D58" i="167"/>
  <c r="J58" i="167"/>
  <c r="E58" i="167"/>
  <c r="F58" i="167"/>
  <c r="C58" i="167"/>
  <c r="I59" i="167"/>
  <c r="D59" i="167"/>
  <c r="J59" i="167"/>
  <c r="E59" i="167"/>
  <c r="F59" i="167"/>
  <c r="C59" i="167"/>
  <c r="I60" i="167"/>
  <c r="D60" i="167"/>
  <c r="J60" i="167"/>
  <c r="E60" i="167"/>
  <c r="F60" i="167"/>
  <c r="C60" i="167"/>
  <c r="I61" i="167"/>
  <c r="D61" i="167"/>
  <c r="J61" i="167"/>
  <c r="E61" i="167"/>
  <c r="F61" i="167"/>
  <c r="C61" i="167"/>
  <c r="I62" i="167"/>
  <c r="D62" i="167"/>
  <c r="J62" i="167"/>
  <c r="E62" i="167"/>
  <c r="F62" i="167"/>
  <c r="C62" i="167"/>
  <c r="I63" i="167"/>
  <c r="D63" i="167"/>
  <c r="J63" i="167"/>
  <c r="E63" i="167"/>
  <c r="F63" i="167"/>
  <c r="C63" i="167"/>
  <c r="I64" i="167"/>
  <c r="D64" i="167"/>
  <c r="J64" i="167"/>
  <c r="E64" i="167"/>
  <c r="F64" i="167"/>
  <c r="C64" i="167"/>
  <c r="I65" i="167"/>
  <c r="D65" i="167"/>
  <c r="J65" i="167"/>
  <c r="E65" i="167"/>
  <c r="F65" i="167"/>
  <c r="C65" i="167"/>
  <c r="I66" i="167"/>
  <c r="D66" i="167"/>
  <c r="J66" i="167"/>
  <c r="E66" i="167"/>
  <c r="F66" i="167"/>
  <c r="C66" i="167"/>
  <c r="I67" i="167"/>
  <c r="D67" i="167"/>
  <c r="J67" i="167"/>
  <c r="E67" i="167"/>
  <c r="F67" i="167"/>
  <c r="C67" i="167"/>
  <c r="I68" i="167"/>
  <c r="D68" i="167"/>
  <c r="J68" i="167"/>
  <c r="E68" i="167"/>
  <c r="F68" i="167"/>
  <c r="C68" i="167"/>
  <c r="I69" i="167"/>
  <c r="D69" i="167"/>
  <c r="J69" i="167"/>
  <c r="E69" i="167"/>
  <c r="F69" i="167"/>
  <c r="C69" i="167"/>
  <c r="I70" i="167"/>
  <c r="D70" i="167"/>
  <c r="J70" i="167"/>
  <c r="E70" i="167"/>
  <c r="F70" i="167"/>
  <c r="C70" i="167"/>
  <c r="I71" i="167"/>
  <c r="D71" i="167"/>
  <c r="J71" i="167"/>
  <c r="E71" i="167"/>
  <c r="F71" i="167"/>
  <c r="C71" i="167"/>
  <c r="I72" i="167"/>
  <c r="D72" i="167"/>
  <c r="J72" i="167"/>
  <c r="E72" i="167"/>
  <c r="F72" i="167"/>
  <c r="C72" i="167"/>
  <c r="I73" i="167"/>
  <c r="D73" i="167"/>
  <c r="J73" i="167"/>
  <c r="E73" i="167"/>
  <c r="F73" i="167"/>
  <c r="C73" i="167"/>
  <c r="I74" i="167"/>
  <c r="D74" i="167"/>
  <c r="J74" i="167"/>
  <c r="E74" i="167"/>
  <c r="F74" i="167"/>
  <c r="C74" i="167"/>
  <c r="I75" i="167"/>
  <c r="D75" i="167"/>
  <c r="J75" i="167"/>
  <c r="E75" i="167"/>
  <c r="F75" i="167"/>
  <c r="C75" i="167"/>
  <c r="I76" i="167"/>
  <c r="D76" i="167"/>
  <c r="J76" i="167"/>
  <c r="E76" i="167"/>
  <c r="F76" i="167"/>
  <c r="C76" i="167"/>
  <c r="I77" i="167"/>
  <c r="D77" i="167"/>
  <c r="J77" i="167"/>
  <c r="E77" i="167"/>
  <c r="F77" i="167"/>
  <c r="C77" i="167"/>
  <c r="I78" i="167"/>
  <c r="D78" i="167"/>
  <c r="J78" i="167"/>
  <c r="E78" i="167"/>
  <c r="F78" i="167"/>
  <c r="C78" i="167"/>
  <c r="I79" i="167"/>
  <c r="D79" i="167"/>
  <c r="J79" i="167"/>
  <c r="E79" i="167"/>
  <c r="F79" i="167"/>
  <c r="C79" i="167"/>
  <c r="I80" i="167"/>
  <c r="D80" i="167"/>
  <c r="J80" i="167"/>
  <c r="E80" i="167"/>
  <c r="F80" i="167"/>
  <c r="C80" i="167"/>
  <c r="I81" i="167"/>
  <c r="D81" i="167"/>
  <c r="J81" i="167"/>
  <c r="E81" i="167"/>
  <c r="F81" i="167"/>
  <c r="C81" i="167"/>
  <c r="I82" i="167"/>
  <c r="D82" i="167"/>
  <c r="J82" i="167"/>
  <c r="E82" i="167"/>
  <c r="F82" i="167"/>
  <c r="C82" i="167"/>
  <c r="I83" i="167"/>
  <c r="D83" i="167"/>
  <c r="J83" i="167"/>
  <c r="E83" i="167"/>
  <c r="F83" i="167"/>
  <c r="C83" i="167"/>
  <c r="I84" i="167"/>
  <c r="D84" i="167"/>
  <c r="J84" i="167"/>
  <c r="E84" i="167"/>
  <c r="F84" i="167"/>
  <c r="C84" i="167"/>
  <c r="I85" i="167"/>
  <c r="D85" i="167"/>
  <c r="J85" i="167"/>
  <c r="E85" i="167"/>
  <c r="F85" i="167"/>
  <c r="C85" i="167"/>
  <c r="I86" i="167"/>
  <c r="D86" i="167"/>
  <c r="J86" i="167"/>
  <c r="E86" i="167"/>
  <c r="F86" i="167"/>
  <c r="C86" i="167"/>
  <c r="I87" i="167"/>
  <c r="D87" i="167"/>
  <c r="J87" i="167"/>
  <c r="E87" i="167"/>
  <c r="F87" i="167"/>
  <c r="C87" i="167"/>
  <c r="I88" i="167"/>
  <c r="D88" i="167"/>
  <c r="J88" i="167"/>
  <c r="E88" i="167"/>
  <c r="F88" i="167"/>
  <c r="C88" i="167"/>
  <c r="I89" i="167"/>
  <c r="D89" i="167"/>
  <c r="J89" i="167"/>
  <c r="E89" i="167"/>
  <c r="F89" i="167"/>
  <c r="C89" i="167"/>
  <c r="I90" i="167"/>
  <c r="D90" i="167"/>
  <c r="J90" i="167"/>
  <c r="E90" i="167"/>
  <c r="F90" i="167"/>
  <c r="C90" i="167"/>
  <c r="I91" i="167"/>
  <c r="D91" i="167"/>
  <c r="J91" i="167"/>
  <c r="E91" i="167"/>
  <c r="F91" i="167"/>
  <c r="C91" i="167"/>
  <c r="I92" i="167"/>
  <c r="D92" i="167"/>
  <c r="J92" i="167"/>
  <c r="E92" i="167"/>
  <c r="F92" i="167"/>
  <c r="C92" i="167"/>
  <c r="I93" i="167"/>
  <c r="D93" i="167"/>
  <c r="J93" i="167"/>
  <c r="E93" i="167"/>
  <c r="F93" i="167"/>
  <c r="C93" i="167"/>
  <c r="I94" i="167"/>
  <c r="D94" i="167"/>
  <c r="J94" i="167"/>
  <c r="E94" i="167"/>
  <c r="F94" i="167"/>
  <c r="C94" i="167"/>
  <c r="I95" i="167"/>
  <c r="D95" i="167"/>
  <c r="J95" i="167"/>
  <c r="E95" i="167"/>
  <c r="F95" i="167"/>
  <c r="C95" i="167"/>
  <c r="I96" i="167"/>
  <c r="D96" i="167"/>
  <c r="J96" i="167"/>
  <c r="E96" i="167"/>
  <c r="F96" i="167"/>
  <c r="C96" i="167"/>
  <c r="I97" i="167"/>
  <c r="D97" i="167"/>
  <c r="J97" i="167"/>
  <c r="E97" i="167"/>
  <c r="F97" i="167"/>
  <c r="C97" i="167"/>
  <c r="I98" i="167"/>
  <c r="D98" i="167"/>
  <c r="J98" i="167"/>
  <c r="E98" i="167"/>
  <c r="F98" i="167"/>
  <c r="C98" i="167"/>
  <c r="I99" i="167"/>
  <c r="D99" i="167"/>
  <c r="J99" i="167"/>
  <c r="E99" i="167"/>
  <c r="F99" i="167"/>
  <c r="C99" i="167"/>
  <c r="I100" i="167"/>
  <c r="D100" i="167"/>
  <c r="J100" i="167"/>
  <c r="E100" i="167"/>
  <c r="F100" i="167"/>
  <c r="C100" i="167"/>
  <c r="I101" i="167"/>
  <c r="D101" i="167"/>
  <c r="J101" i="167"/>
  <c r="E101" i="167"/>
  <c r="F101" i="167"/>
  <c r="C101" i="167"/>
  <c r="I102" i="167"/>
  <c r="D102" i="167"/>
  <c r="J102" i="167"/>
  <c r="E102" i="167"/>
  <c r="F102" i="167"/>
  <c r="C102" i="167"/>
  <c r="I103" i="167"/>
  <c r="D103" i="167"/>
  <c r="J103" i="167"/>
  <c r="E103" i="167"/>
  <c r="F103" i="167"/>
  <c r="C103" i="167"/>
  <c r="I104" i="167"/>
  <c r="D104" i="167"/>
  <c r="J104" i="167"/>
  <c r="E104" i="167"/>
  <c r="F104" i="167"/>
  <c r="C104" i="167"/>
  <c r="I105" i="167"/>
  <c r="D105" i="167"/>
  <c r="J105" i="167"/>
  <c r="E105" i="167"/>
  <c r="F105" i="167"/>
  <c r="C105" i="167"/>
  <c r="I106" i="167"/>
  <c r="D106" i="167"/>
  <c r="J106" i="167"/>
  <c r="E106" i="167"/>
  <c r="F106" i="167"/>
  <c r="C106" i="167"/>
  <c r="I107" i="167"/>
  <c r="D107" i="167"/>
  <c r="J107" i="167"/>
  <c r="E107" i="167"/>
  <c r="F107" i="167"/>
  <c r="C107" i="167"/>
  <c r="I108" i="167"/>
  <c r="D108" i="167"/>
  <c r="J108" i="167"/>
  <c r="E108" i="167"/>
  <c r="F108" i="167"/>
  <c r="C108" i="167"/>
  <c r="I109" i="167"/>
  <c r="D109" i="167"/>
  <c r="J109" i="167"/>
  <c r="E109" i="167"/>
  <c r="F109" i="167"/>
  <c r="C109" i="167"/>
  <c r="I110" i="167"/>
  <c r="D110" i="167"/>
  <c r="J110" i="167"/>
  <c r="E110" i="167"/>
  <c r="F110" i="167"/>
  <c r="C110" i="167"/>
  <c r="I111" i="167"/>
  <c r="D111" i="167"/>
  <c r="J111" i="167"/>
  <c r="E111" i="167"/>
  <c r="F111" i="167"/>
  <c r="C111" i="167"/>
  <c r="I112" i="167"/>
  <c r="D112" i="167"/>
  <c r="J112" i="167"/>
  <c r="E112" i="167"/>
  <c r="F112" i="167"/>
  <c r="C112" i="167"/>
  <c r="I113" i="167"/>
  <c r="D113" i="167"/>
  <c r="J113" i="167"/>
  <c r="E113" i="167"/>
  <c r="F113" i="167"/>
  <c r="C113" i="167"/>
  <c r="I114" i="167"/>
  <c r="D114" i="167"/>
  <c r="J114" i="167"/>
  <c r="E114" i="167"/>
  <c r="F114" i="167"/>
  <c r="C114" i="167"/>
  <c r="I115" i="167"/>
  <c r="D115" i="167"/>
  <c r="J115" i="167"/>
  <c r="E115" i="167"/>
  <c r="F115" i="167"/>
  <c r="C115" i="167"/>
  <c r="I116" i="167"/>
  <c r="D116" i="167"/>
  <c r="J116" i="167"/>
  <c r="E116" i="167"/>
  <c r="F116" i="167"/>
  <c r="C116" i="167"/>
  <c r="I117" i="167"/>
  <c r="D117" i="167"/>
  <c r="J117" i="167"/>
  <c r="E117" i="167"/>
  <c r="F117" i="167"/>
  <c r="C117" i="167"/>
  <c r="I118" i="167"/>
  <c r="D118" i="167"/>
  <c r="J118" i="167"/>
  <c r="E118" i="167"/>
  <c r="F118" i="167"/>
  <c r="C118" i="167"/>
  <c r="I119" i="167"/>
  <c r="D119" i="167"/>
  <c r="J119" i="167"/>
  <c r="E119" i="167"/>
  <c r="F119" i="167"/>
  <c r="C119" i="167"/>
  <c r="I120" i="167"/>
  <c r="D120" i="167"/>
  <c r="J120" i="167"/>
  <c r="E120" i="167"/>
  <c r="F120" i="167"/>
  <c r="C120" i="167"/>
  <c r="I121" i="167"/>
  <c r="D121" i="167"/>
  <c r="J121" i="167"/>
  <c r="E121" i="167"/>
  <c r="F121" i="167"/>
  <c r="C121" i="167"/>
  <c r="I122" i="167"/>
  <c r="D122" i="167"/>
  <c r="J122" i="167"/>
  <c r="E122" i="167"/>
  <c r="F122" i="167"/>
  <c r="C122" i="167"/>
  <c r="I123" i="167"/>
  <c r="D123" i="167"/>
  <c r="J123" i="167"/>
  <c r="E123" i="167"/>
  <c r="F123" i="167"/>
  <c r="C123" i="167"/>
  <c r="I124" i="167"/>
  <c r="D124" i="167"/>
  <c r="J124" i="167"/>
  <c r="E124" i="167"/>
  <c r="F124" i="167"/>
  <c r="C124" i="167"/>
  <c r="I125" i="167"/>
  <c r="D125" i="167"/>
  <c r="J125" i="167"/>
  <c r="E125" i="167"/>
  <c r="F125" i="167"/>
  <c r="C125" i="167"/>
  <c r="I126" i="167"/>
  <c r="D126" i="167"/>
  <c r="J126" i="167"/>
  <c r="E126" i="167"/>
  <c r="F126" i="167"/>
  <c r="C126" i="167"/>
  <c r="I127" i="167"/>
  <c r="D127" i="167"/>
  <c r="J127" i="167"/>
  <c r="E127" i="167"/>
  <c r="F127" i="167"/>
  <c r="C127" i="167"/>
  <c r="I128" i="167"/>
  <c r="D128" i="167"/>
  <c r="J128" i="167"/>
  <c r="E128" i="167"/>
  <c r="F128" i="167"/>
  <c r="C128" i="167"/>
  <c r="I129" i="167"/>
  <c r="D129" i="167"/>
  <c r="J129" i="167"/>
  <c r="E129" i="167"/>
  <c r="F129" i="167"/>
  <c r="C129" i="167"/>
  <c r="I130" i="167"/>
  <c r="D130" i="167"/>
  <c r="J130" i="167"/>
  <c r="E130" i="167"/>
  <c r="F130" i="167"/>
  <c r="C130" i="167"/>
  <c r="I131" i="167"/>
  <c r="D131" i="167"/>
  <c r="J131" i="167"/>
  <c r="E131" i="167"/>
  <c r="F131" i="167"/>
  <c r="C131" i="167"/>
  <c r="I132" i="167"/>
  <c r="D132" i="167"/>
  <c r="J132" i="167"/>
  <c r="E132" i="167"/>
  <c r="F132" i="167"/>
  <c r="C132" i="167"/>
  <c r="I133" i="167"/>
  <c r="D133" i="167"/>
  <c r="J133" i="167"/>
  <c r="E133" i="167"/>
  <c r="F133" i="167"/>
  <c r="C133" i="167"/>
  <c r="I134" i="167"/>
  <c r="D134" i="167"/>
  <c r="J134" i="167"/>
  <c r="E134" i="167"/>
  <c r="F134" i="167"/>
  <c r="C134" i="167"/>
  <c r="I135" i="167"/>
  <c r="D135" i="167"/>
  <c r="J135" i="167"/>
  <c r="E135" i="167"/>
  <c r="F135" i="167"/>
  <c r="C135" i="167"/>
  <c r="I136" i="167"/>
  <c r="D136" i="167"/>
  <c r="J136" i="167"/>
  <c r="E136" i="167"/>
  <c r="F136" i="167"/>
  <c r="C136" i="167"/>
  <c r="I137" i="167"/>
  <c r="D137" i="167"/>
  <c r="J137" i="167"/>
  <c r="E137" i="167"/>
  <c r="F137" i="167"/>
  <c r="C137" i="167"/>
  <c r="I138" i="167"/>
  <c r="D138" i="167"/>
  <c r="J138" i="167"/>
  <c r="E138" i="167"/>
  <c r="F138" i="167"/>
  <c r="C138" i="167"/>
  <c r="I139" i="167"/>
  <c r="D139" i="167"/>
  <c r="J139" i="167"/>
  <c r="E139" i="167"/>
  <c r="F139" i="167"/>
  <c r="C139" i="167"/>
  <c r="I140" i="167"/>
  <c r="D140" i="167"/>
  <c r="J140" i="167"/>
  <c r="E140" i="167"/>
  <c r="F140" i="167"/>
  <c r="C140" i="167"/>
  <c r="I141" i="167"/>
  <c r="D141" i="167"/>
  <c r="J141" i="167"/>
  <c r="E141" i="167"/>
  <c r="F141" i="167"/>
  <c r="C141" i="167"/>
  <c r="I142" i="167"/>
  <c r="D142" i="167"/>
  <c r="J142" i="167"/>
  <c r="E142" i="167"/>
  <c r="F142" i="167"/>
  <c r="C142" i="167"/>
  <c r="I143" i="167"/>
  <c r="D143" i="167"/>
  <c r="J143" i="167"/>
  <c r="E143" i="167"/>
  <c r="F143" i="167"/>
  <c r="C143" i="167"/>
  <c r="I144" i="167"/>
  <c r="D144" i="167"/>
  <c r="J144" i="167"/>
  <c r="E144" i="167"/>
  <c r="F144" i="167"/>
  <c r="C144" i="167"/>
  <c r="I145" i="167"/>
  <c r="D145" i="167"/>
  <c r="J145" i="167"/>
  <c r="E145" i="167"/>
  <c r="F145" i="167"/>
  <c r="C145" i="167"/>
  <c r="I146" i="167"/>
  <c r="D146" i="167"/>
  <c r="J146" i="167"/>
  <c r="E146" i="167"/>
  <c r="F146" i="167"/>
  <c r="C146" i="167"/>
  <c r="I147" i="167"/>
  <c r="D147" i="167"/>
  <c r="J147" i="167"/>
  <c r="E147" i="167"/>
  <c r="F147" i="167"/>
  <c r="C147" i="167"/>
  <c r="I148" i="167"/>
  <c r="D148" i="167"/>
  <c r="J148" i="167"/>
  <c r="E148" i="167"/>
  <c r="F148" i="167"/>
  <c r="C148" i="167"/>
  <c r="I149" i="167"/>
  <c r="D149" i="167"/>
  <c r="J149" i="167"/>
  <c r="E149" i="167"/>
  <c r="F149" i="167"/>
  <c r="C149" i="167"/>
  <c r="I150" i="167"/>
  <c r="D150" i="167"/>
  <c r="J150" i="167"/>
  <c r="E150" i="167"/>
  <c r="F150" i="167"/>
  <c r="C150" i="167"/>
  <c r="I151" i="167"/>
  <c r="D151" i="167"/>
  <c r="J151" i="167"/>
  <c r="E151" i="167"/>
  <c r="F151" i="167"/>
  <c r="C151" i="167"/>
  <c r="I152" i="167"/>
  <c r="D152" i="167"/>
  <c r="J152" i="167"/>
  <c r="E152" i="167"/>
  <c r="F152" i="167"/>
  <c r="C152" i="167"/>
  <c r="I153" i="167"/>
  <c r="D153" i="167"/>
  <c r="J153" i="167"/>
  <c r="E153" i="167"/>
  <c r="F153" i="167"/>
  <c r="C153" i="167"/>
  <c r="I154" i="167"/>
  <c r="D154" i="167"/>
  <c r="J154" i="167"/>
  <c r="E154" i="167"/>
  <c r="F154" i="167"/>
  <c r="C154" i="167"/>
  <c r="I155" i="167"/>
  <c r="D155" i="167"/>
  <c r="J155" i="167"/>
  <c r="E155" i="167"/>
  <c r="F155" i="167"/>
  <c r="C155" i="167"/>
  <c r="I156" i="167"/>
  <c r="D156" i="167"/>
  <c r="J156" i="167"/>
  <c r="E156" i="167"/>
  <c r="F156" i="167"/>
  <c r="C156" i="167"/>
  <c r="I157" i="167"/>
  <c r="D157" i="167"/>
  <c r="J157" i="167"/>
  <c r="E157" i="167"/>
  <c r="F157" i="167"/>
  <c r="C157" i="167"/>
  <c r="I158" i="167"/>
  <c r="D158" i="167"/>
  <c r="J158" i="167"/>
  <c r="E158" i="167"/>
  <c r="F158" i="167"/>
  <c r="C158" i="167"/>
  <c r="I159" i="167"/>
  <c r="D159" i="167"/>
  <c r="J159" i="167"/>
  <c r="E159" i="167"/>
  <c r="F159" i="167"/>
  <c r="C159" i="167"/>
  <c r="I160" i="167"/>
  <c r="D160" i="167"/>
  <c r="J160" i="167"/>
  <c r="E160" i="167"/>
  <c r="F160" i="167"/>
  <c r="C160" i="167"/>
  <c r="I161" i="167"/>
  <c r="D161" i="167"/>
  <c r="J161" i="167"/>
  <c r="E161" i="167"/>
  <c r="F161" i="167"/>
  <c r="C161" i="167"/>
  <c r="I162" i="167"/>
  <c r="D162" i="167"/>
  <c r="J162" i="167"/>
  <c r="E162" i="167"/>
  <c r="F162" i="167"/>
  <c r="C162" i="167"/>
  <c r="I163" i="167"/>
  <c r="D163" i="167"/>
  <c r="J163" i="167"/>
  <c r="E163" i="167"/>
  <c r="F163" i="167"/>
  <c r="C163" i="167"/>
  <c r="I164" i="167"/>
  <c r="D164" i="167"/>
  <c r="J164" i="167"/>
  <c r="E164" i="167"/>
  <c r="F164" i="167"/>
  <c r="C164" i="167"/>
  <c r="I165" i="167"/>
  <c r="D165" i="167"/>
  <c r="J165" i="167"/>
  <c r="E165" i="167"/>
  <c r="F165" i="167"/>
  <c r="C165" i="167"/>
  <c r="I166" i="167"/>
  <c r="D166" i="167"/>
  <c r="J166" i="167"/>
  <c r="E166" i="167"/>
  <c r="F166" i="167"/>
  <c r="C166" i="167"/>
  <c r="I167" i="167"/>
  <c r="D167" i="167"/>
  <c r="J167" i="167"/>
  <c r="E167" i="167"/>
  <c r="F167" i="167"/>
  <c r="C167" i="167"/>
  <c r="I168" i="167"/>
  <c r="D168" i="167"/>
  <c r="J168" i="167"/>
  <c r="E168" i="167"/>
  <c r="F168" i="167"/>
  <c r="C168" i="167"/>
  <c r="I169" i="167"/>
  <c r="D169" i="167"/>
  <c r="J169" i="167"/>
  <c r="E169" i="167"/>
  <c r="F169" i="167"/>
  <c r="C169" i="167"/>
  <c r="I170" i="167"/>
  <c r="D170" i="167"/>
  <c r="J170" i="167"/>
  <c r="E170" i="167"/>
  <c r="F170" i="167"/>
  <c r="C170" i="167"/>
  <c r="I171" i="167"/>
  <c r="D171" i="167"/>
  <c r="J171" i="167"/>
  <c r="E171" i="167"/>
  <c r="F171" i="167"/>
  <c r="C171" i="167"/>
  <c r="I172" i="167"/>
  <c r="D172" i="167"/>
  <c r="J172" i="167"/>
  <c r="E172" i="167"/>
  <c r="F172" i="167"/>
  <c r="C172" i="167"/>
  <c r="I173" i="167"/>
  <c r="D173" i="167"/>
  <c r="J173" i="167"/>
  <c r="E173" i="167"/>
  <c r="F173" i="167"/>
  <c r="C173" i="167"/>
  <c r="I174" i="167"/>
  <c r="D174" i="167"/>
  <c r="J174" i="167"/>
  <c r="E174" i="167"/>
  <c r="F174" i="167"/>
  <c r="C174" i="167"/>
  <c r="I175" i="167"/>
  <c r="D175" i="167"/>
  <c r="J175" i="167"/>
  <c r="E175" i="167"/>
  <c r="F175" i="167"/>
  <c r="C175" i="167"/>
  <c r="I176" i="167"/>
  <c r="D176" i="167"/>
  <c r="J176" i="167"/>
  <c r="E176" i="167"/>
  <c r="F176" i="167"/>
  <c r="C176" i="167"/>
  <c r="I177" i="167"/>
  <c r="D177" i="167"/>
  <c r="J177" i="167"/>
  <c r="E177" i="167"/>
  <c r="F177" i="167"/>
  <c r="C177" i="167"/>
  <c r="I178" i="167"/>
  <c r="D178" i="167"/>
  <c r="J178" i="167"/>
  <c r="E178" i="167"/>
  <c r="F178" i="167"/>
  <c r="C178" i="167"/>
  <c r="I179" i="167"/>
  <c r="D179" i="167"/>
  <c r="J179" i="167"/>
  <c r="E179" i="167"/>
  <c r="F179" i="167"/>
  <c r="C179" i="167"/>
  <c r="I180" i="167"/>
  <c r="D180" i="167"/>
  <c r="J180" i="167"/>
  <c r="E180" i="167"/>
  <c r="F180" i="167"/>
  <c r="C180" i="167"/>
  <c r="I181" i="167"/>
  <c r="D181" i="167"/>
  <c r="J181" i="167"/>
  <c r="E181" i="167"/>
  <c r="F181" i="167"/>
  <c r="C181" i="167"/>
  <c r="I182" i="167"/>
  <c r="D182" i="167"/>
  <c r="J182" i="167"/>
  <c r="E182" i="167"/>
  <c r="F182" i="167"/>
  <c r="C182" i="167"/>
  <c r="I183" i="167"/>
  <c r="D183" i="167"/>
  <c r="J183" i="167"/>
  <c r="E183" i="167"/>
  <c r="F183" i="167"/>
  <c r="C183" i="167"/>
  <c r="I184" i="167"/>
  <c r="D184" i="167"/>
  <c r="J184" i="167"/>
  <c r="E184" i="167"/>
  <c r="F184" i="167"/>
  <c r="C184" i="167"/>
  <c r="I185" i="167"/>
  <c r="D185" i="167"/>
  <c r="J185" i="167"/>
  <c r="E185" i="167"/>
  <c r="F185" i="167"/>
  <c r="C185" i="167"/>
  <c r="I186" i="167"/>
  <c r="D186" i="167"/>
  <c r="J186" i="167"/>
  <c r="E186" i="167"/>
  <c r="F186" i="167"/>
  <c r="C186" i="167"/>
  <c r="I187" i="167"/>
  <c r="D187" i="167"/>
  <c r="J187" i="167"/>
  <c r="E187" i="167"/>
  <c r="F187" i="167"/>
  <c r="C187" i="167"/>
  <c r="I188" i="167"/>
  <c r="D188" i="167"/>
  <c r="J188" i="167"/>
  <c r="E188" i="167"/>
  <c r="F188" i="167"/>
  <c r="C188" i="167"/>
  <c r="I189" i="167"/>
  <c r="D189" i="167"/>
  <c r="J189" i="167"/>
  <c r="E189" i="167"/>
  <c r="F189" i="167"/>
  <c r="C189" i="167"/>
  <c r="I190" i="167"/>
  <c r="D190" i="167"/>
  <c r="J190" i="167"/>
  <c r="E190" i="167"/>
  <c r="F190" i="167"/>
  <c r="C190" i="167"/>
  <c r="I191" i="167"/>
  <c r="D191" i="167"/>
  <c r="J191" i="167"/>
  <c r="E191" i="167"/>
  <c r="F191" i="167"/>
  <c r="C191" i="167"/>
  <c r="I192" i="167"/>
  <c r="D192" i="167"/>
  <c r="J192" i="167"/>
  <c r="E192" i="167"/>
  <c r="F192" i="167"/>
  <c r="C192" i="167"/>
  <c r="I193" i="167"/>
  <c r="D193" i="167"/>
  <c r="J193" i="167"/>
  <c r="E193" i="167"/>
  <c r="F193" i="167"/>
  <c r="C193" i="167"/>
  <c r="I194" i="167"/>
  <c r="D194" i="167"/>
  <c r="J194" i="167"/>
  <c r="E194" i="167"/>
  <c r="F194" i="167"/>
  <c r="C194" i="167"/>
  <c r="I195" i="167"/>
  <c r="D195" i="167"/>
  <c r="J195" i="167"/>
  <c r="E195" i="167"/>
  <c r="F195" i="167"/>
  <c r="C195" i="167"/>
  <c r="I196" i="167"/>
  <c r="D196" i="167"/>
  <c r="J196" i="167"/>
  <c r="E196" i="167"/>
  <c r="F196" i="167"/>
  <c r="C196" i="167"/>
  <c r="I197" i="167"/>
  <c r="D197" i="167"/>
  <c r="J197" i="167"/>
  <c r="E197" i="167"/>
  <c r="F197" i="167"/>
  <c r="C197" i="167"/>
  <c r="I198" i="167"/>
  <c r="D198" i="167"/>
  <c r="J198" i="167"/>
  <c r="E198" i="167"/>
  <c r="F198" i="167"/>
  <c r="C198" i="167"/>
  <c r="I199" i="167"/>
  <c r="D199" i="167"/>
  <c r="J199" i="167"/>
  <c r="E199" i="167"/>
  <c r="F199" i="167"/>
  <c r="C199" i="167"/>
  <c r="I200" i="167"/>
  <c r="D200" i="167"/>
  <c r="J200" i="167"/>
  <c r="E200" i="167"/>
  <c r="F200" i="167"/>
  <c r="C200" i="167"/>
  <c r="I201" i="167"/>
  <c r="D201" i="167"/>
  <c r="J201" i="167"/>
  <c r="E201" i="167"/>
  <c r="F201" i="167"/>
  <c r="C201" i="167"/>
  <c r="I202" i="167"/>
  <c r="D202" i="167"/>
  <c r="J202" i="167"/>
  <c r="E202" i="167"/>
  <c r="F202" i="167"/>
  <c r="C202" i="167"/>
  <c r="I203" i="167"/>
  <c r="D203" i="167"/>
  <c r="J203" i="167"/>
  <c r="E203" i="167"/>
  <c r="F203" i="167"/>
  <c r="C203" i="167"/>
  <c r="I204" i="167"/>
  <c r="D204" i="167"/>
  <c r="J204" i="167"/>
  <c r="E204" i="167"/>
  <c r="F204" i="167"/>
  <c r="C204" i="167"/>
  <c r="I205" i="167"/>
  <c r="D205" i="167"/>
  <c r="J205" i="167"/>
  <c r="E205" i="167"/>
  <c r="F205" i="167"/>
  <c r="C205" i="167"/>
  <c r="I206" i="167"/>
  <c r="D206" i="167"/>
  <c r="J206" i="167"/>
  <c r="E206" i="167"/>
  <c r="F206" i="167"/>
  <c r="C206" i="167"/>
  <c r="I207" i="167"/>
  <c r="D207" i="167"/>
  <c r="J207" i="167"/>
  <c r="E207" i="167"/>
  <c r="F207" i="167"/>
  <c r="C207" i="167"/>
  <c r="I208" i="167"/>
  <c r="D208" i="167"/>
  <c r="J208" i="167"/>
  <c r="E208" i="167"/>
  <c r="F208" i="167"/>
  <c r="C208" i="167"/>
  <c r="I209" i="167"/>
  <c r="D209" i="167"/>
  <c r="J209" i="167"/>
  <c r="E209" i="167"/>
  <c r="F209" i="167"/>
  <c r="C209" i="167"/>
  <c r="I210" i="167"/>
  <c r="D210" i="167"/>
  <c r="J210" i="167"/>
  <c r="E210" i="167"/>
  <c r="F210" i="167"/>
  <c r="C210" i="167"/>
  <c r="I211" i="167"/>
  <c r="D211" i="167"/>
  <c r="J211" i="167"/>
  <c r="E211" i="167"/>
  <c r="F211" i="167"/>
  <c r="C211" i="167"/>
  <c r="I212" i="167"/>
  <c r="D212" i="167"/>
  <c r="J212" i="167"/>
  <c r="E212" i="167"/>
  <c r="F212" i="167"/>
  <c r="C212" i="167"/>
  <c r="I213" i="167"/>
  <c r="D213" i="167"/>
  <c r="J213" i="167"/>
  <c r="E213" i="167"/>
  <c r="F213" i="167"/>
  <c r="C213" i="167"/>
  <c r="I214" i="167"/>
  <c r="D214" i="167"/>
  <c r="J214" i="167"/>
  <c r="E214" i="167"/>
  <c r="F214" i="167"/>
  <c r="C214" i="167"/>
  <c r="I215" i="167"/>
  <c r="D215" i="167"/>
  <c r="J215" i="167"/>
  <c r="E215" i="167"/>
  <c r="F215" i="167"/>
  <c r="C215" i="167"/>
  <c r="I216" i="167"/>
  <c r="D216" i="167"/>
  <c r="J216" i="167"/>
  <c r="E216" i="167"/>
  <c r="F216" i="167"/>
  <c r="C216" i="167"/>
  <c r="I217" i="167"/>
  <c r="D217" i="167"/>
  <c r="J217" i="167"/>
  <c r="E217" i="167"/>
  <c r="F217" i="167"/>
  <c r="C217" i="167"/>
  <c r="I218" i="167"/>
  <c r="D218" i="167"/>
  <c r="J218" i="167"/>
  <c r="E218" i="167"/>
  <c r="F218" i="167"/>
  <c r="C218" i="167"/>
  <c r="I219" i="167"/>
  <c r="D219" i="167"/>
  <c r="J219" i="167"/>
  <c r="E219" i="167"/>
  <c r="F219" i="167"/>
  <c r="C219" i="167"/>
  <c r="I220" i="167"/>
  <c r="D220" i="167"/>
  <c r="J220" i="167"/>
  <c r="E220" i="167"/>
  <c r="F220" i="167"/>
  <c r="C220" i="167"/>
  <c r="I221" i="167"/>
  <c r="D221" i="167"/>
  <c r="J221" i="167"/>
  <c r="E221" i="167"/>
  <c r="F221" i="167"/>
  <c r="C221" i="167"/>
  <c r="I222" i="167"/>
  <c r="D222" i="167"/>
  <c r="J222" i="167"/>
  <c r="E222" i="167"/>
  <c r="F222" i="167"/>
  <c r="C222" i="167"/>
  <c r="I223" i="167"/>
  <c r="D223" i="167"/>
  <c r="J223" i="167"/>
  <c r="E223" i="167"/>
  <c r="F223" i="167"/>
  <c r="C223" i="167"/>
  <c r="I224" i="167"/>
  <c r="D224" i="167"/>
  <c r="J224" i="167"/>
  <c r="E224" i="167"/>
  <c r="F224" i="167"/>
  <c r="C224" i="167"/>
  <c r="I225" i="167"/>
  <c r="D225" i="167"/>
  <c r="J225" i="167"/>
  <c r="E225" i="167"/>
  <c r="F225" i="167"/>
  <c r="C225" i="167"/>
  <c r="I226" i="167"/>
  <c r="D226" i="167"/>
  <c r="J226" i="167"/>
  <c r="E226" i="167"/>
  <c r="F226" i="167"/>
  <c r="C226" i="167"/>
  <c r="I227" i="167"/>
  <c r="D227" i="167"/>
  <c r="J227" i="167"/>
  <c r="E227" i="167"/>
  <c r="F227" i="167"/>
  <c r="C227" i="167"/>
  <c r="I228" i="167"/>
  <c r="D228" i="167"/>
  <c r="J228" i="167"/>
  <c r="E228" i="167"/>
  <c r="F228" i="167"/>
  <c r="C228" i="167"/>
  <c r="I229" i="167"/>
  <c r="D229" i="167"/>
  <c r="J229" i="167"/>
  <c r="E229" i="167"/>
  <c r="F229" i="167"/>
  <c r="C229" i="167"/>
  <c r="I230" i="167"/>
  <c r="D230" i="167"/>
  <c r="J230" i="167"/>
  <c r="E230" i="167"/>
  <c r="F230" i="167"/>
  <c r="C230" i="167"/>
  <c r="I231" i="167"/>
  <c r="D231" i="167"/>
  <c r="J231" i="167"/>
  <c r="E231" i="167"/>
  <c r="F231" i="167"/>
  <c r="C231" i="167"/>
  <c r="I232" i="167"/>
  <c r="D232" i="167"/>
  <c r="J232" i="167"/>
  <c r="E232" i="167"/>
  <c r="F232" i="167"/>
  <c r="C232" i="167"/>
  <c r="I233" i="167"/>
  <c r="D233" i="167"/>
  <c r="J233" i="167"/>
  <c r="E233" i="167"/>
  <c r="F233" i="167"/>
  <c r="C233" i="167"/>
  <c r="I234" i="167"/>
  <c r="D234" i="167"/>
  <c r="J234" i="167"/>
  <c r="E234" i="167"/>
  <c r="F234" i="167"/>
  <c r="C234" i="167"/>
  <c r="I235" i="167"/>
  <c r="D235" i="167"/>
  <c r="J235" i="167"/>
  <c r="E235" i="167"/>
  <c r="F235" i="167"/>
  <c r="C235" i="167"/>
  <c r="I236" i="167"/>
  <c r="D236" i="167"/>
  <c r="J236" i="167"/>
  <c r="E236" i="167"/>
  <c r="F236" i="167"/>
  <c r="C236" i="167"/>
  <c r="I237" i="167"/>
  <c r="D237" i="167"/>
  <c r="J237" i="167"/>
  <c r="E237" i="167"/>
  <c r="F237" i="167"/>
  <c r="C237" i="167"/>
  <c r="I238" i="167"/>
  <c r="D238" i="167"/>
  <c r="J238" i="167"/>
  <c r="E238" i="167"/>
  <c r="F238" i="167"/>
  <c r="C238" i="167"/>
  <c r="I239" i="167"/>
  <c r="D239" i="167"/>
  <c r="J239" i="167"/>
  <c r="E239" i="167"/>
  <c r="F239" i="167"/>
  <c r="C239" i="167"/>
  <c r="I240" i="167"/>
  <c r="D240" i="167"/>
  <c r="J240" i="167"/>
  <c r="E240" i="167"/>
  <c r="F240" i="167"/>
  <c r="C240" i="167"/>
  <c r="I241" i="167"/>
  <c r="D241" i="167"/>
  <c r="J241" i="167"/>
  <c r="E241" i="167"/>
  <c r="F241" i="167"/>
  <c r="C241" i="167"/>
  <c r="I242" i="167"/>
  <c r="D242" i="167"/>
  <c r="J242" i="167"/>
  <c r="E242" i="167"/>
  <c r="F242" i="167"/>
  <c r="C242" i="167"/>
  <c r="I243" i="167"/>
  <c r="D243" i="167"/>
  <c r="J243" i="167"/>
  <c r="E243" i="167"/>
  <c r="F243" i="167"/>
  <c r="C243" i="167"/>
  <c r="I244" i="167"/>
  <c r="D244" i="167"/>
  <c r="J244" i="167"/>
  <c r="E244" i="167"/>
  <c r="F244" i="167"/>
  <c r="C244" i="167"/>
  <c r="I245" i="167"/>
  <c r="D245" i="167"/>
  <c r="J245" i="167"/>
  <c r="E245" i="167"/>
  <c r="F245" i="167"/>
  <c r="C245" i="167"/>
  <c r="I246" i="167"/>
  <c r="D246" i="167"/>
  <c r="J246" i="167"/>
  <c r="E246" i="167"/>
  <c r="F246" i="167"/>
  <c r="C246" i="167"/>
  <c r="I247" i="167"/>
  <c r="D247" i="167"/>
  <c r="J247" i="167"/>
  <c r="E247" i="167"/>
  <c r="F247" i="167"/>
  <c r="C247" i="167"/>
  <c r="I248" i="167"/>
  <c r="D248" i="167"/>
  <c r="J248" i="167"/>
  <c r="E248" i="167"/>
  <c r="F248" i="167"/>
  <c r="C248" i="167"/>
  <c r="I249" i="167"/>
  <c r="D249" i="167"/>
  <c r="J249" i="167"/>
  <c r="E249" i="167"/>
  <c r="F249" i="167"/>
  <c r="C249" i="167"/>
  <c r="I250" i="167"/>
  <c r="D250" i="167"/>
  <c r="J250" i="167"/>
  <c r="E250" i="167"/>
  <c r="F250" i="167"/>
  <c r="C250" i="167"/>
  <c r="I251" i="167"/>
  <c r="D251" i="167"/>
  <c r="J251" i="167"/>
  <c r="E251" i="167"/>
  <c r="F251" i="167"/>
  <c r="C251" i="167"/>
  <c r="I252" i="167"/>
  <c r="D252" i="167"/>
  <c r="J252" i="167"/>
  <c r="E252" i="167"/>
  <c r="F252" i="167"/>
  <c r="C252" i="167"/>
  <c r="I253" i="167"/>
  <c r="D253" i="167"/>
  <c r="J253" i="167"/>
  <c r="E253" i="167"/>
  <c r="F253" i="167"/>
  <c r="C253" i="167"/>
  <c r="I254" i="167"/>
  <c r="D254" i="167"/>
  <c r="J254" i="167"/>
  <c r="E254" i="167"/>
  <c r="F254" i="167"/>
  <c r="C254" i="167"/>
  <c r="I255" i="167"/>
  <c r="D255" i="167"/>
  <c r="J255" i="167"/>
  <c r="E255" i="167"/>
  <c r="F255" i="167"/>
  <c r="C255" i="167"/>
  <c r="I256" i="167"/>
  <c r="D256" i="167"/>
  <c r="J256" i="167"/>
  <c r="E256" i="167"/>
  <c r="F256" i="167"/>
  <c r="C256" i="167"/>
  <c r="I257" i="167"/>
  <c r="D257" i="167"/>
  <c r="J257" i="167"/>
  <c r="E257" i="167"/>
  <c r="F257" i="167"/>
  <c r="C257" i="167"/>
  <c r="I258" i="167"/>
  <c r="D258" i="167"/>
  <c r="J258" i="167"/>
  <c r="E258" i="167"/>
  <c r="F258" i="167"/>
  <c r="C258" i="167"/>
  <c r="I259" i="167"/>
  <c r="D259" i="167"/>
  <c r="J259" i="167"/>
  <c r="E259" i="167"/>
  <c r="F259" i="167"/>
  <c r="C259" i="167"/>
  <c r="I260" i="167"/>
  <c r="D260" i="167"/>
  <c r="J260" i="167"/>
  <c r="E260" i="167"/>
  <c r="F260" i="167"/>
  <c r="C260" i="167"/>
  <c r="I261" i="167"/>
  <c r="D261" i="167"/>
  <c r="J261" i="167"/>
  <c r="E261" i="167"/>
  <c r="F261" i="167"/>
  <c r="C261" i="167"/>
  <c r="I262" i="167"/>
  <c r="D262" i="167"/>
  <c r="J262" i="167"/>
  <c r="E262" i="167"/>
  <c r="F262" i="167"/>
  <c r="C262" i="167"/>
  <c r="I263" i="167"/>
  <c r="D263" i="167"/>
  <c r="J263" i="167"/>
  <c r="E263" i="167"/>
  <c r="F263" i="167"/>
  <c r="C263" i="167"/>
  <c r="I264" i="167"/>
  <c r="D264" i="167"/>
  <c r="J264" i="167"/>
  <c r="E264" i="167"/>
  <c r="F264" i="167"/>
  <c r="C264" i="167"/>
  <c r="I265" i="167"/>
  <c r="D265" i="167"/>
  <c r="J265" i="167"/>
  <c r="E265" i="167"/>
  <c r="F265" i="167"/>
  <c r="C265" i="167"/>
  <c r="I266" i="167"/>
  <c r="D266" i="167"/>
  <c r="J266" i="167"/>
  <c r="E266" i="167"/>
  <c r="F266" i="167"/>
  <c r="C266" i="167"/>
  <c r="I267" i="167"/>
  <c r="D267" i="167"/>
  <c r="J267" i="167"/>
  <c r="E267" i="167"/>
  <c r="F267" i="167"/>
  <c r="C267" i="167"/>
  <c r="I268" i="167"/>
  <c r="D268" i="167"/>
  <c r="J268" i="167"/>
  <c r="E268" i="167"/>
  <c r="F268" i="167"/>
  <c r="C268" i="167"/>
  <c r="I269" i="167"/>
  <c r="D269" i="167"/>
  <c r="J269" i="167"/>
  <c r="E269" i="167"/>
  <c r="F269" i="167"/>
  <c r="C269" i="167"/>
  <c r="I270" i="167"/>
  <c r="D270" i="167"/>
  <c r="J270" i="167"/>
  <c r="E270" i="167"/>
  <c r="F270" i="167"/>
  <c r="C270" i="167"/>
  <c r="I271" i="167"/>
  <c r="D271" i="167"/>
  <c r="J271" i="167"/>
  <c r="E271" i="167"/>
  <c r="F271" i="167"/>
  <c r="C271" i="167"/>
  <c r="I272" i="167"/>
  <c r="D272" i="167"/>
  <c r="J272" i="167"/>
  <c r="E272" i="167"/>
  <c r="F272" i="167"/>
  <c r="C272" i="167"/>
  <c r="I273" i="167"/>
  <c r="D273" i="167"/>
  <c r="J273" i="167"/>
  <c r="E273" i="167"/>
  <c r="F273" i="167"/>
  <c r="C273" i="167"/>
  <c r="I274" i="167"/>
  <c r="D274" i="167"/>
  <c r="J274" i="167"/>
  <c r="E274" i="167"/>
  <c r="F274" i="167"/>
  <c r="C274" i="167"/>
  <c r="I275" i="167"/>
  <c r="D275" i="167"/>
  <c r="J275" i="167"/>
  <c r="E275" i="167"/>
  <c r="F275" i="167"/>
  <c r="C275" i="167"/>
  <c r="I276" i="167"/>
  <c r="D276" i="167"/>
  <c r="J276" i="167"/>
  <c r="E276" i="167"/>
  <c r="F276" i="167"/>
  <c r="C276" i="167"/>
  <c r="I277" i="167"/>
  <c r="D277" i="167"/>
  <c r="J277" i="167"/>
  <c r="E277" i="167"/>
  <c r="F277" i="167"/>
  <c r="C277" i="167"/>
  <c r="I278" i="167"/>
  <c r="D278" i="167"/>
  <c r="J278" i="167"/>
  <c r="E278" i="167"/>
  <c r="F278" i="167"/>
  <c r="C278" i="167"/>
  <c r="I279" i="167"/>
  <c r="D279" i="167"/>
  <c r="J279" i="167"/>
  <c r="E279" i="167"/>
  <c r="F279" i="167"/>
  <c r="C279" i="167"/>
  <c r="I280" i="167"/>
  <c r="D280" i="167"/>
  <c r="J280" i="167"/>
  <c r="E280" i="167"/>
  <c r="F280" i="167"/>
  <c r="C280" i="167"/>
  <c r="I281" i="167"/>
  <c r="D281" i="167"/>
  <c r="J281" i="167"/>
  <c r="E281" i="167"/>
  <c r="F281" i="167"/>
  <c r="C281" i="167"/>
  <c r="I282" i="167"/>
  <c r="D282" i="167"/>
  <c r="J282" i="167"/>
  <c r="E282" i="167"/>
  <c r="F282" i="167"/>
  <c r="C282" i="167"/>
  <c r="I283" i="167"/>
  <c r="D283" i="167"/>
  <c r="J283" i="167"/>
  <c r="E283" i="167"/>
  <c r="F283" i="167"/>
  <c r="C283" i="167"/>
  <c r="I284" i="167"/>
  <c r="D284" i="167"/>
  <c r="J284" i="167"/>
  <c r="E284" i="167"/>
  <c r="F284" i="167"/>
  <c r="C284" i="167"/>
  <c r="I285" i="167"/>
  <c r="D285" i="167"/>
  <c r="J285" i="167"/>
  <c r="E285" i="167"/>
  <c r="F285" i="167"/>
  <c r="C285" i="167"/>
  <c r="I286" i="167"/>
  <c r="D286" i="167"/>
  <c r="J286" i="167"/>
  <c r="E286" i="167"/>
  <c r="F286" i="167"/>
  <c r="C286" i="167"/>
  <c r="I287" i="167"/>
  <c r="D287" i="167"/>
  <c r="J287" i="167"/>
  <c r="E287" i="167"/>
  <c r="F287" i="167"/>
  <c r="C287" i="167"/>
  <c r="I288" i="167"/>
  <c r="D288" i="167"/>
  <c r="J288" i="167"/>
  <c r="E288" i="167"/>
  <c r="F288" i="167"/>
  <c r="C288" i="167"/>
  <c r="I289" i="167"/>
  <c r="D289" i="167"/>
  <c r="J289" i="167"/>
  <c r="E289" i="167"/>
  <c r="F289" i="167"/>
  <c r="C289" i="167"/>
  <c r="I290" i="167"/>
  <c r="D290" i="167"/>
  <c r="J290" i="167"/>
  <c r="E290" i="167"/>
  <c r="F290" i="167"/>
  <c r="C290" i="167"/>
  <c r="I291" i="167"/>
  <c r="D291" i="167"/>
  <c r="J291" i="167"/>
  <c r="E291" i="167"/>
  <c r="F291" i="167"/>
  <c r="C291" i="167"/>
  <c r="I292" i="167"/>
  <c r="D292" i="167"/>
  <c r="J292" i="167"/>
  <c r="E292" i="167"/>
  <c r="F292" i="167"/>
  <c r="C292" i="167"/>
  <c r="I293" i="167"/>
  <c r="D293" i="167"/>
  <c r="J293" i="167"/>
  <c r="E293" i="167"/>
  <c r="F293" i="167"/>
  <c r="C293" i="167"/>
  <c r="I294" i="167"/>
  <c r="D294" i="167"/>
  <c r="J294" i="167"/>
  <c r="E294" i="167"/>
  <c r="F294" i="167"/>
  <c r="C294" i="167"/>
  <c r="I295" i="167"/>
  <c r="D295" i="167"/>
  <c r="J295" i="167"/>
  <c r="E295" i="167"/>
  <c r="F295" i="167"/>
  <c r="C295" i="167"/>
  <c r="I296" i="167"/>
  <c r="D296" i="167"/>
  <c r="J296" i="167"/>
  <c r="E296" i="167"/>
  <c r="F296" i="167"/>
  <c r="C296" i="167"/>
  <c r="I297" i="167"/>
  <c r="D297" i="167"/>
  <c r="J297" i="167"/>
  <c r="E297" i="167"/>
  <c r="F297" i="167"/>
  <c r="C297" i="167"/>
  <c r="I298" i="167"/>
  <c r="D298" i="167"/>
  <c r="J298" i="167"/>
  <c r="E298" i="167"/>
  <c r="F298" i="167"/>
  <c r="C298" i="167"/>
  <c r="I299" i="167"/>
  <c r="D299" i="167"/>
  <c r="J299" i="167"/>
  <c r="E299" i="167"/>
  <c r="F299" i="167"/>
  <c r="C299" i="167"/>
  <c r="I300" i="167"/>
  <c r="D300" i="167"/>
  <c r="J300" i="167"/>
  <c r="E300" i="167"/>
  <c r="F300" i="167"/>
  <c r="C300" i="167"/>
  <c r="I301" i="167"/>
  <c r="D301" i="167"/>
  <c r="J301" i="167"/>
  <c r="E301" i="167"/>
  <c r="F301" i="167"/>
  <c r="C301" i="167"/>
  <c r="I302" i="167"/>
  <c r="D302" i="167"/>
  <c r="J302" i="167"/>
  <c r="E302" i="167"/>
  <c r="F302" i="167"/>
  <c r="C302" i="167"/>
  <c r="I303" i="167"/>
  <c r="D303" i="167"/>
  <c r="J303" i="167"/>
  <c r="E303" i="167"/>
  <c r="F303" i="167"/>
  <c r="C303" i="167"/>
  <c r="I304" i="167"/>
  <c r="D304" i="167"/>
  <c r="J304" i="167"/>
  <c r="E304" i="167"/>
  <c r="F304" i="167"/>
  <c r="C304" i="167"/>
  <c r="I305" i="167"/>
  <c r="D305" i="167"/>
  <c r="J305" i="167"/>
  <c r="E305" i="167"/>
  <c r="F305" i="167"/>
  <c r="C305" i="167"/>
  <c r="I306" i="167"/>
  <c r="D306" i="167"/>
  <c r="J306" i="167"/>
  <c r="E306" i="167"/>
  <c r="F306" i="167"/>
  <c r="C306" i="167"/>
  <c r="F5" i="166"/>
  <c r="F6" i="166"/>
  <c r="A36" i="166"/>
  <c r="R9" i="166"/>
  <c r="O306" i="167"/>
  <c r="B10" i="166"/>
  <c r="E6" i="166"/>
  <c r="Q3" i="166"/>
  <c r="Q4" i="166"/>
  <c r="Q5" i="166"/>
  <c r="Q6" i="166"/>
  <c r="Q7" i="166"/>
  <c r="Q8" i="166"/>
  <c r="Q9" i="166"/>
  <c r="Q10" i="166"/>
  <c r="Q11" i="166"/>
  <c r="Q12" i="166"/>
  <c r="Q13" i="166"/>
  <c r="Q14" i="166"/>
  <c r="Q15" i="166"/>
  <c r="Q16" i="166"/>
  <c r="Q17" i="166"/>
  <c r="Q18" i="166"/>
  <c r="Q19" i="166"/>
  <c r="Q20" i="166"/>
  <c r="E19" i="166"/>
  <c r="B19" i="166"/>
  <c r="E24" i="166"/>
  <c r="B24" i="166"/>
  <c r="B17" i="166"/>
  <c r="G17" i="166"/>
  <c r="E17" i="166"/>
  <c r="H17" i="166"/>
  <c r="O2" i="167"/>
  <c r="E18" i="166"/>
  <c r="B18" i="166"/>
  <c r="G18" i="166"/>
  <c r="H18" i="166"/>
  <c r="O3" i="167"/>
  <c r="O4" i="167"/>
  <c r="O5" i="167"/>
  <c r="O6" i="167"/>
  <c r="O7" i="167"/>
  <c r="O8" i="167"/>
  <c r="O9" i="167"/>
  <c r="O10" i="167"/>
  <c r="O11" i="167"/>
  <c r="O12" i="167"/>
  <c r="O13" i="167"/>
  <c r="O14" i="167"/>
  <c r="O15" i="167"/>
  <c r="O16" i="167"/>
  <c r="O17" i="167"/>
  <c r="O18" i="167"/>
  <c r="O19" i="167"/>
  <c r="O20" i="167"/>
  <c r="O21" i="167"/>
  <c r="O22" i="167"/>
  <c r="O23" i="167"/>
  <c r="O24" i="167"/>
  <c r="O25" i="167"/>
  <c r="O26" i="167"/>
  <c r="O27" i="167"/>
  <c r="O28" i="167"/>
  <c r="O29" i="167"/>
  <c r="O30" i="167"/>
  <c r="O31" i="167"/>
  <c r="O32" i="167"/>
  <c r="O33" i="167"/>
  <c r="O34" i="167"/>
  <c r="O35" i="167"/>
  <c r="O36" i="167"/>
  <c r="O37" i="167"/>
  <c r="O38" i="167"/>
  <c r="O39" i="167"/>
  <c r="O40" i="167"/>
  <c r="O41" i="167"/>
  <c r="G24" i="166"/>
  <c r="H24" i="166"/>
  <c r="O42" i="167"/>
  <c r="E25" i="166"/>
  <c r="B25" i="166"/>
  <c r="G25" i="166"/>
  <c r="H25" i="166"/>
  <c r="O43" i="167"/>
  <c r="E26" i="166"/>
  <c r="B26" i="166"/>
  <c r="G26" i="166"/>
  <c r="H26" i="166"/>
  <c r="O44" i="167"/>
  <c r="O45" i="167"/>
  <c r="O46" i="167"/>
  <c r="O47" i="167"/>
  <c r="O48" i="167"/>
  <c r="O49" i="167"/>
  <c r="O50" i="167"/>
  <c r="G19" i="166"/>
  <c r="H19" i="166"/>
  <c r="O51" i="167"/>
  <c r="E20" i="166"/>
  <c r="E23" i="166"/>
  <c r="B23" i="166"/>
  <c r="E5" i="166"/>
  <c r="E28" i="166"/>
  <c r="B28" i="166"/>
  <c r="E29" i="166"/>
  <c r="B29" i="166"/>
  <c r="B21" i="166"/>
  <c r="B20" i="166"/>
  <c r="G20" i="166"/>
  <c r="H20" i="166"/>
  <c r="O52" i="167"/>
  <c r="G21" i="166"/>
  <c r="E21" i="166"/>
  <c r="H21" i="166"/>
  <c r="O53" i="167"/>
  <c r="O54" i="167"/>
  <c r="O55" i="167"/>
  <c r="O56" i="167"/>
  <c r="O57" i="167"/>
  <c r="O58" i="167"/>
  <c r="O59" i="167"/>
  <c r="O60" i="167"/>
  <c r="O61" i="167"/>
  <c r="O62" i="167"/>
  <c r="O63" i="167"/>
  <c r="O64" i="167"/>
  <c r="O65" i="167"/>
  <c r="O66" i="167"/>
  <c r="O67" i="167"/>
  <c r="O68" i="167"/>
  <c r="O69" i="167"/>
  <c r="O70" i="167"/>
  <c r="O71" i="167"/>
  <c r="O72" i="167"/>
  <c r="O73" i="167"/>
  <c r="O74" i="167"/>
  <c r="O75" i="167"/>
  <c r="O76" i="167"/>
  <c r="O77" i="167"/>
  <c r="O78" i="167"/>
  <c r="O79" i="167"/>
  <c r="O80" i="167"/>
  <c r="O81" i="167"/>
  <c r="O82" i="167"/>
  <c r="O83" i="167"/>
  <c r="O84" i="167"/>
  <c r="O85" i="167"/>
  <c r="O86" i="167"/>
  <c r="O87" i="167"/>
  <c r="O88" i="167"/>
  <c r="O89" i="167"/>
  <c r="O90" i="167"/>
  <c r="O91" i="167"/>
  <c r="O92" i="167"/>
  <c r="O93" i="167"/>
  <c r="O94" i="167"/>
  <c r="O95" i="167"/>
  <c r="O96" i="167"/>
  <c r="O97" i="167"/>
  <c r="O98" i="167"/>
  <c r="O99" i="167"/>
  <c r="O100" i="167"/>
  <c r="O101" i="167"/>
  <c r="O102" i="167"/>
  <c r="O103" i="167"/>
  <c r="O104" i="167"/>
  <c r="O105" i="167"/>
  <c r="O106" i="167"/>
  <c r="O107" i="167"/>
  <c r="O108" i="167"/>
  <c r="O109" i="167"/>
  <c r="O110" i="167"/>
  <c r="O111" i="167"/>
  <c r="O112" i="167"/>
  <c r="O113" i="167"/>
  <c r="O114" i="167"/>
  <c r="O115" i="167"/>
  <c r="O116" i="167"/>
  <c r="O117" i="167"/>
  <c r="O118" i="167"/>
  <c r="O119" i="167"/>
  <c r="O120" i="167"/>
  <c r="O121" i="167"/>
  <c r="O122" i="167"/>
  <c r="O123" i="167"/>
  <c r="O124" i="167"/>
  <c r="O125" i="167"/>
  <c r="O126" i="167"/>
  <c r="O127" i="167"/>
  <c r="O128" i="167"/>
  <c r="O129" i="167"/>
  <c r="O130" i="167"/>
  <c r="O131" i="167"/>
  <c r="O132" i="167"/>
  <c r="O133" i="167"/>
  <c r="O134" i="167"/>
  <c r="O135" i="167"/>
  <c r="O136" i="167"/>
  <c r="O137" i="167"/>
  <c r="E27" i="166"/>
  <c r="B27" i="166"/>
  <c r="G27" i="166"/>
  <c r="H27" i="166"/>
  <c r="O138" i="167"/>
  <c r="G28" i="166"/>
  <c r="H28" i="166"/>
  <c r="O139" i="167"/>
  <c r="O140" i="167"/>
  <c r="O141" i="167"/>
  <c r="O142" i="167"/>
  <c r="O143" i="167"/>
  <c r="O144" i="167"/>
  <c r="O145" i="167"/>
  <c r="O146" i="167"/>
  <c r="O147" i="167"/>
  <c r="O148" i="167"/>
  <c r="O149" i="167"/>
  <c r="O150" i="167"/>
  <c r="O151" i="167"/>
  <c r="O152" i="167"/>
  <c r="O153" i="167"/>
  <c r="O154" i="167"/>
  <c r="O155" i="167"/>
  <c r="O156" i="167"/>
  <c r="O157" i="167"/>
  <c r="O158" i="167"/>
  <c r="O159" i="167"/>
  <c r="O160" i="167"/>
  <c r="O161" i="167"/>
  <c r="O162" i="167"/>
  <c r="O163" i="167"/>
  <c r="O164" i="167"/>
  <c r="O165" i="167"/>
  <c r="O166" i="167"/>
  <c r="O167" i="167"/>
  <c r="O168" i="167"/>
  <c r="O169" i="167"/>
  <c r="O170" i="167"/>
  <c r="O171" i="167"/>
  <c r="O172" i="167"/>
  <c r="O173" i="167"/>
  <c r="O174" i="167"/>
  <c r="O175" i="167"/>
  <c r="O176" i="167"/>
  <c r="O177" i="167"/>
  <c r="O178" i="167"/>
  <c r="O179" i="167"/>
  <c r="O180" i="167"/>
  <c r="O181" i="167"/>
  <c r="O182" i="167"/>
  <c r="O183" i="167"/>
  <c r="O184" i="167"/>
  <c r="O185" i="167"/>
  <c r="O186" i="167"/>
  <c r="O187" i="167"/>
  <c r="O188" i="167"/>
  <c r="O189" i="167"/>
  <c r="O190" i="167"/>
  <c r="O191" i="167"/>
  <c r="O192" i="167"/>
  <c r="O193" i="167"/>
  <c r="O194" i="167"/>
  <c r="O195" i="167"/>
  <c r="O196" i="167"/>
  <c r="O197" i="167"/>
  <c r="O198" i="167"/>
  <c r="O199" i="167"/>
  <c r="O200" i="167"/>
  <c r="O201" i="167"/>
  <c r="O202" i="167"/>
  <c r="O203" i="167"/>
  <c r="O204" i="167"/>
  <c r="O205" i="167"/>
  <c r="O206" i="167"/>
  <c r="O207" i="167"/>
  <c r="O208" i="167"/>
  <c r="O209" i="167"/>
  <c r="O210" i="167"/>
  <c r="O211" i="167"/>
  <c r="O212" i="167"/>
  <c r="O213" i="167"/>
  <c r="O214" i="167"/>
  <c r="O215" i="167"/>
  <c r="O216" i="167"/>
  <c r="O217" i="167"/>
  <c r="O218" i="167"/>
  <c r="O219" i="167"/>
  <c r="O220" i="167"/>
  <c r="O221" i="167"/>
  <c r="O222" i="167"/>
  <c r="O223" i="167"/>
  <c r="O224" i="167"/>
  <c r="O225" i="167"/>
  <c r="O226" i="167"/>
  <c r="O227" i="167"/>
  <c r="O228" i="167"/>
  <c r="O229" i="167"/>
  <c r="O230" i="167"/>
  <c r="O231" i="167"/>
  <c r="O232" i="167"/>
  <c r="O233" i="167"/>
  <c r="O234" i="167"/>
  <c r="O235" i="167"/>
  <c r="O236" i="167"/>
  <c r="O237" i="167"/>
  <c r="O238" i="167"/>
  <c r="O239" i="167"/>
  <c r="O240" i="167"/>
  <c r="O241" i="167"/>
  <c r="O242" i="167"/>
  <c r="O243" i="167"/>
  <c r="O244" i="167"/>
  <c r="O245" i="167"/>
  <c r="O246" i="167"/>
  <c r="O247" i="167"/>
  <c r="O248" i="167"/>
  <c r="O249" i="167"/>
  <c r="O250" i="167"/>
  <c r="O251" i="167"/>
  <c r="O252" i="167"/>
  <c r="O253" i="167"/>
  <c r="O254" i="167"/>
  <c r="O255" i="167"/>
  <c r="E22" i="166"/>
  <c r="B22" i="166"/>
  <c r="G22" i="166"/>
  <c r="H22" i="166"/>
  <c r="O256" i="167"/>
  <c r="G23" i="166"/>
  <c r="H23" i="166"/>
  <c r="O257" i="167"/>
  <c r="O258" i="167"/>
  <c r="O259" i="167"/>
  <c r="G29" i="166"/>
  <c r="H29" i="166"/>
  <c r="O260" i="167"/>
  <c r="O261" i="167"/>
  <c r="O262" i="167"/>
  <c r="O263" i="167"/>
  <c r="O264" i="167"/>
  <c r="O265" i="167"/>
  <c r="O266" i="167"/>
  <c r="O267" i="167"/>
  <c r="O268" i="167"/>
  <c r="O269" i="167"/>
  <c r="O270" i="167"/>
  <c r="O271" i="167"/>
  <c r="O272" i="167"/>
  <c r="O273" i="167"/>
  <c r="O274" i="167"/>
  <c r="O275" i="167"/>
  <c r="O276" i="167"/>
  <c r="O277" i="167"/>
  <c r="O278" i="167"/>
  <c r="O279" i="167"/>
  <c r="O280" i="167"/>
  <c r="O281" i="167"/>
  <c r="O282" i="167"/>
  <c r="O283" i="167"/>
  <c r="O284" i="167"/>
  <c r="O285" i="167"/>
  <c r="O286" i="167"/>
  <c r="O287" i="167"/>
  <c r="O288" i="167"/>
  <c r="O289" i="167"/>
  <c r="O290" i="167"/>
  <c r="O291" i="167"/>
  <c r="O292" i="167"/>
  <c r="O293" i="167"/>
  <c r="O294" i="167"/>
  <c r="O295" i="167"/>
  <c r="O296" i="167"/>
  <c r="O297" i="167"/>
  <c r="O298" i="167"/>
  <c r="O299" i="167"/>
  <c r="R3" i="166"/>
  <c r="O300" i="167"/>
  <c r="R4" i="166"/>
  <c r="O301" i="167"/>
  <c r="R5" i="166"/>
  <c r="O302" i="167"/>
  <c r="R6" i="166"/>
  <c r="O303" i="167"/>
  <c r="R7" i="166"/>
  <c r="O304" i="167"/>
  <c r="R8" i="166"/>
  <c r="O305" i="167"/>
  <c r="P306" i="167"/>
  <c r="N306" i="167"/>
  <c r="M306" i="167"/>
  <c r="L306" i="167"/>
  <c r="K306" i="167"/>
  <c r="H306" i="167"/>
  <c r="A2" i="159"/>
  <c r="P305" i="167"/>
  <c r="N305" i="167"/>
  <c r="M305" i="167"/>
  <c r="L305" i="167"/>
  <c r="K305" i="167"/>
  <c r="H305" i="167"/>
  <c r="P304" i="167"/>
  <c r="N304" i="167"/>
  <c r="M304" i="167"/>
  <c r="L304" i="167"/>
  <c r="K304" i="167"/>
  <c r="H304" i="167"/>
  <c r="P303" i="167"/>
  <c r="N303" i="167"/>
  <c r="M303" i="167"/>
  <c r="L303" i="167"/>
  <c r="K303" i="167"/>
  <c r="H303" i="167"/>
  <c r="P302" i="167"/>
  <c r="N302" i="167"/>
  <c r="M302" i="167"/>
  <c r="L302" i="167"/>
  <c r="K302" i="167"/>
  <c r="H302" i="167"/>
  <c r="P301" i="167"/>
  <c r="N301" i="167"/>
  <c r="M301" i="167"/>
  <c r="L301" i="167"/>
  <c r="K301" i="167"/>
  <c r="H301" i="167"/>
  <c r="P300" i="167"/>
  <c r="N300" i="167"/>
  <c r="M300" i="167"/>
  <c r="L300" i="167"/>
  <c r="K300" i="167"/>
  <c r="H300" i="167"/>
  <c r="P299" i="167"/>
  <c r="N299" i="167"/>
  <c r="M299" i="167"/>
  <c r="L299" i="167"/>
  <c r="K299" i="167"/>
  <c r="H299" i="167"/>
  <c r="P298" i="167"/>
  <c r="N298" i="167"/>
  <c r="M298" i="167"/>
  <c r="L298" i="167"/>
  <c r="K298" i="167"/>
  <c r="H298" i="167"/>
  <c r="P297" i="167"/>
  <c r="N297" i="167"/>
  <c r="M297" i="167"/>
  <c r="L297" i="167"/>
  <c r="K297" i="167"/>
  <c r="H297" i="167"/>
  <c r="P296" i="167"/>
  <c r="N296" i="167"/>
  <c r="M296" i="167"/>
  <c r="L296" i="167"/>
  <c r="K296" i="167"/>
  <c r="H296" i="167"/>
  <c r="P295" i="167"/>
  <c r="N295" i="167"/>
  <c r="M295" i="167"/>
  <c r="L295" i="167"/>
  <c r="K295" i="167"/>
  <c r="H295" i="167"/>
  <c r="P294" i="167"/>
  <c r="N294" i="167"/>
  <c r="M294" i="167"/>
  <c r="L294" i="167"/>
  <c r="K294" i="167"/>
  <c r="H294" i="167"/>
  <c r="P293" i="167"/>
  <c r="N293" i="167"/>
  <c r="M293" i="167"/>
  <c r="L293" i="167"/>
  <c r="K293" i="167"/>
  <c r="H293" i="167"/>
  <c r="P292" i="167"/>
  <c r="N292" i="167"/>
  <c r="M292" i="167"/>
  <c r="L292" i="167"/>
  <c r="K292" i="167"/>
  <c r="H292" i="167"/>
  <c r="P291" i="167"/>
  <c r="N291" i="167"/>
  <c r="M291" i="167"/>
  <c r="L291" i="167"/>
  <c r="K291" i="167"/>
  <c r="H291" i="167"/>
  <c r="P290" i="167"/>
  <c r="N290" i="167"/>
  <c r="M290" i="167"/>
  <c r="L290" i="167"/>
  <c r="K290" i="167"/>
  <c r="H290" i="167"/>
  <c r="P289" i="167"/>
  <c r="N289" i="167"/>
  <c r="M289" i="167"/>
  <c r="L289" i="167"/>
  <c r="K289" i="167"/>
  <c r="H289" i="167"/>
  <c r="P288" i="167"/>
  <c r="N288" i="167"/>
  <c r="M288" i="167"/>
  <c r="L288" i="167"/>
  <c r="K288" i="167"/>
  <c r="H288" i="167"/>
  <c r="P287" i="167"/>
  <c r="N287" i="167"/>
  <c r="M287" i="167"/>
  <c r="L287" i="167"/>
  <c r="K287" i="167"/>
  <c r="H287" i="167"/>
  <c r="P286" i="167"/>
  <c r="N286" i="167"/>
  <c r="M286" i="167"/>
  <c r="L286" i="167"/>
  <c r="K286" i="167"/>
  <c r="H286" i="167"/>
  <c r="P285" i="167"/>
  <c r="N285" i="167"/>
  <c r="M285" i="167"/>
  <c r="L285" i="167"/>
  <c r="K285" i="167"/>
  <c r="H285" i="167"/>
  <c r="A285" i="167"/>
  <c r="P284" i="167"/>
  <c r="N284" i="167"/>
  <c r="M284" i="167"/>
  <c r="L284" i="167"/>
  <c r="K284" i="167"/>
  <c r="H284" i="167"/>
  <c r="A284" i="167"/>
  <c r="P283" i="167"/>
  <c r="N283" i="167"/>
  <c r="M283" i="167"/>
  <c r="L283" i="167"/>
  <c r="K283" i="167"/>
  <c r="H283" i="167"/>
  <c r="A283" i="167"/>
  <c r="P282" i="167"/>
  <c r="N282" i="167"/>
  <c r="M282" i="167"/>
  <c r="L282" i="167"/>
  <c r="K282" i="167"/>
  <c r="H282" i="167"/>
  <c r="A282" i="167"/>
  <c r="P281" i="167"/>
  <c r="N281" i="167"/>
  <c r="M281" i="167"/>
  <c r="L281" i="167"/>
  <c r="K281" i="167"/>
  <c r="H281" i="167"/>
  <c r="A281" i="167"/>
  <c r="P280" i="167"/>
  <c r="N280" i="167"/>
  <c r="M280" i="167"/>
  <c r="L280" i="167"/>
  <c r="K280" i="167"/>
  <c r="H280" i="167"/>
  <c r="A280" i="167"/>
  <c r="P279" i="167"/>
  <c r="N279" i="167"/>
  <c r="M279" i="167"/>
  <c r="L279" i="167"/>
  <c r="K279" i="167"/>
  <c r="H279" i="167"/>
  <c r="A279" i="167"/>
  <c r="P278" i="167"/>
  <c r="N278" i="167"/>
  <c r="M278" i="167"/>
  <c r="L278" i="167"/>
  <c r="K278" i="167"/>
  <c r="H278" i="167"/>
  <c r="A278" i="167"/>
  <c r="P277" i="167"/>
  <c r="N277" i="167"/>
  <c r="M277" i="167"/>
  <c r="L277" i="167"/>
  <c r="K277" i="167"/>
  <c r="H277" i="167"/>
  <c r="A277" i="167"/>
  <c r="P276" i="167"/>
  <c r="N276" i="167"/>
  <c r="M276" i="167"/>
  <c r="L276" i="167"/>
  <c r="K276" i="167"/>
  <c r="H276" i="167"/>
  <c r="A276" i="167"/>
  <c r="P275" i="167"/>
  <c r="N275" i="167"/>
  <c r="M275" i="167"/>
  <c r="L275" i="167"/>
  <c r="K275" i="167"/>
  <c r="H275" i="167"/>
  <c r="A275" i="167"/>
  <c r="P274" i="167"/>
  <c r="N274" i="167"/>
  <c r="M274" i="167"/>
  <c r="L274" i="167"/>
  <c r="K274" i="167"/>
  <c r="H274" i="167"/>
  <c r="A274" i="167"/>
  <c r="P273" i="167"/>
  <c r="N273" i="167"/>
  <c r="M273" i="167"/>
  <c r="L273" i="167"/>
  <c r="K273" i="167"/>
  <c r="H273" i="167"/>
  <c r="A273" i="167"/>
  <c r="P272" i="167"/>
  <c r="N272" i="167"/>
  <c r="M272" i="167"/>
  <c r="L272" i="167"/>
  <c r="K272" i="167"/>
  <c r="H272" i="167"/>
  <c r="A272" i="167"/>
  <c r="P271" i="167"/>
  <c r="N271" i="167"/>
  <c r="M271" i="167"/>
  <c r="L271" i="167"/>
  <c r="K271" i="167"/>
  <c r="H271" i="167"/>
  <c r="A271" i="167"/>
  <c r="P270" i="167"/>
  <c r="N270" i="167"/>
  <c r="M270" i="167"/>
  <c r="L270" i="167"/>
  <c r="K270" i="167"/>
  <c r="H270" i="167"/>
  <c r="A270" i="167"/>
  <c r="P269" i="167"/>
  <c r="N269" i="167"/>
  <c r="M269" i="167"/>
  <c r="L269" i="167"/>
  <c r="K269" i="167"/>
  <c r="H269" i="167"/>
  <c r="A269" i="167"/>
  <c r="P268" i="167"/>
  <c r="N268" i="167"/>
  <c r="M268" i="167"/>
  <c r="L268" i="167"/>
  <c r="K268" i="167"/>
  <c r="H268" i="167"/>
  <c r="A268" i="167"/>
  <c r="P267" i="167"/>
  <c r="N267" i="167"/>
  <c r="M267" i="167"/>
  <c r="L267" i="167"/>
  <c r="K267" i="167"/>
  <c r="H267" i="167"/>
  <c r="A267" i="167"/>
  <c r="P266" i="167"/>
  <c r="N266" i="167"/>
  <c r="M266" i="167"/>
  <c r="L266" i="167"/>
  <c r="K266" i="167"/>
  <c r="H266" i="167"/>
  <c r="A266" i="167"/>
  <c r="P265" i="167"/>
  <c r="N265" i="167"/>
  <c r="M265" i="167"/>
  <c r="L265" i="167"/>
  <c r="K265" i="167"/>
  <c r="H265" i="167"/>
  <c r="A265" i="167"/>
  <c r="P264" i="167"/>
  <c r="N264" i="167"/>
  <c r="M264" i="167"/>
  <c r="L264" i="167"/>
  <c r="K264" i="167"/>
  <c r="H264" i="167"/>
  <c r="A264" i="167"/>
  <c r="P263" i="167"/>
  <c r="N263" i="167"/>
  <c r="M263" i="167"/>
  <c r="L263" i="167"/>
  <c r="K263" i="167"/>
  <c r="H263" i="167"/>
  <c r="A263" i="167"/>
  <c r="P262" i="167"/>
  <c r="N262" i="167"/>
  <c r="M262" i="167"/>
  <c r="L262" i="167"/>
  <c r="K262" i="167"/>
  <c r="H262" i="167"/>
  <c r="A262" i="167"/>
  <c r="P261" i="167"/>
  <c r="N261" i="167"/>
  <c r="M261" i="167"/>
  <c r="L261" i="167"/>
  <c r="K261" i="167"/>
  <c r="H261" i="167"/>
  <c r="A261" i="167"/>
  <c r="P260" i="167"/>
  <c r="N260" i="167"/>
  <c r="M260" i="167"/>
  <c r="L260" i="167"/>
  <c r="K260" i="167"/>
  <c r="H260" i="167"/>
  <c r="A260" i="167"/>
  <c r="P259" i="167"/>
  <c r="N259" i="167"/>
  <c r="M259" i="167"/>
  <c r="L259" i="167"/>
  <c r="K259" i="167"/>
  <c r="H259" i="167"/>
  <c r="A259" i="167"/>
  <c r="P258" i="167"/>
  <c r="N258" i="167"/>
  <c r="M258" i="167"/>
  <c r="L258" i="167"/>
  <c r="K258" i="167"/>
  <c r="H258" i="167"/>
  <c r="A258" i="167"/>
  <c r="P257" i="167"/>
  <c r="N257" i="167"/>
  <c r="M257" i="167"/>
  <c r="L257" i="167"/>
  <c r="K257" i="167"/>
  <c r="H257" i="167"/>
  <c r="A257" i="167"/>
  <c r="P256" i="167"/>
  <c r="N256" i="167"/>
  <c r="M256" i="167"/>
  <c r="L256" i="167"/>
  <c r="K256" i="167"/>
  <c r="H256" i="167"/>
  <c r="A256" i="167"/>
  <c r="P255" i="167"/>
  <c r="N255" i="167"/>
  <c r="M255" i="167"/>
  <c r="L255" i="167"/>
  <c r="K255" i="167"/>
  <c r="H255" i="167"/>
  <c r="A255" i="167"/>
  <c r="P254" i="167"/>
  <c r="N254" i="167"/>
  <c r="M254" i="167"/>
  <c r="L254" i="167"/>
  <c r="K254" i="167"/>
  <c r="H254" i="167"/>
  <c r="A254" i="167"/>
  <c r="P253" i="167"/>
  <c r="N253" i="167"/>
  <c r="M253" i="167"/>
  <c r="L253" i="167"/>
  <c r="K253" i="167"/>
  <c r="H253" i="167"/>
  <c r="A253" i="167"/>
  <c r="P252" i="167"/>
  <c r="N252" i="167"/>
  <c r="M252" i="167"/>
  <c r="L252" i="167"/>
  <c r="K252" i="167"/>
  <c r="H252" i="167"/>
  <c r="A252" i="167"/>
  <c r="P251" i="167"/>
  <c r="N251" i="167"/>
  <c r="M251" i="167"/>
  <c r="L251" i="167"/>
  <c r="K251" i="167"/>
  <c r="H251" i="167"/>
  <c r="A251" i="167"/>
  <c r="P250" i="167"/>
  <c r="N250" i="167"/>
  <c r="M250" i="167"/>
  <c r="L250" i="167"/>
  <c r="K250" i="167"/>
  <c r="H250" i="167"/>
  <c r="A250" i="167"/>
  <c r="P249" i="167"/>
  <c r="N249" i="167"/>
  <c r="M249" i="167"/>
  <c r="L249" i="167"/>
  <c r="K249" i="167"/>
  <c r="H249" i="167"/>
  <c r="A249" i="167"/>
  <c r="P248" i="167"/>
  <c r="N248" i="167"/>
  <c r="M248" i="167"/>
  <c r="L248" i="167"/>
  <c r="K248" i="167"/>
  <c r="H248" i="167"/>
  <c r="A248" i="167"/>
  <c r="P247" i="167"/>
  <c r="N247" i="167"/>
  <c r="M247" i="167"/>
  <c r="L247" i="167"/>
  <c r="K247" i="167"/>
  <c r="H247" i="167"/>
  <c r="A247" i="167"/>
  <c r="P246" i="167"/>
  <c r="N246" i="167"/>
  <c r="M246" i="167"/>
  <c r="L246" i="167"/>
  <c r="K246" i="167"/>
  <c r="H246" i="167"/>
  <c r="A246" i="167"/>
  <c r="P245" i="167"/>
  <c r="N245" i="167"/>
  <c r="M245" i="167"/>
  <c r="L245" i="167"/>
  <c r="K245" i="167"/>
  <c r="H245" i="167"/>
  <c r="A245" i="167"/>
  <c r="P244" i="167"/>
  <c r="N244" i="167"/>
  <c r="M244" i="167"/>
  <c r="L244" i="167"/>
  <c r="K244" i="167"/>
  <c r="H244" i="167"/>
  <c r="A244" i="167"/>
  <c r="P243" i="167"/>
  <c r="N243" i="167"/>
  <c r="M243" i="167"/>
  <c r="L243" i="167"/>
  <c r="K243" i="167"/>
  <c r="H243" i="167"/>
  <c r="A243" i="167"/>
  <c r="P242" i="167"/>
  <c r="N242" i="167"/>
  <c r="M242" i="167"/>
  <c r="L242" i="167"/>
  <c r="K242" i="167"/>
  <c r="H242" i="167"/>
  <c r="A242" i="167"/>
  <c r="P241" i="167"/>
  <c r="N241" i="167"/>
  <c r="M241" i="167"/>
  <c r="L241" i="167"/>
  <c r="K241" i="167"/>
  <c r="H241" i="167"/>
  <c r="A241" i="167"/>
  <c r="P240" i="167"/>
  <c r="N240" i="167"/>
  <c r="M240" i="167"/>
  <c r="L240" i="167"/>
  <c r="K240" i="167"/>
  <c r="H240" i="167"/>
  <c r="A240" i="167"/>
  <c r="P239" i="167"/>
  <c r="N239" i="167"/>
  <c r="M239" i="167"/>
  <c r="L239" i="167"/>
  <c r="K239" i="167"/>
  <c r="H239" i="167"/>
  <c r="A239" i="167"/>
  <c r="P238" i="167"/>
  <c r="N238" i="167"/>
  <c r="M238" i="167"/>
  <c r="L238" i="167"/>
  <c r="K238" i="167"/>
  <c r="H238" i="167"/>
  <c r="A238" i="167"/>
  <c r="P237" i="167"/>
  <c r="N237" i="167"/>
  <c r="M237" i="167"/>
  <c r="L237" i="167"/>
  <c r="K237" i="167"/>
  <c r="H237" i="167"/>
  <c r="A237" i="167"/>
  <c r="P236" i="167"/>
  <c r="N236" i="167"/>
  <c r="M236" i="167"/>
  <c r="L236" i="167"/>
  <c r="K236" i="167"/>
  <c r="H236" i="167"/>
  <c r="A236" i="167"/>
  <c r="P235" i="167"/>
  <c r="N235" i="167"/>
  <c r="M235" i="167"/>
  <c r="L235" i="167"/>
  <c r="K235" i="167"/>
  <c r="H235" i="167"/>
  <c r="A235" i="167"/>
  <c r="P234" i="167"/>
  <c r="N234" i="167"/>
  <c r="M234" i="167"/>
  <c r="L234" i="167"/>
  <c r="K234" i="167"/>
  <c r="H234" i="167"/>
  <c r="A234" i="167"/>
  <c r="P233" i="167"/>
  <c r="N233" i="167"/>
  <c r="M233" i="167"/>
  <c r="L233" i="167"/>
  <c r="K233" i="167"/>
  <c r="H233" i="167"/>
  <c r="A233" i="167"/>
  <c r="P232" i="167"/>
  <c r="N232" i="167"/>
  <c r="M232" i="167"/>
  <c r="L232" i="167"/>
  <c r="K232" i="167"/>
  <c r="H232" i="167"/>
  <c r="A232" i="167"/>
  <c r="P231" i="167"/>
  <c r="N231" i="167"/>
  <c r="M231" i="167"/>
  <c r="L231" i="167"/>
  <c r="K231" i="167"/>
  <c r="H231" i="167"/>
  <c r="A231" i="167"/>
  <c r="P230" i="167"/>
  <c r="N230" i="167"/>
  <c r="M230" i="167"/>
  <c r="L230" i="167"/>
  <c r="K230" i="167"/>
  <c r="H230" i="167"/>
  <c r="A230" i="167"/>
  <c r="P229" i="167"/>
  <c r="N229" i="167"/>
  <c r="M229" i="167"/>
  <c r="L229" i="167"/>
  <c r="K229" i="167"/>
  <c r="H229" i="167"/>
  <c r="A229" i="167"/>
  <c r="P228" i="167"/>
  <c r="N228" i="167"/>
  <c r="M228" i="167"/>
  <c r="L228" i="167"/>
  <c r="K228" i="167"/>
  <c r="H228" i="167"/>
  <c r="A228" i="167"/>
  <c r="P227" i="167"/>
  <c r="N227" i="167"/>
  <c r="M227" i="167"/>
  <c r="L227" i="167"/>
  <c r="K227" i="167"/>
  <c r="H227" i="167"/>
  <c r="A227" i="167"/>
  <c r="P226" i="167"/>
  <c r="N226" i="167"/>
  <c r="M226" i="167"/>
  <c r="L226" i="167"/>
  <c r="K226" i="167"/>
  <c r="H226" i="167"/>
  <c r="A226" i="167"/>
  <c r="P225" i="167"/>
  <c r="N225" i="167"/>
  <c r="M225" i="167"/>
  <c r="L225" i="167"/>
  <c r="K225" i="167"/>
  <c r="H225" i="167"/>
  <c r="A225" i="167"/>
  <c r="P224" i="167"/>
  <c r="N224" i="167"/>
  <c r="M224" i="167"/>
  <c r="L224" i="167"/>
  <c r="K224" i="167"/>
  <c r="H224" i="167"/>
  <c r="A224" i="167"/>
  <c r="P223" i="167"/>
  <c r="N223" i="167"/>
  <c r="M223" i="167"/>
  <c r="L223" i="167"/>
  <c r="K223" i="167"/>
  <c r="H223" i="167"/>
  <c r="A223" i="167"/>
  <c r="P222" i="167"/>
  <c r="N222" i="167"/>
  <c r="M222" i="167"/>
  <c r="L222" i="167"/>
  <c r="K222" i="167"/>
  <c r="H222" i="167"/>
  <c r="A222" i="167"/>
  <c r="P221" i="167"/>
  <c r="N221" i="167"/>
  <c r="M221" i="167"/>
  <c r="L221" i="167"/>
  <c r="K221" i="167"/>
  <c r="H221" i="167"/>
  <c r="A221" i="167"/>
  <c r="P220" i="167"/>
  <c r="N220" i="167"/>
  <c r="M220" i="167"/>
  <c r="L220" i="167"/>
  <c r="K220" i="167"/>
  <c r="H220" i="167"/>
  <c r="A220" i="167"/>
  <c r="P219" i="167"/>
  <c r="N219" i="167"/>
  <c r="M219" i="167"/>
  <c r="L219" i="167"/>
  <c r="K219" i="167"/>
  <c r="H219" i="167"/>
  <c r="A219" i="167"/>
  <c r="P218" i="167"/>
  <c r="N218" i="167"/>
  <c r="M218" i="167"/>
  <c r="L218" i="167"/>
  <c r="K218" i="167"/>
  <c r="H218" i="167"/>
  <c r="A218" i="167"/>
  <c r="P217" i="167"/>
  <c r="N217" i="167"/>
  <c r="M217" i="167"/>
  <c r="L217" i="167"/>
  <c r="K217" i="167"/>
  <c r="H217" i="167"/>
  <c r="A217" i="167"/>
  <c r="P216" i="167"/>
  <c r="N216" i="167"/>
  <c r="M216" i="167"/>
  <c r="L216" i="167"/>
  <c r="K216" i="167"/>
  <c r="H216" i="167"/>
  <c r="A216" i="167"/>
  <c r="P215" i="167"/>
  <c r="N215" i="167"/>
  <c r="M215" i="167"/>
  <c r="L215" i="167"/>
  <c r="K215" i="167"/>
  <c r="H215" i="167"/>
  <c r="A215" i="167"/>
  <c r="P214" i="167"/>
  <c r="N214" i="167"/>
  <c r="M214" i="167"/>
  <c r="L214" i="167"/>
  <c r="K214" i="167"/>
  <c r="H214" i="167"/>
  <c r="A214" i="167"/>
  <c r="P213" i="167"/>
  <c r="N213" i="167"/>
  <c r="M213" i="167"/>
  <c r="L213" i="167"/>
  <c r="K213" i="167"/>
  <c r="H213" i="167"/>
  <c r="A213" i="167"/>
  <c r="P212" i="167"/>
  <c r="N212" i="167"/>
  <c r="M212" i="167"/>
  <c r="L212" i="167"/>
  <c r="K212" i="167"/>
  <c r="H212" i="167"/>
  <c r="A212" i="167"/>
  <c r="P211" i="167"/>
  <c r="N211" i="167"/>
  <c r="M211" i="167"/>
  <c r="L211" i="167"/>
  <c r="K211" i="167"/>
  <c r="H211" i="167"/>
  <c r="A211" i="167"/>
  <c r="P210" i="167"/>
  <c r="N210" i="167"/>
  <c r="M210" i="167"/>
  <c r="L210" i="167"/>
  <c r="K210" i="167"/>
  <c r="H210" i="167"/>
  <c r="A210" i="167"/>
  <c r="P209" i="167"/>
  <c r="N209" i="167"/>
  <c r="M209" i="167"/>
  <c r="L209" i="167"/>
  <c r="K209" i="167"/>
  <c r="H209" i="167"/>
  <c r="A209" i="167"/>
  <c r="P208" i="167"/>
  <c r="N208" i="167"/>
  <c r="M208" i="167"/>
  <c r="L208" i="167"/>
  <c r="K208" i="167"/>
  <c r="H208" i="167"/>
  <c r="A208" i="167"/>
  <c r="P207" i="167"/>
  <c r="N207" i="167"/>
  <c r="M207" i="167"/>
  <c r="L207" i="167"/>
  <c r="K207" i="167"/>
  <c r="H207" i="167"/>
  <c r="A207" i="167"/>
  <c r="P206" i="167"/>
  <c r="N206" i="167"/>
  <c r="M206" i="167"/>
  <c r="L206" i="167"/>
  <c r="K206" i="167"/>
  <c r="H206" i="167"/>
  <c r="A206" i="167"/>
  <c r="P205" i="167"/>
  <c r="N205" i="167"/>
  <c r="M205" i="167"/>
  <c r="L205" i="167"/>
  <c r="K205" i="167"/>
  <c r="H205" i="167"/>
  <c r="A205" i="167"/>
  <c r="P204" i="167"/>
  <c r="N204" i="167"/>
  <c r="M204" i="167"/>
  <c r="L204" i="167"/>
  <c r="K204" i="167"/>
  <c r="H204" i="167"/>
  <c r="A204" i="167"/>
  <c r="P203" i="167"/>
  <c r="N203" i="167"/>
  <c r="M203" i="167"/>
  <c r="L203" i="167"/>
  <c r="K203" i="167"/>
  <c r="H203" i="167"/>
  <c r="A203" i="167"/>
  <c r="P202" i="167"/>
  <c r="N202" i="167"/>
  <c r="M202" i="167"/>
  <c r="L202" i="167"/>
  <c r="K202" i="167"/>
  <c r="H202" i="167"/>
  <c r="A202" i="167"/>
  <c r="P201" i="167"/>
  <c r="N201" i="167"/>
  <c r="M201" i="167"/>
  <c r="L201" i="167"/>
  <c r="K201" i="167"/>
  <c r="H201" i="167"/>
  <c r="A201" i="167"/>
  <c r="P200" i="167"/>
  <c r="N200" i="167"/>
  <c r="M200" i="167"/>
  <c r="L200" i="167"/>
  <c r="K200" i="167"/>
  <c r="H200" i="167"/>
  <c r="A200" i="167"/>
  <c r="P199" i="167"/>
  <c r="N199" i="167"/>
  <c r="M199" i="167"/>
  <c r="L199" i="167"/>
  <c r="K199" i="167"/>
  <c r="H199" i="167"/>
  <c r="A199" i="167"/>
  <c r="P198" i="167"/>
  <c r="N198" i="167"/>
  <c r="M198" i="167"/>
  <c r="L198" i="167"/>
  <c r="K198" i="167"/>
  <c r="H198" i="167"/>
  <c r="A198" i="167"/>
  <c r="P197" i="167"/>
  <c r="N197" i="167"/>
  <c r="M197" i="167"/>
  <c r="L197" i="167"/>
  <c r="K197" i="167"/>
  <c r="H197" i="167"/>
  <c r="A197" i="167"/>
  <c r="P196" i="167"/>
  <c r="N196" i="167"/>
  <c r="M196" i="167"/>
  <c r="L196" i="167"/>
  <c r="K196" i="167"/>
  <c r="H196" i="167"/>
  <c r="A196" i="167"/>
  <c r="P195" i="167"/>
  <c r="N195" i="167"/>
  <c r="M195" i="167"/>
  <c r="L195" i="167"/>
  <c r="K195" i="167"/>
  <c r="H195" i="167"/>
  <c r="A195" i="167"/>
  <c r="P194" i="167"/>
  <c r="N194" i="167"/>
  <c r="M194" i="167"/>
  <c r="L194" i="167"/>
  <c r="K194" i="167"/>
  <c r="H194" i="167"/>
  <c r="A194" i="167"/>
  <c r="P193" i="167"/>
  <c r="N193" i="167"/>
  <c r="M193" i="167"/>
  <c r="L193" i="167"/>
  <c r="K193" i="167"/>
  <c r="H193" i="167"/>
  <c r="A193" i="167"/>
  <c r="P192" i="167"/>
  <c r="N192" i="167"/>
  <c r="M192" i="167"/>
  <c r="L192" i="167"/>
  <c r="K192" i="167"/>
  <c r="H192" i="167"/>
  <c r="A192" i="167"/>
  <c r="P191" i="167"/>
  <c r="N191" i="167"/>
  <c r="M191" i="167"/>
  <c r="L191" i="167"/>
  <c r="K191" i="167"/>
  <c r="H191" i="167"/>
  <c r="A191" i="167"/>
  <c r="P190" i="167"/>
  <c r="N190" i="167"/>
  <c r="M190" i="167"/>
  <c r="L190" i="167"/>
  <c r="K190" i="167"/>
  <c r="H190" i="167"/>
  <c r="A190" i="167"/>
  <c r="P189" i="167"/>
  <c r="N189" i="167"/>
  <c r="M189" i="167"/>
  <c r="L189" i="167"/>
  <c r="K189" i="167"/>
  <c r="H189" i="167"/>
  <c r="A189" i="167"/>
  <c r="P188" i="167"/>
  <c r="N188" i="167"/>
  <c r="M188" i="167"/>
  <c r="L188" i="167"/>
  <c r="K188" i="167"/>
  <c r="H188" i="167"/>
  <c r="A188" i="167"/>
  <c r="P187" i="167"/>
  <c r="N187" i="167"/>
  <c r="M187" i="167"/>
  <c r="L187" i="167"/>
  <c r="K187" i="167"/>
  <c r="H187" i="167"/>
  <c r="A187" i="167"/>
  <c r="P186" i="167"/>
  <c r="N186" i="167"/>
  <c r="M186" i="167"/>
  <c r="L186" i="167"/>
  <c r="K186" i="167"/>
  <c r="H186" i="167"/>
  <c r="A186" i="167"/>
  <c r="P185" i="167"/>
  <c r="N185" i="167"/>
  <c r="M185" i="167"/>
  <c r="L185" i="167"/>
  <c r="K185" i="167"/>
  <c r="H185" i="167"/>
  <c r="A185" i="167"/>
  <c r="P184" i="167"/>
  <c r="N184" i="167"/>
  <c r="M184" i="167"/>
  <c r="L184" i="167"/>
  <c r="K184" i="167"/>
  <c r="H184" i="167"/>
  <c r="A184" i="167"/>
  <c r="P183" i="167"/>
  <c r="N183" i="167"/>
  <c r="M183" i="167"/>
  <c r="L183" i="167"/>
  <c r="K183" i="167"/>
  <c r="H183" i="167"/>
  <c r="A183" i="167"/>
  <c r="P182" i="167"/>
  <c r="N182" i="167"/>
  <c r="M182" i="167"/>
  <c r="L182" i="167"/>
  <c r="K182" i="167"/>
  <c r="H182" i="167"/>
  <c r="A182" i="167"/>
  <c r="P181" i="167"/>
  <c r="N181" i="167"/>
  <c r="M181" i="167"/>
  <c r="L181" i="167"/>
  <c r="K181" i="167"/>
  <c r="H181" i="167"/>
  <c r="A181" i="167"/>
  <c r="P180" i="167"/>
  <c r="N180" i="167"/>
  <c r="M180" i="167"/>
  <c r="L180" i="167"/>
  <c r="K180" i="167"/>
  <c r="H180" i="167"/>
  <c r="A180" i="167"/>
  <c r="P179" i="167"/>
  <c r="N179" i="167"/>
  <c r="M179" i="167"/>
  <c r="L179" i="167"/>
  <c r="K179" i="167"/>
  <c r="H179" i="167"/>
  <c r="A179" i="167"/>
  <c r="P178" i="167"/>
  <c r="N178" i="167"/>
  <c r="M178" i="167"/>
  <c r="L178" i="167"/>
  <c r="K178" i="167"/>
  <c r="H178" i="167"/>
  <c r="A178" i="167"/>
  <c r="P177" i="167"/>
  <c r="N177" i="167"/>
  <c r="M177" i="167"/>
  <c r="L177" i="167"/>
  <c r="K177" i="167"/>
  <c r="H177" i="167"/>
  <c r="A177" i="167"/>
  <c r="P176" i="167"/>
  <c r="N176" i="167"/>
  <c r="M176" i="167"/>
  <c r="L176" i="167"/>
  <c r="K176" i="167"/>
  <c r="H176" i="167"/>
  <c r="A176" i="167"/>
  <c r="P175" i="167"/>
  <c r="N175" i="167"/>
  <c r="M175" i="167"/>
  <c r="L175" i="167"/>
  <c r="K175" i="167"/>
  <c r="H175" i="167"/>
  <c r="A175" i="167"/>
  <c r="P174" i="167"/>
  <c r="N174" i="167"/>
  <c r="M174" i="167"/>
  <c r="L174" i="167"/>
  <c r="K174" i="167"/>
  <c r="H174" i="167"/>
  <c r="A174" i="167"/>
  <c r="P173" i="167"/>
  <c r="N173" i="167"/>
  <c r="M173" i="167"/>
  <c r="L173" i="167"/>
  <c r="K173" i="167"/>
  <c r="H173" i="167"/>
  <c r="A173" i="167"/>
  <c r="P172" i="167"/>
  <c r="N172" i="167"/>
  <c r="M172" i="167"/>
  <c r="L172" i="167"/>
  <c r="K172" i="167"/>
  <c r="H172" i="167"/>
  <c r="A172" i="167"/>
  <c r="P171" i="167"/>
  <c r="N171" i="167"/>
  <c r="M171" i="167"/>
  <c r="L171" i="167"/>
  <c r="K171" i="167"/>
  <c r="H171" i="167"/>
  <c r="A171" i="167"/>
  <c r="P170" i="167"/>
  <c r="N170" i="167"/>
  <c r="M170" i="167"/>
  <c r="L170" i="167"/>
  <c r="K170" i="167"/>
  <c r="H170" i="167"/>
  <c r="A170" i="167"/>
  <c r="P169" i="167"/>
  <c r="N169" i="167"/>
  <c r="M169" i="167"/>
  <c r="L169" i="167"/>
  <c r="K169" i="167"/>
  <c r="H169" i="167"/>
  <c r="A169" i="167"/>
  <c r="P168" i="167"/>
  <c r="N168" i="167"/>
  <c r="M168" i="167"/>
  <c r="L168" i="167"/>
  <c r="K168" i="167"/>
  <c r="H168" i="167"/>
  <c r="A168" i="167"/>
  <c r="P167" i="167"/>
  <c r="N167" i="167"/>
  <c r="M167" i="167"/>
  <c r="L167" i="167"/>
  <c r="K167" i="167"/>
  <c r="H167" i="167"/>
  <c r="A167" i="167"/>
  <c r="P166" i="167"/>
  <c r="N166" i="167"/>
  <c r="M166" i="167"/>
  <c r="L166" i="167"/>
  <c r="K166" i="167"/>
  <c r="H166" i="167"/>
  <c r="A166" i="167"/>
  <c r="P165" i="167"/>
  <c r="N165" i="167"/>
  <c r="M165" i="167"/>
  <c r="L165" i="167"/>
  <c r="K165" i="167"/>
  <c r="H165" i="167"/>
  <c r="A165" i="167"/>
  <c r="P164" i="167"/>
  <c r="N164" i="167"/>
  <c r="M164" i="167"/>
  <c r="L164" i="167"/>
  <c r="K164" i="167"/>
  <c r="H164" i="167"/>
  <c r="A164" i="167"/>
  <c r="P163" i="167"/>
  <c r="N163" i="167"/>
  <c r="M163" i="167"/>
  <c r="L163" i="167"/>
  <c r="K163" i="167"/>
  <c r="H163" i="167"/>
  <c r="A163" i="167"/>
  <c r="P162" i="167"/>
  <c r="N162" i="167"/>
  <c r="M162" i="167"/>
  <c r="L162" i="167"/>
  <c r="K162" i="167"/>
  <c r="H162" i="167"/>
  <c r="A162" i="167"/>
  <c r="P161" i="167"/>
  <c r="N161" i="167"/>
  <c r="M161" i="167"/>
  <c r="L161" i="167"/>
  <c r="K161" i="167"/>
  <c r="H161" i="167"/>
  <c r="A161" i="167"/>
  <c r="P160" i="167"/>
  <c r="N160" i="167"/>
  <c r="M160" i="167"/>
  <c r="L160" i="167"/>
  <c r="K160" i="167"/>
  <c r="H160" i="167"/>
  <c r="A160" i="167"/>
  <c r="P159" i="167"/>
  <c r="N159" i="167"/>
  <c r="M159" i="167"/>
  <c r="L159" i="167"/>
  <c r="K159" i="167"/>
  <c r="H159" i="167"/>
  <c r="A159" i="167"/>
  <c r="P158" i="167"/>
  <c r="N158" i="167"/>
  <c r="M158" i="167"/>
  <c r="L158" i="167"/>
  <c r="K158" i="167"/>
  <c r="H158" i="167"/>
  <c r="A158" i="167"/>
  <c r="P157" i="167"/>
  <c r="N157" i="167"/>
  <c r="M157" i="167"/>
  <c r="L157" i="167"/>
  <c r="K157" i="167"/>
  <c r="H157" i="167"/>
  <c r="A157" i="167"/>
  <c r="P156" i="167"/>
  <c r="N156" i="167"/>
  <c r="M156" i="167"/>
  <c r="L156" i="167"/>
  <c r="K156" i="167"/>
  <c r="H156" i="167"/>
  <c r="A156" i="167"/>
  <c r="P155" i="167"/>
  <c r="N155" i="167"/>
  <c r="M155" i="167"/>
  <c r="L155" i="167"/>
  <c r="K155" i="167"/>
  <c r="H155" i="167"/>
  <c r="A155" i="167"/>
  <c r="P154" i="167"/>
  <c r="N154" i="167"/>
  <c r="M154" i="167"/>
  <c r="L154" i="167"/>
  <c r="K154" i="167"/>
  <c r="H154" i="167"/>
  <c r="A154" i="167"/>
  <c r="P153" i="167"/>
  <c r="N153" i="167"/>
  <c r="M153" i="167"/>
  <c r="L153" i="167"/>
  <c r="K153" i="167"/>
  <c r="H153" i="167"/>
  <c r="A153" i="167"/>
  <c r="P152" i="167"/>
  <c r="N152" i="167"/>
  <c r="M152" i="167"/>
  <c r="L152" i="167"/>
  <c r="K152" i="167"/>
  <c r="H152" i="167"/>
  <c r="A152" i="167"/>
  <c r="P151" i="167"/>
  <c r="N151" i="167"/>
  <c r="M151" i="167"/>
  <c r="L151" i="167"/>
  <c r="K151" i="167"/>
  <c r="H151" i="167"/>
  <c r="A151" i="167"/>
  <c r="P150" i="167"/>
  <c r="N150" i="167"/>
  <c r="M150" i="167"/>
  <c r="L150" i="167"/>
  <c r="K150" i="167"/>
  <c r="H150" i="167"/>
  <c r="A150" i="167"/>
  <c r="P149" i="167"/>
  <c r="N149" i="167"/>
  <c r="M149" i="167"/>
  <c r="L149" i="167"/>
  <c r="K149" i="167"/>
  <c r="H149" i="167"/>
  <c r="A149" i="167"/>
  <c r="P148" i="167"/>
  <c r="N148" i="167"/>
  <c r="M148" i="167"/>
  <c r="L148" i="167"/>
  <c r="K148" i="167"/>
  <c r="H148" i="167"/>
  <c r="A148" i="167"/>
  <c r="P147" i="167"/>
  <c r="N147" i="167"/>
  <c r="M147" i="167"/>
  <c r="L147" i="167"/>
  <c r="K147" i="167"/>
  <c r="H147" i="167"/>
  <c r="A147" i="167"/>
  <c r="P146" i="167"/>
  <c r="N146" i="167"/>
  <c r="M146" i="167"/>
  <c r="L146" i="167"/>
  <c r="K146" i="167"/>
  <c r="H146" i="167"/>
  <c r="A146" i="167"/>
  <c r="P145" i="167"/>
  <c r="N145" i="167"/>
  <c r="M145" i="167"/>
  <c r="L145" i="167"/>
  <c r="K145" i="167"/>
  <c r="H145" i="167"/>
  <c r="A145" i="167"/>
  <c r="P144" i="167"/>
  <c r="N144" i="167"/>
  <c r="M144" i="167"/>
  <c r="L144" i="167"/>
  <c r="K144" i="167"/>
  <c r="H144" i="167"/>
  <c r="A144" i="167"/>
  <c r="P143" i="167"/>
  <c r="N143" i="167"/>
  <c r="M143" i="167"/>
  <c r="L143" i="167"/>
  <c r="K143" i="167"/>
  <c r="H143" i="167"/>
  <c r="A143" i="167"/>
  <c r="P142" i="167"/>
  <c r="N142" i="167"/>
  <c r="M142" i="167"/>
  <c r="L142" i="167"/>
  <c r="K142" i="167"/>
  <c r="H142" i="167"/>
  <c r="A142" i="167"/>
  <c r="P141" i="167"/>
  <c r="N141" i="167"/>
  <c r="M141" i="167"/>
  <c r="L141" i="167"/>
  <c r="K141" i="167"/>
  <c r="H141" i="167"/>
  <c r="A141" i="167"/>
  <c r="P140" i="167"/>
  <c r="N140" i="167"/>
  <c r="M140" i="167"/>
  <c r="L140" i="167"/>
  <c r="K140" i="167"/>
  <c r="H140" i="167"/>
  <c r="A140" i="167"/>
  <c r="P139" i="167"/>
  <c r="N139" i="167"/>
  <c r="M139" i="167"/>
  <c r="L139" i="167"/>
  <c r="K139" i="167"/>
  <c r="H139" i="167"/>
  <c r="A139" i="167"/>
  <c r="P138" i="167"/>
  <c r="N138" i="167"/>
  <c r="M138" i="167"/>
  <c r="L138" i="167"/>
  <c r="K138" i="167"/>
  <c r="H138" i="167"/>
  <c r="A138" i="167"/>
  <c r="P137" i="167"/>
  <c r="N137" i="167"/>
  <c r="M137" i="167"/>
  <c r="L137" i="167"/>
  <c r="K137" i="167"/>
  <c r="H137" i="167"/>
  <c r="A137" i="167"/>
  <c r="P136" i="167"/>
  <c r="N136" i="167"/>
  <c r="M136" i="167"/>
  <c r="L136" i="167"/>
  <c r="K136" i="167"/>
  <c r="H136" i="167"/>
  <c r="A136" i="167"/>
  <c r="P135" i="167"/>
  <c r="N135" i="167"/>
  <c r="M135" i="167"/>
  <c r="L135" i="167"/>
  <c r="K135" i="167"/>
  <c r="H135" i="167"/>
  <c r="A135" i="167"/>
  <c r="P134" i="167"/>
  <c r="N134" i="167"/>
  <c r="M134" i="167"/>
  <c r="L134" i="167"/>
  <c r="K134" i="167"/>
  <c r="H134" i="167"/>
  <c r="A134" i="167"/>
  <c r="P133" i="167"/>
  <c r="N133" i="167"/>
  <c r="M133" i="167"/>
  <c r="L133" i="167"/>
  <c r="K133" i="167"/>
  <c r="H133" i="167"/>
  <c r="A133" i="167"/>
  <c r="P132" i="167"/>
  <c r="N132" i="167"/>
  <c r="M132" i="167"/>
  <c r="L132" i="167"/>
  <c r="K132" i="167"/>
  <c r="H132" i="167"/>
  <c r="A132" i="167"/>
  <c r="P131" i="167"/>
  <c r="N131" i="167"/>
  <c r="M131" i="167"/>
  <c r="L131" i="167"/>
  <c r="K131" i="167"/>
  <c r="H131" i="167"/>
  <c r="A131" i="167"/>
  <c r="P130" i="167"/>
  <c r="N130" i="167"/>
  <c r="M130" i="167"/>
  <c r="L130" i="167"/>
  <c r="K130" i="167"/>
  <c r="H130" i="167"/>
  <c r="A130" i="167"/>
  <c r="P129" i="167"/>
  <c r="N129" i="167"/>
  <c r="M129" i="167"/>
  <c r="L129" i="167"/>
  <c r="K129" i="167"/>
  <c r="H129" i="167"/>
  <c r="A129" i="167"/>
  <c r="P128" i="167"/>
  <c r="N128" i="167"/>
  <c r="M128" i="167"/>
  <c r="L128" i="167"/>
  <c r="K128" i="167"/>
  <c r="H128" i="167"/>
  <c r="A128" i="167"/>
  <c r="P127" i="167"/>
  <c r="N127" i="167"/>
  <c r="M127" i="167"/>
  <c r="L127" i="167"/>
  <c r="K127" i="167"/>
  <c r="H127" i="167"/>
  <c r="A127" i="167"/>
  <c r="P126" i="167"/>
  <c r="N126" i="167"/>
  <c r="M126" i="167"/>
  <c r="L126" i="167"/>
  <c r="K126" i="167"/>
  <c r="H126" i="167"/>
  <c r="A126" i="167"/>
  <c r="P125" i="167"/>
  <c r="N125" i="167"/>
  <c r="M125" i="167"/>
  <c r="L125" i="167"/>
  <c r="K125" i="167"/>
  <c r="H125" i="167"/>
  <c r="A125" i="167"/>
  <c r="P124" i="167"/>
  <c r="N124" i="167"/>
  <c r="M124" i="167"/>
  <c r="L124" i="167"/>
  <c r="K124" i="167"/>
  <c r="H124" i="167"/>
  <c r="A124" i="167"/>
  <c r="P123" i="167"/>
  <c r="N123" i="167"/>
  <c r="M123" i="167"/>
  <c r="L123" i="167"/>
  <c r="K123" i="167"/>
  <c r="H123" i="167"/>
  <c r="A123" i="167"/>
  <c r="P122" i="167"/>
  <c r="N122" i="167"/>
  <c r="M122" i="167"/>
  <c r="L122" i="167"/>
  <c r="K122" i="167"/>
  <c r="H122" i="167"/>
  <c r="A122" i="167"/>
  <c r="P121" i="167"/>
  <c r="N121" i="167"/>
  <c r="M121" i="167"/>
  <c r="L121" i="167"/>
  <c r="K121" i="167"/>
  <c r="H121" i="167"/>
  <c r="A121" i="167"/>
  <c r="P120" i="167"/>
  <c r="N120" i="167"/>
  <c r="M120" i="167"/>
  <c r="L120" i="167"/>
  <c r="K120" i="167"/>
  <c r="H120" i="167"/>
  <c r="A120" i="167"/>
  <c r="P119" i="167"/>
  <c r="N119" i="167"/>
  <c r="M119" i="167"/>
  <c r="L119" i="167"/>
  <c r="K119" i="167"/>
  <c r="H119" i="167"/>
  <c r="A119" i="167"/>
  <c r="P118" i="167"/>
  <c r="N118" i="167"/>
  <c r="M118" i="167"/>
  <c r="L118" i="167"/>
  <c r="K118" i="167"/>
  <c r="H118" i="167"/>
  <c r="A118" i="167"/>
  <c r="P117" i="167"/>
  <c r="N117" i="167"/>
  <c r="M117" i="167"/>
  <c r="L117" i="167"/>
  <c r="K117" i="167"/>
  <c r="H117" i="167"/>
  <c r="A117" i="167"/>
  <c r="P116" i="167"/>
  <c r="N116" i="167"/>
  <c r="M116" i="167"/>
  <c r="L116" i="167"/>
  <c r="K116" i="167"/>
  <c r="H116" i="167"/>
  <c r="A116" i="167"/>
  <c r="P115" i="167"/>
  <c r="N115" i="167"/>
  <c r="M115" i="167"/>
  <c r="L115" i="167"/>
  <c r="K115" i="167"/>
  <c r="H115" i="167"/>
  <c r="A115" i="167"/>
  <c r="P114" i="167"/>
  <c r="N114" i="167"/>
  <c r="M114" i="167"/>
  <c r="L114" i="167"/>
  <c r="K114" i="167"/>
  <c r="H114" i="167"/>
  <c r="A114" i="167"/>
  <c r="P113" i="167"/>
  <c r="N113" i="167"/>
  <c r="M113" i="167"/>
  <c r="L113" i="167"/>
  <c r="K113" i="167"/>
  <c r="H113" i="167"/>
  <c r="A113" i="167"/>
  <c r="P112" i="167"/>
  <c r="N112" i="167"/>
  <c r="M112" i="167"/>
  <c r="L112" i="167"/>
  <c r="K112" i="167"/>
  <c r="H112" i="167"/>
  <c r="A112" i="167"/>
  <c r="P111" i="167"/>
  <c r="N111" i="167"/>
  <c r="M111" i="167"/>
  <c r="L111" i="167"/>
  <c r="K111" i="167"/>
  <c r="H111" i="167"/>
  <c r="A111" i="167"/>
  <c r="P110" i="167"/>
  <c r="N110" i="167"/>
  <c r="M110" i="167"/>
  <c r="L110" i="167"/>
  <c r="K110" i="167"/>
  <c r="H110" i="167"/>
  <c r="A110" i="167"/>
  <c r="P109" i="167"/>
  <c r="N109" i="167"/>
  <c r="M109" i="167"/>
  <c r="L109" i="167"/>
  <c r="K109" i="167"/>
  <c r="H109" i="167"/>
  <c r="A109" i="167"/>
  <c r="P108" i="167"/>
  <c r="N108" i="167"/>
  <c r="M108" i="167"/>
  <c r="L108" i="167"/>
  <c r="K108" i="167"/>
  <c r="H108" i="167"/>
  <c r="A108" i="167"/>
  <c r="P107" i="167"/>
  <c r="N107" i="167"/>
  <c r="M107" i="167"/>
  <c r="L107" i="167"/>
  <c r="K107" i="167"/>
  <c r="H107" i="167"/>
  <c r="A107" i="167"/>
  <c r="P106" i="167"/>
  <c r="N106" i="167"/>
  <c r="M106" i="167"/>
  <c r="L106" i="167"/>
  <c r="K106" i="167"/>
  <c r="H106" i="167"/>
  <c r="A106" i="167"/>
  <c r="P105" i="167"/>
  <c r="N105" i="167"/>
  <c r="M105" i="167"/>
  <c r="L105" i="167"/>
  <c r="K105" i="167"/>
  <c r="H105" i="167"/>
  <c r="A105" i="167"/>
  <c r="P104" i="167"/>
  <c r="N104" i="167"/>
  <c r="M104" i="167"/>
  <c r="L104" i="167"/>
  <c r="K104" i="167"/>
  <c r="H104" i="167"/>
  <c r="A104" i="167"/>
  <c r="P103" i="167"/>
  <c r="N103" i="167"/>
  <c r="M103" i="167"/>
  <c r="L103" i="167"/>
  <c r="K103" i="167"/>
  <c r="H103" i="167"/>
  <c r="A103" i="167"/>
  <c r="P102" i="167"/>
  <c r="N102" i="167"/>
  <c r="M102" i="167"/>
  <c r="L102" i="167"/>
  <c r="K102" i="167"/>
  <c r="H102" i="167"/>
  <c r="A102" i="167"/>
  <c r="P101" i="167"/>
  <c r="N101" i="167"/>
  <c r="M101" i="167"/>
  <c r="L101" i="167"/>
  <c r="K101" i="167"/>
  <c r="H101" i="167"/>
  <c r="A101" i="167"/>
  <c r="P100" i="167"/>
  <c r="N100" i="167"/>
  <c r="M100" i="167"/>
  <c r="L100" i="167"/>
  <c r="K100" i="167"/>
  <c r="H100" i="167"/>
  <c r="A100" i="167"/>
  <c r="P99" i="167"/>
  <c r="N99" i="167"/>
  <c r="M99" i="167"/>
  <c r="L99" i="167"/>
  <c r="K99" i="167"/>
  <c r="H99" i="167"/>
  <c r="A99" i="167"/>
  <c r="P98" i="167"/>
  <c r="N98" i="167"/>
  <c r="M98" i="167"/>
  <c r="L98" i="167"/>
  <c r="K98" i="167"/>
  <c r="H98" i="167"/>
  <c r="A98" i="167"/>
  <c r="P97" i="167"/>
  <c r="N97" i="167"/>
  <c r="M97" i="167"/>
  <c r="L97" i="167"/>
  <c r="K97" i="167"/>
  <c r="H97" i="167"/>
  <c r="A97" i="167"/>
  <c r="P96" i="167"/>
  <c r="N96" i="167"/>
  <c r="M96" i="167"/>
  <c r="L96" i="167"/>
  <c r="K96" i="167"/>
  <c r="H96" i="167"/>
  <c r="A96" i="167"/>
  <c r="P95" i="167"/>
  <c r="N95" i="167"/>
  <c r="M95" i="167"/>
  <c r="L95" i="167"/>
  <c r="K95" i="167"/>
  <c r="H95" i="167"/>
  <c r="A95" i="167"/>
  <c r="P94" i="167"/>
  <c r="N94" i="167"/>
  <c r="M94" i="167"/>
  <c r="L94" i="167"/>
  <c r="K94" i="167"/>
  <c r="H94" i="167"/>
  <c r="A94" i="167"/>
  <c r="P93" i="167"/>
  <c r="N93" i="167"/>
  <c r="M93" i="167"/>
  <c r="L93" i="167"/>
  <c r="K93" i="167"/>
  <c r="H93" i="167"/>
  <c r="A93" i="167"/>
  <c r="P92" i="167"/>
  <c r="N92" i="167"/>
  <c r="M92" i="167"/>
  <c r="L92" i="167"/>
  <c r="K92" i="167"/>
  <c r="H92" i="167"/>
  <c r="A92" i="167"/>
  <c r="P91" i="167"/>
  <c r="N91" i="167"/>
  <c r="M91" i="167"/>
  <c r="L91" i="167"/>
  <c r="K91" i="167"/>
  <c r="H91" i="167"/>
  <c r="A91" i="167"/>
  <c r="P90" i="167"/>
  <c r="N90" i="167"/>
  <c r="M90" i="167"/>
  <c r="L90" i="167"/>
  <c r="K90" i="167"/>
  <c r="H90" i="167"/>
  <c r="A90" i="167"/>
  <c r="P89" i="167"/>
  <c r="N89" i="167"/>
  <c r="M89" i="167"/>
  <c r="L89" i="167"/>
  <c r="K89" i="167"/>
  <c r="H89" i="167"/>
  <c r="A89" i="167"/>
  <c r="P88" i="167"/>
  <c r="N88" i="167"/>
  <c r="M88" i="167"/>
  <c r="L88" i="167"/>
  <c r="K88" i="167"/>
  <c r="H88" i="167"/>
  <c r="A88" i="167"/>
  <c r="P87" i="167"/>
  <c r="N87" i="167"/>
  <c r="M87" i="167"/>
  <c r="L87" i="167"/>
  <c r="K87" i="167"/>
  <c r="H87" i="167"/>
  <c r="A87" i="167"/>
  <c r="P86" i="167"/>
  <c r="N86" i="167"/>
  <c r="M86" i="167"/>
  <c r="L86" i="167"/>
  <c r="K86" i="167"/>
  <c r="H86" i="167"/>
  <c r="A86" i="167"/>
  <c r="P85" i="167"/>
  <c r="N85" i="167"/>
  <c r="M85" i="167"/>
  <c r="L85" i="167"/>
  <c r="K85" i="167"/>
  <c r="H85" i="167"/>
  <c r="A85" i="167"/>
  <c r="P84" i="167"/>
  <c r="N84" i="167"/>
  <c r="M84" i="167"/>
  <c r="L84" i="167"/>
  <c r="K84" i="167"/>
  <c r="H84" i="167"/>
  <c r="A84" i="167"/>
  <c r="P83" i="167"/>
  <c r="N83" i="167"/>
  <c r="M83" i="167"/>
  <c r="L83" i="167"/>
  <c r="K83" i="167"/>
  <c r="H83" i="167"/>
  <c r="A83" i="167"/>
  <c r="P82" i="167"/>
  <c r="N82" i="167"/>
  <c r="M82" i="167"/>
  <c r="L82" i="167"/>
  <c r="K82" i="167"/>
  <c r="H82" i="167"/>
  <c r="A82" i="167"/>
  <c r="P81" i="167"/>
  <c r="N81" i="167"/>
  <c r="M81" i="167"/>
  <c r="L81" i="167"/>
  <c r="K81" i="167"/>
  <c r="H81" i="167"/>
  <c r="A81" i="167"/>
  <c r="P80" i="167"/>
  <c r="N80" i="167"/>
  <c r="M80" i="167"/>
  <c r="L80" i="167"/>
  <c r="K80" i="167"/>
  <c r="H80" i="167"/>
  <c r="A80" i="167"/>
  <c r="P79" i="167"/>
  <c r="N79" i="167"/>
  <c r="M79" i="167"/>
  <c r="L79" i="167"/>
  <c r="K79" i="167"/>
  <c r="H79" i="167"/>
  <c r="A79" i="167"/>
  <c r="P78" i="167"/>
  <c r="N78" i="167"/>
  <c r="M78" i="167"/>
  <c r="L78" i="167"/>
  <c r="K78" i="167"/>
  <c r="H78" i="167"/>
  <c r="A78" i="167"/>
  <c r="P77" i="167"/>
  <c r="N77" i="167"/>
  <c r="M77" i="167"/>
  <c r="L77" i="167"/>
  <c r="K77" i="167"/>
  <c r="H77" i="167"/>
  <c r="A77" i="167"/>
  <c r="P76" i="167"/>
  <c r="N76" i="167"/>
  <c r="M76" i="167"/>
  <c r="L76" i="167"/>
  <c r="K76" i="167"/>
  <c r="H76" i="167"/>
  <c r="A76" i="167"/>
  <c r="P75" i="167"/>
  <c r="N75" i="167"/>
  <c r="M75" i="167"/>
  <c r="L75" i="167"/>
  <c r="K75" i="167"/>
  <c r="H75" i="167"/>
  <c r="A75" i="167"/>
  <c r="P74" i="167"/>
  <c r="N74" i="167"/>
  <c r="M74" i="167"/>
  <c r="L74" i="167"/>
  <c r="K74" i="167"/>
  <c r="H74" i="167"/>
  <c r="A74" i="167"/>
  <c r="P73" i="167"/>
  <c r="N73" i="167"/>
  <c r="M73" i="167"/>
  <c r="L73" i="167"/>
  <c r="K73" i="167"/>
  <c r="H73" i="167"/>
  <c r="A73" i="167"/>
  <c r="P72" i="167"/>
  <c r="N72" i="167"/>
  <c r="M72" i="167"/>
  <c r="L72" i="167"/>
  <c r="K72" i="167"/>
  <c r="H72" i="167"/>
  <c r="A72" i="167"/>
  <c r="P71" i="167"/>
  <c r="N71" i="167"/>
  <c r="M71" i="167"/>
  <c r="L71" i="167"/>
  <c r="K71" i="167"/>
  <c r="H71" i="167"/>
  <c r="A71" i="167"/>
  <c r="P70" i="167"/>
  <c r="N70" i="167"/>
  <c r="M70" i="167"/>
  <c r="L70" i="167"/>
  <c r="K70" i="167"/>
  <c r="H70" i="167"/>
  <c r="A70" i="167"/>
  <c r="P69" i="167"/>
  <c r="N69" i="167"/>
  <c r="M69" i="167"/>
  <c r="L69" i="167"/>
  <c r="K69" i="167"/>
  <c r="H69" i="167"/>
  <c r="A69" i="167"/>
  <c r="P68" i="167"/>
  <c r="N68" i="167"/>
  <c r="M68" i="167"/>
  <c r="L68" i="167"/>
  <c r="K68" i="167"/>
  <c r="H68" i="167"/>
  <c r="A68" i="167"/>
  <c r="P67" i="167"/>
  <c r="N67" i="167"/>
  <c r="M67" i="167"/>
  <c r="L67" i="167"/>
  <c r="K67" i="167"/>
  <c r="H67" i="167"/>
  <c r="A67" i="167"/>
  <c r="P66" i="167"/>
  <c r="N66" i="167"/>
  <c r="M66" i="167"/>
  <c r="L66" i="167"/>
  <c r="K66" i="167"/>
  <c r="H66" i="167"/>
  <c r="A66" i="167"/>
  <c r="P65" i="167"/>
  <c r="N65" i="167"/>
  <c r="M65" i="167"/>
  <c r="L65" i="167"/>
  <c r="K65" i="167"/>
  <c r="H65" i="167"/>
  <c r="A65" i="167"/>
  <c r="P64" i="167"/>
  <c r="N64" i="167"/>
  <c r="M64" i="167"/>
  <c r="L64" i="167"/>
  <c r="K64" i="167"/>
  <c r="H64" i="167"/>
  <c r="A64" i="167"/>
  <c r="P63" i="167"/>
  <c r="N63" i="167"/>
  <c r="M63" i="167"/>
  <c r="L63" i="167"/>
  <c r="K63" i="167"/>
  <c r="H63" i="167"/>
  <c r="A63" i="167"/>
  <c r="P62" i="167"/>
  <c r="N62" i="167"/>
  <c r="M62" i="167"/>
  <c r="L62" i="167"/>
  <c r="K62" i="167"/>
  <c r="H62" i="167"/>
  <c r="A62" i="167"/>
  <c r="P61" i="167"/>
  <c r="N61" i="167"/>
  <c r="M61" i="167"/>
  <c r="L61" i="167"/>
  <c r="K61" i="167"/>
  <c r="H61" i="167"/>
  <c r="A61" i="167"/>
  <c r="P60" i="167"/>
  <c r="N60" i="167"/>
  <c r="M60" i="167"/>
  <c r="L60" i="167"/>
  <c r="K60" i="167"/>
  <c r="H60" i="167"/>
  <c r="A60" i="167"/>
  <c r="P59" i="167"/>
  <c r="N59" i="167"/>
  <c r="M59" i="167"/>
  <c r="L59" i="167"/>
  <c r="K59" i="167"/>
  <c r="H59" i="167"/>
  <c r="A59" i="167"/>
  <c r="P58" i="167"/>
  <c r="N58" i="167"/>
  <c r="M58" i="167"/>
  <c r="L58" i="167"/>
  <c r="K58" i="167"/>
  <c r="H58" i="167"/>
  <c r="A58" i="167"/>
  <c r="P57" i="167"/>
  <c r="N57" i="167"/>
  <c r="M57" i="167"/>
  <c r="L57" i="167"/>
  <c r="K57" i="167"/>
  <c r="H57" i="167"/>
  <c r="A57" i="167"/>
  <c r="P56" i="167"/>
  <c r="N56" i="167"/>
  <c r="M56" i="167"/>
  <c r="L56" i="167"/>
  <c r="K56" i="167"/>
  <c r="H56" i="167"/>
  <c r="A56" i="167"/>
  <c r="P55" i="167"/>
  <c r="N55" i="167"/>
  <c r="M55" i="167"/>
  <c r="L55" i="167"/>
  <c r="K55" i="167"/>
  <c r="H55" i="167"/>
  <c r="A55" i="167"/>
  <c r="P54" i="167"/>
  <c r="N54" i="167"/>
  <c r="M54" i="167"/>
  <c r="L54" i="167"/>
  <c r="K54" i="167"/>
  <c r="H54" i="167"/>
  <c r="A54" i="167"/>
  <c r="P53" i="167"/>
  <c r="N53" i="167"/>
  <c r="M53" i="167"/>
  <c r="L53" i="167"/>
  <c r="K53" i="167"/>
  <c r="H53" i="167"/>
  <c r="A53" i="167"/>
  <c r="P52" i="167"/>
  <c r="N52" i="167"/>
  <c r="M52" i="167"/>
  <c r="L52" i="167"/>
  <c r="K52" i="167"/>
  <c r="H52" i="167"/>
  <c r="A52" i="167"/>
  <c r="P51" i="167"/>
  <c r="N51" i="167"/>
  <c r="M51" i="167"/>
  <c r="L51" i="167"/>
  <c r="K51" i="167"/>
  <c r="H51" i="167"/>
  <c r="A51" i="167"/>
  <c r="P50" i="167"/>
  <c r="N50" i="167"/>
  <c r="M50" i="167"/>
  <c r="L50" i="167"/>
  <c r="K50" i="167"/>
  <c r="H50" i="167"/>
  <c r="A50" i="167"/>
  <c r="P49" i="167"/>
  <c r="N49" i="167"/>
  <c r="M49" i="167"/>
  <c r="L49" i="167"/>
  <c r="K49" i="167"/>
  <c r="H49" i="167"/>
  <c r="A49" i="167"/>
  <c r="P48" i="167"/>
  <c r="N48" i="167"/>
  <c r="M48" i="167"/>
  <c r="L48" i="167"/>
  <c r="K48" i="167"/>
  <c r="H48" i="167"/>
  <c r="A48" i="167"/>
  <c r="P47" i="167"/>
  <c r="N47" i="167"/>
  <c r="M47" i="167"/>
  <c r="L47" i="167"/>
  <c r="K47" i="167"/>
  <c r="H47" i="167"/>
  <c r="A47" i="167"/>
  <c r="P46" i="167"/>
  <c r="N46" i="167"/>
  <c r="M46" i="167"/>
  <c r="L46" i="167"/>
  <c r="K46" i="167"/>
  <c r="H46" i="167"/>
  <c r="A46" i="167"/>
  <c r="P45" i="167"/>
  <c r="N45" i="167"/>
  <c r="M45" i="167"/>
  <c r="L45" i="167"/>
  <c r="K45" i="167"/>
  <c r="H45" i="167"/>
  <c r="A45" i="167"/>
  <c r="P44" i="167"/>
  <c r="N44" i="167"/>
  <c r="M44" i="167"/>
  <c r="L44" i="167"/>
  <c r="K44" i="167"/>
  <c r="H44" i="167"/>
  <c r="A44" i="167"/>
  <c r="P43" i="167"/>
  <c r="N43" i="167"/>
  <c r="M43" i="167"/>
  <c r="L43" i="167"/>
  <c r="K43" i="167"/>
  <c r="H43" i="167"/>
  <c r="A43" i="167"/>
  <c r="P42" i="167"/>
  <c r="N42" i="167"/>
  <c r="M42" i="167"/>
  <c r="L42" i="167"/>
  <c r="K42" i="167"/>
  <c r="H42" i="167"/>
  <c r="A42" i="167"/>
  <c r="P41" i="167"/>
  <c r="N41" i="167"/>
  <c r="M41" i="167"/>
  <c r="L41" i="167"/>
  <c r="K41" i="167"/>
  <c r="H41" i="167"/>
  <c r="A41" i="167"/>
  <c r="P40" i="167"/>
  <c r="N40" i="167"/>
  <c r="M40" i="167"/>
  <c r="L40" i="167"/>
  <c r="K40" i="167"/>
  <c r="H40" i="167"/>
  <c r="A40" i="167"/>
  <c r="P39" i="167"/>
  <c r="N39" i="167"/>
  <c r="M39" i="167"/>
  <c r="L39" i="167"/>
  <c r="K39" i="167"/>
  <c r="H39" i="167"/>
  <c r="A39" i="167"/>
  <c r="P38" i="167"/>
  <c r="N38" i="167"/>
  <c r="M38" i="167"/>
  <c r="L38" i="167"/>
  <c r="K38" i="167"/>
  <c r="H38" i="167"/>
  <c r="A38" i="167"/>
  <c r="P37" i="167"/>
  <c r="N37" i="167"/>
  <c r="M37" i="167"/>
  <c r="L37" i="167"/>
  <c r="K37" i="167"/>
  <c r="H37" i="167"/>
  <c r="A37" i="167"/>
  <c r="P36" i="167"/>
  <c r="N36" i="167"/>
  <c r="M36" i="167"/>
  <c r="L36" i="167"/>
  <c r="K36" i="167"/>
  <c r="H36" i="167"/>
  <c r="A36" i="167"/>
  <c r="P35" i="167"/>
  <c r="N35" i="167"/>
  <c r="M35" i="167"/>
  <c r="L35" i="167"/>
  <c r="K35" i="167"/>
  <c r="H35" i="167"/>
  <c r="A35" i="167"/>
  <c r="P34" i="167"/>
  <c r="N34" i="167"/>
  <c r="M34" i="167"/>
  <c r="L34" i="167"/>
  <c r="K34" i="167"/>
  <c r="H34" i="167"/>
  <c r="A34" i="167"/>
  <c r="P33" i="167"/>
  <c r="N33" i="167"/>
  <c r="M33" i="167"/>
  <c r="L33" i="167"/>
  <c r="K33" i="167"/>
  <c r="H33" i="167"/>
  <c r="A33" i="167"/>
  <c r="P32" i="167"/>
  <c r="N32" i="167"/>
  <c r="M32" i="167"/>
  <c r="L32" i="167"/>
  <c r="K32" i="167"/>
  <c r="H32" i="167"/>
  <c r="A32" i="167"/>
  <c r="P31" i="167"/>
  <c r="N31" i="167"/>
  <c r="M31" i="167"/>
  <c r="L31" i="167"/>
  <c r="K31" i="167"/>
  <c r="H31" i="167"/>
  <c r="A31" i="167"/>
  <c r="P30" i="167"/>
  <c r="N30" i="167"/>
  <c r="M30" i="167"/>
  <c r="L30" i="167"/>
  <c r="K30" i="167"/>
  <c r="H30" i="167"/>
  <c r="A30" i="167"/>
  <c r="P29" i="167"/>
  <c r="N29" i="167"/>
  <c r="M29" i="167"/>
  <c r="L29" i="167"/>
  <c r="K29" i="167"/>
  <c r="H29" i="167"/>
  <c r="A29" i="167"/>
  <c r="P28" i="167"/>
  <c r="N28" i="167"/>
  <c r="M28" i="167"/>
  <c r="L28" i="167"/>
  <c r="K28" i="167"/>
  <c r="H28" i="167"/>
  <c r="A28" i="167"/>
  <c r="P27" i="167"/>
  <c r="N27" i="167"/>
  <c r="M27" i="167"/>
  <c r="L27" i="167"/>
  <c r="K27" i="167"/>
  <c r="H27" i="167"/>
  <c r="A27" i="167"/>
  <c r="P26" i="167"/>
  <c r="N26" i="167"/>
  <c r="M26" i="167"/>
  <c r="L26" i="167"/>
  <c r="K26" i="167"/>
  <c r="H26" i="167"/>
  <c r="A26" i="167"/>
  <c r="P25" i="167"/>
  <c r="N25" i="167"/>
  <c r="M25" i="167"/>
  <c r="L25" i="167"/>
  <c r="K25" i="167"/>
  <c r="H25" i="167"/>
  <c r="A25" i="167"/>
  <c r="P24" i="167"/>
  <c r="N24" i="167"/>
  <c r="M24" i="167"/>
  <c r="L24" i="167"/>
  <c r="K24" i="167"/>
  <c r="H24" i="167"/>
  <c r="A24" i="167"/>
  <c r="P23" i="167"/>
  <c r="N23" i="167"/>
  <c r="M23" i="167"/>
  <c r="L23" i="167"/>
  <c r="K23" i="167"/>
  <c r="H23" i="167"/>
  <c r="A23" i="167"/>
  <c r="P22" i="167"/>
  <c r="N22" i="167"/>
  <c r="M22" i="167"/>
  <c r="L22" i="167"/>
  <c r="K22" i="167"/>
  <c r="H22" i="167"/>
  <c r="A22" i="167"/>
  <c r="P21" i="167"/>
  <c r="N21" i="167"/>
  <c r="M21" i="167"/>
  <c r="L21" i="167"/>
  <c r="K21" i="167"/>
  <c r="H21" i="167"/>
  <c r="A21" i="167"/>
  <c r="P20" i="167"/>
  <c r="N20" i="167"/>
  <c r="M20" i="167"/>
  <c r="L20" i="167"/>
  <c r="K20" i="167"/>
  <c r="H20" i="167"/>
  <c r="A20" i="167"/>
  <c r="P19" i="167"/>
  <c r="N19" i="167"/>
  <c r="M19" i="167"/>
  <c r="L19" i="167"/>
  <c r="K19" i="167"/>
  <c r="H19" i="167"/>
  <c r="A19" i="167"/>
  <c r="P18" i="167"/>
  <c r="N18" i="167"/>
  <c r="M18" i="167"/>
  <c r="L18" i="167"/>
  <c r="K18" i="167"/>
  <c r="H18" i="167"/>
  <c r="A18" i="167"/>
  <c r="P17" i="167"/>
  <c r="N17" i="167"/>
  <c r="M17" i="167"/>
  <c r="L17" i="167"/>
  <c r="K17" i="167"/>
  <c r="H17" i="167"/>
  <c r="A17" i="167"/>
  <c r="P16" i="167"/>
  <c r="N16" i="167"/>
  <c r="M16" i="167"/>
  <c r="L16" i="167"/>
  <c r="K16" i="167"/>
  <c r="H16" i="167"/>
  <c r="A16" i="167"/>
  <c r="P15" i="167"/>
  <c r="N15" i="167"/>
  <c r="M15" i="167"/>
  <c r="L15" i="167"/>
  <c r="K15" i="167"/>
  <c r="H15" i="167"/>
  <c r="A15" i="167"/>
  <c r="P14" i="167"/>
  <c r="N14" i="167"/>
  <c r="M14" i="167"/>
  <c r="L14" i="167"/>
  <c r="K14" i="167"/>
  <c r="H14" i="167"/>
  <c r="A14" i="167"/>
  <c r="P13" i="167"/>
  <c r="N13" i="167"/>
  <c r="M13" i="167"/>
  <c r="L13" i="167"/>
  <c r="K13" i="167"/>
  <c r="H13" i="167"/>
  <c r="A13" i="167"/>
  <c r="P12" i="167"/>
  <c r="N12" i="167"/>
  <c r="M12" i="167"/>
  <c r="L12" i="167"/>
  <c r="K12" i="167"/>
  <c r="H12" i="167"/>
  <c r="A12" i="167"/>
  <c r="P11" i="167"/>
  <c r="N11" i="167"/>
  <c r="M11" i="167"/>
  <c r="L11" i="167"/>
  <c r="K11" i="167"/>
  <c r="H11" i="167"/>
  <c r="A11" i="167"/>
  <c r="P10" i="167"/>
  <c r="N10" i="167"/>
  <c r="M10" i="167"/>
  <c r="L10" i="167"/>
  <c r="K10" i="167"/>
  <c r="H10" i="167"/>
  <c r="A10" i="167"/>
  <c r="P9" i="167"/>
  <c r="N9" i="167"/>
  <c r="M9" i="167"/>
  <c r="L9" i="167"/>
  <c r="K9" i="167"/>
  <c r="H9" i="167"/>
  <c r="A9" i="167"/>
  <c r="P8" i="167"/>
  <c r="N8" i="167"/>
  <c r="M8" i="167"/>
  <c r="L8" i="167"/>
  <c r="K8" i="167"/>
  <c r="H8" i="167"/>
  <c r="A8" i="167"/>
  <c r="P7" i="167"/>
  <c r="N7" i="167"/>
  <c r="M7" i="167"/>
  <c r="L7" i="167"/>
  <c r="K7" i="167"/>
  <c r="H7" i="167"/>
  <c r="A7" i="167"/>
  <c r="P6" i="167"/>
  <c r="N6" i="167"/>
  <c r="M6" i="167"/>
  <c r="L6" i="167"/>
  <c r="K6" i="167"/>
  <c r="H6" i="167"/>
  <c r="A6" i="167"/>
  <c r="P5" i="167"/>
  <c r="N5" i="167"/>
  <c r="M5" i="167"/>
  <c r="L5" i="167"/>
  <c r="K5" i="167"/>
  <c r="H5" i="167"/>
  <c r="A5" i="167"/>
  <c r="P4" i="167"/>
  <c r="N4" i="167"/>
  <c r="M4" i="167"/>
  <c r="L4" i="167"/>
  <c r="K4" i="167"/>
  <c r="H4" i="167"/>
  <c r="A4" i="167"/>
  <c r="P3" i="167"/>
  <c r="N3" i="167"/>
  <c r="M3" i="167"/>
  <c r="L3" i="167"/>
  <c r="K3" i="167"/>
  <c r="H3" i="167"/>
  <c r="A3" i="167"/>
  <c r="P2" i="167"/>
  <c r="N2" i="167"/>
  <c r="M2" i="167"/>
  <c r="L2" i="167"/>
  <c r="K2" i="167"/>
  <c r="H2" i="167"/>
  <c r="A2" i="167"/>
  <c r="F48" i="166"/>
  <c r="F47" i="166"/>
  <c r="B40" i="166"/>
  <c r="B41" i="166"/>
  <c r="B42" i="166"/>
  <c r="B43" i="166"/>
  <c r="B44" i="166"/>
  <c r="B45" i="166"/>
  <c r="B46" i="166"/>
  <c r="B47" i="166"/>
  <c r="C40" i="166"/>
  <c r="C41" i="166"/>
  <c r="C42" i="166"/>
  <c r="C43" i="166"/>
  <c r="C44" i="166"/>
  <c r="C45" i="166"/>
  <c r="C46" i="166"/>
  <c r="C47" i="166"/>
  <c r="F46" i="166"/>
  <c r="F45" i="166"/>
  <c r="F42" i="166"/>
  <c r="G42" i="166"/>
  <c r="F41" i="166"/>
  <c r="G41" i="166"/>
  <c r="F40" i="166"/>
  <c r="G40" i="166"/>
  <c r="B32" i="166"/>
  <c r="C19" i="166"/>
  <c r="C20" i="166"/>
  <c r="C21" i="166"/>
  <c r="C22" i="166"/>
  <c r="C23" i="166"/>
  <c r="C24" i="166"/>
  <c r="C25" i="166"/>
  <c r="C26" i="166"/>
  <c r="C27" i="166"/>
  <c r="C28" i="166"/>
  <c r="C29" i="166"/>
  <c r="C30" i="166"/>
  <c r="C31" i="166"/>
  <c r="C32" i="166"/>
  <c r="D32" i="166"/>
  <c r="G31" i="166"/>
  <c r="E31" i="166"/>
  <c r="H31" i="166"/>
  <c r="I31" i="166"/>
  <c r="J31" i="166"/>
  <c r="F31" i="166"/>
  <c r="D31" i="166"/>
  <c r="G30" i="166"/>
  <c r="E30" i="166"/>
  <c r="H30" i="166"/>
  <c r="I30" i="166"/>
  <c r="J30" i="166"/>
  <c r="F30" i="166"/>
  <c r="D30" i="166"/>
  <c r="I29" i="166"/>
  <c r="J29" i="166"/>
  <c r="F29" i="166"/>
  <c r="D29" i="166"/>
  <c r="I28" i="166"/>
  <c r="J28" i="166"/>
  <c r="F28" i="166"/>
  <c r="D28" i="166"/>
  <c r="I27" i="166"/>
  <c r="J27" i="166"/>
  <c r="F27" i="166"/>
  <c r="D27" i="166"/>
  <c r="I26" i="166"/>
  <c r="J26" i="166"/>
  <c r="F26" i="166"/>
  <c r="D26" i="166"/>
  <c r="I25" i="166"/>
  <c r="J25" i="166"/>
  <c r="F25" i="166"/>
  <c r="D25" i="166"/>
  <c r="I24" i="166"/>
  <c r="J24" i="166"/>
  <c r="F24" i="166"/>
  <c r="D24" i="166"/>
  <c r="I23" i="166"/>
  <c r="J23" i="166"/>
  <c r="F23" i="166"/>
  <c r="D23" i="166"/>
  <c r="I22" i="166"/>
  <c r="J22" i="166"/>
  <c r="F22" i="166"/>
  <c r="D22" i="166"/>
  <c r="I21" i="166"/>
  <c r="J21" i="166"/>
  <c r="F21" i="166"/>
  <c r="D21" i="166"/>
  <c r="R20" i="166"/>
  <c r="P20" i="166"/>
  <c r="O20" i="166"/>
  <c r="M20" i="166"/>
  <c r="I20" i="166"/>
  <c r="J20" i="166"/>
  <c r="F20" i="166"/>
  <c r="D20" i="166"/>
  <c r="R19" i="166"/>
  <c r="P19" i="166"/>
  <c r="O19" i="166"/>
  <c r="M19" i="166"/>
  <c r="I19" i="166"/>
  <c r="J19" i="166"/>
  <c r="F19" i="166"/>
  <c r="D19" i="166"/>
  <c r="R18" i="166"/>
  <c r="P18" i="166"/>
  <c r="O18" i="166"/>
  <c r="M18" i="166"/>
  <c r="I18" i="166"/>
  <c r="J18" i="166"/>
  <c r="F18" i="166"/>
  <c r="C18" i="166"/>
  <c r="D18" i="166"/>
  <c r="R17" i="166"/>
  <c r="P17" i="166"/>
  <c r="O17" i="166"/>
  <c r="M17" i="166"/>
  <c r="I17" i="166"/>
  <c r="J17" i="166"/>
  <c r="F17" i="166"/>
  <c r="C17" i="166"/>
  <c r="D17" i="166"/>
  <c r="V16" i="166"/>
  <c r="R16" i="166"/>
  <c r="P16" i="166"/>
  <c r="O16" i="166"/>
  <c r="M16" i="166"/>
  <c r="V15" i="166"/>
  <c r="R15" i="166"/>
  <c r="P15" i="166"/>
  <c r="O15" i="166"/>
  <c r="M15" i="166"/>
  <c r="V14" i="166"/>
  <c r="R14" i="166"/>
  <c r="P14" i="166"/>
  <c r="O14" i="166"/>
  <c r="M14" i="166"/>
  <c r="V13" i="166"/>
  <c r="R13" i="166"/>
  <c r="P13" i="166"/>
  <c r="O13" i="166"/>
  <c r="M13" i="166"/>
  <c r="V12" i="166"/>
  <c r="R12" i="166"/>
  <c r="P12" i="166"/>
  <c r="O12" i="166"/>
  <c r="M12" i="166"/>
  <c r="V11" i="166"/>
  <c r="R11" i="166"/>
  <c r="P11" i="166"/>
  <c r="O11" i="166"/>
  <c r="M11" i="166"/>
  <c r="V10" i="166"/>
  <c r="R10" i="166"/>
  <c r="P10" i="166"/>
  <c r="O10" i="166"/>
  <c r="M10" i="166"/>
  <c r="V9" i="166"/>
  <c r="P9" i="166"/>
  <c r="O9" i="166"/>
  <c r="M9" i="166"/>
  <c r="V8" i="166"/>
  <c r="P8" i="166"/>
  <c r="O8" i="166"/>
  <c r="M8" i="166"/>
  <c r="V7" i="166"/>
  <c r="P7" i="166"/>
  <c r="O7" i="166"/>
  <c r="M7" i="166"/>
  <c r="V6" i="166"/>
  <c r="P6" i="166"/>
  <c r="O6" i="166"/>
  <c r="M6" i="166"/>
  <c r="V5" i="166"/>
  <c r="P5" i="166"/>
  <c r="O5" i="166"/>
  <c r="M5" i="166"/>
  <c r="V4" i="166"/>
  <c r="P4" i="166"/>
  <c r="O4" i="166"/>
  <c r="M4" i="166"/>
  <c r="V3" i="166"/>
  <c r="P3" i="166"/>
  <c r="O3" i="166"/>
  <c r="M3" i="166"/>
  <c r="V2" i="166"/>
  <c r="I2" i="165"/>
  <c r="D2" i="165"/>
  <c r="J2" i="165"/>
  <c r="E2" i="165"/>
  <c r="F2" i="165"/>
  <c r="C2" i="165"/>
  <c r="I3" i="165"/>
  <c r="D3" i="165"/>
  <c r="J3" i="165"/>
  <c r="E3" i="165"/>
  <c r="F3" i="165"/>
  <c r="C3" i="165"/>
  <c r="I4" i="165"/>
  <c r="D4" i="165"/>
  <c r="J4" i="165"/>
  <c r="E4" i="165"/>
  <c r="F4" i="165"/>
  <c r="C4" i="165"/>
  <c r="I5" i="165"/>
  <c r="D5" i="165"/>
  <c r="J5" i="165"/>
  <c r="E5" i="165"/>
  <c r="F5" i="165"/>
  <c r="C5" i="165"/>
  <c r="I6" i="165"/>
  <c r="D6" i="165"/>
  <c r="J6" i="165"/>
  <c r="E6" i="165"/>
  <c r="F6" i="165"/>
  <c r="C6" i="165"/>
  <c r="I7" i="165"/>
  <c r="D7" i="165"/>
  <c r="J7" i="165"/>
  <c r="E7" i="165"/>
  <c r="F7" i="165"/>
  <c r="C7" i="165"/>
  <c r="I8" i="165"/>
  <c r="D8" i="165"/>
  <c r="J8" i="165"/>
  <c r="E8" i="165"/>
  <c r="F8" i="165"/>
  <c r="C8" i="165"/>
  <c r="I9" i="165"/>
  <c r="D9" i="165"/>
  <c r="J9" i="165"/>
  <c r="E9" i="165"/>
  <c r="F9" i="165"/>
  <c r="C9" i="165"/>
  <c r="I10" i="165"/>
  <c r="D10" i="165"/>
  <c r="J10" i="165"/>
  <c r="E10" i="165"/>
  <c r="F10" i="165"/>
  <c r="C10" i="165"/>
  <c r="I11" i="165"/>
  <c r="D11" i="165"/>
  <c r="J11" i="165"/>
  <c r="E11" i="165"/>
  <c r="F11" i="165"/>
  <c r="C11" i="165"/>
  <c r="I12" i="165"/>
  <c r="D12" i="165"/>
  <c r="J12" i="165"/>
  <c r="E12" i="165"/>
  <c r="F12" i="165"/>
  <c r="C12" i="165"/>
  <c r="I13" i="165"/>
  <c r="D13" i="165"/>
  <c r="J13" i="165"/>
  <c r="E13" i="165"/>
  <c r="F13" i="165"/>
  <c r="C13" i="165"/>
  <c r="I14" i="165"/>
  <c r="D14" i="165"/>
  <c r="J14" i="165"/>
  <c r="E14" i="165"/>
  <c r="F14" i="165"/>
  <c r="C14" i="165"/>
  <c r="I15" i="165"/>
  <c r="D15" i="165"/>
  <c r="J15" i="165"/>
  <c r="E15" i="165"/>
  <c r="F15" i="165"/>
  <c r="C15" i="165"/>
  <c r="I16" i="165"/>
  <c r="D16" i="165"/>
  <c r="J16" i="165"/>
  <c r="E16" i="165"/>
  <c r="F16" i="165"/>
  <c r="C16" i="165"/>
  <c r="I17" i="165"/>
  <c r="D17" i="165"/>
  <c r="J17" i="165"/>
  <c r="E17" i="165"/>
  <c r="F17" i="165"/>
  <c r="C17" i="165"/>
  <c r="I18" i="165"/>
  <c r="D18" i="165"/>
  <c r="J18" i="165"/>
  <c r="E18" i="165"/>
  <c r="F18" i="165"/>
  <c r="C18" i="165"/>
  <c r="I19" i="165"/>
  <c r="D19" i="165"/>
  <c r="J19" i="165"/>
  <c r="E19" i="165"/>
  <c r="F19" i="165"/>
  <c r="C19" i="165"/>
  <c r="I20" i="165"/>
  <c r="D20" i="165"/>
  <c r="J20" i="165"/>
  <c r="E20" i="165"/>
  <c r="F20" i="165"/>
  <c r="C20" i="165"/>
  <c r="I21" i="165"/>
  <c r="D21" i="165"/>
  <c r="J21" i="165"/>
  <c r="E21" i="165"/>
  <c r="F21" i="165"/>
  <c r="C21" i="165"/>
  <c r="I22" i="165"/>
  <c r="D22" i="165"/>
  <c r="J22" i="165"/>
  <c r="E22" i="165"/>
  <c r="F22" i="165"/>
  <c r="C22" i="165"/>
  <c r="I23" i="165"/>
  <c r="D23" i="165"/>
  <c r="J23" i="165"/>
  <c r="E23" i="165"/>
  <c r="F23" i="165"/>
  <c r="C23" i="165"/>
  <c r="I24" i="165"/>
  <c r="D24" i="165"/>
  <c r="J24" i="165"/>
  <c r="E24" i="165"/>
  <c r="F24" i="165"/>
  <c r="C24" i="165"/>
  <c r="I25" i="165"/>
  <c r="D25" i="165"/>
  <c r="J25" i="165"/>
  <c r="E25" i="165"/>
  <c r="F25" i="165"/>
  <c r="C25" i="165"/>
  <c r="I26" i="165"/>
  <c r="D26" i="165"/>
  <c r="J26" i="165"/>
  <c r="E26" i="165"/>
  <c r="F26" i="165"/>
  <c r="C26" i="165"/>
  <c r="I27" i="165"/>
  <c r="D27" i="165"/>
  <c r="J27" i="165"/>
  <c r="E27" i="165"/>
  <c r="F27" i="165"/>
  <c r="C27" i="165"/>
  <c r="I28" i="165"/>
  <c r="D28" i="165"/>
  <c r="J28" i="165"/>
  <c r="E28" i="165"/>
  <c r="F28" i="165"/>
  <c r="C28" i="165"/>
  <c r="I29" i="165"/>
  <c r="D29" i="165"/>
  <c r="J29" i="165"/>
  <c r="E29" i="165"/>
  <c r="F29" i="165"/>
  <c r="C29" i="165"/>
  <c r="I30" i="165"/>
  <c r="D30" i="165"/>
  <c r="J30" i="165"/>
  <c r="E30" i="165"/>
  <c r="F30" i="165"/>
  <c r="C30" i="165"/>
  <c r="I31" i="165"/>
  <c r="D31" i="165"/>
  <c r="J31" i="165"/>
  <c r="E31" i="165"/>
  <c r="F31" i="165"/>
  <c r="C31" i="165"/>
  <c r="I32" i="165"/>
  <c r="D32" i="165"/>
  <c r="J32" i="165"/>
  <c r="E32" i="165"/>
  <c r="F32" i="165"/>
  <c r="C32" i="165"/>
  <c r="I33" i="165"/>
  <c r="D33" i="165"/>
  <c r="J33" i="165"/>
  <c r="E33" i="165"/>
  <c r="F33" i="165"/>
  <c r="C33" i="165"/>
  <c r="I34" i="165"/>
  <c r="D34" i="165"/>
  <c r="J34" i="165"/>
  <c r="E34" i="165"/>
  <c r="F34" i="165"/>
  <c r="C34" i="165"/>
  <c r="I35" i="165"/>
  <c r="D35" i="165"/>
  <c r="J35" i="165"/>
  <c r="E35" i="165"/>
  <c r="F35" i="165"/>
  <c r="C35" i="165"/>
  <c r="I36" i="165"/>
  <c r="D36" i="165"/>
  <c r="J36" i="165"/>
  <c r="E36" i="165"/>
  <c r="F36" i="165"/>
  <c r="C36" i="165"/>
  <c r="I37" i="165"/>
  <c r="D37" i="165"/>
  <c r="J37" i="165"/>
  <c r="E37" i="165"/>
  <c r="F37" i="165"/>
  <c r="C37" i="165"/>
  <c r="I38" i="165"/>
  <c r="D38" i="165"/>
  <c r="J38" i="165"/>
  <c r="E38" i="165"/>
  <c r="F38" i="165"/>
  <c r="C38" i="165"/>
  <c r="I39" i="165"/>
  <c r="D39" i="165"/>
  <c r="J39" i="165"/>
  <c r="E39" i="165"/>
  <c r="F39" i="165"/>
  <c r="C39" i="165"/>
  <c r="I40" i="165"/>
  <c r="D40" i="165"/>
  <c r="J40" i="165"/>
  <c r="E40" i="165"/>
  <c r="F40" i="165"/>
  <c r="C40" i="165"/>
  <c r="I41" i="165"/>
  <c r="D41" i="165"/>
  <c r="J41" i="165"/>
  <c r="E41" i="165"/>
  <c r="F41" i="165"/>
  <c r="C41" i="165"/>
  <c r="I42" i="165"/>
  <c r="D42" i="165"/>
  <c r="J42" i="165"/>
  <c r="E42" i="165"/>
  <c r="F42" i="165"/>
  <c r="C42" i="165"/>
  <c r="I43" i="165"/>
  <c r="D43" i="165"/>
  <c r="J43" i="165"/>
  <c r="E43" i="165"/>
  <c r="F43" i="165"/>
  <c r="C43" i="165"/>
  <c r="I44" i="165"/>
  <c r="D44" i="165"/>
  <c r="J44" i="165"/>
  <c r="E44" i="165"/>
  <c r="F44" i="165"/>
  <c r="C44" i="165"/>
  <c r="I45" i="165"/>
  <c r="D45" i="165"/>
  <c r="J45" i="165"/>
  <c r="E45" i="165"/>
  <c r="F45" i="165"/>
  <c r="C45" i="165"/>
  <c r="I46" i="165"/>
  <c r="D46" i="165"/>
  <c r="J46" i="165"/>
  <c r="E46" i="165"/>
  <c r="F46" i="165"/>
  <c r="C46" i="165"/>
  <c r="I47" i="165"/>
  <c r="D47" i="165"/>
  <c r="J47" i="165"/>
  <c r="E47" i="165"/>
  <c r="F47" i="165"/>
  <c r="C47" i="165"/>
  <c r="I48" i="165"/>
  <c r="D48" i="165"/>
  <c r="J48" i="165"/>
  <c r="E48" i="165"/>
  <c r="F48" i="165"/>
  <c r="C48" i="165"/>
  <c r="I49" i="165"/>
  <c r="D49" i="165"/>
  <c r="J49" i="165"/>
  <c r="E49" i="165"/>
  <c r="F49" i="165"/>
  <c r="C49" i="165"/>
  <c r="I50" i="165"/>
  <c r="D50" i="165"/>
  <c r="J50" i="165"/>
  <c r="E50" i="165"/>
  <c r="F50" i="165"/>
  <c r="C50" i="165"/>
  <c r="I51" i="165"/>
  <c r="D51" i="165"/>
  <c r="J51" i="165"/>
  <c r="E51" i="165"/>
  <c r="F51" i="165"/>
  <c r="C51" i="165"/>
  <c r="I52" i="165"/>
  <c r="D52" i="165"/>
  <c r="J52" i="165"/>
  <c r="E52" i="165"/>
  <c r="F52" i="165"/>
  <c r="C52" i="165"/>
  <c r="I53" i="165"/>
  <c r="D53" i="165"/>
  <c r="J53" i="165"/>
  <c r="E53" i="165"/>
  <c r="F53" i="165"/>
  <c r="C53" i="165"/>
  <c r="I54" i="165"/>
  <c r="D54" i="165"/>
  <c r="J54" i="165"/>
  <c r="E54" i="165"/>
  <c r="F54" i="165"/>
  <c r="C54" i="165"/>
  <c r="I55" i="165"/>
  <c r="D55" i="165"/>
  <c r="J55" i="165"/>
  <c r="E55" i="165"/>
  <c r="F55" i="165"/>
  <c r="C55" i="165"/>
  <c r="I56" i="165"/>
  <c r="D56" i="165"/>
  <c r="J56" i="165"/>
  <c r="E56" i="165"/>
  <c r="F56" i="165"/>
  <c r="C56" i="165"/>
  <c r="I57" i="165"/>
  <c r="D57" i="165"/>
  <c r="J57" i="165"/>
  <c r="E57" i="165"/>
  <c r="F57" i="165"/>
  <c r="C57" i="165"/>
  <c r="I58" i="165"/>
  <c r="D58" i="165"/>
  <c r="J58" i="165"/>
  <c r="E58" i="165"/>
  <c r="F58" i="165"/>
  <c r="C58" i="165"/>
  <c r="I59" i="165"/>
  <c r="D59" i="165"/>
  <c r="J59" i="165"/>
  <c r="E59" i="165"/>
  <c r="F59" i="165"/>
  <c r="C59" i="165"/>
  <c r="I60" i="165"/>
  <c r="D60" i="165"/>
  <c r="J60" i="165"/>
  <c r="E60" i="165"/>
  <c r="F60" i="165"/>
  <c r="C60" i="165"/>
  <c r="I61" i="165"/>
  <c r="D61" i="165"/>
  <c r="J61" i="165"/>
  <c r="E61" i="165"/>
  <c r="F61" i="165"/>
  <c r="C61" i="165"/>
  <c r="I62" i="165"/>
  <c r="D62" i="165"/>
  <c r="J62" i="165"/>
  <c r="E62" i="165"/>
  <c r="F62" i="165"/>
  <c r="C62" i="165"/>
  <c r="I63" i="165"/>
  <c r="D63" i="165"/>
  <c r="J63" i="165"/>
  <c r="E63" i="165"/>
  <c r="F63" i="165"/>
  <c r="C63" i="165"/>
  <c r="I64" i="165"/>
  <c r="D64" i="165"/>
  <c r="J64" i="165"/>
  <c r="E64" i="165"/>
  <c r="F64" i="165"/>
  <c r="C64" i="165"/>
  <c r="I65" i="165"/>
  <c r="D65" i="165"/>
  <c r="J65" i="165"/>
  <c r="E65" i="165"/>
  <c r="F65" i="165"/>
  <c r="C65" i="165"/>
  <c r="I66" i="165"/>
  <c r="D66" i="165"/>
  <c r="J66" i="165"/>
  <c r="E66" i="165"/>
  <c r="F66" i="165"/>
  <c r="C66" i="165"/>
  <c r="I67" i="165"/>
  <c r="D67" i="165"/>
  <c r="J67" i="165"/>
  <c r="E67" i="165"/>
  <c r="F67" i="165"/>
  <c r="C67" i="165"/>
  <c r="I68" i="165"/>
  <c r="D68" i="165"/>
  <c r="J68" i="165"/>
  <c r="E68" i="165"/>
  <c r="F68" i="165"/>
  <c r="C68" i="165"/>
  <c r="I69" i="165"/>
  <c r="D69" i="165"/>
  <c r="J69" i="165"/>
  <c r="E69" i="165"/>
  <c r="F69" i="165"/>
  <c r="C69" i="165"/>
  <c r="I70" i="165"/>
  <c r="D70" i="165"/>
  <c r="J70" i="165"/>
  <c r="E70" i="165"/>
  <c r="F70" i="165"/>
  <c r="C70" i="165"/>
  <c r="I71" i="165"/>
  <c r="D71" i="165"/>
  <c r="J71" i="165"/>
  <c r="E71" i="165"/>
  <c r="F71" i="165"/>
  <c r="C71" i="165"/>
  <c r="I72" i="165"/>
  <c r="D72" i="165"/>
  <c r="J72" i="165"/>
  <c r="E72" i="165"/>
  <c r="F72" i="165"/>
  <c r="C72" i="165"/>
  <c r="I73" i="165"/>
  <c r="D73" i="165"/>
  <c r="J73" i="165"/>
  <c r="E73" i="165"/>
  <c r="F73" i="165"/>
  <c r="C73" i="165"/>
  <c r="I74" i="165"/>
  <c r="D74" i="165"/>
  <c r="J74" i="165"/>
  <c r="E74" i="165"/>
  <c r="F74" i="165"/>
  <c r="C74" i="165"/>
  <c r="I75" i="165"/>
  <c r="D75" i="165"/>
  <c r="J75" i="165"/>
  <c r="E75" i="165"/>
  <c r="F75" i="165"/>
  <c r="C75" i="165"/>
  <c r="I76" i="165"/>
  <c r="D76" i="165"/>
  <c r="J76" i="165"/>
  <c r="E76" i="165"/>
  <c r="F76" i="165"/>
  <c r="C76" i="165"/>
  <c r="I77" i="165"/>
  <c r="D77" i="165"/>
  <c r="J77" i="165"/>
  <c r="E77" i="165"/>
  <c r="F77" i="165"/>
  <c r="C77" i="165"/>
  <c r="I78" i="165"/>
  <c r="D78" i="165"/>
  <c r="J78" i="165"/>
  <c r="E78" i="165"/>
  <c r="F78" i="165"/>
  <c r="C78" i="165"/>
  <c r="I79" i="165"/>
  <c r="D79" i="165"/>
  <c r="J79" i="165"/>
  <c r="E79" i="165"/>
  <c r="F79" i="165"/>
  <c r="C79" i="165"/>
  <c r="I80" i="165"/>
  <c r="D80" i="165"/>
  <c r="J80" i="165"/>
  <c r="E80" i="165"/>
  <c r="F80" i="165"/>
  <c r="C80" i="165"/>
  <c r="I81" i="165"/>
  <c r="D81" i="165"/>
  <c r="J81" i="165"/>
  <c r="E81" i="165"/>
  <c r="F81" i="165"/>
  <c r="C81" i="165"/>
  <c r="I82" i="165"/>
  <c r="D82" i="165"/>
  <c r="J82" i="165"/>
  <c r="E82" i="165"/>
  <c r="F82" i="165"/>
  <c r="C82" i="165"/>
  <c r="I83" i="165"/>
  <c r="D83" i="165"/>
  <c r="J83" i="165"/>
  <c r="E83" i="165"/>
  <c r="F83" i="165"/>
  <c r="C83" i="165"/>
  <c r="I84" i="165"/>
  <c r="D84" i="165"/>
  <c r="J84" i="165"/>
  <c r="E84" i="165"/>
  <c r="F84" i="165"/>
  <c r="C84" i="165"/>
  <c r="I85" i="165"/>
  <c r="D85" i="165"/>
  <c r="J85" i="165"/>
  <c r="E85" i="165"/>
  <c r="F85" i="165"/>
  <c r="C85" i="165"/>
  <c r="I86" i="165"/>
  <c r="D86" i="165"/>
  <c r="J86" i="165"/>
  <c r="E86" i="165"/>
  <c r="F86" i="165"/>
  <c r="C86" i="165"/>
  <c r="I87" i="165"/>
  <c r="D87" i="165"/>
  <c r="J87" i="165"/>
  <c r="E87" i="165"/>
  <c r="F87" i="165"/>
  <c r="C87" i="165"/>
  <c r="I88" i="165"/>
  <c r="D88" i="165"/>
  <c r="J88" i="165"/>
  <c r="E88" i="165"/>
  <c r="F88" i="165"/>
  <c r="C88" i="165"/>
  <c r="I89" i="165"/>
  <c r="D89" i="165"/>
  <c r="J89" i="165"/>
  <c r="E89" i="165"/>
  <c r="F89" i="165"/>
  <c r="C89" i="165"/>
  <c r="I90" i="165"/>
  <c r="D90" i="165"/>
  <c r="J90" i="165"/>
  <c r="E90" i="165"/>
  <c r="F90" i="165"/>
  <c r="C90" i="165"/>
  <c r="I91" i="165"/>
  <c r="D91" i="165"/>
  <c r="J91" i="165"/>
  <c r="E91" i="165"/>
  <c r="F91" i="165"/>
  <c r="C91" i="165"/>
  <c r="I92" i="165"/>
  <c r="D92" i="165"/>
  <c r="J92" i="165"/>
  <c r="E92" i="165"/>
  <c r="F92" i="165"/>
  <c r="C92" i="165"/>
  <c r="I93" i="165"/>
  <c r="D93" i="165"/>
  <c r="J93" i="165"/>
  <c r="E93" i="165"/>
  <c r="F93" i="165"/>
  <c r="C93" i="165"/>
  <c r="I94" i="165"/>
  <c r="D94" i="165"/>
  <c r="J94" i="165"/>
  <c r="E94" i="165"/>
  <c r="F94" i="165"/>
  <c r="C94" i="165"/>
  <c r="I95" i="165"/>
  <c r="D95" i="165"/>
  <c r="J95" i="165"/>
  <c r="E95" i="165"/>
  <c r="F95" i="165"/>
  <c r="C95" i="165"/>
  <c r="I96" i="165"/>
  <c r="D96" i="165"/>
  <c r="J96" i="165"/>
  <c r="E96" i="165"/>
  <c r="F96" i="165"/>
  <c r="C96" i="165"/>
  <c r="I97" i="165"/>
  <c r="D97" i="165"/>
  <c r="J97" i="165"/>
  <c r="E97" i="165"/>
  <c r="F97" i="165"/>
  <c r="C97" i="165"/>
  <c r="I98" i="165"/>
  <c r="D98" i="165"/>
  <c r="J98" i="165"/>
  <c r="E98" i="165"/>
  <c r="F98" i="165"/>
  <c r="C98" i="165"/>
  <c r="I99" i="165"/>
  <c r="D99" i="165"/>
  <c r="J99" i="165"/>
  <c r="E99" i="165"/>
  <c r="F99" i="165"/>
  <c r="C99" i="165"/>
  <c r="I100" i="165"/>
  <c r="D100" i="165"/>
  <c r="J100" i="165"/>
  <c r="E100" i="165"/>
  <c r="F100" i="165"/>
  <c r="C100" i="165"/>
  <c r="I101" i="165"/>
  <c r="D101" i="165"/>
  <c r="J101" i="165"/>
  <c r="E101" i="165"/>
  <c r="F101" i="165"/>
  <c r="C101" i="165"/>
  <c r="I102" i="165"/>
  <c r="D102" i="165"/>
  <c r="J102" i="165"/>
  <c r="E102" i="165"/>
  <c r="F102" i="165"/>
  <c r="C102" i="165"/>
  <c r="I103" i="165"/>
  <c r="D103" i="165"/>
  <c r="J103" i="165"/>
  <c r="E103" i="165"/>
  <c r="F103" i="165"/>
  <c r="C103" i="165"/>
  <c r="I104" i="165"/>
  <c r="D104" i="165"/>
  <c r="J104" i="165"/>
  <c r="E104" i="165"/>
  <c r="F104" i="165"/>
  <c r="C104" i="165"/>
  <c r="I105" i="165"/>
  <c r="D105" i="165"/>
  <c r="J105" i="165"/>
  <c r="E105" i="165"/>
  <c r="F105" i="165"/>
  <c r="C105" i="165"/>
  <c r="I106" i="165"/>
  <c r="D106" i="165"/>
  <c r="J106" i="165"/>
  <c r="E106" i="165"/>
  <c r="F106" i="165"/>
  <c r="C106" i="165"/>
  <c r="I107" i="165"/>
  <c r="D107" i="165"/>
  <c r="J107" i="165"/>
  <c r="E107" i="165"/>
  <c r="F107" i="165"/>
  <c r="C107" i="165"/>
  <c r="I108" i="165"/>
  <c r="D108" i="165"/>
  <c r="J108" i="165"/>
  <c r="E108" i="165"/>
  <c r="F108" i="165"/>
  <c r="C108" i="165"/>
  <c r="I109" i="165"/>
  <c r="D109" i="165"/>
  <c r="J109" i="165"/>
  <c r="E109" i="165"/>
  <c r="F109" i="165"/>
  <c r="C109" i="165"/>
  <c r="I110" i="165"/>
  <c r="D110" i="165"/>
  <c r="J110" i="165"/>
  <c r="E110" i="165"/>
  <c r="F110" i="165"/>
  <c r="C110" i="165"/>
  <c r="I111" i="165"/>
  <c r="D111" i="165"/>
  <c r="J111" i="165"/>
  <c r="E111" i="165"/>
  <c r="F111" i="165"/>
  <c r="C111" i="165"/>
  <c r="I112" i="165"/>
  <c r="D112" i="165"/>
  <c r="J112" i="165"/>
  <c r="E112" i="165"/>
  <c r="F112" i="165"/>
  <c r="C112" i="165"/>
  <c r="I113" i="165"/>
  <c r="D113" i="165"/>
  <c r="J113" i="165"/>
  <c r="E113" i="165"/>
  <c r="F113" i="165"/>
  <c r="C113" i="165"/>
  <c r="I114" i="165"/>
  <c r="D114" i="165"/>
  <c r="J114" i="165"/>
  <c r="E114" i="165"/>
  <c r="F114" i="165"/>
  <c r="C114" i="165"/>
  <c r="I115" i="165"/>
  <c r="D115" i="165"/>
  <c r="J115" i="165"/>
  <c r="E115" i="165"/>
  <c r="F115" i="165"/>
  <c r="C115" i="165"/>
  <c r="I116" i="165"/>
  <c r="D116" i="165"/>
  <c r="J116" i="165"/>
  <c r="E116" i="165"/>
  <c r="F116" i="165"/>
  <c r="C116" i="165"/>
  <c r="I117" i="165"/>
  <c r="D117" i="165"/>
  <c r="J117" i="165"/>
  <c r="E117" i="165"/>
  <c r="F117" i="165"/>
  <c r="C117" i="165"/>
  <c r="I118" i="165"/>
  <c r="D118" i="165"/>
  <c r="J118" i="165"/>
  <c r="E118" i="165"/>
  <c r="F118" i="165"/>
  <c r="C118" i="165"/>
  <c r="I119" i="165"/>
  <c r="D119" i="165"/>
  <c r="J119" i="165"/>
  <c r="E119" i="165"/>
  <c r="F119" i="165"/>
  <c r="C119" i="165"/>
  <c r="I120" i="165"/>
  <c r="D120" i="165"/>
  <c r="J120" i="165"/>
  <c r="E120" i="165"/>
  <c r="F120" i="165"/>
  <c r="C120" i="165"/>
  <c r="I121" i="165"/>
  <c r="D121" i="165"/>
  <c r="J121" i="165"/>
  <c r="E121" i="165"/>
  <c r="F121" i="165"/>
  <c r="C121" i="165"/>
  <c r="I122" i="165"/>
  <c r="D122" i="165"/>
  <c r="J122" i="165"/>
  <c r="E122" i="165"/>
  <c r="F122" i="165"/>
  <c r="C122" i="165"/>
  <c r="I123" i="165"/>
  <c r="D123" i="165"/>
  <c r="J123" i="165"/>
  <c r="E123" i="165"/>
  <c r="F123" i="165"/>
  <c r="C123" i="165"/>
  <c r="I124" i="165"/>
  <c r="D124" i="165"/>
  <c r="J124" i="165"/>
  <c r="E124" i="165"/>
  <c r="F124" i="165"/>
  <c r="C124" i="165"/>
  <c r="I125" i="165"/>
  <c r="D125" i="165"/>
  <c r="J125" i="165"/>
  <c r="E125" i="165"/>
  <c r="F125" i="165"/>
  <c r="C125" i="165"/>
  <c r="I126" i="165"/>
  <c r="D126" i="165"/>
  <c r="J126" i="165"/>
  <c r="E126" i="165"/>
  <c r="F126" i="165"/>
  <c r="C126" i="165"/>
  <c r="I127" i="165"/>
  <c r="D127" i="165"/>
  <c r="J127" i="165"/>
  <c r="E127" i="165"/>
  <c r="F127" i="165"/>
  <c r="C127" i="165"/>
  <c r="I128" i="165"/>
  <c r="D128" i="165"/>
  <c r="J128" i="165"/>
  <c r="E128" i="165"/>
  <c r="F128" i="165"/>
  <c r="C128" i="165"/>
  <c r="I129" i="165"/>
  <c r="D129" i="165"/>
  <c r="J129" i="165"/>
  <c r="E129" i="165"/>
  <c r="F129" i="165"/>
  <c r="C129" i="165"/>
  <c r="I130" i="165"/>
  <c r="D130" i="165"/>
  <c r="J130" i="165"/>
  <c r="E130" i="165"/>
  <c r="F130" i="165"/>
  <c r="C130" i="165"/>
  <c r="I131" i="165"/>
  <c r="D131" i="165"/>
  <c r="J131" i="165"/>
  <c r="E131" i="165"/>
  <c r="F131" i="165"/>
  <c r="C131" i="165"/>
  <c r="I132" i="165"/>
  <c r="D132" i="165"/>
  <c r="J132" i="165"/>
  <c r="E132" i="165"/>
  <c r="F132" i="165"/>
  <c r="C132" i="165"/>
  <c r="I133" i="165"/>
  <c r="D133" i="165"/>
  <c r="J133" i="165"/>
  <c r="E133" i="165"/>
  <c r="F133" i="165"/>
  <c r="C133" i="165"/>
  <c r="I134" i="165"/>
  <c r="D134" i="165"/>
  <c r="J134" i="165"/>
  <c r="E134" i="165"/>
  <c r="F134" i="165"/>
  <c r="C134" i="165"/>
  <c r="I135" i="165"/>
  <c r="D135" i="165"/>
  <c r="J135" i="165"/>
  <c r="E135" i="165"/>
  <c r="F135" i="165"/>
  <c r="C135" i="165"/>
  <c r="I136" i="165"/>
  <c r="D136" i="165"/>
  <c r="J136" i="165"/>
  <c r="E136" i="165"/>
  <c r="F136" i="165"/>
  <c r="C136" i="165"/>
  <c r="I137" i="165"/>
  <c r="D137" i="165"/>
  <c r="J137" i="165"/>
  <c r="E137" i="165"/>
  <c r="F137" i="165"/>
  <c r="C137" i="165"/>
  <c r="I138" i="165"/>
  <c r="D138" i="165"/>
  <c r="J138" i="165"/>
  <c r="E138" i="165"/>
  <c r="F138" i="165"/>
  <c r="C138" i="165"/>
  <c r="I139" i="165"/>
  <c r="D139" i="165"/>
  <c r="J139" i="165"/>
  <c r="E139" i="165"/>
  <c r="F139" i="165"/>
  <c r="C139" i="165"/>
  <c r="I140" i="165"/>
  <c r="D140" i="165"/>
  <c r="J140" i="165"/>
  <c r="E140" i="165"/>
  <c r="F140" i="165"/>
  <c r="C140" i="165"/>
  <c r="I141" i="165"/>
  <c r="D141" i="165"/>
  <c r="J141" i="165"/>
  <c r="E141" i="165"/>
  <c r="F141" i="165"/>
  <c r="C141" i="165"/>
  <c r="I142" i="165"/>
  <c r="D142" i="165"/>
  <c r="J142" i="165"/>
  <c r="E142" i="165"/>
  <c r="F142" i="165"/>
  <c r="C142" i="165"/>
  <c r="I143" i="165"/>
  <c r="D143" i="165"/>
  <c r="J143" i="165"/>
  <c r="E143" i="165"/>
  <c r="F143" i="165"/>
  <c r="C143" i="165"/>
  <c r="I144" i="165"/>
  <c r="D144" i="165"/>
  <c r="J144" i="165"/>
  <c r="E144" i="165"/>
  <c r="F144" i="165"/>
  <c r="C144" i="165"/>
  <c r="I145" i="165"/>
  <c r="D145" i="165"/>
  <c r="J145" i="165"/>
  <c r="E145" i="165"/>
  <c r="F145" i="165"/>
  <c r="C145" i="165"/>
  <c r="I146" i="165"/>
  <c r="D146" i="165"/>
  <c r="J146" i="165"/>
  <c r="E146" i="165"/>
  <c r="F146" i="165"/>
  <c r="C146" i="165"/>
  <c r="I147" i="165"/>
  <c r="D147" i="165"/>
  <c r="J147" i="165"/>
  <c r="E147" i="165"/>
  <c r="F147" i="165"/>
  <c r="C147" i="165"/>
  <c r="I148" i="165"/>
  <c r="D148" i="165"/>
  <c r="J148" i="165"/>
  <c r="E148" i="165"/>
  <c r="F148" i="165"/>
  <c r="C148" i="165"/>
  <c r="I149" i="165"/>
  <c r="D149" i="165"/>
  <c r="J149" i="165"/>
  <c r="E149" i="165"/>
  <c r="F149" i="165"/>
  <c r="C149" i="165"/>
  <c r="I150" i="165"/>
  <c r="D150" i="165"/>
  <c r="J150" i="165"/>
  <c r="E150" i="165"/>
  <c r="F150" i="165"/>
  <c r="C150" i="165"/>
  <c r="I151" i="165"/>
  <c r="D151" i="165"/>
  <c r="J151" i="165"/>
  <c r="E151" i="165"/>
  <c r="F151" i="165"/>
  <c r="C151" i="165"/>
  <c r="I152" i="165"/>
  <c r="D152" i="165"/>
  <c r="J152" i="165"/>
  <c r="E152" i="165"/>
  <c r="F152" i="165"/>
  <c r="C152" i="165"/>
  <c r="I153" i="165"/>
  <c r="D153" i="165"/>
  <c r="J153" i="165"/>
  <c r="E153" i="165"/>
  <c r="F153" i="165"/>
  <c r="C153" i="165"/>
  <c r="I154" i="165"/>
  <c r="D154" i="165"/>
  <c r="J154" i="165"/>
  <c r="E154" i="165"/>
  <c r="F154" i="165"/>
  <c r="C154" i="165"/>
  <c r="I155" i="165"/>
  <c r="D155" i="165"/>
  <c r="J155" i="165"/>
  <c r="E155" i="165"/>
  <c r="F155" i="165"/>
  <c r="C155" i="165"/>
  <c r="I156" i="165"/>
  <c r="D156" i="165"/>
  <c r="J156" i="165"/>
  <c r="E156" i="165"/>
  <c r="F156" i="165"/>
  <c r="C156" i="165"/>
  <c r="I157" i="165"/>
  <c r="D157" i="165"/>
  <c r="J157" i="165"/>
  <c r="E157" i="165"/>
  <c r="F157" i="165"/>
  <c r="C157" i="165"/>
  <c r="I158" i="165"/>
  <c r="D158" i="165"/>
  <c r="J158" i="165"/>
  <c r="E158" i="165"/>
  <c r="F158" i="165"/>
  <c r="C158" i="165"/>
  <c r="I159" i="165"/>
  <c r="D159" i="165"/>
  <c r="J159" i="165"/>
  <c r="E159" i="165"/>
  <c r="F159" i="165"/>
  <c r="C159" i="165"/>
  <c r="I160" i="165"/>
  <c r="D160" i="165"/>
  <c r="J160" i="165"/>
  <c r="E160" i="165"/>
  <c r="F160" i="165"/>
  <c r="C160" i="165"/>
  <c r="I161" i="165"/>
  <c r="D161" i="165"/>
  <c r="J161" i="165"/>
  <c r="E161" i="165"/>
  <c r="F161" i="165"/>
  <c r="C161" i="165"/>
  <c r="I162" i="165"/>
  <c r="D162" i="165"/>
  <c r="J162" i="165"/>
  <c r="E162" i="165"/>
  <c r="F162" i="165"/>
  <c r="C162" i="165"/>
  <c r="I163" i="165"/>
  <c r="D163" i="165"/>
  <c r="J163" i="165"/>
  <c r="E163" i="165"/>
  <c r="F163" i="165"/>
  <c r="C163" i="165"/>
  <c r="I164" i="165"/>
  <c r="D164" i="165"/>
  <c r="J164" i="165"/>
  <c r="E164" i="165"/>
  <c r="F164" i="165"/>
  <c r="C164" i="165"/>
  <c r="I165" i="165"/>
  <c r="D165" i="165"/>
  <c r="J165" i="165"/>
  <c r="E165" i="165"/>
  <c r="F165" i="165"/>
  <c r="C165" i="165"/>
  <c r="I166" i="165"/>
  <c r="D166" i="165"/>
  <c r="J166" i="165"/>
  <c r="E166" i="165"/>
  <c r="F166" i="165"/>
  <c r="C166" i="165"/>
  <c r="I167" i="165"/>
  <c r="D167" i="165"/>
  <c r="J167" i="165"/>
  <c r="E167" i="165"/>
  <c r="F167" i="165"/>
  <c r="C167" i="165"/>
  <c r="I168" i="165"/>
  <c r="D168" i="165"/>
  <c r="J168" i="165"/>
  <c r="E168" i="165"/>
  <c r="F168" i="165"/>
  <c r="C168" i="165"/>
  <c r="I169" i="165"/>
  <c r="D169" i="165"/>
  <c r="J169" i="165"/>
  <c r="E169" i="165"/>
  <c r="F169" i="165"/>
  <c r="C169" i="165"/>
  <c r="I170" i="165"/>
  <c r="D170" i="165"/>
  <c r="J170" i="165"/>
  <c r="E170" i="165"/>
  <c r="F170" i="165"/>
  <c r="C170" i="165"/>
  <c r="I171" i="165"/>
  <c r="D171" i="165"/>
  <c r="J171" i="165"/>
  <c r="E171" i="165"/>
  <c r="F171" i="165"/>
  <c r="C171" i="165"/>
  <c r="I172" i="165"/>
  <c r="D172" i="165"/>
  <c r="J172" i="165"/>
  <c r="E172" i="165"/>
  <c r="F172" i="165"/>
  <c r="C172" i="165"/>
  <c r="I173" i="165"/>
  <c r="D173" i="165"/>
  <c r="J173" i="165"/>
  <c r="E173" i="165"/>
  <c r="F173" i="165"/>
  <c r="C173" i="165"/>
  <c r="I174" i="165"/>
  <c r="D174" i="165"/>
  <c r="J174" i="165"/>
  <c r="E174" i="165"/>
  <c r="F174" i="165"/>
  <c r="C174" i="165"/>
  <c r="I175" i="165"/>
  <c r="D175" i="165"/>
  <c r="J175" i="165"/>
  <c r="E175" i="165"/>
  <c r="F175" i="165"/>
  <c r="C175" i="165"/>
  <c r="I176" i="165"/>
  <c r="D176" i="165"/>
  <c r="J176" i="165"/>
  <c r="E176" i="165"/>
  <c r="F176" i="165"/>
  <c r="C176" i="165"/>
  <c r="I177" i="165"/>
  <c r="D177" i="165"/>
  <c r="J177" i="165"/>
  <c r="E177" i="165"/>
  <c r="F177" i="165"/>
  <c r="C177" i="165"/>
  <c r="I178" i="165"/>
  <c r="D178" i="165"/>
  <c r="J178" i="165"/>
  <c r="E178" i="165"/>
  <c r="F178" i="165"/>
  <c r="C178" i="165"/>
  <c r="I179" i="165"/>
  <c r="D179" i="165"/>
  <c r="J179" i="165"/>
  <c r="E179" i="165"/>
  <c r="F179" i="165"/>
  <c r="C179" i="165"/>
  <c r="I180" i="165"/>
  <c r="D180" i="165"/>
  <c r="J180" i="165"/>
  <c r="E180" i="165"/>
  <c r="F180" i="165"/>
  <c r="C180" i="165"/>
  <c r="I181" i="165"/>
  <c r="D181" i="165"/>
  <c r="J181" i="165"/>
  <c r="E181" i="165"/>
  <c r="F181" i="165"/>
  <c r="C181" i="165"/>
  <c r="I182" i="165"/>
  <c r="D182" i="165"/>
  <c r="J182" i="165"/>
  <c r="E182" i="165"/>
  <c r="F182" i="165"/>
  <c r="C182" i="165"/>
  <c r="I183" i="165"/>
  <c r="D183" i="165"/>
  <c r="J183" i="165"/>
  <c r="E183" i="165"/>
  <c r="F183" i="165"/>
  <c r="C183" i="165"/>
  <c r="I184" i="165"/>
  <c r="D184" i="165"/>
  <c r="J184" i="165"/>
  <c r="E184" i="165"/>
  <c r="F184" i="165"/>
  <c r="C184" i="165"/>
  <c r="I185" i="165"/>
  <c r="D185" i="165"/>
  <c r="J185" i="165"/>
  <c r="E185" i="165"/>
  <c r="F185" i="165"/>
  <c r="C185" i="165"/>
  <c r="I186" i="165"/>
  <c r="D186" i="165"/>
  <c r="J186" i="165"/>
  <c r="E186" i="165"/>
  <c r="F186" i="165"/>
  <c r="C186" i="165"/>
  <c r="I187" i="165"/>
  <c r="D187" i="165"/>
  <c r="J187" i="165"/>
  <c r="E187" i="165"/>
  <c r="F187" i="165"/>
  <c r="C187" i="165"/>
  <c r="I188" i="165"/>
  <c r="D188" i="165"/>
  <c r="J188" i="165"/>
  <c r="E188" i="165"/>
  <c r="F188" i="165"/>
  <c r="C188" i="165"/>
  <c r="I189" i="165"/>
  <c r="D189" i="165"/>
  <c r="J189" i="165"/>
  <c r="E189" i="165"/>
  <c r="F189" i="165"/>
  <c r="C189" i="165"/>
  <c r="I190" i="165"/>
  <c r="D190" i="165"/>
  <c r="J190" i="165"/>
  <c r="E190" i="165"/>
  <c r="F190" i="165"/>
  <c r="C190" i="165"/>
  <c r="I191" i="165"/>
  <c r="D191" i="165"/>
  <c r="J191" i="165"/>
  <c r="E191" i="165"/>
  <c r="F191" i="165"/>
  <c r="C191" i="165"/>
  <c r="I192" i="165"/>
  <c r="D192" i="165"/>
  <c r="J192" i="165"/>
  <c r="E192" i="165"/>
  <c r="F192" i="165"/>
  <c r="C192" i="165"/>
  <c r="I193" i="165"/>
  <c r="D193" i="165"/>
  <c r="J193" i="165"/>
  <c r="E193" i="165"/>
  <c r="F193" i="165"/>
  <c r="C193" i="165"/>
  <c r="I194" i="165"/>
  <c r="D194" i="165"/>
  <c r="J194" i="165"/>
  <c r="E194" i="165"/>
  <c r="F194" i="165"/>
  <c r="C194" i="165"/>
  <c r="I195" i="165"/>
  <c r="D195" i="165"/>
  <c r="J195" i="165"/>
  <c r="E195" i="165"/>
  <c r="F195" i="165"/>
  <c r="C195" i="165"/>
  <c r="I196" i="165"/>
  <c r="D196" i="165"/>
  <c r="J196" i="165"/>
  <c r="E196" i="165"/>
  <c r="F196" i="165"/>
  <c r="C196" i="165"/>
  <c r="I197" i="165"/>
  <c r="D197" i="165"/>
  <c r="J197" i="165"/>
  <c r="E197" i="165"/>
  <c r="F197" i="165"/>
  <c r="C197" i="165"/>
  <c r="I198" i="165"/>
  <c r="D198" i="165"/>
  <c r="J198" i="165"/>
  <c r="E198" i="165"/>
  <c r="F198" i="165"/>
  <c r="C198" i="165"/>
  <c r="I199" i="165"/>
  <c r="D199" i="165"/>
  <c r="J199" i="165"/>
  <c r="E199" i="165"/>
  <c r="F199" i="165"/>
  <c r="C199" i="165"/>
  <c r="I200" i="165"/>
  <c r="D200" i="165"/>
  <c r="J200" i="165"/>
  <c r="E200" i="165"/>
  <c r="F200" i="165"/>
  <c r="C200" i="165"/>
  <c r="I201" i="165"/>
  <c r="D201" i="165"/>
  <c r="J201" i="165"/>
  <c r="E201" i="165"/>
  <c r="F201" i="165"/>
  <c r="C201" i="165"/>
  <c r="I202" i="165"/>
  <c r="D202" i="165"/>
  <c r="J202" i="165"/>
  <c r="E202" i="165"/>
  <c r="F202" i="165"/>
  <c r="C202" i="165"/>
  <c r="I203" i="165"/>
  <c r="D203" i="165"/>
  <c r="J203" i="165"/>
  <c r="E203" i="165"/>
  <c r="F203" i="165"/>
  <c r="C203" i="165"/>
  <c r="I204" i="165"/>
  <c r="D204" i="165"/>
  <c r="J204" i="165"/>
  <c r="E204" i="165"/>
  <c r="F204" i="165"/>
  <c r="C204" i="165"/>
  <c r="I205" i="165"/>
  <c r="D205" i="165"/>
  <c r="J205" i="165"/>
  <c r="E205" i="165"/>
  <c r="F205" i="165"/>
  <c r="C205" i="165"/>
  <c r="I206" i="165"/>
  <c r="D206" i="165"/>
  <c r="J206" i="165"/>
  <c r="E206" i="165"/>
  <c r="F206" i="165"/>
  <c r="C206" i="165"/>
  <c r="I207" i="165"/>
  <c r="D207" i="165"/>
  <c r="J207" i="165"/>
  <c r="E207" i="165"/>
  <c r="F207" i="165"/>
  <c r="C207" i="165"/>
  <c r="I208" i="165"/>
  <c r="D208" i="165"/>
  <c r="J208" i="165"/>
  <c r="E208" i="165"/>
  <c r="F208" i="165"/>
  <c r="C208" i="165"/>
  <c r="I209" i="165"/>
  <c r="D209" i="165"/>
  <c r="J209" i="165"/>
  <c r="E209" i="165"/>
  <c r="F209" i="165"/>
  <c r="C209" i="165"/>
  <c r="I210" i="165"/>
  <c r="D210" i="165"/>
  <c r="J210" i="165"/>
  <c r="E210" i="165"/>
  <c r="F210" i="165"/>
  <c r="C210" i="165"/>
  <c r="I211" i="165"/>
  <c r="D211" i="165"/>
  <c r="J211" i="165"/>
  <c r="E211" i="165"/>
  <c r="F211" i="165"/>
  <c r="C211" i="165"/>
  <c r="I212" i="165"/>
  <c r="D212" i="165"/>
  <c r="J212" i="165"/>
  <c r="E212" i="165"/>
  <c r="F212" i="165"/>
  <c r="C212" i="165"/>
  <c r="I213" i="165"/>
  <c r="D213" i="165"/>
  <c r="J213" i="165"/>
  <c r="E213" i="165"/>
  <c r="F213" i="165"/>
  <c r="C213" i="165"/>
  <c r="I214" i="165"/>
  <c r="D214" i="165"/>
  <c r="J214" i="165"/>
  <c r="E214" i="165"/>
  <c r="F214" i="165"/>
  <c r="C214" i="165"/>
  <c r="I215" i="165"/>
  <c r="D215" i="165"/>
  <c r="J215" i="165"/>
  <c r="E215" i="165"/>
  <c r="F215" i="165"/>
  <c r="C215" i="165"/>
  <c r="I216" i="165"/>
  <c r="D216" i="165"/>
  <c r="J216" i="165"/>
  <c r="E216" i="165"/>
  <c r="F216" i="165"/>
  <c r="C216" i="165"/>
  <c r="I217" i="165"/>
  <c r="D217" i="165"/>
  <c r="J217" i="165"/>
  <c r="E217" i="165"/>
  <c r="F217" i="165"/>
  <c r="C217" i="165"/>
  <c r="I218" i="165"/>
  <c r="D218" i="165"/>
  <c r="J218" i="165"/>
  <c r="E218" i="165"/>
  <c r="F218" i="165"/>
  <c r="C218" i="165"/>
  <c r="I219" i="165"/>
  <c r="D219" i="165"/>
  <c r="J219" i="165"/>
  <c r="E219" i="165"/>
  <c r="F219" i="165"/>
  <c r="C219" i="165"/>
  <c r="I220" i="165"/>
  <c r="D220" i="165"/>
  <c r="J220" i="165"/>
  <c r="E220" i="165"/>
  <c r="F220" i="165"/>
  <c r="C220" i="165"/>
  <c r="I221" i="165"/>
  <c r="D221" i="165"/>
  <c r="J221" i="165"/>
  <c r="E221" i="165"/>
  <c r="F221" i="165"/>
  <c r="C221" i="165"/>
  <c r="I222" i="165"/>
  <c r="D222" i="165"/>
  <c r="J222" i="165"/>
  <c r="E222" i="165"/>
  <c r="F222" i="165"/>
  <c r="C222" i="165"/>
  <c r="I223" i="165"/>
  <c r="D223" i="165"/>
  <c r="J223" i="165"/>
  <c r="E223" i="165"/>
  <c r="F223" i="165"/>
  <c r="C223" i="165"/>
  <c r="I224" i="165"/>
  <c r="D224" i="165"/>
  <c r="J224" i="165"/>
  <c r="E224" i="165"/>
  <c r="F224" i="165"/>
  <c r="C224" i="165"/>
  <c r="I225" i="165"/>
  <c r="D225" i="165"/>
  <c r="J225" i="165"/>
  <c r="E225" i="165"/>
  <c r="F225" i="165"/>
  <c r="C225" i="165"/>
  <c r="I226" i="165"/>
  <c r="D226" i="165"/>
  <c r="J226" i="165"/>
  <c r="E226" i="165"/>
  <c r="F226" i="165"/>
  <c r="C226" i="165"/>
  <c r="I227" i="165"/>
  <c r="D227" i="165"/>
  <c r="J227" i="165"/>
  <c r="E227" i="165"/>
  <c r="F227" i="165"/>
  <c r="C227" i="165"/>
  <c r="I228" i="165"/>
  <c r="D228" i="165"/>
  <c r="J228" i="165"/>
  <c r="E228" i="165"/>
  <c r="F228" i="165"/>
  <c r="C228" i="165"/>
  <c r="I229" i="165"/>
  <c r="D229" i="165"/>
  <c r="J229" i="165"/>
  <c r="E229" i="165"/>
  <c r="F229" i="165"/>
  <c r="C229" i="165"/>
  <c r="I230" i="165"/>
  <c r="D230" i="165"/>
  <c r="J230" i="165"/>
  <c r="E230" i="165"/>
  <c r="F230" i="165"/>
  <c r="C230" i="165"/>
  <c r="I231" i="165"/>
  <c r="D231" i="165"/>
  <c r="J231" i="165"/>
  <c r="E231" i="165"/>
  <c r="F231" i="165"/>
  <c r="C231" i="165"/>
  <c r="I232" i="165"/>
  <c r="D232" i="165"/>
  <c r="J232" i="165"/>
  <c r="E232" i="165"/>
  <c r="F232" i="165"/>
  <c r="C232" i="165"/>
  <c r="I233" i="165"/>
  <c r="D233" i="165"/>
  <c r="J233" i="165"/>
  <c r="E233" i="165"/>
  <c r="F233" i="165"/>
  <c r="C233" i="165"/>
  <c r="I234" i="165"/>
  <c r="D234" i="165"/>
  <c r="J234" i="165"/>
  <c r="E234" i="165"/>
  <c r="F234" i="165"/>
  <c r="C234" i="165"/>
  <c r="I235" i="165"/>
  <c r="D235" i="165"/>
  <c r="J235" i="165"/>
  <c r="E235" i="165"/>
  <c r="F235" i="165"/>
  <c r="C235" i="165"/>
  <c r="I236" i="165"/>
  <c r="D236" i="165"/>
  <c r="J236" i="165"/>
  <c r="E236" i="165"/>
  <c r="F236" i="165"/>
  <c r="C236" i="165"/>
  <c r="I237" i="165"/>
  <c r="D237" i="165"/>
  <c r="J237" i="165"/>
  <c r="E237" i="165"/>
  <c r="F237" i="165"/>
  <c r="C237" i="165"/>
  <c r="I238" i="165"/>
  <c r="D238" i="165"/>
  <c r="J238" i="165"/>
  <c r="E238" i="165"/>
  <c r="F238" i="165"/>
  <c r="C238" i="165"/>
  <c r="I239" i="165"/>
  <c r="D239" i="165"/>
  <c r="J239" i="165"/>
  <c r="E239" i="165"/>
  <c r="F239" i="165"/>
  <c r="C239" i="165"/>
  <c r="I240" i="165"/>
  <c r="D240" i="165"/>
  <c r="J240" i="165"/>
  <c r="E240" i="165"/>
  <c r="F240" i="165"/>
  <c r="C240" i="165"/>
  <c r="I241" i="165"/>
  <c r="D241" i="165"/>
  <c r="J241" i="165"/>
  <c r="E241" i="165"/>
  <c r="F241" i="165"/>
  <c r="C241" i="165"/>
  <c r="I242" i="165"/>
  <c r="D242" i="165"/>
  <c r="J242" i="165"/>
  <c r="E242" i="165"/>
  <c r="F242" i="165"/>
  <c r="C242" i="165"/>
  <c r="I243" i="165"/>
  <c r="D243" i="165"/>
  <c r="J243" i="165"/>
  <c r="E243" i="165"/>
  <c r="F243" i="165"/>
  <c r="C243" i="165"/>
  <c r="I244" i="165"/>
  <c r="D244" i="165"/>
  <c r="J244" i="165"/>
  <c r="E244" i="165"/>
  <c r="F244" i="165"/>
  <c r="C244" i="165"/>
  <c r="I245" i="165"/>
  <c r="D245" i="165"/>
  <c r="J245" i="165"/>
  <c r="E245" i="165"/>
  <c r="F245" i="165"/>
  <c r="C245" i="165"/>
  <c r="I246" i="165"/>
  <c r="D246" i="165"/>
  <c r="J246" i="165"/>
  <c r="E246" i="165"/>
  <c r="F246" i="165"/>
  <c r="C246" i="165"/>
  <c r="I247" i="165"/>
  <c r="D247" i="165"/>
  <c r="J247" i="165"/>
  <c r="E247" i="165"/>
  <c r="F247" i="165"/>
  <c r="C247" i="165"/>
  <c r="I248" i="165"/>
  <c r="D248" i="165"/>
  <c r="J248" i="165"/>
  <c r="E248" i="165"/>
  <c r="F248" i="165"/>
  <c r="C248" i="165"/>
  <c r="I249" i="165"/>
  <c r="D249" i="165"/>
  <c r="J249" i="165"/>
  <c r="E249" i="165"/>
  <c r="F249" i="165"/>
  <c r="C249" i="165"/>
  <c r="I250" i="165"/>
  <c r="D250" i="165"/>
  <c r="J250" i="165"/>
  <c r="E250" i="165"/>
  <c r="F250" i="165"/>
  <c r="C250" i="165"/>
  <c r="I251" i="165"/>
  <c r="D251" i="165"/>
  <c r="J251" i="165"/>
  <c r="E251" i="165"/>
  <c r="F251" i="165"/>
  <c r="C251" i="165"/>
  <c r="I252" i="165"/>
  <c r="D252" i="165"/>
  <c r="J252" i="165"/>
  <c r="E252" i="165"/>
  <c r="F252" i="165"/>
  <c r="C252" i="165"/>
  <c r="I253" i="165"/>
  <c r="D253" i="165"/>
  <c r="J253" i="165"/>
  <c r="E253" i="165"/>
  <c r="F253" i="165"/>
  <c r="C253" i="165"/>
  <c r="I254" i="165"/>
  <c r="D254" i="165"/>
  <c r="J254" i="165"/>
  <c r="E254" i="165"/>
  <c r="F254" i="165"/>
  <c r="C254" i="165"/>
  <c r="I255" i="165"/>
  <c r="D255" i="165"/>
  <c r="J255" i="165"/>
  <c r="E255" i="165"/>
  <c r="F255" i="165"/>
  <c r="C255" i="165"/>
  <c r="I256" i="165"/>
  <c r="D256" i="165"/>
  <c r="J256" i="165"/>
  <c r="E256" i="165"/>
  <c r="F256" i="165"/>
  <c r="C256" i="165"/>
  <c r="I257" i="165"/>
  <c r="D257" i="165"/>
  <c r="J257" i="165"/>
  <c r="E257" i="165"/>
  <c r="F257" i="165"/>
  <c r="C257" i="165"/>
  <c r="I258" i="165"/>
  <c r="D258" i="165"/>
  <c r="J258" i="165"/>
  <c r="E258" i="165"/>
  <c r="F258" i="165"/>
  <c r="C258" i="165"/>
  <c r="I259" i="165"/>
  <c r="D259" i="165"/>
  <c r="J259" i="165"/>
  <c r="E259" i="165"/>
  <c r="F259" i="165"/>
  <c r="C259" i="165"/>
  <c r="I260" i="165"/>
  <c r="D260" i="165"/>
  <c r="J260" i="165"/>
  <c r="E260" i="165"/>
  <c r="F260" i="165"/>
  <c r="C260" i="165"/>
  <c r="I261" i="165"/>
  <c r="D261" i="165"/>
  <c r="J261" i="165"/>
  <c r="E261" i="165"/>
  <c r="F261" i="165"/>
  <c r="C261" i="165"/>
  <c r="I262" i="165"/>
  <c r="D262" i="165"/>
  <c r="J262" i="165"/>
  <c r="E262" i="165"/>
  <c r="F262" i="165"/>
  <c r="C262" i="165"/>
  <c r="I263" i="165"/>
  <c r="D263" i="165"/>
  <c r="J263" i="165"/>
  <c r="E263" i="165"/>
  <c r="F263" i="165"/>
  <c r="C263" i="165"/>
  <c r="I264" i="165"/>
  <c r="D264" i="165"/>
  <c r="J264" i="165"/>
  <c r="E264" i="165"/>
  <c r="F264" i="165"/>
  <c r="C264" i="165"/>
  <c r="I265" i="165"/>
  <c r="D265" i="165"/>
  <c r="J265" i="165"/>
  <c r="E265" i="165"/>
  <c r="F265" i="165"/>
  <c r="C265" i="165"/>
  <c r="I266" i="165"/>
  <c r="D266" i="165"/>
  <c r="J266" i="165"/>
  <c r="E266" i="165"/>
  <c r="F266" i="165"/>
  <c r="C266" i="165"/>
  <c r="I267" i="165"/>
  <c r="D267" i="165"/>
  <c r="J267" i="165"/>
  <c r="E267" i="165"/>
  <c r="F267" i="165"/>
  <c r="C267" i="165"/>
  <c r="I268" i="165"/>
  <c r="D268" i="165"/>
  <c r="J268" i="165"/>
  <c r="E268" i="165"/>
  <c r="F268" i="165"/>
  <c r="C268" i="165"/>
  <c r="I269" i="165"/>
  <c r="D269" i="165"/>
  <c r="J269" i="165"/>
  <c r="E269" i="165"/>
  <c r="F269" i="165"/>
  <c r="C269" i="165"/>
  <c r="I270" i="165"/>
  <c r="D270" i="165"/>
  <c r="J270" i="165"/>
  <c r="E270" i="165"/>
  <c r="F270" i="165"/>
  <c r="C270" i="165"/>
  <c r="I271" i="165"/>
  <c r="D271" i="165"/>
  <c r="J271" i="165"/>
  <c r="E271" i="165"/>
  <c r="F271" i="165"/>
  <c r="C271" i="165"/>
  <c r="I272" i="165"/>
  <c r="D272" i="165"/>
  <c r="J272" i="165"/>
  <c r="E272" i="165"/>
  <c r="F272" i="165"/>
  <c r="C272" i="165"/>
  <c r="I273" i="165"/>
  <c r="D273" i="165"/>
  <c r="J273" i="165"/>
  <c r="E273" i="165"/>
  <c r="F273" i="165"/>
  <c r="C273" i="165"/>
  <c r="I274" i="165"/>
  <c r="D274" i="165"/>
  <c r="J274" i="165"/>
  <c r="E274" i="165"/>
  <c r="F274" i="165"/>
  <c r="C274" i="165"/>
  <c r="I275" i="165"/>
  <c r="D275" i="165"/>
  <c r="J275" i="165"/>
  <c r="E275" i="165"/>
  <c r="F275" i="165"/>
  <c r="C275" i="165"/>
  <c r="I276" i="165"/>
  <c r="D276" i="165"/>
  <c r="J276" i="165"/>
  <c r="E276" i="165"/>
  <c r="F276" i="165"/>
  <c r="C276" i="165"/>
  <c r="I277" i="165"/>
  <c r="D277" i="165"/>
  <c r="J277" i="165"/>
  <c r="E277" i="165"/>
  <c r="F277" i="165"/>
  <c r="C277" i="165"/>
  <c r="I278" i="165"/>
  <c r="D278" i="165"/>
  <c r="J278" i="165"/>
  <c r="E278" i="165"/>
  <c r="F278" i="165"/>
  <c r="C278" i="165"/>
  <c r="I279" i="165"/>
  <c r="D279" i="165"/>
  <c r="J279" i="165"/>
  <c r="E279" i="165"/>
  <c r="F279" i="165"/>
  <c r="C279" i="165"/>
  <c r="I280" i="165"/>
  <c r="D280" i="165"/>
  <c r="J280" i="165"/>
  <c r="E280" i="165"/>
  <c r="F280" i="165"/>
  <c r="C280" i="165"/>
  <c r="I281" i="165"/>
  <c r="D281" i="165"/>
  <c r="J281" i="165"/>
  <c r="E281" i="165"/>
  <c r="F281" i="165"/>
  <c r="C281" i="165"/>
  <c r="I282" i="165"/>
  <c r="D282" i="165"/>
  <c r="J282" i="165"/>
  <c r="E282" i="165"/>
  <c r="F282" i="165"/>
  <c r="C282" i="165"/>
  <c r="I283" i="165"/>
  <c r="D283" i="165"/>
  <c r="J283" i="165"/>
  <c r="E283" i="165"/>
  <c r="F283" i="165"/>
  <c r="C283" i="165"/>
  <c r="I284" i="165"/>
  <c r="D284" i="165"/>
  <c r="J284" i="165"/>
  <c r="E284" i="165"/>
  <c r="F284" i="165"/>
  <c r="C284" i="165"/>
  <c r="I285" i="165"/>
  <c r="D285" i="165"/>
  <c r="J285" i="165"/>
  <c r="E285" i="165"/>
  <c r="F285" i="165"/>
  <c r="C285" i="165"/>
  <c r="I286" i="165"/>
  <c r="D286" i="165"/>
  <c r="J286" i="165"/>
  <c r="E286" i="165"/>
  <c r="F286" i="165"/>
  <c r="C286" i="165"/>
  <c r="I287" i="165"/>
  <c r="D287" i="165"/>
  <c r="J287" i="165"/>
  <c r="E287" i="165"/>
  <c r="F287" i="165"/>
  <c r="C287" i="165"/>
  <c r="I288" i="165"/>
  <c r="D288" i="165"/>
  <c r="J288" i="165"/>
  <c r="E288" i="165"/>
  <c r="F288" i="165"/>
  <c r="C288" i="165"/>
  <c r="I289" i="165"/>
  <c r="D289" i="165"/>
  <c r="J289" i="165"/>
  <c r="E289" i="165"/>
  <c r="F289" i="165"/>
  <c r="C289" i="165"/>
  <c r="I290" i="165"/>
  <c r="D290" i="165"/>
  <c r="J290" i="165"/>
  <c r="E290" i="165"/>
  <c r="F290" i="165"/>
  <c r="C290" i="165"/>
  <c r="I291" i="165"/>
  <c r="D291" i="165"/>
  <c r="J291" i="165"/>
  <c r="E291" i="165"/>
  <c r="F291" i="165"/>
  <c r="C291" i="165"/>
  <c r="I292" i="165"/>
  <c r="D292" i="165"/>
  <c r="J292" i="165"/>
  <c r="E292" i="165"/>
  <c r="F292" i="165"/>
  <c r="C292" i="165"/>
  <c r="I293" i="165"/>
  <c r="D293" i="165"/>
  <c r="J293" i="165"/>
  <c r="E293" i="165"/>
  <c r="F293" i="165"/>
  <c r="C293" i="165"/>
  <c r="I294" i="165"/>
  <c r="D294" i="165"/>
  <c r="J294" i="165"/>
  <c r="E294" i="165"/>
  <c r="F294" i="165"/>
  <c r="C294" i="165"/>
  <c r="I295" i="165"/>
  <c r="D295" i="165"/>
  <c r="J295" i="165"/>
  <c r="E295" i="165"/>
  <c r="F295" i="165"/>
  <c r="C295" i="165"/>
  <c r="I296" i="165"/>
  <c r="D296" i="165"/>
  <c r="J296" i="165"/>
  <c r="E296" i="165"/>
  <c r="F296" i="165"/>
  <c r="C296" i="165"/>
  <c r="I297" i="165"/>
  <c r="D297" i="165"/>
  <c r="J297" i="165"/>
  <c r="E297" i="165"/>
  <c r="F297" i="165"/>
  <c r="C297" i="165"/>
  <c r="I298" i="165"/>
  <c r="D298" i="165"/>
  <c r="J298" i="165"/>
  <c r="E298" i="165"/>
  <c r="F298" i="165"/>
  <c r="C298" i="165"/>
  <c r="I299" i="165"/>
  <c r="D299" i="165"/>
  <c r="J299" i="165"/>
  <c r="E299" i="165"/>
  <c r="F299" i="165"/>
  <c r="C299" i="165"/>
  <c r="I300" i="165"/>
  <c r="D300" i="165"/>
  <c r="J300" i="165"/>
  <c r="E300" i="165"/>
  <c r="F300" i="165"/>
  <c r="C300" i="165"/>
  <c r="I301" i="165"/>
  <c r="D301" i="165"/>
  <c r="J301" i="165"/>
  <c r="E301" i="165"/>
  <c r="F301" i="165"/>
  <c r="C301" i="165"/>
  <c r="I302" i="165"/>
  <c r="D302" i="165"/>
  <c r="J302" i="165"/>
  <c r="E302" i="165"/>
  <c r="F302" i="165"/>
  <c r="C302" i="165"/>
  <c r="I303" i="165"/>
  <c r="D303" i="165"/>
  <c r="J303" i="165"/>
  <c r="E303" i="165"/>
  <c r="F303" i="165"/>
  <c r="C303" i="165"/>
  <c r="I304" i="165"/>
  <c r="D304" i="165"/>
  <c r="J304" i="165"/>
  <c r="E304" i="165"/>
  <c r="F304" i="165"/>
  <c r="C304" i="165"/>
  <c r="I305" i="165"/>
  <c r="D305" i="165"/>
  <c r="J305" i="165"/>
  <c r="E305" i="165"/>
  <c r="F305" i="165"/>
  <c r="C305" i="165"/>
  <c r="I306" i="165"/>
  <c r="D306" i="165"/>
  <c r="J306" i="165"/>
  <c r="E306" i="165"/>
  <c r="F306" i="165"/>
  <c r="C306" i="165"/>
  <c r="F5" i="164"/>
  <c r="F6" i="164"/>
  <c r="A36" i="164"/>
  <c r="R9" i="164"/>
  <c r="O306" i="165"/>
  <c r="B10" i="164"/>
  <c r="E6" i="164"/>
  <c r="Q3" i="164"/>
  <c r="Q4" i="164"/>
  <c r="Q5" i="164"/>
  <c r="Q6" i="164"/>
  <c r="Q7" i="164"/>
  <c r="Q8" i="164"/>
  <c r="Q9" i="164"/>
  <c r="Q10" i="164"/>
  <c r="Q11" i="164"/>
  <c r="Q12" i="164"/>
  <c r="Q13" i="164"/>
  <c r="Q14" i="164"/>
  <c r="Q15" i="164"/>
  <c r="Q16" i="164"/>
  <c r="Q17" i="164"/>
  <c r="Q18" i="164"/>
  <c r="Q19" i="164"/>
  <c r="Q20" i="164"/>
  <c r="E19" i="164"/>
  <c r="B19" i="164"/>
  <c r="E24" i="164"/>
  <c r="B24" i="164"/>
  <c r="B17" i="164"/>
  <c r="G17" i="164"/>
  <c r="E17" i="164"/>
  <c r="H17" i="164"/>
  <c r="O2" i="165"/>
  <c r="E18" i="164"/>
  <c r="B18" i="164"/>
  <c r="G18" i="164"/>
  <c r="H18" i="164"/>
  <c r="O3" i="165"/>
  <c r="O4" i="165"/>
  <c r="O5" i="165"/>
  <c r="O6" i="165"/>
  <c r="O7" i="165"/>
  <c r="O8" i="165"/>
  <c r="O9" i="165"/>
  <c r="O10" i="165"/>
  <c r="O11" i="165"/>
  <c r="O12" i="165"/>
  <c r="O13" i="165"/>
  <c r="O14" i="165"/>
  <c r="O15" i="165"/>
  <c r="O16" i="165"/>
  <c r="O17" i="165"/>
  <c r="O18" i="165"/>
  <c r="O19" i="165"/>
  <c r="O20" i="165"/>
  <c r="O21" i="165"/>
  <c r="O22" i="165"/>
  <c r="O23" i="165"/>
  <c r="O24" i="165"/>
  <c r="O25" i="165"/>
  <c r="O26" i="165"/>
  <c r="O27" i="165"/>
  <c r="O28" i="165"/>
  <c r="O29" i="165"/>
  <c r="O30" i="165"/>
  <c r="O31" i="165"/>
  <c r="O32" i="165"/>
  <c r="O33" i="165"/>
  <c r="O34" i="165"/>
  <c r="O35" i="165"/>
  <c r="O36" i="165"/>
  <c r="O37" i="165"/>
  <c r="O38" i="165"/>
  <c r="O39" i="165"/>
  <c r="O40" i="165"/>
  <c r="O41" i="165"/>
  <c r="G24" i="164"/>
  <c r="H24" i="164"/>
  <c r="O42" i="165"/>
  <c r="E25" i="164"/>
  <c r="B25" i="164"/>
  <c r="G25" i="164"/>
  <c r="H25" i="164"/>
  <c r="O43" i="165"/>
  <c r="E26" i="164"/>
  <c r="B26" i="164"/>
  <c r="G26" i="164"/>
  <c r="H26" i="164"/>
  <c r="O44" i="165"/>
  <c r="O45" i="165"/>
  <c r="O46" i="165"/>
  <c r="O47" i="165"/>
  <c r="O48" i="165"/>
  <c r="O49" i="165"/>
  <c r="O50" i="165"/>
  <c r="G19" i="164"/>
  <c r="H19" i="164"/>
  <c r="O51" i="165"/>
  <c r="E20" i="164"/>
  <c r="E23" i="164"/>
  <c r="B23" i="164"/>
  <c r="E5" i="164"/>
  <c r="E28" i="164"/>
  <c r="B28" i="164"/>
  <c r="E29" i="164"/>
  <c r="B29" i="164"/>
  <c r="B21" i="164"/>
  <c r="B20" i="164"/>
  <c r="G20" i="164"/>
  <c r="H20" i="164"/>
  <c r="O52" i="165"/>
  <c r="G21" i="164"/>
  <c r="E21" i="164"/>
  <c r="H21" i="164"/>
  <c r="O53" i="165"/>
  <c r="O54" i="165"/>
  <c r="O55" i="165"/>
  <c r="O56" i="165"/>
  <c r="O57" i="165"/>
  <c r="O58" i="165"/>
  <c r="O59" i="165"/>
  <c r="O60" i="165"/>
  <c r="O61" i="165"/>
  <c r="O62" i="165"/>
  <c r="O63" i="165"/>
  <c r="O64" i="165"/>
  <c r="O65" i="165"/>
  <c r="O66" i="165"/>
  <c r="O67" i="165"/>
  <c r="O68" i="165"/>
  <c r="O69" i="165"/>
  <c r="O70" i="165"/>
  <c r="O71" i="165"/>
  <c r="O72" i="165"/>
  <c r="O73" i="165"/>
  <c r="O74" i="165"/>
  <c r="O75" i="165"/>
  <c r="O76" i="165"/>
  <c r="O77" i="165"/>
  <c r="O78" i="165"/>
  <c r="O79" i="165"/>
  <c r="O80" i="165"/>
  <c r="O81" i="165"/>
  <c r="O82" i="165"/>
  <c r="O83" i="165"/>
  <c r="O84" i="165"/>
  <c r="O85" i="165"/>
  <c r="O86" i="165"/>
  <c r="O87" i="165"/>
  <c r="O88" i="165"/>
  <c r="O89" i="165"/>
  <c r="O90" i="165"/>
  <c r="O91" i="165"/>
  <c r="O92" i="165"/>
  <c r="O93" i="165"/>
  <c r="O94" i="165"/>
  <c r="O95" i="165"/>
  <c r="O96" i="165"/>
  <c r="O97" i="165"/>
  <c r="O98" i="165"/>
  <c r="O99" i="165"/>
  <c r="O100" i="165"/>
  <c r="O101" i="165"/>
  <c r="O102" i="165"/>
  <c r="O103" i="165"/>
  <c r="O104" i="165"/>
  <c r="O105" i="165"/>
  <c r="O106" i="165"/>
  <c r="O107" i="165"/>
  <c r="O108" i="165"/>
  <c r="O109" i="165"/>
  <c r="O110" i="165"/>
  <c r="O111" i="165"/>
  <c r="O112" i="165"/>
  <c r="O113" i="165"/>
  <c r="O114" i="165"/>
  <c r="O115" i="165"/>
  <c r="O116" i="165"/>
  <c r="O117" i="165"/>
  <c r="O118" i="165"/>
  <c r="O119" i="165"/>
  <c r="O120" i="165"/>
  <c r="O121" i="165"/>
  <c r="O122" i="165"/>
  <c r="O123" i="165"/>
  <c r="O124" i="165"/>
  <c r="O125" i="165"/>
  <c r="O126" i="165"/>
  <c r="O127" i="165"/>
  <c r="O128" i="165"/>
  <c r="O129" i="165"/>
  <c r="O130" i="165"/>
  <c r="O131" i="165"/>
  <c r="O132" i="165"/>
  <c r="O133" i="165"/>
  <c r="O134" i="165"/>
  <c r="O135" i="165"/>
  <c r="O136" i="165"/>
  <c r="O137" i="165"/>
  <c r="E27" i="164"/>
  <c r="B27" i="164"/>
  <c r="G27" i="164"/>
  <c r="H27" i="164"/>
  <c r="O138" i="165"/>
  <c r="G28" i="164"/>
  <c r="H28" i="164"/>
  <c r="O139" i="165"/>
  <c r="O140" i="165"/>
  <c r="O141" i="165"/>
  <c r="O142" i="165"/>
  <c r="O143" i="165"/>
  <c r="O144" i="165"/>
  <c r="O145" i="165"/>
  <c r="O146" i="165"/>
  <c r="O147" i="165"/>
  <c r="O148" i="165"/>
  <c r="O149" i="165"/>
  <c r="O150" i="165"/>
  <c r="O151" i="165"/>
  <c r="O152" i="165"/>
  <c r="O153" i="165"/>
  <c r="O154" i="165"/>
  <c r="O155" i="165"/>
  <c r="O156" i="165"/>
  <c r="O157" i="165"/>
  <c r="O158" i="165"/>
  <c r="O159" i="165"/>
  <c r="O160" i="165"/>
  <c r="O161" i="165"/>
  <c r="O162" i="165"/>
  <c r="O163" i="165"/>
  <c r="O164" i="165"/>
  <c r="O165" i="165"/>
  <c r="O166" i="165"/>
  <c r="O167" i="165"/>
  <c r="O168" i="165"/>
  <c r="O169" i="165"/>
  <c r="O170" i="165"/>
  <c r="O171" i="165"/>
  <c r="O172" i="165"/>
  <c r="O173" i="165"/>
  <c r="O174" i="165"/>
  <c r="O175" i="165"/>
  <c r="O176" i="165"/>
  <c r="O177" i="165"/>
  <c r="O178" i="165"/>
  <c r="O179" i="165"/>
  <c r="O180" i="165"/>
  <c r="O181" i="165"/>
  <c r="O182" i="165"/>
  <c r="O183" i="165"/>
  <c r="O184" i="165"/>
  <c r="O185" i="165"/>
  <c r="O186" i="165"/>
  <c r="O187" i="165"/>
  <c r="O188" i="165"/>
  <c r="O189" i="165"/>
  <c r="O190" i="165"/>
  <c r="O191" i="165"/>
  <c r="O192" i="165"/>
  <c r="O193" i="165"/>
  <c r="O194" i="165"/>
  <c r="O195" i="165"/>
  <c r="O196" i="165"/>
  <c r="O197" i="165"/>
  <c r="O198" i="165"/>
  <c r="O199" i="165"/>
  <c r="O200" i="165"/>
  <c r="O201" i="165"/>
  <c r="O202" i="165"/>
  <c r="O203" i="165"/>
  <c r="O204" i="165"/>
  <c r="O205" i="165"/>
  <c r="O206" i="165"/>
  <c r="O207" i="165"/>
  <c r="O208" i="165"/>
  <c r="O209" i="165"/>
  <c r="O210" i="165"/>
  <c r="O211" i="165"/>
  <c r="O212" i="165"/>
  <c r="O213" i="165"/>
  <c r="O214" i="165"/>
  <c r="O215" i="165"/>
  <c r="O216" i="165"/>
  <c r="O217" i="165"/>
  <c r="O218" i="165"/>
  <c r="O219" i="165"/>
  <c r="O220" i="165"/>
  <c r="O221" i="165"/>
  <c r="O222" i="165"/>
  <c r="O223" i="165"/>
  <c r="O224" i="165"/>
  <c r="O225" i="165"/>
  <c r="O226" i="165"/>
  <c r="O227" i="165"/>
  <c r="O228" i="165"/>
  <c r="O229" i="165"/>
  <c r="O230" i="165"/>
  <c r="O231" i="165"/>
  <c r="O232" i="165"/>
  <c r="O233" i="165"/>
  <c r="O234" i="165"/>
  <c r="O235" i="165"/>
  <c r="O236" i="165"/>
  <c r="O237" i="165"/>
  <c r="O238" i="165"/>
  <c r="O239" i="165"/>
  <c r="O240" i="165"/>
  <c r="O241" i="165"/>
  <c r="O242" i="165"/>
  <c r="O243" i="165"/>
  <c r="O244" i="165"/>
  <c r="O245" i="165"/>
  <c r="O246" i="165"/>
  <c r="O247" i="165"/>
  <c r="O248" i="165"/>
  <c r="O249" i="165"/>
  <c r="O250" i="165"/>
  <c r="O251" i="165"/>
  <c r="O252" i="165"/>
  <c r="O253" i="165"/>
  <c r="O254" i="165"/>
  <c r="O255" i="165"/>
  <c r="E22" i="164"/>
  <c r="B22" i="164"/>
  <c r="G22" i="164"/>
  <c r="H22" i="164"/>
  <c r="O256" i="165"/>
  <c r="G23" i="164"/>
  <c r="H23" i="164"/>
  <c r="O257" i="165"/>
  <c r="O258" i="165"/>
  <c r="O259" i="165"/>
  <c r="G29" i="164"/>
  <c r="H29" i="164"/>
  <c r="O260" i="165"/>
  <c r="O261" i="165"/>
  <c r="O262" i="165"/>
  <c r="O263" i="165"/>
  <c r="O264" i="165"/>
  <c r="O265" i="165"/>
  <c r="O266" i="165"/>
  <c r="O267" i="165"/>
  <c r="O268" i="165"/>
  <c r="O269" i="165"/>
  <c r="O270" i="165"/>
  <c r="O271" i="165"/>
  <c r="O272" i="165"/>
  <c r="O273" i="165"/>
  <c r="O274" i="165"/>
  <c r="O275" i="165"/>
  <c r="O276" i="165"/>
  <c r="O277" i="165"/>
  <c r="O278" i="165"/>
  <c r="O279" i="165"/>
  <c r="O280" i="165"/>
  <c r="O281" i="165"/>
  <c r="O282" i="165"/>
  <c r="O283" i="165"/>
  <c r="O284" i="165"/>
  <c r="O285" i="165"/>
  <c r="O286" i="165"/>
  <c r="O287" i="165"/>
  <c r="O288" i="165"/>
  <c r="O289" i="165"/>
  <c r="O290" i="165"/>
  <c r="O291" i="165"/>
  <c r="O292" i="165"/>
  <c r="O293" i="165"/>
  <c r="O294" i="165"/>
  <c r="O295" i="165"/>
  <c r="O296" i="165"/>
  <c r="O297" i="165"/>
  <c r="O298" i="165"/>
  <c r="O299" i="165"/>
  <c r="R3" i="164"/>
  <c r="O300" i="165"/>
  <c r="R4" i="164"/>
  <c r="O301" i="165"/>
  <c r="R5" i="164"/>
  <c r="O302" i="165"/>
  <c r="R6" i="164"/>
  <c r="O303" i="165"/>
  <c r="R7" i="164"/>
  <c r="O304" i="165"/>
  <c r="R8" i="164"/>
  <c r="O305" i="165"/>
  <c r="P306" i="165"/>
  <c r="N306" i="165"/>
  <c r="M306" i="165"/>
  <c r="L306" i="165"/>
  <c r="K306" i="165"/>
  <c r="H306" i="165"/>
  <c r="P305" i="165"/>
  <c r="N305" i="165"/>
  <c r="M305" i="165"/>
  <c r="L305" i="165"/>
  <c r="K305" i="165"/>
  <c r="H305" i="165"/>
  <c r="P304" i="165"/>
  <c r="N304" i="165"/>
  <c r="M304" i="165"/>
  <c r="L304" i="165"/>
  <c r="K304" i="165"/>
  <c r="H304" i="165"/>
  <c r="P303" i="165"/>
  <c r="N303" i="165"/>
  <c r="M303" i="165"/>
  <c r="L303" i="165"/>
  <c r="K303" i="165"/>
  <c r="H303" i="165"/>
  <c r="P302" i="165"/>
  <c r="N302" i="165"/>
  <c r="M302" i="165"/>
  <c r="L302" i="165"/>
  <c r="K302" i="165"/>
  <c r="H302" i="165"/>
  <c r="P301" i="165"/>
  <c r="N301" i="165"/>
  <c r="M301" i="165"/>
  <c r="L301" i="165"/>
  <c r="K301" i="165"/>
  <c r="H301" i="165"/>
  <c r="P300" i="165"/>
  <c r="N300" i="165"/>
  <c r="M300" i="165"/>
  <c r="L300" i="165"/>
  <c r="K300" i="165"/>
  <c r="H300" i="165"/>
  <c r="P299" i="165"/>
  <c r="N299" i="165"/>
  <c r="M299" i="165"/>
  <c r="L299" i="165"/>
  <c r="K299" i="165"/>
  <c r="H299" i="165"/>
  <c r="P298" i="165"/>
  <c r="N298" i="165"/>
  <c r="M298" i="165"/>
  <c r="L298" i="165"/>
  <c r="K298" i="165"/>
  <c r="H298" i="165"/>
  <c r="P297" i="165"/>
  <c r="N297" i="165"/>
  <c r="M297" i="165"/>
  <c r="L297" i="165"/>
  <c r="K297" i="165"/>
  <c r="H297" i="165"/>
  <c r="A297" i="165"/>
  <c r="P296" i="165"/>
  <c r="N296" i="165"/>
  <c r="M296" i="165"/>
  <c r="L296" i="165"/>
  <c r="K296" i="165"/>
  <c r="H296" i="165"/>
  <c r="A296" i="165"/>
  <c r="P295" i="165"/>
  <c r="N295" i="165"/>
  <c r="M295" i="165"/>
  <c r="L295" i="165"/>
  <c r="K295" i="165"/>
  <c r="H295" i="165"/>
  <c r="A295" i="165"/>
  <c r="P294" i="165"/>
  <c r="N294" i="165"/>
  <c r="M294" i="165"/>
  <c r="L294" i="165"/>
  <c r="K294" i="165"/>
  <c r="H294" i="165"/>
  <c r="A294" i="165"/>
  <c r="P293" i="165"/>
  <c r="N293" i="165"/>
  <c r="M293" i="165"/>
  <c r="L293" i="165"/>
  <c r="K293" i="165"/>
  <c r="H293" i="165"/>
  <c r="A293" i="165"/>
  <c r="P292" i="165"/>
  <c r="N292" i="165"/>
  <c r="M292" i="165"/>
  <c r="L292" i="165"/>
  <c r="K292" i="165"/>
  <c r="H292" i="165"/>
  <c r="A292" i="165"/>
  <c r="P291" i="165"/>
  <c r="N291" i="165"/>
  <c r="M291" i="165"/>
  <c r="L291" i="165"/>
  <c r="K291" i="165"/>
  <c r="H291" i="165"/>
  <c r="A291" i="165"/>
  <c r="P290" i="165"/>
  <c r="N290" i="165"/>
  <c r="M290" i="165"/>
  <c r="L290" i="165"/>
  <c r="K290" i="165"/>
  <c r="H290" i="165"/>
  <c r="A290" i="165"/>
  <c r="P289" i="165"/>
  <c r="N289" i="165"/>
  <c r="M289" i="165"/>
  <c r="L289" i="165"/>
  <c r="K289" i="165"/>
  <c r="H289" i="165"/>
  <c r="A289" i="165"/>
  <c r="P288" i="165"/>
  <c r="N288" i="165"/>
  <c r="M288" i="165"/>
  <c r="L288" i="165"/>
  <c r="K288" i="165"/>
  <c r="H288" i="165"/>
  <c r="A288" i="165"/>
  <c r="P287" i="165"/>
  <c r="N287" i="165"/>
  <c r="M287" i="165"/>
  <c r="L287" i="165"/>
  <c r="K287" i="165"/>
  <c r="H287" i="165"/>
  <c r="A287" i="165"/>
  <c r="P286" i="165"/>
  <c r="N286" i="165"/>
  <c r="M286" i="165"/>
  <c r="L286" i="165"/>
  <c r="K286" i="165"/>
  <c r="H286" i="165"/>
  <c r="A286" i="165"/>
  <c r="P285" i="165"/>
  <c r="N285" i="165"/>
  <c r="M285" i="165"/>
  <c r="L285" i="165"/>
  <c r="K285" i="165"/>
  <c r="H285" i="165"/>
  <c r="A285" i="165"/>
  <c r="P284" i="165"/>
  <c r="N284" i="165"/>
  <c r="M284" i="165"/>
  <c r="L284" i="165"/>
  <c r="K284" i="165"/>
  <c r="H284" i="165"/>
  <c r="A284" i="165"/>
  <c r="P283" i="165"/>
  <c r="N283" i="165"/>
  <c r="M283" i="165"/>
  <c r="L283" i="165"/>
  <c r="K283" i="165"/>
  <c r="H283" i="165"/>
  <c r="A283" i="165"/>
  <c r="P282" i="165"/>
  <c r="N282" i="165"/>
  <c r="M282" i="165"/>
  <c r="L282" i="165"/>
  <c r="K282" i="165"/>
  <c r="H282" i="165"/>
  <c r="A282" i="165"/>
  <c r="P281" i="165"/>
  <c r="N281" i="165"/>
  <c r="M281" i="165"/>
  <c r="L281" i="165"/>
  <c r="K281" i="165"/>
  <c r="H281" i="165"/>
  <c r="A281" i="165"/>
  <c r="P280" i="165"/>
  <c r="N280" i="165"/>
  <c r="M280" i="165"/>
  <c r="L280" i="165"/>
  <c r="K280" i="165"/>
  <c r="H280" i="165"/>
  <c r="A280" i="165"/>
  <c r="P279" i="165"/>
  <c r="N279" i="165"/>
  <c r="M279" i="165"/>
  <c r="L279" i="165"/>
  <c r="K279" i="165"/>
  <c r="H279" i="165"/>
  <c r="A279" i="165"/>
  <c r="P278" i="165"/>
  <c r="N278" i="165"/>
  <c r="M278" i="165"/>
  <c r="L278" i="165"/>
  <c r="K278" i="165"/>
  <c r="H278" i="165"/>
  <c r="A278" i="165"/>
  <c r="P277" i="165"/>
  <c r="N277" i="165"/>
  <c r="M277" i="165"/>
  <c r="L277" i="165"/>
  <c r="K277" i="165"/>
  <c r="H277" i="165"/>
  <c r="A277" i="165"/>
  <c r="P276" i="165"/>
  <c r="N276" i="165"/>
  <c r="M276" i="165"/>
  <c r="L276" i="165"/>
  <c r="K276" i="165"/>
  <c r="H276" i="165"/>
  <c r="A276" i="165"/>
  <c r="P275" i="165"/>
  <c r="N275" i="165"/>
  <c r="M275" i="165"/>
  <c r="L275" i="165"/>
  <c r="K275" i="165"/>
  <c r="H275" i="165"/>
  <c r="A275" i="165"/>
  <c r="P274" i="165"/>
  <c r="N274" i="165"/>
  <c r="M274" i="165"/>
  <c r="L274" i="165"/>
  <c r="K274" i="165"/>
  <c r="H274" i="165"/>
  <c r="A274" i="165"/>
  <c r="P273" i="165"/>
  <c r="N273" i="165"/>
  <c r="M273" i="165"/>
  <c r="L273" i="165"/>
  <c r="K273" i="165"/>
  <c r="H273" i="165"/>
  <c r="A273" i="165"/>
  <c r="P272" i="165"/>
  <c r="N272" i="165"/>
  <c r="M272" i="165"/>
  <c r="L272" i="165"/>
  <c r="K272" i="165"/>
  <c r="H272" i="165"/>
  <c r="A272" i="165"/>
  <c r="P271" i="165"/>
  <c r="N271" i="165"/>
  <c r="M271" i="165"/>
  <c r="L271" i="165"/>
  <c r="K271" i="165"/>
  <c r="H271" i="165"/>
  <c r="A271" i="165"/>
  <c r="P270" i="165"/>
  <c r="N270" i="165"/>
  <c r="M270" i="165"/>
  <c r="L270" i="165"/>
  <c r="K270" i="165"/>
  <c r="H270" i="165"/>
  <c r="A270" i="165"/>
  <c r="P269" i="165"/>
  <c r="N269" i="165"/>
  <c r="M269" i="165"/>
  <c r="L269" i="165"/>
  <c r="K269" i="165"/>
  <c r="H269" i="165"/>
  <c r="A269" i="165"/>
  <c r="P268" i="165"/>
  <c r="N268" i="165"/>
  <c r="M268" i="165"/>
  <c r="L268" i="165"/>
  <c r="K268" i="165"/>
  <c r="H268" i="165"/>
  <c r="A268" i="165"/>
  <c r="P267" i="165"/>
  <c r="N267" i="165"/>
  <c r="M267" i="165"/>
  <c r="L267" i="165"/>
  <c r="K267" i="165"/>
  <c r="H267" i="165"/>
  <c r="A267" i="165"/>
  <c r="P266" i="165"/>
  <c r="N266" i="165"/>
  <c r="M266" i="165"/>
  <c r="L266" i="165"/>
  <c r="K266" i="165"/>
  <c r="H266" i="165"/>
  <c r="A266" i="165"/>
  <c r="P265" i="165"/>
  <c r="N265" i="165"/>
  <c r="M265" i="165"/>
  <c r="L265" i="165"/>
  <c r="K265" i="165"/>
  <c r="H265" i="165"/>
  <c r="A265" i="165"/>
  <c r="P264" i="165"/>
  <c r="N264" i="165"/>
  <c r="M264" i="165"/>
  <c r="L264" i="165"/>
  <c r="K264" i="165"/>
  <c r="H264" i="165"/>
  <c r="A264" i="165"/>
  <c r="P263" i="165"/>
  <c r="N263" i="165"/>
  <c r="M263" i="165"/>
  <c r="L263" i="165"/>
  <c r="K263" i="165"/>
  <c r="H263" i="165"/>
  <c r="A263" i="165"/>
  <c r="P262" i="165"/>
  <c r="N262" i="165"/>
  <c r="M262" i="165"/>
  <c r="L262" i="165"/>
  <c r="K262" i="165"/>
  <c r="H262" i="165"/>
  <c r="A262" i="165"/>
  <c r="P261" i="165"/>
  <c r="N261" i="165"/>
  <c r="M261" i="165"/>
  <c r="L261" i="165"/>
  <c r="K261" i="165"/>
  <c r="H261" i="165"/>
  <c r="A261" i="165"/>
  <c r="P260" i="165"/>
  <c r="N260" i="165"/>
  <c r="M260" i="165"/>
  <c r="L260" i="165"/>
  <c r="K260" i="165"/>
  <c r="H260" i="165"/>
  <c r="A260" i="165"/>
  <c r="P259" i="165"/>
  <c r="N259" i="165"/>
  <c r="M259" i="165"/>
  <c r="L259" i="165"/>
  <c r="K259" i="165"/>
  <c r="H259" i="165"/>
  <c r="A259" i="165"/>
  <c r="P258" i="165"/>
  <c r="N258" i="165"/>
  <c r="M258" i="165"/>
  <c r="L258" i="165"/>
  <c r="K258" i="165"/>
  <c r="H258" i="165"/>
  <c r="A258" i="165"/>
  <c r="P257" i="165"/>
  <c r="N257" i="165"/>
  <c r="M257" i="165"/>
  <c r="L257" i="165"/>
  <c r="K257" i="165"/>
  <c r="H257" i="165"/>
  <c r="A257" i="165"/>
  <c r="P256" i="165"/>
  <c r="N256" i="165"/>
  <c r="M256" i="165"/>
  <c r="L256" i="165"/>
  <c r="K256" i="165"/>
  <c r="H256" i="165"/>
  <c r="A256" i="165"/>
  <c r="P255" i="165"/>
  <c r="N255" i="165"/>
  <c r="M255" i="165"/>
  <c r="L255" i="165"/>
  <c r="K255" i="165"/>
  <c r="H255" i="165"/>
  <c r="A255" i="165"/>
  <c r="P254" i="165"/>
  <c r="N254" i="165"/>
  <c r="M254" i="165"/>
  <c r="L254" i="165"/>
  <c r="K254" i="165"/>
  <c r="H254" i="165"/>
  <c r="A254" i="165"/>
  <c r="P253" i="165"/>
  <c r="N253" i="165"/>
  <c r="M253" i="165"/>
  <c r="L253" i="165"/>
  <c r="K253" i="165"/>
  <c r="H253" i="165"/>
  <c r="A253" i="165"/>
  <c r="P252" i="165"/>
  <c r="N252" i="165"/>
  <c r="M252" i="165"/>
  <c r="L252" i="165"/>
  <c r="K252" i="165"/>
  <c r="H252" i="165"/>
  <c r="A252" i="165"/>
  <c r="P251" i="165"/>
  <c r="N251" i="165"/>
  <c r="M251" i="165"/>
  <c r="L251" i="165"/>
  <c r="K251" i="165"/>
  <c r="H251" i="165"/>
  <c r="A251" i="165"/>
  <c r="P250" i="165"/>
  <c r="N250" i="165"/>
  <c r="M250" i="165"/>
  <c r="L250" i="165"/>
  <c r="K250" i="165"/>
  <c r="H250" i="165"/>
  <c r="A250" i="165"/>
  <c r="P249" i="165"/>
  <c r="N249" i="165"/>
  <c r="M249" i="165"/>
  <c r="L249" i="165"/>
  <c r="K249" i="165"/>
  <c r="H249" i="165"/>
  <c r="A249" i="165"/>
  <c r="P248" i="165"/>
  <c r="N248" i="165"/>
  <c r="M248" i="165"/>
  <c r="L248" i="165"/>
  <c r="K248" i="165"/>
  <c r="H248" i="165"/>
  <c r="A248" i="165"/>
  <c r="P247" i="165"/>
  <c r="N247" i="165"/>
  <c r="M247" i="165"/>
  <c r="L247" i="165"/>
  <c r="K247" i="165"/>
  <c r="H247" i="165"/>
  <c r="A247" i="165"/>
  <c r="P246" i="165"/>
  <c r="N246" i="165"/>
  <c r="M246" i="165"/>
  <c r="L246" i="165"/>
  <c r="K246" i="165"/>
  <c r="H246" i="165"/>
  <c r="A246" i="165"/>
  <c r="P245" i="165"/>
  <c r="N245" i="165"/>
  <c r="M245" i="165"/>
  <c r="L245" i="165"/>
  <c r="K245" i="165"/>
  <c r="H245" i="165"/>
  <c r="A245" i="165"/>
  <c r="P244" i="165"/>
  <c r="N244" i="165"/>
  <c r="M244" i="165"/>
  <c r="L244" i="165"/>
  <c r="K244" i="165"/>
  <c r="H244" i="165"/>
  <c r="A244" i="165"/>
  <c r="P243" i="165"/>
  <c r="N243" i="165"/>
  <c r="M243" i="165"/>
  <c r="L243" i="165"/>
  <c r="K243" i="165"/>
  <c r="H243" i="165"/>
  <c r="A243" i="165"/>
  <c r="P242" i="165"/>
  <c r="N242" i="165"/>
  <c r="M242" i="165"/>
  <c r="L242" i="165"/>
  <c r="K242" i="165"/>
  <c r="H242" i="165"/>
  <c r="A242" i="165"/>
  <c r="P241" i="165"/>
  <c r="N241" i="165"/>
  <c r="M241" i="165"/>
  <c r="L241" i="165"/>
  <c r="K241" i="165"/>
  <c r="H241" i="165"/>
  <c r="A241" i="165"/>
  <c r="P240" i="165"/>
  <c r="N240" i="165"/>
  <c r="M240" i="165"/>
  <c r="L240" i="165"/>
  <c r="K240" i="165"/>
  <c r="H240" i="165"/>
  <c r="A240" i="165"/>
  <c r="P239" i="165"/>
  <c r="N239" i="165"/>
  <c r="M239" i="165"/>
  <c r="L239" i="165"/>
  <c r="K239" i="165"/>
  <c r="H239" i="165"/>
  <c r="A239" i="165"/>
  <c r="P238" i="165"/>
  <c r="N238" i="165"/>
  <c r="M238" i="165"/>
  <c r="L238" i="165"/>
  <c r="K238" i="165"/>
  <c r="H238" i="165"/>
  <c r="A238" i="165"/>
  <c r="P237" i="165"/>
  <c r="N237" i="165"/>
  <c r="M237" i="165"/>
  <c r="L237" i="165"/>
  <c r="K237" i="165"/>
  <c r="H237" i="165"/>
  <c r="A237" i="165"/>
  <c r="P236" i="165"/>
  <c r="N236" i="165"/>
  <c r="M236" i="165"/>
  <c r="L236" i="165"/>
  <c r="K236" i="165"/>
  <c r="H236" i="165"/>
  <c r="A236" i="165"/>
  <c r="P235" i="165"/>
  <c r="N235" i="165"/>
  <c r="M235" i="165"/>
  <c r="L235" i="165"/>
  <c r="K235" i="165"/>
  <c r="H235" i="165"/>
  <c r="A235" i="165"/>
  <c r="P234" i="165"/>
  <c r="N234" i="165"/>
  <c r="M234" i="165"/>
  <c r="L234" i="165"/>
  <c r="K234" i="165"/>
  <c r="H234" i="165"/>
  <c r="A234" i="165"/>
  <c r="P233" i="165"/>
  <c r="N233" i="165"/>
  <c r="M233" i="165"/>
  <c r="L233" i="165"/>
  <c r="K233" i="165"/>
  <c r="H233" i="165"/>
  <c r="A233" i="165"/>
  <c r="P232" i="165"/>
  <c r="N232" i="165"/>
  <c r="M232" i="165"/>
  <c r="L232" i="165"/>
  <c r="K232" i="165"/>
  <c r="H232" i="165"/>
  <c r="A232" i="165"/>
  <c r="P231" i="165"/>
  <c r="N231" i="165"/>
  <c r="M231" i="165"/>
  <c r="L231" i="165"/>
  <c r="K231" i="165"/>
  <c r="H231" i="165"/>
  <c r="A231" i="165"/>
  <c r="P230" i="165"/>
  <c r="N230" i="165"/>
  <c r="M230" i="165"/>
  <c r="L230" i="165"/>
  <c r="K230" i="165"/>
  <c r="H230" i="165"/>
  <c r="A230" i="165"/>
  <c r="P229" i="165"/>
  <c r="N229" i="165"/>
  <c r="M229" i="165"/>
  <c r="L229" i="165"/>
  <c r="K229" i="165"/>
  <c r="H229" i="165"/>
  <c r="A229" i="165"/>
  <c r="P228" i="165"/>
  <c r="N228" i="165"/>
  <c r="M228" i="165"/>
  <c r="L228" i="165"/>
  <c r="K228" i="165"/>
  <c r="H228" i="165"/>
  <c r="A228" i="165"/>
  <c r="P227" i="165"/>
  <c r="N227" i="165"/>
  <c r="M227" i="165"/>
  <c r="L227" i="165"/>
  <c r="K227" i="165"/>
  <c r="H227" i="165"/>
  <c r="A227" i="165"/>
  <c r="P226" i="165"/>
  <c r="N226" i="165"/>
  <c r="M226" i="165"/>
  <c r="L226" i="165"/>
  <c r="K226" i="165"/>
  <c r="H226" i="165"/>
  <c r="A226" i="165"/>
  <c r="P225" i="165"/>
  <c r="N225" i="165"/>
  <c r="M225" i="165"/>
  <c r="L225" i="165"/>
  <c r="K225" i="165"/>
  <c r="H225" i="165"/>
  <c r="A225" i="165"/>
  <c r="P224" i="165"/>
  <c r="N224" i="165"/>
  <c r="M224" i="165"/>
  <c r="L224" i="165"/>
  <c r="K224" i="165"/>
  <c r="H224" i="165"/>
  <c r="A224" i="165"/>
  <c r="P223" i="165"/>
  <c r="N223" i="165"/>
  <c r="M223" i="165"/>
  <c r="L223" i="165"/>
  <c r="K223" i="165"/>
  <c r="H223" i="165"/>
  <c r="A223" i="165"/>
  <c r="P222" i="165"/>
  <c r="N222" i="165"/>
  <c r="M222" i="165"/>
  <c r="L222" i="165"/>
  <c r="K222" i="165"/>
  <c r="H222" i="165"/>
  <c r="A222" i="165"/>
  <c r="P221" i="165"/>
  <c r="N221" i="165"/>
  <c r="M221" i="165"/>
  <c r="L221" i="165"/>
  <c r="K221" i="165"/>
  <c r="H221" i="165"/>
  <c r="A221" i="165"/>
  <c r="P220" i="165"/>
  <c r="N220" i="165"/>
  <c r="M220" i="165"/>
  <c r="L220" i="165"/>
  <c r="K220" i="165"/>
  <c r="H220" i="165"/>
  <c r="A220" i="165"/>
  <c r="P219" i="165"/>
  <c r="N219" i="165"/>
  <c r="M219" i="165"/>
  <c r="L219" i="165"/>
  <c r="K219" i="165"/>
  <c r="H219" i="165"/>
  <c r="A219" i="165"/>
  <c r="P218" i="165"/>
  <c r="N218" i="165"/>
  <c r="M218" i="165"/>
  <c r="L218" i="165"/>
  <c r="K218" i="165"/>
  <c r="H218" i="165"/>
  <c r="A218" i="165"/>
  <c r="P217" i="165"/>
  <c r="N217" i="165"/>
  <c r="M217" i="165"/>
  <c r="L217" i="165"/>
  <c r="K217" i="165"/>
  <c r="H217" i="165"/>
  <c r="A217" i="165"/>
  <c r="P216" i="165"/>
  <c r="N216" i="165"/>
  <c r="M216" i="165"/>
  <c r="L216" i="165"/>
  <c r="K216" i="165"/>
  <c r="H216" i="165"/>
  <c r="A216" i="165"/>
  <c r="P215" i="165"/>
  <c r="N215" i="165"/>
  <c r="M215" i="165"/>
  <c r="L215" i="165"/>
  <c r="K215" i="165"/>
  <c r="H215" i="165"/>
  <c r="A215" i="165"/>
  <c r="P214" i="165"/>
  <c r="N214" i="165"/>
  <c r="M214" i="165"/>
  <c r="L214" i="165"/>
  <c r="K214" i="165"/>
  <c r="H214" i="165"/>
  <c r="A214" i="165"/>
  <c r="P213" i="165"/>
  <c r="N213" i="165"/>
  <c r="M213" i="165"/>
  <c r="L213" i="165"/>
  <c r="K213" i="165"/>
  <c r="H213" i="165"/>
  <c r="A213" i="165"/>
  <c r="P212" i="165"/>
  <c r="N212" i="165"/>
  <c r="M212" i="165"/>
  <c r="L212" i="165"/>
  <c r="K212" i="165"/>
  <c r="H212" i="165"/>
  <c r="A212" i="165"/>
  <c r="P211" i="165"/>
  <c r="N211" i="165"/>
  <c r="M211" i="165"/>
  <c r="L211" i="165"/>
  <c r="K211" i="165"/>
  <c r="H211" i="165"/>
  <c r="A211" i="165"/>
  <c r="P210" i="165"/>
  <c r="N210" i="165"/>
  <c r="M210" i="165"/>
  <c r="L210" i="165"/>
  <c r="K210" i="165"/>
  <c r="H210" i="165"/>
  <c r="A210" i="165"/>
  <c r="P209" i="165"/>
  <c r="N209" i="165"/>
  <c r="M209" i="165"/>
  <c r="L209" i="165"/>
  <c r="K209" i="165"/>
  <c r="H209" i="165"/>
  <c r="A209" i="165"/>
  <c r="P208" i="165"/>
  <c r="N208" i="165"/>
  <c r="M208" i="165"/>
  <c r="L208" i="165"/>
  <c r="K208" i="165"/>
  <c r="H208" i="165"/>
  <c r="A208" i="165"/>
  <c r="P207" i="165"/>
  <c r="N207" i="165"/>
  <c r="M207" i="165"/>
  <c r="L207" i="165"/>
  <c r="K207" i="165"/>
  <c r="H207" i="165"/>
  <c r="A207" i="165"/>
  <c r="P206" i="165"/>
  <c r="N206" i="165"/>
  <c r="M206" i="165"/>
  <c r="L206" i="165"/>
  <c r="K206" i="165"/>
  <c r="H206" i="165"/>
  <c r="A206" i="165"/>
  <c r="P205" i="165"/>
  <c r="N205" i="165"/>
  <c r="M205" i="165"/>
  <c r="L205" i="165"/>
  <c r="K205" i="165"/>
  <c r="H205" i="165"/>
  <c r="A205" i="165"/>
  <c r="P204" i="165"/>
  <c r="N204" i="165"/>
  <c r="M204" i="165"/>
  <c r="L204" i="165"/>
  <c r="K204" i="165"/>
  <c r="H204" i="165"/>
  <c r="A204" i="165"/>
  <c r="P203" i="165"/>
  <c r="N203" i="165"/>
  <c r="M203" i="165"/>
  <c r="L203" i="165"/>
  <c r="K203" i="165"/>
  <c r="H203" i="165"/>
  <c r="A203" i="165"/>
  <c r="P202" i="165"/>
  <c r="N202" i="165"/>
  <c r="M202" i="165"/>
  <c r="L202" i="165"/>
  <c r="K202" i="165"/>
  <c r="H202" i="165"/>
  <c r="A202" i="165"/>
  <c r="P201" i="165"/>
  <c r="N201" i="165"/>
  <c r="M201" i="165"/>
  <c r="L201" i="165"/>
  <c r="K201" i="165"/>
  <c r="H201" i="165"/>
  <c r="A201" i="165"/>
  <c r="P200" i="165"/>
  <c r="N200" i="165"/>
  <c r="M200" i="165"/>
  <c r="L200" i="165"/>
  <c r="K200" i="165"/>
  <c r="H200" i="165"/>
  <c r="A200" i="165"/>
  <c r="P199" i="165"/>
  <c r="N199" i="165"/>
  <c r="M199" i="165"/>
  <c r="L199" i="165"/>
  <c r="K199" i="165"/>
  <c r="H199" i="165"/>
  <c r="A199" i="165"/>
  <c r="P198" i="165"/>
  <c r="N198" i="165"/>
  <c r="M198" i="165"/>
  <c r="L198" i="165"/>
  <c r="K198" i="165"/>
  <c r="H198" i="165"/>
  <c r="A198" i="165"/>
  <c r="P197" i="165"/>
  <c r="N197" i="165"/>
  <c r="M197" i="165"/>
  <c r="L197" i="165"/>
  <c r="K197" i="165"/>
  <c r="H197" i="165"/>
  <c r="A197" i="165"/>
  <c r="P196" i="165"/>
  <c r="N196" i="165"/>
  <c r="M196" i="165"/>
  <c r="L196" i="165"/>
  <c r="K196" i="165"/>
  <c r="H196" i="165"/>
  <c r="A196" i="165"/>
  <c r="P195" i="165"/>
  <c r="N195" i="165"/>
  <c r="M195" i="165"/>
  <c r="L195" i="165"/>
  <c r="K195" i="165"/>
  <c r="H195" i="165"/>
  <c r="A195" i="165"/>
  <c r="P194" i="165"/>
  <c r="N194" i="165"/>
  <c r="M194" i="165"/>
  <c r="L194" i="165"/>
  <c r="K194" i="165"/>
  <c r="H194" i="165"/>
  <c r="A194" i="165"/>
  <c r="P193" i="165"/>
  <c r="N193" i="165"/>
  <c r="M193" i="165"/>
  <c r="L193" i="165"/>
  <c r="K193" i="165"/>
  <c r="H193" i="165"/>
  <c r="A193" i="165"/>
  <c r="P192" i="165"/>
  <c r="N192" i="165"/>
  <c r="M192" i="165"/>
  <c r="L192" i="165"/>
  <c r="K192" i="165"/>
  <c r="H192" i="165"/>
  <c r="A192" i="165"/>
  <c r="P191" i="165"/>
  <c r="N191" i="165"/>
  <c r="M191" i="165"/>
  <c r="L191" i="165"/>
  <c r="K191" i="165"/>
  <c r="H191" i="165"/>
  <c r="A191" i="165"/>
  <c r="P190" i="165"/>
  <c r="N190" i="165"/>
  <c r="M190" i="165"/>
  <c r="L190" i="165"/>
  <c r="K190" i="165"/>
  <c r="H190" i="165"/>
  <c r="A190" i="165"/>
  <c r="P189" i="165"/>
  <c r="N189" i="165"/>
  <c r="M189" i="165"/>
  <c r="L189" i="165"/>
  <c r="K189" i="165"/>
  <c r="H189" i="165"/>
  <c r="A189" i="165"/>
  <c r="P188" i="165"/>
  <c r="N188" i="165"/>
  <c r="M188" i="165"/>
  <c r="L188" i="165"/>
  <c r="K188" i="165"/>
  <c r="H188" i="165"/>
  <c r="A188" i="165"/>
  <c r="P187" i="165"/>
  <c r="N187" i="165"/>
  <c r="M187" i="165"/>
  <c r="L187" i="165"/>
  <c r="K187" i="165"/>
  <c r="H187" i="165"/>
  <c r="A187" i="165"/>
  <c r="P186" i="165"/>
  <c r="N186" i="165"/>
  <c r="M186" i="165"/>
  <c r="L186" i="165"/>
  <c r="K186" i="165"/>
  <c r="H186" i="165"/>
  <c r="A186" i="165"/>
  <c r="P185" i="165"/>
  <c r="N185" i="165"/>
  <c r="M185" i="165"/>
  <c r="L185" i="165"/>
  <c r="K185" i="165"/>
  <c r="H185" i="165"/>
  <c r="A185" i="165"/>
  <c r="P184" i="165"/>
  <c r="N184" i="165"/>
  <c r="M184" i="165"/>
  <c r="L184" i="165"/>
  <c r="K184" i="165"/>
  <c r="H184" i="165"/>
  <c r="A184" i="165"/>
  <c r="P183" i="165"/>
  <c r="N183" i="165"/>
  <c r="M183" i="165"/>
  <c r="L183" i="165"/>
  <c r="K183" i="165"/>
  <c r="H183" i="165"/>
  <c r="A183" i="165"/>
  <c r="P182" i="165"/>
  <c r="N182" i="165"/>
  <c r="M182" i="165"/>
  <c r="L182" i="165"/>
  <c r="K182" i="165"/>
  <c r="H182" i="165"/>
  <c r="A182" i="165"/>
  <c r="P181" i="165"/>
  <c r="N181" i="165"/>
  <c r="M181" i="165"/>
  <c r="L181" i="165"/>
  <c r="K181" i="165"/>
  <c r="H181" i="165"/>
  <c r="A181" i="165"/>
  <c r="P180" i="165"/>
  <c r="N180" i="165"/>
  <c r="M180" i="165"/>
  <c r="L180" i="165"/>
  <c r="K180" i="165"/>
  <c r="H180" i="165"/>
  <c r="A180" i="165"/>
  <c r="P179" i="165"/>
  <c r="N179" i="165"/>
  <c r="M179" i="165"/>
  <c r="L179" i="165"/>
  <c r="K179" i="165"/>
  <c r="H179" i="165"/>
  <c r="A179" i="165"/>
  <c r="P178" i="165"/>
  <c r="N178" i="165"/>
  <c r="M178" i="165"/>
  <c r="L178" i="165"/>
  <c r="K178" i="165"/>
  <c r="H178" i="165"/>
  <c r="A178" i="165"/>
  <c r="P177" i="165"/>
  <c r="N177" i="165"/>
  <c r="M177" i="165"/>
  <c r="L177" i="165"/>
  <c r="K177" i="165"/>
  <c r="H177" i="165"/>
  <c r="A177" i="165"/>
  <c r="P176" i="165"/>
  <c r="N176" i="165"/>
  <c r="M176" i="165"/>
  <c r="L176" i="165"/>
  <c r="K176" i="165"/>
  <c r="H176" i="165"/>
  <c r="A176" i="165"/>
  <c r="P175" i="165"/>
  <c r="N175" i="165"/>
  <c r="M175" i="165"/>
  <c r="L175" i="165"/>
  <c r="K175" i="165"/>
  <c r="H175" i="165"/>
  <c r="A175" i="165"/>
  <c r="P174" i="165"/>
  <c r="N174" i="165"/>
  <c r="M174" i="165"/>
  <c r="L174" i="165"/>
  <c r="K174" i="165"/>
  <c r="H174" i="165"/>
  <c r="A174" i="165"/>
  <c r="P173" i="165"/>
  <c r="N173" i="165"/>
  <c r="M173" i="165"/>
  <c r="L173" i="165"/>
  <c r="K173" i="165"/>
  <c r="H173" i="165"/>
  <c r="A173" i="165"/>
  <c r="P172" i="165"/>
  <c r="N172" i="165"/>
  <c r="M172" i="165"/>
  <c r="L172" i="165"/>
  <c r="K172" i="165"/>
  <c r="H172" i="165"/>
  <c r="A172" i="165"/>
  <c r="P171" i="165"/>
  <c r="N171" i="165"/>
  <c r="M171" i="165"/>
  <c r="L171" i="165"/>
  <c r="K171" i="165"/>
  <c r="H171" i="165"/>
  <c r="A171" i="165"/>
  <c r="P170" i="165"/>
  <c r="N170" i="165"/>
  <c r="M170" i="165"/>
  <c r="L170" i="165"/>
  <c r="K170" i="165"/>
  <c r="H170" i="165"/>
  <c r="A170" i="165"/>
  <c r="P169" i="165"/>
  <c r="N169" i="165"/>
  <c r="M169" i="165"/>
  <c r="L169" i="165"/>
  <c r="K169" i="165"/>
  <c r="H169" i="165"/>
  <c r="A169" i="165"/>
  <c r="P168" i="165"/>
  <c r="N168" i="165"/>
  <c r="M168" i="165"/>
  <c r="L168" i="165"/>
  <c r="K168" i="165"/>
  <c r="H168" i="165"/>
  <c r="A168" i="165"/>
  <c r="P167" i="165"/>
  <c r="N167" i="165"/>
  <c r="M167" i="165"/>
  <c r="L167" i="165"/>
  <c r="K167" i="165"/>
  <c r="H167" i="165"/>
  <c r="A167" i="165"/>
  <c r="P166" i="165"/>
  <c r="N166" i="165"/>
  <c r="M166" i="165"/>
  <c r="L166" i="165"/>
  <c r="K166" i="165"/>
  <c r="H166" i="165"/>
  <c r="A166" i="165"/>
  <c r="P165" i="165"/>
  <c r="N165" i="165"/>
  <c r="M165" i="165"/>
  <c r="L165" i="165"/>
  <c r="K165" i="165"/>
  <c r="H165" i="165"/>
  <c r="A165" i="165"/>
  <c r="P164" i="165"/>
  <c r="N164" i="165"/>
  <c r="M164" i="165"/>
  <c r="L164" i="165"/>
  <c r="K164" i="165"/>
  <c r="H164" i="165"/>
  <c r="A164" i="165"/>
  <c r="P163" i="165"/>
  <c r="N163" i="165"/>
  <c r="M163" i="165"/>
  <c r="L163" i="165"/>
  <c r="K163" i="165"/>
  <c r="H163" i="165"/>
  <c r="A163" i="165"/>
  <c r="P162" i="165"/>
  <c r="N162" i="165"/>
  <c r="M162" i="165"/>
  <c r="L162" i="165"/>
  <c r="K162" i="165"/>
  <c r="H162" i="165"/>
  <c r="A162" i="165"/>
  <c r="P161" i="165"/>
  <c r="N161" i="165"/>
  <c r="M161" i="165"/>
  <c r="L161" i="165"/>
  <c r="K161" i="165"/>
  <c r="H161" i="165"/>
  <c r="A161" i="165"/>
  <c r="P160" i="165"/>
  <c r="N160" i="165"/>
  <c r="M160" i="165"/>
  <c r="L160" i="165"/>
  <c r="K160" i="165"/>
  <c r="H160" i="165"/>
  <c r="A160" i="165"/>
  <c r="P159" i="165"/>
  <c r="N159" i="165"/>
  <c r="M159" i="165"/>
  <c r="L159" i="165"/>
  <c r="K159" i="165"/>
  <c r="H159" i="165"/>
  <c r="A159" i="165"/>
  <c r="P158" i="165"/>
  <c r="N158" i="165"/>
  <c r="M158" i="165"/>
  <c r="L158" i="165"/>
  <c r="K158" i="165"/>
  <c r="H158" i="165"/>
  <c r="A158" i="165"/>
  <c r="P157" i="165"/>
  <c r="N157" i="165"/>
  <c r="M157" i="165"/>
  <c r="L157" i="165"/>
  <c r="K157" i="165"/>
  <c r="H157" i="165"/>
  <c r="A157" i="165"/>
  <c r="P156" i="165"/>
  <c r="N156" i="165"/>
  <c r="M156" i="165"/>
  <c r="L156" i="165"/>
  <c r="K156" i="165"/>
  <c r="H156" i="165"/>
  <c r="A156" i="165"/>
  <c r="P155" i="165"/>
  <c r="N155" i="165"/>
  <c r="M155" i="165"/>
  <c r="L155" i="165"/>
  <c r="K155" i="165"/>
  <c r="H155" i="165"/>
  <c r="A155" i="165"/>
  <c r="P154" i="165"/>
  <c r="N154" i="165"/>
  <c r="M154" i="165"/>
  <c r="L154" i="165"/>
  <c r="K154" i="165"/>
  <c r="H154" i="165"/>
  <c r="A154" i="165"/>
  <c r="P153" i="165"/>
  <c r="N153" i="165"/>
  <c r="M153" i="165"/>
  <c r="L153" i="165"/>
  <c r="K153" i="165"/>
  <c r="H153" i="165"/>
  <c r="A153" i="165"/>
  <c r="P152" i="165"/>
  <c r="N152" i="165"/>
  <c r="M152" i="165"/>
  <c r="L152" i="165"/>
  <c r="K152" i="165"/>
  <c r="H152" i="165"/>
  <c r="A152" i="165"/>
  <c r="P151" i="165"/>
  <c r="N151" i="165"/>
  <c r="M151" i="165"/>
  <c r="L151" i="165"/>
  <c r="K151" i="165"/>
  <c r="H151" i="165"/>
  <c r="A151" i="165"/>
  <c r="P150" i="165"/>
  <c r="N150" i="165"/>
  <c r="M150" i="165"/>
  <c r="L150" i="165"/>
  <c r="K150" i="165"/>
  <c r="H150" i="165"/>
  <c r="A150" i="165"/>
  <c r="P149" i="165"/>
  <c r="N149" i="165"/>
  <c r="M149" i="165"/>
  <c r="L149" i="165"/>
  <c r="K149" i="165"/>
  <c r="H149" i="165"/>
  <c r="A149" i="165"/>
  <c r="P148" i="165"/>
  <c r="N148" i="165"/>
  <c r="M148" i="165"/>
  <c r="L148" i="165"/>
  <c r="K148" i="165"/>
  <c r="H148" i="165"/>
  <c r="A148" i="165"/>
  <c r="P147" i="165"/>
  <c r="N147" i="165"/>
  <c r="M147" i="165"/>
  <c r="L147" i="165"/>
  <c r="K147" i="165"/>
  <c r="H147" i="165"/>
  <c r="A147" i="165"/>
  <c r="P146" i="165"/>
  <c r="N146" i="165"/>
  <c r="M146" i="165"/>
  <c r="L146" i="165"/>
  <c r="K146" i="165"/>
  <c r="H146" i="165"/>
  <c r="A146" i="165"/>
  <c r="P145" i="165"/>
  <c r="N145" i="165"/>
  <c r="M145" i="165"/>
  <c r="L145" i="165"/>
  <c r="K145" i="165"/>
  <c r="H145" i="165"/>
  <c r="A145" i="165"/>
  <c r="P144" i="165"/>
  <c r="N144" i="165"/>
  <c r="M144" i="165"/>
  <c r="L144" i="165"/>
  <c r="K144" i="165"/>
  <c r="H144" i="165"/>
  <c r="A144" i="165"/>
  <c r="P143" i="165"/>
  <c r="N143" i="165"/>
  <c r="M143" i="165"/>
  <c r="L143" i="165"/>
  <c r="K143" i="165"/>
  <c r="H143" i="165"/>
  <c r="A143" i="165"/>
  <c r="P142" i="165"/>
  <c r="N142" i="165"/>
  <c r="M142" i="165"/>
  <c r="L142" i="165"/>
  <c r="K142" i="165"/>
  <c r="H142" i="165"/>
  <c r="A142" i="165"/>
  <c r="P141" i="165"/>
  <c r="N141" i="165"/>
  <c r="M141" i="165"/>
  <c r="L141" i="165"/>
  <c r="K141" i="165"/>
  <c r="H141" i="165"/>
  <c r="A141" i="165"/>
  <c r="P140" i="165"/>
  <c r="N140" i="165"/>
  <c r="M140" i="165"/>
  <c r="L140" i="165"/>
  <c r="K140" i="165"/>
  <c r="H140" i="165"/>
  <c r="A140" i="165"/>
  <c r="P139" i="165"/>
  <c r="N139" i="165"/>
  <c r="M139" i="165"/>
  <c r="L139" i="165"/>
  <c r="K139" i="165"/>
  <c r="H139" i="165"/>
  <c r="A139" i="165"/>
  <c r="P138" i="165"/>
  <c r="N138" i="165"/>
  <c r="M138" i="165"/>
  <c r="L138" i="165"/>
  <c r="K138" i="165"/>
  <c r="H138" i="165"/>
  <c r="A138" i="165"/>
  <c r="P137" i="165"/>
  <c r="N137" i="165"/>
  <c r="M137" i="165"/>
  <c r="L137" i="165"/>
  <c r="K137" i="165"/>
  <c r="H137" i="165"/>
  <c r="A137" i="165"/>
  <c r="P136" i="165"/>
  <c r="N136" i="165"/>
  <c r="M136" i="165"/>
  <c r="L136" i="165"/>
  <c r="K136" i="165"/>
  <c r="H136" i="165"/>
  <c r="A136" i="165"/>
  <c r="P135" i="165"/>
  <c r="N135" i="165"/>
  <c r="M135" i="165"/>
  <c r="L135" i="165"/>
  <c r="K135" i="165"/>
  <c r="H135" i="165"/>
  <c r="A135" i="165"/>
  <c r="P134" i="165"/>
  <c r="N134" i="165"/>
  <c r="M134" i="165"/>
  <c r="L134" i="165"/>
  <c r="K134" i="165"/>
  <c r="H134" i="165"/>
  <c r="A134" i="165"/>
  <c r="P133" i="165"/>
  <c r="N133" i="165"/>
  <c r="M133" i="165"/>
  <c r="L133" i="165"/>
  <c r="K133" i="165"/>
  <c r="H133" i="165"/>
  <c r="A133" i="165"/>
  <c r="P132" i="165"/>
  <c r="N132" i="165"/>
  <c r="M132" i="165"/>
  <c r="L132" i="165"/>
  <c r="K132" i="165"/>
  <c r="H132" i="165"/>
  <c r="A132" i="165"/>
  <c r="P131" i="165"/>
  <c r="N131" i="165"/>
  <c r="M131" i="165"/>
  <c r="L131" i="165"/>
  <c r="K131" i="165"/>
  <c r="H131" i="165"/>
  <c r="A131" i="165"/>
  <c r="P130" i="165"/>
  <c r="N130" i="165"/>
  <c r="M130" i="165"/>
  <c r="L130" i="165"/>
  <c r="K130" i="165"/>
  <c r="H130" i="165"/>
  <c r="A130" i="165"/>
  <c r="P129" i="165"/>
  <c r="N129" i="165"/>
  <c r="M129" i="165"/>
  <c r="L129" i="165"/>
  <c r="K129" i="165"/>
  <c r="H129" i="165"/>
  <c r="A129" i="165"/>
  <c r="P128" i="165"/>
  <c r="N128" i="165"/>
  <c r="M128" i="165"/>
  <c r="L128" i="165"/>
  <c r="K128" i="165"/>
  <c r="H128" i="165"/>
  <c r="A128" i="165"/>
  <c r="P127" i="165"/>
  <c r="N127" i="165"/>
  <c r="M127" i="165"/>
  <c r="L127" i="165"/>
  <c r="K127" i="165"/>
  <c r="H127" i="165"/>
  <c r="A127" i="165"/>
  <c r="P126" i="165"/>
  <c r="N126" i="165"/>
  <c r="M126" i="165"/>
  <c r="L126" i="165"/>
  <c r="K126" i="165"/>
  <c r="H126" i="165"/>
  <c r="A126" i="165"/>
  <c r="P125" i="165"/>
  <c r="N125" i="165"/>
  <c r="M125" i="165"/>
  <c r="L125" i="165"/>
  <c r="K125" i="165"/>
  <c r="H125" i="165"/>
  <c r="A125" i="165"/>
  <c r="P124" i="165"/>
  <c r="N124" i="165"/>
  <c r="M124" i="165"/>
  <c r="L124" i="165"/>
  <c r="K124" i="165"/>
  <c r="H124" i="165"/>
  <c r="A124" i="165"/>
  <c r="P123" i="165"/>
  <c r="N123" i="165"/>
  <c r="M123" i="165"/>
  <c r="L123" i="165"/>
  <c r="K123" i="165"/>
  <c r="H123" i="165"/>
  <c r="A123" i="165"/>
  <c r="P122" i="165"/>
  <c r="N122" i="165"/>
  <c r="M122" i="165"/>
  <c r="L122" i="165"/>
  <c r="K122" i="165"/>
  <c r="H122" i="165"/>
  <c r="A122" i="165"/>
  <c r="P121" i="165"/>
  <c r="N121" i="165"/>
  <c r="M121" i="165"/>
  <c r="L121" i="165"/>
  <c r="K121" i="165"/>
  <c r="H121" i="165"/>
  <c r="A121" i="165"/>
  <c r="P120" i="165"/>
  <c r="N120" i="165"/>
  <c r="M120" i="165"/>
  <c r="L120" i="165"/>
  <c r="K120" i="165"/>
  <c r="H120" i="165"/>
  <c r="A120" i="165"/>
  <c r="P119" i="165"/>
  <c r="N119" i="165"/>
  <c r="M119" i="165"/>
  <c r="L119" i="165"/>
  <c r="K119" i="165"/>
  <c r="H119" i="165"/>
  <c r="A119" i="165"/>
  <c r="P118" i="165"/>
  <c r="N118" i="165"/>
  <c r="M118" i="165"/>
  <c r="L118" i="165"/>
  <c r="K118" i="165"/>
  <c r="H118" i="165"/>
  <c r="A118" i="165"/>
  <c r="P117" i="165"/>
  <c r="N117" i="165"/>
  <c r="M117" i="165"/>
  <c r="L117" i="165"/>
  <c r="K117" i="165"/>
  <c r="H117" i="165"/>
  <c r="A117" i="165"/>
  <c r="P116" i="165"/>
  <c r="N116" i="165"/>
  <c r="M116" i="165"/>
  <c r="L116" i="165"/>
  <c r="K116" i="165"/>
  <c r="H116" i="165"/>
  <c r="A116" i="165"/>
  <c r="P115" i="165"/>
  <c r="N115" i="165"/>
  <c r="M115" i="165"/>
  <c r="L115" i="165"/>
  <c r="K115" i="165"/>
  <c r="H115" i="165"/>
  <c r="A115" i="165"/>
  <c r="P114" i="165"/>
  <c r="N114" i="165"/>
  <c r="M114" i="165"/>
  <c r="L114" i="165"/>
  <c r="K114" i="165"/>
  <c r="H114" i="165"/>
  <c r="A114" i="165"/>
  <c r="P113" i="165"/>
  <c r="N113" i="165"/>
  <c r="M113" i="165"/>
  <c r="L113" i="165"/>
  <c r="K113" i="165"/>
  <c r="H113" i="165"/>
  <c r="A113" i="165"/>
  <c r="P112" i="165"/>
  <c r="N112" i="165"/>
  <c r="M112" i="165"/>
  <c r="L112" i="165"/>
  <c r="K112" i="165"/>
  <c r="H112" i="165"/>
  <c r="A112" i="165"/>
  <c r="P111" i="165"/>
  <c r="N111" i="165"/>
  <c r="M111" i="165"/>
  <c r="L111" i="165"/>
  <c r="K111" i="165"/>
  <c r="H111" i="165"/>
  <c r="A111" i="165"/>
  <c r="P110" i="165"/>
  <c r="N110" i="165"/>
  <c r="M110" i="165"/>
  <c r="L110" i="165"/>
  <c r="K110" i="165"/>
  <c r="H110" i="165"/>
  <c r="A110" i="165"/>
  <c r="P109" i="165"/>
  <c r="N109" i="165"/>
  <c r="M109" i="165"/>
  <c r="L109" i="165"/>
  <c r="K109" i="165"/>
  <c r="H109" i="165"/>
  <c r="A109" i="165"/>
  <c r="P108" i="165"/>
  <c r="N108" i="165"/>
  <c r="M108" i="165"/>
  <c r="L108" i="165"/>
  <c r="K108" i="165"/>
  <c r="H108" i="165"/>
  <c r="A108" i="165"/>
  <c r="P107" i="165"/>
  <c r="N107" i="165"/>
  <c r="M107" i="165"/>
  <c r="L107" i="165"/>
  <c r="K107" i="165"/>
  <c r="H107" i="165"/>
  <c r="A107" i="165"/>
  <c r="P106" i="165"/>
  <c r="N106" i="165"/>
  <c r="M106" i="165"/>
  <c r="L106" i="165"/>
  <c r="K106" i="165"/>
  <c r="H106" i="165"/>
  <c r="A106" i="165"/>
  <c r="P105" i="165"/>
  <c r="N105" i="165"/>
  <c r="M105" i="165"/>
  <c r="L105" i="165"/>
  <c r="K105" i="165"/>
  <c r="H105" i="165"/>
  <c r="A105" i="165"/>
  <c r="P104" i="165"/>
  <c r="N104" i="165"/>
  <c r="M104" i="165"/>
  <c r="L104" i="165"/>
  <c r="K104" i="165"/>
  <c r="H104" i="165"/>
  <c r="A104" i="165"/>
  <c r="P103" i="165"/>
  <c r="N103" i="165"/>
  <c r="M103" i="165"/>
  <c r="L103" i="165"/>
  <c r="K103" i="165"/>
  <c r="H103" i="165"/>
  <c r="A103" i="165"/>
  <c r="P102" i="165"/>
  <c r="N102" i="165"/>
  <c r="M102" i="165"/>
  <c r="L102" i="165"/>
  <c r="K102" i="165"/>
  <c r="H102" i="165"/>
  <c r="A102" i="165"/>
  <c r="P101" i="165"/>
  <c r="N101" i="165"/>
  <c r="M101" i="165"/>
  <c r="L101" i="165"/>
  <c r="K101" i="165"/>
  <c r="H101" i="165"/>
  <c r="A101" i="165"/>
  <c r="P100" i="165"/>
  <c r="N100" i="165"/>
  <c r="M100" i="165"/>
  <c r="L100" i="165"/>
  <c r="K100" i="165"/>
  <c r="H100" i="165"/>
  <c r="A100" i="165"/>
  <c r="P99" i="165"/>
  <c r="N99" i="165"/>
  <c r="M99" i="165"/>
  <c r="L99" i="165"/>
  <c r="K99" i="165"/>
  <c r="H99" i="165"/>
  <c r="A99" i="165"/>
  <c r="P98" i="165"/>
  <c r="N98" i="165"/>
  <c r="M98" i="165"/>
  <c r="L98" i="165"/>
  <c r="K98" i="165"/>
  <c r="H98" i="165"/>
  <c r="A98" i="165"/>
  <c r="P97" i="165"/>
  <c r="N97" i="165"/>
  <c r="M97" i="165"/>
  <c r="L97" i="165"/>
  <c r="K97" i="165"/>
  <c r="H97" i="165"/>
  <c r="A97" i="165"/>
  <c r="P96" i="165"/>
  <c r="N96" i="165"/>
  <c r="M96" i="165"/>
  <c r="L96" i="165"/>
  <c r="K96" i="165"/>
  <c r="H96" i="165"/>
  <c r="A96" i="165"/>
  <c r="P95" i="165"/>
  <c r="N95" i="165"/>
  <c r="M95" i="165"/>
  <c r="L95" i="165"/>
  <c r="K95" i="165"/>
  <c r="H95" i="165"/>
  <c r="A95" i="165"/>
  <c r="P94" i="165"/>
  <c r="N94" i="165"/>
  <c r="M94" i="165"/>
  <c r="L94" i="165"/>
  <c r="K94" i="165"/>
  <c r="H94" i="165"/>
  <c r="A94" i="165"/>
  <c r="P93" i="165"/>
  <c r="N93" i="165"/>
  <c r="M93" i="165"/>
  <c r="L93" i="165"/>
  <c r="K93" i="165"/>
  <c r="H93" i="165"/>
  <c r="A93" i="165"/>
  <c r="P92" i="165"/>
  <c r="N92" i="165"/>
  <c r="M92" i="165"/>
  <c r="L92" i="165"/>
  <c r="K92" i="165"/>
  <c r="H92" i="165"/>
  <c r="A92" i="165"/>
  <c r="P91" i="165"/>
  <c r="N91" i="165"/>
  <c r="M91" i="165"/>
  <c r="L91" i="165"/>
  <c r="K91" i="165"/>
  <c r="H91" i="165"/>
  <c r="A91" i="165"/>
  <c r="P90" i="165"/>
  <c r="N90" i="165"/>
  <c r="M90" i="165"/>
  <c r="L90" i="165"/>
  <c r="K90" i="165"/>
  <c r="H90" i="165"/>
  <c r="A90" i="165"/>
  <c r="P89" i="165"/>
  <c r="N89" i="165"/>
  <c r="M89" i="165"/>
  <c r="L89" i="165"/>
  <c r="K89" i="165"/>
  <c r="H89" i="165"/>
  <c r="A89" i="165"/>
  <c r="P88" i="165"/>
  <c r="N88" i="165"/>
  <c r="M88" i="165"/>
  <c r="L88" i="165"/>
  <c r="K88" i="165"/>
  <c r="H88" i="165"/>
  <c r="A88" i="165"/>
  <c r="P87" i="165"/>
  <c r="N87" i="165"/>
  <c r="M87" i="165"/>
  <c r="L87" i="165"/>
  <c r="K87" i="165"/>
  <c r="H87" i="165"/>
  <c r="A87" i="165"/>
  <c r="P86" i="165"/>
  <c r="N86" i="165"/>
  <c r="M86" i="165"/>
  <c r="L86" i="165"/>
  <c r="K86" i="165"/>
  <c r="H86" i="165"/>
  <c r="A86" i="165"/>
  <c r="P85" i="165"/>
  <c r="N85" i="165"/>
  <c r="M85" i="165"/>
  <c r="L85" i="165"/>
  <c r="K85" i="165"/>
  <c r="H85" i="165"/>
  <c r="A85" i="165"/>
  <c r="P84" i="165"/>
  <c r="N84" i="165"/>
  <c r="M84" i="165"/>
  <c r="L84" i="165"/>
  <c r="K84" i="165"/>
  <c r="H84" i="165"/>
  <c r="A84" i="165"/>
  <c r="P83" i="165"/>
  <c r="N83" i="165"/>
  <c r="M83" i="165"/>
  <c r="L83" i="165"/>
  <c r="K83" i="165"/>
  <c r="H83" i="165"/>
  <c r="A83" i="165"/>
  <c r="P82" i="165"/>
  <c r="N82" i="165"/>
  <c r="M82" i="165"/>
  <c r="L82" i="165"/>
  <c r="K82" i="165"/>
  <c r="H82" i="165"/>
  <c r="A82" i="165"/>
  <c r="P81" i="165"/>
  <c r="N81" i="165"/>
  <c r="M81" i="165"/>
  <c r="L81" i="165"/>
  <c r="K81" i="165"/>
  <c r="H81" i="165"/>
  <c r="A81" i="165"/>
  <c r="P80" i="165"/>
  <c r="N80" i="165"/>
  <c r="M80" i="165"/>
  <c r="L80" i="165"/>
  <c r="K80" i="165"/>
  <c r="H80" i="165"/>
  <c r="A80" i="165"/>
  <c r="P79" i="165"/>
  <c r="N79" i="165"/>
  <c r="M79" i="165"/>
  <c r="L79" i="165"/>
  <c r="K79" i="165"/>
  <c r="H79" i="165"/>
  <c r="A79" i="165"/>
  <c r="P78" i="165"/>
  <c r="N78" i="165"/>
  <c r="M78" i="165"/>
  <c r="L78" i="165"/>
  <c r="K78" i="165"/>
  <c r="H78" i="165"/>
  <c r="A78" i="165"/>
  <c r="P77" i="165"/>
  <c r="N77" i="165"/>
  <c r="M77" i="165"/>
  <c r="L77" i="165"/>
  <c r="K77" i="165"/>
  <c r="H77" i="165"/>
  <c r="A77" i="165"/>
  <c r="P76" i="165"/>
  <c r="N76" i="165"/>
  <c r="M76" i="165"/>
  <c r="L76" i="165"/>
  <c r="K76" i="165"/>
  <c r="H76" i="165"/>
  <c r="A76" i="165"/>
  <c r="P75" i="165"/>
  <c r="N75" i="165"/>
  <c r="M75" i="165"/>
  <c r="L75" i="165"/>
  <c r="K75" i="165"/>
  <c r="H75" i="165"/>
  <c r="A75" i="165"/>
  <c r="P74" i="165"/>
  <c r="N74" i="165"/>
  <c r="M74" i="165"/>
  <c r="L74" i="165"/>
  <c r="K74" i="165"/>
  <c r="H74" i="165"/>
  <c r="A74" i="165"/>
  <c r="P73" i="165"/>
  <c r="N73" i="165"/>
  <c r="M73" i="165"/>
  <c r="L73" i="165"/>
  <c r="K73" i="165"/>
  <c r="H73" i="165"/>
  <c r="A73" i="165"/>
  <c r="P72" i="165"/>
  <c r="N72" i="165"/>
  <c r="M72" i="165"/>
  <c r="L72" i="165"/>
  <c r="K72" i="165"/>
  <c r="H72" i="165"/>
  <c r="A72" i="165"/>
  <c r="P71" i="165"/>
  <c r="N71" i="165"/>
  <c r="M71" i="165"/>
  <c r="L71" i="165"/>
  <c r="K71" i="165"/>
  <c r="H71" i="165"/>
  <c r="A71" i="165"/>
  <c r="P70" i="165"/>
  <c r="N70" i="165"/>
  <c r="M70" i="165"/>
  <c r="L70" i="165"/>
  <c r="K70" i="165"/>
  <c r="H70" i="165"/>
  <c r="A70" i="165"/>
  <c r="P69" i="165"/>
  <c r="N69" i="165"/>
  <c r="M69" i="165"/>
  <c r="L69" i="165"/>
  <c r="K69" i="165"/>
  <c r="H69" i="165"/>
  <c r="A69" i="165"/>
  <c r="P68" i="165"/>
  <c r="N68" i="165"/>
  <c r="M68" i="165"/>
  <c r="L68" i="165"/>
  <c r="K68" i="165"/>
  <c r="H68" i="165"/>
  <c r="A68" i="165"/>
  <c r="P67" i="165"/>
  <c r="N67" i="165"/>
  <c r="M67" i="165"/>
  <c r="L67" i="165"/>
  <c r="K67" i="165"/>
  <c r="H67" i="165"/>
  <c r="A67" i="165"/>
  <c r="P66" i="165"/>
  <c r="N66" i="165"/>
  <c r="M66" i="165"/>
  <c r="L66" i="165"/>
  <c r="K66" i="165"/>
  <c r="H66" i="165"/>
  <c r="A66" i="165"/>
  <c r="P65" i="165"/>
  <c r="N65" i="165"/>
  <c r="M65" i="165"/>
  <c r="L65" i="165"/>
  <c r="K65" i="165"/>
  <c r="H65" i="165"/>
  <c r="A65" i="165"/>
  <c r="P64" i="165"/>
  <c r="N64" i="165"/>
  <c r="M64" i="165"/>
  <c r="L64" i="165"/>
  <c r="K64" i="165"/>
  <c r="H64" i="165"/>
  <c r="A64" i="165"/>
  <c r="P63" i="165"/>
  <c r="N63" i="165"/>
  <c r="M63" i="165"/>
  <c r="L63" i="165"/>
  <c r="K63" i="165"/>
  <c r="H63" i="165"/>
  <c r="A63" i="165"/>
  <c r="P62" i="165"/>
  <c r="N62" i="165"/>
  <c r="M62" i="165"/>
  <c r="L62" i="165"/>
  <c r="K62" i="165"/>
  <c r="H62" i="165"/>
  <c r="A62" i="165"/>
  <c r="P61" i="165"/>
  <c r="N61" i="165"/>
  <c r="M61" i="165"/>
  <c r="L61" i="165"/>
  <c r="K61" i="165"/>
  <c r="H61" i="165"/>
  <c r="A61" i="165"/>
  <c r="P60" i="165"/>
  <c r="N60" i="165"/>
  <c r="M60" i="165"/>
  <c r="L60" i="165"/>
  <c r="K60" i="165"/>
  <c r="H60" i="165"/>
  <c r="A60" i="165"/>
  <c r="P59" i="165"/>
  <c r="N59" i="165"/>
  <c r="M59" i="165"/>
  <c r="L59" i="165"/>
  <c r="K59" i="165"/>
  <c r="H59" i="165"/>
  <c r="A59" i="165"/>
  <c r="P58" i="165"/>
  <c r="N58" i="165"/>
  <c r="M58" i="165"/>
  <c r="L58" i="165"/>
  <c r="K58" i="165"/>
  <c r="H58" i="165"/>
  <c r="A58" i="165"/>
  <c r="P57" i="165"/>
  <c r="N57" i="165"/>
  <c r="M57" i="165"/>
  <c r="L57" i="165"/>
  <c r="K57" i="165"/>
  <c r="H57" i="165"/>
  <c r="A57" i="165"/>
  <c r="P56" i="165"/>
  <c r="N56" i="165"/>
  <c r="M56" i="165"/>
  <c r="L56" i="165"/>
  <c r="K56" i="165"/>
  <c r="H56" i="165"/>
  <c r="A56" i="165"/>
  <c r="P55" i="165"/>
  <c r="N55" i="165"/>
  <c r="M55" i="165"/>
  <c r="L55" i="165"/>
  <c r="K55" i="165"/>
  <c r="H55" i="165"/>
  <c r="A55" i="165"/>
  <c r="P54" i="165"/>
  <c r="N54" i="165"/>
  <c r="M54" i="165"/>
  <c r="L54" i="165"/>
  <c r="K54" i="165"/>
  <c r="H54" i="165"/>
  <c r="A54" i="165"/>
  <c r="P53" i="165"/>
  <c r="N53" i="165"/>
  <c r="M53" i="165"/>
  <c r="L53" i="165"/>
  <c r="K53" i="165"/>
  <c r="H53" i="165"/>
  <c r="A53" i="165"/>
  <c r="P52" i="165"/>
  <c r="N52" i="165"/>
  <c r="M52" i="165"/>
  <c r="L52" i="165"/>
  <c r="K52" i="165"/>
  <c r="H52" i="165"/>
  <c r="A52" i="165"/>
  <c r="P51" i="165"/>
  <c r="N51" i="165"/>
  <c r="M51" i="165"/>
  <c r="L51" i="165"/>
  <c r="K51" i="165"/>
  <c r="H51" i="165"/>
  <c r="A51" i="165"/>
  <c r="P50" i="165"/>
  <c r="N50" i="165"/>
  <c r="M50" i="165"/>
  <c r="L50" i="165"/>
  <c r="K50" i="165"/>
  <c r="H50" i="165"/>
  <c r="A50" i="165"/>
  <c r="P49" i="165"/>
  <c r="N49" i="165"/>
  <c r="M49" i="165"/>
  <c r="L49" i="165"/>
  <c r="K49" i="165"/>
  <c r="H49" i="165"/>
  <c r="A49" i="165"/>
  <c r="P48" i="165"/>
  <c r="N48" i="165"/>
  <c r="M48" i="165"/>
  <c r="L48" i="165"/>
  <c r="K48" i="165"/>
  <c r="H48" i="165"/>
  <c r="A48" i="165"/>
  <c r="P47" i="165"/>
  <c r="N47" i="165"/>
  <c r="M47" i="165"/>
  <c r="L47" i="165"/>
  <c r="K47" i="165"/>
  <c r="H47" i="165"/>
  <c r="A47" i="165"/>
  <c r="P46" i="165"/>
  <c r="N46" i="165"/>
  <c r="M46" i="165"/>
  <c r="L46" i="165"/>
  <c r="K46" i="165"/>
  <c r="H46" i="165"/>
  <c r="A46" i="165"/>
  <c r="P45" i="165"/>
  <c r="N45" i="165"/>
  <c r="M45" i="165"/>
  <c r="L45" i="165"/>
  <c r="K45" i="165"/>
  <c r="H45" i="165"/>
  <c r="A45" i="165"/>
  <c r="P44" i="165"/>
  <c r="N44" i="165"/>
  <c r="M44" i="165"/>
  <c r="L44" i="165"/>
  <c r="K44" i="165"/>
  <c r="H44" i="165"/>
  <c r="A44" i="165"/>
  <c r="P43" i="165"/>
  <c r="N43" i="165"/>
  <c r="M43" i="165"/>
  <c r="L43" i="165"/>
  <c r="K43" i="165"/>
  <c r="H43" i="165"/>
  <c r="A43" i="165"/>
  <c r="P42" i="165"/>
  <c r="N42" i="165"/>
  <c r="M42" i="165"/>
  <c r="L42" i="165"/>
  <c r="K42" i="165"/>
  <c r="H42" i="165"/>
  <c r="A42" i="165"/>
  <c r="P41" i="165"/>
  <c r="N41" i="165"/>
  <c r="M41" i="165"/>
  <c r="L41" i="165"/>
  <c r="K41" i="165"/>
  <c r="H41" i="165"/>
  <c r="A41" i="165"/>
  <c r="P40" i="165"/>
  <c r="N40" i="165"/>
  <c r="M40" i="165"/>
  <c r="L40" i="165"/>
  <c r="K40" i="165"/>
  <c r="H40" i="165"/>
  <c r="A40" i="165"/>
  <c r="P39" i="165"/>
  <c r="N39" i="165"/>
  <c r="M39" i="165"/>
  <c r="L39" i="165"/>
  <c r="K39" i="165"/>
  <c r="H39" i="165"/>
  <c r="A39" i="165"/>
  <c r="P38" i="165"/>
  <c r="N38" i="165"/>
  <c r="M38" i="165"/>
  <c r="L38" i="165"/>
  <c r="K38" i="165"/>
  <c r="H38" i="165"/>
  <c r="A38" i="165"/>
  <c r="P37" i="165"/>
  <c r="N37" i="165"/>
  <c r="M37" i="165"/>
  <c r="L37" i="165"/>
  <c r="K37" i="165"/>
  <c r="H37" i="165"/>
  <c r="A37" i="165"/>
  <c r="P36" i="165"/>
  <c r="N36" i="165"/>
  <c r="M36" i="165"/>
  <c r="L36" i="165"/>
  <c r="K36" i="165"/>
  <c r="H36" i="165"/>
  <c r="A36" i="165"/>
  <c r="P35" i="165"/>
  <c r="N35" i="165"/>
  <c r="M35" i="165"/>
  <c r="L35" i="165"/>
  <c r="K35" i="165"/>
  <c r="H35" i="165"/>
  <c r="A35" i="165"/>
  <c r="P34" i="165"/>
  <c r="N34" i="165"/>
  <c r="M34" i="165"/>
  <c r="L34" i="165"/>
  <c r="K34" i="165"/>
  <c r="H34" i="165"/>
  <c r="A34" i="165"/>
  <c r="P33" i="165"/>
  <c r="N33" i="165"/>
  <c r="M33" i="165"/>
  <c r="L33" i="165"/>
  <c r="K33" i="165"/>
  <c r="H33" i="165"/>
  <c r="A33" i="165"/>
  <c r="P32" i="165"/>
  <c r="N32" i="165"/>
  <c r="M32" i="165"/>
  <c r="L32" i="165"/>
  <c r="K32" i="165"/>
  <c r="H32" i="165"/>
  <c r="A32" i="165"/>
  <c r="P31" i="165"/>
  <c r="N31" i="165"/>
  <c r="M31" i="165"/>
  <c r="L31" i="165"/>
  <c r="K31" i="165"/>
  <c r="H31" i="165"/>
  <c r="A31" i="165"/>
  <c r="P30" i="165"/>
  <c r="N30" i="165"/>
  <c r="M30" i="165"/>
  <c r="L30" i="165"/>
  <c r="K30" i="165"/>
  <c r="H30" i="165"/>
  <c r="A30" i="165"/>
  <c r="P29" i="165"/>
  <c r="N29" i="165"/>
  <c r="M29" i="165"/>
  <c r="L29" i="165"/>
  <c r="K29" i="165"/>
  <c r="H29" i="165"/>
  <c r="A29" i="165"/>
  <c r="P28" i="165"/>
  <c r="N28" i="165"/>
  <c r="M28" i="165"/>
  <c r="L28" i="165"/>
  <c r="K28" i="165"/>
  <c r="H28" i="165"/>
  <c r="A28" i="165"/>
  <c r="P27" i="165"/>
  <c r="N27" i="165"/>
  <c r="M27" i="165"/>
  <c r="L27" i="165"/>
  <c r="K27" i="165"/>
  <c r="H27" i="165"/>
  <c r="A27" i="165"/>
  <c r="P26" i="165"/>
  <c r="N26" i="165"/>
  <c r="M26" i="165"/>
  <c r="L26" i="165"/>
  <c r="K26" i="165"/>
  <c r="H26" i="165"/>
  <c r="A26" i="165"/>
  <c r="P25" i="165"/>
  <c r="N25" i="165"/>
  <c r="M25" i="165"/>
  <c r="L25" i="165"/>
  <c r="K25" i="165"/>
  <c r="H25" i="165"/>
  <c r="A25" i="165"/>
  <c r="P24" i="165"/>
  <c r="N24" i="165"/>
  <c r="M24" i="165"/>
  <c r="L24" i="165"/>
  <c r="K24" i="165"/>
  <c r="H24" i="165"/>
  <c r="A24" i="165"/>
  <c r="P23" i="165"/>
  <c r="N23" i="165"/>
  <c r="M23" i="165"/>
  <c r="L23" i="165"/>
  <c r="K23" i="165"/>
  <c r="H23" i="165"/>
  <c r="A23" i="165"/>
  <c r="P22" i="165"/>
  <c r="N22" i="165"/>
  <c r="M22" i="165"/>
  <c r="L22" i="165"/>
  <c r="K22" i="165"/>
  <c r="H22" i="165"/>
  <c r="A22" i="165"/>
  <c r="P21" i="165"/>
  <c r="N21" i="165"/>
  <c r="M21" i="165"/>
  <c r="L21" i="165"/>
  <c r="K21" i="165"/>
  <c r="H21" i="165"/>
  <c r="A21" i="165"/>
  <c r="P20" i="165"/>
  <c r="N20" i="165"/>
  <c r="M20" i="165"/>
  <c r="L20" i="165"/>
  <c r="K20" i="165"/>
  <c r="H20" i="165"/>
  <c r="A20" i="165"/>
  <c r="P19" i="165"/>
  <c r="N19" i="165"/>
  <c r="M19" i="165"/>
  <c r="L19" i="165"/>
  <c r="K19" i="165"/>
  <c r="H19" i="165"/>
  <c r="A19" i="165"/>
  <c r="P18" i="165"/>
  <c r="N18" i="165"/>
  <c r="M18" i="165"/>
  <c r="L18" i="165"/>
  <c r="K18" i="165"/>
  <c r="H18" i="165"/>
  <c r="A18" i="165"/>
  <c r="P17" i="165"/>
  <c r="N17" i="165"/>
  <c r="M17" i="165"/>
  <c r="L17" i="165"/>
  <c r="K17" i="165"/>
  <c r="H17" i="165"/>
  <c r="A17" i="165"/>
  <c r="P16" i="165"/>
  <c r="N16" i="165"/>
  <c r="M16" i="165"/>
  <c r="L16" i="165"/>
  <c r="K16" i="165"/>
  <c r="H16" i="165"/>
  <c r="A16" i="165"/>
  <c r="P15" i="165"/>
  <c r="N15" i="165"/>
  <c r="M15" i="165"/>
  <c r="L15" i="165"/>
  <c r="K15" i="165"/>
  <c r="H15" i="165"/>
  <c r="A15" i="165"/>
  <c r="P14" i="165"/>
  <c r="N14" i="165"/>
  <c r="M14" i="165"/>
  <c r="L14" i="165"/>
  <c r="K14" i="165"/>
  <c r="H14" i="165"/>
  <c r="A14" i="165"/>
  <c r="P13" i="165"/>
  <c r="N13" i="165"/>
  <c r="M13" i="165"/>
  <c r="L13" i="165"/>
  <c r="K13" i="165"/>
  <c r="H13" i="165"/>
  <c r="A13" i="165"/>
  <c r="P12" i="165"/>
  <c r="N12" i="165"/>
  <c r="M12" i="165"/>
  <c r="L12" i="165"/>
  <c r="K12" i="165"/>
  <c r="H12" i="165"/>
  <c r="A12" i="165"/>
  <c r="P11" i="165"/>
  <c r="N11" i="165"/>
  <c r="M11" i="165"/>
  <c r="L11" i="165"/>
  <c r="K11" i="165"/>
  <c r="H11" i="165"/>
  <c r="A11" i="165"/>
  <c r="P10" i="165"/>
  <c r="N10" i="165"/>
  <c r="M10" i="165"/>
  <c r="L10" i="165"/>
  <c r="K10" i="165"/>
  <c r="H10" i="165"/>
  <c r="A10" i="165"/>
  <c r="P9" i="165"/>
  <c r="N9" i="165"/>
  <c r="M9" i="165"/>
  <c r="L9" i="165"/>
  <c r="K9" i="165"/>
  <c r="H9" i="165"/>
  <c r="A9" i="165"/>
  <c r="P8" i="165"/>
  <c r="N8" i="165"/>
  <c r="M8" i="165"/>
  <c r="L8" i="165"/>
  <c r="K8" i="165"/>
  <c r="H8" i="165"/>
  <c r="A8" i="165"/>
  <c r="P7" i="165"/>
  <c r="N7" i="165"/>
  <c r="M7" i="165"/>
  <c r="L7" i="165"/>
  <c r="K7" i="165"/>
  <c r="H7" i="165"/>
  <c r="A7" i="165"/>
  <c r="P6" i="165"/>
  <c r="N6" i="165"/>
  <c r="M6" i="165"/>
  <c r="L6" i="165"/>
  <c r="K6" i="165"/>
  <c r="H6" i="165"/>
  <c r="A6" i="165"/>
  <c r="P5" i="165"/>
  <c r="N5" i="165"/>
  <c r="M5" i="165"/>
  <c r="L5" i="165"/>
  <c r="K5" i="165"/>
  <c r="H5" i="165"/>
  <c r="A5" i="165"/>
  <c r="P4" i="165"/>
  <c r="N4" i="165"/>
  <c r="M4" i="165"/>
  <c r="L4" i="165"/>
  <c r="K4" i="165"/>
  <c r="H4" i="165"/>
  <c r="A4" i="165"/>
  <c r="P3" i="165"/>
  <c r="N3" i="165"/>
  <c r="M3" i="165"/>
  <c r="L3" i="165"/>
  <c r="K3" i="165"/>
  <c r="H3" i="165"/>
  <c r="A3" i="165"/>
  <c r="P2" i="165"/>
  <c r="N2" i="165"/>
  <c r="M2" i="165"/>
  <c r="L2" i="165"/>
  <c r="K2" i="165"/>
  <c r="H2" i="165"/>
  <c r="A2" i="165"/>
  <c r="F48" i="164"/>
  <c r="F47" i="164"/>
  <c r="B40" i="164"/>
  <c r="B41" i="164"/>
  <c r="B42" i="164"/>
  <c r="B43" i="164"/>
  <c r="B44" i="164"/>
  <c r="B45" i="164"/>
  <c r="B46" i="164"/>
  <c r="B47" i="164"/>
  <c r="C40" i="164"/>
  <c r="C41" i="164"/>
  <c r="C42" i="164"/>
  <c r="C43" i="164"/>
  <c r="C44" i="164"/>
  <c r="C45" i="164"/>
  <c r="C46" i="164"/>
  <c r="C47" i="164"/>
  <c r="F46" i="164"/>
  <c r="F45" i="164"/>
  <c r="F42" i="164"/>
  <c r="G42" i="164"/>
  <c r="F41" i="164"/>
  <c r="G41" i="164"/>
  <c r="F40" i="164"/>
  <c r="G40" i="164"/>
  <c r="B32" i="164"/>
  <c r="C19" i="164"/>
  <c r="C20" i="164"/>
  <c r="C21" i="164"/>
  <c r="C22" i="164"/>
  <c r="C23" i="164"/>
  <c r="C24" i="164"/>
  <c r="C25" i="164"/>
  <c r="C26" i="164"/>
  <c r="C27" i="164"/>
  <c r="C28" i="164"/>
  <c r="C29" i="164"/>
  <c r="C30" i="164"/>
  <c r="C31" i="164"/>
  <c r="C32" i="164"/>
  <c r="D32" i="164"/>
  <c r="G31" i="164"/>
  <c r="E31" i="164"/>
  <c r="H31" i="164"/>
  <c r="I31" i="164"/>
  <c r="J31" i="164"/>
  <c r="F31" i="164"/>
  <c r="D31" i="164"/>
  <c r="G30" i="164"/>
  <c r="E30" i="164"/>
  <c r="H30" i="164"/>
  <c r="I30" i="164"/>
  <c r="J30" i="164"/>
  <c r="F30" i="164"/>
  <c r="D30" i="164"/>
  <c r="I29" i="164"/>
  <c r="J29" i="164"/>
  <c r="F29" i="164"/>
  <c r="D29" i="164"/>
  <c r="I28" i="164"/>
  <c r="J28" i="164"/>
  <c r="F28" i="164"/>
  <c r="D28" i="164"/>
  <c r="I27" i="164"/>
  <c r="J27" i="164"/>
  <c r="F27" i="164"/>
  <c r="D27" i="164"/>
  <c r="I26" i="164"/>
  <c r="J26" i="164"/>
  <c r="F26" i="164"/>
  <c r="D26" i="164"/>
  <c r="I25" i="164"/>
  <c r="J25" i="164"/>
  <c r="F25" i="164"/>
  <c r="D25" i="164"/>
  <c r="I24" i="164"/>
  <c r="J24" i="164"/>
  <c r="F24" i="164"/>
  <c r="D24" i="164"/>
  <c r="I23" i="164"/>
  <c r="J23" i="164"/>
  <c r="F23" i="164"/>
  <c r="D23" i="164"/>
  <c r="I22" i="164"/>
  <c r="J22" i="164"/>
  <c r="F22" i="164"/>
  <c r="D22" i="164"/>
  <c r="I21" i="164"/>
  <c r="J21" i="164"/>
  <c r="F21" i="164"/>
  <c r="D21" i="164"/>
  <c r="R20" i="164"/>
  <c r="P20" i="164"/>
  <c r="O20" i="164"/>
  <c r="M20" i="164"/>
  <c r="I20" i="164"/>
  <c r="J20" i="164"/>
  <c r="F20" i="164"/>
  <c r="D20" i="164"/>
  <c r="R19" i="164"/>
  <c r="P19" i="164"/>
  <c r="O19" i="164"/>
  <c r="M19" i="164"/>
  <c r="I19" i="164"/>
  <c r="J19" i="164"/>
  <c r="F19" i="164"/>
  <c r="D19" i="164"/>
  <c r="R18" i="164"/>
  <c r="P18" i="164"/>
  <c r="O18" i="164"/>
  <c r="M18" i="164"/>
  <c r="I18" i="164"/>
  <c r="J18" i="164"/>
  <c r="F18" i="164"/>
  <c r="C18" i="164"/>
  <c r="D18" i="164"/>
  <c r="R17" i="164"/>
  <c r="P17" i="164"/>
  <c r="O17" i="164"/>
  <c r="M17" i="164"/>
  <c r="I17" i="164"/>
  <c r="J17" i="164"/>
  <c r="F17" i="164"/>
  <c r="C17" i="164"/>
  <c r="D17" i="164"/>
  <c r="V16" i="164"/>
  <c r="R16" i="164"/>
  <c r="P16" i="164"/>
  <c r="O16" i="164"/>
  <c r="M16" i="164"/>
  <c r="V15" i="164"/>
  <c r="R15" i="164"/>
  <c r="P15" i="164"/>
  <c r="O15" i="164"/>
  <c r="M15" i="164"/>
  <c r="V14" i="164"/>
  <c r="R14" i="164"/>
  <c r="P14" i="164"/>
  <c r="O14" i="164"/>
  <c r="M14" i="164"/>
  <c r="V13" i="164"/>
  <c r="R13" i="164"/>
  <c r="P13" i="164"/>
  <c r="O13" i="164"/>
  <c r="M13" i="164"/>
  <c r="V12" i="164"/>
  <c r="R12" i="164"/>
  <c r="P12" i="164"/>
  <c r="O12" i="164"/>
  <c r="M12" i="164"/>
  <c r="V11" i="164"/>
  <c r="R11" i="164"/>
  <c r="P11" i="164"/>
  <c r="O11" i="164"/>
  <c r="M11" i="164"/>
  <c r="V10" i="164"/>
  <c r="R10" i="164"/>
  <c r="P10" i="164"/>
  <c r="O10" i="164"/>
  <c r="M10" i="164"/>
  <c r="V9" i="164"/>
  <c r="P9" i="164"/>
  <c r="O9" i="164"/>
  <c r="M9" i="164"/>
  <c r="V8" i="164"/>
  <c r="P8" i="164"/>
  <c r="O8" i="164"/>
  <c r="M8" i="164"/>
  <c r="V7" i="164"/>
  <c r="P7" i="164"/>
  <c r="O7" i="164"/>
  <c r="M7" i="164"/>
  <c r="V6" i="164"/>
  <c r="P6" i="164"/>
  <c r="O6" i="164"/>
  <c r="M6" i="164"/>
  <c r="V5" i="164"/>
  <c r="P5" i="164"/>
  <c r="O5" i="164"/>
  <c r="M5" i="164"/>
  <c r="V4" i="164"/>
  <c r="P4" i="164"/>
  <c r="O4" i="164"/>
  <c r="M4" i="164"/>
  <c r="V3" i="164"/>
  <c r="P3" i="164"/>
  <c r="O3" i="164"/>
  <c r="M3" i="164"/>
  <c r="V2" i="164"/>
  <c r="I2" i="163"/>
  <c r="D2" i="163"/>
  <c r="J2" i="163"/>
  <c r="E2" i="163"/>
  <c r="F2" i="163"/>
  <c r="C2" i="163"/>
  <c r="I3" i="163"/>
  <c r="D3" i="163"/>
  <c r="J3" i="163"/>
  <c r="E3" i="163"/>
  <c r="F3" i="163"/>
  <c r="C3" i="163"/>
  <c r="I4" i="163"/>
  <c r="D4" i="163"/>
  <c r="J4" i="163"/>
  <c r="E4" i="163"/>
  <c r="F4" i="163"/>
  <c r="C4" i="163"/>
  <c r="I5" i="163"/>
  <c r="D5" i="163"/>
  <c r="J5" i="163"/>
  <c r="E5" i="163"/>
  <c r="F5" i="163"/>
  <c r="C5" i="163"/>
  <c r="I6" i="163"/>
  <c r="D6" i="163"/>
  <c r="J6" i="163"/>
  <c r="E6" i="163"/>
  <c r="F6" i="163"/>
  <c r="C6" i="163"/>
  <c r="I7" i="163"/>
  <c r="D7" i="163"/>
  <c r="J7" i="163"/>
  <c r="E7" i="163"/>
  <c r="F7" i="163"/>
  <c r="C7" i="163"/>
  <c r="I8" i="163"/>
  <c r="D8" i="163"/>
  <c r="J8" i="163"/>
  <c r="E8" i="163"/>
  <c r="F8" i="163"/>
  <c r="C8" i="163"/>
  <c r="I9" i="163"/>
  <c r="D9" i="163"/>
  <c r="J9" i="163"/>
  <c r="E9" i="163"/>
  <c r="F9" i="163"/>
  <c r="C9" i="163"/>
  <c r="I10" i="163"/>
  <c r="D10" i="163"/>
  <c r="J10" i="163"/>
  <c r="E10" i="163"/>
  <c r="F10" i="163"/>
  <c r="C10" i="163"/>
  <c r="I11" i="163"/>
  <c r="D11" i="163"/>
  <c r="J11" i="163"/>
  <c r="E11" i="163"/>
  <c r="F11" i="163"/>
  <c r="C11" i="163"/>
  <c r="I12" i="163"/>
  <c r="D12" i="163"/>
  <c r="J12" i="163"/>
  <c r="E12" i="163"/>
  <c r="F12" i="163"/>
  <c r="C12" i="163"/>
  <c r="I13" i="163"/>
  <c r="D13" i="163"/>
  <c r="J13" i="163"/>
  <c r="E13" i="163"/>
  <c r="F13" i="163"/>
  <c r="C13" i="163"/>
  <c r="I14" i="163"/>
  <c r="D14" i="163"/>
  <c r="J14" i="163"/>
  <c r="E14" i="163"/>
  <c r="F14" i="163"/>
  <c r="C14" i="163"/>
  <c r="I15" i="163"/>
  <c r="D15" i="163"/>
  <c r="J15" i="163"/>
  <c r="E15" i="163"/>
  <c r="F15" i="163"/>
  <c r="C15" i="163"/>
  <c r="I16" i="163"/>
  <c r="D16" i="163"/>
  <c r="J16" i="163"/>
  <c r="E16" i="163"/>
  <c r="F16" i="163"/>
  <c r="C16" i="163"/>
  <c r="I17" i="163"/>
  <c r="D17" i="163"/>
  <c r="J17" i="163"/>
  <c r="E17" i="163"/>
  <c r="F17" i="163"/>
  <c r="C17" i="163"/>
  <c r="I18" i="163"/>
  <c r="D18" i="163"/>
  <c r="J18" i="163"/>
  <c r="E18" i="163"/>
  <c r="F18" i="163"/>
  <c r="C18" i="163"/>
  <c r="I19" i="163"/>
  <c r="D19" i="163"/>
  <c r="J19" i="163"/>
  <c r="E19" i="163"/>
  <c r="F19" i="163"/>
  <c r="C19" i="163"/>
  <c r="I20" i="163"/>
  <c r="D20" i="163"/>
  <c r="J20" i="163"/>
  <c r="E20" i="163"/>
  <c r="F20" i="163"/>
  <c r="C20" i="163"/>
  <c r="I21" i="163"/>
  <c r="D21" i="163"/>
  <c r="J21" i="163"/>
  <c r="E21" i="163"/>
  <c r="F21" i="163"/>
  <c r="C21" i="163"/>
  <c r="I22" i="163"/>
  <c r="D22" i="163"/>
  <c r="J22" i="163"/>
  <c r="E22" i="163"/>
  <c r="F22" i="163"/>
  <c r="C22" i="163"/>
  <c r="I23" i="163"/>
  <c r="D23" i="163"/>
  <c r="J23" i="163"/>
  <c r="E23" i="163"/>
  <c r="F23" i="163"/>
  <c r="C23" i="163"/>
  <c r="I24" i="163"/>
  <c r="D24" i="163"/>
  <c r="J24" i="163"/>
  <c r="E24" i="163"/>
  <c r="F24" i="163"/>
  <c r="C24" i="163"/>
  <c r="I25" i="163"/>
  <c r="D25" i="163"/>
  <c r="J25" i="163"/>
  <c r="E25" i="163"/>
  <c r="F25" i="163"/>
  <c r="C25" i="163"/>
  <c r="I26" i="163"/>
  <c r="D26" i="163"/>
  <c r="J26" i="163"/>
  <c r="E26" i="163"/>
  <c r="F26" i="163"/>
  <c r="C26" i="163"/>
  <c r="I27" i="163"/>
  <c r="D27" i="163"/>
  <c r="J27" i="163"/>
  <c r="E27" i="163"/>
  <c r="F27" i="163"/>
  <c r="C27" i="163"/>
  <c r="I28" i="163"/>
  <c r="D28" i="163"/>
  <c r="J28" i="163"/>
  <c r="E28" i="163"/>
  <c r="F28" i="163"/>
  <c r="C28" i="163"/>
  <c r="I29" i="163"/>
  <c r="D29" i="163"/>
  <c r="J29" i="163"/>
  <c r="E29" i="163"/>
  <c r="F29" i="163"/>
  <c r="C29" i="163"/>
  <c r="I30" i="163"/>
  <c r="D30" i="163"/>
  <c r="J30" i="163"/>
  <c r="E30" i="163"/>
  <c r="F30" i="163"/>
  <c r="C30" i="163"/>
  <c r="I31" i="163"/>
  <c r="D31" i="163"/>
  <c r="J31" i="163"/>
  <c r="E31" i="163"/>
  <c r="F31" i="163"/>
  <c r="C31" i="163"/>
  <c r="I32" i="163"/>
  <c r="D32" i="163"/>
  <c r="J32" i="163"/>
  <c r="E32" i="163"/>
  <c r="F32" i="163"/>
  <c r="C32" i="163"/>
  <c r="I33" i="163"/>
  <c r="D33" i="163"/>
  <c r="J33" i="163"/>
  <c r="E33" i="163"/>
  <c r="F33" i="163"/>
  <c r="C33" i="163"/>
  <c r="I34" i="163"/>
  <c r="D34" i="163"/>
  <c r="J34" i="163"/>
  <c r="E34" i="163"/>
  <c r="F34" i="163"/>
  <c r="C34" i="163"/>
  <c r="I35" i="163"/>
  <c r="D35" i="163"/>
  <c r="J35" i="163"/>
  <c r="E35" i="163"/>
  <c r="F35" i="163"/>
  <c r="C35" i="163"/>
  <c r="I36" i="163"/>
  <c r="D36" i="163"/>
  <c r="J36" i="163"/>
  <c r="E36" i="163"/>
  <c r="F36" i="163"/>
  <c r="C36" i="163"/>
  <c r="I37" i="163"/>
  <c r="D37" i="163"/>
  <c r="J37" i="163"/>
  <c r="E37" i="163"/>
  <c r="F37" i="163"/>
  <c r="C37" i="163"/>
  <c r="I38" i="163"/>
  <c r="D38" i="163"/>
  <c r="J38" i="163"/>
  <c r="E38" i="163"/>
  <c r="F38" i="163"/>
  <c r="C38" i="163"/>
  <c r="I39" i="163"/>
  <c r="D39" i="163"/>
  <c r="J39" i="163"/>
  <c r="E39" i="163"/>
  <c r="F39" i="163"/>
  <c r="C39" i="163"/>
  <c r="I40" i="163"/>
  <c r="D40" i="163"/>
  <c r="J40" i="163"/>
  <c r="E40" i="163"/>
  <c r="F40" i="163"/>
  <c r="C40" i="163"/>
  <c r="I41" i="163"/>
  <c r="D41" i="163"/>
  <c r="J41" i="163"/>
  <c r="E41" i="163"/>
  <c r="F41" i="163"/>
  <c r="C41" i="163"/>
  <c r="I42" i="163"/>
  <c r="D42" i="163"/>
  <c r="J42" i="163"/>
  <c r="E42" i="163"/>
  <c r="F42" i="163"/>
  <c r="C42" i="163"/>
  <c r="I43" i="163"/>
  <c r="D43" i="163"/>
  <c r="J43" i="163"/>
  <c r="E43" i="163"/>
  <c r="F43" i="163"/>
  <c r="C43" i="163"/>
  <c r="I44" i="163"/>
  <c r="D44" i="163"/>
  <c r="J44" i="163"/>
  <c r="E44" i="163"/>
  <c r="F44" i="163"/>
  <c r="C44" i="163"/>
  <c r="I45" i="163"/>
  <c r="D45" i="163"/>
  <c r="J45" i="163"/>
  <c r="E45" i="163"/>
  <c r="F45" i="163"/>
  <c r="C45" i="163"/>
  <c r="I46" i="163"/>
  <c r="D46" i="163"/>
  <c r="J46" i="163"/>
  <c r="E46" i="163"/>
  <c r="F46" i="163"/>
  <c r="C46" i="163"/>
  <c r="I47" i="163"/>
  <c r="D47" i="163"/>
  <c r="J47" i="163"/>
  <c r="E47" i="163"/>
  <c r="F47" i="163"/>
  <c r="C47" i="163"/>
  <c r="I48" i="163"/>
  <c r="D48" i="163"/>
  <c r="J48" i="163"/>
  <c r="E48" i="163"/>
  <c r="F48" i="163"/>
  <c r="C48" i="163"/>
  <c r="I49" i="163"/>
  <c r="D49" i="163"/>
  <c r="J49" i="163"/>
  <c r="E49" i="163"/>
  <c r="F49" i="163"/>
  <c r="C49" i="163"/>
  <c r="I50" i="163"/>
  <c r="D50" i="163"/>
  <c r="J50" i="163"/>
  <c r="E50" i="163"/>
  <c r="F50" i="163"/>
  <c r="C50" i="163"/>
  <c r="I51" i="163"/>
  <c r="D51" i="163"/>
  <c r="J51" i="163"/>
  <c r="E51" i="163"/>
  <c r="F51" i="163"/>
  <c r="C51" i="163"/>
  <c r="I52" i="163"/>
  <c r="D52" i="163"/>
  <c r="J52" i="163"/>
  <c r="E52" i="163"/>
  <c r="F52" i="163"/>
  <c r="C52" i="163"/>
  <c r="I53" i="163"/>
  <c r="D53" i="163"/>
  <c r="J53" i="163"/>
  <c r="E53" i="163"/>
  <c r="F53" i="163"/>
  <c r="C53" i="163"/>
  <c r="I54" i="163"/>
  <c r="D54" i="163"/>
  <c r="J54" i="163"/>
  <c r="E54" i="163"/>
  <c r="F54" i="163"/>
  <c r="C54" i="163"/>
  <c r="I55" i="163"/>
  <c r="D55" i="163"/>
  <c r="J55" i="163"/>
  <c r="E55" i="163"/>
  <c r="F55" i="163"/>
  <c r="C55" i="163"/>
  <c r="I56" i="163"/>
  <c r="D56" i="163"/>
  <c r="J56" i="163"/>
  <c r="E56" i="163"/>
  <c r="F56" i="163"/>
  <c r="C56" i="163"/>
  <c r="I57" i="163"/>
  <c r="D57" i="163"/>
  <c r="J57" i="163"/>
  <c r="E57" i="163"/>
  <c r="F57" i="163"/>
  <c r="C57" i="163"/>
  <c r="I58" i="163"/>
  <c r="D58" i="163"/>
  <c r="J58" i="163"/>
  <c r="E58" i="163"/>
  <c r="F58" i="163"/>
  <c r="C58" i="163"/>
  <c r="I59" i="163"/>
  <c r="D59" i="163"/>
  <c r="J59" i="163"/>
  <c r="E59" i="163"/>
  <c r="F59" i="163"/>
  <c r="C59" i="163"/>
  <c r="I60" i="163"/>
  <c r="D60" i="163"/>
  <c r="J60" i="163"/>
  <c r="E60" i="163"/>
  <c r="F60" i="163"/>
  <c r="C60" i="163"/>
  <c r="I61" i="163"/>
  <c r="D61" i="163"/>
  <c r="J61" i="163"/>
  <c r="E61" i="163"/>
  <c r="F61" i="163"/>
  <c r="C61" i="163"/>
  <c r="I62" i="163"/>
  <c r="D62" i="163"/>
  <c r="J62" i="163"/>
  <c r="E62" i="163"/>
  <c r="F62" i="163"/>
  <c r="C62" i="163"/>
  <c r="I63" i="163"/>
  <c r="D63" i="163"/>
  <c r="J63" i="163"/>
  <c r="E63" i="163"/>
  <c r="F63" i="163"/>
  <c r="C63" i="163"/>
  <c r="I64" i="163"/>
  <c r="D64" i="163"/>
  <c r="J64" i="163"/>
  <c r="E64" i="163"/>
  <c r="F64" i="163"/>
  <c r="C64" i="163"/>
  <c r="I65" i="163"/>
  <c r="D65" i="163"/>
  <c r="J65" i="163"/>
  <c r="E65" i="163"/>
  <c r="F65" i="163"/>
  <c r="C65" i="163"/>
  <c r="I66" i="163"/>
  <c r="D66" i="163"/>
  <c r="J66" i="163"/>
  <c r="E66" i="163"/>
  <c r="F66" i="163"/>
  <c r="C66" i="163"/>
  <c r="I67" i="163"/>
  <c r="D67" i="163"/>
  <c r="J67" i="163"/>
  <c r="E67" i="163"/>
  <c r="F67" i="163"/>
  <c r="C67" i="163"/>
  <c r="I68" i="163"/>
  <c r="D68" i="163"/>
  <c r="J68" i="163"/>
  <c r="E68" i="163"/>
  <c r="F68" i="163"/>
  <c r="C68" i="163"/>
  <c r="I69" i="163"/>
  <c r="D69" i="163"/>
  <c r="J69" i="163"/>
  <c r="E69" i="163"/>
  <c r="F69" i="163"/>
  <c r="C69" i="163"/>
  <c r="I70" i="163"/>
  <c r="D70" i="163"/>
  <c r="J70" i="163"/>
  <c r="E70" i="163"/>
  <c r="F70" i="163"/>
  <c r="C70" i="163"/>
  <c r="I71" i="163"/>
  <c r="D71" i="163"/>
  <c r="J71" i="163"/>
  <c r="E71" i="163"/>
  <c r="F71" i="163"/>
  <c r="C71" i="163"/>
  <c r="I72" i="163"/>
  <c r="D72" i="163"/>
  <c r="J72" i="163"/>
  <c r="E72" i="163"/>
  <c r="F72" i="163"/>
  <c r="C72" i="163"/>
  <c r="I73" i="163"/>
  <c r="D73" i="163"/>
  <c r="J73" i="163"/>
  <c r="E73" i="163"/>
  <c r="F73" i="163"/>
  <c r="C73" i="163"/>
  <c r="I74" i="163"/>
  <c r="D74" i="163"/>
  <c r="J74" i="163"/>
  <c r="E74" i="163"/>
  <c r="F74" i="163"/>
  <c r="C74" i="163"/>
  <c r="I75" i="163"/>
  <c r="D75" i="163"/>
  <c r="J75" i="163"/>
  <c r="E75" i="163"/>
  <c r="F75" i="163"/>
  <c r="C75" i="163"/>
  <c r="I76" i="163"/>
  <c r="D76" i="163"/>
  <c r="J76" i="163"/>
  <c r="E76" i="163"/>
  <c r="F76" i="163"/>
  <c r="C76" i="163"/>
  <c r="I77" i="163"/>
  <c r="D77" i="163"/>
  <c r="J77" i="163"/>
  <c r="E77" i="163"/>
  <c r="F77" i="163"/>
  <c r="C77" i="163"/>
  <c r="I78" i="163"/>
  <c r="D78" i="163"/>
  <c r="J78" i="163"/>
  <c r="E78" i="163"/>
  <c r="F78" i="163"/>
  <c r="C78" i="163"/>
  <c r="I79" i="163"/>
  <c r="D79" i="163"/>
  <c r="J79" i="163"/>
  <c r="E79" i="163"/>
  <c r="F79" i="163"/>
  <c r="C79" i="163"/>
  <c r="I80" i="163"/>
  <c r="D80" i="163"/>
  <c r="J80" i="163"/>
  <c r="E80" i="163"/>
  <c r="F80" i="163"/>
  <c r="C80" i="163"/>
  <c r="I81" i="163"/>
  <c r="D81" i="163"/>
  <c r="J81" i="163"/>
  <c r="E81" i="163"/>
  <c r="F81" i="163"/>
  <c r="C81" i="163"/>
  <c r="I82" i="163"/>
  <c r="D82" i="163"/>
  <c r="J82" i="163"/>
  <c r="E82" i="163"/>
  <c r="F82" i="163"/>
  <c r="C82" i="163"/>
  <c r="I83" i="163"/>
  <c r="D83" i="163"/>
  <c r="J83" i="163"/>
  <c r="E83" i="163"/>
  <c r="F83" i="163"/>
  <c r="C83" i="163"/>
  <c r="I84" i="163"/>
  <c r="D84" i="163"/>
  <c r="J84" i="163"/>
  <c r="E84" i="163"/>
  <c r="F84" i="163"/>
  <c r="C84" i="163"/>
  <c r="I85" i="163"/>
  <c r="D85" i="163"/>
  <c r="J85" i="163"/>
  <c r="E85" i="163"/>
  <c r="F85" i="163"/>
  <c r="C85" i="163"/>
  <c r="I86" i="163"/>
  <c r="D86" i="163"/>
  <c r="J86" i="163"/>
  <c r="E86" i="163"/>
  <c r="F86" i="163"/>
  <c r="C86" i="163"/>
  <c r="I87" i="163"/>
  <c r="D87" i="163"/>
  <c r="J87" i="163"/>
  <c r="E87" i="163"/>
  <c r="F87" i="163"/>
  <c r="C87" i="163"/>
  <c r="I88" i="163"/>
  <c r="D88" i="163"/>
  <c r="J88" i="163"/>
  <c r="E88" i="163"/>
  <c r="F88" i="163"/>
  <c r="C88" i="163"/>
  <c r="I89" i="163"/>
  <c r="D89" i="163"/>
  <c r="J89" i="163"/>
  <c r="E89" i="163"/>
  <c r="F89" i="163"/>
  <c r="C89" i="163"/>
  <c r="I90" i="163"/>
  <c r="D90" i="163"/>
  <c r="J90" i="163"/>
  <c r="E90" i="163"/>
  <c r="F90" i="163"/>
  <c r="C90" i="163"/>
  <c r="I91" i="163"/>
  <c r="D91" i="163"/>
  <c r="J91" i="163"/>
  <c r="E91" i="163"/>
  <c r="F91" i="163"/>
  <c r="C91" i="163"/>
  <c r="I92" i="163"/>
  <c r="D92" i="163"/>
  <c r="J92" i="163"/>
  <c r="E92" i="163"/>
  <c r="F92" i="163"/>
  <c r="C92" i="163"/>
  <c r="I93" i="163"/>
  <c r="D93" i="163"/>
  <c r="J93" i="163"/>
  <c r="E93" i="163"/>
  <c r="F93" i="163"/>
  <c r="C93" i="163"/>
  <c r="I94" i="163"/>
  <c r="D94" i="163"/>
  <c r="J94" i="163"/>
  <c r="E94" i="163"/>
  <c r="F94" i="163"/>
  <c r="C94" i="163"/>
  <c r="I95" i="163"/>
  <c r="D95" i="163"/>
  <c r="J95" i="163"/>
  <c r="E95" i="163"/>
  <c r="F95" i="163"/>
  <c r="C95" i="163"/>
  <c r="I96" i="163"/>
  <c r="D96" i="163"/>
  <c r="J96" i="163"/>
  <c r="E96" i="163"/>
  <c r="F96" i="163"/>
  <c r="C96" i="163"/>
  <c r="I97" i="163"/>
  <c r="D97" i="163"/>
  <c r="J97" i="163"/>
  <c r="E97" i="163"/>
  <c r="F97" i="163"/>
  <c r="C97" i="163"/>
  <c r="I98" i="163"/>
  <c r="D98" i="163"/>
  <c r="J98" i="163"/>
  <c r="E98" i="163"/>
  <c r="F98" i="163"/>
  <c r="C98" i="163"/>
  <c r="I99" i="163"/>
  <c r="D99" i="163"/>
  <c r="J99" i="163"/>
  <c r="E99" i="163"/>
  <c r="F99" i="163"/>
  <c r="C99" i="163"/>
  <c r="I100" i="163"/>
  <c r="D100" i="163"/>
  <c r="J100" i="163"/>
  <c r="E100" i="163"/>
  <c r="F100" i="163"/>
  <c r="C100" i="163"/>
  <c r="I101" i="163"/>
  <c r="D101" i="163"/>
  <c r="J101" i="163"/>
  <c r="E101" i="163"/>
  <c r="F101" i="163"/>
  <c r="C101" i="163"/>
  <c r="I102" i="163"/>
  <c r="D102" i="163"/>
  <c r="J102" i="163"/>
  <c r="E102" i="163"/>
  <c r="F102" i="163"/>
  <c r="C102" i="163"/>
  <c r="I103" i="163"/>
  <c r="D103" i="163"/>
  <c r="J103" i="163"/>
  <c r="E103" i="163"/>
  <c r="F103" i="163"/>
  <c r="C103" i="163"/>
  <c r="I104" i="163"/>
  <c r="D104" i="163"/>
  <c r="J104" i="163"/>
  <c r="E104" i="163"/>
  <c r="F104" i="163"/>
  <c r="C104" i="163"/>
  <c r="I105" i="163"/>
  <c r="D105" i="163"/>
  <c r="J105" i="163"/>
  <c r="E105" i="163"/>
  <c r="F105" i="163"/>
  <c r="C105" i="163"/>
  <c r="I106" i="163"/>
  <c r="D106" i="163"/>
  <c r="J106" i="163"/>
  <c r="E106" i="163"/>
  <c r="F106" i="163"/>
  <c r="C106" i="163"/>
  <c r="I107" i="163"/>
  <c r="D107" i="163"/>
  <c r="J107" i="163"/>
  <c r="E107" i="163"/>
  <c r="F107" i="163"/>
  <c r="C107" i="163"/>
  <c r="I108" i="163"/>
  <c r="D108" i="163"/>
  <c r="J108" i="163"/>
  <c r="E108" i="163"/>
  <c r="F108" i="163"/>
  <c r="C108" i="163"/>
  <c r="I109" i="163"/>
  <c r="D109" i="163"/>
  <c r="J109" i="163"/>
  <c r="E109" i="163"/>
  <c r="F109" i="163"/>
  <c r="C109" i="163"/>
  <c r="I110" i="163"/>
  <c r="D110" i="163"/>
  <c r="J110" i="163"/>
  <c r="E110" i="163"/>
  <c r="F110" i="163"/>
  <c r="C110" i="163"/>
  <c r="I111" i="163"/>
  <c r="D111" i="163"/>
  <c r="J111" i="163"/>
  <c r="E111" i="163"/>
  <c r="F111" i="163"/>
  <c r="C111" i="163"/>
  <c r="I112" i="163"/>
  <c r="D112" i="163"/>
  <c r="J112" i="163"/>
  <c r="E112" i="163"/>
  <c r="F112" i="163"/>
  <c r="C112" i="163"/>
  <c r="I113" i="163"/>
  <c r="D113" i="163"/>
  <c r="J113" i="163"/>
  <c r="E113" i="163"/>
  <c r="F113" i="163"/>
  <c r="C113" i="163"/>
  <c r="I114" i="163"/>
  <c r="D114" i="163"/>
  <c r="J114" i="163"/>
  <c r="E114" i="163"/>
  <c r="F114" i="163"/>
  <c r="C114" i="163"/>
  <c r="I115" i="163"/>
  <c r="D115" i="163"/>
  <c r="J115" i="163"/>
  <c r="E115" i="163"/>
  <c r="F115" i="163"/>
  <c r="C115" i="163"/>
  <c r="I116" i="163"/>
  <c r="D116" i="163"/>
  <c r="J116" i="163"/>
  <c r="E116" i="163"/>
  <c r="F116" i="163"/>
  <c r="C116" i="163"/>
  <c r="I117" i="163"/>
  <c r="D117" i="163"/>
  <c r="J117" i="163"/>
  <c r="E117" i="163"/>
  <c r="F117" i="163"/>
  <c r="C117" i="163"/>
  <c r="I118" i="163"/>
  <c r="D118" i="163"/>
  <c r="J118" i="163"/>
  <c r="E118" i="163"/>
  <c r="F118" i="163"/>
  <c r="C118" i="163"/>
  <c r="I119" i="163"/>
  <c r="D119" i="163"/>
  <c r="J119" i="163"/>
  <c r="E119" i="163"/>
  <c r="F119" i="163"/>
  <c r="C119" i="163"/>
  <c r="I120" i="163"/>
  <c r="D120" i="163"/>
  <c r="J120" i="163"/>
  <c r="E120" i="163"/>
  <c r="F120" i="163"/>
  <c r="C120" i="163"/>
  <c r="I121" i="163"/>
  <c r="D121" i="163"/>
  <c r="J121" i="163"/>
  <c r="E121" i="163"/>
  <c r="F121" i="163"/>
  <c r="C121" i="163"/>
  <c r="I122" i="163"/>
  <c r="D122" i="163"/>
  <c r="J122" i="163"/>
  <c r="E122" i="163"/>
  <c r="F122" i="163"/>
  <c r="C122" i="163"/>
  <c r="I123" i="163"/>
  <c r="D123" i="163"/>
  <c r="J123" i="163"/>
  <c r="E123" i="163"/>
  <c r="F123" i="163"/>
  <c r="C123" i="163"/>
  <c r="I124" i="163"/>
  <c r="D124" i="163"/>
  <c r="J124" i="163"/>
  <c r="E124" i="163"/>
  <c r="F124" i="163"/>
  <c r="C124" i="163"/>
  <c r="I125" i="163"/>
  <c r="D125" i="163"/>
  <c r="J125" i="163"/>
  <c r="E125" i="163"/>
  <c r="F125" i="163"/>
  <c r="C125" i="163"/>
  <c r="I126" i="163"/>
  <c r="D126" i="163"/>
  <c r="J126" i="163"/>
  <c r="E126" i="163"/>
  <c r="F126" i="163"/>
  <c r="C126" i="163"/>
  <c r="I127" i="163"/>
  <c r="D127" i="163"/>
  <c r="J127" i="163"/>
  <c r="E127" i="163"/>
  <c r="F127" i="163"/>
  <c r="C127" i="163"/>
  <c r="I128" i="163"/>
  <c r="D128" i="163"/>
  <c r="J128" i="163"/>
  <c r="E128" i="163"/>
  <c r="F128" i="163"/>
  <c r="C128" i="163"/>
  <c r="I129" i="163"/>
  <c r="D129" i="163"/>
  <c r="J129" i="163"/>
  <c r="E129" i="163"/>
  <c r="F129" i="163"/>
  <c r="C129" i="163"/>
  <c r="I130" i="163"/>
  <c r="D130" i="163"/>
  <c r="J130" i="163"/>
  <c r="E130" i="163"/>
  <c r="F130" i="163"/>
  <c r="C130" i="163"/>
  <c r="I131" i="163"/>
  <c r="D131" i="163"/>
  <c r="J131" i="163"/>
  <c r="E131" i="163"/>
  <c r="F131" i="163"/>
  <c r="C131" i="163"/>
  <c r="I132" i="163"/>
  <c r="D132" i="163"/>
  <c r="J132" i="163"/>
  <c r="E132" i="163"/>
  <c r="F132" i="163"/>
  <c r="C132" i="163"/>
  <c r="I133" i="163"/>
  <c r="D133" i="163"/>
  <c r="J133" i="163"/>
  <c r="E133" i="163"/>
  <c r="F133" i="163"/>
  <c r="C133" i="163"/>
  <c r="I134" i="163"/>
  <c r="D134" i="163"/>
  <c r="J134" i="163"/>
  <c r="E134" i="163"/>
  <c r="F134" i="163"/>
  <c r="C134" i="163"/>
  <c r="I135" i="163"/>
  <c r="D135" i="163"/>
  <c r="J135" i="163"/>
  <c r="E135" i="163"/>
  <c r="F135" i="163"/>
  <c r="C135" i="163"/>
  <c r="I136" i="163"/>
  <c r="D136" i="163"/>
  <c r="J136" i="163"/>
  <c r="E136" i="163"/>
  <c r="F136" i="163"/>
  <c r="C136" i="163"/>
  <c r="I137" i="163"/>
  <c r="D137" i="163"/>
  <c r="J137" i="163"/>
  <c r="E137" i="163"/>
  <c r="F137" i="163"/>
  <c r="C137" i="163"/>
  <c r="I138" i="163"/>
  <c r="D138" i="163"/>
  <c r="J138" i="163"/>
  <c r="E138" i="163"/>
  <c r="F138" i="163"/>
  <c r="C138" i="163"/>
  <c r="I139" i="163"/>
  <c r="D139" i="163"/>
  <c r="J139" i="163"/>
  <c r="E139" i="163"/>
  <c r="F139" i="163"/>
  <c r="C139" i="163"/>
  <c r="I140" i="163"/>
  <c r="D140" i="163"/>
  <c r="J140" i="163"/>
  <c r="E140" i="163"/>
  <c r="F140" i="163"/>
  <c r="C140" i="163"/>
  <c r="I141" i="163"/>
  <c r="D141" i="163"/>
  <c r="J141" i="163"/>
  <c r="E141" i="163"/>
  <c r="F141" i="163"/>
  <c r="C141" i="163"/>
  <c r="I142" i="163"/>
  <c r="D142" i="163"/>
  <c r="J142" i="163"/>
  <c r="E142" i="163"/>
  <c r="F142" i="163"/>
  <c r="C142" i="163"/>
  <c r="I143" i="163"/>
  <c r="D143" i="163"/>
  <c r="J143" i="163"/>
  <c r="E143" i="163"/>
  <c r="F143" i="163"/>
  <c r="C143" i="163"/>
  <c r="I144" i="163"/>
  <c r="D144" i="163"/>
  <c r="J144" i="163"/>
  <c r="E144" i="163"/>
  <c r="F144" i="163"/>
  <c r="C144" i="163"/>
  <c r="I145" i="163"/>
  <c r="D145" i="163"/>
  <c r="J145" i="163"/>
  <c r="E145" i="163"/>
  <c r="F145" i="163"/>
  <c r="C145" i="163"/>
  <c r="I146" i="163"/>
  <c r="D146" i="163"/>
  <c r="J146" i="163"/>
  <c r="E146" i="163"/>
  <c r="F146" i="163"/>
  <c r="C146" i="163"/>
  <c r="I147" i="163"/>
  <c r="D147" i="163"/>
  <c r="J147" i="163"/>
  <c r="E147" i="163"/>
  <c r="F147" i="163"/>
  <c r="C147" i="163"/>
  <c r="I148" i="163"/>
  <c r="D148" i="163"/>
  <c r="J148" i="163"/>
  <c r="E148" i="163"/>
  <c r="F148" i="163"/>
  <c r="C148" i="163"/>
  <c r="I149" i="163"/>
  <c r="D149" i="163"/>
  <c r="J149" i="163"/>
  <c r="E149" i="163"/>
  <c r="F149" i="163"/>
  <c r="C149" i="163"/>
  <c r="I150" i="163"/>
  <c r="D150" i="163"/>
  <c r="J150" i="163"/>
  <c r="E150" i="163"/>
  <c r="F150" i="163"/>
  <c r="C150" i="163"/>
  <c r="I151" i="163"/>
  <c r="D151" i="163"/>
  <c r="J151" i="163"/>
  <c r="E151" i="163"/>
  <c r="F151" i="163"/>
  <c r="C151" i="163"/>
  <c r="I152" i="163"/>
  <c r="D152" i="163"/>
  <c r="J152" i="163"/>
  <c r="E152" i="163"/>
  <c r="F152" i="163"/>
  <c r="C152" i="163"/>
  <c r="I153" i="163"/>
  <c r="D153" i="163"/>
  <c r="J153" i="163"/>
  <c r="E153" i="163"/>
  <c r="F153" i="163"/>
  <c r="C153" i="163"/>
  <c r="I154" i="163"/>
  <c r="D154" i="163"/>
  <c r="J154" i="163"/>
  <c r="E154" i="163"/>
  <c r="F154" i="163"/>
  <c r="C154" i="163"/>
  <c r="I155" i="163"/>
  <c r="D155" i="163"/>
  <c r="J155" i="163"/>
  <c r="E155" i="163"/>
  <c r="F155" i="163"/>
  <c r="C155" i="163"/>
  <c r="I156" i="163"/>
  <c r="D156" i="163"/>
  <c r="J156" i="163"/>
  <c r="E156" i="163"/>
  <c r="F156" i="163"/>
  <c r="C156" i="163"/>
  <c r="I157" i="163"/>
  <c r="D157" i="163"/>
  <c r="J157" i="163"/>
  <c r="E157" i="163"/>
  <c r="F157" i="163"/>
  <c r="C157" i="163"/>
  <c r="I158" i="163"/>
  <c r="D158" i="163"/>
  <c r="J158" i="163"/>
  <c r="E158" i="163"/>
  <c r="F158" i="163"/>
  <c r="C158" i="163"/>
  <c r="I159" i="163"/>
  <c r="D159" i="163"/>
  <c r="J159" i="163"/>
  <c r="E159" i="163"/>
  <c r="F159" i="163"/>
  <c r="C159" i="163"/>
  <c r="I160" i="163"/>
  <c r="D160" i="163"/>
  <c r="J160" i="163"/>
  <c r="E160" i="163"/>
  <c r="F160" i="163"/>
  <c r="C160" i="163"/>
  <c r="I161" i="163"/>
  <c r="D161" i="163"/>
  <c r="J161" i="163"/>
  <c r="E161" i="163"/>
  <c r="F161" i="163"/>
  <c r="C161" i="163"/>
  <c r="I162" i="163"/>
  <c r="D162" i="163"/>
  <c r="J162" i="163"/>
  <c r="E162" i="163"/>
  <c r="F162" i="163"/>
  <c r="C162" i="163"/>
  <c r="I163" i="163"/>
  <c r="D163" i="163"/>
  <c r="J163" i="163"/>
  <c r="E163" i="163"/>
  <c r="F163" i="163"/>
  <c r="C163" i="163"/>
  <c r="I164" i="163"/>
  <c r="D164" i="163"/>
  <c r="J164" i="163"/>
  <c r="E164" i="163"/>
  <c r="F164" i="163"/>
  <c r="C164" i="163"/>
  <c r="I165" i="163"/>
  <c r="D165" i="163"/>
  <c r="J165" i="163"/>
  <c r="E165" i="163"/>
  <c r="F165" i="163"/>
  <c r="C165" i="163"/>
  <c r="I166" i="163"/>
  <c r="D166" i="163"/>
  <c r="J166" i="163"/>
  <c r="E166" i="163"/>
  <c r="F166" i="163"/>
  <c r="C166" i="163"/>
  <c r="I167" i="163"/>
  <c r="D167" i="163"/>
  <c r="J167" i="163"/>
  <c r="E167" i="163"/>
  <c r="F167" i="163"/>
  <c r="C167" i="163"/>
  <c r="I168" i="163"/>
  <c r="D168" i="163"/>
  <c r="J168" i="163"/>
  <c r="E168" i="163"/>
  <c r="F168" i="163"/>
  <c r="C168" i="163"/>
  <c r="I169" i="163"/>
  <c r="D169" i="163"/>
  <c r="J169" i="163"/>
  <c r="E169" i="163"/>
  <c r="F169" i="163"/>
  <c r="C169" i="163"/>
  <c r="I170" i="163"/>
  <c r="D170" i="163"/>
  <c r="J170" i="163"/>
  <c r="E170" i="163"/>
  <c r="F170" i="163"/>
  <c r="C170" i="163"/>
  <c r="I171" i="163"/>
  <c r="D171" i="163"/>
  <c r="J171" i="163"/>
  <c r="E171" i="163"/>
  <c r="F171" i="163"/>
  <c r="C171" i="163"/>
  <c r="I172" i="163"/>
  <c r="D172" i="163"/>
  <c r="J172" i="163"/>
  <c r="E172" i="163"/>
  <c r="F172" i="163"/>
  <c r="C172" i="163"/>
  <c r="I173" i="163"/>
  <c r="D173" i="163"/>
  <c r="J173" i="163"/>
  <c r="E173" i="163"/>
  <c r="F173" i="163"/>
  <c r="C173" i="163"/>
  <c r="I174" i="163"/>
  <c r="D174" i="163"/>
  <c r="J174" i="163"/>
  <c r="E174" i="163"/>
  <c r="F174" i="163"/>
  <c r="C174" i="163"/>
  <c r="I175" i="163"/>
  <c r="D175" i="163"/>
  <c r="J175" i="163"/>
  <c r="E175" i="163"/>
  <c r="F175" i="163"/>
  <c r="C175" i="163"/>
  <c r="I176" i="163"/>
  <c r="D176" i="163"/>
  <c r="J176" i="163"/>
  <c r="E176" i="163"/>
  <c r="F176" i="163"/>
  <c r="C176" i="163"/>
  <c r="I177" i="163"/>
  <c r="D177" i="163"/>
  <c r="J177" i="163"/>
  <c r="E177" i="163"/>
  <c r="F177" i="163"/>
  <c r="C177" i="163"/>
  <c r="I178" i="163"/>
  <c r="D178" i="163"/>
  <c r="J178" i="163"/>
  <c r="E178" i="163"/>
  <c r="F178" i="163"/>
  <c r="C178" i="163"/>
  <c r="I179" i="163"/>
  <c r="D179" i="163"/>
  <c r="J179" i="163"/>
  <c r="E179" i="163"/>
  <c r="F179" i="163"/>
  <c r="C179" i="163"/>
  <c r="I180" i="163"/>
  <c r="D180" i="163"/>
  <c r="J180" i="163"/>
  <c r="E180" i="163"/>
  <c r="F180" i="163"/>
  <c r="C180" i="163"/>
  <c r="I181" i="163"/>
  <c r="D181" i="163"/>
  <c r="J181" i="163"/>
  <c r="E181" i="163"/>
  <c r="F181" i="163"/>
  <c r="C181" i="163"/>
  <c r="I182" i="163"/>
  <c r="D182" i="163"/>
  <c r="J182" i="163"/>
  <c r="E182" i="163"/>
  <c r="F182" i="163"/>
  <c r="C182" i="163"/>
  <c r="I183" i="163"/>
  <c r="D183" i="163"/>
  <c r="J183" i="163"/>
  <c r="E183" i="163"/>
  <c r="F183" i="163"/>
  <c r="C183" i="163"/>
  <c r="I184" i="163"/>
  <c r="D184" i="163"/>
  <c r="J184" i="163"/>
  <c r="E184" i="163"/>
  <c r="F184" i="163"/>
  <c r="C184" i="163"/>
  <c r="I185" i="163"/>
  <c r="D185" i="163"/>
  <c r="J185" i="163"/>
  <c r="E185" i="163"/>
  <c r="F185" i="163"/>
  <c r="C185" i="163"/>
  <c r="I186" i="163"/>
  <c r="D186" i="163"/>
  <c r="J186" i="163"/>
  <c r="E186" i="163"/>
  <c r="F186" i="163"/>
  <c r="C186" i="163"/>
  <c r="I187" i="163"/>
  <c r="D187" i="163"/>
  <c r="J187" i="163"/>
  <c r="E187" i="163"/>
  <c r="F187" i="163"/>
  <c r="C187" i="163"/>
  <c r="I188" i="163"/>
  <c r="D188" i="163"/>
  <c r="J188" i="163"/>
  <c r="E188" i="163"/>
  <c r="F188" i="163"/>
  <c r="C188" i="163"/>
  <c r="I189" i="163"/>
  <c r="D189" i="163"/>
  <c r="J189" i="163"/>
  <c r="E189" i="163"/>
  <c r="F189" i="163"/>
  <c r="C189" i="163"/>
  <c r="I190" i="163"/>
  <c r="D190" i="163"/>
  <c r="J190" i="163"/>
  <c r="E190" i="163"/>
  <c r="F190" i="163"/>
  <c r="C190" i="163"/>
  <c r="I191" i="163"/>
  <c r="D191" i="163"/>
  <c r="J191" i="163"/>
  <c r="E191" i="163"/>
  <c r="F191" i="163"/>
  <c r="C191" i="163"/>
  <c r="I192" i="163"/>
  <c r="D192" i="163"/>
  <c r="J192" i="163"/>
  <c r="E192" i="163"/>
  <c r="F192" i="163"/>
  <c r="C192" i="163"/>
  <c r="I193" i="163"/>
  <c r="D193" i="163"/>
  <c r="J193" i="163"/>
  <c r="E193" i="163"/>
  <c r="F193" i="163"/>
  <c r="C193" i="163"/>
  <c r="I194" i="163"/>
  <c r="D194" i="163"/>
  <c r="J194" i="163"/>
  <c r="E194" i="163"/>
  <c r="F194" i="163"/>
  <c r="C194" i="163"/>
  <c r="I195" i="163"/>
  <c r="D195" i="163"/>
  <c r="J195" i="163"/>
  <c r="E195" i="163"/>
  <c r="F195" i="163"/>
  <c r="C195" i="163"/>
  <c r="I196" i="163"/>
  <c r="D196" i="163"/>
  <c r="J196" i="163"/>
  <c r="E196" i="163"/>
  <c r="F196" i="163"/>
  <c r="C196" i="163"/>
  <c r="I197" i="163"/>
  <c r="D197" i="163"/>
  <c r="J197" i="163"/>
  <c r="E197" i="163"/>
  <c r="F197" i="163"/>
  <c r="C197" i="163"/>
  <c r="I198" i="163"/>
  <c r="D198" i="163"/>
  <c r="J198" i="163"/>
  <c r="E198" i="163"/>
  <c r="F198" i="163"/>
  <c r="C198" i="163"/>
  <c r="I199" i="163"/>
  <c r="D199" i="163"/>
  <c r="J199" i="163"/>
  <c r="E199" i="163"/>
  <c r="F199" i="163"/>
  <c r="C199" i="163"/>
  <c r="I200" i="163"/>
  <c r="D200" i="163"/>
  <c r="J200" i="163"/>
  <c r="E200" i="163"/>
  <c r="F200" i="163"/>
  <c r="C200" i="163"/>
  <c r="I201" i="163"/>
  <c r="D201" i="163"/>
  <c r="J201" i="163"/>
  <c r="E201" i="163"/>
  <c r="F201" i="163"/>
  <c r="C201" i="163"/>
  <c r="I202" i="163"/>
  <c r="D202" i="163"/>
  <c r="J202" i="163"/>
  <c r="E202" i="163"/>
  <c r="F202" i="163"/>
  <c r="C202" i="163"/>
  <c r="I203" i="163"/>
  <c r="D203" i="163"/>
  <c r="J203" i="163"/>
  <c r="E203" i="163"/>
  <c r="F203" i="163"/>
  <c r="C203" i="163"/>
  <c r="I204" i="163"/>
  <c r="D204" i="163"/>
  <c r="J204" i="163"/>
  <c r="E204" i="163"/>
  <c r="F204" i="163"/>
  <c r="C204" i="163"/>
  <c r="I205" i="163"/>
  <c r="D205" i="163"/>
  <c r="J205" i="163"/>
  <c r="E205" i="163"/>
  <c r="F205" i="163"/>
  <c r="C205" i="163"/>
  <c r="I206" i="163"/>
  <c r="D206" i="163"/>
  <c r="J206" i="163"/>
  <c r="E206" i="163"/>
  <c r="F206" i="163"/>
  <c r="C206" i="163"/>
  <c r="I207" i="163"/>
  <c r="D207" i="163"/>
  <c r="J207" i="163"/>
  <c r="E207" i="163"/>
  <c r="F207" i="163"/>
  <c r="C207" i="163"/>
  <c r="I208" i="163"/>
  <c r="D208" i="163"/>
  <c r="J208" i="163"/>
  <c r="E208" i="163"/>
  <c r="F208" i="163"/>
  <c r="C208" i="163"/>
  <c r="I209" i="163"/>
  <c r="D209" i="163"/>
  <c r="J209" i="163"/>
  <c r="E209" i="163"/>
  <c r="F209" i="163"/>
  <c r="C209" i="163"/>
  <c r="I210" i="163"/>
  <c r="D210" i="163"/>
  <c r="J210" i="163"/>
  <c r="E210" i="163"/>
  <c r="F210" i="163"/>
  <c r="C210" i="163"/>
  <c r="I211" i="163"/>
  <c r="D211" i="163"/>
  <c r="J211" i="163"/>
  <c r="E211" i="163"/>
  <c r="F211" i="163"/>
  <c r="C211" i="163"/>
  <c r="I212" i="163"/>
  <c r="D212" i="163"/>
  <c r="J212" i="163"/>
  <c r="E212" i="163"/>
  <c r="F212" i="163"/>
  <c r="C212" i="163"/>
  <c r="I213" i="163"/>
  <c r="D213" i="163"/>
  <c r="J213" i="163"/>
  <c r="E213" i="163"/>
  <c r="F213" i="163"/>
  <c r="C213" i="163"/>
  <c r="I214" i="163"/>
  <c r="D214" i="163"/>
  <c r="J214" i="163"/>
  <c r="E214" i="163"/>
  <c r="F214" i="163"/>
  <c r="C214" i="163"/>
  <c r="I215" i="163"/>
  <c r="D215" i="163"/>
  <c r="J215" i="163"/>
  <c r="E215" i="163"/>
  <c r="F215" i="163"/>
  <c r="C215" i="163"/>
  <c r="I216" i="163"/>
  <c r="D216" i="163"/>
  <c r="J216" i="163"/>
  <c r="E216" i="163"/>
  <c r="F216" i="163"/>
  <c r="C216" i="163"/>
  <c r="I217" i="163"/>
  <c r="D217" i="163"/>
  <c r="J217" i="163"/>
  <c r="E217" i="163"/>
  <c r="F217" i="163"/>
  <c r="C217" i="163"/>
  <c r="I218" i="163"/>
  <c r="D218" i="163"/>
  <c r="J218" i="163"/>
  <c r="E218" i="163"/>
  <c r="F218" i="163"/>
  <c r="C218" i="163"/>
  <c r="I219" i="163"/>
  <c r="D219" i="163"/>
  <c r="J219" i="163"/>
  <c r="E219" i="163"/>
  <c r="F219" i="163"/>
  <c r="C219" i="163"/>
  <c r="I220" i="163"/>
  <c r="D220" i="163"/>
  <c r="J220" i="163"/>
  <c r="E220" i="163"/>
  <c r="F220" i="163"/>
  <c r="C220" i="163"/>
  <c r="I221" i="163"/>
  <c r="D221" i="163"/>
  <c r="J221" i="163"/>
  <c r="E221" i="163"/>
  <c r="F221" i="163"/>
  <c r="C221" i="163"/>
  <c r="I222" i="163"/>
  <c r="D222" i="163"/>
  <c r="J222" i="163"/>
  <c r="E222" i="163"/>
  <c r="F222" i="163"/>
  <c r="C222" i="163"/>
  <c r="I223" i="163"/>
  <c r="D223" i="163"/>
  <c r="J223" i="163"/>
  <c r="E223" i="163"/>
  <c r="F223" i="163"/>
  <c r="C223" i="163"/>
  <c r="I224" i="163"/>
  <c r="D224" i="163"/>
  <c r="J224" i="163"/>
  <c r="E224" i="163"/>
  <c r="F224" i="163"/>
  <c r="C224" i="163"/>
  <c r="I225" i="163"/>
  <c r="D225" i="163"/>
  <c r="J225" i="163"/>
  <c r="E225" i="163"/>
  <c r="F225" i="163"/>
  <c r="C225" i="163"/>
  <c r="I226" i="163"/>
  <c r="D226" i="163"/>
  <c r="J226" i="163"/>
  <c r="E226" i="163"/>
  <c r="F226" i="163"/>
  <c r="C226" i="163"/>
  <c r="I227" i="163"/>
  <c r="D227" i="163"/>
  <c r="J227" i="163"/>
  <c r="E227" i="163"/>
  <c r="F227" i="163"/>
  <c r="C227" i="163"/>
  <c r="I228" i="163"/>
  <c r="D228" i="163"/>
  <c r="J228" i="163"/>
  <c r="E228" i="163"/>
  <c r="F228" i="163"/>
  <c r="C228" i="163"/>
  <c r="I229" i="163"/>
  <c r="D229" i="163"/>
  <c r="J229" i="163"/>
  <c r="E229" i="163"/>
  <c r="F229" i="163"/>
  <c r="C229" i="163"/>
  <c r="I230" i="163"/>
  <c r="D230" i="163"/>
  <c r="J230" i="163"/>
  <c r="E230" i="163"/>
  <c r="F230" i="163"/>
  <c r="C230" i="163"/>
  <c r="I231" i="163"/>
  <c r="D231" i="163"/>
  <c r="J231" i="163"/>
  <c r="E231" i="163"/>
  <c r="F231" i="163"/>
  <c r="C231" i="163"/>
  <c r="I232" i="163"/>
  <c r="D232" i="163"/>
  <c r="J232" i="163"/>
  <c r="E232" i="163"/>
  <c r="F232" i="163"/>
  <c r="C232" i="163"/>
  <c r="I233" i="163"/>
  <c r="D233" i="163"/>
  <c r="J233" i="163"/>
  <c r="E233" i="163"/>
  <c r="F233" i="163"/>
  <c r="C233" i="163"/>
  <c r="I234" i="163"/>
  <c r="D234" i="163"/>
  <c r="J234" i="163"/>
  <c r="E234" i="163"/>
  <c r="F234" i="163"/>
  <c r="C234" i="163"/>
  <c r="I235" i="163"/>
  <c r="D235" i="163"/>
  <c r="J235" i="163"/>
  <c r="E235" i="163"/>
  <c r="F235" i="163"/>
  <c r="C235" i="163"/>
  <c r="I236" i="163"/>
  <c r="D236" i="163"/>
  <c r="J236" i="163"/>
  <c r="E236" i="163"/>
  <c r="F236" i="163"/>
  <c r="C236" i="163"/>
  <c r="I237" i="163"/>
  <c r="D237" i="163"/>
  <c r="J237" i="163"/>
  <c r="E237" i="163"/>
  <c r="F237" i="163"/>
  <c r="C237" i="163"/>
  <c r="I238" i="163"/>
  <c r="D238" i="163"/>
  <c r="J238" i="163"/>
  <c r="E238" i="163"/>
  <c r="F238" i="163"/>
  <c r="C238" i="163"/>
  <c r="I239" i="163"/>
  <c r="D239" i="163"/>
  <c r="J239" i="163"/>
  <c r="E239" i="163"/>
  <c r="F239" i="163"/>
  <c r="C239" i="163"/>
  <c r="I240" i="163"/>
  <c r="D240" i="163"/>
  <c r="J240" i="163"/>
  <c r="E240" i="163"/>
  <c r="F240" i="163"/>
  <c r="C240" i="163"/>
  <c r="I241" i="163"/>
  <c r="D241" i="163"/>
  <c r="J241" i="163"/>
  <c r="E241" i="163"/>
  <c r="F241" i="163"/>
  <c r="C241" i="163"/>
  <c r="I242" i="163"/>
  <c r="D242" i="163"/>
  <c r="J242" i="163"/>
  <c r="E242" i="163"/>
  <c r="F242" i="163"/>
  <c r="C242" i="163"/>
  <c r="I243" i="163"/>
  <c r="D243" i="163"/>
  <c r="J243" i="163"/>
  <c r="E243" i="163"/>
  <c r="F243" i="163"/>
  <c r="C243" i="163"/>
  <c r="I244" i="163"/>
  <c r="D244" i="163"/>
  <c r="J244" i="163"/>
  <c r="E244" i="163"/>
  <c r="F244" i="163"/>
  <c r="C244" i="163"/>
  <c r="I245" i="163"/>
  <c r="D245" i="163"/>
  <c r="J245" i="163"/>
  <c r="E245" i="163"/>
  <c r="F245" i="163"/>
  <c r="C245" i="163"/>
  <c r="I246" i="163"/>
  <c r="D246" i="163"/>
  <c r="J246" i="163"/>
  <c r="E246" i="163"/>
  <c r="F246" i="163"/>
  <c r="C246" i="163"/>
  <c r="I247" i="163"/>
  <c r="D247" i="163"/>
  <c r="J247" i="163"/>
  <c r="E247" i="163"/>
  <c r="F247" i="163"/>
  <c r="C247" i="163"/>
  <c r="I248" i="163"/>
  <c r="D248" i="163"/>
  <c r="J248" i="163"/>
  <c r="E248" i="163"/>
  <c r="F248" i="163"/>
  <c r="C248" i="163"/>
  <c r="I249" i="163"/>
  <c r="D249" i="163"/>
  <c r="J249" i="163"/>
  <c r="E249" i="163"/>
  <c r="F249" i="163"/>
  <c r="C249" i="163"/>
  <c r="I250" i="163"/>
  <c r="D250" i="163"/>
  <c r="J250" i="163"/>
  <c r="E250" i="163"/>
  <c r="F250" i="163"/>
  <c r="C250" i="163"/>
  <c r="I251" i="163"/>
  <c r="D251" i="163"/>
  <c r="J251" i="163"/>
  <c r="E251" i="163"/>
  <c r="F251" i="163"/>
  <c r="C251" i="163"/>
  <c r="I252" i="163"/>
  <c r="D252" i="163"/>
  <c r="J252" i="163"/>
  <c r="E252" i="163"/>
  <c r="F252" i="163"/>
  <c r="C252" i="163"/>
  <c r="I253" i="163"/>
  <c r="D253" i="163"/>
  <c r="J253" i="163"/>
  <c r="E253" i="163"/>
  <c r="F253" i="163"/>
  <c r="C253" i="163"/>
  <c r="I254" i="163"/>
  <c r="D254" i="163"/>
  <c r="J254" i="163"/>
  <c r="E254" i="163"/>
  <c r="F254" i="163"/>
  <c r="C254" i="163"/>
  <c r="I255" i="163"/>
  <c r="D255" i="163"/>
  <c r="J255" i="163"/>
  <c r="E255" i="163"/>
  <c r="F255" i="163"/>
  <c r="C255" i="163"/>
  <c r="I256" i="163"/>
  <c r="D256" i="163"/>
  <c r="J256" i="163"/>
  <c r="E256" i="163"/>
  <c r="F256" i="163"/>
  <c r="C256" i="163"/>
  <c r="I257" i="163"/>
  <c r="D257" i="163"/>
  <c r="J257" i="163"/>
  <c r="E257" i="163"/>
  <c r="F257" i="163"/>
  <c r="C257" i="163"/>
  <c r="I258" i="163"/>
  <c r="D258" i="163"/>
  <c r="J258" i="163"/>
  <c r="E258" i="163"/>
  <c r="F258" i="163"/>
  <c r="C258" i="163"/>
  <c r="I259" i="163"/>
  <c r="D259" i="163"/>
  <c r="J259" i="163"/>
  <c r="E259" i="163"/>
  <c r="F259" i="163"/>
  <c r="C259" i="163"/>
  <c r="I260" i="163"/>
  <c r="D260" i="163"/>
  <c r="J260" i="163"/>
  <c r="E260" i="163"/>
  <c r="F260" i="163"/>
  <c r="C260" i="163"/>
  <c r="I261" i="163"/>
  <c r="D261" i="163"/>
  <c r="J261" i="163"/>
  <c r="E261" i="163"/>
  <c r="F261" i="163"/>
  <c r="C261" i="163"/>
  <c r="I262" i="163"/>
  <c r="D262" i="163"/>
  <c r="J262" i="163"/>
  <c r="E262" i="163"/>
  <c r="F262" i="163"/>
  <c r="C262" i="163"/>
  <c r="I263" i="163"/>
  <c r="D263" i="163"/>
  <c r="J263" i="163"/>
  <c r="E263" i="163"/>
  <c r="F263" i="163"/>
  <c r="C263" i="163"/>
  <c r="I264" i="163"/>
  <c r="D264" i="163"/>
  <c r="J264" i="163"/>
  <c r="E264" i="163"/>
  <c r="F264" i="163"/>
  <c r="C264" i="163"/>
  <c r="I265" i="163"/>
  <c r="D265" i="163"/>
  <c r="J265" i="163"/>
  <c r="E265" i="163"/>
  <c r="F265" i="163"/>
  <c r="C265" i="163"/>
  <c r="I266" i="163"/>
  <c r="D266" i="163"/>
  <c r="J266" i="163"/>
  <c r="E266" i="163"/>
  <c r="F266" i="163"/>
  <c r="C266" i="163"/>
  <c r="I267" i="163"/>
  <c r="D267" i="163"/>
  <c r="J267" i="163"/>
  <c r="E267" i="163"/>
  <c r="F267" i="163"/>
  <c r="C267" i="163"/>
  <c r="I268" i="163"/>
  <c r="D268" i="163"/>
  <c r="J268" i="163"/>
  <c r="E268" i="163"/>
  <c r="F268" i="163"/>
  <c r="C268" i="163"/>
  <c r="I269" i="163"/>
  <c r="D269" i="163"/>
  <c r="J269" i="163"/>
  <c r="E269" i="163"/>
  <c r="F269" i="163"/>
  <c r="C269" i="163"/>
  <c r="I270" i="163"/>
  <c r="D270" i="163"/>
  <c r="J270" i="163"/>
  <c r="E270" i="163"/>
  <c r="F270" i="163"/>
  <c r="C270" i="163"/>
  <c r="I271" i="163"/>
  <c r="D271" i="163"/>
  <c r="J271" i="163"/>
  <c r="E271" i="163"/>
  <c r="F271" i="163"/>
  <c r="C271" i="163"/>
  <c r="I272" i="163"/>
  <c r="D272" i="163"/>
  <c r="J272" i="163"/>
  <c r="E272" i="163"/>
  <c r="F272" i="163"/>
  <c r="C272" i="163"/>
  <c r="I273" i="163"/>
  <c r="D273" i="163"/>
  <c r="J273" i="163"/>
  <c r="E273" i="163"/>
  <c r="F273" i="163"/>
  <c r="C273" i="163"/>
  <c r="I274" i="163"/>
  <c r="D274" i="163"/>
  <c r="J274" i="163"/>
  <c r="E274" i="163"/>
  <c r="F274" i="163"/>
  <c r="C274" i="163"/>
  <c r="I275" i="163"/>
  <c r="D275" i="163"/>
  <c r="J275" i="163"/>
  <c r="E275" i="163"/>
  <c r="F275" i="163"/>
  <c r="C275" i="163"/>
  <c r="I276" i="163"/>
  <c r="D276" i="163"/>
  <c r="J276" i="163"/>
  <c r="E276" i="163"/>
  <c r="F276" i="163"/>
  <c r="C276" i="163"/>
  <c r="I277" i="163"/>
  <c r="D277" i="163"/>
  <c r="J277" i="163"/>
  <c r="E277" i="163"/>
  <c r="F277" i="163"/>
  <c r="C277" i="163"/>
  <c r="I278" i="163"/>
  <c r="D278" i="163"/>
  <c r="J278" i="163"/>
  <c r="E278" i="163"/>
  <c r="F278" i="163"/>
  <c r="C278" i="163"/>
  <c r="I279" i="163"/>
  <c r="D279" i="163"/>
  <c r="J279" i="163"/>
  <c r="E279" i="163"/>
  <c r="F279" i="163"/>
  <c r="C279" i="163"/>
  <c r="I280" i="163"/>
  <c r="D280" i="163"/>
  <c r="J280" i="163"/>
  <c r="E280" i="163"/>
  <c r="F280" i="163"/>
  <c r="C280" i="163"/>
  <c r="I281" i="163"/>
  <c r="D281" i="163"/>
  <c r="J281" i="163"/>
  <c r="E281" i="163"/>
  <c r="F281" i="163"/>
  <c r="C281" i="163"/>
  <c r="I282" i="163"/>
  <c r="D282" i="163"/>
  <c r="J282" i="163"/>
  <c r="E282" i="163"/>
  <c r="F282" i="163"/>
  <c r="C282" i="163"/>
  <c r="I283" i="163"/>
  <c r="D283" i="163"/>
  <c r="J283" i="163"/>
  <c r="E283" i="163"/>
  <c r="F283" i="163"/>
  <c r="C283" i="163"/>
  <c r="I284" i="163"/>
  <c r="D284" i="163"/>
  <c r="J284" i="163"/>
  <c r="E284" i="163"/>
  <c r="F284" i="163"/>
  <c r="C284" i="163"/>
  <c r="I285" i="163"/>
  <c r="D285" i="163"/>
  <c r="J285" i="163"/>
  <c r="E285" i="163"/>
  <c r="F285" i="163"/>
  <c r="C285" i="163"/>
  <c r="I286" i="163"/>
  <c r="D286" i="163"/>
  <c r="J286" i="163"/>
  <c r="E286" i="163"/>
  <c r="F286" i="163"/>
  <c r="C286" i="163"/>
  <c r="I287" i="163"/>
  <c r="D287" i="163"/>
  <c r="J287" i="163"/>
  <c r="E287" i="163"/>
  <c r="F287" i="163"/>
  <c r="C287" i="163"/>
  <c r="I288" i="163"/>
  <c r="D288" i="163"/>
  <c r="J288" i="163"/>
  <c r="E288" i="163"/>
  <c r="F288" i="163"/>
  <c r="C288" i="163"/>
  <c r="I289" i="163"/>
  <c r="D289" i="163"/>
  <c r="J289" i="163"/>
  <c r="E289" i="163"/>
  <c r="F289" i="163"/>
  <c r="C289" i="163"/>
  <c r="I290" i="163"/>
  <c r="D290" i="163"/>
  <c r="J290" i="163"/>
  <c r="E290" i="163"/>
  <c r="F290" i="163"/>
  <c r="C290" i="163"/>
  <c r="I291" i="163"/>
  <c r="D291" i="163"/>
  <c r="J291" i="163"/>
  <c r="E291" i="163"/>
  <c r="F291" i="163"/>
  <c r="C291" i="163"/>
  <c r="I292" i="163"/>
  <c r="D292" i="163"/>
  <c r="J292" i="163"/>
  <c r="E292" i="163"/>
  <c r="F292" i="163"/>
  <c r="C292" i="163"/>
  <c r="I293" i="163"/>
  <c r="D293" i="163"/>
  <c r="J293" i="163"/>
  <c r="E293" i="163"/>
  <c r="F293" i="163"/>
  <c r="C293" i="163"/>
  <c r="I294" i="163"/>
  <c r="D294" i="163"/>
  <c r="J294" i="163"/>
  <c r="E294" i="163"/>
  <c r="F294" i="163"/>
  <c r="C294" i="163"/>
  <c r="I295" i="163"/>
  <c r="D295" i="163"/>
  <c r="J295" i="163"/>
  <c r="E295" i="163"/>
  <c r="F295" i="163"/>
  <c r="C295" i="163"/>
  <c r="I296" i="163"/>
  <c r="D296" i="163"/>
  <c r="J296" i="163"/>
  <c r="E296" i="163"/>
  <c r="F296" i="163"/>
  <c r="C296" i="163"/>
  <c r="I297" i="163"/>
  <c r="D297" i="163"/>
  <c r="J297" i="163"/>
  <c r="E297" i="163"/>
  <c r="F297" i="163"/>
  <c r="C297" i="163"/>
  <c r="I298" i="163"/>
  <c r="D298" i="163"/>
  <c r="J298" i="163"/>
  <c r="E298" i="163"/>
  <c r="F298" i="163"/>
  <c r="C298" i="163"/>
  <c r="I299" i="163"/>
  <c r="D299" i="163"/>
  <c r="J299" i="163"/>
  <c r="E299" i="163"/>
  <c r="F299" i="163"/>
  <c r="C299" i="163"/>
  <c r="I300" i="163"/>
  <c r="D300" i="163"/>
  <c r="J300" i="163"/>
  <c r="E300" i="163"/>
  <c r="F300" i="163"/>
  <c r="C300" i="163"/>
  <c r="I301" i="163"/>
  <c r="D301" i="163"/>
  <c r="J301" i="163"/>
  <c r="E301" i="163"/>
  <c r="F301" i="163"/>
  <c r="C301" i="163"/>
  <c r="I302" i="163"/>
  <c r="D302" i="163"/>
  <c r="J302" i="163"/>
  <c r="E302" i="163"/>
  <c r="F302" i="163"/>
  <c r="C302" i="163"/>
  <c r="I303" i="163"/>
  <c r="D303" i="163"/>
  <c r="J303" i="163"/>
  <c r="E303" i="163"/>
  <c r="F303" i="163"/>
  <c r="C303" i="163"/>
  <c r="I304" i="163"/>
  <c r="D304" i="163"/>
  <c r="J304" i="163"/>
  <c r="E304" i="163"/>
  <c r="F304" i="163"/>
  <c r="C304" i="163"/>
  <c r="I305" i="163"/>
  <c r="D305" i="163"/>
  <c r="J305" i="163"/>
  <c r="E305" i="163"/>
  <c r="F305" i="163"/>
  <c r="C305" i="163"/>
  <c r="I306" i="163"/>
  <c r="D306" i="163"/>
  <c r="J306" i="163"/>
  <c r="E306" i="163"/>
  <c r="F306" i="163"/>
  <c r="C306" i="163"/>
  <c r="F5" i="162"/>
  <c r="F6" i="162"/>
  <c r="A36" i="162"/>
  <c r="R9" i="162"/>
  <c r="O306" i="163"/>
  <c r="B10" i="162"/>
  <c r="E6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19" i="162"/>
  <c r="B19" i="162"/>
  <c r="E24" i="162"/>
  <c r="B24" i="162"/>
  <c r="B17" i="162"/>
  <c r="G17" i="162"/>
  <c r="E17" i="162"/>
  <c r="H17" i="162"/>
  <c r="O2" i="163"/>
  <c r="E18" i="162"/>
  <c r="B18" i="162"/>
  <c r="G18" i="162"/>
  <c r="H18" i="162"/>
  <c r="O3" i="163"/>
  <c r="O4" i="163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O42" i="163"/>
  <c r="E25" i="162"/>
  <c r="B25" i="162"/>
  <c r="G25" i="162"/>
  <c r="H25" i="162"/>
  <c r="O43" i="163"/>
  <c r="E26" i="162"/>
  <c r="B26" i="162"/>
  <c r="G26" i="162"/>
  <c r="H26" i="162"/>
  <c r="O44" i="163"/>
  <c r="O45" i="163"/>
  <c r="O46" i="163"/>
  <c r="O47" i="163"/>
  <c r="O48" i="163"/>
  <c r="O49" i="163"/>
  <c r="O50" i="163"/>
  <c r="G19" i="162"/>
  <c r="H19" i="162"/>
  <c r="O51" i="163"/>
  <c r="E20" i="162"/>
  <c r="E23" i="162"/>
  <c r="B23" i="162"/>
  <c r="E5" i="162"/>
  <c r="E28" i="162"/>
  <c r="B28" i="162"/>
  <c r="E29" i="162"/>
  <c r="B29" i="162"/>
  <c r="B21" i="162"/>
  <c r="B20" i="162"/>
  <c r="G20" i="162"/>
  <c r="H20" i="162"/>
  <c r="O52" i="163"/>
  <c r="G21" i="162"/>
  <c r="E21" i="162"/>
  <c r="H21" i="162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E27" i="162"/>
  <c r="B27" i="162"/>
  <c r="G27" i="162"/>
  <c r="H27" i="162"/>
  <c r="O138" i="163"/>
  <c r="G28" i="162"/>
  <c r="H28" i="162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E22" i="162"/>
  <c r="B22" i="162"/>
  <c r="G22" i="162"/>
  <c r="H22" i="162"/>
  <c r="O256" i="163"/>
  <c r="G23" i="162"/>
  <c r="H23" i="162"/>
  <c r="O257" i="163"/>
  <c r="O258" i="163"/>
  <c r="O259" i="163"/>
  <c r="G29" i="162"/>
  <c r="H29" i="162"/>
  <c r="O260" i="163"/>
  <c r="O261" i="163"/>
  <c r="O262" i="163"/>
  <c r="O263" i="163"/>
  <c r="O264" i="163"/>
  <c r="O265" i="163"/>
  <c r="O266" i="163"/>
  <c r="O267" i="163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R3" i="162"/>
  <c r="O300" i="163"/>
  <c r="R4" i="162"/>
  <c r="O301" i="163"/>
  <c r="R5" i="162"/>
  <c r="O302" i="163"/>
  <c r="R6" i="162"/>
  <c r="O303" i="163"/>
  <c r="R7" i="162"/>
  <c r="O304" i="163"/>
  <c r="R8" i="162"/>
  <c r="O305" i="163"/>
  <c r="P306" i="163"/>
  <c r="N306" i="163"/>
  <c r="M306" i="163"/>
  <c r="L306" i="163"/>
  <c r="K306" i="163"/>
  <c r="H306" i="163"/>
  <c r="P305" i="163"/>
  <c r="N305" i="163"/>
  <c r="M305" i="163"/>
  <c r="L305" i="163"/>
  <c r="K305" i="163"/>
  <c r="H305" i="163"/>
  <c r="P304" i="163"/>
  <c r="N304" i="163"/>
  <c r="M304" i="163"/>
  <c r="L304" i="163"/>
  <c r="K304" i="163"/>
  <c r="H304" i="163"/>
  <c r="P303" i="163"/>
  <c r="N303" i="163"/>
  <c r="M303" i="163"/>
  <c r="L303" i="163"/>
  <c r="K303" i="163"/>
  <c r="H303" i="163"/>
  <c r="P302" i="163"/>
  <c r="N302" i="163"/>
  <c r="M302" i="163"/>
  <c r="L302" i="163"/>
  <c r="K302" i="163"/>
  <c r="H302" i="163"/>
  <c r="P301" i="163"/>
  <c r="N301" i="163"/>
  <c r="M301" i="163"/>
  <c r="L301" i="163"/>
  <c r="K301" i="163"/>
  <c r="H301" i="163"/>
  <c r="P300" i="163"/>
  <c r="N300" i="163"/>
  <c r="M300" i="163"/>
  <c r="L300" i="163"/>
  <c r="K300" i="163"/>
  <c r="H300" i="163"/>
  <c r="P299" i="163"/>
  <c r="N299" i="163"/>
  <c r="M299" i="163"/>
  <c r="L299" i="163"/>
  <c r="K299" i="163"/>
  <c r="H299" i="163"/>
  <c r="P298" i="163"/>
  <c r="N298" i="163"/>
  <c r="M298" i="163"/>
  <c r="L298" i="163"/>
  <c r="K298" i="163"/>
  <c r="H298" i="163"/>
  <c r="A298" i="163"/>
  <c r="P297" i="163"/>
  <c r="N297" i="163"/>
  <c r="M297" i="163"/>
  <c r="L297" i="163"/>
  <c r="K297" i="163"/>
  <c r="H297" i="163"/>
  <c r="A297" i="163"/>
  <c r="P296" i="163"/>
  <c r="N296" i="163"/>
  <c r="M296" i="163"/>
  <c r="L296" i="163"/>
  <c r="K296" i="163"/>
  <c r="H296" i="163"/>
  <c r="A296" i="163"/>
  <c r="P295" i="163"/>
  <c r="N295" i="163"/>
  <c r="M295" i="163"/>
  <c r="L295" i="163"/>
  <c r="K295" i="163"/>
  <c r="H295" i="163"/>
  <c r="A295" i="163"/>
  <c r="P294" i="163"/>
  <c r="N294" i="163"/>
  <c r="M294" i="163"/>
  <c r="L294" i="163"/>
  <c r="K294" i="163"/>
  <c r="H294" i="163"/>
  <c r="A294" i="163"/>
  <c r="P293" i="163"/>
  <c r="N293" i="163"/>
  <c r="M293" i="163"/>
  <c r="L293" i="163"/>
  <c r="K293" i="163"/>
  <c r="H293" i="163"/>
  <c r="A293" i="163"/>
  <c r="P292" i="163"/>
  <c r="N292" i="163"/>
  <c r="M292" i="163"/>
  <c r="L292" i="163"/>
  <c r="K292" i="163"/>
  <c r="H292" i="163"/>
  <c r="A292" i="163"/>
  <c r="P291" i="163"/>
  <c r="N291" i="163"/>
  <c r="M291" i="163"/>
  <c r="L291" i="163"/>
  <c r="K291" i="163"/>
  <c r="H291" i="163"/>
  <c r="A291" i="163"/>
  <c r="P290" i="163"/>
  <c r="N290" i="163"/>
  <c r="M290" i="163"/>
  <c r="L290" i="163"/>
  <c r="K290" i="163"/>
  <c r="H290" i="163"/>
  <c r="A290" i="163"/>
  <c r="P289" i="163"/>
  <c r="N289" i="163"/>
  <c r="M289" i="163"/>
  <c r="L289" i="163"/>
  <c r="K289" i="163"/>
  <c r="H289" i="163"/>
  <c r="A289" i="163"/>
  <c r="P288" i="163"/>
  <c r="N288" i="163"/>
  <c r="M288" i="163"/>
  <c r="L288" i="163"/>
  <c r="K288" i="163"/>
  <c r="H288" i="163"/>
  <c r="A288" i="163"/>
  <c r="P287" i="163"/>
  <c r="N287" i="163"/>
  <c r="M287" i="163"/>
  <c r="L287" i="163"/>
  <c r="K287" i="163"/>
  <c r="H287" i="163"/>
  <c r="A287" i="163"/>
  <c r="P286" i="163"/>
  <c r="N286" i="163"/>
  <c r="M286" i="163"/>
  <c r="L286" i="163"/>
  <c r="K286" i="163"/>
  <c r="H286" i="163"/>
  <c r="A286" i="163"/>
  <c r="P285" i="163"/>
  <c r="N285" i="163"/>
  <c r="M285" i="163"/>
  <c r="L285" i="163"/>
  <c r="K285" i="163"/>
  <c r="H285" i="163"/>
  <c r="A285" i="163"/>
  <c r="P284" i="163"/>
  <c r="N284" i="163"/>
  <c r="M284" i="163"/>
  <c r="L284" i="163"/>
  <c r="K284" i="163"/>
  <c r="H284" i="163"/>
  <c r="A284" i="163"/>
  <c r="P283" i="163"/>
  <c r="N283" i="163"/>
  <c r="M283" i="163"/>
  <c r="L283" i="163"/>
  <c r="K283" i="163"/>
  <c r="H283" i="163"/>
  <c r="A283" i="163"/>
  <c r="P282" i="163"/>
  <c r="N282" i="163"/>
  <c r="M282" i="163"/>
  <c r="L282" i="163"/>
  <c r="K282" i="163"/>
  <c r="H282" i="163"/>
  <c r="A282" i="163"/>
  <c r="P281" i="163"/>
  <c r="N281" i="163"/>
  <c r="M281" i="163"/>
  <c r="L281" i="163"/>
  <c r="K281" i="163"/>
  <c r="H281" i="163"/>
  <c r="A281" i="163"/>
  <c r="P280" i="163"/>
  <c r="N280" i="163"/>
  <c r="M280" i="163"/>
  <c r="L280" i="163"/>
  <c r="K280" i="163"/>
  <c r="H280" i="163"/>
  <c r="A280" i="163"/>
  <c r="P279" i="163"/>
  <c r="N279" i="163"/>
  <c r="M279" i="163"/>
  <c r="L279" i="163"/>
  <c r="K279" i="163"/>
  <c r="H279" i="163"/>
  <c r="A279" i="163"/>
  <c r="P278" i="163"/>
  <c r="N278" i="163"/>
  <c r="M278" i="163"/>
  <c r="L278" i="163"/>
  <c r="K278" i="163"/>
  <c r="H278" i="163"/>
  <c r="A278" i="163"/>
  <c r="P277" i="163"/>
  <c r="N277" i="163"/>
  <c r="M277" i="163"/>
  <c r="L277" i="163"/>
  <c r="K277" i="163"/>
  <c r="H277" i="163"/>
  <c r="A277" i="163"/>
  <c r="P276" i="163"/>
  <c r="N276" i="163"/>
  <c r="M276" i="163"/>
  <c r="L276" i="163"/>
  <c r="K276" i="163"/>
  <c r="H276" i="163"/>
  <c r="A276" i="163"/>
  <c r="P275" i="163"/>
  <c r="N275" i="163"/>
  <c r="M275" i="163"/>
  <c r="L275" i="163"/>
  <c r="K275" i="163"/>
  <c r="H275" i="163"/>
  <c r="A275" i="163"/>
  <c r="P274" i="163"/>
  <c r="N274" i="163"/>
  <c r="M274" i="163"/>
  <c r="L274" i="163"/>
  <c r="K274" i="163"/>
  <c r="H274" i="163"/>
  <c r="A274" i="163"/>
  <c r="P273" i="163"/>
  <c r="N273" i="163"/>
  <c r="M273" i="163"/>
  <c r="L273" i="163"/>
  <c r="K273" i="163"/>
  <c r="H273" i="163"/>
  <c r="A273" i="163"/>
  <c r="P272" i="163"/>
  <c r="N272" i="163"/>
  <c r="M272" i="163"/>
  <c r="L272" i="163"/>
  <c r="K272" i="163"/>
  <c r="H272" i="163"/>
  <c r="A272" i="163"/>
  <c r="P271" i="163"/>
  <c r="N271" i="163"/>
  <c r="M271" i="163"/>
  <c r="L271" i="163"/>
  <c r="K271" i="163"/>
  <c r="H271" i="163"/>
  <c r="A271" i="163"/>
  <c r="P270" i="163"/>
  <c r="N270" i="163"/>
  <c r="M270" i="163"/>
  <c r="L270" i="163"/>
  <c r="K270" i="163"/>
  <c r="H270" i="163"/>
  <c r="A270" i="163"/>
  <c r="P269" i="163"/>
  <c r="N269" i="163"/>
  <c r="M269" i="163"/>
  <c r="L269" i="163"/>
  <c r="K269" i="163"/>
  <c r="H269" i="163"/>
  <c r="A269" i="163"/>
  <c r="P268" i="163"/>
  <c r="N268" i="163"/>
  <c r="M268" i="163"/>
  <c r="L268" i="163"/>
  <c r="K268" i="163"/>
  <c r="H268" i="163"/>
  <c r="A268" i="163"/>
  <c r="P267" i="163"/>
  <c r="N267" i="163"/>
  <c r="M267" i="163"/>
  <c r="L267" i="163"/>
  <c r="K267" i="163"/>
  <c r="H267" i="163"/>
  <c r="A267" i="163"/>
  <c r="P266" i="163"/>
  <c r="N266" i="163"/>
  <c r="M266" i="163"/>
  <c r="L266" i="163"/>
  <c r="K266" i="163"/>
  <c r="H266" i="163"/>
  <c r="A266" i="163"/>
  <c r="P265" i="163"/>
  <c r="N265" i="163"/>
  <c r="M265" i="163"/>
  <c r="L265" i="163"/>
  <c r="K265" i="163"/>
  <c r="H265" i="163"/>
  <c r="A265" i="163"/>
  <c r="P264" i="163"/>
  <c r="N264" i="163"/>
  <c r="M264" i="163"/>
  <c r="L264" i="163"/>
  <c r="K264" i="163"/>
  <c r="H264" i="163"/>
  <c r="A264" i="163"/>
  <c r="P263" i="163"/>
  <c r="N263" i="163"/>
  <c r="M263" i="163"/>
  <c r="L263" i="163"/>
  <c r="K263" i="163"/>
  <c r="H263" i="163"/>
  <c r="A263" i="163"/>
  <c r="P262" i="163"/>
  <c r="N262" i="163"/>
  <c r="M262" i="163"/>
  <c r="L262" i="163"/>
  <c r="K262" i="163"/>
  <c r="H262" i="163"/>
  <c r="A262" i="163"/>
  <c r="P261" i="163"/>
  <c r="N261" i="163"/>
  <c r="M261" i="163"/>
  <c r="L261" i="163"/>
  <c r="K261" i="163"/>
  <c r="H261" i="163"/>
  <c r="A261" i="163"/>
  <c r="P260" i="163"/>
  <c r="N260" i="163"/>
  <c r="M260" i="163"/>
  <c r="L260" i="163"/>
  <c r="K260" i="163"/>
  <c r="H260" i="163"/>
  <c r="A260" i="163"/>
  <c r="P259" i="163"/>
  <c r="N259" i="163"/>
  <c r="M259" i="163"/>
  <c r="L259" i="163"/>
  <c r="K259" i="163"/>
  <c r="H259" i="163"/>
  <c r="A259" i="163"/>
  <c r="P258" i="163"/>
  <c r="N258" i="163"/>
  <c r="M258" i="163"/>
  <c r="L258" i="163"/>
  <c r="K258" i="163"/>
  <c r="H258" i="163"/>
  <c r="A258" i="163"/>
  <c r="P257" i="163"/>
  <c r="N257" i="163"/>
  <c r="M257" i="163"/>
  <c r="L257" i="163"/>
  <c r="K257" i="163"/>
  <c r="H257" i="163"/>
  <c r="A257" i="163"/>
  <c r="P256" i="163"/>
  <c r="N256" i="163"/>
  <c r="M256" i="163"/>
  <c r="L256" i="163"/>
  <c r="K256" i="163"/>
  <c r="H256" i="163"/>
  <c r="A256" i="163"/>
  <c r="P255" i="163"/>
  <c r="N255" i="163"/>
  <c r="M255" i="163"/>
  <c r="L255" i="163"/>
  <c r="K255" i="163"/>
  <c r="H255" i="163"/>
  <c r="A255" i="163"/>
  <c r="P254" i="163"/>
  <c r="N254" i="163"/>
  <c r="M254" i="163"/>
  <c r="L254" i="163"/>
  <c r="K254" i="163"/>
  <c r="H254" i="163"/>
  <c r="A254" i="163"/>
  <c r="P253" i="163"/>
  <c r="N253" i="163"/>
  <c r="M253" i="163"/>
  <c r="L253" i="163"/>
  <c r="K253" i="163"/>
  <c r="H253" i="163"/>
  <c r="A253" i="163"/>
  <c r="P252" i="163"/>
  <c r="N252" i="163"/>
  <c r="M252" i="163"/>
  <c r="L252" i="163"/>
  <c r="K252" i="163"/>
  <c r="H252" i="163"/>
  <c r="A252" i="163"/>
  <c r="P251" i="163"/>
  <c r="N251" i="163"/>
  <c r="M251" i="163"/>
  <c r="L251" i="163"/>
  <c r="K251" i="163"/>
  <c r="H251" i="163"/>
  <c r="A251" i="163"/>
  <c r="P250" i="163"/>
  <c r="N250" i="163"/>
  <c r="M250" i="163"/>
  <c r="L250" i="163"/>
  <c r="K250" i="163"/>
  <c r="H250" i="163"/>
  <c r="A250" i="163"/>
  <c r="P249" i="163"/>
  <c r="N249" i="163"/>
  <c r="M249" i="163"/>
  <c r="L249" i="163"/>
  <c r="K249" i="163"/>
  <c r="H249" i="163"/>
  <c r="A249" i="163"/>
  <c r="P248" i="163"/>
  <c r="N248" i="163"/>
  <c r="M248" i="163"/>
  <c r="L248" i="163"/>
  <c r="K248" i="163"/>
  <c r="H248" i="163"/>
  <c r="A248" i="163"/>
  <c r="P247" i="163"/>
  <c r="N247" i="163"/>
  <c r="M247" i="163"/>
  <c r="L247" i="163"/>
  <c r="K247" i="163"/>
  <c r="H247" i="163"/>
  <c r="A247" i="163"/>
  <c r="P246" i="163"/>
  <c r="N246" i="163"/>
  <c r="M246" i="163"/>
  <c r="L246" i="163"/>
  <c r="K246" i="163"/>
  <c r="H246" i="163"/>
  <c r="A246" i="163"/>
  <c r="P245" i="163"/>
  <c r="N245" i="163"/>
  <c r="M245" i="163"/>
  <c r="L245" i="163"/>
  <c r="K245" i="163"/>
  <c r="H245" i="163"/>
  <c r="A245" i="163"/>
  <c r="P244" i="163"/>
  <c r="N244" i="163"/>
  <c r="M244" i="163"/>
  <c r="L244" i="163"/>
  <c r="K244" i="163"/>
  <c r="H244" i="163"/>
  <c r="A244" i="163"/>
  <c r="P243" i="163"/>
  <c r="N243" i="163"/>
  <c r="M243" i="163"/>
  <c r="L243" i="163"/>
  <c r="K243" i="163"/>
  <c r="H243" i="163"/>
  <c r="A243" i="163"/>
  <c r="P242" i="163"/>
  <c r="N242" i="163"/>
  <c r="M242" i="163"/>
  <c r="L242" i="163"/>
  <c r="K242" i="163"/>
  <c r="H242" i="163"/>
  <c r="A242" i="163"/>
  <c r="P241" i="163"/>
  <c r="N241" i="163"/>
  <c r="M241" i="163"/>
  <c r="L241" i="163"/>
  <c r="K241" i="163"/>
  <c r="H241" i="163"/>
  <c r="A241" i="163"/>
  <c r="P240" i="163"/>
  <c r="N240" i="163"/>
  <c r="M240" i="163"/>
  <c r="L240" i="163"/>
  <c r="K240" i="163"/>
  <c r="H240" i="163"/>
  <c r="A240" i="163"/>
  <c r="P239" i="163"/>
  <c r="N239" i="163"/>
  <c r="M239" i="163"/>
  <c r="L239" i="163"/>
  <c r="K239" i="163"/>
  <c r="H239" i="163"/>
  <c r="A239" i="163"/>
  <c r="P238" i="163"/>
  <c r="N238" i="163"/>
  <c r="M238" i="163"/>
  <c r="L238" i="163"/>
  <c r="K238" i="163"/>
  <c r="H238" i="163"/>
  <c r="A238" i="163"/>
  <c r="P237" i="163"/>
  <c r="N237" i="163"/>
  <c r="M237" i="163"/>
  <c r="L237" i="163"/>
  <c r="K237" i="163"/>
  <c r="H237" i="163"/>
  <c r="A237" i="163"/>
  <c r="P236" i="163"/>
  <c r="N236" i="163"/>
  <c r="M236" i="163"/>
  <c r="L236" i="163"/>
  <c r="K236" i="163"/>
  <c r="H236" i="163"/>
  <c r="A236" i="163"/>
  <c r="P235" i="163"/>
  <c r="N235" i="163"/>
  <c r="M235" i="163"/>
  <c r="L235" i="163"/>
  <c r="K235" i="163"/>
  <c r="H235" i="163"/>
  <c r="A235" i="163"/>
  <c r="P234" i="163"/>
  <c r="N234" i="163"/>
  <c r="M234" i="163"/>
  <c r="L234" i="163"/>
  <c r="K234" i="163"/>
  <c r="H234" i="163"/>
  <c r="A234" i="163"/>
  <c r="P233" i="163"/>
  <c r="N233" i="163"/>
  <c r="M233" i="163"/>
  <c r="L233" i="163"/>
  <c r="K233" i="163"/>
  <c r="H233" i="163"/>
  <c r="A233" i="163"/>
  <c r="P232" i="163"/>
  <c r="N232" i="163"/>
  <c r="M232" i="163"/>
  <c r="L232" i="163"/>
  <c r="K232" i="163"/>
  <c r="H232" i="163"/>
  <c r="A232" i="163"/>
  <c r="P231" i="163"/>
  <c r="N231" i="163"/>
  <c r="M231" i="163"/>
  <c r="L231" i="163"/>
  <c r="K231" i="163"/>
  <c r="H231" i="163"/>
  <c r="A231" i="163"/>
  <c r="P230" i="163"/>
  <c r="N230" i="163"/>
  <c r="M230" i="163"/>
  <c r="L230" i="163"/>
  <c r="K230" i="163"/>
  <c r="H230" i="163"/>
  <c r="A230" i="163"/>
  <c r="P229" i="163"/>
  <c r="N229" i="163"/>
  <c r="M229" i="163"/>
  <c r="L229" i="163"/>
  <c r="K229" i="163"/>
  <c r="H229" i="163"/>
  <c r="A229" i="163"/>
  <c r="P228" i="163"/>
  <c r="N228" i="163"/>
  <c r="M228" i="163"/>
  <c r="L228" i="163"/>
  <c r="K228" i="163"/>
  <c r="H228" i="163"/>
  <c r="A228" i="163"/>
  <c r="P227" i="163"/>
  <c r="N227" i="163"/>
  <c r="M227" i="163"/>
  <c r="L227" i="163"/>
  <c r="K227" i="163"/>
  <c r="H227" i="163"/>
  <c r="A227" i="163"/>
  <c r="P226" i="163"/>
  <c r="N226" i="163"/>
  <c r="M226" i="163"/>
  <c r="L226" i="163"/>
  <c r="K226" i="163"/>
  <c r="H226" i="163"/>
  <c r="A226" i="163"/>
  <c r="P225" i="163"/>
  <c r="N225" i="163"/>
  <c r="M225" i="163"/>
  <c r="L225" i="163"/>
  <c r="K225" i="163"/>
  <c r="H225" i="163"/>
  <c r="A225" i="163"/>
  <c r="P224" i="163"/>
  <c r="N224" i="163"/>
  <c r="M224" i="163"/>
  <c r="L224" i="163"/>
  <c r="K224" i="163"/>
  <c r="H224" i="163"/>
  <c r="A224" i="163"/>
  <c r="P223" i="163"/>
  <c r="N223" i="163"/>
  <c r="M223" i="163"/>
  <c r="L223" i="163"/>
  <c r="K223" i="163"/>
  <c r="H223" i="163"/>
  <c r="A223" i="163"/>
  <c r="P222" i="163"/>
  <c r="N222" i="163"/>
  <c r="M222" i="163"/>
  <c r="L222" i="163"/>
  <c r="K222" i="163"/>
  <c r="H222" i="163"/>
  <c r="A222" i="163"/>
  <c r="P221" i="163"/>
  <c r="N221" i="163"/>
  <c r="M221" i="163"/>
  <c r="L221" i="163"/>
  <c r="K221" i="163"/>
  <c r="H221" i="163"/>
  <c r="A221" i="163"/>
  <c r="P220" i="163"/>
  <c r="N220" i="163"/>
  <c r="M220" i="163"/>
  <c r="L220" i="163"/>
  <c r="K220" i="163"/>
  <c r="H220" i="163"/>
  <c r="A220" i="163"/>
  <c r="P219" i="163"/>
  <c r="N219" i="163"/>
  <c r="M219" i="163"/>
  <c r="L219" i="163"/>
  <c r="K219" i="163"/>
  <c r="H219" i="163"/>
  <c r="A219" i="163"/>
  <c r="P218" i="163"/>
  <c r="N218" i="163"/>
  <c r="M218" i="163"/>
  <c r="L218" i="163"/>
  <c r="K218" i="163"/>
  <c r="H218" i="163"/>
  <c r="A218" i="163"/>
  <c r="P217" i="163"/>
  <c r="N217" i="163"/>
  <c r="M217" i="163"/>
  <c r="L217" i="163"/>
  <c r="K217" i="163"/>
  <c r="H217" i="163"/>
  <c r="A217" i="163"/>
  <c r="P216" i="163"/>
  <c r="N216" i="163"/>
  <c r="M216" i="163"/>
  <c r="L216" i="163"/>
  <c r="K216" i="163"/>
  <c r="H216" i="163"/>
  <c r="A216" i="163"/>
  <c r="P215" i="163"/>
  <c r="N215" i="163"/>
  <c r="M215" i="163"/>
  <c r="L215" i="163"/>
  <c r="K215" i="163"/>
  <c r="H215" i="163"/>
  <c r="A215" i="163"/>
  <c r="P214" i="163"/>
  <c r="N214" i="163"/>
  <c r="M214" i="163"/>
  <c r="L214" i="163"/>
  <c r="K214" i="163"/>
  <c r="H214" i="163"/>
  <c r="A214" i="163"/>
  <c r="P213" i="163"/>
  <c r="N213" i="163"/>
  <c r="M213" i="163"/>
  <c r="L213" i="163"/>
  <c r="K213" i="163"/>
  <c r="H213" i="163"/>
  <c r="A213" i="163"/>
  <c r="P212" i="163"/>
  <c r="N212" i="163"/>
  <c r="M212" i="163"/>
  <c r="L212" i="163"/>
  <c r="K212" i="163"/>
  <c r="H212" i="163"/>
  <c r="A212" i="163"/>
  <c r="P211" i="163"/>
  <c r="N211" i="163"/>
  <c r="M211" i="163"/>
  <c r="L211" i="163"/>
  <c r="K211" i="163"/>
  <c r="H211" i="163"/>
  <c r="A211" i="163"/>
  <c r="P210" i="163"/>
  <c r="N210" i="163"/>
  <c r="M210" i="163"/>
  <c r="L210" i="163"/>
  <c r="K210" i="163"/>
  <c r="H210" i="163"/>
  <c r="A210" i="163"/>
  <c r="P209" i="163"/>
  <c r="N209" i="163"/>
  <c r="M209" i="163"/>
  <c r="L209" i="163"/>
  <c r="K209" i="163"/>
  <c r="H209" i="163"/>
  <c r="A209" i="163"/>
  <c r="P208" i="163"/>
  <c r="N208" i="163"/>
  <c r="M208" i="163"/>
  <c r="L208" i="163"/>
  <c r="K208" i="163"/>
  <c r="H208" i="163"/>
  <c r="A208" i="163"/>
  <c r="P207" i="163"/>
  <c r="N207" i="163"/>
  <c r="M207" i="163"/>
  <c r="L207" i="163"/>
  <c r="K207" i="163"/>
  <c r="H207" i="163"/>
  <c r="A207" i="163"/>
  <c r="P206" i="163"/>
  <c r="N206" i="163"/>
  <c r="M206" i="163"/>
  <c r="L206" i="163"/>
  <c r="K206" i="163"/>
  <c r="H206" i="163"/>
  <c r="A206" i="163"/>
  <c r="P205" i="163"/>
  <c r="N205" i="163"/>
  <c r="M205" i="163"/>
  <c r="L205" i="163"/>
  <c r="K205" i="163"/>
  <c r="H205" i="163"/>
  <c r="A205" i="163"/>
  <c r="P204" i="163"/>
  <c r="N204" i="163"/>
  <c r="M204" i="163"/>
  <c r="L204" i="163"/>
  <c r="K204" i="163"/>
  <c r="H204" i="163"/>
  <c r="A204" i="163"/>
  <c r="P203" i="163"/>
  <c r="N203" i="163"/>
  <c r="M203" i="163"/>
  <c r="L203" i="163"/>
  <c r="K203" i="163"/>
  <c r="H203" i="163"/>
  <c r="A203" i="163"/>
  <c r="P202" i="163"/>
  <c r="N202" i="163"/>
  <c r="M202" i="163"/>
  <c r="L202" i="163"/>
  <c r="K202" i="163"/>
  <c r="H202" i="163"/>
  <c r="A202" i="163"/>
  <c r="P201" i="163"/>
  <c r="N201" i="163"/>
  <c r="M201" i="163"/>
  <c r="L201" i="163"/>
  <c r="K201" i="163"/>
  <c r="H201" i="163"/>
  <c r="A201" i="163"/>
  <c r="P200" i="163"/>
  <c r="N200" i="163"/>
  <c r="M200" i="163"/>
  <c r="L200" i="163"/>
  <c r="K200" i="163"/>
  <c r="H200" i="163"/>
  <c r="A200" i="163"/>
  <c r="P199" i="163"/>
  <c r="N199" i="163"/>
  <c r="M199" i="163"/>
  <c r="L199" i="163"/>
  <c r="K199" i="163"/>
  <c r="H199" i="163"/>
  <c r="A199" i="163"/>
  <c r="P198" i="163"/>
  <c r="N198" i="163"/>
  <c r="M198" i="163"/>
  <c r="L198" i="163"/>
  <c r="K198" i="163"/>
  <c r="H198" i="163"/>
  <c r="A198" i="163"/>
  <c r="P197" i="163"/>
  <c r="N197" i="163"/>
  <c r="M197" i="163"/>
  <c r="L197" i="163"/>
  <c r="K197" i="163"/>
  <c r="H197" i="163"/>
  <c r="A197" i="163"/>
  <c r="P196" i="163"/>
  <c r="N196" i="163"/>
  <c r="M196" i="163"/>
  <c r="L196" i="163"/>
  <c r="K196" i="163"/>
  <c r="H196" i="163"/>
  <c r="A196" i="163"/>
  <c r="P195" i="163"/>
  <c r="N195" i="163"/>
  <c r="M195" i="163"/>
  <c r="L195" i="163"/>
  <c r="K195" i="163"/>
  <c r="H195" i="163"/>
  <c r="A195" i="163"/>
  <c r="P194" i="163"/>
  <c r="N194" i="163"/>
  <c r="M194" i="163"/>
  <c r="L194" i="163"/>
  <c r="K194" i="163"/>
  <c r="H194" i="163"/>
  <c r="A194" i="163"/>
  <c r="P193" i="163"/>
  <c r="N193" i="163"/>
  <c r="M193" i="163"/>
  <c r="L193" i="163"/>
  <c r="K193" i="163"/>
  <c r="H193" i="163"/>
  <c r="A193" i="163"/>
  <c r="P192" i="163"/>
  <c r="N192" i="163"/>
  <c r="M192" i="163"/>
  <c r="L192" i="163"/>
  <c r="K192" i="163"/>
  <c r="H192" i="163"/>
  <c r="A192" i="163"/>
  <c r="P191" i="163"/>
  <c r="N191" i="163"/>
  <c r="M191" i="163"/>
  <c r="L191" i="163"/>
  <c r="K191" i="163"/>
  <c r="H191" i="163"/>
  <c r="A191" i="163"/>
  <c r="P190" i="163"/>
  <c r="N190" i="163"/>
  <c r="M190" i="163"/>
  <c r="L190" i="163"/>
  <c r="K190" i="163"/>
  <c r="H190" i="163"/>
  <c r="A190" i="163"/>
  <c r="P189" i="163"/>
  <c r="N189" i="163"/>
  <c r="M189" i="163"/>
  <c r="L189" i="163"/>
  <c r="K189" i="163"/>
  <c r="H189" i="163"/>
  <c r="A189" i="163"/>
  <c r="P188" i="163"/>
  <c r="N188" i="163"/>
  <c r="M188" i="163"/>
  <c r="L188" i="163"/>
  <c r="K188" i="163"/>
  <c r="H188" i="163"/>
  <c r="A188" i="163"/>
  <c r="P187" i="163"/>
  <c r="N187" i="163"/>
  <c r="M187" i="163"/>
  <c r="L187" i="163"/>
  <c r="K187" i="163"/>
  <c r="H187" i="163"/>
  <c r="A187" i="163"/>
  <c r="P186" i="163"/>
  <c r="N186" i="163"/>
  <c r="M186" i="163"/>
  <c r="L186" i="163"/>
  <c r="K186" i="163"/>
  <c r="H186" i="163"/>
  <c r="A186" i="163"/>
  <c r="P185" i="163"/>
  <c r="N185" i="163"/>
  <c r="M185" i="163"/>
  <c r="L185" i="163"/>
  <c r="K185" i="163"/>
  <c r="H185" i="163"/>
  <c r="A185" i="163"/>
  <c r="P184" i="163"/>
  <c r="N184" i="163"/>
  <c r="M184" i="163"/>
  <c r="L184" i="163"/>
  <c r="K184" i="163"/>
  <c r="H184" i="163"/>
  <c r="A184" i="163"/>
  <c r="P183" i="163"/>
  <c r="N183" i="163"/>
  <c r="M183" i="163"/>
  <c r="L183" i="163"/>
  <c r="K183" i="163"/>
  <c r="H183" i="163"/>
  <c r="A183" i="163"/>
  <c r="P182" i="163"/>
  <c r="N182" i="163"/>
  <c r="M182" i="163"/>
  <c r="L182" i="163"/>
  <c r="K182" i="163"/>
  <c r="H182" i="163"/>
  <c r="A182" i="163"/>
  <c r="P181" i="163"/>
  <c r="N181" i="163"/>
  <c r="M181" i="163"/>
  <c r="L181" i="163"/>
  <c r="K181" i="163"/>
  <c r="H181" i="163"/>
  <c r="A181" i="163"/>
  <c r="P180" i="163"/>
  <c r="N180" i="163"/>
  <c r="M180" i="163"/>
  <c r="L180" i="163"/>
  <c r="K180" i="163"/>
  <c r="H180" i="163"/>
  <c r="A180" i="163"/>
  <c r="P179" i="163"/>
  <c r="N179" i="163"/>
  <c r="M179" i="163"/>
  <c r="L179" i="163"/>
  <c r="K179" i="163"/>
  <c r="H179" i="163"/>
  <c r="A179" i="163"/>
  <c r="P178" i="163"/>
  <c r="N178" i="163"/>
  <c r="M178" i="163"/>
  <c r="L178" i="163"/>
  <c r="K178" i="163"/>
  <c r="H178" i="163"/>
  <c r="A178" i="163"/>
  <c r="P177" i="163"/>
  <c r="N177" i="163"/>
  <c r="M177" i="163"/>
  <c r="L177" i="163"/>
  <c r="K177" i="163"/>
  <c r="H177" i="163"/>
  <c r="A177" i="163"/>
  <c r="P176" i="163"/>
  <c r="N176" i="163"/>
  <c r="M176" i="163"/>
  <c r="L176" i="163"/>
  <c r="K176" i="163"/>
  <c r="H176" i="163"/>
  <c r="A176" i="163"/>
  <c r="P175" i="163"/>
  <c r="N175" i="163"/>
  <c r="M175" i="163"/>
  <c r="L175" i="163"/>
  <c r="K175" i="163"/>
  <c r="H175" i="163"/>
  <c r="A175" i="163"/>
  <c r="P174" i="163"/>
  <c r="N174" i="163"/>
  <c r="M174" i="163"/>
  <c r="L174" i="163"/>
  <c r="K174" i="163"/>
  <c r="H174" i="163"/>
  <c r="A174" i="163"/>
  <c r="P173" i="163"/>
  <c r="N173" i="163"/>
  <c r="M173" i="163"/>
  <c r="L173" i="163"/>
  <c r="K173" i="163"/>
  <c r="H173" i="163"/>
  <c r="A173" i="163"/>
  <c r="P172" i="163"/>
  <c r="N172" i="163"/>
  <c r="M172" i="163"/>
  <c r="L172" i="163"/>
  <c r="K172" i="163"/>
  <c r="H172" i="163"/>
  <c r="A172" i="163"/>
  <c r="P171" i="163"/>
  <c r="N171" i="163"/>
  <c r="M171" i="163"/>
  <c r="L171" i="163"/>
  <c r="K171" i="163"/>
  <c r="H171" i="163"/>
  <c r="A171" i="163"/>
  <c r="P170" i="163"/>
  <c r="N170" i="163"/>
  <c r="M170" i="163"/>
  <c r="L170" i="163"/>
  <c r="K170" i="163"/>
  <c r="H170" i="163"/>
  <c r="A170" i="163"/>
  <c r="P169" i="163"/>
  <c r="N169" i="163"/>
  <c r="M169" i="163"/>
  <c r="L169" i="163"/>
  <c r="K169" i="163"/>
  <c r="H169" i="163"/>
  <c r="A169" i="163"/>
  <c r="P168" i="163"/>
  <c r="N168" i="163"/>
  <c r="M168" i="163"/>
  <c r="L168" i="163"/>
  <c r="K168" i="163"/>
  <c r="H168" i="163"/>
  <c r="A168" i="163"/>
  <c r="P167" i="163"/>
  <c r="N167" i="163"/>
  <c r="M167" i="163"/>
  <c r="L167" i="163"/>
  <c r="K167" i="163"/>
  <c r="H167" i="163"/>
  <c r="A167" i="163"/>
  <c r="P166" i="163"/>
  <c r="N166" i="163"/>
  <c r="M166" i="163"/>
  <c r="L166" i="163"/>
  <c r="K166" i="163"/>
  <c r="H166" i="163"/>
  <c r="A166" i="163"/>
  <c r="P165" i="163"/>
  <c r="N165" i="163"/>
  <c r="M165" i="163"/>
  <c r="L165" i="163"/>
  <c r="K165" i="163"/>
  <c r="H165" i="163"/>
  <c r="A165" i="163"/>
  <c r="P164" i="163"/>
  <c r="N164" i="163"/>
  <c r="M164" i="163"/>
  <c r="L164" i="163"/>
  <c r="K164" i="163"/>
  <c r="H164" i="163"/>
  <c r="A164" i="163"/>
  <c r="P163" i="163"/>
  <c r="N163" i="163"/>
  <c r="M163" i="163"/>
  <c r="L163" i="163"/>
  <c r="K163" i="163"/>
  <c r="H163" i="163"/>
  <c r="A163" i="163"/>
  <c r="P162" i="163"/>
  <c r="N162" i="163"/>
  <c r="M162" i="163"/>
  <c r="L162" i="163"/>
  <c r="K162" i="163"/>
  <c r="H162" i="163"/>
  <c r="A162" i="163"/>
  <c r="P161" i="163"/>
  <c r="N161" i="163"/>
  <c r="M161" i="163"/>
  <c r="L161" i="163"/>
  <c r="K161" i="163"/>
  <c r="H161" i="163"/>
  <c r="A161" i="163"/>
  <c r="P160" i="163"/>
  <c r="N160" i="163"/>
  <c r="M160" i="163"/>
  <c r="L160" i="163"/>
  <c r="K160" i="163"/>
  <c r="H160" i="163"/>
  <c r="A160" i="163"/>
  <c r="P159" i="163"/>
  <c r="N159" i="163"/>
  <c r="M159" i="163"/>
  <c r="L159" i="163"/>
  <c r="K159" i="163"/>
  <c r="H159" i="163"/>
  <c r="A159" i="163"/>
  <c r="P158" i="163"/>
  <c r="N158" i="163"/>
  <c r="M158" i="163"/>
  <c r="L158" i="163"/>
  <c r="K158" i="163"/>
  <c r="H158" i="163"/>
  <c r="A158" i="163"/>
  <c r="P157" i="163"/>
  <c r="N157" i="163"/>
  <c r="M157" i="163"/>
  <c r="L157" i="163"/>
  <c r="K157" i="163"/>
  <c r="H157" i="163"/>
  <c r="A157" i="163"/>
  <c r="P156" i="163"/>
  <c r="N156" i="163"/>
  <c r="M156" i="163"/>
  <c r="L156" i="163"/>
  <c r="K156" i="163"/>
  <c r="H156" i="163"/>
  <c r="A156" i="163"/>
  <c r="P155" i="163"/>
  <c r="N155" i="163"/>
  <c r="M155" i="163"/>
  <c r="L155" i="163"/>
  <c r="K155" i="163"/>
  <c r="H155" i="163"/>
  <c r="A155" i="163"/>
  <c r="P154" i="163"/>
  <c r="N154" i="163"/>
  <c r="M154" i="163"/>
  <c r="L154" i="163"/>
  <c r="K154" i="163"/>
  <c r="H154" i="163"/>
  <c r="A154" i="163"/>
  <c r="P153" i="163"/>
  <c r="N153" i="163"/>
  <c r="M153" i="163"/>
  <c r="L153" i="163"/>
  <c r="K153" i="163"/>
  <c r="H153" i="163"/>
  <c r="A153" i="163"/>
  <c r="P152" i="163"/>
  <c r="N152" i="163"/>
  <c r="M152" i="163"/>
  <c r="L152" i="163"/>
  <c r="K152" i="163"/>
  <c r="H152" i="163"/>
  <c r="A152" i="163"/>
  <c r="P151" i="163"/>
  <c r="N151" i="163"/>
  <c r="M151" i="163"/>
  <c r="L151" i="163"/>
  <c r="K151" i="163"/>
  <c r="H151" i="163"/>
  <c r="A151" i="163"/>
  <c r="P150" i="163"/>
  <c r="N150" i="163"/>
  <c r="M150" i="163"/>
  <c r="L150" i="163"/>
  <c r="K150" i="163"/>
  <c r="H150" i="163"/>
  <c r="A150" i="163"/>
  <c r="P149" i="163"/>
  <c r="N149" i="163"/>
  <c r="M149" i="163"/>
  <c r="L149" i="163"/>
  <c r="K149" i="163"/>
  <c r="H149" i="163"/>
  <c r="A149" i="163"/>
  <c r="P148" i="163"/>
  <c r="N148" i="163"/>
  <c r="M148" i="163"/>
  <c r="L148" i="163"/>
  <c r="K148" i="163"/>
  <c r="H148" i="163"/>
  <c r="A148" i="163"/>
  <c r="P147" i="163"/>
  <c r="N147" i="163"/>
  <c r="M147" i="163"/>
  <c r="L147" i="163"/>
  <c r="K147" i="163"/>
  <c r="H147" i="163"/>
  <c r="A147" i="163"/>
  <c r="P146" i="163"/>
  <c r="N146" i="163"/>
  <c r="M146" i="163"/>
  <c r="L146" i="163"/>
  <c r="K146" i="163"/>
  <c r="H146" i="163"/>
  <c r="A146" i="163"/>
  <c r="P145" i="163"/>
  <c r="N145" i="163"/>
  <c r="M145" i="163"/>
  <c r="L145" i="163"/>
  <c r="K145" i="163"/>
  <c r="H145" i="163"/>
  <c r="A145" i="163"/>
  <c r="P144" i="163"/>
  <c r="N144" i="163"/>
  <c r="M144" i="163"/>
  <c r="L144" i="163"/>
  <c r="K144" i="163"/>
  <c r="H144" i="163"/>
  <c r="A144" i="163"/>
  <c r="P143" i="163"/>
  <c r="N143" i="163"/>
  <c r="M143" i="163"/>
  <c r="L143" i="163"/>
  <c r="K143" i="163"/>
  <c r="H143" i="163"/>
  <c r="A143" i="163"/>
  <c r="P142" i="163"/>
  <c r="N142" i="163"/>
  <c r="M142" i="163"/>
  <c r="L142" i="163"/>
  <c r="K142" i="163"/>
  <c r="H142" i="163"/>
  <c r="A142" i="163"/>
  <c r="P141" i="163"/>
  <c r="N141" i="163"/>
  <c r="M141" i="163"/>
  <c r="L141" i="163"/>
  <c r="K141" i="163"/>
  <c r="H141" i="163"/>
  <c r="A141" i="163"/>
  <c r="P140" i="163"/>
  <c r="N140" i="163"/>
  <c r="M140" i="163"/>
  <c r="L140" i="163"/>
  <c r="K140" i="163"/>
  <c r="H140" i="163"/>
  <c r="A140" i="163"/>
  <c r="P139" i="163"/>
  <c r="N139" i="163"/>
  <c r="M139" i="163"/>
  <c r="L139" i="163"/>
  <c r="K139" i="163"/>
  <c r="H139" i="163"/>
  <c r="A139" i="163"/>
  <c r="P138" i="163"/>
  <c r="N138" i="163"/>
  <c r="M138" i="163"/>
  <c r="L138" i="163"/>
  <c r="K138" i="163"/>
  <c r="H138" i="163"/>
  <c r="A138" i="163"/>
  <c r="P137" i="163"/>
  <c r="N137" i="163"/>
  <c r="M137" i="163"/>
  <c r="L137" i="163"/>
  <c r="K137" i="163"/>
  <c r="H137" i="163"/>
  <c r="A137" i="163"/>
  <c r="P136" i="163"/>
  <c r="N136" i="163"/>
  <c r="M136" i="163"/>
  <c r="L136" i="163"/>
  <c r="K136" i="163"/>
  <c r="H136" i="163"/>
  <c r="A136" i="163"/>
  <c r="P135" i="163"/>
  <c r="N135" i="163"/>
  <c r="M135" i="163"/>
  <c r="L135" i="163"/>
  <c r="K135" i="163"/>
  <c r="H135" i="163"/>
  <c r="A135" i="163"/>
  <c r="P134" i="163"/>
  <c r="N134" i="163"/>
  <c r="M134" i="163"/>
  <c r="L134" i="163"/>
  <c r="K134" i="163"/>
  <c r="H134" i="163"/>
  <c r="A134" i="163"/>
  <c r="P133" i="163"/>
  <c r="N133" i="163"/>
  <c r="M133" i="163"/>
  <c r="L133" i="163"/>
  <c r="K133" i="163"/>
  <c r="H133" i="163"/>
  <c r="A133" i="163"/>
  <c r="P132" i="163"/>
  <c r="N132" i="163"/>
  <c r="M132" i="163"/>
  <c r="L132" i="163"/>
  <c r="K132" i="163"/>
  <c r="H132" i="163"/>
  <c r="A132" i="163"/>
  <c r="P131" i="163"/>
  <c r="N131" i="163"/>
  <c r="M131" i="163"/>
  <c r="L131" i="163"/>
  <c r="K131" i="163"/>
  <c r="H131" i="163"/>
  <c r="A131" i="163"/>
  <c r="P130" i="163"/>
  <c r="N130" i="163"/>
  <c r="M130" i="163"/>
  <c r="L130" i="163"/>
  <c r="K130" i="163"/>
  <c r="H130" i="163"/>
  <c r="A130" i="163"/>
  <c r="P129" i="163"/>
  <c r="N129" i="163"/>
  <c r="M129" i="163"/>
  <c r="L129" i="163"/>
  <c r="K129" i="163"/>
  <c r="H129" i="163"/>
  <c r="A129" i="163"/>
  <c r="P128" i="163"/>
  <c r="N128" i="163"/>
  <c r="M128" i="163"/>
  <c r="L128" i="163"/>
  <c r="K128" i="163"/>
  <c r="H128" i="163"/>
  <c r="A128" i="163"/>
  <c r="P127" i="163"/>
  <c r="N127" i="163"/>
  <c r="M127" i="163"/>
  <c r="L127" i="163"/>
  <c r="K127" i="163"/>
  <c r="H127" i="163"/>
  <c r="A127" i="163"/>
  <c r="P126" i="163"/>
  <c r="N126" i="163"/>
  <c r="M126" i="163"/>
  <c r="L126" i="163"/>
  <c r="K126" i="163"/>
  <c r="H126" i="163"/>
  <c r="A126" i="163"/>
  <c r="P125" i="163"/>
  <c r="N125" i="163"/>
  <c r="M125" i="163"/>
  <c r="L125" i="163"/>
  <c r="K125" i="163"/>
  <c r="H125" i="163"/>
  <c r="A125" i="163"/>
  <c r="P124" i="163"/>
  <c r="N124" i="163"/>
  <c r="M124" i="163"/>
  <c r="L124" i="163"/>
  <c r="K124" i="163"/>
  <c r="H124" i="163"/>
  <c r="A124" i="163"/>
  <c r="P123" i="163"/>
  <c r="N123" i="163"/>
  <c r="M123" i="163"/>
  <c r="L123" i="163"/>
  <c r="K123" i="163"/>
  <c r="H123" i="163"/>
  <c r="A123" i="163"/>
  <c r="P122" i="163"/>
  <c r="N122" i="163"/>
  <c r="M122" i="163"/>
  <c r="L122" i="163"/>
  <c r="K122" i="163"/>
  <c r="H122" i="163"/>
  <c r="A122" i="163"/>
  <c r="P121" i="163"/>
  <c r="N121" i="163"/>
  <c r="M121" i="163"/>
  <c r="L121" i="163"/>
  <c r="K121" i="163"/>
  <c r="H121" i="163"/>
  <c r="A121" i="163"/>
  <c r="P120" i="163"/>
  <c r="N120" i="163"/>
  <c r="M120" i="163"/>
  <c r="L120" i="163"/>
  <c r="K120" i="163"/>
  <c r="H120" i="163"/>
  <c r="A120" i="163"/>
  <c r="P119" i="163"/>
  <c r="N119" i="163"/>
  <c r="M119" i="163"/>
  <c r="L119" i="163"/>
  <c r="K119" i="163"/>
  <c r="H119" i="163"/>
  <c r="A119" i="163"/>
  <c r="P118" i="163"/>
  <c r="N118" i="163"/>
  <c r="M118" i="163"/>
  <c r="L118" i="163"/>
  <c r="K118" i="163"/>
  <c r="H118" i="163"/>
  <c r="A118" i="163"/>
  <c r="P117" i="163"/>
  <c r="N117" i="163"/>
  <c r="M117" i="163"/>
  <c r="L117" i="163"/>
  <c r="K117" i="163"/>
  <c r="H117" i="163"/>
  <c r="A117" i="163"/>
  <c r="P116" i="163"/>
  <c r="N116" i="163"/>
  <c r="M116" i="163"/>
  <c r="L116" i="163"/>
  <c r="K116" i="163"/>
  <c r="H116" i="163"/>
  <c r="A116" i="163"/>
  <c r="P115" i="163"/>
  <c r="N115" i="163"/>
  <c r="M115" i="163"/>
  <c r="L115" i="163"/>
  <c r="K115" i="163"/>
  <c r="H115" i="163"/>
  <c r="A115" i="163"/>
  <c r="P114" i="163"/>
  <c r="N114" i="163"/>
  <c r="M114" i="163"/>
  <c r="L114" i="163"/>
  <c r="K114" i="163"/>
  <c r="H114" i="163"/>
  <c r="A114" i="163"/>
  <c r="P113" i="163"/>
  <c r="N113" i="163"/>
  <c r="M113" i="163"/>
  <c r="L113" i="163"/>
  <c r="K113" i="163"/>
  <c r="H113" i="163"/>
  <c r="A113" i="163"/>
  <c r="P112" i="163"/>
  <c r="N112" i="163"/>
  <c r="M112" i="163"/>
  <c r="L112" i="163"/>
  <c r="K112" i="163"/>
  <c r="H112" i="163"/>
  <c r="A112" i="163"/>
  <c r="P111" i="163"/>
  <c r="N111" i="163"/>
  <c r="M111" i="163"/>
  <c r="L111" i="163"/>
  <c r="K111" i="163"/>
  <c r="H111" i="163"/>
  <c r="A111" i="163"/>
  <c r="P110" i="163"/>
  <c r="N110" i="163"/>
  <c r="M110" i="163"/>
  <c r="L110" i="163"/>
  <c r="K110" i="163"/>
  <c r="H110" i="163"/>
  <c r="A110" i="163"/>
  <c r="P109" i="163"/>
  <c r="N109" i="163"/>
  <c r="M109" i="163"/>
  <c r="L109" i="163"/>
  <c r="K109" i="163"/>
  <c r="H109" i="163"/>
  <c r="A109" i="163"/>
  <c r="P108" i="163"/>
  <c r="N108" i="163"/>
  <c r="M108" i="163"/>
  <c r="L108" i="163"/>
  <c r="K108" i="163"/>
  <c r="H108" i="163"/>
  <c r="A108" i="163"/>
  <c r="P107" i="163"/>
  <c r="N107" i="163"/>
  <c r="M107" i="163"/>
  <c r="L107" i="163"/>
  <c r="K107" i="163"/>
  <c r="H107" i="163"/>
  <c r="A107" i="163"/>
  <c r="P106" i="163"/>
  <c r="N106" i="163"/>
  <c r="M106" i="163"/>
  <c r="L106" i="163"/>
  <c r="K106" i="163"/>
  <c r="H106" i="163"/>
  <c r="A106" i="163"/>
  <c r="P105" i="163"/>
  <c r="N105" i="163"/>
  <c r="M105" i="163"/>
  <c r="L105" i="163"/>
  <c r="K105" i="163"/>
  <c r="H105" i="163"/>
  <c r="A105" i="163"/>
  <c r="P104" i="163"/>
  <c r="N104" i="163"/>
  <c r="M104" i="163"/>
  <c r="L104" i="163"/>
  <c r="K104" i="163"/>
  <c r="H104" i="163"/>
  <c r="A104" i="163"/>
  <c r="P103" i="163"/>
  <c r="N103" i="163"/>
  <c r="M103" i="163"/>
  <c r="L103" i="163"/>
  <c r="K103" i="163"/>
  <c r="H103" i="163"/>
  <c r="A103" i="163"/>
  <c r="P102" i="163"/>
  <c r="N102" i="163"/>
  <c r="M102" i="163"/>
  <c r="L102" i="163"/>
  <c r="K102" i="163"/>
  <c r="H102" i="163"/>
  <c r="A102" i="163"/>
  <c r="P101" i="163"/>
  <c r="N101" i="163"/>
  <c r="M101" i="163"/>
  <c r="L101" i="163"/>
  <c r="K101" i="163"/>
  <c r="H101" i="163"/>
  <c r="A101" i="163"/>
  <c r="P100" i="163"/>
  <c r="N100" i="163"/>
  <c r="M100" i="163"/>
  <c r="L100" i="163"/>
  <c r="K100" i="163"/>
  <c r="H100" i="163"/>
  <c r="A100" i="163"/>
  <c r="P99" i="163"/>
  <c r="N99" i="163"/>
  <c r="M99" i="163"/>
  <c r="L99" i="163"/>
  <c r="K99" i="163"/>
  <c r="H99" i="163"/>
  <c r="A99" i="163"/>
  <c r="P98" i="163"/>
  <c r="N98" i="163"/>
  <c r="M98" i="163"/>
  <c r="L98" i="163"/>
  <c r="K98" i="163"/>
  <c r="H98" i="163"/>
  <c r="A98" i="163"/>
  <c r="P97" i="163"/>
  <c r="N97" i="163"/>
  <c r="M97" i="163"/>
  <c r="L97" i="163"/>
  <c r="K97" i="163"/>
  <c r="H97" i="163"/>
  <c r="A97" i="163"/>
  <c r="P96" i="163"/>
  <c r="N96" i="163"/>
  <c r="M96" i="163"/>
  <c r="L96" i="163"/>
  <c r="K96" i="163"/>
  <c r="H96" i="163"/>
  <c r="A96" i="163"/>
  <c r="P95" i="163"/>
  <c r="N95" i="163"/>
  <c r="M95" i="163"/>
  <c r="L95" i="163"/>
  <c r="K95" i="163"/>
  <c r="H95" i="163"/>
  <c r="A95" i="163"/>
  <c r="P94" i="163"/>
  <c r="N94" i="163"/>
  <c r="M94" i="163"/>
  <c r="L94" i="163"/>
  <c r="K94" i="163"/>
  <c r="H94" i="163"/>
  <c r="A94" i="163"/>
  <c r="P93" i="163"/>
  <c r="N93" i="163"/>
  <c r="M93" i="163"/>
  <c r="L93" i="163"/>
  <c r="K93" i="163"/>
  <c r="H93" i="163"/>
  <c r="A93" i="163"/>
  <c r="P92" i="163"/>
  <c r="N92" i="163"/>
  <c r="M92" i="163"/>
  <c r="L92" i="163"/>
  <c r="K92" i="163"/>
  <c r="H92" i="163"/>
  <c r="A92" i="163"/>
  <c r="P91" i="163"/>
  <c r="N91" i="163"/>
  <c r="M91" i="163"/>
  <c r="L91" i="163"/>
  <c r="K91" i="163"/>
  <c r="H91" i="163"/>
  <c r="A91" i="163"/>
  <c r="P90" i="163"/>
  <c r="N90" i="163"/>
  <c r="M90" i="163"/>
  <c r="L90" i="163"/>
  <c r="K90" i="163"/>
  <c r="H90" i="163"/>
  <c r="A90" i="163"/>
  <c r="P89" i="163"/>
  <c r="N89" i="163"/>
  <c r="M89" i="163"/>
  <c r="L89" i="163"/>
  <c r="K89" i="163"/>
  <c r="H89" i="163"/>
  <c r="A89" i="163"/>
  <c r="P88" i="163"/>
  <c r="N88" i="163"/>
  <c r="M88" i="163"/>
  <c r="L88" i="163"/>
  <c r="K88" i="163"/>
  <c r="H88" i="163"/>
  <c r="A88" i="163"/>
  <c r="P87" i="163"/>
  <c r="N87" i="163"/>
  <c r="M87" i="163"/>
  <c r="L87" i="163"/>
  <c r="K87" i="163"/>
  <c r="H87" i="163"/>
  <c r="A87" i="163"/>
  <c r="P86" i="163"/>
  <c r="N86" i="163"/>
  <c r="M86" i="163"/>
  <c r="L86" i="163"/>
  <c r="K86" i="163"/>
  <c r="H86" i="163"/>
  <c r="A86" i="163"/>
  <c r="P85" i="163"/>
  <c r="N85" i="163"/>
  <c r="M85" i="163"/>
  <c r="L85" i="163"/>
  <c r="K85" i="163"/>
  <c r="H85" i="163"/>
  <c r="A85" i="163"/>
  <c r="P84" i="163"/>
  <c r="N84" i="163"/>
  <c r="M84" i="163"/>
  <c r="L84" i="163"/>
  <c r="K84" i="163"/>
  <c r="H84" i="163"/>
  <c r="A84" i="163"/>
  <c r="P83" i="163"/>
  <c r="N83" i="163"/>
  <c r="M83" i="163"/>
  <c r="L83" i="163"/>
  <c r="K83" i="163"/>
  <c r="H83" i="163"/>
  <c r="A83" i="163"/>
  <c r="P82" i="163"/>
  <c r="N82" i="163"/>
  <c r="M82" i="163"/>
  <c r="L82" i="163"/>
  <c r="K82" i="163"/>
  <c r="H82" i="163"/>
  <c r="A82" i="163"/>
  <c r="P81" i="163"/>
  <c r="N81" i="163"/>
  <c r="M81" i="163"/>
  <c r="L81" i="163"/>
  <c r="K81" i="163"/>
  <c r="H81" i="163"/>
  <c r="A81" i="163"/>
  <c r="P80" i="163"/>
  <c r="N80" i="163"/>
  <c r="M80" i="163"/>
  <c r="L80" i="163"/>
  <c r="K80" i="163"/>
  <c r="H80" i="163"/>
  <c r="A80" i="163"/>
  <c r="P79" i="163"/>
  <c r="N79" i="163"/>
  <c r="M79" i="163"/>
  <c r="L79" i="163"/>
  <c r="K79" i="163"/>
  <c r="H79" i="163"/>
  <c r="A79" i="163"/>
  <c r="P78" i="163"/>
  <c r="N78" i="163"/>
  <c r="M78" i="163"/>
  <c r="L78" i="163"/>
  <c r="K78" i="163"/>
  <c r="H78" i="163"/>
  <c r="A78" i="163"/>
  <c r="P77" i="163"/>
  <c r="N77" i="163"/>
  <c r="M77" i="163"/>
  <c r="L77" i="163"/>
  <c r="K77" i="163"/>
  <c r="H77" i="163"/>
  <c r="A77" i="163"/>
  <c r="P76" i="163"/>
  <c r="N76" i="163"/>
  <c r="M76" i="163"/>
  <c r="L76" i="163"/>
  <c r="K76" i="163"/>
  <c r="H76" i="163"/>
  <c r="A76" i="163"/>
  <c r="P75" i="163"/>
  <c r="N75" i="163"/>
  <c r="M75" i="163"/>
  <c r="L75" i="163"/>
  <c r="K75" i="163"/>
  <c r="H75" i="163"/>
  <c r="A75" i="163"/>
  <c r="P74" i="163"/>
  <c r="N74" i="163"/>
  <c r="M74" i="163"/>
  <c r="L74" i="163"/>
  <c r="K74" i="163"/>
  <c r="H74" i="163"/>
  <c r="A74" i="163"/>
  <c r="P73" i="163"/>
  <c r="N73" i="163"/>
  <c r="M73" i="163"/>
  <c r="L73" i="163"/>
  <c r="K73" i="163"/>
  <c r="H73" i="163"/>
  <c r="A73" i="163"/>
  <c r="P72" i="163"/>
  <c r="N72" i="163"/>
  <c r="M72" i="163"/>
  <c r="L72" i="163"/>
  <c r="K72" i="163"/>
  <c r="H72" i="163"/>
  <c r="A72" i="163"/>
  <c r="P71" i="163"/>
  <c r="N71" i="163"/>
  <c r="M71" i="163"/>
  <c r="L71" i="163"/>
  <c r="K71" i="163"/>
  <c r="H71" i="163"/>
  <c r="A71" i="163"/>
  <c r="P70" i="163"/>
  <c r="N70" i="163"/>
  <c r="M70" i="163"/>
  <c r="L70" i="163"/>
  <c r="K70" i="163"/>
  <c r="H70" i="163"/>
  <c r="A70" i="163"/>
  <c r="P69" i="163"/>
  <c r="N69" i="163"/>
  <c r="M69" i="163"/>
  <c r="L69" i="163"/>
  <c r="K69" i="163"/>
  <c r="H69" i="163"/>
  <c r="A69" i="163"/>
  <c r="P68" i="163"/>
  <c r="N68" i="163"/>
  <c r="M68" i="163"/>
  <c r="L68" i="163"/>
  <c r="K68" i="163"/>
  <c r="H68" i="163"/>
  <c r="A68" i="163"/>
  <c r="P67" i="163"/>
  <c r="N67" i="163"/>
  <c r="M67" i="163"/>
  <c r="L67" i="163"/>
  <c r="K67" i="163"/>
  <c r="H67" i="163"/>
  <c r="A67" i="163"/>
  <c r="P66" i="163"/>
  <c r="N66" i="163"/>
  <c r="M66" i="163"/>
  <c r="L66" i="163"/>
  <c r="K66" i="163"/>
  <c r="H66" i="163"/>
  <c r="A66" i="163"/>
  <c r="P65" i="163"/>
  <c r="N65" i="163"/>
  <c r="M65" i="163"/>
  <c r="L65" i="163"/>
  <c r="K65" i="163"/>
  <c r="H65" i="163"/>
  <c r="A65" i="163"/>
  <c r="P64" i="163"/>
  <c r="N64" i="163"/>
  <c r="M64" i="163"/>
  <c r="L64" i="163"/>
  <c r="K64" i="163"/>
  <c r="H64" i="163"/>
  <c r="A64" i="163"/>
  <c r="P63" i="163"/>
  <c r="N63" i="163"/>
  <c r="M63" i="163"/>
  <c r="L63" i="163"/>
  <c r="K63" i="163"/>
  <c r="H63" i="163"/>
  <c r="A63" i="163"/>
  <c r="P62" i="163"/>
  <c r="N62" i="163"/>
  <c r="M62" i="163"/>
  <c r="L62" i="163"/>
  <c r="K62" i="163"/>
  <c r="H62" i="163"/>
  <c r="A62" i="163"/>
  <c r="P61" i="163"/>
  <c r="N61" i="163"/>
  <c r="M61" i="163"/>
  <c r="L61" i="163"/>
  <c r="K61" i="163"/>
  <c r="H61" i="163"/>
  <c r="A61" i="163"/>
  <c r="P60" i="163"/>
  <c r="N60" i="163"/>
  <c r="M60" i="163"/>
  <c r="L60" i="163"/>
  <c r="K60" i="163"/>
  <c r="H60" i="163"/>
  <c r="A60" i="163"/>
  <c r="P59" i="163"/>
  <c r="N59" i="163"/>
  <c r="M59" i="163"/>
  <c r="L59" i="163"/>
  <c r="K59" i="163"/>
  <c r="H59" i="163"/>
  <c r="A59" i="163"/>
  <c r="P58" i="163"/>
  <c r="N58" i="163"/>
  <c r="M58" i="163"/>
  <c r="L58" i="163"/>
  <c r="K58" i="163"/>
  <c r="H58" i="163"/>
  <c r="A58" i="163"/>
  <c r="P57" i="163"/>
  <c r="N57" i="163"/>
  <c r="M57" i="163"/>
  <c r="L57" i="163"/>
  <c r="K57" i="163"/>
  <c r="H57" i="163"/>
  <c r="A57" i="163"/>
  <c r="P56" i="163"/>
  <c r="N56" i="163"/>
  <c r="M56" i="163"/>
  <c r="L56" i="163"/>
  <c r="K56" i="163"/>
  <c r="H56" i="163"/>
  <c r="A56" i="163"/>
  <c r="P55" i="163"/>
  <c r="N55" i="163"/>
  <c r="M55" i="163"/>
  <c r="L55" i="163"/>
  <c r="K55" i="163"/>
  <c r="H55" i="163"/>
  <c r="A55" i="163"/>
  <c r="P54" i="163"/>
  <c r="N54" i="163"/>
  <c r="M54" i="163"/>
  <c r="L54" i="163"/>
  <c r="K54" i="163"/>
  <c r="H54" i="163"/>
  <c r="A54" i="163"/>
  <c r="P53" i="163"/>
  <c r="N53" i="163"/>
  <c r="M53" i="163"/>
  <c r="L53" i="163"/>
  <c r="K53" i="163"/>
  <c r="H53" i="163"/>
  <c r="A53" i="163"/>
  <c r="P52" i="163"/>
  <c r="N52" i="163"/>
  <c r="M52" i="163"/>
  <c r="L52" i="163"/>
  <c r="K52" i="163"/>
  <c r="H52" i="163"/>
  <c r="A52" i="163"/>
  <c r="P51" i="163"/>
  <c r="N51" i="163"/>
  <c r="M51" i="163"/>
  <c r="L51" i="163"/>
  <c r="K51" i="163"/>
  <c r="H51" i="163"/>
  <c r="A51" i="163"/>
  <c r="P50" i="163"/>
  <c r="N50" i="163"/>
  <c r="M50" i="163"/>
  <c r="L50" i="163"/>
  <c r="K50" i="163"/>
  <c r="H50" i="163"/>
  <c r="A50" i="163"/>
  <c r="P49" i="163"/>
  <c r="N49" i="163"/>
  <c r="M49" i="163"/>
  <c r="L49" i="163"/>
  <c r="K49" i="163"/>
  <c r="H49" i="163"/>
  <c r="A49" i="163"/>
  <c r="P48" i="163"/>
  <c r="N48" i="163"/>
  <c r="M48" i="163"/>
  <c r="L48" i="163"/>
  <c r="K48" i="163"/>
  <c r="H48" i="163"/>
  <c r="A48" i="163"/>
  <c r="P47" i="163"/>
  <c r="N47" i="163"/>
  <c r="M47" i="163"/>
  <c r="L47" i="163"/>
  <c r="K47" i="163"/>
  <c r="H47" i="163"/>
  <c r="A47" i="163"/>
  <c r="P46" i="163"/>
  <c r="N46" i="163"/>
  <c r="M46" i="163"/>
  <c r="L46" i="163"/>
  <c r="K46" i="163"/>
  <c r="H46" i="163"/>
  <c r="A46" i="163"/>
  <c r="P45" i="163"/>
  <c r="N45" i="163"/>
  <c r="M45" i="163"/>
  <c r="L45" i="163"/>
  <c r="K45" i="163"/>
  <c r="H45" i="163"/>
  <c r="A45" i="163"/>
  <c r="P44" i="163"/>
  <c r="N44" i="163"/>
  <c r="M44" i="163"/>
  <c r="L44" i="163"/>
  <c r="K44" i="163"/>
  <c r="H44" i="163"/>
  <c r="A44" i="163"/>
  <c r="P43" i="163"/>
  <c r="N43" i="163"/>
  <c r="M43" i="163"/>
  <c r="L43" i="163"/>
  <c r="K43" i="163"/>
  <c r="H43" i="163"/>
  <c r="A43" i="163"/>
  <c r="P42" i="163"/>
  <c r="N42" i="163"/>
  <c r="M42" i="163"/>
  <c r="L42" i="163"/>
  <c r="K42" i="163"/>
  <c r="H42" i="163"/>
  <c r="A42" i="163"/>
  <c r="P41" i="163"/>
  <c r="N41" i="163"/>
  <c r="M41" i="163"/>
  <c r="L41" i="163"/>
  <c r="K41" i="163"/>
  <c r="H41" i="163"/>
  <c r="A41" i="163"/>
  <c r="P40" i="163"/>
  <c r="N40" i="163"/>
  <c r="M40" i="163"/>
  <c r="L40" i="163"/>
  <c r="K40" i="163"/>
  <c r="H40" i="163"/>
  <c r="A40" i="163"/>
  <c r="P39" i="163"/>
  <c r="N39" i="163"/>
  <c r="M39" i="163"/>
  <c r="L39" i="163"/>
  <c r="K39" i="163"/>
  <c r="H39" i="163"/>
  <c r="A39" i="163"/>
  <c r="P38" i="163"/>
  <c r="N38" i="163"/>
  <c r="M38" i="163"/>
  <c r="L38" i="163"/>
  <c r="K38" i="163"/>
  <c r="H38" i="163"/>
  <c r="A38" i="163"/>
  <c r="P37" i="163"/>
  <c r="N37" i="163"/>
  <c r="M37" i="163"/>
  <c r="L37" i="163"/>
  <c r="K37" i="163"/>
  <c r="H37" i="163"/>
  <c r="A37" i="163"/>
  <c r="P36" i="163"/>
  <c r="N36" i="163"/>
  <c r="M36" i="163"/>
  <c r="L36" i="163"/>
  <c r="K36" i="163"/>
  <c r="H36" i="163"/>
  <c r="A36" i="163"/>
  <c r="P35" i="163"/>
  <c r="N35" i="163"/>
  <c r="M35" i="163"/>
  <c r="L35" i="163"/>
  <c r="K35" i="163"/>
  <c r="H35" i="163"/>
  <c r="A35" i="163"/>
  <c r="P34" i="163"/>
  <c r="N34" i="163"/>
  <c r="M34" i="163"/>
  <c r="L34" i="163"/>
  <c r="K34" i="163"/>
  <c r="H34" i="163"/>
  <c r="A34" i="163"/>
  <c r="P33" i="163"/>
  <c r="N33" i="163"/>
  <c r="M33" i="163"/>
  <c r="L33" i="163"/>
  <c r="K33" i="163"/>
  <c r="H33" i="163"/>
  <c r="A33" i="163"/>
  <c r="P32" i="163"/>
  <c r="N32" i="163"/>
  <c r="M32" i="163"/>
  <c r="L32" i="163"/>
  <c r="K32" i="163"/>
  <c r="H32" i="163"/>
  <c r="A32" i="163"/>
  <c r="P31" i="163"/>
  <c r="N31" i="163"/>
  <c r="M31" i="163"/>
  <c r="L31" i="163"/>
  <c r="K31" i="163"/>
  <c r="H31" i="163"/>
  <c r="A31" i="163"/>
  <c r="P30" i="163"/>
  <c r="N30" i="163"/>
  <c r="M30" i="163"/>
  <c r="L30" i="163"/>
  <c r="K30" i="163"/>
  <c r="H30" i="163"/>
  <c r="A30" i="163"/>
  <c r="P29" i="163"/>
  <c r="N29" i="163"/>
  <c r="M29" i="163"/>
  <c r="L29" i="163"/>
  <c r="K29" i="163"/>
  <c r="H29" i="163"/>
  <c r="A29" i="163"/>
  <c r="P28" i="163"/>
  <c r="N28" i="163"/>
  <c r="M28" i="163"/>
  <c r="L28" i="163"/>
  <c r="K28" i="163"/>
  <c r="H28" i="163"/>
  <c r="A28" i="163"/>
  <c r="P27" i="163"/>
  <c r="N27" i="163"/>
  <c r="M27" i="163"/>
  <c r="L27" i="163"/>
  <c r="K27" i="163"/>
  <c r="H27" i="163"/>
  <c r="A27" i="163"/>
  <c r="P26" i="163"/>
  <c r="N26" i="163"/>
  <c r="M26" i="163"/>
  <c r="L26" i="163"/>
  <c r="K26" i="163"/>
  <c r="H26" i="163"/>
  <c r="A26" i="163"/>
  <c r="P25" i="163"/>
  <c r="N25" i="163"/>
  <c r="M25" i="163"/>
  <c r="L25" i="163"/>
  <c r="K25" i="163"/>
  <c r="H25" i="163"/>
  <c r="A25" i="163"/>
  <c r="P24" i="163"/>
  <c r="N24" i="163"/>
  <c r="M24" i="163"/>
  <c r="L24" i="163"/>
  <c r="K24" i="163"/>
  <c r="H24" i="163"/>
  <c r="A24" i="163"/>
  <c r="P23" i="163"/>
  <c r="N23" i="163"/>
  <c r="M23" i="163"/>
  <c r="L23" i="163"/>
  <c r="K23" i="163"/>
  <c r="H23" i="163"/>
  <c r="A23" i="163"/>
  <c r="P22" i="163"/>
  <c r="N22" i="163"/>
  <c r="M22" i="163"/>
  <c r="L22" i="163"/>
  <c r="K22" i="163"/>
  <c r="H22" i="163"/>
  <c r="A22" i="163"/>
  <c r="P21" i="163"/>
  <c r="N21" i="163"/>
  <c r="M21" i="163"/>
  <c r="L21" i="163"/>
  <c r="K21" i="163"/>
  <c r="H21" i="163"/>
  <c r="A21" i="163"/>
  <c r="P20" i="163"/>
  <c r="N20" i="163"/>
  <c r="M20" i="163"/>
  <c r="L20" i="163"/>
  <c r="K20" i="163"/>
  <c r="H20" i="163"/>
  <c r="A20" i="163"/>
  <c r="P19" i="163"/>
  <c r="N19" i="163"/>
  <c r="M19" i="163"/>
  <c r="L19" i="163"/>
  <c r="K19" i="163"/>
  <c r="H19" i="163"/>
  <c r="A19" i="163"/>
  <c r="P18" i="163"/>
  <c r="N18" i="163"/>
  <c r="M18" i="163"/>
  <c r="L18" i="163"/>
  <c r="K18" i="163"/>
  <c r="H18" i="163"/>
  <c r="A18" i="163"/>
  <c r="P17" i="163"/>
  <c r="N17" i="163"/>
  <c r="M17" i="163"/>
  <c r="L17" i="163"/>
  <c r="K17" i="163"/>
  <c r="H17" i="163"/>
  <c r="A17" i="163"/>
  <c r="P16" i="163"/>
  <c r="N16" i="163"/>
  <c r="M16" i="163"/>
  <c r="L16" i="163"/>
  <c r="K16" i="163"/>
  <c r="H16" i="163"/>
  <c r="A16" i="163"/>
  <c r="P15" i="163"/>
  <c r="N15" i="163"/>
  <c r="M15" i="163"/>
  <c r="L15" i="163"/>
  <c r="K15" i="163"/>
  <c r="H15" i="163"/>
  <c r="A15" i="163"/>
  <c r="P14" i="163"/>
  <c r="N14" i="163"/>
  <c r="M14" i="163"/>
  <c r="L14" i="163"/>
  <c r="K14" i="163"/>
  <c r="H14" i="163"/>
  <c r="A14" i="163"/>
  <c r="P13" i="163"/>
  <c r="N13" i="163"/>
  <c r="M13" i="163"/>
  <c r="L13" i="163"/>
  <c r="K13" i="163"/>
  <c r="H13" i="163"/>
  <c r="A13" i="163"/>
  <c r="P12" i="163"/>
  <c r="N12" i="163"/>
  <c r="M12" i="163"/>
  <c r="L12" i="163"/>
  <c r="K12" i="163"/>
  <c r="H12" i="163"/>
  <c r="A12" i="163"/>
  <c r="P11" i="163"/>
  <c r="N11" i="163"/>
  <c r="M11" i="163"/>
  <c r="L11" i="163"/>
  <c r="K11" i="163"/>
  <c r="H11" i="163"/>
  <c r="A11" i="163"/>
  <c r="P10" i="163"/>
  <c r="N10" i="163"/>
  <c r="M10" i="163"/>
  <c r="L10" i="163"/>
  <c r="K10" i="163"/>
  <c r="H10" i="163"/>
  <c r="A10" i="163"/>
  <c r="P9" i="163"/>
  <c r="N9" i="163"/>
  <c r="M9" i="163"/>
  <c r="L9" i="163"/>
  <c r="K9" i="163"/>
  <c r="H9" i="163"/>
  <c r="A9" i="163"/>
  <c r="P8" i="163"/>
  <c r="N8" i="163"/>
  <c r="M8" i="163"/>
  <c r="L8" i="163"/>
  <c r="K8" i="163"/>
  <c r="H8" i="163"/>
  <c r="A8" i="163"/>
  <c r="P7" i="163"/>
  <c r="N7" i="163"/>
  <c r="M7" i="163"/>
  <c r="L7" i="163"/>
  <c r="K7" i="163"/>
  <c r="H7" i="163"/>
  <c r="A7" i="163"/>
  <c r="P6" i="163"/>
  <c r="N6" i="163"/>
  <c r="M6" i="163"/>
  <c r="L6" i="163"/>
  <c r="K6" i="163"/>
  <c r="H6" i="163"/>
  <c r="A6" i="163"/>
  <c r="P5" i="163"/>
  <c r="N5" i="163"/>
  <c r="M5" i="163"/>
  <c r="L5" i="163"/>
  <c r="K5" i="163"/>
  <c r="H5" i="163"/>
  <c r="A5" i="163"/>
  <c r="P4" i="163"/>
  <c r="N4" i="163"/>
  <c r="M4" i="163"/>
  <c r="L4" i="163"/>
  <c r="K4" i="163"/>
  <c r="H4" i="163"/>
  <c r="A4" i="163"/>
  <c r="P3" i="163"/>
  <c r="N3" i="163"/>
  <c r="M3" i="163"/>
  <c r="L3" i="163"/>
  <c r="K3" i="163"/>
  <c r="H3" i="163"/>
  <c r="A3" i="163"/>
  <c r="P2" i="163"/>
  <c r="N2" i="163"/>
  <c r="M2" i="163"/>
  <c r="L2" i="163"/>
  <c r="K2" i="163"/>
  <c r="H2" i="163"/>
  <c r="A2" i="163"/>
  <c r="F48" i="162"/>
  <c r="F47" i="162"/>
  <c r="B40" i="162"/>
  <c r="B41" i="162"/>
  <c r="B42" i="162"/>
  <c r="B43" i="162"/>
  <c r="B44" i="162"/>
  <c r="B45" i="162"/>
  <c r="B46" i="162"/>
  <c r="B47" i="162"/>
  <c r="C40" i="162"/>
  <c r="C41" i="162"/>
  <c r="C42" i="162"/>
  <c r="C43" i="162"/>
  <c r="C44" i="162"/>
  <c r="C45" i="162"/>
  <c r="C46" i="162"/>
  <c r="C47" i="162"/>
  <c r="F46" i="162"/>
  <c r="F45" i="162"/>
  <c r="F42" i="162"/>
  <c r="G42" i="162"/>
  <c r="F41" i="162"/>
  <c r="G41" i="162"/>
  <c r="F40" i="162"/>
  <c r="G40" i="162"/>
  <c r="B32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D32" i="162"/>
  <c r="G31" i="162"/>
  <c r="E31" i="162"/>
  <c r="H31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C18" i="162"/>
  <c r="D18" i="162"/>
  <c r="R17" i="162"/>
  <c r="P17" i="162"/>
  <c r="O17" i="162"/>
  <c r="M17" i="162"/>
  <c r="I17" i="162"/>
  <c r="J17" i="162"/>
  <c r="F17" i="162"/>
  <c r="C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P9" i="162"/>
  <c r="O9" i="162"/>
  <c r="M9" i="162"/>
  <c r="V8" i="162"/>
  <c r="P8" i="162"/>
  <c r="O8" i="162"/>
  <c r="M8" i="162"/>
  <c r="V7" i="162"/>
  <c r="P7" i="162"/>
  <c r="O7" i="162"/>
  <c r="M7" i="162"/>
  <c r="V6" i="162"/>
  <c r="P6" i="162"/>
  <c r="O6" i="162"/>
  <c r="M6" i="162"/>
  <c r="V5" i="162"/>
  <c r="P5" i="162"/>
  <c r="O5" i="162"/>
  <c r="M5" i="162"/>
  <c r="V4" i="162"/>
  <c r="P4" i="162"/>
  <c r="O4" i="162"/>
  <c r="M4" i="162"/>
  <c r="V3" i="162"/>
  <c r="P3" i="162"/>
  <c r="O3" i="162"/>
  <c r="M3" i="162"/>
  <c r="V2" i="162"/>
  <c r="I3" i="160"/>
  <c r="D3" i="160"/>
  <c r="J3" i="160"/>
  <c r="E3" i="160"/>
  <c r="C3" i="160"/>
  <c r="I2" i="160"/>
  <c r="D2" i="160"/>
  <c r="J2" i="160"/>
  <c r="E2" i="160"/>
  <c r="C2" i="160"/>
  <c r="I4" i="160"/>
  <c r="D4" i="160"/>
  <c r="J4" i="160"/>
  <c r="E4" i="160"/>
  <c r="C4" i="160"/>
  <c r="I5" i="160"/>
  <c r="D5" i="160"/>
  <c r="J5" i="160"/>
  <c r="E5" i="160"/>
  <c r="C5" i="160"/>
  <c r="I6" i="160"/>
  <c r="D6" i="160"/>
  <c r="J6" i="160"/>
  <c r="E6" i="160"/>
  <c r="C6" i="160"/>
  <c r="I7" i="160"/>
  <c r="D7" i="160"/>
  <c r="J7" i="160"/>
  <c r="E7" i="160"/>
  <c r="C7" i="160"/>
  <c r="I8" i="160"/>
  <c r="D8" i="160"/>
  <c r="J8" i="160"/>
  <c r="E8" i="160"/>
  <c r="C8" i="160"/>
  <c r="I9" i="160"/>
  <c r="D9" i="160"/>
  <c r="J9" i="160"/>
  <c r="E9" i="160"/>
  <c r="C9" i="160"/>
  <c r="I10" i="160"/>
  <c r="D10" i="160"/>
  <c r="J10" i="160"/>
  <c r="E10" i="160"/>
  <c r="C10" i="160"/>
  <c r="I11" i="160"/>
  <c r="D11" i="160"/>
  <c r="J11" i="160"/>
  <c r="E11" i="160"/>
  <c r="C11" i="160"/>
  <c r="I12" i="160"/>
  <c r="D12" i="160"/>
  <c r="J12" i="160"/>
  <c r="E12" i="160"/>
  <c r="C12" i="160"/>
  <c r="I13" i="160"/>
  <c r="D13" i="160"/>
  <c r="J13" i="160"/>
  <c r="E13" i="160"/>
  <c r="C13" i="160"/>
  <c r="I14" i="160"/>
  <c r="D14" i="160"/>
  <c r="J14" i="160"/>
  <c r="E14" i="160"/>
  <c r="C14" i="160"/>
  <c r="I15" i="160"/>
  <c r="D15" i="160"/>
  <c r="J15" i="160"/>
  <c r="E15" i="160"/>
  <c r="C15" i="160"/>
  <c r="I16" i="160"/>
  <c r="D16" i="160"/>
  <c r="J16" i="160"/>
  <c r="E16" i="160"/>
  <c r="C16" i="160"/>
  <c r="I17" i="160"/>
  <c r="D17" i="160"/>
  <c r="J17" i="160"/>
  <c r="E17" i="160"/>
  <c r="C17" i="160"/>
  <c r="I18" i="160"/>
  <c r="D18" i="160"/>
  <c r="J18" i="160"/>
  <c r="E18" i="160"/>
  <c r="C18" i="160"/>
  <c r="I19" i="160"/>
  <c r="D19" i="160"/>
  <c r="J19" i="160"/>
  <c r="E19" i="160"/>
  <c r="C19" i="160"/>
  <c r="I20" i="160"/>
  <c r="D20" i="160"/>
  <c r="J20" i="160"/>
  <c r="E20" i="160"/>
  <c r="C20" i="160"/>
  <c r="I21" i="160"/>
  <c r="D21" i="160"/>
  <c r="J21" i="160"/>
  <c r="E21" i="160"/>
  <c r="C21" i="160"/>
  <c r="I22" i="160"/>
  <c r="D22" i="160"/>
  <c r="J22" i="160"/>
  <c r="E22" i="160"/>
  <c r="C22" i="160"/>
  <c r="I23" i="160"/>
  <c r="D23" i="160"/>
  <c r="J23" i="160"/>
  <c r="E23" i="160"/>
  <c r="C23" i="160"/>
  <c r="I24" i="160"/>
  <c r="D24" i="160"/>
  <c r="J24" i="160"/>
  <c r="E24" i="160"/>
  <c r="C24" i="160"/>
  <c r="I25" i="160"/>
  <c r="D25" i="160"/>
  <c r="J25" i="160"/>
  <c r="E25" i="160"/>
  <c r="C25" i="160"/>
  <c r="I26" i="160"/>
  <c r="D26" i="160"/>
  <c r="J26" i="160"/>
  <c r="E26" i="160"/>
  <c r="C26" i="160"/>
  <c r="I27" i="160"/>
  <c r="D27" i="160"/>
  <c r="J27" i="160"/>
  <c r="E27" i="160"/>
  <c r="C27" i="160"/>
  <c r="I28" i="160"/>
  <c r="D28" i="160"/>
  <c r="J28" i="160"/>
  <c r="E28" i="160"/>
  <c r="C28" i="160"/>
  <c r="I29" i="160"/>
  <c r="D29" i="160"/>
  <c r="J29" i="160"/>
  <c r="E29" i="160"/>
  <c r="C29" i="160"/>
  <c r="I30" i="160"/>
  <c r="D30" i="160"/>
  <c r="J30" i="160"/>
  <c r="E30" i="160"/>
  <c r="C30" i="160"/>
  <c r="I31" i="160"/>
  <c r="D31" i="160"/>
  <c r="J31" i="160"/>
  <c r="E31" i="160"/>
  <c r="C31" i="160"/>
  <c r="I32" i="160"/>
  <c r="D32" i="160"/>
  <c r="J32" i="160"/>
  <c r="E32" i="160"/>
  <c r="C32" i="160"/>
  <c r="I33" i="160"/>
  <c r="D33" i="160"/>
  <c r="J33" i="160"/>
  <c r="E33" i="160"/>
  <c r="C33" i="160"/>
  <c r="I34" i="160"/>
  <c r="D34" i="160"/>
  <c r="J34" i="160"/>
  <c r="E34" i="160"/>
  <c r="C34" i="160"/>
  <c r="I35" i="160"/>
  <c r="D35" i="160"/>
  <c r="J35" i="160"/>
  <c r="E35" i="160"/>
  <c r="C35" i="160"/>
  <c r="I36" i="160"/>
  <c r="D36" i="160"/>
  <c r="J36" i="160"/>
  <c r="E36" i="160"/>
  <c r="C36" i="160"/>
  <c r="I37" i="160"/>
  <c r="D37" i="160"/>
  <c r="J37" i="160"/>
  <c r="E37" i="160"/>
  <c r="C37" i="160"/>
  <c r="I38" i="160"/>
  <c r="D38" i="160"/>
  <c r="J38" i="160"/>
  <c r="E38" i="160"/>
  <c r="C38" i="160"/>
  <c r="I39" i="160"/>
  <c r="D39" i="160"/>
  <c r="J39" i="160"/>
  <c r="E39" i="160"/>
  <c r="C39" i="160"/>
  <c r="I40" i="160"/>
  <c r="D40" i="160"/>
  <c r="J40" i="160"/>
  <c r="E40" i="160"/>
  <c r="C40" i="160"/>
  <c r="I41" i="160"/>
  <c r="D41" i="160"/>
  <c r="J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D215" i="160"/>
  <c r="J215" i="160"/>
  <c r="E215" i="160"/>
  <c r="C215" i="160"/>
  <c r="I216" i="160"/>
  <c r="D216" i="160"/>
  <c r="J216" i="160"/>
  <c r="E216" i="160"/>
  <c r="C216" i="160"/>
  <c r="I217" i="160"/>
  <c r="D217" i="160"/>
  <c r="J217" i="160"/>
  <c r="E217" i="160"/>
  <c r="C217" i="160"/>
  <c r="I218" i="160"/>
  <c r="D218" i="160"/>
  <c r="J218" i="160"/>
  <c r="E218" i="160"/>
  <c r="C218" i="160"/>
  <c r="I219" i="160"/>
  <c r="D219" i="160"/>
  <c r="J219" i="160"/>
  <c r="E219" i="160"/>
  <c r="C219" i="160"/>
  <c r="I220" i="160"/>
  <c r="D220" i="160"/>
  <c r="J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C300" i="160"/>
  <c r="I301" i="160"/>
  <c r="D301" i="160"/>
  <c r="J301" i="160"/>
  <c r="E301" i="160"/>
  <c r="C301" i="160"/>
  <c r="I302" i="160"/>
  <c r="D302" i="160"/>
  <c r="J302" i="160"/>
  <c r="E302" i="160"/>
  <c r="C302" i="160"/>
  <c r="I303" i="160"/>
  <c r="D303" i="160"/>
  <c r="J303" i="160"/>
  <c r="E303" i="160"/>
  <c r="C303" i="160"/>
  <c r="I304" i="160"/>
  <c r="D304" i="160"/>
  <c r="J304" i="160"/>
  <c r="E304" i="160"/>
  <c r="C304" i="160"/>
  <c r="I305" i="160"/>
  <c r="D305" i="160"/>
  <c r="J305" i="160"/>
  <c r="E305" i="160"/>
  <c r="C305" i="160"/>
  <c r="I306" i="160"/>
  <c r="D306" i="160"/>
  <c r="J306" i="160"/>
  <c r="E306" i="160"/>
  <c r="C306" i="160"/>
  <c r="F5" i="159"/>
  <c r="F6" i="159"/>
  <c r="A36" i="159"/>
  <c r="E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18" i="159"/>
  <c r="E17" i="159"/>
  <c r="B17" i="159"/>
  <c r="B18" i="159"/>
  <c r="G18" i="159"/>
  <c r="H18" i="159"/>
  <c r="O3" i="160"/>
  <c r="G17" i="159"/>
  <c r="H17" i="159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E24" i="159"/>
  <c r="B24" i="159"/>
  <c r="G24" i="159"/>
  <c r="H24" i="159"/>
  <c r="O42" i="160"/>
  <c r="E25" i="159"/>
  <c r="B25" i="159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E19" i="159"/>
  <c r="B19" i="159"/>
  <c r="G19" i="159"/>
  <c r="H19" i="159"/>
  <c r="O51" i="160"/>
  <c r="E20" i="159"/>
  <c r="E23" i="159"/>
  <c r="B23" i="159"/>
  <c r="E5" i="159"/>
  <c r="E28" i="159"/>
  <c r="B28" i="159"/>
  <c r="E29" i="159"/>
  <c r="B29" i="159"/>
  <c r="B21" i="159"/>
  <c r="B20" i="159"/>
  <c r="G20" i="159"/>
  <c r="H20" i="159"/>
  <c r="O52" i="160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E22" i="159"/>
  <c r="B22" i="159"/>
  <c r="G22" i="159"/>
  <c r="H22" i="159"/>
  <c r="O256" i="160"/>
  <c r="G23" i="159"/>
  <c r="H23" i="159"/>
  <c r="O257" i="160"/>
  <c r="O258" i="160"/>
  <c r="O259" i="160"/>
  <c r="G29" i="159"/>
  <c r="H29" i="159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R3" i="159"/>
  <c r="O300" i="160"/>
  <c r="R4" i="159"/>
  <c r="O301" i="160"/>
  <c r="R5" i="159"/>
  <c r="O302" i="160"/>
  <c r="R6" i="159"/>
  <c r="O303" i="160"/>
  <c r="R7" i="159"/>
  <c r="O304" i="160"/>
  <c r="R8" i="159"/>
  <c r="O305" i="160"/>
  <c r="R9" i="159"/>
  <c r="O306" i="160"/>
  <c r="O2" i="160"/>
  <c r="I3" i="154"/>
  <c r="D3" i="154"/>
  <c r="J3" i="154"/>
  <c r="E3" i="154"/>
  <c r="C3" i="154"/>
  <c r="I2" i="154"/>
  <c r="D2" i="154"/>
  <c r="J2" i="154"/>
  <c r="E2" i="154"/>
  <c r="C2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G18" i="153"/>
  <c r="H18" i="153"/>
  <c r="O3" i="154"/>
  <c r="G17" i="153"/>
  <c r="E17" i="153"/>
  <c r="H17" i="153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3" i="153"/>
  <c r="B23" i="153"/>
  <c r="E5" i="153"/>
  <c r="E28" i="153"/>
  <c r="B28" i="153"/>
  <c r="E29" i="153"/>
  <c r="B29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R3" i="153"/>
  <c r="O300" i="154"/>
  <c r="R4" i="153"/>
  <c r="O301" i="154"/>
  <c r="R5" i="153"/>
  <c r="O302" i="154"/>
  <c r="R6" i="153"/>
  <c r="O303" i="154"/>
  <c r="R7" i="153"/>
  <c r="O304" i="154"/>
  <c r="R8" i="153"/>
  <c r="O305" i="154"/>
  <c r="R9" i="153"/>
  <c r="O306" i="154"/>
  <c r="O2" i="154"/>
  <c r="F40" i="153"/>
  <c r="G4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A299" i="160"/>
  <c r="F299" i="160"/>
  <c r="H299" i="160"/>
  <c r="K299" i="160"/>
  <c r="L299" i="160"/>
  <c r="M299" i="160"/>
  <c r="N299" i="160"/>
  <c r="P299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300" i="160"/>
  <c r="F301" i="160"/>
  <c r="F302" i="160"/>
  <c r="F303" i="160"/>
  <c r="F304" i="160"/>
  <c r="F305" i="160"/>
  <c r="F306" i="160"/>
  <c r="F42" i="153"/>
  <c r="F41" i="153"/>
  <c r="G41" i="153"/>
  <c r="M9" i="153"/>
  <c r="M8" i="153"/>
  <c r="M7" i="153"/>
  <c r="M6" i="153"/>
  <c r="M5" i="153"/>
  <c r="M4" i="153"/>
  <c r="M3" i="153"/>
  <c r="F300" i="154"/>
  <c r="F301" i="154"/>
  <c r="F302" i="154"/>
  <c r="F303" i="154"/>
  <c r="F304" i="154"/>
  <c r="F305" i="154"/>
  <c r="F306" i="154"/>
  <c r="N306" i="154"/>
  <c r="M306" i="154"/>
  <c r="L306" i="154"/>
  <c r="K306" i="154"/>
  <c r="H306" i="154"/>
  <c r="N305" i="154"/>
  <c r="M305" i="154"/>
  <c r="L305" i="154"/>
  <c r="K305" i="154"/>
  <c r="H305" i="154"/>
  <c r="N304" i="154"/>
  <c r="M304" i="154"/>
  <c r="L304" i="154"/>
  <c r="K304" i="154"/>
  <c r="H304" i="154"/>
  <c r="N303" i="154"/>
  <c r="M303" i="154"/>
  <c r="L303" i="154"/>
  <c r="K303" i="154"/>
  <c r="H303" i="154"/>
  <c r="N302" i="154"/>
  <c r="M302" i="154"/>
  <c r="L302" i="154"/>
  <c r="K302" i="154"/>
  <c r="H302" i="154"/>
  <c r="N301" i="154"/>
  <c r="M301" i="154"/>
  <c r="L301" i="154"/>
  <c r="K301" i="154"/>
  <c r="H301" i="154"/>
  <c r="N300" i="154"/>
  <c r="M300" i="154"/>
  <c r="L300" i="154"/>
  <c r="K300" i="154"/>
  <c r="H300" i="154"/>
  <c r="F40" i="159"/>
  <c r="G40" i="159"/>
  <c r="A301" i="160"/>
  <c r="H301" i="160"/>
  <c r="K301" i="160"/>
  <c r="L301" i="160"/>
  <c r="M301" i="160"/>
  <c r="N301" i="160"/>
  <c r="P301" i="160"/>
  <c r="A302" i="160"/>
  <c r="H302" i="160"/>
  <c r="K302" i="160"/>
  <c r="L302" i="160"/>
  <c r="M302" i="160"/>
  <c r="N302" i="160"/>
  <c r="P302" i="160"/>
  <c r="A303" i="160"/>
  <c r="H303" i="160"/>
  <c r="K303" i="160"/>
  <c r="L303" i="160"/>
  <c r="M303" i="160"/>
  <c r="N303" i="160"/>
  <c r="P303" i="160"/>
  <c r="A304" i="160"/>
  <c r="H304" i="160"/>
  <c r="K304" i="160"/>
  <c r="L304" i="160"/>
  <c r="M304" i="160"/>
  <c r="N304" i="160"/>
  <c r="P304" i="160"/>
  <c r="A305" i="160"/>
  <c r="H305" i="160"/>
  <c r="K305" i="160"/>
  <c r="L305" i="160"/>
  <c r="M305" i="160"/>
  <c r="N305" i="160"/>
  <c r="P305" i="160"/>
  <c r="A306" i="160"/>
  <c r="H306" i="160"/>
  <c r="K306" i="160"/>
  <c r="L306" i="160"/>
  <c r="M306" i="160"/>
  <c r="N306" i="160"/>
  <c r="P306" i="160"/>
  <c r="E7" i="103"/>
  <c r="B2" i="98"/>
  <c r="B32" i="153"/>
  <c r="A295" i="154"/>
  <c r="F295" i="154"/>
  <c r="H295" i="154"/>
  <c r="K295" i="154"/>
  <c r="L295" i="154"/>
  <c r="M295" i="154"/>
  <c r="N295" i="154"/>
  <c r="F296" i="154"/>
  <c r="F297" i="154"/>
  <c r="F298" i="154"/>
  <c r="F299" i="154"/>
  <c r="B10" i="153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P2" i="154"/>
  <c r="B10" i="159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38" i="160"/>
  <c r="P139" i="160"/>
  <c r="P140" i="160"/>
  <c r="P141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300" i="160"/>
  <c r="P2" i="160"/>
  <c r="A295" i="160"/>
  <c r="H295" i="160"/>
  <c r="K295" i="160"/>
  <c r="L295" i="160"/>
  <c r="M295" i="160"/>
  <c r="N295" i="160"/>
  <c r="A296" i="160"/>
  <c r="H296" i="160"/>
  <c r="K296" i="160"/>
  <c r="L296" i="160"/>
  <c r="M296" i="160"/>
  <c r="N296" i="160"/>
  <c r="A297" i="160"/>
  <c r="H297" i="160"/>
  <c r="K297" i="160"/>
  <c r="L297" i="160"/>
  <c r="M297" i="160"/>
  <c r="N297" i="160"/>
  <c r="A298" i="160"/>
  <c r="H298" i="160"/>
  <c r="K298" i="160"/>
  <c r="L298" i="160"/>
  <c r="M298" i="160"/>
  <c r="N298" i="160"/>
  <c r="A300" i="160"/>
  <c r="H300" i="160"/>
  <c r="K300" i="160"/>
  <c r="L300" i="160"/>
  <c r="M300" i="160"/>
  <c r="N300" i="160"/>
  <c r="B32" i="159"/>
  <c r="E31" i="159"/>
  <c r="G31" i="159"/>
  <c r="H31" i="159"/>
  <c r="E30" i="159"/>
  <c r="G30" i="159"/>
  <c r="H30" i="159"/>
  <c r="N294" i="160"/>
  <c r="M294" i="160"/>
  <c r="L294" i="160"/>
  <c r="K294" i="160"/>
  <c r="H294" i="160"/>
  <c r="A294" i="160"/>
  <c r="N293" i="160"/>
  <c r="M293" i="160"/>
  <c r="L293" i="160"/>
  <c r="K293" i="160"/>
  <c r="H293" i="160"/>
  <c r="A293" i="160"/>
  <c r="N292" i="160"/>
  <c r="M292" i="160"/>
  <c r="L292" i="160"/>
  <c r="K292" i="160"/>
  <c r="H292" i="160"/>
  <c r="A292" i="160"/>
  <c r="N291" i="160"/>
  <c r="M291" i="160"/>
  <c r="L291" i="160"/>
  <c r="K291" i="160"/>
  <c r="H291" i="160"/>
  <c r="A291" i="160"/>
  <c r="N290" i="160"/>
  <c r="M290" i="160"/>
  <c r="L290" i="160"/>
  <c r="K290" i="160"/>
  <c r="H290" i="160"/>
  <c r="A290" i="160"/>
  <c r="N289" i="160"/>
  <c r="M289" i="160"/>
  <c r="L289" i="160"/>
  <c r="K289" i="160"/>
  <c r="H289" i="160"/>
  <c r="A289" i="160"/>
  <c r="N288" i="160"/>
  <c r="M288" i="160"/>
  <c r="L288" i="160"/>
  <c r="K288" i="160"/>
  <c r="H288" i="160"/>
  <c r="A288" i="160"/>
  <c r="N287" i="160"/>
  <c r="M287" i="160"/>
  <c r="L287" i="160"/>
  <c r="K287" i="160"/>
  <c r="H287" i="160"/>
  <c r="A287" i="160"/>
  <c r="N286" i="160"/>
  <c r="M286" i="160"/>
  <c r="L286" i="160"/>
  <c r="K286" i="160"/>
  <c r="H286" i="160"/>
  <c r="A286" i="160"/>
  <c r="N285" i="160"/>
  <c r="M285" i="160"/>
  <c r="L285" i="160"/>
  <c r="K285" i="160"/>
  <c r="H285" i="160"/>
  <c r="A285" i="160"/>
  <c r="N284" i="160"/>
  <c r="M284" i="160"/>
  <c r="L284" i="160"/>
  <c r="K284" i="160"/>
  <c r="H284" i="160"/>
  <c r="A284" i="160"/>
  <c r="N283" i="160"/>
  <c r="M283" i="160"/>
  <c r="L283" i="160"/>
  <c r="K283" i="160"/>
  <c r="H283" i="160"/>
  <c r="A283" i="160"/>
  <c r="N282" i="160"/>
  <c r="M282" i="160"/>
  <c r="L282" i="160"/>
  <c r="K282" i="160"/>
  <c r="H282" i="160"/>
  <c r="A282" i="160"/>
  <c r="N281" i="160"/>
  <c r="M281" i="160"/>
  <c r="L281" i="160"/>
  <c r="K281" i="160"/>
  <c r="H281" i="160"/>
  <c r="A281" i="160"/>
  <c r="N280" i="160"/>
  <c r="M280" i="160"/>
  <c r="L280" i="160"/>
  <c r="K280" i="160"/>
  <c r="H280" i="160"/>
  <c r="A280" i="160"/>
  <c r="N279" i="160"/>
  <c r="M279" i="160"/>
  <c r="L279" i="160"/>
  <c r="K279" i="160"/>
  <c r="H279" i="160"/>
  <c r="A279" i="160"/>
  <c r="N278" i="160"/>
  <c r="M278" i="160"/>
  <c r="L278" i="160"/>
  <c r="K278" i="160"/>
  <c r="H278" i="160"/>
  <c r="A278" i="160"/>
  <c r="N277" i="160"/>
  <c r="M277" i="160"/>
  <c r="L277" i="160"/>
  <c r="K277" i="160"/>
  <c r="H277" i="160"/>
  <c r="A277" i="160"/>
  <c r="N276" i="160"/>
  <c r="M276" i="160"/>
  <c r="L276" i="160"/>
  <c r="K276" i="160"/>
  <c r="H276" i="160"/>
  <c r="A276" i="160"/>
  <c r="N275" i="160"/>
  <c r="M275" i="160"/>
  <c r="L275" i="160"/>
  <c r="K275" i="160"/>
  <c r="H275" i="160"/>
  <c r="A275" i="160"/>
  <c r="N274" i="160"/>
  <c r="M274" i="160"/>
  <c r="L274" i="160"/>
  <c r="K274" i="160"/>
  <c r="H274" i="160"/>
  <c r="A274" i="160"/>
  <c r="N273" i="160"/>
  <c r="M273" i="160"/>
  <c r="L273" i="160"/>
  <c r="K273" i="160"/>
  <c r="H273" i="160"/>
  <c r="A273" i="160"/>
  <c r="N272" i="160"/>
  <c r="M272" i="160"/>
  <c r="L272" i="160"/>
  <c r="K272" i="160"/>
  <c r="H272" i="160"/>
  <c r="A272" i="160"/>
  <c r="N271" i="160"/>
  <c r="M271" i="160"/>
  <c r="L271" i="160"/>
  <c r="K271" i="160"/>
  <c r="H271" i="160"/>
  <c r="A271" i="160"/>
  <c r="N270" i="160"/>
  <c r="M270" i="160"/>
  <c r="L270" i="160"/>
  <c r="K270" i="160"/>
  <c r="H270" i="160"/>
  <c r="A270" i="160"/>
  <c r="N269" i="160"/>
  <c r="M269" i="160"/>
  <c r="L269" i="160"/>
  <c r="K269" i="160"/>
  <c r="H269" i="160"/>
  <c r="A269" i="160"/>
  <c r="N268" i="160"/>
  <c r="M268" i="160"/>
  <c r="L268" i="160"/>
  <c r="K268" i="160"/>
  <c r="H268" i="160"/>
  <c r="A268" i="160"/>
  <c r="N267" i="160"/>
  <c r="M267" i="160"/>
  <c r="L267" i="160"/>
  <c r="K267" i="160"/>
  <c r="H267" i="160"/>
  <c r="A267" i="160"/>
  <c r="N266" i="160"/>
  <c r="M266" i="160"/>
  <c r="L266" i="160"/>
  <c r="K266" i="160"/>
  <c r="H266" i="160"/>
  <c r="A266" i="160"/>
  <c r="N265" i="160"/>
  <c r="M265" i="160"/>
  <c r="L265" i="160"/>
  <c r="K265" i="160"/>
  <c r="H265" i="160"/>
  <c r="A265" i="160"/>
  <c r="N264" i="160"/>
  <c r="M264" i="160"/>
  <c r="L264" i="160"/>
  <c r="K264" i="160"/>
  <c r="H264" i="160"/>
  <c r="A264" i="160"/>
  <c r="N263" i="160"/>
  <c r="M263" i="160"/>
  <c r="L263" i="160"/>
  <c r="K263" i="160"/>
  <c r="H263" i="160"/>
  <c r="A263" i="160"/>
  <c r="N262" i="160"/>
  <c r="M262" i="160"/>
  <c r="L262" i="160"/>
  <c r="K262" i="160"/>
  <c r="H262" i="160"/>
  <c r="A262" i="160"/>
  <c r="N261" i="160"/>
  <c r="M261" i="160"/>
  <c r="L261" i="160"/>
  <c r="K261" i="160"/>
  <c r="H261" i="160"/>
  <c r="A261" i="160"/>
  <c r="N260" i="160"/>
  <c r="M260" i="160"/>
  <c r="L260" i="160"/>
  <c r="K260" i="160"/>
  <c r="H260" i="160"/>
  <c r="A260" i="160"/>
  <c r="N259" i="160"/>
  <c r="M259" i="160"/>
  <c r="L259" i="160"/>
  <c r="K259" i="160"/>
  <c r="H259" i="160"/>
  <c r="A259" i="160"/>
  <c r="N258" i="160"/>
  <c r="M258" i="160"/>
  <c r="L258" i="160"/>
  <c r="K258" i="160"/>
  <c r="H258" i="160"/>
  <c r="A258" i="160"/>
  <c r="N257" i="160"/>
  <c r="M257" i="160"/>
  <c r="L257" i="160"/>
  <c r="K257" i="160"/>
  <c r="H257" i="160"/>
  <c r="A257" i="160"/>
  <c r="N256" i="160"/>
  <c r="M256" i="160"/>
  <c r="L256" i="160"/>
  <c r="K256" i="160"/>
  <c r="H256" i="160"/>
  <c r="A256" i="160"/>
  <c r="N255" i="160"/>
  <c r="M255" i="160"/>
  <c r="L255" i="160"/>
  <c r="K255" i="160"/>
  <c r="H255" i="160"/>
  <c r="A255" i="160"/>
  <c r="N254" i="160"/>
  <c r="M254" i="160"/>
  <c r="L254" i="160"/>
  <c r="K254" i="160"/>
  <c r="H254" i="160"/>
  <c r="A254" i="160"/>
  <c r="N253" i="160"/>
  <c r="M253" i="160"/>
  <c r="L253" i="160"/>
  <c r="K253" i="160"/>
  <c r="H253" i="160"/>
  <c r="A253" i="160"/>
  <c r="N252" i="160"/>
  <c r="M252" i="160"/>
  <c r="L252" i="160"/>
  <c r="K252" i="160"/>
  <c r="H252" i="160"/>
  <c r="A252" i="160"/>
  <c r="N251" i="160"/>
  <c r="M251" i="160"/>
  <c r="L251" i="160"/>
  <c r="K251" i="160"/>
  <c r="H251" i="160"/>
  <c r="A251" i="160"/>
  <c r="N250" i="160"/>
  <c r="M250" i="160"/>
  <c r="L250" i="160"/>
  <c r="K250" i="160"/>
  <c r="H250" i="160"/>
  <c r="A250" i="160"/>
  <c r="N249" i="160"/>
  <c r="M249" i="160"/>
  <c r="L249" i="160"/>
  <c r="K249" i="160"/>
  <c r="H249" i="160"/>
  <c r="A249" i="160"/>
  <c r="N248" i="160"/>
  <c r="M248" i="160"/>
  <c r="L248" i="160"/>
  <c r="K248" i="160"/>
  <c r="H248" i="160"/>
  <c r="A248" i="160"/>
  <c r="N247" i="160"/>
  <c r="M247" i="160"/>
  <c r="L247" i="160"/>
  <c r="K247" i="160"/>
  <c r="H247" i="160"/>
  <c r="A247" i="160"/>
  <c r="N246" i="160"/>
  <c r="M246" i="160"/>
  <c r="L246" i="160"/>
  <c r="K246" i="160"/>
  <c r="H246" i="160"/>
  <c r="A246" i="160"/>
  <c r="N245" i="160"/>
  <c r="M245" i="160"/>
  <c r="L245" i="160"/>
  <c r="K245" i="160"/>
  <c r="H245" i="160"/>
  <c r="A245" i="160"/>
  <c r="N244" i="160"/>
  <c r="M244" i="160"/>
  <c r="L244" i="160"/>
  <c r="K244" i="160"/>
  <c r="H244" i="160"/>
  <c r="A244" i="160"/>
  <c r="N243" i="160"/>
  <c r="M243" i="160"/>
  <c r="L243" i="160"/>
  <c r="K243" i="160"/>
  <c r="H243" i="160"/>
  <c r="A243" i="160"/>
  <c r="N242" i="160"/>
  <c r="M242" i="160"/>
  <c r="L242" i="160"/>
  <c r="K242" i="160"/>
  <c r="H242" i="160"/>
  <c r="A242" i="160"/>
  <c r="N241" i="160"/>
  <c r="M241" i="160"/>
  <c r="L241" i="160"/>
  <c r="K241" i="160"/>
  <c r="H241" i="160"/>
  <c r="A241" i="160"/>
  <c r="N240" i="160"/>
  <c r="M240" i="160"/>
  <c r="L240" i="160"/>
  <c r="K240" i="160"/>
  <c r="H240" i="160"/>
  <c r="A240" i="160"/>
  <c r="N239" i="160"/>
  <c r="M239" i="160"/>
  <c r="L239" i="160"/>
  <c r="K239" i="160"/>
  <c r="H239" i="160"/>
  <c r="A239" i="160"/>
  <c r="N238" i="160"/>
  <c r="M238" i="160"/>
  <c r="L238" i="160"/>
  <c r="K238" i="160"/>
  <c r="H238" i="160"/>
  <c r="A238" i="160"/>
  <c r="N237" i="160"/>
  <c r="M237" i="160"/>
  <c r="L237" i="160"/>
  <c r="K237" i="160"/>
  <c r="H237" i="160"/>
  <c r="A237" i="160"/>
  <c r="N236" i="160"/>
  <c r="M236" i="160"/>
  <c r="L236" i="160"/>
  <c r="K236" i="160"/>
  <c r="H236" i="160"/>
  <c r="A236" i="160"/>
  <c r="N235" i="160"/>
  <c r="M235" i="160"/>
  <c r="L235" i="160"/>
  <c r="K235" i="160"/>
  <c r="H235" i="160"/>
  <c r="A235" i="160"/>
  <c r="N234" i="160"/>
  <c r="M234" i="160"/>
  <c r="L234" i="160"/>
  <c r="K234" i="160"/>
  <c r="H234" i="160"/>
  <c r="A234" i="160"/>
  <c r="N233" i="160"/>
  <c r="M233" i="160"/>
  <c r="L233" i="160"/>
  <c r="K233" i="160"/>
  <c r="H233" i="160"/>
  <c r="A233" i="160"/>
  <c r="N232" i="160"/>
  <c r="M232" i="160"/>
  <c r="L232" i="160"/>
  <c r="K232" i="160"/>
  <c r="H232" i="160"/>
  <c r="A232" i="160"/>
  <c r="N231" i="160"/>
  <c r="M231" i="160"/>
  <c r="L231" i="160"/>
  <c r="K231" i="160"/>
  <c r="H231" i="160"/>
  <c r="A231" i="160"/>
  <c r="N230" i="160"/>
  <c r="M230" i="160"/>
  <c r="L230" i="160"/>
  <c r="K230" i="160"/>
  <c r="H230" i="160"/>
  <c r="A230" i="160"/>
  <c r="N229" i="160"/>
  <c r="M229" i="160"/>
  <c r="L229" i="160"/>
  <c r="K229" i="160"/>
  <c r="H229" i="160"/>
  <c r="A229" i="160"/>
  <c r="N228" i="160"/>
  <c r="M228" i="160"/>
  <c r="L228" i="160"/>
  <c r="K228" i="160"/>
  <c r="H228" i="160"/>
  <c r="A228" i="160"/>
  <c r="N227" i="160"/>
  <c r="M227" i="160"/>
  <c r="L227" i="160"/>
  <c r="K227" i="160"/>
  <c r="H227" i="160"/>
  <c r="A227" i="160"/>
  <c r="N226" i="160"/>
  <c r="M226" i="160"/>
  <c r="L226" i="160"/>
  <c r="K226" i="160"/>
  <c r="H226" i="160"/>
  <c r="A226" i="160"/>
  <c r="N225" i="160"/>
  <c r="M225" i="160"/>
  <c r="L225" i="160"/>
  <c r="K225" i="160"/>
  <c r="H225" i="160"/>
  <c r="A225" i="160"/>
  <c r="N224" i="160"/>
  <c r="M224" i="160"/>
  <c r="L224" i="160"/>
  <c r="K224" i="160"/>
  <c r="H224" i="160"/>
  <c r="A224" i="160"/>
  <c r="N223" i="160"/>
  <c r="M223" i="160"/>
  <c r="L223" i="160"/>
  <c r="K223" i="160"/>
  <c r="H223" i="160"/>
  <c r="A223" i="160"/>
  <c r="N222" i="160"/>
  <c r="M222" i="160"/>
  <c r="L222" i="160"/>
  <c r="K222" i="160"/>
  <c r="H222" i="160"/>
  <c r="A222" i="160"/>
  <c r="N221" i="160"/>
  <c r="M221" i="160"/>
  <c r="L221" i="160"/>
  <c r="K221" i="160"/>
  <c r="H221" i="160"/>
  <c r="A221" i="160"/>
  <c r="N220" i="160"/>
  <c r="M220" i="160"/>
  <c r="L220" i="160"/>
  <c r="K220" i="160"/>
  <c r="H220" i="160"/>
  <c r="A220" i="160"/>
  <c r="N219" i="160"/>
  <c r="M219" i="160"/>
  <c r="L219" i="160"/>
  <c r="K219" i="160"/>
  <c r="H219" i="160"/>
  <c r="A219" i="160"/>
  <c r="N218" i="160"/>
  <c r="M218" i="160"/>
  <c r="L218" i="160"/>
  <c r="K218" i="160"/>
  <c r="H218" i="160"/>
  <c r="A218" i="160"/>
  <c r="N217" i="160"/>
  <c r="M217" i="160"/>
  <c r="L217" i="160"/>
  <c r="K217" i="160"/>
  <c r="H217" i="160"/>
  <c r="A217" i="160"/>
  <c r="N216" i="160"/>
  <c r="M216" i="160"/>
  <c r="L216" i="160"/>
  <c r="K216" i="160"/>
  <c r="H216" i="160"/>
  <c r="A216" i="160"/>
  <c r="N215" i="160"/>
  <c r="M215" i="160"/>
  <c r="L215" i="160"/>
  <c r="K215" i="160"/>
  <c r="H215" i="160"/>
  <c r="A215" i="160"/>
  <c r="N214" i="160"/>
  <c r="M214" i="160"/>
  <c r="L214" i="160"/>
  <c r="K214" i="160"/>
  <c r="H214" i="160"/>
  <c r="A214" i="160"/>
  <c r="N213" i="160"/>
  <c r="M213" i="160"/>
  <c r="L213" i="160"/>
  <c r="K213" i="160"/>
  <c r="H213" i="160"/>
  <c r="A213" i="160"/>
  <c r="N212" i="160"/>
  <c r="M212" i="160"/>
  <c r="L212" i="160"/>
  <c r="K212" i="160"/>
  <c r="H212" i="160"/>
  <c r="A212" i="160"/>
  <c r="N211" i="160"/>
  <c r="M211" i="160"/>
  <c r="L211" i="160"/>
  <c r="K211" i="160"/>
  <c r="H211" i="160"/>
  <c r="A211" i="160"/>
  <c r="N210" i="160"/>
  <c r="M210" i="160"/>
  <c r="L210" i="160"/>
  <c r="K210" i="160"/>
  <c r="H210" i="160"/>
  <c r="A210" i="160"/>
  <c r="N209" i="160"/>
  <c r="M209" i="160"/>
  <c r="L209" i="160"/>
  <c r="K209" i="160"/>
  <c r="H209" i="160"/>
  <c r="A209" i="160"/>
  <c r="N208" i="160"/>
  <c r="M208" i="160"/>
  <c r="L208" i="160"/>
  <c r="K208" i="160"/>
  <c r="H208" i="160"/>
  <c r="A208" i="160"/>
  <c r="N207" i="160"/>
  <c r="M207" i="160"/>
  <c r="L207" i="160"/>
  <c r="K207" i="160"/>
  <c r="H207" i="160"/>
  <c r="A207" i="160"/>
  <c r="N206" i="160"/>
  <c r="M206" i="160"/>
  <c r="L206" i="160"/>
  <c r="K206" i="160"/>
  <c r="H206" i="160"/>
  <c r="A206" i="160"/>
  <c r="N205" i="160"/>
  <c r="M205" i="160"/>
  <c r="L205" i="160"/>
  <c r="K205" i="160"/>
  <c r="H205" i="160"/>
  <c r="A205" i="160"/>
  <c r="N204" i="160"/>
  <c r="M204" i="160"/>
  <c r="L204" i="160"/>
  <c r="K204" i="160"/>
  <c r="H204" i="160"/>
  <c r="A204" i="160"/>
  <c r="N203" i="160"/>
  <c r="M203" i="160"/>
  <c r="L203" i="160"/>
  <c r="K203" i="160"/>
  <c r="H203" i="160"/>
  <c r="A203" i="160"/>
  <c r="N202" i="160"/>
  <c r="M202" i="160"/>
  <c r="L202" i="160"/>
  <c r="K202" i="160"/>
  <c r="H202" i="160"/>
  <c r="A202" i="160"/>
  <c r="N201" i="160"/>
  <c r="M201" i="160"/>
  <c r="L201" i="160"/>
  <c r="K201" i="160"/>
  <c r="H201" i="160"/>
  <c r="A201" i="160"/>
  <c r="N200" i="160"/>
  <c r="M200" i="160"/>
  <c r="L200" i="160"/>
  <c r="K200" i="160"/>
  <c r="H200" i="160"/>
  <c r="A200" i="160"/>
  <c r="N199" i="160"/>
  <c r="M199" i="160"/>
  <c r="L199" i="160"/>
  <c r="K199" i="160"/>
  <c r="H199" i="160"/>
  <c r="A199" i="160"/>
  <c r="N198" i="160"/>
  <c r="M198" i="160"/>
  <c r="L198" i="160"/>
  <c r="K198" i="160"/>
  <c r="H198" i="160"/>
  <c r="A198" i="160"/>
  <c r="N197" i="160"/>
  <c r="M197" i="160"/>
  <c r="L197" i="160"/>
  <c r="K197" i="160"/>
  <c r="H197" i="160"/>
  <c r="A197" i="160"/>
  <c r="N196" i="160"/>
  <c r="M196" i="160"/>
  <c r="L196" i="160"/>
  <c r="K196" i="160"/>
  <c r="H196" i="160"/>
  <c r="A196" i="160"/>
  <c r="N195" i="160"/>
  <c r="M195" i="160"/>
  <c r="L195" i="160"/>
  <c r="K195" i="160"/>
  <c r="H195" i="160"/>
  <c r="A195" i="160"/>
  <c r="N194" i="160"/>
  <c r="M194" i="160"/>
  <c r="L194" i="160"/>
  <c r="K194" i="160"/>
  <c r="H194" i="160"/>
  <c r="A194" i="160"/>
  <c r="N193" i="160"/>
  <c r="M193" i="160"/>
  <c r="L193" i="160"/>
  <c r="K193" i="160"/>
  <c r="H193" i="160"/>
  <c r="A193" i="160"/>
  <c r="N192" i="160"/>
  <c r="M192" i="160"/>
  <c r="L192" i="160"/>
  <c r="K192" i="160"/>
  <c r="H192" i="160"/>
  <c r="A192" i="160"/>
  <c r="N191" i="160"/>
  <c r="M191" i="160"/>
  <c r="L191" i="160"/>
  <c r="K191" i="160"/>
  <c r="H191" i="160"/>
  <c r="A191" i="160"/>
  <c r="N190" i="160"/>
  <c r="M190" i="160"/>
  <c r="L190" i="160"/>
  <c r="K190" i="160"/>
  <c r="H190" i="160"/>
  <c r="A190" i="160"/>
  <c r="N189" i="160"/>
  <c r="M189" i="160"/>
  <c r="L189" i="160"/>
  <c r="K189" i="160"/>
  <c r="H189" i="160"/>
  <c r="A189" i="160"/>
  <c r="N188" i="160"/>
  <c r="M188" i="160"/>
  <c r="L188" i="160"/>
  <c r="K188" i="160"/>
  <c r="H188" i="160"/>
  <c r="A188" i="160"/>
  <c r="N187" i="160"/>
  <c r="M187" i="160"/>
  <c r="L187" i="160"/>
  <c r="K187" i="160"/>
  <c r="H187" i="160"/>
  <c r="A187" i="160"/>
  <c r="N186" i="160"/>
  <c r="M186" i="160"/>
  <c r="L186" i="160"/>
  <c r="K186" i="160"/>
  <c r="H186" i="160"/>
  <c r="A186" i="160"/>
  <c r="N185" i="160"/>
  <c r="M185" i="160"/>
  <c r="L185" i="160"/>
  <c r="K185" i="160"/>
  <c r="H185" i="160"/>
  <c r="A185" i="160"/>
  <c r="N184" i="160"/>
  <c r="M184" i="160"/>
  <c r="L184" i="160"/>
  <c r="K184" i="160"/>
  <c r="H184" i="160"/>
  <c r="A184" i="160"/>
  <c r="N183" i="160"/>
  <c r="M183" i="160"/>
  <c r="L183" i="160"/>
  <c r="K183" i="160"/>
  <c r="H183" i="160"/>
  <c r="A183" i="160"/>
  <c r="N182" i="160"/>
  <c r="M182" i="160"/>
  <c r="L182" i="160"/>
  <c r="K182" i="160"/>
  <c r="H182" i="160"/>
  <c r="A182" i="160"/>
  <c r="N181" i="160"/>
  <c r="M181" i="160"/>
  <c r="L181" i="160"/>
  <c r="K181" i="160"/>
  <c r="H181" i="160"/>
  <c r="A181" i="160"/>
  <c r="N180" i="160"/>
  <c r="M180" i="160"/>
  <c r="L180" i="160"/>
  <c r="K180" i="160"/>
  <c r="H180" i="160"/>
  <c r="A180" i="160"/>
  <c r="N179" i="160"/>
  <c r="M179" i="160"/>
  <c r="L179" i="160"/>
  <c r="K179" i="160"/>
  <c r="H179" i="160"/>
  <c r="A179" i="160"/>
  <c r="N178" i="160"/>
  <c r="M178" i="160"/>
  <c r="L178" i="160"/>
  <c r="K178" i="160"/>
  <c r="H178" i="160"/>
  <c r="A178" i="160"/>
  <c r="N177" i="160"/>
  <c r="M177" i="160"/>
  <c r="L177" i="160"/>
  <c r="K177" i="160"/>
  <c r="H177" i="160"/>
  <c r="A177" i="160"/>
  <c r="N176" i="160"/>
  <c r="M176" i="160"/>
  <c r="L176" i="160"/>
  <c r="K176" i="160"/>
  <c r="H176" i="160"/>
  <c r="A176" i="160"/>
  <c r="N175" i="160"/>
  <c r="M175" i="160"/>
  <c r="L175" i="160"/>
  <c r="K175" i="160"/>
  <c r="H175" i="160"/>
  <c r="A175" i="160"/>
  <c r="N174" i="160"/>
  <c r="M174" i="160"/>
  <c r="L174" i="160"/>
  <c r="K174" i="160"/>
  <c r="H174" i="160"/>
  <c r="A174" i="160"/>
  <c r="N173" i="160"/>
  <c r="M173" i="160"/>
  <c r="L173" i="160"/>
  <c r="K173" i="160"/>
  <c r="H173" i="160"/>
  <c r="A173" i="160"/>
  <c r="N172" i="160"/>
  <c r="M172" i="160"/>
  <c r="L172" i="160"/>
  <c r="K172" i="160"/>
  <c r="H172" i="160"/>
  <c r="A172" i="160"/>
  <c r="N171" i="160"/>
  <c r="M171" i="160"/>
  <c r="L171" i="160"/>
  <c r="K171" i="160"/>
  <c r="H171" i="160"/>
  <c r="A171" i="160"/>
  <c r="N170" i="160"/>
  <c r="M170" i="160"/>
  <c r="L170" i="160"/>
  <c r="K170" i="160"/>
  <c r="H170" i="160"/>
  <c r="A170" i="160"/>
  <c r="N169" i="160"/>
  <c r="M169" i="160"/>
  <c r="L169" i="160"/>
  <c r="K169" i="160"/>
  <c r="H169" i="160"/>
  <c r="A169" i="160"/>
  <c r="N168" i="160"/>
  <c r="M168" i="160"/>
  <c r="L168" i="160"/>
  <c r="K168" i="160"/>
  <c r="H168" i="160"/>
  <c r="A168" i="160"/>
  <c r="N167" i="160"/>
  <c r="M167" i="160"/>
  <c r="L167" i="160"/>
  <c r="K167" i="160"/>
  <c r="H167" i="160"/>
  <c r="A167" i="160"/>
  <c r="N166" i="160"/>
  <c r="M166" i="160"/>
  <c r="L166" i="160"/>
  <c r="K166" i="160"/>
  <c r="H166" i="160"/>
  <c r="A166" i="160"/>
  <c r="N165" i="160"/>
  <c r="M165" i="160"/>
  <c r="L165" i="160"/>
  <c r="K165" i="160"/>
  <c r="H165" i="160"/>
  <c r="A165" i="160"/>
  <c r="N164" i="160"/>
  <c r="M164" i="160"/>
  <c r="L164" i="160"/>
  <c r="K164" i="160"/>
  <c r="H164" i="160"/>
  <c r="A164" i="160"/>
  <c r="N163" i="160"/>
  <c r="M163" i="160"/>
  <c r="L163" i="160"/>
  <c r="K163" i="160"/>
  <c r="H163" i="160"/>
  <c r="A163" i="160"/>
  <c r="N162" i="160"/>
  <c r="M162" i="160"/>
  <c r="L162" i="160"/>
  <c r="K162" i="160"/>
  <c r="H162" i="160"/>
  <c r="A162" i="160"/>
  <c r="N161" i="160"/>
  <c r="M161" i="160"/>
  <c r="L161" i="160"/>
  <c r="K161" i="160"/>
  <c r="H161" i="160"/>
  <c r="A161" i="160"/>
  <c r="N160" i="160"/>
  <c r="M160" i="160"/>
  <c r="L160" i="160"/>
  <c r="K160" i="160"/>
  <c r="H160" i="160"/>
  <c r="A160" i="160"/>
  <c r="N159" i="160"/>
  <c r="M159" i="160"/>
  <c r="L159" i="160"/>
  <c r="K159" i="160"/>
  <c r="H159" i="160"/>
  <c r="A159" i="160"/>
  <c r="N158" i="160"/>
  <c r="M158" i="160"/>
  <c r="L158" i="160"/>
  <c r="K158" i="160"/>
  <c r="H158" i="160"/>
  <c r="A158" i="160"/>
  <c r="N157" i="160"/>
  <c r="M157" i="160"/>
  <c r="L157" i="160"/>
  <c r="K157" i="160"/>
  <c r="H157" i="160"/>
  <c r="A157" i="160"/>
  <c r="N156" i="160"/>
  <c r="M156" i="160"/>
  <c r="L156" i="160"/>
  <c r="K156" i="160"/>
  <c r="H156" i="160"/>
  <c r="A156" i="160"/>
  <c r="N155" i="160"/>
  <c r="M155" i="160"/>
  <c r="L155" i="160"/>
  <c r="K155" i="160"/>
  <c r="H155" i="160"/>
  <c r="A155" i="160"/>
  <c r="N154" i="160"/>
  <c r="M154" i="160"/>
  <c r="L154" i="160"/>
  <c r="K154" i="160"/>
  <c r="H154" i="160"/>
  <c r="A154" i="160"/>
  <c r="N153" i="160"/>
  <c r="M153" i="160"/>
  <c r="L153" i="160"/>
  <c r="K153" i="160"/>
  <c r="H153" i="160"/>
  <c r="A153" i="160"/>
  <c r="N152" i="160"/>
  <c r="M152" i="160"/>
  <c r="L152" i="160"/>
  <c r="K152" i="160"/>
  <c r="H152" i="160"/>
  <c r="A152" i="160"/>
  <c r="N151" i="160"/>
  <c r="M151" i="160"/>
  <c r="L151" i="160"/>
  <c r="K151" i="160"/>
  <c r="H151" i="160"/>
  <c r="A151" i="160"/>
  <c r="N150" i="160"/>
  <c r="M150" i="160"/>
  <c r="L150" i="160"/>
  <c r="K150" i="160"/>
  <c r="H150" i="160"/>
  <c r="A150" i="160"/>
  <c r="N149" i="160"/>
  <c r="M149" i="160"/>
  <c r="L149" i="160"/>
  <c r="K149" i="160"/>
  <c r="H149" i="160"/>
  <c r="A149" i="160"/>
  <c r="N148" i="160"/>
  <c r="M148" i="160"/>
  <c r="L148" i="160"/>
  <c r="K148" i="160"/>
  <c r="H148" i="160"/>
  <c r="A148" i="160"/>
  <c r="N147" i="160"/>
  <c r="M147" i="160"/>
  <c r="L147" i="160"/>
  <c r="K147" i="160"/>
  <c r="H147" i="160"/>
  <c r="A147" i="160"/>
  <c r="N146" i="160"/>
  <c r="M146" i="160"/>
  <c r="L146" i="160"/>
  <c r="K146" i="160"/>
  <c r="H146" i="160"/>
  <c r="A146" i="160"/>
  <c r="N145" i="160"/>
  <c r="M145" i="160"/>
  <c r="L145" i="160"/>
  <c r="K145" i="160"/>
  <c r="H145" i="160"/>
  <c r="A145" i="160"/>
  <c r="N144" i="160"/>
  <c r="M144" i="160"/>
  <c r="L144" i="160"/>
  <c r="K144" i="160"/>
  <c r="H144" i="160"/>
  <c r="A144" i="160"/>
  <c r="N143" i="160"/>
  <c r="M143" i="160"/>
  <c r="L143" i="160"/>
  <c r="K143" i="160"/>
  <c r="H143" i="160"/>
  <c r="A143" i="160"/>
  <c r="N142" i="160"/>
  <c r="M142" i="160"/>
  <c r="L142" i="160"/>
  <c r="K142" i="160"/>
  <c r="H142" i="160"/>
  <c r="A142" i="160"/>
  <c r="N141" i="160"/>
  <c r="M141" i="160"/>
  <c r="L141" i="160"/>
  <c r="K141" i="160"/>
  <c r="H141" i="160"/>
  <c r="A141" i="160"/>
  <c r="N140" i="160"/>
  <c r="M140" i="160"/>
  <c r="L140" i="160"/>
  <c r="K140" i="160"/>
  <c r="H140" i="160"/>
  <c r="A140" i="160"/>
  <c r="N139" i="160"/>
  <c r="M139" i="160"/>
  <c r="L139" i="160"/>
  <c r="K139" i="160"/>
  <c r="H139" i="160"/>
  <c r="A139" i="160"/>
  <c r="N138" i="160"/>
  <c r="M138" i="160"/>
  <c r="L138" i="160"/>
  <c r="K138" i="160"/>
  <c r="H138" i="160"/>
  <c r="A138" i="160"/>
  <c r="N137" i="160"/>
  <c r="M137" i="160"/>
  <c r="L137" i="160"/>
  <c r="K137" i="160"/>
  <c r="H137" i="160"/>
  <c r="A137" i="160"/>
  <c r="N136" i="160"/>
  <c r="M136" i="160"/>
  <c r="L136" i="160"/>
  <c r="K136" i="160"/>
  <c r="H136" i="160"/>
  <c r="A136" i="160"/>
  <c r="N135" i="160"/>
  <c r="M135" i="160"/>
  <c r="L135" i="160"/>
  <c r="K135" i="160"/>
  <c r="H135" i="160"/>
  <c r="A135" i="160"/>
  <c r="N134" i="160"/>
  <c r="M134" i="160"/>
  <c r="L134" i="160"/>
  <c r="K134" i="160"/>
  <c r="H134" i="160"/>
  <c r="A134" i="160"/>
  <c r="N133" i="160"/>
  <c r="M133" i="160"/>
  <c r="L133" i="160"/>
  <c r="K133" i="160"/>
  <c r="H133" i="160"/>
  <c r="A133" i="160"/>
  <c r="N132" i="160"/>
  <c r="M132" i="160"/>
  <c r="L132" i="160"/>
  <c r="K132" i="160"/>
  <c r="H132" i="160"/>
  <c r="A132" i="160"/>
  <c r="N131" i="160"/>
  <c r="M131" i="160"/>
  <c r="L131" i="160"/>
  <c r="K131" i="160"/>
  <c r="H131" i="160"/>
  <c r="A131" i="160"/>
  <c r="N130" i="160"/>
  <c r="M130" i="160"/>
  <c r="L130" i="160"/>
  <c r="K130" i="160"/>
  <c r="H130" i="160"/>
  <c r="A130" i="160"/>
  <c r="N129" i="160"/>
  <c r="M129" i="160"/>
  <c r="L129" i="160"/>
  <c r="K129" i="160"/>
  <c r="H129" i="160"/>
  <c r="A129" i="160"/>
  <c r="N128" i="160"/>
  <c r="M128" i="160"/>
  <c r="L128" i="160"/>
  <c r="K128" i="160"/>
  <c r="H128" i="160"/>
  <c r="A128" i="160"/>
  <c r="N127" i="160"/>
  <c r="M127" i="160"/>
  <c r="L127" i="160"/>
  <c r="K127" i="160"/>
  <c r="H127" i="160"/>
  <c r="A127" i="160"/>
  <c r="N126" i="160"/>
  <c r="M126" i="160"/>
  <c r="L126" i="160"/>
  <c r="K126" i="160"/>
  <c r="H126" i="160"/>
  <c r="A126" i="160"/>
  <c r="N125" i="160"/>
  <c r="M125" i="160"/>
  <c r="L125" i="160"/>
  <c r="K125" i="160"/>
  <c r="H125" i="160"/>
  <c r="A125" i="160"/>
  <c r="N124" i="160"/>
  <c r="M124" i="160"/>
  <c r="L124" i="160"/>
  <c r="K124" i="160"/>
  <c r="H124" i="160"/>
  <c r="A124" i="160"/>
  <c r="N123" i="160"/>
  <c r="M123" i="160"/>
  <c r="L123" i="160"/>
  <c r="K123" i="160"/>
  <c r="H123" i="160"/>
  <c r="A123" i="160"/>
  <c r="N122" i="160"/>
  <c r="M122" i="160"/>
  <c r="L122" i="160"/>
  <c r="K122" i="160"/>
  <c r="H122" i="160"/>
  <c r="A122" i="160"/>
  <c r="N121" i="160"/>
  <c r="M121" i="160"/>
  <c r="L121" i="160"/>
  <c r="K121" i="160"/>
  <c r="H121" i="160"/>
  <c r="A121" i="160"/>
  <c r="N120" i="160"/>
  <c r="M120" i="160"/>
  <c r="L120" i="160"/>
  <c r="K120" i="160"/>
  <c r="H120" i="160"/>
  <c r="A120" i="160"/>
  <c r="N119" i="160"/>
  <c r="M119" i="160"/>
  <c r="L119" i="160"/>
  <c r="K119" i="160"/>
  <c r="H119" i="160"/>
  <c r="A119" i="160"/>
  <c r="N118" i="160"/>
  <c r="M118" i="160"/>
  <c r="L118" i="160"/>
  <c r="K118" i="160"/>
  <c r="H118" i="160"/>
  <c r="A118" i="160"/>
  <c r="N117" i="160"/>
  <c r="M117" i="160"/>
  <c r="L117" i="160"/>
  <c r="K117" i="160"/>
  <c r="H117" i="160"/>
  <c r="A117" i="160"/>
  <c r="N116" i="160"/>
  <c r="M116" i="160"/>
  <c r="L116" i="160"/>
  <c r="K116" i="160"/>
  <c r="H116" i="160"/>
  <c r="A116" i="160"/>
  <c r="N115" i="160"/>
  <c r="M115" i="160"/>
  <c r="L115" i="160"/>
  <c r="K115" i="160"/>
  <c r="H115" i="160"/>
  <c r="A115" i="160"/>
  <c r="N114" i="160"/>
  <c r="M114" i="160"/>
  <c r="L114" i="160"/>
  <c r="K114" i="160"/>
  <c r="H114" i="160"/>
  <c r="A114" i="160"/>
  <c r="N113" i="160"/>
  <c r="M113" i="160"/>
  <c r="L113" i="160"/>
  <c r="K113" i="160"/>
  <c r="H113" i="160"/>
  <c r="A113" i="160"/>
  <c r="N112" i="160"/>
  <c r="M112" i="160"/>
  <c r="L112" i="160"/>
  <c r="K112" i="160"/>
  <c r="H112" i="160"/>
  <c r="A112" i="160"/>
  <c r="N111" i="160"/>
  <c r="M111" i="160"/>
  <c r="L111" i="160"/>
  <c r="K111" i="160"/>
  <c r="H111" i="160"/>
  <c r="A111" i="160"/>
  <c r="N110" i="160"/>
  <c r="M110" i="160"/>
  <c r="L110" i="160"/>
  <c r="K110" i="160"/>
  <c r="H110" i="160"/>
  <c r="A110" i="160"/>
  <c r="N109" i="160"/>
  <c r="M109" i="160"/>
  <c r="L109" i="160"/>
  <c r="K109" i="160"/>
  <c r="H109" i="160"/>
  <c r="A109" i="160"/>
  <c r="N108" i="160"/>
  <c r="M108" i="160"/>
  <c r="L108" i="160"/>
  <c r="K108" i="160"/>
  <c r="H108" i="160"/>
  <c r="A108" i="160"/>
  <c r="N107" i="160"/>
  <c r="M107" i="160"/>
  <c r="L107" i="160"/>
  <c r="K107" i="160"/>
  <c r="H107" i="160"/>
  <c r="A107" i="160"/>
  <c r="N106" i="160"/>
  <c r="M106" i="160"/>
  <c r="L106" i="160"/>
  <c r="K106" i="160"/>
  <c r="H106" i="160"/>
  <c r="A106" i="160"/>
  <c r="N105" i="160"/>
  <c r="M105" i="160"/>
  <c r="L105" i="160"/>
  <c r="K105" i="160"/>
  <c r="H105" i="160"/>
  <c r="A105" i="160"/>
  <c r="N104" i="160"/>
  <c r="M104" i="160"/>
  <c r="L104" i="160"/>
  <c r="K104" i="160"/>
  <c r="H104" i="160"/>
  <c r="A104" i="160"/>
  <c r="N103" i="160"/>
  <c r="M103" i="160"/>
  <c r="L103" i="160"/>
  <c r="K103" i="160"/>
  <c r="H103" i="160"/>
  <c r="A103" i="160"/>
  <c r="N102" i="160"/>
  <c r="M102" i="160"/>
  <c r="L102" i="160"/>
  <c r="K102" i="160"/>
  <c r="H102" i="160"/>
  <c r="A102" i="160"/>
  <c r="N101" i="160"/>
  <c r="M101" i="160"/>
  <c r="L101" i="160"/>
  <c r="K101" i="160"/>
  <c r="H101" i="160"/>
  <c r="A101" i="160"/>
  <c r="N100" i="160"/>
  <c r="M100" i="160"/>
  <c r="L100" i="160"/>
  <c r="K100" i="160"/>
  <c r="H100" i="160"/>
  <c r="A100" i="160"/>
  <c r="N99" i="160"/>
  <c r="M99" i="160"/>
  <c r="L99" i="160"/>
  <c r="K99" i="160"/>
  <c r="H99" i="160"/>
  <c r="A99" i="160"/>
  <c r="N98" i="160"/>
  <c r="M98" i="160"/>
  <c r="L98" i="160"/>
  <c r="K98" i="160"/>
  <c r="H98" i="160"/>
  <c r="A98" i="160"/>
  <c r="N97" i="160"/>
  <c r="M97" i="160"/>
  <c r="L97" i="160"/>
  <c r="K97" i="160"/>
  <c r="H97" i="160"/>
  <c r="A97" i="160"/>
  <c r="N96" i="160"/>
  <c r="M96" i="160"/>
  <c r="L96" i="160"/>
  <c r="K96" i="160"/>
  <c r="H96" i="160"/>
  <c r="A96" i="160"/>
  <c r="N95" i="160"/>
  <c r="M95" i="160"/>
  <c r="L95" i="160"/>
  <c r="K95" i="160"/>
  <c r="H95" i="160"/>
  <c r="A95" i="160"/>
  <c r="N94" i="160"/>
  <c r="M94" i="160"/>
  <c r="L94" i="160"/>
  <c r="K94" i="160"/>
  <c r="H94" i="160"/>
  <c r="A94" i="160"/>
  <c r="N93" i="160"/>
  <c r="M93" i="160"/>
  <c r="L93" i="160"/>
  <c r="K93" i="160"/>
  <c r="H93" i="160"/>
  <c r="A93" i="160"/>
  <c r="N92" i="160"/>
  <c r="M92" i="160"/>
  <c r="L92" i="160"/>
  <c r="K92" i="160"/>
  <c r="H92" i="160"/>
  <c r="A92" i="160"/>
  <c r="N91" i="160"/>
  <c r="M91" i="160"/>
  <c r="L91" i="160"/>
  <c r="K91" i="160"/>
  <c r="H91" i="160"/>
  <c r="A91" i="160"/>
  <c r="N90" i="160"/>
  <c r="M90" i="160"/>
  <c r="L90" i="160"/>
  <c r="K90" i="160"/>
  <c r="H90" i="160"/>
  <c r="A90" i="160"/>
  <c r="N89" i="160"/>
  <c r="M89" i="160"/>
  <c r="L89" i="160"/>
  <c r="K89" i="160"/>
  <c r="H89" i="160"/>
  <c r="A89" i="160"/>
  <c r="N88" i="160"/>
  <c r="M88" i="160"/>
  <c r="L88" i="160"/>
  <c r="K88" i="160"/>
  <c r="H88" i="160"/>
  <c r="A88" i="160"/>
  <c r="N87" i="160"/>
  <c r="M87" i="160"/>
  <c r="L87" i="160"/>
  <c r="K87" i="160"/>
  <c r="H87" i="160"/>
  <c r="A87" i="160"/>
  <c r="N86" i="160"/>
  <c r="M86" i="160"/>
  <c r="L86" i="160"/>
  <c r="K86" i="160"/>
  <c r="H86" i="160"/>
  <c r="A86" i="160"/>
  <c r="N85" i="160"/>
  <c r="M85" i="160"/>
  <c r="L85" i="160"/>
  <c r="K85" i="160"/>
  <c r="H85" i="160"/>
  <c r="A85" i="160"/>
  <c r="N84" i="160"/>
  <c r="M84" i="160"/>
  <c r="L84" i="160"/>
  <c r="K84" i="160"/>
  <c r="H84" i="160"/>
  <c r="A84" i="160"/>
  <c r="N83" i="160"/>
  <c r="M83" i="160"/>
  <c r="L83" i="160"/>
  <c r="K83" i="160"/>
  <c r="H83" i="160"/>
  <c r="A83" i="160"/>
  <c r="N82" i="160"/>
  <c r="M82" i="160"/>
  <c r="L82" i="160"/>
  <c r="K82" i="160"/>
  <c r="H82" i="160"/>
  <c r="A82" i="160"/>
  <c r="N81" i="160"/>
  <c r="M81" i="160"/>
  <c r="L81" i="160"/>
  <c r="K81" i="160"/>
  <c r="H81" i="160"/>
  <c r="A81" i="160"/>
  <c r="N80" i="160"/>
  <c r="M80" i="160"/>
  <c r="L80" i="160"/>
  <c r="K80" i="160"/>
  <c r="H80" i="160"/>
  <c r="A80" i="160"/>
  <c r="N79" i="160"/>
  <c r="M79" i="160"/>
  <c r="L79" i="160"/>
  <c r="K79" i="160"/>
  <c r="H79" i="160"/>
  <c r="A79" i="160"/>
  <c r="N78" i="160"/>
  <c r="M78" i="160"/>
  <c r="L78" i="160"/>
  <c r="K78" i="160"/>
  <c r="H78" i="160"/>
  <c r="A78" i="160"/>
  <c r="N77" i="160"/>
  <c r="M77" i="160"/>
  <c r="L77" i="160"/>
  <c r="K77" i="160"/>
  <c r="H77" i="160"/>
  <c r="A77" i="160"/>
  <c r="N76" i="160"/>
  <c r="M76" i="160"/>
  <c r="L76" i="160"/>
  <c r="K76" i="160"/>
  <c r="H76" i="160"/>
  <c r="A76" i="160"/>
  <c r="N75" i="160"/>
  <c r="M75" i="160"/>
  <c r="L75" i="160"/>
  <c r="K75" i="160"/>
  <c r="H75" i="160"/>
  <c r="A75" i="160"/>
  <c r="N74" i="160"/>
  <c r="M74" i="160"/>
  <c r="L74" i="160"/>
  <c r="K74" i="160"/>
  <c r="H74" i="160"/>
  <c r="A74" i="160"/>
  <c r="N73" i="160"/>
  <c r="M73" i="160"/>
  <c r="L73" i="160"/>
  <c r="K73" i="160"/>
  <c r="H73" i="160"/>
  <c r="A73" i="160"/>
  <c r="N72" i="160"/>
  <c r="M72" i="160"/>
  <c r="L72" i="160"/>
  <c r="K72" i="160"/>
  <c r="H72" i="160"/>
  <c r="A72" i="160"/>
  <c r="N71" i="160"/>
  <c r="M71" i="160"/>
  <c r="L71" i="160"/>
  <c r="K71" i="160"/>
  <c r="H71" i="160"/>
  <c r="A71" i="160"/>
  <c r="N70" i="160"/>
  <c r="M70" i="160"/>
  <c r="L70" i="160"/>
  <c r="K70" i="160"/>
  <c r="H70" i="160"/>
  <c r="A70" i="160"/>
  <c r="N69" i="160"/>
  <c r="M69" i="160"/>
  <c r="L69" i="160"/>
  <c r="K69" i="160"/>
  <c r="H69" i="160"/>
  <c r="A69" i="160"/>
  <c r="N68" i="160"/>
  <c r="M68" i="160"/>
  <c r="L68" i="160"/>
  <c r="K68" i="160"/>
  <c r="H68" i="160"/>
  <c r="A68" i="160"/>
  <c r="N67" i="160"/>
  <c r="M67" i="160"/>
  <c r="L67" i="160"/>
  <c r="K67" i="160"/>
  <c r="H67" i="160"/>
  <c r="A67" i="160"/>
  <c r="N66" i="160"/>
  <c r="M66" i="160"/>
  <c r="L66" i="160"/>
  <c r="K66" i="160"/>
  <c r="H66" i="160"/>
  <c r="A66" i="160"/>
  <c r="N65" i="160"/>
  <c r="M65" i="160"/>
  <c r="L65" i="160"/>
  <c r="K65" i="160"/>
  <c r="H65" i="160"/>
  <c r="A65" i="160"/>
  <c r="N64" i="160"/>
  <c r="M64" i="160"/>
  <c r="L64" i="160"/>
  <c r="K64" i="160"/>
  <c r="H64" i="160"/>
  <c r="A64" i="160"/>
  <c r="N63" i="160"/>
  <c r="M63" i="160"/>
  <c r="L63" i="160"/>
  <c r="K63" i="160"/>
  <c r="H63" i="160"/>
  <c r="A63" i="160"/>
  <c r="N62" i="160"/>
  <c r="M62" i="160"/>
  <c r="L62" i="160"/>
  <c r="K62" i="160"/>
  <c r="H62" i="160"/>
  <c r="A62" i="160"/>
  <c r="N61" i="160"/>
  <c r="M61" i="160"/>
  <c r="L61" i="160"/>
  <c r="K61" i="160"/>
  <c r="H61" i="160"/>
  <c r="A61" i="160"/>
  <c r="N60" i="160"/>
  <c r="M60" i="160"/>
  <c r="L60" i="160"/>
  <c r="K60" i="160"/>
  <c r="H60" i="160"/>
  <c r="A60" i="160"/>
  <c r="N59" i="160"/>
  <c r="M59" i="160"/>
  <c r="L59" i="160"/>
  <c r="K59" i="160"/>
  <c r="H59" i="160"/>
  <c r="A59" i="160"/>
  <c r="N58" i="160"/>
  <c r="M58" i="160"/>
  <c r="L58" i="160"/>
  <c r="K58" i="160"/>
  <c r="H58" i="160"/>
  <c r="A58" i="160"/>
  <c r="N57" i="160"/>
  <c r="M57" i="160"/>
  <c r="L57" i="160"/>
  <c r="K57" i="160"/>
  <c r="H57" i="160"/>
  <c r="A57" i="160"/>
  <c r="N56" i="160"/>
  <c r="M56" i="160"/>
  <c r="L56" i="160"/>
  <c r="K56" i="160"/>
  <c r="H56" i="160"/>
  <c r="A56" i="160"/>
  <c r="N55" i="160"/>
  <c r="M55" i="160"/>
  <c r="L55" i="160"/>
  <c r="K55" i="160"/>
  <c r="H55" i="160"/>
  <c r="A55" i="160"/>
  <c r="N54" i="160"/>
  <c r="M54" i="160"/>
  <c r="L54" i="160"/>
  <c r="K54" i="160"/>
  <c r="H54" i="160"/>
  <c r="A54" i="160"/>
  <c r="N53" i="160"/>
  <c r="M53" i="160"/>
  <c r="L53" i="160"/>
  <c r="K53" i="160"/>
  <c r="H53" i="160"/>
  <c r="A53" i="160"/>
  <c r="N52" i="160"/>
  <c r="M52" i="160"/>
  <c r="L52" i="160"/>
  <c r="K52" i="160"/>
  <c r="H52" i="160"/>
  <c r="A52" i="160"/>
  <c r="N51" i="160"/>
  <c r="M51" i="160"/>
  <c r="L51" i="160"/>
  <c r="K51" i="160"/>
  <c r="H51" i="160"/>
  <c r="A51" i="160"/>
  <c r="N50" i="160"/>
  <c r="M50" i="160"/>
  <c r="L50" i="160"/>
  <c r="K50" i="160"/>
  <c r="H50" i="160"/>
  <c r="A50" i="160"/>
  <c r="N49" i="160"/>
  <c r="M49" i="160"/>
  <c r="L49" i="160"/>
  <c r="K49" i="160"/>
  <c r="H49" i="160"/>
  <c r="A49" i="160"/>
  <c r="N48" i="160"/>
  <c r="M48" i="160"/>
  <c r="L48" i="160"/>
  <c r="K48" i="160"/>
  <c r="H48" i="160"/>
  <c r="A48" i="160"/>
  <c r="N47" i="160"/>
  <c r="M47" i="160"/>
  <c r="L47" i="160"/>
  <c r="K47" i="160"/>
  <c r="H47" i="160"/>
  <c r="A47" i="160"/>
  <c r="N46" i="160"/>
  <c r="M46" i="160"/>
  <c r="L46" i="160"/>
  <c r="K46" i="160"/>
  <c r="H46" i="160"/>
  <c r="A46" i="160"/>
  <c r="N45" i="160"/>
  <c r="M45" i="160"/>
  <c r="L45" i="160"/>
  <c r="K45" i="160"/>
  <c r="H45" i="160"/>
  <c r="A45" i="160"/>
  <c r="N44" i="160"/>
  <c r="M44" i="160"/>
  <c r="L44" i="160"/>
  <c r="K44" i="160"/>
  <c r="H44" i="160"/>
  <c r="A44" i="160"/>
  <c r="N43" i="160"/>
  <c r="M43" i="160"/>
  <c r="L43" i="160"/>
  <c r="K43" i="160"/>
  <c r="H43" i="160"/>
  <c r="A43" i="160"/>
  <c r="N42" i="160"/>
  <c r="M42" i="160"/>
  <c r="L42" i="160"/>
  <c r="K42" i="160"/>
  <c r="H42" i="160"/>
  <c r="A42" i="160"/>
  <c r="N41" i="160"/>
  <c r="M41" i="160"/>
  <c r="L41" i="160"/>
  <c r="K41" i="160"/>
  <c r="H41" i="160"/>
  <c r="A41" i="160"/>
  <c r="N40" i="160"/>
  <c r="M40" i="160"/>
  <c r="L40" i="160"/>
  <c r="K40" i="160"/>
  <c r="H40" i="160"/>
  <c r="A40" i="160"/>
  <c r="N39" i="160"/>
  <c r="M39" i="160"/>
  <c r="L39" i="160"/>
  <c r="K39" i="160"/>
  <c r="H39" i="160"/>
  <c r="A39" i="160"/>
  <c r="N38" i="160"/>
  <c r="M38" i="160"/>
  <c r="L38" i="160"/>
  <c r="K38" i="160"/>
  <c r="H38" i="160"/>
  <c r="A38" i="160"/>
  <c r="N37" i="160"/>
  <c r="M37" i="160"/>
  <c r="L37" i="160"/>
  <c r="K37" i="160"/>
  <c r="H37" i="160"/>
  <c r="A37" i="160"/>
  <c r="N36" i="160"/>
  <c r="M36" i="160"/>
  <c r="L36" i="160"/>
  <c r="K36" i="160"/>
  <c r="H36" i="160"/>
  <c r="A36" i="160"/>
  <c r="N35" i="160"/>
  <c r="M35" i="160"/>
  <c r="L35" i="160"/>
  <c r="K35" i="160"/>
  <c r="H35" i="160"/>
  <c r="A35" i="160"/>
  <c r="N34" i="160"/>
  <c r="M34" i="160"/>
  <c r="L34" i="160"/>
  <c r="K34" i="160"/>
  <c r="H34" i="160"/>
  <c r="A34" i="160"/>
  <c r="N33" i="160"/>
  <c r="M33" i="160"/>
  <c r="L33" i="160"/>
  <c r="K33" i="160"/>
  <c r="H33" i="160"/>
  <c r="A33" i="160"/>
  <c r="N32" i="160"/>
  <c r="M32" i="160"/>
  <c r="L32" i="160"/>
  <c r="K32" i="160"/>
  <c r="H32" i="160"/>
  <c r="A32" i="160"/>
  <c r="N31" i="160"/>
  <c r="M31" i="160"/>
  <c r="L31" i="160"/>
  <c r="K31" i="160"/>
  <c r="H31" i="160"/>
  <c r="A31" i="160"/>
  <c r="N30" i="160"/>
  <c r="M30" i="160"/>
  <c r="L30" i="160"/>
  <c r="K30" i="160"/>
  <c r="H30" i="160"/>
  <c r="A30" i="160"/>
  <c r="N29" i="160"/>
  <c r="M29" i="160"/>
  <c r="L29" i="160"/>
  <c r="K29" i="160"/>
  <c r="H29" i="160"/>
  <c r="A29" i="160"/>
  <c r="N28" i="160"/>
  <c r="M28" i="160"/>
  <c r="L28" i="160"/>
  <c r="K28" i="160"/>
  <c r="H28" i="160"/>
  <c r="A28" i="160"/>
  <c r="N27" i="160"/>
  <c r="M27" i="160"/>
  <c r="L27" i="160"/>
  <c r="K27" i="160"/>
  <c r="H27" i="160"/>
  <c r="A27" i="160"/>
  <c r="N26" i="160"/>
  <c r="M26" i="160"/>
  <c r="L26" i="160"/>
  <c r="K26" i="160"/>
  <c r="H26" i="160"/>
  <c r="A26" i="160"/>
  <c r="N25" i="160"/>
  <c r="M25" i="160"/>
  <c r="L25" i="160"/>
  <c r="K25" i="160"/>
  <c r="H25" i="160"/>
  <c r="A25" i="160"/>
  <c r="N24" i="160"/>
  <c r="M24" i="160"/>
  <c r="L24" i="160"/>
  <c r="K24" i="160"/>
  <c r="H24" i="160"/>
  <c r="A24" i="160"/>
  <c r="N23" i="160"/>
  <c r="M23" i="160"/>
  <c r="L23" i="160"/>
  <c r="K23" i="160"/>
  <c r="H23" i="160"/>
  <c r="A23" i="160"/>
  <c r="N22" i="160"/>
  <c r="M22" i="160"/>
  <c r="L22" i="160"/>
  <c r="K22" i="160"/>
  <c r="H22" i="160"/>
  <c r="A22" i="160"/>
  <c r="N21" i="160"/>
  <c r="M21" i="160"/>
  <c r="L21" i="160"/>
  <c r="K21" i="160"/>
  <c r="H21" i="160"/>
  <c r="A21" i="160"/>
  <c r="N20" i="160"/>
  <c r="M20" i="160"/>
  <c r="L20" i="160"/>
  <c r="K20" i="160"/>
  <c r="H20" i="160"/>
  <c r="A20" i="160"/>
  <c r="N19" i="160"/>
  <c r="M19" i="160"/>
  <c r="L19" i="160"/>
  <c r="K19" i="160"/>
  <c r="H19" i="160"/>
  <c r="A19" i="160"/>
  <c r="N18" i="160"/>
  <c r="M18" i="160"/>
  <c r="L18" i="160"/>
  <c r="K18" i="160"/>
  <c r="H18" i="160"/>
  <c r="A18" i="160"/>
  <c r="N17" i="160"/>
  <c r="M17" i="160"/>
  <c r="L17" i="160"/>
  <c r="K17" i="160"/>
  <c r="H17" i="160"/>
  <c r="A17" i="160"/>
  <c r="N16" i="160"/>
  <c r="M16" i="160"/>
  <c r="L16" i="160"/>
  <c r="K16" i="160"/>
  <c r="H16" i="160"/>
  <c r="A16" i="160"/>
  <c r="N15" i="160"/>
  <c r="M15" i="160"/>
  <c r="L15" i="160"/>
  <c r="K15" i="160"/>
  <c r="H15" i="160"/>
  <c r="A15" i="160"/>
  <c r="N14" i="160"/>
  <c r="M14" i="160"/>
  <c r="L14" i="160"/>
  <c r="K14" i="160"/>
  <c r="H14" i="160"/>
  <c r="A14" i="160"/>
  <c r="N13" i="160"/>
  <c r="M13" i="160"/>
  <c r="L13" i="160"/>
  <c r="K13" i="160"/>
  <c r="H13" i="160"/>
  <c r="A13" i="160"/>
  <c r="N12" i="160"/>
  <c r="M12" i="160"/>
  <c r="L12" i="160"/>
  <c r="K12" i="160"/>
  <c r="H12" i="160"/>
  <c r="A12" i="160"/>
  <c r="N11" i="160"/>
  <c r="M11" i="160"/>
  <c r="L11" i="160"/>
  <c r="K11" i="160"/>
  <c r="H11" i="160"/>
  <c r="A11" i="160"/>
  <c r="N10" i="160"/>
  <c r="M10" i="160"/>
  <c r="L10" i="160"/>
  <c r="K10" i="160"/>
  <c r="H10" i="160"/>
  <c r="A10" i="160"/>
  <c r="N9" i="160"/>
  <c r="M9" i="160"/>
  <c r="L9" i="160"/>
  <c r="K9" i="160"/>
  <c r="H9" i="160"/>
  <c r="A9" i="160"/>
  <c r="N8" i="160"/>
  <c r="M8" i="160"/>
  <c r="L8" i="160"/>
  <c r="K8" i="160"/>
  <c r="H8" i="160"/>
  <c r="A8" i="160"/>
  <c r="N7" i="160"/>
  <c r="M7" i="160"/>
  <c r="L7" i="160"/>
  <c r="K7" i="160"/>
  <c r="H7" i="160"/>
  <c r="A7" i="160"/>
  <c r="N6" i="160"/>
  <c r="M6" i="160"/>
  <c r="L6" i="160"/>
  <c r="K6" i="160"/>
  <c r="H6" i="160"/>
  <c r="A6" i="160"/>
  <c r="N5" i="160"/>
  <c r="M5" i="160"/>
  <c r="L5" i="160"/>
  <c r="K5" i="160"/>
  <c r="H5" i="160"/>
  <c r="A5" i="160"/>
  <c r="N4" i="160"/>
  <c r="M4" i="160"/>
  <c r="L4" i="160"/>
  <c r="K4" i="160"/>
  <c r="H4" i="160"/>
  <c r="A4" i="160"/>
  <c r="N3" i="160"/>
  <c r="M3" i="160"/>
  <c r="L3" i="160"/>
  <c r="K3" i="160"/>
  <c r="H3" i="160"/>
  <c r="A3" i="160"/>
  <c r="N2" i="160"/>
  <c r="M2" i="160"/>
  <c r="L2" i="160"/>
  <c r="K2" i="160"/>
  <c r="H2" i="160"/>
  <c r="A2" i="160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I31" i="159"/>
  <c r="J31" i="159"/>
  <c r="F31" i="159"/>
  <c r="D31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P9" i="159"/>
  <c r="O9" i="159"/>
  <c r="M9" i="159"/>
  <c r="V8" i="159"/>
  <c r="P8" i="159"/>
  <c r="O8" i="159"/>
  <c r="M8" i="159"/>
  <c r="V7" i="159"/>
  <c r="P7" i="159"/>
  <c r="O7" i="159"/>
  <c r="M7" i="159"/>
  <c r="V6" i="159"/>
  <c r="P6" i="159"/>
  <c r="O6" i="159"/>
  <c r="M6" i="159"/>
  <c r="V5" i="159"/>
  <c r="P5" i="159"/>
  <c r="O5" i="159"/>
  <c r="M5" i="159"/>
  <c r="V4" i="159"/>
  <c r="P4" i="159"/>
  <c r="O4" i="159"/>
  <c r="M4" i="159"/>
  <c r="V3" i="159"/>
  <c r="P3" i="159"/>
  <c r="O3" i="159"/>
  <c r="M3" i="159"/>
  <c r="V2" i="159"/>
  <c r="G30" i="153"/>
  <c r="E30" i="153"/>
  <c r="H30" i="153"/>
  <c r="G31" i="153"/>
  <c r="E31" i="153"/>
  <c r="H31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4" i="103"/>
  <c r="E4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G4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3" i="103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<sst xmlns="http://schemas.openxmlformats.org/spreadsheetml/2006/main" count="823" uniqueCount="245">
  <si>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</si>
  <si>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</si>
  <si>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</si>
  <si>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</si>
  <si>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</si>
  <si>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</si>
  <si>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</si>
  <si>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</si>
  <si>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</si>
  <si>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</si>
  <si>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</si>
  <si>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</si>
  <si>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</si>
  <si>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</si>
  <si>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</si>
  <si>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</si>
  <si>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</si>
  <si>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</si>
  <si>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</si>
  <si>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</si>
  <si>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</si>
  <si>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</si>
  <si>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</si>
  <si>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</si>
  <si>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</si>
  <si>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</si>
  <si>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</si>
  <si>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</si>
  <si>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</si>
  <si>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</si>
  <si>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</si>
  <si>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</si>
  <si>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</si>
  <si>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</si>
  <si>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</si>
  <si>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</si>
  <si>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</si>
  <si>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</si>
  <si>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</si>
  <si>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</si>
  <si>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</si>
  <si>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</si>
  <si>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</si>
  <si>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</si>
  <si>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</si>
  <si>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</si>
  <si>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</si>
  <si>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</si>
  <si>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</si>
  <si>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t>出力flg</t>
    <rPh sb="0" eb="2">
      <t>シュツリョク</t>
    </rPh>
    <phoneticPr fontId="49"/>
  </si>
  <si>
    <t>color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</si>
  <si>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</si>
  <si>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</si>
  <si>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</si>
  <si>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</si>
  <si>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</si>
  <si>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</si>
  <si>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</si>
  <si>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</si>
  <si>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</si>
  <si>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</si>
  <si>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</si>
  <si>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</si>
  <si>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</si>
  <si>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</si>
  <si>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</si>
  <si>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</si>
  <si>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</si>
  <si>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</si>
  <si>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</si>
  <si>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</si>
  <si>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</si>
  <si>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</si>
  <si>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</si>
  <si>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</si>
  <si>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</si>
  <si>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</si>
  <si>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</si>
  <si>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</si>
  <si>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</si>
  <si>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</si>
  <si>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</si>
  <si>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</si>
  <si>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</si>
  <si>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</si>
  <si>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</si>
  <si>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</si>
  <si>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</si>
  <si>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</si>
  <si>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</si>
  <si>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</si>
  <si>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</si>
  <si>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</si>
  <si>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</si>
  <si>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</si>
  <si>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</si>
  <si>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</si>
  <si>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</si>
  <si>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</si>
  <si>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</si>
  <si>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</si>
  <si>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</si>
  <si>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</si>
  <si>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</si>
  <si>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</si>
  <si>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</si>
  <si>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</si>
  <si>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PremiumSSS4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</si>
  <si>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</si>
  <si>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</si>
  <si>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</si>
  <si>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</si>
  <si>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</si>
  <si>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</si>
  <si>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</si>
  <si>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</si>
  <si>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</si>
  <si>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</si>
  <si>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</si>
  <si>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</si>
  <si>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B</t>
    <phoneticPr fontId="49"/>
  </si>
  <si>
    <t>D</t>
    <phoneticPr fontId="49"/>
  </si>
  <si>
    <t>F</t>
    <phoneticPr fontId="49"/>
  </si>
  <si>
    <t>E</t>
    <phoneticPr fontId="49"/>
  </si>
  <si>
    <t>G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</si>
  <si>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</si>
  <si>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</si>
  <si>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</si>
  <si>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</si>
  <si>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</si>
  <si>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</si>
  <si>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</si>
  <si>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</si>
  <si>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</si>
  <si>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</si>
  <si>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</si>
  <si>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X*{SS}*R5率</t>
    <rPh sb="9" eb="10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</si>
  <si>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</si>
  <si>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=</t>
    <phoneticPr fontId="49"/>
  </si>
  <si>
    <t>①</t>
    <phoneticPr fontId="49"/>
  </si>
  <si>
    <t>B + D + F</t>
    <phoneticPr fontId="49"/>
  </si>
  <si>
    <t>②</t>
    <phoneticPr fontId="49"/>
  </si>
  <si>
    <t>③</t>
    <phoneticPr fontId="49"/>
  </si>
  <si>
    <t>A+B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</si>
  <si>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</si>
  <si>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</si>
  <si>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</si>
  <si>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</si>
  <si>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</si>
  <si>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</si>
  <si>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</si>
  <si>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</si>
  <si>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</si>
  <si>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</si>
  <si>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</si>
  <si>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</si>
  <si>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</si>
  <si>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</si>
  <si>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</si>
  <si>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</si>
  <si>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Y*{W}-A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</si>
  <si>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</si>
  <si>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</si>
  <si>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</si>
  <si>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</si>
  <si>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</si>
  <si>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</si>
  <si>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</si>
  <si>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</si>
  <si>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</si>
  <si>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</si>
  <si>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</si>
  <si>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</si>
  <si>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</si>
  <si>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</si>
  <si>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X</t>
    <phoneticPr fontId="16"/>
  </si>
  <si>
    <t>Y</t>
    <phoneticPr fontId="16"/>
  </si>
  <si>
    <t>対象数</t>
    <rPh sb="0" eb="3">
      <t>タイショウスウ</t>
    </rPh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</si>
  <si>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</si>
  <si>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</si>
  <si>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</si>
  <si>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</si>
  <si>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←R6分はここから差し引く</t>
    <rPh sb="3" eb="4">
      <t>ブン</t>
    </rPh>
    <rPh sb="9" eb="10">
      <t>サシヒク</t>
    </rPh>
    <phoneticPr fontId="16"/>
  </si>
  <si>
    <t>除外確率</t>
    <rPh sb="0" eb="2">
      <t>ジョガイ</t>
    </rPh>
    <rPh sb="2" eb="4">
      <t>カクリツ</t>
    </rPh>
    <phoneticPr fontId="16"/>
  </si>
  <si>
    <t>除外数</t>
    <rPh sb="0" eb="3">
      <t>ジョガイスウ</t>
    </rPh>
    <phoneticPr fontId="16"/>
  </si>
  <si>
    <t>もうここは手で入れよう…</t>
    <rPh sb="5" eb="6">
      <t>テ</t>
    </rPh>
    <rPh sb="7" eb="8">
      <t>イレヨウ</t>
    </rPh>
    <phoneticPr fontId="16"/>
  </si>
  <si>
    <t>通常weight</t>
    <rPh sb="0" eb="2">
      <t>ツウジョウ</t>
    </rPh>
    <phoneticPr fontId="16"/>
  </si>
  <si>
    <t>ja</t>
  </si>
  <si>
    <t>A</t>
    <phoneticPr fontId="16"/>
  </si>
  <si>
    <t>B</t>
    <phoneticPr fontId="16"/>
  </si>
  <si>
    <t>PremiumW4</t>
    <phoneticPr fontId="16"/>
  </si>
  <si>
    <t>C</t>
    <phoneticPr fontId="16"/>
  </si>
  <si>
    <t>Premium3</t>
    <phoneticPr fontId="16"/>
  </si>
  <si>
    <t>D</t>
    <phoneticPr fontId="16"/>
  </si>
  <si>
    <t>Premium4</t>
    <phoneticPr fontId="16"/>
  </si>
  <si>
    <t>E</t>
    <phoneticPr fontId="16"/>
  </si>
  <si>
    <t>Premium5</t>
    <phoneticPr fontId="16"/>
  </si>
  <si>
    <t>F</t>
    <phoneticPr fontId="16"/>
  </si>
  <si>
    <t>Premium4R3less</t>
    <phoneticPr fontId="16"/>
  </si>
  <si>
    <t>G</t>
    <phoneticPr fontId="16"/>
  </si>
  <si>
    <t>Premium5R3less</t>
    <phoneticPr fontId="16"/>
  </si>
  <si>
    <t>K</t>
    <phoneticPr fontId="16"/>
  </si>
  <si>
    <t>PremiumSS4</t>
    <phoneticPr fontId="16"/>
  </si>
  <si>
    <t>PremiumSS5</t>
    <phoneticPr fontId="16"/>
  </si>
  <si>
    <t>L</t>
    <phoneticPr fontId="16"/>
  </si>
  <si>
    <t>M</t>
    <phoneticPr fontId="16"/>
  </si>
  <si>
    <t>PremiumSS5R5only</t>
    <phoneticPr fontId="16"/>
  </si>
  <si>
    <t>unit</t>
    <phoneticPr fontId="16"/>
  </si>
  <si>
    <t>PremiumSSS4R3less</t>
    <phoneticPr fontId="16"/>
  </si>
  <si>
    <t>PremiumSSS5R3less</t>
    <phoneticPr fontId="16"/>
  </si>
  <si>
    <t>フェス確率</t>
    <phoneticPr fontId="16"/>
  </si>
  <si>
    <t>R3率</t>
    <phoneticPr fontId="49"/>
  </si>
  <si>
    <t>Y*{W}</t>
    <phoneticPr fontId="49"/>
  </si>
  <si>
    <t>→</t>
    <phoneticPr fontId="49"/>
  </si>
  <si>
    <t>ハズレ素体確率 Y = (1-SS率)/(W+N+S)</t>
    <rPh sb="3" eb="5">
      <t>ソタイカクリ</t>
    </rPh>
    <rPh sb="5" eb="7">
      <t>カクリツ</t>
    </rPh>
    <rPh sb="17" eb="18">
      <t>リツ</t>
    </rPh>
    <phoneticPr fontId="49"/>
  </si>
  <si>
    <t>H</t>
    <phoneticPr fontId="49"/>
  </si>
  <si>
    <t>I</t>
    <phoneticPr fontId="49"/>
  </si>
  <si>
    <t>J</t>
    <phoneticPr fontId="49"/>
  </si>
  <si>
    <t>A + C</t>
    <phoneticPr fontId="49"/>
  </si>
  <si>
    <t>R4率-H</t>
    <phoneticPr fontId="49"/>
  </si>
  <si>
    <t>J</t>
    <phoneticPr fontId="49"/>
  </si>
  <si>
    <t>H</t>
    <phoneticPr fontId="49"/>
  </si>
  <si>
    <t>I</t>
    <phoneticPr fontId="49"/>
  </si>
  <si>
    <t>E+G</t>
    <phoneticPr fontId="49"/>
  </si>
  <si>
    <t>R5率-I-J</t>
    <phoneticPr fontId="49"/>
  </si>
  <si>
    <t>⑦</t>
    <phoneticPr fontId="49"/>
  </si>
  <si>
    <t>A+B+C+D+E+F+G</t>
    <phoneticPr fontId="49"/>
  </si>
  <si>
    <t>50%-C</t>
    <phoneticPr fontId="49"/>
  </si>
  <si>
    <t>=</t>
    <phoneticPr fontId="16"/>
  </si>
  <si>
    <t>Y*{W}*R3率</t>
    <phoneticPr fontId="16"/>
  </si>
  <si>
    <t>5%-E-I-J</t>
    <phoneticPr fontId="49"/>
  </si>
  <si>
    <t>←R6releaseを取り除いた場合の計算</t>
    <phoneticPr fontId="16"/>
  </si>
  <si>
    <t>リトルハンプティ × 1</t>
    <phoneticPr fontId="16"/>
  </si>
  <si>
    <t>STEP3特典として
リトルハンプティ1体をプレゼント！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</si>
  <si>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</si>
  <si>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.tmp</t>
    <phoneticPr fontId="49"/>
  </si>
  <si>
    <t>gacha_bonus_tables</t>
    <phoneticPr fontId="49"/>
  </si>
  <si>
    <t>385103</t>
    <phoneticPr fontId="16"/>
  </si>
  <si>
    <t>コラボガチャ特典</t>
    <rPh sb="6" eb="8">
      <t>トクテン</t>
    </rPh>
    <phoneticPr fontId="16"/>
  </si>
  <si>
    <t>tables_385101</t>
    <phoneticPr fontId="16"/>
  </si>
  <si>
    <t>tables_385103</t>
    <phoneticPr fontId="16"/>
  </si>
  <si>
    <t>tables_385104</t>
    <phoneticPr fontId="16"/>
  </si>
  <si>
    <t>tables_385105</t>
    <phoneticPr fontId="16"/>
  </si>
  <si>
    <t>tables_385100</t>
    <phoneticPr fontId="16"/>
  </si>
  <si>
    <t>old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</si>
</sst>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65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0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6" fillId="0" borderId="0"/>
    <xf numFmtId="38" fontId="51" fillId="0" borderId="0" applyFont="0" applyFill="0" applyBorder="0" applyAlignment="0" applyProtection="0"/>
    <xf numFmtId="0" fontId="3" fillId="0" borderId="0"/>
  </cellStyleXfs>
  <cellXfs count="109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9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2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3" fillId="32" borderId="1" xfId="0" applyNumberFormat="1" applyFont="1" applyFill="1" applyBorder="1"/>
    <xf numFmtId="38" fontId="21" fillId="4" borderId="1" xfId="3663" quotePrefix="1" applyFont="1" applyFill="1" applyBorder="1" applyAlignment="1">
      <alignment vertical="center"/>
    </xf>
    <xf numFmtId="0" fontId="48" fillId="0" borderId="1" xfId="0" applyFont="1" applyBorder="1" applyAlignment="1">
      <alignment vertical="center"/>
    </xf>
    <xf numFmtId="0" fontId="48" fillId="0" borderId="1" xfId="0" applyFont="1" applyBorder="1" applyAlignment="1">
      <alignment vertical="center" wrapText="1"/>
    </xf>
    <xf numFmtId="0" fontId="21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10" fontId="0" fillId="4" borderId="0" xfId="0" applyNumberFormat="1" applyFill="1"/>
    <xf numFmtId="0" fontId="21" fillId="33" borderId="1" xfId="2" applyFont="1" applyFill="1" applyBorder="1" applyAlignment="1">
      <alignment vertical="center"/>
    </xf>
    <xf numFmtId="0" fontId="4" fillId="0" borderId="0" xfId="3662" applyFont="1"/>
    <xf numFmtId="9" fontId="5" fillId="0" borderId="0" xfId="3662" applyNumberFormat="1" applyFont="1"/>
    <xf numFmtId="0" fontId="6" fillId="0" borderId="17" xfId="3662" applyBorder="1"/>
    <xf numFmtId="0" fontId="6" fillId="0" borderId="18" xfId="3662" applyBorder="1"/>
    <xf numFmtId="0" fontId="6" fillId="0" borderId="19" xfId="3662" applyBorder="1"/>
    <xf numFmtId="0" fontId="6" fillId="0" borderId="20" xfId="3662" applyBorder="1"/>
    <xf numFmtId="0" fontId="6" fillId="0" borderId="0" xfId="3662" applyBorder="1"/>
    <xf numFmtId="0" fontId="6" fillId="0" borderId="21" xfId="3662" applyBorder="1"/>
    <xf numFmtId="0" fontId="6" fillId="4" borderId="0" xfId="3662" applyFill="1" applyBorder="1"/>
    <xf numFmtId="9" fontId="6" fillId="0" borderId="0" xfId="3662" applyNumberFormat="1" applyBorder="1"/>
    <xf numFmtId="0" fontId="4" fillId="4" borderId="0" xfId="3662" applyFont="1" applyFill="1" applyBorder="1"/>
    <xf numFmtId="0" fontId="6" fillId="0" borderId="0" xfId="3662" applyFill="1" applyBorder="1"/>
    <xf numFmtId="9" fontId="4" fillId="0" borderId="0" xfId="3662" applyNumberFormat="1" applyFont="1" applyBorder="1"/>
    <xf numFmtId="9" fontId="6" fillId="0" borderId="0" xfId="3662" applyNumberFormat="1" applyBorder="1" applyAlignment="1"/>
    <xf numFmtId="9" fontId="6" fillId="0" borderId="21" xfId="3662" applyNumberFormat="1" applyBorder="1"/>
    <xf numFmtId="0" fontId="4" fillId="0" borderId="20" xfId="3662" applyFont="1" applyBorder="1"/>
    <xf numFmtId="0" fontId="4" fillId="0" borderId="0" xfId="3662" applyFont="1" applyBorder="1"/>
    <xf numFmtId="0" fontId="4" fillId="0" borderId="0" xfId="3662" quotePrefix="1" applyFont="1" applyBorder="1"/>
    <xf numFmtId="0" fontId="4" fillId="0" borderId="22" xfId="3662" applyFont="1" applyBorder="1"/>
    <xf numFmtId="9" fontId="6" fillId="0" borderId="23" xfId="3662" applyNumberFormat="1" applyBorder="1"/>
    <xf numFmtId="0" fontId="6" fillId="0" borderId="23" xfId="3662" applyBorder="1"/>
    <xf numFmtId="0" fontId="6" fillId="0" borderId="24" xfId="3662" applyBorder="1"/>
    <xf numFmtId="176" fontId="0" fillId="0" borderId="0" xfId="3575" applyNumberFormat="1" applyFont="1"/>
    <xf numFmtId="0" fontId="21" fillId="0" borderId="1" xfId="2" applyFont="1" applyFill="1" applyBorder="1" applyAlignment="1">
      <alignment vertical="center"/>
    </xf>
    <xf numFmtId="0" fontId="3" fillId="0" borderId="1" xfId="2978" applyFont="1" applyBorder="1"/>
    <xf numFmtId="0" fontId="3" fillId="2" borderId="1" xfId="19" applyFont="1" applyFill="1" applyBorder="1"/>
    <xf numFmtId="0" fontId="2" fillId="0" borderId="1" xfId="3036" applyFont="1" applyBorder="1"/>
    <xf numFmtId="0" fontId="2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2 3" xfId="3664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47"/>
  <sheetViews>
    <sheetView zoomScale="90" zoomScaleNormal="90" zoomScalePageLayoutView="90" workbookViewId="0">
      <selection activeCell="C33" sqref="C33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83" t="s">
        <v>109</v>
      </c>
      <c r="B1" s="84" t="s">
        <v>110</v>
      </c>
      <c r="C1" s="84"/>
      <c r="D1" s="84"/>
      <c r="E1" s="84"/>
      <c r="F1" s="84"/>
      <c r="G1" s="84"/>
      <c r="H1" s="85"/>
    </row>
    <row r="2" spans="1:13" x14ac:dyDescent="0.15">
      <c r="A2" s="86" t="s">
        <v>111</v>
      </c>
      <c r="B2" s="87" t="s">
        <v>112</v>
      </c>
      <c r="C2" s="87" t="s">
        <v>113</v>
      </c>
      <c r="D2" s="87" t="s">
        <v>114</v>
      </c>
      <c r="E2" s="87" t="s">
        <v>115</v>
      </c>
      <c r="F2" s="87" t="s">
        <v>116</v>
      </c>
      <c r="G2" s="87" t="s">
        <v>117</v>
      </c>
      <c r="H2" s="88"/>
    </row>
    <row r="3" spans="1:13" x14ac:dyDescent="0.15">
      <c r="A3" s="86">
        <v>3</v>
      </c>
      <c r="B3" s="89" t="s">
        <v>118</v>
      </c>
      <c r="C3" s="89" t="s">
        <v>119</v>
      </c>
      <c r="D3" s="87">
        <v>0</v>
      </c>
      <c r="E3" s="87">
        <v>0</v>
      </c>
      <c r="F3" s="87">
        <v>0</v>
      </c>
      <c r="G3" s="90">
        <v>0.5</v>
      </c>
      <c r="H3" s="88"/>
    </row>
    <row r="4" spans="1:13" x14ac:dyDescent="0.15">
      <c r="A4" s="86">
        <v>4</v>
      </c>
      <c r="B4" s="89" t="s">
        <v>120</v>
      </c>
      <c r="C4" s="89" t="s">
        <v>121</v>
      </c>
      <c r="D4" s="89" t="s">
        <v>122</v>
      </c>
      <c r="E4" s="91" t="s">
        <v>215</v>
      </c>
      <c r="F4" s="87">
        <v>0</v>
      </c>
      <c r="G4" s="90">
        <v>0.45</v>
      </c>
      <c r="H4" s="88"/>
      <c r="I4" s="81" t="s">
        <v>231</v>
      </c>
    </row>
    <row r="5" spans="1:13" x14ac:dyDescent="0.15">
      <c r="A5" s="86">
        <v>5</v>
      </c>
      <c r="B5" s="92">
        <v>0</v>
      </c>
      <c r="C5" s="89" t="s">
        <v>123</v>
      </c>
      <c r="D5" s="89" t="s">
        <v>124</v>
      </c>
      <c r="E5" s="91" t="s">
        <v>216</v>
      </c>
      <c r="F5" s="91" t="s">
        <v>217</v>
      </c>
      <c r="G5" s="90">
        <v>0.05</v>
      </c>
      <c r="H5" s="88"/>
    </row>
    <row r="6" spans="1:13" x14ac:dyDescent="0.15">
      <c r="A6" s="86"/>
      <c r="B6" s="90" t="s">
        <v>125</v>
      </c>
      <c r="C6" s="90" t="s">
        <v>125</v>
      </c>
      <c r="D6" s="93" t="s">
        <v>213</v>
      </c>
      <c r="E6" s="90" t="s">
        <v>125</v>
      </c>
      <c r="F6" s="94" t="s">
        <v>127</v>
      </c>
      <c r="G6" s="90">
        <v>1</v>
      </c>
      <c r="H6" s="88"/>
    </row>
    <row r="7" spans="1:13" x14ac:dyDescent="0.15">
      <c r="A7" s="86"/>
      <c r="B7" s="90"/>
      <c r="C7" s="90"/>
      <c r="D7" s="90"/>
      <c r="E7" s="90"/>
      <c r="F7" s="90"/>
      <c r="G7" s="94"/>
      <c r="H7" s="95"/>
    </row>
    <row r="8" spans="1:13" x14ac:dyDescent="0.15">
      <c r="A8" s="86" t="s">
        <v>128</v>
      </c>
      <c r="B8" s="90"/>
      <c r="C8" s="90"/>
      <c r="D8" s="90"/>
      <c r="E8" s="90"/>
      <c r="F8" s="90"/>
      <c r="G8" s="94"/>
      <c r="H8" s="95"/>
    </row>
    <row r="9" spans="1:13" x14ac:dyDescent="0.15">
      <c r="A9" s="86" t="s">
        <v>129</v>
      </c>
      <c r="B9" s="90"/>
      <c r="C9" s="90"/>
      <c r="D9" s="90"/>
      <c r="E9" s="90"/>
      <c r="F9" s="90"/>
      <c r="G9" s="94"/>
      <c r="H9" s="95"/>
    </row>
    <row r="10" spans="1:13" x14ac:dyDescent="0.15">
      <c r="A10" s="86" t="s">
        <v>130</v>
      </c>
      <c r="B10" s="90"/>
      <c r="C10" s="90"/>
      <c r="D10" s="90"/>
      <c r="E10" s="90"/>
      <c r="F10" s="90"/>
      <c r="G10" s="94"/>
      <c r="H10" s="95"/>
    </row>
    <row r="11" spans="1:13" x14ac:dyDescent="0.15">
      <c r="A11" s="86" t="s">
        <v>131</v>
      </c>
      <c r="B11" s="90"/>
      <c r="C11" s="90"/>
      <c r="D11" s="90"/>
      <c r="E11" s="90"/>
      <c r="F11" s="90"/>
      <c r="G11" s="94"/>
      <c r="H11" s="95"/>
    </row>
    <row r="12" spans="1:13" x14ac:dyDescent="0.15">
      <c r="A12" s="96" t="s">
        <v>220</v>
      </c>
      <c r="B12" s="90" t="s">
        <v>132</v>
      </c>
      <c r="C12" s="90" t="s">
        <v>133</v>
      </c>
      <c r="D12" s="90"/>
      <c r="E12" s="90"/>
      <c r="F12" s="90"/>
      <c r="G12" s="94"/>
      <c r="H12" s="95"/>
    </row>
    <row r="13" spans="1:13" x14ac:dyDescent="0.15">
      <c r="A13" s="96" t="s">
        <v>221</v>
      </c>
      <c r="B13" s="87" t="s">
        <v>134</v>
      </c>
      <c r="C13" s="87" t="s">
        <v>135</v>
      </c>
      <c r="D13" s="87"/>
      <c r="E13" s="87"/>
      <c r="F13" s="87"/>
      <c r="G13" s="87"/>
      <c r="H13" s="88"/>
    </row>
    <row r="14" spans="1:13" x14ac:dyDescent="0.15">
      <c r="A14" s="96" t="s">
        <v>222</v>
      </c>
      <c r="B14" s="87" t="s">
        <v>132</v>
      </c>
      <c r="C14" s="92" t="s">
        <v>136</v>
      </c>
      <c r="D14" s="87"/>
      <c r="E14" s="92"/>
      <c r="F14" s="92"/>
      <c r="G14" s="87"/>
      <c r="H14" s="88"/>
      <c r="M14" s="62"/>
    </row>
    <row r="15" spans="1:13" x14ac:dyDescent="0.15">
      <c r="A15" s="86"/>
      <c r="B15" s="90"/>
      <c r="C15" s="90"/>
      <c r="D15" s="87"/>
      <c r="E15" s="87"/>
      <c r="F15" s="87"/>
      <c r="G15" s="87"/>
      <c r="H15" s="88"/>
    </row>
    <row r="16" spans="1:13" x14ac:dyDescent="0.15">
      <c r="A16" s="86" t="s">
        <v>137</v>
      </c>
      <c r="B16" s="87"/>
      <c r="C16" s="87"/>
      <c r="D16" s="87"/>
      <c r="E16" s="87"/>
      <c r="F16" s="87"/>
      <c r="G16" s="87"/>
      <c r="H16" s="88"/>
    </row>
    <row r="17" spans="1:8" x14ac:dyDescent="0.15">
      <c r="A17" s="96" t="s">
        <v>214</v>
      </c>
      <c r="B17" s="90"/>
      <c r="C17" s="90"/>
      <c r="D17" s="87"/>
      <c r="E17" s="87"/>
      <c r="F17" s="87"/>
      <c r="G17" s="87"/>
      <c r="H17" s="88"/>
    </row>
    <row r="18" spans="1:8" x14ac:dyDescent="0.15">
      <c r="A18" s="96" t="s">
        <v>218</v>
      </c>
      <c r="B18" s="90" t="s">
        <v>138</v>
      </c>
      <c r="C18" s="93" t="s">
        <v>211</v>
      </c>
      <c r="D18" s="87" t="s">
        <v>139</v>
      </c>
      <c r="E18" s="87"/>
      <c r="F18" s="87"/>
      <c r="G18" s="87"/>
      <c r="H18" s="88"/>
    </row>
    <row r="19" spans="1:8" x14ac:dyDescent="0.15">
      <c r="A19" s="86" t="s">
        <v>140</v>
      </c>
      <c r="B19" s="90" t="s">
        <v>132</v>
      </c>
      <c r="C19" s="93" t="s">
        <v>219</v>
      </c>
      <c r="D19" s="87" t="s">
        <v>141</v>
      </c>
      <c r="E19" s="87"/>
      <c r="F19" s="87"/>
      <c r="G19" s="87"/>
      <c r="H19" s="88"/>
    </row>
    <row r="20" spans="1:8" x14ac:dyDescent="0.15">
      <c r="A20" s="96" t="s">
        <v>223</v>
      </c>
      <c r="B20" s="90" t="s">
        <v>132</v>
      </c>
      <c r="C20" s="97" t="s">
        <v>224</v>
      </c>
      <c r="D20" s="87" t="s">
        <v>142</v>
      </c>
      <c r="E20" s="87"/>
      <c r="F20" s="87"/>
      <c r="G20" s="87"/>
      <c r="H20" s="88"/>
    </row>
    <row r="21" spans="1:8" x14ac:dyDescent="0.15">
      <c r="A21" s="86" t="s">
        <v>143</v>
      </c>
      <c r="B21" s="90" t="s">
        <v>132</v>
      </c>
      <c r="C21" s="93" t="s">
        <v>212</v>
      </c>
      <c r="D21" s="87" t="s">
        <v>144</v>
      </c>
      <c r="E21" s="87"/>
      <c r="F21" s="87"/>
      <c r="G21" s="87"/>
      <c r="H21" s="88"/>
    </row>
    <row r="22" spans="1:8" x14ac:dyDescent="0.15">
      <c r="A22" s="86" t="s">
        <v>145</v>
      </c>
      <c r="B22" s="90" t="s">
        <v>132</v>
      </c>
      <c r="C22" s="90" t="s">
        <v>146</v>
      </c>
      <c r="D22" s="87" t="s">
        <v>147</v>
      </c>
      <c r="E22" s="87"/>
      <c r="F22" s="87"/>
      <c r="G22" s="87"/>
      <c r="H22" s="88"/>
    </row>
    <row r="23" spans="1:8" x14ac:dyDescent="0.15">
      <c r="A23" s="86" t="s">
        <v>148</v>
      </c>
      <c r="B23" s="90" t="s">
        <v>132</v>
      </c>
      <c r="C23" s="90" t="s">
        <v>149</v>
      </c>
      <c r="D23" s="87" t="s">
        <v>150</v>
      </c>
      <c r="E23" s="87"/>
      <c r="F23" s="87"/>
      <c r="G23" s="87"/>
      <c r="H23" s="88"/>
    </row>
    <row r="24" spans="1:8" x14ac:dyDescent="0.15">
      <c r="A24" s="96" t="s">
        <v>226</v>
      </c>
      <c r="B24" s="90" t="s">
        <v>132</v>
      </c>
      <c r="C24" s="90" t="s">
        <v>126</v>
      </c>
      <c r="D24" s="97" t="s">
        <v>225</v>
      </c>
      <c r="E24" s="87" t="s">
        <v>151</v>
      </c>
      <c r="F24" s="87"/>
      <c r="G24" s="87"/>
      <c r="H24" s="88"/>
    </row>
    <row r="25" spans="1:8" x14ac:dyDescent="0.15">
      <c r="A25" s="86" t="s">
        <v>119</v>
      </c>
      <c r="B25" s="90" t="s">
        <v>132</v>
      </c>
      <c r="C25" s="90" t="s">
        <v>152</v>
      </c>
      <c r="D25" s="87"/>
      <c r="E25" s="87" t="s">
        <v>153</v>
      </c>
      <c r="F25" s="87"/>
      <c r="G25" s="87"/>
      <c r="H25" s="88"/>
    </row>
    <row r="26" spans="1:8" x14ac:dyDescent="0.15">
      <c r="A26" s="86" t="s">
        <v>121</v>
      </c>
      <c r="B26" s="90" t="s">
        <v>132</v>
      </c>
      <c r="C26" s="90" t="s">
        <v>154</v>
      </c>
      <c r="D26" s="87"/>
      <c r="E26" s="87"/>
      <c r="F26" s="87"/>
      <c r="G26" s="87"/>
      <c r="H26" s="88"/>
    </row>
    <row r="27" spans="1:8" x14ac:dyDescent="0.15">
      <c r="A27" s="86"/>
      <c r="B27" s="90"/>
      <c r="C27" s="87"/>
      <c r="D27" s="87"/>
      <c r="E27" s="87"/>
      <c r="F27" s="87"/>
      <c r="G27" s="87"/>
      <c r="H27" s="88"/>
    </row>
    <row r="28" spans="1:8" x14ac:dyDescent="0.15">
      <c r="A28" s="86" t="s">
        <v>155</v>
      </c>
      <c r="B28" s="87"/>
      <c r="C28" s="87"/>
      <c r="D28" s="87"/>
      <c r="E28" s="87"/>
      <c r="F28" s="87"/>
      <c r="G28" s="87"/>
      <c r="H28" s="88"/>
    </row>
    <row r="29" spans="1:8" x14ac:dyDescent="0.15">
      <c r="A29" s="86" t="s">
        <v>156</v>
      </c>
      <c r="B29" s="90" t="s">
        <v>132</v>
      </c>
      <c r="C29" s="90" t="s">
        <v>157</v>
      </c>
      <c r="D29" s="87"/>
      <c r="E29" s="87"/>
      <c r="F29" s="87"/>
      <c r="G29" s="87"/>
      <c r="H29" s="88"/>
    </row>
    <row r="30" spans="1:8" x14ac:dyDescent="0.15">
      <c r="A30" s="86" t="s">
        <v>121</v>
      </c>
      <c r="B30" s="90" t="s">
        <v>132</v>
      </c>
      <c r="C30" s="90" t="s">
        <v>158</v>
      </c>
      <c r="D30" s="87"/>
      <c r="E30" s="87"/>
      <c r="F30" s="87"/>
      <c r="G30" s="87"/>
      <c r="H30" s="88"/>
    </row>
    <row r="31" spans="1:8" x14ac:dyDescent="0.15">
      <c r="A31" s="86" t="s">
        <v>119</v>
      </c>
      <c r="B31" s="90" t="s">
        <v>132</v>
      </c>
      <c r="C31" s="90" t="s">
        <v>159</v>
      </c>
      <c r="D31" s="87"/>
      <c r="E31" s="87"/>
      <c r="F31" s="87"/>
      <c r="G31" s="87"/>
      <c r="H31" s="88"/>
    </row>
    <row r="32" spans="1:8" x14ac:dyDescent="0.15">
      <c r="A32" s="86" t="s">
        <v>118</v>
      </c>
      <c r="B32" s="90" t="s">
        <v>132</v>
      </c>
      <c r="C32" s="93" t="s">
        <v>227</v>
      </c>
      <c r="D32" s="98" t="s">
        <v>228</v>
      </c>
      <c r="E32" s="97" t="s">
        <v>229</v>
      </c>
      <c r="F32" s="87"/>
      <c r="G32" s="87"/>
      <c r="H32" s="88"/>
    </row>
    <row r="33" spans="1:13" x14ac:dyDescent="0.15">
      <c r="A33" s="86" t="s">
        <v>120</v>
      </c>
      <c r="B33" s="90" t="s">
        <v>132</v>
      </c>
      <c r="C33" s="90" t="s">
        <v>160</v>
      </c>
      <c r="D33" s="98"/>
      <c r="E33" s="87"/>
      <c r="F33" s="87"/>
      <c r="G33" s="87"/>
      <c r="H33" s="88"/>
    </row>
    <row r="34" spans="1:13" x14ac:dyDescent="0.15">
      <c r="A34" s="86" t="s">
        <v>124</v>
      </c>
      <c r="B34" s="90" t="s">
        <v>132</v>
      </c>
      <c r="C34" s="93" t="s">
        <v>230</v>
      </c>
      <c r="D34" s="87"/>
      <c r="E34" s="87"/>
      <c r="F34" s="87"/>
      <c r="G34" s="87"/>
      <c r="H34" s="88"/>
    </row>
    <row r="35" spans="1:13" x14ac:dyDescent="0.15">
      <c r="A35" s="86" t="s">
        <v>122</v>
      </c>
      <c r="B35" s="90" t="s">
        <v>132</v>
      </c>
      <c r="C35" s="90" t="s">
        <v>161</v>
      </c>
      <c r="D35" s="87"/>
      <c r="E35" s="87"/>
      <c r="F35" s="87"/>
      <c r="G35" s="87"/>
      <c r="H35" s="88"/>
    </row>
    <row r="36" spans="1:13" x14ac:dyDescent="0.15">
      <c r="A36" s="99"/>
      <c r="B36" s="100"/>
      <c r="C36" s="101"/>
      <c r="D36" s="101"/>
      <c r="E36" s="101"/>
      <c r="F36" s="101"/>
      <c r="G36" s="101"/>
      <c r="H36" s="102"/>
    </row>
    <row r="37" spans="1:13" x14ac:dyDescent="0.15">
      <c r="A37" s="81"/>
      <c r="B37" s="62"/>
      <c r="J37" s="76" t="s">
        <v>188</v>
      </c>
      <c r="K37" s="76" t="s">
        <v>164</v>
      </c>
      <c r="M37" s="82"/>
    </row>
    <row r="38" spans="1:13" x14ac:dyDescent="0.15">
      <c r="A38" s="81"/>
      <c r="B38" s="62"/>
      <c r="J38" s="76" t="s">
        <v>189</v>
      </c>
      <c r="K38" s="76" t="s">
        <v>190</v>
      </c>
      <c r="M38" s="62"/>
    </row>
    <row r="39" spans="1:13" x14ac:dyDescent="0.15">
      <c r="J39" s="76" t="s">
        <v>191</v>
      </c>
      <c r="K39" s="76" t="s">
        <v>192</v>
      </c>
    </row>
    <row r="40" spans="1:13" x14ac:dyDescent="0.15">
      <c r="J40" s="76" t="s">
        <v>193</v>
      </c>
      <c r="K40" s="76" t="s">
        <v>194</v>
      </c>
    </row>
    <row r="41" spans="1:13" x14ac:dyDescent="0.15">
      <c r="J41" s="76" t="s">
        <v>195</v>
      </c>
      <c r="K41" s="76" t="s">
        <v>196</v>
      </c>
    </row>
    <row r="42" spans="1:13" x14ac:dyDescent="0.15">
      <c r="J42" s="76" t="s">
        <v>197</v>
      </c>
      <c r="K42" s="76" t="s">
        <v>198</v>
      </c>
    </row>
    <row r="43" spans="1:13" x14ac:dyDescent="0.15">
      <c r="J43" s="76" t="s">
        <v>199</v>
      </c>
      <c r="K43" s="76" t="s">
        <v>200</v>
      </c>
    </row>
    <row r="44" spans="1:13" x14ac:dyDescent="0.15">
      <c r="J44" s="76" t="s">
        <v>201</v>
      </c>
      <c r="K44" s="76" t="s">
        <v>202</v>
      </c>
    </row>
    <row r="45" spans="1:13" x14ac:dyDescent="0.15">
      <c r="J45" s="76" t="s">
        <v>204</v>
      </c>
      <c r="K45" s="76" t="s">
        <v>203</v>
      </c>
    </row>
    <row r="46" spans="1:13" x14ac:dyDescent="0.15">
      <c r="J46" s="76" t="s">
        <v>205</v>
      </c>
      <c r="K46" s="76" t="s">
        <v>206</v>
      </c>
    </row>
    <row r="47" spans="1:13" x14ac:dyDescent="0.15">
      <c r="J47" s="76"/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76</v>
      </c>
    </row>
    <row r="2" spans="1:1" x14ac:dyDescent="0.15">
      <c r="A2" t="s">
        <v>77</v>
      </c>
    </row>
    <row r="3" spans="1:1" x14ac:dyDescent="0.15">
      <c r="A3" t="s">
        <v>78</v>
      </c>
    </row>
    <row r="4" spans="1:1" x14ac:dyDescent="0.15">
      <c r="A4" t="s">
        <v>79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9"/>
  <sheetViews>
    <sheetView workbookViewId="0">
      <selection activeCell="I22" sqref="I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6" t="s">
        <v>49</v>
      </c>
      <c r="B1" s="16" t="s">
        <v>38</v>
      </c>
      <c r="C1" s="16" t="s">
        <v>39</v>
      </c>
      <c r="D1" s="16" t="s">
        <v>40</v>
      </c>
      <c r="E1" s="16" t="s">
        <v>41</v>
      </c>
      <c r="F1" s="16" t="s">
        <v>42</v>
      </c>
      <c r="G1" s="16" t="s">
        <v>43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7" t="s">
        <v>244</v>
      </c>
      <c r="B2" s="58" t="s">
        <v>108</v>
      </c>
      <c r="C2" s="47" t="str">
        <f t="shared" ref="C2:C4" si="0">RIGHT(F2,6)</f>
        <v>385101</v>
      </c>
      <c r="D2" s="19" t="s">
        <v>44</v>
      </c>
      <c r="E2" s="17" t="str">
        <f t="shared" ref="E2" si="1">B2&amp;C2&amp;D2</f>
        <v>gacha_select_tables_385101.tmp</v>
      </c>
      <c r="F2" s="108" t="s">
        <v>239</v>
      </c>
      <c r="G2" s="46" t="s">
        <v>83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7" t="s">
        <v>244</v>
      </c>
      <c r="B3" s="58" t="s">
        <v>108</v>
      </c>
      <c r="C3" s="47" t="str">
        <f t="shared" si="0"/>
        <v>385103</v>
      </c>
      <c r="D3" s="19" t="s">
        <v>44</v>
      </c>
      <c r="E3" s="17" t="str">
        <f t="shared" ref="E3:E7" si="2">B3&amp;C3&amp;D3</f>
        <v>gacha_select_tables_385103.tmp</v>
      </c>
      <c r="F3" s="108" t="s">
        <v>240</v>
      </c>
      <c r="G3" s="46" t="s">
        <v>83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7" t="s">
        <v>244</v>
      </c>
      <c r="B4" s="58" t="s">
        <v>108</v>
      </c>
      <c r="C4" s="47" t="str">
        <f t="shared" si="0"/>
        <v>385104</v>
      </c>
      <c r="D4" s="19" t="s">
        <v>44</v>
      </c>
      <c r="E4" s="17" t="str">
        <f t="shared" si="2"/>
        <v>gacha_select_tables_385104.tmp</v>
      </c>
      <c r="F4" s="108" t="s">
        <v>241</v>
      </c>
      <c r="G4" s="46" t="s">
        <v>82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7" t="s">
        <v>244</v>
      </c>
      <c r="B5" s="58" t="s">
        <v>108</v>
      </c>
      <c r="C5" s="47" t="str">
        <f t="shared" ref="C5:C6" si="3">RIGHT(F5,6)</f>
        <v>385105</v>
      </c>
      <c r="D5" s="19" t="s">
        <v>44</v>
      </c>
      <c r="E5" s="17" t="str">
        <f t="shared" ref="E5:E6" si="4">B5&amp;C5&amp;D5</f>
        <v>gacha_select_tables_385105.tmp</v>
      </c>
      <c r="F5" s="108" t="s">
        <v>242</v>
      </c>
      <c r="G5" s="46" t="s">
        <v>82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7" t="s">
        <v>244</v>
      </c>
      <c r="B6" s="58" t="s">
        <v>108</v>
      </c>
      <c r="C6" s="47" t="str">
        <f t="shared" si="3"/>
        <v>385100</v>
      </c>
      <c r="D6" s="19" t="s">
        <v>44</v>
      </c>
      <c r="E6" s="17" t="str">
        <f t="shared" si="4"/>
        <v>gacha_select_tables_385100.tmp</v>
      </c>
      <c r="F6" s="108" t="s">
        <v>243</v>
      </c>
      <c r="G6" s="46" t="s">
        <v>82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107" t="s">
        <v>244</v>
      </c>
      <c r="B7" s="105" t="s">
        <v>234</v>
      </c>
      <c r="C7" s="105">
        <v>385</v>
      </c>
      <c r="D7" s="19" t="s">
        <v>235</v>
      </c>
      <c r="E7" s="17" t="str">
        <f t="shared" si="2"/>
        <v>gacha_bonus_tables_385.tmp</v>
      </c>
      <c r="F7" s="19" t="s">
        <v>236</v>
      </c>
      <c r="G7" s="106" t="s">
        <v>11</v>
      </c>
      <c r="H7" s="106" t="s">
        <v>13</v>
      </c>
      <c r="I7" s="106" t="s">
        <v>2</v>
      </c>
      <c r="J7" s="20"/>
      <c r="K7" s="20"/>
      <c r="L7" s="20"/>
      <c r="M7" s="20"/>
      <c r="N7" s="20"/>
      <c r="O7" s="20"/>
    </row>
    <row r="8" spans="1:21" x14ac:dyDescent="0.15">
      <c r="A8" s="107" t="s">
        <v>244</v>
      </c>
      <c r="B8" s="19" t="s">
        <v>47</v>
      </c>
      <c r="C8" s="105">
        <v>385</v>
      </c>
      <c r="D8" s="19" t="s">
        <v>45</v>
      </c>
      <c r="E8" s="17" t="str">
        <f t="shared" ref="E8:E9" si="5">B8&amp;C8&amp;D8</f>
        <v>gifts_tmp_385.tmp</v>
      </c>
      <c r="F8" s="19" t="s">
        <v>46</v>
      </c>
      <c r="G8" s="22" t="s">
        <v>21</v>
      </c>
      <c r="H8" s="23" t="s">
        <v>29</v>
      </c>
      <c r="I8" s="22" t="s">
        <v>22</v>
      </c>
      <c r="J8" s="22" t="s">
        <v>23</v>
      </c>
      <c r="K8" s="22" t="s">
        <v>23</v>
      </c>
      <c r="L8" s="22" t="s">
        <v>24</v>
      </c>
      <c r="M8" s="22" t="s">
        <v>24</v>
      </c>
      <c r="N8" s="22" t="s">
        <v>24</v>
      </c>
      <c r="O8" s="48" t="s">
        <v>7</v>
      </c>
      <c r="P8" s="48" t="s">
        <v>9</v>
      </c>
      <c r="Q8" s="48" t="s">
        <v>6</v>
      </c>
      <c r="R8" s="48" t="s">
        <v>84</v>
      </c>
      <c r="S8" s="48" t="s">
        <v>8</v>
      </c>
      <c r="T8" s="48" t="s">
        <v>85</v>
      </c>
      <c r="U8" s="48" t="s">
        <v>5</v>
      </c>
    </row>
    <row r="9" spans="1:21" x14ac:dyDescent="0.15">
      <c r="A9" s="107" t="s">
        <v>244</v>
      </c>
      <c r="B9" s="19" t="s">
        <v>48</v>
      </c>
      <c r="C9" s="105">
        <v>385</v>
      </c>
      <c r="D9" s="19" t="s">
        <v>45</v>
      </c>
      <c r="E9" s="17" t="str">
        <f t="shared" si="5"/>
        <v>gifts_i18n_385.tmp</v>
      </c>
      <c r="F9" s="19" t="s">
        <v>46</v>
      </c>
      <c r="G9" s="22" t="s">
        <v>12</v>
      </c>
      <c r="H9" s="24" t="s">
        <v>25</v>
      </c>
      <c r="I9" s="24" t="s">
        <v>26</v>
      </c>
      <c r="J9" s="24" t="s">
        <v>27</v>
      </c>
      <c r="K9" s="24" t="s">
        <v>28</v>
      </c>
      <c r="L9" s="25"/>
      <c r="M9" s="22"/>
      <c r="N9" s="22"/>
      <c r="O9" s="1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5" t="s">
        <v>80</v>
      </c>
      <c r="B1" s="45"/>
      <c r="L1" s="35" t="s">
        <v>59</v>
      </c>
      <c r="M1" s="35"/>
      <c r="U1" t="s">
        <v>59</v>
      </c>
    </row>
    <row r="2" spans="1:22" x14ac:dyDescent="0.15">
      <c r="A2" t="str">
        <f ca="1">RIGHT(RIGHT(CELL("filename",A2),LEN(CELL("filename",A2))-FIND("]",CELL("filename",A2))),6)</f>
        <v>385101</v>
      </c>
      <c r="L2" s="30" t="s">
        <v>1</v>
      </c>
      <c r="M2" s="34" t="s">
        <v>63</v>
      </c>
      <c r="N2" s="30" t="s">
        <v>61</v>
      </c>
      <c r="O2" s="34" t="s">
        <v>64</v>
      </c>
      <c r="P2" s="34" t="s">
        <v>65</v>
      </c>
      <c r="Q2" s="34" t="s">
        <v>62</v>
      </c>
      <c r="R2" s="41" t="s">
        <v>71</v>
      </c>
      <c r="U2" s="30" t="s">
        <v>164</v>
      </c>
      <c r="V2" s="51">
        <f t="shared" ref="V2:V16" si="0">SUMIF(Q:Q,U2,N:N)</f>
        <v>0</v>
      </c>
    </row>
    <row r="3" spans="1:22" x14ac:dyDescent="0.15">
      <c r="H3" s="66" t="s">
        <v>185</v>
      </c>
      <c r="L3" s="5">
        <v>985</v>
      </c>
      <c r="M3" s="34" t="str">
        <f>VLOOKUP(L3,[1]characters!$A:$C,3,FALSE)</f>
        <v>エレン</v>
      </c>
      <c r="N3" s="60">
        <v>4.0000000000000001E-3</v>
      </c>
      <c r="O3" s="34">
        <f>VLOOKUP(L3,[1]characters!$A:$I,9,FALSE)</f>
        <v>5</v>
      </c>
      <c r="P3" s="34" t="str">
        <f>VLOOKUP(L3,[1]characters!$A:$J,10,FALSE)</f>
        <v>PremiumSS</v>
      </c>
      <c r="Q3" s="34" t="str">
        <f>VLOOKUP(L3,tables_385101!B:C,2,FALSE)</f>
        <v>PremiumSS5R5only</v>
      </c>
      <c r="R3" s="59">
        <f t="shared" ref="R3:R20" si="1">N3*A$36</f>
        <v>93912</v>
      </c>
      <c r="S3">
        <v>190</v>
      </c>
      <c r="U3" s="30" t="s">
        <v>165</v>
      </c>
      <c r="V3" s="51">
        <f t="shared" si="0"/>
        <v>0</v>
      </c>
    </row>
    <row r="4" spans="1:22" x14ac:dyDescent="0.15">
      <c r="A4" s="31" t="s">
        <v>51</v>
      </c>
      <c r="B4" s="31"/>
      <c r="D4" t="s">
        <v>174</v>
      </c>
      <c r="F4" t="s">
        <v>177</v>
      </c>
      <c r="H4" t="s">
        <v>183</v>
      </c>
      <c r="I4" t="s">
        <v>184</v>
      </c>
      <c r="L4" s="5">
        <v>992</v>
      </c>
      <c r="M4" s="34" t="str">
        <f>VLOOKUP(L4,[1]characters!$A:$C,3,FALSE)</f>
        <v>ハンジ</v>
      </c>
      <c r="N4" s="60">
        <v>4.4999999999999998E-2</v>
      </c>
      <c r="O4" s="34">
        <f>VLOOKUP(L4,[1]characters!$A:$I,9,FALSE)</f>
        <v>4</v>
      </c>
      <c r="P4" s="34" t="str">
        <f>VLOOKUP(L4,[1]characters!$A:$J,10,FALSE)</f>
        <v>PremiumS</v>
      </c>
      <c r="Q4" s="34" t="str">
        <f>VLOOKUP(L4,tables_385101!B:C,2,FALSE)</f>
        <v>Premium4R3less</v>
      </c>
      <c r="R4" s="59">
        <f t="shared" si="1"/>
        <v>1056510</v>
      </c>
      <c r="S4">
        <v>191</v>
      </c>
      <c r="U4" s="30" t="s">
        <v>95</v>
      </c>
      <c r="V4" s="51">
        <f t="shared" si="0"/>
        <v>0</v>
      </c>
    </row>
    <row r="5" spans="1:22" x14ac:dyDescent="0.15">
      <c r="A5" s="30" t="s">
        <v>66</v>
      </c>
      <c r="B5" s="65">
        <v>0.5</v>
      </c>
      <c r="D5" t="s">
        <v>175</v>
      </c>
      <c r="E5" s="40">
        <f>(B11-H5)/(F5-I5)</f>
        <v>1.0952380952380953E-3</v>
      </c>
      <c r="F5">
        <f>(COUNTIF(tables_385101!C:C,input_385101!A28)+COUNTIF(tables_385101!C:C,input_385101!A29))</f>
        <v>43</v>
      </c>
      <c r="H5" s="77">
        <v>4.0000000000000001E-3</v>
      </c>
      <c r="I5" s="29">
        <v>1</v>
      </c>
      <c r="L5" s="5">
        <v>993</v>
      </c>
      <c r="M5" s="34" t="str">
        <f>VLOOKUP(L5,[1]characters!$A:$C,3,FALSE)</f>
        <v>巨躯への執着 ハンジ</v>
      </c>
      <c r="N5" s="60">
        <v>5.0000000000000001E-3</v>
      </c>
      <c r="O5" s="34">
        <f>VLOOKUP(L5,[1]characters!$A:$I,9,FALSE)</f>
        <v>5</v>
      </c>
      <c r="P5" s="34" t="str">
        <f>VLOOKUP(L5,[1]characters!$A:$J,10,FALSE)</f>
        <v>PremiumS</v>
      </c>
      <c r="Q5" s="34" t="str">
        <f>VLOOKUP(L5,tables_385101!B:C,2,FALSE)</f>
        <v>Premium5R3less</v>
      </c>
      <c r="R5" s="59">
        <f t="shared" si="1"/>
        <v>117390</v>
      </c>
      <c r="S5">
        <v>192</v>
      </c>
      <c r="U5" s="30" t="s">
        <v>96</v>
      </c>
      <c r="V5" s="51">
        <f t="shared" si="0"/>
        <v>0</v>
      </c>
    </row>
    <row r="6" spans="1:22" x14ac:dyDescent="0.15">
      <c r="A6" s="30" t="s">
        <v>67</v>
      </c>
      <c r="B6" s="65">
        <v>0.45</v>
      </c>
      <c r="D6" t="s">
        <v>176</v>
      </c>
      <c r="E6" s="69">
        <f>(B10-H6)/(F6-I6)</f>
        <v>8.1395348837209301E-3</v>
      </c>
      <c r="F6">
        <f>(COUNTIF(tables_385101!C:C,input_385101!A25)+COUNTIF(tables_385101!C:C,input_385101!A18)+COUNTIF(tables_385101!C:C,input_385101!A20)+COUNTIF(tables_385101!C:C,input_385101!A22))</f>
        <v>89</v>
      </c>
      <c r="H6" s="79">
        <v>0.25</v>
      </c>
      <c r="I6" s="29">
        <v>3</v>
      </c>
      <c r="L6" s="5">
        <v>998</v>
      </c>
      <c r="M6" s="34" t="str">
        <f>VLOOKUP(L6,[1]characters!$A:$C,3,FALSE)</f>
        <v>サシャ</v>
      </c>
      <c r="N6" s="60">
        <v>0.09</v>
      </c>
      <c r="O6" s="34">
        <f>VLOOKUP(L6,[1]characters!$A:$I,9,FALSE)</f>
        <v>4</v>
      </c>
      <c r="P6" s="34" t="str">
        <f>VLOOKUP(L6,[1]characters!$A:$J,10,FALSE)</f>
        <v>PremiumS</v>
      </c>
      <c r="Q6" s="34" t="str">
        <f>VLOOKUP(L6,tables_385101!B:C,2,FALSE)</f>
        <v>Premium4R3less</v>
      </c>
      <c r="R6" s="59">
        <f t="shared" si="1"/>
        <v>2113020</v>
      </c>
      <c r="S6">
        <v>596</v>
      </c>
      <c r="U6" s="30" t="s">
        <v>97</v>
      </c>
      <c r="V6" s="51">
        <f t="shared" si="0"/>
        <v>0</v>
      </c>
    </row>
    <row r="7" spans="1:22" x14ac:dyDescent="0.15">
      <c r="A7" s="30" t="s">
        <v>68</v>
      </c>
      <c r="B7" s="65">
        <v>0.05</v>
      </c>
      <c r="L7" s="5">
        <v>999</v>
      </c>
      <c r="M7" s="34" t="str">
        <f>VLOOKUP(L7,[1]characters!$A:$C,3,FALSE)</f>
        <v>無尽蔵の食猟 サシャ</v>
      </c>
      <c r="N7" s="60">
        <v>0.01</v>
      </c>
      <c r="O7" s="34">
        <f>VLOOKUP(L7,[1]characters!$A:$I,9,FALSE)</f>
        <v>5</v>
      </c>
      <c r="P7" s="34" t="str">
        <f>VLOOKUP(L7,[1]characters!$A:$J,10,FALSE)</f>
        <v>PremiumS</v>
      </c>
      <c r="Q7" s="34" t="str">
        <f>VLOOKUP(L7,tables_385101!B:C,2,FALSE)</f>
        <v>Premium5R3less</v>
      </c>
      <c r="R7" s="59">
        <f t="shared" si="1"/>
        <v>234780</v>
      </c>
      <c r="S7">
        <v>597</v>
      </c>
      <c r="U7" s="30" t="s">
        <v>170</v>
      </c>
      <c r="V7" s="51">
        <f t="shared" si="0"/>
        <v>0.22500000000000001</v>
      </c>
    </row>
    <row r="8" spans="1:22" x14ac:dyDescent="0.15">
      <c r="A8" s="54"/>
      <c r="B8" s="64"/>
      <c r="E8" s="69"/>
      <c r="L8" s="5">
        <v>1002</v>
      </c>
      <c r="M8" s="34" t="str">
        <f>VLOOKUP(L8,[1]characters!$A:$C,3,FALSE)</f>
        <v>ジャン</v>
      </c>
      <c r="N8" s="60">
        <v>0.09</v>
      </c>
      <c r="O8" s="34">
        <f>VLOOKUP(L8,[1]characters!$A:$I,9,FALSE)</f>
        <v>4</v>
      </c>
      <c r="P8" s="34" t="str">
        <f>VLOOKUP(L8,[1]characters!$A:$J,10,FALSE)</f>
        <v>PremiumS</v>
      </c>
      <c r="Q8" s="34" t="str">
        <f>VLOOKUP(L8,tables_385101!B:C,2,FALSE)</f>
        <v>Premium4R3less</v>
      </c>
      <c r="R8" s="59">
        <f t="shared" si="1"/>
        <v>2113020</v>
      </c>
      <c r="S8">
        <v>598</v>
      </c>
      <c r="U8" s="30" t="s">
        <v>171</v>
      </c>
      <c r="V8" s="51">
        <f t="shared" si="0"/>
        <v>2.5000000000000001E-2</v>
      </c>
    </row>
    <row r="9" spans="1:22" x14ac:dyDescent="0.15">
      <c r="A9" s="32" t="s">
        <v>52</v>
      </c>
      <c r="B9" s="32"/>
      <c r="L9" s="5">
        <v>1003</v>
      </c>
      <c r="M9" s="34" t="str">
        <f>VLOOKUP(L9,[1]characters!$A:$C,3,FALSE)</f>
        <v>真義の勇抱 ジャン</v>
      </c>
      <c r="N9" s="60">
        <v>0.01</v>
      </c>
      <c r="O9" s="34">
        <f>VLOOKUP(L9,[1]characters!$A:$I,9,FALSE)</f>
        <v>5</v>
      </c>
      <c r="P9" s="34" t="str">
        <f>VLOOKUP(L9,[1]characters!$A:$J,10,FALSE)</f>
        <v>PremiumS</v>
      </c>
      <c r="Q9" s="34" t="str">
        <f>VLOOKUP(L9,tables_385101!B:C,2,FALSE)</f>
        <v>Premium5R3less</v>
      </c>
      <c r="R9" s="59">
        <f t="shared" si="1"/>
        <v>234780</v>
      </c>
      <c r="S9">
        <v>390</v>
      </c>
      <c r="U9" s="30" t="s">
        <v>167</v>
      </c>
      <c r="V9" s="51">
        <f t="shared" si="0"/>
        <v>0</v>
      </c>
    </row>
    <row r="10" spans="1:22" x14ac:dyDescent="0.15">
      <c r="A10" s="30" t="s">
        <v>94</v>
      </c>
      <c r="B10" s="65">
        <f>1-B11-B12</f>
        <v>0.95</v>
      </c>
      <c r="C10" t="s">
        <v>182</v>
      </c>
      <c r="M10" s="34" t="e">
        <f>VLOOKUP(L10,[1]characters!$A:$C,3,FALSE)</f>
        <v>#N/A</v>
      </c>
      <c r="N10" s="60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VLOOKUP(L10,tables_385101!B:C,2,FALSE)</f>
        <v>#N/A</v>
      </c>
      <c r="R10" s="59">
        <f t="shared" si="1"/>
        <v>0</v>
      </c>
      <c r="S10">
        <v>391</v>
      </c>
      <c r="U10" s="30" t="s">
        <v>168</v>
      </c>
      <c r="V10" s="51">
        <f t="shared" si="0"/>
        <v>0</v>
      </c>
    </row>
    <row r="11" spans="1:22" x14ac:dyDescent="0.15">
      <c r="A11" s="30" t="s">
        <v>54</v>
      </c>
      <c r="B11" s="70">
        <v>0.05</v>
      </c>
      <c r="M11" s="34" t="e">
        <f>VLOOKUP(L11,[1]characters!$A:$C,3,FALSE)</f>
        <v>#N/A</v>
      </c>
      <c r="N11" s="60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VLOOKUP(L11,tables_385101!B:C,2,FALSE)</f>
        <v>#N/A</v>
      </c>
      <c r="R11" s="59">
        <f t="shared" si="1"/>
        <v>0</v>
      </c>
      <c r="S11">
        <v>811</v>
      </c>
      <c r="U11" s="30" t="s">
        <v>169</v>
      </c>
      <c r="V11" s="51">
        <f t="shared" si="0"/>
        <v>0</v>
      </c>
    </row>
    <row r="12" spans="1:22" x14ac:dyDescent="0.15">
      <c r="A12" s="30" t="s">
        <v>53</v>
      </c>
      <c r="B12" s="65">
        <v>0</v>
      </c>
      <c r="M12" s="34" t="e">
        <f>VLOOKUP(L12,[1]characters!$A:$C,3,FALSE)</f>
        <v>#N/A</v>
      </c>
      <c r="N12" s="60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VLOOKUP(L12,tables_385101!B:C,2,FALSE)</f>
        <v>#N/A</v>
      </c>
      <c r="R12" s="59">
        <f t="shared" si="1"/>
        <v>0</v>
      </c>
      <c r="S12">
        <v>496</v>
      </c>
      <c r="U12" s="30" t="s">
        <v>104</v>
      </c>
      <c r="V12" s="51">
        <f t="shared" si="0"/>
        <v>0</v>
      </c>
    </row>
    <row r="13" spans="1:22" x14ac:dyDescent="0.15">
      <c r="M13" s="34" t="e">
        <f>VLOOKUP(L13,[1]characters!$A:$C,3,FALSE)</f>
        <v>#N/A</v>
      </c>
      <c r="N13" s="60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VLOOKUP(L13,tables_385101!B:C,2,FALSE)</f>
        <v>#N/A</v>
      </c>
      <c r="R13" s="59">
        <f t="shared" si="1"/>
        <v>0</v>
      </c>
      <c r="S13">
        <v>497</v>
      </c>
      <c r="U13" s="30" t="s">
        <v>105</v>
      </c>
      <c r="V13" s="51">
        <f t="shared" si="0"/>
        <v>0</v>
      </c>
    </row>
    <row r="14" spans="1:22" x14ac:dyDescent="0.15">
      <c r="M14" s="34" t="e">
        <f>VLOOKUP(L14,[1]characters!$A:$C,3,FALSE)</f>
        <v>#N/A</v>
      </c>
      <c r="N14" s="60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VLOOKUP(L14,tables_385101!B:C,2,FALSE)</f>
        <v>#N/A</v>
      </c>
      <c r="R14" s="59">
        <f t="shared" si="1"/>
        <v>0</v>
      </c>
      <c r="S14">
        <v>498</v>
      </c>
      <c r="U14" s="30" t="s">
        <v>173</v>
      </c>
      <c r="V14" s="51">
        <f t="shared" si="0"/>
        <v>4.0000000000000001E-3</v>
      </c>
    </row>
    <row r="15" spans="1:22" x14ac:dyDescent="0.15">
      <c r="A15" s="33" t="s">
        <v>55</v>
      </c>
      <c r="B15" s="33"/>
      <c r="C15" t="s">
        <v>81</v>
      </c>
      <c r="M15" s="34" t="e">
        <f>VLOOKUP(L15,[1]characters!$A:$C,3,FALSE)</f>
        <v>#N/A</v>
      </c>
      <c r="N15" s="60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VLOOKUP(L15,tables_385101!B:C,2,FALSE)</f>
        <v>#N/A</v>
      </c>
      <c r="R15" s="59">
        <f t="shared" si="1"/>
        <v>0</v>
      </c>
      <c r="S15">
        <v>395</v>
      </c>
      <c r="U15" s="30" t="s">
        <v>107</v>
      </c>
      <c r="V15" s="51">
        <f t="shared" si="0"/>
        <v>0</v>
      </c>
    </row>
    <row r="16" spans="1:22" x14ac:dyDescent="0.15">
      <c r="A16" s="30" t="s">
        <v>58</v>
      </c>
      <c r="B16" s="30" t="s">
        <v>166</v>
      </c>
      <c r="C16" s="34" t="s">
        <v>59</v>
      </c>
      <c r="D16" s="34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M16" s="34" t="e">
        <f>VLOOKUP(L16,[1]characters!$A:$C,3,FALSE)</f>
        <v>#N/A</v>
      </c>
      <c r="N16" s="60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VLOOKUP(L16,tables_385101!B:C,2,FALSE)</f>
        <v>#N/A</v>
      </c>
      <c r="R16" s="59">
        <f t="shared" si="1"/>
        <v>0</v>
      </c>
      <c r="S16">
        <v>396</v>
      </c>
      <c r="U16" s="30" t="s">
        <v>106</v>
      </c>
      <c r="V16" s="51">
        <f t="shared" si="0"/>
        <v>0</v>
      </c>
    </row>
    <row r="17" spans="1:19" x14ac:dyDescent="0.15">
      <c r="A17" s="30" t="s">
        <v>164</v>
      </c>
      <c r="B17" s="75">
        <f>E17*E$6*B5</f>
        <v>8.1395348837209308E-2</v>
      </c>
      <c r="C17" s="78">
        <f t="shared" ref="C17:C31" si="2">SUMIF(Q:Q,A17,N:N)</f>
        <v>0</v>
      </c>
      <c r="D17" s="67">
        <f t="shared" ref="D17:D32" si="3">B17-C17</f>
        <v>8.1395348837209308E-2</v>
      </c>
      <c r="E17">
        <f>COUNTIF(tables_385101!C:C,input_385101!A17)-COUNTIF(Q:Q,A17)</f>
        <v>20</v>
      </c>
      <c r="F17" s="40">
        <f>IFERROR(B17/E17,0)</f>
        <v>4.0697674418604651E-3</v>
      </c>
      <c r="G17">
        <f t="shared" ref="G17:G31" si="4">A$36*B17</f>
        <v>1911000.0000000002</v>
      </c>
      <c r="H17">
        <f t="shared" ref="H17:H31" si="5">IFERROR(ROUND(G17/E17,5),0)</f>
        <v>95550</v>
      </c>
      <c r="I17">
        <f t="shared" ref="I17:I31" si="6">MOD(H17,1)</f>
        <v>0</v>
      </c>
      <c r="J17">
        <f t="shared" ref="J17:J31" si="7">IFERROR(1/I17,1)</f>
        <v>1</v>
      </c>
      <c r="M17" s="34" t="e">
        <f>VLOOKUP(L17,[1]characters!$A:$C,3,FALSE)</f>
        <v>#N/A</v>
      </c>
      <c r="N17" s="60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VLOOKUP(L17,tables_385101!B:C,2,FALSE)</f>
        <v>#N/A</v>
      </c>
      <c r="R17" s="59">
        <f t="shared" si="1"/>
        <v>0</v>
      </c>
      <c r="S17">
        <v>397</v>
      </c>
    </row>
    <row r="18" spans="1:19" x14ac:dyDescent="0.15">
      <c r="A18" s="30" t="s">
        <v>165</v>
      </c>
      <c r="B18" s="53">
        <f>E$6*E18-B17</f>
        <v>8.1395348837209308E-2</v>
      </c>
      <c r="C18" s="78">
        <f t="shared" si="2"/>
        <v>0</v>
      </c>
      <c r="D18" s="67">
        <f t="shared" si="3"/>
        <v>8.1395348837209308E-2</v>
      </c>
      <c r="E18">
        <f>COUNTIF(tables_385101!C:C,input_385101!A18)-COUNTIF(Q:Q,A18)</f>
        <v>20</v>
      </c>
      <c r="F18" s="40">
        <f>IFERROR(B18/E18,0)</f>
        <v>4.0697674418604651E-3</v>
      </c>
      <c r="G18">
        <f t="shared" si="4"/>
        <v>1911000.0000000002</v>
      </c>
      <c r="H18">
        <f t="shared" si="5"/>
        <v>95550</v>
      </c>
      <c r="I18">
        <f t="shared" si="6"/>
        <v>0</v>
      </c>
      <c r="J18">
        <f t="shared" si="7"/>
        <v>1</v>
      </c>
      <c r="M18" s="34" t="e">
        <f>VLOOKUP(L18,[1]characters!$A:$C,3,FALSE)</f>
        <v>#N/A</v>
      </c>
      <c r="N18" s="60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VLOOKUP(L18,tables_385101!B:C,2,FALSE)</f>
        <v>#N/A</v>
      </c>
      <c r="R18" s="59">
        <f t="shared" si="1"/>
        <v>0</v>
      </c>
      <c r="S18">
        <v>324</v>
      </c>
    </row>
    <row r="19" spans="1:19" x14ac:dyDescent="0.15">
      <c r="A19" s="30" t="s">
        <v>95</v>
      </c>
      <c r="B19" s="53">
        <f>E$6*E19*B$5</f>
        <v>0.21162790697674419</v>
      </c>
      <c r="C19" s="78">
        <f t="shared" si="2"/>
        <v>0</v>
      </c>
      <c r="D19" s="67">
        <f t="shared" si="3"/>
        <v>0.21162790697674419</v>
      </c>
      <c r="E19">
        <f>COUNTIF(tables_385101!C:C,input_385101!A19)-COUNTIF(Q:Q,A19)</f>
        <v>52</v>
      </c>
      <c r="F19" s="40">
        <f t="shared" ref="F19:F31" si="8">IFERROR(B19/E19,0)</f>
        <v>4.0697674418604651E-3</v>
      </c>
      <c r="G19">
        <f t="shared" si="4"/>
        <v>4968600</v>
      </c>
      <c r="H19">
        <f t="shared" si="5"/>
        <v>95550</v>
      </c>
      <c r="I19">
        <f t="shared" si="6"/>
        <v>0</v>
      </c>
      <c r="J19">
        <f t="shared" si="7"/>
        <v>1</v>
      </c>
      <c r="M19" s="34" t="e">
        <f>VLOOKUP(L19,[1]characters!$A:$C,3,FALSE)</f>
        <v>#N/A</v>
      </c>
      <c r="N19" s="60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VLOOKUP(L19,tables_385101!B:C,2,FALSE)</f>
        <v>#N/A</v>
      </c>
      <c r="R19" s="59">
        <f t="shared" si="1"/>
        <v>0</v>
      </c>
      <c r="S19">
        <v>325</v>
      </c>
    </row>
    <row r="20" spans="1:19" x14ac:dyDescent="0.15">
      <c r="A20" s="30" t="s">
        <v>96</v>
      </c>
      <c r="B20" s="75">
        <f>E20*E6-B21-B19</f>
        <v>0.18419224806201548</v>
      </c>
      <c r="C20" s="78">
        <f t="shared" si="2"/>
        <v>0</v>
      </c>
      <c r="D20" s="67">
        <f t="shared" si="3"/>
        <v>0.18419224806201548</v>
      </c>
      <c r="E20">
        <f>COUNTIF(tables_385101!C:C,input_385101!A20)-COUNTIF(Q:Q,A20)</f>
        <v>52</v>
      </c>
      <c r="F20" s="40">
        <f t="shared" si="8"/>
        <v>3.5421586165772208E-3</v>
      </c>
      <c r="G20">
        <f t="shared" si="4"/>
        <v>4324465.5999999996</v>
      </c>
      <c r="H20">
        <f t="shared" si="5"/>
        <v>83162.8</v>
      </c>
      <c r="I20">
        <f t="shared" si="6"/>
        <v>0.80000000000291038</v>
      </c>
      <c r="J20">
        <f t="shared" si="7"/>
        <v>1.2499999999954525</v>
      </c>
      <c r="M20" s="34" t="e">
        <f>VLOOKUP(L20,[1]characters!$A:$C,3,FALSE)</f>
        <v>#N/A</v>
      </c>
      <c r="N20" s="60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VLOOKUP(L20,tables_385101!B:C,2,FALSE)</f>
        <v>#N/A</v>
      </c>
      <c r="R20" s="59">
        <f t="shared" si="1"/>
        <v>0</v>
      </c>
      <c r="S20">
        <v>809</v>
      </c>
    </row>
    <row r="21" spans="1:19" x14ac:dyDescent="0.15">
      <c r="A21" s="30" t="s">
        <v>97</v>
      </c>
      <c r="B21" s="53">
        <f>B7-B23-B26-B28-B29</f>
        <v>2.7435658914728687E-2</v>
      </c>
      <c r="C21" s="78">
        <f t="shared" si="2"/>
        <v>0</v>
      </c>
      <c r="D21" s="67">
        <f t="shared" si="3"/>
        <v>2.7435658914728687E-2</v>
      </c>
      <c r="E21">
        <f>COUNTIF(tables_385101!C:C,input_385101!A21)-COUNTIF(Q:Q,A21)</f>
        <v>52</v>
      </c>
      <c r="F21" s="40">
        <f t="shared" si="8"/>
        <v>5.2760882528324403E-4</v>
      </c>
      <c r="G21">
        <f t="shared" si="4"/>
        <v>644134.40000000014</v>
      </c>
      <c r="H21">
        <f t="shared" si="5"/>
        <v>12387.2</v>
      </c>
      <c r="I21">
        <f t="shared" si="6"/>
        <v>0.2000000000007276</v>
      </c>
      <c r="J21">
        <f t="shared" si="7"/>
        <v>4.9999999999818101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0" t="s">
        <v>170</v>
      </c>
      <c r="B22" s="68">
        <f>E$6*E22*(B6+B5)</f>
        <v>7.7325581395348841E-2</v>
      </c>
      <c r="C22" s="78">
        <f t="shared" si="2"/>
        <v>0.22500000000000001</v>
      </c>
      <c r="D22" s="67">
        <f t="shared" si="3"/>
        <v>-0.14767441860465116</v>
      </c>
      <c r="E22">
        <f>COUNTIF(tables_385101!C:C,input_385101!A22)-COUNTIF(Q:Q,A22)</f>
        <v>10</v>
      </c>
      <c r="F22" s="40">
        <f t="shared" si="8"/>
        <v>7.7325581395348841E-3</v>
      </c>
      <c r="G22">
        <f t="shared" si="4"/>
        <v>1815450</v>
      </c>
      <c r="H22">
        <f t="shared" si="5"/>
        <v>181545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0" t="s">
        <v>171</v>
      </c>
      <c r="B23" s="63">
        <f>E23*E6*B7</f>
        <v>4.0697674418604659E-3</v>
      </c>
      <c r="C23" s="78">
        <f t="shared" si="2"/>
        <v>2.5000000000000001E-2</v>
      </c>
      <c r="D23" s="67">
        <f t="shared" si="3"/>
        <v>-2.0930232558139535E-2</v>
      </c>
      <c r="E23">
        <f>COUNTIF(tables_385101!C:C,input_385101!A23)-COUNTIF(Q:Q,A23)</f>
        <v>10</v>
      </c>
      <c r="F23" s="40">
        <f t="shared" si="8"/>
        <v>4.0697674418604658E-4</v>
      </c>
      <c r="G23">
        <f t="shared" si="4"/>
        <v>95550.000000000015</v>
      </c>
      <c r="H23">
        <f t="shared" si="5"/>
        <v>9555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0" t="s">
        <v>167</v>
      </c>
      <c r="B24" s="53">
        <f>E$6*E24*B$5</f>
        <v>1.627906976744186E-2</v>
      </c>
      <c r="C24" s="78">
        <f t="shared" si="2"/>
        <v>0</v>
      </c>
      <c r="D24" s="67">
        <f t="shared" si="3"/>
        <v>1.627906976744186E-2</v>
      </c>
      <c r="E24">
        <f>COUNTIF(tables_385101!C:C,input_385101!A24)-COUNTIF(Q:Q,A24)</f>
        <v>4</v>
      </c>
      <c r="F24" s="40">
        <f t="shared" si="8"/>
        <v>4.0697674418604651E-3</v>
      </c>
      <c r="G24">
        <f t="shared" si="4"/>
        <v>382200</v>
      </c>
      <c r="H24">
        <f t="shared" si="5"/>
        <v>95550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0" t="s">
        <v>168</v>
      </c>
      <c r="B25" s="53">
        <f>E$6*B$6*E25</f>
        <v>1.4651162790697675E-2</v>
      </c>
      <c r="C25" s="78">
        <f t="shared" si="2"/>
        <v>0</v>
      </c>
      <c r="D25" s="67">
        <f t="shared" si="3"/>
        <v>1.4651162790697675E-2</v>
      </c>
      <c r="E25">
        <f>COUNTIF(tables_385101!C:C,input_385101!A25)-COUNTIF(Q:Q,A25)</f>
        <v>4</v>
      </c>
      <c r="F25" s="40">
        <f t="shared" si="8"/>
        <v>3.6627906976744186E-3</v>
      </c>
      <c r="G25">
        <f t="shared" si="4"/>
        <v>343980</v>
      </c>
      <c r="H25">
        <f t="shared" si="5"/>
        <v>85995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0" t="s">
        <v>169</v>
      </c>
      <c r="B26" s="53">
        <f>E$6*B$7*E26</f>
        <v>1.6279069767441861E-3</v>
      </c>
      <c r="C26" s="78">
        <f t="shared" si="2"/>
        <v>0</v>
      </c>
      <c r="D26" s="67">
        <f t="shared" si="3"/>
        <v>1.6279069767441861E-3</v>
      </c>
      <c r="E26">
        <f>COUNTIF(tables_385101!C:C,input_385101!A26)-COUNTIF(Q:Q,A26)</f>
        <v>4</v>
      </c>
      <c r="F26" s="40">
        <f t="shared" si="8"/>
        <v>4.0697674418604653E-4</v>
      </c>
      <c r="G26">
        <f t="shared" si="4"/>
        <v>38220</v>
      </c>
      <c r="H26">
        <f t="shared" si="5"/>
        <v>9555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0" t="s">
        <v>104</v>
      </c>
      <c r="B27" s="53">
        <f>E$5*E27*(B$5+B$6)</f>
        <v>2.9133333333333334E-2</v>
      </c>
      <c r="C27" s="78">
        <f t="shared" si="2"/>
        <v>0</v>
      </c>
      <c r="D27" s="67">
        <f t="shared" si="3"/>
        <v>2.9133333333333334E-2</v>
      </c>
      <c r="E27">
        <f>COUNTIF(tables_385101!C:C,input_385101!A27)-COUNTIF(Q:Q,A27)</f>
        <v>28</v>
      </c>
      <c r="F27" s="40">
        <f>IFERROR(B27/E27,0)</f>
        <v>1.0404761904761904E-3</v>
      </c>
      <c r="G27">
        <f t="shared" si="4"/>
        <v>683992.4</v>
      </c>
      <c r="H27">
        <f t="shared" si="5"/>
        <v>24428.3</v>
      </c>
      <c r="I27">
        <f t="shared" si="6"/>
        <v>0.2999999999992724</v>
      </c>
      <c r="J27">
        <f t="shared" si="7"/>
        <v>3.3333333333414177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0" t="s">
        <v>105</v>
      </c>
      <c r="B28" s="53">
        <f>E$5*E28*B$7</f>
        <v>1.5333333333333336E-3</v>
      </c>
      <c r="C28" s="78">
        <f t="shared" si="2"/>
        <v>0</v>
      </c>
      <c r="D28" s="67">
        <f t="shared" si="3"/>
        <v>1.5333333333333336E-3</v>
      </c>
      <c r="E28">
        <f>COUNTIF(tables_385101!C:C,input_385101!A28)-COUNTIF(Q:Q,A28)</f>
        <v>28</v>
      </c>
      <c r="F28" s="40">
        <f t="shared" si="8"/>
        <v>5.4761904761904773E-5</v>
      </c>
      <c r="G28">
        <f t="shared" si="4"/>
        <v>35999.600000000006</v>
      </c>
      <c r="H28">
        <f t="shared" si="5"/>
        <v>1285.7</v>
      </c>
      <c r="I28">
        <f t="shared" si="6"/>
        <v>0.70000000000004547</v>
      </c>
      <c r="J28">
        <f t="shared" si="7"/>
        <v>1.4285714285713358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0" t="s">
        <v>173</v>
      </c>
      <c r="B29" s="53">
        <f>E$5*E29</f>
        <v>1.5333333333333334E-2</v>
      </c>
      <c r="C29" s="78">
        <f t="shared" si="2"/>
        <v>4.0000000000000001E-3</v>
      </c>
      <c r="D29" s="67">
        <f t="shared" si="3"/>
        <v>1.1333333333333334E-2</v>
      </c>
      <c r="E29">
        <f>COUNTIF(tables_385101!C:C,input_385101!A29)-COUNTIF(Q:Q,A29)</f>
        <v>14</v>
      </c>
      <c r="F29" s="40">
        <f t="shared" si="8"/>
        <v>1.0952380952380953E-3</v>
      </c>
      <c r="G29">
        <f t="shared" si="4"/>
        <v>359996</v>
      </c>
      <c r="H29">
        <f t="shared" si="5"/>
        <v>25714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0" t="s">
        <v>208</v>
      </c>
      <c r="B30" s="53">
        <v>0</v>
      </c>
      <c r="C30" s="78">
        <f t="shared" si="2"/>
        <v>0</v>
      </c>
      <c r="D30" s="67">
        <f t="shared" si="3"/>
        <v>0</v>
      </c>
      <c r="E30">
        <f>COUNTIF(tables_385101!C:C,input_385101!A30)-COUNTIF(Q:Q,A30)</f>
        <v>0</v>
      </c>
      <c r="F30" s="40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0" t="s">
        <v>209</v>
      </c>
      <c r="B31" s="53">
        <v>0</v>
      </c>
      <c r="C31" s="78">
        <f t="shared" si="2"/>
        <v>0</v>
      </c>
      <c r="D31" s="67">
        <f t="shared" si="3"/>
        <v>0</v>
      </c>
      <c r="E31">
        <f>COUNTIF(tables_385101!C:C,input_385101!A31)-COUNTIF(Q:Q,A31)</f>
        <v>0</v>
      </c>
      <c r="F31" s="40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6" t="s">
        <v>57</v>
      </c>
      <c r="B32" s="37">
        <f>SUM(B17:B31)</f>
        <v>0.74600000000000011</v>
      </c>
      <c r="C32" s="38">
        <f>SUM(C19:C31)</f>
        <v>0.254</v>
      </c>
      <c r="D32" s="39">
        <f t="shared" si="3"/>
        <v>0.4920000000000001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71</v>
      </c>
    </row>
    <row r="36" spans="1:7" x14ac:dyDescent="0.15">
      <c r="A36" s="29">
        <f>LCM(F5-I5,F6-I6)*520*5*5</f>
        <v>23478000</v>
      </c>
    </row>
    <row r="38" spans="1:7" x14ac:dyDescent="0.15">
      <c r="A38" s="44" t="s">
        <v>74</v>
      </c>
    </row>
    <row r="39" spans="1:7" x14ac:dyDescent="0.15">
      <c r="A39" s="30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0" t="s">
        <v>101</v>
      </c>
      <c r="B40">
        <f ca="1">SUMIF(tables_385101!C:C,input_385101!A40,tables_385101!O:O)</f>
        <v>4968600</v>
      </c>
      <c r="C40" s="51">
        <f t="shared" ref="C40:C46" ca="1" si="9">B40/B$47</f>
        <v>0.46622037024386925</v>
      </c>
      <c r="E40">
        <v>3</v>
      </c>
      <c r="F40">
        <f ca="1">SUMIF(tables_385101!J:J,input_385101!E40,tables_385101!O:O)</f>
        <v>7261800</v>
      </c>
      <c r="G40">
        <f ca="1">F40/A36</f>
        <v>0.30930232558139537</v>
      </c>
    </row>
    <row r="41" spans="1:7" x14ac:dyDescent="0.15">
      <c r="A41" s="30" t="s">
        <v>102</v>
      </c>
      <c r="B41">
        <f ca="1">SUMIF(tables_385101!C:C,input_385101!A41,tables_385101!O:O)</f>
        <v>4324465.5999999959</v>
      </c>
      <c r="C41" s="51">
        <f t="shared" ca="1" si="9"/>
        <v>0.40577908327071499</v>
      </c>
      <c r="E41">
        <v>4</v>
      </c>
      <c r="F41">
        <f ca="1">SUMIF(tables_385101!J:J,input_385101!E41,tables_385101!O:O)</f>
        <v>14361437.999999985</v>
      </c>
      <c r="G41" s="103">
        <f ca="1">F41/A36</f>
        <v>0.61169767441860401</v>
      </c>
    </row>
    <row r="42" spans="1:7" x14ac:dyDescent="0.15">
      <c r="A42" s="30" t="s">
        <v>104</v>
      </c>
      <c r="B42">
        <f ca="1">SUMIF(tables_385101!C:C,input_385101!A42,tables_385101!O:O)</f>
        <v>683992.40000000014</v>
      </c>
      <c r="C42" s="51">
        <f t="shared" ca="1" si="9"/>
        <v>6.418129653664871E-2</v>
      </c>
      <c r="E42">
        <v>5</v>
      </c>
      <c r="F42">
        <f ca="1">SUMIF(tables_385101!J:J,input_385101!E42,tables_385101!O:O)</f>
        <v>1854761.9999999991</v>
      </c>
      <c r="G42" s="103">
        <f ca="1">F42/A36</f>
        <v>7.8999999999999959E-2</v>
      </c>
    </row>
    <row r="43" spans="1:7" x14ac:dyDescent="0.15">
      <c r="A43" s="30" t="s">
        <v>107</v>
      </c>
      <c r="B43">
        <f>SUMIF(tables_385101!C:C,input_385101!A43,tables_385101!O:O)</f>
        <v>0</v>
      </c>
      <c r="C43" s="51">
        <f t="shared" ca="1" si="9"/>
        <v>0</v>
      </c>
      <c r="F43" s="52"/>
    </row>
    <row r="44" spans="1:7" x14ac:dyDescent="0.15">
      <c r="A44" s="30" t="s">
        <v>103</v>
      </c>
      <c r="B44">
        <f ca="1">SUMIF(tables_385101!C:C,input_385101!A44,tables_385101!O:O)</f>
        <v>644134.39999999991</v>
      </c>
      <c r="C44" s="51">
        <f t="shared" ca="1" si="9"/>
        <v>6.0441286973153915E-2</v>
      </c>
      <c r="E44" t="s">
        <v>52</v>
      </c>
      <c r="F44" s="52"/>
    </row>
    <row r="45" spans="1:7" x14ac:dyDescent="0.15">
      <c r="A45" s="30" t="s">
        <v>105</v>
      </c>
      <c r="B45">
        <f ca="1">SUMIF(tables_385101!C:C,input_385101!A45,tables_385101!O:O)</f>
        <v>35999.600000000006</v>
      </c>
      <c r="C45" s="51">
        <f t="shared" ca="1" si="9"/>
        <v>3.3779629756130899E-3</v>
      </c>
      <c r="E45" t="s">
        <v>178</v>
      </c>
      <c r="F45" s="52">
        <f ca="1">SUMIF(tables_385101!I:I,input_385101!E45,tables_385101!P:P)</f>
        <v>0.16279069767441864</v>
      </c>
    </row>
    <row r="46" spans="1:7" x14ac:dyDescent="0.15">
      <c r="A46" s="30" t="s">
        <v>106</v>
      </c>
      <c r="B46">
        <f>SUMIF(tables_385101!C:C,input_385101!A46,tables_385101!O:O)</f>
        <v>0</v>
      </c>
      <c r="C46" s="51">
        <f t="shared" ca="1" si="9"/>
        <v>0</v>
      </c>
      <c r="E46" t="s">
        <v>179</v>
      </c>
      <c r="F46" s="52">
        <f ca="1">SUMIF(tables_385101!I:I,input_385101!E46,tables_385101!P:P)</f>
        <v>0.16279069767441864</v>
      </c>
    </row>
    <row r="47" spans="1:7" x14ac:dyDescent="0.15">
      <c r="A47" s="36" t="s">
        <v>57</v>
      </c>
      <c r="B47">
        <f ca="1">SUM(B40:B46)</f>
        <v>10657191.999999996</v>
      </c>
      <c r="C47" s="52">
        <f ca="1">SUM(C40:C46)</f>
        <v>1</v>
      </c>
      <c r="E47" t="s">
        <v>180</v>
      </c>
      <c r="F47" s="52">
        <f ca="1">SUMIF(tables_385101!I:I,input_385101!E47,tables_385101!P:P)</f>
        <v>0.62441860465116261</v>
      </c>
    </row>
    <row r="48" spans="1:7" x14ac:dyDescent="0.15">
      <c r="E48" t="s">
        <v>181</v>
      </c>
      <c r="F48" s="52">
        <f ca="1">SUMIF(tables_385101!I:I,input_385101!E48,tables_385101!P:P)</f>
        <v>4.9999999999999961E-2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6"/>
  <sheetViews>
    <sheetView showGridLines="0" tabSelected="1" zoomScale="75" zoomScaleNormal="75" zoomScalePageLayoutView="75" workbookViewId="0">
      <pane ySplit="1" topLeftCell="A285" activePane="bottomLeft" state="frozen"/>
      <selection activeCell="B31" sqref="B31"/>
      <selection pane="bottomLeft" activeCell="N313" sqref="N3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input_385101!A$2</f>
        <v>385101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IFERROR(VLOOKUP(B2,input_385101!L:R,7,FALSE),VLOOKUP(tables_385101!C2,input_385101!A:H,8,FALSE))</f>
        <v>95550</v>
      </c>
      <c r="P2" s="43">
        <f t="shared" ref="P2:P65" ca="1" si="2">O2/SUM(O:O)</f>
        <v>4.0697674418604651E-3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input_385101!A$2</f>
        <v>385101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IFERROR(VLOOKUP(B3,input_385101!L:R,7,FALSE),VLOOKUP(tables_385101!C3,input_385101!A:H,8,FALSE))</f>
        <v>95550</v>
      </c>
      <c r="P3" s="43">
        <f t="shared" ca="1" si="2"/>
        <v>4.0697674418604651E-3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input_385101!A$2</f>
        <v>385101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IFERROR(VLOOKUP(B4,input_385101!L:R,7,FALSE),VLOOKUP(tables_385101!C4,input_385101!A:H,8,FALSE))</f>
        <v>95550</v>
      </c>
      <c r="P4" s="43">
        <f t="shared" ca="1" si="2"/>
        <v>4.0697674418604651E-3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input_385101!A$2</f>
        <v>385101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IFERROR(VLOOKUP(B5,input_385101!L:R,7,FALSE),VLOOKUP(tables_385101!C5,input_385101!A:H,8,FALSE))</f>
        <v>95550</v>
      </c>
      <c r="P5" s="43">
        <f t="shared" ca="1" si="2"/>
        <v>4.0697674418604651E-3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input_385101!A$2</f>
        <v>385101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IFERROR(VLOOKUP(B6,input_385101!L:R,7,FALSE),VLOOKUP(tables_385101!C6,input_385101!A:H,8,FALSE))</f>
        <v>95550</v>
      </c>
      <c r="P6" s="43">
        <f t="shared" ca="1" si="2"/>
        <v>4.0697674418604651E-3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input_385101!A$2</f>
        <v>385101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IFERROR(VLOOKUP(B7,input_385101!L:R,7,FALSE),VLOOKUP(tables_385101!C7,input_385101!A:H,8,FALSE))</f>
        <v>95550</v>
      </c>
      <c r="P7" s="43">
        <f t="shared" ca="1" si="2"/>
        <v>4.0697674418604651E-3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input_385101!A$2</f>
        <v>385101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IFERROR(VLOOKUP(B8,input_385101!L:R,7,FALSE),VLOOKUP(tables_385101!C8,input_385101!A:H,8,FALSE))</f>
        <v>95550</v>
      </c>
      <c r="P8" s="43">
        <f t="shared" ca="1" si="2"/>
        <v>4.0697674418604651E-3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input_385101!A$2</f>
        <v>385101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IFERROR(VLOOKUP(B9,input_385101!L:R,7,FALSE),VLOOKUP(tables_385101!C9,input_385101!A:H,8,FALSE))</f>
        <v>95550</v>
      </c>
      <c r="P9" s="43">
        <f t="shared" ca="1" si="2"/>
        <v>4.0697674418604651E-3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input_385101!A$2</f>
        <v>385101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IFERROR(VLOOKUP(B10,input_385101!L:R,7,FALSE),VLOOKUP(tables_385101!C10,input_385101!A:H,8,FALSE))</f>
        <v>95550</v>
      </c>
      <c r="P10" s="43">
        <f t="shared" ca="1" si="2"/>
        <v>4.0697674418604651E-3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input_385101!A$2</f>
        <v>385101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IFERROR(VLOOKUP(B11,input_385101!L:R,7,FALSE),VLOOKUP(tables_385101!C11,input_385101!A:H,8,FALSE))</f>
        <v>95550</v>
      </c>
      <c r="P11" s="43">
        <f t="shared" ca="1" si="2"/>
        <v>4.0697674418604651E-3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input_385101!A$2</f>
        <v>385101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IFERROR(VLOOKUP(B12,input_385101!L:R,7,FALSE),VLOOKUP(tables_385101!C12,input_385101!A:H,8,FALSE))</f>
        <v>95550</v>
      </c>
      <c r="P12" s="43">
        <f t="shared" ca="1" si="2"/>
        <v>4.0697674418604651E-3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input_385101!A$2</f>
        <v>385101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IFERROR(VLOOKUP(B13,input_385101!L:R,7,FALSE),VLOOKUP(tables_385101!C13,input_385101!A:H,8,FALSE))</f>
        <v>95550</v>
      </c>
      <c r="P13" s="43">
        <f t="shared" ca="1" si="2"/>
        <v>4.0697674418604651E-3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input_385101!A$2</f>
        <v>385101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IFERROR(VLOOKUP(B14,input_385101!L:R,7,FALSE),VLOOKUP(tables_385101!C14,input_385101!A:H,8,FALSE))</f>
        <v>95550</v>
      </c>
      <c r="P14" s="43">
        <f t="shared" ca="1" si="2"/>
        <v>4.0697674418604651E-3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input_385101!A$2</f>
        <v>385101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IFERROR(VLOOKUP(B15,input_385101!L:R,7,FALSE),VLOOKUP(tables_385101!C15,input_385101!A:H,8,FALSE))</f>
        <v>95550</v>
      </c>
      <c r="P15" s="43">
        <f t="shared" ca="1" si="2"/>
        <v>4.0697674418604651E-3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input_385101!A$2</f>
        <v>385101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IFERROR(VLOOKUP(B16,input_385101!L:R,7,FALSE),VLOOKUP(tables_385101!C16,input_385101!A:H,8,FALSE))</f>
        <v>95550</v>
      </c>
      <c r="P16" s="43">
        <f t="shared" ca="1" si="2"/>
        <v>4.0697674418604651E-3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input_385101!A$2</f>
        <v>385101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IFERROR(VLOOKUP(B17,input_385101!L:R,7,FALSE),VLOOKUP(tables_385101!C17,input_385101!A:H,8,FALSE))</f>
        <v>95550</v>
      </c>
      <c r="P17" s="43">
        <f t="shared" ca="1" si="2"/>
        <v>4.0697674418604651E-3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input_385101!A$2</f>
        <v>385101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IFERROR(VLOOKUP(B18,input_385101!L:R,7,FALSE),VLOOKUP(tables_385101!C18,input_385101!A:H,8,FALSE))</f>
        <v>95550</v>
      </c>
      <c r="P18" s="43">
        <f t="shared" ca="1" si="2"/>
        <v>4.0697674418604651E-3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input_385101!A$2</f>
        <v>385101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IFERROR(VLOOKUP(B19,input_385101!L:R,7,FALSE),VLOOKUP(tables_385101!C19,input_385101!A:H,8,FALSE))</f>
        <v>95550</v>
      </c>
      <c r="P19" s="43">
        <f t="shared" ca="1" si="2"/>
        <v>4.0697674418604651E-3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input_385101!A$2</f>
        <v>385101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IFERROR(VLOOKUP(B20,input_385101!L:R,7,FALSE),VLOOKUP(tables_385101!C20,input_385101!A:H,8,FALSE))</f>
        <v>95550</v>
      </c>
      <c r="P20" s="43">
        <f t="shared" ca="1" si="2"/>
        <v>4.0697674418604651E-3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input_385101!A$2</f>
        <v>385101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IFERROR(VLOOKUP(B21,input_385101!L:R,7,FALSE),VLOOKUP(tables_385101!C21,input_385101!A:H,8,FALSE))</f>
        <v>95550</v>
      </c>
      <c r="P21" s="43">
        <f t="shared" ca="1" si="2"/>
        <v>4.0697674418604651E-3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input_385101!A$2</f>
        <v>385101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IFERROR(VLOOKUP(B22,input_385101!L:R,7,FALSE),VLOOKUP(tables_385101!C22,input_385101!A:H,8,FALSE))</f>
        <v>95550</v>
      </c>
      <c r="P22" s="43">
        <f t="shared" ca="1" si="2"/>
        <v>4.0697674418604651E-3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input_385101!A$2</f>
        <v>385101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IFERROR(VLOOKUP(B23,input_385101!L:R,7,FALSE),VLOOKUP(tables_385101!C23,input_385101!A:H,8,FALSE))</f>
        <v>95550</v>
      </c>
      <c r="P23" s="43">
        <f t="shared" ca="1" si="2"/>
        <v>4.0697674418604651E-3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input_385101!A$2</f>
        <v>385101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IFERROR(VLOOKUP(B24,input_385101!L:R,7,FALSE),VLOOKUP(tables_385101!C24,input_385101!A:H,8,FALSE))</f>
        <v>95550</v>
      </c>
      <c r="P24" s="43">
        <f t="shared" ca="1" si="2"/>
        <v>4.0697674418604651E-3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input_385101!A$2</f>
        <v>385101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IFERROR(VLOOKUP(B25,input_385101!L:R,7,FALSE),VLOOKUP(tables_385101!C25,input_385101!A:H,8,FALSE))</f>
        <v>95550</v>
      </c>
      <c r="P25" s="43">
        <f t="shared" ca="1" si="2"/>
        <v>4.0697674418604651E-3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input_385101!A$2</f>
        <v>385101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IFERROR(VLOOKUP(B26,input_385101!L:R,7,FALSE),VLOOKUP(tables_385101!C26,input_385101!A:H,8,FALSE))</f>
        <v>95550</v>
      </c>
      <c r="P26" s="43">
        <f t="shared" ca="1" si="2"/>
        <v>4.0697674418604651E-3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input_385101!A$2</f>
        <v>385101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IFERROR(VLOOKUP(B27,input_385101!L:R,7,FALSE),VLOOKUP(tables_385101!C27,input_385101!A:H,8,FALSE))</f>
        <v>95550</v>
      </c>
      <c r="P27" s="43">
        <f t="shared" ca="1" si="2"/>
        <v>4.0697674418604651E-3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input_385101!A$2</f>
        <v>385101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IFERROR(VLOOKUP(B28,input_385101!L:R,7,FALSE),VLOOKUP(tables_385101!C28,input_385101!A:H,8,FALSE))</f>
        <v>95550</v>
      </c>
      <c r="P28" s="43">
        <f t="shared" ca="1" si="2"/>
        <v>4.0697674418604651E-3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input_385101!A$2</f>
        <v>385101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IFERROR(VLOOKUP(B29,input_385101!L:R,7,FALSE),VLOOKUP(tables_385101!C29,input_385101!A:H,8,FALSE))</f>
        <v>95550</v>
      </c>
      <c r="P29" s="43">
        <f t="shared" ca="1" si="2"/>
        <v>4.0697674418604651E-3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input_385101!A$2</f>
        <v>385101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IFERROR(VLOOKUP(B30,input_385101!L:R,7,FALSE),VLOOKUP(tables_385101!C30,input_385101!A:H,8,FALSE))</f>
        <v>95550</v>
      </c>
      <c r="P30" s="43">
        <f t="shared" ca="1" si="2"/>
        <v>4.0697674418604651E-3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input_385101!A$2</f>
        <v>385101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IFERROR(VLOOKUP(B31,input_385101!L:R,7,FALSE),VLOOKUP(tables_385101!C31,input_385101!A:H,8,FALSE))</f>
        <v>95550</v>
      </c>
      <c r="P31" s="43">
        <f t="shared" ca="1" si="2"/>
        <v>4.0697674418604651E-3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input_385101!A$2</f>
        <v>385101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IFERROR(VLOOKUP(B32,input_385101!L:R,7,FALSE),VLOOKUP(tables_385101!C32,input_385101!A:H,8,FALSE))</f>
        <v>95550</v>
      </c>
      <c r="P32" s="43">
        <f t="shared" ca="1" si="2"/>
        <v>4.0697674418604651E-3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input_385101!A$2</f>
        <v>385101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IFERROR(VLOOKUP(B33,input_385101!L:R,7,FALSE),VLOOKUP(tables_385101!C33,input_385101!A:H,8,FALSE))</f>
        <v>95550</v>
      </c>
      <c r="P33" s="43">
        <f t="shared" ca="1" si="2"/>
        <v>4.0697674418604651E-3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input_385101!A$2</f>
        <v>385101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IFERROR(VLOOKUP(B34,input_385101!L:R,7,FALSE),VLOOKUP(tables_385101!C34,input_385101!A:H,8,FALSE))</f>
        <v>95550</v>
      </c>
      <c r="P34" s="43">
        <f t="shared" ca="1" si="2"/>
        <v>4.0697674418604651E-3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input_385101!A$2</f>
        <v>385101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IFERROR(VLOOKUP(B35,input_385101!L:R,7,FALSE),VLOOKUP(tables_385101!C35,input_385101!A:H,8,FALSE))</f>
        <v>95550</v>
      </c>
      <c r="P35" s="43">
        <f t="shared" ca="1" si="2"/>
        <v>4.0697674418604651E-3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input_385101!A$2</f>
        <v>385101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IFERROR(VLOOKUP(B36,input_385101!L:R,7,FALSE),VLOOKUP(tables_385101!C36,input_385101!A:H,8,FALSE))</f>
        <v>95550</v>
      </c>
      <c r="P36" s="43">
        <f t="shared" ca="1" si="2"/>
        <v>4.0697674418604651E-3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input_385101!A$2</f>
        <v>385101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IFERROR(VLOOKUP(B37,input_385101!L:R,7,FALSE),VLOOKUP(tables_385101!C37,input_385101!A:H,8,FALSE))</f>
        <v>95550</v>
      </c>
      <c r="P37" s="43">
        <f t="shared" ca="1" si="2"/>
        <v>4.0697674418604651E-3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input_385101!A$2</f>
        <v>385101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IFERROR(VLOOKUP(B38,input_385101!L:R,7,FALSE),VLOOKUP(tables_385101!C38,input_385101!A:H,8,FALSE))</f>
        <v>95550</v>
      </c>
      <c r="P38" s="43">
        <f t="shared" ca="1" si="2"/>
        <v>4.0697674418604651E-3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input_385101!A$2</f>
        <v>385101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IFERROR(VLOOKUP(B39,input_385101!L:R,7,FALSE),VLOOKUP(tables_385101!C39,input_385101!A:H,8,FALSE))</f>
        <v>95550</v>
      </c>
      <c r="P39" s="43">
        <f t="shared" ca="1" si="2"/>
        <v>4.0697674418604651E-3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input_385101!A$2</f>
        <v>385101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IFERROR(VLOOKUP(B40,input_385101!L:R,7,FALSE),VLOOKUP(tables_385101!C40,input_385101!A:H,8,FALSE))</f>
        <v>95550</v>
      </c>
      <c r="P40" s="43">
        <f t="shared" ca="1" si="2"/>
        <v>4.0697674418604651E-3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input_385101!A$2</f>
        <v>385101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IFERROR(VLOOKUP(B41,input_385101!L:R,7,FALSE),VLOOKUP(tables_385101!C41,input_385101!A:H,8,FALSE))</f>
        <v>95550</v>
      </c>
      <c r="P41" s="43">
        <f t="shared" ca="1" si="2"/>
        <v>4.0697674418604651E-3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input_385101!A$2</f>
        <v>385101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IFERROR(VLOOKUP(B42,input_385101!L:R,7,FALSE),VLOOKUP(tables_385101!C42,input_385101!A:H,8,FALSE))</f>
        <v>95550</v>
      </c>
      <c r="P42" s="43">
        <f t="shared" ca="1" si="2"/>
        <v>4.0697674418604651E-3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input_385101!A$2</f>
        <v>385101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IFERROR(VLOOKUP(B43,input_385101!L:R,7,FALSE),VLOOKUP(tables_385101!C43,input_385101!A:H,8,FALSE))</f>
        <v>85995</v>
      </c>
      <c r="P43" s="43">
        <f t="shared" ca="1" si="2"/>
        <v>3.6627906976744186E-3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input_385101!A$2</f>
        <v>385101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IFERROR(VLOOKUP(B44,input_385101!L:R,7,FALSE),VLOOKUP(tables_385101!C44,input_385101!A:H,8,FALSE))</f>
        <v>9555</v>
      </c>
      <c r="P44" s="43">
        <f t="shared" ca="1" si="2"/>
        <v>4.0697674418604653E-4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input_385101!A$2</f>
        <v>385101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IFERROR(VLOOKUP(B45,input_385101!L:R,7,FALSE),VLOOKUP(tables_385101!C45,input_385101!A:H,8,FALSE))</f>
        <v>95550</v>
      </c>
      <c r="P45" s="43">
        <f t="shared" ca="1" si="2"/>
        <v>4.0697674418604651E-3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input_385101!A$2</f>
        <v>385101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IFERROR(VLOOKUP(B46,input_385101!L:R,7,FALSE),VLOOKUP(tables_385101!C46,input_385101!A:H,8,FALSE))</f>
        <v>85995</v>
      </c>
      <c r="P46" s="43">
        <f t="shared" ca="1" si="2"/>
        <v>3.6627906976744186E-3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input_385101!A$2</f>
        <v>385101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IFERROR(VLOOKUP(B47,input_385101!L:R,7,FALSE),VLOOKUP(tables_385101!C47,input_385101!A:H,8,FALSE))</f>
        <v>9555</v>
      </c>
      <c r="P47" s="43">
        <f t="shared" ca="1" si="2"/>
        <v>4.0697674418604653E-4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input_385101!A$2</f>
        <v>385101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IFERROR(VLOOKUP(B48,input_385101!L:R,7,FALSE),VLOOKUP(tables_385101!C48,input_385101!A:H,8,FALSE))</f>
        <v>95550</v>
      </c>
      <c r="P48" s="43">
        <f t="shared" ca="1" si="2"/>
        <v>4.0697674418604651E-3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input_385101!A$2</f>
        <v>385101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IFERROR(VLOOKUP(B49,input_385101!L:R,7,FALSE),VLOOKUP(tables_385101!C49,input_385101!A:H,8,FALSE))</f>
        <v>85995</v>
      </c>
      <c r="P49" s="43">
        <f t="shared" ca="1" si="2"/>
        <v>3.6627906976744186E-3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input_385101!A$2</f>
        <v>385101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IFERROR(VLOOKUP(B50,input_385101!L:R,7,FALSE),VLOOKUP(tables_385101!C50,input_385101!A:H,8,FALSE))</f>
        <v>9555</v>
      </c>
      <c r="P50" s="43">
        <f t="shared" ca="1" si="2"/>
        <v>4.0697674418604653E-4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input_385101!A$2</f>
        <v>385101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IFERROR(VLOOKUP(B51,input_385101!L:R,7,FALSE),VLOOKUP(tables_385101!C51,input_385101!A:H,8,FALSE))</f>
        <v>95550</v>
      </c>
      <c r="P51" s="43">
        <f t="shared" ca="1" si="2"/>
        <v>4.0697674418604651E-3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input_385101!A$2</f>
        <v>385101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IFERROR(VLOOKUP(B52,input_385101!L:R,7,FALSE),VLOOKUP(tables_385101!C52,input_385101!A:H,8,FALSE))</f>
        <v>83162.8</v>
      </c>
      <c r="P52" s="43">
        <f t="shared" ca="1" si="2"/>
        <v>3.5421586165772212E-3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input_385101!A$2</f>
        <v>385101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IFERROR(VLOOKUP(B53,input_385101!L:R,7,FALSE),VLOOKUP(tables_385101!C53,input_385101!A:H,8,FALSE))</f>
        <v>12387.2</v>
      </c>
      <c r="P53" s="43">
        <f t="shared" ca="1" si="2"/>
        <v>5.2760882528324392E-4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input_385101!A$2</f>
        <v>385101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IFERROR(VLOOKUP(B54,input_385101!L:R,7,FALSE),VLOOKUP(tables_385101!C54,input_385101!A:H,8,FALSE))</f>
        <v>95550</v>
      </c>
      <c r="P54" s="43">
        <f t="shared" ca="1" si="2"/>
        <v>4.0697674418604651E-3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input_385101!A$2</f>
        <v>385101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IFERROR(VLOOKUP(B55,input_385101!L:R,7,FALSE),VLOOKUP(tables_385101!C55,input_385101!A:H,8,FALSE))</f>
        <v>83162.8</v>
      </c>
      <c r="P55" s="43">
        <f t="shared" ca="1" si="2"/>
        <v>3.5421586165772212E-3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input_385101!A$2</f>
        <v>385101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IFERROR(VLOOKUP(B56,input_385101!L:R,7,FALSE),VLOOKUP(tables_385101!C56,input_385101!A:H,8,FALSE))</f>
        <v>12387.2</v>
      </c>
      <c r="P56" s="43">
        <f t="shared" ca="1" si="2"/>
        <v>5.2760882528324392E-4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input_385101!A$2</f>
        <v>385101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IFERROR(VLOOKUP(B57,input_385101!L:R,7,FALSE),VLOOKUP(tables_385101!C57,input_385101!A:H,8,FALSE))</f>
        <v>95550</v>
      </c>
      <c r="P57" s="43">
        <f t="shared" ca="1" si="2"/>
        <v>4.0697674418604651E-3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input_385101!A$2</f>
        <v>385101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IFERROR(VLOOKUP(B58,input_385101!L:R,7,FALSE),VLOOKUP(tables_385101!C58,input_385101!A:H,8,FALSE))</f>
        <v>83162.8</v>
      </c>
      <c r="P58" s="43">
        <f t="shared" ca="1" si="2"/>
        <v>3.5421586165772212E-3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input_385101!A$2</f>
        <v>385101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IFERROR(VLOOKUP(B59,input_385101!L:R,7,FALSE),VLOOKUP(tables_385101!C59,input_385101!A:H,8,FALSE))</f>
        <v>12387.2</v>
      </c>
      <c r="P59" s="43">
        <f t="shared" ca="1" si="2"/>
        <v>5.2760882528324392E-4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input_385101!A$2</f>
        <v>385101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IFERROR(VLOOKUP(B60,input_385101!L:R,7,FALSE),VLOOKUP(tables_385101!C60,input_385101!A:H,8,FALSE))</f>
        <v>95550</v>
      </c>
      <c r="P60" s="43">
        <f t="shared" ca="1" si="2"/>
        <v>4.0697674418604651E-3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input_385101!A$2</f>
        <v>385101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IFERROR(VLOOKUP(B61,input_385101!L:R,7,FALSE),VLOOKUP(tables_385101!C61,input_385101!A:H,8,FALSE))</f>
        <v>83162.8</v>
      </c>
      <c r="P61" s="43">
        <f t="shared" ca="1" si="2"/>
        <v>3.5421586165772212E-3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input_385101!A$2</f>
        <v>385101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IFERROR(VLOOKUP(B62,input_385101!L:R,7,FALSE),VLOOKUP(tables_385101!C62,input_385101!A:H,8,FALSE))</f>
        <v>12387.2</v>
      </c>
      <c r="P62" s="43">
        <f t="shared" ca="1" si="2"/>
        <v>5.2760882528324392E-4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input_385101!A$2</f>
        <v>385101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IFERROR(VLOOKUP(B63,input_385101!L:R,7,FALSE),VLOOKUP(tables_385101!C63,input_385101!A:H,8,FALSE))</f>
        <v>95550</v>
      </c>
      <c r="P63" s="43">
        <f t="shared" ca="1" si="2"/>
        <v>4.0697674418604651E-3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input_385101!A$2</f>
        <v>385101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IFERROR(VLOOKUP(B64,input_385101!L:R,7,FALSE),VLOOKUP(tables_385101!C64,input_385101!A:H,8,FALSE))</f>
        <v>83162.8</v>
      </c>
      <c r="P64" s="43">
        <f t="shared" ca="1" si="2"/>
        <v>3.5421586165772212E-3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input_385101!A$2</f>
        <v>385101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IFERROR(VLOOKUP(B65,input_385101!L:R,7,FALSE),VLOOKUP(tables_385101!C65,input_385101!A:H,8,FALSE))</f>
        <v>12387.2</v>
      </c>
      <c r="P65" s="43">
        <f t="shared" ca="1" si="2"/>
        <v>5.2760882528324392E-4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input_385101!A$2</f>
        <v>385101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IFERROR(VLOOKUP(B66,input_385101!L:R,7,FALSE),VLOOKUP(tables_385101!C66,input_385101!A:H,8,FALSE))</f>
        <v>95550</v>
      </c>
      <c r="P66" s="43">
        <f t="shared" ref="P66:P129" ca="1" si="5">O66/SUM(O:O)</f>
        <v>4.0697674418604651E-3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input_385101!A$2</f>
        <v>385101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IFERROR(VLOOKUP(B67,input_385101!L:R,7,FALSE),VLOOKUP(tables_385101!C67,input_385101!A:H,8,FALSE))</f>
        <v>83162.8</v>
      </c>
      <c r="P67" s="43">
        <f t="shared" ca="1" si="5"/>
        <v>3.5421586165772212E-3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input_385101!A$2</f>
        <v>385101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IFERROR(VLOOKUP(B68,input_385101!L:R,7,FALSE),VLOOKUP(tables_385101!C68,input_385101!A:H,8,FALSE))</f>
        <v>12387.2</v>
      </c>
      <c r="P68" s="43">
        <f t="shared" ca="1" si="5"/>
        <v>5.2760882528324392E-4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input_385101!A$2</f>
        <v>385101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IFERROR(VLOOKUP(B69,input_385101!L:R,7,FALSE),VLOOKUP(tables_385101!C69,input_385101!A:H,8,FALSE))</f>
        <v>95550</v>
      </c>
      <c r="P69" s="43">
        <f t="shared" ca="1" si="5"/>
        <v>4.0697674418604651E-3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input_385101!A$2</f>
        <v>385101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IFERROR(VLOOKUP(B70,input_385101!L:R,7,FALSE),VLOOKUP(tables_385101!C70,input_385101!A:H,8,FALSE))</f>
        <v>83162.8</v>
      </c>
      <c r="P70" s="43">
        <f t="shared" ca="1" si="5"/>
        <v>3.5421586165772212E-3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input_385101!A$2</f>
        <v>385101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IFERROR(VLOOKUP(B71,input_385101!L:R,7,FALSE),VLOOKUP(tables_385101!C71,input_385101!A:H,8,FALSE))</f>
        <v>12387.2</v>
      </c>
      <c r="P71" s="43">
        <f t="shared" ca="1" si="5"/>
        <v>5.2760882528324392E-4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input_385101!A$2</f>
        <v>385101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IFERROR(VLOOKUP(B72,input_385101!L:R,7,FALSE),VLOOKUP(tables_385101!C72,input_385101!A:H,8,FALSE))</f>
        <v>95550</v>
      </c>
      <c r="P72" s="43">
        <f t="shared" ca="1" si="5"/>
        <v>4.0697674418604651E-3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input_385101!A$2</f>
        <v>385101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IFERROR(VLOOKUP(B73,input_385101!L:R,7,FALSE),VLOOKUP(tables_385101!C73,input_385101!A:H,8,FALSE))</f>
        <v>83162.8</v>
      </c>
      <c r="P73" s="43">
        <f t="shared" ca="1" si="5"/>
        <v>3.5421586165772212E-3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input_385101!A$2</f>
        <v>385101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IFERROR(VLOOKUP(B74,input_385101!L:R,7,FALSE),VLOOKUP(tables_385101!C74,input_385101!A:H,8,FALSE))</f>
        <v>12387.2</v>
      </c>
      <c r="P74" s="43">
        <f t="shared" ca="1" si="5"/>
        <v>5.2760882528324392E-4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input_385101!A$2</f>
        <v>385101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IFERROR(VLOOKUP(B75,input_385101!L:R,7,FALSE),VLOOKUP(tables_385101!C75,input_385101!A:H,8,FALSE))</f>
        <v>95550</v>
      </c>
      <c r="P75" s="43">
        <f t="shared" ca="1" si="5"/>
        <v>4.0697674418604651E-3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input_385101!A$2</f>
        <v>385101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IFERROR(VLOOKUP(B76,input_385101!L:R,7,FALSE),VLOOKUP(tables_385101!C76,input_385101!A:H,8,FALSE))</f>
        <v>83162.8</v>
      </c>
      <c r="P76" s="43">
        <f t="shared" ca="1" si="5"/>
        <v>3.5421586165772212E-3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input_385101!A$2</f>
        <v>385101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IFERROR(VLOOKUP(B77,input_385101!L:R,7,FALSE),VLOOKUP(tables_385101!C77,input_385101!A:H,8,FALSE))</f>
        <v>12387.2</v>
      </c>
      <c r="P77" s="43">
        <f t="shared" ca="1" si="5"/>
        <v>5.2760882528324392E-4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input_385101!A$2</f>
        <v>385101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IFERROR(VLOOKUP(B78,input_385101!L:R,7,FALSE),VLOOKUP(tables_385101!C78,input_385101!A:H,8,FALSE))</f>
        <v>95550</v>
      </c>
      <c r="P78" s="43">
        <f t="shared" ca="1" si="5"/>
        <v>4.0697674418604651E-3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input_385101!A$2</f>
        <v>385101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IFERROR(VLOOKUP(B79,input_385101!L:R,7,FALSE),VLOOKUP(tables_385101!C79,input_385101!A:H,8,FALSE))</f>
        <v>83162.8</v>
      </c>
      <c r="P79" s="43">
        <f t="shared" ca="1" si="5"/>
        <v>3.5421586165772212E-3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input_385101!A$2</f>
        <v>385101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IFERROR(VLOOKUP(B80,input_385101!L:R,7,FALSE),VLOOKUP(tables_385101!C80,input_385101!A:H,8,FALSE))</f>
        <v>12387.2</v>
      </c>
      <c r="P80" s="43">
        <f t="shared" ca="1" si="5"/>
        <v>5.2760882528324392E-4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input_385101!A$2</f>
        <v>385101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IFERROR(VLOOKUP(B81,input_385101!L:R,7,FALSE),VLOOKUP(tables_385101!C81,input_385101!A:H,8,FALSE))</f>
        <v>95550</v>
      </c>
      <c r="P81" s="43">
        <f t="shared" ca="1" si="5"/>
        <v>4.0697674418604651E-3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input_385101!A$2</f>
        <v>385101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IFERROR(VLOOKUP(B82,input_385101!L:R,7,FALSE),VLOOKUP(tables_385101!C82,input_385101!A:H,8,FALSE))</f>
        <v>83162.8</v>
      </c>
      <c r="P82" s="43">
        <f t="shared" ca="1" si="5"/>
        <v>3.5421586165772212E-3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input_385101!A$2</f>
        <v>385101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IFERROR(VLOOKUP(B83,input_385101!L:R,7,FALSE),VLOOKUP(tables_385101!C83,input_385101!A:H,8,FALSE))</f>
        <v>12387.2</v>
      </c>
      <c r="P83" s="43">
        <f t="shared" ca="1" si="5"/>
        <v>5.2760882528324392E-4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input_385101!A$2</f>
        <v>385101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IFERROR(VLOOKUP(B84,input_385101!L:R,7,FALSE),VLOOKUP(tables_385101!C84,input_385101!A:H,8,FALSE))</f>
        <v>95550</v>
      </c>
      <c r="P84" s="43">
        <f t="shared" ca="1" si="5"/>
        <v>4.0697674418604651E-3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input_385101!A$2</f>
        <v>385101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IFERROR(VLOOKUP(B85,input_385101!L:R,7,FALSE),VLOOKUP(tables_385101!C85,input_385101!A:H,8,FALSE))</f>
        <v>83162.8</v>
      </c>
      <c r="P85" s="43">
        <f t="shared" ca="1" si="5"/>
        <v>3.5421586165772212E-3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input_385101!A$2</f>
        <v>385101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IFERROR(VLOOKUP(B86,input_385101!L:R,7,FALSE),VLOOKUP(tables_385101!C86,input_385101!A:H,8,FALSE))</f>
        <v>12387.2</v>
      </c>
      <c r="P86" s="43">
        <f t="shared" ca="1" si="5"/>
        <v>5.2760882528324392E-4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input_385101!A$2</f>
        <v>385101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IFERROR(VLOOKUP(B87,input_385101!L:R,7,FALSE),VLOOKUP(tables_385101!C87,input_385101!A:H,8,FALSE))</f>
        <v>95550</v>
      </c>
      <c r="P87" s="43">
        <f t="shared" ca="1" si="5"/>
        <v>4.0697674418604651E-3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input_385101!A$2</f>
        <v>385101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IFERROR(VLOOKUP(B88,input_385101!L:R,7,FALSE),VLOOKUP(tables_385101!C88,input_385101!A:H,8,FALSE))</f>
        <v>83162.8</v>
      </c>
      <c r="P88" s="43">
        <f t="shared" ca="1" si="5"/>
        <v>3.5421586165772212E-3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input_385101!A$2</f>
        <v>385101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IFERROR(VLOOKUP(B89,input_385101!L:R,7,FALSE),VLOOKUP(tables_385101!C89,input_385101!A:H,8,FALSE))</f>
        <v>12387.2</v>
      </c>
      <c r="P89" s="43">
        <f t="shared" ca="1" si="5"/>
        <v>5.2760882528324392E-4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input_385101!A$2</f>
        <v>385101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IFERROR(VLOOKUP(B90,input_385101!L:R,7,FALSE),VLOOKUP(tables_385101!C90,input_385101!A:H,8,FALSE))</f>
        <v>95550</v>
      </c>
      <c r="P90" s="43">
        <f t="shared" ca="1" si="5"/>
        <v>4.0697674418604651E-3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input_385101!A$2</f>
        <v>385101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IFERROR(VLOOKUP(B91,input_385101!L:R,7,FALSE),VLOOKUP(tables_385101!C91,input_385101!A:H,8,FALSE))</f>
        <v>83162.8</v>
      </c>
      <c r="P91" s="43">
        <f t="shared" ca="1" si="5"/>
        <v>3.5421586165772212E-3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input_385101!A$2</f>
        <v>385101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IFERROR(VLOOKUP(B92,input_385101!L:R,7,FALSE),VLOOKUP(tables_385101!C92,input_385101!A:H,8,FALSE))</f>
        <v>12387.2</v>
      </c>
      <c r="P92" s="43">
        <f t="shared" ca="1" si="5"/>
        <v>5.2760882528324392E-4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input_385101!A$2</f>
        <v>385101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IFERROR(VLOOKUP(B93,input_385101!L:R,7,FALSE),VLOOKUP(tables_385101!C93,input_385101!A:H,8,FALSE))</f>
        <v>95550</v>
      </c>
      <c r="P93" s="43">
        <f t="shared" ca="1" si="5"/>
        <v>4.0697674418604651E-3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input_385101!A$2</f>
        <v>385101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IFERROR(VLOOKUP(B94,input_385101!L:R,7,FALSE),VLOOKUP(tables_385101!C94,input_385101!A:H,8,FALSE))</f>
        <v>83162.8</v>
      </c>
      <c r="P94" s="43">
        <f t="shared" ca="1" si="5"/>
        <v>3.5421586165772212E-3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input_385101!A$2</f>
        <v>385101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IFERROR(VLOOKUP(B95,input_385101!L:R,7,FALSE),VLOOKUP(tables_385101!C95,input_385101!A:H,8,FALSE))</f>
        <v>12387.2</v>
      </c>
      <c r="P95" s="43">
        <f t="shared" ca="1" si="5"/>
        <v>5.2760882528324392E-4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input_385101!A$2</f>
        <v>385101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IFERROR(VLOOKUP(B96,input_385101!L:R,7,FALSE),VLOOKUP(tables_385101!C96,input_385101!A:H,8,FALSE))</f>
        <v>95550</v>
      </c>
      <c r="P96" s="43">
        <f t="shared" ca="1" si="5"/>
        <v>4.0697674418604651E-3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input_385101!A$2</f>
        <v>385101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IFERROR(VLOOKUP(B97,input_385101!L:R,7,FALSE),VLOOKUP(tables_385101!C97,input_385101!A:H,8,FALSE))</f>
        <v>83162.8</v>
      </c>
      <c r="P97" s="43">
        <f t="shared" ca="1" si="5"/>
        <v>3.5421586165772212E-3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input_385101!A$2</f>
        <v>385101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IFERROR(VLOOKUP(B98,input_385101!L:R,7,FALSE),VLOOKUP(tables_385101!C98,input_385101!A:H,8,FALSE))</f>
        <v>12387.2</v>
      </c>
      <c r="P98" s="43">
        <f t="shared" ca="1" si="5"/>
        <v>5.2760882528324392E-4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input_385101!A$2</f>
        <v>385101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IFERROR(VLOOKUP(B99,input_385101!L:R,7,FALSE),VLOOKUP(tables_385101!C99,input_385101!A:H,8,FALSE))</f>
        <v>95550</v>
      </c>
      <c r="P99" s="43">
        <f t="shared" ca="1" si="5"/>
        <v>4.0697674418604651E-3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input_385101!A$2</f>
        <v>385101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IFERROR(VLOOKUP(B100,input_385101!L:R,7,FALSE),VLOOKUP(tables_385101!C100,input_385101!A:H,8,FALSE))</f>
        <v>83162.8</v>
      </c>
      <c r="P100" s="43">
        <f t="shared" ca="1" si="5"/>
        <v>3.5421586165772212E-3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input_385101!A$2</f>
        <v>385101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IFERROR(VLOOKUP(B101,input_385101!L:R,7,FALSE),VLOOKUP(tables_385101!C101,input_385101!A:H,8,FALSE))</f>
        <v>12387.2</v>
      </c>
      <c r="P101" s="43">
        <f t="shared" ca="1" si="5"/>
        <v>5.2760882528324392E-4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input_385101!A$2</f>
        <v>385101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IFERROR(VLOOKUP(B102,input_385101!L:R,7,FALSE),VLOOKUP(tables_385101!C102,input_385101!A:H,8,FALSE))</f>
        <v>95550</v>
      </c>
      <c r="P102" s="43">
        <f t="shared" ca="1" si="5"/>
        <v>4.0697674418604651E-3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input_385101!A$2</f>
        <v>385101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IFERROR(VLOOKUP(B103,input_385101!L:R,7,FALSE),VLOOKUP(tables_385101!C103,input_385101!A:H,8,FALSE))</f>
        <v>83162.8</v>
      </c>
      <c r="P103" s="43">
        <f t="shared" ca="1" si="5"/>
        <v>3.5421586165772212E-3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input_385101!A$2</f>
        <v>385101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IFERROR(VLOOKUP(B104,input_385101!L:R,7,FALSE),VLOOKUP(tables_385101!C104,input_385101!A:H,8,FALSE))</f>
        <v>12387.2</v>
      </c>
      <c r="P104" s="43">
        <f t="shared" ca="1" si="5"/>
        <v>5.2760882528324392E-4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input_385101!A$2</f>
        <v>385101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IFERROR(VLOOKUP(B105,input_385101!L:R,7,FALSE),VLOOKUP(tables_385101!C105,input_385101!A:H,8,FALSE))</f>
        <v>95550</v>
      </c>
      <c r="P105" s="43">
        <f t="shared" ca="1" si="5"/>
        <v>4.0697674418604651E-3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input_385101!A$2</f>
        <v>385101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IFERROR(VLOOKUP(B106,input_385101!L:R,7,FALSE),VLOOKUP(tables_385101!C106,input_385101!A:H,8,FALSE))</f>
        <v>83162.8</v>
      </c>
      <c r="P106" s="43">
        <f t="shared" ca="1" si="5"/>
        <v>3.5421586165772212E-3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input_385101!A$2</f>
        <v>385101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IFERROR(VLOOKUP(B107,input_385101!L:R,7,FALSE),VLOOKUP(tables_385101!C107,input_385101!A:H,8,FALSE))</f>
        <v>12387.2</v>
      </c>
      <c r="P107" s="43">
        <f t="shared" ca="1" si="5"/>
        <v>5.2760882528324392E-4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input_385101!A$2</f>
        <v>385101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IFERROR(VLOOKUP(B108,input_385101!L:R,7,FALSE),VLOOKUP(tables_385101!C108,input_385101!A:H,8,FALSE))</f>
        <v>95550</v>
      </c>
      <c r="P108" s="43">
        <f t="shared" ca="1" si="5"/>
        <v>4.0697674418604651E-3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input_385101!A$2</f>
        <v>385101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IFERROR(VLOOKUP(B109,input_385101!L:R,7,FALSE),VLOOKUP(tables_385101!C109,input_385101!A:H,8,FALSE))</f>
        <v>83162.8</v>
      </c>
      <c r="P109" s="43">
        <f t="shared" ca="1" si="5"/>
        <v>3.5421586165772212E-3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input_385101!A$2</f>
        <v>385101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IFERROR(VLOOKUP(B110,input_385101!L:R,7,FALSE),VLOOKUP(tables_385101!C110,input_385101!A:H,8,FALSE))</f>
        <v>12387.2</v>
      </c>
      <c r="P110" s="43">
        <f t="shared" ca="1" si="5"/>
        <v>5.2760882528324392E-4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input_385101!A$2</f>
        <v>385101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IFERROR(VLOOKUP(B111,input_385101!L:R,7,FALSE),VLOOKUP(tables_385101!C111,input_385101!A:H,8,FALSE))</f>
        <v>95550</v>
      </c>
      <c r="P111" s="43">
        <f t="shared" ca="1" si="5"/>
        <v>4.0697674418604651E-3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input_385101!A$2</f>
        <v>385101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IFERROR(VLOOKUP(B112,input_385101!L:R,7,FALSE),VLOOKUP(tables_385101!C112,input_385101!A:H,8,FALSE))</f>
        <v>85995</v>
      </c>
      <c r="P112" s="43">
        <f t="shared" ca="1" si="5"/>
        <v>3.6627906976744186E-3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input_385101!A$2</f>
        <v>385101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IFERROR(VLOOKUP(B113,input_385101!L:R,7,FALSE),VLOOKUP(tables_385101!C113,input_385101!A:H,8,FALSE))</f>
        <v>9555</v>
      </c>
      <c r="P113" s="43">
        <f t="shared" ca="1" si="5"/>
        <v>4.0697674418604653E-4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input_385101!A$2</f>
        <v>385101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IFERROR(VLOOKUP(B114,input_385101!L:R,7,FALSE),VLOOKUP(tables_385101!C114,input_385101!A:H,8,FALSE))</f>
        <v>95550</v>
      </c>
      <c r="P114" s="43">
        <f t="shared" ca="1" si="5"/>
        <v>4.0697674418604651E-3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input_385101!A$2</f>
        <v>385101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IFERROR(VLOOKUP(B115,input_385101!L:R,7,FALSE),VLOOKUP(tables_385101!C115,input_385101!A:H,8,FALSE))</f>
        <v>83162.8</v>
      </c>
      <c r="P115" s="43">
        <f t="shared" ca="1" si="5"/>
        <v>3.5421586165772212E-3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input_385101!A$2</f>
        <v>385101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IFERROR(VLOOKUP(B116,input_385101!L:R,7,FALSE),VLOOKUP(tables_385101!C116,input_385101!A:H,8,FALSE))</f>
        <v>12387.2</v>
      </c>
      <c r="P116" s="43">
        <f t="shared" ca="1" si="5"/>
        <v>5.2760882528324392E-4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input_385101!A$2</f>
        <v>385101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IFERROR(VLOOKUP(B117,input_385101!L:R,7,FALSE),VLOOKUP(tables_385101!C117,input_385101!A:H,8,FALSE))</f>
        <v>95550</v>
      </c>
      <c r="P117" s="43">
        <f t="shared" ca="1" si="5"/>
        <v>4.0697674418604651E-3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input_385101!A$2</f>
        <v>385101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IFERROR(VLOOKUP(B118,input_385101!L:R,7,FALSE),VLOOKUP(tables_385101!C118,input_385101!A:H,8,FALSE))</f>
        <v>83162.8</v>
      </c>
      <c r="P118" s="43">
        <f t="shared" ca="1" si="5"/>
        <v>3.5421586165772212E-3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input_385101!A$2</f>
        <v>385101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IFERROR(VLOOKUP(B119,input_385101!L:R,7,FALSE),VLOOKUP(tables_385101!C119,input_385101!A:H,8,FALSE))</f>
        <v>12387.2</v>
      </c>
      <c r="P119" s="43">
        <f t="shared" ca="1" si="5"/>
        <v>5.2760882528324392E-4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input_385101!A$2</f>
        <v>385101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IFERROR(VLOOKUP(B120,input_385101!L:R,7,FALSE),VLOOKUP(tables_385101!C120,input_385101!A:H,8,FALSE))</f>
        <v>95550</v>
      </c>
      <c r="P120" s="43">
        <f t="shared" ca="1" si="5"/>
        <v>4.0697674418604651E-3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input_385101!A$2</f>
        <v>385101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IFERROR(VLOOKUP(B121,input_385101!L:R,7,FALSE),VLOOKUP(tables_385101!C121,input_385101!A:H,8,FALSE))</f>
        <v>83162.8</v>
      </c>
      <c r="P121" s="43">
        <f t="shared" ca="1" si="5"/>
        <v>3.5421586165772212E-3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input_385101!A$2</f>
        <v>385101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IFERROR(VLOOKUP(B122,input_385101!L:R,7,FALSE),VLOOKUP(tables_385101!C122,input_385101!A:H,8,FALSE))</f>
        <v>12387.2</v>
      </c>
      <c r="P122" s="43">
        <f t="shared" ca="1" si="5"/>
        <v>5.2760882528324392E-4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input_385101!A$2</f>
        <v>385101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IFERROR(VLOOKUP(B123,input_385101!L:R,7,FALSE),VLOOKUP(tables_385101!C123,input_385101!A:H,8,FALSE))</f>
        <v>95550</v>
      </c>
      <c r="P123" s="43">
        <f t="shared" ca="1" si="5"/>
        <v>4.0697674418604651E-3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input_385101!A$2</f>
        <v>385101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IFERROR(VLOOKUP(B124,input_385101!L:R,7,FALSE),VLOOKUP(tables_385101!C124,input_385101!A:H,8,FALSE))</f>
        <v>83162.8</v>
      </c>
      <c r="P124" s="43">
        <f t="shared" ca="1" si="5"/>
        <v>3.5421586165772212E-3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input_385101!A$2</f>
        <v>385101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IFERROR(VLOOKUP(B125,input_385101!L:R,7,FALSE),VLOOKUP(tables_385101!C125,input_385101!A:H,8,FALSE))</f>
        <v>12387.2</v>
      </c>
      <c r="P125" s="43">
        <f t="shared" ca="1" si="5"/>
        <v>5.2760882528324392E-4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input_385101!A$2</f>
        <v>385101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IFERROR(VLOOKUP(B126,input_385101!L:R,7,FALSE),VLOOKUP(tables_385101!C126,input_385101!A:H,8,FALSE))</f>
        <v>95550</v>
      </c>
      <c r="P126" s="43">
        <f t="shared" ca="1" si="5"/>
        <v>4.0697674418604651E-3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input_385101!A$2</f>
        <v>385101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IFERROR(VLOOKUP(B127,input_385101!L:R,7,FALSE),VLOOKUP(tables_385101!C127,input_385101!A:H,8,FALSE))</f>
        <v>83162.8</v>
      </c>
      <c r="P127" s="43">
        <f t="shared" ca="1" si="5"/>
        <v>3.5421586165772212E-3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input_385101!A$2</f>
        <v>385101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IFERROR(VLOOKUP(B128,input_385101!L:R,7,FALSE),VLOOKUP(tables_385101!C128,input_385101!A:H,8,FALSE))</f>
        <v>12387.2</v>
      </c>
      <c r="P128" s="43">
        <f t="shared" ca="1" si="5"/>
        <v>5.2760882528324392E-4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input_385101!A$2</f>
        <v>385101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IFERROR(VLOOKUP(B129,input_385101!L:R,7,FALSE),VLOOKUP(tables_385101!C129,input_385101!A:H,8,FALSE))</f>
        <v>95550</v>
      </c>
      <c r="P129" s="43">
        <f t="shared" ca="1" si="5"/>
        <v>4.0697674418604651E-3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input_385101!A$2</f>
        <v>385101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IFERROR(VLOOKUP(B130,input_385101!L:R,7,FALSE),VLOOKUP(tables_385101!C130,input_385101!A:H,8,FALSE))</f>
        <v>83162.8</v>
      </c>
      <c r="P130" s="43">
        <f t="shared" ref="P130:P193" ca="1" si="8">O130/SUM(O:O)</f>
        <v>3.5421586165772212E-3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input_385101!A$2</f>
        <v>385101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IFERROR(VLOOKUP(B131,input_385101!L:R,7,FALSE),VLOOKUP(tables_385101!C131,input_385101!A:H,8,FALSE))</f>
        <v>12387.2</v>
      </c>
      <c r="P131" s="43">
        <f t="shared" ca="1" si="8"/>
        <v>5.2760882528324392E-4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input_385101!A$2</f>
        <v>385101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IFERROR(VLOOKUP(B132,input_385101!L:R,7,FALSE),VLOOKUP(tables_385101!C132,input_385101!A:H,8,FALSE))</f>
        <v>95550</v>
      </c>
      <c r="P132" s="43">
        <f t="shared" ca="1" si="8"/>
        <v>4.0697674418604651E-3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input_385101!A$2</f>
        <v>385101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IFERROR(VLOOKUP(B133,input_385101!L:R,7,FALSE),VLOOKUP(tables_385101!C133,input_385101!A:H,8,FALSE))</f>
        <v>83162.8</v>
      </c>
      <c r="P133" s="43">
        <f t="shared" ca="1" si="8"/>
        <v>3.5421586165772212E-3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input_385101!A$2</f>
        <v>385101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IFERROR(VLOOKUP(B134,input_385101!L:R,7,FALSE),VLOOKUP(tables_385101!C134,input_385101!A:H,8,FALSE))</f>
        <v>12387.2</v>
      </c>
      <c r="P134" s="43">
        <f t="shared" ca="1" si="8"/>
        <v>5.2760882528324392E-4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input_385101!A$2</f>
        <v>385101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IFERROR(VLOOKUP(B135,input_385101!L:R,7,FALSE),VLOOKUP(tables_385101!C135,input_385101!A:H,8,FALSE))</f>
        <v>95550</v>
      </c>
      <c r="P135" s="43">
        <f t="shared" ca="1" si="8"/>
        <v>4.0697674418604651E-3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input_385101!A$2</f>
        <v>385101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IFERROR(VLOOKUP(B136,input_385101!L:R,7,FALSE),VLOOKUP(tables_385101!C136,input_385101!A:H,8,FALSE))</f>
        <v>83162.8</v>
      </c>
      <c r="P136" s="43">
        <f t="shared" ca="1" si="8"/>
        <v>3.5421586165772212E-3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input_385101!A$2</f>
        <v>385101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IFERROR(VLOOKUP(B137,input_385101!L:R,7,FALSE),VLOOKUP(tables_385101!C137,input_385101!A:H,8,FALSE))</f>
        <v>12387.2</v>
      </c>
      <c r="P137" s="43">
        <f t="shared" ca="1" si="8"/>
        <v>5.2760882528324392E-4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input_385101!A$2</f>
        <v>385101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IFERROR(VLOOKUP(B138,input_385101!L:R,7,FALSE),VLOOKUP(tables_385101!C138,input_385101!A:H,8,FALSE))</f>
        <v>24428.3</v>
      </c>
      <c r="P138" s="43">
        <f t="shared" ca="1" si="8"/>
        <v>1.0404761904761904E-3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input_385101!A$2</f>
        <v>385101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IFERROR(VLOOKUP(B139,input_385101!L:R,7,FALSE),VLOOKUP(tables_385101!C139,input_385101!A:H,8,FALSE))</f>
        <v>1285.7</v>
      </c>
      <c r="P139" s="43">
        <f t="shared" ca="1" si="8"/>
        <v>5.4761904761904766E-5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input_385101!A$2</f>
        <v>385101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IFERROR(VLOOKUP(B140,input_385101!L:R,7,FALSE),VLOOKUP(tables_385101!C140,input_385101!A:H,8,FALSE))</f>
        <v>24428.3</v>
      </c>
      <c r="P140" s="43">
        <f t="shared" ca="1" si="8"/>
        <v>1.0404761904761904E-3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input_385101!A$2</f>
        <v>385101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IFERROR(VLOOKUP(B141,input_385101!L:R,7,FALSE),VLOOKUP(tables_385101!C141,input_385101!A:H,8,FALSE))</f>
        <v>1285.7</v>
      </c>
      <c r="P141" s="43">
        <f t="shared" ca="1" si="8"/>
        <v>5.4761904761904766E-5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input_385101!A$2</f>
        <v>385101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IFERROR(VLOOKUP(B142,input_385101!L:R,7,FALSE),VLOOKUP(tables_385101!C142,input_385101!A:H,8,FALSE))</f>
        <v>24428.3</v>
      </c>
      <c r="P142" s="43">
        <f t="shared" ca="1" si="8"/>
        <v>1.0404761904761904E-3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input_385101!A$2</f>
        <v>385101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IFERROR(VLOOKUP(B143,input_385101!L:R,7,FALSE),VLOOKUP(tables_385101!C143,input_385101!A:H,8,FALSE))</f>
        <v>1285.7</v>
      </c>
      <c r="P143" s="43">
        <f t="shared" ca="1" si="8"/>
        <v>5.4761904761904766E-5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input_385101!A$2</f>
        <v>385101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IFERROR(VLOOKUP(B144,input_385101!L:R,7,FALSE),VLOOKUP(tables_385101!C144,input_385101!A:H,8,FALSE))</f>
        <v>24428.3</v>
      </c>
      <c r="P144" s="43">
        <f t="shared" ca="1" si="8"/>
        <v>1.0404761904761904E-3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input_385101!A$2</f>
        <v>385101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IFERROR(VLOOKUP(B145,input_385101!L:R,7,FALSE),VLOOKUP(tables_385101!C145,input_385101!A:H,8,FALSE))</f>
        <v>1285.7</v>
      </c>
      <c r="P145" s="43">
        <f t="shared" ca="1" si="8"/>
        <v>5.4761904761904766E-5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input_385101!A$2</f>
        <v>385101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IFERROR(VLOOKUP(B146,input_385101!L:R,7,FALSE),VLOOKUP(tables_385101!C146,input_385101!A:H,8,FALSE))</f>
        <v>95550</v>
      </c>
      <c r="P146" s="43">
        <f t="shared" ca="1" si="8"/>
        <v>4.0697674418604651E-3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input_385101!A$2</f>
        <v>385101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IFERROR(VLOOKUP(B147,input_385101!L:R,7,FALSE),VLOOKUP(tables_385101!C147,input_385101!A:H,8,FALSE))</f>
        <v>83162.8</v>
      </c>
      <c r="P147" s="43">
        <f t="shared" ca="1" si="8"/>
        <v>3.5421586165772212E-3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input_385101!A$2</f>
        <v>385101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IFERROR(VLOOKUP(B148,input_385101!L:R,7,FALSE),VLOOKUP(tables_385101!C148,input_385101!A:H,8,FALSE))</f>
        <v>12387.2</v>
      </c>
      <c r="P148" s="43">
        <f t="shared" ca="1" si="8"/>
        <v>5.2760882528324392E-4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input_385101!A$2</f>
        <v>385101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IFERROR(VLOOKUP(B149,input_385101!L:R,7,FALSE),VLOOKUP(tables_385101!C149,input_385101!A:H,8,FALSE))</f>
        <v>24428.3</v>
      </c>
      <c r="P149" s="43">
        <f t="shared" ca="1" si="8"/>
        <v>1.0404761904761904E-3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input_385101!A$2</f>
        <v>385101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IFERROR(VLOOKUP(B150,input_385101!L:R,7,FALSE),VLOOKUP(tables_385101!C150,input_385101!A:H,8,FALSE))</f>
        <v>1285.7</v>
      </c>
      <c r="P150" s="43">
        <f t="shared" ca="1" si="8"/>
        <v>5.4761904761904766E-5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input_385101!A$2</f>
        <v>385101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IFERROR(VLOOKUP(B151,input_385101!L:R,7,FALSE),VLOOKUP(tables_385101!C151,input_385101!A:H,8,FALSE))</f>
        <v>24428.3</v>
      </c>
      <c r="P151" s="43">
        <f t="shared" ca="1" si="8"/>
        <v>1.0404761904761904E-3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input_385101!A$2</f>
        <v>385101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IFERROR(VLOOKUP(B152,input_385101!L:R,7,FALSE),VLOOKUP(tables_385101!C152,input_385101!A:H,8,FALSE))</f>
        <v>1285.7</v>
      </c>
      <c r="P152" s="43">
        <f t="shared" ca="1" si="8"/>
        <v>5.4761904761904766E-5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input_385101!A$2</f>
        <v>385101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IFERROR(VLOOKUP(B153,input_385101!L:R,7,FALSE),VLOOKUP(tables_385101!C153,input_385101!A:H,8,FALSE))</f>
        <v>95550</v>
      </c>
      <c r="P153" s="43">
        <f t="shared" ca="1" si="8"/>
        <v>4.0697674418604651E-3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input_385101!A$2</f>
        <v>385101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IFERROR(VLOOKUP(B154,input_385101!L:R,7,FALSE),VLOOKUP(tables_385101!C154,input_385101!A:H,8,FALSE))</f>
        <v>83162.8</v>
      </c>
      <c r="P154" s="43">
        <f t="shared" ca="1" si="8"/>
        <v>3.5421586165772212E-3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input_385101!A$2</f>
        <v>385101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IFERROR(VLOOKUP(B155,input_385101!L:R,7,FALSE),VLOOKUP(tables_385101!C155,input_385101!A:H,8,FALSE))</f>
        <v>12387.2</v>
      </c>
      <c r="P155" s="43">
        <f t="shared" ca="1" si="8"/>
        <v>5.2760882528324392E-4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input_385101!A$2</f>
        <v>385101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IFERROR(VLOOKUP(B156,input_385101!L:R,7,FALSE),VLOOKUP(tables_385101!C156,input_385101!A:H,8,FALSE))</f>
        <v>24428.3</v>
      </c>
      <c r="P156" s="43">
        <f t="shared" ca="1" si="8"/>
        <v>1.0404761904761904E-3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input_385101!A$2</f>
        <v>385101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IFERROR(VLOOKUP(B157,input_385101!L:R,7,FALSE),VLOOKUP(tables_385101!C157,input_385101!A:H,8,FALSE))</f>
        <v>1285.7</v>
      </c>
      <c r="P157" s="43">
        <f t="shared" ca="1" si="8"/>
        <v>5.4761904761904766E-5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input_385101!A$2</f>
        <v>385101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IFERROR(VLOOKUP(B158,input_385101!L:R,7,FALSE),VLOOKUP(tables_385101!C158,input_385101!A:H,8,FALSE))</f>
        <v>95550</v>
      </c>
      <c r="P158" s="43">
        <f t="shared" ca="1" si="8"/>
        <v>4.0697674418604651E-3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input_385101!A$2</f>
        <v>385101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IFERROR(VLOOKUP(B159,input_385101!L:R,7,FALSE),VLOOKUP(tables_385101!C159,input_385101!A:H,8,FALSE))</f>
        <v>83162.8</v>
      </c>
      <c r="P159" s="43">
        <f t="shared" ca="1" si="8"/>
        <v>3.5421586165772212E-3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input_385101!A$2</f>
        <v>385101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IFERROR(VLOOKUP(B160,input_385101!L:R,7,FALSE),VLOOKUP(tables_385101!C160,input_385101!A:H,8,FALSE))</f>
        <v>12387.2</v>
      </c>
      <c r="P160" s="43">
        <f t="shared" ca="1" si="8"/>
        <v>5.2760882528324392E-4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input_385101!A$2</f>
        <v>385101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IFERROR(VLOOKUP(B161,input_385101!L:R,7,FALSE),VLOOKUP(tables_385101!C161,input_385101!A:H,8,FALSE))</f>
        <v>95550</v>
      </c>
      <c r="P161" s="43">
        <f t="shared" ca="1" si="8"/>
        <v>4.0697674418604651E-3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input_385101!A$2</f>
        <v>385101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IFERROR(VLOOKUP(B162,input_385101!L:R,7,FALSE),VLOOKUP(tables_385101!C162,input_385101!A:H,8,FALSE))</f>
        <v>83162.8</v>
      </c>
      <c r="P162" s="43">
        <f t="shared" ca="1" si="8"/>
        <v>3.5421586165772212E-3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input_385101!A$2</f>
        <v>385101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IFERROR(VLOOKUP(B163,input_385101!L:R,7,FALSE),VLOOKUP(tables_385101!C163,input_385101!A:H,8,FALSE))</f>
        <v>12387.2</v>
      </c>
      <c r="P163" s="43">
        <f t="shared" ca="1" si="8"/>
        <v>5.2760882528324392E-4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input_385101!A$2</f>
        <v>385101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IFERROR(VLOOKUP(B164,input_385101!L:R,7,FALSE),VLOOKUP(tables_385101!C164,input_385101!A:H,8,FALSE))</f>
        <v>24428.3</v>
      </c>
      <c r="P164" s="43">
        <f t="shared" ca="1" si="8"/>
        <v>1.0404761904761904E-3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input_385101!A$2</f>
        <v>385101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IFERROR(VLOOKUP(B165,input_385101!L:R,7,FALSE),VLOOKUP(tables_385101!C165,input_385101!A:H,8,FALSE))</f>
        <v>1285.7</v>
      </c>
      <c r="P165" s="43">
        <f t="shared" ca="1" si="8"/>
        <v>5.4761904761904766E-5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input_385101!A$2</f>
        <v>385101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IFERROR(VLOOKUP(B166,input_385101!L:R,7,FALSE),VLOOKUP(tables_385101!C166,input_385101!A:H,8,FALSE))</f>
        <v>95550</v>
      </c>
      <c r="P166" s="43">
        <f t="shared" ca="1" si="8"/>
        <v>4.0697674418604651E-3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input_385101!A$2</f>
        <v>385101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IFERROR(VLOOKUP(B167,input_385101!L:R,7,FALSE),VLOOKUP(tables_385101!C167,input_385101!A:H,8,FALSE))</f>
        <v>83162.8</v>
      </c>
      <c r="P167" s="43">
        <f t="shared" ca="1" si="8"/>
        <v>3.5421586165772212E-3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input_385101!A$2</f>
        <v>385101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IFERROR(VLOOKUP(B168,input_385101!L:R,7,FALSE),VLOOKUP(tables_385101!C168,input_385101!A:H,8,FALSE))</f>
        <v>12387.2</v>
      </c>
      <c r="P168" s="43">
        <f t="shared" ca="1" si="8"/>
        <v>5.2760882528324392E-4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input_385101!A$2</f>
        <v>385101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IFERROR(VLOOKUP(B169,input_385101!L:R,7,FALSE),VLOOKUP(tables_385101!C169,input_385101!A:H,8,FALSE))</f>
        <v>24428.3</v>
      </c>
      <c r="P169" s="43">
        <f t="shared" ca="1" si="8"/>
        <v>1.0404761904761904E-3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input_385101!A$2</f>
        <v>385101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IFERROR(VLOOKUP(B170,input_385101!L:R,7,FALSE),VLOOKUP(tables_385101!C170,input_385101!A:H,8,FALSE))</f>
        <v>1285.7</v>
      </c>
      <c r="P170" s="43">
        <f t="shared" ca="1" si="8"/>
        <v>5.4761904761904766E-5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input_385101!A$2</f>
        <v>385101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IFERROR(VLOOKUP(B171,input_385101!L:R,7,FALSE),VLOOKUP(tables_385101!C171,input_385101!A:H,8,FALSE))</f>
        <v>95550</v>
      </c>
      <c r="P171" s="43">
        <f t="shared" ca="1" si="8"/>
        <v>4.0697674418604651E-3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input_385101!A$2</f>
        <v>385101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IFERROR(VLOOKUP(B172,input_385101!L:R,7,FALSE),VLOOKUP(tables_385101!C172,input_385101!A:H,8,FALSE))</f>
        <v>83162.8</v>
      </c>
      <c r="P172" s="43">
        <f t="shared" ca="1" si="8"/>
        <v>3.5421586165772212E-3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input_385101!A$2</f>
        <v>385101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IFERROR(VLOOKUP(B173,input_385101!L:R,7,FALSE),VLOOKUP(tables_385101!C173,input_385101!A:H,8,FALSE))</f>
        <v>12387.2</v>
      </c>
      <c r="P173" s="43">
        <f t="shared" ca="1" si="8"/>
        <v>5.2760882528324392E-4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input_385101!A$2</f>
        <v>385101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IFERROR(VLOOKUP(B174,input_385101!L:R,7,FALSE),VLOOKUP(tables_385101!C174,input_385101!A:H,8,FALSE))</f>
        <v>24428.3</v>
      </c>
      <c r="P174" s="43">
        <f t="shared" ca="1" si="8"/>
        <v>1.0404761904761904E-3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input_385101!A$2</f>
        <v>385101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IFERROR(VLOOKUP(B175,input_385101!L:R,7,FALSE),VLOOKUP(tables_385101!C175,input_385101!A:H,8,FALSE))</f>
        <v>1285.7</v>
      </c>
      <c r="P175" s="43">
        <f t="shared" ca="1" si="8"/>
        <v>5.4761904761904766E-5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input_385101!A$2</f>
        <v>385101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IFERROR(VLOOKUP(B176,input_385101!L:R,7,FALSE),VLOOKUP(tables_385101!C176,input_385101!A:H,8,FALSE))</f>
        <v>24428.3</v>
      </c>
      <c r="P176" s="43">
        <f t="shared" ca="1" si="8"/>
        <v>1.0404761904761904E-3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input_385101!A$2</f>
        <v>385101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IFERROR(VLOOKUP(B177,input_385101!L:R,7,FALSE),VLOOKUP(tables_385101!C177,input_385101!A:H,8,FALSE))</f>
        <v>1285.7</v>
      </c>
      <c r="P177" s="43">
        <f t="shared" ca="1" si="8"/>
        <v>5.4761904761904766E-5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input_385101!A$2</f>
        <v>385101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IFERROR(VLOOKUP(B178,input_385101!L:R,7,FALSE),VLOOKUP(tables_385101!C178,input_385101!A:H,8,FALSE))</f>
        <v>95550</v>
      </c>
      <c r="P178" s="43">
        <f t="shared" ca="1" si="8"/>
        <v>4.0697674418604651E-3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input_385101!A$2</f>
        <v>385101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IFERROR(VLOOKUP(B179,input_385101!L:R,7,FALSE),VLOOKUP(tables_385101!C179,input_385101!A:H,8,FALSE))</f>
        <v>83162.8</v>
      </c>
      <c r="P179" s="43">
        <f t="shared" ca="1" si="8"/>
        <v>3.5421586165772212E-3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input_385101!A$2</f>
        <v>385101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IFERROR(VLOOKUP(B180,input_385101!L:R,7,FALSE),VLOOKUP(tables_385101!C180,input_385101!A:H,8,FALSE))</f>
        <v>12387.2</v>
      </c>
      <c r="P180" s="43">
        <f t="shared" ca="1" si="8"/>
        <v>5.2760882528324392E-4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input_385101!A$2</f>
        <v>385101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IFERROR(VLOOKUP(B181,input_385101!L:R,7,FALSE),VLOOKUP(tables_385101!C181,input_385101!A:H,8,FALSE))</f>
        <v>95550</v>
      </c>
      <c r="P181" s="43">
        <f t="shared" ca="1" si="8"/>
        <v>4.0697674418604651E-3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input_385101!A$2</f>
        <v>385101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IFERROR(VLOOKUP(B182,input_385101!L:R,7,FALSE),VLOOKUP(tables_385101!C182,input_385101!A:H,8,FALSE))</f>
        <v>83162.8</v>
      </c>
      <c r="P182" s="43">
        <f t="shared" ca="1" si="8"/>
        <v>3.5421586165772212E-3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input_385101!A$2</f>
        <v>385101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IFERROR(VLOOKUP(B183,input_385101!L:R,7,FALSE),VLOOKUP(tables_385101!C183,input_385101!A:H,8,FALSE))</f>
        <v>12387.2</v>
      </c>
      <c r="P183" s="43">
        <f t="shared" ca="1" si="8"/>
        <v>5.2760882528324392E-4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input_385101!A$2</f>
        <v>385101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IFERROR(VLOOKUP(B184,input_385101!L:R,7,FALSE),VLOOKUP(tables_385101!C184,input_385101!A:H,8,FALSE))</f>
        <v>24428.3</v>
      </c>
      <c r="P184" s="43">
        <f t="shared" ca="1" si="8"/>
        <v>1.0404761904761904E-3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input_385101!A$2</f>
        <v>385101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IFERROR(VLOOKUP(B185,input_385101!L:R,7,FALSE),VLOOKUP(tables_385101!C185,input_385101!A:H,8,FALSE))</f>
        <v>1285.7</v>
      </c>
      <c r="P185" s="43">
        <f t="shared" ca="1" si="8"/>
        <v>5.4761904761904766E-5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input_385101!A$2</f>
        <v>385101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IFERROR(VLOOKUP(B186,input_385101!L:R,7,FALSE),VLOOKUP(tables_385101!C186,input_385101!A:H,8,FALSE))</f>
        <v>95550</v>
      </c>
      <c r="P186" s="43">
        <f t="shared" ca="1" si="8"/>
        <v>4.0697674418604651E-3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input_385101!A$2</f>
        <v>385101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IFERROR(VLOOKUP(B187,input_385101!L:R,7,FALSE),VLOOKUP(tables_385101!C187,input_385101!A:H,8,FALSE))</f>
        <v>83162.8</v>
      </c>
      <c r="P187" s="43">
        <f t="shared" ca="1" si="8"/>
        <v>3.5421586165772212E-3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input_385101!A$2</f>
        <v>385101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IFERROR(VLOOKUP(B188,input_385101!L:R,7,FALSE),VLOOKUP(tables_385101!C188,input_385101!A:H,8,FALSE))</f>
        <v>12387.2</v>
      </c>
      <c r="P188" s="43">
        <f t="shared" ca="1" si="8"/>
        <v>5.2760882528324392E-4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input_385101!A$2</f>
        <v>385101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IFERROR(VLOOKUP(B189,input_385101!L:R,7,FALSE),VLOOKUP(tables_385101!C189,input_385101!A:H,8,FALSE))</f>
        <v>24428.3</v>
      </c>
      <c r="P189" s="43">
        <f t="shared" ca="1" si="8"/>
        <v>1.0404761904761904E-3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input_385101!A$2</f>
        <v>385101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IFERROR(VLOOKUP(B190,input_385101!L:R,7,FALSE),VLOOKUP(tables_385101!C190,input_385101!A:H,8,FALSE))</f>
        <v>1285.7</v>
      </c>
      <c r="P190" s="43">
        <f t="shared" ca="1" si="8"/>
        <v>5.4761904761904766E-5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input_385101!A$2</f>
        <v>385101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IFERROR(VLOOKUP(B191,input_385101!L:R,7,FALSE),VLOOKUP(tables_385101!C191,input_385101!A:H,8,FALSE))</f>
        <v>24428.3</v>
      </c>
      <c r="P191" s="43">
        <f t="shared" ca="1" si="8"/>
        <v>1.0404761904761904E-3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input_385101!A$2</f>
        <v>385101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IFERROR(VLOOKUP(B192,input_385101!L:R,7,FALSE),VLOOKUP(tables_385101!C192,input_385101!A:H,8,FALSE))</f>
        <v>1285.7</v>
      </c>
      <c r="P192" s="43">
        <f t="shared" ca="1" si="8"/>
        <v>5.4761904761904766E-5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input_385101!A$2</f>
        <v>385101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IFERROR(VLOOKUP(B193,input_385101!L:R,7,FALSE),VLOOKUP(tables_385101!C193,input_385101!A:H,8,FALSE))</f>
        <v>95550</v>
      </c>
      <c r="P193" s="43">
        <f t="shared" ca="1" si="8"/>
        <v>4.0697674418604651E-3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input_385101!A$2</f>
        <v>385101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IFERROR(VLOOKUP(B194,input_385101!L:R,7,FALSE),VLOOKUP(tables_385101!C194,input_385101!A:H,8,FALSE))</f>
        <v>83162.8</v>
      </c>
      <c r="P194" s="43">
        <f t="shared" ref="P194:P257" ca="1" si="11">O194/SUM(O:O)</f>
        <v>3.5421586165772212E-3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input_385101!A$2</f>
        <v>385101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IFERROR(VLOOKUP(B195,input_385101!L:R,7,FALSE),VLOOKUP(tables_385101!C195,input_385101!A:H,8,FALSE))</f>
        <v>12387.2</v>
      </c>
      <c r="P195" s="43">
        <f t="shared" ca="1" si="11"/>
        <v>5.2760882528324392E-4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input_385101!A$2</f>
        <v>385101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IFERROR(VLOOKUP(B196,input_385101!L:R,7,FALSE),VLOOKUP(tables_385101!C196,input_385101!A:H,8,FALSE))</f>
        <v>24428.3</v>
      </c>
      <c r="P196" s="43">
        <f t="shared" ca="1" si="11"/>
        <v>1.0404761904761904E-3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input_385101!A$2</f>
        <v>385101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IFERROR(VLOOKUP(B197,input_385101!L:R,7,FALSE),VLOOKUP(tables_385101!C197,input_385101!A:H,8,FALSE))</f>
        <v>1285.7</v>
      </c>
      <c r="P197" s="43">
        <f t="shared" ca="1" si="11"/>
        <v>5.4761904761904766E-5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input_385101!A$2</f>
        <v>385101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IFERROR(VLOOKUP(B198,input_385101!L:R,7,FALSE),VLOOKUP(tables_385101!C198,input_385101!A:H,8,FALSE))</f>
        <v>95550</v>
      </c>
      <c r="P198" s="43">
        <f t="shared" ca="1" si="11"/>
        <v>4.0697674418604651E-3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input_385101!A$2</f>
        <v>385101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IFERROR(VLOOKUP(B199,input_385101!L:R,7,FALSE),VLOOKUP(tables_385101!C199,input_385101!A:H,8,FALSE))</f>
        <v>83162.8</v>
      </c>
      <c r="P199" s="43">
        <f t="shared" ca="1" si="11"/>
        <v>3.5421586165772212E-3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input_385101!A$2</f>
        <v>385101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IFERROR(VLOOKUP(B200,input_385101!L:R,7,FALSE),VLOOKUP(tables_385101!C200,input_385101!A:H,8,FALSE))</f>
        <v>12387.2</v>
      </c>
      <c r="P200" s="43">
        <f t="shared" ca="1" si="11"/>
        <v>5.2760882528324392E-4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input_385101!A$2</f>
        <v>385101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IFERROR(VLOOKUP(B201,input_385101!L:R,7,FALSE),VLOOKUP(tables_385101!C201,input_385101!A:H,8,FALSE))</f>
        <v>24428.3</v>
      </c>
      <c r="P201" s="43">
        <f t="shared" ca="1" si="11"/>
        <v>1.0404761904761904E-3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input_385101!A$2</f>
        <v>385101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IFERROR(VLOOKUP(B202,input_385101!L:R,7,FALSE),VLOOKUP(tables_385101!C202,input_385101!A:H,8,FALSE))</f>
        <v>1285.7</v>
      </c>
      <c r="P202" s="43">
        <f t="shared" ca="1" si="11"/>
        <v>5.4761904761904766E-5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input_385101!A$2</f>
        <v>385101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IFERROR(VLOOKUP(B203,input_385101!L:R,7,FALSE),VLOOKUP(tables_385101!C203,input_385101!A:H,8,FALSE))</f>
        <v>95550</v>
      </c>
      <c r="P203" s="43">
        <f t="shared" ca="1" si="11"/>
        <v>4.0697674418604651E-3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input_385101!A$2</f>
        <v>385101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IFERROR(VLOOKUP(B204,input_385101!L:R,7,FALSE),VLOOKUP(tables_385101!C204,input_385101!A:H,8,FALSE))</f>
        <v>83162.8</v>
      </c>
      <c r="P204" s="43">
        <f t="shared" ca="1" si="11"/>
        <v>3.5421586165772212E-3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input_385101!A$2</f>
        <v>385101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IFERROR(VLOOKUP(B205,input_385101!L:R,7,FALSE),VLOOKUP(tables_385101!C205,input_385101!A:H,8,FALSE))</f>
        <v>12387.2</v>
      </c>
      <c r="P205" s="43">
        <f t="shared" ca="1" si="11"/>
        <v>5.2760882528324392E-4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input_385101!A$2</f>
        <v>385101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IFERROR(VLOOKUP(B206,input_385101!L:R,7,FALSE),VLOOKUP(tables_385101!C206,input_385101!A:H,8,FALSE))</f>
        <v>24428.3</v>
      </c>
      <c r="P206" s="43">
        <f t="shared" ca="1" si="11"/>
        <v>1.0404761904761904E-3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input_385101!A$2</f>
        <v>385101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IFERROR(VLOOKUP(B207,input_385101!L:R,7,FALSE),VLOOKUP(tables_385101!C207,input_385101!A:H,8,FALSE))</f>
        <v>1285.7</v>
      </c>
      <c r="P207" s="43">
        <f t="shared" ca="1" si="11"/>
        <v>5.4761904761904766E-5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input_385101!A$2</f>
        <v>385101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IFERROR(VLOOKUP(B208,input_385101!L:R,7,FALSE),VLOOKUP(tables_385101!C208,input_385101!A:H,8,FALSE))</f>
        <v>24428.3</v>
      </c>
      <c r="P208" s="43">
        <f t="shared" ca="1" si="11"/>
        <v>1.0404761904761904E-3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input_385101!A$2</f>
        <v>385101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IFERROR(VLOOKUP(B209,input_385101!L:R,7,FALSE),VLOOKUP(tables_385101!C209,input_385101!A:H,8,FALSE))</f>
        <v>1285.7</v>
      </c>
      <c r="P209" s="43">
        <f t="shared" ca="1" si="11"/>
        <v>5.4761904761904766E-5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input_385101!A$2</f>
        <v>385101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IFERROR(VLOOKUP(B210,input_385101!L:R,7,FALSE),VLOOKUP(tables_385101!C210,input_385101!A:H,8,FALSE))</f>
        <v>95550</v>
      </c>
      <c r="P210" s="43">
        <f t="shared" ca="1" si="11"/>
        <v>4.0697674418604651E-3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input_385101!A$2</f>
        <v>385101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IFERROR(VLOOKUP(B211,input_385101!L:R,7,FALSE),VLOOKUP(tables_385101!C211,input_385101!A:H,8,FALSE))</f>
        <v>83162.8</v>
      </c>
      <c r="P211" s="43">
        <f t="shared" ca="1" si="11"/>
        <v>3.5421586165772212E-3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input_385101!A$2</f>
        <v>385101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IFERROR(VLOOKUP(B212,input_385101!L:R,7,FALSE),VLOOKUP(tables_385101!C212,input_385101!A:H,8,FALSE))</f>
        <v>12387.2</v>
      </c>
      <c r="P212" s="43">
        <f t="shared" ca="1" si="11"/>
        <v>5.2760882528324392E-4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input_385101!A$2</f>
        <v>385101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IFERROR(VLOOKUP(B213,input_385101!L:R,7,FALSE),VLOOKUP(tables_385101!C213,input_385101!A:H,8,FALSE))</f>
        <v>24428.3</v>
      </c>
      <c r="P213" s="43">
        <f t="shared" ca="1" si="11"/>
        <v>1.0404761904761904E-3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input_385101!A$2</f>
        <v>385101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IFERROR(VLOOKUP(B214,input_385101!L:R,7,FALSE),VLOOKUP(tables_385101!C214,input_385101!A:H,8,FALSE))</f>
        <v>1285.7</v>
      </c>
      <c r="P214" s="43">
        <f t="shared" ca="1" si="11"/>
        <v>5.4761904761904766E-5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input_385101!A$2</f>
        <v>385101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2">
        <f ca="1">IFERROR(VLOOKUP(B215,input_385101!L:R,7,FALSE),VLOOKUP(tables_385101!C215,input_385101!A:H,8,FALSE))</f>
        <v>24428.3</v>
      </c>
      <c r="P215" s="43">
        <f t="shared" ca="1" si="11"/>
        <v>1.0404761904761904E-3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input_385101!A$2</f>
        <v>385101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2">
        <f ca="1">IFERROR(VLOOKUP(B216,input_385101!L:R,7,FALSE),VLOOKUP(tables_385101!C216,input_385101!A:H,8,FALSE))</f>
        <v>1285.7</v>
      </c>
      <c r="P216" s="43">
        <f t="shared" ca="1" si="11"/>
        <v>5.4761904761904766E-5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input_385101!A$2</f>
        <v>385101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2">
        <f ca="1">IFERROR(VLOOKUP(B217,input_385101!L:R,7,FALSE),VLOOKUP(tables_385101!C217,input_385101!A:H,8,FALSE))</f>
        <v>95550</v>
      </c>
      <c r="P217" s="43">
        <f t="shared" ca="1" si="11"/>
        <v>4.0697674418604651E-3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input_385101!A$2</f>
        <v>385101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2">
        <f ca="1">IFERROR(VLOOKUP(B218,input_385101!L:R,7,FALSE),VLOOKUP(tables_385101!C218,input_385101!A:H,8,FALSE))</f>
        <v>83162.8</v>
      </c>
      <c r="P218" s="43">
        <f t="shared" ca="1" si="11"/>
        <v>3.5421586165772212E-3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input_385101!A$2</f>
        <v>385101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2">
        <f ca="1">IFERROR(VLOOKUP(B219,input_385101!L:R,7,FALSE),VLOOKUP(tables_385101!C219,input_385101!A:H,8,FALSE))</f>
        <v>12387.2</v>
      </c>
      <c r="P219" s="43">
        <f t="shared" ca="1" si="11"/>
        <v>5.2760882528324392E-4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input_385101!A$2</f>
        <v>385101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2">
        <f ca="1">IFERROR(VLOOKUP(B220,input_385101!L:R,7,FALSE),VLOOKUP(tables_385101!C220,input_385101!A:H,8,FALSE))</f>
        <v>95550</v>
      </c>
      <c r="P220" s="43">
        <f t="shared" ca="1" si="11"/>
        <v>4.0697674418604651E-3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input_385101!A$2</f>
        <v>385101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2">
        <f ca="1">IFERROR(VLOOKUP(B221,input_385101!L:R,7,FALSE),VLOOKUP(tables_385101!C221,input_385101!A:H,8,FALSE))</f>
        <v>83162.8</v>
      </c>
      <c r="P221" s="43">
        <f t="shared" ca="1" si="11"/>
        <v>3.5421586165772212E-3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input_385101!A$2</f>
        <v>385101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2">
        <f ca="1">IFERROR(VLOOKUP(B222,input_385101!L:R,7,FALSE),VLOOKUP(tables_385101!C222,input_385101!A:H,8,FALSE))</f>
        <v>12387.2</v>
      </c>
      <c r="P222" s="43">
        <f t="shared" ca="1" si="11"/>
        <v>5.2760882528324392E-4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input_385101!A$2</f>
        <v>385101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2">
        <f ca="1">IFERROR(VLOOKUP(B223,input_385101!L:R,7,FALSE),VLOOKUP(tables_385101!C223,input_385101!A:H,8,FALSE))</f>
        <v>24428.3</v>
      </c>
      <c r="P223" s="43">
        <f t="shared" ca="1" si="11"/>
        <v>1.0404761904761904E-3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input_385101!A$2</f>
        <v>385101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2">
        <f ca="1">IFERROR(VLOOKUP(B224,input_385101!L:R,7,FALSE),VLOOKUP(tables_385101!C224,input_385101!A:H,8,FALSE))</f>
        <v>1285.7</v>
      </c>
      <c r="P224" s="43">
        <f t="shared" ca="1" si="11"/>
        <v>5.4761904761904766E-5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input_385101!A$2</f>
        <v>385101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2">
        <f ca="1">IFERROR(VLOOKUP(B225,input_385101!L:R,7,FALSE),VLOOKUP(tables_385101!C225,input_385101!A:H,8,FALSE))</f>
        <v>95550</v>
      </c>
      <c r="P225" s="43">
        <f t="shared" ca="1" si="11"/>
        <v>4.0697674418604651E-3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input_385101!A$2</f>
        <v>385101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2">
        <f ca="1">IFERROR(VLOOKUP(B226,input_385101!L:R,7,FALSE),VLOOKUP(tables_385101!C226,input_385101!A:H,8,FALSE))</f>
        <v>83162.8</v>
      </c>
      <c r="P226" s="43">
        <f t="shared" ca="1" si="11"/>
        <v>3.5421586165772212E-3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input_385101!A$2</f>
        <v>385101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2">
        <f ca="1">IFERROR(VLOOKUP(B227,input_385101!L:R,7,FALSE),VLOOKUP(tables_385101!C227,input_385101!A:H,8,FALSE))</f>
        <v>12387.2</v>
      </c>
      <c r="P227" s="43">
        <f t="shared" ca="1" si="11"/>
        <v>5.2760882528324392E-4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input_385101!A$2</f>
        <v>385101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IFERROR(VLOOKUP(B228,input_385101!L:R,7,FALSE),VLOOKUP(tables_385101!C228,input_385101!A:H,8,FALSE))</f>
        <v>95550</v>
      </c>
      <c r="P228" s="43">
        <f t="shared" ca="1" si="11"/>
        <v>4.0697674418604651E-3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input_385101!A$2</f>
        <v>385101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IFERROR(VLOOKUP(B229,input_385101!L:R,7,FALSE),VLOOKUP(tables_385101!C229,input_385101!A:H,8,FALSE))</f>
        <v>83162.8</v>
      </c>
      <c r="P229" s="43">
        <f t="shared" ca="1" si="11"/>
        <v>3.5421586165772212E-3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input_385101!A$2</f>
        <v>385101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IFERROR(VLOOKUP(B230,input_385101!L:R,7,FALSE),VLOOKUP(tables_385101!C230,input_385101!A:H,8,FALSE))</f>
        <v>12387.2</v>
      </c>
      <c r="P230" s="43">
        <f t="shared" ca="1" si="11"/>
        <v>5.2760882528324392E-4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input_385101!A$2</f>
        <v>385101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2">
        <f ca="1">IFERROR(VLOOKUP(B231,input_385101!L:R,7,FALSE),VLOOKUP(tables_385101!C231,input_385101!A:H,8,FALSE))</f>
        <v>24428.3</v>
      </c>
      <c r="P231" s="43">
        <f t="shared" ca="1" si="11"/>
        <v>1.0404761904761904E-3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input_385101!A$2</f>
        <v>385101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2">
        <f ca="1">IFERROR(VLOOKUP(B232,input_385101!L:R,7,FALSE),VLOOKUP(tables_385101!C232,input_385101!A:H,8,FALSE))</f>
        <v>1285.7</v>
      </c>
      <c r="P232" s="43">
        <f t="shared" ca="1" si="11"/>
        <v>5.4761904761904766E-5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input_385101!A$2</f>
        <v>385101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2">
        <f ca="1">IFERROR(VLOOKUP(B233,input_385101!L:R,7,FALSE),VLOOKUP(tables_385101!C233,input_385101!A:H,8,FALSE))</f>
        <v>95550</v>
      </c>
      <c r="P233" s="43">
        <f t="shared" ca="1" si="11"/>
        <v>4.0697674418604651E-3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input_385101!A$2</f>
        <v>385101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2">
        <f ca="1">IFERROR(VLOOKUP(B234,input_385101!L:R,7,FALSE),VLOOKUP(tables_385101!C234,input_385101!A:H,8,FALSE))</f>
        <v>83162.8</v>
      </c>
      <c r="P234" s="43">
        <f t="shared" ca="1" si="11"/>
        <v>3.5421586165772212E-3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input_385101!A$2</f>
        <v>385101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2">
        <f ca="1">IFERROR(VLOOKUP(B235,input_385101!L:R,7,FALSE),VLOOKUP(tables_385101!C235,input_385101!A:H,8,FALSE))</f>
        <v>12387.2</v>
      </c>
      <c r="P235" s="43">
        <f t="shared" ca="1" si="11"/>
        <v>5.2760882528324392E-4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input_385101!A$2</f>
        <v>385101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2">
        <f ca="1">IFERROR(VLOOKUP(B236,input_385101!L:R,7,FALSE),VLOOKUP(tables_385101!C236,input_385101!A:H,8,FALSE))</f>
        <v>24428.3</v>
      </c>
      <c r="P236" s="43">
        <f t="shared" ca="1" si="11"/>
        <v>1.0404761904761904E-3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input_385101!A$2</f>
        <v>385101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IFERROR(VLOOKUP(B237,input_385101!L:R,7,FALSE),VLOOKUP(tables_385101!C237,input_385101!A:H,8,FALSE))</f>
        <v>1285.7</v>
      </c>
      <c r="P237" s="43">
        <f t="shared" ca="1" si="11"/>
        <v>5.4761904761904766E-5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input_385101!A$2</f>
        <v>385101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2">
        <f ca="1">IFERROR(VLOOKUP(B238,input_385101!L:R,7,FALSE),VLOOKUP(tables_385101!C238,input_385101!A:H,8,FALSE))</f>
        <v>24428.3</v>
      </c>
      <c r="P238" s="43">
        <f t="shared" ca="1" si="11"/>
        <v>1.0404761904761904E-3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input_385101!A$2</f>
        <v>385101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2">
        <f ca="1">IFERROR(VLOOKUP(B239,input_385101!L:R,7,FALSE),VLOOKUP(tables_385101!C239,input_385101!A:H,8,FALSE))</f>
        <v>1285.7</v>
      </c>
      <c r="P239" s="43">
        <f t="shared" ca="1" si="11"/>
        <v>5.4761904761904766E-5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input_385101!A$2</f>
        <v>385101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2">
        <f ca="1">IFERROR(VLOOKUP(B240,input_385101!L:R,7,FALSE),VLOOKUP(tables_385101!C240,input_385101!A:H,8,FALSE))</f>
        <v>95550</v>
      </c>
      <c r="P240" s="43">
        <f t="shared" ca="1" si="11"/>
        <v>4.0697674418604651E-3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input_385101!A$2</f>
        <v>385101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2">
        <f ca="1">IFERROR(VLOOKUP(B241,input_385101!L:R,7,FALSE),VLOOKUP(tables_385101!C241,input_385101!A:H,8,FALSE))</f>
        <v>83162.8</v>
      </c>
      <c r="P241" s="43">
        <f t="shared" ca="1" si="11"/>
        <v>3.5421586165772212E-3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input_385101!A$2</f>
        <v>385101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2">
        <f ca="1">IFERROR(VLOOKUP(B242,input_385101!L:R,7,FALSE),VLOOKUP(tables_385101!C242,input_385101!A:H,8,FALSE))</f>
        <v>12387.2</v>
      </c>
      <c r="P242" s="43">
        <f t="shared" ca="1" si="11"/>
        <v>5.2760882528324392E-4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input_385101!A$2</f>
        <v>385101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2">
        <f ca="1">IFERROR(VLOOKUP(B243,input_385101!L:R,7,FALSE),VLOOKUP(tables_385101!C243,input_385101!A:H,8,FALSE))</f>
        <v>95550</v>
      </c>
      <c r="P243" s="43">
        <f t="shared" ca="1" si="11"/>
        <v>4.0697674418604651E-3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input_385101!A$2</f>
        <v>385101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2">
        <f ca="1">IFERROR(VLOOKUP(B244,input_385101!L:R,7,FALSE),VLOOKUP(tables_385101!C244,input_385101!A:H,8,FALSE))</f>
        <v>83162.8</v>
      </c>
      <c r="P244" s="43">
        <f t="shared" ca="1" si="11"/>
        <v>3.5421586165772212E-3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input_385101!A$2</f>
        <v>385101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2">
        <f ca="1">IFERROR(VLOOKUP(B245,input_385101!L:R,7,FALSE),VLOOKUP(tables_385101!C245,input_385101!A:H,8,FALSE))</f>
        <v>12387.2</v>
      </c>
      <c r="P245" s="43">
        <f t="shared" ca="1" si="11"/>
        <v>5.2760882528324392E-4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input_385101!A$2</f>
        <v>385101</v>
      </c>
      <c r="B246" s="57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2">
        <f ca="1">IFERROR(VLOOKUP(B246,input_385101!L:R,7,FALSE),VLOOKUP(tables_385101!C246,input_385101!A:H,8,FALSE))</f>
        <v>95550</v>
      </c>
      <c r="P246" s="43">
        <f t="shared" ca="1" si="11"/>
        <v>4.0697674418604651E-3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input_385101!A$2</f>
        <v>385101</v>
      </c>
      <c r="B247" s="57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2">
        <f ca="1">IFERROR(VLOOKUP(B247,input_385101!L:R,7,FALSE),VLOOKUP(tables_385101!C247,input_385101!A:H,8,FALSE))</f>
        <v>83162.8</v>
      </c>
      <c r="P247" s="43">
        <f t="shared" ca="1" si="11"/>
        <v>3.5421586165772212E-3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input_385101!A$2</f>
        <v>385101</v>
      </c>
      <c r="B248" s="57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2">
        <f ca="1">IFERROR(VLOOKUP(B248,input_385101!L:R,7,FALSE),VLOOKUP(tables_385101!C248,input_385101!A:H,8,FALSE))</f>
        <v>12387.2</v>
      </c>
      <c r="P248" s="43">
        <f t="shared" ca="1" si="11"/>
        <v>5.2760882528324392E-4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input_385101!A$2</f>
        <v>385101</v>
      </c>
      <c r="B249" s="57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2">
        <f ca="1">IFERROR(VLOOKUP(B249,input_385101!L:R,7,FALSE),VLOOKUP(tables_385101!C249,input_385101!A:H,8,FALSE))</f>
        <v>95550</v>
      </c>
      <c r="P249" s="43">
        <f t="shared" ca="1" si="11"/>
        <v>4.0697674418604651E-3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input_385101!A$2</f>
        <v>385101</v>
      </c>
      <c r="B250" s="57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2">
        <f ca="1">IFERROR(VLOOKUP(B250,input_385101!L:R,7,FALSE),VLOOKUP(tables_385101!C250,input_385101!A:H,8,FALSE))</f>
        <v>83162.8</v>
      </c>
      <c r="P250" s="43">
        <f t="shared" ca="1" si="11"/>
        <v>3.5421586165772212E-3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input_385101!A$2</f>
        <v>385101</v>
      </c>
      <c r="B251" s="57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2">
        <f ca="1">IFERROR(VLOOKUP(B251,input_385101!L:R,7,FALSE),VLOOKUP(tables_385101!C251,input_385101!A:H,8,FALSE))</f>
        <v>12387.2</v>
      </c>
      <c r="P251" s="43">
        <f t="shared" ca="1" si="11"/>
        <v>5.2760882528324392E-4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input_385101!A$2</f>
        <v>385101</v>
      </c>
      <c r="B252" s="57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2">
        <f ca="1">IFERROR(VLOOKUP(B252,input_385101!L:R,7,FALSE),VLOOKUP(tables_385101!C252,input_385101!A:H,8,FALSE))</f>
        <v>24428.3</v>
      </c>
      <c r="P252" s="43">
        <f t="shared" ca="1" si="11"/>
        <v>1.0404761904761904E-3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input_385101!A$2</f>
        <v>385101</v>
      </c>
      <c r="B253" s="57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2">
        <f ca="1">IFERROR(VLOOKUP(B253,input_385101!L:R,7,FALSE),VLOOKUP(tables_385101!C253,input_385101!A:H,8,FALSE))</f>
        <v>1285.7</v>
      </c>
      <c r="P253" s="43">
        <f t="shared" ca="1" si="11"/>
        <v>5.4761904761904766E-5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input_385101!A$2</f>
        <v>385101</v>
      </c>
      <c r="B254" s="57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2">
        <f ca="1">IFERROR(VLOOKUP(B254,input_385101!L:R,7,FALSE),VLOOKUP(tables_385101!C254,input_385101!A:H,8,FALSE))</f>
        <v>24428.3</v>
      </c>
      <c r="P254" s="43">
        <f t="shared" ca="1" si="11"/>
        <v>1.0404761904761904E-3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input_385101!A$2</f>
        <v>385101</v>
      </c>
      <c r="B255" s="57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2">
        <f ca="1">IFERROR(VLOOKUP(B255,input_385101!L:R,7,FALSE),VLOOKUP(tables_385101!C255,input_385101!A:H,8,FALSE))</f>
        <v>1285.7</v>
      </c>
      <c r="P255" s="43">
        <f t="shared" ca="1" si="11"/>
        <v>5.4761904761904766E-5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input_385101!A$2</f>
        <v>385101</v>
      </c>
      <c r="B256" s="57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2">
        <f ca="1">IFERROR(VLOOKUP(B256,input_385101!L:R,7,FALSE),VLOOKUP(tables_385101!C256,input_385101!A:H,8,FALSE))</f>
        <v>181545</v>
      </c>
      <c r="P256" s="43">
        <f t="shared" ca="1" si="11"/>
        <v>7.7325581395348841E-3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input_385101!A$2</f>
        <v>385101</v>
      </c>
      <c r="B257" s="57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2">
        <f ca="1">IFERROR(VLOOKUP(B257,input_385101!L:R,7,FALSE),VLOOKUP(tables_385101!C257,input_385101!A:H,8,FALSE))</f>
        <v>9555</v>
      </c>
      <c r="P257" s="43">
        <f t="shared" ca="1" si="11"/>
        <v>4.0697674418604653E-4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input_385101!A$2</f>
        <v>385101</v>
      </c>
      <c r="B258" s="57">
        <v>730</v>
      </c>
      <c r="C258" s="7" t="str">
        <f t="shared" ref="C258:C294" si="12">D258&amp;J258&amp;E258&amp;F258&amp;G258</f>
        <v>Premium4R3less</v>
      </c>
      <c r="D258" s="7" t="str">
        <f t="shared" ref="D258:D29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2">
        <f ca="1">IFERROR(VLOOKUP(B258,input_385101!L:R,7,FALSE),VLOOKUP(tables_385101!C258,input_385101!A:H,8,FALSE))</f>
        <v>181545</v>
      </c>
      <c r="P258" s="43">
        <f t="shared" ref="P258:P321" ca="1" si="14">O258/SUM(O:O)</f>
        <v>7.7325581395348841E-3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input_385101!A$2</f>
        <v>385101</v>
      </c>
      <c r="B259" s="57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2">
        <f ca="1">IFERROR(VLOOKUP(B259,input_385101!L:R,7,FALSE),VLOOKUP(tables_385101!C259,input_385101!A:H,8,FALSE))</f>
        <v>9555</v>
      </c>
      <c r="P259" s="43">
        <f t="shared" ca="1" si="14"/>
        <v>4.0697674418604653E-4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input_385101!A$2</f>
        <v>385101</v>
      </c>
      <c r="B260" s="57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2">
        <f ca="1">IFERROR(VLOOKUP(B260,input_385101!L:R,7,FALSE),VLOOKUP(tables_385101!C260,input_385101!A:H,8,FALSE))</f>
        <v>25714</v>
      </c>
      <c r="P260" s="43">
        <f t="shared" ca="1" si="14"/>
        <v>1.0952380952380953E-3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input_385101!A$2</f>
        <v>385101</v>
      </c>
      <c r="B261" s="57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2">
        <f ca="1">IFERROR(VLOOKUP(B261,input_385101!L:R,7,FALSE),VLOOKUP(tables_385101!C261,input_385101!A:H,8,FALSE))</f>
        <v>25714</v>
      </c>
      <c r="P261" s="43">
        <f t="shared" ca="1" si="14"/>
        <v>1.0952380952380953E-3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input_385101!A$2</f>
        <v>385101</v>
      </c>
      <c r="B262" s="57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2">
        <f ca="1">IFERROR(VLOOKUP(B262,input_385101!L:R,7,FALSE),VLOOKUP(tables_385101!C262,input_385101!A:H,8,FALSE))</f>
        <v>24428.3</v>
      </c>
      <c r="P262" s="43">
        <f t="shared" ca="1" si="14"/>
        <v>1.0404761904761904E-3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input_385101!A$2</f>
        <v>385101</v>
      </c>
      <c r="B263" s="57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2">
        <f ca="1">IFERROR(VLOOKUP(B263,input_385101!L:R,7,FALSE),VLOOKUP(tables_385101!C263,input_385101!A:H,8,FALSE))</f>
        <v>1285.7</v>
      </c>
      <c r="P263" s="43">
        <f t="shared" ca="1" si="14"/>
        <v>5.4761904761904766E-5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input_385101!A$2</f>
        <v>385101</v>
      </c>
      <c r="B264" s="57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2">
        <f ca="1">IFERROR(VLOOKUP(B264,input_385101!L:R,7,FALSE),VLOOKUP(tables_385101!C264,input_385101!A:H,8,FALSE))</f>
        <v>24428.3</v>
      </c>
      <c r="P264" s="43">
        <f t="shared" ca="1" si="14"/>
        <v>1.0404761904761904E-3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input_385101!A$2</f>
        <v>385101</v>
      </c>
      <c r="B265" s="57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2">
        <f ca="1">IFERROR(VLOOKUP(B265,input_385101!L:R,7,FALSE),VLOOKUP(tables_385101!C265,input_385101!A:H,8,FALSE))</f>
        <v>1285.7</v>
      </c>
      <c r="P265" s="43">
        <f t="shared" ca="1" si="14"/>
        <v>5.4761904761904766E-5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input_385101!A$2</f>
        <v>385101</v>
      </c>
      <c r="B266" s="57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2">
        <f ca="1">IFERROR(VLOOKUP(B266,input_385101!L:R,7,FALSE),VLOOKUP(tables_385101!C266,input_385101!A:H,8,FALSE))</f>
        <v>95550</v>
      </c>
      <c r="P266" s="43">
        <f t="shared" ca="1" si="14"/>
        <v>4.0697674418604651E-3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input_385101!A$2</f>
        <v>385101</v>
      </c>
      <c r="B267" s="57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2">
        <f ca="1">IFERROR(VLOOKUP(B267,input_385101!L:R,7,FALSE),VLOOKUP(tables_385101!C267,input_385101!A:H,8,FALSE))</f>
        <v>83162.8</v>
      </c>
      <c r="P267" s="43">
        <f t="shared" ca="1" si="14"/>
        <v>3.5421586165772212E-3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input_385101!A$2</f>
        <v>385101</v>
      </c>
      <c r="B268" s="57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2">
        <f ca="1">IFERROR(VLOOKUP(B268,input_385101!L:R,7,FALSE),VLOOKUP(tables_385101!C268,input_385101!A:H,8,FALSE))</f>
        <v>12387.2</v>
      </c>
      <c r="P268" s="43">
        <f t="shared" ca="1" si="14"/>
        <v>5.2760882528324392E-4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input_385101!A$2</f>
        <v>385101</v>
      </c>
      <c r="B269" s="57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2">
        <f ca="1">IFERROR(VLOOKUP(B269,input_385101!L:R,7,FALSE),VLOOKUP(tables_385101!C269,input_385101!A:H,8,FALSE))</f>
        <v>95550</v>
      </c>
      <c r="P269" s="43">
        <f t="shared" ca="1" si="14"/>
        <v>4.0697674418604651E-3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input_385101!A$2</f>
        <v>385101</v>
      </c>
      <c r="B270" s="57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2">
        <f ca="1">IFERROR(VLOOKUP(B270,input_385101!L:R,7,FALSE),VLOOKUP(tables_385101!C270,input_385101!A:H,8,FALSE))</f>
        <v>83162.8</v>
      </c>
      <c r="P270" s="43">
        <f t="shared" ca="1" si="14"/>
        <v>3.5421586165772212E-3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input_385101!A$2</f>
        <v>385101</v>
      </c>
      <c r="B271" s="57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2">
        <f ca="1">IFERROR(VLOOKUP(B271,input_385101!L:R,7,FALSE),VLOOKUP(tables_385101!C271,input_385101!A:H,8,FALSE))</f>
        <v>12387.2</v>
      </c>
      <c r="P271" s="43">
        <f t="shared" ca="1" si="14"/>
        <v>5.2760882528324392E-4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input_385101!A$2</f>
        <v>385101</v>
      </c>
      <c r="B272" s="7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2">
        <f ca="1">IFERROR(VLOOKUP(B272,input_385101!L:R,7,FALSE),VLOOKUP(tables_385101!C272,input_385101!A:H,8,FALSE))</f>
        <v>25714</v>
      </c>
      <c r="P272" s="43">
        <f t="shared" ca="1" si="14"/>
        <v>1.0952380952380953E-3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input_385101!A$2</f>
        <v>385101</v>
      </c>
      <c r="B273" s="7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2">
        <f ca="1">IFERROR(VLOOKUP(B273,input_385101!L:R,7,FALSE),VLOOKUP(tables_385101!C273,input_385101!A:H,8,FALSE))</f>
        <v>25714</v>
      </c>
      <c r="P273" s="43">
        <f t="shared" ca="1" si="14"/>
        <v>1.0952380952380953E-3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input_385101!A$2</f>
        <v>385101</v>
      </c>
      <c r="B274" s="7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2">
        <f ca="1">IFERROR(VLOOKUP(B274,input_385101!L:R,7,FALSE),VLOOKUP(tables_385101!C274,input_385101!A:H,8,FALSE))</f>
        <v>181545</v>
      </c>
      <c r="P274" s="43">
        <f t="shared" ca="1" si="14"/>
        <v>7.7325581395348841E-3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input_385101!A$2</f>
        <v>385101</v>
      </c>
      <c r="B275" s="7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2">
        <f ca="1">IFERROR(VLOOKUP(B275,input_385101!L:R,7,FALSE),VLOOKUP(tables_385101!C275,input_385101!A:H,8,FALSE))</f>
        <v>9555</v>
      </c>
      <c r="P275" s="43">
        <f t="shared" ca="1" si="14"/>
        <v>4.0697674418604653E-4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input_385101!A$2</f>
        <v>385101</v>
      </c>
      <c r="B276" s="7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2">
        <f ca="1">IFERROR(VLOOKUP(B276,input_385101!L:R,7,FALSE),VLOOKUP(tables_385101!C276,input_385101!A:H,8,FALSE))</f>
        <v>181545</v>
      </c>
      <c r="P276" s="43">
        <f t="shared" ca="1" si="14"/>
        <v>7.7325581395348841E-3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input_385101!A$2</f>
        <v>385101</v>
      </c>
      <c r="B277" s="7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2">
        <f ca="1">IFERROR(VLOOKUP(B277,input_385101!L:R,7,FALSE),VLOOKUP(tables_385101!C277,input_385101!A:H,8,FALSE))</f>
        <v>9555</v>
      </c>
      <c r="P277" s="43">
        <f t="shared" ca="1" si="14"/>
        <v>4.0697674418604653E-4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input_385101!A$2</f>
        <v>385101</v>
      </c>
      <c r="B278" s="7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2">
        <f ca="1">IFERROR(VLOOKUP(B278,input_385101!L:R,7,FALSE),VLOOKUP(tables_385101!C278,input_385101!A:H,8,FALSE))</f>
        <v>181545</v>
      </c>
      <c r="P278" s="43">
        <f t="shared" ca="1" si="14"/>
        <v>7.7325581395348841E-3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input_385101!A$2</f>
        <v>385101</v>
      </c>
      <c r="B279" s="7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2">
        <f ca="1">IFERROR(VLOOKUP(B279,input_385101!L:R,7,FALSE),VLOOKUP(tables_385101!C279,input_385101!A:H,8,FALSE))</f>
        <v>9555</v>
      </c>
      <c r="P279" s="43">
        <f t="shared" ca="1" si="14"/>
        <v>4.0697674418604653E-4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input_385101!A$2</f>
        <v>385101</v>
      </c>
      <c r="B280" s="7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2">
        <f ca="1">IFERROR(VLOOKUP(B280,input_385101!L:R,7,FALSE),VLOOKUP(tables_385101!C280,input_385101!A:H,8,FALSE))</f>
        <v>181545</v>
      </c>
      <c r="P280" s="43">
        <f t="shared" ca="1" si="14"/>
        <v>7.7325581395348841E-3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input_385101!A$2</f>
        <v>385101</v>
      </c>
      <c r="B281" s="7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2">
        <f ca="1">IFERROR(VLOOKUP(B281,input_385101!L:R,7,FALSE),VLOOKUP(tables_385101!C281,input_385101!A:H,8,FALSE))</f>
        <v>9555</v>
      </c>
      <c r="P281" s="43">
        <f t="shared" ca="1" si="14"/>
        <v>4.0697674418604653E-4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input_385101!A$2</f>
        <v>385101</v>
      </c>
      <c r="B282" s="7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2">
        <f ca="1">IFERROR(VLOOKUP(B282,input_385101!L:R,7,FALSE),VLOOKUP(tables_385101!C282,input_385101!A:H,8,FALSE))</f>
        <v>25714</v>
      </c>
      <c r="P282" s="43">
        <f t="shared" ca="1" si="14"/>
        <v>1.0952380952380953E-3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input_385101!A$2</f>
        <v>385101</v>
      </c>
      <c r="B283" s="7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2">
        <f ca="1">IFERROR(VLOOKUP(B283,input_385101!L:R,7,FALSE),VLOOKUP(tables_385101!C283,input_385101!A:H,8,FALSE))</f>
        <v>25714</v>
      </c>
      <c r="P283" s="43">
        <f t="shared" ca="1" si="14"/>
        <v>1.0952380952380953E-3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input_385101!A$2</f>
        <v>385101</v>
      </c>
      <c r="B284" s="80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IFERROR(VLOOKUP(B284,input_385101!L:R,7,FALSE),VLOOKUP(tables_385101!C284,input_385101!A:H,8,FALSE))</f>
        <v>25714</v>
      </c>
      <c r="P284" s="43">
        <f t="shared" ca="1" si="14"/>
        <v>1.0952380952380953E-3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input_385101!A$2</f>
        <v>385101</v>
      </c>
      <c r="B285" s="80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IFERROR(VLOOKUP(B285,input_385101!L:R,7,FALSE),VLOOKUP(tables_385101!C285,input_385101!A:H,8,FALSE))</f>
        <v>25714</v>
      </c>
      <c r="P285" s="43">
        <f t="shared" ca="1" si="14"/>
        <v>1.0952380952380953E-3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input_385101!A$2</f>
        <v>385101</v>
      </c>
      <c r="B286" s="80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IFERROR(VLOOKUP(B286,input_385101!L:R,7,FALSE),VLOOKUP(tables_385101!C286,input_385101!A:H,8,FALSE))</f>
        <v>181545</v>
      </c>
      <c r="P286" s="43">
        <f t="shared" ca="1" si="14"/>
        <v>7.7325581395348841E-3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input_385101!A$2</f>
        <v>385101</v>
      </c>
      <c r="B287" s="80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IFERROR(VLOOKUP(B287,input_385101!L:R,7,FALSE),VLOOKUP(tables_385101!C287,input_385101!A:H,8,FALSE))</f>
        <v>9555</v>
      </c>
      <c r="P287" s="43">
        <f t="shared" ca="1" si="14"/>
        <v>4.0697674418604653E-4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input_385101!A$2</f>
        <v>385101</v>
      </c>
      <c r="B288" s="80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IFERROR(VLOOKUP(B288,input_385101!L:R,7,FALSE),VLOOKUP(tables_385101!C288,input_385101!A:H,8,FALSE))</f>
        <v>181545</v>
      </c>
      <c r="P288" s="43">
        <f t="shared" ca="1" si="14"/>
        <v>7.7325581395348841E-3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input_385101!A$2</f>
        <v>385101</v>
      </c>
      <c r="B289" s="80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IFERROR(VLOOKUP(B289,input_385101!L:R,7,FALSE),VLOOKUP(tables_385101!C289,input_385101!A:H,8,FALSE))</f>
        <v>9555</v>
      </c>
      <c r="P289" s="43">
        <f t="shared" ca="1" si="14"/>
        <v>4.0697674418604653E-4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input_385101!A$2</f>
        <v>385101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2">
        <f ca="1">IFERROR(VLOOKUP(B290,input_385101!L:R,7,FALSE),VLOOKUP(tables_385101!C290,input_385101!A:H,8,FALSE))</f>
        <v>25714</v>
      </c>
      <c r="P290" s="43">
        <f t="shared" ca="1" si="14"/>
        <v>1.0952380952380953E-3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input_385101!A$2</f>
        <v>385101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2">
        <f ca="1">IFERROR(VLOOKUP(B291,input_385101!L:R,7,FALSE),VLOOKUP(tables_385101!C291,input_385101!A:H,8,FALSE))</f>
        <v>181545</v>
      </c>
      <c r="P291" s="43">
        <f t="shared" ca="1" si="14"/>
        <v>7.7325581395348841E-3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input_385101!A$2</f>
        <v>385101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2">
        <f ca="1">IFERROR(VLOOKUP(B292,input_385101!L:R,7,FALSE),VLOOKUP(tables_385101!C292,input_385101!A:H,8,FALSE))</f>
        <v>9555</v>
      </c>
      <c r="P292" s="43">
        <f t="shared" ca="1" si="14"/>
        <v>4.0697674418604653E-4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input_385101!A$2</f>
        <v>385101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2">
        <f ca="1">IFERROR(VLOOKUP(B293,input_385101!L:R,7,FALSE),VLOOKUP(tables_385101!C293,input_385101!A:H,8,FALSE))</f>
        <v>25714</v>
      </c>
      <c r="P293" s="43">
        <f t="shared" ca="1" si="14"/>
        <v>1.0952380952380953E-3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input_385101!A$2</f>
        <v>385101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IFERROR(VLOOKUP(B294,input_385101!L:R,7,FALSE),VLOOKUP(tables_385101!C294,input_385101!A:H,8,FALSE))</f>
        <v>25714</v>
      </c>
      <c r="P294" s="43">
        <f t="shared" ca="1" si="14"/>
        <v>1.0952380952380953E-3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input_385101!A$2</f>
        <v>385101</v>
      </c>
      <c r="B295" s="5">
        <v>1012</v>
      </c>
      <c r="C295" s="7" t="str">
        <f t="shared" ref="C295:C300" si="15">D295&amp;J295&amp;E295&amp;F295&amp;G295</f>
        <v>PremiumSS5R5only</v>
      </c>
      <c r="D295" s="7" t="str">
        <f t="shared" ref="D295:D300" si="16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2">
        <f ca="1">IFERROR(VLOOKUP(B295,input_385101!L:R,7,FALSE),VLOOKUP(tables_385101!C295,input_385101!A:H,8,FALSE))</f>
        <v>25714</v>
      </c>
      <c r="P295" s="43">
        <f t="shared" ca="1" si="14"/>
        <v>1.0952380952380953E-3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input_385101!A$2</f>
        <v>385101</v>
      </c>
      <c r="B296" s="5">
        <v>1014</v>
      </c>
      <c r="C296" s="7" t="str">
        <f t="shared" si="15"/>
        <v>PremiumSS5R5only</v>
      </c>
      <c r="D296" s="7" t="str">
        <f t="shared" si="16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2">
        <f ca="1">IFERROR(VLOOKUP(B296,input_385101!L:R,7,FALSE),VLOOKUP(tables_385101!C296,input_385101!A:H,8,FALSE))</f>
        <v>25714</v>
      </c>
      <c r="P296" s="43">
        <f t="shared" ca="1" si="14"/>
        <v>1.0952380952380953E-3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input_385101!A$2</f>
        <v>385101</v>
      </c>
      <c r="B297" s="5">
        <v>1016</v>
      </c>
      <c r="C297" s="7" t="str">
        <f t="shared" si="15"/>
        <v>Premium4R3less</v>
      </c>
      <c r="D297" s="7" t="str">
        <f t="shared" si="16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2">
        <f ca="1">IFERROR(VLOOKUP(B297,input_385101!L:R,7,FALSE),VLOOKUP(tables_385101!C297,input_385101!A:H,8,FALSE))</f>
        <v>181545</v>
      </c>
      <c r="P297" s="43">
        <f t="shared" ca="1" si="14"/>
        <v>7.7325581395348841E-3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input_385101!A$2</f>
        <v>385101</v>
      </c>
      <c r="B298" s="5">
        <v>1017</v>
      </c>
      <c r="C298" s="7" t="str">
        <f t="shared" si="15"/>
        <v>Premium5R3less</v>
      </c>
      <c r="D298" s="7" t="str">
        <f t="shared" si="16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2">
        <f ca="1">IFERROR(VLOOKUP(B298,input_385101!L:R,7,FALSE),VLOOKUP(tables_385101!C298,input_385101!A:H,8,FALSE))</f>
        <v>9555</v>
      </c>
      <c r="P298" s="43">
        <f t="shared" ca="1" si="14"/>
        <v>4.0697674418604653E-4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input_385101!A$2</f>
        <v>385101</v>
      </c>
      <c r="B299" s="5">
        <v>1018</v>
      </c>
      <c r="C299" s="7" t="str">
        <f t="shared" ref="C299" si="17">D299&amp;J299&amp;E299&amp;F299&amp;G299</f>
        <v>PremiumSS5R5only</v>
      </c>
      <c r="D299" s="7" t="str">
        <f t="shared" ref="D299" si="18">IF(I299="PremiumSS",I299,IF(I299="PremiumSSS",I299,IF(I299="PremiumW",I299,"Premium")))</f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2">
        <f ca="1">IFERROR(VLOOKUP(B299,input_385101!L:R,7,FALSE),VLOOKUP(tables_385101!C299,input_385101!A:H,8,FALSE))</f>
        <v>25714</v>
      </c>
      <c r="P299" s="43">
        <f t="shared" ca="1" si="14"/>
        <v>1.0952380952380953E-3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input_385101!A$2</f>
        <v>385101</v>
      </c>
      <c r="B300" s="5">
        <v>985</v>
      </c>
      <c r="C300" s="7" t="str">
        <f t="shared" si="15"/>
        <v>PremiumSS5R5only</v>
      </c>
      <c r="D300" s="7" t="str">
        <f t="shared" si="16"/>
        <v>PremiumSS</v>
      </c>
      <c r="E300" s="7" t="str">
        <f>IF(COUNTIF('R6追加前'!A:A,B300)=0,IF(I300="PremiumSS","R5only","R3less"),"")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エレン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balance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>IFERROR(VLOOKUP(B300,input_385101!L:R,7,FALSE),VLOOKUP(tables_385101!C300,input_385101!A:H,8,FALSE))</f>
        <v>93912</v>
      </c>
      <c r="P300" s="43">
        <f t="shared" ca="1" si="14"/>
        <v>4.0000000000000001E-3</v>
      </c>
      <c r="Q300" s="28">
        <v>80</v>
      </c>
      <c r="R300" s="28">
        <v>0</v>
      </c>
      <c r="S300" s="28">
        <v>0</v>
      </c>
      <c r="T300" s="28">
        <v>0</v>
      </c>
      <c r="U300" s="28">
        <v>0</v>
      </c>
      <c r="V300" s="28">
        <v>3</v>
      </c>
    </row>
    <row r="301" spans="1:22" ht="21" customHeight="1" x14ac:dyDescent="0.15">
      <c r="A301" s="2" t="str">
        <f ca="1">input_385101!A$2</f>
        <v>385101</v>
      </c>
      <c r="B301" s="5">
        <v>992</v>
      </c>
      <c r="C301" s="7" t="str">
        <f t="shared" ref="C301:C306" si="19">D301&amp;J301&amp;E301&amp;F301&amp;G301</f>
        <v>Premium4R3less</v>
      </c>
      <c r="D301" s="7" t="str">
        <f t="shared" ref="D301:D306" si="20">IF(I301="PremiumSS",I301,IF(I301="PremiumSSS",I301,IF(I301="PremiumW",I301,"Premium")))</f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ハンジ</v>
      </c>
      <c r="I301" s="7" t="str">
        <f>VLOOKUP(B301,[1]characters!$A:$J,10,FALSE)</f>
        <v>PremiumS</v>
      </c>
      <c r="J301" s="7">
        <f>VLOOKUP(B301,[1]characters!$A:$I,9,FALSE)</f>
        <v>4</v>
      </c>
      <c r="K301" s="7" t="str">
        <f>VLOOKUP(B301,[1]characters!$A:$H,8,FALSE)</f>
        <v>green</v>
      </c>
      <c r="L301" s="7" t="str">
        <f>VLOOKUP(B301,[1]characters!$A:$K,11,FALSE)</f>
        <v>technical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2">
        <f>IFERROR(VLOOKUP(B301,input_385101!L:R,7,FALSE),VLOOKUP(tables_385101!C301,input_385101!A:H,8,FALSE))</f>
        <v>1056510</v>
      </c>
      <c r="P301" s="43">
        <f t="shared" ca="1" si="14"/>
        <v>4.4999999999999998E-2</v>
      </c>
      <c r="Q301" s="28">
        <v>60</v>
      </c>
      <c r="R301" s="28">
        <v>0</v>
      </c>
      <c r="S301" s="28">
        <v>0</v>
      </c>
      <c r="T301" s="28">
        <v>0</v>
      </c>
      <c r="U301" s="28">
        <v>0</v>
      </c>
      <c r="V301" s="28">
        <v>3</v>
      </c>
    </row>
    <row r="302" spans="1:22" ht="21" customHeight="1" x14ac:dyDescent="0.15">
      <c r="A302" s="2" t="str">
        <f ca="1">input_385101!A$2</f>
        <v>385101</v>
      </c>
      <c r="B302" s="5">
        <v>993</v>
      </c>
      <c r="C302" s="7" t="str">
        <f t="shared" si="19"/>
        <v>Premium5R3less</v>
      </c>
      <c r="D302" s="7" t="str">
        <f t="shared" si="20"/>
        <v>Premium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巨躯への執着 ハンジ</v>
      </c>
      <c r="I302" s="7" t="str">
        <f>VLOOKUP(B302,[1]characters!$A:$J,10,FALSE)</f>
        <v>PremiumS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2">
        <f>IFERROR(VLOOKUP(B302,input_385101!L:R,7,FALSE),VLOOKUP(tables_385101!C302,input_385101!A:H,8,FALSE))</f>
        <v>117390</v>
      </c>
      <c r="P302" s="43">
        <f t="shared" ca="1" si="14"/>
        <v>5.0000000000000001E-3</v>
      </c>
      <c r="Q302" s="28">
        <v>80</v>
      </c>
      <c r="R302" s="28">
        <v>0</v>
      </c>
      <c r="S302" s="28">
        <v>0</v>
      </c>
      <c r="T302" s="28">
        <v>0</v>
      </c>
      <c r="U302" s="28">
        <v>0</v>
      </c>
      <c r="V302" s="28">
        <v>3</v>
      </c>
    </row>
    <row r="303" spans="1:22" ht="21" customHeight="1" x14ac:dyDescent="0.15">
      <c r="A303" s="2" t="str">
        <f ca="1">input_385101!A$2</f>
        <v>385101</v>
      </c>
      <c r="B303" s="5">
        <v>998</v>
      </c>
      <c r="C303" s="7" t="str">
        <f t="shared" si="19"/>
        <v>Premium4R3less</v>
      </c>
      <c r="D303" s="7" t="str">
        <f t="shared" si="20"/>
        <v>Premium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サシャ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hp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2">
        <f>IFERROR(VLOOKUP(B303,input_385101!L:R,7,FALSE),VLOOKUP(tables_385101!C303,input_385101!A:H,8,FALSE))</f>
        <v>2113020</v>
      </c>
      <c r="P303" s="43">
        <f t="shared" ca="1" si="14"/>
        <v>0.09</v>
      </c>
      <c r="Q303" s="28">
        <v>60</v>
      </c>
      <c r="R303" s="28">
        <v>0</v>
      </c>
      <c r="S303" s="28">
        <v>0</v>
      </c>
      <c r="T303" s="28">
        <v>0</v>
      </c>
      <c r="U303" s="28">
        <v>0</v>
      </c>
      <c r="V303" s="28">
        <v>3</v>
      </c>
    </row>
    <row r="304" spans="1:22" ht="21" customHeight="1" x14ac:dyDescent="0.15">
      <c r="A304" s="2" t="str">
        <f ca="1">input_385101!A$2</f>
        <v>385101</v>
      </c>
      <c r="B304" s="5">
        <v>999</v>
      </c>
      <c r="C304" s="7" t="str">
        <f t="shared" si="19"/>
        <v>Premium5R3less</v>
      </c>
      <c r="D304" s="7" t="str">
        <f t="shared" si="20"/>
        <v>Premium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無尽蔵の食猟 サシャ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hp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2">
        <f>IFERROR(VLOOKUP(B304,input_385101!L:R,7,FALSE),VLOOKUP(tables_385101!C304,input_385101!A:H,8,FALSE))</f>
        <v>234780</v>
      </c>
      <c r="P304" s="43">
        <f t="shared" ca="1" si="14"/>
        <v>0.01</v>
      </c>
      <c r="Q304" s="28">
        <v>80</v>
      </c>
      <c r="R304" s="28">
        <v>0</v>
      </c>
      <c r="S304" s="28">
        <v>0</v>
      </c>
      <c r="T304" s="28">
        <v>0</v>
      </c>
      <c r="U304" s="28">
        <v>0</v>
      </c>
      <c r="V304" s="28">
        <v>3</v>
      </c>
    </row>
    <row r="305" spans="1:22" ht="21" customHeight="1" x14ac:dyDescent="0.15">
      <c r="A305" s="2" t="str">
        <f ca="1">input_385101!A$2</f>
        <v>385101</v>
      </c>
      <c r="B305" s="5">
        <v>1002</v>
      </c>
      <c r="C305" s="7" t="str">
        <f t="shared" si="19"/>
        <v>Premium4R3less</v>
      </c>
      <c r="D305" s="7" t="str">
        <f t="shared" si="20"/>
        <v>Premium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ジャン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yellow</v>
      </c>
      <c r="L305" s="7" t="str">
        <f>VLOOKUP(B305,[1]characters!$A:$K,11,FALSE)</f>
        <v>balance</v>
      </c>
      <c r="M305" s="7" t="str">
        <f>VLOOKUP(B305,[1]characters!$A:$M,13,FALSE)</f>
        <v>human</v>
      </c>
      <c r="N305" s="7" t="str">
        <f>VLOOKUP(B305,[1]characters!$A:$G,7,FALSE)</f>
        <v>男性</v>
      </c>
      <c r="O305" s="42">
        <f>IFERROR(VLOOKUP(B305,input_385101!L:R,7,FALSE),VLOOKUP(tables_385101!C305,input_385101!A:H,8,FALSE))</f>
        <v>2113020</v>
      </c>
      <c r="P305" s="43">
        <f t="shared" ca="1" si="14"/>
        <v>0.09</v>
      </c>
      <c r="Q305" s="28">
        <v>60</v>
      </c>
      <c r="R305" s="28">
        <v>0</v>
      </c>
      <c r="S305" s="28">
        <v>0</v>
      </c>
      <c r="T305" s="28">
        <v>0</v>
      </c>
      <c r="U305" s="28">
        <v>0</v>
      </c>
      <c r="V305" s="28">
        <v>3</v>
      </c>
    </row>
    <row r="306" spans="1:22" ht="21" customHeight="1" x14ac:dyDescent="0.15">
      <c r="A306" s="2" t="str">
        <f ca="1">input_385101!A$2</f>
        <v>385101</v>
      </c>
      <c r="B306" s="5">
        <v>1003</v>
      </c>
      <c r="C306" s="7" t="str">
        <f t="shared" si="19"/>
        <v>Premium5R3less</v>
      </c>
      <c r="D306" s="7" t="str">
        <f t="shared" si="20"/>
        <v>Premium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真義の勇抱 ジャン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yellow</v>
      </c>
      <c r="L306" s="7" t="str">
        <f>VLOOKUP(B306,[1]characters!$A:$K,11,FALSE)</f>
        <v>balance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>IFERROR(VLOOKUP(B306,input_385101!L:R,7,FALSE),VLOOKUP(tables_385101!C306,input_385101!A:H,8,FALSE))</f>
        <v>234780</v>
      </c>
      <c r="P306" s="43">
        <f t="shared" ca="1" si="14"/>
        <v>0.01</v>
      </c>
      <c r="Q306" s="28">
        <v>80</v>
      </c>
      <c r="R306" s="28">
        <v>0</v>
      </c>
      <c r="S306" s="28">
        <v>0</v>
      </c>
      <c r="T306" s="28">
        <v>0</v>
      </c>
      <c r="U306" s="28">
        <v>0</v>
      </c>
      <c r="V306" s="28">
        <v>3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4"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5" t="s">
        <v>80</v>
      </c>
      <c r="B1" s="45"/>
      <c r="L1" s="35" t="s">
        <v>59</v>
      </c>
      <c r="M1" s="35"/>
      <c r="U1" t="s">
        <v>59</v>
      </c>
    </row>
    <row r="2" spans="1:22" x14ac:dyDescent="0.15">
      <c r="A2" t="str">
        <f ca="1">RIGHT(RIGHT(CELL("filename",A2),LEN(CELL("filename",A2))-FIND("]",CELL("filename",A2))),6)</f>
        <v>385103</v>
      </c>
      <c r="L2" s="30" t="s">
        <v>1</v>
      </c>
      <c r="M2" s="34" t="s">
        <v>63</v>
      </c>
      <c r="N2" s="30" t="s">
        <v>61</v>
      </c>
      <c r="O2" s="34" t="s">
        <v>64</v>
      </c>
      <c r="P2" s="34" t="s">
        <v>65</v>
      </c>
      <c r="Q2" s="34" t="s">
        <v>62</v>
      </c>
      <c r="R2" s="41" t="s">
        <v>71</v>
      </c>
      <c r="U2" s="30" t="s">
        <v>164</v>
      </c>
      <c r="V2" s="51">
        <f t="shared" ref="V2:V16" si="0">SUMIF(Q:Q,U2,N:N)</f>
        <v>0</v>
      </c>
    </row>
    <row r="3" spans="1:22" x14ac:dyDescent="0.15">
      <c r="H3" s="66" t="s">
        <v>185</v>
      </c>
      <c r="L3" s="5">
        <v>985</v>
      </c>
      <c r="M3" s="34" t="str">
        <f>VLOOKUP(L3,[1]characters!$A:$C,3,FALSE)</f>
        <v>エレン</v>
      </c>
      <c r="N3" s="60">
        <v>4.0000000000000001E-3</v>
      </c>
      <c r="O3" s="34">
        <f>VLOOKUP(L3,[1]characters!$A:$I,9,FALSE)</f>
        <v>5</v>
      </c>
      <c r="P3" s="34" t="str">
        <f>VLOOKUP(L3,[1]characters!$A:$J,10,FALSE)</f>
        <v>PremiumSS</v>
      </c>
      <c r="Q3" s="34" t="str">
        <f>VLOOKUP(L3,tables_385103!B:C,2,FALSE)</f>
        <v>PremiumSS5R5only</v>
      </c>
      <c r="R3" s="59">
        <f t="shared" ref="R3:R20" si="1">N3*A$36</f>
        <v>7224</v>
      </c>
      <c r="S3">
        <v>190</v>
      </c>
      <c r="U3" s="30" t="s">
        <v>165</v>
      </c>
      <c r="V3" s="51">
        <f t="shared" si="0"/>
        <v>0</v>
      </c>
    </row>
    <row r="4" spans="1:22" x14ac:dyDescent="0.15">
      <c r="A4" s="31" t="s">
        <v>51</v>
      </c>
      <c r="B4" s="31"/>
      <c r="D4" t="s">
        <v>174</v>
      </c>
      <c r="F4" t="s">
        <v>177</v>
      </c>
      <c r="H4" t="s">
        <v>183</v>
      </c>
      <c r="I4" t="s">
        <v>184</v>
      </c>
      <c r="L4" s="5">
        <v>992</v>
      </c>
      <c r="M4" s="34" t="str">
        <f>VLOOKUP(L4,[1]characters!$A:$C,3,FALSE)</f>
        <v>ハンジ</v>
      </c>
      <c r="N4" s="60">
        <v>4.4999999999999998E-2</v>
      </c>
      <c r="O4" s="34">
        <f>VLOOKUP(L4,[1]characters!$A:$I,9,FALSE)</f>
        <v>4</v>
      </c>
      <c r="P4" s="34" t="str">
        <f>VLOOKUP(L4,[1]characters!$A:$J,10,FALSE)</f>
        <v>PremiumS</v>
      </c>
      <c r="Q4" s="34" t="str">
        <f>VLOOKUP(L4,tables_385103!B:C,2,FALSE)</f>
        <v>Premium4R3less</v>
      </c>
      <c r="R4" s="59">
        <f t="shared" si="1"/>
        <v>81270</v>
      </c>
      <c r="S4">
        <v>191</v>
      </c>
      <c r="U4" s="30" t="s">
        <v>95</v>
      </c>
      <c r="V4" s="51">
        <f t="shared" si="0"/>
        <v>0</v>
      </c>
    </row>
    <row r="5" spans="1:22" x14ac:dyDescent="0.15">
      <c r="A5" s="30" t="s">
        <v>66</v>
      </c>
      <c r="B5" s="65">
        <v>0</v>
      </c>
      <c r="D5" t="s">
        <v>175</v>
      </c>
      <c r="E5" s="40">
        <f>(B11-H5)/(F5-I5)</f>
        <v>1.0952380952380953E-3</v>
      </c>
      <c r="F5">
        <f>(COUNTIF(tables_385103!C:C,input_385103!A28)+COUNTIF(tables_385103!C:C,input_385103!A29))</f>
        <v>43</v>
      </c>
      <c r="H5" s="77">
        <v>4.0000000000000001E-3</v>
      </c>
      <c r="I5" s="29">
        <v>1</v>
      </c>
      <c r="L5" s="5">
        <v>993</v>
      </c>
      <c r="M5" s="34" t="str">
        <f>VLOOKUP(L5,[1]characters!$A:$C,3,FALSE)</f>
        <v>巨躯への執着 ハンジ</v>
      </c>
      <c r="N5" s="60">
        <v>5.0000000000000001E-3</v>
      </c>
      <c r="O5" s="34">
        <f>VLOOKUP(L5,[1]characters!$A:$I,9,FALSE)</f>
        <v>5</v>
      </c>
      <c r="P5" s="34" t="str">
        <f>VLOOKUP(L5,[1]characters!$A:$J,10,FALSE)</f>
        <v>PremiumS</v>
      </c>
      <c r="Q5" s="34" t="str">
        <f>VLOOKUP(L5,tables_385103!B:C,2,FALSE)</f>
        <v>Premium5R3less</v>
      </c>
      <c r="R5" s="59">
        <f t="shared" si="1"/>
        <v>9030</v>
      </c>
      <c r="S5">
        <v>192</v>
      </c>
      <c r="U5" s="30" t="s">
        <v>96</v>
      </c>
      <c r="V5" s="51">
        <f t="shared" si="0"/>
        <v>0</v>
      </c>
    </row>
    <row r="6" spans="1:22" x14ac:dyDescent="0.15">
      <c r="A6" s="30" t="s">
        <v>67</v>
      </c>
      <c r="B6" s="65">
        <v>0.95</v>
      </c>
      <c r="D6" t="s">
        <v>176</v>
      </c>
      <c r="E6" s="69">
        <f>(B10-H6)/(F6-I6)</f>
        <v>8.1395348837209301E-3</v>
      </c>
      <c r="F6">
        <f>(COUNTIF(tables_385103!C:C,input_385103!A25)+COUNTIF(tables_385103!C:C,input_385103!A18)+COUNTIF(tables_385103!C:C,input_385103!A20)+COUNTIF(tables_385103!C:C,input_385103!A22))</f>
        <v>89</v>
      </c>
      <c r="H6" s="79">
        <v>0.25</v>
      </c>
      <c r="I6" s="29">
        <v>3</v>
      </c>
      <c r="L6" s="5">
        <v>998</v>
      </c>
      <c r="M6" s="34" t="str">
        <f>VLOOKUP(L6,[1]characters!$A:$C,3,FALSE)</f>
        <v>サシャ</v>
      </c>
      <c r="N6" s="60">
        <v>0.09</v>
      </c>
      <c r="O6" s="34">
        <f>VLOOKUP(L6,[1]characters!$A:$I,9,FALSE)</f>
        <v>4</v>
      </c>
      <c r="P6" s="34" t="str">
        <f>VLOOKUP(L6,[1]characters!$A:$J,10,FALSE)</f>
        <v>PremiumS</v>
      </c>
      <c r="Q6" s="34" t="str">
        <f>VLOOKUP(L6,tables_385103!B:C,2,FALSE)</f>
        <v>Premium4R3less</v>
      </c>
      <c r="R6" s="59">
        <f t="shared" si="1"/>
        <v>162540</v>
      </c>
      <c r="S6">
        <v>596</v>
      </c>
      <c r="U6" s="30" t="s">
        <v>97</v>
      </c>
      <c r="V6" s="51">
        <f t="shared" si="0"/>
        <v>0</v>
      </c>
    </row>
    <row r="7" spans="1:22" x14ac:dyDescent="0.15">
      <c r="A7" s="30" t="s">
        <v>68</v>
      </c>
      <c r="B7" s="65">
        <v>0.05</v>
      </c>
      <c r="L7" s="5">
        <v>999</v>
      </c>
      <c r="M7" s="34" t="str">
        <f>VLOOKUP(L7,[1]characters!$A:$C,3,FALSE)</f>
        <v>無尽蔵の食猟 サシャ</v>
      </c>
      <c r="N7" s="60">
        <v>0.01</v>
      </c>
      <c r="O7" s="34">
        <f>VLOOKUP(L7,[1]characters!$A:$I,9,FALSE)</f>
        <v>5</v>
      </c>
      <c r="P7" s="34" t="str">
        <f>VLOOKUP(L7,[1]characters!$A:$J,10,FALSE)</f>
        <v>PremiumS</v>
      </c>
      <c r="Q7" s="34" t="str">
        <f>VLOOKUP(L7,tables_385103!B:C,2,FALSE)</f>
        <v>Premium5R3less</v>
      </c>
      <c r="R7" s="59">
        <f t="shared" si="1"/>
        <v>18060</v>
      </c>
      <c r="S7">
        <v>597</v>
      </c>
      <c r="U7" s="30" t="s">
        <v>170</v>
      </c>
      <c r="V7" s="51">
        <f t="shared" si="0"/>
        <v>0.22500000000000001</v>
      </c>
    </row>
    <row r="8" spans="1:22" x14ac:dyDescent="0.15">
      <c r="A8" s="54"/>
      <c r="B8" s="64"/>
      <c r="E8" s="69"/>
      <c r="L8" s="5">
        <v>1002</v>
      </c>
      <c r="M8" s="34" t="str">
        <f>VLOOKUP(L8,[1]characters!$A:$C,3,FALSE)</f>
        <v>ジャン</v>
      </c>
      <c r="N8" s="60">
        <v>0.09</v>
      </c>
      <c r="O8" s="34">
        <f>VLOOKUP(L8,[1]characters!$A:$I,9,FALSE)</f>
        <v>4</v>
      </c>
      <c r="P8" s="34" t="str">
        <f>VLOOKUP(L8,[1]characters!$A:$J,10,FALSE)</f>
        <v>PremiumS</v>
      </c>
      <c r="Q8" s="34" t="str">
        <f>VLOOKUP(L8,tables_385103!B:C,2,FALSE)</f>
        <v>Premium4R3less</v>
      </c>
      <c r="R8" s="59">
        <f t="shared" si="1"/>
        <v>162540</v>
      </c>
      <c r="S8">
        <v>598</v>
      </c>
      <c r="U8" s="30" t="s">
        <v>171</v>
      </c>
      <c r="V8" s="51">
        <f t="shared" si="0"/>
        <v>2.5000000000000001E-2</v>
      </c>
    </row>
    <row r="9" spans="1:22" x14ac:dyDescent="0.15">
      <c r="A9" s="32" t="s">
        <v>52</v>
      </c>
      <c r="B9" s="32"/>
      <c r="L9" s="5">
        <v>1003</v>
      </c>
      <c r="M9" s="34" t="str">
        <f>VLOOKUP(L9,[1]characters!$A:$C,3,FALSE)</f>
        <v>真義の勇抱 ジャン</v>
      </c>
      <c r="N9" s="60">
        <v>0.01</v>
      </c>
      <c r="O9" s="34">
        <f>VLOOKUP(L9,[1]characters!$A:$I,9,FALSE)</f>
        <v>5</v>
      </c>
      <c r="P9" s="34" t="str">
        <f>VLOOKUP(L9,[1]characters!$A:$J,10,FALSE)</f>
        <v>PremiumS</v>
      </c>
      <c r="Q9" s="34" t="str">
        <f>VLOOKUP(L9,tables_385103!B:C,2,FALSE)</f>
        <v>Premium5R3less</v>
      </c>
      <c r="R9" s="59">
        <f t="shared" si="1"/>
        <v>18060</v>
      </c>
      <c r="S9">
        <v>390</v>
      </c>
      <c r="U9" s="30" t="s">
        <v>167</v>
      </c>
      <c r="V9" s="51">
        <f t="shared" si="0"/>
        <v>0</v>
      </c>
    </row>
    <row r="10" spans="1:22" x14ac:dyDescent="0.15">
      <c r="A10" s="30" t="s">
        <v>94</v>
      </c>
      <c r="B10" s="65">
        <f>1-B11-B12</f>
        <v>0.95</v>
      </c>
      <c r="C10" t="s">
        <v>182</v>
      </c>
      <c r="M10" s="34" t="e">
        <f>VLOOKUP(L10,[1]characters!$A:$C,3,FALSE)</f>
        <v>#N/A</v>
      </c>
      <c r="N10" s="60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VLOOKUP(L10,tables_385103!B:C,2,FALSE)</f>
        <v>#N/A</v>
      </c>
      <c r="R10" s="59">
        <f t="shared" si="1"/>
        <v>0</v>
      </c>
      <c r="S10">
        <v>391</v>
      </c>
      <c r="U10" s="30" t="s">
        <v>168</v>
      </c>
      <c r="V10" s="51">
        <f t="shared" si="0"/>
        <v>0</v>
      </c>
    </row>
    <row r="11" spans="1:22" x14ac:dyDescent="0.15">
      <c r="A11" s="30" t="s">
        <v>54</v>
      </c>
      <c r="B11" s="70">
        <v>0.05</v>
      </c>
      <c r="C11" t="s">
        <v>210</v>
      </c>
      <c r="M11" s="34" t="e">
        <f>VLOOKUP(L11,[1]characters!$A:$C,3,FALSE)</f>
        <v>#N/A</v>
      </c>
      <c r="N11" s="60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VLOOKUP(L11,tables_385103!B:C,2,FALSE)</f>
        <v>#N/A</v>
      </c>
      <c r="R11" s="59">
        <f t="shared" si="1"/>
        <v>0</v>
      </c>
      <c r="S11">
        <v>811</v>
      </c>
      <c r="U11" s="30" t="s">
        <v>169</v>
      </c>
      <c r="V11" s="51">
        <f t="shared" si="0"/>
        <v>0</v>
      </c>
    </row>
    <row r="12" spans="1:22" x14ac:dyDescent="0.15">
      <c r="A12" s="30" t="s">
        <v>53</v>
      </c>
      <c r="B12" s="65">
        <v>0</v>
      </c>
      <c r="M12" s="34" t="e">
        <f>VLOOKUP(L12,[1]characters!$A:$C,3,FALSE)</f>
        <v>#N/A</v>
      </c>
      <c r="N12" s="60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VLOOKUP(L12,tables_385103!B:C,2,FALSE)</f>
        <v>#N/A</v>
      </c>
      <c r="R12" s="59">
        <f t="shared" si="1"/>
        <v>0</v>
      </c>
      <c r="S12">
        <v>496</v>
      </c>
      <c r="U12" s="30" t="s">
        <v>104</v>
      </c>
      <c r="V12" s="51">
        <f t="shared" si="0"/>
        <v>0</v>
      </c>
    </row>
    <row r="13" spans="1:22" x14ac:dyDescent="0.15">
      <c r="M13" s="34" t="e">
        <f>VLOOKUP(L13,[1]characters!$A:$C,3,FALSE)</f>
        <v>#N/A</v>
      </c>
      <c r="N13" s="60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VLOOKUP(L13,tables_385103!B:C,2,FALSE)</f>
        <v>#N/A</v>
      </c>
      <c r="R13" s="59">
        <f t="shared" si="1"/>
        <v>0</v>
      </c>
      <c r="S13">
        <v>497</v>
      </c>
      <c r="U13" s="30" t="s">
        <v>105</v>
      </c>
      <c r="V13" s="51">
        <f t="shared" si="0"/>
        <v>0</v>
      </c>
    </row>
    <row r="14" spans="1:22" x14ac:dyDescent="0.15">
      <c r="M14" s="34" t="e">
        <f>VLOOKUP(L14,[1]characters!$A:$C,3,FALSE)</f>
        <v>#N/A</v>
      </c>
      <c r="N14" s="60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VLOOKUP(L14,tables_385103!B:C,2,FALSE)</f>
        <v>#N/A</v>
      </c>
      <c r="R14" s="59">
        <f t="shared" si="1"/>
        <v>0</v>
      </c>
      <c r="S14">
        <v>498</v>
      </c>
      <c r="U14" s="30" t="s">
        <v>173</v>
      </c>
      <c r="V14" s="51">
        <f t="shared" si="0"/>
        <v>4.0000000000000001E-3</v>
      </c>
    </row>
    <row r="15" spans="1:22" x14ac:dyDescent="0.15">
      <c r="A15" s="33" t="s">
        <v>55</v>
      </c>
      <c r="B15" s="33"/>
      <c r="C15" t="s">
        <v>81</v>
      </c>
      <c r="M15" s="34" t="e">
        <f>VLOOKUP(L15,[1]characters!$A:$C,3,FALSE)</f>
        <v>#N/A</v>
      </c>
      <c r="N15" s="60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VLOOKUP(L15,tables_385103!B:C,2,FALSE)</f>
        <v>#N/A</v>
      </c>
      <c r="R15" s="59">
        <f t="shared" si="1"/>
        <v>0</v>
      </c>
      <c r="S15">
        <v>395</v>
      </c>
      <c r="U15" s="30" t="s">
        <v>172</v>
      </c>
      <c r="V15" s="51">
        <f t="shared" si="0"/>
        <v>0</v>
      </c>
    </row>
    <row r="16" spans="1:22" x14ac:dyDescent="0.15">
      <c r="A16" s="30" t="s">
        <v>58</v>
      </c>
      <c r="B16" s="30" t="s">
        <v>166</v>
      </c>
      <c r="C16" s="34" t="s">
        <v>59</v>
      </c>
      <c r="D16" s="34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M16" s="34" t="e">
        <f>VLOOKUP(L16,[1]characters!$A:$C,3,FALSE)</f>
        <v>#N/A</v>
      </c>
      <c r="N16" s="60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VLOOKUP(L16,tables_385103!B:C,2,FALSE)</f>
        <v>#N/A</v>
      </c>
      <c r="R16" s="59">
        <f t="shared" si="1"/>
        <v>0</v>
      </c>
      <c r="S16">
        <v>396</v>
      </c>
      <c r="U16" s="30" t="s">
        <v>106</v>
      </c>
      <c r="V16" s="51">
        <f t="shared" si="0"/>
        <v>0</v>
      </c>
    </row>
    <row r="17" spans="1:19" x14ac:dyDescent="0.15">
      <c r="A17" s="30" t="s">
        <v>164</v>
      </c>
      <c r="B17" s="75">
        <f>B$5-B19-B24</f>
        <v>0</v>
      </c>
      <c r="C17" s="78">
        <f t="shared" ref="C17:C31" si="2">SUMIF(Q:Q,A17,N:N)</f>
        <v>0</v>
      </c>
      <c r="D17" s="67">
        <f t="shared" ref="D17:D32" si="3">B17-C17</f>
        <v>0</v>
      </c>
      <c r="E17">
        <f>COUNTIF(tables_385103!C:C,input_385103!A17)-COUNTIF(Q:Q,A17)</f>
        <v>20</v>
      </c>
      <c r="F17" s="40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4" t="e">
        <f>VLOOKUP(L17,[1]characters!$A:$C,3,FALSE)</f>
        <v>#N/A</v>
      </c>
      <c r="N17" s="60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VLOOKUP(L17,tables_385103!B:C,2,FALSE)</f>
        <v>#N/A</v>
      </c>
      <c r="R17" s="59">
        <f t="shared" si="1"/>
        <v>0</v>
      </c>
      <c r="S17">
        <v>397</v>
      </c>
    </row>
    <row r="18" spans="1:19" x14ac:dyDescent="0.15">
      <c r="A18" s="30" t="s">
        <v>165</v>
      </c>
      <c r="B18" s="53">
        <f>E$6*E18-B17</f>
        <v>0.16279069767441862</v>
      </c>
      <c r="C18" s="78">
        <f t="shared" si="2"/>
        <v>0</v>
      </c>
      <c r="D18" s="67">
        <f t="shared" si="3"/>
        <v>0.16279069767441862</v>
      </c>
      <c r="E18">
        <f>COUNTIF(tables_385103!C:C,input_385103!A18)-COUNTIF(Q:Q,A18)</f>
        <v>20</v>
      </c>
      <c r="F18" s="40">
        <f>IFERROR(B18/E18,0)</f>
        <v>8.1395348837209301E-3</v>
      </c>
      <c r="G18">
        <f t="shared" si="4"/>
        <v>294000</v>
      </c>
      <c r="H18">
        <f t="shared" si="5"/>
        <v>14700</v>
      </c>
      <c r="I18">
        <f t="shared" si="6"/>
        <v>0</v>
      </c>
      <c r="J18">
        <f t="shared" si="7"/>
        <v>1</v>
      </c>
      <c r="M18" s="34" t="e">
        <f>VLOOKUP(L18,[1]characters!$A:$C,3,FALSE)</f>
        <v>#N/A</v>
      </c>
      <c r="N18" s="60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VLOOKUP(L18,tables_385103!B:C,2,FALSE)</f>
        <v>#N/A</v>
      </c>
      <c r="R18" s="59">
        <f t="shared" si="1"/>
        <v>0</v>
      </c>
      <c r="S18">
        <v>324</v>
      </c>
    </row>
    <row r="19" spans="1:19" x14ac:dyDescent="0.15">
      <c r="A19" s="30" t="s">
        <v>95</v>
      </c>
      <c r="B19" s="53">
        <f>E$6*E19*B$5</f>
        <v>0</v>
      </c>
      <c r="C19" s="78">
        <f t="shared" si="2"/>
        <v>0</v>
      </c>
      <c r="D19" s="67">
        <f t="shared" si="3"/>
        <v>0</v>
      </c>
      <c r="E19">
        <f>COUNTIF(tables_385103!C:C,input_385103!A19)-COUNTIF(Q:Q,A19)</f>
        <v>52</v>
      </c>
      <c r="F19" s="40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4" t="e">
        <f>VLOOKUP(L19,[1]characters!$A:$C,3,FALSE)</f>
        <v>#N/A</v>
      </c>
      <c r="N19" s="60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VLOOKUP(L19,tables_385103!B:C,2,FALSE)</f>
        <v>#N/A</v>
      </c>
      <c r="R19" s="59">
        <f t="shared" si="1"/>
        <v>0</v>
      </c>
      <c r="S19">
        <v>325</v>
      </c>
    </row>
    <row r="20" spans="1:19" x14ac:dyDescent="0.15">
      <c r="A20" s="30" t="s">
        <v>96</v>
      </c>
      <c r="B20" s="75">
        <f>E20*E6-B21</f>
        <v>0.39582015503875967</v>
      </c>
      <c r="C20" s="78">
        <f t="shared" si="2"/>
        <v>0</v>
      </c>
      <c r="D20" s="67">
        <f t="shared" si="3"/>
        <v>0.39582015503875967</v>
      </c>
      <c r="E20">
        <f>COUNTIF(tables_385103!C:C,input_385103!A20)-COUNTIF(Q:Q,A20)</f>
        <v>52</v>
      </c>
      <c r="F20" s="40">
        <f t="shared" si="8"/>
        <v>7.6119260584376859E-3</v>
      </c>
      <c r="G20">
        <f t="shared" si="4"/>
        <v>714851.2</v>
      </c>
      <c r="H20">
        <f t="shared" si="5"/>
        <v>13747.13846</v>
      </c>
      <c r="I20">
        <f t="shared" si="6"/>
        <v>0.13846000000012282</v>
      </c>
      <c r="J20">
        <f t="shared" si="7"/>
        <v>7.2223024700210381</v>
      </c>
      <c r="M20" s="34" t="e">
        <f>VLOOKUP(L20,[1]characters!$A:$C,3,FALSE)</f>
        <v>#N/A</v>
      </c>
      <c r="N20" s="60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VLOOKUP(L20,tables_385103!B:C,2,FALSE)</f>
        <v>#N/A</v>
      </c>
      <c r="R20" s="59">
        <f t="shared" si="1"/>
        <v>0</v>
      </c>
      <c r="S20">
        <v>809</v>
      </c>
    </row>
    <row r="21" spans="1:19" x14ac:dyDescent="0.15">
      <c r="A21" s="30" t="s">
        <v>97</v>
      </c>
      <c r="B21" s="53">
        <f>B7-B23-B26-B28-B29</f>
        <v>2.7435658914728687E-2</v>
      </c>
      <c r="C21" s="78">
        <f t="shared" si="2"/>
        <v>0</v>
      </c>
      <c r="D21" s="67">
        <f t="shared" si="3"/>
        <v>2.7435658914728687E-2</v>
      </c>
      <c r="E21">
        <f>COUNTIF(tables_385103!C:C,input_385103!A21)-COUNTIF(Q:Q,A21)</f>
        <v>52</v>
      </c>
      <c r="F21" s="40">
        <f t="shared" si="8"/>
        <v>5.2760882528324403E-4</v>
      </c>
      <c r="G21">
        <f t="shared" si="4"/>
        <v>49548.80000000001</v>
      </c>
      <c r="H21">
        <f t="shared" si="5"/>
        <v>952.86153999999999</v>
      </c>
      <c r="I21">
        <f t="shared" si="6"/>
        <v>0.86153999999999087</v>
      </c>
      <c r="J21">
        <f t="shared" si="7"/>
        <v>1.1607122130139176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0" t="s">
        <v>170</v>
      </c>
      <c r="B22" s="68">
        <f>E$6*E22*B6</f>
        <v>7.7325581395348841E-2</v>
      </c>
      <c r="C22" s="78">
        <f t="shared" si="2"/>
        <v>0.22500000000000001</v>
      </c>
      <c r="D22" s="67">
        <f t="shared" si="3"/>
        <v>-0.14767441860465116</v>
      </c>
      <c r="E22">
        <f>COUNTIF(tables_385103!C:C,input_385103!A22)-COUNTIF(Q:Q,A22)</f>
        <v>10</v>
      </c>
      <c r="F22" s="40">
        <f t="shared" si="8"/>
        <v>7.7325581395348841E-3</v>
      </c>
      <c r="G22">
        <f t="shared" si="4"/>
        <v>139650</v>
      </c>
      <c r="H22">
        <f t="shared" si="5"/>
        <v>13965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0" t="s">
        <v>171</v>
      </c>
      <c r="B23" s="63">
        <f>E23*E6*B7</f>
        <v>4.0697674418604659E-3</v>
      </c>
      <c r="C23" s="78">
        <f t="shared" si="2"/>
        <v>2.5000000000000001E-2</v>
      </c>
      <c r="D23" s="67">
        <f t="shared" si="3"/>
        <v>-2.0930232558139535E-2</v>
      </c>
      <c r="E23">
        <f>COUNTIF(tables_385103!C:C,input_385103!A23)-COUNTIF(Q:Q,A23)</f>
        <v>10</v>
      </c>
      <c r="F23" s="40">
        <f t="shared" si="8"/>
        <v>4.0697674418604658E-4</v>
      </c>
      <c r="G23">
        <f t="shared" si="4"/>
        <v>7350.0000000000018</v>
      </c>
      <c r="H23">
        <f t="shared" si="5"/>
        <v>735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0" t="s">
        <v>167</v>
      </c>
      <c r="B24" s="53">
        <f>E$6*E24*B$5</f>
        <v>0</v>
      </c>
      <c r="C24" s="78">
        <f t="shared" si="2"/>
        <v>0</v>
      </c>
      <c r="D24" s="67">
        <f t="shared" si="3"/>
        <v>0</v>
      </c>
      <c r="E24">
        <f>COUNTIF(tables_385103!C:C,input_385103!A24)-COUNTIF(Q:Q,A24)</f>
        <v>4</v>
      </c>
      <c r="F24" s="40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0" t="s">
        <v>168</v>
      </c>
      <c r="B25" s="53">
        <f>E$6*B$6*E25</f>
        <v>3.0930232558139533E-2</v>
      </c>
      <c r="C25" s="78">
        <f t="shared" si="2"/>
        <v>0</v>
      </c>
      <c r="D25" s="67">
        <f t="shared" si="3"/>
        <v>3.0930232558139533E-2</v>
      </c>
      <c r="E25">
        <f>COUNTIF(tables_385103!C:C,input_385103!A25)-COUNTIF(Q:Q,A25)</f>
        <v>4</v>
      </c>
      <c r="F25" s="40">
        <f t="shared" si="8"/>
        <v>7.7325581395348833E-3</v>
      </c>
      <c r="G25">
        <f t="shared" si="4"/>
        <v>55860</v>
      </c>
      <c r="H25">
        <f t="shared" si="5"/>
        <v>13965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0" t="s">
        <v>169</v>
      </c>
      <c r="B26" s="53">
        <f>E$6*B$7*E26</f>
        <v>1.6279069767441861E-3</v>
      </c>
      <c r="C26" s="78">
        <f t="shared" si="2"/>
        <v>0</v>
      </c>
      <c r="D26" s="67">
        <f t="shared" si="3"/>
        <v>1.6279069767441861E-3</v>
      </c>
      <c r="E26">
        <f>COUNTIF(tables_385103!C:C,input_385103!A26)-COUNTIF(Q:Q,A26)</f>
        <v>4</v>
      </c>
      <c r="F26" s="40">
        <f t="shared" si="8"/>
        <v>4.0697674418604653E-4</v>
      </c>
      <c r="G26">
        <f t="shared" si="4"/>
        <v>2940</v>
      </c>
      <c r="H26">
        <f t="shared" si="5"/>
        <v>735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0" t="s">
        <v>104</v>
      </c>
      <c r="B27" s="53">
        <f>E$5*E27*(B$5+B$6)</f>
        <v>2.9133333333333334E-2</v>
      </c>
      <c r="C27" s="78">
        <f t="shared" si="2"/>
        <v>0</v>
      </c>
      <c r="D27" s="67">
        <f t="shared" si="3"/>
        <v>2.9133333333333334E-2</v>
      </c>
      <c r="E27">
        <f>COUNTIF(tables_385103!C:C,input_385103!A27)-COUNTIF(Q:Q,A27)</f>
        <v>28</v>
      </c>
      <c r="F27" s="40">
        <f>IFERROR(B27/E27,0)</f>
        <v>1.0404761904761904E-3</v>
      </c>
      <c r="G27">
        <f t="shared" si="4"/>
        <v>52614.8</v>
      </c>
      <c r="H27">
        <f t="shared" si="5"/>
        <v>1879.1</v>
      </c>
      <c r="I27">
        <f t="shared" si="6"/>
        <v>9.9999999999909051E-2</v>
      </c>
      <c r="J27">
        <f t="shared" si="7"/>
        <v>10.000000000009095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0" t="s">
        <v>105</v>
      </c>
      <c r="B28" s="53">
        <f>E$5*E28*B$7</f>
        <v>1.5333333333333336E-3</v>
      </c>
      <c r="C28" s="78">
        <f t="shared" si="2"/>
        <v>0</v>
      </c>
      <c r="D28" s="67">
        <f t="shared" si="3"/>
        <v>1.5333333333333336E-3</v>
      </c>
      <c r="E28">
        <f>COUNTIF(tables_385103!C:C,input_385103!A28)-COUNTIF(Q:Q,A28)</f>
        <v>28</v>
      </c>
      <c r="F28" s="40">
        <f t="shared" si="8"/>
        <v>5.4761904761904773E-5</v>
      </c>
      <c r="G28">
        <f t="shared" si="4"/>
        <v>2769.2000000000003</v>
      </c>
      <c r="H28">
        <f t="shared" si="5"/>
        <v>98.9</v>
      </c>
      <c r="I28">
        <f t="shared" si="6"/>
        <v>0.90000000000000568</v>
      </c>
      <c r="J28">
        <f t="shared" si="7"/>
        <v>1.1111111111111041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0" t="s">
        <v>173</v>
      </c>
      <c r="B29" s="53">
        <f>E$5*E29</f>
        <v>1.5333333333333334E-2</v>
      </c>
      <c r="C29" s="78">
        <f t="shared" si="2"/>
        <v>4.0000000000000001E-3</v>
      </c>
      <c r="D29" s="67">
        <f t="shared" si="3"/>
        <v>1.1333333333333334E-2</v>
      </c>
      <c r="E29">
        <f>COUNTIF(tables_385103!C:C,input_385103!A29)-COUNTIF(Q:Q,A29)</f>
        <v>14</v>
      </c>
      <c r="F29" s="40">
        <f t="shared" si="8"/>
        <v>1.0952380952380953E-3</v>
      </c>
      <c r="G29">
        <f t="shared" si="4"/>
        <v>27692</v>
      </c>
      <c r="H29">
        <f t="shared" si="5"/>
        <v>1978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0" t="s">
        <v>208</v>
      </c>
      <c r="B30" s="53">
        <v>0</v>
      </c>
      <c r="C30" s="78">
        <f t="shared" si="2"/>
        <v>0</v>
      </c>
      <c r="D30" s="67">
        <f t="shared" si="3"/>
        <v>0</v>
      </c>
      <c r="E30">
        <f>COUNTIF(tables_385103!C:C,input_385103!A30)-COUNTIF(Q:Q,A30)</f>
        <v>0</v>
      </c>
      <c r="F30" s="40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0" t="s">
        <v>209</v>
      </c>
      <c r="B31" s="53">
        <v>0</v>
      </c>
      <c r="C31" s="78">
        <f t="shared" si="2"/>
        <v>0</v>
      </c>
      <c r="D31" s="67">
        <f t="shared" si="3"/>
        <v>0</v>
      </c>
      <c r="E31">
        <f>COUNTIF(tables_385103!C:C,input_385103!A31)-COUNTIF(Q:Q,A31)</f>
        <v>0</v>
      </c>
      <c r="F31" s="40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6" t="s">
        <v>57</v>
      </c>
      <c r="B32" s="37">
        <f>SUM(B17:B31)</f>
        <v>0.74600000000000011</v>
      </c>
      <c r="C32" s="38">
        <f>SUM(C19:C31)</f>
        <v>0.254</v>
      </c>
      <c r="D32" s="39">
        <f t="shared" si="3"/>
        <v>0.4920000000000001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71</v>
      </c>
    </row>
    <row r="36" spans="1:7" x14ac:dyDescent="0.15">
      <c r="A36" s="29">
        <f>LCM(F5-I5,F6-I6)*1000</f>
        <v>1806000</v>
      </c>
    </row>
    <row r="38" spans="1:7" x14ac:dyDescent="0.15">
      <c r="A38" s="44" t="s">
        <v>74</v>
      </c>
    </row>
    <row r="39" spans="1:7" x14ac:dyDescent="0.15">
      <c r="A39" s="30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0" t="s">
        <v>101</v>
      </c>
      <c r="B40">
        <f ca="1">SUMIF(tables_385103!C:C,input_385103!A40,tables_385103!O:O)</f>
        <v>0</v>
      </c>
      <c r="C40" s="51">
        <f t="shared" ref="C40:C46" ca="1" si="9">B40/B$47</f>
        <v>0</v>
      </c>
      <c r="E40">
        <v>3</v>
      </c>
      <c r="F40">
        <f ca="1">SUMIF(tables_385103!J:J,input_385103!E40,tables_385103!O:O)</f>
        <v>0</v>
      </c>
      <c r="G40">
        <f ca="1">F40/A36</f>
        <v>0</v>
      </c>
    </row>
    <row r="41" spans="1:7" x14ac:dyDescent="0.15">
      <c r="A41" s="30" t="s">
        <v>102</v>
      </c>
      <c r="B41">
        <f ca="1">SUMIF(tables_385103!C:C,input_385103!A41,tables_385103!O:O)</f>
        <v>714851.19992000028</v>
      </c>
      <c r="C41" s="51">
        <f t="shared" ca="1" si="9"/>
        <v>0.87199945341699781</v>
      </c>
      <c r="E41">
        <v>4</v>
      </c>
      <c r="F41">
        <f ca="1">SUMIF(tables_385103!J:J,input_385103!E41,tables_385103!O:O)</f>
        <v>1663325.9999200013</v>
      </c>
      <c r="G41" s="103">
        <f ca="1">F41/A36</f>
        <v>0.92099999995570392</v>
      </c>
    </row>
    <row r="42" spans="1:7" x14ac:dyDescent="0.15">
      <c r="A42" s="30" t="s">
        <v>104</v>
      </c>
      <c r="B42">
        <f ca="1">SUMIF(tables_385103!C:C,input_385103!A42,tables_385103!O:O)</f>
        <v>52614.799999999974</v>
      </c>
      <c r="C42" s="51">
        <f t="shared" ca="1" si="9"/>
        <v>6.4181296536648641E-2</v>
      </c>
      <c r="E42">
        <v>5</v>
      </c>
      <c r="F42">
        <f ca="1">SUMIF(tables_385103!J:J,input_385103!E42,tables_385103!O:O)</f>
        <v>142674.00008000003</v>
      </c>
      <c r="G42" s="103">
        <f ca="1">F42/A36</f>
        <v>7.9000000044296803E-2</v>
      </c>
    </row>
    <row r="43" spans="1:7" x14ac:dyDescent="0.15">
      <c r="A43" s="30" t="s">
        <v>107</v>
      </c>
      <c r="B43">
        <f>SUMIF(tables_385103!C:C,input_385103!A43,tables_385103!O:O)</f>
        <v>0</v>
      </c>
      <c r="C43" s="51">
        <f t="shared" ca="1" si="9"/>
        <v>0</v>
      </c>
      <c r="F43" s="52"/>
    </row>
    <row r="44" spans="1:7" x14ac:dyDescent="0.15">
      <c r="A44" s="30" t="s">
        <v>103</v>
      </c>
      <c r="B44">
        <f ca="1">SUMIF(tables_385103!C:C,input_385103!A44,tables_385103!O:O)</f>
        <v>49548.800079999994</v>
      </c>
      <c r="C44" s="51">
        <f t="shared" ca="1" si="9"/>
        <v>6.0441287070740569E-2</v>
      </c>
      <c r="E44" t="s">
        <v>52</v>
      </c>
      <c r="F44" s="52"/>
    </row>
    <row r="45" spans="1:7" x14ac:dyDescent="0.15">
      <c r="A45" s="30" t="s">
        <v>105</v>
      </c>
      <c r="B45">
        <f ca="1">SUMIF(tables_385103!C:C,input_385103!A45,tables_385103!O:O)</f>
        <v>2769.2000000000012</v>
      </c>
      <c r="C45" s="51">
        <f t="shared" ca="1" si="9"/>
        <v>3.3779629756130894E-3</v>
      </c>
      <c r="E45" t="s">
        <v>178</v>
      </c>
      <c r="F45" s="52">
        <f ca="1">SUMIF(tables_385103!I:I,input_385103!E45,tables_385103!P:P)</f>
        <v>0.16279069767441864</v>
      </c>
    </row>
    <row r="46" spans="1:7" x14ac:dyDescent="0.15">
      <c r="A46" s="30" t="s">
        <v>106</v>
      </c>
      <c r="B46">
        <f>SUMIF(tables_385103!C:C,input_385103!A46,tables_385103!O:O)</f>
        <v>0</v>
      </c>
      <c r="C46" s="51">
        <f t="shared" ca="1" si="9"/>
        <v>0</v>
      </c>
      <c r="E46" t="s">
        <v>179</v>
      </c>
      <c r="F46" s="52">
        <f ca="1">SUMIF(tables_385103!I:I,input_385103!E46,tables_385103!P:P)</f>
        <v>0.16279069767441864</v>
      </c>
    </row>
    <row r="47" spans="1:7" x14ac:dyDescent="0.15">
      <c r="A47" s="36" t="s">
        <v>57</v>
      </c>
      <c r="B47">
        <f ca="1">SUM(B40:B46)</f>
        <v>819784.00000000012</v>
      </c>
      <c r="C47" s="52">
        <f ca="1">SUM(C40:C46)</f>
        <v>1</v>
      </c>
      <c r="E47" t="s">
        <v>180</v>
      </c>
      <c r="F47" s="52">
        <f ca="1">SUMIF(tables_385103!I:I,input_385103!E47,tables_385103!P:P)</f>
        <v>0.62441860465116295</v>
      </c>
    </row>
    <row r="48" spans="1:7" x14ac:dyDescent="0.15">
      <c r="E48" t="s">
        <v>181</v>
      </c>
      <c r="F48" s="52">
        <f ca="1">SUMIF(tables_385103!I:I,input_385103!E48,tables_385103!P:P)</f>
        <v>4.9999999999999961E-2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6"/>
  <sheetViews>
    <sheetView showGridLines="0" zoomScale="75" zoomScaleNormal="75" zoomScalePageLayoutView="75" workbookViewId="0">
      <pane ySplit="1" topLeftCell="A290" activePane="bottomLeft" state="frozen"/>
      <selection activeCell="B27" sqref="B27:B29"/>
      <selection pane="bottomLeft" activeCell="Q300" sqref="Q300:Q30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input_385103!A$2</f>
        <v>385103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IFERROR(VLOOKUP(B2,input_385103!L:R,7,FALSE),VLOOKUP(tables_385103!C2,input_385103!A:H,8,FALSE))</f>
        <v>0</v>
      </c>
      <c r="P2" s="43">
        <f ca="1">O2/SUM(O:O)</f>
        <v>0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input_385103!A$2</f>
        <v>385103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IFERROR(VLOOKUP(B3,input_385103!L:R,7,FALSE),VLOOKUP(tables_385103!C3,input_385103!A:H,8,FALSE))</f>
        <v>14700</v>
      </c>
      <c r="P3" s="43">
        <f t="shared" ref="P3:P66" ca="1" si="2">O3/SUM(O:O)</f>
        <v>8.1395348837209301E-3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input_385103!A$2</f>
        <v>385103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IFERROR(VLOOKUP(B4,input_385103!L:R,7,FALSE),VLOOKUP(tables_385103!C4,input_385103!A:H,8,FALSE))</f>
        <v>0</v>
      </c>
      <c r="P4" s="43">
        <f t="shared" ca="1" si="2"/>
        <v>0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input_385103!A$2</f>
        <v>385103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IFERROR(VLOOKUP(B5,input_385103!L:R,7,FALSE),VLOOKUP(tables_385103!C5,input_385103!A:H,8,FALSE))</f>
        <v>14700</v>
      </c>
      <c r="P5" s="43">
        <f t="shared" ca="1" si="2"/>
        <v>8.1395348837209301E-3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input_385103!A$2</f>
        <v>385103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IFERROR(VLOOKUP(B6,input_385103!L:R,7,FALSE),VLOOKUP(tables_385103!C6,input_385103!A:H,8,FALSE))</f>
        <v>0</v>
      </c>
      <c r="P6" s="43">
        <f t="shared" ca="1" si="2"/>
        <v>0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input_385103!A$2</f>
        <v>385103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IFERROR(VLOOKUP(B7,input_385103!L:R,7,FALSE),VLOOKUP(tables_385103!C7,input_385103!A:H,8,FALSE))</f>
        <v>14700</v>
      </c>
      <c r="P7" s="43">
        <f t="shared" ca="1" si="2"/>
        <v>8.1395348837209301E-3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input_385103!A$2</f>
        <v>385103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IFERROR(VLOOKUP(B8,input_385103!L:R,7,FALSE),VLOOKUP(tables_385103!C8,input_385103!A:H,8,FALSE))</f>
        <v>0</v>
      </c>
      <c r="P8" s="43">
        <f t="shared" ca="1" si="2"/>
        <v>0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input_385103!A$2</f>
        <v>385103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IFERROR(VLOOKUP(B9,input_385103!L:R,7,FALSE),VLOOKUP(tables_385103!C9,input_385103!A:H,8,FALSE))</f>
        <v>14700</v>
      </c>
      <c r="P9" s="43">
        <f t="shared" ca="1" si="2"/>
        <v>8.1395348837209301E-3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input_385103!A$2</f>
        <v>385103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IFERROR(VLOOKUP(B10,input_385103!L:R,7,FALSE),VLOOKUP(tables_385103!C10,input_385103!A:H,8,FALSE))</f>
        <v>0</v>
      </c>
      <c r="P10" s="43">
        <f t="shared" ca="1" si="2"/>
        <v>0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input_385103!A$2</f>
        <v>385103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IFERROR(VLOOKUP(B11,input_385103!L:R,7,FALSE),VLOOKUP(tables_385103!C11,input_385103!A:H,8,FALSE))</f>
        <v>14700</v>
      </c>
      <c r="P11" s="43">
        <f t="shared" ca="1" si="2"/>
        <v>8.1395348837209301E-3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input_385103!A$2</f>
        <v>385103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IFERROR(VLOOKUP(B12,input_385103!L:R,7,FALSE),VLOOKUP(tables_385103!C12,input_385103!A:H,8,FALSE))</f>
        <v>0</v>
      </c>
      <c r="P12" s="43">
        <f t="shared" ca="1" si="2"/>
        <v>0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input_385103!A$2</f>
        <v>385103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IFERROR(VLOOKUP(B13,input_385103!L:R,7,FALSE),VLOOKUP(tables_385103!C13,input_385103!A:H,8,FALSE))</f>
        <v>14700</v>
      </c>
      <c r="P13" s="43">
        <f t="shared" ca="1" si="2"/>
        <v>8.1395348837209301E-3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input_385103!A$2</f>
        <v>385103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IFERROR(VLOOKUP(B14,input_385103!L:R,7,FALSE),VLOOKUP(tables_385103!C14,input_385103!A:H,8,FALSE))</f>
        <v>0</v>
      </c>
      <c r="P14" s="43">
        <f t="shared" ca="1" si="2"/>
        <v>0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input_385103!A$2</f>
        <v>385103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IFERROR(VLOOKUP(B15,input_385103!L:R,7,FALSE),VLOOKUP(tables_385103!C15,input_385103!A:H,8,FALSE))</f>
        <v>14700</v>
      </c>
      <c r="P15" s="43">
        <f t="shared" ca="1" si="2"/>
        <v>8.1395348837209301E-3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input_385103!A$2</f>
        <v>385103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IFERROR(VLOOKUP(B16,input_385103!L:R,7,FALSE),VLOOKUP(tables_385103!C16,input_385103!A:H,8,FALSE))</f>
        <v>0</v>
      </c>
      <c r="P16" s="43">
        <f t="shared" ca="1" si="2"/>
        <v>0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input_385103!A$2</f>
        <v>385103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IFERROR(VLOOKUP(B17,input_385103!L:R,7,FALSE),VLOOKUP(tables_385103!C17,input_385103!A:H,8,FALSE))</f>
        <v>14700</v>
      </c>
      <c r="P17" s="43">
        <f t="shared" ca="1" si="2"/>
        <v>8.1395348837209301E-3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input_385103!A$2</f>
        <v>385103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IFERROR(VLOOKUP(B18,input_385103!L:R,7,FALSE),VLOOKUP(tables_385103!C18,input_385103!A:H,8,FALSE))</f>
        <v>0</v>
      </c>
      <c r="P18" s="43">
        <f t="shared" ca="1" si="2"/>
        <v>0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input_385103!A$2</f>
        <v>385103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IFERROR(VLOOKUP(B19,input_385103!L:R,7,FALSE),VLOOKUP(tables_385103!C19,input_385103!A:H,8,FALSE))</f>
        <v>14700</v>
      </c>
      <c r="P19" s="43">
        <f t="shared" ca="1" si="2"/>
        <v>8.1395348837209301E-3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input_385103!A$2</f>
        <v>385103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IFERROR(VLOOKUP(B20,input_385103!L:R,7,FALSE),VLOOKUP(tables_385103!C20,input_385103!A:H,8,FALSE))</f>
        <v>0</v>
      </c>
      <c r="P20" s="43">
        <f t="shared" ca="1" si="2"/>
        <v>0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input_385103!A$2</f>
        <v>385103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IFERROR(VLOOKUP(B21,input_385103!L:R,7,FALSE),VLOOKUP(tables_385103!C21,input_385103!A:H,8,FALSE))</f>
        <v>14700</v>
      </c>
      <c r="P21" s="43">
        <f t="shared" ca="1" si="2"/>
        <v>8.1395348837209301E-3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input_385103!A$2</f>
        <v>385103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IFERROR(VLOOKUP(B22,input_385103!L:R,7,FALSE),VLOOKUP(tables_385103!C22,input_385103!A:H,8,FALSE))</f>
        <v>0</v>
      </c>
      <c r="P22" s="43">
        <f t="shared" ca="1" si="2"/>
        <v>0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input_385103!A$2</f>
        <v>385103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IFERROR(VLOOKUP(B23,input_385103!L:R,7,FALSE),VLOOKUP(tables_385103!C23,input_385103!A:H,8,FALSE))</f>
        <v>14700</v>
      </c>
      <c r="P23" s="43">
        <f t="shared" ca="1" si="2"/>
        <v>8.1395348837209301E-3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input_385103!A$2</f>
        <v>385103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IFERROR(VLOOKUP(B24,input_385103!L:R,7,FALSE),VLOOKUP(tables_385103!C24,input_385103!A:H,8,FALSE))</f>
        <v>0</v>
      </c>
      <c r="P24" s="43">
        <f t="shared" ca="1" si="2"/>
        <v>0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input_385103!A$2</f>
        <v>385103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IFERROR(VLOOKUP(B25,input_385103!L:R,7,FALSE),VLOOKUP(tables_385103!C25,input_385103!A:H,8,FALSE))</f>
        <v>14700</v>
      </c>
      <c r="P25" s="43">
        <f t="shared" ca="1" si="2"/>
        <v>8.1395348837209301E-3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input_385103!A$2</f>
        <v>385103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IFERROR(VLOOKUP(B26,input_385103!L:R,7,FALSE),VLOOKUP(tables_385103!C26,input_385103!A:H,8,FALSE))</f>
        <v>0</v>
      </c>
      <c r="P26" s="43">
        <f t="shared" ca="1" si="2"/>
        <v>0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input_385103!A$2</f>
        <v>385103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IFERROR(VLOOKUP(B27,input_385103!L:R,7,FALSE),VLOOKUP(tables_385103!C27,input_385103!A:H,8,FALSE))</f>
        <v>14700</v>
      </c>
      <c r="P27" s="43">
        <f t="shared" ca="1" si="2"/>
        <v>8.1395348837209301E-3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input_385103!A$2</f>
        <v>385103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IFERROR(VLOOKUP(B28,input_385103!L:R,7,FALSE),VLOOKUP(tables_385103!C28,input_385103!A:H,8,FALSE))</f>
        <v>0</v>
      </c>
      <c r="P28" s="43">
        <f t="shared" ca="1" si="2"/>
        <v>0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input_385103!A$2</f>
        <v>385103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IFERROR(VLOOKUP(B29,input_385103!L:R,7,FALSE),VLOOKUP(tables_385103!C29,input_385103!A:H,8,FALSE))</f>
        <v>14700</v>
      </c>
      <c r="P29" s="43">
        <f t="shared" ca="1" si="2"/>
        <v>8.1395348837209301E-3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input_385103!A$2</f>
        <v>385103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IFERROR(VLOOKUP(B30,input_385103!L:R,7,FALSE),VLOOKUP(tables_385103!C30,input_385103!A:H,8,FALSE))</f>
        <v>0</v>
      </c>
      <c r="P30" s="43">
        <f t="shared" ca="1" si="2"/>
        <v>0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input_385103!A$2</f>
        <v>385103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IFERROR(VLOOKUP(B31,input_385103!L:R,7,FALSE),VLOOKUP(tables_385103!C31,input_385103!A:H,8,FALSE))</f>
        <v>14700</v>
      </c>
      <c r="P31" s="43">
        <f t="shared" ca="1" si="2"/>
        <v>8.1395348837209301E-3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input_385103!A$2</f>
        <v>385103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IFERROR(VLOOKUP(B32,input_385103!L:R,7,FALSE),VLOOKUP(tables_385103!C32,input_385103!A:H,8,FALSE))</f>
        <v>0</v>
      </c>
      <c r="P32" s="43">
        <f t="shared" ca="1" si="2"/>
        <v>0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input_385103!A$2</f>
        <v>385103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IFERROR(VLOOKUP(B33,input_385103!L:R,7,FALSE),VLOOKUP(tables_385103!C33,input_385103!A:H,8,FALSE))</f>
        <v>14700</v>
      </c>
      <c r="P33" s="43">
        <f t="shared" ca="1" si="2"/>
        <v>8.1395348837209301E-3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input_385103!A$2</f>
        <v>385103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IFERROR(VLOOKUP(B34,input_385103!L:R,7,FALSE),VLOOKUP(tables_385103!C34,input_385103!A:H,8,FALSE))</f>
        <v>0</v>
      </c>
      <c r="P34" s="43">
        <f t="shared" ca="1" si="2"/>
        <v>0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input_385103!A$2</f>
        <v>385103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IFERROR(VLOOKUP(B35,input_385103!L:R,7,FALSE),VLOOKUP(tables_385103!C35,input_385103!A:H,8,FALSE))</f>
        <v>14700</v>
      </c>
      <c r="P35" s="43">
        <f t="shared" ca="1" si="2"/>
        <v>8.1395348837209301E-3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input_385103!A$2</f>
        <v>385103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IFERROR(VLOOKUP(B36,input_385103!L:R,7,FALSE),VLOOKUP(tables_385103!C36,input_385103!A:H,8,FALSE))</f>
        <v>0</v>
      </c>
      <c r="P36" s="43">
        <f t="shared" ca="1" si="2"/>
        <v>0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input_385103!A$2</f>
        <v>385103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IFERROR(VLOOKUP(B37,input_385103!L:R,7,FALSE),VLOOKUP(tables_385103!C37,input_385103!A:H,8,FALSE))</f>
        <v>14700</v>
      </c>
      <c r="P37" s="43">
        <f t="shared" ca="1" si="2"/>
        <v>8.1395348837209301E-3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input_385103!A$2</f>
        <v>385103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IFERROR(VLOOKUP(B38,input_385103!L:R,7,FALSE),VLOOKUP(tables_385103!C38,input_385103!A:H,8,FALSE))</f>
        <v>0</v>
      </c>
      <c r="P38" s="43">
        <f t="shared" ca="1" si="2"/>
        <v>0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input_385103!A$2</f>
        <v>385103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IFERROR(VLOOKUP(B39,input_385103!L:R,7,FALSE),VLOOKUP(tables_385103!C39,input_385103!A:H,8,FALSE))</f>
        <v>14700</v>
      </c>
      <c r="P39" s="43">
        <f t="shared" ca="1" si="2"/>
        <v>8.1395348837209301E-3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input_385103!A$2</f>
        <v>385103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IFERROR(VLOOKUP(B40,input_385103!L:R,7,FALSE),VLOOKUP(tables_385103!C40,input_385103!A:H,8,FALSE))</f>
        <v>0</v>
      </c>
      <c r="P40" s="43">
        <f t="shared" ca="1" si="2"/>
        <v>0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input_385103!A$2</f>
        <v>385103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IFERROR(VLOOKUP(B41,input_385103!L:R,7,FALSE),VLOOKUP(tables_385103!C41,input_385103!A:H,8,FALSE))</f>
        <v>14700</v>
      </c>
      <c r="P41" s="43">
        <f t="shared" ca="1" si="2"/>
        <v>8.1395348837209301E-3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input_385103!A$2</f>
        <v>385103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IFERROR(VLOOKUP(B42,input_385103!L:R,7,FALSE),VLOOKUP(tables_385103!C42,input_385103!A:H,8,FALSE))</f>
        <v>0</v>
      </c>
      <c r="P42" s="43">
        <f t="shared" ca="1" si="2"/>
        <v>0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input_385103!A$2</f>
        <v>385103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IFERROR(VLOOKUP(B43,input_385103!L:R,7,FALSE),VLOOKUP(tables_385103!C43,input_385103!A:H,8,FALSE))</f>
        <v>13965</v>
      </c>
      <c r="P43" s="43">
        <f t="shared" ca="1" si="2"/>
        <v>7.7325581395348841E-3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input_385103!A$2</f>
        <v>385103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IFERROR(VLOOKUP(B44,input_385103!L:R,7,FALSE),VLOOKUP(tables_385103!C44,input_385103!A:H,8,FALSE))</f>
        <v>735</v>
      </c>
      <c r="P44" s="43">
        <f t="shared" ca="1" si="2"/>
        <v>4.0697674418604653E-4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input_385103!A$2</f>
        <v>385103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IFERROR(VLOOKUP(B45,input_385103!L:R,7,FALSE),VLOOKUP(tables_385103!C45,input_385103!A:H,8,FALSE))</f>
        <v>0</v>
      </c>
      <c r="P45" s="43">
        <f t="shared" ca="1" si="2"/>
        <v>0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input_385103!A$2</f>
        <v>385103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IFERROR(VLOOKUP(B46,input_385103!L:R,7,FALSE),VLOOKUP(tables_385103!C46,input_385103!A:H,8,FALSE))</f>
        <v>13965</v>
      </c>
      <c r="P46" s="43">
        <f t="shared" ca="1" si="2"/>
        <v>7.7325581395348841E-3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input_385103!A$2</f>
        <v>385103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IFERROR(VLOOKUP(B47,input_385103!L:R,7,FALSE),VLOOKUP(tables_385103!C47,input_385103!A:H,8,FALSE))</f>
        <v>735</v>
      </c>
      <c r="P47" s="43">
        <f t="shared" ca="1" si="2"/>
        <v>4.0697674418604653E-4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input_385103!A$2</f>
        <v>385103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IFERROR(VLOOKUP(B48,input_385103!L:R,7,FALSE),VLOOKUP(tables_385103!C48,input_385103!A:H,8,FALSE))</f>
        <v>0</v>
      </c>
      <c r="P48" s="43">
        <f t="shared" ca="1" si="2"/>
        <v>0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input_385103!A$2</f>
        <v>385103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IFERROR(VLOOKUP(B49,input_385103!L:R,7,FALSE),VLOOKUP(tables_385103!C49,input_385103!A:H,8,FALSE))</f>
        <v>13965</v>
      </c>
      <c r="P49" s="43">
        <f t="shared" ca="1" si="2"/>
        <v>7.7325581395348841E-3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input_385103!A$2</f>
        <v>385103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IFERROR(VLOOKUP(B50,input_385103!L:R,7,FALSE),VLOOKUP(tables_385103!C50,input_385103!A:H,8,FALSE))</f>
        <v>735</v>
      </c>
      <c r="P50" s="43">
        <f t="shared" ca="1" si="2"/>
        <v>4.0697674418604653E-4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input_385103!A$2</f>
        <v>385103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IFERROR(VLOOKUP(B51,input_385103!L:R,7,FALSE),VLOOKUP(tables_385103!C51,input_385103!A:H,8,FALSE))</f>
        <v>0</v>
      </c>
      <c r="P51" s="43">
        <f t="shared" ca="1" si="2"/>
        <v>0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input_385103!A$2</f>
        <v>385103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IFERROR(VLOOKUP(B52,input_385103!L:R,7,FALSE),VLOOKUP(tables_385103!C52,input_385103!A:H,8,FALSE))</f>
        <v>13747.13846</v>
      </c>
      <c r="P52" s="43">
        <f t="shared" ca="1" si="2"/>
        <v>7.6119260575858248E-3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input_385103!A$2</f>
        <v>385103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IFERROR(VLOOKUP(B53,input_385103!L:R,7,FALSE),VLOOKUP(tables_385103!C53,input_385103!A:H,8,FALSE))</f>
        <v>952.86153999999999</v>
      </c>
      <c r="P53" s="43">
        <f t="shared" ca="1" si="2"/>
        <v>5.2760882613510525E-4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input_385103!A$2</f>
        <v>385103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IFERROR(VLOOKUP(B54,input_385103!L:R,7,FALSE),VLOOKUP(tables_385103!C54,input_385103!A:H,8,FALSE))</f>
        <v>0</v>
      </c>
      <c r="P54" s="43">
        <f t="shared" ca="1" si="2"/>
        <v>0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input_385103!A$2</f>
        <v>385103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IFERROR(VLOOKUP(B55,input_385103!L:R,7,FALSE),VLOOKUP(tables_385103!C55,input_385103!A:H,8,FALSE))</f>
        <v>13747.13846</v>
      </c>
      <c r="P55" s="43">
        <f t="shared" ca="1" si="2"/>
        <v>7.6119260575858248E-3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input_385103!A$2</f>
        <v>385103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IFERROR(VLOOKUP(B56,input_385103!L:R,7,FALSE),VLOOKUP(tables_385103!C56,input_385103!A:H,8,FALSE))</f>
        <v>952.86153999999999</v>
      </c>
      <c r="P56" s="43">
        <f t="shared" ca="1" si="2"/>
        <v>5.2760882613510525E-4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input_385103!A$2</f>
        <v>385103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IFERROR(VLOOKUP(B57,input_385103!L:R,7,FALSE),VLOOKUP(tables_385103!C57,input_385103!A:H,8,FALSE))</f>
        <v>0</v>
      </c>
      <c r="P57" s="43">
        <f t="shared" ca="1" si="2"/>
        <v>0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input_385103!A$2</f>
        <v>385103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IFERROR(VLOOKUP(B58,input_385103!L:R,7,FALSE),VLOOKUP(tables_385103!C58,input_385103!A:H,8,FALSE))</f>
        <v>13747.13846</v>
      </c>
      <c r="P58" s="43">
        <f t="shared" ca="1" si="2"/>
        <v>7.6119260575858248E-3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input_385103!A$2</f>
        <v>385103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IFERROR(VLOOKUP(B59,input_385103!L:R,7,FALSE),VLOOKUP(tables_385103!C59,input_385103!A:H,8,FALSE))</f>
        <v>952.86153999999999</v>
      </c>
      <c r="P59" s="43">
        <f t="shared" ca="1" si="2"/>
        <v>5.2760882613510525E-4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input_385103!A$2</f>
        <v>385103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IFERROR(VLOOKUP(B60,input_385103!L:R,7,FALSE),VLOOKUP(tables_385103!C60,input_385103!A:H,8,FALSE))</f>
        <v>0</v>
      </c>
      <c r="P60" s="43">
        <f t="shared" ca="1" si="2"/>
        <v>0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input_385103!A$2</f>
        <v>385103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IFERROR(VLOOKUP(B61,input_385103!L:R,7,FALSE),VLOOKUP(tables_385103!C61,input_385103!A:H,8,FALSE))</f>
        <v>13747.13846</v>
      </c>
      <c r="P61" s="43">
        <f t="shared" ca="1" si="2"/>
        <v>7.6119260575858248E-3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input_385103!A$2</f>
        <v>385103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IFERROR(VLOOKUP(B62,input_385103!L:R,7,FALSE),VLOOKUP(tables_385103!C62,input_385103!A:H,8,FALSE))</f>
        <v>952.86153999999999</v>
      </c>
      <c r="P62" s="43">
        <f t="shared" ca="1" si="2"/>
        <v>5.2760882613510525E-4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input_385103!A$2</f>
        <v>385103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IFERROR(VLOOKUP(B63,input_385103!L:R,7,FALSE),VLOOKUP(tables_385103!C63,input_385103!A:H,8,FALSE))</f>
        <v>0</v>
      </c>
      <c r="P63" s="43">
        <f t="shared" ca="1" si="2"/>
        <v>0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input_385103!A$2</f>
        <v>385103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IFERROR(VLOOKUP(B64,input_385103!L:R,7,FALSE),VLOOKUP(tables_385103!C64,input_385103!A:H,8,FALSE))</f>
        <v>13747.13846</v>
      </c>
      <c r="P64" s="43">
        <f t="shared" ca="1" si="2"/>
        <v>7.6119260575858248E-3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input_385103!A$2</f>
        <v>385103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IFERROR(VLOOKUP(B65,input_385103!L:R,7,FALSE),VLOOKUP(tables_385103!C65,input_385103!A:H,8,FALSE))</f>
        <v>952.86153999999999</v>
      </c>
      <c r="P65" s="43">
        <f t="shared" ca="1" si="2"/>
        <v>5.2760882613510525E-4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input_385103!A$2</f>
        <v>385103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IFERROR(VLOOKUP(B66,input_385103!L:R,7,FALSE),VLOOKUP(tables_385103!C66,input_385103!A:H,8,FALSE))</f>
        <v>0</v>
      </c>
      <c r="P66" s="43">
        <f t="shared" ca="1" si="2"/>
        <v>0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input_385103!A$2</f>
        <v>385103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IFERROR(VLOOKUP(B67,input_385103!L:R,7,FALSE),VLOOKUP(tables_385103!C67,input_385103!A:H,8,FALSE))</f>
        <v>13747.13846</v>
      </c>
      <c r="P67" s="43">
        <f t="shared" ref="P67:P130" ca="1" si="5">O67/SUM(O:O)</f>
        <v>7.6119260575858248E-3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input_385103!A$2</f>
        <v>385103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IFERROR(VLOOKUP(B68,input_385103!L:R,7,FALSE),VLOOKUP(tables_385103!C68,input_385103!A:H,8,FALSE))</f>
        <v>952.86153999999999</v>
      </c>
      <c r="P68" s="43">
        <f t="shared" ca="1" si="5"/>
        <v>5.2760882613510525E-4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input_385103!A$2</f>
        <v>385103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IFERROR(VLOOKUP(B69,input_385103!L:R,7,FALSE),VLOOKUP(tables_385103!C69,input_385103!A:H,8,FALSE))</f>
        <v>0</v>
      </c>
      <c r="P69" s="43">
        <f t="shared" ca="1" si="5"/>
        <v>0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input_385103!A$2</f>
        <v>385103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IFERROR(VLOOKUP(B70,input_385103!L:R,7,FALSE),VLOOKUP(tables_385103!C70,input_385103!A:H,8,FALSE))</f>
        <v>13747.13846</v>
      </c>
      <c r="P70" s="43">
        <f t="shared" ca="1" si="5"/>
        <v>7.6119260575858248E-3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input_385103!A$2</f>
        <v>385103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IFERROR(VLOOKUP(B71,input_385103!L:R,7,FALSE),VLOOKUP(tables_385103!C71,input_385103!A:H,8,FALSE))</f>
        <v>952.86153999999999</v>
      </c>
      <c r="P71" s="43">
        <f t="shared" ca="1" si="5"/>
        <v>5.2760882613510525E-4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input_385103!A$2</f>
        <v>385103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IFERROR(VLOOKUP(B72,input_385103!L:R,7,FALSE),VLOOKUP(tables_385103!C72,input_385103!A:H,8,FALSE))</f>
        <v>0</v>
      </c>
      <c r="P72" s="43">
        <f t="shared" ca="1" si="5"/>
        <v>0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input_385103!A$2</f>
        <v>385103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IFERROR(VLOOKUP(B73,input_385103!L:R,7,FALSE),VLOOKUP(tables_385103!C73,input_385103!A:H,8,FALSE))</f>
        <v>13747.13846</v>
      </c>
      <c r="P73" s="43">
        <f t="shared" ca="1" si="5"/>
        <v>7.6119260575858248E-3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input_385103!A$2</f>
        <v>385103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IFERROR(VLOOKUP(B74,input_385103!L:R,7,FALSE),VLOOKUP(tables_385103!C74,input_385103!A:H,8,FALSE))</f>
        <v>952.86153999999999</v>
      </c>
      <c r="P74" s="43">
        <f t="shared" ca="1" si="5"/>
        <v>5.2760882613510525E-4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input_385103!A$2</f>
        <v>385103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IFERROR(VLOOKUP(B75,input_385103!L:R,7,FALSE),VLOOKUP(tables_385103!C75,input_385103!A:H,8,FALSE))</f>
        <v>0</v>
      </c>
      <c r="P75" s="43">
        <f t="shared" ca="1" si="5"/>
        <v>0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input_385103!A$2</f>
        <v>385103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IFERROR(VLOOKUP(B76,input_385103!L:R,7,FALSE),VLOOKUP(tables_385103!C76,input_385103!A:H,8,FALSE))</f>
        <v>13747.13846</v>
      </c>
      <c r="P76" s="43">
        <f t="shared" ca="1" si="5"/>
        <v>7.6119260575858248E-3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input_385103!A$2</f>
        <v>385103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IFERROR(VLOOKUP(B77,input_385103!L:R,7,FALSE),VLOOKUP(tables_385103!C77,input_385103!A:H,8,FALSE))</f>
        <v>952.86153999999999</v>
      </c>
      <c r="P77" s="43">
        <f t="shared" ca="1" si="5"/>
        <v>5.2760882613510525E-4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input_385103!A$2</f>
        <v>385103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IFERROR(VLOOKUP(B78,input_385103!L:R,7,FALSE),VLOOKUP(tables_385103!C78,input_385103!A:H,8,FALSE))</f>
        <v>0</v>
      </c>
      <c r="P78" s="43">
        <f t="shared" ca="1" si="5"/>
        <v>0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input_385103!A$2</f>
        <v>385103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IFERROR(VLOOKUP(B79,input_385103!L:R,7,FALSE),VLOOKUP(tables_385103!C79,input_385103!A:H,8,FALSE))</f>
        <v>13747.13846</v>
      </c>
      <c r="P79" s="43">
        <f t="shared" ca="1" si="5"/>
        <v>7.6119260575858248E-3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input_385103!A$2</f>
        <v>385103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IFERROR(VLOOKUP(B80,input_385103!L:R,7,FALSE),VLOOKUP(tables_385103!C80,input_385103!A:H,8,FALSE))</f>
        <v>952.86153999999999</v>
      </c>
      <c r="P80" s="43">
        <f t="shared" ca="1" si="5"/>
        <v>5.2760882613510525E-4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input_385103!A$2</f>
        <v>385103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IFERROR(VLOOKUP(B81,input_385103!L:R,7,FALSE),VLOOKUP(tables_385103!C81,input_385103!A:H,8,FALSE))</f>
        <v>0</v>
      </c>
      <c r="P81" s="43">
        <f t="shared" ca="1" si="5"/>
        <v>0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input_385103!A$2</f>
        <v>385103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IFERROR(VLOOKUP(B82,input_385103!L:R,7,FALSE),VLOOKUP(tables_385103!C82,input_385103!A:H,8,FALSE))</f>
        <v>13747.13846</v>
      </c>
      <c r="P82" s="43">
        <f t="shared" ca="1" si="5"/>
        <v>7.6119260575858248E-3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input_385103!A$2</f>
        <v>385103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IFERROR(VLOOKUP(B83,input_385103!L:R,7,FALSE),VLOOKUP(tables_385103!C83,input_385103!A:H,8,FALSE))</f>
        <v>952.86153999999999</v>
      </c>
      <c r="P83" s="43">
        <f t="shared" ca="1" si="5"/>
        <v>5.2760882613510525E-4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input_385103!A$2</f>
        <v>385103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IFERROR(VLOOKUP(B84,input_385103!L:R,7,FALSE),VLOOKUP(tables_385103!C84,input_385103!A:H,8,FALSE))</f>
        <v>0</v>
      </c>
      <c r="P84" s="43">
        <f t="shared" ca="1" si="5"/>
        <v>0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input_385103!A$2</f>
        <v>385103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IFERROR(VLOOKUP(B85,input_385103!L:R,7,FALSE),VLOOKUP(tables_385103!C85,input_385103!A:H,8,FALSE))</f>
        <v>13747.13846</v>
      </c>
      <c r="P85" s="43">
        <f t="shared" ca="1" si="5"/>
        <v>7.6119260575858248E-3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input_385103!A$2</f>
        <v>385103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IFERROR(VLOOKUP(B86,input_385103!L:R,7,FALSE),VLOOKUP(tables_385103!C86,input_385103!A:H,8,FALSE))</f>
        <v>952.86153999999999</v>
      </c>
      <c r="P86" s="43">
        <f t="shared" ca="1" si="5"/>
        <v>5.2760882613510525E-4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input_385103!A$2</f>
        <v>385103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IFERROR(VLOOKUP(B87,input_385103!L:R,7,FALSE),VLOOKUP(tables_385103!C87,input_385103!A:H,8,FALSE))</f>
        <v>0</v>
      </c>
      <c r="P87" s="43">
        <f t="shared" ca="1" si="5"/>
        <v>0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input_385103!A$2</f>
        <v>385103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IFERROR(VLOOKUP(B88,input_385103!L:R,7,FALSE),VLOOKUP(tables_385103!C88,input_385103!A:H,8,FALSE))</f>
        <v>13747.13846</v>
      </c>
      <c r="P88" s="43">
        <f t="shared" ca="1" si="5"/>
        <v>7.6119260575858248E-3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input_385103!A$2</f>
        <v>385103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IFERROR(VLOOKUP(B89,input_385103!L:R,7,FALSE),VLOOKUP(tables_385103!C89,input_385103!A:H,8,FALSE))</f>
        <v>952.86153999999999</v>
      </c>
      <c r="P89" s="43">
        <f t="shared" ca="1" si="5"/>
        <v>5.2760882613510525E-4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input_385103!A$2</f>
        <v>385103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IFERROR(VLOOKUP(B90,input_385103!L:R,7,FALSE),VLOOKUP(tables_385103!C90,input_385103!A:H,8,FALSE))</f>
        <v>0</v>
      </c>
      <c r="P90" s="43">
        <f t="shared" ca="1" si="5"/>
        <v>0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input_385103!A$2</f>
        <v>385103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IFERROR(VLOOKUP(B91,input_385103!L:R,7,FALSE),VLOOKUP(tables_385103!C91,input_385103!A:H,8,FALSE))</f>
        <v>13747.13846</v>
      </c>
      <c r="P91" s="43">
        <f t="shared" ca="1" si="5"/>
        <v>7.6119260575858248E-3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input_385103!A$2</f>
        <v>385103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IFERROR(VLOOKUP(B92,input_385103!L:R,7,FALSE),VLOOKUP(tables_385103!C92,input_385103!A:H,8,FALSE))</f>
        <v>952.86153999999999</v>
      </c>
      <c r="P92" s="43">
        <f t="shared" ca="1" si="5"/>
        <v>5.2760882613510525E-4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input_385103!A$2</f>
        <v>385103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IFERROR(VLOOKUP(B93,input_385103!L:R,7,FALSE),VLOOKUP(tables_385103!C93,input_385103!A:H,8,FALSE))</f>
        <v>0</v>
      </c>
      <c r="P93" s="43">
        <f t="shared" ca="1" si="5"/>
        <v>0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input_385103!A$2</f>
        <v>385103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IFERROR(VLOOKUP(B94,input_385103!L:R,7,FALSE),VLOOKUP(tables_385103!C94,input_385103!A:H,8,FALSE))</f>
        <v>13747.13846</v>
      </c>
      <c r="P94" s="43">
        <f t="shared" ca="1" si="5"/>
        <v>7.6119260575858248E-3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input_385103!A$2</f>
        <v>385103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IFERROR(VLOOKUP(B95,input_385103!L:R,7,FALSE),VLOOKUP(tables_385103!C95,input_385103!A:H,8,FALSE))</f>
        <v>952.86153999999999</v>
      </c>
      <c r="P95" s="43">
        <f t="shared" ca="1" si="5"/>
        <v>5.2760882613510525E-4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input_385103!A$2</f>
        <v>385103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IFERROR(VLOOKUP(B96,input_385103!L:R,7,FALSE),VLOOKUP(tables_385103!C96,input_385103!A:H,8,FALSE))</f>
        <v>0</v>
      </c>
      <c r="P96" s="43">
        <f t="shared" ca="1" si="5"/>
        <v>0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input_385103!A$2</f>
        <v>385103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IFERROR(VLOOKUP(B97,input_385103!L:R,7,FALSE),VLOOKUP(tables_385103!C97,input_385103!A:H,8,FALSE))</f>
        <v>13747.13846</v>
      </c>
      <c r="P97" s="43">
        <f t="shared" ca="1" si="5"/>
        <v>7.6119260575858248E-3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input_385103!A$2</f>
        <v>385103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IFERROR(VLOOKUP(B98,input_385103!L:R,7,FALSE),VLOOKUP(tables_385103!C98,input_385103!A:H,8,FALSE))</f>
        <v>952.86153999999999</v>
      </c>
      <c r="P98" s="43">
        <f t="shared" ca="1" si="5"/>
        <v>5.2760882613510525E-4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input_385103!A$2</f>
        <v>385103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IFERROR(VLOOKUP(B99,input_385103!L:R,7,FALSE),VLOOKUP(tables_385103!C99,input_385103!A:H,8,FALSE))</f>
        <v>0</v>
      </c>
      <c r="P99" s="43">
        <f t="shared" ca="1" si="5"/>
        <v>0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input_385103!A$2</f>
        <v>385103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IFERROR(VLOOKUP(B100,input_385103!L:R,7,FALSE),VLOOKUP(tables_385103!C100,input_385103!A:H,8,FALSE))</f>
        <v>13747.13846</v>
      </c>
      <c r="P100" s="43">
        <f t="shared" ca="1" si="5"/>
        <v>7.6119260575858248E-3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input_385103!A$2</f>
        <v>385103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IFERROR(VLOOKUP(B101,input_385103!L:R,7,FALSE),VLOOKUP(tables_385103!C101,input_385103!A:H,8,FALSE))</f>
        <v>952.86153999999999</v>
      </c>
      <c r="P101" s="43">
        <f t="shared" ca="1" si="5"/>
        <v>5.2760882613510525E-4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input_385103!A$2</f>
        <v>385103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IFERROR(VLOOKUP(B102,input_385103!L:R,7,FALSE),VLOOKUP(tables_385103!C102,input_385103!A:H,8,FALSE))</f>
        <v>0</v>
      </c>
      <c r="P102" s="43">
        <f t="shared" ca="1" si="5"/>
        <v>0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input_385103!A$2</f>
        <v>385103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IFERROR(VLOOKUP(B103,input_385103!L:R,7,FALSE),VLOOKUP(tables_385103!C103,input_385103!A:H,8,FALSE))</f>
        <v>13747.13846</v>
      </c>
      <c r="P103" s="43">
        <f t="shared" ca="1" si="5"/>
        <v>7.6119260575858248E-3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input_385103!A$2</f>
        <v>385103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IFERROR(VLOOKUP(B104,input_385103!L:R,7,FALSE),VLOOKUP(tables_385103!C104,input_385103!A:H,8,FALSE))</f>
        <v>952.86153999999999</v>
      </c>
      <c r="P104" s="43">
        <f t="shared" ca="1" si="5"/>
        <v>5.2760882613510525E-4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input_385103!A$2</f>
        <v>385103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IFERROR(VLOOKUP(B105,input_385103!L:R,7,FALSE),VLOOKUP(tables_385103!C105,input_385103!A:H,8,FALSE))</f>
        <v>0</v>
      </c>
      <c r="P105" s="43">
        <f t="shared" ca="1" si="5"/>
        <v>0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input_385103!A$2</f>
        <v>385103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IFERROR(VLOOKUP(B106,input_385103!L:R,7,FALSE),VLOOKUP(tables_385103!C106,input_385103!A:H,8,FALSE))</f>
        <v>13747.13846</v>
      </c>
      <c r="P106" s="43">
        <f t="shared" ca="1" si="5"/>
        <v>7.6119260575858248E-3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input_385103!A$2</f>
        <v>385103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IFERROR(VLOOKUP(B107,input_385103!L:R,7,FALSE),VLOOKUP(tables_385103!C107,input_385103!A:H,8,FALSE))</f>
        <v>952.86153999999999</v>
      </c>
      <c r="P107" s="43">
        <f t="shared" ca="1" si="5"/>
        <v>5.2760882613510525E-4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input_385103!A$2</f>
        <v>385103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IFERROR(VLOOKUP(B108,input_385103!L:R,7,FALSE),VLOOKUP(tables_385103!C108,input_385103!A:H,8,FALSE))</f>
        <v>0</v>
      </c>
      <c r="P108" s="43">
        <f t="shared" ca="1" si="5"/>
        <v>0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input_385103!A$2</f>
        <v>385103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IFERROR(VLOOKUP(B109,input_385103!L:R,7,FALSE),VLOOKUP(tables_385103!C109,input_385103!A:H,8,FALSE))</f>
        <v>13747.13846</v>
      </c>
      <c r="P109" s="43">
        <f t="shared" ca="1" si="5"/>
        <v>7.6119260575858248E-3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input_385103!A$2</f>
        <v>385103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IFERROR(VLOOKUP(B110,input_385103!L:R,7,FALSE),VLOOKUP(tables_385103!C110,input_385103!A:H,8,FALSE))</f>
        <v>952.86153999999999</v>
      </c>
      <c r="P110" s="43">
        <f t="shared" ca="1" si="5"/>
        <v>5.2760882613510525E-4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input_385103!A$2</f>
        <v>385103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IFERROR(VLOOKUP(B111,input_385103!L:R,7,FALSE),VLOOKUP(tables_385103!C111,input_385103!A:H,8,FALSE))</f>
        <v>0</v>
      </c>
      <c r="P111" s="43">
        <f t="shared" ca="1" si="5"/>
        <v>0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input_385103!A$2</f>
        <v>385103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IFERROR(VLOOKUP(B112,input_385103!L:R,7,FALSE),VLOOKUP(tables_385103!C112,input_385103!A:H,8,FALSE))</f>
        <v>13965</v>
      </c>
      <c r="P112" s="43">
        <f t="shared" ca="1" si="5"/>
        <v>7.7325581395348841E-3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input_385103!A$2</f>
        <v>385103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IFERROR(VLOOKUP(B113,input_385103!L:R,7,FALSE),VLOOKUP(tables_385103!C113,input_385103!A:H,8,FALSE))</f>
        <v>735</v>
      </c>
      <c r="P113" s="43">
        <f t="shared" ca="1" si="5"/>
        <v>4.0697674418604653E-4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input_385103!A$2</f>
        <v>385103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IFERROR(VLOOKUP(B114,input_385103!L:R,7,FALSE),VLOOKUP(tables_385103!C114,input_385103!A:H,8,FALSE))</f>
        <v>0</v>
      </c>
      <c r="P114" s="43">
        <f t="shared" ca="1" si="5"/>
        <v>0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input_385103!A$2</f>
        <v>385103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IFERROR(VLOOKUP(B115,input_385103!L:R,7,FALSE),VLOOKUP(tables_385103!C115,input_385103!A:H,8,FALSE))</f>
        <v>13747.13846</v>
      </c>
      <c r="P115" s="43">
        <f t="shared" ca="1" si="5"/>
        <v>7.6119260575858248E-3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input_385103!A$2</f>
        <v>385103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IFERROR(VLOOKUP(B116,input_385103!L:R,7,FALSE),VLOOKUP(tables_385103!C116,input_385103!A:H,8,FALSE))</f>
        <v>952.86153999999999</v>
      </c>
      <c r="P116" s="43">
        <f t="shared" ca="1" si="5"/>
        <v>5.2760882613510525E-4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input_385103!A$2</f>
        <v>385103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IFERROR(VLOOKUP(B117,input_385103!L:R,7,FALSE),VLOOKUP(tables_385103!C117,input_385103!A:H,8,FALSE))</f>
        <v>0</v>
      </c>
      <c r="P117" s="43">
        <f t="shared" ca="1" si="5"/>
        <v>0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input_385103!A$2</f>
        <v>385103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IFERROR(VLOOKUP(B118,input_385103!L:R,7,FALSE),VLOOKUP(tables_385103!C118,input_385103!A:H,8,FALSE))</f>
        <v>13747.13846</v>
      </c>
      <c r="P118" s="43">
        <f t="shared" ca="1" si="5"/>
        <v>7.6119260575858248E-3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input_385103!A$2</f>
        <v>385103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IFERROR(VLOOKUP(B119,input_385103!L:R,7,FALSE),VLOOKUP(tables_385103!C119,input_385103!A:H,8,FALSE))</f>
        <v>952.86153999999999</v>
      </c>
      <c r="P119" s="43">
        <f t="shared" ca="1" si="5"/>
        <v>5.2760882613510525E-4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input_385103!A$2</f>
        <v>385103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IFERROR(VLOOKUP(B120,input_385103!L:R,7,FALSE),VLOOKUP(tables_385103!C120,input_385103!A:H,8,FALSE))</f>
        <v>0</v>
      </c>
      <c r="P120" s="43">
        <f t="shared" ca="1" si="5"/>
        <v>0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input_385103!A$2</f>
        <v>385103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IFERROR(VLOOKUP(B121,input_385103!L:R,7,FALSE),VLOOKUP(tables_385103!C121,input_385103!A:H,8,FALSE))</f>
        <v>13747.13846</v>
      </c>
      <c r="P121" s="43">
        <f t="shared" ca="1" si="5"/>
        <v>7.6119260575858248E-3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input_385103!A$2</f>
        <v>385103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IFERROR(VLOOKUP(B122,input_385103!L:R,7,FALSE),VLOOKUP(tables_385103!C122,input_385103!A:H,8,FALSE))</f>
        <v>952.86153999999999</v>
      </c>
      <c r="P122" s="43">
        <f t="shared" ca="1" si="5"/>
        <v>5.2760882613510525E-4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input_385103!A$2</f>
        <v>385103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IFERROR(VLOOKUP(B123,input_385103!L:R,7,FALSE),VLOOKUP(tables_385103!C123,input_385103!A:H,8,FALSE))</f>
        <v>0</v>
      </c>
      <c r="P123" s="43">
        <f t="shared" ca="1" si="5"/>
        <v>0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input_385103!A$2</f>
        <v>385103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IFERROR(VLOOKUP(B124,input_385103!L:R,7,FALSE),VLOOKUP(tables_385103!C124,input_385103!A:H,8,FALSE))</f>
        <v>13747.13846</v>
      </c>
      <c r="P124" s="43">
        <f t="shared" ca="1" si="5"/>
        <v>7.6119260575858248E-3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input_385103!A$2</f>
        <v>385103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IFERROR(VLOOKUP(B125,input_385103!L:R,7,FALSE),VLOOKUP(tables_385103!C125,input_385103!A:H,8,FALSE))</f>
        <v>952.86153999999999</v>
      </c>
      <c r="P125" s="43">
        <f t="shared" ca="1" si="5"/>
        <v>5.2760882613510525E-4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input_385103!A$2</f>
        <v>385103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IFERROR(VLOOKUP(B126,input_385103!L:R,7,FALSE),VLOOKUP(tables_385103!C126,input_385103!A:H,8,FALSE))</f>
        <v>0</v>
      </c>
      <c r="P126" s="43">
        <f t="shared" ca="1" si="5"/>
        <v>0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input_385103!A$2</f>
        <v>385103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IFERROR(VLOOKUP(B127,input_385103!L:R,7,FALSE),VLOOKUP(tables_385103!C127,input_385103!A:H,8,FALSE))</f>
        <v>13747.13846</v>
      </c>
      <c r="P127" s="43">
        <f t="shared" ca="1" si="5"/>
        <v>7.6119260575858248E-3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input_385103!A$2</f>
        <v>385103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IFERROR(VLOOKUP(B128,input_385103!L:R,7,FALSE),VLOOKUP(tables_385103!C128,input_385103!A:H,8,FALSE))</f>
        <v>952.86153999999999</v>
      </c>
      <c r="P128" s="43">
        <f t="shared" ca="1" si="5"/>
        <v>5.2760882613510525E-4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input_385103!A$2</f>
        <v>385103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IFERROR(VLOOKUP(B129,input_385103!L:R,7,FALSE),VLOOKUP(tables_385103!C129,input_385103!A:H,8,FALSE))</f>
        <v>0</v>
      </c>
      <c r="P129" s="43">
        <f t="shared" ca="1" si="5"/>
        <v>0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input_385103!A$2</f>
        <v>385103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IFERROR(VLOOKUP(B130,input_385103!L:R,7,FALSE),VLOOKUP(tables_385103!C130,input_385103!A:H,8,FALSE))</f>
        <v>13747.13846</v>
      </c>
      <c r="P130" s="43">
        <f t="shared" ca="1" si="5"/>
        <v>7.6119260575858248E-3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input_385103!A$2</f>
        <v>385103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IFERROR(VLOOKUP(B131,input_385103!L:R,7,FALSE),VLOOKUP(tables_385103!C131,input_385103!A:H,8,FALSE))</f>
        <v>952.86153999999999</v>
      </c>
      <c r="P131" s="43">
        <f t="shared" ref="P131:P194" ca="1" si="8">O131/SUM(O:O)</f>
        <v>5.2760882613510525E-4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input_385103!A$2</f>
        <v>385103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IFERROR(VLOOKUP(B132,input_385103!L:R,7,FALSE),VLOOKUP(tables_385103!C132,input_385103!A:H,8,FALSE))</f>
        <v>0</v>
      </c>
      <c r="P132" s="43">
        <f t="shared" ca="1" si="8"/>
        <v>0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input_385103!A$2</f>
        <v>385103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IFERROR(VLOOKUP(B133,input_385103!L:R,7,FALSE),VLOOKUP(tables_385103!C133,input_385103!A:H,8,FALSE))</f>
        <v>13747.13846</v>
      </c>
      <c r="P133" s="43">
        <f t="shared" ca="1" si="8"/>
        <v>7.6119260575858248E-3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input_385103!A$2</f>
        <v>385103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IFERROR(VLOOKUP(B134,input_385103!L:R,7,FALSE),VLOOKUP(tables_385103!C134,input_385103!A:H,8,FALSE))</f>
        <v>952.86153999999999</v>
      </c>
      <c r="P134" s="43">
        <f t="shared" ca="1" si="8"/>
        <v>5.2760882613510525E-4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input_385103!A$2</f>
        <v>385103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IFERROR(VLOOKUP(B135,input_385103!L:R,7,FALSE),VLOOKUP(tables_385103!C135,input_385103!A:H,8,FALSE))</f>
        <v>0</v>
      </c>
      <c r="P135" s="43">
        <f t="shared" ca="1" si="8"/>
        <v>0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input_385103!A$2</f>
        <v>385103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IFERROR(VLOOKUP(B136,input_385103!L:R,7,FALSE),VLOOKUP(tables_385103!C136,input_385103!A:H,8,FALSE))</f>
        <v>13747.13846</v>
      </c>
      <c r="P136" s="43">
        <f t="shared" ca="1" si="8"/>
        <v>7.6119260575858248E-3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input_385103!A$2</f>
        <v>385103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IFERROR(VLOOKUP(B137,input_385103!L:R,7,FALSE),VLOOKUP(tables_385103!C137,input_385103!A:H,8,FALSE))</f>
        <v>952.86153999999999</v>
      </c>
      <c r="P137" s="43">
        <f t="shared" ca="1" si="8"/>
        <v>5.2760882613510525E-4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input_385103!A$2</f>
        <v>385103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IFERROR(VLOOKUP(B138,input_385103!L:R,7,FALSE),VLOOKUP(tables_385103!C138,input_385103!A:H,8,FALSE))</f>
        <v>1879.1</v>
      </c>
      <c r="P138" s="43">
        <f t="shared" ca="1" si="8"/>
        <v>1.0404761904761904E-3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input_385103!A$2</f>
        <v>385103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IFERROR(VLOOKUP(B139,input_385103!L:R,7,FALSE),VLOOKUP(tables_385103!C139,input_385103!A:H,8,FALSE))</f>
        <v>98.9</v>
      </c>
      <c r="P139" s="43">
        <f t="shared" ca="1" si="8"/>
        <v>5.4761904761904766E-5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input_385103!A$2</f>
        <v>385103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IFERROR(VLOOKUP(B140,input_385103!L:R,7,FALSE),VLOOKUP(tables_385103!C140,input_385103!A:H,8,FALSE))</f>
        <v>1879.1</v>
      </c>
      <c r="P140" s="43">
        <f t="shared" ca="1" si="8"/>
        <v>1.0404761904761904E-3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input_385103!A$2</f>
        <v>385103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IFERROR(VLOOKUP(B141,input_385103!L:R,7,FALSE),VLOOKUP(tables_385103!C141,input_385103!A:H,8,FALSE))</f>
        <v>98.9</v>
      </c>
      <c r="P141" s="43">
        <f t="shared" ca="1" si="8"/>
        <v>5.4761904761904766E-5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input_385103!A$2</f>
        <v>385103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IFERROR(VLOOKUP(B142,input_385103!L:R,7,FALSE),VLOOKUP(tables_385103!C142,input_385103!A:H,8,FALSE))</f>
        <v>1879.1</v>
      </c>
      <c r="P142" s="43">
        <f t="shared" ca="1" si="8"/>
        <v>1.0404761904761904E-3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input_385103!A$2</f>
        <v>385103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IFERROR(VLOOKUP(B143,input_385103!L:R,7,FALSE),VLOOKUP(tables_385103!C143,input_385103!A:H,8,FALSE))</f>
        <v>98.9</v>
      </c>
      <c r="P143" s="43">
        <f t="shared" ca="1" si="8"/>
        <v>5.4761904761904766E-5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input_385103!A$2</f>
        <v>385103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IFERROR(VLOOKUP(B144,input_385103!L:R,7,FALSE),VLOOKUP(tables_385103!C144,input_385103!A:H,8,FALSE))</f>
        <v>1879.1</v>
      </c>
      <c r="P144" s="43">
        <f t="shared" ca="1" si="8"/>
        <v>1.0404761904761904E-3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input_385103!A$2</f>
        <v>385103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IFERROR(VLOOKUP(B145,input_385103!L:R,7,FALSE),VLOOKUP(tables_385103!C145,input_385103!A:H,8,FALSE))</f>
        <v>98.9</v>
      </c>
      <c r="P145" s="43">
        <f t="shared" ca="1" si="8"/>
        <v>5.4761904761904766E-5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input_385103!A$2</f>
        <v>385103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IFERROR(VLOOKUP(B146,input_385103!L:R,7,FALSE),VLOOKUP(tables_385103!C146,input_385103!A:H,8,FALSE))</f>
        <v>0</v>
      </c>
      <c r="P146" s="43">
        <f t="shared" ca="1" si="8"/>
        <v>0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input_385103!A$2</f>
        <v>385103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IFERROR(VLOOKUP(B147,input_385103!L:R,7,FALSE),VLOOKUP(tables_385103!C147,input_385103!A:H,8,FALSE))</f>
        <v>13747.13846</v>
      </c>
      <c r="P147" s="43">
        <f t="shared" ca="1" si="8"/>
        <v>7.6119260575858248E-3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input_385103!A$2</f>
        <v>385103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IFERROR(VLOOKUP(B148,input_385103!L:R,7,FALSE),VLOOKUP(tables_385103!C148,input_385103!A:H,8,FALSE))</f>
        <v>952.86153999999999</v>
      </c>
      <c r="P148" s="43">
        <f t="shared" ca="1" si="8"/>
        <v>5.2760882613510525E-4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input_385103!A$2</f>
        <v>385103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IFERROR(VLOOKUP(B149,input_385103!L:R,7,FALSE),VLOOKUP(tables_385103!C149,input_385103!A:H,8,FALSE))</f>
        <v>1879.1</v>
      </c>
      <c r="P149" s="43">
        <f t="shared" ca="1" si="8"/>
        <v>1.0404761904761904E-3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input_385103!A$2</f>
        <v>385103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IFERROR(VLOOKUP(B150,input_385103!L:R,7,FALSE),VLOOKUP(tables_385103!C150,input_385103!A:H,8,FALSE))</f>
        <v>98.9</v>
      </c>
      <c r="P150" s="43">
        <f t="shared" ca="1" si="8"/>
        <v>5.4761904761904766E-5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input_385103!A$2</f>
        <v>385103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IFERROR(VLOOKUP(B151,input_385103!L:R,7,FALSE),VLOOKUP(tables_385103!C151,input_385103!A:H,8,FALSE))</f>
        <v>1879.1</v>
      </c>
      <c r="P151" s="43">
        <f t="shared" ca="1" si="8"/>
        <v>1.0404761904761904E-3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input_385103!A$2</f>
        <v>385103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IFERROR(VLOOKUP(B152,input_385103!L:R,7,FALSE),VLOOKUP(tables_385103!C152,input_385103!A:H,8,FALSE))</f>
        <v>98.9</v>
      </c>
      <c r="P152" s="43">
        <f t="shared" ca="1" si="8"/>
        <v>5.4761904761904766E-5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input_385103!A$2</f>
        <v>385103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IFERROR(VLOOKUP(B153,input_385103!L:R,7,FALSE),VLOOKUP(tables_385103!C153,input_385103!A:H,8,FALSE))</f>
        <v>0</v>
      </c>
      <c r="P153" s="43">
        <f t="shared" ca="1" si="8"/>
        <v>0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input_385103!A$2</f>
        <v>385103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IFERROR(VLOOKUP(B154,input_385103!L:R,7,FALSE),VLOOKUP(tables_385103!C154,input_385103!A:H,8,FALSE))</f>
        <v>13747.13846</v>
      </c>
      <c r="P154" s="43">
        <f t="shared" ca="1" si="8"/>
        <v>7.6119260575858248E-3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input_385103!A$2</f>
        <v>385103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IFERROR(VLOOKUP(B155,input_385103!L:R,7,FALSE),VLOOKUP(tables_385103!C155,input_385103!A:H,8,FALSE))</f>
        <v>952.86153999999999</v>
      </c>
      <c r="P155" s="43">
        <f t="shared" ca="1" si="8"/>
        <v>5.2760882613510525E-4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input_385103!A$2</f>
        <v>385103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IFERROR(VLOOKUP(B156,input_385103!L:R,7,FALSE),VLOOKUP(tables_385103!C156,input_385103!A:H,8,FALSE))</f>
        <v>1879.1</v>
      </c>
      <c r="P156" s="43">
        <f t="shared" ca="1" si="8"/>
        <v>1.0404761904761904E-3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input_385103!A$2</f>
        <v>385103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IFERROR(VLOOKUP(B157,input_385103!L:R,7,FALSE),VLOOKUP(tables_385103!C157,input_385103!A:H,8,FALSE))</f>
        <v>98.9</v>
      </c>
      <c r="P157" s="43">
        <f t="shared" ca="1" si="8"/>
        <v>5.4761904761904766E-5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input_385103!A$2</f>
        <v>385103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IFERROR(VLOOKUP(B158,input_385103!L:R,7,FALSE),VLOOKUP(tables_385103!C158,input_385103!A:H,8,FALSE))</f>
        <v>0</v>
      </c>
      <c r="P158" s="43">
        <f t="shared" ca="1" si="8"/>
        <v>0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input_385103!A$2</f>
        <v>385103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IFERROR(VLOOKUP(B159,input_385103!L:R,7,FALSE),VLOOKUP(tables_385103!C159,input_385103!A:H,8,FALSE))</f>
        <v>13747.13846</v>
      </c>
      <c r="P159" s="43">
        <f t="shared" ca="1" si="8"/>
        <v>7.6119260575858248E-3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input_385103!A$2</f>
        <v>385103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IFERROR(VLOOKUP(B160,input_385103!L:R,7,FALSE),VLOOKUP(tables_385103!C160,input_385103!A:H,8,FALSE))</f>
        <v>952.86153999999999</v>
      </c>
      <c r="P160" s="43">
        <f t="shared" ca="1" si="8"/>
        <v>5.2760882613510525E-4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input_385103!A$2</f>
        <v>385103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IFERROR(VLOOKUP(B161,input_385103!L:R,7,FALSE),VLOOKUP(tables_385103!C161,input_385103!A:H,8,FALSE))</f>
        <v>0</v>
      </c>
      <c r="P161" s="43">
        <f t="shared" ca="1" si="8"/>
        <v>0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input_385103!A$2</f>
        <v>385103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IFERROR(VLOOKUP(B162,input_385103!L:R,7,FALSE),VLOOKUP(tables_385103!C162,input_385103!A:H,8,FALSE))</f>
        <v>13747.13846</v>
      </c>
      <c r="P162" s="43">
        <f t="shared" ca="1" si="8"/>
        <v>7.6119260575858248E-3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input_385103!A$2</f>
        <v>385103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IFERROR(VLOOKUP(B163,input_385103!L:R,7,FALSE),VLOOKUP(tables_385103!C163,input_385103!A:H,8,FALSE))</f>
        <v>952.86153999999999</v>
      </c>
      <c r="P163" s="43">
        <f t="shared" ca="1" si="8"/>
        <v>5.2760882613510525E-4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input_385103!A$2</f>
        <v>385103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IFERROR(VLOOKUP(B164,input_385103!L:R,7,FALSE),VLOOKUP(tables_385103!C164,input_385103!A:H,8,FALSE))</f>
        <v>1879.1</v>
      </c>
      <c r="P164" s="43">
        <f t="shared" ca="1" si="8"/>
        <v>1.0404761904761904E-3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input_385103!A$2</f>
        <v>385103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IFERROR(VLOOKUP(B165,input_385103!L:R,7,FALSE),VLOOKUP(tables_385103!C165,input_385103!A:H,8,FALSE))</f>
        <v>98.9</v>
      </c>
      <c r="P165" s="43">
        <f t="shared" ca="1" si="8"/>
        <v>5.4761904761904766E-5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input_385103!A$2</f>
        <v>385103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IFERROR(VLOOKUP(B166,input_385103!L:R,7,FALSE),VLOOKUP(tables_385103!C166,input_385103!A:H,8,FALSE))</f>
        <v>0</v>
      </c>
      <c r="P166" s="43">
        <f t="shared" ca="1" si="8"/>
        <v>0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input_385103!A$2</f>
        <v>385103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IFERROR(VLOOKUP(B167,input_385103!L:R,7,FALSE),VLOOKUP(tables_385103!C167,input_385103!A:H,8,FALSE))</f>
        <v>13747.13846</v>
      </c>
      <c r="P167" s="43">
        <f t="shared" ca="1" si="8"/>
        <v>7.6119260575858248E-3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input_385103!A$2</f>
        <v>385103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IFERROR(VLOOKUP(B168,input_385103!L:R,7,FALSE),VLOOKUP(tables_385103!C168,input_385103!A:H,8,FALSE))</f>
        <v>952.86153999999999</v>
      </c>
      <c r="P168" s="43">
        <f t="shared" ca="1" si="8"/>
        <v>5.2760882613510525E-4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input_385103!A$2</f>
        <v>385103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IFERROR(VLOOKUP(B169,input_385103!L:R,7,FALSE),VLOOKUP(tables_385103!C169,input_385103!A:H,8,FALSE))</f>
        <v>1879.1</v>
      </c>
      <c r="P169" s="43">
        <f t="shared" ca="1" si="8"/>
        <v>1.0404761904761904E-3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input_385103!A$2</f>
        <v>385103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IFERROR(VLOOKUP(B170,input_385103!L:R,7,FALSE),VLOOKUP(tables_385103!C170,input_385103!A:H,8,FALSE))</f>
        <v>98.9</v>
      </c>
      <c r="P170" s="43">
        <f t="shared" ca="1" si="8"/>
        <v>5.4761904761904766E-5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input_385103!A$2</f>
        <v>385103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IFERROR(VLOOKUP(B171,input_385103!L:R,7,FALSE),VLOOKUP(tables_385103!C171,input_385103!A:H,8,FALSE))</f>
        <v>0</v>
      </c>
      <c r="P171" s="43">
        <f t="shared" ca="1" si="8"/>
        <v>0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input_385103!A$2</f>
        <v>385103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IFERROR(VLOOKUP(B172,input_385103!L:R,7,FALSE),VLOOKUP(tables_385103!C172,input_385103!A:H,8,FALSE))</f>
        <v>13747.13846</v>
      </c>
      <c r="P172" s="43">
        <f t="shared" ca="1" si="8"/>
        <v>7.6119260575858248E-3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input_385103!A$2</f>
        <v>385103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IFERROR(VLOOKUP(B173,input_385103!L:R,7,FALSE),VLOOKUP(tables_385103!C173,input_385103!A:H,8,FALSE))</f>
        <v>952.86153999999999</v>
      </c>
      <c r="P173" s="43">
        <f t="shared" ca="1" si="8"/>
        <v>5.2760882613510525E-4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input_385103!A$2</f>
        <v>385103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IFERROR(VLOOKUP(B174,input_385103!L:R,7,FALSE),VLOOKUP(tables_385103!C174,input_385103!A:H,8,FALSE))</f>
        <v>1879.1</v>
      </c>
      <c r="P174" s="43">
        <f t="shared" ca="1" si="8"/>
        <v>1.0404761904761904E-3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input_385103!A$2</f>
        <v>385103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IFERROR(VLOOKUP(B175,input_385103!L:R,7,FALSE),VLOOKUP(tables_385103!C175,input_385103!A:H,8,FALSE))</f>
        <v>98.9</v>
      </c>
      <c r="P175" s="43">
        <f t="shared" ca="1" si="8"/>
        <v>5.4761904761904766E-5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input_385103!A$2</f>
        <v>385103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IFERROR(VLOOKUP(B176,input_385103!L:R,7,FALSE),VLOOKUP(tables_385103!C176,input_385103!A:H,8,FALSE))</f>
        <v>1879.1</v>
      </c>
      <c r="P176" s="43">
        <f t="shared" ca="1" si="8"/>
        <v>1.0404761904761904E-3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input_385103!A$2</f>
        <v>385103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IFERROR(VLOOKUP(B177,input_385103!L:R,7,FALSE),VLOOKUP(tables_385103!C177,input_385103!A:H,8,FALSE))</f>
        <v>98.9</v>
      </c>
      <c r="P177" s="43">
        <f t="shared" ca="1" si="8"/>
        <v>5.4761904761904766E-5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input_385103!A$2</f>
        <v>385103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IFERROR(VLOOKUP(B178,input_385103!L:R,7,FALSE),VLOOKUP(tables_385103!C178,input_385103!A:H,8,FALSE))</f>
        <v>0</v>
      </c>
      <c r="P178" s="43">
        <f t="shared" ca="1" si="8"/>
        <v>0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input_385103!A$2</f>
        <v>385103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IFERROR(VLOOKUP(B179,input_385103!L:R,7,FALSE),VLOOKUP(tables_385103!C179,input_385103!A:H,8,FALSE))</f>
        <v>13747.13846</v>
      </c>
      <c r="P179" s="43">
        <f t="shared" ca="1" si="8"/>
        <v>7.6119260575858248E-3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input_385103!A$2</f>
        <v>385103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IFERROR(VLOOKUP(B180,input_385103!L:R,7,FALSE),VLOOKUP(tables_385103!C180,input_385103!A:H,8,FALSE))</f>
        <v>952.86153999999999</v>
      </c>
      <c r="P180" s="43">
        <f t="shared" ca="1" si="8"/>
        <v>5.2760882613510525E-4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input_385103!A$2</f>
        <v>385103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IFERROR(VLOOKUP(B181,input_385103!L:R,7,FALSE),VLOOKUP(tables_385103!C181,input_385103!A:H,8,FALSE))</f>
        <v>0</v>
      </c>
      <c r="P181" s="43">
        <f t="shared" ca="1" si="8"/>
        <v>0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input_385103!A$2</f>
        <v>385103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IFERROR(VLOOKUP(B182,input_385103!L:R,7,FALSE),VLOOKUP(tables_385103!C182,input_385103!A:H,8,FALSE))</f>
        <v>13747.13846</v>
      </c>
      <c r="P182" s="43">
        <f t="shared" ca="1" si="8"/>
        <v>7.6119260575858248E-3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input_385103!A$2</f>
        <v>385103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IFERROR(VLOOKUP(B183,input_385103!L:R,7,FALSE),VLOOKUP(tables_385103!C183,input_385103!A:H,8,FALSE))</f>
        <v>952.86153999999999</v>
      </c>
      <c r="P183" s="43">
        <f t="shared" ca="1" si="8"/>
        <v>5.2760882613510525E-4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input_385103!A$2</f>
        <v>385103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IFERROR(VLOOKUP(B184,input_385103!L:R,7,FALSE),VLOOKUP(tables_385103!C184,input_385103!A:H,8,FALSE))</f>
        <v>1879.1</v>
      </c>
      <c r="P184" s="43">
        <f t="shared" ca="1" si="8"/>
        <v>1.0404761904761904E-3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input_385103!A$2</f>
        <v>385103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IFERROR(VLOOKUP(B185,input_385103!L:R,7,FALSE),VLOOKUP(tables_385103!C185,input_385103!A:H,8,FALSE))</f>
        <v>98.9</v>
      </c>
      <c r="P185" s="43">
        <f t="shared" ca="1" si="8"/>
        <v>5.4761904761904766E-5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input_385103!A$2</f>
        <v>385103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IFERROR(VLOOKUP(B186,input_385103!L:R,7,FALSE),VLOOKUP(tables_385103!C186,input_385103!A:H,8,FALSE))</f>
        <v>0</v>
      </c>
      <c r="P186" s="43">
        <f t="shared" ca="1" si="8"/>
        <v>0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input_385103!A$2</f>
        <v>385103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IFERROR(VLOOKUP(B187,input_385103!L:R,7,FALSE),VLOOKUP(tables_385103!C187,input_385103!A:H,8,FALSE))</f>
        <v>13747.13846</v>
      </c>
      <c r="P187" s="43">
        <f t="shared" ca="1" si="8"/>
        <v>7.6119260575858248E-3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input_385103!A$2</f>
        <v>385103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IFERROR(VLOOKUP(B188,input_385103!L:R,7,FALSE),VLOOKUP(tables_385103!C188,input_385103!A:H,8,FALSE))</f>
        <v>952.86153999999999</v>
      </c>
      <c r="P188" s="43">
        <f t="shared" ca="1" si="8"/>
        <v>5.2760882613510525E-4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input_385103!A$2</f>
        <v>385103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IFERROR(VLOOKUP(B189,input_385103!L:R,7,FALSE),VLOOKUP(tables_385103!C189,input_385103!A:H,8,FALSE))</f>
        <v>1879.1</v>
      </c>
      <c r="P189" s="43">
        <f t="shared" ca="1" si="8"/>
        <v>1.0404761904761904E-3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input_385103!A$2</f>
        <v>385103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IFERROR(VLOOKUP(B190,input_385103!L:R,7,FALSE),VLOOKUP(tables_385103!C190,input_385103!A:H,8,FALSE))</f>
        <v>98.9</v>
      </c>
      <c r="P190" s="43">
        <f t="shared" ca="1" si="8"/>
        <v>5.4761904761904766E-5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input_385103!A$2</f>
        <v>385103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IFERROR(VLOOKUP(B191,input_385103!L:R,7,FALSE),VLOOKUP(tables_385103!C191,input_385103!A:H,8,FALSE))</f>
        <v>1879.1</v>
      </c>
      <c r="P191" s="43">
        <f t="shared" ca="1" si="8"/>
        <v>1.0404761904761904E-3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input_385103!A$2</f>
        <v>385103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IFERROR(VLOOKUP(B192,input_385103!L:R,7,FALSE),VLOOKUP(tables_385103!C192,input_385103!A:H,8,FALSE))</f>
        <v>98.9</v>
      </c>
      <c r="P192" s="43">
        <f t="shared" ca="1" si="8"/>
        <v>5.4761904761904766E-5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input_385103!A$2</f>
        <v>385103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IFERROR(VLOOKUP(B193,input_385103!L:R,7,FALSE),VLOOKUP(tables_385103!C193,input_385103!A:H,8,FALSE))</f>
        <v>0</v>
      </c>
      <c r="P193" s="43">
        <f t="shared" ca="1" si="8"/>
        <v>0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input_385103!A$2</f>
        <v>385103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IFERROR(VLOOKUP(B194,input_385103!L:R,7,FALSE),VLOOKUP(tables_385103!C194,input_385103!A:H,8,FALSE))</f>
        <v>13747.13846</v>
      </c>
      <c r="P194" s="43">
        <f t="shared" ca="1" si="8"/>
        <v>7.6119260575858248E-3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input_385103!A$2</f>
        <v>385103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IFERROR(VLOOKUP(B195,input_385103!L:R,7,FALSE),VLOOKUP(tables_385103!C195,input_385103!A:H,8,FALSE))</f>
        <v>952.86153999999999</v>
      </c>
      <c r="P195" s="43">
        <f t="shared" ref="P195:P258" ca="1" si="11">O195/SUM(O:O)</f>
        <v>5.2760882613510525E-4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input_385103!A$2</f>
        <v>385103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IFERROR(VLOOKUP(B196,input_385103!L:R,7,FALSE),VLOOKUP(tables_385103!C196,input_385103!A:H,8,FALSE))</f>
        <v>1879.1</v>
      </c>
      <c r="P196" s="43">
        <f t="shared" ca="1" si="11"/>
        <v>1.0404761904761904E-3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input_385103!A$2</f>
        <v>385103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IFERROR(VLOOKUP(B197,input_385103!L:R,7,FALSE),VLOOKUP(tables_385103!C197,input_385103!A:H,8,FALSE))</f>
        <v>98.9</v>
      </c>
      <c r="P197" s="43">
        <f t="shared" ca="1" si="11"/>
        <v>5.4761904761904766E-5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input_385103!A$2</f>
        <v>385103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IFERROR(VLOOKUP(B198,input_385103!L:R,7,FALSE),VLOOKUP(tables_385103!C198,input_385103!A:H,8,FALSE))</f>
        <v>0</v>
      </c>
      <c r="P198" s="43">
        <f t="shared" ca="1" si="11"/>
        <v>0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input_385103!A$2</f>
        <v>385103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IFERROR(VLOOKUP(B199,input_385103!L:R,7,FALSE),VLOOKUP(tables_385103!C199,input_385103!A:H,8,FALSE))</f>
        <v>13747.13846</v>
      </c>
      <c r="P199" s="43">
        <f t="shared" ca="1" si="11"/>
        <v>7.6119260575858248E-3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input_385103!A$2</f>
        <v>385103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IFERROR(VLOOKUP(B200,input_385103!L:R,7,FALSE),VLOOKUP(tables_385103!C200,input_385103!A:H,8,FALSE))</f>
        <v>952.86153999999999</v>
      </c>
      <c r="P200" s="43">
        <f t="shared" ca="1" si="11"/>
        <v>5.2760882613510525E-4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input_385103!A$2</f>
        <v>385103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IFERROR(VLOOKUP(B201,input_385103!L:R,7,FALSE),VLOOKUP(tables_385103!C201,input_385103!A:H,8,FALSE))</f>
        <v>1879.1</v>
      </c>
      <c r="P201" s="43">
        <f t="shared" ca="1" si="11"/>
        <v>1.0404761904761904E-3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input_385103!A$2</f>
        <v>385103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IFERROR(VLOOKUP(B202,input_385103!L:R,7,FALSE),VLOOKUP(tables_385103!C202,input_385103!A:H,8,FALSE))</f>
        <v>98.9</v>
      </c>
      <c r="P202" s="43">
        <f t="shared" ca="1" si="11"/>
        <v>5.4761904761904766E-5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input_385103!A$2</f>
        <v>385103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IFERROR(VLOOKUP(B203,input_385103!L:R,7,FALSE),VLOOKUP(tables_385103!C203,input_385103!A:H,8,FALSE))</f>
        <v>0</v>
      </c>
      <c r="P203" s="43">
        <f t="shared" ca="1" si="11"/>
        <v>0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input_385103!A$2</f>
        <v>385103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IFERROR(VLOOKUP(B204,input_385103!L:R,7,FALSE),VLOOKUP(tables_385103!C204,input_385103!A:H,8,FALSE))</f>
        <v>13747.13846</v>
      </c>
      <c r="P204" s="43">
        <f t="shared" ca="1" si="11"/>
        <v>7.6119260575858248E-3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input_385103!A$2</f>
        <v>385103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IFERROR(VLOOKUP(B205,input_385103!L:R,7,FALSE),VLOOKUP(tables_385103!C205,input_385103!A:H,8,FALSE))</f>
        <v>952.86153999999999</v>
      </c>
      <c r="P205" s="43">
        <f t="shared" ca="1" si="11"/>
        <v>5.2760882613510525E-4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input_385103!A$2</f>
        <v>385103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IFERROR(VLOOKUP(B206,input_385103!L:R,7,FALSE),VLOOKUP(tables_385103!C206,input_385103!A:H,8,FALSE))</f>
        <v>1879.1</v>
      </c>
      <c r="P206" s="43">
        <f t="shared" ca="1" si="11"/>
        <v>1.0404761904761904E-3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input_385103!A$2</f>
        <v>385103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IFERROR(VLOOKUP(B207,input_385103!L:R,7,FALSE),VLOOKUP(tables_385103!C207,input_385103!A:H,8,FALSE))</f>
        <v>98.9</v>
      </c>
      <c r="P207" s="43">
        <f t="shared" ca="1" si="11"/>
        <v>5.4761904761904766E-5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input_385103!A$2</f>
        <v>385103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IFERROR(VLOOKUP(B208,input_385103!L:R,7,FALSE),VLOOKUP(tables_385103!C208,input_385103!A:H,8,FALSE))</f>
        <v>1879.1</v>
      </c>
      <c r="P208" s="43">
        <f t="shared" ca="1" si="11"/>
        <v>1.0404761904761904E-3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input_385103!A$2</f>
        <v>385103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IFERROR(VLOOKUP(B209,input_385103!L:R,7,FALSE),VLOOKUP(tables_385103!C209,input_385103!A:H,8,FALSE))</f>
        <v>98.9</v>
      </c>
      <c r="P209" s="43">
        <f t="shared" ca="1" si="11"/>
        <v>5.4761904761904766E-5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input_385103!A$2</f>
        <v>385103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IFERROR(VLOOKUP(B210,input_385103!L:R,7,FALSE),VLOOKUP(tables_385103!C210,input_385103!A:H,8,FALSE))</f>
        <v>0</v>
      </c>
      <c r="P210" s="43">
        <f t="shared" ca="1" si="11"/>
        <v>0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input_385103!A$2</f>
        <v>385103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IFERROR(VLOOKUP(B211,input_385103!L:R,7,FALSE),VLOOKUP(tables_385103!C211,input_385103!A:H,8,FALSE))</f>
        <v>13747.13846</v>
      </c>
      <c r="P211" s="43">
        <f t="shared" ca="1" si="11"/>
        <v>7.6119260575858248E-3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input_385103!A$2</f>
        <v>385103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IFERROR(VLOOKUP(B212,input_385103!L:R,7,FALSE),VLOOKUP(tables_385103!C212,input_385103!A:H,8,FALSE))</f>
        <v>952.86153999999999</v>
      </c>
      <c r="P212" s="43">
        <f t="shared" ca="1" si="11"/>
        <v>5.2760882613510525E-4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input_385103!A$2</f>
        <v>385103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IFERROR(VLOOKUP(B213,input_385103!L:R,7,FALSE),VLOOKUP(tables_385103!C213,input_385103!A:H,8,FALSE))</f>
        <v>1879.1</v>
      </c>
      <c r="P213" s="43">
        <f t="shared" ca="1" si="11"/>
        <v>1.0404761904761904E-3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input_385103!A$2</f>
        <v>385103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IFERROR(VLOOKUP(B214,input_385103!L:R,7,FALSE),VLOOKUP(tables_385103!C214,input_385103!A:H,8,FALSE))</f>
        <v>98.9</v>
      </c>
      <c r="P214" s="43">
        <f t="shared" ca="1" si="11"/>
        <v>5.4761904761904766E-5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input_385103!A$2</f>
        <v>385103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2">
        <f ca="1">IFERROR(VLOOKUP(B215,input_385103!L:R,7,FALSE),VLOOKUP(tables_385103!C215,input_385103!A:H,8,FALSE))</f>
        <v>1879.1</v>
      </c>
      <c r="P215" s="43">
        <f t="shared" ca="1" si="11"/>
        <v>1.0404761904761904E-3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input_385103!A$2</f>
        <v>385103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2">
        <f ca="1">IFERROR(VLOOKUP(B216,input_385103!L:R,7,FALSE),VLOOKUP(tables_385103!C216,input_385103!A:H,8,FALSE))</f>
        <v>98.9</v>
      </c>
      <c r="P216" s="43">
        <f t="shared" ca="1" si="11"/>
        <v>5.4761904761904766E-5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input_385103!A$2</f>
        <v>385103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2">
        <f ca="1">IFERROR(VLOOKUP(B217,input_385103!L:R,7,FALSE),VLOOKUP(tables_385103!C217,input_385103!A:H,8,FALSE))</f>
        <v>0</v>
      </c>
      <c r="P217" s="43">
        <f t="shared" ca="1" si="11"/>
        <v>0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input_385103!A$2</f>
        <v>385103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2">
        <f ca="1">IFERROR(VLOOKUP(B218,input_385103!L:R,7,FALSE),VLOOKUP(tables_385103!C218,input_385103!A:H,8,FALSE))</f>
        <v>13747.13846</v>
      </c>
      <c r="P218" s="43">
        <f t="shared" ca="1" si="11"/>
        <v>7.6119260575858248E-3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input_385103!A$2</f>
        <v>385103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2">
        <f ca="1">IFERROR(VLOOKUP(B219,input_385103!L:R,7,FALSE),VLOOKUP(tables_385103!C219,input_385103!A:H,8,FALSE))</f>
        <v>952.86153999999999</v>
      </c>
      <c r="P219" s="43">
        <f t="shared" ca="1" si="11"/>
        <v>5.2760882613510525E-4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input_385103!A$2</f>
        <v>385103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2">
        <f ca="1">IFERROR(VLOOKUP(B220,input_385103!L:R,7,FALSE),VLOOKUP(tables_385103!C220,input_385103!A:H,8,FALSE))</f>
        <v>0</v>
      </c>
      <c r="P220" s="43">
        <f t="shared" ca="1" si="11"/>
        <v>0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input_385103!A$2</f>
        <v>385103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2">
        <f ca="1">IFERROR(VLOOKUP(B221,input_385103!L:R,7,FALSE),VLOOKUP(tables_385103!C221,input_385103!A:H,8,FALSE))</f>
        <v>13747.13846</v>
      </c>
      <c r="P221" s="43">
        <f t="shared" ca="1" si="11"/>
        <v>7.6119260575858248E-3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input_385103!A$2</f>
        <v>385103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2">
        <f ca="1">IFERROR(VLOOKUP(B222,input_385103!L:R,7,FALSE),VLOOKUP(tables_385103!C222,input_385103!A:H,8,FALSE))</f>
        <v>952.86153999999999</v>
      </c>
      <c r="P222" s="43">
        <f t="shared" ca="1" si="11"/>
        <v>5.2760882613510525E-4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input_385103!A$2</f>
        <v>385103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2">
        <f ca="1">IFERROR(VLOOKUP(B223,input_385103!L:R,7,FALSE),VLOOKUP(tables_385103!C223,input_385103!A:H,8,FALSE))</f>
        <v>1879.1</v>
      </c>
      <c r="P223" s="43">
        <f t="shared" ca="1" si="11"/>
        <v>1.0404761904761904E-3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input_385103!A$2</f>
        <v>385103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2">
        <f ca="1">IFERROR(VLOOKUP(B224,input_385103!L:R,7,FALSE),VLOOKUP(tables_385103!C224,input_385103!A:H,8,FALSE))</f>
        <v>98.9</v>
      </c>
      <c r="P224" s="43">
        <f t="shared" ca="1" si="11"/>
        <v>5.4761904761904766E-5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input_385103!A$2</f>
        <v>385103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2">
        <f ca="1">IFERROR(VLOOKUP(B225,input_385103!L:R,7,FALSE),VLOOKUP(tables_385103!C225,input_385103!A:H,8,FALSE))</f>
        <v>0</v>
      </c>
      <c r="P225" s="43">
        <f t="shared" ca="1" si="11"/>
        <v>0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input_385103!A$2</f>
        <v>385103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2">
        <f ca="1">IFERROR(VLOOKUP(B226,input_385103!L:R,7,FALSE),VLOOKUP(tables_385103!C226,input_385103!A:H,8,FALSE))</f>
        <v>13747.13846</v>
      </c>
      <c r="P226" s="43">
        <f t="shared" ca="1" si="11"/>
        <v>7.6119260575858248E-3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input_385103!A$2</f>
        <v>385103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2">
        <f ca="1">IFERROR(VLOOKUP(B227,input_385103!L:R,7,FALSE),VLOOKUP(tables_385103!C227,input_385103!A:H,8,FALSE))</f>
        <v>952.86153999999999</v>
      </c>
      <c r="P227" s="43">
        <f t="shared" ca="1" si="11"/>
        <v>5.2760882613510525E-4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input_385103!A$2</f>
        <v>385103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IFERROR(VLOOKUP(B228,input_385103!L:R,7,FALSE),VLOOKUP(tables_385103!C228,input_385103!A:H,8,FALSE))</f>
        <v>0</v>
      </c>
      <c r="P228" s="43">
        <f t="shared" ca="1" si="11"/>
        <v>0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input_385103!A$2</f>
        <v>385103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IFERROR(VLOOKUP(B229,input_385103!L:R,7,FALSE),VLOOKUP(tables_385103!C229,input_385103!A:H,8,FALSE))</f>
        <v>13747.13846</v>
      </c>
      <c r="P229" s="43">
        <f t="shared" ca="1" si="11"/>
        <v>7.6119260575858248E-3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input_385103!A$2</f>
        <v>385103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IFERROR(VLOOKUP(B230,input_385103!L:R,7,FALSE),VLOOKUP(tables_385103!C230,input_385103!A:H,8,FALSE))</f>
        <v>952.86153999999999</v>
      </c>
      <c r="P230" s="43">
        <f t="shared" ca="1" si="11"/>
        <v>5.2760882613510525E-4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input_385103!A$2</f>
        <v>385103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2">
        <f ca="1">IFERROR(VLOOKUP(B231,input_385103!L:R,7,FALSE),VLOOKUP(tables_385103!C231,input_385103!A:H,8,FALSE))</f>
        <v>1879.1</v>
      </c>
      <c r="P231" s="43">
        <f t="shared" ca="1" si="11"/>
        <v>1.0404761904761904E-3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input_385103!A$2</f>
        <v>385103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2">
        <f ca="1">IFERROR(VLOOKUP(B232,input_385103!L:R,7,FALSE),VLOOKUP(tables_385103!C232,input_385103!A:H,8,FALSE))</f>
        <v>98.9</v>
      </c>
      <c r="P232" s="43">
        <f t="shared" ca="1" si="11"/>
        <v>5.4761904761904766E-5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input_385103!A$2</f>
        <v>385103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2">
        <f ca="1">IFERROR(VLOOKUP(B233,input_385103!L:R,7,FALSE),VLOOKUP(tables_385103!C233,input_385103!A:H,8,FALSE))</f>
        <v>0</v>
      </c>
      <c r="P233" s="43">
        <f t="shared" ca="1" si="11"/>
        <v>0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input_385103!A$2</f>
        <v>385103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2">
        <f ca="1">IFERROR(VLOOKUP(B234,input_385103!L:R,7,FALSE),VLOOKUP(tables_385103!C234,input_385103!A:H,8,FALSE))</f>
        <v>13747.13846</v>
      </c>
      <c r="P234" s="43">
        <f t="shared" ca="1" si="11"/>
        <v>7.6119260575858248E-3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input_385103!A$2</f>
        <v>385103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2">
        <f ca="1">IFERROR(VLOOKUP(B235,input_385103!L:R,7,FALSE),VLOOKUP(tables_385103!C235,input_385103!A:H,8,FALSE))</f>
        <v>952.86153999999999</v>
      </c>
      <c r="P235" s="43">
        <f t="shared" ca="1" si="11"/>
        <v>5.2760882613510525E-4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input_385103!A$2</f>
        <v>385103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2">
        <f ca="1">IFERROR(VLOOKUP(B236,input_385103!L:R,7,FALSE),VLOOKUP(tables_385103!C236,input_385103!A:H,8,FALSE))</f>
        <v>1879.1</v>
      </c>
      <c r="P236" s="43">
        <f t="shared" ca="1" si="11"/>
        <v>1.0404761904761904E-3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input_385103!A$2</f>
        <v>385103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IFERROR(VLOOKUP(B237,input_385103!L:R,7,FALSE),VLOOKUP(tables_385103!C237,input_385103!A:H,8,FALSE))</f>
        <v>98.9</v>
      </c>
      <c r="P237" s="43">
        <f t="shared" ca="1" si="11"/>
        <v>5.4761904761904766E-5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input_385103!A$2</f>
        <v>385103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2">
        <f ca="1">IFERROR(VLOOKUP(B238,input_385103!L:R,7,FALSE),VLOOKUP(tables_385103!C238,input_385103!A:H,8,FALSE))</f>
        <v>1879.1</v>
      </c>
      <c r="P238" s="43">
        <f t="shared" ca="1" si="11"/>
        <v>1.0404761904761904E-3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input_385103!A$2</f>
        <v>385103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2">
        <f ca="1">IFERROR(VLOOKUP(B239,input_385103!L:R,7,FALSE),VLOOKUP(tables_385103!C239,input_385103!A:H,8,FALSE))</f>
        <v>98.9</v>
      </c>
      <c r="P239" s="43">
        <f t="shared" ca="1" si="11"/>
        <v>5.4761904761904766E-5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input_385103!A$2</f>
        <v>385103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2">
        <f ca="1">IFERROR(VLOOKUP(B240,input_385103!L:R,7,FALSE),VLOOKUP(tables_385103!C240,input_385103!A:H,8,FALSE))</f>
        <v>0</v>
      </c>
      <c r="P240" s="43">
        <f t="shared" ca="1" si="11"/>
        <v>0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input_385103!A$2</f>
        <v>385103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2">
        <f ca="1">IFERROR(VLOOKUP(B241,input_385103!L:R,7,FALSE),VLOOKUP(tables_385103!C241,input_385103!A:H,8,FALSE))</f>
        <v>13747.13846</v>
      </c>
      <c r="P241" s="43">
        <f t="shared" ca="1" si="11"/>
        <v>7.6119260575858248E-3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input_385103!A$2</f>
        <v>385103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2">
        <f ca="1">IFERROR(VLOOKUP(B242,input_385103!L:R,7,FALSE),VLOOKUP(tables_385103!C242,input_385103!A:H,8,FALSE))</f>
        <v>952.86153999999999</v>
      </c>
      <c r="P242" s="43">
        <f t="shared" ca="1" si="11"/>
        <v>5.2760882613510525E-4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input_385103!A$2</f>
        <v>385103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2">
        <f ca="1">IFERROR(VLOOKUP(B243,input_385103!L:R,7,FALSE),VLOOKUP(tables_385103!C243,input_385103!A:H,8,FALSE))</f>
        <v>0</v>
      </c>
      <c r="P243" s="43">
        <f t="shared" ca="1" si="11"/>
        <v>0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input_385103!A$2</f>
        <v>385103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2">
        <f ca="1">IFERROR(VLOOKUP(B244,input_385103!L:R,7,FALSE),VLOOKUP(tables_385103!C244,input_385103!A:H,8,FALSE))</f>
        <v>13747.13846</v>
      </c>
      <c r="P244" s="43">
        <f t="shared" ca="1" si="11"/>
        <v>7.6119260575858248E-3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input_385103!A$2</f>
        <v>385103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2">
        <f ca="1">IFERROR(VLOOKUP(B245,input_385103!L:R,7,FALSE),VLOOKUP(tables_385103!C245,input_385103!A:H,8,FALSE))</f>
        <v>952.86153999999999</v>
      </c>
      <c r="P245" s="43">
        <f t="shared" ca="1" si="11"/>
        <v>5.2760882613510525E-4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input_385103!A$2</f>
        <v>385103</v>
      </c>
      <c r="B246" s="57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2">
        <f ca="1">IFERROR(VLOOKUP(B246,input_385103!L:R,7,FALSE),VLOOKUP(tables_385103!C246,input_385103!A:H,8,FALSE))</f>
        <v>0</v>
      </c>
      <c r="P246" s="43">
        <f t="shared" ca="1" si="11"/>
        <v>0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input_385103!A$2</f>
        <v>385103</v>
      </c>
      <c r="B247" s="57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2">
        <f ca="1">IFERROR(VLOOKUP(B247,input_385103!L:R,7,FALSE),VLOOKUP(tables_385103!C247,input_385103!A:H,8,FALSE))</f>
        <v>13747.13846</v>
      </c>
      <c r="P247" s="43">
        <f t="shared" ca="1" si="11"/>
        <v>7.6119260575858248E-3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input_385103!A$2</f>
        <v>385103</v>
      </c>
      <c r="B248" s="57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2">
        <f ca="1">IFERROR(VLOOKUP(B248,input_385103!L:R,7,FALSE),VLOOKUP(tables_385103!C248,input_385103!A:H,8,FALSE))</f>
        <v>952.86153999999999</v>
      </c>
      <c r="P248" s="43">
        <f t="shared" ca="1" si="11"/>
        <v>5.2760882613510525E-4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input_385103!A$2</f>
        <v>385103</v>
      </c>
      <c r="B249" s="57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2">
        <f ca="1">IFERROR(VLOOKUP(B249,input_385103!L:R,7,FALSE),VLOOKUP(tables_385103!C249,input_385103!A:H,8,FALSE))</f>
        <v>0</v>
      </c>
      <c r="P249" s="43">
        <f t="shared" ca="1" si="11"/>
        <v>0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input_385103!A$2</f>
        <v>385103</v>
      </c>
      <c r="B250" s="57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2">
        <f ca="1">IFERROR(VLOOKUP(B250,input_385103!L:R,7,FALSE),VLOOKUP(tables_385103!C250,input_385103!A:H,8,FALSE))</f>
        <v>13747.13846</v>
      </c>
      <c r="P250" s="43">
        <f t="shared" ca="1" si="11"/>
        <v>7.6119260575858248E-3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input_385103!A$2</f>
        <v>385103</v>
      </c>
      <c r="B251" s="57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2">
        <f ca="1">IFERROR(VLOOKUP(B251,input_385103!L:R,7,FALSE),VLOOKUP(tables_385103!C251,input_385103!A:H,8,FALSE))</f>
        <v>952.86153999999999</v>
      </c>
      <c r="P251" s="43">
        <f t="shared" ca="1" si="11"/>
        <v>5.2760882613510525E-4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input_385103!A$2</f>
        <v>385103</v>
      </c>
      <c r="B252" s="57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2">
        <f ca="1">IFERROR(VLOOKUP(B252,input_385103!L:R,7,FALSE),VLOOKUP(tables_385103!C252,input_385103!A:H,8,FALSE))</f>
        <v>1879.1</v>
      </c>
      <c r="P252" s="43">
        <f t="shared" ca="1" si="11"/>
        <v>1.0404761904761904E-3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input_385103!A$2</f>
        <v>385103</v>
      </c>
      <c r="B253" s="57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2">
        <f ca="1">IFERROR(VLOOKUP(B253,input_385103!L:R,7,FALSE),VLOOKUP(tables_385103!C253,input_385103!A:H,8,FALSE))</f>
        <v>98.9</v>
      </c>
      <c r="P253" s="43">
        <f t="shared" ca="1" si="11"/>
        <v>5.4761904761904766E-5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input_385103!A$2</f>
        <v>385103</v>
      </c>
      <c r="B254" s="57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2">
        <f ca="1">IFERROR(VLOOKUP(B254,input_385103!L:R,7,FALSE),VLOOKUP(tables_385103!C254,input_385103!A:H,8,FALSE))</f>
        <v>1879.1</v>
      </c>
      <c r="P254" s="43">
        <f t="shared" ca="1" si="11"/>
        <v>1.0404761904761904E-3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input_385103!A$2</f>
        <v>385103</v>
      </c>
      <c r="B255" s="57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2">
        <f ca="1">IFERROR(VLOOKUP(B255,input_385103!L:R,7,FALSE),VLOOKUP(tables_385103!C255,input_385103!A:H,8,FALSE))</f>
        <v>98.9</v>
      </c>
      <c r="P255" s="43">
        <f t="shared" ca="1" si="11"/>
        <v>5.4761904761904766E-5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input_385103!A$2</f>
        <v>385103</v>
      </c>
      <c r="B256" s="57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2">
        <f ca="1">IFERROR(VLOOKUP(B256,input_385103!L:R,7,FALSE),VLOOKUP(tables_385103!C256,input_385103!A:H,8,FALSE))</f>
        <v>13965</v>
      </c>
      <c r="P256" s="43">
        <f t="shared" ca="1" si="11"/>
        <v>7.7325581395348841E-3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input_385103!A$2</f>
        <v>385103</v>
      </c>
      <c r="B257" s="57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2">
        <f ca="1">IFERROR(VLOOKUP(B257,input_385103!L:R,7,FALSE),VLOOKUP(tables_385103!C257,input_385103!A:H,8,FALSE))</f>
        <v>735</v>
      </c>
      <c r="P257" s="43">
        <f t="shared" ca="1" si="11"/>
        <v>4.0697674418604653E-4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input_385103!A$2</f>
        <v>385103</v>
      </c>
      <c r="B258" s="57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2">
        <f ca="1">IFERROR(VLOOKUP(B258,input_385103!L:R,7,FALSE),VLOOKUP(tables_385103!C258,input_385103!A:H,8,FALSE))</f>
        <v>13965</v>
      </c>
      <c r="P258" s="43">
        <f t="shared" ca="1" si="11"/>
        <v>7.7325581395348841E-3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input_385103!A$2</f>
        <v>385103</v>
      </c>
      <c r="B259" s="57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2">
        <f ca="1">IFERROR(VLOOKUP(B259,input_385103!L:R,7,FALSE),VLOOKUP(tables_385103!C259,input_385103!A:H,8,FALSE))</f>
        <v>735</v>
      </c>
      <c r="P259" s="43">
        <f t="shared" ref="P259:P306" ca="1" si="14">O259/SUM(O:O)</f>
        <v>4.0697674418604653E-4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input_385103!A$2</f>
        <v>385103</v>
      </c>
      <c r="B260" s="57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2">
        <f ca="1">IFERROR(VLOOKUP(B260,input_385103!L:R,7,FALSE),VLOOKUP(tables_385103!C260,input_385103!A:H,8,FALSE))</f>
        <v>1978</v>
      </c>
      <c r="P260" s="43">
        <f t="shared" ca="1" si="14"/>
        <v>1.0952380952380953E-3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input_385103!A$2</f>
        <v>385103</v>
      </c>
      <c r="B261" s="57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2">
        <f ca="1">IFERROR(VLOOKUP(B261,input_385103!L:R,7,FALSE),VLOOKUP(tables_385103!C261,input_385103!A:H,8,FALSE))</f>
        <v>1978</v>
      </c>
      <c r="P261" s="43">
        <f t="shared" ca="1" si="14"/>
        <v>1.0952380952380953E-3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input_385103!A$2</f>
        <v>385103</v>
      </c>
      <c r="B262" s="57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2">
        <f ca="1">IFERROR(VLOOKUP(B262,input_385103!L:R,7,FALSE),VLOOKUP(tables_385103!C262,input_385103!A:H,8,FALSE))</f>
        <v>1879.1</v>
      </c>
      <c r="P262" s="43">
        <f t="shared" ca="1" si="14"/>
        <v>1.0404761904761904E-3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input_385103!A$2</f>
        <v>385103</v>
      </c>
      <c r="B263" s="57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2">
        <f ca="1">IFERROR(VLOOKUP(B263,input_385103!L:R,7,FALSE),VLOOKUP(tables_385103!C263,input_385103!A:H,8,FALSE))</f>
        <v>98.9</v>
      </c>
      <c r="P263" s="43">
        <f t="shared" ca="1" si="14"/>
        <v>5.4761904761904766E-5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input_385103!A$2</f>
        <v>385103</v>
      </c>
      <c r="B264" s="57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2">
        <f ca="1">IFERROR(VLOOKUP(B264,input_385103!L:R,7,FALSE),VLOOKUP(tables_385103!C264,input_385103!A:H,8,FALSE))</f>
        <v>1879.1</v>
      </c>
      <c r="P264" s="43">
        <f t="shared" ca="1" si="14"/>
        <v>1.0404761904761904E-3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input_385103!A$2</f>
        <v>385103</v>
      </c>
      <c r="B265" s="57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2">
        <f ca="1">IFERROR(VLOOKUP(B265,input_385103!L:R,7,FALSE),VLOOKUP(tables_385103!C265,input_385103!A:H,8,FALSE))</f>
        <v>98.9</v>
      </c>
      <c r="P265" s="43">
        <f t="shared" ca="1" si="14"/>
        <v>5.4761904761904766E-5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input_385103!A$2</f>
        <v>385103</v>
      </c>
      <c r="B266" s="57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2">
        <f ca="1">IFERROR(VLOOKUP(B266,input_385103!L:R,7,FALSE),VLOOKUP(tables_385103!C266,input_385103!A:H,8,FALSE))</f>
        <v>0</v>
      </c>
      <c r="P266" s="43">
        <f t="shared" ca="1" si="14"/>
        <v>0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input_385103!A$2</f>
        <v>385103</v>
      </c>
      <c r="B267" s="57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2">
        <f ca="1">IFERROR(VLOOKUP(B267,input_385103!L:R,7,FALSE),VLOOKUP(tables_385103!C267,input_385103!A:H,8,FALSE))</f>
        <v>13747.13846</v>
      </c>
      <c r="P267" s="43">
        <f t="shared" ca="1" si="14"/>
        <v>7.6119260575858248E-3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input_385103!A$2</f>
        <v>385103</v>
      </c>
      <c r="B268" s="57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2">
        <f ca="1">IFERROR(VLOOKUP(B268,input_385103!L:R,7,FALSE),VLOOKUP(tables_385103!C268,input_385103!A:H,8,FALSE))</f>
        <v>952.86153999999999</v>
      </c>
      <c r="P268" s="43">
        <f t="shared" ca="1" si="14"/>
        <v>5.2760882613510525E-4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input_385103!A$2</f>
        <v>385103</v>
      </c>
      <c r="B269" s="57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2">
        <f ca="1">IFERROR(VLOOKUP(B269,input_385103!L:R,7,FALSE),VLOOKUP(tables_385103!C269,input_385103!A:H,8,FALSE))</f>
        <v>0</v>
      </c>
      <c r="P269" s="43">
        <f t="shared" ca="1" si="14"/>
        <v>0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input_385103!A$2</f>
        <v>385103</v>
      </c>
      <c r="B270" s="57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2">
        <f ca="1">IFERROR(VLOOKUP(B270,input_385103!L:R,7,FALSE),VLOOKUP(tables_385103!C270,input_385103!A:H,8,FALSE))</f>
        <v>13747.13846</v>
      </c>
      <c r="P270" s="43">
        <f t="shared" ca="1" si="14"/>
        <v>7.6119260575858248E-3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input_385103!A$2</f>
        <v>385103</v>
      </c>
      <c r="B271" s="57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2">
        <f ca="1">IFERROR(VLOOKUP(B271,input_385103!L:R,7,FALSE),VLOOKUP(tables_385103!C271,input_385103!A:H,8,FALSE))</f>
        <v>952.86153999999999</v>
      </c>
      <c r="P271" s="43">
        <f t="shared" ca="1" si="14"/>
        <v>5.2760882613510525E-4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input_385103!A$2</f>
        <v>385103</v>
      </c>
      <c r="B272" s="7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2">
        <f ca="1">IFERROR(VLOOKUP(B272,input_385103!L:R,7,FALSE),VLOOKUP(tables_385103!C272,input_385103!A:H,8,FALSE))</f>
        <v>1978</v>
      </c>
      <c r="P272" s="43">
        <f t="shared" ca="1" si="14"/>
        <v>1.0952380952380953E-3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input_385103!A$2</f>
        <v>385103</v>
      </c>
      <c r="B273" s="7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2">
        <f ca="1">IFERROR(VLOOKUP(B273,input_385103!L:R,7,FALSE),VLOOKUP(tables_385103!C273,input_385103!A:H,8,FALSE))</f>
        <v>1978</v>
      </c>
      <c r="P273" s="43">
        <f t="shared" ca="1" si="14"/>
        <v>1.0952380952380953E-3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input_385103!A$2</f>
        <v>385103</v>
      </c>
      <c r="B274" s="7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2">
        <f ca="1">IFERROR(VLOOKUP(B274,input_385103!L:R,7,FALSE),VLOOKUP(tables_385103!C274,input_385103!A:H,8,FALSE))</f>
        <v>13965</v>
      </c>
      <c r="P274" s="43">
        <f t="shared" ca="1" si="14"/>
        <v>7.7325581395348841E-3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input_385103!A$2</f>
        <v>385103</v>
      </c>
      <c r="B275" s="7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2">
        <f ca="1">IFERROR(VLOOKUP(B275,input_385103!L:R,7,FALSE),VLOOKUP(tables_385103!C275,input_385103!A:H,8,FALSE))</f>
        <v>735</v>
      </c>
      <c r="P275" s="43">
        <f t="shared" ca="1" si="14"/>
        <v>4.0697674418604653E-4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input_385103!A$2</f>
        <v>385103</v>
      </c>
      <c r="B276" s="7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2">
        <f ca="1">IFERROR(VLOOKUP(B276,input_385103!L:R,7,FALSE),VLOOKUP(tables_385103!C276,input_385103!A:H,8,FALSE))</f>
        <v>13965</v>
      </c>
      <c r="P276" s="43">
        <f t="shared" ca="1" si="14"/>
        <v>7.7325581395348841E-3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input_385103!A$2</f>
        <v>385103</v>
      </c>
      <c r="B277" s="7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2">
        <f ca="1">IFERROR(VLOOKUP(B277,input_385103!L:R,7,FALSE),VLOOKUP(tables_385103!C277,input_385103!A:H,8,FALSE))</f>
        <v>735</v>
      </c>
      <c r="P277" s="43">
        <f t="shared" ca="1" si="14"/>
        <v>4.0697674418604653E-4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input_385103!A$2</f>
        <v>385103</v>
      </c>
      <c r="B278" s="7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2">
        <f ca="1">IFERROR(VLOOKUP(B278,input_385103!L:R,7,FALSE),VLOOKUP(tables_385103!C278,input_385103!A:H,8,FALSE))</f>
        <v>13965</v>
      </c>
      <c r="P278" s="43">
        <f t="shared" ca="1" si="14"/>
        <v>7.7325581395348841E-3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input_385103!A$2</f>
        <v>385103</v>
      </c>
      <c r="B279" s="7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2">
        <f ca="1">IFERROR(VLOOKUP(B279,input_385103!L:R,7,FALSE),VLOOKUP(tables_385103!C279,input_385103!A:H,8,FALSE))</f>
        <v>735</v>
      </c>
      <c r="P279" s="43">
        <f t="shared" ca="1" si="14"/>
        <v>4.0697674418604653E-4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input_385103!A$2</f>
        <v>385103</v>
      </c>
      <c r="B280" s="7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2">
        <f ca="1">IFERROR(VLOOKUP(B280,input_385103!L:R,7,FALSE),VLOOKUP(tables_385103!C280,input_385103!A:H,8,FALSE))</f>
        <v>13965</v>
      </c>
      <c r="P280" s="43">
        <f t="shared" ca="1" si="14"/>
        <v>7.7325581395348841E-3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input_385103!A$2</f>
        <v>385103</v>
      </c>
      <c r="B281" s="7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2">
        <f ca="1">IFERROR(VLOOKUP(B281,input_385103!L:R,7,FALSE),VLOOKUP(tables_385103!C281,input_385103!A:H,8,FALSE))</f>
        <v>735</v>
      </c>
      <c r="P281" s="43">
        <f t="shared" ca="1" si="14"/>
        <v>4.0697674418604653E-4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input_385103!A$2</f>
        <v>385103</v>
      </c>
      <c r="B282" s="7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2">
        <f ca="1">IFERROR(VLOOKUP(B282,input_385103!L:R,7,FALSE),VLOOKUP(tables_385103!C282,input_385103!A:H,8,FALSE))</f>
        <v>1978</v>
      </c>
      <c r="P282" s="43">
        <f t="shared" ca="1" si="14"/>
        <v>1.0952380952380953E-3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input_385103!A$2</f>
        <v>385103</v>
      </c>
      <c r="B283" s="7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2">
        <f ca="1">IFERROR(VLOOKUP(B283,input_385103!L:R,7,FALSE),VLOOKUP(tables_385103!C283,input_385103!A:H,8,FALSE))</f>
        <v>1978</v>
      </c>
      <c r="P283" s="43">
        <f t="shared" ca="1" si="14"/>
        <v>1.0952380952380953E-3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input_385103!A$2</f>
        <v>385103</v>
      </c>
      <c r="B284" s="80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IFERROR(VLOOKUP(B284,input_385103!L:R,7,FALSE),VLOOKUP(tables_385103!C284,input_385103!A:H,8,FALSE))</f>
        <v>1978</v>
      </c>
      <c r="P284" s="43">
        <f t="shared" ca="1" si="14"/>
        <v>1.0952380952380953E-3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input_385103!A$2</f>
        <v>385103</v>
      </c>
      <c r="B285" s="80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IFERROR(VLOOKUP(B285,input_385103!L:R,7,FALSE),VLOOKUP(tables_385103!C285,input_385103!A:H,8,FALSE))</f>
        <v>1978</v>
      </c>
      <c r="P285" s="43">
        <f t="shared" ca="1" si="14"/>
        <v>1.0952380952380953E-3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input_385103!A$2</f>
        <v>385103</v>
      </c>
      <c r="B286" s="80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IFERROR(VLOOKUP(B286,input_385103!L:R,7,FALSE),VLOOKUP(tables_385103!C286,input_385103!A:H,8,FALSE))</f>
        <v>13965</v>
      </c>
      <c r="P286" s="43">
        <f t="shared" ca="1" si="14"/>
        <v>7.7325581395348841E-3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input_385103!A$2</f>
        <v>385103</v>
      </c>
      <c r="B287" s="80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IFERROR(VLOOKUP(B287,input_385103!L:R,7,FALSE),VLOOKUP(tables_385103!C287,input_385103!A:H,8,FALSE))</f>
        <v>735</v>
      </c>
      <c r="P287" s="43">
        <f t="shared" ca="1" si="14"/>
        <v>4.0697674418604653E-4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input_385103!A$2</f>
        <v>385103</v>
      </c>
      <c r="B288" s="80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IFERROR(VLOOKUP(B288,input_385103!L:R,7,FALSE),VLOOKUP(tables_385103!C288,input_385103!A:H,8,FALSE))</f>
        <v>13965</v>
      </c>
      <c r="P288" s="43">
        <f t="shared" ca="1" si="14"/>
        <v>7.7325581395348841E-3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input_385103!A$2</f>
        <v>385103</v>
      </c>
      <c r="B289" s="80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IFERROR(VLOOKUP(B289,input_385103!L:R,7,FALSE),VLOOKUP(tables_385103!C289,input_385103!A:H,8,FALSE))</f>
        <v>735</v>
      </c>
      <c r="P289" s="43">
        <f t="shared" ca="1" si="14"/>
        <v>4.0697674418604653E-4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input_385103!A$2</f>
        <v>385103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2">
        <f ca="1">IFERROR(VLOOKUP(B290,input_385103!L:R,7,FALSE),VLOOKUP(tables_385103!C290,input_385103!A:H,8,FALSE))</f>
        <v>1978</v>
      </c>
      <c r="P290" s="43">
        <f t="shared" ca="1" si="14"/>
        <v>1.0952380952380953E-3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input_385103!A$2</f>
        <v>385103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2">
        <f ca="1">IFERROR(VLOOKUP(B291,input_385103!L:R,7,FALSE),VLOOKUP(tables_385103!C291,input_385103!A:H,8,FALSE))</f>
        <v>13965</v>
      </c>
      <c r="P291" s="43">
        <f t="shared" ca="1" si="14"/>
        <v>7.7325581395348841E-3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input_385103!A$2</f>
        <v>385103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2">
        <f ca="1">IFERROR(VLOOKUP(B292,input_385103!L:R,7,FALSE),VLOOKUP(tables_385103!C292,input_385103!A:H,8,FALSE))</f>
        <v>735</v>
      </c>
      <c r="P292" s="43">
        <f t="shared" ca="1" si="14"/>
        <v>4.0697674418604653E-4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input_385103!A$2</f>
        <v>385103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2">
        <f ca="1">IFERROR(VLOOKUP(B293,input_385103!L:R,7,FALSE),VLOOKUP(tables_385103!C293,input_385103!A:H,8,FALSE))</f>
        <v>1978</v>
      </c>
      <c r="P293" s="43">
        <f t="shared" ca="1" si="14"/>
        <v>1.0952380952380953E-3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input_385103!A$2</f>
        <v>385103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IFERROR(VLOOKUP(B294,input_385103!L:R,7,FALSE),VLOOKUP(tables_385103!C294,input_385103!A:H,8,FALSE))</f>
        <v>1978</v>
      </c>
      <c r="P294" s="43">
        <f t="shared" ca="1" si="14"/>
        <v>1.0952380952380953E-3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input_385103!A$2</f>
        <v>385103</v>
      </c>
      <c r="B295" s="5">
        <v>1012</v>
      </c>
      <c r="C295" s="7" t="str">
        <f t="shared" ref="C295:C306" si="23">D295&amp;J295&amp;E295&amp;F295&amp;G295</f>
        <v>PremiumSS5R5only</v>
      </c>
      <c r="D295" s="7" t="str">
        <f t="shared" ref="D295:D306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2">
        <f ca="1">IFERROR(VLOOKUP(B295,input_385103!L:R,7,FALSE),VLOOKUP(tables_385103!C295,input_385103!A:H,8,FALSE))</f>
        <v>1978</v>
      </c>
      <c r="P295" s="43">
        <f t="shared" ca="1" si="14"/>
        <v>1.0952380952380953E-3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input_385103!A$2</f>
        <v>385103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2">
        <f ca="1">IFERROR(VLOOKUP(B296,input_385103!L:R,7,FALSE),VLOOKUP(tables_385103!C296,input_385103!A:H,8,FALSE))</f>
        <v>1978</v>
      </c>
      <c r="P296" s="43">
        <f t="shared" ca="1" si="14"/>
        <v>1.0952380952380953E-3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input_385103!A$2</f>
        <v>385103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2">
        <f ca="1">IFERROR(VLOOKUP(B297,input_385103!L:R,7,FALSE),VLOOKUP(tables_385103!C297,input_385103!A:H,8,FALSE))</f>
        <v>13965</v>
      </c>
      <c r="P297" s="43">
        <f t="shared" ca="1" si="14"/>
        <v>7.7325581395348841E-3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input_385103!A$2</f>
        <v>385103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2">
        <f ca="1">IFERROR(VLOOKUP(B298,input_385103!L:R,7,FALSE),VLOOKUP(tables_385103!C298,input_385103!A:H,8,FALSE))</f>
        <v>735</v>
      </c>
      <c r="P298" s="43">
        <f t="shared" ca="1" si="14"/>
        <v>4.0697674418604653E-4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input_385103!A$2</f>
        <v>385103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2">
        <f ca="1">IFERROR(VLOOKUP(B299,input_385103!L:R,7,FALSE),VLOOKUP(tables_385103!C299,input_385103!A:H,8,FALSE))</f>
        <v>1978</v>
      </c>
      <c r="P299" s="43">
        <f t="shared" ca="1" si="14"/>
        <v>1.0952380952380953E-3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input_385103!A$2</f>
        <v>385103</v>
      </c>
      <c r="B300" s="5">
        <v>985</v>
      </c>
      <c r="C300" s="7" t="str">
        <f t="shared" si="23"/>
        <v>PremiumSS5R5only</v>
      </c>
      <c r="D300" s="7" t="str">
        <f t="shared" si="24"/>
        <v>PremiumSS</v>
      </c>
      <c r="E300" s="7" t="str">
        <f>IF(COUNTIF('R6追加前'!A:A,B300)=0,IF(I300="PremiumSS","R5only","R3less"),"")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エレン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balance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>IFERROR(VLOOKUP(B300,input_385103!L:R,7,FALSE),VLOOKUP(tables_385103!C300,input_385103!A:H,8,FALSE))</f>
        <v>7224</v>
      </c>
      <c r="P300" s="43">
        <f t="shared" ca="1" si="14"/>
        <v>4.0000000000000001E-3</v>
      </c>
      <c r="Q300" s="28">
        <v>80</v>
      </c>
      <c r="R300" s="28">
        <v>0</v>
      </c>
      <c r="S300" s="28">
        <v>0</v>
      </c>
      <c r="T300" s="28">
        <v>0</v>
      </c>
      <c r="U300" s="28">
        <v>0</v>
      </c>
      <c r="V300" s="28">
        <v>3</v>
      </c>
    </row>
    <row r="301" spans="1:22" ht="21" customHeight="1" x14ac:dyDescent="0.15">
      <c r="A301" s="2" t="str">
        <f ca="1">input_385103!A$2</f>
        <v>385103</v>
      </c>
      <c r="B301" s="5">
        <v>992</v>
      </c>
      <c r="C301" s="7" t="str">
        <f t="shared" si="23"/>
        <v>Premium4R3less</v>
      </c>
      <c r="D301" s="7" t="str">
        <f t="shared" si="24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ハンジ</v>
      </c>
      <c r="I301" s="7" t="str">
        <f>VLOOKUP(B301,[1]characters!$A:$J,10,FALSE)</f>
        <v>PremiumS</v>
      </c>
      <c r="J301" s="7">
        <f>VLOOKUP(B301,[1]characters!$A:$I,9,FALSE)</f>
        <v>4</v>
      </c>
      <c r="K301" s="7" t="str">
        <f>VLOOKUP(B301,[1]characters!$A:$H,8,FALSE)</f>
        <v>green</v>
      </c>
      <c r="L301" s="7" t="str">
        <f>VLOOKUP(B301,[1]characters!$A:$K,11,FALSE)</f>
        <v>technical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2">
        <f>IFERROR(VLOOKUP(B301,input_385103!L:R,7,FALSE),VLOOKUP(tables_385103!C301,input_385103!A:H,8,FALSE))</f>
        <v>81270</v>
      </c>
      <c r="P301" s="43">
        <f t="shared" ca="1" si="14"/>
        <v>4.4999999999999998E-2</v>
      </c>
      <c r="Q301" s="28">
        <v>60</v>
      </c>
      <c r="R301" s="28">
        <v>0</v>
      </c>
      <c r="S301" s="28">
        <v>0</v>
      </c>
      <c r="T301" s="28">
        <v>0</v>
      </c>
      <c r="U301" s="28">
        <v>0</v>
      </c>
      <c r="V301" s="28">
        <v>3</v>
      </c>
    </row>
    <row r="302" spans="1:22" ht="21" customHeight="1" x14ac:dyDescent="0.15">
      <c r="A302" s="2" t="str">
        <f ca="1">input_385103!A$2</f>
        <v>385103</v>
      </c>
      <c r="B302" s="5">
        <v>993</v>
      </c>
      <c r="C302" s="7" t="str">
        <f t="shared" si="23"/>
        <v>Premium5R3less</v>
      </c>
      <c r="D302" s="7" t="str">
        <f t="shared" si="24"/>
        <v>Premium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巨躯への執着 ハンジ</v>
      </c>
      <c r="I302" s="7" t="str">
        <f>VLOOKUP(B302,[1]characters!$A:$J,10,FALSE)</f>
        <v>PremiumS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2">
        <f>IFERROR(VLOOKUP(B302,input_385103!L:R,7,FALSE),VLOOKUP(tables_385103!C302,input_385103!A:H,8,FALSE))</f>
        <v>9030</v>
      </c>
      <c r="P302" s="43">
        <f t="shared" ca="1" si="14"/>
        <v>5.0000000000000001E-3</v>
      </c>
      <c r="Q302" s="28">
        <v>80</v>
      </c>
      <c r="R302" s="28">
        <v>0</v>
      </c>
      <c r="S302" s="28">
        <v>0</v>
      </c>
      <c r="T302" s="28">
        <v>0</v>
      </c>
      <c r="U302" s="28">
        <v>0</v>
      </c>
      <c r="V302" s="28">
        <v>3</v>
      </c>
    </row>
    <row r="303" spans="1:22" ht="21" customHeight="1" x14ac:dyDescent="0.15">
      <c r="A303" s="2" t="str">
        <f ca="1">input_385103!A$2</f>
        <v>385103</v>
      </c>
      <c r="B303" s="5">
        <v>998</v>
      </c>
      <c r="C303" s="7" t="str">
        <f t="shared" si="23"/>
        <v>Premium4R3less</v>
      </c>
      <c r="D303" s="7" t="str">
        <f t="shared" si="24"/>
        <v>Premium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サシャ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hp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2">
        <f>IFERROR(VLOOKUP(B303,input_385103!L:R,7,FALSE),VLOOKUP(tables_385103!C303,input_385103!A:H,8,FALSE))</f>
        <v>162540</v>
      </c>
      <c r="P303" s="43">
        <f t="shared" ca="1" si="14"/>
        <v>0.09</v>
      </c>
      <c r="Q303" s="28">
        <v>60</v>
      </c>
      <c r="R303" s="28">
        <v>0</v>
      </c>
      <c r="S303" s="28">
        <v>0</v>
      </c>
      <c r="T303" s="28">
        <v>0</v>
      </c>
      <c r="U303" s="28">
        <v>0</v>
      </c>
      <c r="V303" s="28">
        <v>3</v>
      </c>
    </row>
    <row r="304" spans="1:22" ht="21" customHeight="1" x14ac:dyDescent="0.15">
      <c r="A304" s="2" t="str">
        <f ca="1">input_385103!A$2</f>
        <v>385103</v>
      </c>
      <c r="B304" s="5">
        <v>999</v>
      </c>
      <c r="C304" s="7" t="str">
        <f t="shared" si="23"/>
        <v>Premium5R3less</v>
      </c>
      <c r="D304" s="7" t="str">
        <f t="shared" si="24"/>
        <v>Premium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無尽蔵の食猟 サシャ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hp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2">
        <f>IFERROR(VLOOKUP(B304,input_385103!L:R,7,FALSE),VLOOKUP(tables_385103!C304,input_385103!A:H,8,FALSE))</f>
        <v>18060</v>
      </c>
      <c r="P304" s="43">
        <f t="shared" ca="1" si="14"/>
        <v>0.01</v>
      </c>
      <c r="Q304" s="28">
        <v>80</v>
      </c>
      <c r="R304" s="28">
        <v>0</v>
      </c>
      <c r="S304" s="28">
        <v>0</v>
      </c>
      <c r="T304" s="28">
        <v>0</v>
      </c>
      <c r="U304" s="28">
        <v>0</v>
      </c>
      <c r="V304" s="28">
        <v>3</v>
      </c>
    </row>
    <row r="305" spans="1:22" ht="21" customHeight="1" x14ac:dyDescent="0.15">
      <c r="A305" s="2" t="str">
        <f ca="1">input_385103!A$2</f>
        <v>385103</v>
      </c>
      <c r="B305" s="5">
        <v>1002</v>
      </c>
      <c r="C305" s="7" t="str">
        <f t="shared" si="23"/>
        <v>Premium4R3less</v>
      </c>
      <c r="D305" s="7" t="str">
        <f t="shared" si="24"/>
        <v>Premium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ジャン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yellow</v>
      </c>
      <c r="L305" s="7" t="str">
        <f>VLOOKUP(B305,[1]characters!$A:$K,11,FALSE)</f>
        <v>balance</v>
      </c>
      <c r="M305" s="7" t="str">
        <f>VLOOKUP(B305,[1]characters!$A:$M,13,FALSE)</f>
        <v>human</v>
      </c>
      <c r="N305" s="7" t="str">
        <f>VLOOKUP(B305,[1]characters!$A:$G,7,FALSE)</f>
        <v>男性</v>
      </c>
      <c r="O305" s="42">
        <f>IFERROR(VLOOKUP(B305,input_385103!L:R,7,FALSE),VLOOKUP(tables_385103!C305,input_385103!A:H,8,FALSE))</f>
        <v>162540</v>
      </c>
      <c r="P305" s="43">
        <f t="shared" ca="1" si="14"/>
        <v>0.09</v>
      </c>
      <c r="Q305" s="28">
        <v>60</v>
      </c>
      <c r="R305" s="28">
        <v>0</v>
      </c>
      <c r="S305" s="28">
        <v>0</v>
      </c>
      <c r="T305" s="28">
        <v>0</v>
      </c>
      <c r="U305" s="28">
        <v>0</v>
      </c>
      <c r="V305" s="28">
        <v>3</v>
      </c>
    </row>
    <row r="306" spans="1:22" ht="21" customHeight="1" x14ac:dyDescent="0.15">
      <c r="A306" s="2" t="str">
        <f ca="1">input_385103!A$2</f>
        <v>385103</v>
      </c>
      <c r="B306" s="5">
        <v>1003</v>
      </c>
      <c r="C306" s="7" t="str">
        <f t="shared" si="23"/>
        <v>Premium5R3less</v>
      </c>
      <c r="D306" s="7" t="str">
        <f t="shared" si="24"/>
        <v>Premium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真義の勇抱 ジャン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yellow</v>
      </c>
      <c r="L306" s="7" t="str">
        <f>VLOOKUP(B306,[1]characters!$A:$K,11,FALSE)</f>
        <v>balance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>IFERROR(VLOOKUP(B306,input_385103!L:R,7,FALSE),VLOOKUP(tables_385103!C306,input_385103!A:H,8,FALSE))</f>
        <v>18060</v>
      </c>
      <c r="P306" s="43">
        <f t="shared" ca="1" si="14"/>
        <v>0.01</v>
      </c>
      <c r="Q306" s="28">
        <v>80</v>
      </c>
      <c r="R306" s="28">
        <v>0</v>
      </c>
      <c r="S306" s="28">
        <v>0</v>
      </c>
      <c r="T306" s="28">
        <v>0</v>
      </c>
      <c r="U306" s="28">
        <v>0</v>
      </c>
      <c r="V306" s="28">
        <v>3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workbookViewId="0">
      <selection activeCell="O300" sqref="O30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5" t="s">
        <v>80</v>
      </c>
      <c r="B1" s="45"/>
      <c r="L1" s="35" t="s">
        <v>59</v>
      </c>
      <c r="M1" s="35"/>
      <c r="U1" t="s">
        <v>59</v>
      </c>
    </row>
    <row r="2" spans="1:22" x14ac:dyDescent="0.15">
      <c r="A2" t="str">
        <f ca="1">RIGHT(RIGHT(CELL("filename",A2),LEN(CELL("filename",A2))-FIND("]",CELL("filename",A2))),6)</f>
        <v>385104</v>
      </c>
      <c r="L2" s="30" t="s">
        <v>1</v>
      </c>
      <c r="M2" s="34" t="s">
        <v>63</v>
      </c>
      <c r="N2" s="30" t="s">
        <v>61</v>
      </c>
      <c r="O2" s="34" t="s">
        <v>64</v>
      </c>
      <c r="P2" s="34" t="s">
        <v>65</v>
      </c>
      <c r="Q2" s="34" t="s">
        <v>62</v>
      </c>
      <c r="R2" s="41" t="s">
        <v>71</v>
      </c>
      <c r="U2" s="30" t="s">
        <v>164</v>
      </c>
      <c r="V2" s="51">
        <f t="shared" ref="V2:V16" si="0">SUMIF(Q:Q,U2,N:N)</f>
        <v>0</v>
      </c>
    </row>
    <row r="3" spans="1:22" x14ac:dyDescent="0.15">
      <c r="H3" s="66" t="s">
        <v>185</v>
      </c>
      <c r="L3" s="5">
        <v>985</v>
      </c>
      <c r="M3" s="34" t="str">
        <f>VLOOKUP(L3,[1]characters!$A:$C,3,FALSE)</f>
        <v>エレン</v>
      </c>
      <c r="N3" s="60">
        <v>8.0000000000000002E-3</v>
      </c>
      <c r="O3" s="34">
        <f>VLOOKUP(L3,[1]characters!$A:$I,9,FALSE)</f>
        <v>5</v>
      </c>
      <c r="P3" s="34" t="str">
        <f>VLOOKUP(L3,[1]characters!$A:$J,10,FALSE)</f>
        <v>PremiumSS</v>
      </c>
      <c r="Q3" s="34" t="str">
        <f>VLOOKUP(L3,tables_385104!B:C,2,FALSE)</f>
        <v>PremiumSS5R5only</v>
      </c>
      <c r="R3" s="59">
        <f t="shared" ref="R3:R20" si="1">N3*A$36</f>
        <v>14448</v>
      </c>
      <c r="S3">
        <v>190</v>
      </c>
      <c r="U3" s="30" t="s">
        <v>165</v>
      </c>
      <c r="V3" s="51">
        <f t="shared" si="0"/>
        <v>0</v>
      </c>
    </row>
    <row r="4" spans="1:22" x14ac:dyDescent="0.15">
      <c r="A4" s="31" t="s">
        <v>51</v>
      </c>
      <c r="B4" s="31"/>
      <c r="D4" t="s">
        <v>174</v>
      </c>
      <c r="F4" t="s">
        <v>177</v>
      </c>
      <c r="H4" t="s">
        <v>183</v>
      </c>
      <c r="I4" t="s">
        <v>184</v>
      </c>
      <c r="L4" s="5">
        <v>992</v>
      </c>
      <c r="M4" s="34" t="str">
        <f>VLOOKUP(L4,[1]characters!$A:$C,3,FALSE)</f>
        <v>ハンジ</v>
      </c>
      <c r="N4" s="60">
        <v>4.4999999999999998E-2</v>
      </c>
      <c r="O4" s="34">
        <f>VLOOKUP(L4,[1]characters!$A:$I,9,FALSE)</f>
        <v>4</v>
      </c>
      <c r="P4" s="34" t="str">
        <f>VLOOKUP(L4,[1]characters!$A:$J,10,FALSE)</f>
        <v>PremiumS</v>
      </c>
      <c r="Q4" s="34" t="str">
        <f>VLOOKUP(L4,tables_385104!B:C,2,FALSE)</f>
        <v>Premium4R3less</v>
      </c>
      <c r="R4" s="59">
        <f t="shared" si="1"/>
        <v>81270</v>
      </c>
      <c r="S4">
        <v>191</v>
      </c>
      <c r="U4" s="30" t="s">
        <v>95</v>
      </c>
      <c r="V4" s="51">
        <f t="shared" si="0"/>
        <v>0</v>
      </c>
    </row>
    <row r="5" spans="1:22" x14ac:dyDescent="0.15">
      <c r="A5" s="30" t="s">
        <v>66</v>
      </c>
      <c r="B5" s="65">
        <v>0</v>
      </c>
      <c r="D5" t="s">
        <v>175</v>
      </c>
      <c r="E5" s="40">
        <f>(B11-H5)/(F5-I5)</f>
        <v>1E-3</v>
      </c>
      <c r="F5">
        <f>(COUNTIF(tables_385104!C:C,input_385104!A28)+COUNTIF(tables_385104!C:C,input_385104!A29))</f>
        <v>43</v>
      </c>
      <c r="H5" s="77">
        <v>8.0000000000000002E-3</v>
      </c>
      <c r="I5" s="29">
        <v>1</v>
      </c>
      <c r="L5" s="5">
        <v>993</v>
      </c>
      <c r="M5" s="34" t="str">
        <f>VLOOKUP(L5,[1]characters!$A:$C,3,FALSE)</f>
        <v>巨躯への執着 ハンジ</v>
      </c>
      <c r="N5" s="60">
        <v>5.0000000000000001E-3</v>
      </c>
      <c r="O5" s="34">
        <f>VLOOKUP(L5,[1]characters!$A:$I,9,FALSE)</f>
        <v>5</v>
      </c>
      <c r="P5" s="34" t="str">
        <f>VLOOKUP(L5,[1]characters!$A:$J,10,FALSE)</f>
        <v>PremiumS</v>
      </c>
      <c r="Q5" s="34" t="str">
        <f>VLOOKUP(L5,tables_385104!B:C,2,FALSE)</f>
        <v>Premium5R3less</v>
      </c>
      <c r="R5" s="59">
        <f t="shared" si="1"/>
        <v>9030</v>
      </c>
      <c r="S5">
        <v>192</v>
      </c>
      <c r="U5" s="30" t="s">
        <v>96</v>
      </c>
      <c r="V5" s="51">
        <f t="shared" si="0"/>
        <v>0</v>
      </c>
    </row>
    <row r="6" spans="1:22" x14ac:dyDescent="0.15">
      <c r="A6" s="30" t="s">
        <v>67</v>
      </c>
      <c r="B6" s="65">
        <v>0.95</v>
      </c>
      <c r="D6" t="s">
        <v>176</v>
      </c>
      <c r="E6" s="69">
        <f>(B10-H6)/(F6-I6)</f>
        <v>8.1395348837209301E-3</v>
      </c>
      <c r="F6">
        <f>(COUNTIF(tables_385104!C:C,input_385104!A25)+COUNTIF(tables_385104!C:C,input_385104!A18)+COUNTIF(tables_385104!C:C,input_385104!A20)+COUNTIF(tables_385104!C:C,input_385104!A22))</f>
        <v>89</v>
      </c>
      <c r="H6" s="79">
        <v>0.25</v>
      </c>
      <c r="I6" s="29">
        <v>3</v>
      </c>
      <c r="L6" s="5">
        <v>998</v>
      </c>
      <c r="M6" s="34" t="str">
        <f>VLOOKUP(L6,[1]characters!$A:$C,3,FALSE)</f>
        <v>サシャ</v>
      </c>
      <c r="N6" s="60">
        <v>0.09</v>
      </c>
      <c r="O6" s="34">
        <f>VLOOKUP(L6,[1]characters!$A:$I,9,FALSE)</f>
        <v>4</v>
      </c>
      <c r="P6" s="34" t="str">
        <f>VLOOKUP(L6,[1]characters!$A:$J,10,FALSE)</f>
        <v>PremiumS</v>
      </c>
      <c r="Q6" s="34" t="str">
        <f>VLOOKUP(L6,tables_385104!B:C,2,FALSE)</f>
        <v>Premium4R3less</v>
      </c>
      <c r="R6" s="59">
        <f t="shared" si="1"/>
        <v>162540</v>
      </c>
      <c r="S6">
        <v>596</v>
      </c>
      <c r="U6" s="30" t="s">
        <v>97</v>
      </c>
      <c r="V6" s="51">
        <f t="shared" si="0"/>
        <v>0</v>
      </c>
    </row>
    <row r="7" spans="1:22" x14ac:dyDescent="0.15">
      <c r="A7" s="30" t="s">
        <v>68</v>
      </c>
      <c r="B7" s="65">
        <v>0.05</v>
      </c>
      <c r="L7" s="5">
        <v>999</v>
      </c>
      <c r="M7" s="34" t="str">
        <f>VLOOKUP(L7,[1]characters!$A:$C,3,FALSE)</f>
        <v>無尽蔵の食猟 サシャ</v>
      </c>
      <c r="N7" s="60">
        <v>0.01</v>
      </c>
      <c r="O7" s="34">
        <f>VLOOKUP(L7,[1]characters!$A:$I,9,FALSE)</f>
        <v>5</v>
      </c>
      <c r="P7" s="34" t="str">
        <f>VLOOKUP(L7,[1]characters!$A:$J,10,FALSE)</f>
        <v>PremiumS</v>
      </c>
      <c r="Q7" s="34" t="str">
        <f>VLOOKUP(L7,tables_385104!B:C,2,FALSE)</f>
        <v>Premium5R3less</v>
      </c>
      <c r="R7" s="59">
        <f t="shared" si="1"/>
        <v>18060</v>
      </c>
      <c r="S7">
        <v>597</v>
      </c>
      <c r="U7" s="30" t="s">
        <v>170</v>
      </c>
      <c r="V7" s="51">
        <f t="shared" si="0"/>
        <v>0.22500000000000001</v>
      </c>
    </row>
    <row r="8" spans="1:22" x14ac:dyDescent="0.15">
      <c r="A8" s="54"/>
      <c r="B8" s="64"/>
      <c r="E8" s="69"/>
      <c r="L8" s="5">
        <v>1002</v>
      </c>
      <c r="M8" s="34" t="str">
        <f>VLOOKUP(L8,[1]characters!$A:$C,3,FALSE)</f>
        <v>ジャン</v>
      </c>
      <c r="N8" s="60">
        <v>0.09</v>
      </c>
      <c r="O8" s="34">
        <f>VLOOKUP(L8,[1]characters!$A:$I,9,FALSE)</f>
        <v>4</v>
      </c>
      <c r="P8" s="34" t="str">
        <f>VLOOKUP(L8,[1]characters!$A:$J,10,FALSE)</f>
        <v>PremiumS</v>
      </c>
      <c r="Q8" s="34" t="str">
        <f>VLOOKUP(L8,tables_385104!B:C,2,FALSE)</f>
        <v>Premium4R3less</v>
      </c>
      <c r="R8" s="59">
        <f t="shared" si="1"/>
        <v>162540</v>
      </c>
      <c r="S8">
        <v>598</v>
      </c>
      <c r="U8" s="30" t="s">
        <v>171</v>
      </c>
      <c r="V8" s="51">
        <f t="shared" si="0"/>
        <v>2.5000000000000001E-2</v>
      </c>
    </row>
    <row r="9" spans="1:22" x14ac:dyDescent="0.15">
      <c r="A9" s="32" t="s">
        <v>52</v>
      </c>
      <c r="B9" s="32"/>
      <c r="L9" s="5">
        <v>1003</v>
      </c>
      <c r="M9" s="34" t="str">
        <f>VLOOKUP(L9,[1]characters!$A:$C,3,FALSE)</f>
        <v>真義の勇抱 ジャン</v>
      </c>
      <c r="N9" s="60">
        <v>0.01</v>
      </c>
      <c r="O9" s="34">
        <f>VLOOKUP(L9,[1]characters!$A:$I,9,FALSE)</f>
        <v>5</v>
      </c>
      <c r="P9" s="34" t="str">
        <f>VLOOKUP(L9,[1]characters!$A:$J,10,FALSE)</f>
        <v>PremiumS</v>
      </c>
      <c r="Q9" s="34" t="str">
        <f>VLOOKUP(L9,tables_385104!B:C,2,FALSE)</f>
        <v>Premium5R3less</v>
      </c>
      <c r="R9" s="59">
        <f t="shared" si="1"/>
        <v>18060</v>
      </c>
      <c r="S9">
        <v>390</v>
      </c>
      <c r="U9" s="30" t="s">
        <v>167</v>
      </c>
      <c r="V9" s="51">
        <f t="shared" si="0"/>
        <v>0</v>
      </c>
    </row>
    <row r="10" spans="1:22" x14ac:dyDescent="0.15">
      <c r="A10" s="30" t="s">
        <v>94</v>
      </c>
      <c r="B10" s="65">
        <f>1-B11-B12</f>
        <v>0.95</v>
      </c>
      <c r="C10" t="s">
        <v>182</v>
      </c>
      <c r="M10" s="34" t="e">
        <f>VLOOKUP(L10,[1]characters!$A:$C,3,FALSE)</f>
        <v>#N/A</v>
      </c>
      <c r="N10" s="60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VLOOKUP(L10,tables_385104!B:C,2,FALSE)</f>
        <v>#N/A</v>
      </c>
      <c r="R10" s="59">
        <f t="shared" si="1"/>
        <v>0</v>
      </c>
      <c r="S10">
        <v>391</v>
      </c>
      <c r="U10" s="30" t="s">
        <v>168</v>
      </c>
      <c r="V10" s="51">
        <f t="shared" si="0"/>
        <v>0</v>
      </c>
    </row>
    <row r="11" spans="1:22" x14ac:dyDescent="0.15">
      <c r="A11" s="30" t="s">
        <v>54</v>
      </c>
      <c r="B11" s="70">
        <v>0.05</v>
      </c>
      <c r="C11" t="s">
        <v>210</v>
      </c>
      <c r="M11" s="34" t="e">
        <f>VLOOKUP(L11,[1]characters!$A:$C,3,FALSE)</f>
        <v>#N/A</v>
      </c>
      <c r="N11" s="60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VLOOKUP(L11,tables_385104!B:C,2,FALSE)</f>
        <v>#N/A</v>
      </c>
      <c r="R11" s="59">
        <f t="shared" si="1"/>
        <v>0</v>
      </c>
      <c r="S11">
        <v>811</v>
      </c>
      <c r="U11" s="30" t="s">
        <v>169</v>
      </c>
      <c r="V11" s="51">
        <f t="shared" si="0"/>
        <v>0</v>
      </c>
    </row>
    <row r="12" spans="1:22" x14ac:dyDescent="0.15">
      <c r="A12" s="30" t="s">
        <v>53</v>
      </c>
      <c r="B12" s="65">
        <v>0</v>
      </c>
      <c r="M12" s="34" t="e">
        <f>VLOOKUP(L12,[1]characters!$A:$C,3,FALSE)</f>
        <v>#N/A</v>
      </c>
      <c r="N12" s="60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VLOOKUP(L12,tables_385104!B:C,2,FALSE)</f>
        <v>#N/A</v>
      </c>
      <c r="R12" s="59">
        <f t="shared" si="1"/>
        <v>0</v>
      </c>
      <c r="S12">
        <v>496</v>
      </c>
      <c r="U12" s="30" t="s">
        <v>104</v>
      </c>
      <c r="V12" s="51">
        <f t="shared" si="0"/>
        <v>0</v>
      </c>
    </row>
    <row r="13" spans="1:22" x14ac:dyDescent="0.15">
      <c r="M13" s="34" t="e">
        <f>VLOOKUP(L13,[1]characters!$A:$C,3,FALSE)</f>
        <v>#N/A</v>
      </c>
      <c r="N13" s="60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VLOOKUP(L13,tables_385104!B:C,2,FALSE)</f>
        <v>#N/A</v>
      </c>
      <c r="R13" s="59">
        <f t="shared" si="1"/>
        <v>0</v>
      </c>
      <c r="S13">
        <v>497</v>
      </c>
      <c r="U13" s="30" t="s">
        <v>105</v>
      </c>
      <c r="V13" s="51">
        <f t="shared" si="0"/>
        <v>0</v>
      </c>
    </row>
    <row r="14" spans="1:22" x14ac:dyDescent="0.15">
      <c r="M14" s="34" t="e">
        <f>VLOOKUP(L14,[1]characters!$A:$C,3,FALSE)</f>
        <v>#N/A</v>
      </c>
      <c r="N14" s="60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VLOOKUP(L14,tables_385104!B:C,2,FALSE)</f>
        <v>#N/A</v>
      </c>
      <c r="R14" s="59">
        <f t="shared" si="1"/>
        <v>0</v>
      </c>
      <c r="S14">
        <v>498</v>
      </c>
      <c r="U14" s="30" t="s">
        <v>173</v>
      </c>
      <c r="V14" s="51">
        <f t="shared" si="0"/>
        <v>8.0000000000000002E-3</v>
      </c>
    </row>
    <row r="15" spans="1:22" x14ac:dyDescent="0.15">
      <c r="A15" s="33" t="s">
        <v>55</v>
      </c>
      <c r="B15" s="33"/>
      <c r="C15" t="s">
        <v>81</v>
      </c>
      <c r="M15" s="34" t="e">
        <f>VLOOKUP(L15,[1]characters!$A:$C,3,FALSE)</f>
        <v>#N/A</v>
      </c>
      <c r="N15" s="60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VLOOKUP(L15,tables_385104!B:C,2,FALSE)</f>
        <v>#N/A</v>
      </c>
      <c r="R15" s="59">
        <f t="shared" si="1"/>
        <v>0</v>
      </c>
      <c r="S15">
        <v>395</v>
      </c>
      <c r="U15" s="30" t="s">
        <v>172</v>
      </c>
      <c r="V15" s="51">
        <f t="shared" si="0"/>
        <v>0</v>
      </c>
    </row>
    <row r="16" spans="1:22" x14ac:dyDescent="0.15">
      <c r="A16" s="30" t="s">
        <v>58</v>
      </c>
      <c r="B16" s="30" t="s">
        <v>166</v>
      </c>
      <c r="C16" s="34" t="s">
        <v>59</v>
      </c>
      <c r="D16" s="34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M16" s="34" t="e">
        <f>VLOOKUP(L16,[1]characters!$A:$C,3,FALSE)</f>
        <v>#N/A</v>
      </c>
      <c r="N16" s="60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VLOOKUP(L16,tables_385104!B:C,2,FALSE)</f>
        <v>#N/A</v>
      </c>
      <c r="R16" s="59">
        <f t="shared" si="1"/>
        <v>0</v>
      </c>
      <c r="S16">
        <v>396</v>
      </c>
      <c r="U16" s="30" t="s">
        <v>106</v>
      </c>
      <c r="V16" s="51">
        <f t="shared" si="0"/>
        <v>0</v>
      </c>
    </row>
    <row r="17" spans="1:19" x14ac:dyDescent="0.15">
      <c r="A17" s="30" t="s">
        <v>164</v>
      </c>
      <c r="B17" s="75">
        <f>B$5-B19-B24</f>
        <v>0</v>
      </c>
      <c r="C17" s="78">
        <f t="shared" ref="C17:C31" si="2">SUMIF(Q:Q,A17,N:N)</f>
        <v>0</v>
      </c>
      <c r="D17" s="67">
        <f t="shared" ref="D17:D32" si="3">B17-C17</f>
        <v>0</v>
      </c>
      <c r="E17">
        <f>COUNTIF(tables_385104!C:C,input_385104!A17)-COUNTIF(Q:Q,A17)</f>
        <v>20</v>
      </c>
      <c r="F17" s="40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4" t="e">
        <f>VLOOKUP(L17,[1]characters!$A:$C,3,FALSE)</f>
        <v>#N/A</v>
      </c>
      <c r="N17" s="60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VLOOKUP(L17,tables_385104!B:C,2,FALSE)</f>
        <v>#N/A</v>
      </c>
      <c r="R17" s="59">
        <f t="shared" si="1"/>
        <v>0</v>
      </c>
      <c r="S17">
        <v>397</v>
      </c>
    </row>
    <row r="18" spans="1:19" x14ac:dyDescent="0.15">
      <c r="A18" s="30" t="s">
        <v>165</v>
      </c>
      <c r="B18" s="53">
        <f>E$6*E18-B17</f>
        <v>0.16279069767441862</v>
      </c>
      <c r="C18" s="78">
        <f t="shared" si="2"/>
        <v>0</v>
      </c>
      <c r="D18" s="67">
        <f t="shared" si="3"/>
        <v>0.16279069767441862</v>
      </c>
      <c r="E18">
        <f>COUNTIF(tables_385104!C:C,input_385104!A18)-COUNTIF(Q:Q,A18)</f>
        <v>20</v>
      </c>
      <c r="F18" s="40">
        <f>IFERROR(B18/E18,0)</f>
        <v>8.1395348837209301E-3</v>
      </c>
      <c r="G18">
        <f t="shared" si="4"/>
        <v>294000</v>
      </c>
      <c r="H18">
        <f t="shared" si="5"/>
        <v>14700</v>
      </c>
      <c r="I18">
        <f t="shared" si="6"/>
        <v>0</v>
      </c>
      <c r="J18">
        <f t="shared" si="7"/>
        <v>1</v>
      </c>
      <c r="M18" s="34" t="e">
        <f>VLOOKUP(L18,[1]characters!$A:$C,3,FALSE)</f>
        <v>#N/A</v>
      </c>
      <c r="N18" s="60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VLOOKUP(L18,tables_385104!B:C,2,FALSE)</f>
        <v>#N/A</v>
      </c>
      <c r="R18" s="59">
        <f t="shared" si="1"/>
        <v>0</v>
      </c>
      <c r="S18">
        <v>324</v>
      </c>
    </row>
    <row r="19" spans="1:19" x14ac:dyDescent="0.15">
      <c r="A19" s="30" t="s">
        <v>95</v>
      </c>
      <c r="B19" s="53">
        <f>E$6*E19*B$5</f>
        <v>0</v>
      </c>
      <c r="C19" s="78">
        <f t="shared" si="2"/>
        <v>0</v>
      </c>
      <c r="D19" s="67">
        <f t="shared" si="3"/>
        <v>0</v>
      </c>
      <c r="E19">
        <f>COUNTIF(tables_385104!C:C,input_385104!A19)-COUNTIF(Q:Q,A19)</f>
        <v>52</v>
      </c>
      <c r="F19" s="40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4" t="e">
        <f>VLOOKUP(L19,[1]characters!$A:$C,3,FALSE)</f>
        <v>#N/A</v>
      </c>
      <c r="N19" s="60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VLOOKUP(L19,tables_385104!B:C,2,FALSE)</f>
        <v>#N/A</v>
      </c>
      <c r="R19" s="59">
        <f t="shared" si="1"/>
        <v>0</v>
      </c>
      <c r="S19">
        <v>325</v>
      </c>
    </row>
    <row r="20" spans="1:19" x14ac:dyDescent="0.15">
      <c r="A20" s="30" t="s">
        <v>96</v>
      </c>
      <c r="B20" s="75">
        <f>E20*E6-B21</f>
        <v>0.39435348837209305</v>
      </c>
      <c r="C20" s="78">
        <f t="shared" si="2"/>
        <v>0</v>
      </c>
      <c r="D20" s="67">
        <f t="shared" si="3"/>
        <v>0.39435348837209305</v>
      </c>
      <c r="E20">
        <f>COUNTIF(tables_385104!C:C,input_385104!A20)-COUNTIF(Q:Q,A20)</f>
        <v>52</v>
      </c>
      <c r="F20" s="40">
        <f t="shared" si="8"/>
        <v>7.5837209302325589E-3</v>
      </c>
      <c r="G20">
        <f t="shared" si="4"/>
        <v>712202.4</v>
      </c>
      <c r="H20">
        <f t="shared" si="5"/>
        <v>13696.2</v>
      </c>
      <c r="I20">
        <f t="shared" si="6"/>
        <v>0.2000000000007276</v>
      </c>
      <c r="J20">
        <f t="shared" si="7"/>
        <v>4.9999999999818101</v>
      </c>
      <c r="M20" s="34" t="e">
        <f>VLOOKUP(L20,[1]characters!$A:$C,3,FALSE)</f>
        <v>#N/A</v>
      </c>
      <c r="N20" s="60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VLOOKUP(L20,tables_385104!B:C,2,FALSE)</f>
        <v>#N/A</v>
      </c>
      <c r="R20" s="59">
        <f t="shared" si="1"/>
        <v>0</v>
      </c>
      <c r="S20">
        <v>809</v>
      </c>
    </row>
    <row r="21" spans="1:19" x14ac:dyDescent="0.15">
      <c r="A21" s="30" t="s">
        <v>97</v>
      </c>
      <c r="B21" s="53">
        <f>B7-B23-B26-B28-B29</f>
        <v>2.8902325581395355E-2</v>
      </c>
      <c r="C21" s="78">
        <f t="shared" si="2"/>
        <v>0</v>
      </c>
      <c r="D21" s="67">
        <f t="shared" si="3"/>
        <v>2.8902325581395355E-2</v>
      </c>
      <c r="E21">
        <f>COUNTIF(tables_385104!C:C,input_385104!A21)-COUNTIF(Q:Q,A21)</f>
        <v>52</v>
      </c>
      <c r="F21" s="40">
        <f t="shared" si="8"/>
        <v>5.5581395348837219E-4</v>
      </c>
      <c r="G21">
        <f t="shared" si="4"/>
        <v>52197.600000000013</v>
      </c>
      <c r="H21">
        <f t="shared" si="5"/>
        <v>1003.8</v>
      </c>
      <c r="I21">
        <f t="shared" si="6"/>
        <v>0.79999999999995453</v>
      </c>
      <c r="J21">
        <f t="shared" si="7"/>
        <v>1.2500000000000711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0" t="s">
        <v>170</v>
      </c>
      <c r="B22" s="68">
        <f>E$6*E22*B6</f>
        <v>7.7325581395348841E-2</v>
      </c>
      <c r="C22" s="78">
        <f t="shared" si="2"/>
        <v>0.22500000000000001</v>
      </c>
      <c r="D22" s="67">
        <f t="shared" si="3"/>
        <v>-0.14767441860465116</v>
      </c>
      <c r="E22">
        <f>COUNTIF(tables_385104!C:C,input_385104!A22)-COUNTIF(Q:Q,A22)</f>
        <v>10</v>
      </c>
      <c r="F22" s="40">
        <f t="shared" si="8"/>
        <v>7.7325581395348841E-3</v>
      </c>
      <c r="G22">
        <f t="shared" si="4"/>
        <v>139650</v>
      </c>
      <c r="H22">
        <f t="shared" si="5"/>
        <v>13965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0" t="s">
        <v>171</v>
      </c>
      <c r="B23" s="63">
        <f>E23*E6*B7</f>
        <v>4.0697674418604659E-3</v>
      </c>
      <c r="C23" s="78">
        <f t="shared" si="2"/>
        <v>2.5000000000000001E-2</v>
      </c>
      <c r="D23" s="67">
        <f t="shared" si="3"/>
        <v>-2.0930232558139535E-2</v>
      </c>
      <c r="E23">
        <f>COUNTIF(tables_385104!C:C,input_385104!A23)-COUNTIF(Q:Q,A23)</f>
        <v>10</v>
      </c>
      <c r="F23" s="40">
        <f t="shared" si="8"/>
        <v>4.0697674418604658E-4</v>
      </c>
      <c r="G23">
        <f t="shared" si="4"/>
        <v>7350.0000000000018</v>
      </c>
      <c r="H23">
        <f t="shared" si="5"/>
        <v>735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0" t="s">
        <v>167</v>
      </c>
      <c r="B24" s="53">
        <f>E$6*E24*B$5</f>
        <v>0</v>
      </c>
      <c r="C24" s="78">
        <f t="shared" si="2"/>
        <v>0</v>
      </c>
      <c r="D24" s="67">
        <f t="shared" si="3"/>
        <v>0</v>
      </c>
      <c r="E24">
        <f>COUNTIF(tables_385104!C:C,input_385104!A24)-COUNTIF(Q:Q,A24)</f>
        <v>4</v>
      </c>
      <c r="F24" s="40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0" t="s">
        <v>168</v>
      </c>
      <c r="B25" s="53">
        <f>E$6*B$6*E25</f>
        <v>3.0930232558139533E-2</v>
      </c>
      <c r="C25" s="78">
        <f t="shared" si="2"/>
        <v>0</v>
      </c>
      <c r="D25" s="67">
        <f t="shared" si="3"/>
        <v>3.0930232558139533E-2</v>
      </c>
      <c r="E25">
        <f>COUNTIF(tables_385104!C:C,input_385104!A25)-COUNTIF(Q:Q,A25)</f>
        <v>4</v>
      </c>
      <c r="F25" s="40">
        <f t="shared" si="8"/>
        <v>7.7325581395348833E-3</v>
      </c>
      <c r="G25">
        <f t="shared" si="4"/>
        <v>55860</v>
      </c>
      <c r="H25">
        <f t="shared" si="5"/>
        <v>13965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0" t="s">
        <v>169</v>
      </c>
      <c r="B26" s="53">
        <f>E$6*B$7*E26</f>
        <v>1.6279069767441861E-3</v>
      </c>
      <c r="C26" s="78">
        <f t="shared" si="2"/>
        <v>0</v>
      </c>
      <c r="D26" s="67">
        <f t="shared" si="3"/>
        <v>1.6279069767441861E-3</v>
      </c>
      <c r="E26">
        <f>COUNTIF(tables_385104!C:C,input_385104!A26)-COUNTIF(Q:Q,A26)</f>
        <v>4</v>
      </c>
      <c r="F26" s="40">
        <f t="shared" si="8"/>
        <v>4.0697674418604653E-4</v>
      </c>
      <c r="G26">
        <f t="shared" si="4"/>
        <v>2940</v>
      </c>
      <c r="H26">
        <f t="shared" si="5"/>
        <v>735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0" t="s">
        <v>104</v>
      </c>
      <c r="B27" s="53">
        <f>E$5*E27*(B$5+B$6)</f>
        <v>2.6599999999999999E-2</v>
      </c>
      <c r="C27" s="78">
        <f t="shared" si="2"/>
        <v>0</v>
      </c>
      <c r="D27" s="67">
        <f t="shared" si="3"/>
        <v>2.6599999999999999E-2</v>
      </c>
      <c r="E27">
        <f>COUNTIF(tables_385104!C:C,input_385104!A27)-COUNTIF(Q:Q,A27)</f>
        <v>28</v>
      </c>
      <c r="F27" s="40">
        <f>IFERROR(B27/E27,0)</f>
        <v>9.5E-4</v>
      </c>
      <c r="G27">
        <f t="shared" si="4"/>
        <v>48039.6</v>
      </c>
      <c r="H27">
        <f t="shared" si="5"/>
        <v>1715.7</v>
      </c>
      <c r="I27">
        <f t="shared" si="6"/>
        <v>0.70000000000004547</v>
      </c>
      <c r="J27">
        <f t="shared" si="7"/>
        <v>1.4285714285713358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0" t="s">
        <v>105</v>
      </c>
      <c r="B28" s="53">
        <f>E$5*E28*B$7</f>
        <v>1.4000000000000002E-3</v>
      </c>
      <c r="C28" s="78">
        <f t="shared" si="2"/>
        <v>0</v>
      </c>
      <c r="D28" s="67">
        <f t="shared" si="3"/>
        <v>1.4000000000000002E-3</v>
      </c>
      <c r="E28">
        <f>COUNTIF(tables_385104!C:C,input_385104!A28)-COUNTIF(Q:Q,A28)</f>
        <v>28</v>
      </c>
      <c r="F28" s="40">
        <f t="shared" si="8"/>
        <v>5.0000000000000009E-5</v>
      </c>
      <c r="G28">
        <f t="shared" si="4"/>
        <v>2528.4000000000005</v>
      </c>
      <c r="H28">
        <f t="shared" si="5"/>
        <v>90.3</v>
      </c>
      <c r="I28">
        <f t="shared" si="6"/>
        <v>0.29999999999999716</v>
      </c>
      <c r="J28">
        <f t="shared" si="7"/>
        <v>3.333333333333365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0" t="s">
        <v>173</v>
      </c>
      <c r="B29" s="53">
        <f>E$5*E29</f>
        <v>1.4E-2</v>
      </c>
      <c r="C29" s="78">
        <f t="shared" si="2"/>
        <v>8.0000000000000002E-3</v>
      </c>
      <c r="D29" s="67">
        <f t="shared" si="3"/>
        <v>6.0000000000000001E-3</v>
      </c>
      <c r="E29">
        <f>COUNTIF(tables_385104!C:C,input_385104!A29)-COUNTIF(Q:Q,A29)</f>
        <v>14</v>
      </c>
      <c r="F29" s="40">
        <f t="shared" si="8"/>
        <v>1E-3</v>
      </c>
      <c r="G29">
        <f t="shared" si="4"/>
        <v>25284</v>
      </c>
      <c r="H29">
        <f t="shared" si="5"/>
        <v>1806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0" t="s">
        <v>208</v>
      </c>
      <c r="B30" s="53">
        <v>0</v>
      </c>
      <c r="C30" s="78">
        <f t="shared" si="2"/>
        <v>0</v>
      </c>
      <c r="D30" s="67">
        <f t="shared" si="3"/>
        <v>0</v>
      </c>
      <c r="E30">
        <f>COUNTIF(tables_385104!C:C,input_385104!A30)-COUNTIF(Q:Q,A30)</f>
        <v>0</v>
      </c>
      <c r="F30" s="40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0" t="s">
        <v>209</v>
      </c>
      <c r="B31" s="53">
        <v>0</v>
      </c>
      <c r="C31" s="78">
        <f t="shared" si="2"/>
        <v>0</v>
      </c>
      <c r="D31" s="67">
        <f t="shared" si="3"/>
        <v>0</v>
      </c>
      <c r="E31">
        <f>COUNTIF(tables_385104!C:C,input_385104!A31)-COUNTIF(Q:Q,A31)</f>
        <v>0</v>
      </c>
      <c r="F31" s="40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6" t="s">
        <v>57</v>
      </c>
      <c r="B32" s="37">
        <f>SUM(B17:B31)</f>
        <v>0.74199999999999999</v>
      </c>
      <c r="C32" s="38">
        <f>SUM(C19:C31)</f>
        <v>0.25800000000000001</v>
      </c>
      <c r="D32" s="39">
        <f t="shared" si="3"/>
        <v>0.48399999999999999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71</v>
      </c>
    </row>
    <row r="36" spans="1:7" x14ac:dyDescent="0.15">
      <c r="A36" s="29">
        <f>LCM(F5-I5,F6-I6)*1000</f>
        <v>1806000</v>
      </c>
    </row>
    <row r="38" spans="1:7" x14ac:dyDescent="0.15">
      <c r="A38" s="44" t="s">
        <v>74</v>
      </c>
    </row>
    <row r="39" spans="1:7" x14ac:dyDescent="0.15">
      <c r="A39" s="30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0" t="s">
        <v>101</v>
      </c>
      <c r="B40">
        <f ca="1">SUMIF(tables_385104!C:C,input_385104!A40,tables_385104!O:O)</f>
        <v>0</v>
      </c>
      <c r="C40" s="51">
        <f t="shared" ref="C40:C46" ca="1" si="9">B40/B$47</f>
        <v>0</v>
      </c>
      <c r="E40">
        <v>3</v>
      </c>
      <c r="F40">
        <f ca="1">SUMIF(tables_385104!J:J,input_385104!E40,tables_385104!O:O)</f>
        <v>0</v>
      </c>
      <c r="G40">
        <f ca="1">F40/A36</f>
        <v>0</v>
      </c>
    </row>
    <row r="41" spans="1:7" x14ac:dyDescent="0.15">
      <c r="A41" s="30" t="s">
        <v>102</v>
      </c>
      <c r="B41">
        <f ca="1">SUMIF(tables_385104!C:C,input_385104!A41,tables_385104!O:O)</f>
        <v>712202.39999999967</v>
      </c>
      <c r="C41" s="51">
        <f t="shared" ca="1" si="9"/>
        <v>0.87390228818800231</v>
      </c>
      <c r="E41">
        <v>4</v>
      </c>
      <c r="F41">
        <f ca="1">SUMIF(tables_385104!J:J,input_385104!E41,tables_385104!O:O)</f>
        <v>1656101.9999999972</v>
      </c>
      <c r="G41" s="103">
        <f ca="1">F41/A36</f>
        <v>0.91699999999999848</v>
      </c>
    </row>
    <row r="42" spans="1:7" x14ac:dyDescent="0.15">
      <c r="A42" s="30" t="s">
        <v>104</v>
      </c>
      <c r="B42">
        <f ca="1">SUMIF(tables_385104!C:C,input_385104!A42,tables_385104!O:O)</f>
        <v>48039.599999999984</v>
      </c>
      <c r="C42" s="51">
        <f t="shared" ca="1" si="9"/>
        <v>5.8946608946608942E-2</v>
      </c>
      <c r="E42">
        <v>5</v>
      </c>
      <c r="F42">
        <f ca="1">SUMIF(tables_385104!J:J,input_385104!E42,tables_385104!O:O)</f>
        <v>149898.00000000012</v>
      </c>
      <c r="G42" s="103">
        <f ca="1">F42/A36</f>
        <v>8.300000000000006E-2</v>
      </c>
    </row>
    <row r="43" spans="1:7" x14ac:dyDescent="0.15">
      <c r="A43" s="30" t="s">
        <v>107</v>
      </c>
      <c r="B43">
        <f>SUMIF(tables_385104!C:C,input_385104!A43,tables_385104!O:O)</f>
        <v>0</v>
      </c>
      <c r="C43" s="51">
        <f t="shared" ca="1" si="9"/>
        <v>0</v>
      </c>
      <c r="F43" s="52"/>
    </row>
    <row r="44" spans="1:7" x14ac:dyDescent="0.15">
      <c r="A44" s="30" t="s">
        <v>103</v>
      </c>
      <c r="B44">
        <f ca="1">SUMIF(tables_385104!C:C,input_385104!A44,tables_385104!O:O)</f>
        <v>52197.600000000042</v>
      </c>
      <c r="C44" s="51">
        <f t="shared" ca="1" si="9"/>
        <v>6.4048649762935547E-2</v>
      </c>
      <c r="E44" t="s">
        <v>52</v>
      </c>
      <c r="F44" s="52"/>
    </row>
    <row r="45" spans="1:7" x14ac:dyDescent="0.15">
      <c r="A45" s="30" t="s">
        <v>105</v>
      </c>
      <c r="B45">
        <f ca="1">SUMIF(tables_385104!C:C,input_385104!A45,tables_385104!O:O)</f>
        <v>2528.4</v>
      </c>
      <c r="C45" s="51">
        <f t="shared" ca="1" si="9"/>
        <v>3.1024531024531035E-3</v>
      </c>
      <c r="E45" t="s">
        <v>178</v>
      </c>
      <c r="F45" s="52">
        <f ca="1">SUMIF(tables_385104!I:I,input_385104!E45,tables_385104!P:P)</f>
        <v>0.16279069767441864</v>
      </c>
    </row>
    <row r="46" spans="1:7" x14ac:dyDescent="0.15">
      <c r="A46" s="30" t="s">
        <v>106</v>
      </c>
      <c r="B46">
        <f>SUMIF(tables_385104!C:C,input_385104!A46,tables_385104!O:O)</f>
        <v>0</v>
      </c>
      <c r="C46" s="51">
        <f t="shared" ca="1" si="9"/>
        <v>0</v>
      </c>
      <c r="E46" t="s">
        <v>179</v>
      </c>
      <c r="F46" s="52">
        <f ca="1">SUMIF(tables_385104!I:I,input_385104!E46,tables_385104!P:P)</f>
        <v>0.16279069767441853</v>
      </c>
    </row>
    <row r="47" spans="1:7" x14ac:dyDescent="0.15">
      <c r="A47" s="36" t="s">
        <v>57</v>
      </c>
      <c r="B47">
        <f ca="1">SUM(B40:B46)</f>
        <v>814967.99999999977</v>
      </c>
      <c r="C47" s="52">
        <f ca="1">SUM(C40:C46)</f>
        <v>0.99999999999999989</v>
      </c>
      <c r="E47" t="s">
        <v>180</v>
      </c>
      <c r="F47" s="52">
        <f ca="1">SUMIF(tables_385104!I:I,input_385104!E47,tables_385104!P:P)</f>
        <v>0.6244186046511625</v>
      </c>
    </row>
    <row r="48" spans="1:7" x14ac:dyDescent="0.15">
      <c r="E48" t="s">
        <v>181</v>
      </c>
      <c r="F48" s="52">
        <f ca="1">SUMIF(tables_385104!I:I,input_385104!E48,tables_385104!P:P)</f>
        <v>5.0000000000000017E-2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06"/>
  <sheetViews>
    <sheetView showGridLines="0" zoomScale="75" zoomScaleNormal="75" zoomScalePageLayoutView="75" workbookViewId="0">
      <pane ySplit="1" topLeftCell="A282" activePane="bottomLeft" state="frozen"/>
      <selection activeCell="O300" sqref="O300"/>
      <selection pane="bottomLeft" activeCell="Q300" sqref="Q300:Q30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input_385104!A$2</f>
        <v>385104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IFERROR(VLOOKUP(B2,input_385104!L:R,7,FALSE),VLOOKUP(tables_385104!C2,input_385104!A:H,8,FALSE))</f>
        <v>0</v>
      </c>
      <c r="P2" s="43">
        <f ca="1">O2/SUM(O:O)</f>
        <v>0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input_385104!A$2</f>
        <v>385104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IFERROR(VLOOKUP(B3,input_385104!L:R,7,FALSE),VLOOKUP(tables_385104!C3,input_385104!A:H,8,FALSE))</f>
        <v>14700</v>
      </c>
      <c r="P3" s="43">
        <f t="shared" ref="P3:P66" ca="1" si="2">O3/SUM(O:O)</f>
        <v>8.1395348837209301E-3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input_385104!A$2</f>
        <v>385104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IFERROR(VLOOKUP(B4,input_385104!L:R,7,FALSE),VLOOKUP(tables_385104!C4,input_385104!A:H,8,FALSE))</f>
        <v>0</v>
      </c>
      <c r="P4" s="43">
        <f t="shared" ca="1" si="2"/>
        <v>0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input_385104!A$2</f>
        <v>385104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IFERROR(VLOOKUP(B5,input_385104!L:R,7,FALSE),VLOOKUP(tables_385104!C5,input_385104!A:H,8,FALSE))</f>
        <v>14700</v>
      </c>
      <c r="P5" s="43">
        <f t="shared" ca="1" si="2"/>
        <v>8.1395348837209301E-3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input_385104!A$2</f>
        <v>385104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IFERROR(VLOOKUP(B6,input_385104!L:R,7,FALSE),VLOOKUP(tables_385104!C6,input_385104!A:H,8,FALSE))</f>
        <v>0</v>
      </c>
      <c r="P6" s="43">
        <f t="shared" ca="1" si="2"/>
        <v>0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input_385104!A$2</f>
        <v>385104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IFERROR(VLOOKUP(B7,input_385104!L:R,7,FALSE),VLOOKUP(tables_385104!C7,input_385104!A:H,8,FALSE))</f>
        <v>14700</v>
      </c>
      <c r="P7" s="43">
        <f t="shared" ca="1" si="2"/>
        <v>8.1395348837209301E-3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input_385104!A$2</f>
        <v>385104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IFERROR(VLOOKUP(B8,input_385104!L:R,7,FALSE),VLOOKUP(tables_385104!C8,input_385104!A:H,8,FALSE))</f>
        <v>0</v>
      </c>
      <c r="P8" s="43">
        <f t="shared" ca="1" si="2"/>
        <v>0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input_385104!A$2</f>
        <v>385104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IFERROR(VLOOKUP(B9,input_385104!L:R,7,FALSE),VLOOKUP(tables_385104!C9,input_385104!A:H,8,FALSE))</f>
        <v>14700</v>
      </c>
      <c r="P9" s="43">
        <f t="shared" ca="1" si="2"/>
        <v>8.1395348837209301E-3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input_385104!A$2</f>
        <v>385104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IFERROR(VLOOKUP(B10,input_385104!L:R,7,FALSE),VLOOKUP(tables_385104!C10,input_385104!A:H,8,FALSE))</f>
        <v>0</v>
      </c>
      <c r="P10" s="43">
        <f t="shared" ca="1" si="2"/>
        <v>0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input_385104!A$2</f>
        <v>385104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IFERROR(VLOOKUP(B11,input_385104!L:R,7,FALSE),VLOOKUP(tables_385104!C11,input_385104!A:H,8,FALSE))</f>
        <v>14700</v>
      </c>
      <c r="P11" s="43">
        <f t="shared" ca="1" si="2"/>
        <v>8.1395348837209301E-3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input_385104!A$2</f>
        <v>385104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IFERROR(VLOOKUP(B12,input_385104!L:R,7,FALSE),VLOOKUP(tables_385104!C12,input_385104!A:H,8,FALSE))</f>
        <v>0</v>
      </c>
      <c r="P12" s="43">
        <f t="shared" ca="1" si="2"/>
        <v>0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input_385104!A$2</f>
        <v>385104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IFERROR(VLOOKUP(B13,input_385104!L:R,7,FALSE),VLOOKUP(tables_385104!C13,input_385104!A:H,8,FALSE))</f>
        <v>14700</v>
      </c>
      <c r="P13" s="43">
        <f t="shared" ca="1" si="2"/>
        <v>8.1395348837209301E-3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input_385104!A$2</f>
        <v>385104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IFERROR(VLOOKUP(B14,input_385104!L:R,7,FALSE),VLOOKUP(tables_385104!C14,input_385104!A:H,8,FALSE))</f>
        <v>0</v>
      </c>
      <c r="P14" s="43">
        <f t="shared" ca="1" si="2"/>
        <v>0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input_385104!A$2</f>
        <v>385104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IFERROR(VLOOKUP(B15,input_385104!L:R,7,FALSE),VLOOKUP(tables_385104!C15,input_385104!A:H,8,FALSE))</f>
        <v>14700</v>
      </c>
      <c r="P15" s="43">
        <f t="shared" ca="1" si="2"/>
        <v>8.1395348837209301E-3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input_385104!A$2</f>
        <v>385104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IFERROR(VLOOKUP(B16,input_385104!L:R,7,FALSE),VLOOKUP(tables_385104!C16,input_385104!A:H,8,FALSE))</f>
        <v>0</v>
      </c>
      <c r="P16" s="43">
        <f t="shared" ca="1" si="2"/>
        <v>0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input_385104!A$2</f>
        <v>385104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IFERROR(VLOOKUP(B17,input_385104!L:R,7,FALSE),VLOOKUP(tables_385104!C17,input_385104!A:H,8,FALSE))</f>
        <v>14700</v>
      </c>
      <c r="P17" s="43">
        <f t="shared" ca="1" si="2"/>
        <v>8.1395348837209301E-3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input_385104!A$2</f>
        <v>385104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IFERROR(VLOOKUP(B18,input_385104!L:R,7,FALSE),VLOOKUP(tables_385104!C18,input_385104!A:H,8,FALSE))</f>
        <v>0</v>
      </c>
      <c r="P18" s="43">
        <f t="shared" ca="1" si="2"/>
        <v>0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input_385104!A$2</f>
        <v>385104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IFERROR(VLOOKUP(B19,input_385104!L:R,7,FALSE),VLOOKUP(tables_385104!C19,input_385104!A:H,8,FALSE))</f>
        <v>14700</v>
      </c>
      <c r="P19" s="43">
        <f t="shared" ca="1" si="2"/>
        <v>8.1395348837209301E-3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input_385104!A$2</f>
        <v>385104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IFERROR(VLOOKUP(B20,input_385104!L:R,7,FALSE),VLOOKUP(tables_385104!C20,input_385104!A:H,8,FALSE))</f>
        <v>0</v>
      </c>
      <c r="P20" s="43">
        <f t="shared" ca="1" si="2"/>
        <v>0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input_385104!A$2</f>
        <v>385104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IFERROR(VLOOKUP(B21,input_385104!L:R,7,FALSE),VLOOKUP(tables_385104!C21,input_385104!A:H,8,FALSE))</f>
        <v>14700</v>
      </c>
      <c r="P21" s="43">
        <f t="shared" ca="1" si="2"/>
        <v>8.1395348837209301E-3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input_385104!A$2</f>
        <v>385104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IFERROR(VLOOKUP(B22,input_385104!L:R,7,FALSE),VLOOKUP(tables_385104!C22,input_385104!A:H,8,FALSE))</f>
        <v>0</v>
      </c>
      <c r="P22" s="43">
        <f t="shared" ca="1" si="2"/>
        <v>0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input_385104!A$2</f>
        <v>385104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IFERROR(VLOOKUP(B23,input_385104!L:R,7,FALSE),VLOOKUP(tables_385104!C23,input_385104!A:H,8,FALSE))</f>
        <v>14700</v>
      </c>
      <c r="P23" s="43">
        <f t="shared" ca="1" si="2"/>
        <v>8.1395348837209301E-3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input_385104!A$2</f>
        <v>385104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IFERROR(VLOOKUP(B24,input_385104!L:R,7,FALSE),VLOOKUP(tables_385104!C24,input_385104!A:H,8,FALSE))</f>
        <v>0</v>
      </c>
      <c r="P24" s="43">
        <f t="shared" ca="1" si="2"/>
        <v>0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input_385104!A$2</f>
        <v>385104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IFERROR(VLOOKUP(B25,input_385104!L:R,7,FALSE),VLOOKUP(tables_385104!C25,input_385104!A:H,8,FALSE))</f>
        <v>14700</v>
      </c>
      <c r="P25" s="43">
        <f t="shared" ca="1" si="2"/>
        <v>8.1395348837209301E-3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input_385104!A$2</f>
        <v>385104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IFERROR(VLOOKUP(B26,input_385104!L:R,7,FALSE),VLOOKUP(tables_385104!C26,input_385104!A:H,8,FALSE))</f>
        <v>0</v>
      </c>
      <c r="P26" s="43">
        <f t="shared" ca="1" si="2"/>
        <v>0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input_385104!A$2</f>
        <v>385104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IFERROR(VLOOKUP(B27,input_385104!L:R,7,FALSE),VLOOKUP(tables_385104!C27,input_385104!A:H,8,FALSE))</f>
        <v>14700</v>
      </c>
      <c r="P27" s="43">
        <f t="shared" ca="1" si="2"/>
        <v>8.1395348837209301E-3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input_385104!A$2</f>
        <v>385104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IFERROR(VLOOKUP(B28,input_385104!L:R,7,FALSE),VLOOKUP(tables_385104!C28,input_385104!A:H,8,FALSE))</f>
        <v>0</v>
      </c>
      <c r="P28" s="43">
        <f t="shared" ca="1" si="2"/>
        <v>0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input_385104!A$2</f>
        <v>385104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IFERROR(VLOOKUP(B29,input_385104!L:R,7,FALSE),VLOOKUP(tables_385104!C29,input_385104!A:H,8,FALSE))</f>
        <v>14700</v>
      </c>
      <c r="P29" s="43">
        <f t="shared" ca="1" si="2"/>
        <v>8.1395348837209301E-3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input_385104!A$2</f>
        <v>385104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IFERROR(VLOOKUP(B30,input_385104!L:R,7,FALSE),VLOOKUP(tables_385104!C30,input_385104!A:H,8,FALSE))</f>
        <v>0</v>
      </c>
      <c r="P30" s="43">
        <f t="shared" ca="1" si="2"/>
        <v>0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input_385104!A$2</f>
        <v>385104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IFERROR(VLOOKUP(B31,input_385104!L:R,7,FALSE),VLOOKUP(tables_385104!C31,input_385104!A:H,8,FALSE))</f>
        <v>14700</v>
      </c>
      <c r="P31" s="43">
        <f t="shared" ca="1" si="2"/>
        <v>8.1395348837209301E-3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input_385104!A$2</f>
        <v>385104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IFERROR(VLOOKUP(B32,input_385104!L:R,7,FALSE),VLOOKUP(tables_385104!C32,input_385104!A:H,8,FALSE))</f>
        <v>0</v>
      </c>
      <c r="P32" s="43">
        <f t="shared" ca="1" si="2"/>
        <v>0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input_385104!A$2</f>
        <v>385104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IFERROR(VLOOKUP(B33,input_385104!L:R,7,FALSE),VLOOKUP(tables_385104!C33,input_385104!A:H,8,FALSE))</f>
        <v>14700</v>
      </c>
      <c r="P33" s="43">
        <f t="shared" ca="1" si="2"/>
        <v>8.1395348837209301E-3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input_385104!A$2</f>
        <v>385104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IFERROR(VLOOKUP(B34,input_385104!L:R,7,FALSE),VLOOKUP(tables_385104!C34,input_385104!A:H,8,FALSE))</f>
        <v>0</v>
      </c>
      <c r="P34" s="43">
        <f t="shared" ca="1" si="2"/>
        <v>0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input_385104!A$2</f>
        <v>385104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IFERROR(VLOOKUP(B35,input_385104!L:R,7,FALSE),VLOOKUP(tables_385104!C35,input_385104!A:H,8,FALSE))</f>
        <v>14700</v>
      </c>
      <c r="P35" s="43">
        <f t="shared" ca="1" si="2"/>
        <v>8.1395348837209301E-3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input_385104!A$2</f>
        <v>385104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IFERROR(VLOOKUP(B36,input_385104!L:R,7,FALSE),VLOOKUP(tables_385104!C36,input_385104!A:H,8,FALSE))</f>
        <v>0</v>
      </c>
      <c r="P36" s="43">
        <f t="shared" ca="1" si="2"/>
        <v>0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input_385104!A$2</f>
        <v>385104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IFERROR(VLOOKUP(B37,input_385104!L:R,7,FALSE),VLOOKUP(tables_385104!C37,input_385104!A:H,8,FALSE))</f>
        <v>14700</v>
      </c>
      <c r="P37" s="43">
        <f t="shared" ca="1" si="2"/>
        <v>8.1395348837209301E-3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input_385104!A$2</f>
        <v>385104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IFERROR(VLOOKUP(B38,input_385104!L:R,7,FALSE),VLOOKUP(tables_385104!C38,input_385104!A:H,8,FALSE))</f>
        <v>0</v>
      </c>
      <c r="P38" s="43">
        <f t="shared" ca="1" si="2"/>
        <v>0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input_385104!A$2</f>
        <v>385104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IFERROR(VLOOKUP(B39,input_385104!L:R,7,FALSE),VLOOKUP(tables_385104!C39,input_385104!A:H,8,FALSE))</f>
        <v>14700</v>
      </c>
      <c r="P39" s="43">
        <f t="shared" ca="1" si="2"/>
        <v>8.1395348837209301E-3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input_385104!A$2</f>
        <v>385104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IFERROR(VLOOKUP(B40,input_385104!L:R,7,FALSE),VLOOKUP(tables_385104!C40,input_385104!A:H,8,FALSE))</f>
        <v>0</v>
      </c>
      <c r="P40" s="43">
        <f t="shared" ca="1" si="2"/>
        <v>0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input_385104!A$2</f>
        <v>385104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IFERROR(VLOOKUP(B41,input_385104!L:R,7,FALSE),VLOOKUP(tables_385104!C41,input_385104!A:H,8,FALSE))</f>
        <v>14700</v>
      </c>
      <c r="P41" s="43">
        <f t="shared" ca="1" si="2"/>
        <v>8.1395348837209301E-3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input_385104!A$2</f>
        <v>385104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IFERROR(VLOOKUP(B42,input_385104!L:R,7,FALSE),VLOOKUP(tables_385104!C42,input_385104!A:H,8,FALSE))</f>
        <v>0</v>
      </c>
      <c r="P42" s="43">
        <f t="shared" ca="1" si="2"/>
        <v>0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input_385104!A$2</f>
        <v>385104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IFERROR(VLOOKUP(B43,input_385104!L:R,7,FALSE),VLOOKUP(tables_385104!C43,input_385104!A:H,8,FALSE))</f>
        <v>13965</v>
      </c>
      <c r="P43" s="43">
        <f t="shared" ca="1" si="2"/>
        <v>7.7325581395348841E-3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input_385104!A$2</f>
        <v>385104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IFERROR(VLOOKUP(B44,input_385104!L:R,7,FALSE),VLOOKUP(tables_385104!C44,input_385104!A:H,8,FALSE))</f>
        <v>735</v>
      </c>
      <c r="P44" s="43">
        <f t="shared" ca="1" si="2"/>
        <v>4.0697674418604653E-4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input_385104!A$2</f>
        <v>385104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IFERROR(VLOOKUP(B45,input_385104!L:R,7,FALSE),VLOOKUP(tables_385104!C45,input_385104!A:H,8,FALSE))</f>
        <v>0</v>
      </c>
      <c r="P45" s="43">
        <f t="shared" ca="1" si="2"/>
        <v>0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input_385104!A$2</f>
        <v>385104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IFERROR(VLOOKUP(B46,input_385104!L:R,7,FALSE),VLOOKUP(tables_385104!C46,input_385104!A:H,8,FALSE))</f>
        <v>13965</v>
      </c>
      <c r="P46" s="43">
        <f t="shared" ca="1" si="2"/>
        <v>7.7325581395348841E-3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input_385104!A$2</f>
        <v>385104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IFERROR(VLOOKUP(B47,input_385104!L:R,7,FALSE),VLOOKUP(tables_385104!C47,input_385104!A:H,8,FALSE))</f>
        <v>735</v>
      </c>
      <c r="P47" s="43">
        <f t="shared" ca="1" si="2"/>
        <v>4.0697674418604653E-4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input_385104!A$2</f>
        <v>385104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IFERROR(VLOOKUP(B48,input_385104!L:R,7,FALSE),VLOOKUP(tables_385104!C48,input_385104!A:H,8,FALSE))</f>
        <v>0</v>
      </c>
      <c r="P48" s="43">
        <f t="shared" ca="1" si="2"/>
        <v>0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input_385104!A$2</f>
        <v>385104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IFERROR(VLOOKUP(B49,input_385104!L:R,7,FALSE),VLOOKUP(tables_385104!C49,input_385104!A:H,8,FALSE))</f>
        <v>13965</v>
      </c>
      <c r="P49" s="43">
        <f t="shared" ca="1" si="2"/>
        <v>7.7325581395348841E-3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input_385104!A$2</f>
        <v>385104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IFERROR(VLOOKUP(B50,input_385104!L:R,7,FALSE),VLOOKUP(tables_385104!C50,input_385104!A:H,8,FALSE))</f>
        <v>735</v>
      </c>
      <c r="P50" s="43">
        <f t="shared" ca="1" si="2"/>
        <v>4.0697674418604653E-4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input_385104!A$2</f>
        <v>385104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IFERROR(VLOOKUP(B51,input_385104!L:R,7,FALSE),VLOOKUP(tables_385104!C51,input_385104!A:H,8,FALSE))</f>
        <v>0</v>
      </c>
      <c r="P51" s="43">
        <f t="shared" ca="1" si="2"/>
        <v>0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input_385104!A$2</f>
        <v>385104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IFERROR(VLOOKUP(B52,input_385104!L:R,7,FALSE),VLOOKUP(tables_385104!C52,input_385104!A:H,8,FALSE))</f>
        <v>13696.2</v>
      </c>
      <c r="P52" s="43">
        <f t="shared" ca="1" si="2"/>
        <v>7.5837209302325589E-3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input_385104!A$2</f>
        <v>385104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IFERROR(VLOOKUP(B53,input_385104!L:R,7,FALSE),VLOOKUP(tables_385104!C53,input_385104!A:H,8,FALSE))</f>
        <v>1003.8</v>
      </c>
      <c r="P53" s="43">
        <f t="shared" ca="1" si="2"/>
        <v>5.5581395348837208E-4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input_385104!A$2</f>
        <v>385104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IFERROR(VLOOKUP(B54,input_385104!L:R,7,FALSE),VLOOKUP(tables_385104!C54,input_385104!A:H,8,FALSE))</f>
        <v>0</v>
      </c>
      <c r="P54" s="43">
        <f t="shared" ca="1" si="2"/>
        <v>0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input_385104!A$2</f>
        <v>385104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IFERROR(VLOOKUP(B55,input_385104!L:R,7,FALSE),VLOOKUP(tables_385104!C55,input_385104!A:H,8,FALSE))</f>
        <v>13696.2</v>
      </c>
      <c r="P55" s="43">
        <f t="shared" ca="1" si="2"/>
        <v>7.5837209302325589E-3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input_385104!A$2</f>
        <v>385104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IFERROR(VLOOKUP(B56,input_385104!L:R,7,FALSE),VLOOKUP(tables_385104!C56,input_385104!A:H,8,FALSE))</f>
        <v>1003.8</v>
      </c>
      <c r="P56" s="43">
        <f t="shared" ca="1" si="2"/>
        <v>5.5581395348837208E-4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input_385104!A$2</f>
        <v>385104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IFERROR(VLOOKUP(B57,input_385104!L:R,7,FALSE),VLOOKUP(tables_385104!C57,input_385104!A:H,8,FALSE))</f>
        <v>0</v>
      </c>
      <c r="P57" s="43">
        <f t="shared" ca="1" si="2"/>
        <v>0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input_385104!A$2</f>
        <v>385104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IFERROR(VLOOKUP(B58,input_385104!L:R,7,FALSE),VLOOKUP(tables_385104!C58,input_385104!A:H,8,FALSE))</f>
        <v>13696.2</v>
      </c>
      <c r="P58" s="43">
        <f t="shared" ca="1" si="2"/>
        <v>7.5837209302325589E-3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input_385104!A$2</f>
        <v>385104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IFERROR(VLOOKUP(B59,input_385104!L:R,7,FALSE),VLOOKUP(tables_385104!C59,input_385104!A:H,8,FALSE))</f>
        <v>1003.8</v>
      </c>
      <c r="P59" s="43">
        <f t="shared" ca="1" si="2"/>
        <v>5.5581395348837208E-4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input_385104!A$2</f>
        <v>385104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IFERROR(VLOOKUP(B60,input_385104!L:R,7,FALSE),VLOOKUP(tables_385104!C60,input_385104!A:H,8,FALSE))</f>
        <v>0</v>
      </c>
      <c r="P60" s="43">
        <f t="shared" ca="1" si="2"/>
        <v>0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input_385104!A$2</f>
        <v>385104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IFERROR(VLOOKUP(B61,input_385104!L:R,7,FALSE),VLOOKUP(tables_385104!C61,input_385104!A:H,8,FALSE))</f>
        <v>13696.2</v>
      </c>
      <c r="P61" s="43">
        <f t="shared" ca="1" si="2"/>
        <v>7.5837209302325589E-3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input_385104!A$2</f>
        <v>385104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IFERROR(VLOOKUP(B62,input_385104!L:R,7,FALSE),VLOOKUP(tables_385104!C62,input_385104!A:H,8,FALSE))</f>
        <v>1003.8</v>
      </c>
      <c r="P62" s="43">
        <f t="shared" ca="1" si="2"/>
        <v>5.5581395348837208E-4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input_385104!A$2</f>
        <v>385104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IFERROR(VLOOKUP(B63,input_385104!L:R,7,FALSE),VLOOKUP(tables_385104!C63,input_385104!A:H,8,FALSE))</f>
        <v>0</v>
      </c>
      <c r="P63" s="43">
        <f t="shared" ca="1" si="2"/>
        <v>0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input_385104!A$2</f>
        <v>385104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IFERROR(VLOOKUP(B64,input_385104!L:R,7,FALSE),VLOOKUP(tables_385104!C64,input_385104!A:H,8,FALSE))</f>
        <v>13696.2</v>
      </c>
      <c r="P64" s="43">
        <f t="shared" ca="1" si="2"/>
        <v>7.5837209302325589E-3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input_385104!A$2</f>
        <v>385104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IFERROR(VLOOKUP(B65,input_385104!L:R,7,FALSE),VLOOKUP(tables_385104!C65,input_385104!A:H,8,FALSE))</f>
        <v>1003.8</v>
      </c>
      <c r="P65" s="43">
        <f t="shared" ca="1" si="2"/>
        <v>5.5581395348837208E-4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input_385104!A$2</f>
        <v>385104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IFERROR(VLOOKUP(B66,input_385104!L:R,7,FALSE),VLOOKUP(tables_385104!C66,input_385104!A:H,8,FALSE))</f>
        <v>0</v>
      </c>
      <c r="P66" s="43">
        <f t="shared" ca="1" si="2"/>
        <v>0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input_385104!A$2</f>
        <v>385104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IFERROR(VLOOKUP(B67,input_385104!L:R,7,FALSE),VLOOKUP(tables_385104!C67,input_385104!A:H,8,FALSE))</f>
        <v>13696.2</v>
      </c>
      <c r="P67" s="43">
        <f t="shared" ref="P67:P130" ca="1" si="5">O67/SUM(O:O)</f>
        <v>7.5837209302325589E-3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input_385104!A$2</f>
        <v>385104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IFERROR(VLOOKUP(B68,input_385104!L:R,7,FALSE),VLOOKUP(tables_385104!C68,input_385104!A:H,8,FALSE))</f>
        <v>1003.8</v>
      </c>
      <c r="P68" s="43">
        <f t="shared" ca="1" si="5"/>
        <v>5.5581395348837208E-4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input_385104!A$2</f>
        <v>385104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IFERROR(VLOOKUP(B69,input_385104!L:R,7,FALSE),VLOOKUP(tables_385104!C69,input_385104!A:H,8,FALSE))</f>
        <v>0</v>
      </c>
      <c r="P69" s="43">
        <f t="shared" ca="1" si="5"/>
        <v>0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input_385104!A$2</f>
        <v>385104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IFERROR(VLOOKUP(B70,input_385104!L:R,7,FALSE),VLOOKUP(tables_385104!C70,input_385104!A:H,8,FALSE))</f>
        <v>13696.2</v>
      </c>
      <c r="P70" s="43">
        <f t="shared" ca="1" si="5"/>
        <v>7.5837209302325589E-3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input_385104!A$2</f>
        <v>385104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IFERROR(VLOOKUP(B71,input_385104!L:R,7,FALSE),VLOOKUP(tables_385104!C71,input_385104!A:H,8,FALSE))</f>
        <v>1003.8</v>
      </c>
      <c r="P71" s="43">
        <f t="shared" ca="1" si="5"/>
        <v>5.5581395348837208E-4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input_385104!A$2</f>
        <v>385104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IFERROR(VLOOKUP(B72,input_385104!L:R,7,FALSE),VLOOKUP(tables_385104!C72,input_385104!A:H,8,FALSE))</f>
        <v>0</v>
      </c>
      <c r="P72" s="43">
        <f t="shared" ca="1" si="5"/>
        <v>0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input_385104!A$2</f>
        <v>385104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IFERROR(VLOOKUP(B73,input_385104!L:R,7,FALSE),VLOOKUP(tables_385104!C73,input_385104!A:H,8,FALSE))</f>
        <v>13696.2</v>
      </c>
      <c r="P73" s="43">
        <f t="shared" ca="1" si="5"/>
        <v>7.5837209302325589E-3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input_385104!A$2</f>
        <v>385104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IFERROR(VLOOKUP(B74,input_385104!L:R,7,FALSE),VLOOKUP(tables_385104!C74,input_385104!A:H,8,FALSE))</f>
        <v>1003.8</v>
      </c>
      <c r="P74" s="43">
        <f t="shared" ca="1" si="5"/>
        <v>5.5581395348837208E-4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input_385104!A$2</f>
        <v>385104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IFERROR(VLOOKUP(B75,input_385104!L:R,7,FALSE),VLOOKUP(tables_385104!C75,input_385104!A:H,8,FALSE))</f>
        <v>0</v>
      </c>
      <c r="P75" s="43">
        <f t="shared" ca="1" si="5"/>
        <v>0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input_385104!A$2</f>
        <v>385104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IFERROR(VLOOKUP(B76,input_385104!L:R,7,FALSE),VLOOKUP(tables_385104!C76,input_385104!A:H,8,FALSE))</f>
        <v>13696.2</v>
      </c>
      <c r="P76" s="43">
        <f t="shared" ca="1" si="5"/>
        <v>7.5837209302325589E-3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input_385104!A$2</f>
        <v>385104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IFERROR(VLOOKUP(B77,input_385104!L:R,7,FALSE),VLOOKUP(tables_385104!C77,input_385104!A:H,8,FALSE))</f>
        <v>1003.8</v>
      </c>
      <c r="P77" s="43">
        <f t="shared" ca="1" si="5"/>
        <v>5.5581395348837208E-4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input_385104!A$2</f>
        <v>385104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IFERROR(VLOOKUP(B78,input_385104!L:R,7,FALSE),VLOOKUP(tables_385104!C78,input_385104!A:H,8,FALSE))</f>
        <v>0</v>
      </c>
      <c r="P78" s="43">
        <f t="shared" ca="1" si="5"/>
        <v>0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input_385104!A$2</f>
        <v>385104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IFERROR(VLOOKUP(B79,input_385104!L:R,7,FALSE),VLOOKUP(tables_385104!C79,input_385104!A:H,8,FALSE))</f>
        <v>13696.2</v>
      </c>
      <c r="P79" s="43">
        <f t="shared" ca="1" si="5"/>
        <v>7.5837209302325589E-3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input_385104!A$2</f>
        <v>385104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IFERROR(VLOOKUP(B80,input_385104!L:R,7,FALSE),VLOOKUP(tables_385104!C80,input_385104!A:H,8,FALSE))</f>
        <v>1003.8</v>
      </c>
      <c r="P80" s="43">
        <f t="shared" ca="1" si="5"/>
        <v>5.5581395348837208E-4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input_385104!A$2</f>
        <v>385104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IFERROR(VLOOKUP(B81,input_385104!L:R,7,FALSE),VLOOKUP(tables_385104!C81,input_385104!A:H,8,FALSE))</f>
        <v>0</v>
      </c>
      <c r="P81" s="43">
        <f t="shared" ca="1" si="5"/>
        <v>0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input_385104!A$2</f>
        <v>385104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IFERROR(VLOOKUP(B82,input_385104!L:R,7,FALSE),VLOOKUP(tables_385104!C82,input_385104!A:H,8,FALSE))</f>
        <v>13696.2</v>
      </c>
      <c r="P82" s="43">
        <f t="shared" ca="1" si="5"/>
        <v>7.5837209302325589E-3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input_385104!A$2</f>
        <v>385104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IFERROR(VLOOKUP(B83,input_385104!L:R,7,FALSE),VLOOKUP(tables_385104!C83,input_385104!A:H,8,FALSE))</f>
        <v>1003.8</v>
      </c>
      <c r="P83" s="43">
        <f t="shared" ca="1" si="5"/>
        <v>5.5581395348837208E-4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input_385104!A$2</f>
        <v>385104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IFERROR(VLOOKUP(B84,input_385104!L:R,7,FALSE),VLOOKUP(tables_385104!C84,input_385104!A:H,8,FALSE))</f>
        <v>0</v>
      </c>
      <c r="P84" s="43">
        <f t="shared" ca="1" si="5"/>
        <v>0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input_385104!A$2</f>
        <v>385104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IFERROR(VLOOKUP(B85,input_385104!L:R,7,FALSE),VLOOKUP(tables_385104!C85,input_385104!A:H,8,FALSE))</f>
        <v>13696.2</v>
      </c>
      <c r="P85" s="43">
        <f t="shared" ca="1" si="5"/>
        <v>7.5837209302325589E-3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input_385104!A$2</f>
        <v>385104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IFERROR(VLOOKUP(B86,input_385104!L:R,7,FALSE),VLOOKUP(tables_385104!C86,input_385104!A:H,8,FALSE))</f>
        <v>1003.8</v>
      </c>
      <c r="P86" s="43">
        <f t="shared" ca="1" si="5"/>
        <v>5.5581395348837208E-4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input_385104!A$2</f>
        <v>385104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IFERROR(VLOOKUP(B87,input_385104!L:R,7,FALSE),VLOOKUP(tables_385104!C87,input_385104!A:H,8,FALSE))</f>
        <v>0</v>
      </c>
      <c r="P87" s="43">
        <f t="shared" ca="1" si="5"/>
        <v>0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input_385104!A$2</f>
        <v>385104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IFERROR(VLOOKUP(B88,input_385104!L:R,7,FALSE),VLOOKUP(tables_385104!C88,input_385104!A:H,8,FALSE))</f>
        <v>13696.2</v>
      </c>
      <c r="P88" s="43">
        <f t="shared" ca="1" si="5"/>
        <v>7.5837209302325589E-3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input_385104!A$2</f>
        <v>385104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IFERROR(VLOOKUP(B89,input_385104!L:R,7,FALSE),VLOOKUP(tables_385104!C89,input_385104!A:H,8,FALSE))</f>
        <v>1003.8</v>
      </c>
      <c r="P89" s="43">
        <f t="shared" ca="1" si="5"/>
        <v>5.5581395348837208E-4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input_385104!A$2</f>
        <v>385104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IFERROR(VLOOKUP(B90,input_385104!L:R,7,FALSE),VLOOKUP(tables_385104!C90,input_385104!A:H,8,FALSE))</f>
        <v>0</v>
      </c>
      <c r="P90" s="43">
        <f t="shared" ca="1" si="5"/>
        <v>0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input_385104!A$2</f>
        <v>385104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IFERROR(VLOOKUP(B91,input_385104!L:R,7,FALSE),VLOOKUP(tables_385104!C91,input_385104!A:H,8,FALSE))</f>
        <v>13696.2</v>
      </c>
      <c r="P91" s="43">
        <f t="shared" ca="1" si="5"/>
        <v>7.5837209302325589E-3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input_385104!A$2</f>
        <v>385104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IFERROR(VLOOKUP(B92,input_385104!L:R,7,FALSE),VLOOKUP(tables_385104!C92,input_385104!A:H,8,FALSE))</f>
        <v>1003.8</v>
      </c>
      <c r="P92" s="43">
        <f t="shared" ca="1" si="5"/>
        <v>5.5581395348837208E-4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input_385104!A$2</f>
        <v>385104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IFERROR(VLOOKUP(B93,input_385104!L:R,7,FALSE),VLOOKUP(tables_385104!C93,input_385104!A:H,8,FALSE))</f>
        <v>0</v>
      </c>
      <c r="P93" s="43">
        <f t="shared" ca="1" si="5"/>
        <v>0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input_385104!A$2</f>
        <v>385104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IFERROR(VLOOKUP(B94,input_385104!L:R,7,FALSE),VLOOKUP(tables_385104!C94,input_385104!A:H,8,FALSE))</f>
        <v>13696.2</v>
      </c>
      <c r="P94" s="43">
        <f t="shared" ca="1" si="5"/>
        <v>7.5837209302325589E-3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input_385104!A$2</f>
        <v>385104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IFERROR(VLOOKUP(B95,input_385104!L:R,7,FALSE),VLOOKUP(tables_385104!C95,input_385104!A:H,8,FALSE))</f>
        <v>1003.8</v>
      </c>
      <c r="P95" s="43">
        <f t="shared" ca="1" si="5"/>
        <v>5.5581395348837208E-4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input_385104!A$2</f>
        <v>385104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IFERROR(VLOOKUP(B96,input_385104!L:R,7,FALSE),VLOOKUP(tables_385104!C96,input_385104!A:H,8,FALSE))</f>
        <v>0</v>
      </c>
      <c r="P96" s="43">
        <f t="shared" ca="1" si="5"/>
        <v>0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input_385104!A$2</f>
        <v>385104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IFERROR(VLOOKUP(B97,input_385104!L:R,7,FALSE),VLOOKUP(tables_385104!C97,input_385104!A:H,8,FALSE))</f>
        <v>13696.2</v>
      </c>
      <c r="P97" s="43">
        <f t="shared" ca="1" si="5"/>
        <v>7.5837209302325589E-3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input_385104!A$2</f>
        <v>385104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IFERROR(VLOOKUP(B98,input_385104!L:R,7,FALSE),VLOOKUP(tables_385104!C98,input_385104!A:H,8,FALSE))</f>
        <v>1003.8</v>
      </c>
      <c r="P98" s="43">
        <f t="shared" ca="1" si="5"/>
        <v>5.5581395348837208E-4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input_385104!A$2</f>
        <v>385104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IFERROR(VLOOKUP(B99,input_385104!L:R,7,FALSE),VLOOKUP(tables_385104!C99,input_385104!A:H,8,FALSE))</f>
        <v>0</v>
      </c>
      <c r="P99" s="43">
        <f t="shared" ca="1" si="5"/>
        <v>0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input_385104!A$2</f>
        <v>385104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IFERROR(VLOOKUP(B100,input_385104!L:R,7,FALSE),VLOOKUP(tables_385104!C100,input_385104!A:H,8,FALSE))</f>
        <v>13696.2</v>
      </c>
      <c r="P100" s="43">
        <f t="shared" ca="1" si="5"/>
        <v>7.5837209302325589E-3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input_385104!A$2</f>
        <v>385104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IFERROR(VLOOKUP(B101,input_385104!L:R,7,FALSE),VLOOKUP(tables_385104!C101,input_385104!A:H,8,FALSE))</f>
        <v>1003.8</v>
      </c>
      <c r="P101" s="43">
        <f t="shared" ca="1" si="5"/>
        <v>5.5581395348837208E-4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input_385104!A$2</f>
        <v>385104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IFERROR(VLOOKUP(B102,input_385104!L:R,7,FALSE),VLOOKUP(tables_385104!C102,input_385104!A:H,8,FALSE))</f>
        <v>0</v>
      </c>
      <c r="P102" s="43">
        <f t="shared" ca="1" si="5"/>
        <v>0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input_385104!A$2</f>
        <v>385104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IFERROR(VLOOKUP(B103,input_385104!L:R,7,FALSE),VLOOKUP(tables_385104!C103,input_385104!A:H,8,FALSE))</f>
        <v>13696.2</v>
      </c>
      <c r="P103" s="43">
        <f t="shared" ca="1" si="5"/>
        <v>7.5837209302325589E-3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input_385104!A$2</f>
        <v>385104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IFERROR(VLOOKUP(B104,input_385104!L:R,7,FALSE),VLOOKUP(tables_385104!C104,input_385104!A:H,8,FALSE))</f>
        <v>1003.8</v>
      </c>
      <c r="P104" s="43">
        <f t="shared" ca="1" si="5"/>
        <v>5.5581395348837208E-4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input_385104!A$2</f>
        <v>385104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IFERROR(VLOOKUP(B105,input_385104!L:R,7,FALSE),VLOOKUP(tables_385104!C105,input_385104!A:H,8,FALSE))</f>
        <v>0</v>
      </c>
      <c r="P105" s="43">
        <f t="shared" ca="1" si="5"/>
        <v>0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input_385104!A$2</f>
        <v>385104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IFERROR(VLOOKUP(B106,input_385104!L:R,7,FALSE),VLOOKUP(tables_385104!C106,input_385104!A:H,8,FALSE))</f>
        <v>13696.2</v>
      </c>
      <c r="P106" s="43">
        <f t="shared" ca="1" si="5"/>
        <v>7.5837209302325589E-3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input_385104!A$2</f>
        <v>385104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IFERROR(VLOOKUP(B107,input_385104!L:R,7,FALSE),VLOOKUP(tables_385104!C107,input_385104!A:H,8,FALSE))</f>
        <v>1003.8</v>
      </c>
      <c r="P107" s="43">
        <f t="shared" ca="1" si="5"/>
        <v>5.5581395348837208E-4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input_385104!A$2</f>
        <v>385104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IFERROR(VLOOKUP(B108,input_385104!L:R,7,FALSE),VLOOKUP(tables_385104!C108,input_385104!A:H,8,FALSE))</f>
        <v>0</v>
      </c>
      <c r="P108" s="43">
        <f t="shared" ca="1" si="5"/>
        <v>0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input_385104!A$2</f>
        <v>385104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IFERROR(VLOOKUP(B109,input_385104!L:R,7,FALSE),VLOOKUP(tables_385104!C109,input_385104!A:H,8,FALSE))</f>
        <v>13696.2</v>
      </c>
      <c r="P109" s="43">
        <f t="shared" ca="1" si="5"/>
        <v>7.5837209302325589E-3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input_385104!A$2</f>
        <v>385104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IFERROR(VLOOKUP(B110,input_385104!L:R,7,FALSE),VLOOKUP(tables_385104!C110,input_385104!A:H,8,FALSE))</f>
        <v>1003.8</v>
      </c>
      <c r="P110" s="43">
        <f t="shared" ca="1" si="5"/>
        <v>5.5581395348837208E-4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input_385104!A$2</f>
        <v>385104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IFERROR(VLOOKUP(B111,input_385104!L:R,7,FALSE),VLOOKUP(tables_385104!C111,input_385104!A:H,8,FALSE))</f>
        <v>0</v>
      </c>
      <c r="P111" s="43">
        <f t="shared" ca="1" si="5"/>
        <v>0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input_385104!A$2</f>
        <v>385104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IFERROR(VLOOKUP(B112,input_385104!L:R,7,FALSE),VLOOKUP(tables_385104!C112,input_385104!A:H,8,FALSE))</f>
        <v>13965</v>
      </c>
      <c r="P112" s="43">
        <f t="shared" ca="1" si="5"/>
        <v>7.7325581395348841E-3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input_385104!A$2</f>
        <v>385104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IFERROR(VLOOKUP(B113,input_385104!L:R,7,FALSE),VLOOKUP(tables_385104!C113,input_385104!A:H,8,FALSE))</f>
        <v>735</v>
      </c>
      <c r="P113" s="43">
        <f t="shared" ca="1" si="5"/>
        <v>4.0697674418604653E-4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input_385104!A$2</f>
        <v>385104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IFERROR(VLOOKUP(B114,input_385104!L:R,7,FALSE),VLOOKUP(tables_385104!C114,input_385104!A:H,8,FALSE))</f>
        <v>0</v>
      </c>
      <c r="P114" s="43">
        <f t="shared" ca="1" si="5"/>
        <v>0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input_385104!A$2</f>
        <v>385104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IFERROR(VLOOKUP(B115,input_385104!L:R,7,FALSE),VLOOKUP(tables_385104!C115,input_385104!A:H,8,FALSE))</f>
        <v>13696.2</v>
      </c>
      <c r="P115" s="43">
        <f t="shared" ca="1" si="5"/>
        <v>7.5837209302325589E-3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input_385104!A$2</f>
        <v>385104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IFERROR(VLOOKUP(B116,input_385104!L:R,7,FALSE),VLOOKUP(tables_385104!C116,input_385104!A:H,8,FALSE))</f>
        <v>1003.8</v>
      </c>
      <c r="P116" s="43">
        <f t="shared" ca="1" si="5"/>
        <v>5.5581395348837208E-4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input_385104!A$2</f>
        <v>385104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IFERROR(VLOOKUP(B117,input_385104!L:R,7,FALSE),VLOOKUP(tables_385104!C117,input_385104!A:H,8,FALSE))</f>
        <v>0</v>
      </c>
      <c r="P117" s="43">
        <f t="shared" ca="1" si="5"/>
        <v>0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input_385104!A$2</f>
        <v>385104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IFERROR(VLOOKUP(B118,input_385104!L:R,7,FALSE),VLOOKUP(tables_385104!C118,input_385104!A:H,8,FALSE))</f>
        <v>13696.2</v>
      </c>
      <c r="P118" s="43">
        <f t="shared" ca="1" si="5"/>
        <v>7.5837209302325589E-3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input_385104!A$2</f>
        <v>385104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IFERROR(VLOOKUP(B119,input_385104!L:R,7,FALSE),VLOOKUP(tables_385104!C119,input_385104!A:H,8,FALSE))</f>
        <v>1003.8</v>
      </c>
      <c r="P119" s="43">
        <f t="shared" ca="1" si="5"/>
        <v>5.5581395348837208E-4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input_385104!A$2</f>
        <v>385104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IFERROR(VLOOKUP(B120,input_385104!L:R,7,FALSE),VLOOKUP(tables_385104!C120,input_385104!A:H,8,FALSE))</f>
        <v>0</v>
      </c>
      <c r="P120" s="43">
        <f t="shared" ca="1" si="5"/>
        <v>0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input_385104!A$2</f>
        <v>385104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IFERROR(VLOOKUP(B121,input_385104!L:R,7,FALSE),VLOOKUP(tables_385104!C121,input_385104!A:H,8,FALSE))</f>
        <v>13696.2</v>
      </c>
      <c r="P121" s="43">
        <f t="shared" ca="1" si="5"/>
        <v>7.5837209302325589E-3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input_385104!A$2</f>
        <v>385104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IFERROR(VLOOKUP(B122,input_385104!L:R,7,FALSE),VLOOKUP(tables_385104!C122,input_385104!A:H,8,FALSE))</f>
        <v>1003.8</v>
      </c>
      <c r="P122" s="43">
        <f t="shared" ca="1" si="5"/>
        <v>5.5581395348837208E-4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input_385104!A$2</f>
        <v>385104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IFERROR(VLOOKUP(B123,input_385104!L:R,7,FALSE),VLOOKUP(tables_385104!C123,input_385104!A:H,8,FALSE))</f>
        <v>0</v>
      </c>
      <c r="P123" s="43">
        <f t="shared" ca="1" si="5"/>
        <v>0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input_385104!A$2</f>
        <v>385104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IFERROR(VLOOKUP(B124,input_385104!L:R,7,FALSE),VLOOKUP(tables_385104!C124,input_385104!A:H,8,FALSE))</f>
        <v>13696.2</v>
      </c>
      <c r="P124" s="43">
        <f t="shared" ca="1" si="5"/>
        <v>7.5837209302325589E-3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input_385104!A$2</f>
        <v>385104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IFERROR(VLOOKUP(B125,input_385104!L:R,7,FALSE),VLOOKUP(tables_385104!C125,input_385104!A:H,8,FALSE))</f>
        <v>1003.8</v>
      </c>
      <c r="P125" s="43">
        <f t="shared" ca="1" si="5"/>
        <v>5.5581395348837208E-4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input_385104!A$2</f>
        <v>385104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IFERROR(VLOOKUP(B126,input_385104!L:R,7,FALSE),VLOOKUP(tables_385104!C126,input_385104!A:H,8,FALSE))</f>
        <v>0</v>
      </c>
      <c r="P126" s="43">
        <f t="shared" ca="1" si="5"/>
        <v>0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input_385104!A$2</f>
        <v>385104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IFERROR(VLOOKUP(B127,input_385104!L:R,7,FALSE),VLOOKUP(tables_385104!C127,input_385104!A:H,8,FALSE))</f>
        <v>13696.2</v>
      </c>
      <c r="P127" s="43">
        <f t="shared" ca="1" si="5"/>
        <v>7.5837209302325589E-3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input_385104!A$2</f>
        <v>385104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IFERROR(VLOOKUP(B128,input_385104!L:R,7,FALSE),VLOOKUP(tables_385104!C128,input_385104!A:H,8,FALSE))</f>
        <v>1003.8</v>
      </c>
      <c r="P128" s="43">
        <f t="shared" ca="1" si="5"/>
        <v>5.5581395348837208E-4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input_385104!A$2</f>
        <v>385104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IFERROR(VLOOKUP(B129,input_385104!L:R,7,FALSE),VLOOKUP(tables_385104!C129,input_385104!A:H,8,FALSE))</f>
        <v>0</v>
      </c>
      <c r="P129" s="43">
        <f t="shared" ca="1" si="5"/>
        <v>0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input_385104!A$2</f>
        <v>385104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IFERROR(VLOOKUP(B130,input_385104!L:R,7,FALSE),VLOOKUP(tables_385104!C130,input_385104!A:H,8,FALSE))</f>
        <v>13696.2</v>
      </c>
      <c r="P130" s="43">
        <f t="shared" ca="1" si="5"/>
        <v>7.5837209302325589E-3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input_385104!A$2</f>
        <v>385104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IFERROR(VLOOKUP(B131,input_385104!L:R,7,FALSE),VLOOKUP(tables_385104!C131,input_385104!A:H,8,FALSE))</f>
        <v>1003.8</v>
      </c>
      <c r="P131" s="43">
        <f t="shared" ref="P131:P194" ca="1" si="8">O131/SUM(O:O)</f>
        <v>5.5581395348837208E-4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input_385104!A$2</f>
        <v>385104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IFERROR(VLOOKUP(B132,input_385104!L:R,7,FALSE),VLOOKUP(tables_385104!C132,input_385104!A:H,8,FALSE))</f>
        <v>0</v>
      </c>
      <c r="P132" s="43">
        <f t="shared" ca="1" si="8"/>
        <v>0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input_385104!A$2</f>
        <v>385104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IFERROR(VLOOKUP(B133,input_385104!L:R,7,FALSE),VLOOKUP(tables_385104!C133,input_385104!A:H,8,FALSE))</f>
        <v>13696.2</v>
      </c>
      <c r="P133" s="43">
        <f t="shared" ca="1" si="8"/>
        <v>7.5837209302325589E-3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input_385104!A$2</f>
        <v>385104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IFERROR(VLOOKUP(B134,input_385104!L:R,7,FALSE),VLOOKUP(tables_385104!C134,input_385104!A:H,8,FALSE))</f>
        <v>1003.8</v>
      </c>
      <c r="P134" s="43">
        <f t="shared" ca="1" si="8"/>
        <v>5.5581395348837208E-4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input_385104!A$2</f>
        <v>385104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IFERROR(VLOOKUP(B135,input_385104!L:R,7,FALSE),VLOOKUP(tables_385104!C135,input_385104!A:H,8,FALSE))</f>
        <v>0</v>
      </c>
      <c r="P135" s="43">
        <f t="shared" ca="1" si="8"/>
        <v>0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input_385104!A$2</f>
        <v>385104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IFERROR(VLOOKUP(B136,input_385104!L:R,7,FALSE),VLOOKUP(tables_385104!C136,input_385104!A:H,8,FALSE))</f>
        <v>13696.2</v>
      </c>
      <c r="P136" s="43">
        <f t="shared" ca="1" si="8"/>
        <v>7.5837209302325589E-3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input_385104!A$2</f>
        <v>385104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IFERROR(VLOOKUP(B137,input_385104!L:R,7,FALSE),VLOOKUP(tables_385104!C137,input_385104!A:H,8,FALSE))</f>
        <v>1003.8</v>
      </c>
      <c r="P137" s="43">
        <f t="shared" ca="1" si="8"/>
        <v>5.5581395348837208E-4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input_385104!A$2</f>
        <v>385104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IFERROR(VLOOKUP(B138,input_385104!L:R,7,FALSE),VLOOKUP(tables_385104!C138,input_385104!A:H,8,FALSE))</f>
        <v>1715.7</v>
      </c>
      <c r="P138" s="43">
        <f t="shared" ca="1" si="8"/>
        <v>9.5E-4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input_385104!A$2</f>
        <v>385104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IFERROR(VLOOKUP(B139,input_385104!L:R,7,FALSE),VLOOKUP(tables_385104!C139,input_385104!A:H,8,FALSE))</f>
        <v>90.3</v>
      </c>
      <c r="P139" s="43">
        <f t="shared" ca="1" si="8"/>
        <v>4.9999999999999996E-5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input_385104!A$2</f>
        <v>385104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IFERROR(VLOOKUP(B140,input_385104!L:R,7,FALSE),VLOOKUP(tables_385104!C140,input_385104!A:H,8,FALSE))</f>
        <v>1715.7</v>
      </c>
      <c r="P140" s="43">
        <f t="shared" ca="1" si="8"/>
        <v>9.5E-4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input_385104!A$2</f>
        <v>385104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IFERROR(VLOOKUP(B141,input_385104!L:R,7,FALSE),VLOOKUP(tables_385104!C141,input_385104!A:H,8,FALSE))</f>
        <v>90.3</v>
      </c>
      <c r="P141" s="43">
        <f t="shared" ca="1" si="8"/>
        <v>4.9999999999999996E-5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input_385104!A$2</f>
        <v>385104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IFERROR(VLOOKUP(B142,input_385104!L:R,7,FALSE),VLOOKUP(tables_385104!C142,input_385104!A:H,8,FALSE))</f>
        <v>1715.7</v>
      </c>
      <c r="P142" s="43">
        <f t="shared" ca="1" si="8"/>
        <v>9.5E-4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input_385104!A$2</f>
        <v>385104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IFERROR(VLOOKUP(B143,input_385104!L:R,7,FALSE),VLOOKUP(tables_385104!C143,input_385104!A:H,8,FALSE))</f>
        <v>90.3</v>
      </c>
      <c r="P143" s="43">
        <f t="shared" ca="1" si="8"/>
        <v>4.9999999999999996E-5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input_385104!A$2</f>
        <v>385104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IFERROR(VLOOKUP(B144,input_385104!L:R,7,FALSE),VLOOKUP(tables_385104!C144,input_385104!A:H,8,FALSE))</f>
        <v>1715.7</v>
      </c>
      <c r="P144" s="43">
        <f t="shared" ca="1" si="8"/>
        <v>9.5E-4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input_385104!A$2</f>
        <v>385104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IFERROR(VLOOKUP(B145,input_385104!L:R,7,FALSE),VLOOKUP(tables_385104!C145,input_385104!A:H,8,FALSE))</f>
        <v>90.3</v>
      </c>
      <c r="P145" s="43">
        <f t="shared" ca="1" si="8"/>
        <v>4.9999999999999996E-5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input_385104!A$2</f>
        <v>385104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IFERROR(VLOOKUP(B146,input_385104!L:R,7,FALSE),VLOOKUP(tables_385104!C146,input_385104!A:H,8,FALSE))</f>
        <v>0</v>
      </c>
      <c r="P146" s="43">
        <f t="shared" ca="1" si="8"/>
        <v>0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input_385104!A$2</f>
        <v>385104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IFERROR(VLOOKUP(B147,input_385104!L:R,7,FALSE),VLOOKUP(tables_385104!C147,input_385104!A:H,8,FALSE))</f>
        <v>13696.2</v>
      </c>
      <c r="P147" s="43">
        <f t="shared" ca="1" si="8"/>
        <v>7.5837209302325589E-3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input_385104!A$2</f>
        <v>385104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IFERROR(VLOOKUP(B148,input_385104!L:R,7,FALSE),VLOOKUP(tables_385104!C148,input_385104!A:H,8,FALSE))</f>
        <v>1003.8</v>
      </c>
      <c r="P148" s="43">
        <f t="shared" ca="1" si="8"/>
        <v>5.5581395348837208E-4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input_385104!A$2</f>
        <v>385104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IFERROR(VLOOKUP(B149,input_385104!L:R,7,FALSE),VLOOKUP(tables_385104!C149,input_385104!A:H,8,FALSE))</f>
        <v>1715.7</v>
      </c>
      <c r="P149" s="43">
        <f t="shared" ca="1" si="8"/>
        <v>9.5E-4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input_385104!A$2</f>
        <v>385104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IFERROR(VLOOKUP(B150,input_385104!L:R,7,FALSE),VLOOKUP(tables_385104!C150,input_385104!A:H,8,FALSE))</f>
        <v>90.3</v>
      </c>
      <c r="P150" s="43">
        <f t="shared" ca="1" si="8"/>
        <v>4.9999999999999996E-5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input_385104!A$2</f>
        <v>385104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IFERROR(VLOOKUP(B151,input_385104!L:R,7,FALSE),VLOOKUP(tables_385104!C151,input_385104!A:H,8,FALSE))</f>
        <v>1715.7</v>
      </c>
      <c r="P151" s="43">
        <f t="shared" ca="1" si="8"/>
        <v>9.5E-4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input_385104!A$2</f>
        <v>385104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IFERROR(VLOOKUP(B152,input_385104!L:R,7,FALSE),VLOOKUP(tables_385104!C152,input_385104!A:H,8,FALSE))</f>
        <v>90.3</v>
      </c>
      <c r="P152" s="43">
        <f t="shared" ca="1" si="8"/>
        <v>4.9999999999999996E-5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input_385104!A$2</f>
        <v>385104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IFERROR(VLOOKUP(B153,input_385104!L:R,7,FALSE),VLOOKUP(tables_385104!C153,input_385104!A:H,8,FALSE))</f>
        <v>0</v>
      </c>
      <c r="P153" s="43">
        <f t="shared" ca="1" si="8"/>
        <v>0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input_385104!A$2</f>
        <v>385104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IFERROR(VLOOKUP(B154,input_385104!L:R,7,FALSE),VLOOKUP(tables_385104!C154,input_385104!A:H,8,FALSE))</f>
        <v>13696.2</v>
      </c>
      <c r="P154" s="43">
        <f t="shared" ca="1" si="8"/>
        <v>7.5837209302325589E-3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input_385104!A$2</f>
        <v>385104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IFERROR(VLOOKUP(B155,input_385104!L:R,7,FALSE),VLOOKUP(tables_385104!C155,input_385104!A:H,8,FALSE))</f>
        <v>1003.8</v>
      </c>
      <c r="P155" s="43">
        <f t="shared" ca="1" si="8"/>
        <v>5.5581395348837208E-4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input_385104!A$2</f>
        <v>385104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IFERROR(VLOOKUP(B156,input_385104!L:R,7,FALSE),VLOOKUP(tables_385104!C156,input_385104!A:H,8,FALSE))</f>
        <v>1715.7</v>
      </c>
      <c r="P156" s="43">
        <f t="shared" ca="1" si="8"/>
        <v>9.5E-4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input_385104!A$2</f>
        <v>385104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IFERROR(VLOOKUP(B157,input_385104!L:R,7,FALSE),VLOOKUP(tables_385104!C157,input_385104!A:H,8,FALSE))</f>
        <v>90.3</v>
      </c>
      <c r="P157" s="43">
        <f t="shared" ca="1" si="8"/>
        <v>4.9999999999999996E-5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input_385104!A$2</f>
        <v>385104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IFERROR(VLOOKUP(B158,input_385104!L:R,7,FALSE),VLOOKUP(tables_385104!C158,input_385104!A:H,8,FALSE))</f>
        <v>0</v>
      </c>
      <c r="P158" s="43">
        <f t="shared" ca="1" si="8"/>
        <v>0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input_385104!A$2</f>
        <v>385104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IFERROR(VLOOKUP(B159,input_385104!L:R,7,FALSE),VLOOKUP(tables_385104!C159,input_385104!A:H,8,FALSE))</f>
        <v>13696.2</v>
      </c>
      <c r="P159" s="43">
        <f t="shared" ca="1" si="8"/>
        <v>7.5837209302325589E-3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input_385104!A$2</f>
        <v>385104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IFERROR(VLOOKUP(B160,input_385104!L:R,7,FALSE),VLOOKUP(tables_385104!C160,input_385104!A:H,8,FALSE))</f>
        <v>1003.8</v>
      </c>
      <c r="P160" s="43">
        <f t="shared" ca="1" si="8"/>
        <v>5.5581395348837208E-4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input_385104!A$2</f>
        <v>385104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IFERROR(VLOOKUP(B161,input_385104!L:R,7,FALSE),VLOOKUP(tables_385104!C161,input_385104!A:H,8,FALSE))</f>
        <v>0</v>
      </c>
      <c r="P161" s="43">
        <f t="shared" ca="1" si="8"/>
        <v>0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input_385104!A$2</f>
        <v>385104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IFERROR(VLOOKUP(B162,input_385104!L:R,7,FALSE),VLOOKUP(tables_385104!C162,input_385104!A:H,8,FALSE))</f>
        <v>13696.2</v>
      </c>
      <c r="P162" s="43">
        <f t="shared" ca="1" si="8"/>
        <v>7.5837209302325589E-3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input_385104!A$2</f>
        <v>385104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IFERROR(VLOOKUP(B163,input_385104!L:R,7,FALSE),VLOOKUP(tables_385104!C163,input_385104!A:H,8,FALSE))</f>
        <v>1003.8</v>
      </c>
      <c r="P163" s="43">
        <f t="shared" ca="1" si="8"/>
        <v>5.5581395348837208E-4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input_385104!A$2</f>
        <v>385104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IFERROR(VLOOKUP(B164,input_385104!L:R,7,FALSE),VLOOKUP(tables_385104!C164,input_385104!A:H,8,FALSE))</f>
        <v>1715.7</v>
      </c>
      <c r="P164" s="43">
        <f t="shared" ca="1" si="8"/>
        <v>9.5E-4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input_385104!A$2</f>
        <v>385104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IFERROR(VLOOKUP(B165,input_385104!L:R,7,FALSE),VLOOKUP(tables_385104!C165,input_385104!A:H,8,FALSE))</f>
        <v>90.3</v>
      </c>
      <c r="P165" s="43">
        <f t="shared" ca="1" si="8"/>
        <v>4.9999999999999996E-5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input_385104!A$2</f>
        <v>385104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IFERROR(VLOOKUP(B166,input_385104!L:R,7,FALSE),VLOOKUP(tables_385104!C166,input_385104!A:H,8,FALSE))</f>
        <v>0</v>
      </c>
      <c r="P166" s="43">
        <f t="shared" ca="1" si="8"/>
        <v>0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input_385104!A$2</f>
        <v>385104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IFERROR(VLOOKUP(B167,input_385104!L:R,7,FALSE),VLOOKUP(tables_385104!C167,input_385104!A:H,8,FALSE))</f>
        <v>13696.2</v>
      </c>
      <c r="P167" s="43">
        <f t="shared" ca="1" si="8"/>
        <v>7.5837209302325589E-3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input_385104!A$2</f>
        <v>385104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IFERROR(VLOOKUP(B168,input_385104!L:R,7,FALSE),VLOOKUP(tables_385104!C168,input_385104!A:H,8,FALSE))</f>
        <v>1003.8</v>
      </c>
      <c r="P168" s="43">
        <f t="shared" ca="1" si="8"/>
        <v>5.5581395348837208E-4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input_385104!A$2</f>
        <v>385104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IFERROR(VLOOKUP(B169,input_385104!L:R,7,FALSE),VLOOKUP(tables_385104!C169,input_385104!A:H,8,FALSE))</f>
        <v>1715.7</v>
      </c>
      <c r="P169" s="43">
        <f t="shared" ca="1" si="8"/>
        <v>9.5E-4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input_385104!A$2</f>
        <v>385104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IFERROR(VLOOKUP(B170,input_385104!L:R,7,FALSE),VLOOKUP(tables_385104!C170,input_385104!A:H,8,FALSE))</f>
        <v>90.3</v>
      </c>
      <c r="P170" s="43">
        <f t="shared" ca="1" si="8"/>
        <v>4.9999999999999996E-5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input_385104!A$2</f>
        <v>385104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IFERROR(VLOOKUP(B171,input_385104!L:R,7,FALSE),VLOOKUP(tables_385104!C171,input_385104!A:H,8,FALSE))</f>
        <v>0</v>
      </c>
      <c r="P171" s="43">
        <f t="shared" ca="1" si="8"/>
        <v>0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input_385104!A$2</f>
        <v>385104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IFERROR(VLOOKUP(B172,input_385104!L:R,7,FALSE),VLOOKUP(tables_385104!C172,input_385104!A:H,8,FALSE))</f>
        <v>13696.2</v>
      </c>
      <c r="P172" s="43">
        <f t="shared" ca="1" si="8"/>
        <v>7.5837209302325589E-3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input_385104!A$2</f>
        <v>385104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IFERROR(VLOOKUP(B173,input_385104!L:R,7,FALSE),VLOOKUP(tables_385104!C173,input_385104!A:H,8,FALSE))</f>
        <v>1003.8</v>
      </c>
      <c r="P173" s="43">
        <f t="shared" ca="1" si="8"/>
        <v>5.5581395348837208E-4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input_385104!A$2</f>
        <v>385104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IFERROR(VLOOKUP(B174,input_385104!L:R,7,FALSE),VLOOKUP(tables_385104!C174,input_385104!A:H,8,FALSE))</f>
        <v>1715.7</v>
      </c>
      <c r="P174" s="43">
        <f t="shared" ca="1" si="8"/>
        <v>9.5E-4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input_385104!A$2</f>
        <v>385104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IFERROR(VLOOKUP(B175,input_385104!L:R,7,FALSE),VLOOKUP(tables_385104!C175,input_385104!A:H,8,FALSE))</f>
        <v>90.3</v>
      </c>
      <c r="P175" s="43">
        <f t="shared" ca="1" si="8"/>
        <v>4.9999999999999996E-5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input_385104!A$2</f>
        <v>385104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IFERROR(VLOOKUP(B176,input_385104!L:R,7,FALSE),VLOOKUP(tables_385104!C176,input_385104!A:H,8,FALSE))</f>
        <v>1715.7</v>
      </c>
      <c r="P176" s="43">
        <f t="shared" ca="1" si="8"/>
        <v>9.5E-4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input_385104!A$2</f>
        <v>385104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IFERROR(VLOOKUP(B177,input_385104!L:R,7,FALSE),VLOOKUP(tables_385104!C177,input_385104!A:H,8,FALSE))</f>
        <v>90.3</v>
      </c>
      <c r="P177" s="43">
        <f t="shared" ca="1" si="8"/>
        <v>4.9999999999999996E-5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input_385104!A$2</f>
        <v>385104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IFERROR(VLOOKUP(B178,input_385104!L:R,7,FALSE),VLOOKUP(tables_385104!C178,input_385104!A:H,8,FALSE))</f>
        <v>0</v>
      </c>
      <c r="P178" s="43">
        <f t="shared" ca="1" si="8"/>
        <v>0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input_385104!A$2</f>
        <v>385104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IFERROR(VLOOKUP(B179,input_385104!L:R,7,FALSE),VLOOKUP(tables_385104!C179,input_385104!A:H,8,FALSE))</f>
        <v>13696.2</v>
      </c>
      <c r="P179" s="43">
        <f t="shared" ca="1" si="8"/>
        <v>7.5837209302325589E-3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input_385104!A$2</f>
        <v>385104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IFERROR(VLOOKUP(B180,input_385104!L:R,7,FALSE),VLOOKUP(tables_385104!C180,input_385104!A:H,8,FALSE))</f>
        <v>1003.8</v>
      </c>
      <c r="P180" s="43">
        <f t="shared" ca="1" si="8"/>
        <v>5.5581395348837208E-4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input_385104!A$2</f>
        <v>385104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IFERROR(VLOOKUP(B181,input_385104!L:R,7,FALSE),VLOOKUP(tables_385104!C181,input_385104!A:H,8,FALSE))</f>
        <v>0</v>
      </c>
      <c r="P181" s="43">
        <f t="shared" ca="1" si="8"/>
        <v>0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input_385104!A$2</f>
        <v>385104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IFERROR(VLOOKUP(B182,input_385104!L:R,7,FALSE),VLOOKUP(tables_385104!C182,input_385104!A:H,8,FALSE))</f>
        <v>13696.2</v>
      </c>
      <c r="P182" s="43">
        <f t="shared" ca="1" si="8"/>
        <v>7.5837209302325589E-3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input_385104!A$2</f>
        <v>385104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IFERROR(VLOOKUP(B183,input_385104!L:R,7,FALSE),VLOOKUP(tables_385104!C183,input_385104!A:H,8,FALSE))</f>
        <v>1003.8</v>
      </c>
      <c r="P183" s="43">
        <f t="shared" ca="1" si="8"/>
        <v>5.5581395348837208E-4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input_385104!A$2</f>
        <v>385104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IFERROR(VLOOKUP(B184,input_385104!L:R,7,FALSE),VLOOKUP(tables_385104!C184,input_385104!A:H,8,FALSE))</f>
        <v>1715.7</v>
      </c>
      <c r="P184" s="43">
        <f t="shared" ca="1" si="8"/>
        <v>9.5E-4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input_385104!A$2</f>
        <v>385104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IFERROR(VLOOKUP(B185,input_385104!L:R,7,FALSE),VLOOKUP(tables_385104!C185,input_385104!A:H,8,FALSE))</f>
        <v>90.3</v>
      </c>
      <c r="P185" s="43">
        <f t="shared" ca="1" si="8"/>
        <v>4.9999999999999996E-5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input_385104!A$2</f>
        <v>385104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IFERROR(VLOOKUP(B186,input_385104!L:R,7,FALSE),VLOOKUP(tables_385104!C186,input_385104!A:H,8,FALSE))</f>
        <v>0</v>
      </c>
      <c r="P186" s="43">
        <f t="shared" ca="1" si="8"/>
        <v>0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input_385104!A$2</f>
        <v>385104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IFERROR(VLOOKUP(B187,input_385104!L:R,7,FALSE),VLOOKUP(tables_385104!C187,input_385104!A:H,8,FALSE))</f>
        <v>13696.2</v>
      </c>
      <c r="P187" s="43">
        <f t="shared" ca="1" si="8"/>
        <v>7.5837209302325589E-3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input_385104!A$2</f>
        <v>385104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IFERROR(VLOOKUP(B188,input_385104!L:R,7,FALSE),VLOOKUP(tables_385104!C188,input_385104!A:H,8,FALSE))</f>
        <v>1003.8</v>
      </c>
      <c r="P188" s="43">
        <f t="shared" ca="1" si="8"/>
        <v>5.5581395348837208E-4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input_385104!A$2</f>
        <v>385104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IFERROR(VLOOKUP(B189,input_385104!L:R,7,FALSE),VLOOKUP(tables_385104!C189,input_385104!A:H,8,FALSE))</f>
        <v>1715.7</v>
      </c>
      <c r="P189" s="43">
        <f t="shared" ca="1" si="8"/>
        <v>9.5E-4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input_385104!A$2</f>
        <v>385104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IFERROR(VLOOKUP(B190,input_385104!L:R,7,FALSE),VLOOKUP(tables_385104!C190,input_385104!A:H,8,FALSE))</f>
        <v>90.3</v>
      </c>
      <c r="P190" s="43">
        <f t="shared" ca="1" si="8"/>
        <v>4.9999999999999996E-5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input_385104!A$2</f>
        <v>385104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IFERROR(VLOOKUP(B191,input_385104!L:R,7,FALSE),VLOOKUP(tables_385104!C191,input_385104!A:H,8,FALSE))</f>
        <v>1715.7</v>
      </c>
      <c r="P191" s="43">
        <f t="shared" ca="1" si="8"/>
        <v>9.5E-4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input_385104!A$2</f>
        <v>385104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IFERROR(VLOOKUP(B192,input_385104!L:R,7,FALSE),VLOOKUP(tables_385104!C192,input_385104!A:H,8,FALSE))</f>
        <v>90.3</v>
      </c>
      <c r="P192" s="43">
        <f t="shared" ca="1" si="8"/>
        <v>4.9999999999999996E-5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input_385104!A$2</f>
        <v>385104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IFERROR(VLOOKUP(B193,input_385104!L:R,7,FALSE),VLOOKUP(tables_385104!C193,input_385104!A:H,8,FALSE))</f>
        <v>0</v>
      </c>
      <c r="P193" s="43">
        <f t="shared" ca="1" si="8"/>
        <v>0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input_385104!A$2</f>
        <v>385104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IFERROR(VLOOKUP(B194,input_385104!L:R,7,FALSE),VLOOKUP(tables_385104!C194,input_385104!A:H,8,FALSE))</f>
        <v>13696.2</v>
      </c>
      <c r="P194" s="43">
        <f t="shared" ca="1" si="8"/>
        <v>7.5837209302325589E-3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input_385104!A$2</f>
        <v>385104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IFERROR(VLOOKUP(B195,input_385104!L:R,7,FALSE),VLOOKUP(tables_385104!C195,input_385104!A:H,8,FALSE))</f>
        <v>1003.8</v>
      </c>
      <c r="P195" s="43">
        <f t="shared" ref="P195:P258" ca="1" si="11">O195/SUM(O:O)</f>
        <v>5.5581395348837208E-4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input_385104!A$2</f>
        <v>385104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IFERROR(VLOOKUP(B196,input_385104!L:R,7,FALSE),VLOOKUP(tables_385104!C196,input_385104!A:H,8,FALSE))</f>
        <v>1715.7</v>
      </c>
      <c r="P196" s="43">
        <f t="shared" ca="1" si="11"/>
        <v>9.5E-4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input_385104!A$2</f>
        <v>385104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IFERROR(VLOOKUP(B197,input_385104!L:R,7,FALSE),VLOOKUP(tables_385104!C197,input_385104!A:H,8,FALSE))</f>
        <v>90.3</v>
      </c>
      <c r="P197" s="43">
        <f t="shared" ca="1" si="11"/>
        <v>4.9999999999999996E-5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input_385104!A$2</f>
        <v>385104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IFERROR(VLOOKUP(B198,input_385104!L:R,7,FALSE),VLOOKUP(tables_385104!C198,input_385104!A:H,8,FALSE))</f>
        <v>0</v>
      </c>
      <c r="P198" s="43">
        <f t="shared" ca="1" si="11"/>
        <v>0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input_385104!A$2</f>
        <v>385104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IFERROR(VLOOKUP(B199,input_385104!L:R,7,FALSE),VLOOKUP(tables_385104!C199,input_385104!A:H,8,FALSE))</f>
        <v>13696.2</v>
      </c>
      <c r="P199" s="43">
        <f t="shared" ca="1" si="11"/>
        <v>7.5837209302325589E-3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input_385104!A$2</f>
        <v>385104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IFERROR(VLOOKUP(B200,input_385104!L:R,7,FALSE),VLOOKUP(tables_385104!C200,input_385104!A:H,8,FALSE))</f>
        <v>1003.8</v>
      </c>
      <c r="P200" s="43">
        <f t="shared" ca="1" si="11"/>
        <v>5.5581395348837208E-4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input_385104!A$2</f>
        <v>385104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IFERROR(VLOOKUP(B201,input_385104!L:R,7,FALSE),VLOOKUP(tables_385104!C201,input_385104!A:H,8,FALSE))</f>
        <v>1715.7</v>
      </c>
      <c r="P201" s="43">
        <f t="shared" ca="1" si="11"/>
        <v>9.5E-4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input_385104!A$2</f>
        <v>385104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IFERROR(VLOOKUP(B202,input_385104!L:R,7,FALSE),VLOOKUP(tables_385104!C202,input_385104!A:H,8,FALSE))</f>
        <v>90.3</v>
      </c>
      <c r="P202" s="43">
        <f t="shared" ca="1" si="11"/>
        <v>4.9999999999999996E-5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input_385104!A$2</f>
        <v>385104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IFERROR(VLOOKUP(B203,input_385104!L:R,7,FALSE),VLOOKUP(tables_385104!C203,input_385104!A:H,8,FALSE))</f>
        <v>0</v>
      </c>
      <c r="P203" s="43">
        <f t="shared" ca="1" si="11"/>
        <v>0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input_385104!A$2</f>
        <v>385104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IFERROR(VLOOKUP(B204,input_385104!L:R,7,FALSE),VLOOKUP(tables_385104!C204,input_385104!A:H,8,FALSE))</f>
        <v>13696.2</v>
      </c>
      <c r="P204" s="43">
        <f t="shared" ca="1" si="11"/>
        <v>7.5837209302325589E-3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input_385104!A$2</f>
        <v>385104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IFERROR(VLOOKUP(B205,input_385104!L:R,7,FALSE),VLOOKUP(tables_385104!C205,input_385104!A:H,8,FALSE))</f>
        <v>1003.8</v>
      </c>
      <c r="P205" s="43">
        <f t="shared" ca="1" si="11"/>
        <v>5.5581395348837208E-4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input_385104!A$2</f>
        <v>385104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IFERROR(VLOOKUP(B206,input_385104!L:R,7,FALSE),VLOOKUP(tables_385104!C206,input_385104!A:H,8,FALSE))</f>
        <v>1715.7</v>
      </c>
      <c r="P206" s="43">
        <f t="shared" ca="1" si="11"/>
        <v>9.5E-4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input_385104!A$2</f>
        <v>385104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IFERROR(VLOOKUP(B207,input_385104!L:R,7,FALSE),VLOOKUP(tables_385104!C207,input_385104!A:H,8,FALSE))</f>
        <v>90.3</v>
      </c>
      <c r="P207" s="43">
        <f t="shared" ca="1" si="11"/>
        <v>4.9999999999999996E-5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input_385104!A$2</f>
        <v>385104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IFERROR(VLOOKUP(B208,input_385104!L:R,7,FALSE),VLOOKUP(tables_385104!C208,input_385104!A:H,8,FALSE))</f>
        <v>1715.7</v>
      </c>
      <c r="P208" s="43">
        <f t="shared" ca="1" si="11"/>
        <v>9.5E-4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input_385104!A$2</f>
        <v>385104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IFERROR(VLOOKUP(B209,input_385104!L:R,7,FALSE),VLOOKUP(tables_385104!C209,input_385104!A:H,8,FALSE))</f>
        <v>90.3</v>
      </c>
      <c r="P209" s="43">
        <f t="shared" ca="1" si="11"/>
        <v>4.9999999999999996E-5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input_385104!A$2</f>
        <v>385104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IFERROR(VLOOKUP(B210,input_385104!L:R,7,FALSE),VLOOKUP(tables_385104!C210,input_385104!A:H,8,FALSE))</f>
        <v>0</v>
      </c>
      <c r="P210" s="43">
        <f t="shared" ca="1" si="11"/>
        <v>0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input_385104!A$2</f>
        <v>385104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IFERROR(VLOOKUP(B211,input_385104!L:R,7,FALSE),VLOOKUP(tables_385104!C211,input_385104!A:H,8,FALSE))</f>
        <v>13696.2</v>
      </c>
      <c r="P211" s="43">
        <f t="shared" ca="1" si="11"/>
        <v>7.5837209302325589E-3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input_385104!A$2</f>
        <v>385104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IFERROR(VLOOKUP(B212,input_385104!L:R,7,FALSE),VLOOKUP(tables_385104!C212,input_385104!A:H,8,FALSE))</f>
        <v>1003.8</v>
      </c>
      <c r="P212" s="43">
        <f t="shared" ca="1" si="11"/>
        <v>5.5581395348837208E-4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input_385104!A$2</f>
        <v>385104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IFERROR(VLOOKUP(B213,input_385104!L:R,7,FALSE),VLOOKUP(tables_385104!C213,input_385104!A:H,8,FALSE))</f>
        <v>1715.7</v>
      </c>
      <c r="P213" s="43">
        <f t="shared" ca="1" si="11"/>
        <v>9.5E-4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input_385104!A$2</f>
        <v>385104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IFERROR(VLOOKUP(B214,input_385104!L:R,7,FALSE),VLOOKUP(tables_385104!C214,input_385104!A:H,8,FALSE))</f>
        <v>90.3</v>
      </c>
      <c r="P214" s="43">
        <f t="shared" ca="1" si="11"/>
        <v>4.9999999999999996E-5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input_385104!A$2</f>
        <v>385104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2">
        <f ca="1">IFERROR(VLOOKUP(B215,input_385104!L:R,7,FALSE),VLOOKUP(tables_385104!C215,input_385104!A:H,8,FALSE))</f>
        <v>1715.7</v>
      </c>
      <c r="P215" s="43">
        <f t="shared" ca="1" si="11"/>
        <v>9.5E-4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input_385104!A$2</f>
        <v>385104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2">
        <f ca="1">IFERROR(VLOOKUP(B216,input_385104!L:R,7,FALSE),VLOOKUP(tables_385104!C216,input_385104!A:H,8,FALSE))</f>
        <v>90.3</v>
      </c>
      <c r="P216" s="43">
        <f t="shared" ca="1" si="11"/>
        <v>4.9999999999999996E-5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input_385104!A$2</f>
        <v>385104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2">
        <f ca="1">IFERROR(VLOOKUP(B217,input_385104!L:R,7,FALSE),VLOOKUP(tables_385104!C217,input_385104!A:H,8,FALSE))</f>
        <v>0</v>
      </c>
      <c r="P217" s="43">
        <f t="shared" ca="1" si="11"/>
        <v>0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input_385104!A$2</f>
        <v>385104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2">
        <f ca="1">IFERROR(VLOOKUP(B218,input_385104!L:R,7,FALSE),VLOOKUP(tables_385104!C218,input_385104!A:H,8,FALSE))</f>
        <v>13696.2</v>
      </c>
      <c r="P218" s="43">
        <f t="shared" ca="1" si="11"/>
        <v>7.5837209302325589E-3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input_385104!A$2</f>
        <v>385104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2">
        <f ca="1">IFERROR(VLOOKUP(B219,input_385104!L:R,7,FALSE),VLOOKUP(tables_385104!C219,input_385104!A:H,8,FALSE))</f>
        <v>1003.8</v>
      </c>
      <c r="P219" s="43">
        <f t="shared" ca="1" si="11"/>
        <v>5.5581395348837208E-4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input_385104!A$2</f>
        <v>385104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2">
        <f ca="1">IFERROR(VLOOKUP(B220,input_385104!L:R,7,FALSE),VLOOKUP(tables_385104!C220,input_385104!A:H,8,FALSE))</f>
        <v>0</v>
      </c>
      <c r="P220" s="43">
        <f t="shared" ca="1" si="11"/>
        <v>0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input_385104!A$2</f>
        <v>385104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2">
        <f ca="1">IFERROR(VLOOKUP(B221,input_385104!L:R,7,FALSE),VLOOKUP(tables_385104!C221,input_385104!A:H,8,FALSE))</f>
        <v>13696.2</v>
      </c>
      <c r="P221" s="43">
        <f t="shared" ca="1" si="11"/>
        <v>7.5837209302325589E-3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input_385104!A$2</f>
        <v>385104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2">
        <f ca="1">IFERROR(VLOOKUP(B222,input_385104!L:R,7,FALSE),VLOOKUP(tables_385104!C222,input_385104!A:H,8,FALSE))</f>
        <v>1003.8</v>
      </c>
      <c r="P222" s="43">
        <f t="shared" ca="1" si="11"/>
        <v>5.5581395348837208E-4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input_385104!A$2</f>
        <v>385104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2">
        <f ca="1">IFERROR(VLOOKUP(B223,input_385104!L:R,7,FALSE),VLOOKUP(tables_385104!C223,input_385104!A:H,8,FALSE))</f>
        <v>1715.7</v>
      </c>
      <c r="P223" s="43">
        <f t="shared" ca="1" si="11"/>
        <v>9.5E-4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input_385104!A$2</f>
        <v>385104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2">
        <f ca="1">IFERROR(VLOOKUP(B224,input_385104!L:R,7,FALSE),VLOOKUP(tables_385104!C224,input_385104!A:H,8,FALSE))</f>
        <v>90.3</v>
      </c>
      <c r="P224" s="43">
        <f t="shared" ca="1" si="11"/>
        <v>4.9999999999999996E-5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input_385104!A$2</f>
        <v>385104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2">
        <f ca="1">IFERROR(VLOOKUP(B225,input_385104!L:R,7,FALSE),VLOOKUP(tables_385104!C225,input_385104!A:H,8,FALSE))</f>
        <v>0</v>
      </c>
      <c r="P225" s="43">
        <f t="shared" ca="1" si="11"/>
        <v>0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input_385104!A$2</f>
        <v>385104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2">
        <f ca="1">IFERROR(VLOOKUP(B226,input_385104!L:R,7,FALSE),VLOOKUP(tables_385104!C226,input_385104!A:H,8,FALSE))</f>
        <v>13696.2</v>
      </c>
      <c r="P226" s="43">
        <f t="shared" ca="1" si="11"/>
        <v>7.5837209302325589E-3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input_385104!A$2</f>
        <v>385104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2">
        <f ca="1">IFERROR(VLOOKUP(B227,input_385104!L:R,7,FALSE),VLOOKUP(tables_385104!C227,input_385104!A:H,8,FALSE))</f>
        <v>1003.8</v>
      </c>
      <c r="P227" s="43">
        <f t="shared" ca="1" si="11"/>
        <v>5.5581395348837208E-4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input_385104!A$2</f>
        <v>385104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IFERROR(VLOOKUP(B228,input_385104!L:R,7,FALSE),VLOOKUP(tables_385104!C228,input_385104!A:H,8,FALSE))</f>
        <v>0</v>
      </c>
      <c r="P228" s="43">
        <f t="shared" ca="1" si="11"/>
        <v>0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input_385104!A$2</f>
        <v>385104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IFERROR(VLOOKUP(B229,input_385104!L:R,7,FALSE),VLOOKUP(tables_385104!C229,input_385104!A:H,8,FALSE))</f>
        <v>13696.2</v>
      </c>
      <c r="P229" s="43">
        <f t="shared" ca="1" si="11"/>
        <v>7.5837209302325589E-3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input_385104!A$2</f>
        <v>385104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IFERROR(VLOOKUP(B230,input_385104!L:R,7,FALSE),VLOOKUP(tables_385104!C230,input_385104!A:H,8,FALSE))</f>
        <v>1003.8</v>
      </c>
      <c r="P230" s="43">
        <f t="shared" ca="1" si="11"/>
        <v>5.5581395348837208E-4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input_385104!A$2</f>
        <v>385104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2">
        <f ca="1">IFERROR(VLOOKUP(B231,input_385104!L:R,7,FALSE),VLOOKUP(tables_385104!C231,input_385104!A:H,8,FALSE))</f>
        <v>1715.7</v>
      </c>
      <c r="P231" s="43">
        <f t="shared" ca="1" si="11"/>
        <v>9.5E-4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input_385104!A$2</f>
        <v>385104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2">
        <f ca="1">IFERROR(VLOOKUP(B232,input_385104!L:R,7,FALSE),VLOOKUP(tables_385104!C232,input_385104!A:H,8,FALSE))</f>
        <v>90.3</v>
      </c>
      <c r="P232" s="43">
        <f t="shared" ca="1" si="11"/>
        <v>4.9999999999999996E-5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input_385104!A$2</f>
        <v>385104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2">
        <f ca="1">IFERROR(VLOOKUP(B233,input_385104!L:R,7,FALSE),VLOOKUP(tables_385104!C233,input_385104!A:H,8,FALSE))</f>
        <v>0</v>
      </c>
      <c r="P233" s="43">
        <f t="shared" ca="1" si="11"/>
        <v>0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input_385104!A$2</f>
        <v>385104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2">
        <f ca="1">IFERROR(VLOOKUP(B234,input_385104!L:R,7,FALSE),VLOOKUP(tables_385104!C234,input_385104!A:H,8,FALSE))</f>
        <v>13696.2</v>
      </c>
      <c r="P234" s="43">
        <f t="shared" ca="1" si="11"/>
        <v>7.5837209302325589E-3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input_385104!A$2</f>
        <v>385104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2">
        <f ca="1">IFERROR(VLOOKUP(B235,input_385104!L:R,7,FALSE),VLOOKUP(tables_385104!C235,input_385104!A:H,8,FALSE))</f>
        <v>1003.8</v>
      </c>
      <c r="P235" s="43">
        <f t="shared" ca="1" si="11"/>
        <v>5.5581395348837208E-4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input_385104!A$2</f>
        <v>385104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2">
        <f ca="1">IFERROR(VLOOKUP(B236,input_385104!L:R,7,FALSE),VLOOKUP(tables_385104!C236,input_385104!A:H,8,FALSE))</f>
        <v>1715.7</v>
      </c>
      <c r="P236" s="43">
        <f t="shared" ca="1" si="11"/>
        <v>9.5E-4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input_385104!A$2</f>
        <v>385104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IFERROR(VLOOKUP(B237,input_385104!L:R,7,FALSE),VLOOKUP(tables_385104!C237,input_385104!A:H,8,FALSE))</f>
        <v>90.3</v>
      </c>
      <c r="P237" s="43">
        <f t="shared" ca="1" si="11"/>
        <v>4.9999999999999996E-5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input_385104!A$2</f>
        <v>385104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2">
        <f ca="1">IFERROR(VLOOKUP(B238,input_385104!L:R,7,FALSE),VLOOKUP(tables_385104!C238,input_385104!A:H,8,FALSE))</f>
        <v>1715.7</v>
      </c>
      <c r="P238" s="43">
        <f t="shared" ca="1" si="11"/>
        <v>9.5E-4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input_385104!A$2</f>
        <v>385104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2">
        <f ca="1">IFERROR(VLOOKUP(B239,input_385104!L:R,7,FALSE),VLOOKUP(tables_385104!C239,input_385104!A:H,8,FALSE))</f>
        <v>90.3</v>
      </c>
      <c r="P239" s="43">
        <f t="shared" ca="1" si="11"/>
        <v>4.9999999999999996E-5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input_385104!A$2</f>
        <v>385104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2">
        <f ca="1">IFERROR(VLOOKUP(B240,input_385104!L:R,7,FALSE),VLOOKUP(tables_385104!C240,input_385104!A:H,8,FALSE))</f>
        <v>0</v>
      </c>
      <c r="P240" s="43">
        <f t="shared" ca="1" si="11"/>
        <v>0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input_385104!A$2</f>
        <v>385104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2">
        <f ca="1">IFERROR(VLOOKUP(B241,input_385104!L:R,7,FALSE),VLOOKUP(tables_385104!C241,input_385104!A:H,8,FALSE))</f>
        <v>13696.2</v>
      </c>
      <c r="P241" s="43">
        <f t="shared" ca="1" si="11"/>
        <v>7.5837209302325589E-3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input_385104!A$2</f>
        <v>385104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2">
        <f ca="1">IFERROR(VLOOKUP(B242,input_385104!L:R,7,FALSE),VLOOKUP(tables_385104!C242,input_385104!A:H,8,FALSE))</f>
        <v>1003.8</v>
      </c>
      <c r="P242" s="43">
        <f t="shared" ca="1" si="11"/>
        <v>5.5581395348837208E-4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input_385104!A$2</f>
        <v>385104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2">
        <f ca="1">IFERROR(VLOOKUP(B243,input_385104!L:R,7,FALSE),VLOOKUP(tables_385104!C243,input_385104!A:H,8,FALSE))</f>
        <v>0</v>
      </c>
      <c r="P243" s="43">
        <f t="shared" ca="1" si="11"/>
        <v>0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input_385104!A$2</f>
        <v>385104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2">
        <f ca="1">IFERROR(VLOOKUP(B244,input_385104!L:R,7,FALSE),VLOOKUP(tables_385104!C244,input_385104!A:H,8,FALSE))</f>
        <v>13696.2</v>
      </c>
      <c r="P244" s="43">
        <f t="shared" ca="1" si="11"/>
        <v>7.5837209302325589E-3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input_385104!A$2</f>
        <v>385104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2">
        <f ca="1">IFERROR(VLOOKUP(B245,input_385104!L:R,7,FALSE),VLOOKUP(tables_385104!C245,input_385104!A:H,8,FALSE))</f>
        <v>1003.8</v>
      </c>
      <c r="P245" s="43">
        <f t="shared" ca="1" si="11"/>
        <v>5.5581395348837208E-4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input_385104!A$2</f>
        <v>385104</v>
      </c>
      <c r="B246" s="57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2">
        <f ca="1">IFERROR(VLOOKUP(B246,input_385104!L:R,7,FALSE),VLOOKUP(tables_385104!C246,input_385104!A:H,8,FALSE))</f>
        <v>0</v>
      </c>
      <c r="P246" s="43">
        <f t="shared" ca="1" si="11"/>
        <v>0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input_385104!A$2</f>
        <v>385104</v>
      </c>
      <c r="B247" s="57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2">
        <f ca="1">IFERROR(VLOOKUP(B247,input_385104!L:R,7,FALSE),VLOOKUP(tables_385104!C247,input_385104!A:H,8,FALSE))</f>
        <v>13696.2</v>
      </c>
      <c r="P247" s="43">
        <f t="shared" ca="1" si="11"/>
        <v>7.5837209302325589E-3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input_385104!A$2</f>
        <v>385104</v>
      </c>
      <c r="B248" s="57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2">
        <f ca="1">IFERROR(VLOOKUP(B248,input_385104!L:R,7,FALSE),VLOOKUP(tables_385104!C248,input_385104!A:H,8,FALSE))</f>
        <v>1003.8</v>
      </c>
      <c r="P248" s="43">
        <f t="shared" ca="1" si="11"/>
        <v>5.5581395348837208E-4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input_385104!A$2</f>
        <v>385104</v>
      </c>
      <c r="B249" s="57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2">
        <f ca="1">IFERROR(VLOOKUP(B249,input_385104!L:R,7,FALSE),VLOOKUP(tables_385104!C249,input_385104!A:H,8,FALSE))</f>
        <v>0</v>
      </c>
      <c r="P249" s="43">
        <f t="shared" ca="1" si="11"/>
        <v>0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input_385104!A$2</f>
        <v>385104</v>
      </c>
      <c r="B250" s="57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2">
        <f ca="1">IFERROR(VLOOKUP(B250,input_385104!L:R,7,FALSE),VLOOKUP(tables_385104!C250,input_385104!A:H,8,FALSE))</f>
        <v>13696.2</v>
      </c>
      <c r="P250" s="43">
        <f t="shared" ca="1" si="11"/>
        <v>7.5837209302325589E-3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input_385104!A$2</f>
        <v>385104</v>
      </c>
      <c r="B251" s="57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2">
        <f ca="1">IFERROR(VLOOKUP(B251,input_385104!L:R,7,FALSE),VLOOKUP(tables_385104!C251,input_385104!A:H,8,FALSE))</f>
        <v>1003.8</v>
      </c>
      <c r="P251" s="43">
        <f t="shared" ca="1" si="11"/>
        <v>5.5581395348837208E-4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input_385104!A$2</f>
        <v>385104</v>
      </c>
      <c r="B252" s="57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2">
        <f ca="1">IFERROR(VLOOKUP(B252,input_385104!L:R,7,FALSE),VLOOKUP(tables_385104!C252,input_385104!A:H,8,FALSE))</f>
        <v>1715.7</v>
      </c>
      <c r="P252" s="43">
        <f t="shared" ca="1" si="11"/>
        <v>9.5E-4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input_385104!A$2</f>
        <v>385104</v>
      </c>
      <c r="B253" s="57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2">
        <f ca="1">IFERROR(VLOOKUP(B253,input_385104!L:R,7,FALSE),VLOOKUP(tables_385104!C253,input_385104!A:H,8,FALSE))</f>
        <v>90.3</v>
      </c>
      <c r="P253" s="43">
        <f t="shared" ca="1" si="11"/>
        <v>4.9999999999999996E-5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input_385104!A$2</f>
        <v>385104</v>
      </c>
      <c r="B254" s="57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2">
        <f ca="1">IFERROR(VLOOKUP(B254,input_385104!L:R,7,FALSE),VLOOKUP(tables_385104!C254,input_385104!A:H,8,FALSE))</f>
        <v>1715.7</v>
      </c>
      <c r="P254" s="43">
        <f t="shared" ca="1" si="11"/>
        <v>9.5E-4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input_385104!A$2</f>
        <v>385104</v>
      </c>
      <c r="B255" s="57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2">
        <f ca="1">IFERROR(VLOOKUP(B255,input_385104!L:R,7,FALSE),VLOOKUP(tables_385104!C255,input_385104!A:H,8,FALSE))</f>
        <v>90.3</v>
      </c>
      <c r="P255" s="43">
        <f t="shared" ca="1" si="11"/>
        <v>4.9999999999999996E-5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input_385104!A$2</f>
        <v>385104</v>
      </c>
      <c r="B256" s="57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2">
        <f ca="1">IFERROR(VLOOKUP(B256,input_385104!L:R,7,FALSE),VLOOKUP(tables_385104!C256,input_385104!A:H,8,FALSE))</f>
        <v>13965</v>
      </c>
      <c r="P256" s="43">
        <f t="shared" ca="1" si="11"/>
        <v>7.7325581395348841E-3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input_385104!A$2</f>
        <v>385104</v>
      </c>
      <c r="B257" s="57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2">
        <f ca="1">IFERROR(VLOOKUP(B257,input_385104!L:R,7,FALSE),VLOOKUP(tables_385104!C257,input_385104!A:H,8,FALSE))</f>
        <v>735</v>
      </c>
      <c r="P257" s="43">
        <f t="shared" ca="1" si="11"/>
        <v>4.0697674418604653E-4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input_385104!A$2</f>
        <v>385104</v>
      </c>
      <c r="B258" s="57">
        <v>730</v>
      </c>
      <c r="C258" s="7" t="str">
        <f t="shared" ref="C258:C306" si="12">D258&amp;J258&amp;E258&amp;F258&amp;G258</f>
        <v>Premium4R3less</v>
      </c>
      <c r="D258" s="7" t="str">
        <f t="shared" ref="D258:D306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2">
        <f ca="1">IFERROR(VLOOKUP(B258,input_385104!L:R,7,FALSE),VLOOKUP(tables_385104!C258,input_385104!A:H,8,FALSE))</f>
        <v>13965</v>
      </c>
      <c r="P258" s="43">
        <f t="shared" ca="1" si="11"/>
        <v>7.7325581395348841E-3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input_385104!A$2</f>
        <v>385104</v>
      </c>
      <c r="B259" s="57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2">
        <f ca="1">IFERROR(VLOOKUP(B259,input_385104!L:R,7,FALSE),VLOOKUP(tables_385104!C259,input_385104!A:H,8,FALSE))</f>
        <v>735</v>
      </c>
      <c r="P259" s="43">
        <f t="shared" ref="P259:P306" ca="1" si="14">O259/SUM(O:O)</f>
        <v>4.0697674418604653E-4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input_385104!A$2</f>
        <v>385104</v>
      </c>
      <c r="B260" s="57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2">
        <f ca="1">IFERROR(VLOOKUP(B260,input_385104!L:R,7,FALSE),VLOOKUP(tables_385104!C260,input_385104!A:H,8,FALSE))</f>
        <v>1806</v>
      </c>
      <c r="P260" s="43">
        <f t="shared" ca="1" si="14"/>
        <v>1E-3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input_385104!A$2</f>
        <v>385104</v>
      </c>
      <c r="B261" s="57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2">
        <f ca="1">IFERROR(VLOOKUP(B261,input_385104!L:R,7,FALSE),VLOOKUP(tables_385104!C261,input_385104!A:H,8,FALSE))</f>
        <v>1806</v>
      </c>
      <c r="P261" s="43">
        <f t="shared" ca="1" si="14"/>
        <v>1E-3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input_385104!A$2</f>
        <v>385104</v>
      </c>
      <c r="B262" s="57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2">
        <f ca="1">IFERROR(VLOOKUP(B262,input_385104!L:R,7,FALSE),VLOOKUP(tables_385104!C262,input_385104!A:H,8,FALSE))</f>
        <v>1715.7</v>
      </c>
      <c r="P262" s="43">
        <f t="shared" ca="1" si="14"/>
        <v>9.5E-4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input_385104!A$2</f>
        <v>385104</v>
      </c>
      <c r="B263" s="57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2">
        <f ca="1">IFERROR(VLOOKUP(B263,input_385104!L:R,7,FALSE),VLOOKUP(tables_385104!C263,input_385104!A:H,8,FALSE))</f>
        <v>90.3</v>
      </c>
      <c r="P263" s="43">
        <f t="shared" ca="1" si="14"/>
        <v>4.9999999999999996E-5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input_385104!A$2</f>
        <v>385104</v>
      </c>
      <c r="B264" s="57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2">
        <f ca="1">IFERROR(VLOOKUP(B264,input_385104!L:R,7,FALSE),VLOOKUP(tables_385104!C264,input_385104!A:H,8,FALSE))</f>
        <v>1715.7</v>
      </c>
      <c r="P264" s="43">
        <f t="shared" ca="1" si="14"/>
        <v>9.5E-4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input_385104!A$2</f>
        <v>385104</v>
      </c>
      <c r="B265" s="57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2">
        <f ca="1">IFERROR(VLOOKUP(B265,input_385104!L:R,7,FALSE),VLOOKUP(tables_385104!C265,input_385104!A:H,8,FALSE))</f>
        <v>90.3</v>
      </c>
      <c r="P265" s="43">
        <f t="shared" ca="1" si="14"/>
        <v>4.9999999999999996E-5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input_385104!A$2</f>
        <v>385104</v>
      </c>
      <c r="B266" s="57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2">
        <f ca="1">IFERROR(VLOOKUP(B266,input_385104!L:R,7,FALSE),VLOOKUP(tables_385104!C266,input_385104!A:H,8,FALSE))</f>
        <v>0</v>
      </c>
      <c r="P266" s="43">
        <f t="shared" ca="1" si="14"/>
        <v>0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input_385104!A$2</f>
        <v>385104</v>
      </c>
      <c r="B267" s="57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2">
        <f ca="1">IFERROR(VLOOKUP(B267,input_385104!L:R,7,FALSE),VLOOKUP(tables_385104!C267,input_385104!A:H,8,FALSE))</f>
        <v>13696.2</v>
      </c>
      <c r="P267" s="43">
        <f t="shared" ca="1" si="14"/>
        <v>7.5837209302325589E-3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input_385104!A$2</f>
        <v>385104</v>
      </c>
      <c r="B268" s="57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2">
        <f ca="1">IFERROR(VLOOKUP(B268,input_385104!L:R,7,FALSE),VLOOKUP(tables_385104!C268,input_385104!A:H,8,FALSE))</f>
        <v>1003.8</v>
      </c>
      <c r="P268" s="43">
        <f t="shared" ca="1" si="14"/>
        <v>5.5581395348837208E-4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input_385104!A$2</f>
        <v>385104</v>
      </c>
      <c r="B269" s="57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2">
        <f ca="1">IFERROR(VLOOKUP(B269,input_385104!L:R,7,FALSE),VLOOKUP(tables_385104!C269,input_385104!A:H,8,FALSE))</f>
        <v>0</v>
      </c>
      <c r="P269" s="43">
        <f t="shared" ca="1" si="14"/>
        <v>0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input_385104!A$2</f>
        <v>385104</v>
      </c>
      <c r="B270" s="57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2">
        <f ca="1">IFERROR(VLOOKUP(B270,input_385104!L:R,7,FALSE),VLOOKUP(tables_385104!C270,input_385104!A:H,8,FALSE))</f>
        <v>13696.2</v>
      </c>
      <c r="P270" s="43">
        <f t="shared" ca="1" si="14"/>
        <v>7.5837209302325589E-3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input_385104!A$2</f>
        <v>385104</v>
      </c>
      <c r="B271" s="57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2">
        <f ca="1">IFERROR(VLOOKUP(B271,input_385104!L:R,7,FALSE),VLOOKUP(tables_385104!C271,input_385104!A:H,8,FALSE))</f>
        <v>1003.8</v>
      </c>
      <c r="P271" s="43">
        <f t="shared" ca="1" si="14"/>
        <v>5.5581395348837208E-4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input_385104!A$2</f>
        <v>385104</v>
      </c>
      <c r="B272" s="7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2">
        <f ca="1">IFERROR(VLOOKUP(B272,input_385104!L:R,7,FALSE),VLOOKUP(tables_385104!C272,input_385104!A:H,8,FALSE))</f>
        <v>1806</v>
      </c>
      <c r="P272" s="43">
        <f t="shared" ca="1" si="14"/>
        <v>1E-3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input_385104!A$2</f>
        <v>385104</v>
      </c>
      <c r="B273" s="7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2">
        <f ca="1">IFERROR(VLOOKUP(B273,input_385104!L:R,7,FALSE),VLOOKUP(tables_385104!C273,input_385104!A:H,8,FALSE))</f>
        <v>1806</v>
      </c>
      <c r="P273" s="43">
        <f t="shared" ca="1" si="14"/>
        <v>1E-3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input_385104!A$2</f>
        <v>385104</v>
      </c>
      <c r="B274" s="7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2">
        <f ca="1">IFERROR(VLOOKUP(B274,input_385104!L:R,7,FALSE),VLOOKUP(tables_385104!C274,input_385104!A:H,8,FALSE))</f>
        <v>13965</v>
      </c>
      <c r="P274" s="43">
        <f t="shared" ca="1" si="14"/>
        <v>7.7325581395348841E-3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input_385104!A$2</f>
        <v>385104</v>
      </c>
      <c r="B275" s="7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2">
        <f ca="1">IFERROR(VLOOKUP(B275,input_385104!L:R,7,FALSE),VLOOKUP(tables_385104!C275,input_385104!A:H,8,FALSE))</f>
        <v>735</v>
      </c>
      <c r="P275" s="43">
        <f t="shared" ca="1" si="14"/>
        <v>4.0697674418604653E-4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input_385104!A$2</f>
        <v>385104</v>
      </c>
      <c r="B276" s="7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2">
        <f ca="1">IFERROR(VLOOKUP(B276,input_385104!L:R,7,FALSE),VLOOKUP(tables_385104!C276,input_385104!A:H,8,FALSE))</f>
        <v>13965</v>
      </c>
      <c r="P276" s="43">
        <f t="shared" ca="1" si="14"/>
        <v>7.7325581395348841E-3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input_385104!A$2</f>
        <v>385104</v>
      </c>
      <c r="B277" s="7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2">
        <f ca="1">IFERROR(VLOOKUP(B277,input_385104!L:R,7,FALSE),VLOOKUP(tables_385104!C277,input_385104!A:H,8,FALSE))</f>
        <v>735</v>
      </c>
      <c r="P277" s="43">
        <f t="shared" ca="1" si="14"/>
        <v>4.0697674418604653E-4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input_385104!A$2</f>
        <v>385104</v>
      </c>
      <c r="B278" s="7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2">
        <f ca="1">IFERROR(VLOOKUP(B278,input_385104!L:R,7,FALSE),VLOOKUP(tables_385104!C278,input_385104!A:H,8,FALSE))</f>
        <v>13965</v>
      </c>
      <c r="P278" s="43">
        <f t="shared" ca="1" si="14"/>
        <v>7.7325581395348841E-3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input_385104!A$2</f>
        <v>385104</v>
      </c>
      <c r="B279" s="7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2">
        <f ca="1">IFERROR(VLOOKUP(B279,input_385104!L:R,7,FALSE),VLOOKUP(tables_385104!C279,input_385104!A:H,8,FALSE))</f>
        <v>735</v>
      </c>
      <c r="P279" s="43">
        <f t="shared" ca="1" si="14"/>
        <v>4.0697674418604653E-4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input_385104!A$2</f>
        <v>385104</v>
      </c>
      <c r="B280" s="7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2">
        <f ca="1">IFERROR(VLOOKUP(B280,input_385104!L:R,7,FALSE),VLOOKUP(tables_385104!C280,input_385104!A:H,8,FALSE))</f>
        <v>13965</v>
      </c>
      <c r="P280" s="43">
        <f t="shared" ca="1" si="14"/>
        <v>7.7325581395348841E-3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input_385104!A$2</f>
        <v>385104</v>
      </c>
      <c r="B281" s="7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2">
        <f ca="1">IFERROR(VLOOKUP(B281,input_385104!L:R,7,FALSE),VLOOKUP(tables_385104!C281,input_385104!A:H,8,FALSE))</f>
        <v>735</v>
      </c>
      <c r="P281" s="43">
        <f t="shared" ca="1" si="14"/>
        <v>4.0697674418604653E-4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input_385104!A$2</f>
        <v>385104</v>
      </c>
      <c r="B282" s="7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2">
        <f ca="1">IFERROR(VLOOKUP(B282,input_385104!L:R,7,FALSE),VLOOKUP(tables_385104!C282,input_385104!A:H,8,FALSE))</f>
        <v>1806</v>
      </c>
      <c r="P282" s="43">
        <f t="shared" ca="1" si="14"/>
        <v>1E-3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input_385104!A$2</f>
        <v>385104</v>
      </c>
      <c r="B283" s="7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2">
        <f ca="1">IFERROR(VLOOKUP(B283,input_385104!L:R,7,FALSE),VLOOKUP(tables_385104!C283,input_385104!A:H,8,FALSE))</f>
        <v>1806</v>
      </c>
      <c r="P283" s="43">
        <f t="shared" ca="1" si="14"/>
        <v>1E-3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input_385104!A$2</f>
        <v>385104</v>
      </c>
      <c r="B284" s="80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IFERROR(VLOOKUP(B284,input_385104!L:R,7,FALSE),VLOOKUP(tables_385104!C284,input_385104!A:H,8,FALSE))</f>
        <v>1806</v>
      </c>
      <c r="P284" s="43">
        <f t="shared" ca="1" si="14"/>
        <v>1E-3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input_385104!A$2</f>
        <v>385104</v>
      </c>
      <c r="B285" s="80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IFERROR(VLOOKUP(B285,input_385104!L:R,7,FALSE),VLOOKUP(tables_385104!C285,input_385104!A:H,8,FALSE))</f>
        <v>1806</v>
      </c>
      <c r="P285" s="43">
        <f t="shared" ca="1" si="14"/>
        <v>1E-3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input_385104!A$2</f>
        <v>385104</v>
      </c>
      <c r="B286" s="80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IFERROR(VLOOKUP(B286,input_385104!L:R,7,FALSE),VLOOKUP(tables_385104!C286,input_385104!A:H,8,FALSE))</f>
        <v>13965</v>
      </c>
      <c r="P286" s="43">
        <f t="shared" ca="1" si="14"/>
        <v>7.7325581395348841E-3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input_385104!A$2</f>
        <v>385104</v>
      </c>
      <c r="B287" s="80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IFERROR(VLOOKUP(B287,input_385104!L:R,7,FALSE),VLOOKUP(tables_385104!C287,input_385104!A:H,8,FALSE))</f>
        <v>735</v>
      </c>
      <c r="P287" s="43">
        <f t="shared" ca="1" si="14"/>
        <v>4.0697674418604653E-4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input_385104!A$2</f>
        <v>385104</v>
      </c>
      <c r="B288" s="80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IFERROR(VLOOKUP(B288,input_385104!L:R,7,FALSE),VLOOKUP(tables_385104!C288,input_385104!A:H,8,FALSE))</f>
        <v>13965</v>
      </c>
      <c r="P288" s="43">
        <f t="shared" ca="1" si="14"/>
        <v>7.7325581395348841E-3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input_385104!A$2</f>
        <v>385104</v>
      </c>
      <c r="B289" s="80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IFERROR(VLOOKUP(B289,input_385104!L:R,7,FALSE),VLOOKUP(tables_385104!C289,input_385104!A:H,8,FALSE))</f>
        <v>735</v>
      </c>
      <c r="P289" s="43">
        <f t="shared" ca="1" si="14"/>
        <v>4.0697674418604653E-4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input_385104!A$2</f>
        <v>385104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2">
        <f ca="1">IFERROR(VLOOKUP(B290,input_385104!L:R,7,FALSE),VLOOKUP(tables_385104!C290,input_385104!A:H,8,FALSE))</f>
        <v>1806</v>
      </c>
      <c r="P290" s="43">
        <f t="shared" ca="1" si="14"/>
        <v>1E-3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input_385104!A$2</f>
        <v>385104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2">
        <f ca="1">IFERROR(VLOOKUP(B291,input_385104!L:R,7,FALSE),VLOOKUP(tables_385104!C291,input_385104!A:H,8,FALSE))</f>
        <v>13965</v>
      </c>
      <c r="P291" s="43">
        <f t="shared" ca="1" si="14"/>
        <v>7.7325581395348841E-3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input_385104!A$2</f>
        <v>385104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2">
        <f ca="1">IFERROR(VLOOKUP(B292,input_385104!L:R,7,FALSE),VLOOKUP(tables_385104!C292,input_385104!A:H,8,FALSE))</f>
        <v>735</v>
      </c>
      <c r="P292" s="43">
        <f t="shared" ca="1" si="14"/>
        <v>4.0697674418604653E-4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input_385104!A$2</f>
        <v>385104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2">
        <f ca="1">IFERROR(VLOOKUP(B293,input_385104!L:R,7,FALSE),VLOOKUP(tables_385104!C293,input_385104!A:H,8,FALSE))</f>
        <v>1806</v>
      </c>
      <c r="P293" s="43">
        <f t="shared" ca="1" si="14"/>
        <v>1E-3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input_385104!A$2</f>
        <v>385104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IFERROR(VLOOKUP(B294,input_385104!L:R,7,FALSE),VLOOKUP(tables_385104!C294,input_385104!A:H,8,FALSE))</f>
        <v>1806</v>
      </c>
      <c r="P294" s="43">
        <f t="shared" ca="1" si="14"/>
        <v>1E-3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input_385104!A$2</f>
        <v>385104</v>
      </c>
      <c r="B295" s="5">
        <v>1012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2">
        <f ca="1">IFERROR(VLOOKUP(B295,input_385104!L:R,7,FALSE),VLOOKUP(tables_385104!C295,input_385104!A:H,8,FALSE))</f>
        <v>1806</v>
      </c>
      <c r="P295" s="43">
        <f t="shared" ca="1" si="14"/>
        <v>1E-3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input_385104!A$2</f>
        <v>385104</v>
      </c>
      <c r="B296" s="5">
        <v>1014</v>
      </c>
      <c r="C296" s="7" t="str">
        <f t="shared" si="12"/>
        <v>PremiumSS5R5only</v>
      </c>
      <c r="D296" s="7" t="str">
        <f t="shared" si="1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2">
        <f ca="1">IFERROR(VLOOKUP(B296,input_385104!L:R,7,FALSE),VLOOKUP(tables_385104!C296,input_385104!A:H,8,FALSE))</f>
        <v>1806</v>
      </c>
      <c r="P296" s="43">
        <f t="shared" ca="1" si="14"/>
        <v>1E-3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input_385104!A$2</f>
        <v>385104</v>
      </c>
      <c r="B297" s="5">
        <v>1016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2">
        <f ca="1">IFERROR(VLOOKUP(B297,input_385104!L:R,7,FALSE),VLOOKUP(tables_385104!C297,input_385104!A:H,8,FALSE))</f>
        <v>13965</v>
      </c>
      <c r="P297" s="43">
        <f t="shared" ca="1" si="14"/>
        <v>7.7325581395348841E-3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input_385104!A$2</f>
        <v>385104</v>
      </c>
      <c r="B298" s="5">
        <v>1017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2">
        <f ca="1">IFERROR(VLOOKUP(B298,input_385104!L:R,7,FALSE),VLOOKUP(tables_385104!C298,input_385104!A:H,8,FALSE))</f>
        <v>735</v>
      </c>
      <c r="P298" s="43">
        <f t="shared" ca="1" si="14"/>
        <v>4.0697674418604653E-4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input_385104!A$2</f>
        <v>385104</v>
      </c>
      <c r="B299" s="5">
        <v>1018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2">
        <f ca="1">IFERROR(VLOOKUP(B299,input_385104!L:R,7,FALSE),VLOOKUP(tables_385104!C299,input_385104!A:H,8,FALSE))</f>
        <v>1806</v>
      </c>
      <c r="P299" s="43">
        <f t="shared" ca="1" si="14"/>
        <v>1E-3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input_385104!A$2</f>
        <v>385104</v>
      </c>
      <c r="B300" s="5">
        <v>985</v>
      </c>
      <c r="C300" s="7" t="str">
        <f t="shared" si="12"/>
        <v>PremiumSS5R5only</v>
      </c>
      <c r="D300" s="7" t="str">
        <f t="shared" si="13"/>
        <v>PremiumSS</v>
      </c>
      <c r="E300" s="7" t="str">
        <f>IF(COUNTIF('R6追加前'!A:A,B300)=0,IF(I300="PremiumSS","R5only","R3less"),"")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エレン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balance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>IFERROR(VLOOKUP(B300,input_385104!L:R,7,FALSE),VLOOKUP(tables_385104!C300,input_385104!A:H,8,FALSE))</f>
        <v>14448</v>
      </c>
      <c r="P300" s="43">
        <f t="shared" ca="1" si="14"/>
        <v>8.0000000000000002E-3</v>
      </c>
      <c r="Q300" s="28">
        <v>80</v>
      </c>
      <c r="R300" s="28">
        <v>0</v>
      </c>
      <c r="S300" s="28">
        <v>0</v>
      </c>
      <c r="T300" s="28">
        <v>0</v>
      </c>
      <c r="U300" s="28">
        <v>0</v>
      </c>
      <c r="V300" s="28">
        <v>3</v>
      </c>
    </row>
    <row r="301" spans="1:22" ht="21" customHeight="1" x14ac:dyDescent="0.15">
      <c r="A301" s="2" t="str">
        <f ca="1">input_385104!A$2</f>
        <v>385104</v>
      </c>
      <c r="B301" s="5">
        <v>992</v>
      </c>
      <c r="C301" s="7" t="str">
        <f t="shared" si="12"/>
        <v>Premium4R3less</v>
      </c>
      <c r="D301" s="7" t="str">
        <f t="shared" si="1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ハンジ</v>
      </c>
      <c r="I301" s="7" t="str">
        <f>VLOOKUP(B301,[1]characters!$A:$J,10,FALSE)</f>
        <v>PremiumS</v>
      </c>
      <c r="J301" s="7">
        <f>VLOOKUP(B301,[1]characters!$A:$I,9,FALSE)</f>
        <v>4</v>
      </c>
      <c r="K301" s="7" t="str">
        <f>VLOOKUP(B301,[1]characters!$A:$H,8,FALSE)</f>
        <v>green</v>
      </c>
      <c r="L301" s="7" t="str">
        <f>VLOOKUP(B301,[1]characters!$A:$K,11,FALSE)</f>
        <v>technical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2">
        <f>IFERROR(VLOOKUP(B301,input_385104!L:R,7,FALSE),VLOOKUP(tables_385104!C301,input_385104!A:H,8,FALSE))</f>
        <v>81270</v>
      </c>
      <c r="P301" s="43">
        <f t="shared" ca="1" si="14"/>
        <v>4.4999999999999998E-2</v>
      </c>
      <c r="Q301" s="28">
        <v>60</v>
      </c>
      <c r="R301" s="28">
        <v>0</v>
      </c>
      <c r="S301" s="28">
        <v>0</v>
      </c>
      <c r="T301" s="28">
        <v>0</v>
      </c>
      <c r="U301" s="28">
        <v>0</v>
      </c>
      <c r="V301" s="28">
        <v>3</v>
      </c>
    </row>
    <row r="302" spans="1:22" ht="21" customHeight="1" x14ac:dyDescent="0.15">
      <c r="A302" s="2" t="str">
        <f ca="1">input_385104!A$2</f>
        <v>385104</v>
      </c>
      <c r="B302" s="5">
        <v>993</v>
      </c>
      <c r="C302" s="7" t="str">
        <f t="shared" si="12"/>
        <v>Premium5R3less</v>
      </c>
      <c r="D302" s="7" t="str">
        <f t="shared" si="13"/>
        <v>Premium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巨躯への執着 ハンジ</v>
      </c>
      <c r="I302" s="7" t="str">
        <f>VLOOKUP(B302,[1]characters!$A:$J,10,FALSE)</f>
        <v>PremiumS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2">
        <f>IFERROR(VLOOKUP(B302,input_385104!L:R,7,FALSE),VLOOKUP(tables_385104!C302,input_385104!A:H,8,FALSE))</f>
        <v>9030</v>
      </c>
      <c r="P302" s="43">
        <f t="shared" ca="1" si="14"/>
        <v>5.0000000000000001E-3</v>
      </c>
      <c r="Q302" s="28">
        <v>80</v>
      </c>
      <c r="R302" s="28">
        <v>0</v>
      </c>
      <c r="S302" s="28">
        <v>0</v>
      </c>
      <c r="T302" s="28">
        <v>0</v>
      </c>
      <c r="U302" s="28">
        <v>0</v>
      </c>
      <c r="V302" s="28">
        <v>3</v>
      </c>
    </row>
    <row r="303" spans="1:22" ht="21" customHeight="1" x14ac:dyDescent="0.15">
      <c r="A303" s="2" t="str">
        <f ca="1">input_385104!A$2</f>
        <v>385104</v>
      </c>
      <c r="B303" s="5">
        <v>998</v>
      </c>
      <c r="C303" s="7" t="str">
        <f t="shared" si="12"/>
        <v>Premium4R3less</v>
      </c>
      <c r="D303" s="7" t="str">
        <f t="shared" si="13"/>
        <v>Premium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サシャ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hp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2">
        <f>IFERROR(VLOOKUP(B303,input_385104!L:R,7,FALSE),VLOOKUP(tables_385104!C303,input_385104!A:H,8,FALSE))</f>
        <v>162540</v>
      </c>
      <c r="P303" s="43">
        <f t="shared" ca="1" si="14"/>
        <v>0.09</v>
      </c>
      <c r="Q303" s="28">
        <v>60</v>
      </c>
      <c r="R303" s="28">
        <v>0</v>
      </c>
      <c r="S303" s="28">
        <v>0</v>
      </c>
      <c r="T303" s="28">
        <v>0</v>
      </c>
      <c r="U303" s="28">
        <v>0</v>
      </c>
      <c r="V303" s="28">
        <v>3</v>
      </c>
    </row>
    <row r="304" spans="1:22" ht="21" customHeight="1" x14ac:dyDescent="0.15">
      <c r="A304" s="2" t="str">
        <f ca="1">input_385104!A$2</f>
        <v>385104</v>
      </c>
      <c r="B304" s="5">
        <v>999</v>
      </c>
      <c r="C304" s="7" t="str">
        <f t="shared" si="12"/>
        <v>Premium5R3less</v>
      </c>
      <c r="D304" s="7" t="str">
        <f t="shared" si="13"/>
        <v>Premium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無尽蔵の食猟 サシャ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hp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2">
        <f>IFERROR(VLOOKUP(B304,input_385104!L:R,7,FALSE),VLOOKUP(tables_385104!C304,input_385104!A:H,8,FALSE))</f>
        <v>18060</v>
      </c>
      <c r="P304" s="43">
        <f t="shared" ca="1" si="14"/>
        <v>0.01</v>
      </c>
      <c r="Q304" s="28">
        <v>80</v>
      </c>
      <c r="R304" s="28">
        <v>0</v>
      </c>
      <c r="S304" s="28">
        <v>0</v>
      </c>
      <c r="T304" s="28">
        <v>0</v>
      </c>
      <c r="U304" s="28">
        <v>0</v>
      </c>
      <c r="V304" s="28">
        <v>3</v>
      </c>
    </row>
    <row r="305" spans="1:22" ht="21" customHeight="1" x14ac:dyDescent="0.15">
      <c r="A305" s="2" t="str">
        <f ca="1">input_385104!A$2</f>
        <v>385104</v>
      </c>
      <c r="B305" s="5">
        <v>1002</v>
      </c>
      <c r="C305" s="7" t="str">
        <f t="shared" si="12"/>
        <v>Premium4R3less</v>
      </c>
      <c r="D305" s="7" t="str">
        <f t="shared" si="13"/>
        <v>Premium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ジャン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yellow</v>
      </c>
      <c r="L305" s="7" t="str">
        <f>VLOOKUP(B305,[1]characters!$A:$K,11,FALSE)</f>
        <v>balance</v>
      </c>
      <c r="M305" s="7" t="str">
        <f>VLOOKUP(B305,[1]characters!$A:$M,13,FALSE)</f>
        <v>human</v>
      </c>
      <c r="N305" s="7" t="str">
        <f>VLOOKUP(B305,[1]characters!$A:$G,7,FALSE)</f>
        <v>男性</v>
      </c>
      <c r="O305" s="42">
        <f>IFERROR(VLOOKUP(B305,input_385104!L:R,7,FALSE),VLOOKUP(tables_385104!C305,input_385104!A:H,8,FALSE))</f>
        <v>162540</v>
      </c>
      <c r="P305" s="43">
        <f t="shared" ca="1" si="14"/>
        <v>0.09</v>
      </c>
      <c r="Q305" s="28">
        <v>60</v>
      </c>
      <c r="R305" s="28">
        <v>0</v>
      </c>
      <c r="S305" s="28">
        <v>0</v>
      </c>
      <c r="T305" s="28">
        <v>0</v>
      </c>
      <c r="U305" s="28">
        <v>0</v>
      </c>
      <c r="V305" s="28">
        <v>3</v>
      </c>
    </row>
    <row r="306" spans="1:22" ht="21" customHeight="1" x14ac:dyDescent="0.15">
      <c r="A306" s="2" t="str">
        <f ca="1">input_385104!A$2</f>
        <v>385104</v>
      </c>
      <c r="B306" s="5">
        <v>1003</v>
      </c>
      <c r="C306" s="7" t="str">
        <f t="shared" si="12"/>
        <v>Premium5R3less</v>
      </c>
      <c r="D306" s="7" t="str">
        <f t="shared" si="13"/>
        <v>Premium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真義の勇抱 ジャン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yellow</v>
      </c>
      <c r="L306" s="7" t="str">
        <f>VLOOKUP(B306,[1]characters!$A:$K,11,FALSE)</f>
        <v>balance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>IFERROR(VLOOKUP(B306,input_385104!L:R,7,FALSE),VLOOKUP(tables_385104!C306,input_385104!A:H,8,FALSE))</f>
        <v>18060</v>
      </c>
      <c r="P306" s="43">
        <f t="shared" ca="1" si="14"/>
        <v>0.01</v>
      </c>
      <c r="Q306" s="28">
        <v>80</v>
      </c>
      <c r="R306" s="28">
        <v>0</v>
      </c>
      <c r="S306" s="28">
        <v>0</v>
      </c>
      <c r="T306" s="28">
        <v>0</v>
      </c>
      <c r="U306" s="28">
        <v>0</v>
      </c>
      <c r="V306" s="28">
        <v>3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8"/>
  <sheetViews>
    <sheetView workbookViewId="0">
      <selection activeCell="H6" sqref="H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5" t="s">
        <v>80</v>
      </c>
      <c r="B1" s="45"/>
      <c r="L1" s="35" t="s">
        <v>59</v>
      </c>
      <c r="M1" s="35"/>
      <c r="U1" t="s">
        <v>59</v>
      </c>
    </row>
    <row r="2" spans="1:22" x14ac:dyDescent="0.15">
      <c r="A2" t="str">
        <f ca="1">RIGHT(RIGHT(CELL("filename",A2),LEN(CELL("filename",A2))-FIND("]",CELL("filename",A2))),6)</f>
        <v>385105</v>
      </c>
      <c r="L2" s="30" t="s">
        <v>1</v>
      </c>
      <c r="M2" s="34" t="s">
        <v>63</v>
      </c>
      <c r="N2" s="30" t="s">
        <v>61</v>
      </c>
      <c r="O2" s="34" t="s">
        <v>64</v>
      </c>
      <c r="P2" s="34" t="s">
        <v>65</v>
      </c>
      <c r="Q2" s="34" t="s">
        <v>62</v>
      </c>
      <c r="R2" s="41" t="s">
        <v>71</v>
      </c>
      <c r="U2" s="30" t="s">
        <v>164</v>
      </c>
      <c r="V2" s="51">
        <f t="shared" ref="V2:V16" si="0">SUMIF(Q:Q,U2,N:N)</f>
        <v>0</v>
      </c>
    </row>
    <row r="3" spans="1:22" x14ac:dyDescent="0.15">
      <c r="H3" s="66" t="s">
        <v>185</v>
      </c>
      <c r="L3" s="5">
        <v>985</v>
      </c>
      <c r="M3" s="34" t="str">
        <f>VLOOKUP(L3,[1]characters!$A:$C,3,FALSE)</f>
        <v>エレン</v>
      </c>
      <c r="N3" s="60">
        <v>0.02</v>
      </c>
      <c r="O3" s="34">
        <f>VLOOKUP(L3,[1]characters!$A:$I,9,FALSE)</f>
        <v>5</v>
      </c>
      <c r="P3" s="34" t="str">
        <f>VLOOKUP(L3,[1]characters!$A:$J,10,FALSE)</f>
        <v>PremiumSS</v>
      </c>
      <c r="Q3" s="34" t="str">
        <f>VLOOKUP(L3,tables_385105!B:C,2,FALSE)</f>
        <v>PremiumSS5R5only</v>
      </c>
      <c r="R3" s="59">
        <f t="shared" ref="R3:R20" si="1">N3*A$36</f>
        <v>36120</v>
      </c>
      <c r="S3">
        <v>190</v>
      </c>
      <c r="U3" s="30" t="s">
        <v>165</v>
      </c>
      <c r="V3" s="51">
        <f t="shared" si="0"/>
        <v>0</v>
      </c>
    </row>
    <row r="4" spans="1:22" x14ac:dyDescent="0.15">
      <c r="A4" s="31" t="s">
        <v>51</v>
      </c>
      <c r="B4" s="31"/>
      <c r="D4" t="s">
        <v>174</v>
      </c>
      <c r="F4" t="s">
        <v>177</v>
      </c>
      <c r="H4" t="s">
        <v>183</v>
      </c>
      <c r="I4" t="s">
        <v>184</v>
      </c>
      <c r="L4" s="5">
        <v>992</v>
      </c>
      <c r="M4" s="34" t="str">
        <f>VLOOKUP(L4,[1]characters!$A:$C,3,FALSE)</f>
        <v>ハンジ</v>
      </c>
      <c r="N4" s="60">
        <v>4.4999999999999998E-2</v>
      </c>
      <c r="O4" s="34">
        <f>VLOOKUP(L4,[1]characters!$A:$I,9,FALSE)</f>
        <v>4</v>
      </c>
      <c r="P4" s="34" t="str">
        <f>VLOOKUP(L4,[1]characters!$A:$J,10,FALSE)</f>
        <v>PremiumS</v>
      </c>
      <c r="Q4" s="34" t="str">
        <f>VLOOKUP(L4,tables_385105!B:C,2,FALSE)</f>
        <v>Premium4R3less</v>
      </c>
      <c r="R4" s="59">
        <f t="shared" si="1"/>
        <v>81270</v>
      </c>
      <c r="S4">
        <v>191</v>
      </c>
      <c r="U4" s="30" t="s">
        <v>95</v>
      </c>
      <c r="V4" s="51">
        <f t="shared" si="0"/>
        <v>0</v>
      </c>
    </row>
    <row r="5" spans="1:22" x14ac:dyDescent="0.15">
      <c r="A5" s="30" t="s">
        <v>66</v>
      </c>
      <c r="B5" s="65">
        <v>0</v>
      </c>
      <c r="D5" t="s">
        <v>175</v>
      </c>
      <c r="E5" s="40">
        <f>(B11-H5)/(F5-I5)</f>
        <v>7.1428571428571439E-4</v>
      </c>
      <c r="F5">
        <f>(COUNTIF(tables_385105!C:C,input_385105!A28)+COUNTIF(tables_385105!C:C,input_385105!A29))</f>
        <v>43</v>
      </c>
      <c r="H5" s="77">
        <v>0.02</v>
      </c>
      <c r="I5" s="29">
        <v>1</v>
      </c>
      <c r="L5" s="5">
        <v>993</v>
      </c>
      <c r="M5" s="34" t="str">
        <f>VLOOKUP(L5,[1]characters!$A:$C,3,FALSE)</f>
        <v>巨躯への執着 ハンジ</v>
      </c>
      <c r="N5" s="60">
        <v>5.0000000000000001E-3</v>
      </c>
      <c r="O5" s="34">
        <f>VLOOKUP(L5,[1]characters!$A:$I,9,FALSE)</f>
        <v>5</v>
      </c>
      <c r="P5" s="34" t="str">
        <f>VLOOKUP(L5,[1]characters!$A:$J,10,FALSE)</f>
        <v>PremiumS</v>
      </c>
      <c r="Q5" s="34" t="str">
        <f>VLOOKUP(L5,tables_385105!B:C,2,FALSE)</f>
        <v>Premium5R3less</v>
      </c>
      <c r="R5" s="59">
        <f t="shared" si="1"/>
        <v>9030</v>
      </c>
      <c r="S5">
        <v>192</v>
      </c>
      <c r="U5" s="30" t="s">
        <v>96</v>
      </c>
      <c r="V5" s="51">
        <f t="shared" si="0"/>
        <v>0</v>
      </c>
    </row>
    <row r="6" spans="1:22" x14ac:dyDescent="0.15">
      <c r="A6" s="30" t="s">
        <v>67</v>
      </c>
      <c r="B6" s="65">
        <v>0.95</v>
      </c>
      <c r="D6" t="s">
        <v>176</v>
      </c>
      <c r="E6" s="69">
        <f>(B10-H6)/(F6-I6)</f>
        <v>8.1395348837209301E-3</v>
      </c>
      <c r="F6">
        <f>(COUNTIF(tables_385105!C:C,input_385105!A25)+COUNTIF(tables_385105!C:C,input_385105!A18)+COUNTIF(tables_385105!C:C,input_385105!A20)+COUNTIF(tables_385105!C:C,input_385105!A22))</f>
        <v>89</v>
      </c>
      <c r="H6" s="79">
        <v>0.25</v>
      </c>
      <c r="I6" s="29">
        <v>3</v>
      </c>
      <c r="L6" s="5">
        <v>998</v>
      </c>
      <c r="M6" s="34" t="str">
        <f>VLOOKUP(L6,[1]characters!$A:$C,3,FALSE)</f>
        <v>サシャ</v>
      </c>
      <c r="N6" s="60">
        <v>0.09</v>
      </c>
      <c r="O6" s="34">
        <f>VLOOKUP(L6,[1]characters!$A:$I,9,FALSE)</f>
        <v>4</v>
      </c>
      <c r="P6" s="34" t="str">
        <f>VLOOKUP(L6,[1]characters!$A:$J,10,FALSE)</f>
        <v>PremiumS</v>
      </c>
      <c r="Q6" s="34" t="str">
        <f>VLOOKUP(L6,tables_385105!B:C,2,FALSE)</f>
        <v>Premium4R3less</v>
      </c>
      <c r="R6" s="59">
        <f t="shared" si="1"/>
        <v>162540</v>
      </c>
      <c r="S6">
        <v>596</v>
      </c>
      <c r="U6" s="30" t="s">
        <v>97</v>
      </c>
      <c r="V6" s="51">
        <f t="shared" si="0"/>
        <v>0</v>
      </c>
    </row>
    <row r="7" spans="1:22" x14ac:dyDescent="0.15">
      <c r="A7" s="30" t="s">
        <v>68</v>
      </c>
      <c r="B7" s="65">
        <v>0.05</v>
      </c>
      <c r="L7" s="5">
        <v>999</v>
      </c>
      <c r="M7" s="34" t="str">
        <f>VLOOKUP(L7,[1]characters!$A:$C,3,FALSE)</f>
        <v>無尽蔵の食猟 サシャ</v>
      </c>
      <c r="N7" s="60">
        <v>0.01</v>
      </c>
      <c r="O7" s="34">
        <f>VLOOKUP(L7,[1]characters!$A:$I,9,FALSE)</f>
        <v>5</v>
      </c>
      <c r="P7" s="34" t="str">
        <f>VLOOKUP(L7,[1]characters!$A:$J,10,FALSE)</f>
        <v>PremiumS</v>
      </c>
      <c r="Q7" s="34" t="str">
        <f>VLOOKUP(L7,tables_385105!B:C,2,FALSE)</f>
        <v>Premium5R3less</v>
      </c>
      <c r="R7" s="59">
        <f t="shared" si="1"/>
        <v>18060</v>
      </c>
      <c r="S7">
        <v>597</v>
      </c>
      <c r="U7" s="30" t="s">
        <v>170</v>
      </c>
      <c r="V7" s="51">
        <f t="shared" si="0"/>
        <v>0.22500000000000001</v>
      </c>
    </row>
    <row r="8" spans="1:22" x14ac:dyDescent="0.15">
      <c r="A8" s="54"/>
      <c r="B8" s="64"/>
      <c r="E8" s="69"/>
      <c r="L8" s="5">
        <v>1002</v>
      </c>
      <c r="M8" s="34" t="str">
        <f>VLOOKUP(L8,[1]characters!$A:$C,3,FALSE)</f>
        <v>ジャン</v>
      </c>
      <c r="N8" s="60">
        <v>0.09</v>
      </c>
      <c r="O8" s="34">
        <f>VLOOKUP(L8,[1]characters!$A:$I,9,FALSE)</f>
        <v>4</v>
      </c>
      <c r="P8" s="34" t="str">
        <f>VLOOKUP(L8,[1]characters!$A:$J,10,FALSE)</f>
        <v>PremiumS</v>
      </c>
      <c r="Q8" s="34" t="str">
        <f>VLOOKUP(L8,tables_385105!B:C,2,FALSE)</f>
        <v>Premium4R3less</v>
      </c>
      <c r="R8" s="59">
        <f t="shared" si="1"/>
        <v>162540</v>
      </c>
      <c r="S8">
        <v>598</v>
      </c>
      <c r="U8" s="30" t="s">
        <v>171</v>
      </c>
      <c r="V8" s="51">
        <f t="shared" si="0"/>
        <v>2.5000000000000001E-2</v>
      </c>
    </row>
    <row r="9" spans="1:22" x14ac:dyDescent="0.15">
      <c r="A9" s="32" t="s">
        <v>52</v>
      </c>
      <c r="B9" s="32"/>
      <c r="L9" s="5">
        <v>1003</v>
      </c>
      <c r="M9" s="34" t="str">
        <f>VLOOKUP(L9,[1]characters!$A:$C,3,FALSE)</f>
        <v>真義の勇抱 ジャン</v>
      </c>
      <c r="N9" s="60">
        <v>0.01</v>
      </c>
      <c r="O9" s="34">
        <f>VLOOKUP(L9,[1]characters!$A:$I,9,FALSE)</f>
        <v>5</v>
      </c>
      <c r="P9" s="34" t="str">
        <f>VLOOKUP(L9,[1]characters!$A:$J,10,FALSE)</f>
        <v>PremiumS</v>
      </c>
      <c r="Q9" s="34" t="str">
        <f>VLOOKUP(L9,tables_385105!B:C,2,FALSE)</f>
        <v>Premium5R3less</v>
      </c>
      <c r="R9" s="59">
        <f t="shared" si="1"/>
        <v>18060</v>
      </c>
      <c r="S9">
        <v>390</v>
      </c>
      <c r="U9" s="30" t="s">
        <v>167</v>
      </c>
      <c r="V9" s="51">
        <f t="shared" si="0"/>
        <v>0</v>
      </c>
    </row>
    <row r="10" spans="1:22" x14ac:dyDescent="0.15">
      <c r="A10" s="30" t="s">
        <v>94</v>
      </c>
      <c r="B10" s="65">
        <f>1-B11-B12</f>
        <v>0.95</v>
      </c>
      <c r="C10" t="s">
        <v>182</v>
      </c>
      <c r="M10" s="34" t="e">
        <f>VLOOKUP(L10,[1]characters!$A:$C,3,FALSE)</f>
        <v>#N/A</v>
      </c>
      <c r="N10" s="60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VLOOKUP(L10,tables_385105!B:C,2,FALSE)</f>
        <v>#N/A</v>
      </c>
      <c r="R10" s="59">
        <f t="shared" si="1"/>
        <v>0</v>
      </c>
      <c r="S10">
        <v>391</v>
      </c>
      <c r="U10" s="30" t="s">
        <v>168</v>
      </c>
      <c r="V10" s="51">
        <f t="shared" si="0"/>
        <v>0</v>
      </c>
    </row>
    <row r="11" spans="1:22" x14ac:dyDescent="0.15">
      <c r="A11" s="30" t="s">
        <v>54</v>
      </c>
      <c r="B11" s="70">
        <v>0.05</v>
      </c>
      <c r="C11" t="s">
        <v>210</v>
      </c>
      <c r="M11" s="34" t="e">
        <f>VLOOKUP(L11,[1]characters!$A:$C,3,FALSE)</f>
        <v>#N/A</v>
      </c>
      <c r="N11" s="60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VLOOKUP(L11,tables_385105!B:C,2,FALSE)</f>
        <v>#N/A</v>
      </c>
      <c r="R11" s="59">
        <f t="shared" si="1"/>
        <v>0</v>
      </c>
      <c r="S11">
        <v>811</v>
      </c>
      <c r="U11" s="30" t="s">
        <v>169</v>
      </c>
      <c r="V11" s="51">
        <f t="shared" si="0"/>
        <v>0</v>
      </c>
    </row>
    <row r="12" spans="1:22" x14ac:dyDescent="0.15">
      <c r="A12" s="30" t="s">
        <v>53</v>
      </c>
      <c r="B12" s="65">
        <v>0</v>
      </c>
      <c r="M12" s="34" t="e">
        <f>VLOOKUP(L12,[1]characters!$A:$C,3,FALSE)</f>
        <v>#N/A</v>
      </c>
      <c r="N12" s="60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VLOOKUP(L12,tables_385105!B:C,2,FALSE)</f>
        <v>#N/A</v>
      </c>
      <c r="R12" s="59">
        <f t="shared" si="1"/>
        <v>0</v>
      </c>
      <c r="S12">
        <v>496</v>
      </c>
      <c r="U12" s="30" t="s">
        <v>104</v>
      </c>
      <c r="V12" s="51">
        <f t="shared" si="0"/>
        <v>0</v>
      </c>
    </row>
    <row r="13" spans="1:22" x14ac:dyDescent="0.15">
      <c r="M13" s="34" t="e">
        <f>VLOOKUP(L13,[1]characters!$A:$C,3,FALSE)</f>
        <v>#N/A</v>
      </c>
      <c r="N13" s="60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VLOOKUP(L13,tables_385105!B:C,2,FALSE)</f>
        <v>#N/A</v>
      </c>
      <c r="R13" s="59">
        <f t="shared" si="1"/>
        <v>0</v>
      </c>
      <c r="S13">
        <v>497</v>
      </c>
      <c r="U13" s="30" t="s">
        <v>105</v>
      </c>
      <c r="V13" s="51">
        <f t="shared" si="0"/>
        <v>0</v>
      </c>
    </row>
    <row r="14" spans="1:22" x14ac:dyDescent="0.15">
      <c r="M14" s="34" t="e">
        <f>VLOOKUP(L14,[1]characters!$A:$C,3,FALSE)</f>
        <v>#N/A</v>
      </c>
      <c r="N14" s="60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VLOOKUP(L14,tables_385105!B:C,2,FALSE)</f>
        <v>#N/A</v>
      </c>
      <c r="R14" s="59">
        <f t="shared" si="1"/>
        <v>0</v>
      </c>
      <c r="S14">
        <v>498</v>
      </c>
      <c r="U14" s="30" t="s">
        <v>173</v>
      </c>
      <c r="V14" s="51">
        <f t="shared" si="0"/>
        <v>0.02</v>
      </c>
    </row>
    <row r="15" spans="1:22" x14ac:dyDescent="0.15">
      <c r="A15" s="33" t="s">
        <v>55</v>
      </c>
      <c r="B15" s="33"/>
      <c r="C15" t="s">
        <v>81</v>
      </c>
      <c r="M15" s="34" t="e">
        <f>VLOOKUP(L15,[1]characters!$A:$C,3,FALSE)</f>
        <v>#N/A</v>
      </c>
      <c r="N15" s="60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VLOOKUP(L15,tables_385105!B:C,2,FALSE)</f>
        <v>#N/A</v>
      </c>
      <c r="R15" s="59">
        <f t="shared" si="1"/>
        <v>0</v>
      </c>
      <c r="S15">
        <v>395</v>
      </c>
      <c r="U15" s="30" t="s">
        <v>172</v>
      </c>
      <c r="V15" s="51">
        <f t="shared" si="0"/>
        <v>0</v>
      </c>
    </row>
    <row r="16" spans="1:22" x14ac:dyDescent="0.15">
      <c r="A16" s="30" t="s">
        <v>58</v>
      </c>
      <c r="B16" s="30" t="s">
        <v>166</v>
      </c>
      <c r="C16" s="34" t="s">
        <v>59</v>
      </c>
      <c r="D16" s="34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M16" s="34" t="e">
        <f>VLOOKUP(L16,[1]characters!$A:$C,3,FALSE)</f>
        <v>#N/A</v>
      </c>
      <c r="N16" s="60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VLOOKUP(L16,tables_385105!B:C,2,FALSE)</f>
        <v>#N/A</v>
      </c>
      <c r="R16" s="59">
        <f t="shared" si="1"/>
        <v>0</v>
      </c>
      <c r="S16">
        <v>396</v>
      </c>
      <c r="U16" s="30" t="s">
        <v>106</v>
      </c>
      <c r="V16" s="51">
        <f t="shared" si="0"/>
        <v>0</v>
      </c>
    </row>
    <row r="17" spans="1:19" x14ac:dyDescent="0.15">
      <c r="A17" s="30" t="s">
        <v>164</v>
      </c>
      <c r="B17" s="75">
        <f>B$5-B19-B24</f>
        <v>0</v>
      </c>
      <c r="C17" s="78">
        <f t="shared" ref="C17:C31" si="2">SUMIF(Q:Q,A17,N:N)</f>
        <v>0</v>
      </c>
      <c r="D17" s="67">
        <f t="shared" ref="D17:D32" si="3">B17-C17</f>
        <v>0</v>
      </c>
      <c r="E17">
        <f>COUNTIF(tables_385105!C:C,input_385105!A17)-COUNTIF(Q:Q,A17)</f>
        <v>20</v>
      </c>
      <c r="F17" s="40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4" t="e">
        <f>VLOOKUP(L17,[1]characters!$A:$C,3,FALSE)</f>
        <v>#N/A</v>
      </c>
      <c r="N17" s="60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VLOOKUP(L17,tables_385105!B:C,2,FALSE)</f>
        <v>#N/A</v>
      </c>
      <c r="R17" s="59">
        <f t="shared" si="1"/>
        <v>0</v>
      </c>
      <c r="S17">
        <v>397</v>
      </c>
    </row>
    <row r="18" spans="1:19" x14ac:dyDescent="0.15">
      <c r="A18" s="30" t="s">
        <v>165</v>
      </c>
      <c r="B18" s="53">
        <f>E$6*E18-B17</f>
        <v>0.16279069767441862</v>
      </c>
      <c r="C18" s="78">
        <f t="shared" si="2"/>
        <v>0</v>
      </c>
      <c r="D18" s="67">
        <f t="shared" si="3"/>
        <v>0.16279069767441862</v>
      </c>
      <c r="E18">
        <f>COUNTIF(tables_385105!C:C,input_385105!A18)-COUNTIF(Q:Q,A18)</f>
        <v>20</v>
      </c>
      <c r="F18" s="40">
        <f>IFERROR(B18/E18,0)</f>
        <v>8.1395348837209301E-3</v>
      </c>
      <c r="G18">
        <f t="shared" si="4"/>
        <v>294000</v>
      </c>
      <c r="H18">
        <f t="shared" si="5"/>
        <v>14700</v>
      </c>
      <c r="I18">
        <f t="shared" si="6"/>
        <v>0</v>
      </c>
      <c r="J18">
        <f t="shared" si="7"/>
        <v>1</v>
      </c>
      <c r="M18" s="34" t="e">
        <f>VLOOKUP(L18,[1]characters!$A:$C,3,FALSE)</f>
        <v>#N/A</v>
      </c>
      <c r="N18" s="60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VLOOKUP(L18,tables_385105!B:C,2,FALSE)</f>
        <v>#N/A</v>
      </c>
      <c r="R18" s="59">
        <f t="shared" si="1"/>
        <v>0</v>
      </c>
      <c r="S18">
        <v>324</v>
      </c>
    </row>
    <row r="19" spans="1:19" x14ac:dyDescent="0.15">
      <c r="A19" s="30" t="s">
        <v>95</v>
      </c>
      <c r="B19" s="53">
        <f>E$6*E19*B$5</f>
        <v>0</v>
      </c>
      <c r="C19" s="78">
        <f t="shared" si="2"/>
        <v>0</v>
      </c>
      <c r="D19" s="67">
        <f t="shared" si="3"/>
        <v>0</v>
      </c>
      <c r="E19">
        <f>COUNTIF(tables_385105!C:C,input_385105!A19)-COUNTIF(Q:Q,A19)</f>
        <v>52</v>
      </c>
      <c r="F19" s="40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4" t="e">
        <f>VLOOKUP(L19,[1]characters!$A:$C,3,FALSE)</f>
        <v>#N/A</v>
      </c>
      <c r="N19" s="60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VLOOKUP(L19,tables_385105!B:C,2,FALSE)</f>
        <v>#N/A</v>
      </c>
      <c r="R19" s="59">
        <f t="shared" si="1"/>
        <v>0</v>
      </c>
      <c r="S19">
        <v>325</v>
      </c>
    </row>
    <row r="20" spans="1:19" x14ac:dyDescent="0.15">
      <c r="A20" s="30" t="s">
        <v>96</v>
      </c>
      <c r="B20" s="75">
        <f>E20*E6-B21</f>
        <v>0.38995348837209304</v>
      </c>
      <c r="C20" s="78">
        <f t="shared" si="2"/>
        <v>0</v>
      </c>
      <c r="D20" s="67">
        <f t="shared" si="3"/>
        <v>0.38995348837209304</v>
      </c>
      <c r="E20">
        <f>COUNTIF(tables_385105!C:C,input_385105!A20)-COUNTIF(Q:Q,A20)</f>
        <v>52</v>
      </c>
      <c r="F20" s="40">
        <f t="shared" si="8"/>
        <v>7.4991055456171737E-3</v>
      </c>
      <c r="G20">
        <f t="shared" si="4"/>
        <v>704256</v>
      </c>
      <c r="H20">
        <f t="shared" si="5"/>
        <v>13543.384620000001</v>
      </c>
      <c r="I20">
        <f t="shared" si="6"/>
        <v>0.38462000000072294</v>
      </c>
      <c r="J20">
        <f t="shared" si="7"/>
        <v>2.5999688003695085</v>
      </c>
      <c r="M20" s="34" t="e">
        <f>VLOOKUP(L20,[1]characters!$A:$C,3,FALSE)</f>
        <v>#N/A</v>
      </c>
      <c r="N20" s="60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VLOOKUP(L20,tables_385105!B:C,2,FALSE)</f>
        <v>#N/A</v>
      </c>
      <c r="R20" s="59">
        <f t="shared" si="1"/>
        <v>0</v>
      </c>
      <c r="S20">
        <v>809</v>
      </c>
    </row>
    <row r="21" spans="1:19" x14ac:dyDescent="0.15">
      <c r="A21" s="30" t="s">
        <v>97</v>
      </c>
      <c r="B21" s="53">
        <f>B7-B23-B26-B28-B29</f>
        <v>3.3302325581395349E-2</v>
      </c>
      <c r="C21" s="78">
        <f t="shared" si="2"/>
        <v>0</v>
      </c>
      <c r="D21" s="67">
        <f t="shared" si="3"/>
        <v>3.3302325581395349E-2</v>
      </c>
      <c r="E21">
        <f>COUNTIF(tables_385105!C:C,input_385105!A21)-COUNTIF(Q:Q,A21)</f>
        <v>52</v>
      </c>
      <c r="F21" s="40">
        <f t="shared" si="8"/>
        <v>6.4042933810375667E-4</v>
      </c>
      <c r="G21">
        <f t="shared" si="4"/>
        <v>60144</v>
      </c>
      <c r="H21">
        <f t="shared" si="5"/>
        <v>1156.61538</v>
      </c>
      <c r="I21">
        <f t="shared" si="6"/>
        <v>0.61537999999995918</v>
      </c>
      <c r="J21">
        <f t="shared" si="7"/>
        <v>1.6250121875915147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0" t="s">
        <v>170</v>
      </c>
      <c r="B22" s="68">
        <f>E$6*E22*B6</f>
        <v>7.7325581395348841E-2</v>
      </c>
      <c r="C22" s="78">
        <f t="shared" si="2"/>
        <v>0.22500000000000001</v>
      </c>
      <c r="D22" s="67">
        <f t="shared" si="3"/>
        <v>-0.14767441860465116</v>
      </c>
      <c r="E22">
        <f>COUNTIF(tables_385105!C:C,input_385105!A22)-COUNTIF(Q:Q,A22)</f>
        <v>10</v>
      </c>
      <c r="F22" s="40">
        <f t="shared" si="8"/>
        <v>7.7325581395348841E-3</v>
      </c>
      <c r="G22">
        <f t="shared" si="4"/>
        <v>139650</v>
      </c>
      <c r="H22">
        <f t="shared" si="5"/>
        <v>13965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0" t="s">
        <v>171</v>
      </c>
      <c r="B23" s="63">
        <f>E23*E6*B7</f>
        <v>4.0697674418604659E-3</v>
      </c>
      <c r="C23" s="78">
        <f t="shared" si="2"/>
        <v>2.5000000000000001E-2</v>
      </c>
      <c r="D23" s="67">
        <f t="shared" si="3"/>
        <v>-2.0930232558139535E-2</v>
      </c>
      <c r="E23">
        <f>COUNTIF(tables_385105!C:C,input_385105!A23)-COUNTIF(Q:Q,A23)</f>
        <v>10</v>
      </c>
      <c r="F23" s="40">
        <f t="shared" si="8"/>
        <v>4.0697674418604658E-4</v>
      </c>
      <c r="G23">
        <f t="shared" si="4"/>
        <v>7350.0000000000018</v>
      </c>
      <c r="H23">
        <f t="shared" si="5"/>
        <v>735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0" t="s">
        <v>167</v>
      </c>
      <c r="B24" s="53">
        <f>E$6*E24*B$5</f>
        <v>0</v>
      </c>
      <c r="C24" s="78">
        <f t="shared" si="2"/>
        <v>0</v>
      </c>
      <c r="D24" s="67">
        <f t="shared" si="3"/>
        <v>0</v>
      </c>
      <c r="E24">
        <f>COUNTIF(tables_385105!C:C,input_385105!A24)-COUNTIF(Q:Q,A24)</f>
        <v>4</v>
      </c>
      <c r="F24" s="40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0" t="s">
        <v>168</v>
      </c>
      <c r="B25" s="53">
        <f>E$6*B$6*E25</f>
        <v>3.0930232558139533E-2</v>
      </c>
      <c r="C25" s="78">
        <f t="shared" si="2"/>
        <v>0</v>
      </c>
      <c r="D25" s="67">
        <f t="shared" si="3"/>
        <v>3.0930232558139533E-2</v>
      </c>
      <c r="E25">
        <f>COUNTIF(tables_385105!C:C,input_385105!A25)-COUNTIF(Q:Q,A25)</f>
        <v>4</v>
      </c>
      <c r="F25" s="40">
        <f t="shared" si="8"/>
        <v>7.7325581395348833E-3</v>
      </c>
      <c r="G25">
        <f t="shared" si="4"/>
        <v>55860</v>
      </c>
      <c r="H25">
        <f t="shared" si="5"/>
        <v>13965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0" t="s">
        <v>169</v>
      </c>
      <c r="B26" s="53">
        <f>E$6*B$7*E26</f>
        <v>1.6279069767441861E-3</v>
      </c>
      <c r="C26" s="78">
        <f t="shared" si="2"/>
        <v>0</v>
      </c>
      <c r="D26" s="67">
        <f t="shared" si="3"/>
        <v>1.6279069767441861E-3</v>
      </c>
      <c r="E26">
        <f>COUNTIF(tables_385105!C:C,input_385105!A26)-COUNTIF(Q:Q,A26)</f>
        <v>4</v>
      </c>
      <c r="F26" s="40">
        <f t="shared" si="8"/>
        <v>4.0697674418604653E-4</v>
      </c>
      <c r="G26">
        <f t="shared" si="4"/>
        <v>2940</v>
      </c>
      <c r="H26">
        <f t="shared" si="5"/>
        <v>735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0" t="s">
        <v>104</v>
      </c>
      <c r="B27" s="53">
        <f>E$5*E27*(B$5+B$6)</f>
        <v>1.9000000000000003E-2</v>
      </c>
      <c r="C27" s="78">
        <f t="shared" si="2"/>
        <v>0</v>
      </c>
      <c r="D27" s="67">
        <f t="shared" si="3"/>
        <v>1.9000000000000003E-2</v>
      </c>
      <c r="E27">
        <f>COUNTIF(tables_385105!C:C,input_385105!A27)-COUNTIF(Q:Q,A27)</f>
        <v>28</v>
      </c>
      <c r="F27" s="40">
        <f>IFERROR(B27/E27,0)</f>
        <v>6.7857142857142866E-4</v>
      </c>
      <c r="G27">
        <f t="shared" si="4"/>
        <v>34314.000000000007</v>
      </c>
      <c r="H27">
        <f t="shared" si="5"/>
        <v>1225.5</v>
      </c>
      <c r="I27">
        <f t="shared" si="6"/>
        <v>0.5</v>
      </c>
      <c r="J27">
        <f t="shared" si="7"/>
        <v>2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0" t="s">
        <v>105</v>
      </c>
      <c r="B28" s="53">
        <f>E$5*E28*B$7</f>
        <v>1.0000000000000002E-3</v>
      </c>
      <c r="C28" s="78">
        <f t="shared" si="2"/>
        <v>0</v>
      </c>
      <c r="D28" s="67">
        <f t="shared" si="3"/>
        <v>1.0000000000000002E-3</v>
      </c>
      <c r="E28">
        <f>COUNTIF(tables_385105!C:C,input_385105!A28)-COUNTIF(Q:Q,A28)</f>
        <v>28</v>
      </c>
      <c r="F28" s="40">
        <f t="shared" si="8"/>
        <v>3.5714285714285724E-5</v>
      </c>
      <c r="G28">
        <f t="shared" si="4"/>
        <v>1806.0000000000005</v>
      </c>
      <c r="H28">
        <f t="shared" si="5"/>
        <v>64.5</v>
      </c>
      <c r="I28">
        <f t="shared" si="6"/>
        <v>0.5</v>
      </c>
      <c r="J28">
        <f t="shared" si="7"/>
        <v>2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0" t="s">
        <v>173</v>
      </c>
      <c r="B29" s="53">
        <f>E$5*E29</f>
        <v>1.0000000000000002E-2</v>
      </c>
      <c r="C29" s="78">
        <f t="shared" si="2"/>
        <v>0.02</v>
      </c>
      <c r="D29" s="67">
        <f t="shared" si="3"/>
        <v>-9.9999999999999985E-3</v>
      </c>
      <c r="E29">
        <f>COUNTIF(tables_385105!C:C,input_385105!A29)-COUNTIF(Q:Q,A29)</f>
        <v>14</v>
      </c>
      <c r="F29" s="40">
        <f t="shared" si="8"/>
        <v>7.1428571428571439E-4</v>
      </c>
      <c r="G29">
        <f t="shared" si="4"/>
        <v>18060.000000000004</v>
      </c>
      <c r="H29">
        <f t="shared" si="5"/>
        <v>1290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0" t="s">
        <v>208</v>
      </c>
      <c r="B30" s="53">
        <v>0</v>
      </c>
      <c r="C30" s="78">
        <f t="shared" si="2"/>
        <v>0</v>
      </c>
      <c r="D30" s="67">
        <f t="shared" si="3"/>
        <v>0</v>
      </c>
      <c r="E30">
        <f>COUNTIF(tables_385105!C:C,input_385105!A30)-COUNTIF(Q:Q,A30)</f>
        <v>0</v>
      </c>
      <c r="F30" s="40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0" t="s">
        <v>209</v>
      </c>
      <c r="B31" s="53">
        <v>0</v>
      </c>
      <c r="C31" s="78">
        <f t="shared" si="2"/>
        <v>0</v>
      </c>
      <c r="D31" s="67">
        <f t="shared" si="3"/>
        <v>0</v>
      </c>
      <c r="E31">
        <f>COUNTIF(tables_385105!C:C,input_385105!A31)-COUNTIF(Q:Q,A31)</f>
        <v>0</v>
      </c>
      <c r="F31" s="40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6" t="s">
        <v>57</v>
      </c>
      <c r="B32" s="37">
        <f>SUM(B17:B31)</f>
        <v>0.73000000000000009</v>
      </c>
      <c r="C32" s="38">
        <f>SUM(C19:C31)</f>
        <v>0.27</v>
      </c>
      <c r="D32" s="39">
        <f t="shared" si="3"/>
        <v>0.46000000000000008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71</v>
      </c>
    </row>
    <row r="36" spans="1:7" x14ac:dyDescent="0.15">
      <c r="A36" s="29">
        <f>LCM(F5-I5,F6-I6)*1000</f>
        <v>1806000</v>
      </c>
    </row>
    <row r="38" spans="1:7" x14ac:dyDescent="0.15">
      <c r="A38" s="44" t="s">
        <v>74</v>
      </c>
    </row>
    <row r="39" spans="1:7" x14ac:dyDescent="0.15">
      <c r="A39" s="30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0" t="s">
        <v>101</v>
      </c>
      <c r="B40">
        <f ca="1">SUMIF(tables_385105!C:C,input_385105!A40,tables_385105!O:O)</f>
        <v>0</v>
      </c>
      <c r="C40" s="51">
        <f t="shared" ref="C40:C46" ca="1" si="9">B40/B$47</f>
        <v>0</v>
      </c>
      <c r="E40">
        <v>3</v>
      </c>
      <c r="F40">
        <f ca="1">SUMIF(tables_385105!J:J,input_385105!E40,tables_385105!O:O)</f>
        <v>0</v>
      </c>
      <c r="G40">
        <f ca="1">F40/A36</f>
        <v>0</v>
      </c>
    </row>
    <row r="41" spans="1:7" x14ac:dyDescent="0.15">
      <c r="A41" s="30" t="s">
        <v>102</v>
      </c>
      <c r="B41">
        <f ca="1">SUMIF(tables_385105!C:C,input_385105!A41,tables_385105!O:O)</f>
        <v>704256.00024000078</v>
      </c>
      <c r="C41" s="51">
        <f t="shared" ca="1" si="9"/>
        <v>0.87974816399340439</v>
      </c>
      <c r="E41">
        <v>4</v>
      </c>
      <c r="F41">
        <f ca="1">SUMIF(tables_385105!J:J,input_385105!E41,tables_385105!O:O)</f>
        <v>1634430.0002400011</v>
      </c>
      <c r="G41" s="103">
        <f ca="1">F41/A36</f>
        <v>0.90500000013289095</v>
      </c>
    </row>
    <row r="42" spans="1:7" x14ac:dyDescent="0.15">
      <c r="A42" s="30" t="s">
        <v>104</v>
      </c>
      <c r="B42">
        <f ca="1">SUMIF(tables_385105!C:C,input_385105!A42,tables_385105!O:O)</f>
        <v>34314</v>
      </c>
      <c r="C42" s="51">
        <f t="shared" ca="1" si="9"/>
        <v>4.2864637985309505E-2</v>
      </c>
      <c r="E42">
        <v>5</v>
      </c>
      <c r="F42">
        <f ca="1">SUMIF(tables_385105!J:J,input_385105!E42,tables_385105!O:O)</f>
        <v>171569.99976000006</v>
      </c>
      <c r="G42" s="103">
        <f ca="1">F42/A36</f>
        <v>9.4999999867109663E-2</v>
      </c>
    </row>
    <row r="43" spans="1:7" x14ac:dyDescent="0.15">
      <c r="A43" s="30" t="s">
        <v>107</v>
      </c>
      <c r="B43">
        <f>SUMIF(tables_385105!C:C,input_385105!A43,tables_385105!O:O)</f>
        <v>0</v>
      </c>
      <c r="C43" s="51">
        <f t="shared" ca="1" si="9"/>
        <v>0</v>
      </c>
      <c r="F43" s="52"/>
    </row>
    <row r="44" spans="1:7" x14ac:dyDescent="0.15">
      <c r="A44" s="30" t="s">
        <v>103</v>
      </c>
      <c r="B44">
        <f ca="1">SUMIF(tables_385105!C:C,input_385105!A44,tables_385105!O:O)</f>
        <v>60143.999760000057</v>
      </c>
      <c r="C44" s="51">
        <f t="shared" ca="1" si="9"/>
        <v>7.5131164443111978E-2</v>
      </c>
      <c r="E44" t="s">
        <v>52</v>
      </c>
      <c r="F44" s="52"/>
    </row>
    <row r="45" spans="1:7" x14ac:dyDescent="0.15">
      <c r="A45" s="30" t="s">
        <v>105</v>
      </c>
      <c r="B45">
        <f ca="1">SUMIF(tables_385105!C:C,input_385105!A45,tables_385105!O:O)</f>
        <v>1806</v>
      </c>
      <c r="C45" s="51">
        <f t="shared" ca="1" si="9"/>
        <v>2.2560335781741845E-3</v>
      </c>
      <c r="E45" t="s">
        <v>178</v>
      </c>
      <c r="F45" s="52">
        <f ca="1">SUMIF(tables_385105!I:I,input_385105!E45,tables_385105!P:P)</f>
        <v>0.16279069767441864</v>
      </c>
    </row>
    <row r="46" spans="1:7" x14ac:dyDescent="0.15">
      <c r="A46" s="30" t="s">
        <v>106</v>
      </c>
      <c r="B46">
        <f>SUMIF(tables_385105!C:C,input_385105!A46,tables_385105!O:O)</f>
        <v>0</v>
      </c>
      <c r="C46" s="51">
        <f t="shared" ca="1" si="9"/>
        <v>0</v>
      </c>
      <c r="E46" t="s">
        <v>179</v>
      </c>
      <c r="F46" s="52">
        <f ca="1">SUMIF(tables_385105!I:I,input_385105!E46,tables_385105!P:P)</f>
        <v>0.16279069767441862</v>
      </c>
    </row>
    <row r="47" spans="1:7" x14ac:dyDescent="0.15">
      <c r="A47" s="36" t="s">
        <v>57</v>
      </c>
      <c r="B47">
        <f ca="1">SUM(B40:B46)</f>
        <v>800520.00000000081</v>
      </c>
      <c r="C47" s="52">
        <f ca="1">SUM(C40:C46)</f>
        <v>1</v>
      </c>
      <c r="E47" t="s">
        <v>180</v>
      </c>
      <c r="F47" s="52">
        <f ca="1">SUMIF(tables_385105!I:I,input_385105!E47,tables_385105!P:P)</f>
        <v>0.62441860465116295</v>
      </c>
    </row>
    <row r="48" spans="1:7" x14ac:dyDescent="0.15">
      <c r="E48" t="s">
        <v>181</v>
      </c>
      <c r="F48" s="52">
        <f ca="1">SUMIF(tables_385105!I:I,input_385105!E48,tables_385105!P:P)</f>
        <v>5.0000000000000031E-2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06"/>
  <sheetViews>
    <sheetView showGridLines="0" zoomScale="75" zoomScaleNormal="75" zoomScalePageLayoutView="75" workbookViewId="0">
      <pane ySplit="1" topLeftCell="A282" activePane="bottomLeft" state="frozen"/>
      <selection activeCell="H6" sqref="H6"/>
      <selection pane="bottomLeft" activeCell="Q300" sqref="Q300:Q30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input_385105!A$2</f>
        <v>385105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IFERROR(VLOOKUP(B2,input_385105!L:R,7,FALSE),VLOOKUP(tables_385105!C2,input_385105!A:H,8,FALSE))</f>
        <v>0</v>
      </c>
      <c r="P2" s="43">
        <f ca="1">O2/SUM(O:O)</f>
        <v>0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input_385105!A$2</f>
        <v>385105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IFERROR(VLOOKUP(B3,input_385105!L:R,7,FALSE),VLOOKUP(tables_385105!C3,input_385105!A:H,8,FALSE))</f>
        <v>14700</v>
      </c>
      <c r="P3" s="43">
        <f t="shared" ref="P3:P66" ca="1" si="2">O3/SUM(O:O)</f>
        <v>8.1395348837209301E-3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input_385105!A$2</f>
        <v>385105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IFERROR(VLOOKUP(B4,input_385105!L:R,7,FALSE),VLOOKUP(tables_385105!C4,input_385105!A:H,8,FALSE))</f>
        <v>0</v>
      </c>
      <c r="P4" s="43">
        <f t="shared" ca="1" si="2"/>
        <v>0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input_385105!A$2</f>
        <v>385105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IFERROR(VLOOKUP(B5,input_385105!L:R,7,FALSE),VLOOKUP(tables_385105!C5,input_385105!A:H,8,FALSE))</f>
        <v>14700</v>
      </c>
      <c r="P5" s="43">
        <f t="shared" ca="1" si="2"/>
        <v>8.1395348837209301E-3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input_385105!A$2</f>
        <v>385105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IFERROR(VLOOKUP(B6,input_385105!L:R,7,FALSE),VLOOKUP(tables_385105!C6,input_385105!A:H,8,FALSE))</f>
        <v>0</v>
      </c>
      <c r="P6" s="43">
        <f t="shared" ca="1" si="2"/>
        <v>0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input_385105!A$2</f>
        <v>385105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IFERROR(VLOOKUP(B7,input_385105!L:R,7,FALSE),VLOOKUP(tables_385105!C7,input_385105!A:H,8,FALSE))</f>
        <v>14700</v>
      </c>
      <c r="P7" s="43">
        <f t="shared" ca="1" si="2"/>
        <v>8.1395348837209301E-3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input_385105!A$2</f>
        <v>385105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IFERROR(VLOOKUP(B8,input_385105!L:R,7,FALSE),VLOOKUP(tables_385105!C8,input_385105!A:H,8,FALSE))</f>
        <v>0</v>
      </c>
      <c r="P8" s="43">
        <f t="shared" ca="1" si="2"/>
        <v>0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input_385105!A$2</f>
        <v>385105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IFERROR(VLOOKUP(B9,input_385105!L:R,7,FALSE),VLOOKUP(tables_385105!C9,input_385105!A:H,8,FALSE))</f>
        <v>14700</v>
      </c>
      <c r="P9" s="43">
        <f t="shared" ca="1" si="2"/>
        <v>8.1395348837209301E-3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input_385105!A$2</f>
        <v>385105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IFERROR(VLOOKUP(B10,input_385105!L:R,7,FALSE),VLOOKUP(tables_385105!C10,input_385105!A:H,8,FALSE))</f>
        <v>0</v>
      </c>
      <c r="P10" s="43">
        <f t="shared" ca="1" si="2"/>
        <v>0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input_385105!A$2</f>
        <v>385105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IFERROR(VLOOKUP(B11,input_385105!L:R,7,FALSE),VLOOKUP(tables_385105!C11,input_385105!A:H,8,FALSE))</f>
        <v>14700</v>
      </c>
      <c r="P11" s="43">
        <f t="shared" ca="1" si="2"/>
        <v>8.1395348837209301E-3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input_385105!A$2</f>
        <v>385105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IFERROR(VLOOKUP(B12,input_385105!L:R,7,FALSE),VLOOKUP(tables_385105!C12,input_385105!A:H,8,FALSE))</f>
        <v>0</v>
      </c>
      <c r="P12" s="43">
        <f t="shared" ca="1" si="2"/>
        <v>0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input_385105!A$2</f>
        <v>385105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IFERROR(VLOOKUP(B13,input_385105!L:R,7,FALSE),VLOOKUP(tables_385105!C13,input_385105!A:H,8,FALSE))</f>
        <v>14700</v>
      </c>
      <c r="P13" s="43">
        <f t="shared" ca="1" si="2"/>
        <v>8.1395348837209301E-3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input_385105!A$2</f>
        <v>385105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IFERROR(VLOOKUP(B14,input_385105!L:R,7,FALSE),VLOOKUP(tables_385105!C14,input_385105!A:H,8,FALSE))</f>
        <v>0</v>
      </c>
      <c r="P14" s="43">
        <f t="shared" ca="1" si="2"/>
        <v>0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input_385105!A$2</f>
        <v>385105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IFERROR(VLOOKUP(B15,input_385105!L:R,7,FALSE),VLOOKUP(tables_385105!C15,input_385105!A:H,8,FALSE))</f>
        <v>14700</v>
      </c>
      <c r="P15" s="43">
        <f t="shared" ca="1" si="2"/>
        <v>8.1395348837209301E-3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input_385105!A$2</f>
        <v>385105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IFERROR(VLOOKUP(B16,input_385105!L:R,7,FALSE),VLOOKUP(tables_385105!C16,input_385105!A:H,8,FALSE))</f>
        <v>0</v>
      </c>
      <c r="P16" s="43">
        <f t="shared" ca="1" si="2"/>
        <v>0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input_385105!A$2</f>
        <v>385105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IFERROR(VLOOKUP(B17,input_385105!L:R,7,FALSE),VLOOKUP(tables_385105!C17,input_385105!A:H,8,FALSE))</f>
        <v>14700</v>
      </c>
      <c r="P17" s="43">
        <f t="shared" ca="1" si="2"/>
        <v>8.1395348837209301E-3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input_385105!A$2</f>
        <v>385105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IFERROR(VLOOKUP(B18,input_385105!L:R,7,FALSE),VLOOKUP(tables_385105!C18,input_385105!A:H,8,FALSE))</f>
        <v>0</v>
      </c>
      <c r="P18" s="43">
        <f t="shared" ca="1" si="2"/>
        <v>0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input_385105!A$2</f>
        <v>385105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IFERROR(VLOOKUP(B19,input_385105!L:R,7,FALSE),VLOOKUP(tables_385105!C19,input_385105!A:H,8,FALSE))</f>
        <v>14700</v>
      </c>
      <c r="P19" s="43">
        <f t="shared" ca="1" si="2"/>
        <v>8.1395348837209301E-3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input_385105!A$2</f>
        <v>385105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IFERROR(VLOOKUP(B20,input_385105!L:R,7,FALSE),VLOOKUP(tables_385105!C20,input_385105!A:H,8,FALSE))</f>
        <v>0</v>
      </c>
      <c r="P20" s="43">
        <f t="shared" ca="1" si="2"/>
        <v>0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input_385105!A$2</f>
        <v>385105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IFERROR(VLOOKUP(B21,input_385105!L:R,7,FALSE),VLOOKUP(tables_385105!C21,input_385105!A:H,8,FALSE))</f>
        <v>14700</v>
      </c>
      <c r="P21" s="43">
        <f t="shared" ca="1" si="2"/>
        <v>8.1395348837209301E-3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input_385105!A$2</f>
        <v>385105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IFERROR(VLOOKUP(B22,input_385105!L:R,7,FALSE),VLOOKUP(tables_385105!C22,input_385105!A:H,8,FALSE))</f>
        <v>0</v>
      </c>
      <c r="P22" s="43">
        <f t="shared" ca="1" si="2"/>
        <v>0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input_385105!A$2</f>
        <v>385105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IFERROR(VLOOKUP(B23,input_385105!L:R,7,FALSE),VLOOKUP(tables_385105!C23,input_385105!A:H,8,FALSE))</f>
        <v>14700</v>
      </c>
      <c r="P23" s="43">
        <f t="shared" ca="1" si="2"/>
        <v>8.1395348837209301E-3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input_385105!A$2</f>
        <v>385105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IFERROR(VLOOKUP(B24,input_385105!L:R,7,FALSE),VLOOKUP(tables_385105!C24,input_385105!A:H,8,FALSE))</f>
        <v>0</v>
      </c>
      <c r="P24" s="43">
        <f t="shared" ca="1" si="2"/>
        <v>0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input_385105!A$2</f>
        <v>385105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IFERROR(VLOOKUP(B25,input_385105!L:R,7,FALSE),VLOOKUP(tables_385105!C25,input_385105!A:H,8,FALSE))</f>
        <v>14700</v>
      </c>
      <c r="P25" s="43">
        <f t="shared" ca="1" si="2"/>
        <v>8.1395348837209301E-3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input_385105!A$2</f>
        <v>385105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IFERROR(VLOOKUP(B26,input_385105!L:R,7,FALSE),VLOOKUP(tables_385105!C26,input_385105!A:H,8,FALSE))</f>
        <v>0</v>
      </c>
      <c r="P26" s="43">
        <f t="shared" ca="1" si="2"/>
        <v>0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input_385105!A$2</f>
        <v>385105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IFERROR(VLOOKUP(B27,input_385105!L:R,7,FALSE),VLOOKUP(tables_385105!C27,input_385105!A:H,8,FALSE))</f>
        <v>14700</v>
      </c>
      <c r="P27" s="43">
        <f t="shared" ca="1" si="2"/>
        <v>8.1395348837209301E-3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input_385105!A$2</f>
        <v>385105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IFERROR(VLOOKUP(B28,input_385105!L:R,7,FALSE),VLOOKUP(tables_385105!C28,input_385105!A:H,8,FALSE))</f>
        <v>0</v>
      </c>
      <c r="P28" s="43">
        <f t="shared" ca="1" si="2"/>
        <v>0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input_385105!A$2</f>
        <v>385105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IFERROR(VLOOKUP(B29,input_385105!L:R,7,FALSE),VLOOKUP(tables_385105!C29,input_385105!A:H,8,FALSE))</f>
        <v>14700</v>
      </c>
      <c r="P29" s="43">
        <f t="shared" ca="1" si="2"/>
        <v>8.1395348837209301E-3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input_385105!A$2</f>
        <v>385105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IFERROR(VLOOKUP(B30,input_385105!L:R,7,FALSE),VLOOKUP(tables_385105!C30,input_385105!A:H,8,FALSE))</f>
        <v>0</v>
      </c>
      <c r="P30" s="43">
        <f t="shared" ca="1" si="2"/>
        <v>0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input_385105!A$2</f>
        <v>385105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IFERROR(VLOOKUP(B31,input_385105!L:R,7,FALSE),VLOOKUP(tables_385105!C31,input_385105!A:H,8,FALSE))</f>
        <v>14700</v>
      </c>
      <c r="P31" s="43">
        <f t="shared" ca="1" si="2"/>
        <v>8.1395348837209301E-3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input_385105!A$2</f>
        <v>385105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IFERROR(VLOOKUP(B32,input_385105!L:R,7,FALSE),VLOOKUP(tables_385105!C32,input_385105!A:H,8,FALSE))</f>
        <v>0</v>
      </c>
      <c r="P32" s="43">
        <f t="shared" ca="1" si="2"/>
        <v>0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input_385105!A$2</f>
        <v>385105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IFERROR(VLOOKUP(B33,input_385105!L:R,7,FALSE),VLOOKUP(tables_385105!C33,input_385105!A:H,8,FALSE))</f>
        <v>14700</v>
      </c>
      <c r="P33" s="43">
        <f t="shared" ca="1" si="2"/>
        <v>8.1395348837209301E-3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input_385105!A$2</f>
        <v>385105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IFERROR(VLOOKUP(B34,input_385105!L:R,7,FALSE),VLOOKUP(tables_385105!C34,input_385105!A:H,8,FALSE))</f>
        <v>0</v>
      </c>
      <c r="P34" s="43">
        <f t="shared" ca="1" si="2"/>
        <v>0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input_385105!A$2</f>
        <v>385105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IFERROR(VLOOKUP(B35,input_385105!L:R,7,FALSE),VLOOKUP(tables_385105!C35,input_385105!A:H,8,FALSE))</f>
        <v>14700</v>
      </c>
      <c r="P35" s="43">
        <f t="shared" ca="1" si="2"/>
        <v>8.1395348837209301E-3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input_385105!A$2</f>
        <v>385105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IFERROR(VLOOKUP(B36,input_385105!L:R,7,FALSE),VLOOKUP(tables_385105!C36,input_385105!A:H,8,FALSE))</f>
        <v>0</v>
      </c>
      <c r="P36" s="43">
        <f t="shared" ca="1" si="2"/>
        <v>0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input_385105!A$2</f>
        <v>385105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IFERROR(VLOOKUP(B37,input_385105!L:R,7,FALSE),VLOOKUP(tables_385105!C37,input_385105!A:H,8,FALSE))</f>
        <v>14700</v>
      </c>
      <c r="P37" s="43">
        <f t="shared" ca="1" si="2"/>
        <v>8.1395348837209301E-3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input_385105!A$2</f>
        <v>385105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IFERROR(VLOOKUP(B38,input_385105!L:R,7,FALSE),VLOOKUP(tables_385105!C38,input_385105!A:H,8,FALSE))</f>
        <v>0</v>
      </c>
      <c r="P38" s="43">
        <f t="shared" ca="1" si="2"/>
        <v>0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input_385105!A$2</f>
        <v>385105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IFERROR(VLOOKUP(B39,input_385105!L:R,7,FALSE),VLOOKUP(tables_385105!C39,input_385105!A:H,8,FALSE))</f>
        <v>14700</v>
      </c>
      <c r="P39" s="43">
        <f t="shared" ca="1" si="2"/>
        <v>8.1395348837209301E-3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input_385105!A$2</f>
        <v>385105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IFERROR(VLOOKUP(B40,input_385105!L:R,7,FALSE),VLOOKUP(tables_385105!C40,input_385105!A:H,8,FALSE))</f>
        <v>0</v>
      </c>
      <c r="P40" s="43">
        <f t="shared" ca="1" si="2"/>
        <v>0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input_385105!A$2</f>
        <v>385105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IFERROR(VLOOKUP(B41,input_385105!L:R,7,FALSE),VLOOKUP(tables_385105!C41,input_385105!A:H,8,FALSE))</f>
        <v>14700</v>
      </c>
      <c r="P41" s="43">
        <f t="shared" ca="1" si="2"/>
        <v>8.1395348837209301E-3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input_385105!A$2</f>
        <v>385105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IFERROR(VLOOKUP(B42,input_385105!L:R,7,FALSE),VLOOKUP(tables_385105!C42,input_385105!A:H,8,FALSE))</f>
        <v>0</v>
      </c>
      <c r="P42" s="43">
        <f t="shared" ca="1" si="2"/>
        <v>0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input_385105!A$2</f>
        <v>385105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IFERROR(VLOOKUP(B43,input_385105!L:R,7,FALSE),VLOOKUP(tables_385105!C43,input_385105!A:H,8,FALSE))</f>
        <v>13965</v>
      </c>
      <c r="P43" s="43">
        <f t="shared" ca="1" si="2"/>
        <v>7.7325581395348841E-3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input_385105!A$2</f>
        <v>385105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IFERROR(VLOOKUP(B44,input_385105!L:R,7,FALSE),VLOOKUP(tables_385105!C44,input_385105!A:H,8,FALSE))</f>
        <v>735</v>
      </c>
      <c r="P44" s="43">
        <f t="shared" ca="1" si="2"/>
        <v>4.0697674418604653E-4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input_385105!A$2</f>
        <v>385105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IFERROR(VLOOKUP(B45,input_385105!L:R,7,FALSE),VLOOKUP(tables_385105!C45,input_385105!A:H,8,FALSE))</f>
        <v>0</v>
      </c>
      <c r="P45" s="43">
        <f t="shared" ca="1" si="2"/>
        <v>0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input_385105!A$2</f>
        <v>385105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IFERROR(VLOOKUP(B46,input_385105!L:R,7,FALSE),VLOOKUP(tables_385105!C46,input_385105!A:H,8,FALSE))</f>
        <v>13965</v>
      </c>
      <c r="P46" s="43">
        <f t="shared" ca="1" si="2"/>
        <v>7.7325581395348841E-3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input_385105!A$2</f>
        <v>385105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IFERROR(VLOOKUP(B47,input_385105!L:R,7,FALSE),VLOOKUP(tables_385105!C47,input_385105!A:H,8,FALSE))</f>
        <v>735</v>
      </c>
      <c r="P47" s="43">
        <f t="shared" ca="1" si="2"/>
        <v>4.0697674418604653E-4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input_385105!A$2</f>
        <v>385105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IFERROR(VLOOKUP(B48,input_385105!L:R,7,FALSE),VLOOKUP(tables_385105!C48,input_385105!A:H,8,FALSE))</f>
        <v>0</v>
      </c>
      <c r="P48" s="43">
        <f t="shared" ca="1" si="2"/>
        <v>0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input_385105!A$2</f>
        <v>385105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IFERROR(VLOOKUP(B49,input_385105!L:R,7,FALSE),VLOOKUP(tables_385105!C49,input_385105!A:H,8,FALSE))</f>
        <v>13965</v>
      </c>
      <c r="P49" s="43">
        <f t="shared" ca="1" si="2"/>
        <v>7.7325581395348841E-3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input_385105!A$2</f>
        <v>385105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IFERROR(VLOOKUP(B50,input_385105!L:R,7,FALSE),VLOOKUP(tables_385105!C50,input_385105!A:H,8,FALSE))</f>
        <v>735</v>
      </c>
      <c r="P50" s="43">
        <f t="shared" ca="1" si="2"/>
        <v>4.0697674418604653E-4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input_385105!A$2</f>
        <v>385105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IFERROR(VLOOKUP(B51,input_385105!L:R,7,FALSE),VLOOKUP(tables_385105!C51,input_385105!A:H,8,FALSE))</f>
        <v>0</v>
      </c>
      <c r="P51" s="43">
        <f t="shared" ca="1" si="2"/>
        <v>0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input_385105!A$2</f>
        <v>385105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IFERROR(VLOOKUP(B52,input_385105!L:R,7,FALSE),VLOOKUP(tables_385105!C52,input_385105!A:H,8,FALSE))</f>
        <v>13543.384620000001</v>
      </c>
      <c r="P52" s="43">
        <f t="shared" ca="1" si="2"/>
        <v>7.4991055481727579E-3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input_385105!A$2</f>
        <v>385105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IFERROR(VLOOKUP(B53,input_385105!L:R,7,FALSE),VLOOKUP(tables_385105!C53,input_385105!A:H,8,FALSE))</f>
        <v>1156.61538</v>
      </c>
      <c r="P53" s="43">
        <f t="shared" ca="1" si="2"/>
        <v>6.4042933554817277E-4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input_385105!A$2</f>
        <v>385105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IFERROR(VLOOKUP(B54,input_385105!L:R,7,FALSE),VLOOKUP(tables_385105!C54,input_385105!A:H,8,FALSE))</f>
        <v>0</v>
      </c>
      <c r="P54" s="43">
        <f t="shared" ca="1" si="2"/>
        <v>0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input_385105!A$2</f>
        <v>385105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IFERROR(VLOOKUP(B55,input_385105!L:R,7,FALSE),VLOOKUP(tables_385105!C55,input_385105!A:H,8,FALSE))</f>
        <v>13543.384620000001</v>
      </c>
      <c r="P55" s="43">
        <f t="shared" ca="1" si="2"/>
        <v>7.4991055481727579E-3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input_385105!A$2</f>
        <v>385105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IFERROR(VLOOKUP(B56,input_385105!L:R,7,FALSE),VLOOKUP(tables_385105!C56,input_385105!A:H,8,FALSE))</f>
        <v>1156.61538</v>
      </c>
      <c r="P56" s="43">
        <f t="shared" ca="1" si="2"/>
        <v>6.4042933554817277E-4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input_385105!A$2</f>
        <v>385105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IFERROR(VLOOKUP(B57,input_385105!L:R,7,FALSE),VLOOKUP(tables_385105!C57,input_385105!A:H,8,FALSE))</f>
        <v>0</v>
      </c>
      <c r="P57" s="43">
        <f t="shared" ca="1" si="2"/>
        <v>0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input_385105!A$2</f>
        <v>385105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IFERROR(VLOOKUP(B58,input_385105!L:R,7,FALSE),VLOOKUP(tables_385105!C58,input_385105!A:H,8,FALSE))</f>
        <v>13543.384620000001</v>
      </c>
      <c r="P58" s="43">
        <f t="shared" ca="1" si="2"/>
        <v>7.4991055481727579E-3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input_385105!A$2</f>
        <v>385105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IFERROR(VLOOKUP(B59,input_385105!L:R,7,FALSE),VLOOKUP(tables_385105!C59,input_385105!A:H,8,FALSE))</f>
        <v>1156.61538</v>
      </c>
      <c r="P59" s="43">
        <f t="shared" ca="1" si="2"/>
        <v>6.4042933554817277E-4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input_385105!A$2</f>
        <v>385105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IFERROR(VLOOKUP(B60,input_385105!L:R,7,FALSE),VLOOKUP(tables_385105!C60,input_385105!A:H,8,FALSE))</f>
        <v>0</v>
      </c>
      <c r="P60" s="43">
        <f t="shared" ca="1" si="2"/>
        <v>0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input_385105!A$2</f>
        <v>385105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IFERROR(VLOOKUP(B61,input_385105!L:R,7,FALSE),VLOOKUP(tables_385105!C61,input_385105!A:H,8,FALSE))</f>
        <v>13543.384620000001</v>
      </c>
      <c r="P61" s="43">
        <f t="shared" ca="1" si="2"/>
        <v>7.4991055481727579E-3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input_385105!A$2</f>
        <v>385105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IFERROR(VLOOKUP(B62,input_385105!L:R,7,FALSE),VLOOKUP(tables_385105!C62,input_385105!A:H,8,FALSE))</f>
        <v>1156.61538</v>
      </c>
      <c r="P62" s="43">
        <f t="shared" ca="1" si="2"/>
        <v>6.4042933554817277E-4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input_385105!A$2</f>
        <v>385105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IFERROR(VLOOKUP(B63,input_385105!L:R,7,FALSE),VLOOKUP(tables_385105!C63,input_385105!A:H,8,FALSE))</f>
        <v>0</v>
      </c>
      <c r="P63" s="43">
        <f t="shared" ca="1" si="2"/>
        <v>0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input_385105!A$2</f>
        <v>385105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IFERROR(VLOOKUP(B64,input_385105!L:R,7,FALSE),VLOOKUP(tables_385105!C64,input_385105!A:H,8,FALSE))</f>
        <v>13543.384620000001</v>
      </c>
      <c r="P64" s="43">
        <f t="shared" ca="1" si="2"/>
        <v>7.4991055481727579E-3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input_385105!A$2</f>
        <v>385105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IFERROR(VLOOKUP(B65,input_385105!L:R,7,FALSE),VLOOKUP(tables_385105!C65,input_385105!A:H,8,FALSE))</f>
        <v>1156.61538</v>
      </c>
      <c r="P65" s="43">
        <f t="shared" ca="1" si="2"/>
        <v>6.4042933554817277E-4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input_385105!A$2</f>
        <v>385105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IFERROR(VLOOKUP(B66,input_385105!L:R,7,FALSE),VLOOKUP(tables_385105!C66,input_385105!A:H,8,FALSE))</f>
        <v>0</v>
      </c>
      <c r="P66" s="43">
        <f t="shared" ca="1" si="2"/>
        <v>0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input_385105!A$2</f>
        <v>385105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IFERROR(VLOOKUP(B67,input_385105!L:R,7,FALSE),VLOOKUP(tables_385105!C67,input_385105!A:H,8,FALSE))</f>
        <v>13543.384620000001</v>
      </c>
      <c r="P67" s="43">
        <f t="shared" ref="P67:P130" ca="1" si="5">O67/SUM(O:O)</f>
        <v>7.4991055481727579E-3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input_385105!A$2</f>
        <v>385105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IFERROR(VLOOKUP(B68,input_385105!L:R,7,FALSE),VLOOKUP(tables_385105!C68,input_385105!A:H,8,FALSE))</f>
        <v>1156.61538</v>
      </c>
      <c r="P68" s="43">
        <f t="shared" ca="1" si="5"/>
        <v>6.4042933554817277E-4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input_385105!A$2</f>
        <v>385105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IFERROR(VLOOKUP(B69,input_385105!L:R,7,FALSE),VLOOKUP(tables_385105!C69,input_385105!A:H,8,FALSE))</f>
        <v>0</v>
      </c>
      <c r="P69" s="43">
        <f t="shared" ca="1" si="5"/>
        <v>0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input_385105!A$2</f>
        <v>385105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IFERROR(VLOOKUP(B70,input_385105!L:R,7,FALSE),VLOOKUP(tables_385105!C70,input_385105!A:H,8,FALSE))</f>
        <v>13543.384620000001</v>
      </c>
      <c r="P70" s="43">
        <f t="shared" ca="1" si="5"/>
        <v>7.4991055481727579E-3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input_385105!A$2</f>
        <v>385105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IFERROR(VLOOKUP(B71,input_385105!L:R,7,FALSE),VLOOKUP(tables_385105!C71,input_385105!A:H,8,FALSE))</f>
        <v>1156.61538</v>
      </c>
      <c r="P71" s="43">
        <f t="shared" ca="1" si="5"/>
        <v>6.4042933554817277E-4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input_385105!A$2</f>
        <v>385105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IFERROR(VLOOKUP(B72,input_385105!L:R,7,FALSE),VLOOKUP(tables_385105!C72,input_385105!A:H,8,FALSE))</f>
        <v>0</v>
      </c>
      <c r="P72" s="43">
        <f t="shared" ca="1" si="5"/>
        <v>0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input_385105!A$2</f>
        <v>385105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IFERROR(VLOOKUP(B73,input_385105!L:R,7,FALSE),VLOOKUP(tables_385105!C73,input_385105!A:H,8,FALSE))</f>
        <v>13543.384620000001</v>
      </c>
      <c r="P73" s="43">
        <f t="shared" ca="1" si="5"/>
        <v>7.4991055481727579E-3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input_385105!A$2</f>
        <v>385105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IFERROR(VLOOKUP(B74,input_385105!L:R,7,FALSE),VLOOKUP(tables_385105!C74,input_385105!A:H,8,FALSE))</f>
        <v>1156.61538</v>
      </c>
      <c r="P74" s="43">
        <f t="shared" ca="1" si="5"/>
        <v>6.4042933554817277E-4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input_385105!A$2</f>
        <v>385105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IFERROR(VLOOKUP(B75,input_385105!L:R,7,FALSE),VLOOKUP(tables_385105!C75,input_385105!A:H,8,FALSE))</f>
        <v>0</v>
      </c>
      <c r="P75" s="43">
        <f t="shared" ca="1" si="5"/>
        <v>0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input_385105!A$2</f>
        <v>385105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IFERROR(VLOOKUP(B76,input_385105!L:R,7,FALSE),VLOOKUP(tables_385105!C76,input_385105!A:H,8,FALSE))</f>
        <v>13543.384620000001</v>
      </c>
      <c r="P76" s="43">
        <f t="shared" ca="1" si="5"/>
        <v>7.4991055481727579E-3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input_385105!A$2</f>
        <v>385105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IFERROR(VLOOKUP(B77,input_385105!L:R,7,FALSE),VLOOKUP(tables_385105!C77,input_385105!A:H,8,FALSE))</f>
        <v>1156.61538</v>
      </c>
      <c r="P77" s="43">
        <f t="shared" ca="1" si="5"/>
        <v>6.4042933554817277E-4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input_385105!A$2</f>
        <v>385105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IFERROR(VLOOKUP(B78,input_385105!L:R,7,FALSE),VLOOKUP(tables_385105!C78,input_385105!A:H,8,FALSE))</f>
        <v>0</v>
      </c>
      <c r="P78" s="43">
        <f t="shared" ca="1" si="5"/>
        <v>0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input_385105!A$2</f>
        <v>385105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IFERROR(VLOOKUP(B79,input_385105!L:R,7,FALSE),VLOOKUP(tables_385105!C79,input_385105!A:H,8,FALSE))</f>
        <v>13543.384620000001</v>
      </c>
      <c r="P79" s="43">
        <f t="shared" ca="1" si="5"/>
        <v>7.4991055481727579E-3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input_385105!A$2</f>
        <v>385105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IFERROR(VLOOKUP(B80,input_385105!L:R,7,FALSE),VLOOKUP(tables_385105!C80,input_385105!A:H,8,FALSE))</f>
        <v>1156.61538</v>
      </c>
      <c r="P80" s="43">
        <f t="shared" ca="1" si="5"/>
        <v>6.4042933554817277E-4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input_385105!A$2</f>
        <v>385105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IFERROR(VLOOKUP(B81,input_385105!L:R,7,FALSE),VLOOKUP(tables_385105!C81,input_385105!A:H,8,FALSE))</f>
        <v>0</v>
      </c>
      <c r="P81" s="43">
        <f t="shared" ca="1" si="5"/>
        <v>0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input_385105!A$2</f>
        <v>385105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IFERROR(VLOOKUP(B82,input_385105!L:R,7,FALSE),VLOOKUP(tables_385105!C82,input_385105!A:H,8,FALSE))</f>
        <v>13543.384620000001</v>
      </c>
      <c r="P82" s="43">
        <f t="shared" ca="1" si="5"/>
        <v>7.4991055481727579E-3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input_385105!A$2</f>
        <v>385105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IFERROR(VLOOKUP(B83,input_385105!L:R,7,FALSE),VLOOKUP(tables_385105!C83,input_385105!A:H,8,FALSE))</f>
        <v>1156.61538</v>
      </c>
      <c r="P83" s="43">
        <f t="shared" ca="1" si="5"/>
        <v>6.4042933554817277E-4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input_385105!A$2</f>
        <v>385105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IFERROR(VLOOKUP(B84,input_385105!L:R,7,FALSE),VLOOKUP(tables_385105!C84,input_385105!A:H,8,FALSE))</f>
        <v>0</v>
      </c>
      <c r="P84" s="43">
        <f t="shared" ca="1" si="5"/>
        <v>0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input_385105!A$2</f>
        <v>385105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IFERROR(VLOOKUP(B85,input_385105!L:R,7,FALSE),VLOOKUP(tables_385105!C85,input_385105!A:H,8,FALSE))</f>
        <v>13543.384620000001</v>
      </c>
      <c r="P85" s="43">
        <f t="shared" ca="1" si="5"/>
        <v>7.4991055481727579E-3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input_385105!A$2</f>
        <v>385105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IFERROR(VLOOKUP(B86,input_385105!L:R,7,FALSE),VLOOKUP(tables_385105!C86,input_385105!A:H,8,FALSE))</f>
        <v>1156.61538</v>
      </c>
      <c r="P86" s="43">
        <f t="shared" ca="1" si="5"/>
        <v>6.4042933554817277E-4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input_385105!A$2</f>
        <v>385105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IFERROR(VLOOKUP(B87,input_385105!L:R,7,FALSE),VLOOKUP(tables_385105!C87,input_385105!A:H,8,FALSE))</f>
        <v>0</v>
      </c>
      <c r="P87" s="43">
        <f t="shared" ca="1" si="5"/>
        <v>0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input_385105!A$2</f>
        <v>385105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IFERROR(VLOOKUP(B88,input_385105!L:R,7,FALSE),VLOOKUP(tables_385105!C88,input_385105!A:H,8,FALSE))</f>
        <v>13543.384620000001</v>
      </c>
      <c r="P88" s="43">
        <f t="shared" ca="1" si="5"/>
        <v>7.4991055481727579E-3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input_385105!A$2</f>
        <v>385105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IFERROR(VLOOKUP(B89,input_385105!L:R,7,FALSE),VLOOKUP(tables_385105!C89,input_385105!A:H,8,FALSE))</f>
        <v>1156.61538</v>
      </c>
      <c r="P89" s="43">
        <f t="shared" ca="1" si="5"/>
        <v>6.4042933554817277E-4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input_385105!A$2</f>
        <v>385105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IFERROR(VLOOKUP(B90,input_385105!L:R,7,FALSE),VLOOKUP(tables_385105!C90,input_385105!A:H,8,FALSE))</f>
        <v>0</v>
      </c>
      <c r="P90" s="43">
        <f t="shared" ca="1" si="5"/>
        <v>0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input_385105!A$2</f>
        <v>385105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IFERROR(VLOOKUP(B91,input_385105!L:R,7,FALSE),VLOOKUP(tables_385105!C91,input_385105!A:H,8,FALSE))</f>
        <v>13543.384620000001</v>
      </c>
      <c r="P91" s="43">
        <f t="shared" ca="1" si="5"/>
        <v>7.4991055481727579E-3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input_385105!A$2</f>
        <v>385105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IFERROR(VLOOKUP(B92,input_385105!L:R,7,FALSE),VLOOKUP(tables_385105!C92,input_385105!A:H,8,FALSE))</f>
        <v>1156.61538</v>
      </c>
      <c r="P92" s="43">
        <f t="shared" ca="1" si="5"/>
        <v>6.4042933554817277E-4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input_385105!A$2</f>
        <v>385105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IFERROR(VLOOKUP(B93,input_385105!L:R,7,FALSE),VLOOKUP(tables_385105!C93,input_385105!A:H,8,FALSE))</f>
        <v>0</v>
      </c>
      <c r="P93" s="43">
        <f t="shared" ca="1" si="5"/>
        <v>0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input_385105!A$2</f>
        <v>385105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IFERROR(VLOOKUP(B94,input_385105!L:R,7,FALSE),VLOOKUP(tables_385105!C94,input_385105!A:H,8,FALSE))</f>
        <v>13543.384620000001</v>
      </c>
      <c r="P94" s="43">
        <f t="shared" ca="1" si="5"/>
        <v>7.4991055481727579E-3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input_385105!A$2</f>
        <v>385105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IFERROR(VLOOKUP(B95,input_385105!L:R,7,FALSE),VLOOKUP(tables_385105!C95,input_385105!A:H,8,FALSE))</f>
        <v>1156.61538</v>
      </c>
      <c r="P95" s="43">
        <f t="shared" ca="1" si="5"/>
        <v>6.4042933554817277E-4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input_385105!A$2</f>
        <v>385105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IFERROR(VLOOKUP(B96,input_385105!L:R,7,FALSE),VLOOKUP(tables_385105!C96,input_385105!A:H,8,FALSE))</f>
        <v>0</v>
      </c>
      <c r="P96" s="43">
        <f t="shared" ca="1" si="5"/>
        <v>0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input_385105!A$2</f>
        <v>385105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IFERROR(VLOOKUP(B97,input_385105!L:R,7,FALSE),VLOOKUP(tables_385105!C97,input_385105!A:H,8,FALSE))</f>
        <v>13543.384620000001</v>
      </c>
      <c r="P97" s="43">
        <f t="shared" ca="1" si="5"/>
        <v>7.4991055481727579E-3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input_385105!A$2</f>
        <v>385105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IFERROR(VLOOKUP(B98,input_385105!L:R,7,FALSE),VLOOKUP(tables_385105!C98,input_385105!A:H,8,FALSE))</f>
        <v>1156.61538</v>
      </c>
      <c r="P98" s="43">
        <f t="shared" ca="1" si="5"/>
        <v>6.4042933554817277E-4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input_385105!A$2</f>
        <v>385105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IFERROR(VLOOKUP(B99,input_385105!L:R,7,FALSE),VLOOKUP(tables_385105!C99,input_385105!A:H,8,FALSE))</f>
        <v>0</v>
      </c>
      <c r="P99" s="43">
        <f t="shared" ca="1" si="5"/>
        <v>0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input_385105!A$2</f>
        <v>385105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IFERROR(VLOOKUP(B100,input_385105!L:R,7,FALSE),VLOOKUP(tables_385105!C100,input_385105!A:H,8,FALSE))</f>
        <v>13543.384620000001</v>
      </c>
      <c r="P100" s="43">
        <f t="shared" ca="1" si="5"/>
        <v>7.4991055481727579E-3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input_385105!A$2</f>
        <v>385105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IFERROR(VLOOKUP(B101,input_385105!L:R,7,FALSE),VLOOKUP(tables_385105!C101,input_385105!A:H,8,FALSE))</f>
        <v>1156.61538</v>
      </c>
      <c r="P101" s="43">
        <f t="shared" ca="1" si="5"/>
        <v>6.4042933554817277E-4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input_385105!A$2</f>
        <v>385105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IFERROR(VLOOKUP(B102,input_385105!L:R,7,FALSE),VLOOKUP(tables_385105!C102,input_385105!A:H,8,FALSE))</f>
        <v>0</v>
      </c>
      <c r="P102" s="43">
        <f t="shared" ca="1" si="5"/>
        <v>0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input_385105!A$2</f>
        <v>385105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IFERROR(VLOOKUP(B103,input_385105!L:R,7,FALSE),VLOOKUP(tables_385105!C103,input_385105!A:H,8,FALSE))</f>
        <v>13543.384620000001</v>
      </c>
      <c r="P103" s="43">
        <f t="shared" ca="1" si="5"/>
        <v>7.4991055481727579E-3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input_385105!A$2</f>
        <v>385105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IFERROR(VLOOKUP(B104,input_385105!L:R,7,FALSE),VLOOKUP(tables_385105!C104,input_385105!A:H,8,FALSE))</f>
        <v>1156.61538</v>
      </c>
      <c r="P104" s="43">
        <f t="shared" ca="1" si="5"/>
        <v>6.4042933554817277E-4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input_385105!A$2</f>
        <v>385105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IFERROR(VLOOKUP(B105,input_385105!L:R,7,FALSE),VLOOKUP(tables_385105!C105,input_385105!A:H,8,FALSE))</f>
        <v>0</v>
      </c>
      <c r="P105" s="43">
        <f t="shared" ca="1" si="5"/>
        <v>0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input_385105!A$2</f>
        <v>385105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IFERROR(VLOOKUP(B106,input_385105!L:R,7,FALSE),VLOOKUP(tables_385105!C106,input_385105!A:H,8,FALSE))</f>
        <v>13543.384620000001</v>
      </c>
      <c r="P106" s="43">
        <f t="shared" ca="1" si="5"/>
        <v>7.4991055481727579E-3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input_385105!A$2</f>
        <v>385105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IFERROR(VLOOKUP(B107,input_385105!L:R,7,FALSE),VLOOKUP(tables_385105!C107,input_385105!A:H,8,FALSE))</f>
        <v>1156.61538</v>
      </c>
      <c r="P107" s="43">
        <f t="shared" ca="1" si="5"/>
        <v>6.4042933554817277E-4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input_385105!A$2</f>
        <v>385105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IFERROR(VLOOKUP(B108,input_385105!L:R,7,FALSE),VLOOKUP(tables_385105!C108,input_385105!A:H,8,FALSE))</f>
        <v>0</v>
      </c>
      <c r="P108" s="43">
        <f t="shared" ca="1" si="5"/>
        <v>0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input_385105!A$2</f>
        <v>385105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IFERROR(VLOOKUP(B109,input_385105!L:R,7,FALSE),VLOOKUP(tables_385105!C109,input_385105!A:H,8,FALSE))</f>
        <v>13543.384620000001</v>
      </c>
      <c r="P109" s="43">
        <f t="shared" ca="1" si="5"/>
        <v>7.4991055481727579E-3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input_385105!A$2</f>
        <v>385105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IFERROR(VLOOKUP(B110,input_385105!L:R,7,FALSE),VLOOKUP(tables_385105!C110,input_385105!A:H,8,FALSE))</f>
        <v>1156.61538</v>
      </c>
      <c r="P110" s="43">
        <f t="shared" ca="1" si="5"/>
        <v>6.4042933554817277E-4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input_385105!A$2</f>
        <v>385105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IFERROR(VLOOKUP(B111,input_385105!L:R,7,FALSE),VLOOKUP(tables_385105!C111,input_385105!A:H,8,FALSE))</f>
        <v>0</v>
      </c>
      <c r="P111" s="43">
        <f t="shared" ca="1" si="5"/>
        <v>0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input_385105!A$2</f>
        <v>385105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IFERROR(VLOOKUP(B112,input_385105!L:R,7,FALSE),VLOOKUP(tables_385105!C112,input_385105!A:H,8,FALSE))</f>
        <v>13965</v>
      </c>
      <c r="P112" s="43">
        <f t="shared" ca="1" si="5"/>
        <v>7.7325581395348841E-3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input_385105!A$2</f>
        <v>385105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IFERROR(VLOOKUP(B113,input_385105!L:R,7,FALSE),VLOOKUP(tables_385105!C113,input_385105!A:H,8,FALSE))</f>
        <v>735</v>
      </c>
      <c r="P113" s="43">
        <f t="shared" ca="1" si="5"/>
        <v>4.0697674418604653E-4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input_385105!A$2</f>
        <v>385105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IFERROR(VLOOKUP(B114,input_385105!L:R,7,FALSE),VLOOKUP(tables_385105!C114,input_385105!A:H,8,FALSE))</f>
        <v>0</v>
      </c>
      <c r="P114" s="43">
        <f t="shared" ca="1" si="5"/>
        <v>0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input_385105!A$2</f>
        <v>385105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IFERROR(VLOOKUP(B115,input_385105!L:R,7,FALSE),VLOOKUP(tables_385105!C115,input_385105!A:H,8,FALSE))</f>
        <v>13543.384620000001</v>
      </c>
      <c r="P115" s="43">
        <f t="shared" ca="1" si="5"/>
        <v>7.4991055481727579E-3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input_385105!A$2</f>
        <v>385105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IFERROR(VLOOKUP(B116,input_385105!L:R,7,FALSE),VLOOKUP(tables_385105!C116,input_385105!A:H,8,FALSE))</f>
        <v>1156.61538</v>
      </c>
      <c r="P116" s="43">
        <f t="shared" ca="1" si="5"/>
        <v>6.4042933554817277E-4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input_385105!A$2</f>
        <v>385105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IFERROR(VLOOKUP(B117,input_385105!L:R,7,FALSE),VLOOKUP(tables_385105!C117,input_385105!A:H,8,FALSE))</f>
        <v>0</v>
      </c>
      <c r="P117" s="43">
        <f t="shared" ca="1" si="5"/>
        <v>0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input_385105!A$2</f>
        <v>385105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IFERROR(VLOOKUP(B118,input_385105!L:R,7,FALSE),VLOOKUP(tables_385105!C118,input_385105!A:H,8,FALSE))</f>
        <v>13543.384620000001</v>
      </c>
      <c r="P118" s="43">
        <f t="shared" ca="1" si="5"/>
        <v>7.4991055481727579E-3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input_385105!A$2</f>
        <v>385105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IFERROR(VLOOKUP(B119,input_385105!L:R,7,FALSE),VLOOKUP(tables_385105!C119,input_385105!A:H,8,FALSE))</f>
        <v>1156.61538</v>
      </c>
      <c r="P119" s="43">
        <f t="shared" ca="1" si="5"/>
        <v>6.4042933554817277E-4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input_385105!A$2</f>
        <v>385105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IFERROR(VLOOKUP(B120,input_385105!L:R,7,FALSE),VLOOKUP(tables_385105!C120,input_385105!A:H,8,FALSE))</f>
        <v>0</v>
      </c>
      <c r="P120" s="43">
        <f t="shared" ca="1" si="5"/>
        <v>0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input_385105!A$2</f>
        <v>385105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IFERROR(VLOOKUP(B121,input_385105!L:R,7,FALSE),VLOOKUP(tables_385105!C121,input_385105!A:H,8,FALSE))</f>
        <v>13543.384620000001</v>
      </c>
      <c r="P121" s="43">
        <f t="shared" ca="1" si="5"/>
        <v>7.4991055481727579E-3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input_385105!A$2</f>
        <v>385105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IFERROR(VLOOKUP(B122,input_385105!L:R,7,FALSE),VLOOKUP(tables_385105!C122,input_385105!A:H,8,FALSE))</f>
        <v>1156.61538</v>
      </c>
      <c r="P122" s="43">
        <f t="shared" ca="1" si="5"/>
        <v>6.4042933554817277E-4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input_385105!A$2</f>
        <v>385105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IFERROR(VLOOKUP(B123,input_385105!L:R,7,FALSE),VLOOKUP(tables_385105!C123,input_385105!A:H,8,FALSE))</f>
        <v>0</v>
      </c>
      <c r="P123" s="43">
        <f t="shared" ca="1" si="5"/>
        <v>0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input_385105!A$2</f>
        <v>385105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IFERROR(VLOOKUP(B124,input_385105!L:R,7,FALSE),VLOOKUP(tables_385105!C124,input_385105!A:H,8,FALSE))</f>
        <v>13543.384620000001</v>
      </c>
      <c r="P124" s="43">
        <f t="shared" ca="1" si="5"/>
        <v>7.4991055481727579E-3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input_385105!A$2</f>
        <v>385105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IFERROR(VLOOKUP(B125,input_385105!L:R,7,FALSE),VLOOKUP(tables_385105!C125,input_385105!A:H,8,FALSE))</f>
        <v>1156.61538</v>
      </c>
      <c r="P125" s="43">
        <f t="shared" ca="1" si="5"/>
        <v>6.4042933554817277E-4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input_385105!A$2</f>
        <v>385105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IFERROR(VLOOKUP(B126,input_385105!L:R,7,FALSE),VLOOKUP(tables_385105!C126,input_385105!A:H,8,FALSE))</f>
        <v>0</v>
      </c>
      <c r="P126" s="43">
        <f t="shared" ca="1" si="5"/>
        <v>0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input_385105!A$2</f>
        <v>385105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IFERROR(VLOOKUP(B127,input_385105!L:R,7,FALSE),VLOOKUP(tables_385105!C127,input_385105!A:H,8,FALSE))</f>
        <v>13543.384620000001</v>
      </c>
      <c r="P127" s="43">
        <f t="shared" ca="1" si="5"/>
        <v>7.4991055481727579E-3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input_385105!A$2</f>
        <v>385105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IFERROR(VLOOKUP(B128,input_385105!L:R,7,FALSE),VLOOKUP(tables_385105!C128,input_385105!A:H,8,FALSE))</f>
        <v>1156.61538</v>
      </c>
      <c r="P128" s="43">
        <f t="shared" ca="1" si="5"/>
        <v>6.4042933554817277E-4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input_385105!A$2</f>
        <v>385105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IFERROR(VLOOKUP(B129,input_385105!L:R,7,FALSE),VLOOKUP(tables_385105!C129,input_385105!A:H,8,FALSE))</f>
        <v>0</v>
      </c>
      <c r="P129" s="43">
        <f t="shared" ca="1" si="5"/>
        <v>0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input_385105!A$2</f>
        <v>385105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IFERROR(VLOOKUP(B130,input_385105!L:R,7,FALSE),VLOOKUP(tables_385105!C130,input_385105!A:H,8,FALSE))</f>
        <v>13543.384620000001</v>
      </c>
      <c r="P130" s="43">
        <f t="shared" ca="1" si="5"/>
        <v>7.4991055481727579E-3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input_385105!A$2</f>
        <v>385105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IFERROR(VLOOKUP(B131,input_385105!L:R,7,FALSE),VLOOKUP(tables_385105!C131,input_385105!A:H,8,FALSE))</f>
        <v>1156.61538</v>
      </c>
      <c r="P131" s="43">
        <f t="shared" ref="P131:P194" ca="1" si="8">O131/SUM(O:O)</f>
        <v>6.4042933554817277E-4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input_385105!A$2</f>
        <v>385105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IFERROR(VLOOKUP(B132,input_385105!L:R,7,FALSE),VLOOKUP(tables_385105!C132,input_385105!A:H,8,FALSE))</f>
        <v>0</v>
      </c>
      <c r="P132" s="43">
        <f t="shared" ca="1" si="8"/>
        <v>0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input_385105!A$2</f>
        <v>385105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IFERROR(VLOOKUP(B133,input_385105!L:R,7,FALSE),VLOOKUP(tables_385105!C133,input_385105!A:H,8,FALSE))</f>
        <v>13543.384620000001</v>
      </c>
      <c r="P133" s="43">
        <f t="shared" ca="1" si="8"/>
        <v>7.4991055481727579E-3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input_385105!A$2</f>
        <v>385105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IFERROR(VLOOKUP(B134,input_385105!L:R,7,FALSE),VLOOKUP(tables_385105!C134,input_385105!A:H,8,FALSE))</f>
        <v>1156.61538</v>
      </c>
      <c r="P134" s="43">
        <f t="shared" ca="1" si="8"/>
        <v>6.4042933554817277E-4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input_385105!A$2</f>
        <v>385105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IFERROR(VLOOKUP(B135,input_385105!L:R,7,FALSE),VLOOKUP(tables_385105!C135,input_385105!A:H,8,FALSE))</f>
        <v>0</v>
      </c>
      <c r="P135" s="43">
        <f t="shared" ca="1" si="8"/>
        <v>0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input_385105!A$2</f>
        <v>385105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IFERROR(VLOOKUP(B136,input_385105!L:R,7,FALSE),VLOOKUP(tables_385105!C136,input_385105!A:H,8,FALSE))</f>
        <v>13543.384620000001</v>
      </c>
      <c r="P136" s="43">
        <f t="shared" ca="1" si="8"/>
        <v>7.4991055481727579E-3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input_385105!A$2</f>
        <v>385105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IFERROR(VLOOKUP(B137,input_385105!L:R,7,FALSE),VLOOKUP(tables_385105!C137,input_385105!A:H,8,FALSE))</f>
        <v>1156.61538</v>
      </c>
      <c r="P137" s="43">
        <f t="shared" ca="1" si="8"/>
        <v>6.4042933554817277E-4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input_385105!A$2</f>
        <v>385105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IFERROR(VLOOKUP(B138,input_385105!L:R,7,FALSE),VLOOKUP(tables_385105!C138,input_385105!A:H,8,FALSE))</f>
        <v>1225.5</v>
      </c>
      <c r="P138" s="43">
        <f t="shared" ca="1" si="8"/>
        <v>6.7857142857142855E-4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input_385105!A$2</f>
        <v>385105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IFERROR(VLOOKUP(B139,input_385105!L:R,7,FALSE),VLOOKUP(tables_385105!C139,input_385105!A:H,8,FALSE))</f>
        <v>64.5</v>
      </c>
      <c r="P139" s="43">
        <f t="shared" ca="1" si="8"/>
        <v>3.5714285714285717E-5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input_385105!A$2</f>
        <v>385105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IFERROR(VLOOKUP(B140,input_385105!L:R,7,FALSE),VLOOKUP(tables_385105!C140,input_385105!A:H,8,FALSE))</f>
        <v>1225.5</v>
      </c>
      <c r="P140" s="43">
        <f t="shared" ca="1" si="8"/>
        <v>6.7857142857142855E-4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input_385105!A$2</f>
        <v>385105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IFERROR(VLOOKUP(B141,input_385105!L:R,7,FALSE),VLOOKUP(tables_385105!C141,input_385105!A:H,8,FALSE))</f>
        <v>64.5</v>
      </c>
      <c r="P141" s="43">
        <f t="shared" ca="1" si="8"/>
        <v>3.5714285714285717E-5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input_385105!A$2</f>
        <v>385105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IFERROR(VLOOKUP(B142,input_385105!L:R,7,FALSE),VLOOKUP(tables_385105!C142,input_385105!A:H,8,FALSE))</f>
        <v>1225.5</v>
      </c>
      <c r="P142" s="43">
        <f t="shared" ca="1" si="8"/>
        <v>6.7857142857142855E-4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input_385105!A$2</f>
        <v>385105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IFERROR(VLOOKUP(B143,input_385105!L:R,7,FALSE),VLOOKUP(tables_385105!C143,input_385105!A:H,8,FALSE))</f>
        <v>64.5</v>
      </c>
      <c r="P143" s="43">
        <f t="shared" ca="1" si="8"/>
        <v>3.5714285714285717E-5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input_385105!A$2</f>
        <v>385105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IFERROR(VLOOKUP(B144,input_385105!L:R,7,FALSE),VLOOKUP(tables_385105!C144,input_385105!A:H,8,FALSE))</f>
        <v>1225.5</v>
      </c>
      <c r="P144" s="43">
        <f t="shared" ca="1" si="8"/>
        <v>6.7857142857142855E-4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input_385105!A$2</f>
        <v>385105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IFERROR(VLOOKUP(B145,input_385105!L:R,7,FALSE),VLOOKUP(tables_385105!C145,input_385105!A:H,8,FALSE))</f>
        <v>64.5</v>
      </c>
      <c r="P145" s="43">
        <f t="shared" ca="1" si="8"/>
        <v>3.5714285714285717E-5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input_385105!A$2</f>
        <v>385105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IFERROR(VLOOKUP(B146,input_385105!L:R,7,FALSE),VLOOKUP(tables_385105!C146,input_385105!A:H,8,FALSE))</f>
        <v>0</v>
      </c>
      <c r="P146" s="43">
        <f t="shared" ca="1" si="8"/>
        <v>0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input_385105!A$2</f>
        <v>385105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IFERROR(VLOOKUP(B147,input_385105!L:R,7,FALSE),VLOOKUP(tables_385105!C147,input_385105!A:H,8,FALSE))</f>
        <v>13543.384620000001</v>
      </c>
      <c r="P147" s="43">
        <f t="shared" ca="1" si="8"/>
        <v>7.4991055481727579E-3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input_385105!A$2</f>
        <v>385105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IFERROR(VLOOKUP(B148,input_385105!L:R,7,FALSE),VLOOKUP(tables_385105!C148,input_385105!A:H,8,FALSE))</f>
        <v>1156.61538</v>
      </c>
      <c r="P148" s="43">
        <f t="shared" ca="1" si="8"/>
        <v>6.4042933554817277E-4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input_385105!A$2</f>
        <v>385105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IFERROR(VLOOKUP(B149,input_385105!L:R,7,FALSE),VLOOKUP(tables_385105!C149,input_385105!A:H,8,FALSE))</f>
        <v>1225.5</v>
      </c>
      <c r="P149" s="43">
        <f t="shared" ca="1" si="8"/>
        <v>6.7857142857142855E-4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input_385105!A$2</f>
        <v>385105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IFERROR(VLOOKUP(B150,input_385105!L:R,7,FALSE),VLOOKUP(tables_385105!C150,input_385105!A:H,8,FALSE))</f>
        <v>64.5</v>
      </c>
      <c r="P150" s="43">
        <f t="shared" ca="1" si="8"/>
        <v>3.5714285714285717E-5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input_385105!A$2</f>
        <v>385105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IFERROR(VLOOKUP(B151,input_385105!L:R,7,FALSE),VLOOKUP(tables_385105!C151,input_385105!A:H,8,FALSE))</f>
        <v>1225.5</v>
      </c>
      <c r="P151" s="43">
        <f t="shared" ca="1" si="8"/>
        <v>6.7857142857142855E-4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input_385105!A$2</f>
        <v>385105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IFERROR(VLOOKUP(B152,input_385105!L:R,7,FALSE),VLOOKUP(tables_385105!C152,input_385105!A:H,8,FALSE))</f>
        <v>64.5</v>
      </c>
      <c r="P152" s="43">
        <f t="shared" ca="1" si="8"/>
        <v>3.5714285714285717E-5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input_385105!A$2</f>
        <v>385105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IFERROR(VLOOKUP(B153,input_385105!L:R,7,FALSE),VLOOKUP(tables_385105!C153,input_385105!A:H,8,FALSE))</f>
        <v>0</v>
      </c>
      <c r="P153" s="43">
        <f t="shared" ca="1" si="8"/>
        <v>0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input_385105!A$2</f>
        <v>385105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IFERROR(VLOOKUP(B154,input_385105!L:R,7,FALSE),VLOOKUP(tables_385105!C154,input_385105!A:H,8,FALSE))</f>
        <v>13543.384620000001</v>
      </c>
      <c r="P154" s="43">
        <f t="shared" ca="1" si="8"/>
        <v>7.4991055481727579E-3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input_385105!A$2</f>
        <v>385105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IFERROR(VLOOKUP(B155,input_385105!L:R,7,FALSE),VLOOKUP(tables_385105!C155,input_385105!A:H,8,FALSE))</f>
        <v>1156.61538</v>
      </c>
      <c r="P155" s="43">
        <f t="shared" ca="1" si="8"/>
        <v>6.4042933554817277E-4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input_385105!A$2</f>
        <v>385105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IFERROR(VLOOKUP(B156,input_385105!L:R,7,FALSE),VLOOKUP(tables_385105!C156,input_385105!A:H,8,FALSE))</f>
        <v>1225.5</v>
      </c>
      <c r="P156" s="43">
        <f t="shared" ca="1" si="8"/>
        <v>6.7857142857142855E-4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input_385105!A$2</f>
        <v>385105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IFERROR(VLOOKUP(B157,input_385105!L:R,7,FALSE),VLOOKUP(tables_385105!C157,input_385105!A:H,8,FALSE))</f>
        <v>64.5</v>
      </c>
      <c r="P157" s="43">
        <f t="shared" ca="1" si="8"/>
        <v>3.5714285714285717E-5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input_385105!A$2</f>
        <v>385105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IFERROR(VLOOKUP(B158,input_385105!L:R,7,FALSE),VLOOKUP(tables_385105!C158,input_385105!A:H,8,FALSE))</f>
        <v>0</v>
      </c>
      <c r="P158" s="43">
        <f t="shared" ca="1" si="8"/>
        <v>0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input_385105!A$2</f>
        <v>385105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IFERROR(VLOOKUP(B159,input_385105!L:R,7,FALSE),VLOOKUP(tables_385105!C159,input_385105!A:H,8,FALSE))</f>
        <v>13543.384620000001</v>
      </c>
      <c r="P159" s="43">
        <f t="shared" ca="1" si="8"/>
        <v>7.4991055481727579E-3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input_385105!A$2</f>
        <v>385105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IFERROR(VLOOKUP(B160,input_385105!L:R,7,FALSE),VLOOKUP(tables_385105!C160,input_385105!A:H,8,FALSE))</f>
        <v>1156.61538</v>
      </c>
      <c r="P160" s="43">
        <f t="shared" ca="1" si="8"/>
        <v>6.4042933554817277E-4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input_385105!A$2</f>
        <v>385105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IFERROR(VLOOKUP(B161,input_385105!L:R,7,FALSE),VLOOKUP(tables_385105!C161,input_385105!A:H,8,FALSE))</f>
        <v>0</v>
      </c>
      <c r="P161" s="43">
        <f t="shared" ca="1" si="8"/>
        <v>0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input_385105!A$2</f>
        <v>385105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IFERROR(VLOOKUP(B162,input_385105!L:R,7,FALSE),VLOOKUP(tables_385105!C162,input_385105!A:H,8,FALSE))</f>
        <v>13543.384620000001</v>
      </c>
      <c r="P162" s="43">
        <f t="shared" ca="1" si="8"/>
        <v>7.4991055481727579E-3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input_385105!A$2</f>
        <v>385105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IFERROR(VLOOKUP(B163,input_385105!L:R,7,FALSE),VLOOKUP(tables_385105!C163,input_385105!A:H,8,FALSE))</f>
        <v>1156.61538</v>
      </c>
      <c r="P163" s="43">
        <f t="shared" ca="1" si="8"/>
        <v>6.4042933554817277E-4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input_385105!A$2</f>
        <v>385105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IFERROR(VLOOKUP(B164,input_385105!L:R,7,FALSE),VLOOKUP(tables_385105!C164,input_385105!A:H,8,FALSE))</f>
        <v>1225.5</v>
      </c>
      <c r="P164" s="43">
        <f t="shared" ca="1" si="8"/>
        <v>6.7857142857142855E-4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input_385105!A$2</f>
        <v>385105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IFERROR(VLOOKUP(B165,input_385105!L:R,7,FALSE),VLOOKUP(tables_385105!C165,input_385105!A:H,8,FALSE))</f>
        <v>64.5</v>
      </c>
      <c r="P165" s="43">
        <f t="shared" ca="1" si="8"/>
        <v>3.5714285714285717E-5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input_385105!A$2</f>
        <v>385105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IFERROR(VLOOKUP(B166,input_385105!L:R,7,FALSE),VLOOKUP(tables_385105!C166,input_385105!A:H,8,FALSE))</f>
        <v>0</v>
      </c>
      <c r="P166" s="43">
        <f t="shared" ca="1" si="8"/>
        <v>0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input_385105!A$2</f>
        <v>385105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IFERROR(VLOOKUP(B167,input_385105!L:R,7,FALSE),VLOOKUP(tables_385105!C167,input_385105!A:H,8,FALSE))</f>
        <v>13543.384620000001</v>
      </c>
      <c r="P167" s="43">
        <f t="shared" ca="1" si="8"/>
        <v>7.4991055481727579E-3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input_385105!A$2</f>
        <v>385105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IFERROR(VLOOKUP(B168,input_385105!L:R,7,FALSE),VLOOKUP(tables_385105!C168,input_385105!A:H,8,FALSE))</f>
        <v>1156.61538</v>
      </c>
      <c r="P168" s="43">
        <f t="shared" ca="1" si="8"/>
        <v>6.4042933554817277E-4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input_385105!A$2</f>
        <v>385105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IFERROR(VLOOKUP(B169,input_385105!L:R,7,FALSE),VLOOKUP(tables_385105!C169,input_385105!A:H,8,FALSE))</f>
        <v>1225.5</v>
      </c>
      <c r="P169" s="43">
        <f t="shared" ca="1" si="8"/>
        <v>6.7857142857142855E-4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input_385105!A$2</f>
        <v>385105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IFERROR(VLOOKUP(B170,input_385105!L:R,7,FALSE),VLOOKUP(tables_385105!C170,input_385105!A:H,8,FALSE))</f>
        <v>64.5</v>
      </c>
      <c r="P170" s="43">
        <f t="shared" ca="1" si="8"/>
        <v>3.5714285714285717E-5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input_385105!A$2</f>
        <v>385105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IFERROR(VLOOKUP(B171,input_385105!L:R,7,FALSE),VLOOKUP(tables_385105!C171,input_385105!A:H,8,FALSE))</f>
        <v>0</v>
      </c>
      <c r="P171" s="43">
        <f t="shared" ca="1" si="8"/>
        <v>0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input_385105!A$2</f>
        <v>385105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IFERROR(VLOOKUP(B172,input_385105!L:R,7,FALSE),VLOOKUP(tables_385105!C172,input_385105!A:H,8,FALSE))</f>
        <v>13543.384620000001</v>
      </c>
      <c r="P172" s="43">
        <f t="shared" ca="1" si="8"/>
        <v>7.4991055481727579E-3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input_385105!A$2</f>
        <v>385105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IFERROR(VLOOKUP(B173,input_385105!L:R,7,FALSE),VLOOKUP(tables_385105!C173,input_385105!A:H,8,FALSE))</f>
        <v>1156.61538</v>
      </c>
      <c r="P173" s="43">
        <f t="shared" ca="1" si="8"/>
        <v>6.4042933554817277E-4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input_385105!A$2</f>
        <v>385105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IFERROR(VLOOKUP(B174,input_385105!L:R,7,FALSE),VLOOKUP(tables_385105!C174,input_385105!A:H,8,FALSE))</f>
        <v>1225.5</v>
      </c>
      <c r="P174" s="43">
        <f t="shared" ca="1" si="8"/>
        <v>6.7857142857142855E-4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input_385105!A$2</f>
        <v>385105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IFERROR(VLOOKUP(B175,input_385105!L:R,7,FALSE),VLOOKUP(tables_385105!C175,input_385105!A:H,8,FALSE))</f>
        <v>64.5</v>
      </c>
      <c r="P175" s="43">
        <f t="shared" ca="1" si="8"/>
        <v>3.5714285714285717E-5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input_385105!A$2</f>
        <v>385105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IFERROR(VLOOKUP(B176,input_385105!L:R,7,FALSE),VLOOKUP(tables_385105!C176,input_385105!A:H,8,FALSE))</f>
        <v>1225.5</v>
      </c>
      <c r="P176" s="43">
        <f t="shared" ca="1" si="8"/>
        <v>6.7857142857142855E-4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input_385105!A$2</f>
        <v>385105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IFERROR(VLOOKUP(B177,input_385105!L:R,7,FALSE),VLOOKUP(tables_385105!C177,input_385105!A:H,8,FALSE))</f>
        <v>64.5</v>
      </c>
      <c r="P177" s="43">
        <f t="shared" ca="1" si="8"/>
        <v>3.5714285714285717E-5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input_385105!A$2</f>
        <v>385105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IFERROR(VLOOKUP(B178,input_385105!L:R,7,FALSE),VLOOKUP(tables_385105!C178,input_385105!A:H,8,FALSE))</f>
        <v>0</v>
      </c>
      <c r="P178" s="43">
        <f t="shared" ca="1" si="8"/>
        <v>0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input_385105!A$2</f>
        <v>385105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IFERROR(VLOOKUP(B179,input_385105!L:R,7,FALSE),VLOOKUP(tables_385105!C179,input_385105!A:H,8,FALSE))</f>
        <v>13543.384620000001</v>
      </c>
      <c r="P179" s="43">
        <f t="shared" ca="1" si="8"/>
        <v>7.4991055481727579E-3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input_385105!A$2</f>
        <v>385105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IFERROR(VLOOKUP(B180,input_385105!L:R,7,FALSE),VLOOKUP(tables_385105!C180,input_385105!A:H,8,FALSE))</f>
        <v>1156.61538</v>
      </c>
      <c r="P180" s="43">
        <f t="shared" ca="1" si="8"/>
        <v>6.4042933554817277E-4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input_385105!A$2</f>
        <v>385105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IFERROR(VLOOKUP(B181,input_385105!L:R,7,FALSE),VLOOKUP(tables_385105!C181,input_385105!A:H,8,FALSE))</f>
        <v>0</v>
      </c>
      <c r="P181" s="43">
        <f t="shared" ca="1" si="8"/>
        <v>0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input_385105!A$2</f>
        <v>385105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IFERROR(VLOOKUP(B182,input_385105!L:R,7,FALSE),VLOOKUP(tables_385105!C182,input_385105!A:H,8,FALSE))</f>
        <v>13543.384620000001</v>
      </c>
      <c r="P182" s="43">
        <f t="shared" ca="1" si="8"/>
        <v>7.4991055481727579E-3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input_385105!A$2</f>
        <v>385105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IFERROR(VLOOKUP(B183,input_385105!L:R,7,FALSE),VLOOKUP(tables_385105!C183,input_385105!A:H,8,FALSE))</f>
        <v>1156.61538</v>
      </c>
      <c r="P183" s="43">
        <f t="shared" ca="1" si="8"/>
        <v>6.4042933554817277E-4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input_385105!A$2</f>
        <v>385105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IFERROR(VLOOKUP(B184,input_385105!L:R,7,FALSE),VLOOKUP(tables_385105!C184,input_385105!A:H,8,FALSE))</f>
        <v>1225.5</v>
      </c>
      <c r="P184" s="43">
        <f t="shared" ca="1" si="8"/>
        <v>6.7857142857142855E-4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input_385105!A$2</f>
        <v>385105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IFERROR(VLOOKUP(B185,input_385105!L:R,7,FALSE),VLOOKUP(tables_385105!C185,input_385105!A:H,8,FALSE))</f>
        <v>64.5</v>
      </c>
      <c r="P185" s="43">
        <f t="shared" ca="1" si="8"/>
        <v>3.5714285714285717E-5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input_385105!A$2</f>
        <v>385105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IFERROR(VLOOKUP(B186,input_385105!L:R,7,FALSE),VLOOKUP(tables_385105!C186,input_385105!A:H,8,FALSE))</f>
        <v>0</v>
      </c>
      <c r="P186" s="43">
        <f t="shared" ca="1" si="8"/>
        <v>0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input_385105!A$2</f>
        <v>385105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IFERROR(VLOOKUP(B187,input_385105!L:R,7,FALSE),VLOOKUP(tables_385105!C187,input_385105!A:H,8,FALSE))</f>
        <v>13543.384620000001</v>
      </c>
      <c r="P187" s="43">
        <f t="shared" ca="1" si="8"/>
        <v>7.4991055481727579E-3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input_385105!A$2</f>
        <v>385105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IFERROR(VLOOKUP(B188,input_385105!L:R,7,FALSE),VLOOKUP(tables_385105!C188,input_385105!A:H,8,FALSE))</f>
        <v>1156.61538</v>
      </c>
      <c r="P188" s="43">
        <f t="shared" ca="1" si="8"/>
        <v>6.4042933554817277E-4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input_385105!A$2</f>
        <v>385105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IFERROR(VLOOKUP(B189,input_385105!L:R,7,FALSE),VLOOKUP(tables_385105!C189,input_385105!A:H,8,FALSE))</f>
        <v>1225.5</v>
      </c>
      <c r="P189" s="43">
        <f t="shared" ca="1" si="8"/>
        <v>6.7857142857142855E-4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input_385105!A$2</f>
        <v>385105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IFERROR(VLOOKUP(B190,input_385105!L:R,7,FALSE),VLOOKUP(tables_385105!C190,input_385105!A:H,8,FALSE))</f>
        <v>64.5</v>
      </c>
      <c r="P190" s="43">
        <f t="shared" ca="1" si="8"/>
        <v>3.5714285714285717E-5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input_385105!A$2</f>
        <v>385105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IFERROR(VLOOKUP(B191,input_385105!L:R,7,FALSE),VLOOKUP(tables_385105!C191,input_385105!A:H,8,FALSE))</f>
        <v>1225.5</v>
      </c>
      <c r="P191" s="43">
        <f t="shared" ca="1" si="8"/>
        <v>6.7857142857142855E-4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input_385105!A$2</f>
        <v>385105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IFERROR(VLOOKUP(B192,input_385105!L:R,7,FALSE),VLOOKUP(tables_385105!C192,input_385105!A:H,8,FALSE))</f>
        <v>64.5</v>
      </c>
      <c r="P192" s="43">
        <f t="shared" ca="1" si="8"/>
        <v>3.5714285714285717E-5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input_385105!A$2</f>
        <v>385105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IFERROR(VLOOKUP(B193,input_385105!L:R,7,FALSE),VLOOKUP(tables_385105!C193,input_385105!A:H,8,FALSE))</f>
        <v>0</v>
      </c>
      <c r="P193" s="43">
        <f t="shared" ca="1" si="8"/>
        <v>0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input_385105!A$2</f>
        <v>385105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IFERROR(VLOOKUP(B194,input_385105!L:R,7,FALSE),VLOOKUP(tables_385105!C194,input_385105!A:H,8,FALSE))</f>
        <v>13543.384620000001</v>
      </c>
      <c r="P194" s="43">
        <f t="shared" ca="1" si="8"/>
        <v>7.4991055481727579E-3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input_385105!A$2</f>
        <v>385105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IFERROR(VLOOKUP(B195,input_385105!L:R,7,FALSE),VLOOKUP(tables_385105!C195,input_385105!A:H,8,FALSE))</f>
        <v>1156.61538</v>
      </c>
      <c r="P195" s="43">
        <f t="shared" ref="P195:P258" ca="1" si="11">O195/SUM(O:O)</f>
        <v>6.4042933554817277E-4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input_385105!A$2</f>
        <v>385105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IFERROR(VLOOKUP(B196,input_385105!L:R,7,FALSE),VLOOKUP(tables_385105!C196,input_385105!A:H,8,FALSE))</f>
        <v>1225.5</v>
      </c>
      <c r="P196" s="43">
        <f t="shared" ca="1" si="11"/>
        <v>6.7857142857142855E-4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input_385105!A$2</f>
        <v>385105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IFERROR(VLOOKUP(B197,input_385105!L:R,7,FALSE),VLOOKUP(tables_385105!C197,input_385105!A:H,8,FALSE))</f>
        <v>64.5</v>
      </c>
      <c r="P197" s="43">
        <f t="shared" ca="1" si="11"/>
        <v>3.5714285714285717E-5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input_385105!A$2</f>
        <v>385105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IFERROR(VLOOKUP(B198,input_385105!L:R,7,FALSE),VLOOKUP(tables_385105!C198,input_385105!A:H,8,FALSE))</f>
        <v>0</v>
      </c>
      <c r="P198" s="43">
        <f t="shared" ca="1" si="11"/>
        <v>0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input_385105!A$2</f>
        <v>385105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IFERROR(VLOOKUP(B199,input_385105!L:R,7,FALSE),VLOOKUP(tables_385105!C199,input_385105!A:H,8,FALSE))</f>
        <v>13543.384620000001</v>
      </c>
      <c r="P199" s="43">
        <f t="shared" ca="1" si="11"/>
        <v>7.4991055481727579E-3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input_385105!A$2</f>
        <v>385105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IFERROR(VLOOKUP(B200,input_385105!L:R,7,FALSE),VLOOKUP(tables_385105!C200,input_385105!A:H,8,FALSE))</f>
        <v>1156.61538</v>
      </c>
      <c r="P200" s="43">
        <f t="shared" ca="1" si="11"/>
        <v>6.4042933554817277E-4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input_385105!A$2</f>
        <v>385105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IFERROR(VLOOKUP(B201,input_385105!L:R,7,FALSE),VLOOKUP(tables_385105!C201,input_385105!A:H,8,FALSE))</f>
        <v>1225.5</v>
      </c>
      <c r="P201" s="43">
        <f t="shared" ca="1" si="11"/>
        <v>6.7857142857142855E-4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input_385105!A$2</f>
        <v>385105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IFERROR(VLOOKUP(B202,input_385105!L:R,7,FALSE),VLOOKUP(tables_385105!C202,input_385105!A:H,8,FALSE))</f>
        <v>64.5</v>
      </c>
      <c r="P202" s="43">
        <f t="shared" ca="1" si="11"/>
        <v>3.5714285714285717E-5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input_385105!A$2</f>
        <v>385105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IFERROR(VLOOKUP(B203,input_385105!L:R,7,FALSE),VLOOKUP(tables_385105!C203,input_385105!A:H,8,FALSE))</f>
        <v>0</v>
      </c>
      <c r="P203" s="43">
        <f t="shared" ca="1" si="11"/>
        <v>0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input_385105!A$2</f>
        <v>385105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IFERROR(VLOOKUP(B204,input_385105!L:R,7,FALSE),VLOOKUP(tables_385105!C204,input_385105!A:H,8,FALSE))</f>
        <v>13543.384620000001</v>
      </c>
      <c r="P204" s="43">
        <f t="shared" ca="1" si="11"/>
        <v>7.4991055481727579E-3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input_385105!A$2</f>
        <v>385105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IFERROR(VLOOKUP(B205,input_385105!L:R,7,FALSE),VLOOKUP(tables_385105!C205,input_385105!A:H,8,FALSE))</f>
        <v>1156.61538</v>
      </c>
      <c r="P205" s="43">
        <f t="shared" ca="1" si="11"/>
        <v>6.4042933554817277E-4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input_385105!A$2</f>
        <v>385105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IFERROR(VLOOKUP(B206,input_385105!L:R,7,FALSE),VLOOKUP(tables_385105!C206,input_385105!A:H,8,FALSE))</f>
        <v>1225.5</v>
      </c>
      <c r="P206" s="43">
        <f t="shared" ca="1" si="11"/>
        <v>6.7857142857142855E-4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input_385105!A$2</f>
        <v>385105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IFERROR(VLOOKUP(B207,input_385105!L:R,7,FALSE),VLOOKUP(tables_385105!C207,input_385105!A:H,8,FALSE))</f>
        <v>64.5</v>
      </c>
      <c r="P207" s="43">
        <f t="shared" ca="1" si="11"/>
        <v>3.5714285714285717E-5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input_385105!A$2</f>
        <v>385105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IFERROR(VLOOKUP(B208,input_385105!L:R,7,FALSE),VLOOKUP(tables_385105!C208,input_385105!A:H,8,FALSE))</f>
        <v>1225.5</v>
      </c>
      <c r="P208" s="43">
        <f t="shared" ca="1" si="11"/>
        <v>6.7857142857142855E-4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input_385105!A$2</f>
        <v>385105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IFERROR(VLOOKUP(B209,input_385105!L:R,7,FALSE),VLOOKUP(tables_385105!C209,input_385105!A:H,8,FALSE))</f>
        <v>64.5</v>
      </c>
      <c r="P209" s="43">
        <f t="shared" ca="1" si="11"/>
        <v>3.5714285714285717E-5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input_385105!A$2</f>
        <v>385105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IFERROR(VLOOKUP(B210,input_385105!L:R,7,FALSE),VLOOKUP(tables_385105!C210,input_385105!A:H,8,FALSE))</f>
        <v>0</v>
      </c>
      <c r="P210" s="43">
        <f t="shared" ca="1" si="11"/>
        <v>0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input_385105!A$2</f>
        <v>385105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IFERROR(VLOOKUP(B211,input_385105!L:R,7,FALSE),VLOOKUP(tables_385105!C211,input_385105!A:H,8,FALSE))</f>
        <v>13543.384620000001</v>
      </c>
      <c r="P211" s="43">
        <f t="shared" ca="1" si="11"/>
        <v>7.4991055481727579E-3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input_385105!A$2</f>
        <v>385105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IFERROR(VLOOKUP(B212,input_385105!L:R,7,FALSE),VLOOKUP(tables_385105!C212,input_385105!A:H,8,FALSE))</f>
        <v>1156.61538</v>
      </c>
      <c r="P212" s="43">
        <f t="shared" ca="1" si="11"/>
        <v>6.4042933554817277E-4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input_385105!A$2</f>
        <v>385105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IFERROR(VLOOKUP(B213,input_385105!L:R,7,FALSE),VLOOKUP(tables_385105!C213,input_385105!A:H,8,FALSE))</f>
        <v>1225.5</v>
      </c>
      <c r="P213" s="43">
        <f t="shared" ca="1" si="11"/>
        <v>6.7857142857142855E-4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input_385105!A$2</f>
        <v>385105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IFERROR(VLOOKUP(B214,input_385105!L:R,7,FALSE),VLOOKUP(tables_385105!C214,input_385105!A:H,8,FALSE))</f>
        <v>64.5</v>
      </c>
      <c r="P214" s="43">
        <f t="shared" ca="1" si="11"/>
        <v>3.5714285714285717E-5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input_385105!A$2</f>
        <v>385105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2">
        <f ca="1">IFERROR(VLOOKUP(B215,input_385105!L:R,7,FALSE),VLOOKUP(tables_385105!C215,input_385105!A:H,8,FALSE))</f>
        <v>1225.5</v>
      </c>
      <c r="P215" s="43">
        <f t="shared" ca="1" si="11"/>
        <v>6.7857142857142855E-4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input_385105!A$2</f>
        <v>385105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2">
        <f ca="1">IFERROR(VLOOKUP(B216,input_385105!L:R,7,FALSE),VLOOKUP(tables_385105!C216,input_385105!A:H,8,FALSE))</f>
        <v>64.5</v>
      </c>
      <c r="P216" s="43">
        <f t="shared" ca="1" si="11"/>
        <v>3.5714285714285717E-5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input_385105!A$2</f>
        <v>385105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2">
        <f ca="1">IFERROR(VLOOKUP(B217,input_385105!L:R,7,FALSE),VLOOKUP(tables_385105!C217,input_385105!A:H,8,FALSE))</f>
        <v>0</v>
      </c>
      <c r="P217" s="43">
        <f t="shared" ca="1" si="11"/>
        <v>0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input_385105!A$2</f>
        <v>385105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2">
        <f ca="1">IFERROR(VLOOKUP(B218,input_385105!L:R,7,FALSE),VLOOKUP(tables_385105!C218,input_385105!A:H,8,FALSE))</f>
        <v>13543.384620000001</v>
      </c>
      <c r="P218" s="43">
        <f t="shared" ca="1" si="11"/>
        <v>7.4991055481727579E-3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input_385105!A$2</f>
        <v>385105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2">
        <f ca="1">IFERROR(VLOOKUP(B219,input_385105!L:R,7,FALSE),VLOOKUP(tables_385105!C219,input_385105!A:H,8,FALSE))</f>
        <v>1156.61538</v>
      </c>
      <c r="P219" s="43">
        <f t="shared" ca="1" si="11"/>
        <v>6.4042933554817277E-4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input_385105!A$2</f>
        <v>385105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2">
        <f ca="1">IFERROR(VLOOKUP(B220,input_385105!L:R,7,FALSE),VLOOKUP(tables_385105!C220,input_385105!A:H,8,FALSE))</f>
        <v>0</v>
      </c>
      <c r="P220" s="43">
        <f t="shared" ca="1" si="11"/>
        <v>0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input_385105!A$2</f>
        <v>385105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2">
        <f ca="1">IFERROR(VLOOKUP(B221,input_385105!L:R,7,FALSE),VLOOKUP(tables_385105!C221,input_385105!A:H,8,FALSE))</f>
        <v>13543.384620000001</v>
      </c>
      <c r="P221" s="43">
        <f t="shared" ca="1" si="11"/>
        <v>7.4991055481727579E-3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input_385105!A$2</f>
        <v>385105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2">
        <f ca="1">IFERROR(VLOOKUP(B222,input_385105!L:R,7,FALSE),VLOOKUP(tables_385105!C222,input_385105!A:H,8,FALSE))</f>
        <v>1156.61538</v>
      </c>
      <c r="P222" s="43">
        <f t="shared" ca="1" si="11"/>
        <v>6.4042933554817277E-4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input_385105!A$2</f>
        <v>385105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2">
        <f ca="1">IFERROR(VLOOKUP(B223,input_385105!L:R,7,FALSE),VLOOKUP(tables_385105!C223,input_385105!A:H,8,FALSE))</f>
        <v>1225.5</v>
      </c>
      <c r="P223" s="43">
        <f t="shared" ca="1" si="11"/>
        <v>6.7857142857142855E-4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input_385105!A$2</f>
        <v>385105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2">
        <f ca="1">IFERROR(VLOOKUP(B224,input_385105!L:R,7,FALSE),VLOOKUP(tables_385105!C224,input_385105!A:H,8,FALSE))</f>
        <v>64.5</v>
      </c>
      <c r="P224" s="43">
        <f t="shared" ca="1" si="11"/>
        <v>3.5714285714285717E-5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input_385105!A$2</f>
        <v>385105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2">
        <f ca="1">IFERROR(VLOOKUP(B225,input_385105!L:R,7,FALSE),VLOOKUP(tables_385105!C225,input_385105!A:H,8,FALSE))</f>
        <v>0</v>
      </c>
      <c r="P225" s="43">
        <f t="shared" ca="1" si="11"/>
        <v>0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input_385105!A$2</f>
        <v>385105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2">
        <f ca="1">IFERROR(VLOOKUP(B226,input_385105!L:R,7,FALSE),VLOOKUP(tables_385105!C226,input_385105!A:H,8,FALSE))</f>
        <v>13543.384620000001</v>
      </c>
      <c r="P226" s="43">
        <f t="shared" ca="1" si="11"/>
        <v>7.4991055481727579E-3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input_385105!A$2</f>
        <v>385105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2">
        <f ca="1">IFERROR(VLOOKUP(B227,input_385105!L:R,7,FALSE),VLOOKUP(tables_385105!C227,input_385105!A:H,8,FALSE))</f>
        <v>1156.61538</v>
      </c>
      <c r="P227" s="43">
        <f t="shared" ca="1" si="11"/>
        <v>6.4042933554817277E-4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input_385105!A$2</f>
        <v>385105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IFERROR(VLOOKUP(B228,input_385105!L:R,7,FALSE),VLOOKUP(tables_385105!C228,input_385105!A:H,8,FALSE))</f>
        <v>0</v>
      </c>
      <c r="P228" s="43">
        <f t="shared" ca="1" si="11"/>
        <v>0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input_385105!A$2</f>
        <v>385105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IFERROR(VLOOKUP(B229,input_385105!L:R,7,FALSE),VLOOKUP(tables_385105!C229,input_385105!A:H,8,FALSE))</f>
        <v>13543.384620000001</v>
      </c>
      <c r="P229" s="43">
        <f t="shared" ca="1" si="11"/>
        <v>7.4991055481727579E-3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input_385105!A$2</f>
        <v>385105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IFERROR(VLOOKUP(B230,input_385105!L:R,7,FALSE),VLOOKUP(tables_385105!C230,input_385105!A:H,8,FALSE))</f>
        <v>1156.61538</v>
      </c>
      <c r="P230" s="43">
        <f t="shared" ca="1" si="11"/>
        <v>6.4042933554817277E-4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input_385105!A$2</f>
        <v>385105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2">
        <f ca="1">IFERROR(VLOOKUP(B231,input_385105!L:R,7,FALSE),VLOOKUP(tables_385105!C231,input_385105!A:H,8,FALSE))</f>
        <v>1225.5</v>
      </c>
      <c r="P231" s="43">
        <f t="shared" ca="1" si="11"/>
        <v>6.7857142857142855E-4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input_385105!A$2</f>
        <v>385105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2">
        <f ca="1">IFERROR(VLOOKUP(B232,input_385105!L:R,7,FALSE),VLOOKUP(tables_385105!C232,input_385105!A:H,8,FALSE))</f>
        <v>64.5</v>
      </c>
      <c r="P232" s="43">
        <f t="shared" ca="1" si="11"/>
        <v>3.5714285714285717E-5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input_385105!A$2</f>
        <v>385105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2">
        <f ca="1">IFERROR(VLOOKUP(B233,input_385105!L:R,7,FALSE),VLOOKUP(tables_385105!C233,input_385105!A:H,8,FALSE))</f>
        <v>0</v>
      </c>
      <c r="P233" s="43">
        <f t="shared" ca="1" si="11"/>
        <v>0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input_385105!A$2</f>
        <v>385105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2">
        <f ca="1">IFERROR(VLOOKUP(B234,input_385105!L:R,7,FALSE),VLOOKUP(tables_385105!C234,input_385105!A:H,8,FALSE))</f>
        <v>13543.384620000001</v>
      </c>
      <c r="P234" s="43">
        <f t="shared" ca="1" si="11"/>
        <v>7.4991055481727579E-3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input_385105!A$2</f>
        <v>385105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2">
        <f ca="1">IFERROR(VLOOKUP(B235,input_385105!L:R,7,FALSE),VLOOKUP(tables_385105!C235,input_385105!A:H,8,FALSE))</f>
        <v>1156.61538</v>
      </c>
      <c r="P235" s="43">
        <f t="shared" ca="1" si="11"/>
        <v>6.4042933554817277E-4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input_385105!A$2</f>
        <v>385105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2">
        <f ca="1">IFERROR(VLOOKUP(B236,input_385105!L:R,7,FALSE),VLOOKUP(tables_385105!C236,input_385105!A:H,8,FALSE))</f>
        <v>1225.5</v>
      </c>
      <c r="P236" s="43">
        <f t="shared" ca="1" si="11"/>
        <v>6.7857142857142855E-4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input_385105!A$2</f>
        <v>385105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IFERROR(VLOOKUP(B237,input_385105!L:R,7,FALSE),VLOOKUP(tables_385105!C237,input_385105!A:H,8,FALSE))</f>
        <v>64.5</v>
      </c>
      <c r="P237" s="43">
        <f t="shared" ca="1" si="11"/>
        <v>3.5714285714285717E-5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input_385105!A$2</f>
        <v>385105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2">
        <f ca="1">IFERROR(VLOOKUP(B238,input_385105!L:R,7,FALSE),VLOOKUP(tables_385105!C238,input_385105!A:H,8,FALSE))</f>
        <v>1225.5</v>
      </c>
      <c r="P238" s="43">
        <f t="shared" ca="1" si="11"/>
        <v>6.7857142857142855E-4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input_385105!A$2</f>
        <v>385105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2">
        <f ca="1">IFERROR(VLOOKUP(B239,input_385105!L:R,7,FALSE),VLOOKUP(tables_385105!C239,input_385105!A:H,8,FALSE))</f>
        <v>64.5</v>
      </c>
      <c r="P239" s="43">
        <f t="shared" ca="1" si="11"/>
        <v>3.5714285714285717E-5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input_385105!A$2</f>
        <v>385105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2">
        <f ca="1">IFERROR(VLOOKUP(B240,input_385105!L:R,7,FALSE),VLOOKUP(tables_385105!C240,input_385105!A:H,8,FALSE))</f>
        <v>0</v>
      </c>
      <c r="P240" s="43">
        <f t="shared" ca="1" si="11"/>
        <v>0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input_385105!A$2</f>
        <v>385105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2">
        <f ca="1">IFERROR(VLOOKUP(B241,input_385105!L:R,7,FALSE),VLOOKUP(tables_385105!C241,input_385105!A:H,8,FALSE))</f>
        <v>13543.384620000001</v>
      </c>
      <c r="P241" s="43">
        <f t="shared" ca="1" si="11"/>
        <v>7.4991055481727579E-3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input_385105!A$2</f>
        <v>385105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2">
        <f ca="1">IFERROR(VLOOKUP(B242,input_385105!L:R,7,FALSE),VLOOKUP(tables_385105!C242,input_385105!A:H,8,FALSE))</f>
        <v>1156.61538</v>
      </c>
      <c r="P242" s="43">
        <f t="shared" ca="1" si="11"/>
        <v>6.4042933554817277E-4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input_385105!A$2</f>
        <v>385105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2">
        <f ca="1">IFERROR(VLOOKUP(B243,input_385105!L:R,7,FALSE),VLOOKUP(tables_385105!C243,input_385105!A:H,8,FALSE))</f>
        <v>0</v>
      </c>
      <c r="P243" s="43">
        <f t="shared" ca="1" si="11"/>
        <v>0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input_385105!A$2</f>
        <v>385105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2">
        <f ca="1">IFERROR(VLOOKUP(B244,input_385105!L:R,7,FALSE),VLOOKUP(tables_385105!C244,input_385105!A:H,8,FALSE))</f>
        <v>13543.384620000001</v>
      </c>
      <c r="P244" s="43">
        <f t="shared" ca="1" si="11"/>
        <v>7.4991055481727579E-3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input_385105!A$2</f>
        <v>385105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2">
        <f ca="1">IFERROR(VLOOKUP(B245,input_385105!L:R,7,FALSE),VLOOKUP(tables_385105!C245,input_385105!A:H,8,FALSE))</f>
        <v>1156.61538</v>
      </c>
      <c r="P245" s="43">
        <f t="shared" ca="1" si="11"/>
        <v>6.4042933554817277E-4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input_385105!A$2</f>
        <v>385105</v>
      </c>
      <c r="B246" s="57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2">
        <f ca="1">IFERROR(VLOOKUP(B246,input_385105!L:R,7,FALSE),VLOOKUP(tables_385105!C246,input_385105!A:H,8,FALSE))</f>
        <v>0</v>
      </c>
      <c r="P246" s="43">
        <f t="shared" ca="1" si="11"/>
        <v>0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input_385105!A$2</f>
        <v>385105</v>
      </c>
      <c r="B247" s="57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2">
        <f ca="1">IFERROR(VLOOKUP(B247,input_385105!L:R,7,FALSE),VLOOKUP(tables_385105!C247,input_385105!A:H,8,FALSE))</f>
        <v>13543.384620000001</v>
      </c>
      <c r="P247" s="43">
        <f t="shared" ca="1" si="11"/>
        <v>7.4991055481727579E-3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input_385105!A$2</f>
        <v>385105</v>
      </c>
      <c r="B248" s="57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2">
        <f ca="1">IFERROR(VLOOKUP(B248,input_385105!L:R,7,FALSE),VLOOKUP(tables_385105!C248,input_385105!A:H,8,FALSE))</f>
        <v>1156.61538</v>
      </c>
      <c r="P248" s="43">
        <f t="shared" ca="1" si="11"/>
        <v>6.4042933554817277E-4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input_385105!A$2</f>
        <v>385105</v>
      </c>
      <c r="B249" s="57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2">
        <f ca="1">IFERROR(VLOOKUP(B249,input_385105!L:R,7,FALSE),VLOOKUP(tables_385105!C249,input_385105!A:H,8,FALSE))</f>
        <v>0</v>
      </c>
      <c r="P249" s="43">
        <f t="shared" ca="1" si="11"/>
        <v>0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input_385105!A$2</f>
        <v>385105</v>
      </c>
      <c r="B250" s="57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2">
        <f ca="1">IFERROR(VLOOKUP(B250,input_385105!L:R,7,FALSE),VLOOKUP(tables_385105!C250,input_385105!A:H,8,FALSE))</f>
        <v>13543.384620000001</v>
      </c>
      <c r="P250" s="43">
        <f t="shared" ca="1" si="11"/>
        <v>7.4991055481727579E-3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input_385105!A$2</f>
        <v>385105</v>
      </c>
      <c r="B251" s="57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2">
        <f ca="1">IFERROR(VLOOKUP(B251,input_385105!L:R,7,FALSE),VLOOKUP(tables_385105!C251,input_385105!A:H,8,FALSE))</f>
        <v>1156.61538</v>
      </c>
      <c r="P251" s="43">
        <f t="shared" ca="1" si="11"/>
        <v>6.4042933554817277E-4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input_385105!A$2</f>
        <v>385105</v>
      </c>
      <c r="B252" s="57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2">
        <f ca="1">IFERROR(VLOOKUP(B252,input_385105!L:R,7,FALSE),VLOOKUP(tables_385105!C252,input_385105!A:H,8,FALSE))</f>
        <v>1225.5</v>
      </c>
      <c r="P252" s="43">
        <f t="shared" ca="1" si="11"/>
        <v>6.7857142857142855E-4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input_385105!A$2</f>
        <v>385105</v>
      </c>
      <c r="B253" s="57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2">
        <f ca="1">IFERROR(VLOOKUP(B253,input_385105!L:R,7,FALSE),VLOOKUP(tables_385105!C253,input_385105!A:H,8,FALSE))</f>
        <v>64.5</v>
      </c>
      <c r="P253" s="43">
        <f t="shared" ca="1" si="11"/>
        <v>3.5714285714285717E-5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input_385105!A$2</f>
        <v>385105</v>
      </c>
      <c r="B254" s="57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2">
        <f ca="1">IFERROR(VLOOKUP(B254,input_385105!L:R,7,FALSE),VLOOKUP(tables_385105!C254,input_385105!A:H,8,FALSE))</f>
        <v>1225.5</v>
      </c>
      <c r="P254" s="43">
        <f t="shared" ca="1" si="11"/>
        <v>6.7857142857142855E-4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input_385105!A$2</f>
        <v>385105</v>
      </c>
      <c r="B255" s="57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2">
        <f ca="1">IFERROR(VLOOKUP(B255,input_385105!L:R,7,FALSE),VLOOKUP(tables_385105!C255,input_385105!A:H,8,FALSE))</f>
        <v>64.5</v>
      </c>
      <c r="P255" s="43">
        <f t="shared" ca="1" si="11"/>
        <v>3.5714285714285717E-5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input_385105!A$2</f>
        <v>385105</v>
      </c>
      <c r="B256" s="57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2">
        <f ca="1">IFERROR(VLOOKUP(B256,input_385105!L:R,7,FALSE),VLOOKUP(tables_385105!C256,input_385105!A:H,8,FALSE))</f>
        <v>13965</v>
      </c>
      <c r="P256" s="43">
        <f t="shared" ca="1" si="11"/>
        <v>7.7325581395348841E-3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input_385105!A$2</f>
        <v>385105</v>
      </c>
      <c r="B257" s="57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2">
        <f ca="1">IFERROR(VLOOKUP(B257,input_385105!L:R,7,FALSE),VLOOKUP(tables_385105!C257,input_385105!A:H,8,FALSE))</f>
        <v>735</v>
      </c>
      <c r="P257" s="43">
        <f t="shared" ca="1" si="11"/>
        <v>4.0697674418604653E-4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input_385105!A$2</f>
        <v>385105</v>
      </c>
      <c r="B258" s="57">
        <v>730</v>
      </c>
      <c r="C258" s="7" t="str">
        <f t="shared" ref="C258:C306" si="12">D258&amp;J258&amp;E258&amp;F258&amp;G258</f>
        <v>Premium4R3less</v>
      </c>
      <c r="D258" s="7" t="str">
        <f t="shared" ref="D258:D306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2">
        <f ca="1">IFERROR(VLOOKUP(B258,input_385105!L:R,7,FALSE),VLOOKUP(tables_385105!C258,input_385105!A:H,8,FALSE))</f>
        <v>13965</v>
      </c>
      <c r="P258" s="43">
        <f t="shared" ca="1" si="11"/>
        <v>7.7325581395348841E-3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input_385105!A$2</f>
        <v>385105</v>
      </c>
      <c r="B259" s="57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2">
        <f ca="1">IFERROR(VLOOKUP(B259,input_385105!L:R,7,FALSE),VLOOKUP(tables_385105!C259,input_385105!A:H,8,FALSE))</f>
        <v>735</v>
      </c>
      <c r="P259" s="43">
        <f t="shared" ref="P259:P306" ca="1" si="14">O259/SUM(O:O)</f>
        <v>4.0697674418604653E-4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input_385105!A$2</f>
        <v>385105</v>
      </c>
      <c r="B260" s="57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2">
        <f ca="1">IFERROR(VLOOKUP(B260,input_385105!L:R,7,FALSE),VLOOKUP(tables_385105!C260,input_385105!A:H,8,FALSE))</f>
        <v>1290</v>
      </c>
      <c r="P260" s="43">
        <f t="shared" ca="1" si="14"/>
        <v>7.1428571428571429E-4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input_385105!A$2</f>
        <v>385105</v>
      </c>
      <c r="B261" s="57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2">
        <f ca="1">IFERROR(VLOOKUP(B261,input_385105!L:R,7,FALSE),VLOOKUP(tables_385105!C261,input_385105!A:H,8,FALSE))</f>
        <v>1290</v>
      </c>
      <c r="P261" s="43">
        <f t="shared" ca="1" si="14"/>
        <v>7.1428571428571429E-4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input_385105!A$2</f>
        <v>385105</v>
      </c>
      <c r="B262" s="57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2">
        <f ca="1">IFERROR(VLOOKUP(B262,input_385105!L:R,7,FALSE),VLOOKUP(tables_385105!C262,input_385105!A:H,8,FALSE))</f>
        <v>1225.5</v>
      </c>
      <c r="P262" s="43">
        <f t="shared" ca="1" si="14"/>
        <v>6.7857142857142855E-4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input_385105!A$2</f>
        <v>385105</v>
      </c>
      <c r="B263" s="57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2">
        <f ca="1">IFERROR(VLOOKUP(B263,input_385105!L:R,7,FALSE),VLOOKUP(tables_385105!C263,input_385105!A:H,8,FALSE))</f>
        <v>64.5</v>
      </c>
      <c r="P263" s="43">
        <f t="shared" ca="1" si="14"/>
        <v>3.5714285714285717E-5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input_385105!A$2</f>
        <v>385105</v>
      </c>
      <c r="B264" s="57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2">
        <f ca="1">IFERROR(VLOOKUP(B264,input_385105!L:R,7,FALSE),VLOOKUP(tables_385105!C264,input_385105!A:H,8,FALSE))</f>
        <v>1225.5</v>
      </c>
      <c r="P264" s="43">
        <f t="shared" ca="1" si="14"/>
        <v>6.7857142857142855E-4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input_385105!A$2</f>
        <v>385105</v>
      </c>
      <c r="B265" s="57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2">
        <f ca="1">IFERROR(VLOOKUP(B265,input_385105!L:R,7,FALSE),VLOOKUP(tables_385105!C265,input_385105!A:H,8,FALSE))</f>
        <v>64.5</v>
      </c>
      <c r="P265" s="43">
        <f t="shared" ca="1" si="14"/>
        <v>3.5714285714285717E-5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input_385105!A$2</f>
        <v>385105</v>
      </c>
      <c r="B266" s="57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2">
        <f ca="1">IFERROR(VLOOKUP(B266,input_385105!L:R,7,FALSE),VLOOKUP(tables_385105!C266,input_385105!A:H,8,FALSE))</f>
        <v>0</v>
      </c>
      <c r="P266" s="43">
        <f t="shared" ca="1" si="14"/>
        <v>0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input_385105!A$2</f>
        <v>385105</v>
      </c>
      <c r="B267" s="57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2">
        <f ca="1">IFERROR(VLOOKUP(B267,input_385105!L:R,7,FALSE),VLOOKUP(tables_385105!C267,input_385105!A:H,8,FALSE))</f>
        <v>13543.384620000001</v>
      </c>
      <c r="P267" s="43">
        <f t="shared" ca="1" si="14"/>
        <v>7.4991055481727579E-3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input_385105!A$2</f>
        <v>385105</v>
      </c>
      <c r="B268" s="57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2">
        <f ca="1">IFERROR(VLOOKUP(B268,input_385105!L:R,7,FALSE),VLOOKUP(tables_385105!C268,input_385105!A:H,8,FALSE))</f>
        <v>1156.61538</v>
      </c>
      <c r="P268" s="43">
        <f t="shared" ca="1" si="14"/>
        <v>6.4042933554817277E-4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input_385105!A$2</f>
        <v>385105</v>
      </c>
      <c r="B269" s="57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2">
        <f ca="1">IFERROR(VLOOKUP(B269,input_385105!L:R,7,FALSE),VLOOKUP(tables_385105!C269,input_385105!A:H,8,FALSE))</f>
        <v>0</v>
      </c>
      <c r="P269" s="43">
        <f t="shared" ca="1" si="14"/>
        <v>0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input_385105!A$2</f>
        <v>385105</v>
      </c>
      <c r="B270" s="57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2">
        <f ca="1">IFERROR(VLOOKUP(B270,input_385105!L:R,7,FALSE),VLOOKUP(tables_385105!C270,input_385105!A:H,8,FALSE))</f>
        <v>13543.384620000001</v>
      </c>
      <c r="P270" s="43">
        <f t="shared" ca="1" si="14"/>
        <v>7.4991055481727579E-3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input_385105!A$2</f>
        <v>385105</v>
      </c>
      <c r="B271" s="57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2">
        <f ca="1">IFERROR(VLOOKUP(B271,input_385105!L:R,7,FALSE),VLOOKUP(tables_385105!C271,input_385105!A:H,8,FALSE))</f>
        <v>1156.61538</v>
      </c>
      <c r="P271" s="43">
        <f t="shared" ca="1" si="14"/>
        <v>6.4042933554817277E-4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input_385105!A$2</f>
        <v>385105</v>
      </c>
      <c r="B272" s="7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2">
        <f ca="1">IFERROR(VLOOKUP(B272,input_385105!L:R,7,FALSE),VLOOKUP(tables_385105!C272,input_385105!A:H,8,FALSE))</f>
        <v>1290</v>
      </c>
      <c r="P272" s="43">
        <f t="shared" ca="1" si="14"/>
        <v>7.1428571428571429E-4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input_385105!A$2</f>
        <v>385105</v>
      </c>
      <c r="B273" s="7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2">
        <f ca="1">IFERROR(VLOOKUP(B273,input_385105!L:R,7,FALSE),VLOOKUP(tables_385105!C273,input_385105!A:H,8,FALSE))</f>
        <v>1290</v>
      </c>
      <c r="P273" s="43">
        <f t="shared" ca="1" si="14"/>
        <v>7.1428571428571429E-4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input_385105!A$2</f>
        <v>385105</v>
      </c>
      <c r="B274" s="7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2">
        <f ca="1">IFERROR(VLOOKUP(B274,input_385105!L:R,7,FALSE),VLOOKUP(tables_385105!C274,input_385105!A:H,8,FALSE))</f>
        <v>13965</v>
      </c>
      <c r="P274" s="43">
        <f t="shared" ca="1" si="14"/>
        <v>7.7325581395348841E-3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input_385105!A$2</f>
        <v>385105</v>
      </c>
      <c r="B275" s="7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2">
        <f ca="1">IFERROR(VLOOKUP(B275,input_385105!L:R,7,FALSE),VLOOKUP(tables_385105!C275,input_385105!A:H,8,FALSE))</f>
        <v>735</v>
      </c>
      <c r="P275" s="43">
        <f t="shared" ca="1" si="14"/>
        <v>4.0697674418604653E-4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input_385105!A$2</f>
        <v>385105</v>
      </c>
      <c r="B276" s="7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2">
        <f ca="1">IFERROR(VLOOKUP(B276,input_385105!L:R,7,FALSE),VLOOKUP(tables_385105!C276,input_385105!A:H,8,FALSE))</f>
        <v>13965</v>
      </c>
      <c r="P276" s="43">
        <f t="shared" ca="1" si="14"/>
        <v>7.7325581395348841E-3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input_385105!A$2</f>
        <v>385105</v>
      </c>
      <c r="B277" s="7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2">
        <f ca="1">IFERROR(VLOOKUP(B277,input_385105!L:R,7,FALSE),VLOOKUP(tables_385105!C277,input_385105!A:H,8,FALSE))</f>
        <v>735</v>
      </c>
      <c r="P277" s="43">
        <f t="shared" ca="1" si="14"/>
        <v>4.0697674418604653E-4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input_385105!A$2</f>
        <v>385105</v>
      </c>
      <c r="B278" s="7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2">
        <f ca="1">IFERROR(VLOOKUP(B278,input_385105!L:R,7,FALSE),VLOOKUP(tables_385105!C278,input_385105!A:H,8,FALSE))</f>
        <v>13965</v>
      </c>
      <c r="P278" s="43">
        <f t="shared" ca="1" si="14"/>
        <v>7.7325581395348841E-3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input_385105!A$2</f>
        <v>385105</v>
      </c>
      <c r="B279" s="7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2">
        <f ca="1">IFERROR(VLOOKUP(B279,input_385105!L:R,7,FALSE),VLOOKUP(tables_385105!C279,input_385105!A:H,8,FALSE))</f>
        <v>735</v>
      </c>
      <c r="P279" s="43">
        <f t="shared" ca="1" si="14"/>
        <v>4.0697674418604653E-4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input_385105!A$2</f>
        <v>385105</v>
      </c>
      <c r="B280" s="7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2">
        <f ca="1">IFERROR(VLOOKUP(B280,input_385105!L:R,7,FALSE),VLOOKUP(tables_385105!C280,input_385105!A:H,8,FALSE))</f>
        <v>13965</v>
      </c>
      <c r="P280" s="43">
        <f t="shared" ca="1" si="14"/>
        <v>7.7325581395348841E-3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input_385105!A$2</f>
        <v>385105</v>
      </c>
      <c r="B281" s="7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2">
        <f ca="1">IFERROR(VLOOKUP(B281,input_385105!L:R,7,FALSE),VLOOKUP(tables_385105!C281,input_385105!A:H,8,FALSE))</f>
        <v>735</v>
      </c>
      <c r="P281" s="43">
        <f t="shared" ca="1" si="14"/>
        <v>4.0697674418604653E-4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input_385105!A$2</f>
        <v>385105</v>
      </c>
      <c r="B282" s="7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2">
        <f ca="1">IFERROR(VLOOKUP(B282,input_385105!L:R,7,FALSE),VLOOKUP(tables_385105!C282,input_385105!A:H,8,FALSE))</f>
        <v>1290</v>
      </c>
      <c r="P282" s="43">
        <f t="shared" ca="1" si="14"/>
        <v>7.1428571428571429E-4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input_385105!A$2</f>
        <v>385105</v>
      </c>
      <c r="B283" s="7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2">
        <f ca="1">IFERROR(VLOOKUP(B283,input_385105!L:R,7,FALSE),VLOOKUP(tables_385105!C283,input_385105!A:H,8,FALSE))</f>
        <v>1290</v>
      </c>
      <c r="P283" s="43">
        <f t="shared" ca="1" si="14"/>
        <v>7.1428571428571429E-4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input_385105!A$2</f>
        <v>385105</v>
      </c>
      <c r="B284" s="80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IFERROR(VLOOKUP(B284,input_385105!L:R,7,FALSE),VLOOKUP(tables_385105!C284,input_385105!A:H,8,FALSE))</f>
        <v>1290</v>
      </c>
      <c r="P284" s="43">
        <f t="shared" ca="1" si="14"/>
        <v>7.1428571428571429E-4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input_385105!A$2</f>
        <v>385105</v>
      </c>
      <c r="B285" s="80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IFERROR(VLOOKUP(B285,input_385105!L:R,7,FALSE),VLOOKUP(tables_385105!C285,input_385105!A:H,8,FALSE))</f>
        <v>1290</v>
      </c>
      <c r="P285" s="43">
        <f t="shared" ca="1" si="14"/>
        <v>7.1428571428571429E-4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input_385105!A$2</f>
        <v>385105</v>
      </c>
      <c r="B286" s="80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IFERROR(VLOOKUP(B286,input_385105!L:R,7,FALSE),VLOOKUP(tables_385105!C286,input_385105!A:H,8,FALSE))</f>
        <v>13965</v>
      </c>
      <c r="P286" s="43">
        <f t="shared" ca="1" si="14"/>
        <v>7.7325581395348841E-3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input_385105!A$2</f>
        <v>385105</v>
      </c>
      <c r="B287" s="80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IFERROR(VLOOKUP(B287,input_385105!L:R,7,FALSE),VLOOKUP(tables_385105!C287,input_385105!A:H,8,FALSE))</f>
        <v>735</v>
      </c>
      <c r="P287" s="43">
        <f t="shared" ca="1" si="14"/>
        <v>4.0697674418604653E-4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input_385105!A$2</f>
        <v>385105</v>
      </c>
      <c r="B288" s="80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IFERROR(VLOOKUP(B288,input_385105!L:R,7,FALSE),VLOOKUP(tables_385105!C288,input_385105!A:H,8,FALSE))</f>
        <v>13965</v>
      </c>
      <c r="P288" s="43">
        <f t="shared" ca="1" si="14"/>
        <v>7.7325581395348841E-3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input_385105!A$2</f>
        <v>385105</v>
      </c>
      <c r="B289" s="80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IFERROR(VLOOKUP(B289,input_385105!L:R,7,FALSE),VLOOKUP(tables_385105!C289,input_385105!A:H,8,FALSE))</f>
        <v>735</v>
      </c>
      <c r="P289" s="43">
        <f t="shared" ca="1" si="14"/>
        <v>4.0697674418604653E-4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input_385105!A$2</f>
        <v>385105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2">
        <f ca="1">IFERROR(VLOOKUP(B290,input_385105!L:R,7,FALSE),VLOOKUP(tables_385105!C290,input_385105!A:H,8,FALSE))</f>
        <v>1290</v>
      </c>
      <c r="P290" s="43">
        <f t="shared" ca="1" si="14"/>
        <v>7.1428571428571429E-4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input_385105!A$2</f>
        <v>385105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2">
        <f ca="1">IFERROR(VLOOKUP(B291,input_385105!L:R,7,FALSE),VLOOKUP(tables_385105!C291,input_385105!A:H,8,FALSE))</f>
        <v>13965</v>
      </c>
      <c r="P291" s="43">
        <f t="shared" ca="1" si="14"/>
        <v>7.7325581395348841E-3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input_385105!A$2</f>
        <v>385105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2">
        <f ca="1">IFERROR(VLOOKUP(B292,input_385105!L:R,7,FALSE),VLOOKUP(tables_385105!C292,input_385105!A:H,8,FALSE))</f>
        <v>735</v>
      </c>
      <c r="P292" s="43">
        <f t="shared" ca="1" si="14"/>
        <v>4.0697674418604653E-4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input_385105!A$2</f>
        <v>385105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2">
        <f ca="1">IFERROR(VLOOKUP(B293,input_385105!L:R,7,FALSE),VLOOKUP(tables_385105!C293,input_385105!A:H,8,FALSE))</f>
        <v>1290</v>
      </c>
      <c r="P293" s="43">
        <f t="shared" ca="1" si="14"/>
        <v>7.1428571428571429E-4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input_385105!A$2</f>
        <v>385105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IFERROR(VLOOKUP(B294,input_385105!L:R,7,FALSE),VLOOKUP(tables_385105!C294,input_385105!A:H,8,FALSE))</f>
        <v>1290</v>
      </c>
      <c r="P294" s="43">
        <f t="shared" ca="1" si="14"/>
        <v>7.1428571428571429E-4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input_385105!A$2</f>
        <v>385105</v>
      </c>
      <c r="B295" s="5">
        <v>1012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2">
        <f ca="1">IFERROR(VLOOKUP(B295,input_385105!L:R,7,FALSE),VLOOKUP(tables_385105!C295,input_385105!A:H,8,FALSE))</f>
        <v>1290</v>
      </c>
      <c r="P295" s="43">
        <f t="shared" ca="1" si="14"/>
        <v>7.1428571428571429E-4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input_385105!A$2</f>
        <v>385105</v>
      </c>
      <c r="B296" s="5">
        <v>1014</v>
      </c>
      <c r="C296" s="7" t="str">
        <f t="shared" si="12"/>
        <v>PremiumSS5R5only</v>
      </c>
      <c r="D296" s="7" t="str">
        <f t="shared" si="1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2">
        <f ca="1">IFERROR(VLOOKUP(B296,input_385105!L:R,7,FALSE),VLOOKUP(tables_385105!C296,input_385105!A:H,8,FALSE))</f>
        <v>1290</v>
      </c>
      <c r="P296" s="43">
        <f t="shared" ca="1" si="14"/>
        <v>7.1428571428571429E-4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input_385105!A$2</f>
        <v>385105</v>
      </c>
      <c r="B297" s="5">
        <v>1016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2">
        <f ca="1">IFERROR(VLOOKUP(B297,input_385105!L:R,7,FALSE),VLOOKUP(tables_385105!C297,input_385105!A:H,8,FALSE))</f>
        <v>13965</v>
      </c>
      <c r="P297" s="43">
        <f t="shared" ca="1" si="14"/>
        <v>7.7325581395348841E-3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input_385105!A$2</f>
        <v>385105</v>
      </c>
      <c r="B298" s="5">
        <v>1017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2">
        <f ca="1">IFERROR(VLOOKUP(B298,input_385105!L:R,7,FALSE),VLOOKUP(tables_385105!C298,input_385105!A:H,8,FALSE))</f>
        <v>735</v>
      </c>
      <c r="P298" s="43">
        <f t="shared" ca="1" si="14"/>
        <v>4.0697674418604653E-4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input_385105!A$2</f>
        <v>385105</v>
      </c>
      <c r="B299" s="5">
        <v>1018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2">
        <f ca="1">IFERROR(VLOOKUP(B299,input_385105!L:R,7,FALSE),VLOOKUP(tables_385105!C299,input_385105!A:H,8,FALSE))</f>
        <v>1290</v>
      </c>
      <c r="P299" s="43">
        <f t="shared" ca="1" si="14"/>
        <v>7.1428571428571429E-4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input_385105!A$2</f>
        <v>385105</v>
      </c>
      <c r="B300" s="5">
        <v>985</v>
      </c>
      <c r="C300" s="7" t="str">
        <f t="shared" si="12"/>
        <v>PremiumSS5R5only</v>
      </c>
      <c r="D300" s="7" t="str">
        <f t="shared" si="13"/>
        <v>PremiumSS</v>
      </c>
      <c r="E300" s="7" t="str">
        <f>IF(COUNTIF('R6追加前'!A:A,B300)=0,IF(I300="PremiumSS","R5only","R3less"),"")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エレン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balance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>IFERROR(VLOOKUP(B300,input_385105!L:R,7,FALSE),VLOOKUP(tables_385105!C300,input_385105!A:H,8,FALSE))</f>
        <v>36120</v>
      </c>
      <c r="P300" s="43">
        <f t="shared" ca="1" si="14"/>
        <v>0.02</v>
      </c>
      <c r="Q300" s="28">
        <v>80</v>
      </c>
      <c r="R300" s="28">
        <v>0</v>
      </c>
      <c r="S300" s="28">
        <v>0</v>
      </c>
      <c r="T300" s="28">
        <v>0</v>
      </c>
      <c r="U300" s="28">
        <v>0</v>
      </c>
      <c r="V300" s="28">
        <v>3</v>
      </c>
    </row>
    <row r="301" spans="1:22" ht="21" customHeight="1" x14ac:dyDescent="0.15">
      <c r="A301" s="2" t="str">
        <f ca="1">input_385105!A$2</f>
        <v>385105</v>
      </c>
      <c r="B301" s="5">
        <v>992</v>
      </c>
      <c r="C301" s="7" t="str">
        <f t="shared" si="12"/>
        <v>Premium4R3less</v>
      </c>
      <c r="D301" s="7" t="str">
        <f t="shared" si="1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ハンジ</v>
      </c>
      <c r="I301" s="7" t="str">
        <f>VLOOKUP(B301,[1]characters!$A:$J,10,FALSE)</f>
        <v>PremiumS</v>
      </c>
      <c r="J301" s="7">
        <f>VLOOKUP(B301,[1]characters!$A:$I,9,FALSE)</f>
        <v>4</v>
      </c>
      <c r="K301" s="7" t="str">
        <f>VLOOKUP(B301,[1]characters!$A:$H,8,FALSE)</f>
        <v>green</v>
      </c>
      <c r="L301" s="7" t="str">
        <f>VLOOKUP(B301,[1]characters!$A:$K,11,FALSE)</f>
        <v>technical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2">
        <f>IFERROR(VLOOKUP(B301,input_385105!L:R,7,FALSE),VLOOKUP(tables_385105!C301,input_385105!A:H,8,FALSE))</f>
        <v>81270</v>
      </c>
      <c r="P301" s="43">
        <f t="shared" ca="1" si="14"/>
        <v>4.4999999999999998E-2</v>
      </c>
      <c r="Q301" s="28">
        <v>60</v>
      </c>
      <c r="R301" s="28">
        <v>0</v>
      </c>
      <c r="S301" s="28">
        <v>0</v>
      </c>
      <c r="T301" s="28">
        <v>0</v>
      </c>
      <c r="U301" s="28">
        <v>0</v>
      </c>
      <c r="V301" s="28">
        <v>3</v>
      </c>
    </row>
    <row r="302" spans="1:22" ht="21" customHeight="1" x14ac:dyDescent="0.15">
      <c r="A302" s="2" t="str">
        <f ca="1">input_385105!A$2</f>
        <v>385105</v>
      </c>
      <c r="B302" s="5">
        <v>993</v>
      </c>
      <c r="C302" s="7" t="str">
        <f t="shared" si="12"/>
        <v>Premium5R3less</v>
      </c>
      <c r="D302" s="7" t="str">
        <f t="shared" si="13"/>
        <v>Premium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巨躯への執着 ハンジ</v>
      </c>
      <c r="I302" s="7" t="str">
        <f>VLOOKUP(B302,[1]characters!$A:$J,10,FALSE)</f>
        <v>PremiumS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2">
        <f>IFERROR(VLOOKUP(B302,input_385105!L:R,7,FALSE),VLOOKUP(tables_385105!C302,input_385105!A:H,8,FALSE))</f>
        <v>9030</v>
      </c>
      <c r="P302" s="43">
        <f t="shared" ca="1" si="14"/>
        <v>5.0000000000000001E-3</v>
      </c>
      <c r="Q302" s="28">
        <v>80</v>
      </c>
      <c r="R302" s="28">
        <v>0</v>
      </c>
      <c r="S302" s="28">
        <v>0</v>
      </c>
      <c r="T302" s="28">
        <v>0</v>
      </c>
      <c r="U302" s="28">
        <v>0</v>
      </c>
      <c r="V302" s="28">
        <v>3</v>
      </c>
    </row>
    <row r="303" spans="1:22" ht="21" customHeight="1" x14ac:dyDescent="0.15">
      <c r="A303" s="2" t="str">
        <f ca="1">input_385105!A$2</f>
        <v>385105</v>
      </c>
      <c r="B303" s="5">
        <v>998</v>
      </c>
      <c r="C303" s="7" t="str">
        <f t="shared" si="12"/>
        <v>Premium4R3less</v>
      </c>
      <c r="D303" s="7" t="str">
        <f t="shared" si="13"/>
        <v>Premium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サシャ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hp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2">
        <f>IFERROR(VLOOKUP(B303,input_385105!L:R,7,FALSE),VLOOKUP(tables_385105!C303,input_385105!A:H,8,FALSE))</f>
        <v>162540</v>
      </c>
      <c r="P303" s="43">
        <f t="shared" ca="1" si="14"/>
        <v>0.09</v>
      </c>
      <c r="Q303" s="28">
        <v>60</v>
      </c>
      <c r="R303" s="28">
        <v>0</v>
      </c>
      <c r="S303" s="28">
        <v>0</v>
      </c>
      <c r="T303" s="28">
        <v>0</v>
      </c>
      <c r="U303" s="28">
        <v>0</v>
      </c>
      <c r="V303" s="28">
        <v>3</v>
      </c>
    </row>
    <row r="304" spans="1:22" ht="21" customHeight="1" x14ac:dyDescent="0.15">
      <c r="A304" s="2" t="str">
        <f ca="1">input_385105!A$2</f>
        <v>385105</v>
      </c>
      <c r="B304" s="5">
        <v>999</v>
      </c>
      <c r="C304" s="7" t="str">
        <f t="shared" si="12"/>
        <v>Premium5R3less</v>
      </c>
      <c r="D304" s="7" t="str">
        <f t="shared" si="13"/>
        <v>Premium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無尽蔵の食猟 サシャ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hp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2">
        <f>IFERROR(VLOOKUP(B304,input_385105!L:R,7,FALSE),VLOOKUP(tables_385105!C304,input_385105!A:H,8,FALSE))</f>
        <v>18060</v>
      </c>
      <c r="P304" s="43">
        <f t="shared" ca="1" si="14"/>
        <v>0.01</v>
      </c>
      <c r="Q304" s="28">
        <v>80</v>
      </c>
      <c r="R304" s="28">
        <v>0</v>
      </c>
      <c r="S304" s="28">
        <v>0</v>
      </c>
      <c r="T304" s="28">
        <v>0</v>
      </c>
      <c r="U304" s="28">
        <v>0</v>
      </c>
      <c r="V304" s="28">
        <v>3</v>
      </c>
    </row>
    <row r="305" spans="1:22" ht="21" customHeight="1" x14ac:dyDescent="0.15">
      <c r="A305" s="2" t="str">
        <f ca="1">input_385105!A$2</f>
        <v>385105</v>
      </c>
      <c r="B305" s="5">
        <v>1002</v>
      </c>
      <c r="C305" s="7" t="str">
        <f t="shared" si="12"/>
        <v>Premium4R3less</v>
      </c>
      <c r="D305" s="7" t="str">
        <f t="shared" si="13"/>
        <v>Premium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ジャン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yellow</v>
      </c>
      <c r="L305" s="7" t="str">
        <f>VLOOKUP(B305,[1]characters!$A:$K,11,FALSE)</f>
        <v>balance</v>
      </c>
      <c r="M305" s="7" t="str">
        <f>VLOOKUP(B305,[1]characters!$A:$M,13,FALSE)</f>
        <v>human</v>
      </c>
      <c r="N305" s="7" t="str">
        <f>VLOOKUP(B305,[1]characters!$A:$G,7,FALSE)</f>
        <v>男性</v>
      </c>
      <c r="O305" s="42">
        <f>IFERROR(VLOOKUP(B305,input_385105!L:R,7,FALSE),VLOOKUP(tables_385105!C305,input_385105!A:H,8,FALSE))</f>
        <v>162540</v>
      </c>
      <c r="P305" s="43">
        <f t="shared" ca="1" si="14"/>
        <v>0.09</v>
      </c>
      <c r="Q305" s="28">
        <v>60</v>
      </c>
      <c r="R305" s="28">
        <v>0</v>
      </c>
      <c r="S305" s="28">
        <v>0</v>
      </c>
      <c r="T305" s="28">
        <v>0</v>
      </c>
      <c r="U305" s="28">
        <v>0</v>
      </c>
      <c r="V305" s="28">
        <v>3</v>
      </c>
    </row>
    <row r="306" spans="1:22" ht="21" customHeight="1" x14ac:dyDescent="0.15">
      <c r="A306" s="2" t="str">
        <f ca="1">input_385105!A$2</f>
        <v>385105</v>
      </c>
      <c r="B306" s="5">
        <v>1003</v>
      </c>
      <c r="C306" s="7" t="str">
        <f t="shared" si="12"/>
        <v>Premium5R3less</v>
      </c>
      <c r="D306" s="7" t="str">
        <f t="shared" si="13"/>
        <v>Premium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真義の勇抱 ジャン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yellow</v>
      </c>
      <c r="L306" s="7" t="str">
        <f>VLOOKUP(B306,[1]characters!$A:$K,11,FALSE)</f>
        <v>balance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>IFERROR(VLOOKUP(B306,input_385105!L:R,7,FALSE),VLOOKUP(tables_385105!C306,input_385105!A:H,8,FALSE))</f>
        <v>18060</v>
      </c>
      <c r="P306" s="43">
        <f t="shared" ca="1" si="14"/>
        <v>0.01</v>
      </c>
      <c r="Q306" s="28">
        <v>80</v>
      </c>
      <c r="R306" s="28">
        <v>0</v>
      </c>
      <c r="S306" s="28">
        <v>0</v>
      </c>
      <c r="T306" s="28">
        <v>0</v>
      </c>
      <c r="U306" s="28">
        <v>0</v>
      </c>
      <c r="V306" s="28">
        <v>3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48"/>
  <sheetViews>
    <sheetView workbookViewId="0">
      <selection activeCell="H6" sqref="H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5" t="s">
        <v>80</v>
      </c>
      <c r="B1" s="45"/>
      <c r="L1" s="35" t="s">
        <v>59</v>
      </c>
      <c r="M1" s="35"/>
      <c r="U1" t="s">
        <v>59</v>
      </c>
    </row>
    <row r="2" spans="1:22" x14ac:dyDescent="0.15">
      <c r="A2" t="str">
        <f ca="1">RIGHT(RIGHT(CELL("filename",A2),LEN(CELL("filename",A2))-FIND("]",CELL("filename",A2))),6)</f>
        <v>385100</v>
      </c>
      <c r="L2" s="30" t="s">
        <v>1</v>
      </c>
      <c r="M2" s="34" t="s">
        <v>63</v>
      </c>
      <c r="N2" s="30" t="s">
        <v>61</v>
      </c>
      <c r="O2" s="34" t="s">
        <v>64</v>
      </c>
      <c r="P2" s="34" t="s">
        <v>65</v>
      </c>
      <c r="Q2" s="34" t="s">
        <v>62</v>
      </c>
      <c r="R2" s="41" t="s">
        <v>71</v>
      </c>
      <c r="U2" s="30" t="s">
        <v>164</v>
      </c>
      <c r="V2" s="51">
        <f t="shared" ref="V2:V16" si="0">SUMIF(Q:Q,U2,N:N)</f>
        <v>0</v>
      </c>
    </row>
    <row r="3" spans="1:22" x14ac:dyDescent="0.15">
      <c r="H3" s="66" t="s">
        <v>185</v>
      </c>
      <c r="L3" s="5">
        <v>985</v>
      </c>
      <c r="M3" s="34" t="str">
        <f>VLOOKUP(L3,[1]characters!$A:$C,3,FALSE)</f>
        <v>エレン</v>
      </c>
      <c r="N3" s="60">
        <v>0.04</v>
      </c>
      <c r="O3" s="34">
        <f>VLOOKUP(L3,[1]characters!$A:$I,9,FALSE)</f>
        <v>5</v>
      </c>
      <c r="P3" s="34" t="str">
        <f>VLOOKUP(L3,[1]characters!$A:$J,10,FALSE)</f>
        <v>PremiumSS</v>
      </c>
      <c r="Q3" s="34" t="str">
        <f>VLOOKUP(L3,tables_385100!B:C,2,FALSE)</f>
        <v>PremiumSS5R5only</v>
      </c>
      <c r="R3" s="59">
        <f t="shared" ref="R3:R20" si="1">N3*A$36</f>
        <v>72240</v>
      </c>
      <c r="S3">
        <v>190</v>
      </c>
      <c r="U3" s="30" t="s">
        <v>165</v>
      </c>
      <c r="V3" s="51">
        <f t="shared" si="0"/>
        <v>0</v>
      </c>
    </row>
    <row r="4" spans="1:22" x14ac:dyDescent="0.15">
      <c r="A4" s="31" t="s">
        <v>51</v>
      </c>
      <c r="B4" s="31"/>
      <c r="D4" t="s">
        <v>174</v>
      </c>
      <c r="F4" t="s">
        <v>177</v>
      </c>
      <c r="H4" t="s">
        <v>183</v>
      </c>
      <c r="I4" t="s">
        <v>184</v>
      </c>
      <c r="L4" s="5">
        <v>992</v>
      </c>
      <c r="M4" s="34" t="str">
        <f>VLOOKUP(L4,[1]characters!$A:$C,3,FALSE)</f>
        <v>ハンジ</v>
      </c>
      <c r="N4" s="60">
        <v>4.4999999999999998E-2</v>
      </c>
      <c r="O4" s="34">
        <f>VLOOKUP(L4,[1]characters!$A:$I,9,FALSE)</f>
        <v>4</v>
      </c>
      <c r="P4" s="34" t="str">
        <f>VLOOKUP(L4,[1]characters!$A:$J,10,FALSE)</f>
        <v>PremiumS</v>
      </c>
      <c r="Q4" s="34" t="str">
        <f>VLOOKUP(L4,tables_385100!B:C,2,FALSE)</f>
        <v>Premium4R3less</v>
      </c>
      <c r="R4" s="59">
        <f t="shared" si="1"/>
        <v>81270</v>
      </c>
      <c r="S4">
        <v>191</v>
      </c>
      <c r="U4" s="30" t="s">
        <v>95</v>
      </c>
      <c r="V4" s="51">
        <f t="shared" si="0"/>
        <v>0</v>
      </c>
    </row>
    <row r="5" spans="1:22" x14ac:dyDescent="0.15">
      <c r="A5" s="30" t="s">
        <v>66</v>
      </c>
      <c r="B5" s="65">
        <v>0</v>
      </c>
      <c r="D5" t="s">
        <v>175</v>
      </c>
      <c r="E5" s="40">
        <f>(B11-H5)/(F5-I5)</f>
        <v>2.3809523809523815E-4</v>
      </c>
      <c r="F5">
        <f>(COUNTIF(tables_385100!C:C,input_385100!A28)+COUNTIF(tables_385100!C:C,input_385100!A29))</f>
        <v>43</v>
      </c>
      <c r="H5" s="77">
        <v>0.04</v>
      </c>
      <c r="I5" s="29">
        <v>1</v>
      </c>
      <c r="L5" s="5">
        <v>993</v>
      </c>
      <c r="M5" s="34" t="str">
        <f>VLOOKUP(L5,[1]characters!$A:$C,3,FALSE)</f>
        <v>巨躯への執着 ハンジ</v>
      </c>
      <c r="N5" s="60">
        <v>5.0000000000000001E-3</v>
      </c>
      <c r="O5" s="34">
        <f>VLOOKUP(L5,[1]characters!$A:$I,9,FALSE)</f>
        <v>5</v>
      </c>
      <c r="P5" s="34" t="str">
        <f>VLOOKUP(L5,[1]characters!$A:$J,10,FALSE)</f>
        <v>PremiumS</v>
      </c>
      <c r="Q5" s="34" t="str">
        <f>VLOOKUP(L5,tables_385100!B:C,2,FALSE)</f>
        <v>Premium5R3less</v>
      </c>
      <c r="R5" s="59">
        <f t="shared" si="1"/>
        <v>9030</v>
      </c>
      <c r="S5">
        <v>192</v>
      </c>
      <c r="U5" s="30" t="s">
        <v>96</v>
      </c>
      <c r="V5" s="51">
        <f t="shared" si="0"/>
        <v>0</v>
      </c>
    </row>
    <row r="6" spans="1:22" x14ac:dyDescent="0.15">
      <c r="A6" s="30" t="s">
        <v>67</v>
      </c>
      <c r="B6" s="65">
        <v>0.95</v>
      </c>
      <c r="D6" t="s">
        <v>176</v>
      </c>
      <c r="E6" s="69">
        <f>(B10-H6)/(F6-I6)</f>
        <v>8.1395348837209301E-3</v>
      </c>
      <c r="F6">
        <f>(COUNTIF(tables_385100!C:C,input_385100!A25)+COUNTIF(tables_385100!C:C,input_385100!A18)+COUNTIF(tables_385100!C:C,input_385100!A20)+COUNTIF(tables_385100!C:C,input_385100!A22))</f>
        <v>89</v>
      </c>
      <c r="H6" s="79">
        <v>0.25</v>
      </c>
      <c r="I6" s="29">
        <v>3</v>
      </c>
      <c r="L6" s="5">
        <v>998</v>
      </c>
      <c r="M6" s="34" t="str">
        <f>VLOOKUP(L6,[1]characters!$A:$C,3,FALSE)</f>
        <v>サシャ</v>
      </c>
      <c r="N6" s="60">
        <v>0.09</v>
      </c>
      <c r="O6" s="34">
        <f>VLOOKUP(L6,[1]characters!$A:$I,9,FALSE)</f>
        <v>4</v>
      </c>
      <c r="P6" s="34" t="str">
        <f>VLOOKUP(L6,[1]characters!$A:$J,10,FALSE)</f>
        <v>PremiumS</v>
      </c>
      <c r="Q6" s="34" t="str">
        <f>VLOOKUP(L6,tables_385100!B:C,2,FALSE)</f>
        <v>Premium4R3less</v>
      </c>
      <c r="R6" s="59">
        <f t="shared" si="1"/>
        <v>162540</v>
      </c>
      <c r="S6">
        <v>596</v>
      </c>
      <c r="U6" s="30" t="s">
        <v>97</v>
      </c>
      <c r="V6" s="51">
        <f t="shared" si="0"/>
        <v>0</v>
      </c>
    </row>
    <row r="7" spans="1:22" x14ac:dyDescent="0.15">
      <c r="A7" s="30" t="s">
        <v>68</v>
      </c>
      <c r="B7" s="65">
        <v>0.05</v>
      </c>
      <c r="L7" s="5">
        <v>999</v>
      </c>
      <c r="M7" s="34" t="str">
        <f>VLOOKUP(L7,[1]characters!$A:$C,3,FALSE)</f>
        <v>無尽蔵の食猟 サシャ</v>
      </c>
      <c r="N7" s="60">
        <v>0.01</v>
      </c>
      <c r="O7" s="34">
        <f>VLOOKUP(L7,[1]characters!$A:$I,9,FALSE)</f>
        <v>5</v>
      </c>
      <c r="P7" s="34" t="str">
        <f>VLOOKUP(L7,[1]characters!$A:$J,10,FALSE)</f>
        <v>PremiumS</v>
      </c>
      <c r="Q7" s="34" t="str">
        <f>VLOOKUP(L7,tables_385100!B:C,2,FALSE)</f>
        <v>Premium5R3less</v>
      </c>
      <c r="R7" s="59">
        <f t="shared" si="1"/>
        <v>18060</v>
      </c>
      <c r="S7">
        <v>597</v>
      </c>
      <c r="U7" s="30" t="s">
        <v>170</v>
      </c>
      <c r="V7" s="51">
        <f t="shared" si="0"/>
        <v>0.22500000000000001</v>
      </c>
    </row>
    <row r="8" spans="1:22" x14ac:dyDescent="0.15">
      <c r="A8" s="54"/>
      <c r="B8" s="64"/>
      <c r="E8" s="69"/>
      <c r="L8" s="5">
        <v>1002</v>
      </c>
      <c r="M8" s="34" t="str">
        <f>VLOOKUP(L8,[1]characters!$A:$C,3,FALSE)</f>
        <v>ジャン</v>
      </c>
      <c r="N8" s="60">
        <v>0.09</v>
      </c>
      <c r="O8" s="34">
        <f>VLOOKUP(L8,[1]characters!$A:$I,9,FALSE)</f>
        <v>4</v>
      </c>
      <c r="P8" s="34" t="str">
        <f>VLOOKUP(L8,[1]characters!$A:$J,10,FALSE)</f>
        <v>PremiumS</v>
      </c>
      <c r="Q8" s="34" t="str">
        <f>VLOOKUP(L8,tables_385100!B:C,2,FALSE)</f>
        <v>Premium4R3less</v>
      </c>
      <c r="R8" s="59">
        <f t="shared" si="1"/>
        <v>162540</v>
      </c>
      <c r="S8">
        <v>598</v>
      </c>
      <c r="U8" s="30" t="s">
        <v>171</v>
      </c>
      <c r="V8" s="51">
        <f t="shared" si="0"/>
        <v>2.5000000000000001E-2</v>
      </c>
    </row>
    <row r="9" spans="1:22" x14ac:dyDescent="0.15">
      <c r="A9" s="32" t="s">
        <v>52</v>
      </c>
      <c r="B9" s="32"/>
      <c r="L9" s="5">
        <v>1003</v>
      </c>
      <c r="M9" s="34" t="str">
        <f>VLOOKUP(L9,[1]characters!$A:$C,3,FALSE)</f>
        <v>真義の勇抱 ジャン</v>
      </c>
      <c r="N9" s="60">
        <v>0.01</v>
      </c>
      <c r="O9" s="34">
        <f>VLOOKUP(L9,[1]characters!$A:$I,9,FALSE)</f>
        <v>5</v>
      </c>
      <c r="P9" s="34" t="str">
        <f>VLOOKUP(L9,[1]characters!$A:$J,10,FALSE)</f>
        <v>PremiumS</v>
      </c>
      <c r="Q9" s="34" t="str">
        <f>VLOOKUP(L9,tables_385100!B:C,2,FALSE)</f>
        <v>Premium5R3less</v>
      </c>
      <c r="R9" s="59">
        <f t="shared" si="1"/>
        <v>18060</v>
      </c>
      <c r="S9">
        <v>390</v>
      </c>
      <c r="U9" s="30" t="s">
        <v>167</v>
      </c>
      <c r="V9" s="51">
        <f t="shared" si="0"/>
        <v>0</v>
      </c>
    </row>
    <row r="10" spans="1:22" x14ac:dyDescent="0.15">
      <c r="A10" s="30" t="s">
        <v>94</v>
      </c>
      <c r="B10" s="65">
        <f>1-B11-B12</f>
        <v>0.95</v>
      </c>
      <c r="C10" t="s">
        <v>182</v>
      </c>
      <c r="M10" s="34" t="e">
        <f>VLOOKUP(L10,[1]characters!$A:$C,3,FALSE)</f>
        <v>#N/A</v>
      </c>
      <c r="N10" s="60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VLOOKUP(L10,tables_385100!B:C,2,FALSE)</f>
        <v>#N/A</v>
      </c>
      <c r="R10" s="59">
        <f t="shared" si="1"/>
        <v>0</v>
      </c>
      <c r="S10">
        <v>391</v>
      </c>
      <c r="U10" s="30" t="s">
        <v>168</v>
      </c>
      <c r="V10" s="51">
        <f t="shared" si="0"/>
        <v>0</v>
      </c>
    </row>
    <row r="11" spans="1:22" x14ac:dyDescent="0.15">
      <c r="A11" s="30" t="s">
        <v>54</v>
      </c>
      <c r="B11" s="70">
        <v>0.05</v>
      </c>
      <c r="C11" t="s">
        <v>210</v>
      </c>
      <c r="M11" s="34" t="e">
        <f>VLOOKUP(L11,[1]characters!$A:$C,3,FALSE)</f>
        <v>#N/A</v>
      </c>
      <c r="N11" s="60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VLOOKUP(L11,tables_385100!B:C,2,FALSE)</f>
        <v>#N/A</v>
      </c>
      <c r="R11" s="59">
        <f t="shared" si="1"/>
        <v>0</v>
      </c>
      <c r="S11">
        <v>811</v>
      </c>
      <c r="U11" s="30" t="s">
        <v>169</v>
      </c>
      <c r="V11" s="51">
        <f t="shared" si="0"/>
        <v>0</v>
      </c>
    </row>
    <row r="12" spans="1:22" x14ac:dyDescent="0.15">
      <c r="A12" s="30" t="s">
        <v>53</v>
      </c>
      <c r="B12" s="65">
        <v>0</v>
      </c>
      <c r="M12" s="34" t="e">
        <f>VLOOKUP(L12,[1]characters!$A:$C,3,FALSE)</f>
        <v>#N/A</v>
      </c>
      <c r="N12" s="60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VLOOKUP(L12,tables_385100!B:C,2,FALSE)</f>
        <v>#N/A</v>
      </c>
      <c r="R12" s="59">
        <f t="shared" si="1"/>
        <v>0</v>
      </c>
      <c r="S12">
        <v>496</v>
      </c>
      <c r="U12" s="30" t="s">
        <v>104</v>
      </c>
      <c r="V12" s="51">
        <f t="shared" si="0"/>
        <v>0</v>
      </c>
    </row>
    <row r="13" spans="1:22" x14ac:dyDescent="0.15">
      <c r="M13" s="34" t="e">
        <f>VLOOKUP(L13,[1]characters!$A:$C,3,FALSE)</f>
        <v>#N/A</v>
      </c>
      <c r="N13" s="60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VLOOKUP(L13,tables_385100!B:C,2,FALSE)</f>
        <v>#N/A</v>
      </c>
      <c r="R13" s="59">
        <f t="shared" si="1"/>
        <v>0</v>
      </c>
      <c r="S13">
        <v>497</v>
      </c>
      <c r="U13" s="30" t="s">
        <v>105</v>
      </c>
      <c r="V13" s="51">
        <f t="shared" si="0"/>
        <v>0</v>
      </c>
    </row>
    <row r="14" spans="1:22" x14ac:dyDescent="0.15">
      <c r="M14" s="34" t="e">
        <f>VLOOKUP(L14,[1]characters!$A:$C,3,FALSE)</f>
        <v>#N/A</v>
      </c>
      <c r="N14" s="60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VLOOKUP(L14,tables_385100!B:C,2,FALSE)</f>
        <v>#N/A</v>
      </c>
      <c r="R14" s="59">
        <f t="shared" si="1"/>
        <v>0</v>
      </c>
      <c r="S14">
        <v>498</v>
      </c>
      <c r="U14" s="30" t="s">
        <v>173</v>
      </c>
      <c r="V14" s="51">
        <f t="shared" si="0"/>
        <v>0.04</v>
      </c>
    </row>
    <row r="15" spans="1:22" x14ac:dyDescent="0.15">
      <c r="A15" s="33" t="s">
        <v>55</v>
      </c>
      <c r="B15" s="33"/>
      <c r="C15" t="s">
        <v>81</v>
      </c>
      <c r="M15" s="34" t="e">
        <f>VLOOKUP(L15,[1]characters!$A:$C,3,FALSE)</f>
        <v>#N/A</v>
      </c>
      <c r="N15" s="60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VLOOKUP(L15,tables_385100!B:C,2,FALSE)</f>
        <v>#N/A</v>
      </c>
      <c r="R15" s="59">
        <f t="shared" si="1"/>
        <v>0</v>
      </c>
      <c r="S15">
        <v>395</v>
      </c>
      <c r="U15" s="30" t="s">
        <v>172</v>
      </c>
      <c r="V15" s="51">
        <f t="shared" si="0"/>
        <v>0</v>
      </c>
    </row>
    <row r="16" spans="1:22" x14ac:dyDescent="0.15">
      <c r="A16" s="30" t="s">
        <v>58</v>
      </c>
      <c r="B16" s="30" t="s">
        <v>166</v>
      </c>
      <c r="C16" s="34" t="s">
        <v>59</v>
      </c>
      <c r="D16" s="34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M16" s="34" t="e">
        <f>VLOOKUP(L16,[1]characters!$A:$C,3,FALSE)</f>
        <v>#N/A</v>
      </c>
      <c r="N16" s="60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VLOOKUP(L16,tables_385100!B:C,2,FALSE)</f>
        <v>#N/A</v>
      </c>
      <c r="R16" s="59">
        <f t="shared" si="1"/>
        <v>0</v>
      </c>
      <c r="S16">
        <v>396</v>
      </c>
      <c r="U16" s="30" t="s">
        <v>106</v>
      </c>
      <c r="V16" s="51">
        <f t="shared" si="0"/>
        <v>0</v>
      </c>
    </row>
    <row r="17" spans="1:19" x14ac:dyDescent="0.15">
      <c r="A17" s="30" t="s">
        <v>164</v>
      </c>
      <c r="B17" s="75">
        <f>B$5-B19-B24</f>
        <v>0</v>
      </c>
      <c r="C17" s="78">
        <f t="shared" ref="C17:C31" si="2">SUMIF(Q:Q,A17,N:N)</f>
        <v>0</v>
      </c>
      <c r="D17" s="67">
        <f t="shared" ref="D17:D32" si="3">B17-C17</f>
        <v>0</v>
      </c>
      <c r="E17">
        <f>COUNTIF(tables_385100!C:C,input_385100!A17)-COUNTIF(Q:Q,A17)</f>
        <v>20</v>
      </c>
      <c r="F17" s="40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4" t="e">
        <f>VLOOKUP(L17,[1]characters!$A:$C,3,FALSE)</f>
        <v>#N/A</v>
      </c>
      <c r="N17" s="60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VLOOKUP(L17,tables_385100!B:C,2,FALSE)</f>
        <v>#N/A</v>
      </c>
      <c r="R17" s="59">
        <f t="shared" si="1"/>
        <v>0</v>
      </c>
      <c r="S17">
        <v>397</v>
      </c>
    </row>
    <row r="18" spans="1:19" x14ac:dyDescent="0.15">
      <c r="A18" s="30" t="s">
        <v>165</v>
      </c>
      <c r="B18" s="53">
        <f>E$6*E18-B17</f>
        <v>0.16279069767441862</v>
      </c>
      <c r="C18" s="78">
        <f t="shared" si="2"/>
        <v>0</v>
      </c>
      <c r="D18" s="67">
        <f t="shared" si="3"/>
        <v>0.16279069767441862</v>
      </c>
      <c r="E18">
        <f>COUNTIF(tables_385100!C:C,input_385100!A18)-COUNTIF(Q:Q,A18)</f>
        <v>20</v>
      </c>
      <c r="F18" s="40">
        <f>IFERROR(B18/E18,0)</f>
        <v>8.1395348837209301E-3</v>
      </c>
      <c r="G18">
        <f t="shared" si="4"/>
        <v>294000</v>
      </c>
      <c r="H18">
        <f t="shared" si="5"/>
        <v>14700</v>
      </c>
      <c r="I18">
        <f t="shared" si="6"/>
        <v>0</v>
      </c>
      <c r="J18">
        <f t="shared" si="7"/>
        <v>1</v>
      </c>
      <c r="M18" s="34" t="e">
        <f>VLOOKUP(L18,[1]characters!$A:$C,3,FALSE)</f>
        <v>#N/A</v>
      </c>
      <c r="N18" s="60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VLOOKUP(L18,tables_385100!B:C,2,FALSE)</f>
        <v>#N/A</v>
      </c>
      <c r="R18" s="59">
        <f t="shared" si="1"/>
        <v>0</v>
      </c>
      <c r="S18">
        <v>324</v>
      </c>
    </row>
    <row r="19" spans="1:19" x14ac:dyDescent="0.15">
      <c r="A19" s="30" t="s">
        <v>95</v>
      </c>
      <c r="B19" s="53">
        <f>E$6*E19*B$5</f>
        <v>0</v>
      </c>
      <c r="C19" s="78">
        <f t="shared" si="2"/>
        <v>0</v>
      </c>
      <c r="D19" s="67">
        <f t="shared" si="3"/>
        <v>0</v>
      </c>
      <c r="E19">
        <f>COUNTIF(tables_385100!C:C,input_385100!A19)-COUNTIF(Q:Q,A19)</f>
        <v>52</v>
      </c>
      <c r="F19" s="40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4" t="e">
        <f>VLOOKUP(L19,[1]characters!$A:$C,3,FALSE)</f>
        <v>#N/A</v>
      </c>
      <c r="N19" s="60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VLOOKUP(L19,tables_385100!B:C,2,FALSE)</f>
        <v>#N/A</v>
      </c>
      <c r="R19" s="59">
        <f t="shared" si="1"/>
        <v>0</v>
      </c>
      <c r="S19">
        <v>325</v>
      </c>
    </row>
    <row r="20" spans="1:19" x14ac:dyDescent="0.15">
      <c r="A20" s="30" t="s">
        <v>96</v>
      </c>
      <c r="B20" s="75">
        <f>E20*E6-B21</f>
        <v>0.38262015503875968</v>
      </c>
      <c r="C20" s="78">
        <f t="shared" si="2"/>
        <v>0</v>
      </c>
      <c r="D20" s="67">
        <f t="shared" si="3"/>
        <v>0.38262015503875968</v>
      </c>
      <c r="E20">
        <f>COUNTIF(tables_385100!C:C,input_385100!A20)-COUNTIF(Q:Q,A20)</f>
        <v>52</v>
      </c>
      <c r="F20" s="40">
        <f t="shared" si="8"/>
        <v>7.3580799045915319E-3</v>
      </c>
      <c r="G20">
        <f t="shared" si="4"/>
        <v>691012</v>
      </c>
      <c r="H20">
        <f t="shared" si="5"/>
        <v>13288.69231</v>
      </c>
      <c r="I20">
        <f t="shared" si="6"/>
        <v>0.69231000000036147</v>
      </c>
      <c r="J20">
        <f t="shared" si="7"/>
        <v>1.4444396296449249</v>
      </c>
      <c r="M20" s="34" t="e">
        <f>VLOOKUP(L20,[1]characters!$A:$C,3,FALSE)</f>
        <v>#N/A</v>
      </c>
      <c r="N20" s="60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VLOOKUP(L20,tables_385100!B:C,2,FALSE)</f>
        <v>#N/A</v>
      </c>
      <c r="R20" s="59">
        <f t="shared" si="1"/>
        <v>0</v>
      </c>
      <c r="S20">
        <v>809</v>
      </c>
    </row>
    <row r="21" spans="1:19" x14ac:dyDescent="0.15">
      <c r="A21" s="30" t="s">
        <v>97</v>
      </c>
      <c r="B21" s="53">
        <f>B7-B23-B26-B28-B29</f>
        <v>4.0635658914728687E-2</v>
      </c>
      <c r="C21" s="78">
        <f t="shared" si="2"/>
        <v>0</v>
      </c>
      <c r="D21" s="67">
        <f t="shared" si="3"/>
        <v>4.0635658914728687E-2</v>
      </c>
      <c r="E21">
        <f>COUNTIF(tables_385100!C:C,input_385100!A21)-COUNTIF(Q:Q,A21)</f>
        <v>52</v>
      </c>
      <c r="F21" s="40">
        <f t="shared" si="8"/>
        <v>7.8145497912939779E-4</v>
      </c>
      <c r="G21">
        <f t="shared" si="4"/>
        <v>73388.000000000015</v>
      </c>
      <c r="H21">
        <f t="shared" si="5"/>
        <v>1411.3076900000001</v>
      </c>
      <c r="I21">
        <f t="shared" si="6"/>
        <v>0.30769000000009328</v>
      </c>
      <c r="J21">
        <f t="shared" si="7"/>
        <v>3.2500243751818285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0" t="s">
        <v>170</v>
      </c>
      <c r="B22" s="68">
        <f>E$6*E22*B6</f>
        <v>7.7325581395348841E-2</v>
      </c>
      <c r="C22" s="78">
        <f t="shared" si="2"/>
        <v>0.22500000000000001</v>
      </c>
      <c r="D22" s="67">
        <f t="shared" si="3"/>
        <v>-0.14767441860465116</v>
      </c>
      <c r="E22">
        <f>COUNTIF(tables_385100!C:C,input_385100!A22)-COUNTIF(Q:Q,A22)</f>
        <v>10</v>
      </c>
      <c r="F22" s="40">
        <f t="shared" si="8"/>
        <v>7.7325581395348841E-3</v>
      </c>
      <c r="G22">
        <f t="shared" si="4"/>
        <v>139650</v>
      </c>
      <c r="H22">
        <f t="shared" si="5"/>
        <v>13965</v>
      </c>
      <c r="I22">
        <f t="shared" si="6"/>
        <v>0</v>
      </c>
      <c r="J22">
        <f t="shared" si="7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0" t="s">
        <v>171</v>
      </c>
      <c r="B23" s="63">
        <f>E23*E6*B7</f>
        <v>4.0697674418604659E-3</v>
      </c>
      <c r="C23" s="78">
        <f t="shared" si="2"/>
        <v>2.5000000000000001E-2</v>
      </c>
      <c r="D23" s="67">
        <f t="shared" si="3"/>
        <v>-2.0930232558139535E-2</v>
      </c>
      <c r="E23">
        <f>COUNTIF(tables_385100!C:C,input_385100!A23)-COUNTIF(Q:Q,A23)</f>
        <v>10</v>
      </c>
      <c r="F23" s="40">
        <f t="shared" si="8"/>
        <v>4.0697674418604658E-4</v>
      </c>
      <c r="G23">
        <f t="shared" si="4"/>
        <v>7350.0000000000018</v>
      </c>
      <c r="H23">
        <f t="shared" si="5"/>
        <v>735</v>
      </c>
      <c r="I23">
        <f t="shared" si="6"/>
        <v>0</v>
      </c>
      <c r="J23">
        <f t="shared" si="7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0" t="s">
        <v>167</v>
      </c>
      <c r="B24" s="53">
        <f>E$6*E24*B$5</f>
        <v>0</v>
      </c>
      <c r="C24" s="78">
        <f t="shared" si="2"/>
        <v>0</v>
      </c>
      <c r="D24" s="67">
        <f t="shared" si="3"/>
        <v>0</v>
      </c>
      <c r="E24">
        <f>COUNTIF(tables_385100!C:C,input_385100!A24)-COUNTIF(Q:Q,A24)</f>
        <v>4</v>
      </c>
      <c r="F24" s="40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0" t="s">
        <v>168</v>
      </c>
      <c r="B25" s="53">
        <f>E$6*B$6*E25</f>
        <v>3.0930232558139533E-2</v>
      </c>
      <c r="C25" s="78">
        <f t="shared" si="2"/>
        <v>0</v>
      </c>
      <c r="D25" s="67">
        <f t="shared" si="3"/>
        <v>3.0930232558139533E-2</v>
      </c>
      <c r="E25">
        <f>COUNTIF(tables_385100!C:C,input_385100!A25)-COUNTIF(Q:Q,A25)</f>
        <v>4</v>
      </c>
      <c r="F25" s="40">
        <f t="shared" si="8"/>
        <v>7.7325581395348833E-3</v>
      </c>
      <c r="G25">
        <f t="shared" si="4"/>
        <v>55860</v>
      </c>
      <c r="H25">
        <f t="shared" si="5"/>
        <v>13965</v>
      </c>
      <c r="I25">
        <f t="shared" si="6"/>
        <v>0</v>
      </c>
      <c r="J25">
        <f t="shared" si="7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0" t="s">
        <v>169</v>
      </c>
      <c r="B26" s="53">
        <f>E$6*B$7*E26</f>
        <v>1.6279069767441861E-3</v>
      </c>
      <c r="C26" s="78">
        <f t="shared" si="2"/>
        <v>0</v>
      </c>
      <c r="D26" s="67">
        <f t="shared" si="3"/>
        <v>1.6279069767441861E-3</v>
      </c>
      <c r="E26">
        <f>COUNTIF(tables_385100!C:C,input_385100!A26)-COUNTIF(Q:Q,A26)</f>
        <v>4</v>
      </c>
      <c r="F26" s="40">
        <f t="shared" si="8"/>
        <v>4.0697674418604653E-4</v>
      </c>
      <c r="G26">
        <f t="shared" si="4"/>
        <v>2940</v>
      </c>
      <c r="H26">
        <f t="shared" si="5"/>
        <v>735</v>
      </c>
      <c r="I26">
        <f t="shared" si="6"/>
        <v>0</v>
      </c>
      <c r="J26">
        <f t="shared" si="7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0" t="s">
        <v>104</v>
      </c>
      <c r="B27" s="53">
        <f>E$5*E27*(B$5+B$6)</f>
        <v>6.333333333333334E-3</v>
      </c>
      <c r="C27" s="78">
        <f t="shared" si="2"/>
        <v>0</v>
      </c>
      <c r="D27" s="67">
        <f t="shared" si="3"/>
        <v>6.333333333333334E-3</v>
      </c>
      <c r="E27">
        <f>COUNTIF(tables_385100!C:C,input_385100!A27)-COUNTIF(Q:Q,A27)</f>
        <v>28</v>
      </c>
      <c r="F27" s="40">
        <f>IFERROR(B27/E27,0)</f>
        <v>2.2619047619047621E-4</v>
      </c>
      <c r="G27">
        <f t="shared" si="4"/>
        <v>11438.000000000002</v>
      </c>
      <c r="H27">
        <f t="shared" si="5"/>
        <v>408.5</v>
      </c>
      <c r="I27">
        <f t="shared" si="6"/>
        <v>0.5</v>
      </c>
      <c r="J27">
        <f t="shared" si="7"/>
        <v>2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0" t="s">
        <v>105</v>
      </c>
      <c r="B28" s="53">
        <f>E$5*E28*B$7</f>
        <v>3.3333333333333343E-4</v>
      </c>
      <c r="C28" s="78">
        <f t="shared" si="2"/>
        <v>0</v>
      </c>
      <c r="D28" s="67">
        <f t="shared" si="3"/>
        <v>3.3333333333333343E-4</v>
      </c>
      <c r="E28">
        <f>COUNTIF(tables_385100!C:C,input_385100!A28)-COUNTIF(Q:Q,A28)</f>
        <v>28</v>
      </c>
      <c r="F28" s="40">
        <f t="shared" si="8"/>
        <v>1.1904761904761908E-5</v>
      </c>
      <c r="G28">
        <f t="shared" si="4"/>
        <v>602.00000000000023</v>
      </c>
      <c r="H28">
        <f t="shared" si="5"/>
        <v>21.5</v>
      </c>
      <c r="I28">
        <f t="shared" si="6"/>
        <v>0.5</v>
      </c>
      <c r="J28">
        <f t="shared" si="7"/>
        <v>2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0" t="s">
        <v>173</v>
      </c>
      <c r="B29" s="53">
        <f>E$5*E29</f>
        <v>3.333333333333334E-3</v>
      </c>
      <c r="C29" s="78">
        <f t="shared" si="2"/>
        <v>0.04</v>
      </c>
      <c r="D29" s="67">
        <f t="shared" si="3"/>
        <v>-3.6666666666666667E-2</v>
      </c>
      <c r="E29">
        <f>COUNTIF(tables_385100!C:C,input_385100!A29)-COUNTIF(Q:Q,A29)</f>
        <v>14</v>
      </c>
      <c r="F29" s="40">
        <f t="shared" si="8"/>
        <v>2.3809523809523815E-4</v>
      </c>
      <c r="G29">
        <f t="shared" si="4"/>
        <v>6020.0000000000009</v>
      </c>
      <c r="H29">
        <f t="shared" si="5"/>
        <v>430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0" t="s">
        <v>208</v>
      </c>
      <c r="B30" s="53">
        <v>0</v>
      </c>
      <c r="C30" s="78">
        <f t="shared" si="2"/>
        <v>0</v>
      </c>
      <c r="D30" s="67">
        <f t="shared" si="3"/>
        <v>0</v>
      </c>
      <c r="E30">
        <f>COUNTIF(tables_385100!C:C,input_385100!A30)-COUNTIF(Q:Q,A30)</f>
        <v>0</v>
      </c>
      <c r="F30" s="40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0" t="s">
        <v>209</v>
      </c>
      <c r="B31" s="53">
        <v>0</v>
      </c>
      <c r="C31" s="78">
        <f t="shared" si="2"/>
        <v>0</v>
      </c>
      <c r="D31" s="67">
        <f t="shared" si="3"/>
        <v>0</v>
      </c>
      <c r="E31">
        <f>COUNTIF(tables_385100!C:C,input_385100!A31)-COUNTIF(Q:Q,A31)</f>
        <v>0</v>
      </c>
      <c r="F31" s="40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6" t="s">
        <v>57</v>
      </c>
      <c r="B32" s="37">
        <f>SUM(B17:B31)</f>
        <v>0.70999999999999985</v>
      </c>
      <c r="C32" s="38">
        <f>SUM(C19:C31)</f>
        <v>0.28999999999999998</v>
      </c>
      <c r="D32" s="39">
        <f t="shared" si="3"/>
        <v>0.41999999999999987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71</v>
      </c>
    </row>
    <row r="36" spans="1:7" x14ac:dyDescent="0.15">
      <c r="A36" s="29">
        <f>LCM(F5-I5,F6-I6)*1000</f>
        <v>1806000</v>
      </c>
    </row>
    <row r="38" spans="1:7" x14ac:dyDescent="0.15">
      <c r="A38" s="44" t="s">
        <v>74</v>
      </c>
    </row>
    <row r="39" spans="1:7" x14ac:dyDescent="0.15">
      <c r="A39" s="30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0" t="s">
        <v>101</v>
      </c>
      <c r="B40">
        <f ca="1">SUMIF(tables_385100!C:C,input_385100!A40,tables_385100!O:O)</f>
        <v>0</v>
      </c>
      <c r="C40" s="51">
        <f t="shared" ref="C40:C46" ca="1" si="9">B40/B$47</f>
        <v>0</v>
      </c>
      <c r="E40">
        <v>3</v>
      </c>
      <c r="F40">
        <f ca="1">SUMIF(tables_385100!J:J,input_385100!E40,tables_385100!O:O)</f>
        <v>0</v>
      </c>
      <c r="G40">
        <f ca="1">F40/A36</f>
        <v>0</v>
      </c>
    </row>
    <row r="41" spans="1:7" x14ac:dyDescent="0.15">
      <c r="A41" s="30" t="s">
        <v>102</v>
      </c>
      <c r="B41">
        <f ca="1">SUMIF(tables_385100!C:C,input_385100!A41,tables_385100!O:O)</f>
        <v>691012.00011999987</v>
      </c>
      <c r="C41" s="51">
        <f t="shared" ca="1" si="9"/>
        <v>0.88997475673587134</v>
      </c>
      <c r="E41">
        <v>4</v>
      </c>
      <c r="F41">
        <f ca="1">SUMIF(tables_385100!J:J,input_385100!E41,tables_385100!O:O)</f>
        <v>1598310.0001199986</v>
      </c>
      <c r="G41" s="103">
        <f ca="1">F41/A36</f>
        <v>0.88500000006644441</v>
      </c>
    </row>
    <row r="42" spans="1:7" x14ac:dyDescent="0.15">
      <c r="A42" s="30" t="s">
        <v>104</v>
      </c>
      <c r="B42">
        <f ca="1">SUMIF(tables_385100!C:C,input_385100!A42,tables_385100!O:O)</f>
        <v>11438</v>
      </c>
      <c r="C42" s="51">
        <f t="shared" ca="1" si="9"/>
        <v>1.4731337901190049E-2</v>
      </c>
      <c r="E42">
        <v>5</v>
      </c>
      <c r="F42">
        <f ca="1">SUMIF(tables_385100!J:J,input_385100!E42,tables_385100!O:O)</f>
        <v>207689.99988000005</v>
      </c>
      <c r="G42" s="103">
        <f ca="1">F42/A36</f>
        <v>0.11499999993355485</v>
      </c>
    </row>
    <row r="43" spans="1:7" x14ac:dyDescent="0.15">
      <c r="A43" s="30" t="s">
        <v>107</v>
      </c>
      <c r="B43">
        <f>SUMIF(tables_385100!C:C,input_385100!A43,tables_385100!O:O)</f>
        <v>0</v>
      </c>
      <c r="C43" s="51">
        <f t="shared" ca="1" si="9"/>
        <v>0</v>
      </c>
      <c r="F43" s="52"/>
    </row>
    <row r="44" spans="1:7" x14ac:dyDescent="0.15">
      <c r="A44" s="30" t="s">
        <v>103</v>
      </c>
      <c r="B44">
        <f ca="1">SUMIF(tables_385100!C:C,input_385100!A44,tables_385100!O:O)</f>
        <v>73387.999880000047</v>
      </c>
      <c r="C44" s="51">
        <f t="shared" ca="1" si="9"/>
        <v>9.4518571789191763E-2</v>
      </c>
      <c r="E44" t="s">
        <v>52</v>
      </c>
      <c r="F44" s="52"/>
    </row>
    <row r="45" spans="1:7" x14ac:dyDescent="0.15">
      <c r="A45" s="30" t="s">
        <v>105</v>
      </c>
      <c r="B45">
        <f ca="1">SUMIF(tables_385100!C:C,input_385100!A45,tables_385100!O:O)</f>
        <v>602</v>
      </c>
      <c r="C45" s="51">
        <f t="shared" ca="1" si="9"/>
        <v>7.7533357374684464E-4</v>
      </c>
      <c r="E45" t="s">
        <v>178</v>
      </c>
      <c r="F45" s="52">
        <f ca="1">SUMIF(tables_385100!I:I,input_385100!E45,tables_385100!P:P)</f>
        <v>0.16279069767441864</v>
      </c>
    </row>
    <row r="46" spans="1:7" x14ac:dyDescent="0.15">
      <c r="A46" s="30" t="s">
        <v>106</v>
      </c>
      <c r="B46">
        <f>SUMIF(tables_385100!C:C,input_385100!A46,tables_385100!O:O)</f>
        <v>0</v>
      </c>
      <c r="C46" s="51">
        <f t="shared" ca="1" si="9"/>
        <v>0</v>
      </c>
      <c r="E46" t="s">
        <v>179</v>
      </c>
      <c r="F46" s="52">
        <f ca="1">SUMIF(tables_385100!I:I,input_385100!E46,tables_385100!P:P)</f>
        <v>0.16279069767441853</v>
      </c>
    </row>
    <row r="47" spans="1:7" x14ac:dyDescent="0.15">
      <c r="A47" s="36" t="s">
        <v>57</v>
      </c>
      <c r="B47">
        <f ca="1">SUM(B40:B46)</f>
        <v>776439.99999999988</v>
      </c>
      <c r="C47" s="52">
        <f ca="1">SUM(C40:C46)</f>
        <v>1</v>
      </c>
      <c r="E47" t="s">
        <v>180</v>
      </c>
      <c r="F47" s="52">
        <f ca="1">SUMIF(tables_385100!I:I,input_385100!E47,tables_385100!P:P)</f>
        <v>0.6244186046511625</v>
      </c>
    </row>
    <row r="48" spans="1:7" x14ac:dyDescent="0.15">
      <c r="E48" t="s">
        <v>181</v>
      </c>
      <c r="F48" s="52">
        <f ca="1">SUMIF(tables_385100!I:I,input_385100!E48,tables_385100!P:P)</f>
        <v>0.05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06"/>
  <sheetViews>
    <sheetView showGridLines="0" zoomScale="75" zoomScaleNormal="75" zoomScalePageLayoutView="75" workbookViewId="0">
      <pane ySplit="1" topLeftCell="A278" activePane="bottomLeft" state="frozen"/>
      <selection activeCell="H6" sqref="H6"/>
      <selection pane="bottomLeft" activeCell="Q300" sqref="Q300:Q30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input_385100!A$2</f>
        <v>385100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IFERROR(VLOOKUP(B2,input_385100!L:R,7,FALSE),VLOOKUP(tables_385100!C2,input_385100!A:H,8,FALSE))</f>
        <v>0</v>
      </c>
      <c r="P2" s="43">
        <f ca="1">O2/SUM(O:O)</f>
        <v>0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input_385100!A$2</f>
        <v>385100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IFERROR(VLOOKUP(B3,input_385100!L:R,7,FALSE),VLOOKUP(tables_385100!C3,input_385100!A:H,8,FALSE))</f>
        <v>14700</v>
      </c>
      <c r="P3" s="43">
        <f t="shared" ref="P3:P66" ca="1" si="2">O3/SUM(O:O)</f>
        <v>8.1395348837209301E-3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input_385100!A$2</f>
        <v>385100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IFERROR(VLOOKUP(B4,input_385100!L:R,7,FALSE),VLOOKUP(tables_385100!C4,input_385100!A:H,8,FALSE))</f>
        <v>0</v>
      </c>
      <c r="P4" s="43">
        <f t="shared" ca="1" si="2"/>
        <v>0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input_385100!A$2</f>
        <v>385100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IFERROR(VLOOKUP(B5,input_385100!L:R,7,FALSE),VLOOKUP(tables_385100!C5,input_385100!A:H,8,FALSE))</f>
        <v>14700</v>
      </c>
      <c r="P5" s="43">
        <f t="shared" ca="1" si="2"/>
        <v>8.1395348837209301E-3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input_385100!A$2</f>
        <v>385100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IFERROR(VLOOKUP(B6,input_385100!L:R,7,FALSE),VLOOKUP(tables_385100!C6,input_385100!A:H,8,FALSE))</f>
        <v>0</v>
      </c>
      <c r="P6" s="43">
        <f t="shared" ca="1" si="2"/>
        <v>0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input_385100!A$2</f>
        <v>385100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IFERROR(VLOOKUP(B7,input_385100!L:R,7,FALSE),VLOOKUP(tables_385100!C7,input_385100!A:H,8,FALSE))</f>
        <v>14700</v>
      </c>
      <c r="P7" s="43">
        <f t="shared" ca="1" si="2"/>
        <v>8.1395348837209301E-3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input_385100!A$2</f>
        <v>385100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IFERROR(VLOOKUP(B8,input_385100!L:R,7,FALSE),VLOOKUP(tables_385100!C8,input_385100!A:H,8,FALSE))</f>
        <v>0</v>
      </c>
      <c r="P8" s="43">
        <f t="shared" ca="1" si="2"/>
        <v>0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input_385100!A$2</f>
        <v>385100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IFERROR(VLOOKUP(B9,input_385100!L:R,7,FALSE),VLOOKUP(tables_385100!C9,input_385100!A:H,8,FALSE))</f>
        <v>14700</v>
      </c>
      <c r="P9" s="43">
        <f t="shared" ca="1" si="2"/>
        <v>8.1395348837209301E-3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input_385100!A$2</f>
        <v>385100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IFERROR(VLOOKUP(B10,input_385100!L:R,7,FALSE),VLOOKUP(tables_385100!C10,input_385100!A:H,8,FALSE))</f>
        <v>0</v>
      </c>
      <c r="P10" s="43">
        <f t="shared" ca="1" si="2"/>
        <v>0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input_385100!A$2</f>
        <v>385100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IFERROR(VLOOKUP(B11,input_385100!L:R,7,FALSE),VLOOKUP(tables_385100!C11,input_385100!A:H,8,FALSE))</f>
        <v>14700</v>
      </c>
      <c r="P11" s="43">
        <f t="shared" ca="1" si="2"/>
        <v>8.1395348837209301E-3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input_385100!A$2</f>
        <v>385100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IFERROR(VLOOKUP(B12,input_385100!L:R,7,FALSE),VLOOKUP(tables_385100!C12,input_385100!A:H,8,FALSE))</f>
        <v>0</v>
      </c>
      <c r="P12" s="43">
        <f t="shared" ca="1" si="2"/>
        <v>0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input_385100!A$2</f>
        <v>385100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IFERROR(VLOOKUP(B13,input_385100!L:R,7,FALSE),VLOOKUP(tables_385100!C13,input_385100!A:H,8,FALSE))</f>
        <v>14700</v>
      </c>
      <c r="P13" s="43">
        <f t="shared" ca="1" si="2"/>
        <v>8.1395348837209301E-3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input_385100!A$2</f>
        <v>385100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IFERROR(VLOOKUP(B14,input_385100!L:R,7,FALSE),VLOOKUP(tables_385100!C14,input_385100!A:H,8,FALSE))</f>
        <v>0</v>
      </c>
      <c r="P14" s="43">
        <f t="shared" ca="1" si="2"/>
        <v>0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input_385100!A$2</f>
        <v>385100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IFERROR(VLOOKUP(B15,input_385100!L:R,7,FALSE),VLOOKUP(tables_385100!C15,input_385100!A:H,8,FALSE))</f>
        <v>14700</v>
      </c>
      <c r="P15" s="43">
        <f t="shared" ca="1" si="2"/>
        <v>8.1395348837209301E-3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input_385100!A$2</f>
        <v>385100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IFERROR(VLOOKUP(B16,input_385100!L:R,7,FALSE),VLOOKUP(tables_385100!C16,input_385100!A:H,8,FALSE))</f>
        <v>0</v>
      </c>
      <c r="P16" s="43">
        <f t="shared" ca="1" si="2"/>
        <v>0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input_385100!A$2</f>
        <v>385100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IFERROR(VLOOKUP(B17,input_385100!L:R,7,FALSE),VLOOKUP(tables_385100!C17,input_385100!A:H,8,FALSE))</f>
        <v>14700</v>
      </c>
      <c r="P17" s="43">
        <f t="shared" ca="1" si="2"/>
        <v>8.1395348837209301E-3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input_385100!A$2</f>
        <v>385100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IFERROR(VLOOKUP(B18,input_385100!L:R,7,FALSE),VLOOKUP(tables_385100!C18,input_385100!A:H,8,FALSE))</f>
        <v>0</v>
      </c>
      <c r="P18" s="43">
        <f t="shared" ca="1" si="2"/>
        <v>0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input_385100!A$2</f>
        <v>385100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IFERROR(VLOOKUP(B19,input_385100!L:R,7,FALSE),VLOOKUP(tables_385100!C19,input_385100!A:H,8,FALSE))</f>
        <v>14700</v>
      </c>
      <c r="P19" s="43">
        <f t="shared" ca="1" si="2"/>
        <v>8.1395348837209301E-3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input_385100!A$2</f>
        <v>385100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IFERROR(VLOOKUP(B20,input_385100!L:R,7,FALSE),VLOOKUP(tables_385100!C20,input_385100!A:H,8,FALSE))</f>
        <v>0</v>
      </c>
      <c r="P20" s="43">
        <f t="shared" ca="1" si="2"/>
        <v>0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input_385100!A$2</f>
        <v>385100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IFERROR(VLOOKUP(B21,input_385100!L:R,7,FALSE),VLOOKUP(tables_385100!C21,input_385100!A:H,8,FALSE))</f>
        <v>14700</v>
      </c>
      <c r="P21" s="43">
        <f t="shared" ca="1" si="2"/>
        <v>8.1395348837209301E-3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input_385100!A$2</f>
        <v>385100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IFERROR(VLOOKUP(B22,input_385100!L:R,7,FALSE),VLOOKUP(tables_385100!C22,input_385100!A:H,8,FALSE))</f>
        <v>0</v>
      </c>
      <c r="P22" s="43">
        <f t="shared" ca="1" si="2"/>
        <v>0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input_385100!A$2</f>
        <v>385100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IFERROR(VLOOKUP(B23,input_385100!L:R,7,FALSE),VLOOKUP(tables_385100!C23,input_385100!A:H,8,FALSE))</f>
        <v>14700</v>
      </c>
      <c r="P23" s="43">
        <f t="shared" ca="1" si="2"/>
        <v>8.1395348837209301E-3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input_385100!A$2</f>
        <v>385100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IFERROR(VLOOKUP(B24,input_385100!L:R,7,FALSE),VLOOKUP(tables_385100!C24,input_385100!A:H,8,FALSE))</f>
        <v>0</v>
      </c>
      <c r="P24" s="43">
        <f t="shared" ca="1" si="2"/>
        <v>0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input_385100!A$2</f>
        <v>385100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IFERROR(VLOOKUP(B25,input_385100!L:R,7,FALSE),VLOOKUP(tables_385100!C25,input_385100!A:H,8,FALSE))</f>
        <v>14700</v>
      </c>
      <c r="P25" s="43">
        <f t="shared" ca="1" si="2"/>
        <v>8.1395348837209301E-3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input_385100!A$2</f>
        <v>385100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IFERROR(VLOOKUP(B26,input_385100!L:R,7,FALSE),VLOOKUP(tables_385100!C26,input_385100!A:H,8,FALSE))</f>
        <v>0</v>
      </c>
      <c r="P26" s="43">
        <f t="shared" ca="1" si="2"/>
        <v>0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input_385100!A$2</f>
        <v>385100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IFERROR(VLOOKUP(B27,input_385100!L:R,7,FALSE),VLOOKUP(tables_385100!C27,input_385100!A:H,8,FALSE))</f>
        <v>14700</v>
      </c>
      <c r="P27" s="43">
        <f t="shared" ca="1" si="2"/>
        <v>8.1395348837209301E-3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input_385100!A$2</f>
        <v>385100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IFERROR(VLOOKUP(B28,input_385100!L:R,7,FALSE),VLOOKUP(tables_385100!C28,input_385100!A:H,8,FALSE))</f>
        <v>0</v>
      </c>
      <c r="P28" s="43">
        <f t="shared" ca="1" si="2"/>
        <v>0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input_385100!A$2</f>
        <v>385100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IFERROR(VLOOKUP(B29,input_385100!L:R,7,FALSE),VLOOKUP(tables_385100!C29,input_385100!A:H,8,FALSE))</f>
        <v>14700</v>
      </c>
      <c r="P29" s="43">
        <f t="shared" ca="1" si="2"/>
        <v>8.1395348837209301E-3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input_385100!A$2</f>
        <v>385100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IFERROR(VLOOKUP(B30,input_385100!L:R,7,FALSE),VLOOKUP(tables_385100!C30,input_385100!A:H,8,FALSE))</f>
        <v>0</v>
      </c>
      <c r="P30" s="43">
        <f t="shared" ca="1" si="2"/>
        <v>0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input_385100!A$2</f>
        <v>385100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IFERROR(VLOOKUP(B31,input_385100!L:R,7,FALSE),VLOOKUP(tables_385100!C31,input_385100!A:H,8,FALSE))</f>
        <v>14700</v>
      </c>
      <c r="P31" s="43">
        <f t="shared" ca="1" si="2"/>
        <v>8.1395348837209301E-3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input_385100!A$2</f>
        <v>385100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IFERROR(VLOOKUP(B32,input_385100!L:R,7,FALSE),VLOOKUP(tables_385100!C32,input_385100!A:H,8,FALSE))</f>
        <v>0</v>
      </c>
      <c r="P32" s="43">
        <f t="shared" ca="1" si="2"/>
        <v>0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input_385100!A$2</f>
        <v>385100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IFERROR(VLOOKUP(B33,input_385100!L:R,7,FALSE),VLOOKUP(tables_385100!C33,input_385100!A:H,8,FALSE))</f>
        <v>14700</v>
      </c>
      <c r="P33" s="43">
        <f t="shared" ca="1" si="2"/>
        <v>8.1395348837209301E-3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input_385100!A$2</f>
        <v>385100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IFERROR(VLOOKUP(B34,input_385100!L:R,7,FALSE),VLOOKUP(tables_385100!C34,input_385100!A:H,8,FALSE))</f>
        <v>0</v>
      </c>
      <c r="P34" s="43">
        <f t="shared" ca="1" si="2"/>
        <v>0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input_385100!A$2</f>
        <v>385100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IFERROR(VLOOKUP(B35,input_385100!L:R,7,FALSE),VLOOKUP(tables_385100!C35,input_385100!A:H,8,FALSE))</f>
        <v>14700</v>
      </c>
      <c r="P35" s="43">
        <f t="shared" ca="1" si="2"/>
        <v>8.1395348837209301E-3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input_385100!A$2</f>
        <v>385100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IFERROR(VLOOKUP(B36,input_385100!L:R,7,FALSE),VLOOKUP(tables_385100!C36,input_385100!A:H,8,FALSE))</f>
        <v>0</v>
      </c>
      <c r="P36" s="43">
        <f t="shared" ca="1" si="2"/>
        <v>0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input_385100!A$2</f>
        <v>385100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IFERROR(VLOOKUP(B37,input_385100!L:R,7,FALSE),VLOOKUP(tables_385100!C37,input_385100!A:H,8,FALSE))</f>
        <v>14700</v>
      </c>
      <c r="P37" s="43">
        <f t="shared" ca="1" si="2"/>
        <v>8.1395348837209301E-3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input_385100!A$2</f>
        <v>385100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IFERROR(VLOOKUP(B38,input_385100!L:R,7,FALSE),VLOOKUP(tables_385100!C38,input_385100!A:H,8,FALSE))</f>
        <v>0</v>
      </c>
      <c r="P38" s="43">
        <f t="shared" ca="1" si="2"/>
        <v>0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input_385100!A$2</f>
        <v>385100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IFERROR(VLOOKUP(B39,input_385100!L:R,7,FALSE),VLOOKUP(tables_385100!C39,input_385100!A:H,8,FALSE))</f>
        <v>14700</v>
      </c>
      <c r="P39" s="43">
        <f t="shared" ca="1" si="2"/>
        <v>8.1395348837209301E-3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input_385100!A$2</f>
        <v>385100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IFERROR(VLOOKUP(B40,input_385100!L:R,7,FALSE),VLOOKUP(tables_385100!C40,input_385100!A:H,8,FALSE))</f>
        <v>0</v>
      </c>
      <c r="P40" s="43">
        <f t="shared" ca="1" si="2"/>
        <v>0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input_385100!A$2</f>
        <v>385100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IFERROR(VLOOKUP(B41,input_385100!L:R,7,FALSE),VLOOKUP(tables_385100!C41,input_385100!A:H,8,FALSE))</f>
        <v>14700</v>
      </c>
      <c r="P41" s="43">
        <f t="shared" ca="1" si="2"/>
        <v>8.1395348837209301E-3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input_385100!A$2</f>
        <v>385100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IFERROR(VLOOKUP(B42,input_385100!L:R,7,FALSE),VLOOKUP(tables_385100!C42,input_385100!A:H,8,FALSE))</f>
        <v>0</v>
      </c>
      <c r="P42" s="43">
        <f t="shared" ca="1" si="2"/>
        <v>0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input_385100!A$2</f>
        <v>385100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IFERROR(VLOOKUP(B43,input_385100!L:R,7,FALSE),VLOOKUP(tables_385100!C43,input_385100!A:H,8,FALSE))</f>
        <v>13965</v>
      </c>
      <c r="P43" s="43">
        <f t="shared" ca="1" si="2"/>
        <v>7.7325581395348841E-3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input_385100!A$2</f>
        <v>385100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IFERROR(VLOOKUP(B44,input_385100!L:R,7,FALSE),VLOOKUP(tables_385100!C44,input_385100!A:H,8,FALSE))</f>
        <v>735</v>
      </c>
      <c r="P44" s="43">
        <f t="shared" ca="1" si="2"/>
        <v>4.0697674418604653E-4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input_385100!A$2</f>
        <v>385100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IFERROR(VLOOKUP(B45,input_385100!L:R,7,FALSE),VLOOKUP(tables_385100!C45,input_385100!A:H,8,FALSE))</f>
        <v>0</v>
      </c>
      <c r="P45" s="43">
        <f t="shared" ca="1" si="2"/>
        <v>0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input_385100!A$2</f>
        <v>385100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IFERROR(VLOOKUP(B46,input_385100!L:R,7,FALSE),VLOOKUP(tables_385100!C46,input_385100!A:H,8,FALSE))</f>
        <v>13965</v>
      </c>
      <c r="P46" s="43">
        <f t="shared" ca="1" si="2"/>
        <v>7.7325581395348841E-3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input_385100!A$2</f>
        <v>385100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IFERROR(VLOOKUP(B47,input_385100!L:R,7,FALSE),VLOOKUP(tables_385100!C47,input_385100!A:H,8,FALSE))</f>
        <v>735</v>
      </c>
      <c r="P47" s="43">
        <f t="shared" ca="1" si="2"/>
        <v>4.0697674418604653E-4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input_385100!A$2</f>
        <v>385100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IFERROR(VLOOKUP(B48,input_385100!L:R,7,FALSE),VLOOKUP(tables_385100!C48,input_385100!A:H,8,FALSE))</f>
        <v>0</v>
      </c>
      <c r="P48" s="43">
        <f t="shared" ca="1" si="2"/>
        <v>0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input_385100!A$2</f>
        <v>385100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IFERROR(VLOOKUP(B49,input_385100!L:R,7,FALSE),VLOOKUP(tables_385100!C49,input_385100!A:H,8,FALSE))</f>
        <v>13965</v>
      </c>
      <c r="P49" s="43">
        <f t="shared" ca="1" si="2"/>
        <v>7.7325581395348841E-3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input_385100!A$2</f>
        <v>385100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IFERROR(VLOOKUP(B50,input_385100!L:R,7,FALSE),VLOOKUP(tables_385100!C50,input_385100!A:H,8,FALSE))</f>
        <v>735</v>
      </c>
      <c r="P50" s="43">
        <f t="shared" ca="1" si="2"/>
        <v>4.0697674418604653E-4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input_385100!A$2</f>
        <v>385100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IFERROR(VLOOKUP(B51,input_385100!L:R,7,FALSE),VLOOKUP(tables_385100!C51,input_385100!A:H,8,FALSE))</f>
        <v>0</v>
      </c>
      <c r="P51" s="43">
        <f t="shared" ca="1" si="2"/>
        <v>0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input_385100!A$2</f>
        <v>385100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IFERROR(VLOOKUP(B52,input_385100!L:R,7,FALSE),VLOOKUP(tables_385100!C52,input_385100!A:H,8,FALSE))</f>
        <v>13288.69231</v>
      </c>
      <c r="P52" s="43">
        <f t="shared" ca="1" si="2"/>
        <v>7.3580799058693249E-3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input_385100!A$2</f>
        <v>385100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IFERROR(VLOOKUP(B53,input_385100!L:R,7,FALSE),VLOOKUP(tables_385100!C53,input_385100!A:H,8,FALSE))</f>
        <v>1411.3076900000001</v>
      </c>
      <c r="P53" s="43">
        <f t="shared" ca="1" si="2"/>
        <v>7.8145497785160579E-4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input_385100!A$2</f>
        <v>385100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IFERROR(VLOOKUP(B54,input_385100!L:R,7,FALSE),VLOOKUP(tables_385100!C54,input_385100!A:H,8,FALSE))</f>
        <v>0</v>
      </c>
      <c r="P54" s="43">
        <f t="shared" ca="1" si="2"/>
        <v>0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input_385100!A$2</f>
        <v>385100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IFERROR(VLOOKUP(B55,input_385100!L:R,7,FALSE),VLOOKUP(tables_385100!C55,input_385100!A:H,8,FALSE))</f>
        <v>13288.69231</v>
      </c>
      <c r="P55" s="43">
        <f t="shared" ca="1" si="2"/>
        <v>7.3580799058693249E-3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input_385100!A$2</f>
        <v>385100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IFERROR(VLOOKUP(B56,input_385100!L:R,7,FALSE),VLOOKUP(tables_385100!C56,input_385100!A:H,8,FALSE))</f>
        <v>1411.3076900000001</v>
      </c>
      <c r="P56" s="43">
        <f t="shared" ca="1" si="2"/>
        <v>7.8145497785160579E-4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input_385100!A$2</f>
        <v>385100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IFERROR(VLOOKUP(B57,input_385100!L:R,7,FALSE),VLOOKUP(tables_385100!C57,input_385100!A:H,8,FALSE))</f>
        <v>0</v>
      </c>
      <c r="P57" s="43">
        <f t="shared" ca="1" si="2"/>
        <v>0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input_385100!A$2</f>
        <v>385100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IFERROR(VLOOKUP(B58,input_385100!L:R,7,FALSE),VLOOKUP(tables_385100!C58,input_385100!A:H,8,FALSE))</f>
        <v>13288.69231</v>
      </c>
      <c r="P58" s="43">
        <f t="shared" ca="1" si="2"/>
        <v>7.3580799058693249E-3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input_385100!A$2</f>
        <v>385100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IFERROR(VLOOKUP(B59,input_385100!L:R,7,FALSE),VLOOKUP(tables_385100!C59,input_385100!A:H,8,FALSE))</f>
        <v>1411.3076900000001</v>
      </c>
      <c r="P59" s="43">
        <f t="shared" ca="1" si="2"/>
        <v>7.8145497785160579E-4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input_385100!A$2</f>
        <v>385100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IFERROR(VLOOKUP(B60,input_385100!L:R,7,FALSE),VLOOKUP(tables_385100!C60,input_385100!A:H,8,FALSE))</f>
        <v>0</v>
      </c>
      <c r="P60" s="43">
        <f t="shared" ca="1" si="2"/>
        <v>0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input_385100!A$2</f>
        <v>385100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IFERROR(VLOOKUP(B61,input_385100!L:R,7,FALSE),VLOOKUP(tables_385100!C61,input_385100!A:H,8,FALSE))</f>
        <v>13288.69231</v>
      </c>
      <c r="P61" s="43">
        <f t="shared" ca="1" si="2"/>
        <v>7.3580799058693249E-3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input_385100!A$2</f>
        <v>385100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IFERROR(VLOOKUP(B62,input_385100!L:R,7,FALSE),VLOOKUP(tables_385100!C62,input_385100!A:H,8,FALSE))</f>
        <v>1411.3076900000001</v>
      </c>
      <c r="P62" s="43">
        <f t="shared" ca="1" si="2"/>
        <v>7.8145497785160579E-4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input_385100!A$2</f>
        <v>385100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IFERROR(VLOOKUP(B63,input_385100!L:R,7,FALSE),VLOOKUP(tables_385100!C63,input_385100!A:H,8,FALSE))</f>
        <v>0</v>
      </c>
      <c r="P63" s="43">
        <f t="shared" ca="1" si="2"/>
        <v>0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input_385100!A$2</f>
        <v>385100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IFERROR(VLOOKUP(B64,input_385100!L:R,7,FALSE),VLOOKUP(tables_385100!C64,input_385100!A:H,8,FALSE))</f>
        <v>13288.69231</v>
      </c>
      <c r="P64" s="43">
        <f t="shared" ca="1" si="2"/>
        <v>7.3580799058693249E-3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input_385100!A$2</f>
        <v>385100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IFERROR(VLOOKUP(B65,input_385100!L:R,7,FALSE),VLOOKUP(tables_385100!C65,input_385100!A:H,8,FALSE))</f>
        <v>1411.3076900000001</v>
      </c>
      <c r="P65" s="43">
        <f t="shared" ca="1" si="2"/>
        <v>7.8145497785160579E-4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input_385100!A$2</f>
        <v>385100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IFERROR(VLOOKUP(B66,input_385100!L:R,7,FALSE),VLOOKUP(tables_385100!C66,input_385100!A:H,8,FALSE))</f>
        <v>0</v>
      </c>
      <c r="P66" s="43">
        <f t="shared" ca="1" si="2"/>
        <v>0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input_385100!A$2</f>
        <v>385100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IFERROR(VLOOKUP(B67,input_385100!L:R,7,FALSE),VLOOKUP(tables_385100!C67,input_385100!A:H,8,FALSE))</f>
        <v>13288.69231</v>
      </c>
      <c r="P67" s="43">
        <f t="shared" ref="P67:P130" ca="1" si="5">O67/SUM(O:O)</f>
        <v>7.3580799058693249E-3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input_385100!A$2</f>
        <v>385100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IFERROR(VLOOKUP(B68,input_385100!L:R,7,FALSE),VLOOKUP(tables_385100!C68,input_385100!A:H,8,FALSE))</f>
        <v>1411.3076900000001</v>
      </c>
      <c r="P68" s="43">
        <f t="shared" ca="1" si="5"/>
        <v>7.8145497785160579E-4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input_385100!A$2</f>
        <v>385100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IFERROR(VLOOKUP(B69,input_385100!L:R,7,FALSE),VLOOKUP(tables_385100!C69,input_385100!A:H,8,FALSE))</f>
        <v>0</v>
      </c>
      <c r="P69" s="43">
        <f t="shared" ca="1" si="5"/>
        <v>0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input_385100!A$2</f>
        <v>385100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IFERROR(VLOOKUP(B70,input_385100!L:R,7,FALSE),VLOOKUP(tables_385100!C70,input_385100!A:H,8,FALSE))</f>
        <v>13288.69231</v>
      </c>
      <c r="P70" s="43">
        <f t="shared" ca="1" si="5"/>
        <v>7.3580799058693249E-3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input_385100!A$2</f>
        <v>385100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IFERROR(VLOOKUP(B71,input_385100!L:R,7,FALSE),VLOOKUP(tables_385100!C71,input_385100!A:H,8,FALSE))</f>
        <v>1411.3076900000001</v>
      </c>
      <c r="P71" s="43">
        <f t="shared" ca="1" si="5"/>
        <v>7.8145497785160579E-4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input_385100!A$2</f>
        <v>385100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IFERROR(VLOOKUP(B72,input_385100!L:R,7,FALSE),VLOOKUP(tables_385100!C72,input_385100!A:H,8,FALSE))</f>
        <v>0</v>
      </c>
      <c r="P72" s="43">
        <f t="shared" ca="1" si="5"/>
        <v>0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input_385100!A$2</f>
        <v>385100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IFERROR(VLOOKUP(B73,input_385100!L:R,7,FALSE),VLOOKUP(tables_385100!C73,input_385100!A:H,8,FALSE))</f>
        <v>13288.69231</v>
      </c>
      <c r="P73" s="43">
        <f t="shared" ca="1" si="5"/>
        <v>7.3580799058693249E-3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input_385100!A$2</f>
        <v>385100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IFERROR(VLOOKUP(B74,input_385100!L:R,7,FALSE),VLOOKUP(tables_385100!C74,input_385100!A:H,8,FALSE))</f>
        <v>1411.3076900000001</v>
      </c>
      <c r="P74" s="43">
        <f t="shared" ca="1" si="5"/>
        <v>7.8145497785160579E-4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input_385100!A$2</f>
        <v>385100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IFERROR(VLOOKUP(B75,input_385100!L:R,7,FALSE),VLOOKUP(tables_385100!C75,input_385100!A:H,8,FALSE))</f>
        <v>0</v>
      </c>
      <c r="P75" s="43">
        <f t="shared" ca="1" si="5"/>
        <v>0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input_385100!A$2</f>
        <v>385100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IFERROR(VLOOKUP(B76,input_385100!L:R,7,FALSE),VLOOKUP(tables_385100!C76,input_385100!A:H,8,FALSE))</f>
        <v>13288.69231</v>
      </c>
      <c r="P76" s="43">
        <f t="shared" ca="1" si="5"/>
        <v>7.3580799058693249E-3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input_385100!A$2</f>
        <v>385100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IFERROR(VLOOKUP(B77,input_385100!L:R,7,FALSE),VLOOKUP(tables_385100!C77,input_385100!A:H,8,FALSE))</f>
        <v>1411.3076900000001</v>
      </c>
      <c r="P77" s="43">
        <f t="shared" ca="1" si="5"/>
        <v>7.8145497785160579E-4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input_385100!A$2</f>
        <v>385100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IFERROR(VLOOKUP(B78,input_385100!L:R,7,FALSE),VLOOKUP(tables_385100!C78,input_385100!A:H,8,FALSE))</f>
        <v>0</v>
      </c>
      <c r="P78" s="43">
        <f t="shared" ca="1" si="5"/>
        <v>0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input_385100!A$2</f>
        <v>385100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IFERROR(VLOOKUP(B79,input_385100!L:R,7,FALSE),VLOOKUP(tables_385100!C79,input_385100!A:H,8,FALSE))</f>
        <v>13288.69231</v>
      </c>
      <c r="P79" s="43">
        <f t="shared" ca="1" si="5"/>
        <v>7.3580799058693249E-3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input_385100!A$2</f>
        <v>385100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IFERROR(VLOOKUP(B80,input_385100!L:R,7,FALSE),VLOOKUP(tables_385100!C80,input_385100!A:H,8,FALSE))</f>
        <v>1411.3076900000001</v>
      </c>
      <c r="P80" s="43">
        <f t="shared" ca="1" si="5"/>
        <v>7.8145497785160579E-4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input_385100!A$2</f>
        <v>385100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IFERROR(VLOOKUP(B81,input_385100!L:R,7,FALSE),VLOOKUP(tables_385100!C81,input_385100!A:H,8,FALSE))</f>
        <v>0</v>
      </c>
      <c r="P81" s="43">
        <f t="shared" ca="1" si="5"/>
        <v>0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input_385100!A$2</f>
        <v>385100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IFERROR(VLOOKUP(B82,input_385100!L:R,7,FALSE),VLOOKUP(tables_385100!C82,input_385100!A:H,8,FALSE))</f>
        <v>13288.69231</v>
      </c>
      <c r="P82" s="43">
        <f t="shared" ca="1" si="5"/>
        <v>7.3580799058693249E-3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input_385100!A$2</f>
        <v>385100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IFERROR(VLOOKUP(B83,input_385100!L:R,7,FALSE),VLOOKUP(tables_385100!C83,input_385100!A:H,8,FALSE))</f>
        <v>1411.3076900000001</v>
      </c>
      <c r="P83" s="43">
        <f t="shared" ca="1" si="5"/>
        <v>7.8145497785160579E-4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input_385100!A$2</f>
        <v>385100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IFERROR(VLOOKUP(B84,input_385100!L:R,7,FALSE),VLOOKUP(tables_385100!C84,input_385100!A:H,8,FALSE))</f>
        <v>0</v>
      </c>
      <c r="P84" s="43">
        <f t="shared" ca="1" si="5"/>
        <v>0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input_385100!A$2</f>
        <v>385100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IFERROR(VLOOKUP(B85,input_385100!L:R,7,FALSE),VLOOKUP(tables_385100!C85,input_385100!A:H,8,FALSE))</f>
        <v>13288.69231</v>
      </c>
      <c r="P85" s="43">
        <f t="shared" ca="1" si="5"/>
        <v>7.3580799058693249E-3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input_385100!A$2</f>
        <v>385100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IFERROR(VLOOKUP(B86,input_385100!L:R,7,FALSE),VLOOKUP(tables_385100!C86,input_385100!A:H,8,FALSE))</f>
        <v>1411.3076900000001</v>
      </c>
      <c r="P86" s="43">
        <f t="shared" ca="1" si="5"/>
        <v>7.8145497785160579E-4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input_385100!A$2</f>
        <v>385100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IFERROR(VLOOKUP(B87,input_385100!L:R,7,FALSE),VLOOKUP(tables_385100!C87,input_385100!A:H,8,FALSE))</f>
        <v>0</v>
      </c>
      <c r="P87" s="43">
        <f t="shared" ca="1" si="5"/>
        <v>0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input_385100!A$2</f>
        <v>385100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IFERROR(VLOOKUP(B88,input_385100!L:R,7,FALSE),VLOOKUP(tables_385100!C88,input_385100!A:H,8,FALSE))</f>
        <v>13288.69231</v>
      </c>
      <c r="P88" s="43">
        <f t="shared" ca="1" si="5"/>
        <v>7.3580799058693249E-3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input_385100!A$2</f>
        <v>385100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IFERROR(VLOOKUP(B89,input_385100!L:R,7,FALSE),VLOOKUP(tables_385100!C89,input_385100!A:H,8,FALSE))</f>
        <v>1411.3076900000001</v>
      </c>
      <c r="P89" s="43">
        <f t="shared" ca="1" si="5"/>
        <v>7.8145497785160579E-4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input_385100!A$2</f>
        <v>385100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IFERROR(VLOOKUP(B90,input_385100!L:R,7,FALSE),VLOOKUP(tables_385100!C90,input_385100!A:H,8,FALSE))</f>
        <v>0</v>
      </c>
      <c r="P90" s="43">
        <f t="shared" ca="1" si="5"/>
        <v>0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input_385100!A$2</f>
        <v>385100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IFERROR(VLOOKUP(B91,input_385100!L:R,7,FALSE),VLOOKUP(tables_385100!C91,input_385100!A:H,8,FALSE))</f>
        <v>13288.69231</v>
      </c>
      <c r="P91" s="43">
        <f t="shared" ca="1" si="5"/>
        <v>7.3580799058693249E-3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input_385100!A$2</f>
        <v>385100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IFERROR(VLOOKUP(B92,input_385100!L:R,7,FALSE),VLOOKUP(tables_385100!C92,input_385100!A:H,8,FALSE))</f>
        <v>1411.3076900000001</v>
      </c>
      <c r="P92" s="43">
        <f t="shared" ca="1" si="5"/>
        <v>7.8145497785160579E-4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input_385100!A$2</f>
        <v>385100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IFERROR(VLOOKUP(B93,input_385100!L:R,7,FALSE),VLOOKUP(tables_385100!C93,input_385100!A:H,8,FALSE))</f>
        <v>0</v>
      </c>
      <c r="P93" s="43">
        <f t="shared" ca="1" si="5"/>
        <v>0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input_385100!A$2</f>
        <v>385100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IFERROR(VLOOKUP(B94,input_385100!L:R,7,FALSE),VLOOKUP(tables_385100!C94,input_385100!A:H,8,FALSE))</f>
        <v>13288.69231</v>
      </c>
      <c r="P94" s="43">
        <f t="shared" ca="1" si="5"/>
        <v>7.3580799058693249E-3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input_385100!A$2</f>
        <v>385100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IFERROR(VLOOKUP(B95,input_385100!L:R,7,FALSE),VLOOKUP(tables_385100!C95,input_385100!A:H,8,FALSE))</f>
        <v>1411.3076900000001</v>
      </c>
      <c r="P95" s="43">
        <f t="shared" ca="1" si="5"/>
        <v>7.8145497785160579E-4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input_385100!A$2</f>
        <v>385100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IFERROR(VLOOKUP(B96,input_385100!L:R,7,FALSE),VLOOKUP(tables_385100!C96,input_385100!A:H,8,FALSE))</f>
        <v>0</v>
      </c>
      <c r="P96" s="43">
        <f t="shared" ca="1" si="5"/>
        <v>0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input_385100!A$2</f>
        <v>385100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IFERROR(VLOOKUP(B97,input_385100!L:R,7,FALSE),VLOOKUP(tables_385100!C97,input_385100!A:H,8,FALSE))</f>
        <v>13288.69231</v>
      </c>
      <c r="P97" s="43">
        <f t="shared" ca="1" si="5"/>
        <v>7.3580799058693249E-3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input_385100!A$2</f>
        <v>385100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IFERROR(VLOOKUP(B98,input_385100!L:R,7,FALSE),VLOOKUP(tables_385100!C98,input_385100!A:H,8,FALSE))</f>
        <v>1411.3076900000001</v>
      </c>
      <c r="P98" s="43">
        <f t="shared" ca="1" si="5"/>
        <v>7.8145497785160579E-4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input_385100!A$2</f>
        <v>385100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IFERROR(VLOOKUP(B99,input_385100!L:R,7,FALSE),VLOOKUP(tables_385100!C99,input_385100!A:H,8,FALSE))</f>
        <v>0</v>
      </c>
      <c r="P99" s="43">
        <f t="shared" ca="1" si="5"/>
        <v>0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input_385100!A$2</f>
        <v>385100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IFERROR(VLOOKUP(B100,input_385100!L:R,7,FALSE),VLOOKUP(tables_385100!C100,input_385100!A:H,8,FALSE))</f>
        <v>13288.69231</v>
      </c>
      <c r="P100" s="43">
        <f t="shared" ca="1" si="5"/>
        <v>7.3580799058693249E-3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input_385100!A$2</f>
        <v>385100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IFERROR(VLOOKUP(B101,input_385100!L:R,7,FALSE),VLOOKUP(tables_385100!C101,input_385100!A:H,8,FALSE))</f>
        <v>1411.3076900000001</v>
      </c>
      <c r="P101" s="43">
        <f t="shared" ca="1" si="5"/>
        <v>7.8145497785160579E-4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input_385100!A$2</f>
        <v>385100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IFERROR(VLOOKUP(B102,input_385100!L:R,7,FALSE),VLOOKUP(tables_385100!C102,input_385100!A:H,8,FALSE))</f>
        <v>0</v>
      </c>
      <c r="P102" s="43">
        <f t="shared" ca="1" si="5"/>
        <v>0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input_385100!A$2</f>
        <v>385100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IFERROR(VLOOKUP(B103,input_385100!L:R,7,FALSE),VLOOKUP(tables_385100!C103,input_385100!A:H,8,FALSE))</f>
        <v>13288.69231</v>
      </c>
      <c r="P103" s="43">
        <f t="shared" ca="1" si="5"/>
        <v>7.3580799058693249E-3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input_385100!A$2</f>
        <v>385100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IFERROR(VLOOKUP(B104,input_385100!L:R,7,FALSE),VLOOKUP(tables_385100!C104,input_385100!A:H,8,FALSE))</f>
        <v>1411.3076900000001</v>
      </c>
      <c r="P104" s="43">
        <f t="shared" ca="1" si="5"/>
        <v>7.8145497785160579E-4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input_385100!A$2</f>
        <v>385100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IFERROR(VLOOKUP(B105,input_385100!L:R,7,FALSE),VLOOKUP(tables_385100!C105,input_385100!A:H,8,FALSE))</f>
        <v>0</v>
      </c>
      <c r="P105" s="43">
        <f t="shared" ca="1" si="5"/>
        <v>0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input_385100!A$2</f>
        <v>385100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IFERROR(VLOOKUP(B106,input_385100!L:R,7,FALSE),VLOOKUP(tables_385100!C106,input_385100!A:H,8,FALSE))</f>
        <v>13288.69231</v>
      </c>
      <c r="P106" s="43">
        <f t="shared" ca="1" si="5"/>
        <v>7.3580799058693249E-3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input_385100!A$2</f>
        <v>385100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IFERROR(VLOOKUP(B107,input_385100!L:R,7,FALSE),VLOOKUP(tables_385100!C107,input_385100!A:H,8,FALSE))</f>
        <v>1411.3076900000001</v>
      </c>
      <c r="P107" s="43">
        <f t="shared" ca="1" si="5"/>
        <v>7.8145497785160579E-4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input_385100!A$2</f>
        <v>385100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IFERROR(VLOOKUP(B108,input_385100!L:R,7,FALSE),VLOOKUP(tables_385100!C108,input_385100!A:H,8,FALSE))</f>
        <v>0</v>
      </c>
      <c r="P108" s="43">
        <f t="shared" ca="1" si="5"/>
        <v>0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input_385100!A$2</f>
        <v>385100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IFERROR(VLOOKUP(B109,input_385100!L:R,7,FALSE),VLOOKUP(tables_385100!C109,input_385100!A:H,8,FALSE))</f>
        <v>13288.69231</v>
      </c>
      <c r="P109" s="43">
        <f t="shared" ca="1" si="5"/>
        <v>7.3580799058693249E-3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input_385100!A$2</f>
        <v>385100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IFERROR(VLOOKUP(B110,input_385100!L:R,7,FALSE),VLOOKUP(tables_385100!C110,input_385100!A:H,8,FALSE))</f>
        <v>1411.3076900000001</v>
      </c>
      <c r="P110" s="43">
        <f t="shared" ca="1" si="5"/>
        <v>7.8145497785160579E-4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input_385100!A$2</f>
        <v>385100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IFERROR(VLOOKUP(B111,input_385100!L:R,7,FALSE),VLOOKUP(tables_385100!C111,input_385100!A:H,8,FALSE))</f>
        <v>0</v>
      </c>
      <c r="P111" s="43">
        <f t="shared" ca="1" si="5"/>
        <v>0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input_385100!A$2</f>
        <v>385100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IFERROR(VLOOKUP(B112,input_385100!L:R,7,FALSE),VLOOKUP(tables_385100!C112,input_385100!A:H,8,FALSE))</f>
        <v>13965</v>
      </c>
      <c r="P112" s="43">
        <f t="shared" ca="1" si="5"/>
        <v>7.7325581395348841E-3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input_385100!A$2</f>
        <v>385100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IFERROR(VLOOKUP(B113,input_385100!L:R,7,FALSE),VLOOKUP(tables_385100!C113,input_385100!A:H,8,FALSE))</f>
        <v>735</v>
      </c>
      <c r="P113" s="43">
        <f t="shared" ca="1" si="5"/>
        <v>4.0697674418604653E-4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input_385100!A$2</f>
        <v>385100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IFERROR(VLOOKUP(B114,input_385100!L:R,7,FALSE),VLOOKUP(tables_385100!C114,input_385100!A:H,8,FALSE))</f>
        <v>0</v>
      </c>
      <c r="P114" s="43">
        <f t="shared" ca="1" si="5"/>
        <v>0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input_385100!A$2</f>
        <v>385100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IFERROR(VLOOKUP(B115,input_385100!L:R,7,FALSE),VLOOKUP(tables_385100!C115,input_385100!A:H,8,FALSE))</f>
        <v>13288.69231</v>
      </c>
      <c r="P115" s="43">
        <f t="shared" ca="1" si="5"/>
        <v>7.3580799058693249E-3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input_385100!A$2</f>
        <v>385100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IFERROR(VLOOKUP(B116,input_385100!L:R,7,FALSE),VLOOKUP(tables_385100!C116,input_385100!A:H,8,FALSE))</f>
        <v>1411.3076900000001</v>
      </c>
      <c r="P116" s="43">
        <f t="shared" ca="1" si="5"/>
        <v>7.8145497785160579E-4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input_385100!A$2</f>
        <v>385100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IFERROR(VLOOKUP(B117,input_385100!L:R,7,FALSE),VLOOKUP(tables_385100!C117,input_385100!A:H,8,FALSE))</f>
        <v>0</v>
      </c>
      <c r="P117" s="43">
        <f t="shared" ca="1" si="5"/>
        <v>0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input_385100!A$2</f>
        <v>385100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IFERROR(VLOOKUP(B118,input_385100!L:R,7,FALSE),VLOOKUP(tables_385100!C118,input_385100!A:H,8,FALSE))</f>
        <v>13288.69231</v>
      </c>
      <c r="P118" s="43">
        <f t="shared" ca="1" si="5"/>
        <v>7.3580799058693249E-3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input_385100!A$2</f>
        <v>385100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IFERROR(VLOOKUP(B119,input_385100!L:R,7,FALSE),VLOOKUP(tables_385100!C119,input_385100!A:H,8,FALSE))</f>
        <v>1411.3076900000001</v>
      </c>
      <c r="P119" s="43">
        <f t="shared" ca="1" si="5"/>
        <v>7.8145497785160579E-4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input_385100!A$2</f>
        <v>385100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IFERROR(VLOOKUP(B120,input_385100!L:R,7,FALSE),VLOOKUP(tables_385100!C120,input_385100!A:H,8,FALSE))</f>
        <v>0</v>
      </c>
      <c r="P120" s="43">
        <f t="shared" ca="1" si="5"/>
        <v>0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input_385100!A$2</f>
        <v>385100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IFERROR(VLOOKUP(B121,input_385100!L:R,7,FALSE),VLOOKUP(tables_385100!C121,input_385100!A:H,8,FALSE))</f>
        <v>13288.69231</v>
      </c>
      <c r="P121" s="43">
        <f t="shared" ca="1" si="5"/>
        <v>7.3580799058693249E-3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input_385100!A$2</f>
        <v>385100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IFERROR(VLOOKUP(B122,input_385100!L:R,7,FALSE),VLOOKUP(tables_385100!C122,input_385100!A:H,8,FALSE))</f>
        <v>1411.3076900000001</v>
      </c>
      <c r="P122" s="43">
        <f t="shared" ca="1" si="5"/>
        <v>7.8145497785160579E-4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input_385100!A$2</f>
        <v>385100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IFERROR(VLOOKUP(B123,input_385100!L:R,7,FALSE),VLOOKUP(tables_385100!C123,input_385100!A:H,8,FALSE))</f>
        <v>0</v>
      </c>
      <c r="P123" s="43">
        <f t="shared" ca="1" si="5"/>
        <v>0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input_385100!A$2</f>
        <v>385100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IFERROR(VLOOKUP(B124,input_385100!L:R,7,FALSE),VLOOKUP(tables_385100!C124,input_385100!A:H,8,FALSE))</f>
        <v>13288.69231</v>
      </c>
      <c r="P124" s="43">
        <f t="shared" ca="1" si="5"/>
        <v>7.3580799058693249E-3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input_385100!A$2</f>
        <v>385100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IFERROR(VLOOKUP(B125,input_385100!L:R,7,FALSE),VLOOKUP(tables_385100!C125,input_385100!A:H,8,FALSE))</f>
        <v>1411.3076900000001</v>
      </c>
      <c r="P125" s="43">
        <f t="shared" ca="1" si="5"/>
        <v>7.8145497785160579E-4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input_385100!A$2</f>
        <v>385100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IFERROR(VLOOKUP(B126,input_385100!L:R,7,FALSE),VLOOKUP(tables_385100!C126,input_385100!A:H,8,FALSE))</f>
        <v>0</v>
      </c>
      <c r="P126" s="43">
        <f t="shared" ca="1" si="5"/>
        <v>0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input_385100!A$2</f>
        <v>385100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IFERROR(VLOOKUP(B127,input_385100!L:R,7,FALSE),VLOOKUP(tables_385100!C127,input_385100!A:H,8,FALSE))</f>
        <v>13288.69231</v>
      </c>
      <c r="P127" s="43">
        <f t="shared" ca="1" si="5"/>
        <v>7.3580799058693249E-3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input_385100!A$2</f>
        <v>385100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IFERROR(VLOOKUP(B128,input_385100!L:R,7,FALSE),VLOOKUP(tables_385100!C128,input_385100!A:H,8,FALSE))</f>
        <v>1411.3076900000001</v>
      </c>
      <c r="P128" s="43">
        <f t="shared" ca="1" si="5"/>
        <v>7.8145497785160579E-4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input_385100!A$2</f>
        <v>385100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IFERROR(VLOOKUP(B129,input_385100!L:R,7,FALSE),VLOOKUP(tables_385100!C129,input_385100!A:H,8,FALSE))</f>
        <v>0</v>
      </c>
      <c r="P129" s="43">
        <f t="shared" ca="1" si="5"/>
        <v>0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input_385100!A$2</f>
        <v>385100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IFERROR(VLOOKUP(B130,input_385100!L:R,7,FALSE),VLOOKUP(tables_385100!C130,input_385100!A:H,8,FALSE))</f>
        <v>13288.69231</v>
      </c>
      <c r="P130" s="43">
        <f t="shared" ca="1" si="5"/>
        <v>7.3580799058693249E-3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input_385100!A$2</f>
        <v>385100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IFERROR(VLOOKUP(B131,input_385100!L:R,7,FALSE),VLOOKUP(tables_385100!C131,input_385100!A:H,8,FALSE))</f>
        <v>1411.3076900000001</v>
      </c>
      <c r="P131" s="43">
        <f t="shared" ref="P131:P194" ca="1" si="8">O131/SUM(O:O)</f>
        <v>7.8145497785160579E-4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input_385100!A$2</f>
        <v>385100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IFERROR(VLOOKUP(B132,input_385100!L:R,7,FALSE),VLOOKUP(tables_385100!C132,input_385100!A:H,8,FALSE))</f>
        <v>0</v>
      </c>
      <c r="P132" s="43">
        <f t="shared" ca="1" si="8"/>
        <v>0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input_385100!A$2</f>
        <v>385100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IFERROR(VLOOKUP(B133,input_385100!L:R,7,FALSE),VLOOKUP(tables_385100!C133,input_385100!A:H,8,FALSE))</f>
        <v>13288.69231</v>
      </c>
      <c r="P133" s="43">
        <f t="shared" ca="1" si="8"/>
        <v>7.3580799058693249E-3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input_385100!A$2</f>
        <v>385100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IFERROR(VLOOKUP(B134,input_385100!L:R,7,FALSE),VLOOKUP(tables_385100!C134,input_385100!A:H,8,FALSE))</f>
        <v>1411.3076900000001</v>
      </c>
      <c r="P134" s="43">
        <f t="shared" ca="1" si="8"/>
        <v>7.8145497785160579E-4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input_385100!A$2</f>
        <v>385100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IFERROR(VLOOKUP(B135,input_385100!L:R,7,FALSE),VLOOKUP(tables_385100!C135,input_385100!A:H,8,FALSE))</f>
        <v>0</v>
      </c>
      <c r="P135" s="43">
        <f t="shared" ca="1" si="8"/>
        <v>0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input_385100!A$2</f>
        <v>385100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IFERROR(VLOOKUP(B136,input_385100!L:R,7,FALSE),VLOOKUP(tables_385100!C136,input_385100!A:H,8,FALSE))</f>
        <v>13288.69231</v>
      </c>
      <c r="P136" s="43">
        <f t="shared" ca="1" si="8"/>
        <v>7.3580799058693249E-3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input_385100!A$2</f>
        <v>385100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IFERROR(VLOOKUP(B137,input_385100!L:R,7,FALSE),VLOOKUP(tables_385100!C137,input_385100!A:H,8,FALSE))</f>
        <v>1411.3076900000001</v>
      </c>
      <c r="P137" s="43">
        <f t="shared" ca="1" si="8"/>
        <v>7.8145497785160579E-4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input_385100!A$2</f>
        <v>385100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IFERROR(VLOOKUP(B138,input_385100!L:R,7,FALSE),VLOOKUP(tables_385100!C138,input_385100!A:H,8,FALSE))</f>
        <v>408.5</v>
      </c>
      <c r="P138" s="43">
        <f t="shared" ca="1" si="8"/>
        <v>2.2619047619047618E-4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input_385100!A$2</f>
        <v>385100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IFERROR(VLOOKUP(B139,input_385100!L:R,7,FALSE),VLOOKUP(tables_385100!C139,input_385100!A:H,8,FALSE))</f>
        <v>21.5</v>
      </c>
      <c r="P139" s="43">
        <f t="shared" ca="1" si="8"/>
        <v>1.1904761904761905E-5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input_385100!A$2</f>
        <v>385100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IFERROR(VLOOKUP(B140,input_385100!L:R,7,FALSE),VLOOKUP(tables_385100!C140,input_385100!A:H,8,FALSE))</f>
        <v>408.5</v>
      </c>
      <c r="P140" s="43">
        <f t="shared" ca="1" si="8"/>
        <v>2.2619047619047618E-4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input_385100!A$2</f>
        <v>385100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IFERROR(VLOOKUP(B141,input_385100!L:R,7,FALSE),VLOOKUP(tables_385100!C141,input_385100!A:H,8,FALSE))</f>
        <v>21.5</v>
      </c>
      <c r="P141" s="43">
        <f t="shared" ca="1" si="8"/>
        <v>1.1904761904761905E-5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input_385100!A$2</f>
        <v>385100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IFERROR(VLOOKUP(B142,input_385100!L:R,7,FALSE),VLOOKUP(tables_385100!C142,input_385100!A:H,8,FALSE))</f>
        <v>408.5</v>
      </c>
      <c r="P142" s="43">
        <f t="shared" ca="1" si="8"/>
        <v>2.2619047619047618E-4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input_385100!A$2</f>
        <v>385100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IFERROR(VLOOKUP(B143,input_385100!L:R,7,FALSE),VLOOKUP(tables_385100!C143,input_385100!A:H,8,FALSE))</f>
        <v>21.5</v>
      </c>
      <c r="P143" s="43">
        <f t="shared" ca="1" si="8"/>
        <v>1.1904761904761905E-5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input_385100!A$2</f>
        <v>385100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IFERROR(VLOOKUP(B144,input_385100!L:R,7,FALSE),VLOOKUP(tables_385100!C144,input_385100!A:H,8,FALSE))</f>
        <v>408.5</v>
      </c>
      <c r="P144" s="43">
        <f t="shared" ca="1" si="8"/>
        <v>2.2619047619047618E-4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input_385100!A$2</f>
        <v>385100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IFERROR(VLOOKUP(B145,input_385100!L:R,7,FALSE),VLOOKUP(tables_385100!C145,input_385100!A:H,8,FALSE))</f>
        <v>21.5</v>
      </c>
      <c r="P145" s="43">
        <f t="shared" ca="1" si="8"/>
        <v>1.1904761904761905E-5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input_385100!A$2</f>
        <v>385100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IFERROR(VLOOKUP(B146,input_385100!L:R,7,FALSE),VLOOKUP(tables_385100!C146,input_385100!A:H,8,FALSE))</f>
        <v>0</v>
      </c>
      <c r="P146" s="43">
        <f t="shared" ca="1" si="8"/>
        <v>0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input_385100!A$2</f>
        <v>385100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IFERROR(VLOOKUP(B147,input_385100!L:R,7,FALSE),VLOOKUP(tables_385100!C147,input_385100!A:H,8,FALSE))</f>
        <v>13288.69231</v>
      </c>
      <c r="P147" s="43">
        <f t="shared" ca="1" si="8"/>
        <v>7.3580799058693249E-3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input_385100!A$2</f>
        <v>385100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IFERROR(VLOOKUP(B148,input_385100!L:R,7,FALSE),VLOOKUP(tables_385100!C148,input_385100!A:H,8,FALSE))</f>
        <v>1411.3076900000001</v>
      </c>
      <c r="P148" s="43">
        <f t="shared" ca="1" si="8"/>
        <v>7.8145497785160579E-4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input_385100!A$2</f>
        <v>385100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IFERROR(VLOOKUP(B149,input_385100!L:R,7,FALSE),VLOOKUP(tables_385100!C149,input_385100!A:H,8,FALSE))</f>
        <v>408.5</v>
      </c>
      <c r="P149" s="43">
        <f t="shared" ca="1" si="8"/>
        <v>2.2619047619047618E-4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input_385100!A$2</f>
        <v>385100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IFERROR(VLOOKUP(B150,input_385100!L:R,7,FALSE),VLOOKUP(tables_385100!C150,input_385100!A:H,8,FALSE))</f>
        <v>21.5</v>
      </c>
      <c r="P150" s="43">
        <f t="shared" ca="1" si="8"/>
        <v>1.1904761904761905E-5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input_385100!A$2</f>
        <v>385100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IFERROR(VLOOKUP(B151,input_385100!L:R,7,FALSE),VLOOKUP(tables_385100!C151,input_385100!A:H,8,FALSE))</f>
        <v>408.5</v>
      </c>
      <c r="P151" s="43">
        <f t="shared" ca="1" si="8"/>
        <v>2.2619047619047618E-4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input_385100!A$2</f>
        <v>385100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IFERROR(VLOOKUP(B152,input_385100!L:R,7,FALSE),VLOOKUP(tables_385100!C152,input_385100!A:H,8,FALSE))</f>
        <v>21.5</v>
      </c>
      <c r="P152" s="43">
        <f t="shared" ca="1" si="8"/>
        <v>1.1904761904761905E-5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input_385100!A$2</f>
        <v>385100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IFERROR(VLOOKUP(B153,input_385100!L:R,7,FALSE),VLOOKUP(tables_385100!C153,input_385100!A:H,8,FALSE))</f>
        <v>0</v>
      </c>
      <c r="P153" s="43">
        <f t="shared" ca="1" si="8"/>
        <v>0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input_385100!A$2</f>
        <v>385100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IFERROR(VLOOKUP(B154,input_385100!L:R,7,FALSE),VLOOKUP(tables_385100!C154,input_385100!A:H,8,FALSE))</f>
        <v>13288.69231</v>
      </c>
      <c r="P154" s="43">
        <f t="shared" ca="1" si="8"/>
        <v>7.3580799058693249E-3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input_385100!A$2</f>
        <v>385100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IFERROR(VLOOKUP(B155,input_385100!L:R,7,FALSE),VLOOKUP(tables_385100!C155,input_385100!A:H,8,FALSE))</f>
        <v>1411.3076900000001</v>
      </c>
      <c r="P155" s="43">
        <f t="shared" ca="1" si="8"/>
        <v>7.8145497785160579E-4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input_385100!A$2</f>
        <v>385100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IFERROR(VLOOKUP(B156,input_385100!L:R,7,FALSE),VLOOKUP(tables_385100!C156,input_385100!A:H,8,FALSE))</f>
        <v>408.5</v>
      </c>
      <c r="P156" s="43">
        <f t="shared" ca="1" si="8"/>
        <v>2.2619047619047618E-4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input_385100!A$2</f>
        <v>385100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IFERROR(VLOOKUP(B157,input_385100!L:R,7,FALSE),VLOOKUP(tables_385100!C157,input_385100!A:H,8,FALSE))</f>
        <v>21.5</v>
      </c>
      <c r="P157" s="43">
        <f t="shared" ca="1" si="8"/>
        <v>1.1904761904761905E-5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input_385100!A$2</f>
        <v>385100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IFERROR(VLOOKUP(B158,input_385100!L:R,7,FALSE),VLOOKUP(tables_385100!C158,input_385100!A:H,8,FALSE))</f>
        <v>0</v>
      </c>
      <c r="P158" s="43">
        <f t="shared" ca="1" si="8"/>
        <v>0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input_385100!A$2</f>
        <v>385100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IFERROR(VLOOKUP(B159,input_385100!L:R,7,FALSE),VLOOKUP(tables_385100!C159,input_385100!A:H,8,FALSE))</f>
        <v>13288.69231</v>
      </c>
      <c r="P159" s="43">
        <f t="shared" ca="1" si="8"/>
        <v>7.3580799058693249E-3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input_385100!A$2</f>
        <v>385100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IFERROR(VLOOKUP(B160,input_385100!L:R,7,FALSE),VLOOKUP(tables_385100!C160,input_385100!A:H,8,FALSE))</f>
        <v>1411.3076900000001</v>
      </c>
      <c r="P160" s="43">
        <f t="shared" ca="1" si="8"/>
        <v>7.8145497785160579E-4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input_385100!A$2</f>
        <v>385100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IFERROR(VLOOKUP(B161,input_385100!L:R,7,FALSE),VLOOKUP(tables_385100!C161,input_385100!A:H,8,FALSE))</f>
        <v>0</v>
      </c>
      <c r="P161" s="43">
        <f t="shared" ca="1" si="8"/>
        <v>0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input_385100!A$2</f>
        <v>385100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IFERROR(VLOOKUP(B162,input_385100!L:R,7,FALSE),VLOOKUP(tables_385100!C162,input_385100!A:H,8,FALSE))</f>
        <v>13288.69231</v>
      </c>
      <c r="P162" s="43">
        <f t="shared" ca="1" si="8"/>
        <v>7.3580799058693249E-3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input_385100!A$2</f>
        <v>385100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IFERROR(VLOOKUP(B163,input_385100!L:R,7,FALSE),VLOOKUP(tables_385100!C163,input_385100!A:H,8,FALSE))</f>
        <v>1411.3076900000001</v>
      </c>
      <c r="P163" s="43">
        <f t="shared" ca="1" si="8"/>
        <v>7.8145497785160579E-4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input_385100!A$2</f>
        <v>385100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IFERROR(VLOOKUP(B164,input_385100!L:R,7,FALSE),VLOOKUP(tables_385100!C164,input_385100!A:H,8,FALSE))</f>
        <v>408.5</v>
      </c>
      <c r="P164" s="43">
        <f t="shared" ca="1" si="8"/>
        <v>2.2619047619047618E-4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input_385100!A$2</f>
        <v>385100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IFERROR(VLOOKUP(B165,input_385100!L:R,7,FALSE),VLOOKUP(tables_385100!C165,input_385100!A:H,8,FALSE))</f>
        <v>21.5</v>
      </c>
      <c r="P165" s="43">
        <f t="shared" ca="1" si="8"/>
        <v>1.1904761904761905E-5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input_385100!A$2</f>
        <v>385100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IFERROR(VLOOKUP(B166,input_385100!L:R,7,FALSE),VLOOKUP(tables_385100!C166,input_385100!A:H,8,FALSE))</f>
        <v>0</v>
      </c>
      <c r="P166" s="43">
        <f t="shared" ca="1" si="8"/>
        <v>0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input_385100!A$2</f>
        <v>385100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IFERROR(VLOOKUP(B167,input_385100!L:R,7,FALSE),VLOOKUP(tables_385100!C167,input_385100!A:H,8,FALSE))</f>
        <v>13288.69231</v>
      </c>
      <c r="P167" s="43">
        <f t="shared" ca="1" si="8"/>
        <v>7.3580799058693249E-3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input_385100!A$2</f>
        <v>385100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IFERROR(VLOOKUP(B168,input_385100!L:R,7,FALSE),VLOOKUP(tables_385100!C168,input_385100!A:H,8,FALSE))</f>
        <v>1411.3076900000001</v>
      </c>
      <c r="P168" s="43">
        <f t="shared" ca="1" si="8"/>
        <v>7.8145497785160579E-4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input_385100!A$2</f>
        <v>385100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IFERROR(VLOOKUP(B169,input_385100!L:R,7,FALSE),VLOOKUP(tables_385100!C169,input_385100!A:H,8,FALSE))</f>
        <v>408.5</v>
      </c>
      <c r="P169" s="43">
        <f t="shared" ca="1" si="8"/>
        <v>2.2619047619047618E-4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input_385100!A$2</f>
        <v>385100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IFERROR(VLOOKUP(B170,input_385100!L:R,7,FALSE),VLOOKUP(tables_385100!C170,input_385100!A:H,8,FALSE))</f>
        <v>21.5</v>
      </c>
      <c r="P170" s="43">
        <f t="shared" ca="1" si="8"/>
        <v>1.1904761904761905E-5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input_385100!A$2</f>
        <v>385100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IFERROR(VLOOKUP(B171,input_385100!L:R,7,FALSE),VLOOKUP(tables_385100!C171,input_385100!A:H,8,FALSE))</f>
        <v>0</v>
      </c>
      <c r="P171" s="43">
        <f t="shared" ca="1" si="8"/>
        <v>0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input_385100!A$2</f>
        <v>385100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IFERROR(VLOOKUP(B172,input_385100!L:R,7,FALSE),VLOOKUP(tables_385100!C172,input_385100!A:H,8,FALSE))</f>
        <v>13288.69231</v>
      </c>
      <c r="P172" s="43">
        <f t="shared" ca="1" si="8"/>
        <v>7.3580799058693249E-3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input_385100!A$2</f>
        <v>385100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IFERROR(VLOOKUP(B173,input_385100!L:R,7,FALSE),VLOOKUP(tables_385100!C173,input_385100!A:H,8,FALSE))</f>
        <v>1411.3076900000001</v>
      </c>
      <c r="P173" s="43">
        <f t="shared" ca="1" si="8"/>
        <v>7.8145497785160579E-4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input_385100!A$2</f>
        <v>385100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IFERROR(VLOOKUP(B174,input_385100!L:R,7,FALSE),VLOOKUP(tables_385100!C174,input_385100!A:H,8,FALSE))</f>
        <v>408.5</v>
      </c>
      <c r="P174" s="43">
        <f t="shared" ca="1" si="8"/>
        <v>2.2619047619047618E-4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input_385100!A$2</f>
        <v>385100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IFERROR(VLOOKUP(B175,input_385100!L:R,7,FALSE),VLOOKUP(tables_385100!C175,input_385100!A:H,8,FALSE))</f>
        <v>21.5</v>
      </c>
      <c r="P175" s="43">
        <f t="shared" ca="1" si="8"/>
        <v>1.1904761904761905E-5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input_385100!A$2</f>
        <v>385100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IFERROR(VLOOKUP(B176,input_385100!L:R,7,FALSE),VLOOKUP(tables_385100!C176,input_385100!A:H,8,FALSE))</f>
        <v>408.5</v>
      </c>
      <c r="P176" s="43">
        <f t="shared" ca="1" si="8"/>
        <v>2.2619047619047618E-4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input_385100!A$2</f>
        <v>385100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IFERROR(VLOOKUP(B177,input_385100!L:R,7,FALSE),VLOOKUP(tables_385100!C177,input_385100!A:H,8,FALSE))</f>
        <v>21.5</v>
      </c>
      <c r="P177" s="43">
        <f t="shared" ca="1" si="8"/>
        <v>1.1904761904761905E-5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input_385100!A$2</f>
        <v>385100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IFERROR(VLOOKUP(B178,input_385100!L:R,7,FALSE),VLOOKUP(tables_385100!C178,input_385100!A:H,8,FALSE))</f>
        <v>0</v>
      </c>
      <c r="P178" s="43">
        <f t="shared" ca="1" si="8"/>
        <v>0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input_385100!A$2</f>
        <v>385100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IFERROR(VLOOKUP(B179,input_385100!L:R,7,FALSE),VLOOKUP(tables_385100!C179,input_385100!A:H,8,FALSE))</f>
        <v>13288.69231</v>
      </c>
      <c r="P179" s="43">
        <f t="shared" ca="1" si="8"/>
        <v>7.3580799058693249E-3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input_385100!A$2</f>
        <v>385100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IFERROR(VLOOKUP(B180,input_385100!L:R,7,FALSE),VLOOKUP(tables_385100!C180,input_385100!A:H,8,FALSE))</f>
        <v>1411.3076900000001</v>
      </c>
      <c r="P180" s="43">
        <f t="shared" ca="1" si="8"/>
        <v>7.8145497785160579E-4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input_385100!A$2</f>
        <v>385100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IFERROR(VLOOKUP(B181,input_385100!L:R,7,FALSE),VLOOKUP(tables_385100!C181,input_385100!A:H,8,FALSE))</f>
        <v>0</v>
      </c>
      <c r="P181" s="43">
        <f t="shared" ca="1" si="8"/>
        <v>0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input_385100!A$2</f>
        <v>385100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IFERROR(VLOOKUP(B182,input_385100!L:R,7,FALSE),VLOOKUP(tables_385100!C182,input_385100!A:H,8,FALSE))</f>
        <v>13288.69231</v>
      </c>
      <c r="P182" s="43">
        <f t="shared" ca="1" si="8"/>
        <v>7.3580799058693249E-3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input_385100!A$2</f>
        <v>385100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IFERROR(VLOOKUP(B183,input_385100!L:R,7,FALSE),VLOOKUP(tables_385100!C183,input_385100!A:H,8,FALSE))</f>
        <v>1411.3076900000001</v>
      </c>
      <c r="P183" s="43">
        <f t="shared" ca="1" si="8"/>
        <v>7.8145497785160579E-4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input_385100!A$2</f>
        <v>385100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IFERROR(VLOOKUP(B184,input_385100!L:R,7,FALSE),VLOOKUP(tables_385100!C184,input_385100!A:H,8,FALSE))</f>
        <v>408.5</v>
      </c>
      <c r="P184" s="43">
        <f t="shared" ca="1" si="8"/>
        <v>2.2619047619047618E-4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input_385100!A$2</f>
        <v>385100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IFERROR(VLOOKUP(B185,input_385100!L:R,7,FALSE),VLOOKUP(tables_385100!C185,input_385100!A:H,8,FALSE))</f>
        <v>21.5</v>
      </c>
      <c r="P185" s="43">
        <f t="shared" ca="1" si="8"/>
        <v>1.1904761904761905E-5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input_385100!A$2</f>
        <v>385100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IFERROR(VLOOKUP(B186,input_385100!L:R,7,FALSE),VLOOKUP(tables_385100!C186,input_385100!A:H,8,FALSE))</f>
        <v>0</v>
      </c>
      <c r="P186" s="43">
        <f t="shared" ca="1" si="8"/>
        <v>0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input_385100!A$2</f>
        <v>385100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IFERROR(VLOOKUP(B187,input_385100!L:R,7,FALSE),VLOOKUP(tables_385100!C187,input_385100!A:H,8,FALSE))</f>
        <v>13288.69231</v>
      </c>
      <c r="P187" s="43">
        <f t="shared" ca="1" si="8"/>
        <v>7.3580799058693249E-3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input_385100!A$2</f>
        <v>385100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IFERROR(VLOOKUP(B188,input_385100!L:R,7,FALSE),VLOOKUP(tables_385100!C188,input_385100!A:H,8,FALSE))</f>
        <v>1411.3076900000001</v>
      </c>
      <c r="P188" s="43">
        <f t="shared" ca="1" si="8"/>
        <v>7.8145497785160579E-4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input_385100!A$2</f>
        <v>385100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IFERROR(VLOOKUP(B189,input_385100!L:R,7,FALSE),VLOOKUP(tables_385100!C189,input_385100!A:H,8,FALSE))</f>
        <v>408.5</v>
      </c>
      <c r="P189" s="43">
        <f t="shared" ca="1" si="8"/>
        <v>2.2619047619047618E-4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input_385100!A$2</f>
        <v>385100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IFERROR(VLOOKUP(B190,input_385100!L:R,7,FALSE),VLOOKUP(tables_385100!C190,input_385100!A:H,8,FALSE))</f>
        <v>21.5</v>
      </c>
      <c r="P190" s="43">
        <f t="shared" ca="1" si="8"/>
        <v>1.1904761904761905E-5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input_385100!A$2</f>
        <v>385100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IFERROR(VLOOKUP(B191,input_385100!L:R,7,FALSE),VLOOKUP(tables_385100!C191,input_385100!A:H,8,FALSE))</f>
        <v>408.5</v>
      </c>
      <c r="P191" s="43">
        <f t="shared" ca="1" si="8"/>
        <v>2.2619047619047618E-4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input_385100!A$2</f>
        <v>385100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IFERROR(VLOOKUP(B192,input_385100!L:R,7,FALSE),VLOOKUP(tables_385100!C192,input_385100!A:H,8,FALSE))</f>
        <v>21.5</v>
      </c>
      <c r="P192" s="43">
        <f t="shared" ca="1" si="8"/>
        <v>1.1904761904761905E-5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input_385100!A$2</f>
        <v>385100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IFERROR(VLOOKUP(B193,input_385100!L:R,7,FALSE),VLOOKUP(tables_385100!C193,input_385100!A:H,8,FALSE))</f>
        <v>0</v>
      </c>
      <c r="P193" s="43">
        <f t="shared" ca="1" si="8"/>
        <v>0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input_385100!A$2</f>
        <v>385100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IFERROR(VLOOKUP(B194,input_385100!L:R,7,FALSE),VLOOKUP(tables_385100!C194,input_385100!A:H,8,FALSE))</f>
        <v>13288.69231</v>
      </c>
      <c r="P194" s="43">
        <f t="shared" ca="1" si="8"/>
        <v>7.3580799058693249E-3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input_385100!A$2</f>
        <v>385100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IFERROR(VLOOKUP(B195,input_385100!L:R,7,FALSE),VLOOKUP(tables_385100!C195,input_385100!A:H,8,FALSE))</f>
        <v>1411.3076900000001</v>
      </c>
      <c r="P195" s="43">
        <f t="shared" ref="P195:P258" ca="1" si="11">O195/SUM(O:O)</f>
        <v>7.8145497785160579E-4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input_385100!A$2</f>
        <v>385100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IFERROR(VLOOKUP(B196,input_385100!L:R,7,FALSE),VLOOKUP(tables_385100!C196,input_385100!A:H,8,FALSE))</f>
        <v>408.5</v>
      </c>
      <c r="P196" s="43">
        <f t="shared" ca="1" si="11"/>
        <v>2.2619047619047618E-4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input_385100!A$2</f>
        <v>385100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IFERROR(VLOOKUP(B197,input_385100!L:R,7,FALSE),VLOOKUP(tables_385100!C197,input_385100!A:H,8,FALSE))</f>
        <v>21.5</v>
      </c>
      <c r="P197" s="43">
        <f t="shared" ca="1" si="11"/>
        <v>1.1904761904761905E-5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input_385100!A$2</f>
        <v>385100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IFERROR(VLOOKUP(B198,input_385100!L:R,7,FALSE),VLOOKUP(tables_385100!C198,input_385100!A:H,8,FALSE))</f>
        <v>0</v>
      </c>
      <c r="P198" s="43">
        <f t="shared" ca="1" si="11"/>
        <v>0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input_385100!A$2</f>
        <v>385100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IFERROR(VLOOKUP(B199,input_385100!L:R,7,FALSE),VLOOKUP(tables_385100!C199,input_385100!A:H,8,FALSE))</f>
        <v>13288.69231</v>
      </c>
      <c r="P199" s="43">
        <f t="shared" ca="1" si="11"/>
        <v>7.3580799058693249E-3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input_385100!A$2</f>
        <v>385100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IFERROR(VLOOKUP(B200,input_385100!L:R,7,FALSE),VLOOKUP(tables_385100!C200,input_385100!A:H,8,FALSE))</f>
        <v>1411.3076900000001</v>
      </c>
      <c r="P200" s="43">
        <f t="shared" ca="1" si="11"/>
        <v>7.8145497785160579E-4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input_385100!A$2</f>
        <v>385100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IFERROR(VLOOKUP(B201,input_385100!L:R,7,FALSE),VLOOKUP(tables_385100!C201,input_385100!A:H,8,FALSE))</f>
        <v>408.5</v>
      </c>
      <c r="P201" s="43">
        <f t="shared" ca="1" si="11"/>
        <v>2.2619047619047618E-4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input_385100!A$2</f>
        <v>385100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IFERROR(VLOOKUP(B202,input_385100!L:R,7,FALSE),VLOOKUP(tables_385100!C202,input_385100!A:H,8,FALSE))</f>
        <v>21.5</v>
      </c>
      <c r="P202" s="43">
        <f t="shared" ca="1" si="11"/>
        <v>1.1904761904761905E-5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input_385100!A$2</f>
        <v>385100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IFERROR(VLOOKUP(B203,input_385100!L:R,7,FALSE),VLOOKUP(tables_385100!C203,input_385100!A:H,8,FALSE))</f>
        <v>0</v>
      </c>
      <c r="P203" s="43">
        <f t="shared" ca="1" si="11"/>
        <v>0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input_385100!A$2</f>
        <v>385100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IFERROR(VLOOKUP(B204,input_385100!L:R,7,FALSE),VLOOKUP(tables_385100!C204,input_385100!A:H,8,FALSE))</f>
        <v>13288.69231</v>
      </c>
      <c r="P204" s="43">
        <f t="shared" ca="1" si="11"/>
        <v>7.3580799058693249E-3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input_385100!A$2</f>
        <v>385100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IFERROR(VLOOKUP(B205,input_385100!L:R,7,FALSE),VLOOKUP(tables_385100!C205,input_385100!A:H,8,FALSE))</f>
        <v>1411.3076900000001</v>
      </c>
      <c r="P205" s="43">
        <f t="shared" ca="1" si="11"/>
        <v>7.8145497785160579E-4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input_385100!A$2</f>
        <v>385100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IFERROR(VLOOKUP(B206,input_385100!L:R,7,FALSE),VLOOKUP(tables_385100!C206,input_385100!A:H,8,FALSE))</f>
        <v>408.5</v>
      </c>
      <c r="P206" s="43">
        <f t="shared" ca="1" si="11"/>
        <v>2.2619047619047618E-4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input_385100!A$2</f>
        <v>385100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IFERROR(VLOOKUP(B207,input_385100!L:R,7,FALSE),VLOOKUP(tables_385100!C207,input_385100!A:H,8,FALSE))</f>
        <v>21.5</v>
      </c>
      <c r="P207" s="43">
        <f t="shared" ca="1" si="11"/>
        <v>1.1904761904761905E-5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input_385100!A$2</f>
        <v>385100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IFERROR(VLOOKUP(B208,input_385100!L:R,7,FALSE),VLOOKUP(tables_385100!C208,input_385100!A:H,8,FALSE))</f>
        <v>408.5</v>
      </c>
      <c r="P208" s="43">
        <f t="shared" ca="1" si="11"/>
        <v>2.2619047619047618E-4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input_385100!A$2</f>
        <v>385100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IFERROR(VLOOKUP(B209,input_385100!L:R,7,FALSE),VLOOKUP(tables_385100!C209,input_385100!A:H,8,FALSE))</f>
        <v>21.5</v>
      </c>
      <c r="P209" s="43">
        <f t="shared" ca="1" si="11"/>
        <v>1.1904761904761905E-5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input_385100!A$2</f>
        <v>385100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IFERROR(VLOOKUP(B210,input_385100!L:R,7,FALSE),VLOOKUP(tables_385100!C210,input_385100!A:H,8,FALSE))</f>
        <v>0</v>
      </c>
      <c r="P210" s="43">
        <f t="shared" ca="1" si="11"/>
        <v>0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input_385100!A$2</f>
        <v>385100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IFERROR(VLOOKUP(B211,input_385100!L:R,7,FALSE),VLOOKUP(tables_385100!C211,input_385100!A:H,8,FALSE))</f>
        <v>13288.69231</v>
      </c>
      <c r="P211" s="43">
        <f t="shared" ca="1" si="11"/>
        <v>7.3580799058693249E-3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input_385100!A$2</f>
        <v>385100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IFERROR(VLOOKUP(B212,input_385100!L:R,7,FALSE),VLOOKUP(tables_385100!C212,input_385100!A:H,8,FALSE))</f>
        <v>1411.3076900000001</v>
      </c>
      <c r="P212" s="43">
        <f t="shared" ca="1" si="11"/>
        <v>7.8145497785160579E-4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input_385100!A$2</f>
        <v>385100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IFERROR(VLOOKUP(B213,input_385100!L:R,7,FALSE),VLOOKUP(tables_385100!C213,input_385100!A:H,8,FALSE))</f>
        <v>408.5</v>
      </c>
      <c r="P213" s="43">
        <f t="shared" ca="1" si="11"/>
        <v>2.2619047619047618E-4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input_385100!A$2</f>
        <v>385100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IFERROR(VLOOKUP(B214,input_385100!L:R,7,FALSE),VLOOKUP(tables_385100!C214,input_385100!A:H,8,FALSE))</f>
        <v>21.5</v>
      </c>
      <c r="P214" s="43">
        <f t="shared" ca="1" si="11"/>
        <v>1.1904761904761905E-5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input_385100!A$2</f>
        <v>385100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2">
        <f ca="1">IFERROR(VLOOKUP(B215,input_385100!L:R,7,FALSE),VLOOKUP(tables_385100!C215,input_385100!A:H,8,FALSE))</f>
        <v>408.5</v>
      </c>
      <c r="P215" s="43">
        <f t="shared" ca="1" si="11"/>
        <v>2.2619047619047618E-4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input_385100!A$2</f>
        <v>385100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2">
        <f ca="1">IFERROR(VLOOKUP(B216,input_385100!L:R,7,FALSE),VLOOKUP(tables_385100!C216,input_385100!A:H,8,FALSE))</f>
        <v>21.5</v>
      </c>
      <c r="P216" s="43">
        <f t="shared" ca="1" si="11"/>
        <v>1.1904761904761905E-5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input_385100!A$2</f>
        <v>385100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2">
        <f ca="1">IFERROR(VLOOKUP(B217,input_385100!L:R,7,FALSE),VLOOKUP(tables_385100!C217,input_385100!A:H,8,FALSE))</f>
        <v>0</v>
      </c>
      <c r="P217" s="43">
        <f t="shared" ca="1" si="11"/>
        <v>0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input_385100!A$2</f>
        <v>385100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2">
        <f ca="1">IFERROR(VLOOKUP(B218,input_385100!L:R,7,FALSE),VLOOKUP(tables_385100!C218,input_385100!A:H,8,FALSE))</f>
        <v>13288.69231</v>
      </c>
      <c r="P218" s="43">
        <f t="shared" ca="1" si="11"/>
        <v>7.3580799058693249E-3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input_385100!A$2</f>
        <v>385100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2">
        <f ca="1">IFERROR(VLOOKUP(B219,input_385100!L:R,7,FALSE),VLOOKUP(tables_385100!C219,input_385100!A:H,8,FALSE))</f>
        <v>1411.3076900000001</v>
      </c>
      <c r="P219" s="43">
        <f t="shared" ca="1" si="11"/>
        <v>7.8145497785160579E-4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input_385100!A$2</f>
        <v>385100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2">
        <f ca="1">IFERROR(VLOOKUP(B220,input_385100!L:R,7,FALSE),VLOOKUP(tables_385100!C220,input_385100!A:H,8,FALSE))</f>
        <v>0</v>
      </c>
      <c r="P220" s="43">
        <f t="shared" ca="1" si="11"/>
        <v>0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input_385100!A$2</f>
        <v>385100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2">
        <f ca="1">IFERROR(VLOOKUP(B221,input_385100!L:R,7,FALSE),VLOOKUP(tables_385100!C221,input_385100!A:H,8,FALSE))</f>
        <v>13288.69231</v>
      </c>
      <c r="P221" s="43">
        <f t="shared" ca="1" si="11"/>
        <v>7.3580799058693249E-3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input_385100!A$2</f>
        <v>385100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2">
        <f ca="1">IFERROR(VLOOKUP(B222,input_385100!L:R,7,FALSE),VLOOKUP(tables_385100!C222,input_385100!A:H,8,FALSE))</f>
        <v>1411.3076900000001</v>
      </c>
      <c r="P222" s="43">
        <f t="shared" ca="1" si="11"/>
        <v>7.8145497785160579E-4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input_385100!A$2</f>
        <v>385100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2">
        <f ca="1">IFERROR(VLOOKUP(B223,input_385100!L:R,7,FALSE),VLOOKUP(tables_385100!C223,input_385100!A:H,8,FALSE))</f>
        <v>408.5</v>
      </c>
      <c r="P223" s="43">
        <f t="shared" ca="1" si="11"/>
        <v>2.2619047619047618E-4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input_385100!A$2</f>
        <v>385100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2">
        <f ca="1">IFERROR(VLOOKUP(B224,input_385100!L:R,7,FALSE),VLOOKUP(tables_385100!C224,input_385100!A:H,8,FALSE))</f>
        <v>21.5</v>
      </c>
      <c r="P224" s="43">
        <f t="shared" ca="1" si="11"/>
        <v>1.1904761904761905E-5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input_385100!A$2</f>
        <v>385100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2">
        <f ca="1">IFERROR(VLOOKUP(B225,input_385100!L:R,7,FALSE),VLOOKUP(tables_385100!C225,input_385100!A:H,8,FALSE))</f>
        <v>0</v>
      </c>
      <c r="P225" s="43">
        <f t="shared" ca="1" si="11"/>
        <v>0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input_385100!A$2</f>
        <v>385100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2">
        <f ca="1">IFERROR(VLOOKUP(B226,input_385100!L:R,7,FALSE),VLOOKUP(tables_385100!C226,input_385100!A:H,8,FALSE))</f>
        <v>13288.69231</v>
      </c>
      <c r="P226" s="43">
        <f t="shared" ca="1" si="11"/>
        <v>7.3580799058693249E-3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input_385100!A$2</f>
        <v>385100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2">
        <f ca="1">IFERROR(VLOOKUP(B227,input_385100!L:R,7,FALSE),VLOOKUP(tables_385100!C227,input_385100!A:H,8,FALSE))</f>
        <v>1411.3076900000001</v>
      </c>
      <c r="P227" s="43">
        <f t="shared" ca="1" si="11"/>
        <v>7.8145497785160579E-4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input_385100!A$2</f>
        <v>385100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IFERROR(VLOOKUP(B228,input_385100!L:R,7,FALSE),VLOOKUP(tables_385100!C228,input_385100!A:H,8,FALSE))</f>
        <v>0</v>
      </c>
      <c r="P228" s="43">
        <f t="shared" ca="1" si="11"/>
        <v>0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input_385100!A$2</f>
        <v>385100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IFERROR(VLOOKUP(B229,input_385100!L:R,7,FALSE),VLOOKUP(tables_385100!C229,input_385100!A:H,8,FALSE))</f>
        <v>13288.69231</v>
      </c>
      <c r="P229" s="43">
        <f t="shared" ca="1" si="11"/>
        <v>7.3580799058693249E-3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input_385100!A$2</f>
        <v>385100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IFERROR(VLOOKUP(B230,input_385100!L:R,7,FALSE),VLOOKUP(tables_385100!C230,input_385100!A:H,8,FALSE))</f>
        <v>1411.3076900000001</v>
      </c>
      <c r="P230" s="43">
        <f t="shared" ca="1" si="11"/>
        <v>7.8145497785160579E-4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input_385100!A$2</f>
        <v>385100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2">
        <f ca="1">IFERROR(VLOOKUP(B231,input_385100!L:R,7,FALSE),VLOOKUP(tables_385100!C231,input_385100!A:H,8,FALSE))</f>
        <v>408.5</v>
      </c>
      <c r="P231" s="43">
        <f t="shared" ca="1" si="11"/>
        <v>2.2619047619047618E-4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input_385100!A$2</f>
        <v>385100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2">
        <f ca="1">IFERROR(VLOOKUP(B232,input_385100!L:R,7,FALSE),VLOOKUP(tables_385100!C232,input_385100!A:H,8,FALSE))</f>
        <v>21.5</v>
      </c>
      <c r="P232" s="43">
        <f t="shared" ca="1" si="11"/>
        <v>1.1904761904761905E-5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input_385100!A$2</f>
        <v>385100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2">
        <f ca="1">IFERROR(VLOOKUP(B233,input_385100!L:R,7,FALSE),VLOOKUP(tables_385100!C233,input_385100!A:H,8,FALSE))</f>
        <v>0</v>
      </c>
      <c r="P233" s="43">
        <f t="shared" ca="1" si="11"/>
        <v>0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input_385100!A$2</f>
        <v>385100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2">
        <f ca="1">IFERROR(VLOOKUP(B234,input_385100!L:R,7,FALSE),VLOOKUP(tables_385100!C234,input_385100!A:H,8,FALSE))</f>
        <v>13288.69231</v>
      </c>
      <c r="P234" s="43">
        <f t="shared" ca="1" si="11"/>
        <v>7.3580799058693249E-3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input_385100!A$2</f>
        <v>385100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2">
        <f ca="1">IFERROR(VLOOKUP(B235,input_385100!L:R,7,FALSE),VLOOKUP(tables_385100!C235,input_385100!A:H,8,FALSE))</f>
        <v>1411.3076900000001</v>
      </c>
      <c r="P235" s="43">
        <f t="shared" ca="1" si="11"/>
        <v>7.8145497785160579E-4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input_385100!A$2</f>
        <v>385100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2">
        <f ca="1">IFERROR(VLOOKUP(B236,input_385100!L:R,7,FALSE),VLOOKUP(tables_385100!C236,input_385100!A:H,8,FALSE))</f>
        <v>408.5</v>
      </c>
      <c r="P236" s="43">
        <f t="shared" ca="1" si="11"/>
        <v>2.2619047619047618E-4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input_385100!A$2</f>
        <v>385100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IFERROR(VLOOKUP(B237,input_385100!L:R,7,FALSE),VLOOKUP(tables_385100!C237,input_385100!A:H,8,FALSE))</f>
        <v>21.5</v>
      </c>
      <c r="P237" s="43">
        <f t="shared" ca="1" si="11"/>
        <v>1.1904761904761905E-5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input_385100!A$2</f>
        <v>385100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2">
        <f ca="1">IFERROR(VLOOKUP(B238,input_385100!L:R,7,FALSE),VLOOKUP(tables_385100!C238,input_385100!A:H,8,FALSE))</f>
        <v>408.5</v>
      </c>
      <c r="P238" s="43">
        <f t="shared" ca="1" si="11"/>
        <v>2.2619047619047618E-4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input_385100!A$2</f>
        <v>385100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2">
        <f ca="1">IFERROR(VLOOKUP(B239,input_385100!L:R,7,FALSE),VLOOKUP(tables_385100!C239,input_385100!A:H,8,FALSE))</f>
        <v>21.5</v>
      </c>
      <c r="P239" s="43">
        <f t="shared" ca="1" si="11"/>
        <v>1.1904761904761905E-5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input_385100!A$2</f>
        <v>385100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2">
        <f ca="1">IFERROR(VLOOKUP(B240,input_385100!L:R,7,FALSE),VLOOKUP(tables_385100!C240,input_385100!A:H,8,FALSE))</f>
        <v>0</v>
      </c>
      <c r="P240" s="43">
        <f t="shared" ca="1" si="11"/>
        <v>0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input_385100!A$2</f>
        <v>385100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2">
        <f ca="1">IFERROR(VLOOKUP(B241,input_385100!L:R,7,FALSE),VLOOKUP(tables_385100!C241,input_385100!A:H,8,FALSE))</f>
        <v>13288.69231</v>
      </c>
      <c r="P241" s="43">
        <f t="shared" ca="1" si="11"/>
        <v>7.3580799058693249E-3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input_385100!A$2</f>
        <v>385100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2">
        <f ca="1">IFERROR(VLOOKUP(B242,input_385100!L:R,7,FALSE),VLOOKUP(tables_385100!C242,input_385100!A:H,8,FALSE))</f>
        <v>1411.3076900000001</v>
      </c>
      <c r="P242" s="43">
        <f t="shared" ca="1" si="11"/>
        <v>7.8145497785160579E-4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input_385100!A$2</f>
        <v>385100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2">
        <f ca="1">IFERROR(VLOOKUP(B243,input_385100!L:R,7,FALSE),VLOOKUP(tables_385100!C243,input_385100!A:H,8,FALSE))</f>
        <v>0</v>
      </c>
      <c r="P243" s="43">
        <f t="shared" ca="1" si="11"/>
        <v>0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input_385100!A$2</f>
        <v>385100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2">
        <f ca="1">IFERROR(VLOOKUP(B244,input_385100!L:R,7,FALSE),VLOOKUP(tables_385100!C244,input_385100!A:H,8,FALSE))</f>
        <v>13288.69231</v>
      </c>
      <c r="P244" s="43">
        <f t="shared" ca="1" si="11"/>
        <v>7.3580799058693249E-3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input_385100!A$2</f>
        <v>385100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2">
        <f ca="1">IFERROR(VLOOKUP(B245,input_385100!L:R,7,FALSE),VLOOKUP(tables_385100!C245,input_385100!A:H,8,FALSE))</f>
        <v>1411.3076900000001</v>
      </c>
      <c r="P245" s="43">
        <f t="shared" ca="1" si="11"/>
        <v>7.8145497785160579E-4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input_385100!A$2</f>
        <v>385100</v>
      </c>
      <c r="B246" s="57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2">
        <f ca="1">IFERROR(VLOOKUP(B246,input_385100!L:R,7,FALSE),VLOOKUP(tables_385100!C246,input_385100!A:H,8,FALSE))</f>
        <v>0</v>
      </c>
      <c r="P246" s="43">
        <f t="shared" ca="1" si="11"/>
        <v>0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input_385100!A$2</f>
        <v>385100</v>
      </c>
      <c r="B247" s="57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2">
        <f ca="1">IFERROR(VLOOKUP(B247,input_385100!L:R,7,FALSE),VLOOKUP(tables_385100!C247,input_385100!A:H,8,FALSE))</f>
        <v>13288.69231</v>
      </c>
      <c r="P247" s="43">
        <f t="shared" ca="1" si="11"/>
        <v>7.3580799058693249E-3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input_385100!A$2</f>
        <v>385100</v>
      </c>
      <c r="B248" s="57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2">
        <f ca="1">IFERROR(VLOOKUP(B248,input_385100!L:R,7,FALSE),VLOOKUP(tables_385100!C248,input_385100!A:H,8,FALSE))</f>
        <v>1411.3076900000001</v>
      </c>
      <c r="P248" s="43">
        <f t="shared" ca="1" si="11"/>
        <v>7.8145497785160579E-4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input_385100!A$2</f>
        <v>385100</v>
      </c>
      <c r="B249" s="57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2">
        <f ca="1">IFERROR(VLOOKUP(B249,input_385100!L:R,7,FALSE),VLOOKUP(tables_385100!C249,input_385100!A:H,8,FALSE))</f>
        <v>0</v>
      </c>
      <c r="P249" s="43">
        <f t="shared" ca="1" si="11"/>
        <v>0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input_385100!A$2</f>
        <v>385100</v>
      </c>
      <c r="B250" s="57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2">
        <f ca="1">IFERROR(VLOOKUP(B250,input_385100!L:R,7,FALSE),VLOOKUP(tables_385100!C250,input_385100!A:H,8,FALSE))</f>
        <v>13288.69231</v>
      </c>
      <c r="P250" s="43">
        <f t="shared" ca="1" si="11"/>
        <v>7.3580799058693249E-3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input_385100!A$2</f>
        <v>385100</v>
      </c>
      <c r="B251" s="57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2">
        <f ca="1">IFERROR(VLOOKUP(B251,input_385100!L:R,7,FALSE),VLOOKUP(tables_385100!C251,input_385100!A:H,8,FALSE))</f>
        <v>1411.3076900000001</v>
      </c>
      <c r="P251" s="43">
        <f t="shared" ca="1" si="11"/>
        <v>7.8145497785160579E-4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input_385100!A$2</f>
        <v>385100</v>
      </c>
      <c r="B252" s="57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2">
        <f ca="1">IFERROR(VLOOKUP(B252,input_385100!L:R,7,FALSE),VLOOKUP(tables_385100!C252,input_385100!A:H,8,FALSE))</f>
        <v>408.5</v>
      </c>
      <c r="P252" s="43">
        <f t="shared" ca="1" si="11"/>
        <v>2.2619047619047618E-4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input_385100!A$2</f>
        <v>385100</v>
      </c>
      <c r="B253" s="57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2">
        <f ca="1">IFERROR(VLOOKUP(B253,input_385100!L:R,7,FALSE),VLOOKUP(tables_385100!C253,input_385100!A:H,8,FALSE))</f>
        <v>21.5</v>
      </c>
      <c r="P253" s="43">
        <f t="shared" ca="1" si="11"/>
        <v>1.1904761904761905E-5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input_385100!A$2</f>
        <v>385100</v>
      </c>
      <c r="B254" s="57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2">
        <f ca="1">IFERROR(VLOOKUP(B254,input_385100!L:R,7,FALSE),VLOOKUP(tables_385100!C254,input_385100!A:H,8,FALSE))</f>
        <v>408.5</v>
      </c>
      <c r="P254" s="43">
        <f t="shared" ca="1" si="11"/>
        <v>2.2619047619047618E-4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input_385100!A$2</f>
        <v>385100</v>
      </c>
      <c r="B255" s="57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2">
        <f ca="1">IFERROR(VLOOKUP(B255,input_385100!L:R,7,FALSE),VLOOKUP(tables_385100!C255,input_385100!A:H,8,FALSE))</f>
        <v>21.5</v>
      </c>
      <c r="P255" s="43">
        <f t="shared" ca="1" si="11"/>
        <v>1.1904761904761905E-5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input_385100!A$2</f>
        <v>385100</v>
      </c>
      <c r="B256" s="57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2">
        <f ca="1">IFERROR(VLOOKUP(B256,input_385100!L:R,7,FALSE),VLOOKUP(tables_385100!C256,input_385100!A:H,8,FALSE))</f>
        <v>13965</v>
      </c>
      <c r="P256" s="43">
        <f t="shared" ca="1" si="11"/>
        <v>7.7325581395348841E-3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input_385100!A$2</f>
        <v>385100</v>
      </c>
      <c r="B257" s="57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2">
        <f ca="1">IFERROR(VLOOKUP(B257,input_385100!L:R,7,FALSE),VLOOKUP(tables_385100!C257,input_385100!A:H,8,FALSE))</f>
        <v>735</v>
      </c>
      <c r="P257" s="43">
        <f t="shared" ca="1" si="11"/>
        <v>4.0697674418604653E-4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input_385100!A$2</f>
        <v>385100</v>
      </c>
      <c r="B258" s="57">
        <v>730</v>
      </c>
      <c r="C258" s="7" t="str">
        <f t="shared" ref="C258:C306" si="12">D258&amp;J258&amp;E258&amp;F258&amp;G258</f>
        <v>Premium4R3less</v>
      </c>
      <c r="D258" s="7" t="str">
        <f t="shared" ref="D258:D306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2">
        <f ca="1">IFERROR(VLOOKUP(B258,input_385100!L:R,7,FALSE),VLOOKUP(tables_385100!C258,input_385100!A:H,8,FALSE))</f>
        <v>13965</v>
      </c>
      <c r="P258" s="43">
        <f t="shared" ca="1" si="11"/>
        <v>7.7325581395348841E-3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input_385100!A$2</f>
        <v>385100</v>
      </c>
      <c r="B259" s="57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2">
        <f ca="1">IFERROR(VLOOKUP(B259,input_385100!L:R,7,FALSE),VLOOKUP(tables_385100!C259,input_385100!A:H,8,FALSE))</f>
        <v>735</v>
      </c>
      <c r="P259" s="43">
        <f t="shared" ref="P259:P306" ca="1" si="14">O259/SUM(O:O)</f>
        <v>4.0697674418604653E-4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input_385100!A$2</f>
        <v>385100</v>
      </c>
      <c r="B260" s="57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2">
        <f ca="1">IFERROR(VLOOKUP(B260,input_385100!L:R,7,FALSE),VLOOKUP(tables_385100!C260,input_385100!A:H,8,FALSE))</f>
        <v>430</v>
      </c>
      <c r="P260" s="43">
        <f t="shared" ca="1" si="14"/>
        <v>2.380952380952381E-4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input_385100!A$2</f>
        <v>385100</v>
      </c>
      <c r="B261" s="57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2">
        <f ca="1">IFERROR(VLOOKUP(B261,input_385100!L:R,7,FALSE),VLOOKUP(tables_385100!C261,input_385100!A:H,8,FALSE))</f>
        <v>430</v>
      </c>
      <c r="P261" s="43">
        <f t="shared" ca="1" si="14"/>
        <v>2.380952380952381E-4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input_385100!A$2</f>
        <v>385100</v>
      </c>
      <c r="B262" s="57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2">
        <f ca="1">IFERROR(VLOOKUP(B262,input_385100!L:R,7,FALSE),VLOOKUP(tables_385100!C262,input_385100!A:H,8,FALSE))</f>
        <v>408.5</v>
      </c>
      <c r="P262" s="43">
        <f t="shared" ca="1" si="14"/>
        <v>2.2619047619047618E-4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input_385100!A$2</f>
        <v>385100</v>
      </c>
      <c r="B263" s="57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2">
        <f ca="1">IFERROR(VLOOKUP(B263,input_385100!L:R,7,FALSE),VLOOKUP(tables_385100!C263,input_385100!A:H,8,FALSE))</f>
        <v>21.5</v>
      </c>
      <c r="P263" s="43">
        <f t="shared" ca="1" si="14"/>
        <v>1.1904761904761905E-5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input_385100!A$2</f>
        <v>385100</v>
      </c>
      <c r="B264" s="57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2">
        <f ca="1">IFERROR(VLOOKUP(B264,input_385100!L:R,7,FALSE),VLOOKUP(tables_385100!C264,input_385100!A:H,8,FALSE))</f>
        <v>408.5</v>
      </c>
      <c r="P264" s="43">
        <f t="shared" ca="1" si="14"/>
        <v>2.2619047619047618E-4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input_385100!A$2</f>
        <v>385100</v>
      </c>
      <c r="B265" s="57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2">
        <f ca="1">IFERROR(VLOOKUP(B265,input_385100!L:R,7,FALSE),VLOOKUP(tables_385100!C265,input_385100!A:H,8,FALSE))</f>
        <v>21.5</v>
      </c>
      <c r="P265" s="43">
        <f t="shared" ca="1" si="14"/>
        <v>1.1904761904761905E-5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input_385100!A$2</f>
        <v>385100</v>
      </c>
      <c r="B266" s="57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2">
        <f ca="1">IFERROR(VLOOKUP(B266,input_385100!L:R,7,FALSE),VLOOKUP(tables_385100!C266,input_385100!A:H,8,FALSE))</f>
        <v>0</v>
      </c>
      <c r="P266" s="43">
        <f t="shared" ca="1" si="14"/>
        <v>0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input_385100!A$2</f>
        <v>385100</v>
      </c>
      <c r="B267" s="57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2">
        <f ca="1">IFERROR(VLOOKUP(B267,input_385100!L:R,7,FALSE),VLOOKUP(tables_385100!C267,input_385100!A:H,8,FALSE))</f>
        <v>13288.69231</v>
      </c>
      <c r="P267" s="43">
        <f t="shared" ca="1" si="14"/>
        <v>7.3580799058693249E-3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input_385100!A$2</f>
        <v>385100</v>
      </c>
      <c r="B268" s="57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2">
        <f ca="1">IFERROR(VLOOKUP(B268,input_385100!L:R,7,FALSE),VLOOKUP(tables_385100!C268,input_385100!A:H,8,FALSE))</f>
        <v>1411.3076900000001</v>
      </c>
      <c r="P268" s="43">
        <f t="shared" ca="1" si="14"/>
        <v>7.8145497785160579E-4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input_385100!A$2</f>
        <v>385100</v>
      </c>
      <c r="B269" s="57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2">
        <f ca="1">IFERROR(VLOOKUP(B269,input_385100!L:R,7,FALSE),VLOOKUP(tables_385100!C269,input_385100!A:H,8,FALSE))</f>
        <v>0</v>
      </c>
      <c r="P269" s="43">
        <f t="shared" ca="1" si="14"/>
        <v>0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input_385100!A$2</f>
        <v>385100</v>
      </c>
      <c r="B270" s="57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2">
        <f ca="1">IFERROR(VLOOKUP(B270,input_385100!L:R,7,FALSE),VLOOKUP(tables_385100!C270,input_385100!A:H,8,FALSE))</f>
        <v>13288.69231</v>
      </c>
      <c r="P270" s="43">
        <f t="shared" ca="1" si="14"/>
        <v>7.3580799058693249E-3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input_385100!A$2</f>
        <v>385100</v>
      </c>
      <c r="B271" s="57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2">
        <f ca="1">IFERROR(VLOOKUP(B271,input_385100!L:R,7,FALSE),VLOOKUP(tables_385100!C271,input_385100!A:H,8,FALSE))</f>
        <v>1411.3076900000001</v>
      </c>
      <c r="P271" s="43">
        <f t="shared" ca="1" si="14"/>
        <v>7.8145497785160579E-4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input_385100!A$2</f>
        <v>385100</v>
      </c>
      <c r="B272" s="7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2">
        <f ca="1">IFERROR(VLOOKUP(B272,input_385100!L:R,7,FALSE),VLOOKUP(tables_385100!C272,input_385100!A:H,8,FALSE))</f>
        <v>430</v>
      </c>
      <c r="P272" s="43">
        <f t="shared" ca="1" si="14"/>
        <v>2.380952380952381E-4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input_385100!A$2</f>
        <v>385100</v>
      </c>
      <c r="B273" s="7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2">
        <f ca="1">IFERROR(VLOOKUP(B273,input_385100!L:R,7,FALSE),VLOOKUP(tables_385100!C273,input_385100!A:H,8,FALSE))</f>
        <v>430</v>
      </c>
      <c r="P273" s="43">
        <f t="shared" ca="1" si="14"/>
        <v>2.380952380952381E-4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input_385100!A$2</f>
        <v>385100</v>
      </c>
      <c r="B274" s="7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2">
        <f ca="1">IFERROR(VLOOKUP(B274,input_385100!L:R,7,FALSE),VLOOKUP(tables_385100!C274,input_385100!A:H,8,FALSE))</f>
        <v>13965</v>
      </c>
      <c r="P274" s="43">
        <f t="shared" ca="1" si="14"/>
        <v>7.7325581395348841E-3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input_385100!A$2</f>
        <v>385100</v>
      </c>
      <c r="B275" s="7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2">
        <f ca="1">IFERROR(VLOOKUP(B275,input_385100!L:R,7,FALSE),VLOOKUP(tables_385100!C275,input_385100!A:H,8,FALSE))</f>
        <v>735</v>
      </c>
      <c r="P275" s="43">
        <f t="shared" ca="1" si="14"/>
        <v>4.0697674418604653E-4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input_385100!A$2</f>
        <v>385100</v>
      </c>
      <c r="B276" s="7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2">
        <f ca="1">IFERROR(VLOOKUP(B276,input_385100!L:R,7,FALSE),VLOOKUP(tables_385100!C276,input_385100!A:H,8,FALSE))</f>
        <v>13965</v>
      </c>
      <c r="P276" s="43">
        <f t="shared" ca="1" si="14"/>
        <v>7.7325581395348841E-3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input_385100!A$2</f>
        <v>385100</v>
      </c>
      <c r="B277" s="7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2">
        <f ca="1">IFERROR(VLOOKUP(B277,input_385100!L:R,7,FALSE),VLOOKUP(tables_385100!C277,input_385100!A:H,8,FALSE))</f>
        <v>735</v>
      </c>
      <c r="P277" s="43">
        <f t="shared" ca="1" si="14"/>
        <v>4.0697674418604653E-4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input_385100!A$2</f>
        <v>385100</v>
      </c>
      <c r="B278" s="7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2">
        <f ca="1">IFERROR(VLOOKUP(B278,input_385100!L:R,7,FALSE),VLOOKUP(tables_385100!C278,input_385100!A:H,8,FALSE))</f>
        <v>13965</v>
      </c>
      <c r="P278" s="43">
        <f t="shared" ca="1" si="14"/>
        <v>7.7325581395348841E-3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input_385100!A$2</f>
        <v>385100</v>
      </c>
      <c r="B279" s="7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2">
        <f ca="1">IFERROR(VLOOKUP(B279,input_385100!L:R,7,FALSE),VLOOKUP(tables_385100!C279,input_385100!A:H,8,FALSE))</f>
        <v>735</v>
      </c>
      <c r="P279" s="43">
        <f t="shared" ca="1" si="14"/>
        <v>4.0697674418604653E-4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input_385100!A$2</f>
        <v>385100</v>
      </c>
      <c r="B280" s="7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2">
        <f ca="1">IFERROR(VLOOKUP(B280,input_385100!L:R,7,FALSE),VLOOKUP(tables_385100!C280,input_385100!A:H,8,FALSE))</f>
        <v>13965</v>
      </c>
      <c r="P280" s="43">
        <f t="shared" ca="1" si="14"/>
        <v>7.7325581395348841E-3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input_385100!A$2</f>
        <v>385100</v>
      </c>
      <c r="B281" s="7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2">
        <f ca="1">IFERROR(VLOOKUP(B281,input_385100!L:R,7,FALSE),VLOOKUP(tables_385100!C281,input_385100!A:H,8,FALSE))</f>
        <v>735</v>
      </c>
      <c r="P281" s="43">
        <f t="shared" ca="1" si="14"/>
        <v>4.0697674418604653E-4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input_385100!A$2</f>
        <v>385100</v>
      </c>
      <c r="B282" s="7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2">
        <f ca="1">IFERROR(VLOOKUP(B282,input_385100!L:R,7,FALSE),VLOOKUP(tables_385100!C282,input_385100!A:H,8,FALSE))</f>
        <v>430</v>
      </c>
      <c r="P282" s="43">
        <f t="shared" ca="1" si="14"/>
        <v>2.380952380952381E-4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input_385100!A$2</f>
        <v>385100</v>
      </c>
      <c r="B283" s="7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2">
        <f ca="1">IFERROR(VLOOKUP(B283,input_385100!L:R,7,FALSE),VLOOKUP(tables_385100!C283,input_385100!A:H,8,FALSE))</f>
        <v>430</v>
      </c>
      <c r="P283" s="43">
        <f t="shared" ca="1" si="14"/>
        <v>2.380952380952381E-4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input_385100!A$2</f>
        <v>385100</v>
      </c>
      <c r="B284" s="80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IFERROR(VLOOKUP(B284,input_385100!L:R,7,FALSE),VLOOKUP(tables_385100!C284,input_385100!A:H,8,FALSE))</f>
        <v>430</v>
      </c>
      <c r="P284" s="43">
        <f t="shared" ca="1" si="14"/>
        <v>2.380952380952381E-4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input_385100!A$2</f>
        <v>385100</v>
      </c>
      <c r="B285" s="80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IFERROR(VLOOKUP(B285,input_385100!L:R,7,FALSE),VLOOKUP(tables_385100!C285,input_385100!A:H,8,FALSE))</f>
        <v>430</v>
      </c>
      <c r="P285" s="43">
        <f t="shared" ca="1" si="14"/>
        <v>2.380952380952381E-4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input_385100!A$2</f>
        <v>385100</v>
      </c>
      <c r="B286" s="80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IFERROR(VLOOKUP(B286,input_385100!L:R,7,FALSE),VLOOKUP(tables_385100!C286,input_385100!A:H,8,FALSE))</f>
        <v>13965</v>
      </c>
      <c r="P286" s="43">
        <f t="shared" ca="1" si="14"/>
        <v>7.7325581395348841E-3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input_385100!A$2</f>
        <v>385100</v>
      </c>
      <c r="B287" s="80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IFERROR(VLOOKUP(B287,input_385100!L:R,7,FALSE),VLOOKUP(tables_385100!C287,input_385100!A:H,8,FALSE))</f>
        <v>735</v>
      </c>
      <c r="P287" s="43">
        <f t="shared" ca="1" si="14"/>
        <v>4.0697674418604653E-4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input_385100!A$2</f>
        <v>385100</v>
      </c>
      <c r="B288" s="80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IFERROR(VLOOKUP(B288,input_385100!L:R,7,FALSE),VLOOKUP(tables_385100!C288,input_385100!A:H,8,FALSE))</f>
        <v>13965</v>
      </c>
      <c r="P288" s="43">
        <f t="shared" ca="1" si="14"/>
        <v>7.7325581395348841E-3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input_385100!A$2</f>
        <v>385100</v>
      </c>
      <c r="B289" s="80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IFERROR(VLOOKUP(B289,input_385100!L:R,7,FALSE),VLOOKUP(tables_385100!C289,input_385100!A:H,8,FALSE))</f>
        <v>735</v>
      </c>
      <c r="P289" s="43">
        <f t="shared" ca="1" si="14"/>
        <v>4.0697674418604653E-4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input_385100!A$2</f>
        <v>385100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2">
        <f ca="1">IFERROR(VLOOKUP(B290,input_385100!L:R,7,FALSE),VLOOKUP(tables_385100!C290,input_385100!A:H,8,FALSE))</f>
        <v>430</v>
      </c>
      <c r="P290" s="43">
        <f t="shared" ca="1" si="14"/>
        <v>2.380952380952381E-4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input_385100!A$2</f>
        <v>385100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2">
        <f ca="1">IFERROR(VLOOKUP(B291,input_385100!L:R,7,FALSE),VLOOKUP(tables_385100!C291,input_385100!A:H,8,FALSE))</f>
        <v>13965</v>
      </c>
      <c r="P291" s="43">
        <f t="shared" ca="1" si="14"/>
        <v>7.7325581395348841E-3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input_385100!A$2</f>
        <v>385100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2">
        <f ca="1">IFERROR(VLOOKUP(B292,input_385100!L:R,7,FALSE),VLOOKUP(tables_385100!C292,input_385100!A:H,8,FALSE))</f>
        <v>735</v>
      </c>
      <c r="P292" s="43">
        <f t="shared" ca="1" si="14"/>
        <v>4.0697674418604653E-4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input_385100!A$2</f>
        <v>385100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2">
        <f ca="1">IFERROR(VLOOKUP(B293,input_385100!L:R,7,FALSE),VLOOKUP(tables_385100!C293,input_385100!A:H,8,FALSE))</f>
        <v>430</v>
      </c>
      <c r="P293" s="43">
        <f t="shared" ca="1" si="14"/>
        <v>2.380952380952381E-4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input_385100!A$2</f>
        <v>385100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IFERROR(VLOOKUP(B294,input_385100!L:R,7,FALSE),VLOOKUP(tables_385100!C294,input_385100!A:H,8,FALSE))</f>
        <v>430</v>
      </c>
      <c r="P294" s="43">
        <f t="shared" ca="1" si="14"/>
        <v>2.380952380952381E-4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input_385100!A$2</f>
        <v>385100</v>
      </c>
      <c r="B295" s="5">
        <v>1012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2">
        <f ca="1">IFERROR(VLOOKUP(B295,input_385100!L:R,7,FALSE),VLOOKUP(tables_385100!C295,input_385100!A:H,8,FALSE))</f>
        <v>430</v>
      </c>
      <c r="P295" s="43">
        <f t="shared" ca="1" si="14"/>
        <v>2.380952380952381E-4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input_385100!A$2</f>
        <v>385100</v>
      </c>
      <c r="B296" s="5">
        <v>1014</v>
      </c>
      <c r="C296" s="7" t="str">
        <f t="shared" si="12"/>
        <v>PremiumSS5R5only</v>
      </c>
      <c r="D296" s="7" t="str">
        <f t="shared" si="13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2">
        <f ca="1">IFERROR(VLOOKUP(B296,input_385100!L:R,7,FALSE),VLOOKUP(tables_385100!C296,input_385100!A:H,8,FALSE))</f>
        <v>430</v>
      </c>
      <c r="P296" s="43">
        <f t="shared" ca="1" si="14"/>
        <v>2.380952380952381E-4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input_385100!A$2</f>
        <v>385100</v>
      </c>
      <c r="B297" s="5">
        <v>1016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2">
        <f ca="1">IFERROR(VLOOKUP(B297,input_385100!L:R,7,FALSE),VLOOKUP(tables_385100!C297,input_385100!A:H,8,FALSE))</f>
        <v>13965</v>
      </c>
      <c r="P297" s="43">
        <f t="shared" ca="1" si="14"/>
        <v>7.7325581395348841E-3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input_385100!A$2</f>
        <v>385100</v>
      </c>
      <c r="B298" s="5">
        <v>1017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2">
        <f ca="1">IFERROR(VLOOKUP(B298,input_385100!L:R,7,FALSE),VLOOKUP(tables_385100!C298,input_385100!A:H,8,FALSE))</f>
        <v>735</v>
      </c>
      <c r="P298" s="43">
        <f t="shared" ca="1" si="14"/>
        <v>4.0697674418604653E-4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input_385100!A$2</f>
        <v>385100</v>
      </c>
      <c r="B299" s="5">
        <v>1018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2">
        <f ca="1">IFERROR(VLOOKUP(B299,input_385100!L:R,7,FALSE),VLOOKUP(tables_385100!C299,input_385100!A:H,8,FALSE))</f>
        <v>430</v>
      </c>
      <c r="P299" s="43">
        <f t="shared" ca="1" si="14"/>
        <v>2.380952380952381E-4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input_385100!A$2</f>
        <v>385100</v>
      </c>
      <c r="B300" s="5">
        <v>985</v>
      </c>
      <c r="C300" s="7" t="str">
        <f t="shared" si="12"/>
        <v>PremiumSS5R5only</v>
      </c>
      <c r="D300" s="7" t="str">
        <f t="shared" si="13"/>
        <v>PremiumSS</v>
      </c>
      <c r="E300" s="7" t="str">
        <f>IF(COUNTIF('R6追加前'!A:A,B300)=0,IF(I300="PremiumSS","R5only","R3less"),"")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エレン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balance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>IFERROR(VLOOKUP(B300,input_385100!L:R,7,FALSE),VLOOKUP(tables_385100!C300,input_385100!A:H,8,FALSE))</f>
        <v>72240</v>
      </c>
      <c r="P300" s="43">
        <f t="shared" ca="1" si="14"/>
        <v>0.04</v>
      </c>
      <c r="Q300" s="28">
        <v>80</v>
      </c>
      <c r="R300" s="28">
        <v>0</v>
      </c>
      <c r="S300" s="28">
        <v>0</v>
      </c>
      <c r="T300" s="28">
        <v>0</v>
      </c>
      <c r="U300" s="28">
        <v>0</v>
      </c>
      <c r="V300" s="28">
        <v>3</v>
      </c>
    </row>
    <row r="301" spans="1:22" ht="21" customHeight="1" x14ac:dyDescent="0.15">
      <c r="A301" s="2" t="str">
        <f ca="1">input_385100!A$2</f>
        <v>385100</v>
      </c>
      <c r="B301" s="5">
        <v>992</v>
      </c>
      <c r="C301" s="7" t="str">
        <f t="shared" si="12"/>
        <v>Premium4R3less</v>
      </c>
      <c r="D301" s="7" t="str">
        <f t="shared" si="1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ハンジ</v>
      </c>
      <c r="I301" s="7" t="str">
        <f>VLOOKUP(B301,[1]characters!$A:$J,10,FALSE)</f>
        <v>PremiumS</v>
      </c>
      <c r="J301" s="7">
        <f>VLOOKUP(B301,[1]characters!$A:$I,9,FALSE)</f>
        <v>4</v>
      </c>
      <c r="K301" s="7" t="str">
        <f>VLOOKUP(B301,[1]characters!$A:$H,8,FALSE)</f>
        <v>green</v>
      </c>
      <c r="L301" s="7" t="str">
        <f>VLOOKUP(B301,[1]characters!$A:$K,11,FALSE)</f>
        <v>technical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2">
        <f>IFERROR(VLOOKUP(B301,input_385100!L:R,7,FALSE),VLOOKUP(tables_385100!C301,input_385100!A:H,8,FALSE))</f>
        <v>81270</v>
      </c>
      <c r="P301" s="43">
        <f t="shared" ca="1" si="14"/>
        <v>4.4999999999999998E-2</v>
      </c>
      <c r="Q301" s="28">
        <v>60</v>
      </c>
      <c r="R301" s="28">
        <v>0</v>
      </c>
      <c r="S301" s="28">
        <v>0</v>
      </c>
      <c r="T301" s="28">
        <v>0</v>
      </c>
      <c r="U301" s="28">
        <v>0</v>
      </c>
      <c r="V301" s="28">
        <v>3</v>
      </c>
    </row>
    <row r="302" spans="1:22" ht="21" customHeight="1" x14ac:dyDescent="0.15">
      <c r="A302" s="2" t="str">
        <f ca="1">input_385100!A$2</f>
        <v>385100</v>
      </c>
      <c r="B302" s="5">
        <v>993</v>
      </c>
      <c r="C302" s="7" t="str">
        <f t="shared" si="12"/>
        <v>Premium5R3less</v>
      </c>
      <c r="D302" s="7" t="str">
        <f t="shared" si="13"/>
        <v>Premium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巨躯への執着 ハンジ</v>
      </c>
      <c r="I302" s="7" t="str">
        <f>VLOOKUP(B302,[1]characters!$A:$J,10,FALSE)</f>
        <v>PremiumS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2">
        <f>IFERROR(VLOOKUP(B302,input_385100!L:R,7,FALSE),VLOOKUP(tables_385100!C302,input_385100!A:H,8,FALSE))</f>
        <v>9030</v>
      </c>
      <c r="P302" s="43">
        <f t="shared" ca="1" si="14"/>
        <v>5.0000000000000001E-3</v>
      </c>
      <c r="Q302" s="28">
        <v>80</v>
      </c>
      <c r="R302" s="28">
        <v>0</v>
      </c>
      <c r="S302" s="28">
        <v>0</v>
      </c>
      <c r="T302" s="28">
        <v>0</v>
      </c>
      <c r="U302" s="28">
        <v>0</v>
      </c>
      <c r="V302" s="28">
        <v>3</v>
      </c>
    </row>
    <row r="303" spans="1:22" ht="21" customHeight="1" x14ac:dyDescent="0.15">
      <c r="A303" s="2" t="str">
        <f ca="1">input_385100!A$2</f>
        <v>385100</v>
      </c>
      <c r="B303" s="5">
        <v>998</v>
      </c>
      <c r="C303" s="7" t="str">
        <f t="shared" si="12"/>
        <v>Premium4R3less</v>
      </c>
      <c r="D303" s="7" t="str">
        <f t="shared" si="13"/>
        <v>Premium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サシャ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hp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2">
        <f>IFERROR(VLOOKUP(B303,input_385100!L:R,7,FALSE),VLOOKUP(tables_385100!C303,input_385100!A:H,8,FALSE))</f>
        <v>162540</v>
      </c>
      <c r="P303" s="43">
        <f t="shared" ca="1" si="14"/>
        <v>0.09</v>
      </c>
      <c r="Q303" s="28">
        <v>60</v>
      </c>
      <c r="R303" s="28">
        <v>0</v>
      </c>
      <c r="S303" s="28">
        <v>0</v>
      </c>
      <c r="T303" s="28">
        <v>0</v>
      </c>
      <c r="U303" s="28">
        <v>0</v>
      </c>
      <c r="V303" s="28">
        <v>3</v>
      </c>
    </row>
    <row r="304" spans="1:22" ht="21" customHeight="1" x14ac:dyDescent="0.15">
      <c r="A304" s="2" t="str">
        <f ca="1">input_385100!A$2</f>
        <v>385100</v>
      </c>
      <c r="B304" s="5">
        <v>999</v>
      </c>
      <c r="C304" s="7" t="str">
        <f t="shared" si="12"/>
        <v>Premium5R3less</v>
      </c>
      <c r="D304" s="7" t="str">
        <f t="shared" si="13"/>
        <v>Premium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無尽蔵の食猟 サシャ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hp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2">
        <f>IFERROR(VLOOKUP(B304,input_385100!L:R,7,FALSE),VLOOKUP(tables_385100!C304,input_385100!A:H,8,FALSE))</f>
        <v>18060</v>
      </c>
      <c r="P304" s="43">
        <f t="shared" ca="1" si="14"/>
        <v>0.01</v>
      </c>
      <c r="Q304" s="28">
        <v>80</v>
      </c>
      <c r="R304" s="28">
        <v>0</v>
      </c>
      <c r="S304" s="28">
        <v>0</v>
      </c>
      <c r="T304" s="28">
        <v>0</v>
      </c>
      <c r="U304" s="28">
        <v>0</v>
      </c>
      <c r="V304" s="28">
        <v>3</v>
      </c>
    </row>
    <row r="305" spans="1:22" ht="21" customHeight="1" x14ac:dyDescent="0.15">
      <c r="A305" s="2" t="str">
        <f ca="1">input_385100!A$2</f>
        <v>385100</v>
      </c>
      <c r="B305" s="5">
        <v>1002</v>
      </c>
      <c r="C305" s="7" t="str">
        <f t="shared" si="12"/>
        <v>Premium4R3less</v>
      </c>
      <c r="D305" s="7" t="str">
        <f t="shared" si="13"/>
        <v>Premium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ジャン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yellow</v>
      </c>
      <c r="L305" s="7" t="str">
        <f>VLOOKUP(B305,[1]characters!$A:$K,11,FALSE)</f>
        <v>balance</v>
      </c>
      <c r="M305" s="7" t="str">
        <f>VLOOKUP(B305,[1]characters!$A:$M,13,FALSE)</f>
        <v>human</v>
      </c>
      <c r="N305" s="7" t="str">
        <f>VLOOKUP(B305,[1]characters!$A:$G,7,FALSE)</f>
        <v>男性</v>
      </c>
      <c r="O305" s="42">
        <f>IFERROR(VLOOKUP(B305,input_385100!L:R,7,FALSE),VLOOKUP(tables_385100!C305,input_385100!A:H,8,FALSE))</f>
        <v>162540</v>
      </c>
      <c r="P305" s="43">
        <f t="shared" ca="1" si="14"/>
        <v>0.09</v>
      </c>
      <c r="Q305" s="28">
        <v>60</v>
      </c>
      <c r="R305" s="28">
        <v>0</v>
      </c>
      <c r="S305" s="28">
        <v>0</v>
      </c>
      <c r="T305" s="28">
        <v>0</v>
      </c>
      <c r="U305" s="28">
        <v>0</v>
      </c>
      <c r="V305" s="28">
        <v>3</v>
      </c>
    </row>
    <row r="306" spans="1:22" ht="21" customHeight="1" x14ac:dyDescent="0.15">
      <c r="A306" s="2" t="str">
        <f ca="1">input_385100!A$2</f>
        <v>385100</v>
      </c>
      <c r="B306" s="5">
        <v>1003</v>
      </c>
      <c r="C306" s="7" t="str">
        <f t="shared" si="12"/>
        <v>Premium5R3less</v>
      </c>
      <c r="D306" s="7" t="str">
        <f t="shared" si="13"/>
        <v>Premium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真義の勇抱 ジャン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yellow</v>
      </c>
      <c r="L306" s="7" t="str">
        <f>VLOOKUP(B306,[1]characters!$A:$K,11,FALSE)</f>
        <v>balance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>IFERROR(VLOOKUP(B306,input_385100!L:R,7,FALSE),VLOOKUP(tables_385100!C306,input_385100!A:H,8,FALSE))</f>
        <v>18060</v>
      </c>
      <c r="P306" s="43">
        <f t="shared" ca="1" si="14"/>
        <v>0.01</v>
      </c>
      <c r="Q306" s="28">
        <v>80</v>
      </c>
      <c r="R306" s="28">
        <v>0</v>
      </c>
      <c r="S306" s="28">
        <v>0</v>
      </c>
      <c r="T306" s="28">
        <v>0</v>
      </c>
      <c r="U306" s="28">
        <v>0</v>
      </c>
      <c r="V306" s="28">
        <v>3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Q3" sqref="Q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12</v>
      </c>
      <c r="C1" s="14" t="s">
        <v>14</v>
      </c>
      <c r="D1" s="14" t="s">
        <v>15</v>
      </c>
      <c r="E1" s="14" t="s">
        <v>16</v>
      </c>
      <c r="F1" s="13" t="s">
        <v>2</v>
      </c>
      <c r="G1" s="49" t="s">
        <v>86</v>
      </c>
      <c r="H1" s="49" t="s">
        <v>87</v>
      </c>
      <c r="I1" s="50" t="s">
        <v>88</v>
      </c>
      <c r="J1" s="50" t="s">
        <v>89</v>
      </c>
      <c r="K1" s="50" t="s">
        <v>90</v>
      </c>
      <c r="L1" s="50" t="s">
        <v>91</v>
      </c>
      <c r="M1" s="50" t="s">
        <v>92</v>
      </c>
      <c r="N1" s="13" t="s">
        <v>17</v>
      </c>
      <c r="O1" s="13" t="s">
        <v>18</v>
      </c>
      <c r="P1" s="13" t="s">
        <v>19</v>
      </c>
      <c r="Q1" s="13" t="s">
        <v>20</v>
      </c>
    </row>
    <row r="2" spans="1:17" ht="21" customHeight="1" x14ac:dyDescent="0.15">
      <c r="A2" s="71" t="s">
        <v>237</v>
      </c>
      <c r="B2" s="71" t="str">
        <f>A2&amp;1</f>
        <v>3851031</v>
      </c>
      <c r="C2" s="2" t="s">
        <v>207</v>
      </c>
      <c r="D2" s="2">
        <v>837</v>
      </c>
      <c r="E2" s="2">
        <v>1</v>
      </c>
      <c r="F2" s="2">
        <v>1</v>
      </c>
      <c r="G2" s="104">
        <v>0</v>
      </c>
      <c r="H2" s="104">
        <v>0</v>
      </c>
      <c r="I2" s="104">
        <v>0</v>
      </c>
      <c r="J2" s="104">
        <v>0</v>
      </c>
      <c r="K2" s="104">
        <v>1</v>
      </c>
      <c r="L2" s="104">
        <v>1</v>
      </c>
      <c r="M2" s="104">
        <v>1</v>
      </c>
      <c r="N2" s="72" t="s">
        <v>187</v>
      </c>
      <c r="O2" s="72" t="s">
        <v>232</v>
      </c>
      <c r="P2" s="72" t="s">
        <v>238</v>
      </c>
      <c r="Q2" s="73" t="s">
        <v>233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31</v>
      </c>
      <c r="B1" s="3" t="s">
        <v>32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F28" sqref="F28"/>
    </sheetView>
  </sheetViews>
  <sheetFormatPr baseColWidth="12" defaultRowHeight="14" x14ac:dyDescent="0.15"/>
  <sheetData>
    <row r="1" spans="1:2" x14ac:dyDescent="0.15">
      <c r="A1" s="35" t="s">
        <v>59</v>
      </c>
      <c r="B1" s="35"/>
    </row>
    <row r="2" spans="1:2" x14ac:dyDescent="0.15">
      <c r="A2" s="30" t="s">
        <v>1</v>
      </c>
      <c r="B2" s="34" t="s">
        <v>63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30">
        <v>169</v>
      </c>
      <c r="B6" s="34" t="str">
        <f>VLOOKUP(A6,[1]characters!$A:$C,3,FALSE)</f>
        <v>オセ</v>
      </c>
    </row>
    <row r="7" spans="1:2" x14ac:dyDescent="0.15">
      <c r="A7" s="30">
        <v>170</v>
      </c>
      <c r="B7" s="34" t="str">
        <f>VLOOKUP(A7,[1]characters!$A:$C,3,FALSE)</f>
        <v>識徒 オセ</v>
      </c>
    </row>
    <row r="8" spans="1:2" x14ac:dyDescent="0.15">
      <c r="A8" s="30">
        <v>171</v>
      </c>
      <c r="B8" s="34" t="str">
        <f>VLOOKUP(A8,[1]characters!$A:$C,3,FALSE)</f>
        <v>精解の預知者 オセ</v>
      </c>
    </row>
    <row r="9" spans="1:2" x14ac:dyDescent="0.15">
      <c r="A9" s="30">
        <v>172</v>
      </c>
      <c r="B9" s="34" t="str">
        <f>VLOOKUP(A9,[1]characters!$A:$C,3,FALSE)</f>
        <v>フォルネウス</v>
      </c>
    </row>
    <row r="10" spans="1:2" x14ac:dyDescent="0.15">
      <c r="A10" s="30">
        <v>173</v>
      </c>
      <c r="B10" s="34" t="str">
        <f>VLOOKUP(A10,[1]characters!$A:$C,3,FALSE)</f>
        <v>公爵 フォルネウス</v>
      </c>
    </row>
    <row r="11" spans="1:2" x14ac:dyDescent="0.15">
      <c r="A11" s="30">
        <v>174</v>
      </c>
      <c r="B11" s="34" t="str">
        <f>VLOOKUP(A11,[1]characters!$A:$C,3,FALSE)</f>
        <v>偽愛の大公爵 フォルネウス</v>
      </c>
    </row>
    <row r="12" spans="1:2" x14ac:dyDescent="0.15">
      <c r="A12" s="30">
        <v>235</v>
      </c>
      <c r="B12" s="34" t="str">
        <f>VLOOKUP(A12,[1]characters!$A:$C,3,FALSE)</f>
        <v>イザナミ</v>
      </c>
    </row>
    <row r="13" spans="1:2" x14ac:dyDescent="0.15">
      <c r="A13" s="30">
        <v>236</v>
      </c>
      <c r="B13" s="34" t="str">
        <f>VLOOKUP(A13,[1]characters!$A:$C,3,FALSE)</f>
        <v>神産 イザナミ</v>
      </c>
    </row>
    <row r="14" spans="1:2" x14ac:dyDescent="0.15">
      <c r="A14" s="30">
        <v>237</v>
      </c>
      <c r="B14" s="34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確率の考え方</vt:lpstr>
      <vt:lpstr>Sheet1</vt:lpstr>
      <vt:lpstr>output</vt:lpstr>
      <vt:lpstr>input_385101</vt:lpstr>
      <vt:lpstr>tables_385101</vt:lpstr>
      <vt:lpstr>input_385103</vt:lpstr>
      <vt:lpstr>tables_385103</vt:lpstr>
      <vt:lpstr>input_385104</vt:lpstr>
      <vt:lpstr>tables_385104</vt:lpstr>
      <vt:lpstr>input_385105</vt:lpstr>
      <vt:lpstr>tables_385105</vt:lpstr>
      <vt:lpstr>input_385100</vt:lpstr>
      <vt:lpstr>tables_385100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2016-08-04T05:38:49Z</dcterms:modified>
</cp:coreProperties>
</file>