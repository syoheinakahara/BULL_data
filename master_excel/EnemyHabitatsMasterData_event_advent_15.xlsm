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9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ukutani/Documents/BULL_data/master_excel/"/>
    </mc:Choice>
  </mc:AlternateContent>
  <bookViews>
    <workbookView xWindow="340" yWindow="460" windowWidth="28340" windowHeight="174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1" l="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2" i="21"/>
  <c r="I2" i="21"/>
  <c r="J2" i="21"/>
  <c r="G2" i="21"/>
  <c r="F2" i="21"/>
  <c r="D2" i="21"/>
  <c r="C2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O103" i="9"/>
  <c r="N103" i="9"/>
  <c r="M103" i="9"/>
  <c r="L103" i="9"/>
  <c r="K103" i="9"/>
  <c r="J103" i="9"/>
  <c r="I103" i="9"/>
  <c r="H103" i="9"/>
  <c r="G103" i="9"/>
  <c r="E103" i="9"/>
  <c r="D103" i="9"/>
  <c r="A103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2" i="9"/>
  <c r="N92" i="9"/>
  <c r="M92" i="9"/>
  <c r="L92" i="9"/>
  <c r="K92" i="9"/>
  <c r="J92" i="9"/>
  <c r="I92" i="9"/>
  <c r="H92" i="9"/>
  <c r="G92" i="9"/>
  <c r="E92" i="9"/>
  <c r="D92" i="9"/>
  <c r="A92" i="9"/>
  <c r="O90" i="9"/>
  <c r="N90" i="9"/>
  <c r="M90" i="9"/>
  <c r="L90" i="9"/>
  <c r="K90" i="9"/>
  <c r="J90" i="9"/>
  <c r="I90" i="9"/>
  <c r="H90" i="9"/>
  <c r="G90" i="9"/>
  <c r="E90" i="9"/>
  <c r="D90" i="9"/>
  <c r="A90" i="9"/>
  <c r="O88" i="9"/>
  <c r="N88" i="9"/>
  <c r="M88" i="9"/>
  <c r="L88" i="9"/>
  <c r="K88" i="9"/>
  <c r="J88" i="9"/>
  <c r="I88" i="9"/>
  <c r="H88" i="9"/>
  <c r="G88" i="9"/>
  <c r="E88" i="9"/>
  <c r="D88" i="9"/>
  <c r="A88" i="9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O72" i="9"/>
  <c r="N72" i="9"/>
  <c r="M72" i="9"/>
  <c r="L72" i="9"/>
  <c r="K72" i="9"/>
  <c r="J72" i="9"/>
  <c r="I72" i="9"/>
  <c r="H72" i="9"/>
  <c r="G72" i="9"/>
  <c r="E72" i="9"/>
  <c r="D72" i="9"/>
  <c r="A72" i="9"/>
  <c r="O70" i="9"/>
  <c r="N70" i="9"/>
  <c r="M70" i="9"/>
  <c r="L70" i="9"/>
  <c r="K70" i="9"/>
  <c r="J70" i="9"/>
  <c r="I70" i="9"/>
  <c r="H70" i="9"/>
  <c r="G70" i="9"/>
  <c r="E70" i="9"/>
  <c r="D70" i="9"/>
  <c r="A70" i="9"/>
  <c r="O69" i="9"/>
  <c r="N69" i="9"/>
  <c r="M69" i="9"/>
  <c r="L69" i="9"/>
  <c r="K69" i="9"/>
  <c r="J69" i="9"/>
  <c r="I69" i="9"/>
  <c r="H69" i="9"/>
  <c r="G69" i="9"/>
  <c r="E69" i="9"/>
  <c r="D69" i="9"/>
  <c r="A69" i="9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1" i="9"/>
  <c r="N61" i="9"/>
  <c r="M61" i="9"/>
  <c r="L61" i="9"/>
  <c r="K61" i="9"/>
  <c r="J61" i="9"/>
  <c r="I61" i="9"/>
  <c r="H61" i="9"/>
  <c r="G61" i="9"/>
  <c r="E61" i="9"/>
  <c r="D61" i="9"/>
  <c r="A61" i="9"/>
  <c r="O59" i="9"/>
  <c r="N59" i="9"/>
  <c r="M59" i="9"/>
  <c r="L59" i="9"/>
  <c r="K59" i="9"/>
  <c r="J59" i="9"/>
  <c r="I59" i="9"/>
  <c r="H59" i="9"/>
  <c r="G59" i="9"/>
  <c r="E59" i="9"/>
  <c r="D59" i="9"/>
  <c r="A59" i="9"/>
  <c r="O57" i="9"/>
  <c r="N57" i="9"/>
  <c r="M57" i="9"/>
  <c r="L57" i="9"/>
  <c r="K57" i="9"/>
  <c r="J57" i="9"/>
  <c r="I57" i="9"/>
  <c r="H57" i="9"/>
  <c r="G57" i="9"/>
  <c r="E57" i="9"/>
  <c r="D57" i="9"/>
  <c r="A57" i="9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O49" i="9"/>
  <c r="N49" i="9"/>
  <c r="M49" i="9"/>
  <c r="L49" i="9"/>
  <c r="K49" i="9"/>
  <c r="J49" i="9"/>
  <c r="I49" i="9"/>
  <c r="H49" i="9"/>
  <c r="G49" i="9"/>
  <c r="E49" i="9"/>
  <c r="D49" i="9"/>
  <c r="A49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8" i="9"/>
  <c r="N38" i="9"/>
  <c r="M38" i="9"/>
  <c r="L38" i="9"/>
  <c r="K38" i="9"/>
  <c r="J38" i="9"/>
  <c r="I38" i="9"/>
  <c r="H38" i="9"/>
  <c r="G38" i="9"/>
  <c r="E38" i="9"/>
  <c r="D38" i="9"/>
  <c r="A38" i="9"/>
  <c r="O36" i="9"/>
  <c r="N36" i="9"/>
  <c r="M36" i="9"/>
  <c r="L36" i="9"/>
  <c r="K36" i="9"/>
  <c r="J36" i="9"/>
  <c r="I36" i="9"/>
  <c r="H36" i="9"/>
  <c r="G36" i="9"/>
  <c r="E36" i="9"/>
  <c r="D36" i="9"/>
  <c r="A36" i="9"/>
  <c r="O34" i="9"/>
  <c r="N34" i="9"/>
  <c r="M34" i="9"/>
  <c r="L34" i="9"/>
  <c r="K34" i="9"/>
  <c r="J34" i="9"/>
  <c r="I34" i="9"/>
  <c r="H34" i="9"/>
  <c r="G34" i="9"/>
  <c r="E34" i="9"/>
  <c r="D34" i="9"/>
  <c r="A34" i="9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J81" i="11"/>
  <c r="O11" i="9"/>
  <c r="N11" i="9"/>
  <c r="M11" i="9"/>
  <c r="L11" i="9"/>
  <c r="K11" i="9"/>
  <c r="J11" i="9"/>
  <c r="I11" i="9"/>
  <c r="H11" i="9"/>
  <c r="G11" i="9"/>
  <c r="E11" i="9"/>
  <c r="D11" i="9"/>
  <c r="A11" i="9"/>
  <c r="J80" i="11"/>
  <c r="O9" i="9"/>
  <c r="N9" i="9"/>
  <c r="M9" i="9"/>
  <c r="L9" i="9"/>
  <c r="K9" i="9"/>
  <c r="J9" i="9"/>
  <c r="I9" i="9"/>
  <c r="H9" i="9"/>
  <c r="G9" i="9"/>
  <c r="E9" i="9"/>
  <c r="D9" i="9"/>
  <c r="A9" i="9"/>
  <c r="J63" i="11"/>
  <c r="O85" i="9"/>
  <c r="N85" i="9"/>
  <c r="M85" i="9"/>
  <c r="L85" i="9"/>
  <c r="K85" i="9"/>
  <c r="J85" i="9"/>
  <c r="I85" i="9"/>
  <c r="H85" i="9"/>
  <c r="G85" i="9"/>
  <c r="E85" i="9"/>
  <c r="D85" i="9"/>
  <c r="A85" i="9"/>
  <c r="J61" i="11"/>
  <c r="O84" i="9"/>
  <c r="N84" i="9"/>
  <c r="M84" i="9"/>
  <c r="L84" i="9"/>
  <c r="K84" i="9"/>
  <c r="J84" i="9"/>
  <c r="I84" i="9"/>
  <c r="H84" i="9"/>
  <c r="G84" i="9"/>
  <c r="E84" i="9"/>
  <c r="D84" i="9"/>
  <c r="A84" i="9"/>
  <c r="J56" i="11"/>
  <c r="J52" i="11"/>
  <c r="O83" i="9"/>
  <c r="N83" i="9"/>
  <c r="M83" i="9"/>
  <c r="L83" i="9"/>
  <c r="K83" i="9"/>
  <c r="J83" i="9"/>
  <c r="I83" i="9"/>
  <c r="H83" i="9"/>
  <c r="G83" i="9"/>
  <c r="E83" i="9"/>
  <c r="D83" i="9"/>
  <c r="A83" i="9"/>
  <c r="M61" i="10"/>
  <c r="T61" i="10"/>
  <c r="W61" i="10"/>
  <c r="V61" i="10"/>
  <c r="X61" i="10"/>
  <c r="U61" i="10"/>
  <c r="Y61" i="10"/>
  <c r="M71" i="10"/>
  <c r="N71" i="10"/>
  <c r="Q71" i="10"/>
  <c r="P71" i="10"/>
  <c r="R71" i="10"/>
  <c r="O71" i="10"/>
  <c r="S7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M70" i="10"/>
  <c r="N70" i="10"/>
  <c r="Q70" i="10"/>
  <c r="P70" i="10"/>
  <c r="R70" i="10"/>
  <c r="O70" i="10"/>
  <c r="S7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5" i="10"/>
  <c r="T55" i="10"/>
  <c r="W55" i="10"/>
  <c r="V55" i="10"/>
  <c r="X55" i="10"/>
  <c r="U55" i="10"/>
  <c r="Y55" i="10"/>
  <c r="M65" i="10"/>
  <c r="M75" i="10"/>
  <c r="N75" i="10"/>
  <c r="Q75" i="10"/>
  <c r="P75" i="10"/>
  <c r="R75" i="10"/>
  <c r="O75" i="10"/>
  <c r="S75" i="10"/>
  <c r="N65" i="10"/>
  <c r="Q65" i="10"/>
  <c r="P65" i="10"/>
  <c r="R65" i="10"/>
  <c r="O65" i="10"/>
  <c r="S6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6" i="10"/>
  <c r="T56" i="10"/>
  <c r="W56" i="10"/>
  <c r="V56" i="10"/>
  <c r="X56" i="10"/>
  <c r="U56" i="10"/>
  <c r="Y56" i="10"/>
  <c r="M66" i="10"/>
  <c r="M76" i="10"/>
  <c r="N76" i="10"/>
  <c r="Q76" i="10"/>
  <c r="P76" i="10"/>
  <c r="R76" i="10"/>
  <c r="O76" i="10"/>
  <c r="S76" i="10"/>
  <c r="N66" i="10"/>
  <c r="Q66" i="10"/>
  <c r="P66" i="10"/>
  <c r="R66" i="10"/>
  <c r="O66" i="10"/>
  <c r="S6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3" i="10"/>
  <c r="T53" i="10"/>
  <c r="W53" i="10"/>
  <c r="V53" i="10"/>
  <c r="X53" i="10"/>
  <c r="U53" i="10"/>
  <c r="Y53" i="10"/>
  <c r="M63" i="10"/>
  <c r="M73" i="10"/>
  <c r="N73" i="10"/>
  <c r="Q73" i="10"/>
  <c r="P73" i="10"/>
  <c r="R73" i="10"/>
  <c r="O73" i="10"/>
  <c r="S73" i="10"/>
  <c r="N63" i="10"/>
  <c r="Q63" i="10"/>
  <c r="P63" i="10"/>
  <c r="R63" i="10"/>
  <c r="O63" i="10"/>
  <c r="S6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J51" i="11"/>
  <c r="O75" i="9"/>
  <c r="N75" i="9"/>
  <c r="M75" i="9"/>
  <c r="L75" i="9"/>
  <c r="K75" i="9"/>
  <c r="J75" i="9"/>
  <c r="I75" i="9"/>
  <c r="H75" i="9"/>
  <c r="G75" i="9"/>
  <c r="E75" i="9"/>
  <c r="D75" i="9"/>
  <c r="A75" i="9"/>
  <c r="J74" i="11"/>
  <c r="O106" i="9"/>
  <c r="N106" i="9"/>
  <c r="M106" i="9"/>
  <c r="L106" i="9"/>
  <c r="K106" i="9"/>
  <c r="J106" i="9"/>
  <c r="I106" i="9"/>
  <c r="H106" i="9"/>
  <c r="G106" i="9"/>
  <c r="E106" i="9"/>
  <c r="D106" i="9"/>
  <c r="A106" i="9"/>
  <c r="J73" i="11"/>
  <c r="O105" i="9"/>
  <c r="N105" i="9"/>
  <c r="M105" i="9"/>
  <c r="L105" i="9"/>
  <c r="K105" i="9"/>
  <c r="J105" i="9"/>
  <c r="I105" i="9"/>
  <c r="H105" i="9"/>
  <c r="G105" i="9"/>
  <c r="E105" i="9"/>
  <c r="D105" i="9"/>
  <c r="A105" i="9"/>
  <c r="J71" i="11"/>
  <c r="J70" i="11"/>
  <c r="J69" i="11"/>
  <c r="J68" i="11"/>
  <c r="J67" i="11"/>
  <c r="J66" i="11"/>
  <c r="J65" i="11"/>
  <c r="J79" i="11"/>
  <c r="O20" i="9"/>
  <c r="N20" i="9"/>
  <c r="M20" i="9"/>
  <c r="L20" i="9"/>
  <c r="K20" i="9"/>
  <c r="J20" i="9"/>
  <c r="I20" i="9"/>
  <c r="H20" i="9"/>
  <c r="G20" i="9"/>
  <c r="E20" i="9"/>
  <c r="D20" i="9"/>
  <c r="A20" i="9"/>
  <c r="J78" i="11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10" i="9"/>
  <c r="H10" i="9"/>
  <c r="I10" i="9"/>
  <c r="J10" i="9"/>
  <c r="K10" i="9"/>
  <c r="L10" i="9"/>
  <c r="M10" i="9"/>
  <c r="N10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5" i="9"/>
  <c r="H35" i="9"/>
  <c r="I35" i="9"/>
  <c r="J35" i="9"/>
  <c r="K35" i="9"/>
  <c r="L35" i="9"/>
  <c r="M35" i="9"/>
  <c r="N35" i="9"/>
  <c r="G37" i="9"/>
  <c r="H37" i="9"/>
  <c r="I37" i="9"/>
  <c r="J37" i="9"/>
  <c r="K37" i="9"/>
  <c r="L37" i="9"/>
  <c r="M37" i="9"/>
  <c r="N37" i="9"/>
  <c r="G39" i="9"/>
  <c r="H39" i="9"/>
  <c r="I39" i="9"/>
  <c r="J39" i="9"/>
  <c r="K39" i="9"/>
  <c r="L39" i="9"/>
  <c r="M39" i="9"/>
  <c r="N39" i="9"/>
  <c r="G42" i="9"/>
  <c r="H42" i="9"/>
  <c r="I42" i="9"/>
  <c r="J42" i="9"/>
  <c r="K42" i="9"/>
  <c r="L42" i="9"/>
  <c r="M42" i="9"/>
  <c r="N42" i="9"/>
  <c r="G45" i="9"/>
  <c r="H45" i="9"/>
  <c r="I45" i="9"/>
  <c r="J45" i="9"/>
  <c r="K45" i="9"/>
  <c r="L45" i="9"/>
  <c r="M45" i="9"/>
  <c r="N45" i="9"/>
  <c r="G48" i="9"/>
  <c r="H48" i="9"/>
  <c r="I48" i="9"/>
  <c r="J48" i="9"/>
  <c r="K48" i="9"/>
  <c r="L48" i="9"/>
  <c r="M48" i="9"/>
  <c r="N48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G58" i="9"/>
  <c r="H58" i="9"/>
  <c r="I58" i="9"/>
  <c r="J58" i="9"/>
  <c r="K58" i="9"/>
  <c r="L58" i="9"/>
  <c r="M58" i="9"/>
  <c r="N58" i="9"/>
  <c r="G60" i="9"/>
  <c r="H60" i="9"/>
  <c r="I60" i="9"/>
  <c r="J60" i="9"/>
  <c r="K60" i="9"/>
  <c r="L60" i="9"/>
  <c r="M60" i="9"/>
  <c r="N60" i="9"/>
  <c r="G62" i="9"/>
  <c r="H62" i="9"/>
  <c r="I62" i="9"/>
  <c r="J62" i="9"/>
  <c r="K62" i="9"/>
  <c r="L62" i="9"/>
  <c r="M62" i="9"/>
  <c r="N62" i="9"/>
  <c r="G65" i="9"/>
  <c r="H65" i="9"/>
  <c r="I65" i="9"/>
  <c r="J65" i="9"/>
  <c r="K65" i="9"/>
  <c r="L65" i="9"/>
  <c r="M65" i="9"/>
  <c r="N65" i="9"/>
  <c r="G68" i="9"/>
  <c r="H68" i="9"/>
  <c r="I68" i="9"/>
  <c r="J68" i="9"/>
  <c r="K68" i="9"/>
  <c r="L68" i="9"/>
  <c r="M68" i="9"/>
  <c r="N68" i="9"/>
  <c r="G71" i="9"/>
  <c r="H71" i="9"/>
  <c r="I71" i="9"/>
  <c r="J71" i="9"/>
  <c r="K71" i="9"/>
  <c r="L71" i="9"/>
  <c r="M71" i="9"/>
  <c r="N71" i="9"/>
  <c r="G73" i="9"/>
  <c r="H73" i="9"/>
  <c r="I73" i="9"/>
  <c r="J73" i="9"/>
  <c r="K73" i="9"/>
  <c r="L73" i="9"/>
  <c r="M73" i="9"/>
  <c r="N73" i="9"/>
  <c r="G74" i="9"/>
  <c r="H74" i="9"/>
  <c r="I74" i="9"/>
  <c r="J74" i="9"/>
  <c r="K74" i="9"/>
  <c r="L74" i="9"/>
  <c r="M74" i="9"/>
  <c r="N74" i="9"/>
  <c r="G76" i="9"/>
  <c r="H76" i="9"/>
  <c r="I76" i="9"/>
  <c r="J76" i="9"/>
  <c r="K76" i="9"/>
  <c r="L76" i="9"/>
  <c r="M76" i="9"/>
  <c r="N76" i="9"/>
  <c r="G77" i="9"/>
  <c r="H77" i="9"/>
  <c r="I77" i="9"/>
  <c r="J77" i="9"/>
  <c r="K77" i="9"/>
  <c r="L77" i="9"/>
  <c r="M77" i="9"/>
  <c r="N77" i="9"/>
  <c r="G78" i="9"/>
  <c r="H78" i="9"/>
  <c r="I78" i="9"/>
  <c r="J78" i="9"/>
  <c r="K78" i="9"/>
  <c r="L78" i="9"/>
  <c r="M78" i="9"/>
  <c r="N78" i="9"/>
  <c r="G79" i="9"/>
  <c r="H79" i="9"/>
  <c r="I79" i="9"/>
  <c r="J79" i="9"/>
  <c r="K79" i="9"/>
  <c r="L79" i="9"/>
  <c r="M79" i="9"/>
  <c r="N79" i="9"/>
  <c r="G80" i="9"/>
  <c r="H80" i="9"/>
  <c r="I80" i="9"/>
  <c r="J80" i="9"/>
  <c r="K80" i="9"/>
  <c r="L80" i="9"/>
  <c r="M80" i="9"/>
  <c r="N80" i="9"/>
  <c r="G81" i="9"/>
  <c r="H81" i="9"/>
  <c r="I81" i="9"/>
  <c r="J81" i="9"/>
  <c r="K81" i="9"/>
  <c r="L81" i="9"/>
  <c r="M81" i="9"/>
  <c r="N81" i="9"/>
  <c r="G82" i="9"/>
  <c r="H82" i="9"/>
  <c r="I82" i="9"/>
  <c r="J82" i="9"/>
  <c r="K82" i="9"/>
  <c r="L82" i="9"/>
  <c r="M82" i="9"/>
  <c r="N82" i="9"/>
  <c r="G86" i="9"/>
  <c r="H86" i="9"/>
  <c r="I86" i="9"/>
  <c r="J86" i="9"/>
  <c r="K86" i="9"/>
  <c r="L86" i="9"/>
  <c r="M86" i="9"/>
  <c r="N86" i="9"/>
  <c r="G87" i="9"/>
  <c r="H87" i="9"/>
  <c r="I87" i="9"/>
  <c r="J87" i="9"/>
  <c r="K87" i="9"/>
  <c r="L87" i="9"/>
  <c r="M87" i="9"/>
  <c r="N87" i="9"/>
  <c r="G89" i="9"/>
  <c r="H89" i="9"/>
  <c r="I89" i="9"/>
  <c r="J89" i="9"/>
  <c r="K89" i="9"/>
  <c r="L89" i="9"/>
  <c r="M89" i="9"/>
  <c r="N89" i="9"/>
  <c r="G91" i="9"/>
  <c r="H91" i="9"/>
  <c r="I91" i="9"/>
  <c r="J91" i="9"/>
  <c r="K91" i="9"/>
  <c r="L91" i="9"/>
  <c r="M91" i="9"/>
  <c r="N91" i="9"/>
  <c r="G93" i="9"/>
  <c r="H93" i="9"/>
  <c r="I93" i="9"/>
  <c r="J93" i="9"/>
  <c r="K93" i="9"/>
  <c r="L93" i="9"/>
  <c r="M93" i="9"/>
  <c r="N93" i="9"/>
  <c r="G96" i="9"/>
  <c r="H96" i="9"/>
  <c r="I96" i="9"/>
  <c r="J96" i="9"/>
  <c r="K96" i="9"/>
  <c r="L96" i="9"/>
  <c r="M96" i="9"/>
  <c r="N96" i="9"/>
  <c r="G99" i="9"/>
  <c r="H99" i="9"/>
  <c r="I99" i="9"/>
  <c r="J99" i="9"/>
  <c r="K99" i="9"/>
  <c r="L99" i="9"/>
  <c r="M99" i="9"/>
  <c r="N99" i="9"/>
  <c r="G102" i="9"/>
  <c r="H102" i="9"/>
  <c r="I102" i="9"/>
  <c r="J102" i="9"/>
  <c r="K102" i="9"/>
  <c r="L102" i="9"/>
  <c r="M102" i="9"/>
  <c r="N102" i="9"/>
  <c r="G104" i="9"/>
  <c r="H104" i="9"/>
  <c r="I104" i="9"/>
  <c r="J104" i="9"/>
  <c r="K104" i="9"/>
  <c r="L104" i="9"/>
  <c r="M104" i="9"/>
  <c r="N104" i="9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3" i="11"/>
  <c r="J54" i="11"/>
  <c r="J55" i="11"/>
  <c r="J57" i="11"/>
  <c r="J58" i="11"/>
  <c r="J59" i="11"/>
  <c r="J60" i="11"/>
  <c r="J62" i="11"/>
  <c r="J64" i="11"/>
  <c r="J72" i="11"/>
  <c r="J75" i="11"/>
  <c r="J76" i="11"/>
  <c r="J77" i="11"/>
  <c r="J3" i="11"/>
  <c r="O3" i="9"/>
  <c r="O4" i="9"/>
  <c r="O5" i="9"/>
  <c r="O6" i="9"/>
  <c r="O7" i="9"/>
  <c r="O8" i="9"/>
  <c r="O10" i="9"/>
  <c r="O12" i="9"/>
  <c r="O13" i="9"/>
  <c r="O14" i="9"/>
  <c r="O15" i="9"/>
  <c r="O16" i="9"/>
  <c r="O17" i="9"/>
  <c r="O18" i="9"/>
  <c r="O19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5" i="9"/>
  <c r="O37" i="9"/>
  <c r="O104" i="9"/>
  <c r="E104" i="9"/>
  <c r="D104" i="9"/>
  <c r="A104" i="9"/>
  <c r="O102" i="9"/>
  <c r="E102" i="9"/>
  <c r="D102" i="9"/>
  <c r="A102" i="9"/>
  <c r="O99" i="9"/>
  <c r="E99" i="9"/>
  <c r="D99" i="9"/>
  <c r="A99" i="9"/>
  <c r="O96" i="9"/>
  <c r="E96" i="9"/>
  <c r="D96" i="9"/>
  <c r="A96" i="9"/>
  <c r="O93" i="9"/>
  <c r="E93" i="9"/>
  <c r="D93" i="9"/>
  <c r="A93" i="9"/>
  <c r="O91" i="9"/>
  <c r="E91" i="9"/>
  <c r="D91" i="9"/>
  <c r="A91" i="9"/>
  <c r="O89" i="9"/>
  <c r="E89" i="9"/>
  <c r="D89" i="9"/>
  <c r="A89" i="9"/>
  <c r="O87" i="9"/>
  <c r="E87" i="9"/>
  <c r="D87" i="9"/>
  <c r="A87" i="9"/>
  <c r="O86" i="9"/>
  <c r="E86" i="9"/>
  <c r="D86" i="9"/>
  <c r="A86" i="9"/>
  <c r="O82" i="9"/>
  <c r="E82" i="9"/>
  <c r="D82" i="9"/>
  <c r="A82" i="9"/>
  <c r="O81" i="9"/>
  <c r="E81" i="9"/>
  <c r="D81" i="9"/>
  <c r="A81" i="9"/>
  <c r="O80" i="9"/>
  <c r="E80" i="9"/>
  <c r="D80" i="9"/>
  <c r="A80" i="9"/>
  <c r="O79" i="9"/>
  <c r="E79" i="9"/>
  <c r="D79" i="9"/>
  <c r="A79" i="9"/>
  <c r="O78" i="9"/>
  <c r="E78" i="9"/>
  <c r="D78" i="9"/>
  <c r="A78" i="9"/>
  <c r="O77" i="9"/>
  <c r="E77" i="9"/>
  <c r="D77" i="9"/>
  <c r="A77" i="9"/>
  <c r="O76" i="9"/>
  <c r="E76" i="9"/>
  <c r="D76" i="9"/>
  <c r="A76" i="9"/>
  <c r="O74" i="9"/>
  <c r="E74" i="9"/>
  <c r="D74" i="9"/>
  <c r="A74" i="9"/>
  <c r="O73" i="9"/>
  <c r="E73" i="9"/>
  <c r="D73" i="9"/>
  <c r="A73" i="9"/>
  <c r="O71" i="9"/>
  <c r="E71" i="9"/>
  <c r="D71" i="9"/>
  <c r="A71" i="9"/>
  <c r="O68" i="9"/>
  <c r="E68" i="9"/>
  <c r="D68" i="9"/>
  <c r="A68" i="9"/>
  <c r="O65" i="9"/>
  <c r="E65" i="9"/>
  <c r="D65" i="9"/>
  <c r="A65" i="9"/>
  <c r="O62" i="9"/>
  <c r="E62" i="9"/>
  <c r="D62" i="9"/>
  <c r="A62" i="9"/>
  <c r="O60" i="9"/>
  <c r="E60" i="9"/>
  <c r="D60" i="9"/>
  <c r="A60" i="9"/>
  <c r="O58" i="9"/>
  <c r="E58" i="9"/>
  <c r="D58" i="9"/>
  <c r="A58" i="9"/>
  <c r="O56" i="9"/>
  <c r="E56" i="9"/>
  <c r="D56" i="9"/>
  <c r="A56" i="9"/>
  <c r="O55" i="9"/>
  <c r="E55" i="9"/>
  <c r="D55" i="9"/>
  <c r="A55" i="9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T76" i="10"/>
  <c r="W76" i="10"/>
  <c r="V76" i="10"/>
  <c r="X76" i="10"/>
  <c r="U76" i="10"/>
  <c r="Y76" i="10"/>
  <c r="G76" i="10"/>
  <c r="J76" i="10"/>
  <c r="I76" i="10"/>
  <c r="K76" i="10"/>
  <c r="H76" i="10"/>
  <c r="L76" i="10"/>
  <c r="T75" i="10"/>
  <c r="W75" i="10"/>
  <c r="V75" i="10"/>
  <c r="X75" i="10"/>
  <c r="U75" i="10"/>
  <c r="Y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T73" i="10"/>
  <c r="W73" i="10"/>
  <c r="V73" i="10"/>
  <c r="X73" i="10"/>
  <c r="U73" i="10"/>
  <c r="Y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T71" i="10"/>
  <c r="W71" i="10"/>
  <c r="V71" i="10"/>
  <c r="X71" i="10"/>
  <c r="U71" i="10"/>
  <c r="Y71" i="10"/>
  <c r="G71" i="10"/>
  <c r="J71" i="10"/>
  <c r="I71" i="10"/>
  <c r="K71" i="10"/>
  <c r="H71" i="10"/>
  <c r="L71" i="10"/>
  <c r="T70" i="10"/>
  <c r="W70" i="10"/>
  <c r="V70" i="10"/>
  <c r="X70" i="10"/>
  <c r="U70" i="10"/>
  <c r="Y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T66" i="10"/>
  <c r="W66" i="10"/>
  <c r="V66" i="10"/>
  <c r="X66" i="10"/>
  <c r="U66" i="10"/>
  <c r="Y66" i="10"/>
  <c r="G66" i="10"/>
  <c r="J66" i="10"/>
  <c r="I66" i="10"/>
  <c r="K66" i="10"/>
  <c r="H66" i="10"/>
  <c r="L66" i="10"/>
  <c r="T65" i="10"/>
  <c r="W65" i="10"/>
  <c r="V65" i="10"/>
  <c r="X65" i="10"/>
  <c r="U65" i="10"/>
  <c r="Y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T63" i="10"/>
  <c r="W63" i="10"/>
  <c r="V63" i="10"/>
  <c r="X63" i="10"/>
  <c r="U63" i="10"/>
  <c r="Y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E19" i="9"/>
  <c r="D19" i="9"/>
  <c r="A19" i="9"/>
  <c r="O54" i="9"/>
  <c r="E54" i="9"/>
  <c r="D54" i="9"/>
  <c r="A54" i="9"/>
  <c r="O53" i="9"/>
  <c r="E53" i="9"/>
  <c r="D53" i="9"/>
  <c r="A53" i="9"/>
  <c r="O52" i="9"/>
  <c r="E52" i="9"/>
  <c r="D52" i="9"/>
  <c r="A52" i="9"/>
  <c r="O51" i="9"/>
  <c r="E51" i="9"/>
  <c r="D51" i="9"/>
  <c r="A51" i="9"/>
  <c r="O50" i="9"/>
  <c r="E50" i="9"/>
  <c r="D50" i="9"/>
  <c r="A50" i="9"/>
  <c r="O48" i="9"/>
  <c r="E48" i="9"/>
  <c r="D48" i="9"/>
  <c r="A48" i="9"/>
  <c r="O45" i="9"/>
  <c r="E45" i="9"/>
  <c r="D45" i="9"/>
  <c r="A45" i="9"/>
  <c r="O42" i="9"/>
  <c r="E42" i="9"/>
  <c r="D42" i="9"/>
  <c r="A42" i="9"/>
  <c r="O39" i="9"/>
  <c r="E39" i="9"/>
  <c r="D39" i="9"/>
  <c r="A39" i="9"/>
  <c r="E37" i="9"/>
  <c r="D37" i="9"/>
  <c r="A37" i="9"/>
  <c r="E35" i="9"/>
  <c r="D35" i="9"/>
  <c r="A35" i="9"/>
  <c r="E33" i="9"/>
  <c r="D33" i="9"/>
  <c r="A33" i="9"/>
  <c r="E32" i="9"/>
  <c r="D32" i="9"/>
  <c r="A32" i="9"/>
  <c r="E31" i="9"/>
  <c r="D31" i="9"/>
  <c r="A31" i="9"/>
  <c r="E30" i="9"/>
  <c r="D30" i="9"/>
  <c r="A30" i="9"/>
  <c r="E29" i="9"/>
  <c r="D29" i="9"/>
  <c r="A29" i="9"/>
  <c r="E28" i="9"/>
  <c r="D28" i="9"/>
  <c r="A28" i="9"/>
  <c r="E27" i="9"/>
  <c r="D27" i="9"/>
  <c r="A27" i="9"/>
  <c r="E26" i="9"/>
  <c r="D26" i="9"/>
  <c r="A26" i="9"/>
  <c r="E25" i="9"/>
  <c r="D25" i="9"/>
  <c r="A25" i="9"/>
  <c r="E24" i="9"/>
  <c r="D24" i="9"/>
  <c r="A24" i="9"/>
  <c r="E23" i="9"/>
  <c r="D23" i="9"/>
  <c r="A23" i="9"/>
  <c r="E22" i="9"/>
  <c r="D22" i="9"/>
  <c r="A22" i="9"/>
  <c r="E21" i="9"/>
  <c r="D21" i="9"/>
  <c r="A21" i="9"/>
  <c r="E18" i="9"/>
  <c r="D18" i="9"/>
  <c r="A18" i="9"/>
  <c r="E17" i="9"/>
  <c r="D17" i="9"/>
  <c r="A17" i="9"/>
  <c r="E16" i="9"/>
  <c r="D16" i="9"/>
  <c r="A16" i="9"/>
  <c r="E15" i="9"/>
  <c r="D15" i="9"/>
  <c r="A15" i="9"/>
  <c r="E14" i="9"/>
  <c r="D14" i="9"/>
  <c r="A14" i="9"/>
  <c r="E13" i="9"/>
  <c r="D13" i="9"/>
  <c r="A13" i="9"/>
  <c r="E12" i="9"/>
  <c r="D12" i="9"/>
  <c r="A12" i="9"/>
  <c r="E10" i="9"/>
  <c r="D10" i="9"/>
  <c r="A10" i="9"/>
  <c r="E8" i="9"/>
  <c r="D8" i="9"/>
  <c r="A8" i="9"/>
  <c r="E7" i="9"/>
  <c r="D7" i="9"/>
  <c r="A7" i="9"/>
  <c r="E6" i="9"/>
  <c r="D6" i="9"/>
  <c r="A6" i="9"/>
  <c r="E5" i="9"/>
  <c r="D5" i="9"/>
  <c r="A5" i="9"/>
  <c r="E4" i="9"/>
  <c r="D4" i="9"/>
  <c r="A4" i="9"/>
  <c r="E3" i="9"/>
  <c r="D3" i="9"/>
  <c r="A3" i="9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V8" i="1"/>
  <c r="V7" i="1"/>
  <c r="V6" i="1"/>
  <c r="V5" i="1"/>
  <c r="V4" i="1"/>
  <c r="E2" i="9"/>
  <c r="V2" i="1"/>
  <c r="AB6" i="1"/>
  <c r="AD6" i="1"/>
  <c r="AG6" i="1"/>
  <c r="AE6" i="1"/>
  <c r="AC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Q5" i="1"/>
  <c r="P5" i="1"/>
  <c r="O5" i="1"/>
  <c r="N5" i="1"/>
  <c r="M5" i="1"/>
  <c r="H5" i="1"/>
  <c r="J5" i="1"/>
  <c r="I5" i="1"/>
  <c r="D5" i="1"/>
  <c r="F5" i="1"/>
  <c r="E5" i="1"/>
  <c r="A5" i="1"/>
  <c r="AD8" i="1"/>
  <c r="AG8" i="1"/>
  <c r="AE8" i="1"/>
  <c r="AC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Q7" i="1"/>
  <c r="P7" i="1"/>
  <c r="O7" i="1"/>
  <c r="N7" i="1"/>
  <c r="M7" i="1"/>
  <c r="H7" i="1"/>
  <c r="J7" i="1"/>
  <c r="I7" i="1"/>
  <c r="D7" i="1"/>
  <c r="F7" i="1"/>
  <c r="E7" i="1"/>
  <c r="A7" i="1"/>
  <c r="AB4" i="1"/>
  <c r="AD4" i="1"/>
  <c r="AG4" i="1"/>
  <c r="AE4" i="1"/>
  <c r="AC4" i="1"/>
  <c r="Q4" i="1"/>
  <c r="P4" i="1"/>
  <c r="O4" i="1"/>
  <c r="N4" i="1"/>
  <c r="M4" i="1"/>
  <c r="H4" i="1"/>
  <c r="J4" i="1"/>
  <c r="I4" i="1"/>
  <c r="D4" i="1"/>
  <c r="F4" i="1"/>
  <c r="E4" i="1"/>
  <c r="A4" i="1"/>
  <c r="H5" i="2"/>
  <c r="E5" i="2"/>
  <c r="D5" i="2"/>
  <c r="H2" i="1"/>
  <c r="H3" i="1"/>
  <c r="B5" i="2"/>
  <c r="H4" i="2"/>
  <c r="E4" i="2"/>
  <c r="D4" i="2"/>
  <c r="B4" i="2"/>
  <c r="H3" i="2"/>
  <c r="E3" i="2"/>
  <c r="D3" i="2"/>
  <c r="B3" i="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C12" i="16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W2" i="7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<sst xmlns="http://schemas.openxmlformats.org/spreadsheetml/2006/main" count="1243" uniqueCount="426">
  <si>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</si>
  <si>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</si>
  <si>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</si>
  <si>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</si>
  <si>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</si>
  <si>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</si>
  <si>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</si>
  <si>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</si>
  <si>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</si>
  <si>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</si>
  <si>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</si>
  <si>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</si>
  <si>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</si>
  <si>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</si>
  <si>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</si>
  <si>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</si>
  <si>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</si>
  <si>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</si>
  <si>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</si>
  <si>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</si>
  <si>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</si>
  <si>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</si>
  <si>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</si>
  <si>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</si>
  <si>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</si>
  <si>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</si>
  <si>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</si>
  <si>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</si>
  <si>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</si>
  <si>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</si>
  <si>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</si>
  <si>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</si>
  <si>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</si>
  <si>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</si>
  <si>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</si>
  <si>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</si>
  <si>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</si>
  <si>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</si>
  <si>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</si>
  <si>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</si>
  <si>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</si>
  <si>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</si>
  <si>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</si>
  <si>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</si>
  <si>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</si>
  <si>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</si>
  <si>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</si>
  <si>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</si>
  <si>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</si>
  <si>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</si>
  <si>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</si>
  <si>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</si>
  <si>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</si>
  <si>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</si>
  <si>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</si>
  <si>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</si>
  <si>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</si>
  <si>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</si>
  <si>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</si>
  <si>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</si>
  <si>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</si>
  <si>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</si>
  <si>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</si>
  <si>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</si>
  <si>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</si>
  <si>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</si>
  <si>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</si>
  <si>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</si>
  <si>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</si>
  <si>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</si>
  <si>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</si>
  <si>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</si>
  <si>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</si>
  <si>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</si>
  <si>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</si>
  <si>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</si>
  <si>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</si>
  <si>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</si>
  <si>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</si>
  <si>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</si>
  <si>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</si>
  <si>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</si>
  <si>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</si>
  <si>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</si>
  <si>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</si>
  <si>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</si>
  <si>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</si>
  <si>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</si>
  <si>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</si>
  <si>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</si>
  <si>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</si>
  <si>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</si>
  <si>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</si>
  <si>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</si>
  <si>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</si>
  <si>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</si>
  <si>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</si>
  <si>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</si>
  <si>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</si>
  <si>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</si>
  <si>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</si>
  <si>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</si>
  <si>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</si>
  <si>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</si>
  <si>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</si>
  <si>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</si>
  <si>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</si>
  <si>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</si>
  <si>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</si>
  <si>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</si>
  <si>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</si>
  <si>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</si>
  <si>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</si>
  <si>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</si>
  <si>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</si>
  <si>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</si>
  <si>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</si>
  <si>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</si>
  <si>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</si>
  <si>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</si>
  <si>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</si>
  <si>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</si>
  <si>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</si>
  <si>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</si>
  <si>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</si>
  <si>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</si>
  <si>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</si>
  <si>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</si>
  <si>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</si>
  <si>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</si>
  <si>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</si>
  <si>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</si>
  <si>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</si>
  <si>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</si>
  <si>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</si>
  <si>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</si>
  <si>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</si>
  <si>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</si>
  <si>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</si>
  <si>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</si>
  <si>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</si>
  <si>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</si>
  <si>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</si>
  <si>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</si>
  <si>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</si>
  <si>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</si>
  <si>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</si>
  <si>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</si>
  <si>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</si>
  <si>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</si>
  <si>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</si>
  <si>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</si>
  <si>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</si>
  <si>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</si>
  <si>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</si>
  <si>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</si>
  <si>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</si>
  <si>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</si>
  <si>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</si>
  <si>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</si>
  <si>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</si>
  <si>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</si>
  <si>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</si>
  <si>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</si>
  <si>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</si>
  <si>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</si>
  <si>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</si>
  <si>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</si>
  <si>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</si>
  <si>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</si>
  <si>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</si>
  <si>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</si>
  <si>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</si>
  <si>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</si>
  <si>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</si>
  <si>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</si>
  <si>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</si>
  <si>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</si>
  <si>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</si>
  <si>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</si>
  <si>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</si>
  <si>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</si>
  <si>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</si>
  <si>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</si>
  <si>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</si>
  <si>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</si>
  <si>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</si>
  <si>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</si>
  <si>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</si>
  <si>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</si>
  <si>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</si>
  <si>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</si>
  <si>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</si>
  <si>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</si>
  <si>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</si>
  <si>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</si>
  <si>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</si>
  <si>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</si>
  <si>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</si>
  <si>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</si>
  <si>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</si>
  <si>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</si>
  <si>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</si>
  <si>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</si>
  <si>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</si>
  <si>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</si>
  <si>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</si>
  <si>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</si>
  <si>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</si>
  <si>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</si>
  <si>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</si>
  <si>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</si>
  <si>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</si>
  <si>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</si>
  <si>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全体攻撃</t>
    <rPh sb="0" eb="4">
      <t>ゼンタイコウゲキ</t>
    </rPh>
    <phoneticPr fontId="5"/>
  </si>
  <si>
    <t>5ターン自身の攻撃力をUP</t>
    <rPh sb="4" eb="6">
      <t>ジシン</t>
    </rPh>
    <rPh sb="7" eb="10">
      <t>コウゲキリョク</t>
    </rPh>
    <phoneticPr fontId="5"/>
  </si>
  <si>
    <t>10ターンCパネル生成激烈延長</t>
    <rPh sb="9" eb="11">
      <t>セイセイ</t>
    </rPh>
    <rPh sb="11" eb="15">
      <t>ゲキレツエンチョウ</t>
    </rPh>
    <phoneticPr fontId="5"/>
  </si>
  <si>
    <t>クリティカル！</t>
    <phoneticPr fontId="5"/>
  </si>
  <si>
    <t>1ターン攻撃力特大UP＋次の攻撃頻度が1にUP</t>
    <rPh sb="4" eb="7">
      <t>コウゲキリョク</t>
    </rPh>
    <rPh sb="7" eb="9">
      <t>トクダイ</t>
    </rPh>
    <rPh sb="12" eb="13">
      <t>ツギ</t>
    </rPh>
    <rPh sb="14" eb="18">
      <t>コウゲキヒンド</t>
    </rPh>
    <phoneticPr fontId="5"/>
  </si>
  <si>
    <t>全てのプラス効果を解除＋全体攻撃</t>
    <rPh sb="0" eb="1">
      <t>スベ</t>
    </rPh>
    <rPh sb="6" eb="8">
      <t>コウカ</t>
    </rPh>
    <rPh sb="9" eb="11">
      <t>カイジョ</t>
    </rPh>
    <rPh sb="12" eb="14">
      <t>ゼンタイ</t>
    </rPh>
    <rPh sb="14" eb="16">
      <t>コウゲキ</t>
    </rPh>
    <phoneticPr fontId="5"/>
  </si>
  <si>
    <t>[effect:heal, target:enemy_one, val:0.1, animation:enemy_heal]</t>
  </si>
  <si>
    <t>ja</t>
  </si>
  <si>
    <t>敵単体に / 回復</t>
  </si>
  <si>
    <t>none</t>
  </si>
  <si>
    <t>- / -</t>
  </si>
  <si>
    <t>2回連続攻撃</t>
    <rPh sb="1" eb="2">
      <t>カイ</t>
    </rPh>
    <rPh sb="2" eb="4">
      <t>レンゾク</t>
    </rPh>
    <rPh sb="4" eb="6">
      <t>コウゲキ</t>
    </rPh>
    <phoneticPr fontId="5"/>
  </si>
  <si>
    <t>全体攻撃</t>
    <rPh sb="0" eb="2">
      <t>ゼンタイ</t>
    </rPh>
    <rPh sb="2" eb="4">
      <t>コウゲキ</t>
    </rPh>
    <phoneticPr fontId="5"/>
  </si>
  <si>
    <t>null</t>
    <phoneticPr fontId="5"/>
  </si>
  <si>
    <t>link</t>
    <phoneticPr fontId="5"/>
  </si>
  <si>
    <t>unit</t>
    <phoneticPr fontId="5"/>
  </si>
  <si>
    <t>[effect:enhance_enemy, target:enemy_yellow, turn:-1, status:attack, val:0.1, animation:enemy_enhance_attack],[effect:suicide, val:1, dead_type:escape, target:myself]</t>
    <phoneticPr fontId="5"/>
  </si>
  <si>
    <t>なにやら様子がおかしい！</t>
    <rPh sb="4" eb="6">
      <t>ヨウス</t>
    </rPh>
    <phoneticPr fontId="5"/>
  </si>
  <si>
    <t>[effect:suicide, val:0.5, dead_type:suicide, target:myself, animation:enemy_suicide]</t>
    <phoneticPr fontId="5"/>
  </si>
  <si>
    <t>[effect:nothing]</t>
    <phoneticPr fontId="5"/>
  </si>
  <si>
    <t>[effect:rush, count:2, val:0.65]</t>
    <phoneticPr fontId="5"/>
  </si>
  <si>
    <t>[effect:rush, count:6, val:0.2],[effect:suicide, val:0.05, dead_type:suicide, target:myself, animation:enemy_suicide]</t>
    <phoneticPr fontId="5"/>
  </si>
  <si>
    <t>[effect:suicide, val:0.2, dead_type:suicide, target:myself, animation:enemy_suicide]</t>
    <phoneticPr fontId="5"/>
  </si>
  <si>
    <t>[effect:spread, val:0.35],[effect:suicide, val:0.1, dead_type:suicide, target:myself, animation:enemy_suicide]</t>
    <phoneticPr fontId="5"/>
  </si>
  <si>
    <t>[effect:fix_speed, target:myself, turn:1]</t>
    <phoneticPr fontId="5"/>
  </si>
  <si>
    <t>[effect:fix_speed, target:enemy_all, turn:8]</t>
    <phoneticPr fontId="5"/>
  </si>
  <si>
    <t>[effect:kamikaze, val:0.25]</t>
    <phoneticPr fontId="5"/>
  </si>
  <si>
    <t>[effect:crash_growth, count:-1, val:-41, animation:change_block]</t>
    <phoneticPr fontId="5"/>
  </si>
  <si>
    <t>[effect:enhance_enemy, target:myself, turn:1, status:attack, val:0.5, animation:enemy_enhance_attack],
[effect:freq_turn, target:myself, turn:1, val:1]</t>
    <phoneticPr fontId="5"/>
  </si>
  <si>
    <t>[effect:remove_enhancement, target:unit_all, target_effect:all, target_type:buff, animation:frozen_wave],[effect:spread, val:0.4]</t>
    <phoneticPr fontId="5"/>
  </si>
  <si>
    <t>[effect:reduction, target:myself, turn:2, color:all, val:0.9, animation:reduction_one04]</t>
    <phoneticPr fontId="5"/>
  </si>
  <si>
    <t>[effect:spread, val:0.3]</t>
    <phoneticPr fontId="5"/>
  </si>
  <si>
    <t>[effect:enhance_enemy, target:myself, turn:5, status:attack, val:0.3, animation:enemy_enhance_attack]</t>
    <phoneticPr fontId="5"/>
  </si>
  <si>
    <t>[effect:crash_condition, target:unit_all, val:11, turn:10, animation:crash_panel_reduce04]</t>
    <phoneticPr fontId="5"/>
  </si>
  <si>
    <t>10ターンCパネル生成激烈延長</t>
    <phoneticPr fontId="5"/>
  </si>
  <si>
    <t>[effect:crash_condition, target:unit_all, val:11, turn:10, animation:crash_panel_reduce04]</t>
    <phoneticPr fontId="5"/>
  </si>
  <si>
    <t>ガレス3</t>
    <phoneticPr fontId="5"/>
  </si>
  <si>
    <t>[effect:remove_enhancement, target:unit_all, target_effect:all, target_type:buff, animation:frozen_wave],[effect:damage_fix_absolute, target:unit_all, val:11111]</t>
    <phoneticPr fontId="5"/>
  </si>
  <si>
    <t>[effect:suicide, val:1.0, dead_type:suicide, target:myself, animation:enemy_suicide]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</si>
  <si>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</si>
  <si>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</si>
  <si>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</si>
  <si>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</si>
  <si>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</si>
  <si>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[effect:spread, val:0.35]</t>
    <phoneticPr fontId="5"/>
  </si>
  <si>
    <t>[effect:tolerance, target:myself, turn:-1, tolerance_effect:hungup, count:-1, animation:enemy_tolerance],[effect:fix_speed, target:myself, turn:1]</t>
    <phoneticPr fontId="5"/>
  </si>
  <si>
    <t>アーサー、どうしてここに？</t>
    <phoneticPr fontId="5"/>
  </si>
  <si>
    <t>ガウェイン…老…</t>
    <rPh sb="6" eb="7">
      <t>ロウジン</t>
    </rPh>
    <phoneticPr fontId="5"/>
  </si>
  <si>
    <t>貴方の言葉でも…こればかりは譲れません</t>
    <rPh sb="0" eb="2">
      <t>アナタ</t>
    </rPh>
    <rPh sb="3" eb="5">
      <t>コトバ</t>
    </rPh>
    <rPh sb="14" eb="15">
      <t>ユズ</t>
    </rPh>
    <phoneticPr fontId="5"/>
  </si>
  <si>
    <t>それがキミの弱さだって…知ってるはずだぜ</t>
    <rPh sb="6" eb="7">
      <t>ヨワ</t>
    </rPh>
    <rPh sb="12" eb="13">
      <t>シ</t>
    </rPh>
    <phoneticPr fontId="5"/>
  </si>
  <si>
    <t>へぇ…ライオネル…</t>
    <phoneticPr fontId="5"/>
  </si>
  <si>
    <t>種族ドラゴンのユニットに大ダメージ</t>
    <rPh sb="0" eb="2">
      <t>シュゾク</t>
    </rPh>
    <rPh sb="12" eb="13">
      <t>ダイ</t>
    </rPh>
    <phoneticPr fontId="5"/>
  </si>
  <si>
    <t>[effect:critical, val:2.4],[effect:suicide, val:0.5, dead_type:suicide, target:myself, animation:enemy_suicide]</t>
    <phoneticPr fontId="5"/>
  </si>
  <si>
    <t>[effect:force_change_block, new_block:block_red, target:block_heart, count:0, val:0, animation:change_block],[effect:rush, count:1, val:0.75],[effect:freq_turn, target:myself, turn:1, val:1]</t>
    <phoneticPr fontId="5"/>
  </si>
  <si>
    <t>[effect:fix_speed, target:myself, turn:1]</t>
    <phoneticPr fontId="5"/>
  </si>
  <si>
    <t>[effect:rush, count:4, val:0.2]</t>
    <phoneticPr fontId="5"/>
  </si>
  <si>
    <t>null</t>
  </si>
  <si>
    <t>エクスイレイザーTHI</t>
    <phoneticPr fontId="5"/>
  </si>
  <si>
    <t>エクスイレイザーSEC</t>
    <phoneticPr fontId="5"/>
  </si>
  <si>
    <t>エクスイレイザーFIR</t>
    <phoneticPr fontId="5"/>
  </si>
  <si>
    <t>エクスイレイザーABS</t>
    <phoneticPr fontId="5"/>
  </si>
  <si>
    <t>エクスイレイザーTHI</t>
    <phoneticPr fontId="5"/>
  </si>
  <si>
    <t>キミは彼と敵対する邪道を選んだ…！</t>
    <rPh sb="3" eb="4">
      <t>カレ</t>
    </rPh>
    <rPh sb="5" eb="7">
      <t>テキタイ</t>
    </rPh>
    <rPh sb="9" eb="11">
      <t>ジャドウ</t>
    </rPh>
    <rPh sb="12" eb="13">
      <t>エラ</t>
    </rPh>
    <phoneticPr fontId="5"/>
  </si>
  <si>
    <t>さて…キミは何のために戦う？</t>
    <rPh sb="6" eb="7">
      <t>ナン</t>
    </rPh>
    <rPh sb="11" eb="12">
      <t>タタカ</t>
    </rPh>
    <phoneticPr fontId="5"/>
  </si>
  <si>
    <t>パーシ、まだ揺れてるのか？</t>
    <rPh sb="6" eb="7">
      <t>ユ</t>
    </rPh>
    <phoneticPr fontId="5"/>
  </si>
  <si>
    <t>カースオブマジック</t>
    <phoneticPr fontId="5"/>
  </si>
  <si>
    <t>[effect:damage_anti_tribe, target:unit_one, tribe:dragon, val1:1.75, val2:1]</t>
    <phoneticPr fontId="5"/>
  </si>
  <si>
    <t>どうした…なぜ帰らない？</t>
    <rPh sb="7" eb="8">
      <t>カエ</t>
    </rPh>
    <phoneticPr fontId="5"/>
  </si>
  <si>
    <t>そうか…ようやくキミも…</t>
    <phoneticPr fontId="5"/>
  </si>
  <si>
    <t>ブリリアント</t>
    <phoneticPr fontId="5"/>
  </si>
  <si>
    <t>サイクロンソード</t>
    <phoneticPr fontId="5"/>
  </si>
  <si>
    <t>悩みってヤツは2種類ある</t>
    <rPh sb="0" eb="1">
      <t>ナヤ</t>
    </rPh>
    <rPh sb="7" eb="10">
      <t>ニシュルイ</t>
    </rPh>
    <phoneticPr fontId="5"/>
  </si>
  <si>
    <t>RGBリフレクション</t>
    <phoneticPr fontId="5"/>
  </si>
  <si>
    <t>腕っ節だけは立派だな</t>
    <rPh sb="0" eb="1">
      <t>ウデ</t>
    </rPh>
    <rPh sb="2" eb="3">
      <t>プシ</t>
    </rPh>
    <rPh sb="6" eb="8">
      <t>リッパ</t>
    </rPh>
    <phoneticPr fontId="5"/>
  </si>
  <si>
    <t>そんな…バカな…</t>
    <phoneticPr fontId="5"/>
  </si>
  <si>
    <t>[effect:remove_enhancement, target:unit_all, target_effect:all, target_type:buff, animation:frozen_wave],[effect:damage_fix_absolute, target:unit_all, val:11111],[effect:fix_speed, target:myself, turn:1]</t>
    <phoneticPr fontId="5"/>
  </si>
  <si>
    <t>null</t>
    <phoneticPr fontId="5"/>
  </si>
  <si>
    <t>カウンター解除＋8回連続攻撃</t>
    <phoneticPr fontId="5"/>
  </si>
  <si>
    <t>4回連続攻撃</t>
    <phoneticPr fontId="5"/>
  </si>
  <si>
    <t>4回連続攻撃</t>
    <rPh sb="1" eb="2">
      <t>カイ</t>
    </rPh>
    <rPh sb="2" eb="4">
      <t>レンゾク</t>
    </rPh>
    <rPh sb="4" eb="6">
      <t>コウゲキ</t>
    </rPh>
    <phoneticPr fontId="5"/>
  </si>
  <si>
    <t>ユートピア</t>
    <phoneticPr fontId="5"/>
  </si>
  <si>
    <t>理想のため　誰かが動かねばならないと！</t>
    <rPh sb="0" eb="2">
      <t>リソウ</t>
    </rPh>
    <rPh sb="6" eb="7">
      <t>ダレ</t>
    </rPh>
    <rPh sb="9" eb="10">
      <t>ウゴ</t>
    </rPh>
    <phoneticPr fontId="5"/>
  </si>
  <si>
    <t>シューティングスター</t>
    <phoneticPr fontId="5"/>
  </si>
  <si>
    <t>これ以上やり合えば　命の保証はしませんよ
【！】次のターン即死攻撃発動【！】</t>
    <rPh sb="2" eb="4">
      <t>イジョウ</t>
    </rPh>
    <rPh sb="6" eb="7">
      <t>ア</t>
    </rPh>
    <rPh sb="10" eb="11">
      <t>イノチ</t>
    </rPh>
    <rPh sb="12" eb="14">
      <t>ホショウ</t>
    </rPh>
    <phoneticPr fontId="5"/>
  </si>
  <si>
    <t>だが最後に勝つのは…いつだって正義だ
【！】次のターン即死攻撃発動【！】</t>
    <rPh sb="2" eb="4">
      <t>サイゴ</t>
    </rPh>
    <rPh sb="5" eb="6">
      <t>カ</t>
    </rPh>
    <rPh sb="15" eb="17">
      <t>セイギ</t>
    </rPh>
    <phoneticPr fontId="5"/>
  </si>
  <si>
    <t>この力があれば　俺様がナンバーワンだ！</t>
    <rPh sb="2" eb="3">
      <t>チカラ</t>
    </rPh>
    <rPh sb="8" eb="10">
      <t>オレサマ</t>
    </rPh>
    <phoneticPr fontId="5"/>
  </si>
  <si>
    <t>クク…これさえあれば…</t>
    <phoneticPr fontId="5"/>
  </si>
  <si>
    <t>…何を笑っているのです</t>
    <rPh sb="1" eb="2">
      <t>ナニ</t>
    </rPh>
    <rPh sb="3" eb="4">
      <t>ワラ</t>
    </rPh>
    <phoneticPr fontId="5"/>
  </si>
  <si>
    <t>何者かが足早に去っていった</t>
    <rPh sb="0" eb="2">
      <t>ナニモノ</t>
    </rPh>
    <rPh sb="4" eb="6">
      <t>アシバヤ</t>
    </rPh>
    <rPh sb="7" eb="8">
      <t>サ</t>
    </rPh>
    <phoneticPr fontId="5"/>
  </si>
  <si>
    <t>グッ…なんだ…体が…！</t>
    <rPh sb="7" eb="8">
      <t>カラダ</t>
    </rPh>
    <phoneticPr fontId="5"/>
  </si>
  <si>
    <t>この攻撃を受けてみろ！</t>
    <rPh sb="2" eb="4">
      <t>コウゲキ</t>
    </rPh>
    <rPh sb="5" eb="6">
      <t>ウ</t>
    </rPh>
    <phoneticPr fontId="5"/>
  </si>
  <si>
    <t>うおおぉぉ！！</t>
    <phoneticPr fontId="5"/>
  </si>
  <si>
    <t>クソ…ランスロットォォォ…！</t>
    <phoneticPr fontId="5"/>
  </si>
  <si>
    <t>フハッ…フハハハッ！！</t>
    <phoneticPr fontId="5"/>
  </si>
  <si>
    <t>砕ケ散レェッエエ！！</t>
    <rPh sb="0" eb="1">
      <t>クダ</t>
    </rPh>
    <rPh sb="2" eb="3">
      <t>チ</t>
    </rPh>
    <phoneticPr fontId="5"/>
  </si>
  <si>
    <t>オレ様ナンバーワァァン！！</t>
    <rPh sb="2" eb="3">
      <t>サマ</t>
    </rPh>
    <phoneticPr fontId="5"/>
  </si>
  <si>
    <t>凄まじいエネルギーを感じる</t>
    <rPh sb="0" eb="1">
      <t>スサ</t>
    </rPh>
    <rPh sb="10" eb="11">
      <t>カン</t>
    </rPh>
    <phoneticPr fontId="5"/>
  </si>
  <si>
    <t>ヒ…ヒヒヒヒヒッ…</t>
    <phoneticPr fontId="5"/>
  </si>
  <si>
    <t>……アッ</t>
    <phoneticPr fontId="5"/>
  </si>
  <si>
    <t>ライオネルは固まっている</t>
    <rPh sb="6" eb="7">
      <t>カタ</t>
    </rPh>
    <phoneticPr fontId="5"/>
  </si>
  <si>
    <t>ヤメロ…俺様は違う…！</t>
    <rPh sb="4" eb="6">
      <t>オレサマ</t>
    </rPh>
    <rPh sb="7" eb="8">
      <t>チガ</t>
    </rPh>
    <phoneticPr fontId="5"/>
  </si>
  <si>
    <t>このフロアの果実は連鎖的に自爆する！</t>
    <rPh sb="6" eb="8">
      <t>カジツ</t>
    </rPh>
    <rPh sb="9" eb="12">
      <t>レンサテキ</t>
    </rPh>
    <rPh sb="13" eb="15">
      <t>ジバク</t>
    </rPh>
    <phoneticPr fontId="5"/>
  </si>
  <si>
    <t>ソウルチェイン！</t>
    <phoneticPr fontId="5"/>
  </si>
  <si>
    <t>チェインブレイク！</t>
    <phoneticPr fontId="5"/>
  </si>
  <si>
    <t>仲間を追って爆ぜていった…</t>
    <rPh sb="0" eb="2">
      <t>ナカマ</t>
    </rPh>
    <rPh sb="3" eb="4">
      <t>オ</t>
    </rPh>
    <rPh sb="6" eb="7">
      <t>ハ</t>
    </rPh>
    <phoneticPr fontId="5"/>
  </si>
  <si>
    <t>大咆哮</t>
    <rPh sb="0" eb="3">
      <t>ダイホウコウ</t>
    </rPh>
    <phoneticPr fontId="5"/>
  </si>
  <si>
    <t>出現しているCパネル激烈縮小</t>
    <rPh sb="0" eb="2">
      <t>シュツゲン</t>
    </rPh>
    <rPh sb="10" eb="12">
      <t>ゲキレツ</t>
    </rPh>
    <rPh sb="12" eb="14">
      <t>シュクショウ</t>
    </rPh>
    <phoneticPr fontId="5"/>
  </si>
  <si>
    <t>鋭い爪の一撃</t>
    <rPh sb="0" eb="1">
      <t>スルド</t>
    </rPh>
    <rPh sb="2" eb="3">
      <t>ツメ</t>
    </rPh>
    <rPh sb="4" eb="6">
      <t>イチゲキ</t>
    </rPh>
    <phoneticPr fontId="5"/>
  </si>
  <si>
    <t>灼熱衝撃波</t>
    <rPh sb="0" eb="2">
      <t>シャクネツ</t>
    </rPh>
    <rPh sb="2" eb="5">
      <t>ショウゲキハ</t>
    </rPh>
    <phoneticPr fontId="5"/>
  </si>
  <si>
    <t>……（大きく息を吸い込んだ！）</t>
    <rPh sb="3" eb="4">
      <t>オオ</t>
    </rPh>
    <rPh sb="6" eb="7">
      <t>イキ</t>
    </rPh>
    <rPh sb="8" eb="9">
      <t>ス</t>
    </rPh>
    <rPh sb="10" eb="11">
      <t>コ</t>
    </rPh>
    <phoneticPr fontId="5"/>
  </si>
  <si>
    <t>次のターン強力な攻撃</t>
    <rPh sb="0" eb="1">
      <t>ツギ</t>
    </rPh>
    <rPh sb="5" eb="7">
      <t>キョウリョク</t>
    </rPh>
    <rPh sb="8" eb="10">
      <t>コウゲキ</t>
    </rPh>
    <phoneticPr fontId="5"/>
  </si>
  <si>
    <t>イグナイトブレス</t>
    <phoneticPr fontId="5"/>
  </si>
  <si>
    <t>クリティカル！</t>
    <phoneticPr fontId="5"/>
  </si>
  <si>
    <t>イグナイトブレイバー</t>
    <phoneticPr fontId="5"/>
  </si>
  <si>
    <t>信じるものもなく戦っちゃダメだ…帰りな</t>
    <rPh sb="0" eb="1">
      <t>シン</t>
    </rPh>
    <rPh sb="8" eb="9">
      <t>タタカ</t>
    </rPh>
    <rPh sb="16" eb="17">
      <t>カエ</t>
    </rPh>
    <phoneticPr fontId="5"/>
  </si>
  <si>
    <t>意見がコロコロ変わるのに信用できねーよ</t>
    <rPh sb="0" eb="2">
      <t>イケン</t>
    </rPh>
    <rPh sb="7" eb="8">
      <t>カ</t>
    </rPh>
    <rPh sb="12" eb="14">
      <t>シンヨウ</t>
    </rPh>
    <phoneticPr fontId="5"/>
  </si>
  <si>
    <t>キミが僕を止める理由は無いはずだ</t>
    <rPh sb="3" eb="4">
      <t>ボク</t>
    </rPh>
    <rPh sb="5" eb="6">
      <t>ト</t>
    </rPh>
    <rPh sb="8" eb="10">
      <t>リユウ</t>
    </rPh>
    <rPh sb="11" eb="12">
      <t>ナ</t>
    </rPh>
    <phoneticPr fontId="5"/>
  </si>
  <si>
    <t>もう何を言っても無駄だ</t>
    <rPh sb="2" eb="3">
      <t>ナニ</t>
    </rPh>
    <rPh sb="4" eb="5">
      <t>イ</t>
    </rPh>
    <rPh sb="8" eb="10">
      <t>ムダ</t>
    </rPh>
    <phoneticPr fontId="5"/>
  </si>
  <si>
    <t>モルド…残念だよ</t>
    <phoneticPr fontId="5"/>
  </si>
  <si>
    <t>[effect:remove_enhancement, target:unit_all, target_effect:all, target_type:buff, animation:frozen_wave],[effect:spread, val:0.4]</t>
    <phoneticPr fontId="5"/>
  </si>
  <si>
    <t>[effect:tolerance, target:myself, turn:-1, tolerance_effect:all, count:-1, animation:enemy_tolerance],[effect:fix_speed, target:myself, turn:4]</t>
    <phoneticPr fontId="5"/>
  </si>
  <si>
    <t>null</t>
    <phoneticPr fontId="5"/>
  </si>
  <si>
    <t>null</t>
    <phoneticPr fontId="5"/>
  </si>
  <si>
    <t>null</t>
    <phoneticPr fontId="5"/>
  </si>
  <si>
    <t>シールオブマジック</t>
    <phoneticPr fontId="5"/>
  </si>
  <si>
    <t>これが世界の　あるべき姿だ！</t>
    <rPh sb="3" eb="5">
      <t>セカイ</t>
    </rPh>
    <rPh sb="11" eb="12">
      <t>スガタ</t>
    </rPh>
    <phoneticPr fontId="5"/>
  </si>
  <si>
    <t>ユートピア</t>
    <phoneticPr fontId="5"/>
  </si>
  <si>
    <t>正直、僕は幻滅している</t>
    <rPh sb="0" eb="2">
      <t>ショウジキ</t>
    </rPh>
    <rPh sb="3" eb="4">
      <t>ボク</t>
    </rPh>
    <rPh sb="5" eb="7">
      <t>ゲンメツ</t>
    </rPh>
    <phoneticPr fontId="5"/>
  </si>
  <si>
    <t>教えてやるよ…</t>
    <rPh sb="0" eb="1">
      <t>オシ</t>
    </rPh>
    <phoneticPr fontId="5"/>
  </si>
  <si>
    <t>[effect:reduction, target:myself, turn:3, color:red, val:0.5, animation:reduction_one04],[effect:reduction, target:myself, turn:3, color:gleen, val:0.5, animation:reduction_one04],[effect:reduction, target:myself, turn:3, color:blue, val:0.5, animation:reduction_one04]</t>
    <phoneticPr fontId="5"/>
  </si>
  <si>
    <t>3ターン赤・緑・青属性のダメージを50%軽減</t>
    <rPh sb="4" eb="5">
      <t>アカ</t>
    </rPh>
    <rPh sb="6" eb="11">
      <t>ミドリゾクセイ</t>
    </rPh>
    <rPh sb="20" eb="22">
      <t>ケイゲン</t>
    </rPh>
    <phoneticPr fontId="5"/>
  </si>
  <si>
    <t>不義の輩を排除すること</t>
    <rPh sb="0" eb="2">
      <t>フギ</t>
    </rPh>
    <rPh sb="3" eb="4">
      <t>ヤカラ</t>
    </rPh>
    <rPh sb="5" eb="7">
      <t>ハイジョ</t>
    </rPh>
    <phoneticPr fontId="5"/>
  </si>
  <si>
    <t>…何度やっても</t>
    <rPh sb="1" eb="3">
      <t>ナンド</t>
    </rPh>
    <phoneticPr fontId="5"/>
  </si>
  <si>
    <t>[effect:break_enchance_enemy, val:0.04, lowest_val:0.05, count :5, status:attack, turn:5, block:block_blue, target:myself, calc:mul, animation:enemy_enhance_attack],[effect:break_attack, val:0.08, lowest_val:1000, count:5, block:block_green, target:unit_all]</t>
    <phoneticPr fontId="5"/>
  </si>
  <si>
    <t>[effect:tolerance, target:myself, turn:-1, tolerance_effect:hungup, count:-1, animation:enemy_tolerance]</t>
    <phoneticPr fontId="5"/>
  </si>
  <si>
    <t>正義にやりすぎが無いって事をね
【！】次のターン即死攻撃発動【！】</t>
    <rPh sb="0" eb="2">
      <t>セイギ</t>
    </rPh>
    <rPh sb="8" eb="9">
      <t>ナ</t>
    </rPh>
    <rPh sb="12" eb="13">
      <t>コト</t>
    </rPh>
    <phoneticPr fontId="5"/>
  </si>
  <si>
    <t>3ターン攻撃力50%DOWN</t>
    <rPh sb="4" eb="7">
      <t>コウゲキリョク</t>
    </rPh>
    <phoneticPr fontId="5"/>
  </si>
  <si>
    <t>[effect:degrade_unit, target:unit_all, turn:3, status:attack, val:0.5]</t>
    <phoneticPr fontId="5"/>
  </si>
  <si>
    <t>[effect:force_change_block, new_block:jammer, target:block_all, ignore:crash, ignore02:jammer, count:6, val:0, animation:change_block],[effect:spread, val:0.15]</t>
    <phoneticPr fontId="5"/>
  </si>
  <si>
    <t>[effect:remove_enhancement, target:unit_all, target_effect:all, target_type:buff, animation:frozen_wave],[effect:spread, val:0.1],[effect:spread, val:0.1],[effect:spread, val:0.1],[effect:spread, val:0.1],[effect:spread, val:0.1],[effect:spread, val:0.1]</t>
    <phoneticPr fontId="5"/>
  </si>
  <si>
    <t>僕は正義のために戦う</t>
    <rPh sb="0" eb="1">
      <t>ボク</t>
    </rPh>
    <rPh sb="2" eb="4">
      <t>セイギ</t>
    </rPh>
    <rPh sb="8" eb="9">
      <t>タタカ</t>
    </rPh>
    <phoneticPr fontId="5"/>
  </si>
  <si>
    <t>結果は変わらないと思うぜ？
【！】次のターン即死攻撃発動【！】</t>
    <rPh sb="0" eb="2">
      <t>ケッカ</t>
    </rPh>
    <rPh sb="3" eb="4">
      <t>カ</t>
    </rPh>
    <rPh sb="9" eb="10">
      <t>オモ</t>
    </rPh>
    <rPh sb="17" eb="18">
      <t>ツギ</t>
    </rPh>
    <rPh sb="22" eb="26">
      <t>ソクシコウゲキ</t>
    </rPh>
    <rPh sb="26" eb="28">
      <t>ハツドウ</t>
    </rPh>
    <phoneticPr fontId="5"/>
  </si>
  <si>
    <t>貴方も分かっているはずだ</t>
    <rPh sb="0" eb="2">
      <t>アナタ</t>
    </rPh>
    <rPh sb="3" eb="4">
      <t>ワ</t>
    </rPh>
    <phoneticPr fontId="5"/>
  </si>
  <si>
    <t>[effect:remove_enhancement, target:unit_all, target_effect:counter, target_type:buff],[effect:remove_enhancement, target:unit_all, target_effect:counter_new, target_type:buff, animation:frozen_wave],[effect:rush, count:8, val:0.14]</t>
    <phoneticPr fontId="5"/>
  </si>
  <si>
    <t>[effect:remove_enhancement, target:unit_all, target_effect:counter, target_type:buff],[effect:remove_enhancement, target:unit_all, target_effect:counter_new, target_type:buff, animation:frozen_wave],[effect:spread, val:0.12],[effect:rush, count:8, val:0.12]</t>
    <phoneticPr fontId="5"/>
  </si>
  <si>
    <t>クラッシュフォール</t>
    <phoneticPr fontId="5"/>
  </si>
  <si>
    <t>…いずれキミも理解できるさ</t>
    <rPh sb="7" eb="9">
      <t>リカイ</t>
    </rPh>
    <phoneticPr fontId="5"/>
  </si>
  <si>
    <t>デスクリーブ</t>
    <phoneticPr fontId="5"/>
  </si>
  <si>
    <t>3ターンウィルス＋攻撃</t>
    <rPh sb="9" eb="11">
      <t>コウゲキ</t>
    </rPh>
    <phoneticPr fontId="5"/>
  </si>
  <si>
    <t>[effect:critical, val:1.5]</t>
    <phoneticPr fontId="5"/>
  </si>
  <si>
    <t>[effect:critical, val:1.5]</t>
    <phoneticPr fontId="5"/>
  </si>
  <si>
    <t>炎球の蓄熱</t>
    <rPh sb="0" eb="1">
      <t>ホノオ</t>
    </rPh>
    <rPh sb="1" eb="2">
      <t>タマ</t>
    </rPh>
    <rPh sb="3" eb="5">
      <t>チクネツ</t>
    </rPh>
    <phoneticPr fontId="5"/>
  </si>
  <si>
    <t>炎球の排熱</t>
    <rPh sb="0" eb="1">
      <t>ホノオ</t>
    </rPh>
    <rPh sb="1" eb="2">
      <t>タマ</t>
    </rPh>
    <rPh sb="3" eb="5">
      <t>ハイネツ</t>
    </rPh>
    <phoneticPr fontId="5"/>
  </si>
  <si>
    <t>キミの存在が…彼の正義を鈍らせる前にね
【！】次のターン即死攻撃発動【！】</t>
    <rPh sb="3" eb="5">
      <t>ソンザイ</t>
    </rPh>
    <rPh sb="7" eb="8">
      <t>カレ</t>
    </rPh>
    <rPh sb="9" eb="11">
      <t>セイギ</t>
    </rPh>
    <rPh sb="12" eb="13">
      <t>ニブ</t>
    </rPh>
    <rPh sb="16" eb="17">
      <t>マエ</t>
    </rPh>
    <phoneticPr fontId="5"/>
  </si>
  <si>
    <t>[effect:virus, turn:3, rate:1, val:0.08, animation:enemy_virus],[effect:rush, count:1, val:0.8]</t>
    <phoneticPr fontId="5"/>
  </si>
  <si>
    <t>やっぱりキミの覚悟はその程度だったか</t>
    <rPh sb="7" eb="9">
      <t>カクゴ</t>
    </rPh>
    <rPh sb="12" eb="14">
      <t>テイド</t>
    </rPh>
    <phoneticPr fontId="5"/>
  </si>
  <si>
    <t>それが正義に属する者の使命だ</t>
    <rPh sb="3" eb="5">
      <t>セイギ</t>
    </rPh>
    <rPh sb="6" eb="7">
      <t>ゾク</t>
    </rPh>
    <rPh sb="9" eb="10">
      <t>モノ</t>
    </rPh>
    <rPh sb="11" eb="13">
      <t>シメイ</t>
    </rPh>
    <phoneticPr fontId="5"/>
  </si>
  <si>
    <t>優しすぎるキミの代わりに</t>
    <rPh sb="0" eb="1">
      <t>ヤサ</t>
    </rPh>
    <rPh sb="8" eb="9">
      <t>カ</t>
    </rPh>
    <phoneticPr fontId="5"/>
  </si>
  <si>
    <t>キミのは　自分を誤魔化してるだけさ</t>
    <rPh sb="5" eb="7">
      <t>ジブン</t>
    </rPh>
    <rPh sb="8" eb="11">
      <t>ゴマカ</t>
    </rPh>
    <phoneticPr fontId="5"/>
  </si>
  <si>
    <t>[effect:tolerance, target:myself, turn:-1, tolerance_effect:hungup, count:-1, animation:enemy_tolerance]</t>
  </si>
  <si>
    <t>[effect:tolerance, target:myself, turn:-1, tolerance_effect:hungup, count:-1, animation:enemy_tolerance]</t>
    <phoneticPr fontId="5"/>
  </si>
  <si>
    <t>[effect:tolerance, target:myself, turn:-1, tolerance_effect:hungup, count:-1, animation:enemy_tolerance],[effect:fix_speed, target:myself, turn:1]</t>
    <phoneticPr fontId="5"/>
  </si>
  <si>
    <t>[effect:tolerance, target:myself, turn:-1, tolerance_effect:hungup, count:-1, animation:enemy_tolerance]</t>
    <phoneticPr fontId="5"/>
  </si>
  <si>
    <t>全てのプラス効果を解除＋致命的な連続攻撃</t>
    <rPh sb="0" eb="1">
      <t>スベ</t>
    </rPh>
    <rPh sb="6" eb="8">
      <t>コウカ</t>
    </rPh>
    <rPh sb="9" eb="11">
      <t>カイジョ</t>
    </rPh>
    <rPh sb="12" eb="15">
      <t>チメイテキ</t>
    </rPh>
    <rPh sb="16" eb="18">
      <t>レンゾク</t>
    </rPh>
    <rPh sb="18" eb="20">
      <t>コウゲキ</t>
    </rPh>
    <phoneticPr fontId="5"/>
  </si>
  <si>
    <t>[effect:reduction, target:myself, turn:3, color:red, val:0.5, animation:reduction_one04],[effect:reduction, target:myself, turn:3, color:green, val:0.5],[effect:reduction, target:myself, turn:3, color:blue, val:0.5]</t>
    <phoneticPr fontId="5"/>
  </si>
  <si>
    <t>失礼　ならば全霊をかけてキミを倒そう
【！】次のターン即死攻撃発動【！】</t>
    <rPh sb="0" eb="2">
      <t>シツレイ</t>
    </rPh>
    <rPh sb="6" eb="8">
      <t>ゼンレイ</t>
    </rPh>
    <rPh sb="15" eb="16">
      <t>タオ</t>
    </rPh>
    <phoneticPr fontId="5"/>
  </si>
  <si>
    <t>アーサー…ィ…様…</t>
    <rPh sb="7" eb="8">
      <t>サマ</t>
    </rPh>
    <phoneticPr fontId="5"/>
  </si>
  <si>
    <t>ハートパネル変換攻撃＋次の攻撃頻度が1にUP</t>
    <rPh sb="6" eb="8">
      <t>ヘンカン</t>
    </rPh>
    <rPh sb="8" eb="10">
      <t>コウゲキ</t>
    </rPh>
    <rPh sb="11" eb="12">
      <t>ツギ</t>
    </rPh>
    <rPh sb="13" eb="17">
      <t>コウゲキヒンド</t>
    </rPh>
    <phoneticPr fontId="5"/>
  </si>
  <si>
    <t>青パネル吸収攻撃力UP＋緑パネル吸収攻撃</t>
    <rPh sb="16" eb="18">
      <t>キュウシュウ</t>
    </rPh>
    <phoneticPr fontId="5"/>
  </si>
  <si>
    <t>2ターン全属性ダメージ軽減
＋次のターン青・緑パネルを吸収して大攻撃</t>
    <rPh sb="4" eb="7">
      <t>ゼンゾクセイ</t>
    </rPh>
    <rPh sb="11" eb="13">
      <t>ケイゲン</t>
    </rPh>
    <rPh sb="15" eb="16">
      <t>ツギ</t>
    </rPh>
    <rPh sb="20" eb="21">
      <t>アオ</t>
    </rPh>
    <rPh sb="22" eb="23">
      <t>ミドリ</t>
    </rPh>
    <rPh sb="27" eb="29">
      <t>キュウシュウ</t>
    </rPh>
    <rPh sb="31" eb="32">
      <t>ダイ</t>
    </rPh>
    <rPh sb="32" eb="34">
      <t>コウゲキ</t>
    </rPh>
    <phoneticPr fontId="5"/>
  </si>
  <si>
    <t>全体攻撃＋時限式パネル大量生成</t>
    <rPh sb="0" eb="2">
      <t>ゼンタイ</t>
    </rPh>
    <rPh sb="2" eb="4">
      <t>コウゲキ</t>
    </rPh>
    <rPh sb="5" eb="8">
      <t>ジゲンシキ</t>
    </rPh>
    <rPh sb="11" eb="13">
      <t>タイリョウ</t>
    </rPh>
    <rPh sb="13" eb="15">
      <t>セイセイ</t>
    </rPh>
    <phoneticPr fontId="5"/>
  </si>
  <si>
    <t>[effect:spread, val:0.6],[effect:force_change_block, new_block:time_bomb, target:block_all, count:15, val:0.2, min_time_count:1, max_time_count:1, animation:change_block],[effect:fix_speed, target:myself, turn:2]</t>
    <phoneticPr fontId="5"/>
  </si>
  <si>
    <t>…ランス、なぜだ？</t>
    <phoneticPr fontId="5"/>
  </si>
  <si>
    <t>…キミのそういう所が好きだよ</t>
    <rPh sb="8" eb="9">
      <t>トコロ</t>
    </rPh>
    <rPh sb="10" eb="11">
      <t>ス</t>
    </rPh>
    <phoneticPr fontId="5"/>
  </si>
  <si>
    <t>変わったのは　キミの志のほうだ…！</t>
    <rPh sb="0" eb="1">
      <t>カ</t>
    </rPh>
    <rPh sb="10" eb="11">
      <t>ココロザシ</t>
    </rPh>
    <phoneticPr fontId="5"/>
  </si>
  <si>
    <t>ここで葬り去ってやる</t>
    <rPh sb="3" eb="4">
      <t>ホウム</t>
    </rPh>
    <rPh sb="5" eb="6">
      <t>サ</t>
    </rPh>
    <phoneticPr fontId="5"/>
  </si>
  <si>
    <t>僕が理想を実現してあげるよ…！！
【！】次のターン即死攻撃発動【！】</t>
    <rPh sb="0" eb="1">
      <t>ボク</t>
    </rPh>
    <rPh sb="2" eb="4">
      <t>リソウ</t>
    </rPh>
    <rPh sb="5" eb="7">
      <t>ジツゲン</t>
    </rPh>
    <phoneticPr fontId="5"/>
  </si>
  <si>
    <t>違う…彼は何も変わってない</t>
    <rPh sb="0" eb="1">
      <t>チガ</t>
    </rPh>
    <rPh sb="3" eb="4">
      <t>カレ</t>
    </rPh>
    <rPh sb="5" eb="6">
      <t>ナニ</t>
    </rPh>
    <rPh sb="7" eb="8">
      <t>カ</t>
    </rPh>
    <phoneticPr fontId="5"/>
  </si>
  <si>
    <t>キミが一番　彼の信頼を得ていたのに…！</t>
    <rPh sb="3" eb="5">
      <t>イチバン</t>
    </rPh>
    <rPh sb="6" eb="7">
      <t>カレ</t>
    </rPh>
    <rPh sb="8" eb="10">
      <t>シンライ</t>
    </rPh>
    <rPh sb="11" eb="12">
      <t>エ</t>
    </rPh>
    <phoneticPr fontId="5"/>
  </si>
  <si>
    <t>せめてキミを倒して　僕が彼の一番になる…！
【！】次のターン即死攻撃発動【！】</t>
    <rPh sb="6" eb="7">
      <t>タオ</t>
    </rPh>
    <rPh sb="10" eb="11">
      <t>ボク</t>
    </rPh>
    <rPh sb="12" eb="13">
      <t>カレ</t>
    </rPh>
    <rPh sb="14" eb="16">
      <t>イチバン</t>
    </rPh>
    <phoneticPr fontId="5"/>
  </si>
  <si>
    <t>何を言っても今更か…</t>
    <rPh sb="0" eb="1">
      <t>ナニ</t>
    </rPh>
    <rPh sb="2" eb="3">
      <t>イ</t>
    </rPh>
    <rPh sb="6" eb="8">
      <t>イマサラ</t>
    </rPh>
    <phoneticPr fontId="5"/>
  </si>
  <si>
    <t>キミが一番　彼の信頼を得ていたのに…！</t>
    <phoneticPr fontId="5"/>
  </si>
  <si>
    <t>僕が理想を実現してあげるよ…！！
【！】次のターン即死攻撃発動【！】</t>
    <phoneticPr fontId="5"/>
  </si>
  <si>
    <t>何を言っても今更か…</t>
    <phoneticPr fontId="5"/>
  </si>
  <si>
    <t>せめてキミを倒して　僕が彼の一番になる…！
【！】次のターン即死攻撃発動【！】</t>
    <phoneticPr fontId="5"/>
  </si>
  <si>
    <t>失礼　ならば全霊をかけてキミを倒そう
【！】次のターン即死攻撃発動【！】</t>
    <phoneticPr fontId="5"/>
  </si>
  <si>
    <t>[effect:enhance_enemy, target:enemy_yellow, turn:-1, status:attack, val:0.1, animation:enemy_enhance_attack]</t>
    <phoneticPr fontId="5"/>
  </si>
  <si>
    <t>ライオネルの攻撃はかなり威力が高く
油断するとあっという間にピンチに陥ります
防御力UPなど準備をしておくと良いでしょう</t>
    <rPh sb="6" eb="8">
      <t>コウゲキ</t>
    </rPh>
    <rPh sb="12" eb="14">
      <t>イリョク</t>
    </rPh>
    <rPh sb="15" eb="16">
      <t>タカ</t>
    </rPh>
    <rPh sb="18" eb="20">
      <t>ユダン</t>
    </rPh>
    <rPh sb="28" eb="29">
      <t>マ</t>
    </rPh>
    <rPh sb="34" eb="35">
      <t>オチイ</t>
    </rPh>
    <rPh sb="40" eb="43">
      <t>ボウギョリョク</t>
    </rPh>
    <rPh sb="47" eb="49">
      <t>ジュンビ</t>
    </rPh>
    <rPh sb="55" eb="56">
      <t>ヨ</t>
    </rPh>
    <phoneticPr fontId="5"/>
  </si>
  <si>
    <t>このフロアの果実は1体倒した時点で
他の果実が連鎖自爆を浴びせてきます
同じターンで一斉に撃破すれば回避可能です</t>
    <rPh sb="6" eb="8">
      <t>カジツ</t>
    </rPh>
    <rPh sb="10" eb="11">
      <t>カラダ</t>
    </rPh>
    <rPh sb="11" eb="12">
      <t>タオ</t>
    </rPh>
    <rPh sb="14" eb="16">
      <t>ジテン</t>
    </rPh>
    <rPh sb="18" eb="19">
      <t>ホカ</t>
    </rPh>
    <rPh sb="20" eb="22">
      <t>カジツ</t>
    </rPh>
    <rPh sb="23" eb="25">
      <t>レンサ</t>
    </rPh>
    <rPh sb="25" eb="27">
      <t>ジバク</t>
    </rPh>
    <rPh sb="28" eb="29">
      <t>ア</t>
    </rPh>
    <rPh sb="37" eb="38">
      <t>オナ</t>
    </rPh>
    <rPh sb="43" eb="45">
      <t>イッセイ</t>
    </rPh>
    <rPh sb="46" eb="48">
      <t>ゲキハ</t>
    </rPh>
    <rPh sb="51" eb="53">
      <t>カイヒ</t>
    </rPh>
    <rPh sb="53" eb="55">
      <t>カノウ</t>
    </rPh>
    <phoneticPr fontId="5"/>
  </si>
  <si>
    <t>ランドラグが大きく息を吸い込んだら
次のターン強力な攻撃を放ってくる合図です
状況に応じて適切な対処を行いましょう</t>
    <rPh sb="6" eb="7">
      <t>オオ</t>
    </rPh>
    <rPh sb="9" eb="10">
      <t>イキ</t>
    </rPh>
    <rPh sb="11" eb="12">
      <t>ス</t>
    </rPh>
    <rPh sb="13" eb="14">
      <t>コ</t>
    </rPh>
    <rPh sb="18" eb="19">
      <t>ツギ</t>
    </rPh>
    <rPh sb="23" eb="25">
      <t>キョウリョク</t>
    </rPh>
    <rPh sb="26" eb="28">
      <t>コウゲキ</t>
    </rPh>
    <rPh sb="29" eb="30">
      <t>ハナ</t>
    </rPh>
    <rPh sb="34" eb="36">
      <t>アイズ</t>
    </rPh>
    <rPh sb="40" eb="42">
      <t>ジョウキョウ</t>
    </rPh>
    <rPh sb="43" eb="44">
      <t>オウ</t>
    </rPh>
    <rPh sb="46" eb="48">
      <t>テキセツ</t>
    </rPh>
    <rPh sb="49" eb="51">
      <t>タイショ</t>
    </rPh>
    <rPh sb="52" eb="53">
      <t>オコナ</t>
    </rPh>
    <phoneticPr fontId="5"/>
  </si>
  <si>
    <t>ガレスは戦闘を開始してすぐに
自身の攻撃力をUPするスキルを使用します
効果持続中はHPを高く保って備えましょう</t>
    <rPh sb="4" eb="6">
      <t>セントウ</t>
    </rPh>
    <rPh sb="7" eb="9">
      <t>カイシ</t>
    </rPh>
    <rPh sb="15" eb="17">
      <t>ジシン</t>
    </rPh>
    <rPh sb="18" eb="21">
      <t>コウゲキリョク</t>
    </rPh>
    <rPh sb="30" eb="32">
      <t>シヨウ</t>
    </rPh>
    <rPh sb="37" eb="39">
      <t>コウカ</t>
    </rPh>
    <rPh sb="39" eb="42">
      <t>ジゾクチュウ</t>
    </rPh>
    <rPh sb="46" eb="47">
      <t>タカ</t>
    </rPh>
    <rPh sb="48" eb="49">
      <t>タモ</t>
    </rPh>
    <rPh sb="51" eb="52">
      <t>ソナ</t>
    </rPh>
    <phoneticPr fontId="5"/>
  </si>
  <si>
    <t>ガレスが即死攻撃を宣言したら
全ての力を注いで一気に倒しきりましょう
種族特攻のCパネルがあると非常に有効です</t>
    <rPh sb="4" eb="6">
      <t>ソクシ</t>
    </rPh>
    <rPh sb="6" eb="8">
      <t>コウゲキ</t>
    </rPh>
    <rPh sb="9" eb="11">
      <t>センゲン</t>
    </rPh>
    <rPh sb="15" eb="16">
      <t>スベ</t>
    </rPh>
    <rPh sb="18" eb="19">
      <t>チカラ</t>
    </rPh>
    <rPh sb="20" eb="21">
      <t>ソソ</t>
    </rPh>
    <rPh sb="23" eb="25">
      <t>イッキ</t>
    </rPh>
    <rPh sb="26" eb="27">
      <t>タオ</t>
    </rPh>
    <rPh sb="36" eb="38">
      <t>シュゾク</t>
    </rPh>
    <rPh sb="38" eb="40">
      <t>トッコウ</t>
    </rPh>
    <rPh sb="49" eb="51">
      <t>ヒジョウ</t>
    </rPh>
    <rPh sb="52" eb="54">
      <t>ユウコウ</t>
    </rPh>
    <phoneticPr fontId="5"/>
  </si>
  <si>
    <t>カウンター解除＋強力な連続攻撃</t>
    <rPh sb="5" eb="7">
      <t>カイジョ</t>
    </rPh>
    <rPh sb="8" eb="10">
      <t>キョウリョク</t>
    </rPh>
    <rPh sb="11" eb="13">
      <t>レンゾク</t>
    </rPh>
    <rPh sb="13" eb="15">
      <t>コウゲキ</t>
    </rPh>
    <phoneticPr fontId="5"/>
  </si>
  <si>
    <t>ガレスは特定の条件下で
致命的な攻撃を放つので注意が必要です
継続してダメージを与える事で回避できます</t>
    <rPh sb="4" eb="6">
      <t>トクテイ</t>
    </rPh>
    <rPh sb="7" eb="9">
      <t>ジョウケン</t>
    </rPh>
    <rPh sb="9" eb="10">
      <t>ジョウキョウカ</t>
    </rPh>
    <rPh sb="12" eb="15">
      <t>チメイテキ</t>
    </rPh>
    <rPh sb="16" eb="18">
      <t>コウゲキ</t>
    </rPh>
    <rPh sb="19" eb="20">
      <t>ハナ</t>
    </rPh>
    <rPh sb="23" eb="25">
      <t>チュウイ</t>
    </rPh>
    <rPh sb="26" eb="28">
      <t>ヒツヨウ</t>
    </rPh>
    <rPh sb="32" eb="34">
      <t>ケイゾク</t>
    </rPh>
    <rPh sb="41" eb="42">
      <t>アタ</t>
    </rPh>
    <rPh sb="44" eb="45">
      <t>コト</t>
    </rPh>
    <rPh sb="46" eb="48">
      <t>カイヒ</t>
    </rPh>
    <phoneticPr fontId="5"/>
  </si>
  <si>
    <t>違う…彼は何も変わってない</t>
    <phoneticPr fontId="5"/>
  </si>
  <si>
    <t>なんてね…僕を止めに来たんだろ？</t>
    <rPh sb="5" eb="6">
      <t>ボク</t>
    </rPh>
    <rPh sb="7" eb="8">
      <t>ト</t>
    </rPh>
    <rPh sb="10" eb="11">
      <t>キ</t>
    </rPh>
    <phoneticPr fontId="5"/>
  </si>
  <si>
    <t>なんてね…僕を止めに来たんだろ？</t>
    <phoneticPr fontId="5"/>
  </si>
  <si>
    <t>彼の右腕だったキミが…なぜ彼を裏切った！</t>
    <rPh sb="13" eb="14">
      <t>カレ</t>
    </rPh>
    <rPh sb="15" eb="17">
      <t>ウラギ</t>
    </rPh>
    <phoneticPr fontId="5"/>
  </si>
  <si>
    <t>彼の右腕だったキミが…なぜ彼を裏切った！</t>
    <phoneticPr fontId="5"/>
  </si>
  <si>
    <t>それでも背負っていくのなら</t>
    <rPh sb="4" eb="6">
      <t>セオ</t>
    </rPh>
    <phoneticPr fontId="5"/>
  </si>
  <si>
    <t>それでも背負っていくのなら</t>
    <phoneticPr fontId="5"/>
  </si>
  <si>
    <t>僕の信念とどちらが上か…試してやるよ
【！】次のターン即死攻撃発動【！】</t>
    <rPh sb="0" eb="1">
      <t>ボク</t>
    </rPh>
    <rPh sb="2" eb="4">
      <t>シンネン</t>
    </rPh>
    <rPh sb="9" eb="10">
      <t>ウエ</t>
    </rPh>
    <rPh sb="12" eb="13">
      <t>タメ</t>
    </rPh>
    <phoneticPr fontId="5"/>
  </si>
  <si>
    <t>契約の力…確かに渡したよ</t>
    <rPh sb="0" eb="2">
      <t>ケイヤク</t>
    </rPh>
    <rPh sb="3" eb="4">
      <t>チカラ</t>
    </rPh>
    <rPh sb="5" eb="6">
      <t>タシ</t>
    </rPh>
    <rPh sb="8" eb="9">
      <t>ワタ</t>
    </rPh>
    <phoneticPr fontId="5"/>
  </si>
  <si>
    <t>言うことを聞キヤガレれェッ…！！</t>
    <rPh sb="0" eb="1">
      <t>イ</t>
    </rPh>
    <rPh sb="5" eb="6">
      <t>キ</t>
    </rPh>
    <phoneticPr fontId="5"/>
  </si>
  <si>
    <t>俺様ハ…貴様より強いンダァァ！！</t>
    <rPh sb="0" eb="2">
      <t>オレサマ</t>
    </rPh>
    <rPh sb="4" eb="6">
      <t>キサマ</t>
    </rPh>
    <rPh sb="8" eb="9">
      <t>ツヨ</t>
    </rPh>
    <phoneticPr fontId="5"/>
  </si>
  <si>
    <t>キ危険…デス…逃ゲ…</t>
    <rPh sb="1" eb="3">
      <t>キケン</t>
    </rPh>
    <rPh sb="7" eb="8">
      <t>ニ</t>
    </rPh>
    <phoneticPr fontId="5"/>
  </si>
  <si>
    <t>ぼつ</t>
    <phoneticPr fontId="5"/>
  </si>
  <si>
    <t>だからこそ…僕はキミの刃になると決めたんだ</t>
    <rPh sb="6" eb="7">
      <t>ボク</t>
    </rPh>
    <rPh sb="11" eb="12">
      <t>ヤイバ</t>
    </rPh>
    <rPh sb="16" eb="17">
      <t>キ</t>
    </rPh>
    <phoneticPr fontId="5"/>
  </si>
  <si>
    <t>残りHPの50%を消費して強力な一撃！</t>
    <rPh sb="0" eb="1">
      <t>ノコr</t>
    </rPh>
    <rPh sb="9" eb="11">
      <t>ショウヒ</t>
    </rPh>
    <rPh sb="13" eb="15">
      <t>キョウリョク</t>
    </rPh>
    <rPh sb="16" eb="18">
      <t>イチゲキ</t>
    </rPh>
    <phoneticPr fontId="5"/>
  </si>
  <si>
    <t>残りHPの5%消費して6回連続攻撃</t>
    <rPh sb="7" eb="9">
      <t>ショウヒ</t>
    </rPh>
    <rPh sb="12" eb="13">
      <t>カイ</t>
    </rPh>
    <rPh sb="13" eb="17">
      <t>レンゾクコウゲキ</t>
    </rPh>
    <phoneticPr fontId="5"/>
  </si>
  <si>
    <t>残りHPの10%消費して全体攻撃</t>
    <rPh sb="8" eb="10">
      <t>ショウヒ</t>
    </rPh>
    <rPh sb="12" eb="16">
      <t>ゼンタイコウゲキ</t>
    </rPh>
    <phoneticPr fontId="5"/>
  </si>
  <si>
    <t>トリス…キミは「未定」だろ？</t>
    <rPh sb="8" eb="10">
      <t>ミテイ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</si>
</sst>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family val="3"/>
      <charset val="128"/>
      <scheme val="minor"/>
    </font>
    <font>
      <sz val="10"/>
      <color rgb="FF0000FF"/>
      <name val="ＭＳ Ｐゴシック"/>
      <charset val="128"/>
      <scheme val="minor"/>
    </font>
    <font>
      <sz val="10"/>
      <color rgb="FFFF0000"/>
      <name val="ＭＳ Ｐゴシック"/>
      <charset val="128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2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indexed="24"/>
      </patternFill>
    </fill>
    <fill>
      <patternFill patternType="solid">
        <fgColor rgb="FFFFFF00"/>
        <bgColor indexed="2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63AAFE"/>
      </patternFill>
    </fill>
    <fill>
      <patternFill patternType="solid">
        <fgColor rgb="FFE1FDFF"/>
        <bgColor indexed="64"/>
      </patternFill>
    </fill>
    <fill>
      <patternFill patternType="solid">
        <fgColor rgb="FFE1FDFF"/>
        <bgColor rgb="FF000000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21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4" fillId="31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0" fontId="6" fillId="33" borderId="3" xfId="0" applyFont="1" applyFill="1" applyBorder="1" applyAlignment="1">
      <alignment vertical="center"/>
    </xf>
    <xf numFmtId="0" fontId="4" fillId="34" borderId="1" xfId="0" applyFont="1" applyFill="1" applyBorder="1" applyAlignment="1">
      <alignment horizontal="center" vertical="center"/>
    </xf>
    <xf numFmtId="0" fontId="6" fillId="35" borderId="3" xfId="0" applyFont="1" applyFill="1" applyBorder="1" applyAlignment="1">
      <alignment vertical="center"/>
    </xf>
    <xf numFmtId="0" fontId="6" fillId="34" borderId="7" xfId="0" applyFont="1" applyFill="1" applyBorder="1" applyAlignment="1">
      <alignment vertical="center"/>
    </xf>
    <xf numFmtId="0" fontId="8" fillId="34" borderId="4" xfId="0" applyFont="1" applyFill="1" applyBorder="1" applyAlignment="1">
      <alignment vertical="center"/>
    </xf>
    <xf numFmtId="177" fontId="8" fillId="34" borderId="4" xfId="0" applyNumberFormat="1" applyFont="1" applyFill="1" applyBorder="1" applyAlignment="1">
      <alignment vertical="center"/>
    </xf>
    <xf numFmtId="0" fontId="4" fillId="34" borderId="5" xfId="0" applyFont="1" applyFill="1" applyBorder="1" applyAlignment="1">
      <alignment vertical="center"/>
    </xf>
    <xf numFmtId="0" fontId="6" fillId="31" borderId="7" xfId="0" applyFont="1" applyFill="1" applyBorder="1" applyAlignment="1">
      <alignment vertical="center"/>
    </xf>
    <xf numFmtId="0" fontId="8" fillId="31" borderId="4" xfId="0" applyFont="1" applyFill="1" applyBorder="1" applyAlignment="1">
      <alignment vertical="center"/>
    </xf>
    <xf numFmtId="177" fontId="8" fillId="31" borderId="4" xfId="0" applyNumberFormat="1" applyFont="1" applyFill="1" applyBorder="1" applyAlignment="1">
      <alignment vertical="center"/>
    </xf>
    <xf numFmtId="0" fontId="4" fillId="31" borderId="5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8" fillId="6" borderId="4" xfId="0" applyFont="1" applyFill="1" applyBorder="1" applyAlignment="1">
      <alignment vertical="center"/>
    </xf>
    <xf numFmtId="177" fontId="8" fillId="6" borderId="4" xfId="0" applyNumberFormat="1" applyFont="1" applyFill="1" applyBorder="1" applyAlignment="1">
      <alignment vertical="center"/>
    </xf>
    <xf numFmtId="0" fontId="4" fillId="6" borderId="5" xfId="0" applyFont="1" applyFill="1" applyBorder="1" applyAlignment="1">
      <alignment vertical="center"/>
    </xf>
    <xf numFmtId="0" fontId="6" fillId="36" borderId="11" xfId="0" applyFont="1" applyFill="1" applyBorder="1" applyAlignment="1">
      <alignment vertical="center"/>
    </xf>
    <xf numFmtId="0" fontId="6" fillId="36" borderId="9" xfId="0" applyFont="1" applyFill="1" applyBorder="1" applyAlignment="1">
      <alignment vertical="center"/>
    </xf>
    <xf numFmtId="0" fontId="11" fillId="0" borderId="10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 wrapText="1"/>
    </xf>
    <xf numFmtId="0" fontId="11" fillId="37" borderId="10" xfId="0" applyFont="1" applyFill="1" applyBorder="1" applyAlignment="1">
      <alignment horizontal="left" vertical="center" wrapText="1"/>
    </xf>
    <xf numFmtId="0" fontId="11" fillId="37" borderId="10" xfId="0" applyFont="1" applyFill="1" applyBorder="1" applyAlignment="1">
      <alignment vertical="center"/>
    </xf>
    <xf numFmtId="14" fontId="11" fillId="0" borderId="10" xfId="0" applyNumberFormat="1" applyFont="1" applyBorder="1" applyAlignment="1">
      <alignment horizontal="left" vertical="center"/>
    </xf>
    <xf numFmtId="0" fontId="6" fillId="36" borderId="3" xfId="0" applyFont="1" applyFill="1" applyBorder="1" applyAlignment="1">
      <alignment vertical="center"/>
    </xf>
    <xf numFmtId="0" fontId="51" fillId="38" borderId="23" xfId="0" applyFont="1" applyFill="1" applyBorder="1" applyAlignment="1">
      <alignment vertical="center"/>
    </xf>
    <xf numFmtId="0" fontId="4" fillId="15" borderId="7" xfId="0" applyFont="1" applyFill="1" applyBorder="1" applyAlignment="1">
      <alignment horizontal="right" vertical="center"/>
    </xf>
    <xf numFmtId="0" fontId="16" fillId="32" borderId="7" xfId="0" applyFont="1" applyFill="1" applyBorder="1" applyAlignment="1">
      <alignment horizontal="left" vertical="center" wrapText="1"/>
    </xf>
    <xf numFmtId="0" fontId="11" fillId="32" borderId="7" xfId="0" applyFont="1" applyFill="1" applyBorder="1" applyAlignment="1">
      <alignment horizontal="left" vertical="center" wrapText="1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52" fillId="32" borderId="7" xfId="0" applyFont="1" applyFill="1" applyBorder="1" applyAlignment="1">
      <alignment horizontal="left" vertical="center" wrapText="1"/>
    </xf>
    <xf numFmtId="0" fontId="16" fillId="39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horizontal="left" vertical="center"/>
    </xf>
    <xf numFmtId="0" fontId="16" fillId="39" borderId="7" xfId="0" applyFont="1" applyFill="1" applyBorder="1" applyAlignment="1">
      <alignment horizontal="left" vertical="center" wrapText="1"/>
    </xf>
    <xf numFmtId="0" fontId="52" fillId="39" borderId="7" xfId="0" applyFont="1" applyFill="1" applyBorder="1" applyAlignment="1">
      <alignment horizontal="left" vertical="center" wrapText="1"/>
    </xf>
    <xf numFmtId="0" fontId="11" fillId="40" borderId="7" xfId="0" applyFont="1" applyFill="1" applyBorder="1" applyAlignment="1">
      <alignment horizontal="left" vertical="center" wrapText="1"/>
    </xf>
    <xf numFmtId="0" fontId="11" fillId="39" borderId="7" xfId="0" applyFont="1" applyFill="1" applyBorder="1" applyAlignment="1">
      <alignment horizontal="left" vertical="center" wrapText="1"/>
    </xf>
    <xf numFmtId="0" fontId="11" fillId="0" borderId="10" xfId="0" applyFont="1" applyBorder="1" applyAlignment="1">
      <alignment vertical="center"/>
    </xf>
    <xf numFmtId="0" fontId="11" fillId="0" borderId="24" xfId="0" applyFont="1" applyBorder="1" applyAlignment="1">
      <alignment vertical="center"/>
    </xf>
    <xf numFmtId="0" fontId="11" fillId="37" borderId="24" xfId="0" applyFont="1" applyFill="1" applyBorder="1" applyAlignment="1">
      <alignment vertical="center"/>
    </xf>
    <xf numFmtId="0" fontId="16" fillId="7" borderId="7" xfId="0" applyFont="1" applyFill="1" applyBorder="1" applyAlignment="1">
      <alignment vertical="center"/>
    </xf>
    <xf numFmtId="0" fontId="16" fillId="7" borderId="7" xfId="0" applyFont="1" applyFill="1" applyBorder="1" applyAlignment="1">
      <alignment horizontal="left" vertical="center"/>
    </xf>
    <xf numFmtId="0" fontId="16" fillId="7" borderId="7" xfId="0" applyFont="1" applyFill="1" applyBorder="1" applyAlignment="1">
      <alignment horizontal="left" vertical="center" wrapText="1"/>
    </xf>
    <xf numFmtId="0" fontId="11" fillId="0" borderId="7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51" fillId="0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horizontal="left" vertical="center" wrapText="1"/>
    </xf>
    <xf numFmtId="0" fontId="53" fillId="0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4" fillId="13" borderId="1" xfId="0" applyFont="1" applyFill="1" applyBorder="1" applyAlignment="1">
      <alignment vertical="center"/>
    </xf>
  </cellXfs>
  <cellStyles count="121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赤字強調" xfId="431"/>
    <cellStyle name="青字強調" xfId="43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12001</v>
          </cell>
        </row>
        <row r="79">
          <cell r="A79">
            <v>12002</v>
          </cell>
        </row>
        <row r="80">
          <cell r="A80">
            <v>12003</v>
          </cell>
        </row>
        <row r="81">
          <cell r="A81">
            <v>12004</v>
          </cell>
        </row>
        <row r="82">
          <cell r="A82">
            <v>13001</v>
          </cell>
        </row>
        <row r="83">
          <cell r="A83">
            <v>14001</v>
          </cell>
        </row>
        <row r="84">
          <cell r="A84">
            <v>14002</v>
          </cell>
        </row>
        <row r="85">
          <cell r="A85">
            <v>14003</v>
          </cell>
        </row>
        <row r="86">
          <cell r="A86">
            <v>14004</v>
          </cell>
        </row>
        <row r="87">
          <cell r="A87">
            <v>14005</v>
          </cell>
        </row>
        <row r="88">
          <cell r="A88">
            <v>14006</v>
          </cell>
        </row>
        <row r="89">
          <cell r="A89">
            <v>15027</v>
          </cell>
        </row>
        <row r="90">
          <cell r="A90">
            <v>15028</v>
          </cell>
        </row>
        <row r="91">
          <cell r="A91">
            <v>15029</v>
          </cell>
        </row>
        <row r="92">
          <cell r="A92">
            <v>15030</v>
          </cell>
        </row>
        <row r="93">
          <cell r="A93">
            <v>15031</v>
          </cell>
        </row>
        <row r="94">
          <cell r="A94">
            <v>20001</v>
          </cell>
        </row>
        <row r="95">
          <cell r="A95">
            <v>20002</v>
          </cell>
        </row>
        <row r="96">
          <cell r="A96">
            <v>20003</v>
          </cell>
        </row>
        <row r="97">
          <cell r="A97">
            <v>20004</v>
          </cell>
        </row>
        <row r="98">
          <cell r="A98">
            <v>20005</v>
          </cell>
        </row>
        <row r="99">
          <cell r="A99">
            <v>20006</v>
          </cell>
        </row>
        <row r="100">
          <cell r="A100">
            <v>20007</v>
          </cell>
        </row>
        <row r="101">
          <cell r="A101">
            <v>20008</v>
          </cell>
        </row>
        <row r="102">
          <cell r="A102">
            <v>20009</v>
          </cell>
        </row>
        <row r="103">
          <cell r="A103">
            <v>20010</v>
          </cell>
        </row>
        <row r="104">
          <cell r="A104">
            <v>20011</v>
          </cell>
        </row>
        <row r="105">
          <cell r="A105">
            <v>20012</v>
          </cell>
        </row>
        <row r="106">
          <cell r="A106">
            <v>20013</v>
          </cell>
        </row>
        <row r="107">
          <cell r="A107">
            <v>30001</v>
          </cell>
        </row>
        <row r="108">
          <cell r="A108">
            <v>30002</v>
          </cell>
        </row>
        <row r="109">
          <cell r="A109">
            <v>30003</v>
          </cell>
        </row>
        <row r="110">
          <cell r="A110">
            <v>30004</v>
          </cell>
        </row>
        <row r="111">
          <cell r="A111">
            <v>30005</v>
          </cell>
        </row>
        <row r="112">
          <cell r="A112">
            <v>30006</v>
          </cell>
        </row>
        <row r="113">
          <cell r="A113">
            <v>30007</v>
          </cell>
        </row>
        <row r="114">
          <cell r="A114">
            <v>30008</v>
          </cell>
        </row>
        <row r="115">
          <cell r="A115">
            <v>30009</v>
          </cell>
        </row>
        <row r="116">
          <cell r="A116">
            <v>30010</v>
          </cell>
        </row>
        <row r="117">
          <cell r="A117">
            <v>30011</v>
          </cell>
        </row>
        <row r="118">
          <cell r="A118">
            <v>30012</v>
          </cell>
        </row>
        <row r="119">
          <cell r="A119">
            <v>30013</v>
          </cell>
        </row>
        <row r="120">
          <cell r="A120">
            <v>30014</v>
          </cell>
        </row>
        <row r="121">
          <cell r="A121">
            <v>30015</v>
          </cell>
        </row>
        <row r="122">
          <cell r="A122">
            <v>30016</v>
          </cell>
        </row>
        <row r="123">
          <cell r="A123">
            <v>30017</v>
          </cell>
        </row>
        <row r="124">
          <cell r="A124">
            <v>30018</v>
          </cell>
        </row>
        <row r="125">
          <cell r="A125">
            <v>30019</v>
          </cell>
        </row>
        <row r="126">
          <cell r="A126">
            <v>30020</v>
          </cell>
        </row>
        <row r="127">
          <cell r="A127">
            <v>30021</v>
          </cell>
        </row>
        <row r="128">
          <cell r="A128">
            <v>30022</v>
          </cell>
        </row>
        <row r="129">
          <cell r="A129">
            <v>30023</v>
          </cell>
        </row>
        <row r="130">
          <cell r="A130">
            <v>30024</v>
          </cell>
        </row>
        <row r="131">
          <cell r="A131">
            <v>30025</v>
          </cell>
        </row>
        <row r="132">
          <cell r="A132">
            <v>30026</v>
          </cell>
        </row>
        <row r="133">
          <cell r="A133">
            <v>30027</v>
          </cell>
        </row>
        <row r="134">
          <cell r="A134">
            <v>30028</v>
          </cell>
        </row>
        <row r="135">
          <cell r="A135">
            <v>30029</v>
          </cell>
        </row>
        <row r="136">
          <cell r="A136">
            <v>30030</v>
          </cell>
        </row>
        <row r="137">
          <cell r="A137">
            <v>30031</v>
          </cell>
        </row>
        <row r="138">
          <cell r="A138">
            <v>30032</v>
          </cell>
        </row>
        <row r="139">
          <cell r="A139">
            <v>30033</v>
          </cell>
        </row>
        <row r="140">
          <cell r="A140">
            <v>39001</v>
          </cell>
        </row>
        <row r="141">
          <cell r="A141">
            <v>39002</v>
          </cell>
        </row>
        <row r="142">
          <cell r="A142">
            <v>39003</v>
          </cell>
        </row>
        <row r="143">
          <cell r="A143">
            <v>40001</v>
          </cell>
        </row>
        <row r="144">
          <cell r="A144">
            <v>40002</v>
          </cell>
        </row>
        <row r="145">
          <cell r="A145">
            <v>40003</v>
          </cell>
        </row>
        <row r="146">
          <cell r="A146">
            <v>40004</v>
          </cell>
        </row>
        <row r="147">
          <cell r="A147">
            <v>40005</v>
          </cell>
        </row>
        <row r="148">
          <cell r="A148">
            <v>40006</v>
          </cell>
        </row>
        <row r="149">
          <cell r="A149">
            <v>40007</v>
          </cell>
        </row>
        <row r="150">
          <cell r="A150">
            <v>40008</v>
          </cell>
        </row>
        <row r="151">
          <cell r="A151">
            <v>40009</v>
          </cell>
        </row>
        <row r="152">
          <cell r="A152">
            <v>40010</v>
          </cell>
        </row>
        <row r="153">
          <cell r="A153">
            <v>40011</v>
          </cell>
        </row>
        <row r="154">
          <cell r="A154">
            <v>40012</v>
          </cell>
        </row>
        <row r="155">
          <cell r="A155">
            <v>40013</v>
          </cell>
        </row>
        <row r="156">
          <cell r="A156">
            <v>40014</v>
          </cell>
        </row>
        <row r="157">
          <cell r="A157">
            <v>40015</v>
          </cell>
        </row>
        <row r="158">
          <cell r="A158">
            <v>40016</v>
          </cell>
        </row>
        <row r="159">
          <cell r="A159">
            <v>49001</v>
          </cell>
        </row>
        <row r="160">
          <cell r="A160">
            <v>49002</v>
          </cell>
        </row>
        <row r="161">
          <cell r="A161">
            <v>49003</v>
          </cell>
        </row>
        <row r="162">
          <cell r="A162">
            <v>50001</v>
          </cell>
        </row>
        <row r="163">
          <cell r="A163">
            <v>50002</v>
          </cell>
        </row>
        <row r="164">
          <cell r="A164">
            <v>50003</v>
          </cell>
        </row>
        <row r="165">
          <cell r="A165">
            <v>60001</v>
          </cell>
        </row>
        <row r="166">
          <cell r="A166">
            <v>60002</v>
          </cell>
        </row>
        <row r="167">
          <cell r="A167">
            <v>60003</v>
          </cell>
        </row>
        <row r="168">
          <cell r="A168">
            <v>60004</v>
          </cell>
        </row>
        <row r="169">
          <cell r="A169">
            <v>60005</v>
          </cell>
        </row>
        <row r="170">
          <cell r="A170">
            <v>60006</v>
          </cell>
        </row>
        <row r="171">
          <cell r="A171">
            <v>65535</v>
          </cell>
        </row>
        <row r="172">
          <cell r="A172">
            <v>60021</v>
          </cell>
        </row>
        <row r="173">
          <cell r="A173">
            <v>60022</v>
          </cell>
        </row>
        <row r="174">
          <cell r="A174">
            <v>60023</v>
          </cell>
        </row>
        <row r="175">
          <cell r="A175">
            <v>60024</v>
          </cell>
        </row>
        <row r="176">
          <cell r="A176">
            <v>60021</v>
          </cell>
        </row>
        <row r="177">
          <cell r="A177">
            <v>60022</v>
          </cell>
        </row>
        <row r="178">
          <cell r="A178">
            <v>60023</v>
          </cell>
        </row>
        <row r="179">
          <cell r="A179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 xml:space="preserve">【初級】火のチェシャ猫 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 xml:space="preserve">【中級】火のウサギ 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 xml:space="preserve">【上級】火のイモムシ 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【初級】水のチェシャ猫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 xml:space="preserve">【中級】水のウサギ 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【上級】水のイモムシ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 xml:space="preserve">【初級】樹のチェシャ猫 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【中級】樹のウサギ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 xml:space="preserve">【上級】樹のイモムシ 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 xml:space="preserve">【超級】火の帽子屋 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 xml:space="preserve">【超級】樹の帽子屋 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 xml:space="preserve">【超級】水の帽子屋 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【超級】雷の帽子屋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【初級】ゴールドカジノ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 xml:space="preserve">【中級】ゴールドカジノ 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 xml:space="preserve">【上級】ゴールドカジノ 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【マルチ専用】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【初級】雷のチェシャ猫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multionly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【マルチ専用】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 xml:space="preserve">【中級】雷のウサギ 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multionly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【マルチ専用】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【上級】雷のイモムシ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multionly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【マルチ専用】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 xml:space="preserve">【初級】火のチェシャ猫 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multionly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【マルチ専用】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 xml:space="preserve">【中級】火のウサギ 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multionly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【マルチ専用】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 xml:space="preserve">【上級】火のイモムシ 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multionly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【マルチ専用】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【初級】水のチェシャ猫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multionly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【マルチ専用】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 xml:space="preserve">【中級】水のウサギ 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multionly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【マルチ専用】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 xml:space="preserve">【上級】水のイモムシ 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multionly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【マルチ専用】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 xml:space="preserve">【初級】樹のチェシャ猫 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multionly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【マルチ専用】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 xml:space="preserve">【中級】樹のウサギ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multionly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【マルチ専用】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【上級】樹のイモムシ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multionly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【マルチ専用】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 xml:space="preserve">【超級】火の帽子屋 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multionly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【マルチ専用】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【超級】樹の帽子屋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multionly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【マルチ専用】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 xml:space="preserve">【超級】水の帽子屋 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multionly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【マルチ専用】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 xml:space="preserve">【超級】雷の帽子屋 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multionly</v>
          </cell>
        </row>
        <row r="231">
          <cell r="A231" t="str">
            <v>11106_1</v>
          </cell>
          <cell r="B231">
            <v>0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 xml:space="preserve">【初級】ゴールドカジノ 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0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 xml:space="preserve">【中級】ゴールドカジノ 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0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0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【初級】ゴールドカジノ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0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 xml:space="preserve">【中級】ゴールドカジノ 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0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【マルチ専用1/2】 ゴールドカジノ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 xml:space="preserve">【上級】ゴールドカジノ 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【上級】果実達の大宴会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【超級】果実達の大宴会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0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【上級】果実達の大宴会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0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【超級】果実達の大宴会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スタートダッシュキャンペーンクエスト</v>
          </cell>
          <cell r="E242" t="str">
            <v>スタートダッシュキャンペーンクエスト</v>
          </cell>
          <cell r="F242">
            <v>1</v>
          </cell>
          <cell r="G242" t="str">
            <v>ja</v>
          </cell>
          <cell r="H242" t="str">
            <v>【初級】メタルダックを捕獲せよ！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スタートダッシュキャンペーンクエスト</v>
          </cell>
          <cell r="E243" t="str">
            <v>スタートダッシュキャンペーンクエスト</v>
          </cell>
          <cell r="F243">
            <v>2</v>
          </cell>
          <cell r="G243" t="str">
            <v>ja</v>
          </cell>
          <cell r="H243" t="str">
            <v xml:space="preserve">【初級】ゴールドカジノ 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0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【超級】雷のジェントルを追え！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0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【超級】水のジェントルを追え！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0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【超級】森のジェントルを追え！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0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【超級】炎のジェントルを追え！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0</v>
          </cell>
          <cell r="C248">
            <v>11211</v>
          </cell>
          <cell r="D248" t="str">
            <v>※欠番</v>
          </cell>
          <cell r="E248" t="str">
            <v>【超級】ゲリラ※欠番</v>
          </cell>
          <cell r="F248">
            <v>1</v>
          </cell>
          <cell r="G248" t="str">
            <v>ja</v>
          </cell>
          <cell r="H248" t="str">
            <v>【超級】雷のジェントルを追え！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0</v>
          </cell>
          <cell r="C249">
            <v>11211</v>
          </cell>
          <cell r="D249" t="str">
            <v>※欠番</v>
          </cell>
          <cell r="E249" t="str">
            <v>【超級】ゲリラ※欠番</v>
          </cell>
          <cell r="F249">
            <v>2</v>
          </cell>
          <cell r="G249" t="str">
            <v>ja</v>
          </cell>
          <cell r="H249" t="str">
            <v>【超級】水のジェントルを追え！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0</v>
          </cell>
          <cell r="C250">
            <v>11211</v>
          </cell>
          <cell r="D250" t="str">
            <v>※欠番</v>
          </cell>
          <cell r="E250" t="str">
            <v>【超級】ゲリラ※欠番</v>
          </cell>
          <cell r="F250">
            <v>3</v>
          </cell>
          <cell r="G250" t="str">
            <v>ja</v>
          </cell>
          <cell r="H250" t="str">
            <v>【超級】森のジェントルを追え！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0</v>
          </cell>
          <cell r="C251">
            <v>11211</v>
          </cell>
          <cell r="D251" t="str">
            <v>※欠番</v>
          </cell>
          <cell r="E251" t="str">
            <v>【超級】ゲリラ※欠番</v>
          </cell>
          <cell r="F251">
            <v>4</v>
          </cell>
          <cell r="G251" t="str">
            <v>ja</v>
          </cell>
          <cell r="H251" t="str">
            <v>【超級】炎のジェントルを追え！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0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0</v>
          </cell>
          <cell r="C253">
            <v>11213</v>
          </cell>
          <cell r="D253" t="str">
            <v>クエスト名</v>
          </cell>
          <cell r="E253" t="str">
            <v>【超級】カジノ</v>
          </cell>
          <cell r="F253">
            <v>1</v>
          </cell>
          <cell r="G253" t="str">
            <v>ja</v>
          </cell>
          <cell r="H253" t="str">
            <v xml:space="preserve">【超級】ゴールドカジノ 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0</v>
          </cell>
          <cell r="C254">
            <v>11214</v>
          </cell>
          <cell r="D254" t="str">
            <v>プロメテウスの恋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【ストーリー前編】勢いまかせ</v>
          </cell>
          <cell r="I254" t="str">
            <v>2015年クリスマスクエスト</v>
          </cell>
          <cell r="J254">
            <v>202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character</v>
          </cell>
          <cell r="T254" t="str">
            <v>520,521,522,523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singleonly</v>
          </cell>
        </row>
        <row r="255">
          <cell r="A255" t="str">
            <v>11214_2</v>
          </cell>
          <cell r="B255">
            <v>0</v>
          </cell>
          <cell r="C255">
            <v>11214</v>
          </cell>
          <cell r="D255" t="str">
            <v>プロメテウスの恋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【ストーリー中編】恋の奥義</v>
          </cell>
          <cell r="I255" t="str">
            <v>2015年クリスマスクエスト</v>
          </cell>
          <cell r="J255">
            <v>202</v>
          </cell>
          <cell r="K255">
            <v>1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【ストーリー前編】勢いまかせ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singleonly</v>
          </cell>
        </row>
        <row r="256">
          <cell r="A256" t="str">
            <v>11214_3</v>
          </cell>
          <cell r="B256">
            <v>0</v>
          </cell>
          <cell r="C256">
            <v>11214</v>
          </cell>
          <cell r="D256" t="str">
            <v>プロメテウスの恋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【ストーリー後編】フィーバーの力</v>
          </cell>
          <cell r="I256" t="str">
            <v>2015年クリスマスクエスト</v>
          </cell>
          <cell r="J256">
            <v>202</v>
          </cell>
          <cell r="K256">
            <v>1</v>
          </cell>
          <cell r="L256">
            <v>2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character</v>
          </cell>
          <cell r="T256" t="str">
            <v>520,521,522,523</v>
          </cell>
          <cell r="U256">
            <v>11214</v>
          </cell>
          <cell r="V256">
            <v>1</v>
          </cell>
          <cell r="W256" t="str">
            <v>【ストーリー前編】勢いまかせ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105</v>
          </cell>
          <cell r="AD256">
            <v>6</v>
          </cell>
          <cell r="AE256" t="str">
            <v>singleonly</v>
          </cell>
        </row>
        <row r="257">
          <cell r="A257" t="str">
            <v>11215_1</v>
          </cell>
          <cell r="B257">
            <v>0</v>
          </cell>
          <cell r="C257">
            <v>11215</v>
          </cell>
          <cell r="D257" t="str">
            <v>【マルチ】サンタダックを捕獲せよ！</v>
          </cell>
          <cell r="E257" t="str">
            <v>2015年クリスマスゲリラクエスト</v>
          </cell>
          <cell r="F257">
            <v>1</v>
          </cell>
          <cell r="G257" t="str">
            <v>ja</v>
          </cell>
          <cell r="H257" t="str">
            <v>【上級】サンタダックを捕獲せよ！</v>
          </cell>
          <cell r="I257" t="str">
            <v>2015年クリスマスゲリラクエスト</v>
          </cell>
          <cell r="J257">
            <v>520</v>
          </cell>
          <cell r="K257">
            <v>10</v>
          </cell>
          <cell r="L257">
            <v>350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multionly</v>
          </cell>
        </row>
        <row r="258">
          <cell r="A258" t="str">
            <v>11216_1</v>
          </cell>
          <cell r="B258">
            <v>0</v>
          </cell>
          <cell r="C258">
            <v>11216</v>
          </cell>
          <cell r="D258" t="str">
            <v>年越し★特別クエスト</v>
          </cell>
          <cell r="E258" t="str">
            <v>2015年年越しクエスト</v>
          </cell>
          <cell r="F258">
            <v>1</v>
          </cell>
          <cell r="G258" t="str">
            <v>ja</v>
          </cell>
          <cell r="H258" t="str">
            <v>【上級】年を越える宴（ハートなし）</v>
          </cell>
          <cell r="I258" t="str">
            <v>2015年年忘れクエスト</v>
          </cell>
          <cell r="J258">
            <v>377</v>
          </cell>
          <cell r="K258">
            <v>10</v>
          </cell>
          <cell r="L258">
            <v>350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901</v>
          </cell>
          <cell r="AD258">
            <v>6</v>
          </cell>
          <cell r="AE258" t="str">
            <v>multionly</v>
          </cell>
        </row>
        <row r="259">
          <cell r="A259" t="str">
            <v>11217_1</v>
          </cell>
          <cell r="B259">
            <v>0</v>
          </cell>
          <cell r="C259">
            <v>11217</v>
          </cell>
          <cell r="D259" t="str">
            <v>年明け★特別クエスト</v>
          </cell>
          <cell r="E259" t="str">
            <v>2016年あけおめクエスト</v>
          </cell>
          <cell r="F259">
            <v>1</v>
          </cell>
          <cell r="G259" t="str">
            <v>ja</v>
          </cell>
          <cell r="H259" t="str">
            <v>あけおめダックのお年玉</v>
          </cell>
          <cell r="I259" t="str">
            <v>2016年あけおめクエスト</v>
          </cell>
          <cell r="J259">
            <v>524</v>
          </cell>
          <cell r="K259">
            <v>1</v>
          </cell>
          <cell r="L259">
            <v>2016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polygon</v>
          </cell>
          <cell r="T259">
            <v>1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once</v>
          </cell>
          <cell r="AC259">
            <v>2</v>
          </cell>
          <cell r="AD259">
            <v>6</v>
          </cell>
          <cell r="AE259" t="str">
            <v>singleonly</v>
          </cell>
        </row>
        <row r="260">
          <cell r="A260" t="str">
            <v>11218_1</v>
          </cell>
          <cell r="B260">
            <v>3</v>
          </cell>
          <cell r="C260">
            <v>11218</v>
          </cell>
          <cell r="D260" t="str">
            <v>バレンタイン★特別クエスト</v>
          </cell>
          <cell r="E260" t="str">
            <v>2016年バレンタインクエスト</v>
          </cell>
          <cell r="F260">
            <v>1</v>
          </cell>
          <cell r="G260" t="str">
            <v>ja</v>
          </cell>
          <cell r="H260" t="str">
            <v>【ストーリー】バレンタイン狂想曲</v>
          </cell>
          <cell r="I260" t="str">
            <v>ストーリー</v>
          </cell>
          <cell r="J260">
            <v>572</v>
          </cell>
          <cell r="K260">
            <v>1</v>
          </cell>
          <cell r="L260">
            <v>214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polygon</v>
          </cell>
          <cell r="T260">
            <v>1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11219_1</v>
          </cell>
          <cell r="B261">
            <v>3</v>
          </cell>
          <cell r="C261">
            <v>11219</v>
          </cell>
          <cell r="D261" t="str">
            <v>200万DL記念★特別クエスト</v>
          </cell>
          <cell r="E261" t="str">
            <v>200万DL記念★特別クエスト</v>
          </cell>
          <cell r="F261">
            <v>1</v>
          </cell>
          <cell r="G261" t="str">
            <v>ja</v>
          </cell>
          <cell r="H261" t="str">
            <v>ミリオンダックより愛を込めて 2</v>
          </cell>
          <cell r="I261" t="str">
            <v>200万DL記念限定クエスト</v>
          </cell>
          <cell r="J261">
            <v>97</v>
          </cell>
          <cell r="K261">
            <v>1</v>
          </cell>
          <cell r="L261">
            <v>200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polygon</v>
          </cell>
          <cell r="T261">
            <v>1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</v>
          </cell>
          <cell r="AD261">
            <v>6</v>
          </cell>
          <cell r="AE261" t="str">
            <v>singleonly</v>
          </cell>
        </row>
        <row r="262">
          <cell r="A262" t="str">
            <v>11220_1</v>
          </cell>
          <cell r="B262">
            <v>3</v>
          </cell>
          <cell r="C262">
            <v>11220</v>
          </cell>
          <cell r="D262" t="str">
            <v>ホワイトデー★特別クエスト</v>
          </cell>
          <cell r="E262" t="str">
            <v>2016年ホワイトデークエスト</v>
          </cell>
          <cell r="F262">
            <v>1</v>
          </cell>
          <cell r="G262" t="str">
            <v>ja</v>
          </cell>
          <cell r="H262" t="str">
            <v>【ストーリー】ホワイトデー独騒曲</v>
          </cell>
          <cell r="I262" t="str">
            <v>2016年ホワイトデークエスト</v>
          </cell>
          <cell r="J262">
            <v>350</v>
          </cell>
          <cell r="K262">
            <v>1</v>
          </cell>
          <cell r="L262">
            <v>314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polygon</v>
          </cell>
          <cell r="T262">
            <v>1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once</v>
          </cell>
          <cell r="AC262">
            <v>1</v>
          </cell>
          <cell r="AD262">
            <v>6</v>
          </cell>
          <cell r="AE262" t="str">
            <v>singleonly</v>
          </cell>
        </row>
        <row r="263">
          <cell r="A263" t="str">
            <v>11221_1</v>
          </cell>
          <cell r="B263">
            <v>3</v>
          </cell>
          <cell r="C263">
            <v>11221</v>
          </cell>
          <cell r="D263" t="str">
            <v>新生活★応援クエスト</v>
          </cell>
          <cell r="E263" t="str">
            <v>2016年卒業クエスト</v>
          </cell>
          <cell r="F263">
            <v>1</v>
          </cell>
          <cell r="G263" t="str">
            <v>ja</v>
          </cell>
          <cell r="H263" t="str">
            <v>【ストーリー】桜舞い散る樹の下で</v>
          </cell>
          <cell r="I263" t="str">
            <v>2016年卒業クエスト</v>
          </cell>
          <cell r="J263">
            <v>794</v>
          </cell>
          <cell r="K263">
            <v>1</v>
          </cell>
          <cell r="L263">
            <v>331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polygon</v>
          </cell>
          <cell r="T263">
            <v>1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once</v>
          </cell>
          <cell r="AC263">
            <v>926</v>
          </cell>
          <cell r="AD263">
            <v>6</v>
          </cell>
          <cell r="AE263" t="str">
            <v>singleonly</v>
          </cell>
        </row>
        <row r="264">
          <cell r="A264" t="str">
            <v>12001_1</v>
          </cell>
          <cell r="B264">
            <v>3</v>
          </cell>
          <cell r="C264">
            <v>12001</v>
          </cell>
          <cell r="D264" t="str">
            <v>【緊急！！】 アヒル捕獲作戦</v>
          </cell>
          <cell r="E264" t="str">
            <v>ゲリラクエスト</v>
          </cell>
          <cell r="F264">
            <v>1</v>
          </cell>
          <cell r="G264" t="str">
            <v>ja</v>
          </cell>
          <cell r="H264" t="str">
            <v xml:space="preserve">【初級】メタルダックを捕獲せよ！ </v>
          </cell>
          <cell r="I264" t="str">
            <v>経験値ゲリラ</v>
          </cell>
          <cell r="J264">
            <v>334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201</v>
          </cell>
          <cell r="AD264">
            <v>6</v>
          </cell>
          <cell r="AE264" t="str">
            <v>everyone</v>
          </cell>
        </row>
        <row r="265">
          <cell r="A265" t="str">
            <v>12001_2</v>
          </cell>
          <cell r="B265">
            <v>3</v>
          </cell>
          <cell r="C265">
            <v>12001</v>
          </cell>
          <cell r="D265" t="str">
            <v>【緊急！！】 アヒル捕獲作戦</v>
          </cell>
          <cell r="E265" t="str">
            <v>ゲリラクエスト</v>
          </cell>
          <cell r="F265">
            <v>2</v>
          </cell>
          <cell r="G265" t="str">
            <v>ja</v>
          </cell>
          <cell r="H265" t="str">
            <v xml:space="preserve">【上級】メタルダックを捕獲せよ！ </v>
          </cell>
          <cell r="I265" t="str">
            <v>経験値ゲリラ</v>
          </cell>
          <cell r="J265">
            <v>334</v>
          </cell>
          <cell r="K265">
            <v>20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201</v>
          </cell>
          <cell r="AD265">
            <v>6</v>
          </cell>
          <cell r="AE265" t="str">
            <v>everyone</v>
          </cell>
        </row>
        <row r="266">
          <cell r="A266" t="str">
            <v>12001_3</v>
          </cell>
          <cell r="B266">
            <v>0</v>
          </cell>
          <cell r="C266">
            <v>12001</v>
          </cell>
          <cell r="D266" t="str">
            <v>【緊急！！】 アヒル捕獲作戦</v>
          </cell>
          <cell r="E266" t="str">
            <v>ゲリラクエスト</v>
          </cell>
          <cell r="F266">
            <v>3</v>
          </cell>
          <cell r="G266" t="str">
            <v>ja</v>
          </cell>
          <cell r="H266" t="str">
            <v>★100DL記念 マルチ専用★_x000D_【上級】メタルダックを捕獲せよ！</v>
          </cell>
          <cell r="I266" t="str">
            <v>経験値ゲリラ</v>
          </cell>
          <cell r="J266">
            <v>334</v>
          </cell>
          <cell r="K266">
            <v>10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201</v>
          </cell>
          <cell r="AD266">
            <v>6</v>
          </cell>
          <cell r="AE266" t="str">
            <v>multionly</v>
          </cell>
        </row>
        <row r="267">
          <cell r="A267" t="str">
            <v>12002_3</v>
          </cell>
          <cell r="B267">
            <v>0</v>
          </cell>
          <cell r="C267">
            <v>12002</v>
          </cell>
          <cell r="D267" t="str">
            <v>【マルチ専用1/2】 アヒル捕獲作戦</v>
          </cell>
          <cell r="E267" t="str">
            <v>ゲリラクエスト</v>
          </cell>
          <cell r="F267">
            <v>3</v>
          </cell>
          <cell r="G267" t="str">
            <v>ja</v>
          </cell>
          <cell r="H267" t="str">
            <v xml:space="preserve">【初級】メタルダックを捕獲せよ！ </v>
          </cell>
          <cell r="I267" t="str">
            <v>経験値ゲリラ</v>
          </cell>
          <cell r="J267">
            <v>334</v>
          </cell>
          <cell r="K267">
            <v>8</v>
          </cell>
          <cell r="L267">
            <v>140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201</v>
          </cell>
          <cell r="AD267">
            <v>6</v>
          </cell>
          <cell r="AE267" t="str">
            <v>everyone</v>
          </cell>
        </row>
        <row r="268">
          <cell r="A268" t="str">
            <v>12002_2</v>
          </cell>
          <cell r="B268">
            <v>0</v>
          </cell>
          <cell r="C268">
            <v>12002</v>
          </cell>
          <cell r="D268" t="str">
            <v>【マルチ専用1/2】 アヒル捕獲作戦</v>
          </cell>
          <cell r="E268" t="str">
            <v>ゲリラクエスト</v>
          </cell>
          <cell r="F268">
            <v>2</v>
          </cell>
          <cell r="G268" t="str">
            <v>ja</v>
          </cell>
          <cell r="H268" t="str">
            <v xml:space="preserve">【上級】メタルダックを捕獲せよ！ </v>
          </cell>
          <cell r="I268" t="str">
            <v>経験値ゲリラ</v>
          </cell>
          <cell r="J268">
            <v>334</v>
          </cell>
          <cell r="K268">
            <v>20</v>
          </cell>
          <cell r="L268">
            <v>350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201</v>
          </cell>
          <cell r="AD268">
            <v>6</v>
          </cell>
          <cell r="AE268" t="str">
            <v>everyone</v>
          </cell>
        </row>
        <row r="269">
          <cell r="A269" t="str">
            <v>12002_1</v>
          </cell>
          <cell r="B269">
            <v>3</v>
          </cell>
          <cell r="C269">
            <v>12002</v>
          </cell>
          <cell r="D269" t="str">
            <v>【マルチ専用1/2】 アヒル捕獲作戦</v>
          </cell>
          <cell r="E269" t="str">
            <v>ゲリラクエスト</v>
          </cell>
          <cell r="F269">
            <v>1</v>
          </cell>
          <cell r="G269" t="str">
            <v>ja</v>
          </cell>
          <cell r="H269" t="str">
            <v>【上級】メタルダックを捕獲せよ！</v>
          </cell>
          <cell r="I269" t="str">
            <v>経験値ゲリラ</v>
          </cell>
          <cell r="J269">
            <v>334</v>
          </cell>
          <cell r="K269">
            <v>10</v>
          </cell>
          <cell r="L269">
            <v>350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201</v>
          </cell>
          <cell r="AD269">
            <v>6</v>
          </cell>
          <cell r="AE269" t="str">
            <v>multionly</v>
          </cell>
        </row>
        <row r="270">
          <cell r="A270" t="str">
            <v>12003_1</v>
          </cell>
          <cell r="B270">
            <v>3</v>
          </cell>
          <cell r="C270">
            <v>12003</v>
          </cell>
          <cell r="D270" t="str">
            <v>【超緊急！！】メタルジェントルを追え</v>
          </cell>
          <cell r="E270" t="str">
            <v>ゲリラ【超級】</v>
          </cell>
          <cell r="F270">
            <v>1</v>
          </cell>
          <cell r="G270" t="str">
            <v>ja</v>
          </cell>
          <cell r="H270" t="str">
            <v>【超級】雷のジェントルを追え！</v>
          </cell>
          <cell r="I270" t="str">
            <v>超級ゲリラ</v>
          </cell>
          <cell r="J270">
            <v>347</v>
          </cell>
          <cell r="K270">
            <v>40</v>
          </cell>
          <cell r="L270">
            <v>500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12</v>
          </cell>
          <cell r="AD270">
            <v>6</v>
          </cell>
          <cell r="AE270" t="str">
            <v>singleonly</v>
          </cell>
        </row>
        <row r="271">
          <cell r="A271" t="str">
            <v>12003_2</v>
          </cell>
          <cell r="B271">
            <v>3</v>
          </cell>
          <cell r="C271">
            <v>12003</v>
          </cell>
          <cell r="D271" t="str">
            <v>【超緊急！！】メタルジェントルを追え</v>
          </cell>
          <cell r="E271" t="str">
            <v>ゲリラ【超級】</v>
          </cell>
          <cell r="F271">
            <v>2</v>
          </cell>
          <cell r="G271" t="str">
            <v>ja</v>
          </cell>
          <cell r="H271" t="str">
            <v>【超級】水のジェントルを追え！</v>
          </cell>
          <cell r="I271" t="str">
            <v>超級ゲリラ</v>
          </cell>
          <cell r="J271">
            <v>343</v>
          </cell>
          <cell r="K271">
            <v>40</v>
          </cell>
          <cell r="L271">
            <v>500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5</v>
          </cell>
          <cell r="AD271">
            <v>6</v>
          </cell>
          <cell r="AE271" t="str">
            <v>singleonly</v>
          </cell>
        </row>
        <row r="272">
          <cell r="A272" t="str">
            <v>12003_3</v>
          </cell>
          <cell r="B272">
            <v>3</v>
          </cell>
          <cell r="C272">
            <v>12003</v>
          </cell>
          <cell r="D272" t="str">
            <v>【超緊急！！】メタルジェントルを追え</v>
          </cell>
          <cell r="E272" t="str">
            <v>ゲリラ【超級】</v>
          </cell>
          <cell r="F272">
            <v>3</v>
          </cell>
          <cell r="G272" t="str">
            <v>ja</v>
          </cell>
          <cell r="H272" t="str">
            <v>【超級】森のジェントルを追え！</v>
          </cell>
          <cell r="I272" t="str">
            <v>超級ゲリラ</v>
          </cell>
          <cell r="J272">
            <v>339</v>
          </cell>
          <cell r="K272">
            <v>40</v>
          </cell>
          <cell r="L272">
            <v>500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7</v>
          </cell>
          <cell r="AD272">
            <v>6</v>
          </cell>
          <cell r="AE272" t="str">
            <v>singleonly</v>
          </cell>
        </row>
        <row r="273">
          <cell r="A273" t="str">
            <v>12003_4</v>
          </cell>
          <cell r="B273">
            <v>3</v>
          </cell>
          <cell r="C273">
            <v>12003</v>
          </cell>
          <cell r="D273" t="str">
            <v>【超緊急！！】メタルジェントルを追え</v>
          </cell>
          <cell r="E273" t="str">
            <v>ゲリラ【超級】</v>
          </cell>
          <cell r="F273">
            <v>4</v>
          </cell>
          <cell r="G273" t="str">
            <v>ja</v>
          </cell>
          <cell r="H273" t="str">
            <v>【超級】炎のジェントルを追え！</v>
          </cell>
          <cell r="I273" t="str">
            <v>超級ゲリラ</v>
          </cell>
          <cell r="J273">
            <v>335</v>
          </cell>
          <cell r="K273">
            <v>40</v>
          </cell>
          <cell r="L273">
            <v>500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10</v>
          </cell>
          <cell r="AD273">
            <v>6</v>
          </cell>
          <cell r="AE273" t="str">
            <v>singleonly</v>
          </cell>
        </row>
        <row r="274">
          <cell r="A274" t="str">
            <v>12004_1</v>
          </cell>
          <cell r="B274">
            <v>3</v>
          </cell>
          <cell r="C274">
            <v>12004</v>
          </cell>
          <cell r="D274" t="str">
            <v>メタルフロッグをもとめて</v>
          </cell>
          <cell r="E274" t="str">
            <v>イベントクエスト</v>
          </cell>
          <cell r="F274">
            <v>1</v>
          </cell>
          <cell r="G274" t="str">
            <v>ja</v>
          </cell>
          <cell r="H274" t="str">
            <v>【上級】メタルフロッグをもとめて</v>
          </cell>
          <cell r="I274" t="str">
            <v>経験値イベント</v>
          </cell>
          <cell r="J274">
            <v>351</v>
          </cell>
          <cell r="K274">
            <v>20</v>
          </cell>
          <cell r="L274">
            <v>100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23</v>
          </cell>
          <cell r="AD274">
            <v>6</v>
          </cell>
          <cell r="AE274" t="str">
            <v>everyone</v>
          </cell>
        </row>
        <row r="275">
          <cell r="A275" t="str">
            <v>13001_1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試練の塔</v>
          </cell>
          <cell r="F275">
            <v>1</v>
          </cell>
          <cell r="G275" t="str">
            <v>ja</v>
          </cell>
          <cell r="H275" t="str">
            <v>チャレンジタワー 1F</v>
          </cell>
          <cell r="I275" t="str">
            <v>試練の塔</v>
          </cell>
          <cell r="J275">
            <v>345</v>
          </cell>
          <cell r="K275">
            <v>3</v>
          </cell>
          <cell r="L275">
            <v>120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345,345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13001_2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試練の塔</v>
          </cell>
          <cell r="F276">
            <v>2</v>
          </cell>
          <cell r="G276" t="str">
            <v>ja</v>
          </cell>
          <cell r="H276" t="str">
            <v>チャレンジタワー 2F</v>
          </cell>
          <cell r="I276" t="str">
            <v>試練の塔</v>
          </cell>
          <cell r="J276">
            <v>333</v>
          </cell>
          <cell r="K276">
            <v>4</v>
          </cell>
          <cell r="L276">
            <v>176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333,333</v>
          </cell>
          <cell r="U276">
            <v>13001</v>
          </cell>
          <cell r="V276">
            <v>1</v>
          </cell>
          <cell r="W276" t="str">
            <v>チャレンジタワー 1F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13001_3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試練の塔</v>
          </cell>
          <cell r="F277">
            <v>3</v>
          </cell>
          <cell r="G277" t="str">
            <v>ja</v>
          </cell>
          <cell r="H277" t="str">
            <v>チャレンジタワー 3F</v>
          </cell>
          <cell r="I277" t="str">
            <v>試練の塔</v>
          </cell>
          <cell r="J277">
            <v>337</v>
          </cell>
          <cell r="K277">
            <v>5</v>
          </cell>
          <cell r="L277">
            <v>242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337,337</v>
          </cell>
          <cell r="U277">
            <v>13001</v>
          </cell>
          <cell r="V277">
            <v>2</v>
          </cell>
          <cell r="W277" t="str">
            <v>チャレンジタワー 2F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13001_4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試練の塔</v>
          </cell>
          <cell r="F278">
            <v>4</v>
          </cell>
          <cell r="G278" t="str">
            <v>ja</v>
          </cell>
          <cell r="H278" t="str">
            <v>チャレンジタワー 4F</v>
          </cell>
          <cell r="I278" t="str">
            <v>試練の塔</v>
          </cell>
          <cell r="J278">
            <v>341</v>
          </cell>
          <cell r="K278">
            <v>7</v>
          </cell>
          <cell r="L278">
            <v>508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341,341</v>
          </cell>
          <cell r="U278">
            <v>13001</v>
          </cell>
          <cell r="V278">
            <v>3</v>
          </cell>
          <cell r="W278" t="str">
            <v>チャレンジタワー 3F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13001_5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試練の塔</v>
          </cell>
          <cell r="F279">
            <v>5</v>
          </cell>
          <cell r="G279" t="str">
            <v>ja</v>
          </cell>
          <cell r="H279" t="str">
            <v>チャレンジタワー 5F</v>
          </cell>
          <cell r="I279" t="str">
            <v>試練の塔</v>
          </cell>
          <cell r="J279">
            <v>333</v>
          </cell>
          <cell r="K279">
            <v>7</v>
          </cell>
          <cell r="L279">
            <v>280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333,337,341,345</v>
          </cell>
          <cell r="U279">
            <v>13001</v>
          </cell>
          <cell r="V279">
            <v>4</v>
          </cell>
          <cell r="W279" t="str">
            <v>チャレンジタワー 4F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13001_6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試練の塔</v>
          </cell>
          <cell r="F280">
            <v>6</v>
          </cell>
          <cell r="G280" t="str">
            <v>ja</v>
          </cell>
          <cell r="H280" t="str">
            <v>チャレンジタワー 6F</v>
          </cell>
          <cell r="I280" t="str">
            <v>試練の塔</v>
          </cell>
          <cell r="J280">
            <v>346</v>
          </cell>
          <cell r="K280">
            <v>8</v>
          </cell>
          <cell r="L280">
            <v>474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346,345</v>
          </cell>
          <cell r="U280">
            <v>13001</v>
          </cell>
          <cell r="V280">
            <v>5</v>
          </cell>
          <cell r="W280" t="str">
            <v>チャレンジタワー 5F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13001_7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試練の塔</v>
          </cell>
          <cell r="F281">
            <v>7</v>
          </cell>
          <cell r="G281" t="str">
            <v>ja</v>
          </cell>
          <cell r="H281" t="str">
            <v>チャレンジタワー 7F</v>
          </cell>
          <cell r="I281" t="str">
            <v>試練の塔</v>
          </cell>
          <cell r="J281">
            <v>342</v>
          </cell>
          <cell r="K281">
            <v>8</v>
          </cell>
          <cell r="L281">
            <v>486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342,341</v>
          </cell>
          <cell r="U281">
            <v>13001</v>
          </cell>
          <cell r="V281">
            <v>6</v>
          </cell>
          <cell r="W281" t="str">
            <v>チャレンジタワー 6F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13001_8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試練の塔</v>
          </cell>
          <cell r="F282">
            <v>8</v>
          </cell>
          <cell r="G282" t="str">
            <v>ja</v>
          </cell>
          <cell r="H282" t="str">
            <v>チャレンジタワー 8F</v>
          </cell>
          <cell r="I282" t="str">
            <v>試練の塔</v>
          </cell>
          <cell r="J282">
            <v>334</v>
          </cell>
          <cell r="K282">
            <v>10</v>
          </cell>
          <cell r="L282">
            <v>1006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334,333</v>
          </cell>
          <cell r="U282">
            <v>13001</v>
          </cell>
          <cell r="V282">
            <v>7</v>
          </cell>
          <cell r="W282" t="str">
            <v>チャレンジタワー 7F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13001_9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9</v>
          </cell>
          <cell r="G283" t="str">
            <v>ja</v>
          </cell>
          <cell r="H283" t="str">
            <v>チャレンジタワー 9F</v>
          </cell>
          <cell r="I283" t="str">
            <v>試練の塔</v>
          </cell>
          <cell r="J283">
            <v>338</v>
          </cell>
          <cell r="K283">
            <v>10</v>
          </cell>
          <cell r="L283">
            <v>702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337,337,338</v>
          </cell>
          <cell r="U283">
            <v>13001</v>
          </cell>
          <cell r="V283">
            <v>8</v>
          </cell>
          <cell r="W283" t="str">
            <v>チャレンジタワー 8F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13001_10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10</v>
          </cell>
          <cell r="G284" t="str">
            <v>ja</v>
          </cell>
          <cell r="H284" t="str">
            <v>チャレンジタワー 10F</v>
          </cell>
          <cell r="I284" t="str">
            <v>試練の塔</v>
          </cell>
          <cell r="J284">
            <v>346</v>
          </cell>
          <cell r="K284">
            <v>11</v>
          </cell>
          <cell r="L284">
            <v>788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346,333,337,341</v>
          </cell>
          <cell r="U284">
            <v>13001</v>
          </cell>
          <cell r="V284">
            <v>9</v>
          </cell>
          <cell r="W284" t="str">
            <v>チャレンジタワー 9F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13001_11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11</v>
          </cell>
          <cell r="G285" t="str">
            <v>ja</v>
          </cell>
          <cell r="H285" t="str">
            <v>チャレンジタワー 11F</v>
          </cell>
          <cell r="I285" t="str">
            <v>試練の塔</v>
          </cell>
          <cell r="J285">
            <v>346</v>
          </cell>
          <cell r="K285">
            <v>12</v>
          </cell>
          <cell r="L285">
            <v>936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346,346</v>
          </cell>
          <cell r="U285">
            <v>13001</v>
          </cell>
          <cell r="V285">
            <v>10</v>
          </cell>
          <cell r="W285" t="str">
            <v>チャレンジタワー 10F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13001_12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12</v>
          </cell>
          <cell r="G286" t="str">
            <v>ja</v>
          </cell>
          <cell r="H286" t="str">
            <v>チャレンジタワー 12F</v>
          </cell>
          <cell r="I286" t="str">
            <v>試練の塔</v>
          </cell>
          <cell r="J286">
            <v>342</v>
          </cell>
          <cell r="K286">
            <v>13</v>
          </cell>
          <cell r="L286">
            <v>1601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342,342</v>
          </cell>
          <cell r="U286">
            <v>13001</v>
          </cell>
          <cell r="V286">
            <v>11</v>
          </cell>
          <cell r="W286" t="str">
            <v>チャレンジタワー 11F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13001_13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13</v>
          </cell>
          <cell r="G287" t="str">
            <v>ja</v>
          </cell>
          <cell r="H287" t="str">
            <v>チャレンジタワー 13F</v>
          </cell>
          <cell r="I287" t="str">
            <v>試練の塔</v>
          </cell>
          <cell r="J287">
            <v>338</v>
          </cell>
          <cell r="K287">
            <v>14</v>
          </cell>
          <cell r="L287">
            <v>945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338,338</v>
          </cell>
          <cell r="U287">
            <v>13001</v>
          </cell>
          <cell r="V287">
            <v>12</v>
          </cell>
          <cell r="W287" t="str">
            <v>チャレンジタワー 12F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13001_14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14</v>
          </cell>
          <cell r="G288" t="str">
            <v>ja</v>
          </cell>
          <cell r="H288" t="str">
            <v>チャレンジタワー 14F</v>
          </cell>
          <cell r="I288" t="str">
            <v>試練の塔</v>
          </cell>
          <cell r="J288">
            <v>334</v>
          </cell>
          <cell r="K288">
            <v>14</v>
          </cell>
          <cell r="L288">
            <v>1188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334,334</v>
          </cell>
          <cell r="U288">
            <v>13001</v>
          </cell>
          <cell r="V288">
            <v>13</v>
          </cell>
          <cell r="W288" t="str">
            <v>チャレンジタワー 13F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13001_15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15</v>
          </cell>
          <cell r="G289" t="str">
            <v>ja</v>
          </cell>
          <cell r="H289" t="str">
            <v>チャレンジタワー 15F</v>
          </cell>
          <cell r="I289" t="str">
            <v>試練の塔</v>
          </cell>
          <cell r="J289">
            <v>316</v>
          </cell>
          <cell r="K289">
            <v>14</v>
          </cell>
          <cell r="L289">
            <v>1008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316</v>
          </cell>
          <cell r="U289">
            <v>13001</v>
          </cell>
          <cell r="V289">
            <v>14</v>
          </cell>
          <cell r="W289" t="str">
            <v>チャレンジタワー 14F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13001_16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16</v>
          </cell>
          <cell r="G290" t="str">
            <v>ja</v>
          </cell>
          <cell r="H290" t="str">
            <v>チャレンジタワー 16F</v>
          </cell>
          <cell r="I290" t="str">
            <v>試練の塔</v>
          </cell>
          <cell r="J290">
            <v>338</v>
          </cell>
          <cell r="K290">
            <v>16</v>
          </cell>
          <cell r="L290">
            <v>2573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338,338,337</v>
          </cell>
          <cell r="U290">
            <v>13001</v>
          </cell>
          <cell r="V290">
            <v>15</v>
          </cell>
          <cell r="W290" t="str">
            <v>チャレンジタワー 15F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13001_17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17</v>
          </cell>
          <cell r="G291" t="str">
            <v>ja</v>
          </cell>
          <cell r="H291" t="str">
            <v>チャレンジタワー 17F</v>
          </cell>
          <cell r="I291" t="str">
            <v>試練の塔</v>
          </cell>
          <cell r="J291">
            <v>346</v>
          </cell>
          <cell r="K291">
            <v>16</v>
          </cell>
          <cell r="L291">
            <v>1568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346,346,345</v>
          </cell>
          <cell r="U291">
            <v>13001</v>
          </cell>
          <cell r="V291">
            <v>16</v>
          </cell>
          <cell r="W291" t="str">
            <v>チャレンジタワー 16F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13001_18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18</v>
          </cell>
          <cell r="G292" t="str">
            <v>ja</v>
          </cell>
          <cell r="H292" t="str">
            <v>チャレンジタワー 18F</v>
          </cell>
          <cell r="I292" t="str">
            <v>試練の塔</v>
          </cell>
          <cell r="J292">
            <v>334</v>
          </cell>
          <cell r="K292">
            <v>17</v>
          </cell>
          <cell r="L292">
            <v>1821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334,334,333</v>
          </cell>
          <cell r="U292">
            <v>13001</v>
          </cell>
          <cell r="V292">
            <v>17</v>
          </cell>
          <cell r="W292" t="str">
            <v>チャレンジタワー 17F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13001_19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19</v>
          </cell>
          <cell r="G293" t="str">
            <v>ja</v>
          </cell>
          <cell r="H293" t="str">
            <v>チャレンジタワー 19F</v>
          </cell>
          <cell r="I293" t="str">
            <v>試練の塔</v>
          </cell>
          <cell r="J293">
            <v>342</v>
          </cell>
          <cell r="K293">
            <v>18</v>
          </cell>
          <cell r="L293">
            <v>2108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342,342,341</v>
          </cell>
          <cell r="U293">
            <v>13001</v>
          </cell>
          <cell r="V293">
            <v>18</v>
          </cell>
          <cell r="W293" t="str">
            <v>チャレンジタワー 18F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13001_20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20</v>
          </cell>
          <cell r="G294" t="str">
            <v>ja</v>
          </cell>
          <cell r="H294" t="str">
            <v>チャレンジタワー 20F</v>
          </cell>
          <cell r="I294" t="str">
            <v>試練の塔</v>
          </cell>
          <cell r="J294">
            <v>318</v>
          </cell>
          <cell r="K294">
            <v>18</v>
          </cell>
          <cell r="L294">
            <v>1620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318</v>
          </cell>
          <cell r="U294">
            <v>13001</v>
          </cell>
          <cell r="V294">
            <v>19</v>
          </cell>
          <cell r="W294" t="str">
            <v>チャレンジタワー 19F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13001_21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21</v>
          </cell>
          <cell r="G295" t="str">
            <v>ja</v>
          </cell>
          <cell r="H295" t="str">
            <v>チャレンジタワー 21F</v>
          </cell>
          <cell r="I295" t="str">
            <v>試練の塔</v>
          </cell>
          <cell r="J295" t="str">
            <v>335</v>
          </cell>
          <cell r="K295">
            <v>18</v>
          </cell>
          <cell r="L295">
            <v>1620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334,335,335</v>
          </cell>
          <cell r="U295">
            <v>13001</v>
          </cell>
          <cell r="V295">
            <v>20</v>
          </cell>
          <cell r="W295" t="str">
            <v>チャレンジタワー 20F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13001_22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22</v>
          </cell>
          <cell r="G296" t="str">
            <v>ja</v>
          </cell>
          <cell r="H296" t="str">
            <v>チャレンジタワー 22F</v>
          </cell>
          <cell r="I296" t="str">
            <v>試練の塔</v>
          </cell>
          <cell r="J296" t="str">
            <v>339</v>
          </cell>
          <cell r="K296">
            <v>18</v>
          </cell>
          <cell r="L296">
            <v>1620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338,339,339</v>
          </cell>
          <cell r="U296">
            <v>13001</v>
          </cell>
          <cell r="V296">
            <v>21</v>
          </cell>
          <cell r="W296" t="str">
            <v>チャレンジタワー 21F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13001_23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23</v>
          </cell>
          <cell r="G297" t="str">
            <v>ja</v>
          </cell>
          <cell r="H297" t="str">
            <v>チャレンジタワー 23F</v>
          </cell>
          <cell r="I297" t="str">
            <v>試練の塔</v>
          </cell>
          <cell r="J297" t="str">
            <v>347</v>
          </cell>
          <cell r="K297">
            <v>20</v>
          </cell>
          <cell r="L297">
            <v>1821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346,347,347</v>
          </cell>
          <cell r="U297">
            <v>13001</v>
          </cell>
          <cell r="V297">
            <v>22</v>
          </cell>
          <cell r="W297" t="str">
            <v>チャレンジタワー 22F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13001_24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24</v>
          </cell>
          <cell r="G298" t="str">
            <v>ja</v>
          </cell>
          <cell r="H298" t="str">
            <v>チャレンジタワー 24F</v>
          </cell>
          <cell r="I298" t="str">
            <v>試練の塔</v>
          </cell>
          <cell r="J298" t="str">
            <v>343</v>
          </cell>
          <cell r="K298">
            <v>20</v>
          </cell>
          <cell r="L298">
            <v>2871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342,343,343</v>
          </cell>
          <cell r="U298">
            <v>13001</v>
          </cell>
          <cell r="V298">
            <v>23</v>
          </cell>
          <cell r="W298" t="str">
            <v>チャレンジタワー 23F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13001_25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25</v>
          </cell>
          <cell r="G299" t="str">
            <v>ja</v>
          </cell>
          <cell r="H299" t="str">
            <v>チャレンジタワー 25F</v>
          </cell>
          <cell r="I299" t="str">
            <v>試練の塔</v>
          </cell>
          <cell r="J299" t="str">
            <v>368</v>
          </cell>
          <cell r="K299">
            <v>22</v>
          </cell>
          <cell r="L299">
            <v>3740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368</v>
          </cell>
          <cell r="U299">
            <v>13001</v>
          </cell>
          <cell r="V299">
            <v>24</v>
          </cell>
          <cell r="W299" t="str">
            <v>チャレンジタワー 24F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14001_1</v>
          </cell>
          <cell r="B300">
            <v>3</v>
          </cell>
          <cell r="C300">
            <v>14001</v>
          </cell>
          <cell r="D300" t="str">
            <v>【ロック】経験値/ソロ</v>
          </cell>
          <cell r="E300" t="str">
            <v>【ロック】経験値/ソロ</v>
          </cell>
          <cell r="F300">
            <v>1</v>
          </cell>
          <cell r="G300" t="str">
            <v>ja</v>
          </cell>
          <cell r="H300" t="str">
            <v>【超級】雷ファミリー（ハートなし）</v>
          </cell>
          <cell r="I300" t="str">
            <v>【ロッククエスト】経験値</v>
          </cell>
          <cell r="J300">
            <v>347</v>
          </cell>
          <cell r="K300">
            <v>1</v>
          </cell>
          <cell r="L300">
            <v>500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12</v>
          </cell>
          <cell r="AD300">
            <v>6</v>
          </cell>
          <cell r="AE300" t="str">
            <v>singleonly</v>
          </cell>
        </row>
        <row r="301">
          <cell r="A301" t="str">
            <v>14001_2</v>
          </cell>
          <cell r="B301">
            <v>3</v>
          </cell>
          <cell r="C301">
            <v>14001</v>
          </cell>
          <cell r="D301" t="str">
            <v>【ロック】経験値/ソロ</v>
          </cell>
          <cell r="E301" t="str">
            <v>【ロック】経験値/ソロ</v>
          </cell>
          <cell r="F301">
            <v>2</v>
          </cell>
          <cell r="G301" t="str">
            <v>ja</v>
          </cell>
          <cell r="H301" t="str">
            <v>【超級】水ファミリー（ハートなし）</v>
          </cell>
          <cell r="I301" t="str">
            <v>【ロッククエスト】経験値</v>
          </cell>
          <cell r="J301">
            <v>343</v>
          </cell>
          <cell r="K301">
            <v>1</v>
          </cell>
          <cell r="L301">
            <v>500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5</v>
          </cell>
          <cell r="AD301">
            <v>6</v>
          </cell>
          <cell r="AE301" t="str">
            <v>singleonly</v>
          </cell>
        </row>
        <row r="302">
          <cell r="A302" t="str">
            <v>14001_3</v>
          </cell>
          <cell r="B302">
            <v>3</v>
          </cell>
          <cell r="C302">
            <v>14001</v>
          </cell>
          <cell r="D302" t="str">
            <v>【ロック】経験値/ソロ</v>
          </cell>
          <cell r="E302" t="str">
            <v>【ロック】経験値/ソロ</v>
          </cell>
          <cell r="F302">
            <v>3</v>
          </cell>
          <cell r="G302" t="str">
            <v>ja</v>
          </cell>
          <cell r="H302" t="str">
            <v>【超級】森ファミリー（ハートなし）</v>
          </cell>
          <cell r="I302" t="str">
            <v>【ロッククエスト】経験値</v>
          </cell>
          <cell r="J302">
            <v>339</v>
          </cell>
          <cell r="K302">
            <v>1</v>
          </cell>
          <cell r="L302">
            <v>500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7</v>
          </cell>
          <cell r="AD302">
            <v>6</v>
          </cell>
          <cell r="AE302" t="str">
            <v>singleonly</v>
          </cell>
        </row>
        <row r="303">
          <cell r="A303" t="str">
            <v>14001_4</v>
          </cell>
          <cell r="B303">
            <v>3</v>
          </cell>
          <cell r="C303">
            <v>14001</v>
          </cell>
          <cell r="D303" t="str">
            <v>【ロック】経験値/ソロ</v>
          </cell>
          <cell r="E303" t="str">
            <v>【ロック】経験値/ソロ</v>
          </cell>
          <cell r="F303">
            <v>4</v>
          </cell>
          <cell r="G303" t="str">
            <v>ja</v>
          </cell>
          <cell r="H303" t="str">
            <v>【超級】炎ファミリー（ハートなし）</v>
          </cell>
          <cell r="I303" t="str">
            <v>【ロッククエスト】経験値</v>
          </cell>
          <cell r="J303">
            <v>335</v>
          </cell>
          <cell r="K303">
            <v>1</v>
          </cell>
          <cell r="L303">
            <v>500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10</v>
          </cell>
          <cell r="AD303">
            <v>6</v>
          </cell>
          <cell r="AE303" t="str">
            <v>singleonly</v>
          </cell>
        </row>
        <row r="304">
          <cell r="A304" t="str">
            <v>14002_1</v>
          </cell>
          <cell r="B304">
            <v>3</v>
          </cell>
          <cell r="C304">
            <v>14002</v>
          </cell>
          <cell r="D304" t="str">
            <v>【ロック】ビット/ソロ</v>
          </cell>
          <cell r="E304" t="str">
            <v>【ロック】ビット/ソロ</v>
          </cell>
          <cell r="F304">
            <v>1</v>
          </cell>
          <cell r="G304" t="str">
            <v>ja</v>
          </cell>
          <cell r="H304" t="str">
            <v>【超級】ハイローラー（ハートなし）</v>
          </cell>
          <cell r="I304" t="str">
            <v>【ロッククエスト】ビット</v>
          </cell>
          <cell r="J304">
            <v>119</v>
          </cell>
          <cell r="K304">
            <v>1</v>
          </cell>
          <cell r="L304">
            <v>777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105</v>
          </cell>
          <cell r="AD304">
            <v>6</v>
          </cell>
          <cell r="AE304" t="str">
            <v>singleonly</v>
          </cell>
        </row>
        <row r="305">
          <cell r="A305" t="str">
            <v>14003_1</v>
          </cell>
          <cell r="B305">
            <v>3</v>
          </cell>
          <cell r="C305">
            <v>14003</v>
          </cell>
          <cell r="D305" t="str">
            <v>【ロック】限界突破/ソロ</v>
          </cell>
          <cell r="E305" t="str">
            <v>【ロック】限界突破/ソロ</v>
          </cell>
          <cell r="F305">
            <v>1</v>
          </cell>
          <cell r="G305" t="str">
            <v>ja</v>
          </cell>
          <cell r="H305" t="str">
            <v>【超級】果実の楽園（ハートなし）</v>
          </cell>
          <cell r="I305" t="str">
            <v>【ロッククエスト】限界突破</v>
          </cell>
          <cell r="J305">
            <v>125</v>
          </cell>
          <cell r="K305">
            <v>1</v>
          </cell>
          <cell r="L305">
            <v>860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7</v>
          </cell>
          <cell r="AD305">
            <v>6</v>
          </cell>
          <cell r="AE305" t="str">
            <v>singleonly</v>
          </cell>
        </row>
        <row r="306">
          <cell r="A306" t="str">
            <v>14004_1</v>
          </cell>
          <cell r="B306">
            <v>1</v>
          </cell>
          <cell r="C306">
            <v>14004</v>
          </cell>
          <cell r="D306" t="str">
            <v>【ロック】経験値/LINEマルチ</v>
          </cell>
          <cell r="E306" t="str">
            <v>【ロック】経験値/LINEマルチ</v>
          </cell>
          <cell r="F306">
            <v>1</v>
          </cell>
          <cell r="G306" t="str">
            <v>ja</v>
          </cell>
          <cell r="H306" t="str">
            <v>【超級】雷ファミリー（ハートなし）</v>
          </cell>
          <cell r="I306" t="str">
            <v>【ロッククエスト】経験値</v>
          </cell>
          <cell r="J306">
            <v>347</v>
          </cell>
          <cell r="K306">
            <v>1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12</v>
          </cell>
          <cell r="AD306">
            <v>6</v>
          </cell>
          <cell r="AE306" t="str">
            <v>lineonly</v>
          </cell>
        </row>
        <row r="307">
          <cell r="A307" t="str">
            <v>14004_2</v>
          </cell>
          <cell r="B307">
            <v>1</v>
          </cell>
          <cell r="C307">
            <v>14004</v>
          </cell>
          <cell r="D307" t="str">
            <v>【ロック】経験値/LINEマルチ</v>
          </cell>
          <cell r="E307" t="str">
            <v>【ロック】経験値/LINEマルチ</v>
          </cell>
          <cell r="F307">
            <v>2</v>
          </cell>
          <cell r="G307" t="str">
            <v>ja</v>
          </cell>
          <cell r="H307" t="str">
            <v>【超級】水ファミリー（ハートなし）</v>
          </cell>
          <cell r="I307" t="str">
            <v>【ロッククエスト】経験値</v>
          </cell>
          <cell r="J307">
            <v>343</v>
          </cell>
          <cell r="K307">
            <v>1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0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5</v>
          </cell>
          <cell r="AD307">
            <v>6</v>
          </cell>
          <cell r="AE307" t="str">
            <v>lineonly</v>
          </cell>
        </row>
        <row r="308">
          <cell r="A308" t="str">
            <v>14004_3</v>
          </cell>
          <cell r="B308">
            <v>1</v>
          </cell>
          <cell r="C308">
            <v>14004</v>
          </cell>
          <cell r="D308" t="str">
            <v>【ロック】経験値/LINEマルチ</v>
          </cell>
          <cell r="E308" t="str">
            <v>【ロック】経験値/LINEマルチ</v>
          </cell>
          <cell r="F308">
            <v>3</v>
          </cell>
          <cell r="G308" t="str">
            <v>ja</v>
          </cell>
          <cell r="H308" t="str">
            <v>【超級】森ファミリー（ハートなし）</v>
          </cell>
          <cell r="I308" t="str">
            <v>【ロッククエスト】経験値</v>
          </cell>
          <cell r="J308">
            <v>339</v>
          </cell>
          <cell r="K308">
            <v>1</v>
          </cell>
          <cell r="L308">
            <v>500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0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7</v>
          </cell>
          <cell r="AD308">
            <v>6</v>
          </cell>
          <cell r="AE308" t="str">
            <v>lineonly</v>
          </cell>
        </row>
        <row r="309">
          <cell r="A309" t="str">
            <v>14004_4</v>
          </cell>
          <cell r="B309">
            <v>1</v>
          </cell>
          <cell r="C309">
            <v>14004</v>
          </cell>
          <cell r="D309" t="str">
            <v>【ロック】経験値/LINEマルチ</v>
          </cell>
          <cell r="E309" t="str">
            <v>【ロック】経験値/LINEマルチ</v>
          </cell>
          <cell r="F309">
            <v>4</v>
          </cell>
          <cell r="G309" t="str">
            <v>ja</v>
          </cell>
          <cell r="H309" t="str">
            <v>【超級】炎ファミリー（ハートなし）</v>
          </cell>
          <cell r="I309" t="str">
            <v>【ロッククエスト】経験値</v>
          </cell>
          <cell r="J309">
            <v>335</v>
          </cell>
          <cell r="K309">
            <v>1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0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10</v>
          </cell>
          <cell r="AD309">
            <v>6</v>
          </cell>
          <cell r="AE309" t="str">
            <v>lineonly</v>
          </cell>
        </row>
        <row r="310">
          <cell r="A310" t="str">
            <v>14005_1</v>
          </cell>
          <cell r="B310">
            <v>1</v>
          </cell>
          <cell r="C310">
            <v>14005</v>
          </cell>
          <cell r="D310" t="str">
            <v>【ロック】ビット/LINEマルチ</v>
          </cell>
          <cell r="E310" t="str">
            <v>【ロック】ビット/LINEマルチ</v>
          </cell>
          <cell r="F310">
            <v>1</v>
          </cell>
          <cell r="G310" t="str">
            <v>ja</v>
          </cell>
          <cell r="H310" t="str">
            <v>【超級】ハイローラー（ハートなし）</v>
          </cell>
          <cell r="I310" t="str">
            <v>【ロッククエスト】ビット</v>
          </cell>
          <cell r="J310">
            <v>119</v>
          </cell>
          <cell r="K310">
            <v>1</v>
          </cell>
          <cell r="L310">
            <v>777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0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105</v>
          </cell>
          <cell r="AD310">
            <v>6</v>
          </cell>
          <cell r="AE310" t="str">
            <v>lineonly</v>
          </cell>
        </row>
        <row r="311">
          <cell r="A311" t="str">
            <v>14006_1</v>
          </cell>
          <cell r="B311">
            <v>1</v>
          </cell>
          <cell r="C311">
            <v>14006</v>
          </cell>
          <cell r="D311" t="str">
            <v>【ロック】限界突破/LINEマルチ</v>
          </cell>
          <cell r="E311" t="str">
            <v>【ロック】限界突破/LINEマルチ</v>
          </cell>
          <cell r="F311">
            <v>1</v>
          </cell>
          <cell r="G311" t="str">
            <v>ja</v>
          </cell>
          <cell r="H311" t="str">
            <v>【超級】果実の楽園（ハートなし）</v>
          </cell>
          <cell r="I311" t="str">
            <v>【ロッククエスト】限界突破</v>
          </cell>
          <cell r="J311">
            <v>125</v>
          </cell>
          <cell r="K311">
            <v>1</v>
          </cell>
          <cell r="L311">
            <v>860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7</v>
          </cell>
          <cell r="AD311">
            <v>6</v>
          </cell>
          <cell r="AE311" t="str">
            <v>lineonly</v>
          </cell>
        </row>
        <row r="312">
          <cell r="A312" t="str">
            <v>15027_1</v>
          </cell>
          <cell r="B312">
            <v>1</v>
          </cell>
          <cell r="C312">
            <v>15027</v>
          </cell>
          <cell r="D312">
            <v>27</v>
          </cell>
          <cell r="E312" t="str">
            <v>黄青DL6</v>
          </cell>
          <cell r="F312">
            <v>1</v>
          </cell>
          <cell r="G312" t="str">
            <v>ja</v>
          </cell>
          <cell r="H312" t="str">
            <v>27--1</v>
          </cell>
          <cell r="I312" t="str">
            <v>27--1</v>
          </cell>
          <cell r="J312" t="str">
            <v>NULL</v>
          </cell>
          <cell r="K312">
            <v>14</v>
          </cell>
          <cell r="L312">
            <v>14640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27</v>
          </cell>
          <cell r="AD312">
            <v>6</v>
          </cell>
          <cell r="AE312" t="str">
            <v>everyone</v>
          </cell>
        </row>
        <row r="313">
          <cell r="A313" t="str">
            <v>15027_2</v>
          </cell>
          <cell r="B313">
            <v>1</v>
          </cell>
          <cell r="C313">
            <v>15027</v>
          </cell>
          <cell r="D313">
            <v>27</v>
          </cell>
          <cell r="E313" t="str">
            <v>黄青DL6</v>
          </cell>
          <cell r="F313">
            <v>2</v>
          </cell>
          <cell r="G313" t="str">
            <v>ja</v>
          </cell>
          <cell r="H313" t="str">
            <v>27--2</v>
          </cell>
          <cell r="I313" t="str">
            <v>27--2</v>
          </cell>
          <cell r="J313" t="str">
            <v>NULL</v>
          </cell>
          <cell r="K313">
            <v>14</v>
          </cell>
          <cell r="L313">
            <v>14760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27</v>
          </cell>
          <cell r="AD313">
            <v>6</v>
          </cell>
          <cell r="AE313" t="str">
            <v>everyone</v>
          </cell>
        </row>
        <row r="314">
          <cell r="A314" t="str">
            <v>15027_3</v>
          </cell>
          <cell r="B314">
            <v>1</v>
          </cell>
          <cell r="C314">
            <v>15027</v>
          </cell>
          <cell r="D314">
            <v>27</v>
          </cell>
          <cell r="E314" t="str">
            <v>黄青DL6</v>
          </cell>
          <cell r="F314">
            <v>3</v>
          </cell>
          <cell r="G314" t="str">
            <v>ja</v>
          </cell>
          <cell r="H314" t="str">
            <v>27--3</v>
          </cell>
          <cell r="I314" t="str">
            <v>27--3</v>
          </cell>
          <cell r="J314" t="str">
            <v>NULL</v>
          </cell>
          <cell r="K314">
            <v>15</v>
          </cell>
          <cell r="L314">
            <v>14880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27</v>
          </cell>
          <cell r="AD314">
            <v>6</v>
          </cell>
          <cell r="AE314" t="str">
            <v>everyone</v>
          </cell>
        </row>
        <row r="315">
          <cell r="A315" t="str">
            <v>15027_4</v>
          </cell>
          <cell r="B315">
            <v>1</v>
          </cell>
          <cell r="C315">
            <v>15027</v>
          </cell>
          <cell r="D315">
            <v>27</v>
          </cell>
          <cell r="E315" t="str">
            <v>黄青DL6</v>
          </cell>
          <cell r="F315">
            <v>4</v>
          </cell>
          <cell r="G315" t="str">
            <v>ja</v>
          </cell>
          <cell r="H315" t="str">
            <v>27--4</v>
          </cell>
          <cell r="I315" t="str">
            <v>27--4</v>
          </cell>
          <cell r="J315">
            <v>125</v>
          </cell>
          <cell r="K315">
            <v>1</v>
          </cell>
          <cell r="L315">
            <v>1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once</v>
          </cell>
          <cell r="AC315">
            <v>27</v>
          </cell>
          <cell r="AD315">
            <v>6</v>
          </cell>
          <cell r="AE315" t="str">
            <v>singleonly</v>
          </cell>
        </row>
        <row r="316">
          <cell r="A316" t="str">
            <v>15028_1</v>
          </cell>
          <cell r="B316">
            <v>1</v>
          </cell>
          <cell r="C316">
            <v>15028</v>
          </cell>
          <cell r="D316">
            <v>28</v>
          </cell>
          <cell r="E316" t="str">
            <v>赤緑DL6</v>
          </cell>
          <cell r="F316">
            <v>1</v>
          </cell>
          <cell r="G316" t="str">
            <v>ja</v>
          </cell>
          <cell r="H316" t="str">
            <v>28--1</v>
          </cell>
          <cell r="I316" t="str">
            <v>28--1</v>
          </cell>
          <cell r="J316" t="str">
            <v>NULL</v>
          </cell>
          <cell r="K316">
            <v>14</v>
          </cell>
          <cell r="L316">
            <v>14640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27</v>
          </cell>
          <cell r="AD316">
            <v>6</v>
          </cell>
          <cell r="AE316" t="str">
            <v>everyone</v>
          </cell>
        </row>
        <row r="317">
          <cell r="A317" t="str">
            <v>15028_2</v>
          </cell>
          <cell r="B317">
            <v>1</v>
          </cell>
          <cell r="C317">
            <v>15028</v>
          </cell>
          <cell r="D317">
            <v>28</v>
          </cell>
          <cell r="E317" t="str">
            <v>赤緑DL6</v>
          </cell>
          <cell r="F317">
            <v>2</v>
          </cell>
          <cell r="G317" t="str">
            <v>ja</v>
          </cell>
          <cell r="H317" t="str">
            <v>28--2</v>
          </cell>
          <cell r="I317" t="str">
            <v>28--2</v>
          </cell>
          <cell r="J317" t="str">
            <v>NULL</v>
          </cell>
          <cell r="K317">
            <v>14</v>
          </cell>
          <cell r="L317">
            <v>14760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27</v>
          </cell>
          <cell r="AD317">
            <v>6</v>
          </cell>
          <cell r="AE317" t="str">
            <v>everyone</v>
          </cell>
        </row>
        <row r="318">
          <cell r="A318" t="str">
            <v>15028_3</v>
          </cell>
          <cell r="B318">
            <v>1</v>
          </cell>
          <cell r="C318">
            <v>15028</v>
          </cell>
          <cell r="D318">
            <v>28</v>
          </cell>
          <cell r="E318" t="str">
            <v>赤緑DL6</v>
          </cell>
          <cell r="F318">
            <v>3</v>
          </cell>
          <cell r="G318" t="str">
            <v>ja</v>
          </cell>
          <cell r="H318" t="str">
            <v>28--3</v>
          </cell>
          <cell r="I318" t="str">
            <v>28--3</v>
          </cell>
          <cell r="J318" t="str">
            <v>NULL</v>
          </cell>
          <cell r="K318">
            <v>15</v>
          </cell>
          <cell r="L318">
            <v>14880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27</v>
          </cell>
          <cell r="AD318">
            <v>6</v>
          </cell>
          <cell r="AE318" t="str">
            <v>everyone</v>
          </cell>
        </row>
        <row r="319">
          <cell r="A319" t="str">
            <v>15028_4</v>
          </cell>
          <cell r="B319">
            <v>1</v>
          </cell>
          <cell r="C319">
            <v>15028</v>
          </cell>
          <cell r="D319">
            <v>28</v>
          </cell>
          <cell r="E319" t="str">
            <v>赤緑DL6</v>
          </cell>
          <cell r="F319">
            <v>4</v>
          </cell>
          <cell r="G319" t="str">
            <v>ja</v>
          </cell>
          <cell r="H319" t="str">
            <v>28--4</v>
          </cell>
          <cell r="I319" t="str">
            <v>28--4</v>
          </cell>
          <cell r="J319">
            <v>125</v>
          </cell>
          <cell r="K319">
            <v>1</v>
          </cell>
          <cell r="L319">
            <v>1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once</v>
          </cell>
          <cell r="AC319">
            <v>27</v>
          </cell>
          <cell r="AD319">
            <v>6</v>
          </cell>
          <cell r="AE319" t="str">
            <v>singleonly</v>
          </cell>
        </row>
        <row r="320">
          <cell r="A320" t="str">
            <v>15029_1</v>
          </cell>
          <cell r="B320">
            <v>1</v>
          </cell>
          <cell r="C320">
            <v>15029</v>
          </cell>
          <cell r="D320">
            <v>29</v>
          </cell>
          <cell r="E320" t="str">
            <v>緑黄DL6</v>
          </cell>
          <cell r="F320">
            <v>1</v>
          </cell>
          <cell r="G320" t="str">
            <v>ja</v>
          </cell>
          <cell r="H320" t="str">
            <v>29--1</v>
          </cell>
          <cell r="I320" t="str">
            <v>29--1</v>
          </cell>
          <cell r="J320" t="str">
            <v>NULL</v>
          </cell>
          <cell r="K320">
            <v>14</v>
          </cell>
          <cell r="L320">
            <v>14640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27</v>
          </cell>
          <cell r="AD320">
            <v>6</v>
          </cell>
          <cell r="AE320" t="str">
            <v>everyone</v>
          </cell>
        </row>
        <row r="321">
          <cell r="A321" t="str">
            <v>15029_2</v>
          </cell>
          <cell r="B321">
            <v>1</v>
          </cell>
          <cell r="C321">
            <v>15029</v>
          </cell>
          <cell r="D321">
            <v>29</v>
          </cell>
          <cell r="E321" t="str">
            <v>緑黄DL6</v>
          </cell>
          <cell r="F321">
            <v>2</v>
          </cell>
          <cell r="G321" t="str">
            <v>ja</v>
          </cell>
          <cell r="H321" t="str">
            <v>29--2</v>
          </cell>
          <cell r="I321" t="str">
            <v>29--2</v>
          </cell>
          <cell r="J321" t="str">
            <v>NULL</v>
          </cell>
          <cell r="K321">
            <v>14</v>
          </cell>
          <cell r="L321">
            <v>14760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27</v>
          </cell>
          <cell r="AD321">
            <v>6</v>
          </cell>
          <cell r="AE321" t="str">
            <v>everyone</v>
          </cell>
        </row>
        <row r="322">
          <cell r="A322" t="str">
            <v>15029_3</v>
          </cell>
          <cell r="B322">
            <v>1</v>
          </cell>
          <cell r="C322">
            <v>15029</v>
          </cell>
          <cell r="D322">
            <v>29</v>
          </cell>
          <cell r="E322" t="str">
            <v>緑黄DL6</v>
          </cell>
          <cell r="F322">
            <v>3</v>
          </cell>
          <cell r="G322" t="str">
            <v>ja</v>
          </cell>
          <cell r="H322" t="str">
            <v>29--3</v>
          </cell>
          <cell r="I322" t="str">
            <v>29--3</v>
          </cell>
          <cell r="J322" t="str">
            <v>NULL</v>
          </cell>
          <cell r="K322">
            <v>15</v>
          </cell>
          <cell r="L322">
            <v>14880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27</v>
          </cell>
          <cell r="AD322">
            <v>6</v>
          </cell>
          <cell r="AE322" t="str">
            <v>everyone</v>
          </cell>
        </row>
        <row r="323">
          <cell r="A323" t="str">
            <v>15029_4</v>
          </cell>
          <cell r="B323">
            <v>1</v>
          </cell>
          <cell r="C323">
            <v>15029</v>
          </cell>
          <cell r="D323">
            <v>29</v>
          </cell>
          <cell r="E323" t="str">
            <v>緑黄DL6</v>
          </cell>
          <cell r="F323">
            <v>4</v>
          </cell>
          <cell r="G323" t="str">
            <v>ja</v>
          </cell>
          <cell r="H323" t="str">
            <v>29--4</v>
          </cell>
          <cell r="I323" t="str">
            <v>29--4</v>
          </cell>
          <cell r="J323">
            <v>125</v>
          </cell>
          <cell r="K323">
            <v>1</v>
          </cell>
          <cell r="L323">
            <v>1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once</v>
          </cell>
          <cell r="AC323">
            <v>27</v>
          </cell>
          <cell r="AD323">
            <v>6</v>
          </cell>
          <cell r="AE323" t="str">
            <v>singleonly</v>
          </cell>
        </row>
        <row r="324">
          <cell r="A324" t="str">
            <v>15030_1</v>
          </cell>
          <cell r="B324">
            <v>1</v>
          </cell>
          <cell r="C324">
            <v>15030</v>
          </cell>
          <cell r="D324">
            <v>30</v>
          </cell>
          <cell r="E324" t="str">
            <v>赤青DL6</v>
          </cell>
          <cell r="F324">
            <v>1</v>
          </cell>
          <cell r="G324" t="str">
            <v>ja</v>
          </cell>
          <cell r="H324" t="str">
            <v>30--1</v>
          </cell>
          <cell r="I324" t="str">
            <v>30--1</v>
          </cell>
          <cell r="J324" t="str">
            <v>NULL</v>
          </cell>
          <cell r="K324">
            <v>14</v>
          </cell>
          <cell r="L324">
            <v>14640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27</v>
          </cell>
          <cell r="AD324">
            <v>6</v>
          </cell>
          <cell r="AE324" t="str">
            <v>everyone</v>
          </cell>
        </row>
        <row r="325">
          <cell r="A325" t="str">
            <v>15030_2</v>
          </cell>
          <cell r="B325">
            <v>1</v>
          </cell>
          <cell r="C325">
            <v>15030</v>
          </cell>
          <cell r="D325">
            <v>30</v>
          </cell>
          <cell r="E325" t="str">
            <v>赤青DL6</v>
          </cell>
          <cell r="F325">
            <v>2</v>
          </cell>
          <cell r="G325" t="str">
            <v>ja</v>
          </cell>
          <cell r="H325" t="str">
            <v>30--2</v>
          </cell>
          <cell r="I325" t="str">
            <v>30--2</v>
          </cell>
          <cell r="J325" t="str">
            <v>NULL</v>
          </cell>
          <cell r="K325">
            <v>14</v>
          </cell>
          <cell r="L325">
            <v>14760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27</v>
          </cell>
          <cell r="AD325">
            <v>6</v>
          </cell>
          <cell r="AE325" t="str">
            <v>everyone</v>
          </cell>
        </row>
        <row r="326">
          <cell r="A326" t="str">
            <v>15030_3</v>
          </cell>
          <cell r="B326">
            <v>1</v>
          </cell>
          <cell r="C326">
            <v>15030</v>
          </cell>
          <cell r="D326">
            <v>30</v>
          </cell>
          <cell r="E326" t="str">
            <v>赤青DL6</v>
          </cell>
          <cell r="F326">
            <v>3</v>
          </cell>
          <cell r="G326" t="str">
            <v>ja</v>
          </cell>
          <cell r="H326" t="str">
            <v>30--3</v>
          </cell>
          <cell r="I326" t="str">
            <v>30--3</v>
          </cell>
          <cell r="J326" t="str">
            <v>NULL</v>
          </cell>
          <cell r="K326">
            <v>15</v>
          </cell>
          <cell r="L326">
            <v>14880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27</v>
          </cell>
          <cell r="AD326">
            <v>6</v>
          </cell>
          <cell r="AE326" t="str">
            <v>everyone</v>
          </cell>
        </row>
        <row r="327">
          <cell r="A327" t="str">
            <v>15030_4</v>
          </cell>
          <cell r="B327">
            <v>1</v>
          </cell>
          <cell r="C327">
            <v>15030</v>
          </cell>
          <cell r="D327">
            <v>30</v>
          </cell>
          <cell r="E327" t="str">
            <v>赤青DL6</v>
          </cell>
          <cell r="F327">
            <v>4</v>
          </cell>
          <cell r="G327" t="str">
            <v>ja</v>
          </cell>
          <cell r="H327" t="str">
            <v>30--4</v>
          </cell>
          <cell r="I327" t="str">
            <v>30--4</v>
          </cell>
          <cell r="J327">
            <v>125</v>
          </cell>
          <cell r="K327">
            <v>1</v>
          </cell>
          <cell r="L327">
            <v>1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once</v>
          </cell>
          <cell r="AC327">
            <v>27</v>
          </cell>
          <cell r="AD327">
            <v>6</v>
          </cell>
          <cell r="AE327" t="str">
            <v>singleonly</v>
          </cell>
        </row>
        <row r="328">
          <cell r="A328" t="str">
            <v>15031_1</v>
          </cell>
          <cell r="B328">
            <v>1</v>
          </cell>
          <cell r="C328">
            <v>15031</v>
          </cell>
          <cell r="D328">
            <v>31</v>
          </cell>
          <cell r="E328" t="str">
            <v>混色DL6</v>
          </cell>
          <cell r="F328">
            <v>1</v>
          </cell>
          <cell r="G328" t="str">
            <v>ja</v>
          </cell>
          <cell r="H328" t="str">
            <v>31--1</v>
          </cell>
          <cell r="I328" t="str">
            <v>31--1</v>
          </cell>
          <cell r="J328" t="str">
            <v>NULL</v>
          </cell>
          <cell r="K328">
            <v>14</v>
          </cell>
          <cell r="L328">
            <v>14640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27</v>
          </cell>
          <cell r="AD328">
            <v>6</v>
          </cell>
          <cell r="AE328" t="str">
            <v>everyone</v>
          </cell>
        </row>
        <row r="329">
          <cell r="A329" t="str">
            <v>15031_2</v>
          </cell>
          <cell r="B329">
            <v>1</v>
          </cell>
          <cell r="C329">
            <v>15031</v>
          </cell>
          <cell r="D329">
            <v>31</v>
          </cell>
          <cell r="E329" t="str">
            <v>混色DL6</v>
          </cell>
          <cell r="F329">
            <v>2</v>
          </cell>
          <cell r="G329" t="str">
            <v>ja</v>
          </cell>
          <cell r="H329" t="str">
            <v>31--2</v>
          </cell>
          <cell r="I329" t="str">
            <v>31--2</v>
          </cell>
          <cell r="J329" t="str">
            <v>NULL</v>
          </cell>
          <cell r="K329">
            <v>14</v>
          </cell>
          <cell r="L329">
            <v>14760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27</v>
          </cell>
          <cell r="AD329">
            <v>6</v>
          </cell>
          <cell r="AE329" t="str">
            <v>everyone</v>
          </cell>
        </row>
        <row r="330">
          <cell r="A330" t="str">
            <v>15031_3</v>
          </cell>
          <cell r="B330">
            <v>1</v>
          </cell>
          <cell r="C330">
            <v>15031</v>
          </cell>
          <cell r="D330">
            <v>31</v>
          </cell>
          <cell r="E330" t="str">
            <v>混色DL6</v>
          </cell>
          <cell r="F330">
            <v>3</v>
          </cell>
          <cell r="G330" t="str">
            <v>ja</v>
          </cell>
          <cell r="H330" t="str">
            <v>31--3</v>
          </cell>
          <cell r="I330" t="str">
            <v>31--3</v>
          </cell>
          <cell r="J330" t="str">
            <v>NULL</v>
          </cell>
          <cell r="K330">
            <v>15</v>
          </cell>
          <cell r="L330">
            <v>14880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27</v>
          </cell>
          <cell r="AD330">
            <v>6</v>
          </cell>
          <cell r="AE330" t="str">
            <v>everyone</v>
          </cell>
        </row>
        <row r="331">
          <cell r="A331" t="str">
            <v>15031_4</v>
          </cell>
          <cell r="B331">
            <v>1</v>
          </cell>
          <cell r="C331">
            <v>15031</v>
          </cell>
          <cell r="D331">
            <v>31</v>
          </cell>
          <cell r="E331" t="str">
            <v>混色DL6</v>
          </cell>
          <cell r="F331">
            <v>4</v>
          </cell>
          <cell r="G331" t="str">
            <v>ja</v>
          </cell>
          <cell r="H331" t="str">
            <v>31--4</v>
          </cell>
          <cell r="I331" t="str">
            <v>31--4</v>
          </cell>
          <cell r="J331">
            <v>125</v>
          </cell>
          <cell r="K331">
            <v>1</v>
          </cell>
          <cell r="L331">
            <v>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once</v>
          </cell>
          <cell r="AC331">
            <v>27</v>
          </cell>
          <cell r="AD331">
            <v>6</v>
          </cell>
          <cell r="AE331" t="str">
            <v>singleonly</v>
          </cell>
        </row>
        <row r="332">
          <cell r="A332" t="str">
            <v>20001_1</v>
          </cell>
          <cell r="B332">
            <v>3</v>
          </cell>
          <cell r="C332">
            <v>20001</v>
          </cell>
          <cell r="D332" t="str">
            <v>紅き執行者</v>
          </cell>
          <cell r="E332" t="str">
            <v>ドロップイベント1-1</v>
          </cell>
          <cell r="F332">
            <v>1</v>
          </cell>
          <cell r="G332" t="str">
            <v>ja</v>
          </cell>
          <cell r="H332" t="str">
            <v xml:space="preserve">【初級】紅き執行者 </v>
          </cell>
          <cell r="I332" t="str">
            <v>初級</v>
          </cell>
          <cell r="J332">
            <v>262</v>
          </cell>
          <cell r="K332">
            <v>8</v>
          </cell>
          <cell r="L332">
            <v>384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14</v>
          </cell>
          <cell r="AD332">
            <v>6</v>
          </cell>
          <cell r="AE332" t="str">
            <v>everyone</v>
          </cell>
        </row>
        <row r="333">
          <cell r="A333" t="str">
            <v>20001_2</v>
          </cell>
          <cell r="B333">
            <v>3</v>
          </cell>
          <cell r="C333">
            <v>20001</v>
          </cell>
          <cell r="D333" t="str">
            <v>紅き執行者</v>
          </cell>
          <cell r="E333" t="str">
            <v>ドロップイベント1-1</v>
          </cell>
          <cell r="F333">
            <v>2</v>
          </cell>
          <cell r="G333" t="str">
            <v>ja</v>
          </cell>
          <cell r="H333" t="str">
            <v>【中級】紅き執行者</v>
          </cell>
          <cell r="I333" t="str">
            <v>中級</v>
          </cell>
          <cell r="J333">
            <v>262</v>
          </cell>
          <cell r="K333">
            <v>15</v>
          </cell>
          <cell r="L333">
            <v>1200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14</v>
          </cell>
          <cell r="AD333">
            <v>6</v>
          </cell>
          <cell r="AE333" t="str">
            <v>everyone</v>
          </cell>
        </row>
        <row r="334">
          <cell r="A334" t="str">
            <v>20001_3</v>
          </cell>
          <cell r="B334">
            <v>3</v>
          </cell>
          <cell r="C334">
            <v>20001</v>
          </cell>
          <cell r="D334" t="str">
            <v>紅き執行者</v>
          </cell>
          <cell r="E334" t="str">
            <v>ドロップイベント1-1</v>
          </cell>
          <cell r="F334">
            <v>3</v>
          </cell>
          <cell r="G334" t="str">
            <v>ja</v>
          </cell>
          <cell r="H334" t="str">
            <v xml:space="preserve">【上級】紅き執行者 </v>
          </cell>
          <cell r="I334" t="str">
            <v>上級</v>
          </cell>
          <cell r="J334">
            <v>263</v>
          </cell>
          <cell r="K334">
            <v>20</v>
          </cell>
          <cell r="L334">
            <v>2000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polygon</v>
          </cell>
          <cell r="T334">
            <v>1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14</v>
          </cell>
          <cell r="AD334">
            <v>6</v>
          </cell>
          <cell r="AE334" t="str">
            <v>everyone</v>
          </cell>
        </row>
        <row r="335">
          <cell r="A335" t="str">
            <v>20002_1</v>
          </cell>
          <cell r="B335">
            <v>3</v>
          </cell>
          <cell r="C335">
            <v>20002</v>
          </cell>
          <cell r="D335" t="str">
            <v>孤高の一角獣</v>
          </cell>
          <cell r="E335" t="str">
            <v>ドロップイベント1-2</v>
          </cell>
          <cell r="F335">
            <v>1</v>
          </cell>
          <cell r="G335" t="str">
            <v>ja</v>
          </cell>
          <cell r="H335" t="str">
            <v>【初級】孤高の一角獣(ハートなし)</v>
          </cell>
          <cell r="I335" t="str">
            <v>初級</v>
          </cell>
          <cell r="J335">
            <v>264</v>
          </cell>
          <cell r="K335">
            <v>8</v>
          </cell>
          <cell r="L335">
            <v>384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0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19</v>
          </cell>
          <cell r="AD335">
            <v>6</v>
          </cell>
          <cell r="AE335" t="str">
            <v>everyone</v>
          </cell>
        </row>
        <row r="336">
          <cell r="A336" t="str">
            <v>20002_2</v>
          </cell>
          <cell r="B336">
            <v>3</v>
          </cell>
          <cell r="C336">
            <v>20002</v>
          </cell>
          <cell r="D336" t="str">
            <v>孤高の一角獣</v>
          </cell>
          <cell r="E336" t="str">
            <v>ドロップイベント1-2</v>
          </cell>
          <cell r="F336">
            <v>2</v>
          </cell>
          <cell r="G336" t="str">
            <v>ja</v>
          </cell>
          <cell r="H336" t="str">
            <v>【中級】孤高の一角獣(ハートなし)</v>
          </cell>
          <cell r="I336" t="str">
            <v>中級</v>
          </cell>
          <cell r="J336">
            <v>264</v>
          </cell>
          <cell r="K336">
            <v>15</v>
          </cell>
          <cell r="L336">
            <v>1200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0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19</v>
          </cell>
          <cell r="AD336">
            <v>6</v>
          </cell>
          <cell r="AE336" t="str">
            <v>everyone</v>
          </cell>
        </row>
        <row r="337">
          <cell r="A337" t="str">
            <v>20002_3</v>
          </cell>
          <cell r="B337">
            <v>3</v>
          </cell>
          <cell r="C337">
            <v>20002</v>
          </cell>
          <cell r="D337" t="str">
            <v>孤高の一角獣</v>
          </cell>
          <cell r="E337" t="str">
            <v>ドロップイベント1-2</v>
          </cell>
          <cell r="F337">
            <v>3</v>
          </cell>
          <cell r="G337" t="str">
            <v>ja</v>
          </cell>
          <cell r="H337" t="str">
            <v>【上級】孤高の一角獣(ハートなし)</v>
          </cell>
          <cell r="I337" t="str">
            <v>上級</v>
          </cell>
          <cell r="J337">
            <v>265</v>
          </cell>
          <cell r="K337">
            <v>20</v>
          </cell>
          <cell r="L337">
            <v>2000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0</v>
          </cell>
          <cell r="R337">
            <v>3</v>
          </cell>
          <cell r="S337" t="str">
            <v>polygon</v>
          </cell>
          <cell r="T337">
            <v>1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19</v>
          </cell>
          <cell r="AD337">
            <v>6</v>
          </cell>
          <cell r="AE337" t="str">
            <v>everyone</v>
          </cell>
        </row>
        <row r="338">
          <cell r="A338" t="str">
            <v>20003_1</v>
          </cell>
          <cell r="B338">
            <v>3</v>
          </cell>
          <cell r="C338">
            <v>20003</v>
          </cell>
          <cell r="D338" t="str">
            <v>忍び寄る短剣</v>
          </cell>
          <cell r="E338" t="str">
            <v>ドロップイベント1-3</v>
          </cell>
          <cell r="F338">
            <v>1</v>
          </cell>
          <cell r="G338" t="str">
            <v>ja</v>
          </cell>
          <cell r="H338" t="str">
            <v xml:space="preserve">【初級】忍び寄る短剣 </v>
          </cell>
          <cell r="I338" t="str">
            <v>初級</v>
          </cell>
          <cell r="J338">
            <v>266</v>
          </cell>
          <cell r="K338">
            <v>8</v>
          </cell>
          <cell r="L338">
            <v>384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11</v>
          </cell>
          <cell r="AD338">
            <v>6</v>
          </cell>
          <cell r="AE338" t="str">
            <v>everyone</v>
          </cell>
        </row>
        <row r="339">
          <cell r="A339" t="str">
            <v>20003_2</v>
          </cell>
          <cell r="B339">
            <v>3</v>
          </cell>
          <cell r="C339">
            <v>20003</v>
          </cell>
          <cell r="D339" t="str">
            <v>忍び寄る短剣</v>
          </cell>
          <cell r="E339" t="str">
            <v>ドロップイベント1-3</v>
          </cell>
          <cell r="F339">
            <v>2</v>
          </cell>
          <cell r="G339" t="str">
            <v>ja</v>
          </cell>
          <cell r="H339" t="str">
            <v xml:space="preserve">【中級】忍び寄る短剣 </v>
          </cell>
          <cell r="I339" t="str">
            <v>中級</v>
          </cell>
          <cell r="J339">
            <v>266</v>
          </cell>
          <cell r="K339">
            <v>15</v>
          </cell>
          <cell r="L339">
            <v>1200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11</v>
          </cell>
          <cell r="AD339">
            <v>6</v>
          </cell>
          <cell r="AE339" t="str">
            <v>everyone</v>
          </cell>
        </row>
        <row r="340">
          <cell r="A340" t="str">
            <v>20003_3</v>
          </cell>
          <cell r="B340">
            <v>3</v>
          </cell>
          <cell r="C340">
            <v>20003</v>
          </cell>
          <cell r="D340" t="str">
            <v>忍び寄る短剣</v>
          </cell>
          <cell r="E340" t="str">
            <v>ドロップイベント1-3</v>
          </cell>
          <cell r="F340">
            <v>3</v>
          </cell>
          <cell r="G340" t="str">
            <v>ja</v>
          </cell>
          <cell r="H340" t="str">
            <v xml:space="preserve">【上級】忍び寄る短剣 </v>
          </cell>
          <cell r="I340" t="str">
            <v>上級</v>
          </cell>
          <cell r="J340">
            <v>267</v>
          </cell>
          <cell r="K340">
            <v>20</v>
          </cell>
          <cell r="L340">
            <v>2000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polygon</v>
          </cell>
          <cell r="T340">
            <v>1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11</v>
          </cell>
          <cell r="AD340">
            <v>6</v>
          </cell>
          <cell r="AE340" t="str">
            <v>everyone</v>
          </cell>
        </row>
        <row r="341">
          <cell r="A341" t="str">
            <v>20004_1</v>
          </cell>
          <cell r="B341">
            <v>3</v>
          </cell>
          <cell r="C341">
            <v>20004</v>
          </cell>
          <cell r="D341" t="str">
            <v>雷雲からの刺客</v>
          </cell>
          <cell r="E341" t="str">
            <v>ドロップイベント1-4</v>
          </cell>
          <cell r="F341">
            <v>1</v>
          </cell>
          <cell r="G341" t="str">
            <v>ja</v>
          </cell>
          <cell r="H341" t="str">
            <v>【初級】雷雲からの刺客(ハートなし)</v>
          </cell>
          <cell r="I341" t="str">
            <v>初級</v>
          </cell>
          <cell r="J341">
            <v>268</v>
          </cell>
          <cell r="K341">
            <v>8</v>
          </cell>
          <cell r="L341">
            <v>384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0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4</v>
          </cell>
          <cell r="AD341">
            <v>6</v>
          </cell>
          <cell r="AE341" t="str">
            <v>everyone</v>
          </cell>
        </row>
        <row r="342">
          <cell r="A342" t="str">
            <v>20004_2</v>
          </cell>
          <cell r="B342">
            <v>3</v>
          </cell>
          <cell r="C342">
            <v>20004</v>
          </cell>
          <cell r="D342" t="str">
            <v>雷雲からの刺客</v>
          </cell>
          <cell r="E342" t="str">
            <v>ドロップイベント1-4</v>
          </cell>
          <cell r="F342">
            <v>2</v>
          </cell>
          <cell r="G342" t="str">
            <v>ja</v>
          </cell>
          <cell r="H342" t="str">
            <v>【中級】雷雲からの刺客(ハートなし)</v>
          </cell>
          <cell r="I342" t="str">
            <v>中級</v>
          </cell>
          <cell r="J342">
            <v>268</v>
          </cell>
          <cell r="K342">
            <v>15</v>
          </cell>
          <cell r="L342">
            <v>1200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0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4</v>
          </cell>
          <cell r="AD342">
            <v>6</v>
          </cell>
          <cell r="AE342" t="str">
            <v>everyone</v>
          </cell>
        </row>
        <row r="343">
          <cell r="A343" t="str">
            <v>20004_3</v>
          </cell>
          <cell r="B343">
            <v>3</v>
          </cell>
          <cell r="C343">
            <v>20004</v>
          </cell>
          <cell r="D343" t="str">
            <v>雷雲からの刺客</v>
          </cell>
          <cell r="E343" t="str">
            <v>ドロップイベント1-4</v>
          </cell>
          <cell r="F343">
            <v>3</v>
          </cell>
          <cell r="G343" t="str">
            <v>ja</v>
          </cell>
          <cell r="H343" t="str">
            <v>【上級】雷雲からの刺客(ハートなし)</v>
          </cell>
          <cell r="I343" t="str">
            <v>上級</v>
          </cell>
          <cell r="J343">
            <v>269</v>
          </cell>
          <cell r="K343">
            <v>20</v>
          </cell>
          <cell r="L343">
            <v>2000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0</v>
          </cell>
          <cell r="R343">
            <v>3</v>
          </cell>
          <cell r="S343" t="str">
            <v>polygon</v>
          </cell>
          <cell r="T343">
            <v>1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4</v>
          </cell>
          <cell r="AD343">
            <v>6</v>
          </cell>
          <cell r="AE343" t="str">
            <v>everyone</v>
          </cell>
        </row>
        <row r="344">
          <cell r="A344" t="str">
            <v>20005_1</v>
          </cell>
          <cell r="B344">
            <v>3</v>
          </cell>
          <cell r="C344">
            <v>20005</v>
          </cell>
          <cell r="D344" t="str">
            <v>ザ・キャノン</v>
          </cell>
          <cell r="E344" t="str">
            <v>ドロップイベント2-2</v>
          </cell>
          <cell r="F344">
            <v>1</v>
          </cell>
          <cell r="G344" t="str">
            <v>ja</v>
          </cell>
          <cell r="H344" t="str">
            <v>【初級】ザ・キャノン(4タップ）</v>
          </cell>
          <cell r="I344" t="str">
            <v>初級</v>
          </cell>
          <cell r="J344">
            <v>286</v>
          </cell>
          <cell r="K344">
            <v>8</v>
          </cell>
          <cell r="L344">
            <v>384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4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14</v>
          </cell>
          <cell r="AD344">
            <v>6</v>
          </cell>
          <cell r="AE344" t="str">
            <v>everyone</v>
          </cell>
        </row>
        <row r="345">
          <cell r="A345" t="str">
            <v>20005_2</v>
          </cell>
          <cell r="B345">
            <v>3</v>
          </cell>
          <cell r="C345">
            <v>20005</v>
          </cell>
          <cell r="D345" t="str">
            <v>ザ・キャノン</v>
          </cell>
          <cell r="E345" t="str">
            <v>ドロップイベント2-2</v>
          </cell>
          <cell r="F345">
            <v>2</v>
          </cell>
          <cell r="G345" t="str">
            <v>ja</v>
          </cell>
          <cell r="H345" t="str">
            <v>【中級】ザ・キャノン(4タップ)</v>
          </cell>
          <cell r="I345" t="str">
            <v>中級</v>
          </cell>
          <cell r="J345">
            <v>286</v>
          </cell>
          <cell r="K345">
            <v>15</v>
          </cell>
          <cell r="L345">
            <v>1200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4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14</v>
          </cell>
          <cell r="AD345">
            <v>6</v>
          </cell>
          <cell r="AE345" t="str">
            <v>everyone</v>
          </cell>
        </row>
        <row r="346">
          <cell r="A346" t="str">
            <v>20005_3</v>
          </cell>
          <cell r="B346">
            <v>3</v>
          </cell>
          <cell r="C346">
            <v>20005</v>
          </cell>
          <cell r="D346" t="str">
            <v>ザ・キャノン</v>
          </cell>
          <cell r="E346" t="str">
            <v>ドロップイベント2-2</v>
          </cell>
          <cell r="F346">
            <v>3</v>
          </cell>
          <cell r="G346" t="str">
            <v>ja</v>
          </cell>
          <cell r="H346" t="str">
            <v>【上級】ザ・キャノン(4タップ)</v>
          </cell>
          <cell r="I346" t="str">
            <v>上級</v>
          </cell>
          <cell r="J346">
            <v>287</v>
          </cell>
          <cell r="K346">
            <v>20</v>
          </cell>
          <cell r="L346">
            <v>2000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4</v>
          </cell>
          <cell r="S346" t="str">
            <v>polygon</v>
          </cell>
          <cell r="T346">
            <v>1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14</v>
          </cell>
          <cell r="AD346">
            <v>6</v>
          </cell>
          <cell r="AE346" t="str">
            <v>everyone</v>
          </cell>
        </row>
        <row r="347">
          <cell r="A347" t="str">
            <v>20006_1</v>
          </cell>
          <cell r="B347">
            <v>3</v>
          </cell>
          <cell r="C347">
            <v>20006</v>
          </cell>
          <cell r="D347" t="str">
            <v>スチール・プレデター</v>
          </cell>
          <cell r="E347" t="str">
            <v>ドロップイベント2-3</v>
          </cell>
          <cell r="F347">
            <v>1</v>
          </cell>
          <cell r="G347" t="str">
            <v>ja</v>
          </cell>
          <cell r="H347" t="str">
            <v>【初級】スチール・プレデター</v>
          </cell>
          <cell r="I347" t="str">
            <v>初級</v>
          </cell>
          <cell r="J347">
            <v>280</v>
          </cell>
          <cell r="K347">
            <v>8</v>
          </cell>
          <cell r="L347">
            <v>384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2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19</v>
          </cell>
          <cell r="AD347">
            <v>6</v>
          </cell>
          <cell r="AE347" t="str">
            <v>everyone</v>
          </cell>
        </row>
        <row r="348">
          <cell r="A348" t="str">
            <v>20006_2</v>
          </cell>
          <cell r="B348">
            <v>3</v>
          </cell>
          <cell r="C348">
            <v>20006</v>
          </cell>
          <cell r="D348" t="str">
            <v>スチール・プレデター</v>
          </cell>
          <cell r="E348" t="str">
            <v>ドロップイベント2-3</v>
          </cell>
          <cell r="F348">
            <v>2</v>
          </cell>
          <cell r="G348" t="str">
            <v>ja</v>
          </cell>
          <cell r="H348" t="str">
            <v>【中級】スチール・プレデター</v>
          </cell>
          <cell r="I348" t="str">
            <v>中級</v>
          </cell>
          <cell r="J348">
            <v>280</v>
          </cell>
          <cell r="K348">
            <v>15</v>
          </cell>
          <cell r="L348">
            <v>1200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2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19</v>
          </cell>
          <cell r="AD348">
            <v>6</v>
          </cell>
          <cell r="AE348" t="str">
            <v>everyone</v>
          </cell>
        </row>
        <row r="349">
          <cell r="A349" t="str">
            <v>20006_3</v>
          </cell>
          <cell r="B349">
            <v>3</v>
          </cell>
          <cell r="C349">
            <v>20006</v>
          </cell>
          <cell r="D349" t="str">
            <v>スチール・プレデター</v>
          </cell>
          <cell r="E349" t="str">
            <v>ドロップイベント2-3</v>
          </cell>
          <cell r="F349">
            <v>3</v>
          </cell>
          <cell r="G349" t="str">
            <v>ja</v>
          </cell>
          <cell r="H349" t="str">
            <v>【上級】スチール・プレデター</v>
          </cell>
          <cell r="I349" t="str">
            <v>上級</v>
          </cell>
          <cell r="J349">
            <v>281</v>
          </cell>
          <cell r="K349">
            <v>20</v>
          </cell>
          <cell r="L349">
            <v>2000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2</v>
          </cell>
          <cell r="S349" t="str">
            <v>polygon</v>
          </cell>
          <cell r="T349">
            <v>1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19</v>
          </cell>
          <cell r="AD349">
            <v>6</v>
          </cell>
          <cell r="AE349" t="str">
            <v>everyone</v>
          </cell>
        </row>
        <row r="350">
          <cell r="A350" t="str">
            <v>20007_1</v>
          </cell>
          <cell r="B350">
            <v>3</v>
          </cell>
          <cell r="C350">
            <v>20007</v>
          </cell>
          <cell r="D350" t="str">
            <v>女王陛下の処刑龍</v>
          </cell>
          <cell r="E350" t="str">
            <v>ドロップイベント2-1</v>
          </cell>
          <cell r="F350">
            <v>1</v>
          </cell>
          <cell r="G350" t="str">
            <v>ja</v>
          </cell>
          <cell r="H350" t="str">
            <v>【初級】女王陛下の処刑龍(4タップ)</v>
          </cell>
          <cell r="I350" t="str">
            <v>初級</v>
          </cell>
          <cell r="J350">
            <v>282</v>
          </cell>
          <cell r="K350">
            <v>8</v>
          </cell>
          <cell r="L350">
            <v>384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4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17</v>
          </cell>
          <cell r="AD350">
            <v>6</v>
          </cell>
          <cell r="AE350" t="str">
            <v>everyone</v>
          </cell>
        </row>
        <row r="351">
          <cell r="A351" t="str">
            <v>20007_2</v>
          </cell>
          <cell r="B351">
            <v>3</v>
          </cell>
          <cell r="C351">
            <v>20007</v>
          </cell>
          <cell r="D351" t="str">
            <v>女王陛下の処刑龍</v>
          </cell>
          <cell r="E351" t="str">
            <v>ドロップイベント2-1</v>
          </cell>
          <cell r="F351">
            <v>2</v>
          </cell>
          <cell r="G351" t="str">
            <v>ja</v>
          </cell>
          <cell r="H351" t="str">
            <v>【中級】女王陛下の処刑龍(4タップ)</v>
          </cell>
          <cell r="I351" t="str">
            <v>中級</v>
          </cell>
          <cell r="J351">
            <v>282</v>
          </cell>
          <cell r="K351">
            <v>15</v>
          </cell>
          <cell r="L351">
            <v>1200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4</v>
          </cell>
          <cell r="S351" t="str">
            <v>none</v>
          </cell>
          <cell r="T351">
            <v>0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17</v>
          </cell>
          <cell r="AD351">
            <v>6</v>
          </cell>
          <cell r="AE351" t="str">
            <v>everyone</v>
          </cell>
        </row>
        <row r="352">
          <cell r="A352" t="str">
            <v>20007_3</v>
          </cell>
          <cell r="B352">
            <v>3</v>
          </cell>
          <cell r="C352">
            <v>20007</v>
          </cell>
          <cell r="D352" t="str">
            <v>女王陛下の処刑龍</v>
          </cell>
          <cell r="E352" t="str">
            <v>ドロップイベント2-1</v>
          </cell>
          <cell r="F352">
            <v>3</v>
          </cell>
          <cell r="G352" t="str">
            <v>ja</v>
          </cell>
          <cell r="H352" t="str">
            <v>【上級】女王陛下の処刑龍(4タップ)</v>
          </cell>
          <cell r="I352" t="str">
            <v>上級</v>
          </cell>
          <cell r="J352">
            <v>283</v>
          </cell>
          <cell r="K352">
            <v>20</v>
          </cell>
          <cell r="L352">
            <v>2000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4</v>
          </cell>
          <cell r="S352" t="str">
            <v>polygon</v>
          </cell>
          <cell r="T352">
            <v>1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17</v>
          </cell>
          <cell r="AD352">
            <v>6</v>
          </cell>
          <cell r="AE352" t="str">
            <v>everyone</v>
          </cell>
        </row>
        <row r="353">
          <cell r="A353" t="str">
            <v>20008_1</v>
          </cell>
          <cell r="B353">
            <v>3</v>
          </cell>
          <cell r="C353">
            <v>20008</v>
          </cell>
          <cell r="D353" t="str">
            <v>天翔ける金轟機龍</v>
          </cell>
          <cell r="E353" t="str">
            <v>ドロップイベント2-4</v>
          </cell>
          <cell r="F353">
            <v>1</v>
          </cell>
          <cell r="G353" t="str">
            <v>ja</v>
          </cell>
          <cell r="H353" t="str">
            <v>【初級】天翔ける金轟機龍</v>
          </cell>
          <cell r="I353" t="str">
            <v>初級</v>
          </cell>
          <cell r="J353">
            <v>284</v>
          </cell>
          <cell r="K353">
            <v>8</v>
          </cell>
          <cell r="L353">
            <v>384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8</v>
          </cell>
          <cell r="AD353">
            <v>6</v>
          </cell>
          <cell r="AE353" t="str">
            <v>everyone</v>
          </cell>
        </row>
        <row r="354">
          <cell r="A354" t="str">
            <v>20008_2</v>
          </cell>
          <cell r="B354">
            <v>3</v>
          </cell>
          <cell r="C354">
            <v>20008</v>
          </cell>
          <cell r="D354" t="str">
            <v>天翔ける金轟機龍</v>
          </cell>
          <cell r="E354" t="str">
            <v>ドロップイベント2-4</v>
          </cell>
          <cell r="F354">
            <v>2</v>
          </cell>
          <cell r="G354" t="str">
            <v>ja</v>
          </cell>
          <cell r="H354" t="str">
            <v>【中級】天翔ける金轟機龍</v>
          </cell>
          <cell r="I354" t="str">
            <v>中級</v>
          </cell>
          <cell r="J354">
            <v>284</v>
          </cell>
          <cell r="K354">
            <v>15</v>
          </cell>
          <cell r="L354">
            <v>1200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8</v>
          </cell>
          <cell r="AD354">
            <v>6</v>
          </cell>
          <cell r="AE354" t="str">
            <v>everyone</v>
          </cell>
        </row>
        <row r="355">
          <cell r="A355" t="str">
            <v>20008_3</v>
          </cell>
          <cell r="B355">
            <v>3</v>
          </cell>
          <cell r="C355">
            <v>20008</v>
          </cell>
          <cell r="D355" t="str">
            <v>天翔ける金轟機龍</v>
          </cell>
          <cell r="E355" t="str">
            <v>ドロップイベント2-4</v>
          </cell>
          <cell r="F355">
            <v>3</v>
          </cell>
          <cell r="G355" t="str">
            <v>ja</v>
          </cell>
          <cell r="H355" t="str">
            <v>【上級】天翔ける金轟機龍</v>
          </cell>
          <cell r="I355" t="str">
            <v>上級</v>
          </cell>
          <cell r="J355">
            <v>285</v>
          </cell>
          <cell r="K355">
            <v>20</v>
          </cell>
          <cell r="L355">
            <v>2000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polygon</v>
          </cell>
          <cell r="T355">
            <v>1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8</v>
          </cell>
          <cell r="AD355">
            <v>6</v>
          </cell>
          <cell r="AE355" t="str">
            <v>everyone</v>
          </cell>
        </row>
        <row r="356">
          <cell r="A356" t="str">
            <v>20009_1</v>
          </cell>
          <cell r="B356">
            <v>0</v>
          </cell>
          <cell r="C356">
            <v>20009</v>
          </cell>
          <cell r="D356" t="str">
            <v>迫り来る窒息</v>
          </cell>
          <cell r="E356" t="str">
            <v>ドロップイベント3</v>
          </cell>
          <cell r="F356">
            <v>1</v>
          </cell>
          <cell r="G356" t="str">
            <v>ja</v>
          </cell>
          <cell r="H356" t="str">
            <v>【初級】迫り来る窒息</v>
          </cell>
          <cell r="I356" t="str">
            <v>初級</v>
          </cell>
          <cell r="J356" t="str">
            <v>NULL</v>
          </cell>
          <cell r="K356">
            <v>8</v>
          </cell>
          <cell r="L356">
            <v>384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25</v>
          </cell>
          <cell r="AD356">
            <v>5</v>
          </cell>
          <cell r="AE356" t="str">
            <v>everyone</v>
          </cell>
        </row>
        <row r="357">
          <cell r="A357" t="str">
            <v>20009_2</v>
          </cell>
          <cell r="B357">
            <v>3</v>
          </cell>
          <cell r="C357">
            <v>20009</v>
          </cell>
          <cell r="D357" t="str">
            <v>迫り来る窒息</v>
          </cell>
          <cell r="E357" t="str">
            <v>ドロップイベント3</v>
          </cell>
          <cell r="F357">
            <v>2</v>
          </cell>
          <cell r="G357" t="str">
            <v>ja</v>
          </cell>
          <cell r="H357" t="str">
            <v>【中級】迫り来る窒息</v>
          </cell>
          <cell r="I357" t="str">
            <v>中級</v>
          </cell>
          <cell r="J357">
            <v>302</v>
          </cell>
          <cell r="K357">
            <v>15</v>
          </cell>
          <cell r="L357">
            <v>1200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25</v>
          </cell>
          <cell r="AD357">
            <v>5</v>
          </cell>
          <cell r="AE357" t="str">
            <v>everyone</v>
          </cell>
        </row>
        <row r="358">
          <cell r="A358" t="str">
            <v>20009_3</v>
          </cell>
          <cell r="B358">
            <v>3</v>
          </cell>
          <cell r="C358">
            <v>20009</v>
          </cell>
          <cell r="D358" t="str">
            <v>迫り来る窒息</v>
          </cell>
          <cell r="E358" t="str">
            <v>ドロップイベント3</v>
          </cell>
          <cell r="F358">
            <v>3</v>
          </cell>
          <cell r="G358" t="str">
            <v>ja</v>
          </cell>
          <cell r="H358" t="str">
            <v>【上級】迫り来る窒息</v>
          </cell>
          <cell r="I358" t="str">
            <v>上級</v>
          </cell>
          <cell r="J358">
            <v>303</v>
          </cell>
          <cell r="K358">
            <v>20</v>
          </cell>
          <cell r="L358">
            <v>2000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polygon</v>
          </cell>
          <cell r="T358">
            <v>1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25</v>
          </cell>
          <cell r="AD358">
            <v>5</v>
          </cell>
          <cell r="AE358" t="str">
            <v>everyone</v>
          </cell>
        </row>
        <row r="359">
          <cell r="A359" t="str">
            <v>20010_1</v>
          </cell>
          <cell r="B359">
            <v>3</v>
          </cell>
          <cell r="C359">
            <v>20010</v>
          </cell>
          <cell r="D359" t="str">
            <v>悪夢の一目惚れ</v>
          </cell>
          <cell r="E359" t="str">
            <v>ドロップイベント3</v>
          </cell>
          <cell r="F359">
            <v>1</v>
          </cell>
          <cell r="G359" t="str">
            <v>ja</v>
          </cell>
          <cell r="H359" t="str">
            <v>【初級】悪夢の一目惚れ</v>
          </cell>
          <cell r="I359" t="str">
            <v>初級</v>
          </cell>
          <cell r="J359">
            <v>304</v>
          </cell>
          <cell r="K359">
            <v>8</v>
          </cell>
          <cell r="L359">
            <v>384</v>
          </cell>
          <cell r="M359">
            <v>1</v>
          </cell>
          <cell r="N359">
            <v>1</v>
          </cell>
          <cell r="O359">
            <v>0</v>
          </cell>
          <cell r="P359">
            <v>1</v>
          </cell>
          <cell r="Q359">
            <v>1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2601</v>
          </cell>
          <cell r="AD359">
            <v>6</v>
          </cell>
          <cell r="AE359" t="str">
            <v>everyone</v>
          </cell>
        </row>
        <row r="360">
          <cell r="A360" t="str">
            <v>20010_2</v>
          </cell>
          <cell r="B360">
            <v>3</v>
          </cell>
          <cell r="C360">
            <v>20010</v>
          </cell>
          <cell r="D360" t="str">
            <v>悪夢の一目惚れ</v>
          </cell>
          <cell r="E360" t="str">
            <v>ドロップイベント3</v>
          </cell>
          <cell r="F360">
            <v>2</v>
          </cell>
          <cell r="G360" t="str">
            <v>ja</v>
          </cell>
          <cell r="H360" t="str">
            <v>【中級】悪夢の一目惚れ</v>
          </cell>
          <cell r="I360" t="str">
            <v>中級</v>
          </cell>
          <cell r="J360">
            <v>304</v>
          </cell>
          <cell r="K360">
            <v>15</v>
          </cell>
          <cell r="L360">
            <v>1200</v>
          </cell>
          <cell r="M360">
            <v>1</v>
          </cell>
          <cell r="N360">
            <v>1</v>
          </cell>
          <cell r="O360">
            <v>0</v>
          </cell>
          <cell r="P360">
            <v>1</v>
          </cell>
          <cell r="Q360">
            <v>1</v>
          </cell>
          <cell r="R360">
            <v>3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2601</v>
          </cell>
          <cell r="AD360">
            <v>6</v>
          </cell>
          <cell r="AE360" t="str">
            <v>everyone</v>
          </cell>
        </row>
        <row r="361">
          <cell r="A361" t="str">
            <v>20010_3</v>
          </cell>
          <cell r="B361">
            <v>3</v>
          </cell>
          <cell r="C361">
            <v>20010</v>
          </cell>
          <cell r="D361" t="str">
            <v>悪夢の一目惚れ</v>
          </cell>
          <cell r="E361" t="str">
            <v>ドロップイベント3</v>
          </cell>
          <cell r="F361">
            <v>3</v>
          </cell>
          <cell r="G361" t="str">
            <v>ja</v>
          </cell>
          <cell r="H361" t="str">
            <v>【上級】悪夢の一目惚れ</v>
          </cell>
          <cell r="I361" t="str">
            <v>上級</v>
          </cell>
          <cell r="J361">
            <v>305</v>
          </cell>
          <cell r="K361">
            <v>20</v>
          </cell>
          <cell r="L361">
            <v>2000</v>
          </cell>
          <cell r="M361">
            <v>1</v>
          </cell>
          <cell r="N361">
            <v>1</v>
          </cell>
          <cell r="O361">
            <v>0</v>
          </cell>
          <cell r="P361">
            <v>1</v>
          </cell>
          <cell r="Q361">
            <v>1</v>
          </cell>
          <cell r="R361">
            <v>3</v>
          </cell>
          <cell r="S361" t="str">
            <v>polygon</v>
          </cell>
          <cell r="T361">
            <v>1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2601</v>
          </cell>
          <cell r="AD361">
            <v>6</v>
          </cell>
          <cell r="AE361" t="str">
            <v>everyone</v>
          </cell>
        </row>
        <row r="362">
          <cell r="A362" t="str">
            <v>20011_1</v>
          </cell>
          <cell r="B362">
            <v>3</v>
          </cell>
          <cell r="C362">
            <v>20011</v>
          </cell>
          <cell r="D362" t="str">
            <v>すべてが灰になる</v>
          </cell>
          <cell r="E362" t="str">
            <v>ドロップイベント3</v>
          </cell>
          <cell r="F362">
            <v>1</v>
          </cell>
          <cell r="G362" t="str">
            <v>ja</v>
          </cell>
          <cell r="H362" t="str">
            <v>【初級】すべてが灰になる</v>
          </cell>
          <cell r="I362" t="str">
            <v>初級</v>
          </cell>
          <cell r="J362">
            <v>298</v>
          </cell>
          <cell r="K362">
            <v>8</v>
          </cell>
          <cell r="L362">
            <v>384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10</v>
          </cell>
          <cell r="AD362">
            <v>5</v>
          </cell>
          <cell r="AE362" t="str">
            <v>everyone</v>
          </cell>
        </row>
        <row r="363">
          <cell r="A363" t="str">
            <v>20011_2</v>
          </cell>
          <cell r="B363">
            <v>3</v>
          </cell>
          <cell r="C363">
            <v>20011</v>
          </cell>
          <cell r="D363" t="str">
            <v>すべてが灰になる</v>
          </cell>
          <cell r="E363" t="str">
            <v>ドロップイベント3</v>
          </cell>
          <cell r="F363">
            <v>2</v>
          </cell>
          <cell r="G363" t="str">
            <v>ja</v>
          </cell>
          <cell r="H363" t="str">
            <v>【中級】すべてが灰になる</v>
          </cell>
          <cell r="I363" t="str">
            <v>中級</v>
          </cell>
          <cell r="J363">
            <v>298</v>
          </cell>
          <cell r="K363">
            <v>15</v>
          </cell>
          <cell r="L363">
            <v>1200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10</v>
          </cell>
          <cell r="AD363">
            <v>5</v>
          </cell>
          <cell r="AE363" t="str">
            <v>everyone</v>
          </cell>
        </row>
        <row r="364">
          <cell r="A364" t="str">
            <v>20011_3</v>
          </cell>
          <cell r="B364">
            <v>3</v>
          </cell>
          <cell r="C364">
            <v>20011</v>
          </cell>
          <cell r="D364" t="str">
            <v>すべてが灰になる</v>
          </cell>
          <cell r="E364" t="str">
            <v>ドロップイベント3</v>
          </cell>
          <cell r="F364">
            <v>3</v>
          </cell>
          <cell r="G364" t="str">
            <v>ja</v>
          </cell>
          <cell r="H364" t="str">
            <v>【上級】すべてが灰になる</v>
          </cell>
          <cell r="I364" t="str">
            <v>上級</v>
          </cell>
          <cell r="J364">
            <v>299</v>
          </cell>
          <cell r="K364">
            <v>20</v>
          </cell>
          <cell r="L364">
            <v>2000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polygon</v>
          </cell>
          <cell r="T364">
            <v>1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10</v>
          </cell>
          <cell r="AD364">
            <v>5</v>
          </cell>
          <cell r="AE364" t="str">
            <v>everyone</v>
          </cell>
        </row>
        <row r="365">
          <cell r="A365" t="str">
            <v>20012_1</v>
          </cell>
          <cell r="B365">
            <v>3</v>
          </cell>
          <cell r="C365">
            <v>20012</v>
          </cell>
          <cell r="D365" t="str">
            <v>罪と劇薬</v>
          </cell>
          <cell r="E365" t="str">
            <v>ドロップイベント3</v>
          </cell>
          <cell r="F365">
            <v>1</v>
          </cell>
          <cell r="G365" t="str">
            <v>ja</v>
          </cell>
          <cell r="H365" t="str">
            <v>【初級】罪と劇薬</v>
          </cell>
          <cell r="I365" t="str">
            <v>初級</v>
          </cell>
          <cell r="J365">
            <v>300</v>
          </cell>
          <cell r="K365">
            <v>8</v>
          </cell>
          <cell r="L365">
            <v>384</v>
          </cell>
          <cell r="M365">
            <v>0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19</v>
          </cell>
          <cell r="AD365">
            <v>6</v>
          </cell>
          <cell r="AE365" t="str">
            <v>everyone</v>
          </cell>
        </row>
        <row r="366">
          <cell r="A366" t="str">
            <v>20012_2</v>
          </cell>
          <cell r="B366">
            <v>3</v>
          </cell>
          <cell r="C366">
            <v>20012</v>
          </cell>
          <cell r="D366" t="str">
            <v>罪と劇薬</v>
          </cell>
          <cell r="E366" t="str">
            <v>ドロップイベント3</v>
          </cell>
          <cell r="F366">
            <v>2</v>
          </cell>
          <cell r="G366" t="str">
            <v>ja</v>
          </cell>
          <cell r="H366" t="str">
            <v>【中級】罪と劇薬</v>
          </cell>
          <cell r="I366" t="str">
            <v>中級</v>
          </cell>
          <cell r="J366">
            <v>300</v>
          </cell>
          <cell r="K366">
            <v>15</v>
          </cell>
          <cell r="L366">
            <v>1200</v>
          </cell>
          <cell r="M366">
            <v>0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none</v>
          </cell>
          <cell r="T366">
            <v>0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19</v>
          </cell>
          <cell r="AD366">
            <v>6</v>
          </cell>
          <cell r="AE366" t="str">
            <v>everyone</v>
          </cell>
        </row>
        <row r="367">
          <cell r="A367" t="str">
            <v>20012_3</v>
          </cell>
          <cell r="B367">
            <v>3</v>
          </cell>
          <cell r="C367">
            <v>20012</v>
          </cell>
          <cell r="D367" t="str">
            <v>罪と劇薬</v>
          </cell>
          <cell r="E367" t="str">
            <v>ドロップイベント3</v>
          </cell>
          <cell r="F367">
            <v>3</v>
          </cell>
          <cell r="G367" t="str">
            <v>ja</v>
          </cell>
          <cell r="H367" t="str">
            <v>【上級】罪と劇薬</v>
          </cell>
          <cell r="I367" t="str">
            <v>上級</v>
          </cell>
          <cell r="J367">
            <v>301</v>
          </cell>
          <cell r="K367">
            <v>20</v>
          </cell>
          <cell r="L367">
            <v>2000</v>
          </cell>
          <cell r="M367">
            <v>0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polygon</v>
          </cell>
          <cell r="T367">
            <v>1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19</v>
          </cell>
          <cell r="AD367">
            <v>6</v>
          </cell>
          <cell r="AE367" t="str">
            <v>everyone</v>
          </cell>
        </row>
        <row r="368">
          <cell r="A368" t="str">
            <v>20013_1</v>
          </cell>
          <cell r="B368">
            <v>1</v>
          </cell>
          <cell r="C368">
            <v>20013</v>
          </cell>
          <cell r="D368" t="str">
            <v>直江</v>
          </cell>
          <cell r="E368" t="str">
            <v>戦国１</v>
          </cell>
          <cell r="F368">
            <v>1</v>
          </cell>
          <cell r="G368" t="str">
            <v>ja</v>
          </cell>
          <cell r="H368" t="str">
            <v>【初級】直江</v>
          </cell>
          <cell r="I368" t="str">
            <v>初級</v>
          </cell>
          <cell r="J368">
            <v>721</v>
          </cell>
          <cell r="K368">
            <v>20</v>
          </cell>
          <cell r="L368">
            <v>2000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>
            <v>1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19</v>
          </cell>
          <cell r="AD368">
            <v>5</v>
          </cell>
          <cell r="AE368" t="str">
            <v>everyone</v>
          </cell>
        </row>
        <row r="369">
          <cell r="A369" t="str">
            <v>20013_2</v>
          </cell>
          <cell r="B369">
            <v>1</v>
          </cell>
          <cell r="C369">
            <v>20013</v>
          </cell>
          <cell r="D369" t="str">
            <v>直江</v>
          </cell>
          <cell r="E369" t="str">
            <v>戦国１</v>
          </cell>
          <cell r="F369">
            <v>2</v>
          </cell>
          <cell r="G369" t="str">
            <v>ja</v>
          </cell>
          <cell r="H369" t="str">
            <v>【中級】直江</v>
          </cell>
          <cell r="I369" t="str">
            <v>中級</v>
          </cell>
          <cell r="J369">
            <v>721</v>
          </cell>
          <cell r="K369">
            <v>20</v>
          </cell>
          <cell r="L369">
            <v>2000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polygon</v>
          </cell>
          <cell r="T369">
            <v>1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19</v>
          </cell>
          <cell r="AD369">
            <v>5</v>
          </cell>
          <cell r="AE369" t="str">
            <v>everyone</v>
          </cell>
        </row>
        <row r="370">
          <cell r="A370" t="str">
            <v>20013_3</v>
          </cell>
          <cell r="B370">
            <v>1</v>
          </cell>
          <cell r="C370">
            <v>20013</v>
          </cell>
          <cell r="D370" t="str">
            <v>直江</v>
          </cell>
          <cell r="E370" t="str">
            <v>戦国１</v>
          </cell>
          <cell r="F370">
            <v>3</v>
          </cell>
          <cell r="G370" t="str">
            <v>ja</v>
          </cell>
          <cell r="H370" t="str">
            <v>【上級】直江</v>
          </cell>
          <cell r="I370" t="str">
            <v>上級</v>
          </cell>
          <cell r="J370">
            <v>721</v>
          </cell>
          <cell r="K370">
            <v>20</v>
          </cell>
          <cell r="L370">
            <v>2000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polygon</v>
          </cell>
          <cell r="T370">
            <v>1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19</v>
          </cell>
          <cell r="AD370">
            <v>5</v>
          </cell>
          <cell r="AE370" t="str">
            <v>everyone</v>
          </cell>
        </row>
        <row r="371">
          <cell r="A371" t="str">
            <v>30001_1</v>
          </cell>
          <cell r="B371">
            <v>3</v>
          </cell>
          <cell r="C371">
            <v>30001</v>
          </cell>
          <cell r="D371" t="str">
            <v>ハンター・オブ・ハンター</v>
          </cell>
          <cell r="E371" t="str">
            <v>ドロップイベント1-1（マルチ専用）</v>
          </cell>
          <cell r="F371">
            <v>1</v>
          </cell>
          <cell r="G371" t="str">
            <v>ja</v>
          </cell>
          <cell r="H371" t="str">
            <v xml:space="preserve">【中級】ハンター・オブ・ハンター </v>
          </cell>
          <cell r="I371" t="str">
            <v>中級</v>
          </cell>
          <cell r="J371">
            <v>270</v>
          </cell>
          <cell r="K371">
            <v>15</v>
          </cell>
          <cell r="L371">
            <v>1200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7</v>
          </cell>
          <cell r="AD371">
            <v>6</v>
          </cell>
          <cell r="AE371" t="str">
            <v>everyone</v>
          </cell>
        </row>
        <row r="372">
          <cell r="A372" t="str">
            <v>30001_2</v>
          </cell>
          <cell r="B372">
            <v>3</v>
          </cell>
          <cell r="C372">
            <v>30001</v>
          </cell>
          <cell r="D372" t="str">
            <v>ハンター・オブ・ハンター</v>
          </cell>
          <cell r="E372" t="str">
            <v>ドロップイベント1-1（マルチ専用）</v>
          </cell>
          <cell r="F372">
            <v>2</v>
          </cell>
          <cell r="G372" t="str">
            <v>ja</v>
          </cell>
          <cell r="H372" t="str">
            <v xml:space="preserve">【上級】ハンター・オブ・ハンター </v>
          </cell>
          <cell r="I372" t="str">
            <v>上級</v>
          </cell>
          <cell r="J372">
            <v>270</v>
          </cell>
          <cell r="K372">
            <v>20</v>
          </cell>
          <cell r="L372">
            <v>2000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none</v>
          </cell>
          <cell r="T372">
            <v>0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7</v>
          </cell>
          <cell r="AD372">
            <v>6</v>
          </cell>
          <cell r="AE372" t="str">
            <v>everyone</v>
          </cell>
        </row>
        <row r="373">
          <cell r="A373" t="str">
            <v>30001_3</v>
          </cell>
          <cell r="B373">
            <v>3</v>
          </cell>
          <cell r="C373">
            <v>30001</v>
          </cell>
          <cell r="D373" t="str">
            <v>ハンター・オブ・ハンター</v>
          </cell>
          <cell r="E373" t="str">
            <v>ドロップイベント1-1（マルチ専用）</v>
          </cell>
          <cell r="F373">
            <v>3</v>
          </cell>
          <cell r="G373" t="str">
            <v>ja</v>
          </cell>
          <cell r="H373" t="str">
            <v xml:space="preserve">【超級】ハンター・オブ・ハンター </v>
          </cell>
          <cell r="I373" t="str">
            <v>超級</v>
          </cell>
          <cell r="J373">
            <v>271</v>
          </cell>
          <cell r="K373">
            <v>30</v>
          </cell>
          <cell r="L373">
            <v>3300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polygon</v>
          </cell>
          <cell r="T373">
            <v>1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7</v>
          </cell>
          <cell r="AD373">
            <v>6</v>
          </cell>
          <cell r="AE373" t="str">
            <v>everyone</v>
          </cell>
        </row>
        <row r="374">
          <cell r="A374" t="str">
            <v>30002_1</v>
          </cell>
          <cell r="B374">
            <v>3</v>
          </cell>
          <cell r="C374">
            <v>30002</v>
          </cell>
          <cell r="D374" t="str">
            <v>トリックスター</v>
          </cell>
          <cell r="E374" t="str">
            <v>ドロップイベント1-2（マルチ専用）</v>
          </cell>
          <cell r="F374">
            <v>1</v>
          </cell>
          <cell r="G374" t="str">
            <v>ja</v>
          </cell>
          <cell r="H374" t="str">
            <v xml:space="preserve">【中級】トリックスター </v>
          </cell>
          <cell r="I374" t="str">
            <v>中級</v>
          </cell>
          <cell r="J374">
            <v>272</v>
          </cell>
          <cell r="K374">
            <v>15</v>
          </cell>
          <cell r="L374">
            <v>1200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17</v>
          </cell>
          <cell r="AD374">
            <v>6</v>
          </cell>
          <cell r="AE374" t="str">
            <v>everyone</v>
          </cell>
        </row>
        <row r="375">
          <cell r="A375" t="str">
            <v>30002_2</v>
          </cell>
          <cell r="B375">
            <v>3</v>
          </cell>
          <cell r="C375">
            <v>30002</v>
          </cell>
          <cell r="D375" t="str">
            <v>トリックスター</v>
          </cell>
          <cell r="E375" t="str">
            <v>ドロップイベント1-2（マルチ専用）</v>
          </cell>
          <cell r="F375">
            <v>2</v>
          </cell>
          <cell r="G375" t="str">
            <v>ja</v>
          </cell>
          <cell r="H375" t="str">
            <v xml:space="preserve">【上級】トリックスター </v>
          </cell>
          <cell r="I375" t="str">
            <v>上級</v>
          </cell>
          <cell r="J375">
            <v>272</v>
          </cell>
          <cell r="K375">
            <v>20</v>
          </cell>
          <cell r="L375">
            <v>2000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17</v>
          </cell>
          <cell r="AD375">
            <v>6</v>
          </cell>
          <cell r="AE375" t="str">
            <v>everyone</v>
          </cell>
        </row>
        <row r="376">
          <cell r="A376" t="str">
            <v>30002_3</v>
          </cell>
          <cell r="B376">
            <v>3</v>
          </cell>
          <cell r="C376">
            <v>30002</v>
          </cell>
          <cell r="D376" t="str">
            <v>トリックスター</v>
          </cell>
          <cell r="E376" t="str">
            <v>ドロップイベント1-2（マルチ専用）</v>
          </cell>
          <cell r="F376">
            <v>3</v>
          </cell>
          <cell r="G376" t="str">
            <v>ja</v>
          </cell>
          <cell r="H376" t="str">
            <v xml:space="preserve">【超級】トリックスター </v>
          </cell>
          <cell r="I376" t="str">
            <v>超級</v>
          </cell>
          <cell r="J376">
            <v>273</v>
          </cell>
          <cell r="K376">
            <v>30</v>
          </cell>
          <cell r="L376">
            <v>3300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17</v>
          </cell>
          <cell r="AD376">
            <v>6</v>
          </cell>
          <cell r="AE376" t="str">
            <v>everyone</v>
          </cell>
        </row>
        <row r="377">
          <cell r="A377" t="str">
            <v>30003_1</v>
          </cell>
          <cell r="B377">
            <v>3</v>
          </cell>
          <cell r="C377">
            <v>30003</v>
          </cell>
          <cell r="D377" t="str">
            <v>打ち下ろされる砕棒</v>
          </cell>
          <cell r="E377" t="str">
            <v>ドロップイベント1-3（マルチ専用）</v>
          </cell>
          <cell r="F377">
            <v>1</v>
          </cell>
          <cell r="G377" t="str">
            <v>ja</v>
          </cell>
          <cell r="H377" t="str">
            <v xml:space="preserve">【中級】打ち下ろされる砕棒 </v>
          </cell>
          <cell r="I377" t="str">
            <v>中級</v>
          </cell>
          <cell r="J377">
            <v>274</v>
          </cell>
          <cell r="K377">
            <v>15</v>
          </cell>
          <cell r="L377">
            <v>1200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20</v>
          </cell>
          <cell r="AD377">
            <v>6</v>
          </cell>
          <cell r="AE377" t="str">
            <v>everyone</v>
          </cell>
        </row>
        <row r="378">
          <cell r="A378" t="str">
            <v>30003_2</v>
          </cell>
          <cell r="B378">
            <v>3</v>
          </cell>
          <cell r="C378">
            <v>30003</v>
          </cell>
          <cell r="D378" t="str">
            <v>打ち下ろされる砕棒</v>
          </cell>
          <cell r="E378" t="str">
            <v>ドロップイベント1-3（マルチ専用）</v>
          </cell>
          <cell r="F378">
            <v>2</v>
          </cell>
          <cell r="G378" t="str">
            <v>ja</v>
          </cell>
          <cell r="H378" t="str">
            <v>【上級】打ち下ろされる砕棒</v>
          </cell>
          <cell r="I378" t="str">
            <v>上級</v>
          </cell>
          <cell r="J378">
            <v>274</v>
          </cell>
          <cell r="K378">
            <v>20</v>
          </cell>
          <cell r="L378">
            <v>2000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none</v>
          </cell>
          <cell r="T378">
            <v>0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20</v>
          </cell>
          <cell r="AD378">
            <v>6</v>
          </cell>
          <cell r="AE378" t="str">
            <v>everyone</v>
          </cell>
        </row>
        <row r="379">
          <cell r="A379" t="str">
            <v>30003_3</v>
          </cell>
          <cell r="B379">
            <v>3</v>
          </cell>
          <cell r="C379">
            <v>30003</v>
          </cell>
          <cell r="D379" t="str">
            <v>打ち下ろされる砕棒</v>
          </cell>
          <cell r="E379" t="str">
            <v>ドロップイベント1-3（マルチ専用）</v>
          </cell>
          <cell r="F379">
            <v>3</v>
          </cell>
          <cell r="G379" t="str">
            <v>ja</v>
          </cell>
          <cell r="H379" t="str">
            <v xml:space="preserve">【超級】打ち下ろされる砕棒 </v>
          </cell>
          <cell r="I379" t="str">
            <v>超級</v>
          </cell>
          <cell r="J379">
            <v>275</v>
          </cell>
          <cell r="K379">
            <v>30</v>
          </cell>
          <cell r="L379">
            <v>3300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polygon</v>
          </cell>
          <cell r="T379">
            <v>1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20</v>
          </cell>
          <cell r="AD379">
            <v>6</v>
          </cell>
          <cell r="AE379" t="str">
            <v>everyone</v>
          </cell>
        </row>
        <row r="380">
          <cell r="A380" t="str">
            <v>30004_1</v>
          </cell>
          <cell r="B380">
            <v>3</v>
          </cell>
          <cell r="C380">
            <v>30004</v>
          </cell>
          <cell r="D380" t="str">
            <v>危険な仲裁者</v>
          </cell>
          <cell r="E380" t="str">
            <v>ドロップイベント1-4（マルチ専用）</v>
          </cell>
          <cell r="F380">
            <v>1</v>
          </cell>
          <cell r="G380" t="str">
            <v>ja</v>
          </cell>
          <cell r="H380" t="str">
            <v xml:space="preserve">【中級】危険な仲裁者 </v>
          </cell>
          <cell r="I380" t="str">
            <v>中級</v>
          </cell>
          <cell r="J380">
            <v>276</v>
          </cell>
          <cell r="K380">
            <v>15</v>
          </cell>
          <cell r="L380">
            <v>1200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14</v>
          </cell>
          <cell r="AD380">
            <v>6</v>
          </cell>
          <cell r="AE380" t="str">
            <v>everyone</v>
          </cell>
        </row>
        <row r="381">
          <cell r="A381" t="str">
            <v>30004_2</v>
          </cell>
          <cell r="B381">
            <v>3</v>
          </cell>
          <cell r="C381">
            <v>30004</v>
          </cell>
          <cell r="D381" t="str">
            <v>危険な仲裁者</v>
          </cell>
          <cell r="E381" t="str">
            <v>ドロップイベント1-4（マルチ専用）</v>
          </cell>
          <cell r="F381">
            <v>2</v>
          </cell>
          <cell r="G381" t="str">
            <v>ja</v>
          </cell>
          <cell r="H381" t="str">
            <v xml:space="preserve">【上級】危険な仲裁者 </v>
          </cell>
          <cell r="I381" t="str">
            <v>上級</v>
          </cell>
          <cell r="J381">
            <v>276</v>
          </cell>
          <cell r="K381">
            <v>20</v>
          </cell>
          <cell r="L381">
            <v>2000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14</v>
          </cell>
          <cell r="AD381">
            <v>6</v>
          </cell>
          <cell r="AE381" t="str">
            <v>everyone</v>
          </cell>
        </row>
        <row r="382">
          <cell r="A382" t="str">
            <v>30004_3</v>
          </cell>
          <cell r="B382">
            <v>3</v>
          </cell>
          <cell r="C382">
            <v>30004</v>
          </cell>
          <cell r="D382" t="str">
            <v>危険な仲裁者</v>
          </cell>
          <cell r="E382" t="str">
            <v>ドロップイベント1-4（マルチ専用）</v>
          </cell>
          <cell r="F382">
            <v>3</v>
          </cell>
          <cell r="G382" t="str">
            <v>ja</v>
          </cell>
          <cell r="H382" t="str">
            <v xml:space="preserve">【超級】危険な仲裁者 </v>
          </cell>
          <cell r="I382" t="str">
            <v>超級</v>
          </cell>
          <cell r="J382">
            <v>277</v>
          </cell>
          <cell r="K382">
            <v>30</v>
          </cell>
          <cell r="L382">
            <v>3300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polygon</v>
          </cell>
          <cell r="T382">
            <v>1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14</v>
          </cell>
          <cell r="AD382">
            <v>6</v>
          </cell>
          <cell r="AE382" t="str">
            <v>everyone</v>
          </cell>
        </row>
        <row r="383">
          <cell r="A383" t="str">
            <v>30005_1</v>
          </cell>
          <cell r="B383">
            <v>3</v>
          </cell>
          <cell r="C383">
            <v>30005</v>
          </cell>
          <cell r="D383" t="str">
            <v>ニンゲンにしてあげる☆</v>
          </cell>
          <cell r="E383" t="str">
            <v>ドロップイベント2-1（マルチ専用）</v>
          </cell>
          <cell r="F383">
            <v>1</v>
          </cell>
          <cell r="G383" t="str">
            <v>ja</v>
          </cell>
          <cell r="H383" t="str">
            <v xml:space="preserve">【中級】ニンゲンにしてあげる </v>
          </cell>
          <cell r="I383" t="str">
            <v>中級</v>
          </cell>
          <cell r="J383">
            <v>290</v>
          </cell>
          <cell r="K383">
            <v>15</v>
          </cell>
          <cell r="L383">
            <v>1200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11</v>
          </cell>
          <cell r="AD383">
            <v>6</v>
          </cell>
          <cell r="AE383" t="str">
            <v>everyone</v>
          </cell>
        </row>
        <row r="384">
          <cell r="A384" t="str">
            <v>30005_2</v>
          </cell>
          <cell r="B384">
            <v>3</v>
          </cell>
          <cell r="C384">
            <v>30005</v>
          </cell>
          <cell r="D384" t="str">
            <v>ニンゲンにしてあげる☆</v>
          </cell>
          <cell r="E384" t="str">
            <v>ドロップイベント2-1（マルチ専用）</v>
          </cell>
          <cell r="F384">
            <v>2</v>
          </cell>
          <cell r="G384" t="str">
            <v>ja</v>
          </cell>
          <cell r="H384" t="str">
            <v xml:space="preserve">【上級】ニンゲンにしてあげる </v>
          </cell>
          <cell r="I384" t="str">
            <v>上級</v>
          </cell>
          <cell r="J384">
            <v>290</v>
          </cell>
          <cell r="K384">
            <v>20</v>
          </cell>
          <cell r="L384">
            <v>2000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none</v>
          </cell>
          <cell r="T384">
            <v>0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11</v>
          </cell>
          <cell r="AD384">
            <v>6</v>
          </cell>
          <cell r="AE384" t="str">
            <v>everyone</v>
          </cell>
        </row>
        <row r="385">
          <cell r="A385" t="str">
            <v>30005_3</v>
          </cell>
          <cell r="B385">
            <v>3</v>
          </cell>
          <cell r="C385">
            <v>30005</v>
          </cell>
          <cell r="D385" t="str">
            <v>ニンゲンにしてあげる☆</v>
          </cell>
          <cell r="E385" t="str">
            <v>ドロップイベント2-1（マルチ専用）</v>
          </cell>
          <cell r="F385">
            <v>3</v>
          </cell>
          <cell r="G385" t="str">
            <v>ja</v>
          </cell>
          <cell r="H385" t="str">
            <v>【超級】ニンゲンにしてあげる</v>
          </cell>
          <cell r="I385" t="str">
            <v>超級</v>
          </cell>
          <cell r="J385">
            <v>291</v>
          </cell>
          <cell r="K385">
            <v>30</v>
          </cell>
          <cell r="L385">
            <v>3300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polygon</v>
          </cell>
          <cell r="T385">
            <v>1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11</v>
          </cell>
          <cell r="AD385">
            <v>6</v>
          </cell>
          <cell r="AE385" t="str">
            <v>everyone</v>
          </cell>
        </row>
        <row r="386">
          <cell r="A386" t="str">
            <v>30006_1</v>
          </cell>
          <cell r="B386">
            <v>3</v>
          </cell>
          <cell r="C386">
            <v>30006</v>
          </cell>
          <cell r="D386" t="str">
            <v>それはお前を食べるためさ</v>
          </cell>
          <cell r="E386" t="str">
            <v>ドロップイベント2-3（マルチ専用）</v>
          </cell>
          <cell r="F386">
            <v>1</v>
          </cell>
          <cell r="G386" t="str">
            <v>ja</v>
          </cell>
          <cell r="H386" t="str">
            <v>【中級】それはお前を食べるためさ</v>
          </cell>
          <cell r="I386" t="str">
            <v>中級</v>
          </cell>
          <cell r="J386">
            <v>294</v>
          </cell>
          <cell r="K386">
            <v>15</v>
          </cell>
          <cell r="L386">
            <v>1200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7</v>
          </cell>
          <cell r="AD386">
            <v>6</v>
          </cell>
          <cell r="AE386" t="str">
            <v>everyone</v>
          </cell>
        </row>
        <row r="387">
          <cell r="A387" t="str">
            <v>30006_2</v>
          </cell>
          <cell r="B387">
            <v>3</v>
          </cell>
          <cell r="C387">
            <v>30006</v>
          </cell>
          <cell r="D387" t="str">
            <v>それはお前を食べるためさ</v>
          </cell>
          <cell r="E387" t="str">
            <v>ドロップイベント2-3（マルチ専用）</v>
          </cell>
          <cell r="F387">
            <v>2</v>
          </cell>
          <cell r="G387" t="str">
            <v>ja</v>
          </cell>
          <cell r="H387" t="str">
            <v>【上級】それはお前を食べるためさ</v>
          </cell>
          <cell r="I387" t="str">
            <v>上級</v>
          </cell>
          <cell r="J387">
            <v>294</v>
          </cell>
          <cell r="K387">
            <v>20</v>
          </cell>
          <cell r="L387">
            <v>2000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7</v>
          </cell>
          <cell r="AD387">
            <v>6</v>
          </cell>
          <cell r="AE387" t="str">
            <v>everyone</v>
          </cell>
        </row>
        <row r="388">
          <cell r="A388" t="str">
            <v>30006_3</v>
          </cell>
          <cell r="B388">
            <v>3</v>
          </cell>
          <cell r="C388">
            <v>30006</v>
          </cell>
          <cell r="D388" t="str">
            <v>それはお前を食べるためさ</v>
          </cell>
          <cell r="E388" t="str">
            <v>ドロップイベント2-3（マルチ専用）</v>
          </cell>
          <cell r="F388">
            <v>3</v>
          </cell>
          <cell r="G388" t="str">
            <v>ja</v>
          </cell>
          <cell r="H388" t="str">
            <v>【超級】それはお前を食べるためさ</v>
          </cell>
          <cell r="I388" t="str">
            <v>超級</v>
          </cell>
          <cell r="J388">
            <v>295</v>
          </cell>
          <cell r="K388">
            <v>30</v>
          </cell>
          <cell r="L388">
            <v>3300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polygon</v>
          </cell>
          <cell r="T388">
            <v>1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7</v>
          </cell>
          <cell r="AD388">
            <v>6</v>
          </cell>
          <cell r="AE388" t="str">
            <v>everyone</v>
          </cell>
        </row>
        <row r="389">
          <cell r="A389" t="str">
            <v>30007_1</v>
          </cell>
          <cell r="B389">
            <v>3</v>
          </cell>
          <cell r="C389">
            <v>30007</v>
          </cell>
          <cell r="D389" t="str">
            <v>ガラスの靴は私のもの</v>
          </cell>
          <cell r="E389" t="str">
            <v>ドロップイベント2-2（マルチ専用）</v>
          </cell>
          <cell r="F389">
            <v>1</v>
          </cell>
          <cell r="G389" t="str">
            <v>ja</v>
          </cell>
          <cell r="H389" t="str">
            <v xml:space="preserve">【中級】ガラスの靴は私のもの </v>
          </cell>
          <cell r="I389" t="str">
            <v>中級</v>
          </cell>
          <cell r="J389">
            <v>292</v>
          </cell>
          <cell r="K389">
            <v>15</v>
          </cell>
          <cell r="L389">
            <v>1200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</v>
          </cell>
          <cell r="AD389">
            <v>6</v>
          </cell>
          <cell r="AE389" t="str">
            <v>everyone</v>
          </cell>
        </row>
        <row r="390">
          <cell r="A390" t="str">
            <v>30007_2</v>
          </cell>
          <cell r="B390">
            <v>3</v>
          </cell>
          <cell r="C390">
            <v>30007</v>
          </cell>
          <cell r="D390" t="str">
            <v>ガラスの靴は私のもの</v>
          </cell>
          <cell r="E390" t="str">
            <v>ドロップイベント2-2（マルチ専用）</v>
          </cell>
          <cell r="F390">
            <v>2</v>
          </cell>
          <cell r="G390" t="str">
            <v>ja</v>
          </cell>
          <cell r="H390" t="str">
            <v>【上級】ガラスの靴は私のもの</v>
          </cell>
          <cell r="I390" t="str">
            <v>上級</v>
          </cell>
          <cell r="J390">
            <v>292</v>
          </cell>
          <cell r="K390">
            <v>20</v>
          </cell>
          <cell r="L390">
            <v>2000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</v>
          </cell>
          <cell r="AD390">
            <v>6</v>
          </cell>
          <cell r="AE390" t="str">
            <v>everyone</v>
          </cell>
        </row>
        <row r="391">
          <cell r="A391" t="str">
            <v>30007_3</v>
          </cell>
          <cell r="B391">
            <v>3</v>
          </cell>
          <cell r="C391">
            <v>30007</v>
          </cell>
          <cell r="D391" t="str">
            <v>ガラスの靴は私のもの</v>
          </cell>
          <cell r="E391" t="str">
            <v>ドロップイベント2-2（マルチ専用）</v>
          </cell>
          <cell r="F391">
            <v>3</v>
          </cell>
          <cell r="G391" t="str">
            <v>ja</v>
          </cell>
          <cell r="H391" t="str">
            <v xml:space="preserve">【超級】ガラスの靴は私のもの </v>
          </cell>
          <cell r="I391" t="str">
            <v>超級</v>
          </cell>
          <cell r="J391">
            <v>293</v>
          </cell>
          <cell r="K391">
            <v>30</v>
          </cell>
          <cell r="L391">
            <v>3300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polygon</v>
          </cell>
          <cell r="T391">
            <v>1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</v>
          </cell>
          <cell r="AD391">
            <v>6</v>
          </cell>
          <cell r="AE391" t="str">
            <v>everyone</v>
          </cell>
        </row>
        <row r="392">
          <cell r="A392" t="str">
            <v>30008_1</v>
          </cell>
          <cell r="B392">
            <v>3</v>
          </cell>
          <cell r="C392">
            <v>30008</v>
          </cell>
          <cell r="D392" t="str">
            <v>わたしの嫁を返してもらおう</v>
          </cell>
          <cell r="E392" t="str">
            <v>ドロップイベント2-4（マルチ専用）</v>
          </cell>
          <cell r="F392">
            <v>1</v>
          </cell>
          <cell r="G392" t="str">
            <v>ja</v>
          </cell>
          <cell r="H392" t="str">
            <v>【中級】わたしの嫁を返してもらおう</v>
          </cell>
          <cell r="I392" t="str">
            <v>中級</v>
          </cell>
          <cell r="J392">
            <v>288</v>
          </cell>
          <cell r="K392">
            <v>15</v>
          </cell>
          <cell r="L392">
            <v>1200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22</v>
          </cell>
          <cell r="AD392">
            <v>6</v>
          </cell>
          <cell r="AE392" t="str">
            <v>everyone</v>
          </cell>
        </row>
        <row r="393">
          <cell r="A393" t="str">
            <v>30008_2</v>
          </cell>
          <cell r="B393">
            <v>3</v>
          </cell>
          <cell r="C393">
            <v>30008</v>
          </cell>
          <cell r="D393" t="str">
            <v>わたしの嫁を返してもらおう</v>
          </cell>
          <cell r="E393" t="str">
            <v>ドロップイベント2-4（マルチ専用）</v>
          </cell>
          <cell r="F393">
            <v>2</v>
          </cell>
          <cell r="G393" t="str">
            <v>ja</v>
          </cell>
          <cell r="H393" t="str">
            <v>【上級】わたしの嫁を返してもらおう</v>
          </cell>
          <cell r="I393" t="str">
            <v>上級</v>
          </cell>
          <cell r="J393">
            <v>288</v>
          </cell>
          <cell r="K393">
            <v>20</v>
          </cell>
          <cell r="L393">
            <v>2000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none</v>
          </cell>
          <cell r="T393">
            <v>0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22</v>
          </cell>
          <cell r="AD393">
            <v>6</v>
          </cell>
          <cell r="AE393" t="str">
            <v>everyone</v>
          </cell>
        </row>
        <row r="394">
          <cell r="A394" t="str">
            <v>30008_3</v>
          </cell>
          <cell r="B394">
            <v>3</v>
          </cell>
          <cell r="C394">
            <v>30008</v>
          </cell>
          <cell r="D394" t="str">
            <v>わたしの嫁を返してもらおう</v>
          </cell>
          <cell r="E394" t="str">
            <v>ドロップイベント2-4（マルチ専用）</v>
          </cell>
          <cell r="F394">
            <v>3</v>
          </cell>
          <cell r="G394" t="str">
            <v>ja</v>
          </cell>
          <cell r="H394" t="str">
            <v>【超級】わたしの嫁を返してもらおう</v>
          </cell>
          <cell r="I394" t="str">
            <v>超級</v>
          </cell>
          <cell r="J394">
            <v>289</v>
          </cell>
          <cell r="K394">
            <v>30</v>
          </cell>
          <cell r="L394">
            <v>3300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polygon</v>
          </cell>
          <cell r="T394">
            <v>1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22</v>
          </cell>
          <cell r="AD394">
            <v>6</v>
          </cell>
          <cell r="AE394" t="str">
            <v>everyone</v>
          </cell>
        </row>
        <row r="395">
          <cell r="A395" t="str">
            <v>30009_3</v>
          </cell>
          <cell r="B395">
            <v>0</v>
          </cell>
          <cell r="C395">
            <v>30009</v>
          </cell>
          <cell r="D395" t="str">
            <v>復活の捕食者</v>
          </cell>
          <cell r="E395" t="str">
            <v>ドロップイベント3（マルチ専用）</v>
          </cell>
          <cell r="F395">
            <v>3</v>
          </cell>
          <cell r="G395" t="str">
            <v>ja</v>
          </cell>
          <cell r="H395" t="str">
            <v>【上級】復活の捕食者</v>
          </cell>
          <cell r="I395" t="str">
            <v>上級</v>
          </cell>
          <cell r="J395">
            <v>312</v>
          </cell>
          <cell r="K395">
            <v>20</v>
          </cell>
          <cell r="L395">
            <v>2000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2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8</v>
          </cell>
          <cell r="AD395">
            <v>6</v>
          </cell>
          <cell r="AE395" t="str">
            <v>everyone</v>
          </cell>
        </row>
        <row r="396">
          <cell r="A396" t="str">
            <v>30009_1</v>
          </cell>
          <cell r="B396">
            <v>3</v>
          </cell>
          <cell r="C396">
            <v>30009</v>
          </cell>
          <cell r="D396" t="str">
            <v>復活の捕食者</v>
          </cell>
          <cell r="E396" t="str">
            <v>ドロップイベント3（マルチ専用）</v>
          </cell>
          <cell r="F396">
            <v>1</v>
          </cell>
          <cell r="G396" t="str">
            <v>ja</v>
          </cell>
          <cell r="H396" t="str">
            <v>【超級】復活の捕食者</v>
          </cell>
          <cell r="I396" t="str">
            <v>超級</v>
          </cell>
          <cell r="J396">
            <v>312</v>
          </cell>
          <cell r="K396">
            <v>30</v>
          </cell>
          <cell r="L396">
            <v>3300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2</v>
          </cell>
          <cell r="S396" t="str">
            <v>none</v>
          </cell>
          <cell r="T396">
            <v>0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8</v>
          </cell>
          <cell r="AD396">
            <v>6</v>
          </cell>
          <cell r="AE396" t="str">
            <v>everyone</v>
          </cell>
        </row>
        <row r="397">
          <cell r="A397" t="str">
            <v>30009_2</v>
          </cell>
          <cell r="B397">
            <v>3</v>
          </cell>
          <cell r="C397">
            <v>30009</v>
          </cell>
          <cell r="D397" t="str">
            <v>復活の捕食者</v>
          </cell>
          <cell r="E397" t="str">
            <v>ドロップイベント3（マルチ専用）</v>
          </cell>
          <cell r="F397">
            <v>2</v>
          </cell>
          <cell r="G397" t="str">
            <v>ja</v>
          </cell>
          <cell r="H397" t="str">
            <v>【超絶級】復活の捕食者</v>
          </cell>
          <cell r="I397" t="str">
            <v>超絶級</v>
          </cell>
          <cell r="J397">
            <v>312</v>
          </cell>
          <cell r="K397">
            <v>35</v>
          </cell>
          <cell r="L397">
            <v>4200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2</v>
          </cell>
          <cell r="S397" t="str">
            <v>polygon</v>
          </cell>
          <cell r="T397">
            <v>1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8</v>
          </cell>
          <cell r="AD397">
            <v>6</v>
          </cell>
          <cell r="AE397" t="str">
            <v>everyone</v>
          </cell>
        </row>
        <row r="398">
          <cell r="A398" t="str">
            <v>30010_1</v>
          </cell>
          <cell r="B398">
            <v>3</v>
          </cell>
          <cell r="C398">
            <v>30010</v>
          </cell>
          <cell r="D398" t="str">
            <v>最大最凶</v>
          </cell>
          <cell r="E398" t="str">
            <v>ドロップイベント3（マルチ専用）</v>
          </cell>
          <cell r="F398">
            <v>1</v>
          </cell>
          <cell r="G398" t="str">
            <v>ja</v>
          </cell>
          <cell r="H398" t="str">
            <v>【上級】最大最凶</v>
          </cell>
          <cell r="I398" t="str">
            <v>上級</v>
          </cell>
          <cell r="J398">
            <v>306</v>
          </cell>
          <cell r="K398">
            <v>20</v>
          </cell>
          <cell r="L398">
            <v>2000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2</v>
          </cell>
          <cell r="AD398">
            <v>7</v>
          </cell>
          <cell r="AE398" t="str">
            <v>everyone</v>
          </cell>
        </row>
        <row r="399">
          <cell r="A399" t="str">
            <v>30010_2</v>
          </cell>
          <cell r="B399">
            <v>3</v>
          </cell>
          <cell r="C399">
            <v>30010</v>
          </cell>
          <cell r="D399" t="str">
            <v>最大最凶</v>
          </cell>
          <cell r="E399" t="str">
            <v>ドロップイベント3（マルチ専用）</v>
          </cell>
          <cell r="F399">
            <v>2</v>
          </cell>
          <cell r="G399" t="str">
            <v>ja</v>
          </cell>
          <cell r="H399" t="str">
            <v>【超級】最大最凶</v>
          </cell>
          <cell r="I399" t="str">
            <v>超級</v>
          </cell>
          <cell r="J399">
            <v>306</v>
          </cell>
          <cell r="K399">
            <v>30</v>
          </cell>
          <cell r="L399">
            <v>3300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2</v>
          </cell>
          <cell r="AD399">
            <v>7</v>
          </cell>
          <cell r="AE399" t="str">
            <v>everyone</v>
          </cell>
        </row>
        <row r="400">
          <cell r="A400" t="str">
            <v>30010_3</v>
          </cell>
          <cell r="B400">
            <v>3</v>
          </cell>
          <cell r="C400">
            <v>30010</v>
          </cell>
          <cell r="D400" t="str">
            <v>最大最凶</v>
          </cell>
          <cell r="E400" t="str">
            <v>ドロップイベント3（マルチ専用）</v>
          </cell>
          <cell r="F400">
            <v>3</v>
          </cell>
          <cell r="G400" t="str">
            <v>ja</v>
          </cell>
          <cell r="H400" t="str">
            <v>【超絶級】最大最凶</v>
          </cell>
          <cell r="I400" t="str">
            <v>超絶級</v>
          </cell>
          <cell r="J400">
            <v>306</v>
          </cell>
          <cell r="K400">
            <v>35</v>
          </cell>
          <cell r="L400">
            <v>4200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polygon</v>
          </cell>
          <cell r="T400">
            <v>1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2</v>
          </cell>
          <cell r="AD400">
            <v>7</v>
          </cell>
          <cell r="AE400" t="str">
            <v>everyone</v>
          </cell>
        </row>
        <row r="401">
          <cell r="A401" t="str">
            <v>30011_1</v>
          </cell>
          <cell r="B401">
            <v>3</v>
          </cell>
          <cell r="C401">
            <v>30011</v>
          </cell>
          <cell r="D401" t="str">
            <v>気怠い巨読者</v>
          </cell>
          <cell r="E401" t="str">
            <v>ドロップイベント3（マルチ専用）</v>
          </cell>
          <cell r="F401">
            <v>1</v>
          </cell>
          <cell r="G401" t="str">
            <v>ja</v>
          </cell>
          <cell r="H401" t="str">
            <v>【上級】気怠い巨読者</v>
          </cell>
          <cell r="I401" t="str">
            <v>上級</v>
          </cell>
          <cell r="J401">
            <v>308</v>
          </cell>
          <cell r="K401">
            <v>20</v>
          </cell>
          <cell r="L401">
            <v>2000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2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19</v>
          </cell>
          <cell r="AD401">
            <v>6</v>
          </cell>
          <cell r="AE401" t="str">
            <v>everyone</v>
          </cell>
        </row>
        <row r="402">
          <cell r="A402" t="str">
            <v>30011_2</v>
          </cell>
          <cell r="B402">
            <v>3</v>
          </cell>
          <cell r="C402">
            <v>30011</v>
          </cell>
          <cell r="D402" t="str">
            <v>気怠い巨読者</v>
          </cell>
          <cell r="E402" t="str">
            <v>ドロップイベント3（マルチ専用）</v>
          </cell>
          <cell r="F402">
            <v>2</v>
          </cell>
          <cell r="G402" t="str">
            <v>ja</v>
          </cell>
          <cell r="H402" t="str">
            <v>【超級】気怠い巨読者</v>
          </cell>
          <cell r="I402" t="str">
            <v>超級</v>
          </cell>
          <cell r="J402">
            <v>308</v>
          </cell>
          <cell r="K402">
            <v>30</v>
          </cell>
          <cell r="L402">
            <v>3300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2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19</v>
          </cell>
          <cell r="AD402">
            <v>6</v>
          </cell>
          <cell r="AE402" t="str">
            <v>everyone</v>
          </cell>
        </row>
        <row r="403">
          <cell r="A403" t="str">
            <v>30011_3</v>
          </cell>
          <cell r="B403">
            <v>3</v>
          </cell>
          <cell r="C403">
            <v>30011</v>
          </cell>
          <cell r="D403" t="str">
            <v>気怠い巨読者</v>
          </cell>
          <cell r="E403" t="str">
            <v>ドロップイベント3（マルチ専用）</v>
          </cell>
          <cell r="F403">
            <v>3</v>
          </cell>
          <cell r="G403" t="str">
            <v>ja</v>
          </cell>
          <cell r="H403" t="str">
            <v>【超絶級】気怠い巨読者</v>
          </cell>
          <cell r="I403" t="str">
            <v>超絶級</v>
          </cell>
          <cell r="J403">
            <v>309</v>
          </cell>
          <cell r="K403">
            <v>35</v>
          </cell>
          <cell r="L403">
            <v>4200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2</v>
          </cell>
          <cell r="S403" t="str">
            <v>polygon</v>
          </cell>
          <cell r="T403">
            <v>1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19</v>
          </cell>
          <cell r="AD403">
            <v>6</v>
          </cell>
          <cell r="AE403" t="str">
            <v>everyone</v>
          </cell>
        </row>
        <row r="404">
          <cell r="A404" t="str">
            <v>30012_1</v>
          </cell>
          <cell r="B404">
            <v>3</v>
          </cell>
          <cell r="C404">
            <v>30012</v>
          </cell>
          <cell r="D404" t="str">
            <v>底なしの胃袋</v>
          </cell>
          <cell r="E404" t="str">
            <v>ドロップイベント3（マルチ専用）</v>
          </cell>
          <cell r="F404">
            <v>1</v>
          </cell>
          <cell r="G404" t="str">
            <v>ja</v>
          </cell>
          <cell r="H404" t="str">
            <v>【上級】底なしの胃袋</v>
          </cell>
          <cell r="I404" t="str">
            <v>上級</v>
          </cell>
          <cell r="J404">
            <v>310</v>
          </cell>
          <cell r="K404">
            <v>20</v>
          </cell>
          <cell r="L404">
            <v>2000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0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5</v>
          </cell>
          <cell r="AD404">
            <v>6</v>
          </cell>
          <cell r="AE404" t="str">
            <v>everyone</v>
          </cell>
        </row>
        <row r="405">
          <cell r="A405" t="str">
            <v>30012_2</v>
          </cell>
          <cell r="B405">
            <v>3</v>
          </cell>
          <cell r="C405">
            <v>30012</v>
          </cell>
          <cell r="D405" t="str">
            <v>底なしの胃袋</v>
          </cell>
          <cell r="E405" t="str">
            <v>ドロップイベント3（マルチ専用）</v>
          </cell>
          <cell r="F405">
            <v>2</v>
          </cell>
          <cell r="G405" t="str">
            <v>ja</v>
          </cell>
          <cell r="H405" t="str">
            <v>【超級】底なしの胃袋</v>
          </cell>
          <cell r="I405" t="str">
            <v>超級</v>
          </cell>
          <cell r="J405">
            <v>310</v>
          </cell>
          <cell r="K405">
            <v>30</v>
          </cell>
          <cell r="L405">
            <v>3300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0</v>
          </cell>
          <cell r="R405">
            <v>3</v>
          </cell>
          <cell r="S405" t="str">
            <v>none</v>
          </cell>
          <cell r="T405">
            <v>0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5</v>
          </cell>
          <cell r="AD405">
            <v>6</v>
          </cell>
          <cell r="AE405" t="str">
            <v>everyone</v>
          </cell>
        </row>
        <row r="406">
          <cell r="A406" t="str">
            <v>30012_3</v>
          </cell>
          <cell r="B406">
            <v>3</v>
          </cell>
          <cell r="C406">
            <v>30012</v>
          </cell>
          <cell r="D406" t="str">
            <v>底なしの胃袋</v>
          </cell>
          <cell r="E406" t="str">
            <v>ドロップイベント3（マルチ専用）</v>
          </cell>
          <cell r="F406">
            <v>3</v>
          </cell>
          <cell r="G406" t="str">
            <v>ja</v>
          </cell>
          <cell r="H406" t="str">
            <v>【超絶級】底なしの胃袋</v>
          </cell>
          <cell r="I406" t="str">
            <v>超絶級</v>
          </cell>
          <cell r="J406">
            <v>310</v>
          </cell>
          <cell r="K406">
            <v>35</v>
          </cell>
          <cell r="L406">
            <v>4200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0</v>
          </cell>
          <cell r="R406">
            <v>3</v>
          </cell>
          <cell r="S406" t="str">
            <v>polygon</v>
          </cell>
          <cell r="T406">
            <v>1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5</v>
          </cell>
          <cell r="AD406">
            <v>6</v>
          </cell>
          <cell r="AE406" t="str">
            <v>everyone</v>
          </cell>
        </row>
        <row r="407">
          <cell r="A407" t="str">
            <v>30013_1</v>
          </cell>
          <cell r="B407">
            <v>3</v>
          </cell>
          <cell r="C407">
            <v>30013</v>
          </cell>
          <cell r="D407" t="str">
            <v>決戦・竜宮城</v>
          </cell>
          <cell r="E407" t="str">
            <v>ドロップイベント4（マルチ専用）</v>
          </cell>
          <cell r="F407">
            <v>1</v>
          </cell>
          <cell r="G407" t="str">
            <v>ja</v>
          </cell>
          <cell r="H407" t="str">
            <v>【超級】決戦・竜宮城</v>
          </cell>
          <cell r="I407" t="str">
            <v>超級</v>
          </cell>
          <cell r="J407">
            <v>418</v>
          </cell>
          <cell r="K407">
            <v>30</v>
          </cell>
          <cell r="L407">
            <v>3300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none</v>
          </cell>
          <cell r="T407">
            <v>0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17</v>
          </cell>
          <cell r="AD407">
            <v>6</v>
          </cell>
          <cell r="AE407" t="str">
            <v>everyone</v>
          </cell>
        </row>
        <row r="408">
          <cell r="A408" t="str">
            <v>30013_2</v>
          </cell>
          <cell r="B408">
            <v>3</v>
          </cell>
          <cell r="C408">
            <v>30013</v>
          </cell>
          <cell r="D408" t="str">
            <v>決戦・竜宮城</v>
          </cell>
          <cell r="E408" t="str">
            <v>ドロップイベント4（マルチ専用）</v>
          </cell>
          <cell r="F408">
            <v>2</v>
          </cell>
          <cell r="G408" t="str">
            <v>ja</v>
          </cell>
          <cell r="H408" t="str">
            <v>【超絶級】決戦・竜宮城</v>
          </cell>
          <cell r="I408" t="str">
            <v>超絶級</v>
          </cell>
          <cell r="J408">
            <v>419</v>
          </cell>
          <cell r="K408">
            <v>35</v>
          </cell>
          <cell r="L408">
            <v>4200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polygon</v>
          </cell>
          <cell r="T408">
            <v>1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17</v>
          </cell>
          <cell r="AD408">
            <v>6</v>
          </cell>
          <cell r="AE408" t="str">
            <v>everyone</v>
          </cell>
        </row>
        <row r="409">
          <cell r="A409" t="str">
            <v>30014_1</v>
          </cell>
          <cell r="B409">
            <v>3</v>
          </cell>
          <cell r="C409">
            <v>30014</v>
          </cell>
          <cell r="D409" t="str">
            <v>親指を突き立てろ！</v>
          </cell>
          <cell r="E409" t="str">
            <v>ドロップイベント4（マルチ専用）</v>
          </cell>
          <cell r="F409">
            <v>1</v>
          </cell>
          <cell r="G409" t="str">
            <v>ja</v>
          </cell>
          <cell r="H409" t="str">
            <v>【超級】親指を突き立てろ！</v>
          </cell>
          <cell r="I409" t="str">
            <v>超級</v>
          </cell>
          <cell r="J409">
            <v>420</v>
          </cell>
          <cell r="K409">
            <v>30</v>
          </cell>
          <cell r="L409">
            <v>3300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23</v>
          </cell>
          <cell r="AD409">
            <v>5</v>
          </cell>
          <cell r="AE409" t="str">
            <v>everyone</v>
          </cell>
        </row>
        <row r="410">
          <cell r="A410" t="str">
            <v>30014_2</v>
          </cell>
          <cell r="B410">
            <v>3</v>
          </cell>
          <cell r="C410">
            <v>30014</v>
          </cell>
          <cell r="D410" t="str">
            <v>親指を突き立てろ！</v>
          </cell>
          <cell r="E410" t="str">
            <v>ドロップイベント4（マルチ専用）</v>
          </cell>
          <cell r="F410">
            <v>2</v>
          </cell>
          <cell r="G410" t="str">
            <v>ja</v>
          </cell>
          <cell r="H410" t="str">
            <v>【超絶級】親指を突き立てろ！</v>
          </cell>
          <cell r="I410" t="str">
            <v>超絶級</v>
          </cell>
          <cell r="J410">
            <v>421</v>
          </cell>
          <cell r="K410">
            <v>35</v>
          </cell>
          <cell r="L410">
            <v>4200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polygon</v>
          </cell>
          <cell r="T410">
            <v>1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23</v>
          </cell>
          <cell r="AD410">
            <v>5</v>
          </cell>
          <cell r="AE410" t="str">
            <v>everyone</v>
          </cell>
        </row>
        <row r="411">
          <cell r="A411" t="str">
            <v>30015_1</v>
          </cell>
          <cell r="B411">
            <v>3</v>
          </cell>
          <cell r="C411">
            <v>30015</v>
          </cell>
          <cell r="D411" t="str">
            <v>兄妹の大冒険</v>
          </cell>
          <cell r="E411" t="str">
            <v>ドロップイベント4（マルチ専用）</v>
          </cell>
          <cell r="F411">
            <v>1</v>
          </cell>
          <cell r="G411" t="str">
            <v>ja</v>
          </cell>
          <cell r="H411" t="str">
            <v>【超級】兄妹の大冒険</v>
          </cell>
          <cell r="I411" t="str">
            <v>超級</v>
          </cell>
          <cell r="J411">
            <v>422</v>
          </cell>
          <cell r="K411">
            <v>30</v>
          </cell>
          <cell r="L411">
            <v>3300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none</v>
          </cell>
          <cell r="T411">
            <v>0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16</v>
          </cell>
          <cell r="AD411">
            <v>6</v>
          </cell>
          <cell r="AE411" t="str">
            <v>everyone</v>
          </cell>
        </row>
        <row r="412">
          <cell r="A412" t="str">
            <v>30015_2</v>
          </cell>
          <cell r="B412">
            <v>3</v>
          </cell>
          <cell r="C412">
            <v>30015</v>
          </cell>
          <cell r="D412" t="str">
            <v>兄妹の大冒険</v>
          </cell>
          <cell r="E412" t="str">
            <v>ドロップイベント4（マルチ専用）</v>
          </cell>
          <cell r="F412">
            <v>2</v>
          </cell>
          <cell r="G412" t="str">
            <v>ja</v>
          </cell>
          <cell r="H412" t="str">
            <v>【超絶級】兄妹の大冒険</v>
          </cell>
          <cell r="I412" t="str">
            <v>超絶級</v>
          </cell>
          <cell r="J412">
            <v>423</v>
          </cell>
          <cell r="K412">
            <v>35</v>
          </cell>
          <cell r="L412">
            <v>4200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polygon</v>
          </cell>
          <cell r="T412">
            <v>1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16</v>
          </cell>
          <cell r="AD412">
            <v>6</v>
          </cell>
          <cell r="AE412" t="str">
            <v>everyone</v>
          </cell>
        </row>
        <row r="413">
          <cell r="A413" t="str">
            <v>30016_1</v>
          </cell>
          <cell r="B413">
            <v>3</v>
          </cell>
          <cell r="C413">
            <v>30016</v>
          </cell>
          <cell r="D413" t="str">
            <v>私がワニの天敵よ？</v>
          </cell>
          <cell r="E413" t="str">
            <v>ドロップイベント4（マルチ専用）</v>
          </cell>
          <cell r="F413">
            <v>1</v>
          </cell>
          <cell r="G413" t="str">
            <v>ja</v>
          </cell>
          <cell r="H413" t="str">
            <v>【超級】私がワニの天敵よ？</v>
          </cell>
          <cell r="I413" t="str">
            <v>超級</v>
          </cell>
          <cell r="J413">
            <v>424</v>
          </cell>
          <cell r="K413">
            <v>30</v>
          </cell>
          <cell r="L413">
            <v>3300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4</v>
          </cell>
          <cell r="AD413">
            <v>6</v>
          </cell>
          <cell r="AE413" t="str">
            <v>everyone</v>
          </cell>
        </row>
        <row r="414">
          <cell r="A414" t="str">
            <v>30016_2</v>
          </cell>
          <cell r="B414">
            <v>3</v>
          </cell>
          <cell r="C414">
            <v>30016</v>
          </cell>
          <cell r="D414" t="str">
            <v>私がワニの天敵よ？</v>
          </cell>
          <cell r="E414" t="str">
            <v>ドロップイベント4（マルチ専用）</v>
          </cell>
          <cell r="F414">
            <v>2</v>
          </cell>
          <cell r="G414" t="str">
            <v>ja</v>
          </cell>
          <cell r="H414" t="str">
            <v>【超絶級】私がワニの天敵よ？</v>
          </cell>
          <cell r="I414" t="str">
            <v>超絶級</v>
          </cell>
          <cell r="J414">
            <v>425</v>
          </cell>
          <cell r="K414">
            <v>35</v>
          </cell>
          <cell r="L414">
            <v>4200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polygon</v>
          </cell>
          <cell r="T414">
            <v>1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4</v>
          </cell>
          <cell r="AD414">
            <v>6</v>
          </cell>
          <cell r="AE414" t="str">
            <v>everyone</v>
          </cell>
        </row>
        <row r="415">
          <cell r="A415" t="str">
            <v>30017_1</v>
          </cell>
          <cell r="B415">
            <v>3</v>
          </cell>
          <cell r="C415">
            <v>30017</v>
          </cell>
          <cell r="D415" t="str">
            <v>狩人の挽歌</v>
          </cell>
          <cell r="E415" t="str">
            <v>ドロップイベント5（マルチ専用）</v>
          </cell>
          <cell r="F415">
            <v>1</v>
          </cell>
          <cell r="G415" t="str">
            <v>ja</v>
          </cell>
          <cell r="H415" t="str">
            <v>【超級】狩人の挽歌</v>
          </cell>
          <cell r="I415" t="str">
            <v>超級</v>
          </cell>
          <cell r="J415">
            <v>452</v>
          </cell>
          <cell r="K415">
            <v>30</v>
          </cell>
          <cell r="L415">
            <v>3300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20</v>
          </cell>
          <cell r="AD415">
            <v>6</v>
          </cell>
          <cell r="AE415" t="str">
            <v>multionly</v>
          </cell>
        </row>
        <row r="416">
          <cell r="A416" t="str">
            <v>30017_2</v>
          </cell>
          <cell r="B416">
            <v>3</v>
          </cell>
          <cell r="C416">
            <v>30017</v>
          </cell>
          <cell r="D416" t="str">
            <v>狩人の挽歌</v>
          </cell>
          <cell r="E416" t="str">
            <v>ドロップイベント5（マルチ専用）</v>
          </cell>
          <cell r="F416">
            <v>2</v>
          </cell>
          <cell r="G416" t="str">
            <v>ja</v>
          </cell>
          <cell r="H416" t="str">
            <v>【超絶級】狩人の挽歌</v>
          </cell>
          <cell r="I416" t="str">
            <v>超絶級</v>
          </cell>
          <cell r="J416">
            <v>453</v>
          </cell>
          <cell r="K416">
            <v>35</v>
          </cell>
          <cell r="L416">
            <v>4200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polygon</v>
          </cell>
          <cell r="T416">
            <v>1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20</v>
          </cell>
          <cell r="AD416">
            <v>6</v>
          </cell>
          <cell r="AE416" t="str">
            <v>multionly</v>
          </cell>
        </row>
        <row r="417">
          <cell r="A417" t="str">
            <v>30018_1</v>
          </cell>
          <cell r="B417">
            <v>3</v>
          </cell>
          <cell r="C417">
            <v>30018</v>
          </cell>
          <cell r="D417" t="str">
            <v>バックストリートファイト</v>
          </cell>
          <cell r="E417" t="str">
            <v>ドロップイベント5（マルチ専用）</v>
          </cell>
          <cell r="F417">
            <v>1</v>
          </cell>
          <cell r="G417" t="str">
            <v>ja</v>
          </cell>
          <cell r="H417" t="str">
            <v>【超級】バックストリートファイト</v>
          </cell>
          <cell r="I417" t="str">
            <v>超級</v>
          </cell>
          <cell r="J417">
            <v>454</v>
          </cell>
          <cell r="K417">
            <v>30</v>
          </cell>
          <cell r="L417">
            <v>3300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0</v>
          </cell>
          <cell r="R417">
            <v>3</v>
          </cell>
          <cell r="S417" t="str">
            <v>none</v>
          </cell>
          <cell r="T417">
            <v>0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14</v>
          </cell>
          <cell r="AD417">
            <v>6</v>
          </cell>
          <cell r="AE417" t="str">
            <v>everyone</v>
          </cell>
        </row>
        <row r="418">
          <cell r="A418" t="str">
            <v>30018_2</v>
          </cell>
          <cell r="B418">
            <v>3</v>
          </cell>
          <cell r="C418">
            <v>30018</v>
          </cell>
          <cell r="D418" t="str">
            <v>バックストリートファイト</v>
          </cell>
          <cell r="E418" t="str">
            <v>ドロップイベント5（マルチ専用）</v>
          </cell>
          <cell r="F418">
            <v>2</v>
          </cell>
          <cell r="G418" t="str">
            <v>ja</v>
          </cell>
          <cell r="H418" t="str">
            <v>【超絶級】バックストリートファイト</v>
          </cell>
          <cell r="I418" t="str">
            <v>超絶級</v>
          </cell>
          <cell r="J418">
            <v>455</v>
          </cell>
          <cell r="K418">
            <v>35</v>
          </cell>
          <cell r="L418">
            <v>4200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0</v>
          </cell>
          <cell r="R418">
            <v>3</v>
          </cell>
          <cell r="S418" t="str">
            <v>polygon</v>
          </cell>
          <cell r="T418">
            <v>1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14</v>
          </cell>
          <cell r="AD418">
            <v>6</v>
          </cell>
          <cell r="AE418" t="str">
            <v>everyone</v>
          </cell>
        </row>
        <row r="419">
          <cell r="A419" t="str">
            <v>30019_1</v>
          </cell>
          <cell r="B419">
            <v>3</v>
          </cell>
          <cell r="C419">
            <v>30019</v>
          </cell>
          <cell r="D419" t="str">
            <v>狙撃は終わらない</v>
          </cell>
          <cell r="E419" t="str">
            <v>ドロップイベント5（マルチ専用）</v>
          </cell>
          <cell r="F419">
            <v>1</v>
          </cell>
          <cell r="G419" t="str">
            <v>ja</v>
          </cell>
          <cell r="H419" t="str">
            <v>【超級】狙撃は終わらない</v>
          </cell>
          <cell r="I419" t="str">
            <v>超級</v>
          </cell>
          <cell r="J419">
            <v>456</v>
          </cell>
          <cell r="K419">
            <v>30</v>
          </cell>
          <cell r="L419">
            <v>3300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24</v>
          </cell>
          <cell r="AD419">
            <v>6</v>
          </cell>
          <cell r="AE419" t="str">
            <v>multionly</v>
          </cell>
        </row>
        <row r="420">
          <cell r="A420" t="str">
            <v>30019_2</v>
          </cell>
          <cell r="B420">
            <v>3</v>
          </cell>
          <cell r="C420">
            <v>30019</v>
          </cell>
          <cell r="D420" t="str">
            <v>狙撃は終わらない</v>
          </cell>
          <cell r="E420" t="str">
            <v>ドロップイベント5（マルチ専用）</v>
          </cell>
          <cell r="F420">
            <v>2</v>
          </cell>
          <cell r="G420" t="str">
            <v>ja</v>
          </cell>
          <cell r="H420" t="str">
            <v>【超絶級】狙撃は終わらない</v>
          </cell>
          <cell r="I420" t="str">
            <v>超絶級</v>
          </cell>
          <cell r="J420">
            <v>457</v>
          </cell>
          <cell r="K420">
            <v>35</v>
          </cell>
          <cell r="L420">
            <v>4200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polygon</v>
          </cell>
          <cell r="T420">
            <v>1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24</v>
          </cell>
          <cell r="AD420">
            <v>6</v>
          </cell>
          <cell r="AE420" t="str">
            <v>multionly</v>
          </cell>
        </row>
        <row r="421">
          <cell r="A421" t="str">
            <v>30020_1</v>
          </cell>
          <cell r="B421">
            <v>3</v>
          </cell>
          <cell r="C421">
            <v>30020</v>
          </cell>
          <cell r="D421" t="str">
            <v>若造よ、身の程を知れ</v>
          </cell>
          <cell r="E421" t="str">
            <v>ドロップイベント5（マルチ専用）</v>
          </cell>
          <cell r="F421">
            <v>1</v>
          </cell>
          <cell r="G421" t="str">
            <v>ja</v>
          </cell>
          <cell r="H421" t="str">
            <v>【超級】若造よ、身の程を知れ</v>
          </cell>
          <cell r="I421" t="str">
            <v>超級</v>
          </cell>
          <cell r="J421">
            <v>458</v>
          </cell>
          <cell r="K421">
            <v>30</v>
          </cell>
          <cell r="L421">
            <v>3300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13</v>
          </cell>
          <cell r="AD421">
            <v>6</v>
          </cell>
          <cell r="AE421" t="str">
            <v>everyone</v>
          </cell>
        </row>
        <row r="422">
          <cell r="A422" t="str">
            <v>30020_2</v>
          </cell>
          <cell r="B422">
            <v>3</v>
          </cell>
          <cell r="C422">
            <v>30020</v>
          </cell>
          <cell r="D422" t="str">
            <v>若造よ、身の程を知れ</v>
          </cell>
          <cell r="E422" t="str">
            <v>ドロップイベント5（マルチ専用）</v>
          </cell>
          <cell r="F422">
            <v>2</v>
          </cell>
          <cell r="G422" t="str">
            <v>ja</v>
          </cell>
          <cell r="H422" t="str">
            <v>【超絶級】若造よ、身の程を知れ</v>
          </cell>
          <cell r="I422" t="str">
            <v>超絶級</v>
          </cell>
          <cell r="J422">
            <v>459</v>
          </cell>
          <cell r="K422">
            <v>35</v>
          </cell>
          <cell r="L422">
            <v>4200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3</v>
          </cell>
          <cell r="S422" t="str">
            <v>polygon</v>
          </cell>
          <cell r="T422">
            <v>1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13</v>
          </cell>
          <cell r="AD422">
            <v>6</v>
          </cell>
          <cell r="AE422" t="str">
            <v>everyone</v>
          </cell>
        </row>
        <row r="423">
          <cell r="A423" t="str">
            <v>30021_1</v>
          </cell>
          <cell r="B423">
            <v>3</v>
          </cell>
          <cell r="C423">
            <v>30021</v>
          </cell>
          <cell r="D423" t="str">
            <v>野獣死すべしっ！</v>
          </cell>
          <cell r="E423" t="str">
            <v>ドロップイベント6（マルチ専用）</v>
          </cell>
          <cell r="F423">
            <v>1</v>
          </cell>
          <cell r="G423" t="str">
            <v>ja</v>
          </cell>
          <cell r="H423" t="str">
            <v>【中級】野獣死すべしっ！</v>
          </cell>
          <cell r="I423" t="str">
            <v>中級</v>
          </cell>
          <cell r="J423">
            <v>502</v>
          </cell>
          <cell r="K423">
            <v>15</v>
          </cell>
          <cell r="L423">
            <v>1200</v>
          </cell>
          <cell r="M423">
            <v>1</v>
          </cell>
          <cell r="N423">
            <v>1</v>
          </cell>
          <cell r="O423">
            <v>0</v>
          </cell>
          <cell r="P423">
            <v>1</v>
          </cell>
          <cell r="Q423">
            <v>1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14</v>
          </cell>
          <cell r="AD423">
            <v>6</v>
          </cell>
          <cell r="AE423" t="str">
            <v>everyone</v>
          </cell>
        </row>
        <row r="424">
          <cell r="A424" t="str">
            <v>30021_2</v>
          </cell>
          <cell r="B424">
            <v>3</v>
          </cell>
          <cell r="C424">
            <v>30021</v>
          </cell>
          <cell r="D424" t="str">
            <v>野獣死すべしっ！</v>
          </cell>
          <cell r="E424" t="str">
            <v>ドロップイベント6（マルチ専用）</v>
          </cell>
          <cell r="F424">
            <v>2</v>
          </cell>
          <cell r="G424" t="str">
            <v>ja</v>
          </cell>
          <cell r="H424" t="str">
            <v>【上級】野獣死すべしっ！</v>
          </cell>
          <cell r="I424" t="str">
            <v>上級</v>
          </cell>
          <cell r="J424">
            <v>502</v>
          </cell>
          <cell r="K424">
            <v>20</v>
          </cell>
          <cell r="L424">
            <v>2000</v>
          </cell>
          <cell r="M424">
            <v>1</v>
          </cell>
          <cell r="N424">
            <v>1</v>
          </cell>
          <cell r="O424">
            <v>0</v>
          </cell>
          <cell r="P424">
            <v>1</v>
          </cell>
          <cell r="Q424">
            <v>1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14</v>
          </cell>
          <cell r="AD424">
            <v>6</v>
          </cell>
          <cell r="AE424" t="str">
            <v>everyone</v>
          </cell>
        </row>
        <row r="425">
          <cell r="A425" t="str">
            <v>30021_3</v>
          </cell>
          <cell r="B425">
            <v>3</v>
          </cell>
          <cell r="C425">
            <v>30021</v>
          </cell>
          <cell r="D425" t="str">
            <v>野獣死すべしっ！</v>
          </cell>
          <cell r="E425" t="str">
            <v>ドロップイベント6（マルチ専用）</v>
          </cell>
          <cell r="F425">
            <v>3</v>
          </cell>
          <cell r="G425" t="str">
            <v>ja</v>
          </cell>
          <cell r="H425" t="str">
            <v>【超級】野獣死すべしっ！</v>
          </cell>
          <cell r="I425" t="str">
            <v>超級</v>
          </cell>
          <cell r="J425">
            <v>503</v>
          </cell>
          <cell r="K425">
            <v>30</v>
          </cell>
          <cell r="L425">
            <v>3300</v>
          </cell>
          <cell r="M425">
            <v>1</v>
          </cell>
          <cell r="N425">
            <v>1</v>
          </cell>
          <cell r="O425">
            <v>0</v>
          </cell>
          <cell r="P425">
            <v>1</v>
          </cell>
          <cell r="Q425">
            <v>1</v>
          </cell>
          <cell r="R425">
            <v>3</v>
          </cell>
          <cell r="S425" t="str">
            <v>polygon</v>
          </cell>
          <cell r="T425">
            <v>1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14</v>
          </cell>
          <cell r="AD425">
            <v>6</v>
          </cell>
          <cell r="AE425" t="str">
            <v>everyone</v>
          </cell>
        </row>
        <row r="426">
          <cell r="A426" t="str">
            <v>30022_1</v>
          </cell>
          <cell r="B426">
            <v>3</v>
          </cell>
          <cell r="C426">
            <v>30022</v>
          </cell>
          <cell r="D426" t="str">
            <v>凶鼠ネコを咬む</v>
          </cell>
          <cell r="E426" t="str">
            <v>ドロップイベント6（マルチ専用）</v>
          </cell>
          <cell r="F426">
            <v>1</v>
          </cell>
          <cell r="G426" t="str">
            <v>ja</v>
          </cell>
          <cell r="H426" t="str">
            <v>【超級】凶鼠ネコを咬む</v>
          </cell>
          <cell r="I426" t="str">
            <v>超級</v>
          </cell>
          <cell r="J426">
            <v>504</v>
          </cell>
          <cell r="K426">
            <v>30</v>
          </cell>
          <cell r="L426">
            <v>3300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6</v>
          </cell>
          <cell r="AD426">
            <v>6</v>
          </cell>
          <cell r="AE426" t="str">
            <v>everyone</v>
          </cell>
        </row>
        <row r="427">
          <cell r="A427" t="str">
            <v>30022_2</v>
          </cell>
          <cell r="B427">
            <v>3</v>
          </cell>
          <cell r="C427">
            <v>30022</v>
          </cell>
          <cell r="D427" t="str">
            <v>凶鼠ネコを咬む</v>
          </cell>
          <cell r="E427" t="str">
            <v>ドロップイベント6（マルチ専用）</v>
          </cell>
          <cell r="F427">
            <v>2</v>
          </cell>
          <cell r="G427" t="str">
            <v>ja</v>
          </cell>
          <cell r="H427" t="str">
            <v>【超絶級】凶鼠ネコを咬む</v>
          </cell>
          <cell r="I427" t="str">
            <v>超絶級</v>
          </cell>
          <cell r="J427">
            <v>505</v>
          </cell>
          <cell r="K427">
            <v>35</v>
          </cell>
          <cell r="L427">
            <v>4200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polygon</v>
          </cell>
          <cell r="T427">
            <v>1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6</v>
          </cell>
          <cell r="AD427">
            <v>6</v>
          </cell>
          <cell r="AE427" t="str">
            <v>everyone</v>
          </cell>
        </row>
        <row r="428">
          <cell r="A428" t="str">
            <v>30023_1</v>
          </cell>
          <cell r="B428">
            <v>3</v>
          </cell>
          <cell r="C428">
            <v>30023</v>
          </cell>
          <cell r="D428" t="str">
            <v>隔離からのエスケイプ</v>
          </cell>
          <cell r="E428" t="str">
            <v>ドロップイベント6（マルチ専用）</v>
          </cell>
          <cell r="F428">
            <v>1</v>
          </cell>
          <cell r="G428" t="str">
            <v>ja</v>
          </cell>
          <cell r="H428" t="str">
            <v>【中級】隔離からのエスケイプ</v>
          </cell>
          <cell r="I428" t="str">
            <v>中級</v>
          </cell>
          <cell r="J428">
            <v>506</v>
          </cell>
          <cell r="K428">
            <v>15</v>
          </cell>
          <cell r="L428">
            <v>1200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25</v>
          </cell>
          <cell r="AD428">
            <v>6</v>
          </cell>
          <cell r="AE428" t="str">
            <v>everyone</v>
          </cell>
        </row>
        <row r="429">
          <cell r="A429" t="str">
            <v>30023_2</v>
          </cell>
          <cell r="B429">
            <v>3</v>
          </cell>
          <cell r="C429">
            <v>30023</v>
          </cell>
          <cell r="D429" t="str">
            <v>隔離からのエスケイプ</v>
          </cell>
          <cell r="E429" t="str">
            <v>ドロップイベント6（マルチ専用）</v>
          </cell>
          <cell r="F429">
            <v>2</v>
          </cell>
          <cell r="G429" t="str">
            <v>ja</v>
          </cell>
          <cell r="H429" t="str">
            <v>【上級】隔離からのエスケイプ</v>
          </cell>
          <cell r="I429" t="str">
            <v>上級</v>
          </cell>
          <cell r="J429">
            <v>506</v>
          </cell>
          <cell r="K429">
            <v>20</v>
          </cell>
          <cell r="L429">
            <v>2000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25</v>
          </cell>
          <cell r="AD429">
            <v>6</v>
          </cell>
          <cell r="AE429" t="str">
            <v>everyone</v>
          </cell>
        </row>
        <row r="430">
          <cell r="A430" t="str">
            <v>30023_3</v>
          </cell>
          <cell r="B430">
            <v>3</v>
          </cell>
          <cell r="C430">
            <v>30023</v>
          </cell>
          <cell r="D430" t="str">
            <v>隔離からのエスケイプ</v>
          </cell>
          <cell r="E430" t="str">
            <v>ドロップイベント6（マルチ専用）</v>
          </cell>
          <cell r="F430">
            <v>3</v>
          </cell>
          <cell r="G430" t="str">
            <v>ja</v>
          </cell>
          <cell r="H430" t="str">
            <v>【超級】隔離からのエスケイプ</v>
          </cell>
          <cell r="I430" t="str">
            <v>超級</v>
          </cell>
          <cell r="J430">
            <v>507</v>
          </cell>
          <cell r="K430">
            <v>30</v>
          </cell>
          <cell r="L430">
            <v>3300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polygon</v>
          </cell>
          <cell r="T430">
            <v>1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25</v>
          </cell>
          <cell r="AD430">
            <v>6</v>
          </cell>
          <cell r="AE430" t="str">
            <v>everyone</v>
          </cell>
        </row>
        <row r="431">
          <cell r="A431" t="str">
            <v>30024_1</v>
          </cell>
          <cell r="B431">
            <v>3</v>
          </cell>
          <cell r="C431">
            <v>30024</v>
          </cell>
          <cell r="D431" t="str">
            <v>雷鎚の選定</v>
          </cell>
          <cell r="E431" t="str">
            <v>ドロップイベント7（マルチ専用）</v>
          </cell>
          <cell r="F431">
            <v>1</v>
          </cell>
          <cell r="G431" t="str">
            <v>ja</v>
          </cell>
          <cell r="H431" t="str">
            <v>【中級】雷鎚の選定</v>
          </cell>
          <cell r="I431" t="str">
            <v>中級</v>
          </cell>
          <cell r="J431">
            <v>583</v>
          </cell>
          <cell r="K431">
            <v>15</v>
          </cell>
          <cell r="L431">
            <v>1200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20</v>
          </cell>
          <cell r="AD431">
            <v>6</v>
          </cell>
          <cell r="AE431" t="str">
            <v>multionly</v>
          </cell>
        </row>
        <row r="432">
          <cell r="A432" t="str">
            <v>30024_2</v>
          </cell>
          <cell r="B432">
            <v>3</v>
          </cell>
          <cell r="C432">
            <v>30024</v>
          </cell>
          <cell r="D432" t="str">
            <v>雷鎚の選定</v>
          </cell>
          <cell r="E432" t="str">
            <v>ドロップイベント7（マルチ専用）</v>
          </cell>
          <cell r="F432">
            <v>2</v>
          </cell>
          <cell r="G432" t="str">
            <v>ja</v>
          </cell>
          <cell r="H432" t="str">
            <v>【上級】雷鎚の選定</v>
          </cell>
          <cell r="I432" t="str">
            <v>上級</v>
          </cell>
          <cell r="J432">
            <v>583</v>
          </cell>
          <cell r="K432">
            <v>20</v>
          </cell>
          <cell r="L432">
            <v>2000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20</v>
          </cell>
          <cell r="AD432">
            <v>6</v>
          </cell>
          <cell r="AE432" t="str">
            <v>multionly</v>
          </cell>
        </row>
        <row r="433">
          <cell r="A433" t="str">
            <v>30024_3</v>
          </cell>
          <cell r="B433">
            <v>3</v>
          </cell>
          <cell r="C433">
            <v>30024</v>
          </cell>
          <cell r="D433" t="str">
            <v>雷鎚の選定</v>
          </cell>
          <cell r="E433" t="str">
            <v>ドロップイベント7（マルチ専用）</v>
          </cell>
          <cell r="F433">
            <v>3</v>
          </cell>
          <cell r="G433" t="str">
            <v>ja</v>
          </cell>
          <cell r="H433" t="str">
            <v>【超級】雷鎚の選定</v>
          </cell>
          <cell r="I433" t="str">
            <v>超級</v>
          </cell>
          <cell r="J433">
            <v>584</v>
          </cell>
          <cell r="K433">
            <v>30</v>
          </cell>
          <cell r="L433">
            <v>3300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polygon</v>
          </cell>
          <cell r="T433">
            <v>1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20</v>
          </cell>
          <cell r="AD433">
            <v>6</v>
          </cell>
          <cell r="AE433" t="str">
            <v>multionly</v>
          </cell>
        </row>
        <row r="434">
          <cell r="A434" t="str">
            <v>30025_1</v>
          </cell>
          <cell r="B434">
            <v>3</v>
          </cell>
          <cell r="C434">
            <v>30025</v>
          </cell>
          <cell r="D434" t="str">
            <v>真実の探求者</v>
          </cell>
          <cell r="E434" t="str">
            <v>ドロップイベント7（マルチ専用）</v>
          </cell>
          <cell r="F434">
            <v>1</v>
          </cell>
          <cell r="G434" t="str">
            <v>ja</v>
          </cell>
          <cell r="H434" t="str">
            <v>【中級】真実の探求者</v>
          </cell>
          <cell r="I434" t="str">
            <v>中級</v>
          </cell>
          <cell r="J434">
            <v>579</v>
          </cell>
          <cell r="K434">
            <v>15</v>
          </cell>
          <cell r="L434">
            <v>1200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7</v>
          </cell>
          <cell r="AD434">
            <v>6</v>
          </cell>
          <cell r="AE434" t="str">
            <v>everyone</v>
          </cell>
        </row>
        <row r="435">
          <cell r="A435" t="str">
            <v>30025_2</v>
          </cell>
          <cell r="B435">
            <v>3</v>
          </cell>
          <cell r="C435">
            <v>30025</v>
          </cell>
          <cell r="D435" t="str">
            <v>真実の探求者</v>
          </cell>
          <cell r="E435" t="str">
            <v>ドロップイベント7（マルチ専用）</v>
          </cell>
          <cell r="F435">
            <v>2</v>
          </cell>
          <cell r="G435" t="str">
            <v>ja</v>
          </cell>
          <cell r="H435" t="str">
            <v>【上級】真実の探求者</v>
          </cell>
          <cell r="I435" t="str">
            <v>上級</v>
          </cell>
          <cell r="J435">
            <v>579</v>
          </cell>
          <cell r="K435">
            <v>20</v>
          </cell>
          <cell r="L435">
            <v>2000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everyone</v>
          </cell>
        </row>
        <row r="436">
          <cell r="A436" t="str">
            <v>30025_3</v>
          </cell>
          <cell r="B436">
            <v>3</v>
          </cell>
          <cell r="C436">
            <v>30025</v>
          </cell>
          <cell r="D436" t="str">
            <v>真実の探求者</v>
          </cell>
          <cell r="E436" t="str">
            <v>ドロップイベント7（マルチ専用）</v>
          </cell>
          <cell r="F436">
            <v>3</v>
          </cell>
          <cell r="G436" t="str">
            <v>ja</v>
          </cell>
          <cell r="H436" t="str">
            <v>【超級】真実の探求者</v>
          </cell>
          <cell r="I436" t="str">
            <v>超級</v>
          </cell>
          <cell r="J436">
            <v>580</v>
          </cell>
          <cell r="K436">
            <v>30</v>
          </cell>
          <cell r="L436">
            <v>3300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polygon</v>
          </cell>
          <cell r="T436">
            <v>1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7</v>
          </cell>
          <cell r="AD436">
            <v>6</v>
          </cell>
          <cell r="AE436" t="str">
            <v>everyone</v>
          </cell>
        </row>
        <row r="437">
          <cell r="A437" t="str">
            <v>30026_1</v>
          </cell>
          <cell r="B437">
            <v>3</v>
          </cell>
          <cell r="C437">
            <v>30026</v>
          </cell>
          <cell r="D437" t="str">
            <v>道を阻む妖精夫婦</v>
          </cell>
          <cell r="E437" t="str">
            <v>ドロップイベント7（マルチ専用）</v>
          </cell>
          <cell r="F437">
            <v>1</v>
          </cell>
          <cell r="G437" t="str">
            <v>ja</v>
          </cell>
          <cell r="H437" t="str">
            <v>【中級】道を阻む妖精夫婦</v>
          </cell>
          <cell r="I437" t="str">
            <v>中級</v>
          </cell>
          <cell r="J437">
            <v>577</v>
          </cell>
          <cell r="K437">
            <v>15</v>
          </cell>
          <cell r="L437">
            <v>1200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21</v>
          </cell>
          <cell r="AD437">
            <v>6</v>
          </cell>
          <cell r="AE437" t="str">
            <v>everyone</v>
          </cell>
        </row>
        <row r="438">
          <cell r="A438" t="str">
            <v>30026_2</v>
          </cell>
          <cell r="B438">
            <v>3</v>
          </cell>
          <cell r="C438">
            <v>30026</v>
          </cell>
          <cell r="D438" t="str">
            <v>道を阻む妖精夫婦</v>
          </cell>
          <cell r="E438" t="str">
            <v>ドロップイベント7（マルチ専用）</v>
          </cell>
          <cell r="F438">
            <v>2</v>
          </cell>
          <cell r="G438" t="str">
            <v>ja</v>
          </cell>
          <cell r="H438" t="str">
            <v>【上級】道を阻む妖精夫婦</v>
          </cell>
          <cell r="I438" t="str">
            <v>上級</v>
          </cell>
          <cell r="J438">
            <v>577</v>
          </cell>
          <cell r="K438">
            <v>20</v>
          </cell>
          <cell r="L438">
            <v>2000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21</v>
          </cell>
          <cell r="AD438">
            <v>6</v>
          </cell>
          <cell r="AE438" t="str">
            <v>everyone</v>
          </cell>
        </row>
        <row r="439">
          <cell r="A439" t="str">
            <v>30026_3</v>
          </cell>
          <cell r="B439">
            <v>3</v>
          </cell>
          <cell r="C439">
            <v>30026</v>
          </cell>
          <cell r="D439" t="str">
            <v>道を阻む妖精夫婦</v>
          </cell>
          <cell r="E439" t="str">
            <v>ドロップイベント7（マルチ専用）</v>
          </cell>
          <cell r="F439">
            <v>3</v>
          </cell>
          <cell r="G439" t="str">
            <v>ja</v>
          </cell>
          <cell r="H439" t="str">
            <v>【超級】道を阻む妖精夫婦</v>
          </cell>
          <cell r="I439" t="str">
            <v>超級</v>
          </cell>
          <cell r="J439">
            <v>578</v>
          </cell>
          <cell r="K439">
            <v>30</v>
          </cell>
          <cell r="L439">
            <v>3300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polygon</v>
          </cell>
          <cell r="T439">
            <v>1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21</v>
          </cell>
          <cell r="AD439">
            <v>6</v>
          </cell>
          <cell r="AE439" t="str">
            <v>everyone</v>
          </cell>
        </row>
        <row r="440">
          <cell r="A440" t="str">
            <v>30027_1</v>
          </cell>
          <cell r="B440">
            <v>3</v>
          </cell>
          <cell r="C440">
            <v>30027</v>
          </cell>
          <cell r="D440" t="str">
            <v>凍りつくまで愛してあげる</v>
          </cell>
          <cell r="E440" t="str">
            <v>ドロップイベント7（マルチ専用）</v>
          </cell>
          <cell r="F440">
            <v>1</v>
          </cell>
          <cell r="G440" t="str">
            <v>ja</v>
          </cell>
          <cell r="H440" t="str">
            <v>【中級】凍りつくまで愛してあげる</v>
          </cell>
          <cell r="I440" t="str">
            <v>中級</v>
          </cell>
          <cell r="J440">
            <v>646</v>
          </cell>
          <cell r="K440">
            <v>15</v>
          </cell>
          <cell r="L440">
            <v>1200</v>
          </cell>
          <cell r="M440">
            <v>0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9</v>
          </cell>
          <cell r="AD440">
            <v>6</v>
          </cell>
          <cell r="AE440" t="str">
            <v>everyone</v>
          </cell>
        </row>
        <row r="441">
          <cell r="A441" t="str">
            <v>30027_2</v>
          </cell>
          <cell r="B441">
            <v>3</v>
          </cell>
          <cell r="C441">
            <v>30027</v>
          </cell>
          <cell r="D441" t="str">
            <v>凍りつくまで愛してあげる</v>
          </cell>
          <cell r="E441" t="str">
            <v>ドロップイベント7（マルチ専用）</v>
          </cell>
          <cell r="F441">
            <v>2</v>
          </cell>
          <cell r="G441" t="str">
            <v>ja</v>
          </cell>
          <cell r="H441" t="str">
            <v>【上級】凍りつくまで愛してあげる</v>
          </cell>
          <cell r="I441" t="str">
            <v>上級</v>
          </cell>
          <cell r="J441">
            <v>646</v>
          </cell>
          <cell r="K441">
            <v>20</v>
          </cell>
          <cell r="L441">
            <v>2000</v>
          </cell>
          <cell r="M441">
            <v>0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9</v>
          </cell>
          <cell r="AD441">
            <v>6</v>
          </cell>
          <cell r="AE441" t="str">
            <v>everyone</v>
          </cell>
        </row>
        <row r="442">
          <cell r="A442" t="str">
            <v>30027_3</v>
          </cell>
          <cell r="B442">
            <v>3</v>
          </cell>
          <cell r="C442">
            <v>30027</v>
          </cell>
          <cell r="D442" t="str">
            <v>凍りつくまで愛してあげる</v>
          </cell>
          <cell r="E442" t="str">
            <v>ドロップイベント7（マルチ専用）</v>
          </cell>
          <cell r="F442">
            <v>3</v>
          </cell>
          <cell r="G442" t="str">
            <v>ja</v>
          </cell>
          <cell r="H442" t="str">
            <v>【超級】凍りつくまで愛してあげる</v>
          </cell>
          <cell r="I442" t="str">
            <v>超級</v>
          </cell>
          <cell r="J442">
            <v>647</v>
          </cell>
          <cell r="K442">
            <v>30</v>
          </cell>
          <cell r="L442">
            <v>3300</v>
          </cell>
          <cell r="M442">
            <v>0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polygon</v>
          </cell>
          <cell r="T442">
            <v>1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9</v>
          </cell>
          <cell r="AD442">
            <v>6</v>
          </cell>
          <cell r="AE442" t="str">
            <v>everyone</v>
          </cell>
        </row>
        <row r="443">
          <cell r="A443" t="str">
            <v>30028_1</v>
          </cell>
          <cell r="B443">
            <v>3</v>
          </cell>
          <cell r="C443">
            <v>30028</v>
          </cell>
          <cell r="D443" t="str">
            <v>最悪の刺客</v>
          </cell>
          <cell r="E443" t="str">
            <v>ドロップイベント8（マルチ専用）</v>
          </cell>
          <cell r="F443">
            <v>1</v>
          </cell>
          <cell r="G443" t="str">
            <v>ja</v>
          </cell>
          <cell r="H443" t="str">
            <v>【中級】最悪の刺客</v>
          </cell>
          <cell r="I443" t="str">
            <v>中級</v>
          </cell>
          <cell r="J443">
            <v>650</v>
          </cell>
          <cell r="K443">
            <v>15</v>
          </cell>
          <cell r="L443">
            <v>1200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2601</v>
          </cell>
          <cell r="AD443">
            <v>6</v>
          </cell>
          <cell r="AE443" t="str">
            <v>everyone</v>
          </cell>
        </row>
        <row r="444">
          <cell r="A444" t="str">
            <v>30028_2</v>
          </cell>
          <cell r="B444">
            <v>3</v>
          </cell>
          <cell r="C444">
            <v>30028</v>
          </cell>
          <cell r="D444" t="str">
            <v>最悪の刺客</v>
          </cell>
          <cell r="E444" t="str">
            <v>ドロップイベント8（マルチ専用）</v>
          </cell>
          <cell r="F444">
            <v>2</v>
          </cell>
          <cell r="G444" t="str">
            <v>ja</v>
          </cell>
          <cell r="H444" t="str">
            <v>【上級】最悪の刺客</v>
          </cell>
          <cell r="I444" t="str">
            <v>上級</v>
          </cell>
          <cell r="J444">
            <v>650</v>
          </cell>
          <cell r="K444">
            <v>20</v>
          </cell>
          <cell r="L444">
            <v>2000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2601</v>
          </cell>
          <cell r="AD444">
            <v>6</v>
          </cell>
          <cell r="AE444" t="str">
            <v>everyone</v>
          </cell>
        </row>
        <row r="445">
          <cell r="A445" t="str">
            <v>30028_3</v>
          </cell>
          <cell r="B445">
            <v>3</v>
          </cell>
          <cell r="C445">
            <v>30028</v>
          </cell>
          <cell r="D445" t="str">
            <v>最悪の刺客</v>
          </cell>
          <cell r="E445" t="str">
            <v>ドロップイベント8（マルチ専用）</v>
          </cell>
          <cell r="F445">
            <v>3</v>
          </cell>
          <cell r="G445" t="str">
            <v>ja</v>
          </cell>
          <cell r="H445" t="str">
            <v>【超級】最悪の刺客</v>
          </cell>
          <cell r="I445" t="str">
            <v>超級</v>
          </cell>
          <cell r="J445">
            <v>651</v>
          </cell>
          <cell r="K445">
            <v>30</v>
          </cell>
          <cell r="L445">
            <v>3300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polygon</v>
          </cell>
          <cell r="T445">
            <v>1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2601</v>
          </cell>
          <cell r="AD445">
            <v>6</v>
          </cell>
          <cell r="AE445" t="str">
            <v>everyone</v>
          </cell>
        </row>
        <row r="446">
          <cell r="A446" t="str">
            <v>30029_1</v>
          </cell>
          <cell r="B446">
            <v>3</v>
          </cell>
          <cell r="C446">
            <v>30029</v>
          </cell>
          <cell r="D446" t="str">
            <v>全ては主のために</v>
          </cell>
          <cell r="E446" t="str">
            <v>ドロップイベント8（マルチ専用）</v>
          </cell>
          <cell r="F446">
            <v>1</v>
          </cell>
          <cell r="G446" t="str">
            <v>ja</v>
          </cell>
          <cell r="H446" t="str">
            <v>【中級】全ては主のために</v>
          </cell>
          <cell r="I446" t="str">
            <v>中級</v>
          </cell>
          <cell r="J446">
            <v>648</v>
          </cell>
          <cell r="K446">
            <v>15</v>
          </cell>
          <cell r="L446">
            <v>1200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5</v>
          </cell>
          <cell r="AD446">
            <v>6</v>
          </cell>
          <cell r="AE446" t="str">
            <v>everyone</v>
          </cell>
        </row>
        <row r="447">
          <cell r="A447" t="str">
            <v>30029_2</v>
          </cell>
          <cell r="B447">
            <v>3</v>
          </cell>
          <cell r="C447">
            <v>30029</v>
          </cell>
          <cell r="D447" t="str">
            <v>全ては主のために</v>
          </cell>
          <cell r="E447" t="str">
            <v>ドロップイベント8（マルチ専用）</v>
          </cell>
          <cell r="F447">
            <v>2</v>
          </cell>
          <cell r="G447" t="str">
            <v>ja</v>
          </cell>
          <cell r="H447" t="str">
            <v>【上級】全ては主のために</v>
          </cell>
          <cell r="I447" t="str">
            <v>上級</v>
          </cell>
          <cell r="J447">
            <v>648</v>
          </cell>
          <cell r="K447">
            <v>20</v>
          </cell>
          <cell r="L447">
            <v>2000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5</v>
          </cell>
          <cell r="AD447">
            <v>6</v>
          </cell>
          <cell r="AE447" t="str">
            <v>everyone</v>
          </cell>
        </row>
        <row r="448">
          <cell r="A448" t="str">
            <v>30029_3</v>
          </cell>
          <cell r="B448">
            <v>3</v>
          </cell>
          <cell r="C448">
            <v>30029</v>
          </cell>
          <cell r="D448" t="str">
            <v>全ては主のために</v>
          </cell>
          <cell r="E448" t="str">
            <v>ドロップイベント8（マルチ専用）</v>
          </cell>
          <cell r="F448">
            <v>3</v>
          </cell>
          <cell r="G448" t="str">
            <v>ja</v>
          </cell>
          <cell r="H448" t="str">
            <v>【超級】全ては主のために</v>
          </cell>
          <cell r="I448" t="str">
            <v>超級</v>
          </cell>
          <cell r="J448">
            <v>648</v>
          </cell>
          <cell r="K448">
            <v>30</v>
          </cell>
          <cell r="L448">
            <v>3300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polygon</v>
          </cell>
          <cell r="T448">
            <v>1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5</v>
          </cell>
          <cell r="AD448">
            <v>6</v>
          </cell>
          <cell r="AE448" t="str">
            <v>everyone</v>
          </cell>
        </row>
        <row r="449">
          <cell r="A449" t="str">
            <v>30030_1</v>
          </cell>
          <cell r="B449">
            <v>3</v>
          </cell>
          <cell r="C449">
            <v>30030</v>
          </cell>
          <cell r="D449" t="str">
            <v>ここは誰の箱庭じゃ？</v>
          </cell>
          <cell r="E449" t="str">
            <v>ドロップイベント9（マルチ専用）</v>
          </cell>
          <cell r="F449">
            <v>1</v>
          </cell>
          <cell r="G449" t="str">
            <v>ja</v>
          </cell>
          <cell r="H449" t="str">
            <v>【中級】ここは誰の箱庭じゃ？</v>
          </cell>
          <cell r="I449" t="str">
            <v>中級</v>
          </cell>
          <cell r="J449">
            <v>652</v>
          </cell>
          <cell r="K449">
            <v>15</v>
          </cell>
          <cell r="L449">
            <v>1200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8</v>
          </cell>
          <cell r="AD449">
            <v>6</v>
          </cell>
          <cell r="AE449" t="str">
            <v>everyone</v>
          </cell>
        </row>
        <row r="450">
          <cell r="A450" t="str">
            <v>30030_2</v>
          </cell>
          <cell r="B450">
            <v>3</v>
          </cell>
          <cell r="C450">
            <v>30030</v>
          </cell>
          <cell r="D450" t="str">
            <v>ここは誰の箱庭じゃ？</v>
          </cell>
          <cell r="E450" t="str">
            <v>ドロップイベント9（マルチ専用）</v>
          </cell>
          <cell r="F450">
            <v>2</v>
          </cell>
          <cell r="G450" t="str">
            <v>ja</v>
          </cell>
          <cell r="H450" t="str">
            <v>【上級】ここは誰の箱庭じゃ？</v>
          </cell>
          <cell r="I450" t="str">
            <v>上級</v>
          </cell>
          <cell r="J450">
            <v>653</v>
          </cell>
          <cell r="K450">
            <v>20</v>
          </cell>
          <cell r="L450">
            <v>2000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8</v>
          </cell>
          <cell r="AD450">
            <v>6</v>
          </cell>
          <cell r="AE450" t="str">
            <v>everyone</v>
          </cell>
        </row>
        <row r="451">
          <cell r="A451" t="str">
            <v>30030_3</v>
          </cell>
          <cell r="B451">
            <v>3</v>
          </cell>
          <cell r="C451">
            <v>30030</v>
          </cell>
          <cell r="D451" t="str">
            <v>ここは誰の箱庭じゃ？</v>
          </cell>
          <cell r="E451" t="str">
            <v>ドロップイベント9（マルチ専用）</v>
          </cell>
          <cell r="F451">
            <v>3</v>
          </cell>
          <cell r="G451" t="str">
            <v>ja</v>
          </cell>
          <cell r="H451" t="str">
            <v>【超級】ここは誰の箱庭じゃ？</v>
          </cell>
          <cell r="I451" t="str">
            <v>超級</v>
          </cell>
          <cell r="J451">
            <v>653</v>
          </cell>
          <cell r="K451">
            <v>30</v>
          </cell>
          <cell r="L451">
            <v>3300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polygon</v>
          </cell>
          <cell r="T451">
            <v>1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8</v>
          </cell>
          <cell r="AD451">
            <v>6</v>
          </cell>
          <cell r="AE451" t="str">
            <v>everyone</v>
          </cell>
        </row>
        <row r="452">
          <cell r="A452" t="str">
            <v>30031_1</v>
          </cell>
          <cell r="B452">
            <v>3</v>
          </cell>
          <cell r="C452">
            <v>30031</v>
          </cell>
          <cell r="D452" t="str">
            <v>力への羨望</v>
          </cell>
          <cell r="E452" t="str">
            <v>ドロップイベント10（マルチ専用）</v>
          </cell>
          <cell r="F452">
            <v>1</v>
          </cell>
          <cell r="G452" t="str">
            <v>ja</v>
          </cell>
          <cell r="H452" t="str">
            <v>【中級】力への羨望</v>
          </cell>
          <cell r="I452" t="str">
            <v>中級</v>
          </cell>
          <cell r="J452">
            <v>764</v>
          </cell>
          <cell r="K452">
            <v>15</v>
          </cell>
          <cell r="L452">
            <v>1200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20</v>
          </cell>
          <cell r="AD452">
            <v>6</v>
          </cell>
          <cell r="AE452" t="str">
            <v>everyone</v>
          </cell>
        </row>
        <row r="453">
          <cell r="A453" t="str">
            <v>30031_2</v>
          </cell>
          <cell r="B453">
            <v>3</v>
          </cell>
          <cell r="C453">
            <v>30031</v>
          </cell>
          <cell r="D453" t="str">
            <v>力への羨望</v>
          </cell>
          <cell r="E453" t="str">
            <v>ドロップイベント10（マルチ専用）</v>
          </cell>
          <cell r="F453">
            <v>2</v>
          </cell>
          <cell r="G453" t="str">
            <v>ja</v>
          </cell>
          <cell r="H453" t="str">
            <v>【上級】力への羨望</v>
          </cell>
          <cell r="I453" t="str">
            <v>上級</v>
          </cell>
          <cell r="J453">
            <v>764</v>
          </cell>
          <cell r="K453">
            <v>20</v>
          </cell>
          <cell r="L453">
            <v>2000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20</v>
          </cell>
          <cell r="AD453">
            <v>6</v>
          </cell>
          <cell r="AE453" t="str">
            <v>everyone</v>
          </cell>
        </row>
        <row r="454">
          <cell r="A454" t="str">
            <v>30031_3</v>
          </cell>
          <cell r="B454">
            <v>3</v>
          </cell>
          <cell r="C454">
            <v>30031</v>
          </cell>
          <cell r="D454" t="str">
            <v>力への羨望</v>
          </cell>
          <cell r="E454" t="str">
            <v>ドロップイベント10（マルチ専用）</v>
          </cell>
          <cell r="F454">
            <v>3</v>
          </cell>
          <cell r="G454" t="str">
            <v>ja</v>
          </cell>
          <cell r="H454" t="str">
            <v>【超級】力への羨望</v>
          </cell>
          <cell r="I454" t="str">
            <v>超級</v>
          </cell>
          <cell r="J454">
            <v>765</v>
          </cell>
          <cell r="K454">
            <v>30</v>
          </cell>
          <cell r="L454">
            <v>3300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polygon</v>
          </cell>
          <cell r="T454">
            <v>1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20</v>
          </cell>
          <cell r="AD454">
            <v>6</v>
          </cell>
          <cell r="AE454" t="str">
            <v>everyone</v>
          </cell>
        </row>
        <row r="455">
          <cell r="A455" t="str">
            <v>30032_1</v>
          </cell>
          <cell r="B455">
            <v>3</v>
          </cell>
          <cell r="C455">
            <v>30032</v>
          </cell>
          <cell r="D455" t="str">
            <v>赤き竜の制裁</v>
          </cell>
          <cell r="E455" t="str">
            <v>円卓2（マルチ専用）</v>
          </cell>
          <cell r="F455">
            <v>1</v>
          </cell>
          <cell r="G455" t="str">
            <v>ja</v>
          </cell>
          <cell r="H455" t="str">
            <v>【中級】赤き竜の制裁</v>
          </cell>
          <cell r="I455" t="str">
            <v>中級</v>
          </cell>
          <cell r="J455">
            <v>767</v>
          </cell>
          <cell r="K455">
            <v>15</v>
          </cell>
          <cell r="L455">
            <v>1200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14</v>
          </cell>
          <cell r="AD455">
            <v>6</v>
          </cell>
          <cell r="AE455" t="str">
            <v>everyone</v>
          </cell>
        </row>
        <row r="456">
          <cell r="A456" t="str">
            <v>30032_2</v>
          </cell>
          <cell r="B456">
            <v>3</v>
          </cell>
          <cell r="C456">
            <v>30032</v>
          </cell>
          <cell r="D456" t="str">
            <v>赤き竜の制裁</v>
          </cell>
          <cell r="E456" t="str">
            <v>円卓2（マルチ専用）</v>
          </cell>
          <cell r="F456">
            <v>2</v>
          </cell>
          <cell r="G456" t="str">
            <v>ja</v>
          </cell>
          <cell r="H456" t="str">
            <v>【上級】赤き竜の制裁</v>
          </cell>
          <cell r="I456" t="str">
            <v>上級</v>
          </cell>
          <cell r="J456">
            <v>767</v>
          </cell>
          <cell r="K456">
            <v>20</v>
          </cell>
          <cell r="L456">
            <v>2000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14</v>
          </cell>
          <cell r="AD456">
            <v>6</v>
          </cell>
          <cell r="AE456" t="str">
            <v>everyone</v>
          </cell>
        </row>
        <row r="457">
          <cell r="A457" t="str">
            <v>30032_3</v>
          </cell>
          <cell r="B457">
            <v>3</v>
          </cell>
          <cell r="C457">
            <v>30032</v>
          </cell>
          <cell r="D457" t="str">
            <v>赤き竜の制裁</v>
          </cell>
          <cell r="E457" t="str">
            <v>円卓2（マルチ専用）</v>
          </cell>
          <cell r="F457">
            <v>3</v>
          </cell>
          <cell r="G457" t="str">
            <v>ja</v>
          </cell>
          <cell r="H457" t="str">
            <v>【超級】赤き竜の制裁</v>
          </cell>
          <cell r="I457" t="str">
            <v>超級</v>
          </cell>
          <cell r="J457">
            <v>767</v>
          </cell>
          <cell r="K457">
            <v>30</v>
          </cell>
          <cell r="L457">
            <v>3300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polygon</v>
          </cell>
          <cell r="T457">
            <v>1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14</v>
          </cell>
          <cell r="AD457">
            <v>6</v>
          </cell>
          <cell r="AE457" t="str">
            <v>everyone</v>
          </cell>
        </row>
        <row r="458">
          <cell r="A458" t="str">
            <v>30033_1</v>
          </cell>
          <cell r="B458">
            <v>1</v>
          </cell>
          <cell r="C458">
            <v>30033</v>
          </cell>
          <cell r="D458" t="str">
            <v>蘭丸</v>
          </cell>
          <cell r="E458" t="str">
            <v>戦国１</v>
          </cell>
          <cell r="F458">
            <v>1</v>
          </cell>
          <cell r="G458" t="str">
            <v>ja</v>
          </cell>
          <cell r="H458" t="str">
            <v>【中級】蘭丸</v>
          </cell>
          <cell r="I458" t="str">
            <v>中級</v>
          </cell>
          <cell r="J458">
            <v>1</v>
          </cell>
          <cell r="K458">
            <v>30</v>
          </cell>
          <cell r="L458">
            <v>3300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14</v>
          </cell>
          <cell r="AD458">
            <v>6</v>
          </cell>
          <cell r="AE458" t="str">
            <v>everyone</v>
          </cell>
        </row>
        <row r="459">
          <cell r="A459" t="str">
            <v>30033_2</v>
          </cell>
          <cell r="B459">
            <v>1</v>
          </cell>
          <cell r="C459">
            <v>30033</v>
          </cell>
          <cell r="D459" t="str">
            <v>蘭丸</v>
          </cell>
          <cell r="E459" t="str">
            <v>戦国１</v>
          </cell>
          <cell r="F459">
            <v>2</v>
          </cell>
          <cell r="G459" t="str">
            <v>ja</v>
          </cell>
          <cell r="H459" t="str">
            <v>【上級】蘭丸</v>
          </cell>
          <cell r="I459" t="str">
            <v>上級</v>
          </cell>
          <cell r="J459">
            <v>1</v>
          </cell>
          <cell r="K459">
            <v>30</v>
          </cell>
          <cell r="L459">
            <v>3300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14</v>
          </cell>
          <cell r="AD459">
            <v>6</v>
          </cell>
          <cell r="AE459" t="str">
            <v>everyone</v>
          </cell>
        </row>
        <row r="460">
          <cell r="A460" t="str">
            <v>30033_3</v>
          </cell>
          <cell r="B460">
            <v>1</v>
          </cell>
          <cell r="C460">
            <v>30033</v>
          </cell>
          <cell r="D460" t="str">
            <v>蘭丸</v>
          </cell>
          <cell r="E460" t="str">
            <v>戦国１</v>
          </cell>
          <cell r="F460">
            <v>3</v>
          </cell>
          <cell r="G460" t="str">
            <v>ja</v>
          </cell>
          <cell r="H460" t="str">
            <v>【超級】蘭丸</v>
          </cell>
          <cell r="I460" t="str">
            <v>超級</v>
          </cell>
          <cell r="J460">
            <v>1</v>
          </cell>
          <cell r="K460">
            <v>30</v>
          </cell>
          <cell r="L460">
            <v>3300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14</v>
          </cell>
          <cell r="AD460">
            <v>6</v>
          </cell>
          <cell r="AE460" t="str">
            <v>everyone</v>
          </cell>
        </row>
        <row r="461">
          <cell r="A461" t="str">
            <v>39001_1</v>
          </cell>
          <cell r="B461">
            <v>3</v>
          </cell>
          <cell r="C461">
            <v>39001</v>
          </cell>
          <cell r="D461" t="str">
            <v>雪の歌姫</v>
          </cell>
          <cell r="E461" t="str">
            <v>コラボクエスト</v>
          </cell>
          <cell r="F461">
            <v>1</v>
          </cell>
          <cell r="G461" t="str">
            <v>ja</v>
          </cell>
          <cell r="H461" t="str">
            <v>【初級】雪の歌姫</v>
          </cell>
          <cell r="I461" t="str">
            <v>初級</v>
          </cell>
          <cell r="J461">
            <v>525</v>
          </cell>
          <cell r="K461">
            <v>8</v>
          </cell>
          <cell r="L461">
            <v>384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909</v>
          </cell>
          <cell r="AD461">
            <v>6</v>
          </cell>
          <cell r="AE461" t="str">
            <v>everyone</v>
          </cell>
        </row>
        <row r="462">
          <cell r="A462" t="str">
            <v>39001_2</v>
          </cell>
          <cell r="B462">
            <v>3</v>
          </cell>
          <cell r="C462">
            <v>39001</v>
          </cell>
          <cell r="D462" t="str">
            <v>雪の歌姫</v>
          </cell>
          <cell r="E462" t="str">
            <v>コラボクエスト</v>
          </cell>
          <cell r="F462">
            <v>2</v>
          </cell>
          <cell r="G462" t="str">
            <v>ja</v>
          </cell>
          <cell r="H462" t="str">
            <v>【中級】雪の歌姫</v>
          </cell>
          <cell r="I462" t="str">
            <v>中級</v>
          </cell>
          <cell r="J462">
            <v>525</v>
          </cell>
          <cell r="K462">
            <v>15</v>
          </cell>
          <cell r="L462">
            <v>1200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909</v>
          </cell>
          <cell r="AD462">
            <v>6</v>
          </cell>
          <cell r="AE462" t="str">
            <v>everyone</v>
          </cell>
        </row>
        <row r="463">
          <cell r="A463" t="str">
            <v>39001_3</v>
          </cell>
          <cell r="B463">
            <v>3</v>
          </cell>
          <cell r="C463">
            <v>39001</v>
          </cell>
          <cell r="D463" t="str">
            <v>雪の歌姫</v>
          </cell>
          <cell r="E463" t="str">
            <v>コラボクエスト</v>
          </cell>
          <cell r="F463">
            <v>3</v>
          </cell>
          <cell r="G463" t="str">
            <v>ja</v>
          </cell>
          <cell r="H463" t="str">
            <v>【上級】雪の歌姫</v>
          </cell>
          <cell r="I463" t="str">
            <v>上級</v>
          </cell>
          <cell r="J463">
            <v>525</v>
          </cell>
          <cell r="K463">
            <v>20</v>
          </cell>
          <cell r="L463">
            <v>2000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909</v>
          </cell>
          <cell r="AD463">
            <v>6</v>
          </cell>
          <cell r="AE463" t="str">
            <v>everyone</v>
          </cell>
        </row>
        <row r="464">
          <cell r="A464" t="str">
            <v>39001_4</v>
          </cell>
          <cell r="B464">
            <v>3</v>
          </cell>
          <cell r="C464">
            <v>39001</v>
          </cell>
          <cell r="D464" t="str">
            <v>雪の歌姫</v>
          </cell>
          <cell r="E464" t="str">
            <v>コラボクエスト</v>
          </cell>
          <cell r="F464">
            <v>4</v>
          </cell>
          <cell r="G464" t="str">
            <v>ja</v>
          </cell>
          <cell r="H464" t="str">
            <v>【超級】雪の歌姫</v>
          </cell>
          <cell r="I464" t="str">
            <v>超級</v>
          </cell>
          <cell r="J464">
            <v>526</v>
          </cell>
          <cell r="K464">
            <v>30</v>
          </cell>
          <cell r="L464">
            <v>3300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none</v>
          </cell>
          <cell r="T464">
            <v>0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909</v>
          </cell>
          <cell r="AD464">
            <v>6</v>
          </cell>
          <cell r="AE464" t="str">
            <v>everyone</v>
          </cell>
        </row>
        <row r="465">
          <cell r="A465" t="str">
            <v>39001_5</v>
          </cell>
          <cell r="B465">
            <v>3</v>
          </cell>
          <cell r="C465">
            <v>39001</v>
          </cell>
          <cell r="D465" t="str">
            <v>雪の歌姫</v>
          </cell>
          <cell r="E465" t="str">
            <v>コラボクエスト</v>
          </cell>
          <cell r="F465">
            <v>5</v>
          </cell>
          <cell r="G465" t="str">
            <v>ja</v>
          </cell>
          <cell r="H465" t="str">
            <v>【超絶級】雪の歌姫</v>
          </cell>
          <cell r="I465" t="str">
            <v>超絶級</v>
          </cell>
          <cell r="J465">
            <v>526</v>
          </cell>
          <cell r="K465">
            <v>35</v>
          </cell>
          <cell r="L465">
            <v>4200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polygon</v>
          </cell>
          <cell r="T465">
            <v>1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909</v>
          </cell>
          <cell r="AD465">
            <v>6</v>
          </cell>
          <cell r="AE465" t="str">
            <v>everyone</v>
          </cell>
        </row>
        <row r="466">
          <cell r="A466" t="str">
            <v>39002_1</v>
          </cell>
          <cell r="B466">
            <v>1</v>
          </cell>
          <cell r="C466">
            <v>39002</v>
          </cell>
          <cell r="D466" t="str">
            <v>Y</v>
          </cell>
          <cell r="E466" t="str">
            <v>コラボクエスト</v>
          </cell>
          <cell r="F466">
            <v>1</v>
          </cell>
          <cell r="G466" t="str">
            <v>ja</v>
          </cell>
          <cell r="H466" t="str">
            <v>【初級】デ黄編</v>
          </cell>
          <cell r="I466" t="str">
            <v>初級</v>
          </cell>
          <cell r="J466">
            <v>1</v>
          </cell>
          <cell r="K466">
            <v>8</v>
          </cell>
          <cell r="L466">
            <v>384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12</v>
          </cell>
          <cell r="AD466">
            <v>6</v>
          </cell>
          <cell r="AE466" t="str">
            <v>everyone</v>
          </cell>
        </row>
        <row r="467">
          <cell r="A467" t="str">
            <v>39002_2</v>
          </cell>
          <cell r="B467">
            <v>1</v>
          </cell>
          <cell r="C467">
            <v>39002</v>
          </cell>
          <cell r="D467" t="str">
            <v>Y</v>
          </cell>
          <cell r="E467" t="str">
            <v>コラボクエスト</v>
          </cell>
          <cell r="F467">
            <v>2</v>
          </cell>
          <cell r="G467" t="str">
            <v>ja</v>
          </cell>
          <cell r="H467" t="str">
            <v>【中級】デ黄編</v>
          </cell>
          <cell r="I467" t="str">
            <v>中級</v>
          </cell>
          <cell r="J467">
            <v>1</v>
          </cell>
          <cell r="K467">
            <v>15</v>
          </cell>
          <cell r="L467">
            <v>1200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none</v>
          </cell>
          <cell r="T467">
            <v>0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12</v>
          </cell>
          <cell r="AD467">
            <v>6</v>
          </cell>
          <cell r="AE467" t="str">
            <v>everyone</v>
          </cell>
        </row>
        <row r="468">
          <cell r="A468" t="str">
            <v>39002_3</v>
          </cell>
          <cell r="B468">
            <v>1</v>
          </cell>
          <cell r="C468">
            <v>39002</v>
          </cell>
          <cell r="D468" t="str">
            <v>Y</v>
          </cell>
          <cell r="E468" t="str">
            <v>コラボクエスト</v>
          </cell>
          <cell r="F468">
            <v>3</v>
          </cell>
          <cell r="G468" t="str">
            <v>ja</v>
          </cell>
          <cell r="H468" t="str">
            <v>【上級】デ黄編</v>
          </cell>
          <cell r="I468" t="str">
            <v>上級</v>
          </cell>
          <cell r="J468">
            <v>1</v>
          </cell>
          <cell r="K468">
            <v>20</v>
          </cell>
          <cell r="L468">
            <v>2000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12</v>
          </cell>
          <cell r="AD468">
            <v>6</v>
          </cell>
          <cell r="AE468" t="str">
            <v>everyone</v>
          </cell>
        </row>
        <row r="469">
          <cell r="A469" t="str">
            <v>39002_4</v>
          </cell>
          <cell r="B469">
            <v>1</v>
          </cell>
          <cell r="C469">
            <v>39002</v>
          </cell>
          <cell r="D469" t="str">
            <v>Y</v>
          </cell>
          <cell r="E469" t="str">
            <v>コラボクエスト</v>
          </cell>
          <cell r="F469">
            <v>4</v>
          </cell>
          <cell r="G469" t="str">
            <v>ja</v>
          </cell>
          <cell r="H469" t="str">
            <v>【超級】デ黄編</v>
          </cell>
          <cell r="I469" t="str">
            <v>超級</v>
          </cell>
          <cell r="J469">
            <v>1</v>
          </cell>
          <cell r="K469">
            <v>30</v>
          </cell>
          <cell r="L469">
            <v>3300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12</v>
          </cell>
          <cell r="AD469">
            <v>6</v>
          </cell>
          <cell r="AE469" t="str">
            <v>everyone</v>
          </cell>
        </row>
        <row r="470">
          <cell r="A470" t="str">
            <v>39003_1</v>
          </cell>
          <cell r="B470">
            <v>1</v>
          </cell>
          <cell r="C470">
            <v>39003</v>
          </cell>
          <cell r="D470" t="str">
            <v>B</v>
          </cell>
          <cell r="E470" t="str">
            <v>コラボクエスト</v>
          </cell>
          <cell r="F470">
            <v>1</v>
          </cell>
          <cell r="G470" t="str">
            <v>ja</v>
          </cell>
          <cell r="H470" t="str">
            <v>【初級】デ青編</v>
          </cell>
          <cell r="I470" t="str">
            <v>初級</v>
          </cell>
          <cell r="J470">
            <v>1</v>
          </cell>
          <cell r="K470">
            <v>8</v>
          </cell>
          <cell r="L470">
            <v>384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none</v>
          </cell>
          <cell r="T470">
            <v>0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14</v>
          </cell>
          <cell r="AD470">
            <v>6</v>
          </cell>
          <cell r="AE470" t="str">
            <v>everyone</v>
          </cell>
        </row>
        <row r="471">
          <cell r="A471" t="str">
            <v>39003_2</v>
          </cell>
          <cell r="B471">
            <v>1</v>
          </cell>
          <cell r="C471">
            <v>39003</v>
          </cell>
          <cell r="D471" t="str">
            <v>B</v>
          </cell>
          <cell r="E471" t="str">
            <v>コラボクエスト</v>
          </cell>
          <cell r="F471">
            <v>2</v>
          </cell>
          <cell r="G471" t="str">
            <v>ja</v>
          </cell>
          <cell r="H471" t="str">
            <v>【中級】デ青編</v>
          </cell>
          <cell r="I471" t="str">
            <v>中級</v>
          </cell>
          <cell r="J471">
            <v>1</v>
          </cell>
          <cell r="K471">
            <v>15</v>
          </cell>
          <cell r="L471">
            <v>1200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14</v>
          </cell>
          <cell r="AD471">
            <v>6</v>
          </cell>
          <cell r="AE471" t="str">
            <v>everyone</v>
          </cell>
        </row>
        <row r="472">
          <cell r="A472" t="str">
            <v>39003_3</v>
          </cell>
          <cell r="B472">
            <v>1</v>
          </cell>
          <cell r="C472">
            <v>39003</v>
          </cell>
          <cell r="D472" t="str">
            <v>B</v>
          </cell>
          <cell r="E472" t="str">
            <v>コラボクエスト</v>
          </cell>
          <cell r="F472">
            <v>3</v>
          </cell>
          <cell r="G472" t="str">
            <v>ja</v>
          </cell>
          <cell r="H472" t="str">
            <v>【上級】デ青編</v>
          </cell>
          <cell r="I472" t="str">
            <v>上級</v>
          </cell>
          <cell r="J472">
            <v>1</v>
          </cell>
          <cell r="K472">
            <v>20</v>
          </cell>
          <cell r="L472">
            <v>2000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14</v>
          </cell>
          <cell r="AD472">
            <v>6</v>
          </cell>
          <cell r="AE472" t="str">
            <v>everyone</v>
          </cell>
        </row>
        <row r="473">
          <cell r="A473" t="str">
            <v>39003_4</v>
          </cell>
          <cell r="B473">
            <v>1</v>
          </cell>
          <cell r="C473">
            <v>39003</v>
          </cell>
          <cell r="D473" t="str">
            <v>B</v>
          </cell>
          <cell r="E473" t="str">
            <v>コラボクエスト</v>
          </cell>
          <cell r="F473">
            <v>4</v>
          </cell>
          <cell r="G473" t="str">
            <v>ja</v>
          </cell>
          <cell r="H473" t="str">
            <v>【超級】デ青編</v>
          </cell>
          <cell r="I473" t="str">
            <v>超級</v>
          </cell>
          <cell r="J473">
            <v>1</v>
          </cell>
          <cell r="K473">
            <v>30</v>
          </cell>
          <cell r="L473">
            <v>3300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none</v>
          </cell>
          <cell r="T473">
            <v>0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40001_1</v>
          </cell>
          <cell r="B474">
            <v>3</v>
          </cell>
          <cell r="C474">
            <v>40001</v>
          </cell>
          <cell r="D474" t="str">
            <v>アマテラス襲来！</v>
          </cell>
          <cell r="E474" t="str">
            <v>降臨1</v>
          </cell>
          <cell r="F474">
            <v>1</v>
          </cell>
          <cell r="G474" t="str">
            <v>ja</v>
          </cell>
          <cell r="H474" t="str">
            <v xml:space="preserve">【ウィザード級】アマテラス襲来 </v>
          </cell>
          <cell r="I474" t="str">
            <v>地獄級</v>
          </cell>
          <cell r="J474">
            <v>278</v>
          </cell>
          <cell r="K474">
            <v>35</v>
          </cell>
          <cell r="L474">
            <v>4200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3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901</v>
          </cell>
          <cell r="AD474">
            <v>6</v>
          </cell>
          <cell r="AE474" t="str">
            <v>everyone</v>
          </cell>
        </row>
        <row r="475">
          <cell r="A475" t="str">
            <v>40001_2</v>
          </cell>
          <cell r="B475">
            <v>1</v>
          </cell>
          <cell r="C475">
            <v>40001</v>
          </cell>
          <cell r="D475" t="str">
            <v>アマテラス襲来！</v>
          </cell>
          <cell r="E475" t="str">
            <v>降臨1</v>
          </cell>
          <cell r="F475">
            <v>2</v>
          </cell>
          <cell r="G475" t="str">
            <v>ja</v>
          </cell>
          <cell r="H475" t="str">
            <v>【ウィザード級】アマテラス襲来【V2】</v>
          </cell>
          <cell r="I475" t="str">
            <v>地獄級</v>
          </cell>
          <cell r="J475">
            <v>278</v>
          </cell>
          <cell r="K475">
            <v>35</v>
          </cell>
          <cell r="L475">
            <v>4200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901</v>
          </cell>
          <cell r="AD475">
            <v>6</v>
          </cell>
          <cell r="AE475" t="str">
            <v>everyone</v>
          </cell>
        </row>
        <row r="476">
          <cell r="A476" t="str">
            <v>40002_1</v>
          </cell>
          <cell r="B476">
            <v>3</v>
          </cell>
          <cell r="C476">
            <v>40002</v>
          </cell>
          <cell r="D476" t="str">
            <v>アザゼル襲来！</v>
          </cell>
          <cell r="E476" t="str">
            <v>降臨2</v>
          </cell>
          <cell r="F476">
            <v>1</v>
          </cell>
          <cell r="G476" t="str">
            <v>ja</v>
          </cell>
          <cell r="H476" t="str">
            <v xml:space="preserve">【超級】アザゼル襲来 </v>
          </cell>
          <cell r="I476" t="str">
            <v>超級</v>
          </cell>
          <cell r="J476">
            <v>296</v>
          </cell>
          <cell r="K476">
            <v>25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none</v>
          </cell>
          <cell r="T476">
            <v>0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902</v>
          </cell>
          <cell r="AD476">
            <v>6</v>
          </cell>
          <cell r="AE476" t="str">
            <v>everyone</v>
          </cell>
        </row>
        <row r="477">
          <cell r="A477" t="str">
            <v>40002_2</v>
          </cell>
          <cell r="B477">
            <v>3</v>
          </cell>
          <cell r="C477">
            <v>40002</v>
          </cell>
          <cell r="D477" t="str">
            <v>アザゼル襲来！</v>
          </cell>
          <cell r="E477" t="str">
            <v>降臨2</v>
          </cell>
          <cell r="F477">
            <v>2</v>
          </cell>
          <cell r="G477" t="str">
            <v>ja</v>
          </cell>
          <cell r="H477" t="str">
            <v>【超絶級】アザゼル襲来</v>
          </cell>
          <cell r="I477" t="str">
            <v>超絶級</v>
          </cell>
          <cell r="J477">
            <v>297</v>
          </cell>
          <cell r="K477">
            <v>30</v>
          </cell>
          <cell r="L477">
            <v>3300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902</v>
          </cell>
          <cell r="AD477">
            <v>6</v>
          </cell>
          <cell r="AE477" t="str">
            <v>everyone</v>
          </cell>
        </row>
        <row r="478">
          <cell r="A478" t="str">
            <v>40002_3</v>
          </cell>
          <cell r="B478">
            <v>3</v>
          </cell>
          <cell r="C478">
            <v>40002</v>
          </cell>
          <cell r="D478" t="str">
            <v>アザゼル襲来！</v>
          </cell>
          <cell r="E478" t="str">
            <v>降臨2</v>
          </cell>
          <cell r="F478">
            <v>3</v>
          </cell>
          <cell r="G478" t="str">
            <v>ja</v>
          </cell>
          <cell r="H478" t="str">
            <v xml:space="preserve">【ウィザード級】アザゼル襲来 </v>
          </cell>
          <cell r="I478" t="str">
            <v>地獄級</v>
          </cell>
          <cell r="J478">
            <v>297</v>
          </cell>
          <cell r="K478">
            <v>35</v>
          </cell>
          <cell r="L478">
            <v>4200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character</v>
          </cell>
          <cell r="T478">
            <v>296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902</v>
          </cell>
          <cell r="AD478">
            <v>6</v>
          </cell>
          <cell r="AE478" t="str">
            <v>everyone</v>
          </cell>
        </row>
        <row r="479">
          <cell r="A479" t="str">
            <v>40003_1</v>
          </cell>
          <cell r="B479">
            <v>3</v>
          </cell>
          <cell r="C479">
            <v>40003</v>
          </cell>
          <cell r="D479" t="str">
            <v>ジャンヌ襲来！</v>
          </cell>
          <cell r="E479" t="str">
            <v>降臨3</v>
          </cell>
          <cell r="F479">
            <v>1</v>
          </cell>
          <cell r="G479" t="str">
            <v>ja</v>
          </cell>
          <cell r="H479" t="str">
            <v xml:space="preserve">【ウィザード級】ジャンヌ襲来 </v>
          </cell>
          <cell r="I479" t="str">
            <v>地獄級</v>
          </cell>
          <cell r="J479">
            <v>315</v>
          </cell>
          <cell r="K479">
            <v>35</v>
          </cell>
          <cell r="L479">
            <v>4200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character</v>
          </cell>
          <cell r="T479">
            <v>314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903</v>
          </cell>
          <cell r="AD479">
            <v>6</v>
          </cell>
          <cell r="AE479" t="str">
            <v>everyone</v>
          </cell>
        </row>
        <row r="480">
          <cell r="A480" t="str">
            <v>40004_1</v>
          </cell>
          <cell r="B480">
            <v>3</v>
          </cell>
          <cell r="C480">
            <v>40004</v>
          </cell>
          <cell r="D480" t="str">
            <v>宮本武蔵襲来！</v>
          </cell>
          <cell r="E480" t="str">
            <v>降臨4</v>
          </cell>
          <cell r="F480">
            <v>1</v>
          </cell>
          <cell r="G480" t="str">
            <v>ja</v>
          </cell>
          <cell r="H480" t="str">
            <v xml:space="preserve">【ウィザード級】宮本武蔵襲来 </v>
          </cell>
          <cell r="I480" t="str">
            <v>地獄級</v>
          </cell>
          <cell r="J480">
            <v>427</v>
          </cell>
          <cell r="K480">
            <v>35</v>
          </cell>
          <cell r="L480">
            <v>4200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character</v>
          </cell>
          <cell r="T480">
            <v>426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904</v>
          </cell>
          <cell r="AD480">
            <v>6</v>
          </cell>
          <cell r="AE480" t="str">
            <v>everyone</v>
          </cell>
        </row>
        <row r="481">
          <cell r="A481" t="str">
            <v>40005_1</v>
          </cell>
          <cell r="B481">
            <v>3</v>
          </cell>
          <cell r="C481">
            <v>40005</v>
          </cell>
          <cell r="D481" t="str">
            <v>オズ襲来！</v>
          </cell>
          <cell r="E481" t="str">
            <v>降臨5</v>
          </cell>
          <cell r="F481">
            <v>1</v>
          </cell>
          <cell r="G481" t="str">
            <v>ja</v>
          </cell>
          <cell r="H481" t="str">
            <v xml:space="preserve">【ウィザード級】オズ襲来 </v>
          </cell>
          <cell r="I481" t="str">
            <v>地獄級</v>
          </cell>
          <cell r="J481">
            <v>461</v>
          </cell>
          <cell r="K481">
            <v>35</v>
          </cell>
          <cell r="L481">
            <v>4200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character</v>
          </cell>
          <cell r="T481">
            <v>460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906</v>
          </cell>
          <cell r="AD481">
            <v>6</v>
          </cell>
          <cell r="AE481" t="str">
            <v>everyone</v>
          </cell>
        </row>
        <row r="482">
          <cell r="A482" t="str">
            <v>40006_1</v>
          </cell>
          <cell r="B482">
            <v>3</v>
          </cell>
          <cell r="C482">
            <v>40006</v>
          </cell>
          <cell r="D482" t="str">
            <v>アーサー襲来！</v>
          </cell>
          <cell r="E482" t="str">
            <v>降臨6</v>
          </cell>
          <cell r="F482">
            <v>1</v>
          </cell>
          <cell r="G482" t="str">
            <v>ja</v>
          </cell>
          <cell r="H482" t="str">
            <v xml:space="preserve">【ウィザード級】アーサー襲来 </v>
          </cell>
          <cell r="I482" t="str">
            <v>地獄級</v>
          </cell>
          <cell r="J482">
            <v>473</v>
          </cell>
          <cell r="K482">
            <v>35</v>
          </cell>
          <cell r="L482">
            <v>4200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character</v>
          </cell>
          <cell r="T482">
            <v>472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907</v>
          </cell>
          <cell r="AD482">
            <v>6</v>
          </cell>
          <cell r="AE482" t="str">
            <v>everyone</v>
          </cell>
        </row>
        <row r="483">
          <cell r="A483" t="str">
            <v>40007_1</v>
          </cell>
          <cell r="B483">
            <v>3</v>
          </cell>
          <cell r="C483">
            <v>40007</v>
          </cell>
          <cell r="D483" t="str">
            <v>グリム襲来！</v>
          </cell>
          <cell r="E483" t="str">
            <v>降臨7</v>
          </cell>
          <cell r="F483">
            <v>1</v>
          </cell>
          <cell r="G483" t="str">
            <v>ja</v>
          </cell>
          <cell r="H483" t="str">
            <v xml:space="preserve">【ウィザード級】グリム襲来 </v>
          </cell>
          <cell r="I483" t="str">
            <v>地獄級</v>
          </cell>
          <cell r="J483">
            <v>491</v>
          </cell>
          <cell r="K483">
            <v>35</v>
          </cell>
          <cell r="L483">
            <v>4200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character</v>
          </cell>
          <cell r="T483">
            <v>490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908</v>
          </cell>
          <cell r="AD483">
            <v>6</v>
          </cell>
          <cell r="AE483" t="str">
            <v>everyone</v>
          </cell>
        </row>
        <row r="484">
          <cell r="A484" t="str">
            <v>40008_1</v>
          </cell>
          <cell r="B484">
            <v>3</v>
          </cell>
          <cell r="C484">
            <v>40008</v>
          </cell>
          <cell r="D484" t="str">
            <v>Gスター襲来！</v>
          </cell>
          <cell r="E484" t="str">
            <v>降臨8</v>
          </cell>
          <cell r="F484">
            <v>1</v>
          </cell>
          <cell r="G484" t="str">
            <v>ja</v>
          </cell>
          <cell r="H484" t="str">
            <v xml:space="preserve">【ウィザード級】Gスター襲来 </v>
          </cell>
          <cell r="I484" t="str">
            <v>地獄級</v>
          </cell>
          <cell r="J484">
            <v>509</v>
          </cell>
          <cell r="K484">
            <v>35</v>
          </cell>
          <cell r="L484">
            <v>4200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character</v>
          </cell>
          <cell r="T484">
            <v>508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2601</v>
          </cell>
          <cell r="AD484">
            <v>6</v>
          </cell>
          <cell r="AE484" t="str">
            <v>everyone</v>
          </cell>
        </row>
        <row r="485">
          <cell r="A485" t="str">
            <v>40009_1</v>
          </cell>
          <cell r="B485">
            <v>3</v>
          </cell>
          <cell r="C485">
            <v>40009</v>
          </cell>
          <cell r="D485" t="str">
            <v>フギンとムニン襲来！</v>
          </cell>
          <cell r="E485" t="str">
            <v>降臨9</v>
          </cell>
          <cell r="F485">
            <v>1</v>
          </cell>
          <cell r="G485" t="str">
            <v>ja</v>
          </cell>
          <cell r="H485" t="str">
            <v xml:space="preserve">【ウィザード級】フギンとムニン襲来 </v>
          </cell>
          <cell r="I485" t="str">
            <v>地獄級</v>
          </cell>
          <cell r="J485">
            <v>582</v>
          </cell>
          <cell r="K485">
            <v>35</v>
          </cell>
          <cell r="L485">
            <v>4200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character</v>
          </cell>
          <cell r="T485">
            <v>581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25</v>
          </cell>
          <cell r="AD485">
            <v>6</v>
          </cell>
          <cell r="AE485" t="str">
            <v>everyone</v>
          </cell>
        </row>
        <row r="486">
          <cell r="A486" t="str">
            <v>40010_1</v>
          </cell>
          <cell r="B486">
            <v>3</v>
          </cell>
          <cell r="C486">
            <v>40010</v>
          </cell>
          <cell r="D486" t="str">
            <v>フレイ襲来！</v>
          </cell>
          <cell r="E486" t="str">
            <v>降臨10</v>
          </cell>
          <cell r="F486">
            <v>1</v>
          </cell>
          <cell r="G486" t="str">
            <v>ja</v>
          </cell>
          <cell r="H486" t="str">
            <v xml:space="preserve">【ウィザード級】フレイ襲来 </v>
          </cell>
          <cell r="I486" t="str">
            <v>地獄級</v>
          </cell>
          <cell r="J486">
            <v>575</v>
          </cell>
          <cell r="K486">
            <v>35</v>
          </cell>
          <cell r="L486">
            <v>4200</v>
          </cell>
          <cell r="M486">
            <v>1</v>
          </cell>
          <cell r="N486">
            <v>1</v>
          </cell>
          <cell r="O486">
            <v>1</v>
          </cell>
          <cell r="P486">
            <v>0</v>
          </cell>
          <cell r="Q486">
            <v>1</v>
          </cell>
          <cell r="R486">
            <v>3</v>
          </cell>
          <cell r="S486" t="str">
            <v>character</v>
          </cell>
          <cell r="T486">
            <v>575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912</v>
          </cell>
          <cell r="AD486">
            <v>6</v>
          </cell>
          <cell r="AE486" t="str">
            <v>everyone</v>
          </cell>
        </row>
        <row r="487">
          <cell r="A487" t="str">
            <v>40011_1</v>
          </cell>
          <cell r="B487">
            <v>3</v>
          </cell>
          <cell r="C487">
            <v>40011</v>
          </cell>
          <cell r="D487" t="str">
            <v>ヨミ襲来！</v>
          </cell>
          <cell r="E487" t="str">
            <v>降臨11</v>
          </cell>
          <cell r="F487">
            <v>1</v>
          </cell>
          <cell r="G487" t="str">
            <v>ja</v>
          </cell>
          <cell r="H487" t="str">
            <v xml:space="preserve">【ウィザード級】ヨミ襲来 </v>
          </cell>
          <cell r="I487" t="str">
            <v>地獄級</v>
          </cell>
          <cell r="J487">
            <v>655</v>
          </cell>
          <cell r="K487">
            <v>35</v>
          </cell>
          <cell r="L487">
            <v>4200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character</v>
          </cell>
          <cell r="T487">
            <v>654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913</v>
          </cell>
          <cell r="AD487">
            <v>6</v>
          </cell>
          <cell r="AE487" t="str">
            <v>everyone</v>
          </cell>
        </row>
        <row r="488">
          <cell r="A488" t="str">
            <v>40012_1</v>
          </cell>
          <cell r="B488">
            <v>3</v>
          </cell>
          <cell r="C488">
            <v>40012</v>
          </cell>
          <cell r="D488" t="str">
            <v>ショウキ襲来！</v>
          </cell>
          <cell r="E488" t="str">
            <v>降臨12</v>
          </cell>
          <cell r="F488">
            <v>1</v>
          </cell>
          <cell r="G488" t="str">
            <v>ja</v>
          </cell>
          <cell r="H488" t="str">
            <v xml:space="preserve">【ウィザード級】ショウキ襲来 </v>
          </cell>
          <cell r="I488" t="str">
            <v>地獄級</v>
          </cell>
          <cell r="J488">
            <v>645</v>
          </cell>
          <cell r="K488">
            <v>35</v>
          </cell>
          <cell r="L488">
            <v>4200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character</v>
          </cell>
          <cell r="T488">
            <v>644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915</v>
          </cell>
          <cell r="AD488">
            <v>6</v>
          </cell>
          <cell r="AE488" t="str">
            <v>everyone</v>
          </cell>
        </row>
        <row r="489">
          <cell r="A489" t="str">
            <v>40013_1</v>
          </cell>
          <cell r="B489">
            <v>3</v>
          </cell>
          <cell r="C489">
            <v>40013</v>
          </cell>
          <cell r="D489" t="str">
            <v>カーマ襲来！</v>
          </cell>
          <cell r="E489" t="str">
            <v>降臨13</v>
          </cell>
          <cell r="F489">
            <v>1</v>
          </cell>
          <cell r="G489" t="str">
            <v>ja</v>
          </cell>
          <cell r="H489" t="str">
            <v xml:space="preserve">【ウィザード級】カーマ襲来 </v>
          </cell>
          <cell r="I489" t="str">
            <v>地獄級</v>
          </cell>
          <cell r="J489">
            <v>643</v>
          </cell>
          <cell r="K489">
            <v>35</v>
          </cell>
          <cell r="L489">
            <v>4200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0</v>
          </cell>
          <cell r="R489">
            <v>3</v>
          </cell>
          <cell r="S489" t="str">
            <v>character</v>
          </cell>
          <cell r="T489">
            <v>642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916</v>
          </cell>
          <cell r="AD489">
            <v>6</v>
          </cell>
          <cell r="AE489" t="str">
            <v>everyone</v>
          </cell>
        </row>
        <row r="490">
          <cell r="A490" t="str">
            <v>40014_1</v>
          </cell>
          <cell r="B490">
            <v>3</v>
          </cell>
          <cell r="C490">
            <v>40014</v>
          </cell>
          <cell r="D490" t="str">
            <v>シヴァ襲来！</v>
          </cell>
          <cell r="E490" t="str">
            <v>降臨14</v>
          </cell>
          <cell r="F490">
            <v>1</v>
          </cell>
          <cell r="G490" t="str">
            <v>ja</v>
          </cell>
          <cell r="H490" t="str">
            <v xml:space="preserve">【ウィザード級】シヴァ襲来 </v>
          </cell>
          <cell r="I490" t="str">
            <v>地獄級</v>
          </cell>
          <cell r="J490">
            <v>657</v>
          </cell>
          <cell r="K490">
            <v>35</v>
          </cell>
          <cell r="L490">
            <v>4200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character</v>
          </cell>
          <cell r="T490">
            <v>656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916</v>
          </cell>
          <cell r="AD490">
            <v>6</v>
          </cell>
          <cell r="AE490" t="str">
            <v>everyone</v>
          </cell>
        </row>
        <row r="491">
          <cell r="A491" t="str">
            <v>40015_1</v>
          </cell>
          <cell r="B491">
            <v>3</v>
          </cell>
          <cell r="C491">
            <v>40015</v>
          </cell>
          <cell r="D491" t="str">
            <v>ガレス襲来！</v>
          </cell>
          <cell r="E491" t="str">
            <v>降臨15</v>
          </cell>
          <cell r="F491">
            <v>1</v>
          </cell>
          <cell r="G491" t="str">
            <v>ja</v>
          </cell>
          <cell r="H491" t="str">
            <v xml:space="preserve">【ウィザード級】ガレス襲来 </v>
          </cell>
          <cell r="I491" t="str">
            <v>地獄級</v>
          </cell>
          <cell r="J491">
            <v>769</v>
          </cell>
          <cell r="K491">
            <v>35</v>
          </cell>
          <cell r="L491">
            <v>4200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character</v>
          </cell>
          <cell r="T491">
            <v>768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907</v>
          </cell>
          <cell r="AD491">
            <v>6</v>
          </cell>
          <cell r="AE491" t="str">
            <v>everyone</v>
          </cell>
        </row>
        <row r="492">
          <cell r="A492" t="str">
            <v>40016_1</v>
          </cell>
          <cell r="B492">
            <v>1</v>
          </cell>
          <cell r="C492">
            <v>40016</v>
          </cell>
          <cell r="D492" t="str">
            <v>武田信玄襲来！</v>
          </cell>
          <cell r="E492" t="str">
            <v>降臨16</v>
          </cell>
          <cell r="F492">
            <v>1</v>
          </cell>
          <cell r="G492" t="str">
            <v>ja</v>
          </cell>
          <cell r="H492" t="str">
            <v xml:space="preserve">【ウィザード級】武田信玄襲来 </v>
          </cell>
          <cell r="I492" t="str">
            <v>地獄級</v>
          </cell>
          <cell r="J492">
            <v>1</v>
          </cell>
          <cell r="K492">
            <v>35</v>
          </cell>
          <cell r="L492">
            <v>4200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character</v>
          </cell>
          <cell r="T492">
            <v>1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</v>
          </cell>
          <cell r="AD492">
            <v>6</v>
          </cell>
          <cell r="AE492" t="str">
            <v>everyone</v>
          </cell>
        </row>
        <row r="493">
          <cell r="A493" t="str">
            <v>49001_1</v>
          </cell>
          <cell r="B493">
            <v>3</v>
          </cell>
          <cell r="C493">
            <v>49001</v>
          </cell>
          <cell r="D493" t="str">
            <v>熱唱！初音ミクV3</v>
          </cell>
          <cell r="E493" t="str">
            <v>コラボ降臨1</v>
          </cell>
          <cell r="F493">
            <v>1</v>
          </cell>
          <cell r="G493" t="str">
            <v>ja</v>
          </cell>
          <cell r="H493" t="str">
            <v>【ウィザード級】熱唱！初音ミクV3</v>
          </cell>
          <cell r="I493" t="str">
            <v>地獄級</v>
          </cell>
          <cell r="J493">
            <v>528</v>
          </cell>
          <cell r="K493">
            <v>35</v>
          </cell>
          <cell r="L493">
            <v>4200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polygon</v>
          </cell>
          <cell r="T493">
            <v>1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910</v>
          </cell>
          <cell r="AD493">
            <v>6</v>
          </cell>
          <cell r="AE493" t="str">
            <v>everyone</v>
          </cell>
        </row>
        <row r="494">
          <cell r="A494" t="str">
            <v>49002_1</v>
          </cell>
          <cell r="B494">
            <v>1</v>
          </cell>
          <cell r="C494">
            <v>49002</v>
          </cell>
          <cell r="D494" t="str">
            <v>K襲来</v>
          </cell>
          <cell r="E494" t="str">
            <v>コラボ降臨2</v>
          </cell>
          <cell r="F494">
            <v>1</v>
          </cell>
          <cell r="G494" t="str">
            <v>ja</v>
          </cell>
          <cell r="H494" t="str">
            <v>【ウィザード級】デsono</v>
          </cell>
          <cell r="I494" t="str">
            <v>地獄級</v>
          </cell>
          <cell r="J494">
            <v>1</v>
          </cell>
          <cell r="K494">
            <v>35</v>
          </cell>
          <cell r="L494">
            <v>4200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917</v>
          </cell>
          <cell r="AD494">
            <v>6</v>
          </cell>
          <cell r="AE494" t="str">
            <v>everyone</v>
          </cell>
        </row>
        <row r="495">
          <cell r="A495" t="str">
            <v>49003_1</v>
          </cell>
          <cell r="B495">
            <v>1</v>
          </cell>
          <cell r="C495">
            <v>49003</v>
          </cell>
          <cell r="D495" t="str">
            <v>H襲来</v>
          </cell>
          <cell r="E495" t="str">
            <v>コラボ降臨3</v>
          </cell>
          <cell r="F495">
            <v>1</v>
          </cell>
          <cell r="G495" t="str">
            <v>ja</v>
          </cell>
          <cell r="H495" t="str">
            <v>【ウィザード級】デiza</v>
          </cell>
          <cell r="I495" t="str">
            <v>地獄級</v>
          </cell>
          <cell r="J495">
            <v>701</v>
          </cell>
          <cell r="K495">
            <v>35</v>
          </cell>
          <cell r="L495">
            <v>4200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character</v>
          </cell>
          <cell r="T495">
            <v>700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918</v>
          </cell>
          <cell r="AD495">
            <v>6</v>
          </cell>
          <cell r="AE495" t="str">
            <v>everyone</v>
          </cell>
        </row>
        <row r="496">
          <cell r="A496" t="str">
            <v>50001_1</v>
          </cell>
          <cell r="B496">
            <v>3</v>
          </cell>
          <cell r="C496">
            <v>50001</v>
          </cell>
          <cell r="D496" t="str">
            <v>麒麟襲来！</v>
          </cell>
          <cell r="E496" t="str">
            <v>超降臨1</v>
          </cell>
          <cell r="F496">
            <v>1</v>
          </cell>
          <cell r="G496" t="str">
            <v>ja</v>
          </cell>
          <cell r="H496" t="str">
            <v xml:space="preserve">【超ウィザード級】麒麟襲来 </v>
          </cell>
          <cell r="I496" t="str">
            <v>超地獄級</v>
          </cell>
          <cell r="J496">
            <v>328</v>
          </cell>
          <cell r="K496">
            <v>40</v>
          </cell>
          <cell r="L496">
            <v>5200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character</v>
          </cell>
          <cell r="T496">
            <v>432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905</v>
          </cell>
          <cell r="AD496">
            <v>6</v>
          </cell>
          <cell r="AE496" t="str">
            <v>everyone</v>
          </cell>
        </row>
        <row r="497">
          <cell r="A497" t="str">
            <v>50002_1</v>
          </cell>
          <cell r="B497">
            <v>3</v>
          </cell>
          <cell r="C497">
            <v>50002</v>
          </cell>
          <cell r="D497" t="str">
            <v>オーディン襲来！</v>
          </cell>
          <cell r="E497" t="str">
            <v>超降臨2</v>
          </cell>
          <cell r="F497">
            <v>1</v>
          </cell>
          <cell r="G497" t="str">
            <v>ja</v>
          </cell>
          <cell r="H497" t="str">
            <v xml:space="preserve">【超ウィザード級】オーディン襲来 </v>
          </cell>
          <cell r="I497" t="str">
            <v>超地獄級</v>
          </cell>
          <cell r="J497">
            <v>451</v>
          </cell>
          <cell r="K497">
            <v>40</v>
          </cell>
          <cell r="L497">
            <v>5200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character</v>
          </cell>
          <cell r="T497">
            <v>573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911</v>
          </cell>
          <cell r="AD497">
            <v>6</v>
          </cell>
          <cell r="AE497" t="str">
            <v>everyone</v>
          </cell>
        </row>
        <row r="498">
          <cell r="A498" t="str">
            <v>50003_1</v>
          </cell>
          <cell r="B498">
            <v>1</v>
          </cell>
          <cell r="C498">
            <v>50003</v>
          </cell>
          <cell r="D498" t="str">
            <v>織田信長襲来！</v>
          </cell>
          <cell r="E498" t="str">
            <v>超降臨3</v>
          </cell>
          <cell r="F498">
            <v>1</v>
          </cell>
          <cell r="G498" t="str">
            <v>ja</v>
          </cell>
          <cell r="H498" t="str">
            <v xml:space="preserve">【超ウィザード級】織田信長襲来 </v>
          </cell>
          <cell r="I498" t="str">
            <v>超地獄級</v>
          </cell>
          <cell r="J498">
            <v>1</v>
          </cell>
          <cell r="K498">
            <v>40</v>
          </cell>
          <cell r="L498">
            <v>5200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character</v>
          </cell>
          <cell r="T498">
            <v>1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911</v>
          </cell>
          <cell r="AD498">
            <v>6</v>
          </cell>
          <cell r="AE498" t="str">
            <v>everyone</v>
          </cell>
        </row>
        <row r="499">
          <cell r="A499" t="str">
            <v>60001_1</v>
          </cell>
          <cell r="B499">
            <v>3</v>
          </cell>
          <cell r="C499">
            <v>60001</v>
          </cell>
          <cell r="D499" t="str">
            <v>ヘンペルチャレンジ</v>
          </cell>
          <cell r="E499" t="str">
            <v>ランキング1</v>
          </cell>
          <cell r="F499">
            <v>1</v>
          </cell>
          <cell r="G499" t="str">
            <v>ja</v>
          </cell>
          <cell r="H499" t="str">
            <v>[ウィザード] 第一回</v>
          </cell>
          <cell r="I499" t="str">
            <v>ランキング</v>
          </cell>
          <cell r="J499">
            <v>488</v>
          </cell>
          <cell r="K499">
            <v>5</v>
          </cell>
          <cell r="L499">
            <v>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911</v>
          </cell>
          <cell r="AD499">
            <v>6</v>
          </cell>
          <cell r="AE499" t="str">
            <v>singleonly</v>
          </cell>
        </row>
        <row r="500">
          <cell r="A500" t="str">
            <v>60002_1</v>
          </cell>
          <cell r="B500">
            <v>3</v>
          </cell>
          <cell r="C500">
            <v>60002</v>
          </cell>
          <cell r="D500" t="str">
            <v>ヘンペルチャレンジ</v>
          </cell>
          <cell r="E500" t="str">
            <v>ランキング1</v>
          </cell>
          <cell r="F500">
            <v>1</v>
          </cell>
          <cell r="G500" t="str">
            <v>ja</v>
          </cell>
          <cell r="H500" t="str">
            <v>[超級] 第2回　※Wizと難易度は同じ</v>
          </cell>
          <cell r="I500" t="str">
            <v>ランキング</v>
          </cell>
          <cell r="J500">
            <v>488</v>
          </cell>
          <cell r="K500">
            <v>5</v>
          </cell>
          <cell r="L500">
            <v>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none</v>
          </cell>
          <cell r="T500">
            <v>0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911</v>
          </cell>
          <cell r="AD500">
            <v>6</v>
          </cell>
          <cell r="AE500" t="str">
            <v>singleonly</v>
          </cell>
        </row>
        <row r="501">
          <cell r="A501" t="str">
            <v>60002_2</v>
          </cell>
          <cell r="B501">
            <v>3</v>
          </cell>
          <cell r="C501">
            <v>60002</v>
          </cell>
          <cell r="D501" t="str">
            <v>ヘンペルチャレンジ</v>
          </cell>
          <cell r="E501" t="str">
            <v>ランキング1</v>
          </cell>
          <cell r="F501">
            <v>2</v>
          </cell>
          <cell r="G501" t="str">
            <v>ja</v>
          </cell>
          <cell r="H501" t="str">
            <v>[ウィザード] 第2回　※Wizと難易度は同じ</v>
          </cell>
          <cell r="I501" t="str">
            <v>ランキング</v>
          </cell>
          <cell r="J501">
            <v>488</v>
          </cell>
          <cell r="K501">
            <v>5</v>
          </cell>
          <cell r="L501">
            <v>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911</v>
          </cell>
          <cell r="AD501">
            <v>6</v>
          </cell>
          <cell r="AE501" t="str">
            <v>singleonly</v>
          </cell>
        </row>
        <row r="502">
          <cell r="A502" t="str">
            <v>60003_1</v>
          </cell>
          <cell r="B502">
            <v>3</v>
          </cell>
          <cell r="C502">
            <v>60003</v>
          </cell>
          <cell r="D502" t="str">
            <v>ヘンペルチャレンジ</v>
          </cell>
          <cell r="E502" t="str">
            <v>ランキング1</v>
          </cell>
          <cell r="F502">
            <v>1</v>
          </cell>
          <cell r="G502" t="str">
            <v>ja</v>
          </cell>
          <cell r="H502" t="str">
            <v>[中級] 第3回　</v>
          </cell>
          <cell r="I502" t="str">
            <v>ランキング</v>
          </cell>
          <cell r="J502">
            <v>488</v>
          </cell>
          <cell r="K502">
            <v>5</v>
          </cell>
          <cell r="L502">
            <v>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911</v>
          </cell>
          <cell r="AD502">
            <v>6</v>
          </cell>
          <cell r="AE502" t="str">
            <v>singleonly</v>
          </cell>
        </row>
        <row r="503">
          <cell r="A503" t="str">
            <v>60003_2</v>
          </cell>
          <cell r="B503">
            <v>3</v>
          </cell>
          <cell r="C503">
            <v>60003</v>
          </cell>
          <cell r="D503" t="str">
            <v>ヘンペルチャレンジ</v>
          </cell>
          <cell r="E503" t="str">
            <v>ランキング1</v>
          </cell>
          <cell r="F503">
            <v>2</v>
          </cell>
          <cell r="G503" t="str">
            <v>ja</v>
          </cell>
          <cell r="H503" t="str">
            <v>[超級] 第3回　</v>
          </cell>
          <cell r="I503" t="str">
            <v>ランキング</v>
          </cell>
          <cell r="J503">
            <v>488</v>
          </cell>
          <cell r="K503">
            <v>5</v>
          </cell>
          <cell r="L503">
            <v>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none</v>
          </cell>
          <cell r="T503">
            <v>0</v>
          </cell>
          <cell r="U503">
            <v>60003</v>
          </cell>
          <cell r="V503">
            <v>1</v>
          </cell>
          <cell r="W503" t="str">
            <v>[中級] 第3回　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911</v>
          </cell>
          <cell r="AD503">
            <v>6</v>
          </cell>
          <cell r="AE503" t="str">
            <v>singleonly</v>
          </cell>
        </row>
        <row r="504">
          <cell r="A504" t="str">
            <v>60003_3</v>
          </cell>
          <cell r="B504">
            <v>3</v>
          </cell>
          <cell r="C504">
            <v>60003</v>
          </cell>
          <cell r="D504" t="str">
            <v>ヘンペルチャレンジ</v>
          </cell>
          <cell r="E504" t="str">
            <v>ランキング1</v>
          </cell>
          <cell r="F504">
            <v>3</v>
          </cell>
          <cell r="G504" t="str">
            <v>ja</v>
          </cell>
          <cell r="H504" t="str">
            <v>[ウィザード] 第3回　</v>
          </cell>
          <cell r="I504" t="str">
            <v>ランキング</v>
          </cell>
          <cell r="J504">
            <v>488</v>
          </cell>
          <cell r="K504">
            <v>5</v>
          </cell>
          <cell r="L504">
            <v>0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>
            <v>60003</v>
          </cell>
          <cell r="V504">
            <v>2</v>
          </cell>
          <cell r="W504" t="str">
            <v>[超級] 第3回　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911</v>
          </cell>
          <cell r="AD504">
            <v>6</v>
          </cell>
          <cell r="AE504" t="str">
            <v>singleonly</v>
          </cell>
        </row>
        <row r="505">
          <cell r="A505" t="str">
            <v>60004_1</v>
          </cell>
          <cell r="B505">
            <v>3</v>
          </cell>
          <cell r="C505">
            <v>60004</v>
          </cell>
          <cell r="D505" t="str">
            <v>ヘンペルチャレンジ</v>
          </cell>
          <cell r="E505" t="str">
            <v>ランキング1</v>
          </cell>
          <cell r="F505">
            <v>1</v>
          </cell>
          <cell r="G505" t="str">
            <v>ja</v>
          </cell>
          <cell r="H505" t="str">
            <v>[ウィザード] 第4回　</v>
          </cell>
          <cell r="I505" t="str">
            <v>ランキング</v>
          </cell>
          <cell r="J505">
            <v>488</v>
          </cell>
          <cell r="K505">
            <v>5</v>
          </cell>
          <cell r="L505">
            <v>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911</v>
          </cell>
          <cell r="AD505">
            <v>6</v>
          </cell>
          <cell r="AE505" t="str">
            <v>singleonly</v>
          </cell>
        </row>
        <row r="506">
          <cell r="A506" t="str">
            <v>60005_1</v>
          </cell>
          <cell r="B506">
            <v>3</v>
          </cell>
          <cell r="C506">
            <v>60005</v>
          </cell>
          <cell r="D506" t="str">
            <v>オイラーチャレンジ</v>
          </cell>
          <cell r="E506" t="str">
            <v>ランキング1</v>
          </cell>
          <cell r="F506">
            <v>1</v>
          </cell>
          <cell r="G506" t="str">
            <v>ja</v>
          </cell>
          <cell r="H506" t="str">
            <v>[ウィザード] 第5回　</v>
          </cell>
          <cell r="I506" t="str">
            <v>ランキング</v>
          </cell>
          <cell r="J506">
            <v>379</v>
          </cell>
          <cell r="K506">
            <v>5</v>
          </cell>
          <cell r="L506">
            <v>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none</v>
          </cell>
          <cell r="T506">
            <v>0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923</v>
          </cell>
          <cell r="AD506">
            <v>6</v>
          </cell>
          <cell r="AE506" t="str">
            <v>singleonly</v>
          </cell>
        </row>
        <row r="507">
          <cell r="A507" t="str">
            <v>60006_1</v>
          </cell>
          <cell r="B507">
            <v>1</v>
          </cell>
          <cell r="C507">
            <v>60006</v>
          </cell>
          <cell r="D507" t="str">
            <v>オイラーチャレンジ（本番実装用）</v>
          </cell>
          <cell r="E507" t="str">
            <v>ランキング1（本番実装用）</v>
          </cell>
          <cell r="F507">
            <v>1</v>
          </cell>
          <cell r="G507" t="str">
            <v>ja</v>
          </cell>
          <cell r="H507" t="str">
            <v>【中級】オイラーチャレンジ（本番実装用）</v>
          </cell>
          <cell r="I507" t="str">
            <v>中級</v>
          </cell>
          <cell r="J507">
            <v>379</v>
          </cell>
          <cell r="K507">
            <v>5</v>
          </cell>
          <cell r="L507">
            <v>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923</v>
          </cell>
          <cell r="AD507">
            <v>6</v>
          </cell>
          <cell r="AE507" t="str">
            <v>singleonly</v>
          </cell>
        </row>
        <row r="508">
          <cell r="A508" t="str">
            <v>60006_2</v>
          </cell>
          <cell r="B508">
            <v>1</v>
          </cell>
          <cell r="C508">
            <v>60006</v>
          </cell>
          <cell r="D508" t="str">
            <v>オイラーチャレンジ（本番実装用）</v>
          </cell>
          <cell r="E508" t="str">
            <v>ランキング1（本番実装用）</v>
          </cell>
          <cell r="F508">
            <v>2</v>
          </cell>
          <cell r="G508" t="str">
            <v>ja</v>
          </cell>
          <cell r="H508" t="str">
            <v>【超級】オイラーチャレンジ（本番実装用）</v>
          </cell>
          <cell r="I508" t="str">
            <v>超級</v>
          </cell>
          <cell r="J508">
            <v>379</v>
          </cell>
          <cell r="K508">
            <v>5</v>
          </cell>
          <cell r="L508">
            <v>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923</v>
          </cell>
          <cell r="AD508">
            <v>6</v>
          </cell>
          <cell r="AE508" t="str">
            <v>singleonly</v>
          </cell>
        </row>
        <row r="509">
          <cell r="A509" t="str">
            <v>60006_3</v>
          </cell>
          <cell r="B509">
            <v>1</v>
          </cell>
          <cell r="C509">
            <v>60006</v>
          </cell>
          <cell r="D509" t="str">
            <v>オイラーチャレンジ（本番実装用）</v>
          </cell>
          <cell r="E509" t="str">
            <v>ランキング1（本番実装用）</v>
          </cell>
          <cell r="F509">
            <v>3</v>
          </cell>
          <cell r="G509" t="str">
            <v>ja</v>
          </cell>
          <cell r="H509" t="str">
            <v>【ウィザード級】オイラーチャレンジ（本番実装用）</v>
          </cell>
          <cell r="I509" t="str">
            <v>_x0008_ウィザード級</v>
          </cell>
          <cell r="J509">
            <v>379</v>
          </cell>
          <cell r="K509">
            <v>5</v>
          </cell>
          <cell r="L509">
            <v>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none</v>
          </cell>
          <cell r="T509">
            <v>0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923</v>
          </cell>
          <cell r="AD509">
            <v>6</v>
          </cell>
          <cell r="AE509" t="str">
            <v>singleonly</v>
          </cell>
        </row>
        <row r="510">
          <cell r="A510" t="str">
            <v>65535_1</v>
          </cell>
          <cell r="B510">
            <v>1</v>
          </cell>
          <cell r="C510">
            <v>65535</v>
          </cell>
          <cell r="D510" t="str">
            <v>検証クエスト</v>
          </cell>
          <cell r="E510" t="str">
            <v>検証</v>
          </cell>
          <cell r="F510">
            <v>1</v>
          </cell>
          <cell r="G510" t="str">
            <v>ja</v>
          </cell>
          <cell r="H510" t="str">
            <v>テンプレート</v>
          </cell>
          <cell r="I510" t="str">
            <v>検証</v>
          </cell>
          <cell r="J510" t="str">
            <v>NULL</v>
          </cell>
          <cell r="K510">
            <v>1</v>
          </cell>
          <cell r="L510">
            <v>1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903</v>
          </cell>
          <cell r="AD510">
            <v>6</v>
          </cell>
          <cell r="AE510" t="str">
            <v>everyone</v>
          </cell>
        </row>
        <row r="511">
          <cell r="A511" t="str">
            <v>65535_2</v>
          </cell>
          <cell r="B511">
            <v>1</v>
          </cell>
          <cell r="C511">
            <v>65535</v>
          </cell>
          <cell r="D511" t="str">
            <v>検証クエスト</v>
          </cell>
          <cell r="E511" t="str">
            <v>検証</v>
          </cell>
          <cell r="F511">
            <v>2</v>
          </cell>
          <cell r="G511" t="str">
            <v>ja</v>
          </cell>
          <cell r="H511" t="str">
            <v>ランクアップクエスト</v>
          </cell>
          <cell r="I511" t="str">
            <v>検証</v>
          </cell>
          <cell r="J511" t="str">
            <v>NULL</v>
          </cell>
          <cell r="K511">
            <v>1</v>
          </cell>
          <cell r="L511">
            <v>65535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903</v>
          </cell>
          <cell r="AD511">
            <v>6</v>
          </cell>
          <cell r="AE511" t="str">
            <v>everyone</v>
          </cell>
        </row>
        <row r="512">
          <cell r="A512" t="str">
            <v>65535_3</v>
          </cell>
          <cell r="B512">
            <v>1</v>
          </cell>
          <cell r="C512">
            <v>65535</v>
          </cell>
          <cell r="D512" t="str">
            <v>検証クエスト</v>
          </cell>
          <cell r="E512" t="str">
            <v>検証</v>
          </cell>
          <cell r="F512">
            <v>3</v>
          </cell>
          <cell r="G512" t="str">
            <v>ja</v>
          </cell>
          <cell r="H512" t="str">
            <v>サンドボックス</v>
          </cell>
          <cell r="I512" t="str">
            <v>検証</v>
          </cell>
          <cell r="J512" t="str">
            <v>NULL</v>
          </cell>
          <cell r="K512">
            <v>1</v>
          </cell>
          <cell r="L512">
            <v>1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none</v>
          </cell>
          <cell r="T512">
            <v>0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105</v>
          </cell>
          <cell r="AD512">
            <v>6</v>
          </cell>
          <cell r="AE512" t="str">
            <v>everyone</v>
          </cell>
        </row>
        <row r="513">
          <cell r="A513" t="str">
            <v>60021_3</v>
          </cell>
          <cell r="B513">
            <v>1</v>
          </cell>
          <cell r="C513">
            <v>60021</v>
          </cell>
          <cell r="D513" t="str">
            <v>【月曜限定】 黄の素材verハンプ検証</v>
          </cell>
          <cell r="E513" t="str">
            <v>検証</v>
          </cell>
          <cell r="F513">
            <v>3</v>
          </cell>
          <cell r="G513" t="str">
            <v>ja</v>
          </cell>
          <cell r="H513" t="str">
            <v>【上級】ハンプティ検証</v>
          </cell>
          <cell r="I513" t="str">
            <v>上級</v>
          </cell>
          <cell r="J513">
            <v>84</v>
          </cell>
          <cell r="K513">
            <v>20</v>
          </cell>
          <cell r="L513">
            <v>860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101</v>
          </cell>
          <cell r="AD513">
            <v>6</v>
          </cell>
          <cell r="AE513" t="str">
            <v>everyone</v>
          </cell>
        </row>
        <row r="514">
          <cell r="A514" t="str">
            <v>60022_3</v>
          </cell>
          <cell r="B514">
            <v>1</v>
          </cell>
          <cell r="C514">
            <v>60022</v>
          </cell>
          <cell r="D514" t="str">
            <v>【火曜限定】 赤の素材verハンプ検証</v>
          </cell>
          <cell r="E514" t="str">
            <v>検証</v>
          </cell>
          <cell r="F514">
            <v>3</v>
          </cell>
          <cell r="G514" t="str">
            <v>ja</v>
          </cell>
          <cell r="H514" t="str">
            <v>【上級】ハンプティ検証</v>
          </cell>
          <cell r="I514" t="str">
            <v>上級</v>
          </cell>
          <cell r="J514">
            <v>84</v>
          </cell>
          <cell r="K514">
            <v>20</v>
          </cell>
          <cell r="L514">
            <v>860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101</v>
          </cell>
          <cell r="AD514">
            <v>6</v>
          </cell>
          <cell r="AE514" t="str">
            <v>everyone</v>
          </cell>
        </row>
        <row r="515">
          <cell r="A515" t="str">
            <v>60023_3</v>
          </cell>
          <cell r="B515">
            <v>1</v>
          </cell>
          <cell r="C515">
            <v>60023</v>
          </cell>
          <cell r="D515" t="str">
            <v>【水曜限定】 青の素材verハンプ検証</v>
          </cell>
          <cell r="E515" t="str">
            <v>検証</v>
          </cell>
          <cell r="F515">
            <v>3</v>
          </cell>
          <cell r="G515" t="str">
            <v>ja</v>
          </cell>
          <cell r="H515" t="str">
            <v>【上級】ハンプティ検証</v>
          </cell>
          <cell r="I515" t="str">
            <v>上級</v>
          </cell>
          <cell r="J515">
            <v>84</v>
          </cell>
          <cell r="K515">
            <v>20</v>
          </cell>
          <cell r="L515">
            <v>860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none</v>
          </cell>
          <cell r="T515">
            <v>0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101</v>
          </cell>
          <cell r="AD515">
            <v>6</v>
          </cell>
          <cell r="AE515" t="str">
            <v>everyone</v>
          </cell>
        </row>
        <row r="516">
          <cell r="A516" t="str">
            <v>60024_3</v>
          </cell>
          <cell r="B516">
            <v>1</v>
          </cell>
          <cell r="C516">
            <v>60024</v>
          </cell>
          <cell r="D516" t="str">
            <v>【木曜限定】 緑の素材verハンプ検証</v>
          </cell>
          <cell r="E516" t="str">
            <v>検証</v>
          </cell>
          <cell r="F516">
            <v>3</v>
          </cell>
          <cell r="G516" t="str">
            <v>ja</v>
          </cell>
          <cell r="H516" t="str">
            <v>【上級】ハンプティ検証</v>
          </cell>
          <cell r="I516" t="str">
            <v>上級</v>
          </cell>
          <cell r="J516">
            <v>84</v>
          </cell>
          <cell r="K516">
            <v>20</v>
          </cell>
          <cell r="L516">
            <v>860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101</v>
          </cell>
          <cell r="AD516">
            <v>6</v>
          </cell>
          <cell r="AE516" t="str">
            <v>everyone</v>
          </cell>
        </row>
        <row r="517">
          <cell r="A517" t="str">
            <v>60002_2</v>
          </cell>
          <cell r="B517">
            <v>3</v>
          </cell>
          <cell r="C517">
            <v>60002</v>
          </cell>
          <cell r="D517" t="str">
            <v>ヘンペルチャレンジ</v>
          </cell>
          <cell r="E517" t="str">
            <v>ランキング1</v>
          </cell>
          <cell r="F517">
            <v>2</v>
          </cell>
          <cell r="G517" t="str">
            <v>ja</v>
          </cell>
          <cell r="H517" t="str">
            <v>[ウィザード] 第2回　※Wizと難易度は同じ</v>
          </cell>
        </row>
        <row r="518">
          <cell r="A518" t="str">
            <v>60003_1</v>
          </cell>
          <cell r="B518">
            <v>3</v>
          </cell>
          <cell r="C518">
            <v>60003</v>
          </cell>
          <cell r="D518" t="str">
            <v>ヘンペルチャレンジ</v>
          </cell>
          <cell r="E518" t="str">
            <v>ランキング1</v>
          </cell>
          <cell r="F518">
            <v>1</v>
          </cell>
          <cell r="G518" t="str">
            <v>ja</v>
          </cell>
          <cell r="H518" t="str">
            <v>[中級] 第3回　</v>
          </cell>
        </row>
        <row r="519">
          <cell r="A519" t="str">
            <v>60003_2</v>
          </cell>
          <cell r="B519">
            <v>3</v>
          </cell>
          <cell r="C519">
            <v>60003</v>
          </cell>
          <cell r="D519" t="str">
            <v>ヘンペルチャレンジ</v>
          </cell>
          <cell r="E519" t="str">
            <v>ランキング1</v>
          </cell>
          <cell r="F519">
            <v>2</v>
          </cell>
          <cell r="G519" t="str">
            <v>ja</v>
          </cell>
          <cell r="H519" t="str">
            <v>[超級] 第3回　</v>
          </cell>
        </row>
        <row r="520">
          <cell r="A520" t="str">
            <v>60003_3</v>
          </cell>
          <cell r="B520">
            <v>3</v>
          </cell>
          <cell r="C520">
            <v>60003</v>
          </cell>
          <cell r="D520" t="str">
            <v>ヘンペルチャレンジ</v>
          </cell>
          <cell r="E520" t="str">
            <v>ランキング1</v>
          </cell>
          <cell r="F520">
            <v>3</v>
          </cell>
          <cell r="G520" t="str">
            <v>ja</v>
          </cell>
          <cell r="H520" t="str">
            <v>[ウィザード] 第3回　</v>
          </cell>
        </row>
        <row r="521">
          <cell r="A521" t="str">
            <v>60004_1</v>
          </cell>
          <cell r="B521">
            <v>3</v>
          </cell>
          <cell r="C521">
            <v>60004</v>
          </cell>
          <cell r="D521" t="str">
            <v>ヘンペルチャレンジ</v>
          </cell>
          <cell r="E521" t="str">
            <v>ランキング1</v>
          </cell>
          <cell r="F521">
            <v>1</v>
          </cell>
          <cell r="G521" t="str">
            <v>ja</v>
          </cell>
          <cell r="H521" t="str">
            <v>[ウィザード] 第4回　</v>
          </cell>
        </row>
        <row r="522">
          <cell r="A522" t="str">
            <v>60005_1</v>
          </cell>
          <cell r="B522">
            <v>3</v>
          </cell>
          <cell r="C522">
            <v>60005</v>
          </cell>
          <cell r="D522" t="str">
            <v>オイラーチャレンジ</v>
          </cell>
          <cell r="E522" t="str">
            <v>ランキング1</v>
          </cell>
          <cell r="F522">
            <v>1</v>
          </cell>
          <cell r="G522" t="str">
            <v>ja</v>
          </cell>
          <cell r="H522" t="str">
            <v>[ウィザード] 第5回　</v>
          </cell>
        </row>
        <row r="523">
          <cell r="A523" t="str">
            <v>60006_1</v>
          </cell>
          <cell r="B523">
            <v>1</v>
          </cell>
          <cell r="C523">
            <v>60006</v>
          </cell>
          <cell r="D523" t="str">
            <v>オイラーチャレンジ（本番実装用）</v>
          </cell>
          <cell r="E523" t="str">
            <v>ランキング1（本番実装用）</v>
          </cell>
          <cell r="F523">
            <v>1</v>
          </cell>
          <cell r="G523" t="str">
            <v>ja</v>
          </cell>
          <cell r="H523" t="str">
            <v>【中級】オイラーチャレンジ（本番実装用）</v>
          </cell>
        </row>
        <row r="524">
          <cell r="A524" t="str">
            <v>60006_2</v>
          </cell>
          <cell r="B524">
            <v>1</v>
          </cell>
          <cell r="C524">
            <v>60006</v>
          </cell>
          <cell r="D524" t="str">
            <v>オイラーチャレンジ（本番実装用）</v>
          </cell>
          <cell r="E524" t="str">
            <v>ランキング1（本番実装用）</v>
          </cell>
          <cell r="F524">
            <v>2</v>
          </cell>
          <cell r="G524" t="str">
            <v>ja</v>
          </cell>
          <cell r="H524" t="str">
            <v>【超級】オイラーチャレンジ（本番実装用）</v>
          </cell>
        </row>
        <row r="525">
          <cell r="A525" t="str">
            <v>60006_3</v>
          </cell>
          <cell r="B525">
            <v>1</v>
          </cell>
          <cell r="C525">
            <v>60006</v>
          </cell>
          <cell r="D525" t="str">
            <v>オイラーチャレンジ（本番実装用）</v>
          </cell>
          <cell r="E525" t="str">
            <v>ランキング1（本番実装用）</v>
          </cell>
          <cell r="F525">
            <v>3</v>
          </cell>
          <cell r="G525" t="str">
            <v>ja</v>
          </cell>
          <cell r="H525" t="str">
            <v>【ウィザード級】オイラーチャレンジ（本番実装用）</v>
          </cell>
        </row>
        <row r="526">
          <cell r="A526" t="str">
            <v>65535_1</v>
          </cell>
          <cell r="B526">
            <v>1</v>
          </cell>
          <cell r="C526">
            <v>65535</v>
          </cell>
          <cell r="D526" t="str">
            <v>検証クエスト</v>
          </cell>
          <cell r="E526" t="str">
            <v>検証</v>
          </cell>
          <cell r="F526">
            <v>1</v>
          </cell>
          <cell r="G526" t="str">
            <v>ja</v>
          </cell>
          <cell r="H526" t="str">
            <v>テンプレート</v>
          </cell>
        </row>
        <row r="527">
          <cell r="A527" t="str">
            <v>65535_2</v>
          </cell>
          <cell r="B527">
            <v>1</v>
          </cell>
          <cell r="C527">
            <v>65535</v>
          </cell>
          <cell r="D527" t="str">
            <v>検証クエスト</v>
          </cell>
          <cell r="E527" t="str">
            <v>検証</v>
          </cell>
          <cell r="F527">
            <v>2</v>
          </cell>
          <cell r="G527" t="str">
            <v>ja</v>
          </cell>
          <cell r="H527" t="str">
            <v>ランクアップクエスト</v>
          </cell>
        </row>
        <row r="528">
          <cell r="A528" t="str">
            <v>65535_3</v>
          </cell>
          <cell r="B528">
            <v>1</v>
          </cell>
          <cell r="C528">
            <v>65535</v>
          </cell>
          <cell r="D528" t="str">
            <v>検証クエスト</v>
          </cell>
          <cell r="E528" t="str">
            <v>検証</v>
          </cell>
          <cell r="F528">
            <v>3</v>
          </cell>
          <cell r="G528" t="str">
            <v>ja</v>
          </cell>
          <cell r="H528" t="str">
            <v>サンドボックス</v>
          </cell>
        </row>
        <row r="529">
          <cell r="A529" t="str">
            <v>60021_3</v>
          </cell>
          <cell r="B529">
            <v>1</v>
          </cell>
          <cell r="C529">
            <v>60021</v>
          </cell>
          <cell r="D529" t="str">
            <v>【月曜限定】 黄の素材verハンプ検証</v>
          </cell>
          <cell r="E529" t="str">
            <v>検証</v>
          </cell>
          <cell r="F529">
            <v>3</v>
          </cell>
          <cell r="G529" t="str">
            <v>ja</v>
          </cell>
          <cell r="H529" t="str">
            <v>【上級】ハンプティ検証</v>
          </cell>
        </row>
        <row r="530">
          <cell r="A530" t="str">
            <v>60022_3</v>
          </cell>
          <cell r="B530">
            <v>1</v>
          </cell>
          <cell r="C530">
            <v>60022</v>
          </cell>
          <cell r="D530" t="str">
            <v>【火曜限定】 赤の素材verハンプ検証</v>
          </cell>
          <cell r="E530" t="str">
            <v>検証</v>
          </cell>
          <cell r="F530">
            <v>3</v>
          </cell>
          <cell r="G530" t="str">
            <v>ja</v>
          </cell>
          <cell r="H530" t="str">
            <v>【上級】ハンプティ検証</v>
          </cell>
        </row>
        <row r="531">
          <cell r="A531" t="str">
            <v>60023_3</v>
          </cell>
          <cell r="B531">
            <v>1</v>
          </cell>
          <cell r="C531">
            <v>60023</v>
          </cell>
          <cell r="D531" t="str">
            <v>【水曜限定】 青の素材verハンプ検証</v>
          </cell>
          <cell r="E531" t="str">
            <v>検証</v>
          </cell>
          <cell r="F531">
            <v>3</v>
          </cell>
          <cell r="G531" t="str">
            <v>ja</v>
          </cell>
          <cell r="H531" t="str">
            <v>【上級】ハンプティ検証</v>
          </cell>
        </row>
        <row r="532">
          <cell r="A532" t="str">
            <v>60024_3</v>
          </cell>
          <cell r="B532">
            <v>1</v>
          </cell>
          <cell r="C532">
            <v>60024</v>
          </cell>
          <cell r="D532" t="str">
            <v>【木曜限定】 緑の素材verハンプ検証</v>
          </cell>
          <cell r="E532" t="str">
            <v>検証</v>
          </cell>
          <cell r="F532">
            <v>3</v>
          </cell>
          <cell r="G532" t="str">
            <v>ja</v>
          </cell>
          <cell r="H532" t="str">
            <v>【上級】ハンプティ検証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1040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>
        <row r="1">
          <cell r="A1" t="str">
            <v>enemy_skill_id</v>
          </cell>
        </row>
      </sheetData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I18" sqref="I1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213</v>
      </c>
      <c r="B2" s="56" t="s">
        <v>106</v>
      </c>
      <c r="C2" s="61">
        <v>40015</v>
      </c>
      <c r="D2" s="56" t="s">
        <v>107</v>
      </c>
      <c r="E2" s="55" t="str">
        <f>B2&amp;C2&amp;D2</f>
        <v>floors_40015.tmp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213</v>
      </c>
      <c r="B3" s="56" t="s">
        <v>109</v>
      </c>
      <c r="C3" s="61">
        <f>C$2</f>
        <v>40015</v>
      </c>
      <c r="D3" s="56" t="s">
        <v>107</v>
      </c>
      <c r="E3" s="55" t="str">
        <f>B3&amp;C3&amp;D3</f>
        <v>enemy_habitats_40015.tmp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178</v>
      </c>
    </row>
    <row r="4" spans="1:30" x14ac:dyDescent="0.15">
      <c r="A4" s="60" t="s">
        <v>213</v>
      </c>
      <c r="B4" s="56" t="s">
        <v>111</v>
      </c>
      <c r="C4" s="61">
        <f t="shared" ref="C4:C12" si="0">C$2</f>
        <v>40015</v>
      </c>
      <c r="D4" s="56" t="s">
        <v>107</v>
      </c>
      <c r="E4" s="55" t="str">
        <f>B4&amp;C4&amp;D4</f>
        <v>enemy_habitat_S_40015.tmp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213</v>
      </c>
      <c r="B5" s="56" t="s">
        <v>113</v>
      </c>
      <c r="C5" s="61">
        <f t="shared" si="0"/>
        <v>40015</v>
      </c>
      <c r="D5" s="56" t="s">
        <v>107</v>
      </c>
      <c r="E5" s="55" t="str">
        <f>B5&amp;C5&amp;D5</f>
        <v>enemy_skill_sets_40015.tmp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213</v>
      </c>
      <c r="B6" s="56" t="s">
        <v>115</v>
      </c>
      <c r="C6" s="61">
        <f t="shared" si="0"/>
        <v>40015</v>
      </c>
      <c r="D6" s="56" t="s">
        <v>116</v>
      </c>
      <c r="E6" s="55" t="str">
        <f t="shared" ref="E6:E10" si="1">B6&amp;C6&amp;D6</f>
        <v>enemy_skills_tmp_40015.tmp</v>
      </c>
      <c r="F6" s="56" t="s">
        <v>90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213</v>
      </c>
      <c r="B7" s="56" t="s">
        <v>117</v>
      </c>
      <c r="C7" s="61">
        <f t="shared" si="0"/>
        <v>40015</v>
      </c>
      <c r="D7" s="56" t="s">
        <v>107</v>
      </c>
      <c r="E7" s="55" t="str">
        <f>B7&amp;C7&amp;D7</f>
        <v>enemy_skills_i18n_40015.tmp</v>
      </c>
      <c r="F7" s="56" t="s">
        <v>118</v>
      </c>
      <c r="G7" s="57" t="s">
        <v>79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213</v>
      </c>
      <c r="B8" s="56" t="s">
        <v>119</v>
      </c>
      <c r="C8" s="61">
        <f t="shared" si="0"/>
        <v>40015</v>
      </c>
      <c r="D8" s="56" t="s">
        <v>120</v>
      </c>
      <c r="E8" s="55" t="str">
        <f t="shared" si="1"/>
        <v>enemy_skill_triggers_40015.tmp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213</v>
      </c>
      <c r="B9" s="66" t="s">
        <v>177</v>
      </c>
      <c r="C9" s="61">
        <f t="shared" si="0"/>
        <v>40015</v>
      </c>
      <c r="D9" s="66" t="s">
        <v>171</v>
      </c>
      <c r="E9" s="67" t="str">
        <f t="shared" si="1"/>
        <v>stage_bug_bonuses_40015.tmp</v>
      </c>
      <c r="F9" s="66" t="s">
        <v>172</v>
      </c>
      <c r="G9" s="63" t="s">
        <v>150</v>
      </c>
      <c r="H9" s="63" t="s">
        <v>173</v>
      </c>
      <c r="I9" s="63" t="s">
        <v>174</v>
      </c>
      <c r="J9" s="65" t="s">
        <v>175</v>
      </c>
      <c r="K9" s="63" t="s">
        <v>176</v>
      </c>
      <c r="L9" s="63" t="s">
        <v>156</v>
      </c>
      <c r="M9" s="63" t="s">
        <v>157</v>
      </c>
      <c r="N9" s="63" t="s">
        <v>158</v>
      </c>
      <c r="O9" s="63" t="s">
        <v>159</v>
      </c>
      <c r="P9" s="63" t="s">
        <v>160</v>
      </c>
      <c r="Q9" s="63" t="s">
        <v>161</v>
      </c>
      <c r="R9" s="63" t="s">
        <v>162</v>
      </c>
      <c r="S9" s="63" t="s">
        <v>163</v>
      </c>
      <c r="T9" s="63" t="s">
        <v>164</v>
      </c>
      <c r="U9" s="63" t="s">
        <v>165</v>
      </c>
      <c r="V9" s="63" t="s">
        <v>166</v>
      </c>
      <c r="W9" s="63" t="s">
        <v>167</v>
      </c>
    </row>
    <row r="10" spans="1:30" s="73" customFormat="1" x14ac:dyDescent="0.15">
      <c r="A10" s="60" t="s">
        <v>213</v>
      </c>
      <c r="B10" s="66" t="s">
        <v>201</v>
      </c>
      <c r="C10" s="61">
        <f>C$2</f>
        <v>40015</v>
      </c>
      <c r="D10" s="66" t="s">
        <v>180</v>
      </c>
      <c r="E10" s="67" t="str">
        <f t="shared" si="1"/>
        <v>stage_hints_data_c_40015.tmp</v>
      </c>
      <c r="F10" s="66" t="s">
        <v>209</v>
      </c>
      <c r="G10" s="70" t="s">
        <v>181</v>
      </c>
      <c r="H10" s="70" t="s">
        <v>173</v>
      </c>
      <c r="I10" s="71" t="s">
        <v>182</v>
      </c>
      <c r="J10" s="65" t="s">
        <v>183</v>
      </c>
      <c r="K10" s="72" t="s">
        <v>184</v>
      </c>
    </row>
    <row r="11" spans="1:30" s="73" customFormat="1" x14ac:dyDescent="0.15">
      <c r="A11" s="60" t="s">
        <v>213</v>
      </c>
      <c r="B11" s="66" t="s">
        <v>202</v>
      </c>
      <c r="C11" s="61">
        <f t="shared" si="0"/>
        <v>40015</v>
      </c>
      <c r="D11" s="66" t="s">
        <v>171</v>
      </c>
      <c r="E11" s="67" t="str">
        <f t="shared" ref="E11:E12" si="2">B11&amp;C11&amp;D11</f>
        <v>stage_hints_data_f_40015.tmp</v>
      </c>
      <c r="F11" s="66" t="s">
        <v>211</v>
      </c>
      <c r="G11" s="70" t="s">
        <v>181</v>
      </c>
      <c r="H11" s="70" t="s">
        <v>173</v>
      </c>
      <c r="I11" s="71" t="s">
        <v>182</v>
      </c>
      <c r="J11" s="65" t="s">
        <v>183</v>
      </c>
      <c r="K11" s="72" t="s">
        <v>184</v>
      </c>
    </row>
    <row r="12" spans="1:30" s="73" customFormat="1" x14ac:dyDescent="0.15">
      <c r="A12" s="60" t="s">
        <v>213</v>
      </c>
      <c r="B12" s="66" t="s">
        <v>203</v>
      </c>
      <c r="C12" s="61">
        <f t="shared" si="0"/>
        <v>40015</v>
      </c>
      <c r="D12" s="66" t="s">
        <v>171</v>
      </c>
      <c r="E12" s="67" t="str">
        <f t="shared" si="2"/>
        <v>stage_hints_i18n_40015.tmp</v>
      </c>
      <c r="F12" s="66" t="s">
        <v>212</v>
      </c>
      <c r="G12" s="71" t="s">
        <v>204</v>
      </c>
      <c r="H12" s="93" t="s">
        <v>205</v>
      </c>
      <c r="I12" s="70" t="s">
        <v>206</v>
      </c>
      <c r="J12" s="94" t="s">
        <v>207</v>
      </c>
      <c r="K12" s="72" t="s">
        <v>208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L15" sqref="L15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40015_1-1</v>
      </c>
      <c r="B2" s="15" t="str">
        <f>IF(COUNTIF(enemy_habitats!$H:$H,A2),"OK","NG")</f>
        <v>OK</v>
      </c>
      <c r="C2" s="6">
        <v>40015</v>
      </c>
      <c r="D2" s="10" t="e">
        <f ca="1">VLOOKUP($C2,OFFSET([2]quests!$A$1,0,0,COUNTA([2]quests!$A:$A),MATCH(D$1,[2]quests!$1:$1,0)-MATCH($C$1,[2]quests!$1:$1,0)+1),MATCH(D$1,[2]quests!$1:$1,0)-MATCH($C$1,[2]quests!$1:$1,0)+1,FALSE)</f>
        <v>#VALUE!</v>
      </c>
      <c r="E2" s="17" t="e">
        <f ca="1">VLOOKUP($C2,OFFSET([2]quests!$A$1,0,0,COUNTA([2]quests!$A:$A),MATCH(E$1,[2]quests!$1:$1,0)-MATCH($C$1,[2]quests!$1:$1,0)+1),MATCH(E$1,[2]quests!$1:$1,0)-MATCH($C$1,[2]quests!$1:$1,0)+1,FALSE)</f>
        <v>#VALUE!</v>
      </c>
      <c r="F2" s="20">
        <v>1</v>
      </c>
      <c r="G2" s="22" t="str">
        <f>C2&amp;"_"&amp;F2</f>
        <v>40015_1</v>
      </c>
      <c r="H2" s="14" t="e">
        <f ca="1">VLOOKUP($G2,OFFSET([2]stages!$A$1,0,0,COUNTA([2]stages!$A:$A),MATCH(H$1,[2]stages!$2:$2,0)-MATCH($G$1,[2]stages!$2:$2,0)+1),MATCH(H$1,[2]stages!$2:$2,0)-MATCH($G$1,[2]stages!$2:$2,0)+1,FALSE)</f>
        <v>#VALUE!</v>
      </c>
      <c r="I2" s="20">
        <v>1</v>
      </c>
      <c r="J2" s="11">
        <v>60</v>
      </c>
      <c r="K2" s="11">
        <v>60</v>
      </c>
    </row>
    <row r="3" spans="1:11" ht="21" customHeight="1" x14ac:dyDescent="0.15">
      <c r="A3" s="15" t="str">
        <f>G3&amp;"-"&amp;I3</f>
        <v>40015_1-2</v>
      </c>
      <c r="B3" s="15" t="str">
        <f>IF(COUNTIF(enemy_habitats!$H:$H,A3),"OK","NG")</f>
        <v>OK</v>
      </c>
      <c r="C3" s="6">
        <v>40015</v>
      </c>
      <c r="D3" s="10" t="e">
        <f ca="1">VLOOKUP($C3,OFFSET([2]quests!$A$1,0,0,COUNTA([2]quests!$A:$A),MATCH(D$1,[2]quests!$1:$1,0)-MATCH($C$1,[2]quests!$1:$1,0)+1),MATCH(D$1,[2]quests!$1:$1,0)-MATCH($C$1,[2]quests!$1:$1,0)+1,FALSE)</f>
        <v>#VALUE!</v>
      </c>
      <c r="E3" s="17" t="e">
        <f ca="1">VLOOKUP($C3,OFFSET([2]quests!$A$1,0,0,COUNTA([2]quests!$A:$A),MATCH(E$1,[2]quests!$1:$1,0)-MATCH($C$1,[2]quests!$1:$1,0)+1),MATCH(E$1,[2]quests!$1:$1,0)-MATCH($C$1,[2]quests!$1:$1,0)+1,FALSE)</f>
        <v>#VALUE!</v>
      </c>
      <c r="F3" s="20">
        <v>1</v>
      </c>
      <c r="G3" s="22" t="str">
        <f>C3&amp;"_"&amp;F3</f>
        <v>40015_1</v>
      </c>
      <c r="H3" s="14" t="e">
        <f ca="1">VLOOKUP($G3,OFFSET([2]stages!$A$1,0,0,COUNTA([2]stages!$A:$A),MATCH(H$1,[2]stages!$2:$2,0)-MATCH($G$1,[2]stages!$2:$2,0)+1),MATCH(H$1,[2]stages!$2:$2,0)-MATCH($G$1,[2]stages!$2:$2,0)+1,FALSE)</f>
        <v>#VALUE!</v>
      </c>
      <c r="I3" s="20">
        <v>2</v>
      </c>
      <c r="J3" s="11">
        <v>60</v>
      </c>
      <c r="K3" s="11">
        <v>60</v>
      </c>
    </row>
    <row r="4" spans="1:11" ht="21" customHeight="1" x14ac:dyDescent="0.15">
      <c r="A4" s="15" t="str">
        <f>G4&amp;"-"&amp;I4</f>
        <v>40015_1-3</v>
      </c>
      <c r="B4" s="15" t="str">
        <f>IF(COUNTIF(enemy_habitats!$H:$H,A4),"OK","NG")</f>
        <v>OK</v>
      </c>
      <c r="C4" s="6">
        <v>40015</v>
      </c>
      <c r="D4" s="10" t="e">
        <f ca="1">VLOOKUP($C4,OFFSET([2]quests!$A$1,0,0,COUNTA([2]quests!$A:$A),MATCH(D$1,[2]quests!$1:$1,0)-MATCH($C$1,[2]quests!$1:$1,0)+1),MATCH(D$1,[2]quests!$1:$1,0)-MATCH($C$1,[2]quests!$1:$1,0)+1,FALSE)</f>
        <v>#VALUE!</v>
      </c>
      <c r="E4" s="17" t="e">
        <f ca="1">VLOOKUP($C4,OFFSET([2]quests!$A$1,0,0,COUNTA([2]quests!$A:$A),MATCH(E$1,[2]quests!$1:$1,0)-MATCH($C$1,[2]quests!$1:$1,0)+1),MATCH(E$1,[2]quests!$1:$1,0)-MATCH($C$1,[2]quests!$1:$1,0)+1,FALSE)</f>
        <v>#VALUE!</v>
      </c>
      <c r="F4" s="20">
        <v>1</v>
      </c>
      <c r="G4" s="22" t="str">
        <f>C4&amp;"_"&amp;F4</f>
        <v>40015_1</v>
      </c>
      <c r="H4" s="14" t="e">
        <f ca="1">VLOOKUP($G4,OFFSET([2]stages!$A$1,0,0,COUNTA([2]stages!$A:$A),MATCH(H$1,[2]stages!$2:$2,0)-MATCH($G$1,[2]stages!$2:$2,0)+1),MATCH(H$1,[2]stages!$2:$2,0)-MATCH($G$1,[2]stages!$2:$2,0)+1,FALSE)</f>
        <v>#VALUE!</v>
      </c>
      <c r="I4" s="20">
        <v>3</v>
      </c>
      <c r="J4" s="11">
        <v>60</v>
      </c>
      <c r="K4" s="11">
        <v>60</v>
      </c>
    </row>
    <row r="5" spans="1:11" ht="21" customHeight="1" x14ac:dyDescent="0.15">
      <c r="A5" s="15" t="str">
        <f>G5&amp;"-"&amp;I5</f>
        <v>40015_1-4</v>
      </c>
      <c r="B5" s="15" t="str">
        <f>IF(COUNTIF(enemy_habitats!$H:$H,A5),"OK","NG")</f>
        <v>OK</v>
      </c>
      <c r="C5" s="6">
        <v>40015</v>
      </c>
      <c r="D5" s="10" t="e">
        <f ca="1">VLOOKUP($C5,OFFSET([2]quests!$A$1,0,0,COUNTA([2]quests!$A:$A),MATCH(D$1,[2]quests!$1:$1,0)-MATCH($C$1,[2]quests!$1:$1,0)+1),MATCH(D$1,[2]quests!$1:$1,0)-MATCH($C$1,[2]quests!$1:$1,0)+1,FALSE)</f>
        <v>#VALUE!</v>
      </c>
      <c r="E5" s="17" t="e">
        <f ca="1">VLOOKUP($C5,OFFSET([2]quests!$A$1,0,0,COUNTA([2]quests!$A:$A),MATCH(E$1,[2]quests!$1:$1,0)-MATCH($C$1,[2]quests!$1:$1,0)+1),MATCH(E$1,[2]quests!$1:$1,0)-MATCH($C$1,[2]quests!$1:$1,0)+1,FALSE)</f>
        <v>#VALUE!</v>
      </c>
      <c r="F5" s="20">
        <v>1</v>
      </c>
      <c r="G5" s="22" t="str">
        <f>C5&amp;"_"&amp;F5</f>
        <v>40015_1</v>
      </c>
      <c r="H5" s="14" t="e">
        <f ca="1">VLOOKUP($G5,OFFSET([2]stages!$A$1,0,0,COUNTA([2]stages!$A:$A),MATCH(H$1,[2]stages!$2:$2,0)-MATCH($G$1,[2]stages!$2:$2,0)+1),MATCH(H$1,[2]stages!$2:$2,0)-MATCH($G$1,[2]stages!$2:$2,0)+1,FALSE)</f>
        <v>#VALUE!</v>
      </c>
      <c r="I5" s="20">
        <v>4</v>
      </c>
      <c r="J5" s="11">
        <v>60</v>
      </c>
      <c r="K5" s="11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8"/>
  <sheetViews>
    <sheetView showGridLines="0" zoomScale="85" zoomScaleNormal="85" zoomScalePageLayoutView="8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21" sqref="U21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2" bestFit="1" customWidth="1" outlineLevel="1"/>
    <col min="30" max="30" width="8" style="13" bestFit="1" customWidth="1" outlineLevel="1"/>
    <col min="31" max="31" width="12" style="13" bestFit="1" customWidth="1" outlineLevel="1"/>
    <col min="32" max="32" width="15" style="9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179</v>
      </c>
    </row>
    <row r="2" spans="1:40" ht="21" customHeight="1" x14ac:dyDescent="0.15">
      <c r="A2" s="15" t="str">
        <f t="shared" ref="A2:A8" si="0">B2&amp;"_"&amp;C2&amp;"-"&amp;G2&amp;"/"&amp;L2&amp;"&lt;lv"&amp;R2&amp;"&gt;s"&amp;AA2</f>
        <v>40015_1-1/768&lt;lv50&gt;s1</v>
      </c>
      <c r="B2" s="21">
        <v>40015</v>
      </c>
      <c r="C2" s="97">
        <v>1</v>
      </c>
      <c r="D2" s="95" t="str">
        <f t="shared" ref="D2:D8" si="1">B2&amp;"_"&amp;C2</f>
        <v>40015_1</v>
      </c>
      <c r="E2" s="98" t="e">
        <f ca="1">VLOOKUP($B2,OFFSET([2]quests!$A$1,0,0,COUNTA([2]quests!$A:$A),MATCH(E$1,[2]quests!$1:$1,0)-MATCH($B$1,[2]quests!$1:$1,0)+1),MATCH(E$1,[2]quests!$1:$1,0)-MATCH($B$1,[2]quests!$1:$1,0)+1,FALSE)</f>
        <v>#VALUE!</v>
      </c>
      <c r="F2" s="98" t="e">
        <f ca="1">VLOOKUP($D2,OFFSET([2]stages!$A$1,0,0,COUNTA([2]stages!$A:$A),MATCH(F$1,[2]stages!$2:$2,0)-MATCH($D$1,[2]stages!$2:$2,0)+1),MATCH(F$1,[2]stages!$2:$2,0)-MATCH($D$1,[2]stages!$2:$2,0)+1,FALSE)</f>
        <v>#VALUE!</v>
      </c>
      <c r="G2" s="95">
        <v>1</v>
      </c>
      <c r="H2" s="14" t="str">
        <f t="shared" ref="H2:H8" si="2">B2&amp;"_"&amp;C2&amp;"-"&amp;G2</f>
        <v>40015_1-1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105" t="s">
        <v>53</v>
      </c>
      <c r="L2" s="95">
        <v>768</v>
      </c>
      <c r="M2" s="16" t="e">
        <f ca="1">VLOOKUP($L2,OFFSET([3]enemies!$A$1,0,0,COUNTA([3]enemies!$A:$A),MATCH(M$1,[3]enemies!$1:$1,0)-MATCH($L$1,[3]enemies!$1:$1,0)+1),MATCH(M$1,[3]enemies!$1:$1,0)-MATCH($L$1,[3]enemies!$1:$1,0)+1,FALSE)</f>
        <v>#VALUE!</v>
      </c>
      <c r="N2" s="16" t="e">
        <f ca="1">VLOOKUP($L2,OFFSET([3]enemies!$A$1,0,0,COUNTA([3]enemies!$A:$A),MATCH(N$1,[3]enemies!$1:$1,0)-MATCH($L$1,[3]enemies!$1:$1,0)+1),MATCH(N$1,[3]enemies!$1:$1,0)-MATCH($L$1,[3]enemies!$1:$1,0)+1,FALSE)</f>
        <v>#VALUE!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6" t="e">
        <f ca="1">VLOOKUP($L2,OFFSET([3]enemies!$A$1,0,0,COUNTA([3]enemies!$A:$A),MATCH(P$1,[3]enemies!$1:$1,0)-MATCH($L$1,[3]enemies!$1:$1,0)+1),MATCH(P$1,[3]enemies!$1:$1,0)-MATCH($L$1,[3]enemies!$1:$1,0)+1,FALSE)</f>
        <v>#VALUE!</v>
      </c>
      <c r="Q2" s="16" t="e">
        <f ca="1">VLOOKUP($L2,OFFSET([3]enemies!$A$1,0,0,COUNTA([3]enemies!$A:$A),MATCH(Q$1,[3]enemies!$1:$1,0)-MATCH($L$1,[3]enemies!$1:$1,0)+1),MATCH(Q$1,[3]enemies!$1:$1,0)-MATCH($L$1,[3]enemies!$1:$1,0)+1,FALSE)</f>
        <v>#VALUE!</v>
      </c>
      <c r="R2" s="106">
        <v>50</v>
      </c>
      <c r="S2" s="107">
        <v>1</v>
      </c>
      <c r="T2" s="107">
        <v>1</v>
      </c>
      <c r="U2" s="106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何者かが足早に去っていった</v>
      </c>
      <c r="W2" s="120">
        <v>40015001</v>
      </c>
      <c r="X2" s="108">
        <v>1</v>
      </c>
      <c r="Y2" s="108">
        <v>100</v>
      </c>
      <c r="Z2" s="108">
        <v>0</v>
      </c>
      <c r="AA2" s="114">
        <v>1</v>
      </c>
      <c r="AB2" s="23">
        <f t="shared" ref="AB2:AB7" si="3">L2</f>
        <v>768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ガレス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2" s="6">
        <v>1</v>
      </c>
      <c r="AG2" s="23">
        <f t="shared" ref="AG2:AG8" ca="1" si="4">AD2</f>
        <v>4</v>
      </c>
      <c r="AH2" s="7">
        <v>0</v>
      </c>
      <c r="AI2" s="6">
        <v>0</v>
      </c>
      <c r="AJ2" s="6">
        <v>0</v>
      </c>
      <c r="AK2" s="6">
        <v>0</v>
      </c>
      <c r="AL2" s="6">
        <v>0</v>
      </c>
      <c r="AM2" s="6">
        <v>1</v>
      </c>
      <c r="AN2" s="68">
        <v>1</v>
      </c>
    </row>
    <row r="3" spans="1:40" ht="21" customHeight="1" x14ac:dyDescent="0.15">
      <c r="A3" s="15" t="str">
        <f t="shared" si="0"/>
        <v>40015_1-1/764&lt;lv50&gt;s2</v>
      </c>
      <c r="B3" s="21">
        <v>40015</v>
      </c>
      <c r="C3" s="97">
        <v>1</v>
      </c>
      <c r="D3" s="95" t="str">
        <f t="shared" si="1"/>
        <v>40015_1</v>
      </c>
      <c r="E3" s="98" t="e">
        <f ca="1">VLOOKUP($B3,OFFSET([2]quests!$A$1,0,0,COUNTA([2]quests!$A:$A),MATCH(E$1,[2]quests!$1:$1,0)-MATCH($B$1,[2]quests!$1:$1,0)+1),MATCH(E$1,[2]quests!$1:$1,0)-MATCH($B$1,[2]quests!$1:$1,0)+1,FALSE)</f>
        <v>#VALUE!</v>
      </c>
      <c r="F3" s="98" t="e">
        <f ca="1">VLOOKUP($D3,OFFSET([2]stages!$A$1,0,0,COUNTA([2]stages!$A:$A),MATCH(F$1,[2]stages!$2:$2,0)-MATCH($D$1,[2]stages!$2:$2,0)+1),MATCH(F$1,[2]stages!$2:$2,0)-MATCH($D$1,[2]stages!$2:$2,0)+1,FALSE)</f>
        <v>#VALUE!</v>
      </c>
      <c r="G3" s="95">
        <v>1</v>
      </c>
      <c r="H3" s="14" t="str">
        <f t="shared" si="2"/>
        <v>40015_1-1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105">
        <v>1</v>
      </c>
      <c r="L3" s="95">
        <v>764</v>
      </c>
      <c r="M3" s="16" t="e">
        <f ca="1">VLOOKUP($L3,OFFSET([3]enemies!$A$1,0,0,COUNTA([3]enemies!$A:$A),MATCH(M$1,[3]enemies!$1:$1,0)-MATCH($L$1,[3]enemies!$1:$1,0)+1),MATCH(M$1,[3]enemies!$1:$1,0)-MATCH($L$1,[3]enemies!$1:$1,0)+1,FALSE)</f>
        <v>#VALUE!</v>
      </c>
      <c r="N3" s="16" t="e">
        <f ca="1">VLOOKUP($L3,OFFSET([3]enemies!$A$1,0,0,COUNTA([3]enemies!$A:$A),MATCH(N$1,[3]enemies!$1:$1,0)-MATCH($L$1,[3]enemies!$1:$1,0)+1),MATCH(N$1,[3]enemies!$1:$1,0)-MATCH($L$1,[3]enemies!$1:$1,0)+1,FALSE)</f>
        <v>#VALUE!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6" t="e">
        <f ca="1">VLOOKUP($L3,OFFSET([3]enemies!$A$1,0,0,COUNTA([3]enemies!$A:$A),MATCH(P$1,[3]enemies!$1:$1,0)-MATCH($L$1,[3]enemies!$1:$1,0)+1),MATCH(P$1,[3]enemies!$1:$1,0)-MATCH($L$1,[3]enemies!$1:$1,0)+1,FALSE)</f>
        <v>#VALUE!</v>
      </c>
      <c r="Q3" s="16" t="e">
        <f ca="1">VLOOKUP($L3,OFFSET([3]enemies!$A$1,0,0,COUNTA([3]enemies!$A:$A),MATCH(Q$1,[3]enemies!$1:$1,0)-MATCH($L$1,[3]enemies!$1:$1,0)+1),MATCH(Q$1,[3]enemies!$1:$1,0)-MATCH($L$1,[3]enemies!$1:$1,0)+1,FALSE)</f>
        <v>#VALUE!</v>
      </c>
      <c r="R3" s="106">
        <v>50</v>
      </c>
      <c r="S3" s="107">
        <v>4</v>
      </c>
      <c r="T3" s="107">
        <v>1</v>
      </c>
      <c r="U3" s="106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この力があれば　俺様がナンバーワンだ！</v>
      </c>
      <c r="W3" s="120">
        <v>40015002</v>
      </c>
      <c r="X3" s="108">
        <v>1</v>
      </c>
      <c r="Y3" s="108">
        <v>100</v>
      </c>
      <c r="Z3" s="108">
        <v>0</v>
      </c>
      <c r="AA3" s="114">
        <v>2</v>
      </c>
      <c r="AB3" s="23">
        <f t="shared" si="3"/>
        <v>764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ライオネル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Drop2N</v>
      </c>
      <c r="AF3" s="6">
        <v>1</v>
      </c>
      <c r="AG3" s="23">
        <f t="shared" ca="1" si="4"/>
        <v>4</v>
      </c>
      <c r="AH3" s="7">
        <v>0</v>
      </c>
      <c r="AI3" s="6">
        <v>0</v>
      </c>
      <c r="AJ3" s="6">
        <v>0</v>
      </c>
      <c r="AK3" s="6">
        <v>0</v>
      </c>
      <c r="AL3" s="6">
        <v>0</v>
      </c>
      <c r="AM3" s="6">
        <v>1</v>
      </c>
      <c r="AN3" s="68">
        <v>1</v>
      </c>
    </row>
    <row r="4" spans="1:40" ht="21" customHeight="1" x14ac:dyDescent="0.15">
      <c r="A4" s="15" t="str">
        <f t="shared" si="0"/>
        <v>40015_1-2/121&lt;lv50&gt;s8</v>
      </c>
      <c r="B4" s="21">
        <v>40015</v>
      </c>
      <c r="C4" s="97">
        <v>1</v>
      </c>
      <c r="D4" s="99" t="str">
        <f t="shared" si="1"/>
        <v>40015_1</v>
      </c>
      <c r="E4" s="100" t="e">
        <f ca="1">VLOOKUP($B4,OFFSET([2]quests!$A$1,0,0,COUNTA([2]quests!$A:$A),MATCH(E$1,[2]quests!$1:$1,0)-MATCH($B$1,[2]quests!$1:$1,0)+1),MATCH(E$1,[2]quests!$1:$1,0)-MATCH($B$1,[2]quests!$1:$1,0)+1,FALSE)</f>
        <v>#VALUE!</v>
      </c>
      <c r="F4" s="100" t="e">
        <f ca="1">VLOOKUP($D4,OFFSET([2]stages!$A$1,0,0,COUNTA([2]stages!$A:$A),MATCH(F$1,[2]stages!$2:$2,0)-MATCH($D$1,[2]stages!$2:$2,0)+1),MATCH(F$1,[2]stages!$2:$2,0)-MATCH($D$1,[2]stages!$2:$2,0)+1,FALSE)</f>
        <v>#VALUE!</v>
      </c>
      <c r="G4" s="99">
        <v>2</v>
      </c>
      <c r="H4" s="14" t="str">
        <f t="shared" si="2"/>
        <v>40015_1-2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101" t="s">
        <v>53</v>
      </c>
      <c r="L4" s="99">
        <v>121</v>
      </c>
      <c r="M4" s="16" t="e">
        <f ca="1">VLOOKUP($L4,OFFSET([3]enemies!$A$1,0,0,COUNTA([3]enemies!$A:$A),MATCH(M$1,[3]enemies!$1:$1,0)-MATCH($L$1,[3]enemies!$1:$1,0)+1),MATCH(M$1,[3]enemies!$1:$1,0)-MATCH($L$1,[3]enemies!$1:$1,0)+1,FALSE)</f>
        <v>#VALUE!</v>
      </c>
      <c r="N4" s="16" t="e">
        <f ca="1">VLOOKUP($L4,OFFSET([3]enemies!$A$1,0,0,COUNTA([3]enemies!$A:$A),MATCH(N$1,[3]enemies!$1:$1,0)-MATCH($L$1,[3]enemies!$1:$1,0)+1),MATCH(N$1,[3]enemies!$1:$1,0)-MATCH($L$1,[3]enemies!$1:$1,0)+1,FALSE)</f>
        <v>#VALUE!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16" t="e">
        <f ca="1">VLOOKUP($L4,OFFSET([3]enemies!$A$1,0,0,COUNTA([3]enemies!$A:$A),MATCH(P$1,[3]enemies!$1:$1,0)-MATCH($L$1,[3]enemies!$1:$1,0)+1),MATCH(P$1,[3]enemies!$1:$1,0)-MATCH($L$1,[3]enemies!$1:$1,0)+1,FALSE)</f>
        <v>#VALUE!</v>
      </c>
      <c r="Q4" s="16" t="e">
        <f ca="1">VLOOKUP($L4,OFFSET([3]enemies!$A$1,0,0,COUNTA([3]enemies!$A:$A),MATCH(Q$1,[3]enemies!$1:$1,0)-MATCH($L$1,[3]enemies!$1:$1,0)+1),MATCH(Q$1,[3]enemies!$1:$1,0)-MATCH($L$1,[3]enemies!$1:$1,0)+1,FALSE)</f>
        <v>#VALUE!</v>
      </c>
      <c r="R4" s="102">
        <v>50</v>
      </c>
      <c r="S4" s="103">
        <v>5.4</v>
      </c>
      <c r="T4" s="103">
        <v>2.6</v>
      </c>
      <c r="U4" s="102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仲間を追って爆ぜていった…</v>
      </c>
      <c r="W4" s="120">
        <v>40015011</v>
      </c>
      <c r="X4" s="104">
        <v>1</v>
      </c>
      <c r="Y4" s="104">
        <v>100</v>
      </c>
      <c r="Z4" s="104">
        <v>2</v>
      </c>
      <c r="AA4" s="114">
        <v>8</v>
      </c>
      <c r="AB4" s="23">
        <f t="shared" si="3"/>
        <v>121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攻めの果実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" s="6">
        <v>1</v>
      </c>
      <c r="AG4" s="23">
        <f t="shared" ca="1" si="4"/>
        <v>3</v>
      </c>
      <c r="AH4" s="7">
        <v>100</v>
      </c>
      <c r="AI4" s="6">
        <v>0</v>
      </c>
      <c r="AJ4" s="6">
        <v>0</v>
      </c>
      <c r="AK4" s="6">
        <v>0</v>
      </c>
      <c r="AL4" s="6">
        <v>0</v>
      </c>
      <c r="AM4" s="6">
        <v>1</v>
      </c>
      <c r="AN4" s="68">
        <v>1</v>
      </c>
    </row>
    <row r="5" spans="1:40" ht="21" customHeight="1" x14ac:dyDescent="0.15">
      <c r="A5" s="15" t="str">
        <f t="shared" si="0"/>
        <v>40015_1-2/122&lt;lv50&gt;s8</v>
      </c>
      <c r="B5" s="21">
        <v>40015</v>
      </c>
      <c r="C5" s="97">
        <v>1</v>
      </c>
      <c r="D5" s="99" t="str">
        <f t="shared" si="1"/>
        <v>40015_1</v>
      </c>
      <c r="E5" s="100" t="e">
        <f ca="1">VLOOKUP($B5,OFFSET([2]quests!$A$1,0,0,COUNTA([2]quests!$A:$A),MATCH(E$1,[2]quests!$1:$1,0)-MATCH($B$1,[2]quests!$1:$1,0)+1),MATCH(E$1,[2]quests!$1:$1,0)-MATCH($B$1,[2]quests!$1:$1,0)+1,FALSE)</f>
        <v>#VALUE!</v>
      </c>
      <c r="F5" s="100" t="e">
        <f ca="1">VLOOKUP($D5,OFFSET([2]stages!$A$1,0,0,COUNTA([2]stages!$A:$A),MATCH(F$1,[2]stages!$2:$2,0)-MATCH($D$1,[2]stages!$2:$2,0)+1),MATCH(F$1,[2]stages!$2:$2,0)-MATCH($D$1,[2]stages!$2:$2,0)+1,FALSE)</f>
        <v>#VALUE!</v>
      </c>
      <c r="G5" s="99">
        <v>2</v>
      </c>
      <c r="H5" s="14" t="str">
        <f t="shared" si="2"/>
        <v>40015_1-2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01" t="s">
        <v>53</v>
      </c>
      <c r="L5" s="99">
        <v>122</v>
      </c>
      <c r="M5" s="16" t="e">
        <f ca="1">VLOOKUP($L5,OFFSET([3]enemies!$A$1,0,0,COUNTA([3]enemies!$A:$A),MATCH(M$1,[3]enemies!$1:$1,0)-MATCH($L$1,[3]enemies!$1:$1,0)+1),MATCH(M$1,[3]enemies!$1:$1,0)-MATCH($L$1,[3]enemies!$1:$1,0)+1,FALSE)</f>
        <v>#VALUE!</v>
      </c>
      <c r="N5" s="16" t="e">
        <f ca="1">VLOOKUP($L5,OFFSET([3]enemies!$A$1,0,0,COUNTA([3]enemies!$A:$A),MATCH(N$1,[3]enemies!$1:$1,0)-MATCH($L$1,[3]enemies!$1:$1,0)+1),MATCH(N$1,[3]enemies!$1:$1,0)-MATCH($L$1,[3]enemies!$1:$1,0)+1,FALSE)</f>
        <v>#VALUE!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16" t="e">
        <f ca="1">VLOOKUP($L5,OFFSET([3]enemies!$A$1,0,0,COUNTA([3]enemies!$A:$A),MATCH(P$1,[3]enemies!$1:$1,0)-MATCH($L$1,[3]enemies!$1:$1,0)+1),MATCH(P$1,[3]enemies!$1:$1,0)-MATCH($L$1,[3]enemies!$1:$1,0)+1,FALSE)</f>
        <v>#VALUE!</v>
      </c>
      <c r="Q5" s="16" t="e">
        <f ca="1">VLOOKUP($L5,OFFSET([3]enemies!$A$1,0,0,COUNTA([3]enemies!$A:$A),MATCH(Q$1,[3]enemies!$1:$1,0)-MATCH($L$1,[3]enemies!$1:$1,0)+1),MATCH(Q$1,[3]enemies!$1:$1,0)-MATCH($L$1,[3]enemies!$1:$1,0)+1,FALSE)</f>
        <v>#VALUE!</v>
      </c>
      <c r="R5" s="102">
        <v>50</v>
      </c>
      <c r="S5" s="103">
        <v>4.2</v>
      </c>
      <c r="T5" s="103">
        <v>2.2999999999999998</v>
      </c>
      <c r="U5" s="102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このフロアの果実は連鎖的に自爆する！</v>
      </c>
      <c r="W5" s="120">
        <v>40015004</v>
      </c>
      <c r="X5" s="104">
        <v>1</v>
      </c>
      <c r="Y5" s="104">
        <v>100</v>
      </c>
      <c r="Z5" s="104">
        <v>1</v>
      </c>
      <c r="AA5" s="114">
        <v>8</v>
      </c>
      <c r="AB5" s="23">
        <f t="shared" si="3"/>
        <v>122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" s="6">
        <v>1</v>
      </c>
      <c r="AG5" s="23">
        <f t="shared" ca="1" si="4"/>
        <v>3</v>
      </c>
      <c r="AH5" s="7">
        <v>100</v>
      </c>
      <c r="AI5" s="6">
        <v>0</v>
      </c>
      <c r="AJ5" s="6">
        <v>0</v>
      </c>
      <c r="AK5" s="6">
        <v>0</v>
      </c>
      <c r="AL5" s="6">
        <v>0</v>
      </c>
      <c r="AM5" s="6">
        <v>1</v>
      </c>
      <c r="AN5" s="68">
        <v>1</v>
      </c>
    </row>
    <row r="6" spans="1:40" ht="21" customHeight="1" x14ac:dyDescent="0.15">
      <c r="A6" s="15" t="str">
        <f t="shared" si="0"/>
        <v>40015_1-2/123&lt;lv50&gt;s8</v>
      </c>
      <c r="B6" s="21">
        <v>40015</v>
      </c>
      <c r="C6" s="97">
        <v>1</v>
      </c>
      <c r="D6" s="99" t="str">
        <f t="shared" si="1"/>
        <v>40015_1</v>
      </c>
      <c r="E6" s="100" t="e">
        <f ca="1">VLOOKUP($B6,OFFSET([2]quests!$A$1,0,0,COUNTA([2]quests!$A:$A),MATCH(E$1,[2]quests!$1:$1,0)-MATCH($B$1,[2]quests!$1:$1,0)+1),MATCH(E$1,[2]quests!$1:$1,0)-MATCH($B$1,[2]quests!$1:$1,0)+1,FALSE)</f>
        <v>#VALUE!</v>
      </c>
      <c r="F6" s="100" t="e">
        <f ca="1">VLOOKUP($D6,OFFSET([2]stages!$A$1,0,0,COUNTA([2]stages!$A:$A),MATCH(F$1,[2]stages!$2:$2,0)-MATCH($D$1,[2]stages!$2:$2,0)+1),MATCH(F$1,[2]stages!$2:$2,0)-MATCH($D$1,[2]stages!$2:$2,0)+1,FALSE)</f>
        <v>#VALUE!</v>
      </c>
      <c r="G6" s="99">
        <v>2</v>
      </c>
      <c r="H6" s="14" t="str">
        <f t="shared" si="2"/>
        <v>40015_1-2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101" t="s">
        <v>53</v>
      </c>
      <c r="L6" s="99">
        <v>123</v>
      </c>
      <c r="M6" s="16" t="e">
        <f ca="1">VLOOKUP($L6,OFFSET([3]enemies!$A$1,0,0,COUNTA([3]enemies!$A:$A),MATCH(M$1,[3]enemies!$1:$1,0)-MATCH($L$1,[3]enemies!$1:$1,0)+1),MATCH(M$1,[3]enemies!$1:$1,0)-MATCH($L$1,[3]enemies!$1:$1,0)+1,FALSE)</f>
        <v>#VALUE!</v>
      </c>
      <c r="N6" s="16" t="e">
        <f ca="1">VLOOKUP($L6,OFFSET([3]enemies!$A$1,0,0,COUNTA([3]enemies!$A:$A),MATCH(N$1,[3]enemies!$1:$1,0)-MATCH($L$1,[3]enemies!$1:$1,0)+1),MATCH(N$1,[3]enemies!$1:$1,0)-MATCH($L$1,[3]enemies!$1:$1,0)+1,FALSE)</f>
        <v>#VALUE!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16" t="e">
        <f ca="1">VLOOKUP($L6,OFFSET([3]enemies!$A$1,0,0,COUNTA([3]enemies!$A:$A),MATCH(P$1,[3]enemies!$1:$1,0)-MATCH($L$1,[3]enemies!$1:$1,0)+1),MATCH(P$1,[3]enemies!$1:$1,0)-MATCH($L$1,[3]enemies!$1:$1,0)+1,FALSE)</f>
        <v>#VALUE!</v>
      </c>
      <c r="Q6" s="16" t="e">
        <f ca="1">VLOOKUP($L6,OFFSET([3]enemies!$A$1,0,0,COUNTA([3]enemies!$A:$A),MATCH(Q$1,[3]enemies!$1:$1,0)-MATCH($L$1,[3]enemies!$1:$1,0)+1),MATCH(Q$1,[3]enemies!$1:$1,0)-MATCH($L$1,[3]enemies!$1:$1,0)+1,FALSE)</f>
        <v>#VALUE!</v>
      </c>
      <c r="R6" s="102">
        <v>50</v>
      </c>
      <c r="S6" s="103">
        <v>5.6</v>
      </c>
      <c r="T6" s="103">
        <v>3.3</v>
      </c>
      <c r="U6" s="102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仲間を追って爆ぜていった…</v>
      </c>
      <c r="W6" s="120">
        <v>40015005</v>
      </c>
      <c r="X6" s="104">
        <v>1</v>
      </c>
      <c r="Y6" s="104">
        <v>100</v>
      </c>
      <c r="Z6" s="104">
        <v>0</v>
      </c>
      <c r="AA6" s="114">
        <v>8</v>
      </c>
      <c r="AB6" s="23">
        <f t="shared" si="3"/>
        <v>123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癒しの果実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" s="6">
        <v>1</v>
      </c>
      <c r="AG6" s="23">
        <f t="shared" ca="1" si="4"/>
        <v>3</v>
      </c>
      <c r="AH6" s="7">
        <v>100</v>
      </c>
      <c r="AI6" s="6">
        <v>0</v>
      </c>
      <c r="AJ6" s="6">
        <v>0</v>
      </c>
      <c r="AK6" s="6">
        <v>0</v>
      </c>
      <c r="AL6" s="6">
        <v>0</v>
      </c>
      <c r="AM6" s="6">
        <v>1</v>
      </c>
      <c r="AN6" s="68">
        <v>1</v>
      </c>
    </row>
    <row r="7" spans="1:40" ht="21" customHeight="1" x14ac:dyDescent="0.15">
      <c r="A7" s="15" t="str">
        <f t="shared" si="0"/>
        <v>40015_1-3/767&lt;lv50&gt;s2</v>
      </c>
      <c r="B7" s="21">
        <v>40015</v>
      </c>
      <c r="C7" s="97">
        <v>1</v>
      </c>
      <c r="D7" s="2" t="str">
        <f t="shared" si="1"/>
        <v>40015_1</v>
      </c>
      <c r="E7" s="4" t="e">
        <f ca="1">VLOOKUP($B7,OFFSET([2]quests!$A$1,0,0,COUNTA([2]quests!$A:$A),MATCH(E$1,[2]quests!$1:$1,0)-MATCH($B$1,[2]quests!$1:$1,0)+1),MATCH(E$1,[2]quests!$1:$1,0)-MATCH($B$1,[2]quests!$1:$1,0)+1,FALSE)</f>
        <v>#VALUE!</v>
      </c>
      <c r="F7" s="4" t="e">
        <f ca="1">VLOOKUP($D7,OFFSET([2]stages!$A$1,0,0,COUNTA([2]stages!$A:$A),MATCH(F$1,[2]stages!$2:$2,0)-MATCH($D$1,[2]stages!$2:$2,0)+1),MATCH(F$1,[2]stages!$2:$2,0)-MATCH($D$1,[2]stages!$2:$2,0)+1,FALSE)</f>
        <v>#VALUE!</v>
      </c>
      <c r="G7" s="95">
        <v>3</v>
      </c>
      <c r="H7" s="14" t="str">
        <f t="shared" si="2"/>
        <v>40015_1-3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105">
        <v>2</v>
      </c>
      <c r="L7" s="95">
        <v>767</v>
      </c>
      <c r="M7" s="16" t="e">
        <f ca="1">VLOOKUP($L7,OFFSET([3]enemies!$A$1,0,0,COUNTA([3]enemies!$A:$A),MATCH(M$1,[3]enemies!$1:$1,0)-MATCH($L$1,[3]enemies!$1:$1,0)+1),MATCH(M$1,[3]enemies!$1:$1,0)-MATCH($L$1,[3]enemies!$1:$1,0)+1,FALSE)</f>
        <v>#VALUE!</v>
      </c>
      <c r="N7" s="16" t="e">
        <f ca="1">VLOOKUP($L7,OFFSET([3]enemies!$A$1,0,0,COUNTA([3]enemies!$A:$A),MATCH(N$1,[3]enemies!$1:$1,0)-MATCH($L$1,[3]enemies!$1:$1,0)+1),MATCH(N$1,[3]enemies!$1:$1,0)-MATCH($L$1,[3]enemies!$1:$1,0)+1,FALSE)</f>
        <v>#VALUE!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6" t="e">
        <f ca="1">VLOOKUP($L7,OFFSET([3]enemies!$A$1,0,0,COUNTA([3]enemies!$A:$A),MATCH(P$1,[3]enemies!$1:$1,0)-MATCH($L$1,[3]enemies!$1:$1,0)+1),MATCH(P$1,[3]enemies!$1:$1,0)-MATCH($L$1,[3]enemies!$1:$1,0)+1,FALSE)</f>
        <v>#VALUE!</v>
      </c>
      <c r="Q7" s="16" t="e">
        <f ca="1">VLOOKUP($L7,OFFSET([3]enemies!$A$1,0,0,COUNTA([3]enemies!$A:$A),MATCH(Q$1,[3]enemies!$1:$1,0)-MATCH($L$1,[3]enemies!$1:$1,0)+1),MATCH(Q$1,[3]enemies!$1:$1,0)-MATCH($L$1,[3]enemies!$1:$1,0)+1,FALSE)</f>
        <v>#VALUE!</v>
      </c>
      <c r="R7" s="106">
        <v>50</v>
      </c>
      <c r="S7" s="107">
        <v>1.8</v>
      </c>
      <c r="T7" s="107">
        <v>1.2</v>
      </c>
      <c r="U7" s="106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出現しているCパネル激烈縮小</v>
      </c>
      <c r="W7" s="120">
        <v>40015006</v>
      </c>
      <c r="X7" s="108">
        <v>1</v>
      </c>
      <c r="Y7" s="108">
        <v>100</v>
      </c>
      <c r="Z7" s="108">
        <v>0</v>
      </c>
      <c r="AA7" s="114">
        <v>2</v>
      </c>
      <c r="AB7" s="23">
        <f t="shared" si="3"/>
        <v>767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灼炎業竜 ランドラグ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5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6">
        <v>1</v>
      </c>
      <c r="AG7" s="23">
        <f t="shared" ca="1" si="4"/>
        <v>5</v>
      </c>
      <c r="AH7" s="7">
        <v>0</v>
      </c>
      <c r="AI7" s="6">
        <v>0</v>
      </c>
      <c r="AJ7" s="6">
        <v>0</v>
      </c>
      <c r="AK7" s="6">
        <v>0</v>
      </c>
      <c r="AL7" s="6">
        <v>0</v>
      </c>
      <c r="AM7" s="6">
        <v>1</v>
      </c>
      <c r="AN7" s="68">
        <v>1</v>
      </c>
    </row>
    <row r="8" spans="1:40" ht="21" customHeight="1" x14ac:dyDescent="0.15">
      <c r="A8" s="15" t="str">
        <f t="shared" si="0"/>
        <v>40015_1-4/769&lt;lv50&gt;s2</v>
      </c>
      <c r="B8" s="21">
        <v>40015</v>
      </c>
      <c r="C8" s="97">
        <v>1</v>
      </c>
      <c r="D8" s="2" t="str">
        <f t="shared" si="1"/>
        <v>40015_1</v>
      </c>
      <c r="E8" s="4" t="e">
        <f ca="1">VLOOKUP($B8,OFFSET([2]quests!$A$1,0,0,COUNTA([2]quests!$A:$A),MATCH(E$1,[2]quests!$1:$1,0)-MATCH($B$1,[2]quests!$1:$1,0)+1),MATCH(E$1,[2]quests!$1:$1,0)-MATCH($B$1,[2]quests!$1:$1,0)+1,FALSE)</f>
        <v>#VALUE!</v>
      </c>
      <c r="F8" s="4" t="e">
        <f ca="1">VLOOKUP($D8,OFFSET([2]stages!$A$1,0,0,COUNTA([2]stages!$A:$A),MATCH(F$1,[2]stages!$2:$2,0)-MATCH($D$1,[2]stages!$2:$2,0)+1),MATCH(F$1,[2]stages!$2:$2,0)-MATCH($D$1,[2]stages!$2:$2,0)+1,FALSE)</f>
        <v>#VALUE!</v>
      </c>
      <c r="G8" s="96">
        <v>4</v>
      </c>
      <c r="H8" s="14" t="str">
        <f t="shared" si="2"/>
        <v>40015_1-4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109">
        <v>3</v>
      </c>
      <c r="L8" s="96">
        <v>769</v>
      </c>
      <c r="M8" s="16" t="e">
        <f ca="1">VLOOKUP($L8,OFFSET([3]enemies!$A$1,0,0,COUNTA([3]enemies!$A:$A),MATCH(M$1,[3]enemies!$1:$1,0)-MATCH($L$1,[3]enemies!$1:$1,0)+1),MATCH(M$1,[3]enemies!$1:$1,0)-MATCH($L$1,[3]enemies!$1:$1,0)+1,FALSE)</f>
        <v>#VALUE!</v>
      </c>
      <c r="N8" s="16" t="e">
        <f ca="1">VLOOKUP($L8,OFFSET([3]enemies!$A$1,0,0,COUNTA([3]enemies!$A:$A),MATCH(N$1,[3]enemies!$1:$1,0)-MATCH($L$1,[3]enemies!$1:$1,0)+1),MATCH(N$1,[3]enemies!$1:$1,0)-MATCH($L$1,[3]enemies!$1:$1,0)+1,FALSE)</f>
        <v>#VALUE!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6" t="e">
        <f ca="1">VLOOKUP($L8,OFFSET([3]enemies!$A$1,0,0,COUNTA([3]enemies!$A:$A),MATCH(P$1,[3]enemies!$1:$1,0)-MATCH($L$1,[3]enemies!$1:$1,0)+1),MATCH(P$1,[3]enemies!$1:$1,0)-MATCH($L$1,[3]enemies!$1:$1,0)+1,FALSE)</f>
        <v>#VALUE!</v>
      </c>
      <c r="Q8" s="16" t="e">
        <f ca="1">VLOOKUP($L8,OFFSET([3]enemies!$A$1,0,0,COUNTA([3]enemies!$A:$A),MATCH(Q$1,[3]enemies!$1:$1,0)-MATCH($L$1,[3]enemies!$1:$1,0)+1),MATCH(Q$1,[3]enemies!$1:$1,0)-MATCH($L$1,[3]enemies!$1:$1,0)+1,FALSE)</f>
        <v>#VALUE!</v>
      </c>
      <c r="R8" s="110">
        <v>50</v>
      </c>
      <c r="S8" s="111">
        <v>5</v>
      </c>
      <c r="T8" s="111">
        <v>2.5</v>
      </c>
      <c r="U8" s="110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さて…キミは何のために戦う？</v>
      </c>
      <c r="W8" s="120">
        <v>40015008</v>
      </c>
      <c r="X8" s="112">
        <v>1</v>
      </c>
      <c r="Y8" s="112">
        <v>100</v>
      </c>
      <c r="Z8" s="112">
        <v>0</v>
      </c>
      <c r="AA8" s="114">
        <v>2</v>
      </c>
      <c r="AB8" s="147">
        <v>768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ガレス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8" s="6">
        <v>1</v>
      </c>
      <c r="AG8" s="23">
        <f t="shared" ca="1" si="4"/>
        <v>4</v>
      </c>
      <c r="AH8" s="7">
        <v>30</v>
      </c>
      <c r="AI8" s="6">
        <v>0</v>
      </c>
      <c r="AJ8" s="6">
        <v>0</v>
      </c>
      <c r="AK8" s="6">
        <v>0</v>
      </c>
      <c r="AL8" s="6">
        <v>0</v>
      </c>
      <c r="AM8" s="6">
        <v>1</v>
      </c>
      <c r="AN8" s="68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85" zoomScaleNormal="85" zoomScalePageLayoutView="8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4" sqref="U4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129</v>
      </c>
      <c r="X1" s="28" t="s">
        <v>128</v>
      </c>
      <c r="Y1" s="27" t="s">
        <v>8</v>
      </c>
    </row>
    <row r="2" spans="1:25" ht="21" customHeight="1" x14ac:dyDescent="0.15">
      <c r="A2" s="15" t="str">
        <f>B2&amp;"_"&amp;C2&amp;"-"&amp;G2&amp;"/"&amp;M2&amp;"&lt;lv"&amp;S2&amp;"&gt;sq"&amp;K2&amp;"st"&amp;L2</f>
        <v>40015_1-1/765&lt;lv50&gt;sq1st2</v>
      </c>
      <c r="B2" s="21">
        <v>40015</v>
      </c>
      <c r="C2" s="20">
        <v>1</v>
      </c>
      <c r="D2" s="2" t="str">
        <f>B2&amp;"_"&amp;C2</f>
        <v>40015_1</v>
      </c>
      <c r="E2" s="4" t="e">
        <f ca="1">VLOOKUP($B2,OFFSET([2]quests!$A$1,0,0,COUNTA([2]quests!$A:$A),MATCH(E$1,[2]quests!$1:$1,0)-MATCH($B$1,[2]quests!$1:$1,0)+1),MATCH(E$1,[2]quests!$1:$1,0)-MATCH($B$1,[2]quests!$1:$1,0)+1,FALSE)</f>
        <v>#VALUE!</v>
      </c>
      <c r="F2" s="4" t="e">
        <f ca="1">VLOOKUP($D2,OFFSET([2]stages!$A$1,0,0,COUNTA([2]stages!$A:$A),MATCH(F$1,[2]stages!$2:$2,0)-MATCH($D$1,[2]stages!$2:$2,0)+1),MATCH(F$1,[2]stages!$2:$2,0)-MATCH($D$1,[2]stages!$2:$2,0)+1,FALSE)</f>
        <v>#VALUE!</v>
      </c>
      <c r="G2" s="20">
        <v>1</v>
      </c>
      <c r="H2" s="14" t="str">
        <f>B2&amp;"_"&amp;C2&amp;"-"&amp;G2</f>
        <v>40015_1-1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9">
        <v>765</v>
      </c>
      <c r="N2" s="16" t="e">
        <f ca="1">VLOOKUP($M2,OFFSET([3]enemies!$A$1,0,0,COUNTA([3]enemies!$A:$A),MATCH(N$1,[3]enemies!$1:$1,0)-MATCH($M$1,[3]enemies!$1:$1,0)+1),MATCH(N$1,[3]enemies!$1:$1,0)-MATCH($M$1,[3]enemies!$1:$1,0)+1,FALSE)</f>
        <v>#VALUE!</v>
      </c>
      <c r="O2" s="16" t="e">
        <f ca="1">VLOOKUP($M2,OFFSET([3]enemies!$A$1,0,0,COUNTA([3]enemies!$A:$A),MATCH(O$1,[3]enemies!$1:$1,0)-MATCH($M$1,[3]enemies!$1:$1,0)+1),MATCH(O$1,[3]enemies!$1:$1,0)-MATCH($M$1,[3]enemies!$1:$1,0)+1,FALSE)</f>
        <v>#VALUE!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6" t="e">
        <f ca="1">VLOOKUP($M2,OFFSET([3]enemies!$A$1,0,0,COUNTA([3]enemies!$A:$A),MATCH(Q$1,[3]enemies!$1:$1,0)-MATCH($M$1,[3]enemies!$1:$1,0)+1),MATCH(Q$1,[3]enemies!$1:$1,0)-MATCH($M$1,[3]enemies!$1:$1,0)+1,FALSE)</f>
        <v>#VALUE!</v>
      </c>
      <c r="R2" s="16" t="e">
        <f ca="1">VLOOKUP($M2,OFFSET([3]enemies!$A$1,0,0,COUNTA([3]enemies!$A:$A),MATCH(R$1,[3]enemies!$1:$1,0)-MATCH($M$1,[3]enemies!$1:$1,0)+1),MATCH(R$1,[3]enemies!$1:$1,0)-MATCH($M$1,[3]enemies!$1:$1,0)+1,FALSE)</f>
        <v>#VALUE!</v>
      </c>
      <c r="S2" s="5">
        <v>50</v>
      </c>
      <c r="T2" s="24">
        <v>3</v>
      </c>
      <c r="U2" s="24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" s="121">
        <v>40015003</v>
      </c>
      <c r="Y2" s="113">
        <v>1</v>
      </c>
    </row>
    <row r="3" spans="1:25" ht="21" customHeight="1" x14ac:dyDescent="0.15">
      <c r="A3" s="15" t="str">
        <f>B3&amp;"_"&amp;C3&amp;"-"&amp;G3&amp;"/"&amp;M3&amp;"&lt;lv"&amp;S3&amp;"&gt;sq"&amp;K3&amp;"st"&amp;L3</f>
        <v>40015_1-3/767&lt;lv50&gt;sq2st2</v>
      </c>
      <c r="B3" s="21">
        <v>40015</v>
      </c>
      <c r="C3" s="20">
        <v>1</v>
      </c>
      <c r="D3" s="2" t="str">
        <f>B3&amp;"_"&amp;C3</f>
        <v>40015_1</v>
      </c>
      <c r="E3" s="4" t="e">
        <f ca="1">VLOOKUP($B3,OFFSET([2]quests!$A$1,0,0,COUNTA([2]quests!$A:$A),MATCH(E$1,[2]quests!$1:$1,0)-MATCH($B$1,[2]quests!$1:$1,0)+1),MATCH(E$1,[2]quests!$1:$1,0)-MATCH($B$1,[2]quests!$1:$1,0)+1,FALSE)</f>
        <v>#VALUE!</v>
      </c>
      <c r="F3" s="4" t="e">
        <f ca="1">VLOOKUP($D3,OFFSET([2]stages!$A$1,0,0,COUNTA([2]stages!$A:$A),MATCH(F$1,[2]stages!$2:$2,0)-MATCH($D$1,[2]stages!$2:$2,0)+1),MATCH(F$1,[2]stages!$2:$2,0)-MATCH($D$1,[2]stages!$2:$2,0)+1,FALSE)</f>
        <v>#VALUE!</v>
      </c>
      <c r="G3" s="20">
        <v>3</v>
      </c>
      <c r="H3" s="14" t="str">
        <f>B3&amp;"_"&amp;C3&amp;"-"&amp;G3</f>
        <v>40015_1-3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19">
        <v>767</v>
      </c>
      <c r="N3" s="16" t="e">
        <f ca="1">VLOOKUP($M3,OFFSET([3]enemies!$A$1,0,0,COUNTA([3]enemies!$A:$A),MATCH(N$1,[3]enemies!$1:$1,0)-MATCH($M$1,[3]enemies!$1:$1,0)+1),MATCH(N$1,[3]enemies!$1:$1,0)-MATCH($M$1,[3]enemies!$1:$1,0)+1,FALSE)</f>
        <v>#VALUE!</v>
      </c>
      <c r="O3" s="16" t="e">
        <f ca="1">VLOOKUP($M3,OFFSET([3]enemies!$A$1,0,0,COUNTA([3]enemies!$A:$A),MATCH(O$1,[3]enemies!$1:$1,0)-MATCH($M$1,[3]enemies!$1:$1,0)+1),MATCH(O$1,[3]enemies!$1:$1,0)-MATCH($M$1,[3]enemies!$1:$1,0)+1,FALSE)</f>
        <v>#VALUE!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6" t="e">
        <f ca="1">VLOOKUP($M3,OFFSET([3]enemies!$A$1,0,0,COUNTA([3]enemies!$A:$A),MATCH(Q$1,[3]enemies!$1:$1,0)-MATCH($M$1,[3]enemies!$1:$1,0)+1),MATCH(Q$1,[3]enemies!$1:$1,0)-MATCH($M$1,[3]enemies!$1:$1,0)+1,FALSE)</f>
        <v>#VALUE!</v>
      </c>
      <c r="R3" s="16" t="e">
        <f ca="1">VLOOKUP($M3,OFFSET([3]enemies!$A$1,0,0,COUNTA([3]enemies!$A:$A),MATCH(R$1,[3]enemies!$1:$1,0)-MATCH($M$1,[3]enemies!$1:$1,0)+1),MATCH(R$1,[3]enemies!$1:$1,0)-MATCH($M$1,[3]enemies!$1:$1,0)+1,FALSE)</f>
        <v>#VALUE!</v>
      </c>
      <c r="S3" s="5">
        <v>50</v>
      </c>
      <c r="T3" s="24">
        <v>1.8</v>
      </c>
      <c r="U3" s="24">
        <v>1.2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3" s="121">
        <v>40015007</v>
      </c>
      <c r="Y3" s="113">
        <v>1</v>
      </c>
    </row>
    <row r="4" spans="1:25" ht="21" customHeight="1" x14ac:dyDescent="0.15">
      <c r="A4" s="15" t="str">
        <f>B4&amp;"_"&amp;C4&amp;"-"&amp;G4&amp;"/"&amp;M4&amp;"&lt;lv"&amp;S4&amp;"&gt;sq"&amp;K4&amp;"st"&amp;L4</f>
        <v>40015_1-4/769&lt;lv50&gt;sq3st2</v>
      </c>
      <c r="B4" s="21">
        <v>40015</v>
      </c>
      <c r="C4" s="20">
        <v>1</v>
      </c>
      <c r="D4" s="2" t="str">
        <f>B4&amp;"_"&amp;C4</f>
        <v>40015_1</v>
      </c>
      <c r="E4" s="4" t="e">
        <f ca="1">VLOOKUP($B4,OFFSET([2]quests!$A$1,0,0,COUNTA([2]quests!$A:$A),MATCH(E$1,[2]quests!$1:$1,0)-MATCH($B$1,[2]quests!$1:$1,0)+1),MATCH(E$1,[2]quests!$1:$1,0)-MATCH($B$1,[2]quests!$1:$1,0)+1,FALSE)</f>
        <v>#VALUE!</v>
      </c>
      <c r="F4" s="4" t="e">
        <f ca="1">VLOOKUP($D4,OFFSET([2]stages!$A$1,0,0,COUNTA([2]stages!$A:$A),MATCH(F$1,[2]stages!$2:$2,0)-MATCH($D$1,[2]stages!$2:$2,0)+1),MATCH(F$1,[2]stages!$2:$2,0)-MATCH($D$1,[2]stages!$2:$2,0)+1,FALSE)</f>
        <v>#VALUE!</v>
      </c>
      <c r="G4" s="20">
        <v>4</v>
      </c>
      <c r="H4" s="14" t="str">
        <f>B4&amp;"_"&amp;C4&amp;"-"&amp;G4</f>
        <v>40015_1-4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3</v>
      </c>
      <c r="L4" s="37">
        <v>2</v>
      </c>
      <c r="M4" s="19">
        <v>769</v>
      </c>
      <c r="N4" s="16" t="e">
        <f ca="1">VLOOKUP($M4,OFFSET([3]enemies!$A$1,0,0,COUNTA([3]enemies!$A:$A),MATCH(N$1,[3]enemies!$1:$1,0)-MATCH($M$1,[3]enemies!$1:$1,0)+1),MATCH(N$1,[3]enemies!$1:$1,0)-MATCH($M$1,[3]enemies!$1:$1,0)+1,FALSE)</f>
        <v>#VALUE!</v>
      </c>
      <c r="O4" s="16" t="e">
        <f ca="1">VLOOKUP($M4,OFFSET([3]enemies!$A$1,0,0,COUNTA([3]enemies!$A:$A),MATCH(O$1,[3]enemies!$1:$1,0)-MATCH($M$1,[3]enemies!$1:$1,0)+1),MATCH(O$1,[3]enemies!$1:$1,0)-MATCH($M$1,[3]enemies!$1:$1,0)+1,FALSE)</f>
        <v>#VALUE!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6" t="e">
        <f ca="1">VLOOKUP($M4,OFFSET([3]enemies!$A$1,0,0,COUNTA([3]enemies!$A:$A),MATCH(Q$1,[3]enemies!$1:$1,0)-MATCH($M$1,[3]enemies!$1:$1,0)+1),MATCH(Q$1,[3]enemies!$1:$1,0)-MATCH($M$1,[3]enemies!$1:$1,0)+1,FALSE)</f>
        <v>#VALUE!</v>
      </c>
      <c r="R4" s="16" t="e">
        <f ca="1">VLOOKUP($M4,OFFSET([3]enemies!$A$1,0,0,COUNTA([3]enemies!$A:$A),MATCH(R$1,[3]enemies!$1:$1,0)-MATCH($M$1,[3]enemies!$1:$1,0)+1),MATCH(R$1,[3]enemies!$1:$1,0)-MATCH($M$1,[3]enemies!$1:$1,0)+1,FALSE)</f>
        <v>#VALUE!</v>
      </c>
      <c r="S4" s="5">
        <v>50</v>
      </c>
      <c r="T4" s="24">
        <v>6</v>
      </c>
      <c r="U4" s="24">
        <v>2.5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4" s="121">
        <v>40015009</v>
      </c>
      <c r="Y4" s="113">
        <v>1</v>
      </c>
    </row>
    <row r="5" spans="1:25" ht="21" customHeight="1" x14ac:dyDescent="0.15">
      <c r="A5" s="15" t="str">
        <f>B5&amp;"_"&amp;C5&amp;"-"&amp;G5&amp;"/"&amp;M5&amp;"&lt;lv"&amp;S5&amp;"&gt;sq"&amp;K5&amp;"st"&amp;L5</f>
        <v>40015_1-4/769&lt;lv50&gt;sq3st3</v>
      </c>
      <c r="B5" s="21">
        <v>40015</v>
      </c>
      <c r="C5" s="20">
        <v>1</v>
      </c>
      <c r="D5" s="2" t="str">
        <f>B5&amp;"_"&amp;C5</f>
        <v>40015_1</v>
      </c>
      <c r="E5" s="4" t="e">
        <f ca="1">VLOOKUP($B5,OFFSET([2]quests!$A$1,0,0,COUNTA([2]quests!$A:$A),MATCH(E$1,[2]quests!$1:$1,0)-MATCH($B$1,[2]quests!$1:$1,0)+1),MATCH(E$1,[2]quests!$1:$1,0)-MATCH($B$1,[2]quests!$1:$1,0)+1,FALSE)</f>
        <v>#VALUE!</v>
      </c>
      <c r="F5" s="4" t="e">
        <f ca="1">VLOOKUP($D5,OFFSET([2]stages!$A$1,0,0,COUNTA([2]stages!$A:$A),MATCH(F$1,[2]stages!$2:$2,0)-MATCH($D$1,[2]stages!$2:$2,0)+1),MATCH(F$1,[2]stages!$2:$2,0)-MATCH($D$1,[2]stages!$2:$2,0)+1,FALSE)</f>
        <v>#VALUE!</v>
      </c>
      <c r="G5" s="20">
        <v>4</v>
      </c>
      <c r="H5" s="14" t="str">
        <f>B5&amp;"_"&amp;C5&amp;"-"&amp;G5</f>
        <v>40015_1-4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3</v>
      </c>
      <c r="L5" s="37">
        <v>3</v>
      </c>
      <c r="M5" s="19">
        <v>769</v>
      </c>
      <c r="N5" s="16" t="e">
        <f ca="1">VLOOKUP($M5,OFFSET([3]enemies!$A$1,0,0,COUNTA([3]enemies!$A:$A),MATCH(N$1,[3]enemies!$1:$1,0)-MATCH($M$1,[3]enemies!$1:$1,0)+1),MATCH(N$1,[3]enemies!$1:$1,0)-MATCH($M$1,[3]enemies!$1:$1,0)+1,FALSE)</f>
        <v>#VALUE!</v>
      </c>
      <c r="O5" s="16" t="e">
        <f ca="1">VLOOKUP($M5,OFFSET([3]enemies!$A$1,0,0,COUNTA([3]enemies!$A:$A),MATCH(O$1,[3]enemies!$1:$1,0)-MATCH($M$1,[3]enemies!$1:$1,0)+1),MATCH(O$1,[3]enemies!$1:$1,0)-MATCH($M$1,[3]enemies!$1:$1,0)+1,FALSE)</f>
        <v>#VALUE!</v>
      </c>
      <c r="P5" s="16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6" t="e">
        <f ca="1">VLOOKUP($M5,OFFSET([3]enemies!$A$1,0,0,COUNTA([3]enemies!$A:$A),MATCH(Q$1,[3]enemies!$1:$1,0)-MATCH($M$1,[3]enemies!$1:$1,0)+1),MATCH(Q$1,[3]enemies!$1:$1,0)-MATCH($M$1,[3]enemies!$1:$1,0)+1,FALSE)</f>
        <v>#VALUE!</v>
      </c>
      <c r="R5" s="16" t="e">
        <f ca="1">VLOOKUP($M5,OFFSET([3]enemies!$A$1,0,0,COUNTA([3]enemies!$A:$A),MATCH(R$1,[3]enemies!$1:$1,0)-MATCH($M$1,[3]enemies!$1:$1,0)+1),MATCH(R$1,[3]enemies!$1:$1,0)-MATCH($M$1,[3]enemies!$1:$1,0)+1,FALSE)</f>
        <v>#VALUE!</v>
      </c>
      <c r="S5" s="5">
        <v>50</v>
      </c>
      <c r="T5" s="24">
        <v>3</v>
      </c>
      <c r="U5" s="24">
        <v>2.5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5" s="121">
        <v>40015010</v>
      </c>
      <c r="Y5" s="113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6"/>
  <sheetViews>
    <sheetView showGridLines="0" zoomScale="85" zoomScaleNormal="85" zoomScalePageLayoutView="85" workbookViewId="0">
      <pane xSplit="5" ySplit="1" topLeftCell="F41" activePane="bottomRight" state="frozen"/>
      <selection pane="topRight"/>
      <selection pane="bottomLeft"/>
      <selection pane="bottomRight" activeCell="F32" sqref="F32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40015001_40015001</v>
      </c>
      <c r="B2" s="46">
        <v>40015001</v>
      </c>
      <c r="C2" s="46">
        <v>40015001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契約の力…確かに渡したよ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何者かが足早に去っていった</v>
      </c>
      <c r="F2" s="46">
        <v>40015001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4" si="1">B3&amp;"_"&amp;C3</f>
        <v>40015002_40015002</v>
      </c>
      <c r="B3" s="46">
        <v>40015002</v>
      </c>
      <c r="C3" s="46">
        <v>40015002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クク…これさえあれば…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この力があれば　俺様がナンバーワンだ！</v>
      </c>
      <c r="F3" s="46">
        <v>40015002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40015002_40015003</v>
      </c>
      <c r="B4" s="46">
        <v>40015002</v>
      </c>
      <c r="C4" s="46">
        <v>40015003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この攻撃を受けてみろ！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" s="46">
        <v>40015003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6"/>
      <c r="Q4" s="46"/>
      <c r="R4" s="46"/>
    </row>
    <row r="5" spans="1:18" ht="21" customHeight="1" x14ac:dyDescent="0.15">
      <c r="A5" s="38" t="str">
        <f t="shared" ref="A5:A12" si="2">B5&amp;"_"&amp;C5</f>
        <v>40015002_40015004</v>
      </c>
      <c r="B5" s="46">
        <v>40015002</v>
      </c>
      <c r="C5" s="46">
        <v>40015004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うおおぉぉ！！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" s="46">
        <v>40015004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2"/>
        <v>40015002_40015005</v>
      </c>
      <c r="B6" s="46">
        <v>40015002</v>
      </c>
      <c r="C6" s="46">
        <v>40015005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グッ…なんだ…体が…！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なにやら様子がおかしい！</v>
      </c>
      <c r="F6" s="46">
        <v>40015005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2"/>
        <v>40015003_40015006</v>
      </c>
      <c r="B7" s="46">
        <v>40015003</v>
      </c>
      <c r="C7" s="46">
        <v>40015006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ヤメロ…俺様は違う…！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言うことを聞キヤガレれェッ…！！</v>
      </c>
      <c r="F7" s="46">
        <v>40015006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2"/>
        <v>40015003_40015007</v>
      </c>
      <c r="B8" s="46">
        <v>40015003</v>
      </c>
      <c r="C8" s="46">
        <v>40015007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クソ…ランスロットォォォ…！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俺様ハ…貴様より強いンダァァ！！</v>
      </c>
      <c r="F8" s="46">
        <v>40015007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52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ref="A9" si="3">B9&amp;"_"&amp;C9</f>
        <v>40015003_40015080</v>
      </c>
      <c r="B9" s="142">
        <v>40015003</v>
      </c>
      <c r="C9" s="142">
        <v>40015080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クソ…ランスロットォォォ…！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俺様ハ…貴様より強いンダァァ！！</v>
      </c>
      <c r="F9" s="142">
        <v>40015080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52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2"/>
        <v>40015003_40015008</v>
      </c>
      <c r="B10" s="46">
        <v>40015003</v>
      </c>
      <c r="C10" s="46">
        <v>40015008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アーサー…ィ…様…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キ危険…デス…逃ゲ…</v>
      </c>
      <c r="F10" s="46">
        <v>40015008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473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ref="A11" si="4">B11&amp;"_"&amp;C11</f>
        <v>40015003_40015081</v>
      </c>
      <c r="B11" s="142">
        <v>40015003</v>
      </c>
      <c r="C11" s="142">
        <v>40015081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アーサー…ィ…様…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キ危険…デス…逃ゲ…</v>
      </c>
      <c r="F11" s="142">
        <v>40015081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472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2"/>
        <v>40015003_40015009</v>
      </c>
      <c r="B12" s="46">
        <v>40015003</v>
      </c>
      <c r="C12" s="46">
        <v>40015009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フハッ…フハハハッ！！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残りHPの5%消費して6回連続攻撃</v>
      </c>
      <c r="F12" s="46">
        <v>40015009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ref="A13:A32" si="5">B13&amp;"_"&amp;C13</f>
        <v>40015003_40015010</v>
      </c>
      <c r="B13" s="46">
        <v>40015003</v>
      </c>
      <c r="C13" s="46">
        <v>40015010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砕ケ散レェッエエ！！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残りHPの10%消費して全体攻撃</v>
      </c>
      <c r="F13" s="46">
        <v>40015010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3" s="47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3" s="46"/>
      <c r="Q13" s="46"/>
      <c r="R13" s="46"/>
    </row>
    <row r="14" spans="1:18" ht="21" customHeight="1" x14ac:dyDescent="0.15">
      <c r="A14" s="38" t="str">
        <f t="shared" si="5"/>
        <v>40015003_40015011</v>
      </c>
      <c r="B14" s="46">
        <v>40015003</v>
      </c>
      <c r="C14" s="46">
        <v>40015011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ヒ…ヒヒヒヒヒッ…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凄まじいエネルギーを感じる</v>
      </c>
      <c r="F14" s="46">
        <v>40015011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5"/>
        <v>40015003_40015012</v>
      </c>
      <c r="B15" s="46">
        <v>40015003</v>
      </c>
      <c r="C15" s="46">
        <v>40015012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オレ様ナンバーワァァン！！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残りHPの50%を消費して強力な一撃！</v>
      </c>
      <c r="F15" s="46">
        <v>40015012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5"/>
        <v>40015003_40015013</v>
      </c>
      <c r="B16" s="46">
        <v>40015003</v>
      </c>
      <c r="C16" s="46">
        <v>40015013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……アッ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ライオネルは固まっている</v>
      </c>
      <c r="F16" s="46">
        <v>40015013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5"/>
        <v>40015004_40015014</v>
      </c>
      <c r="B17" s="46">
        <v>40015004</v>
      </c>
      <c r="C17" s="46">
        <v>40015014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ソウルチェイン！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このフロアの果実は連鎖的に自爆する！</v>
      </c>
      <c r="F17" s="46">
        <v>40015014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5"/>
        <v>40015004_40015015</v>
      </c>
      <c r="B18" s="46">
        <v>40015004</v>
      </c>
      <c r="C18" s="46">
        <v>40015015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チェインブレイク！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仲間を追って爆ぜていった…</v>
      </c>
      <c r="F18" s="46">
        <v>40015015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121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ref="A19" si="6">B19&amp;"_"&amp;C19</f>
        <v>40015005_40015015</v>
      </c>
      <c r="B19" s="46">
        <v>40015005</v>
      </c>
      <c r="C19" s="46">
        <v>40015015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チェインブレイク！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仲間を追って爆ぜていった…</v>
      </c>
      <c r="F19" s="46">
        <v>40015077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122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ref="A20" si="7">B20&amp;"_"&amp;C20</f>
        <v>40015011_40015015</v>
      </c>
      <c r="B20" s="46">
        <v>40015011</v>
      </c>
      <c r="C20" s="46">
        <v>40015015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チェインブレイク！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仲間を追って爆ぜていった…</v>
      </c>
      <c r="F20" s="46">
        <v>40015078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123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5"/>
        <v>40015006_40015016</v>
      </c>
      <c r="B21" s="46">
        <v>40015006</v>
      </c>
      <c r="C21" s="46">
        <v>40015016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大咆哮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出現しているCパネル激烈縮小</v>
      </c>
      <c r="F21" s="46">
        <v>40015016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5"/>
        <v>40015006_40015017</v>
      </c>
      <c r="B22" s="46">
        <v>40015006</v>
      </c>
      <c r="C22" s="46">
        <v>40015017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鋭い爪の一撃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2" s="46">
        <v>40015017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5"/>
        <v>40015006_40015018</v>
      </c>
      <c r="B23" s="46">
        <v>40015006</v>
      </c>
      <c r="C23" s="46">
        <v>40015018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炎球の蓄熱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1ターン攻撃力特大UP＋次の攻撃頻度が1にUP</v>
      </c>
      <c r="F23" s="46">
        <v>40015018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7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3" s="46"/>
      <c r="Q23" s="46"/>
      <c r="R23" s="46"/>
    </row>
    <row r="24" spans="1:18" ht="21" customHeight="1" x14ac:dyDescent="0.15">
      <c r="A24" s="38" t="str">
        <f t="shared" si="5"/>
        <v>40015006_40015019</v>
      </c>
      <c r="B24" s="46">
        <v>40015006</v>
      </c>
      <c r="C24" s="46">
        <v>40015019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炎球の排熱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ハートパネル変換攻撃＋次の攻撃頻度が1にUP</v>
      </c>
      <c r="F24" s="46">
        <v>40015019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" s="46"/>
      <c r="Q24" s="46"/>
      <c r="R24" s="46"/>
    </row>
    <row r="25" spans="1:18" ht="21" customHeight="1" x14ac:dyDescent="0.15">
      <c r="A25" s="38" t="str">
        <f t="shared" si="5"/>
        <v>40015006_40015020</v>
      </c>
      <c r="B25" s="46">
        <v>40015006</v>
      </c>
      <c r="C25" s="46">
        <v>40015020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灼熱衝撃波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全てのプラス効果を解除＋全体攻撃</v>
      </c>
      <c r="F25" s="46">
        <v>40015020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5"/>
        <v>40015007_40015021</v>
      </c>
      <c r="B26" s="46">
        <v>40015007</v>
      </c>
      <c r="C26" s="46">
        <v>40015021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……（大きく息を吸い込んだ！）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26" s="46">
        <v>40015021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si="5"/>
        <v>40015007_40015022</v>
      </c>
      <c r="B27" s="46">
        <v>40015007</v>
      </c>
      <c r="C27" s="46">
        <v>40015022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イグナイトブレス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全体攻撃＋時限式パネル大量生成</v>
      </c>
      <c r="F27" s="46">
        <v>40015022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5"/>
        <v>40015007_40015023</v>
      </c>
      <c r="B28" s="46">
        <v>40015007</v>
      </c>
      <c r="C28" s="46">
        <v>40015023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鋭い爪の一撃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8" s="46">
        <v>40015023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si="5"/>
        <v>40015007_40015024</v>
      </c>
      <c r="B29" s="46">
        <v>40015007</v>
      </c>
      <c r="C29" s="46">
        <v>40015024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灼熱衝撃波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全てのプラス効果を解除＋全体攻撃</v>
      </c>
      <c r="F29" s="46">
        <v>40015024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5"/>
        <v>40015007_40015025</v>
      </c>
      <c r="B30" s="46">
        <v>40015007</v>
      </c>
      <c r="C30" s="46">
        <v>40015025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……（大きく息を吸い込んだ！）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2ターン全属性ダメージ軽減_x000D_＋次のターン青・緑パネルを吸収して大攻撃</v>
      </c>
      <c r="F30" s="46">
        <v>40015025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1" customHeight="1" x14ac:dyDescent="0.15">
      <c r="A31" s="38" t="str">
        <f t="shared" si="5"/>
        <v>40015007_40015026</v>
      </c>
      <c r="B31" s="46">
        <v>40015007</v>
      </c>
      <c r="C31" s="46">
        <v>40015026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イグナイトブレイバー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青パネル吸収攻撃力UP＋緑パネル吸収攻撃</v>
      </c>
      <c r="F31" s="46">
        <v>40015026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ht="21" customHeight="1" x14ac:dyDescent="0.15">
      <c r="A32" s="38" t="str">
        <f t="shared" si="5"/>
        <v>40015008_40015027</v>
      </c>
      <c r="B32" s="46">
        <v>40015008</v>
      </c>
      <c r="C32" s="46">
        <v>40015027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僕は正義のために戦う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さて…キミは何のために戦う？</v>
      </c>
      <c r="F32" s="46">
        <v>40015027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ref="A33:A51" si="8">B33&amp;"_"&amp;C33</f>
        <v>40015008_40015028</v>
      </c>
      <c r="B33" s="46">
        <v>40015008</v>
      </c>
      <c r="C33" s="46">
        <v>40015028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アーサー、どうしてここに？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なんてね…僕を止めに来たんだろ？</v>
      </c>
      <c r="F33" s="46">
        <v>40015028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473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ref="A34" si="9">B34&amp;"_"&amp;C34</f>
        <v>40015008_40015082</v>
      </c>
      <c r="B34" s="142">
        <v>40015008</v>
      </c>
      <c r="C34" s="142">
        <v>40015082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アーサー、どうしてここに？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なんてね…僕を止めに来たんだろ？</v>
      </c>
      <c r="F34" s="142">
        <v>40015082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472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si="8"/>
        <v>40015008_40015029</v>
      </c>
      <c r="B35" s="46">
        <v>40015008</v>
      </c>
      <c r="C35" s="46">
        <v>40015029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…ランス、なぜだ？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彼の右腕だったキミが…なぜ彼を裏切った！</v>
      </c>
      <c r="F35" s="46">
        <v>40015029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ref="A36" si="10">B36&amp;"_"&amp;C36</f>
        <v>40015008_40015083</v>
      </c>
      <c r="B36" s="142">
        <v>40015008</v>
      </c>
      <c r="C36" s="142">
        <v>40015083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…ランス、なぜだ？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彼の右腕だったキミが…なぜ彼を裏切った！</v>
      </c>
      <c r="F36" s="142">
        <v>40015083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si="8"/>
        <v>40015008_40015030</v>
      </c>
      <c r="B37" s="46">
        <v>40015008</v>
      </c>
      <c r="C37" s="46">
        <v>40015030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モルド…残念だよ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キミは彼と敵対する邪道を選んだ…！</v>
      </c>
      <c r="F37" s="46">
        <v>40015030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468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ref="A38" si="11">B38&amp;"_"&amp;C38</f>
        <v>40015008_40015084</v>
      </c>
      <c r="B38" s="142">
        <v>40015008</v>
      </c>
      <c r="C38" s="142">
        <v>40015084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モルド…残念だよ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キミは彼と敵対する邪道を選んだ…！</v>
      </c>
      <c r="F38" s="142">
        <v>40015084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 t="shared" si="8"/>
        <v>40015008_40015031</v>
      </c>
      <c r="B39" s="46">
        <v>40015008</v>
      </c>
      <c r="C39" s="46">
        <v>40015031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ガウェイン…老…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貴方の言葉でも…こればかりは譲れません</v>
      </c>
      <c r="F39" s="46">
        <v>40015031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464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6"/>
      <c r="R39" s="46"/>
    </row>
    <row r="40" spans="1:18" ht="21" customHeight="1" x14ac:dyDescent="0.15">
      <c r="A40" s="38" t="str">
        <f t="shared" ref="A40" si="12">B40&amp;"_"&amp;C40</f>
        <v>40015008_40015085</v>
      </c>
      <c r="B40" s="142">
        <v>40015008</v>
      </c>
      <c r="C40" s="142">
        <v>40015085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ガウェイン…老…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貴方の言葉でも…こればかりは譲れません</v>
      </c>
      <c r="F40" s="142">
        <v>40015085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7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463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 t="shared" ref="A41" si="13">B41&amp;"_"&amp;C41</f>
        <v>40015008_40015086</v>
      </c>
      <c r="B41" s="142">
        <v>40015008</v>
      </c>
      <c r="C41" s="142">
        <v>40015086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ガウェイン…老…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貴方の言葉でも…こればかりは譲れません</v>
      </c>
      <c r="F41" s="142">
        <v>40015086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462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 t="shared" si="8"/>
        <v>40015008_40015032</v>
      </c>
      <c r="B42" s="46">
        <v>40015008</v>
      </c>
      <c r="C42" s="46">
        <v>40015032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トリス…キミは「未定」だろ？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信じるものもなく戦っちゃダメだ…帰りな</v>
      </c>
      <c r="F42" s="46">
        <v>40015032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471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 t="shared" ref="A43:A44" si="14">B43&amp;"_"&amp;C43</f>
        <v>40015008_40015087</v>
      </c>
      <c r="B43" s="142">
        <v>40015008</v>
      </c>
      <c r="C43" s="142">
        <v>40015087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トリス…キミは"未定"だろ？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信じるものもなく戦っちゃダメだ…帰りな</v>
      </c>
      <c r="F43" s="142">
        <v>40015087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470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x14ac:dyDescent="0.15">
      <c r="A44" s="38" t="str">
        <f t="shared" si="14"/>
        <v>40015008_40015088</v>
      </c>
      <c r="B44" s="142">
        <v>40015008</v>
      </c>
      <c r="C44" s="142">
        <v>40015088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トリス…キミは"未定"だろ？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信じるものもなく戦っちゃダメだ…帰りな</v>
      </c>
      <c r="F44" s="142">
        <v>40015088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469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1" customHeight="1" x14ac:dyDescent="0.15">
      <c r="A45" s="38" t="str">
        <f t="shared" si="8"/>
        <v>40015008_40015033</v>
      </c>
      <c r="B45" s="46">
        <v>40015008</v>
      </c>
      <c r="C45" s="46">
        <v>40015033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パーシ、まだ揺れてるのか？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それがキミの弱さだって…知ってるはずだぜ</v>
      </c>
      <c r="F45" s="46">
        <v>40015033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234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ref="A46:A47" si="15">B46&amp;"_"&amp;C46</f>
        <v>40015008_40015089</v>
      </c>
      <c r="B46" s="142">
        <v>40015008</v>
      </c>
      <c r="C46" s="142">
        <v>40015089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パーシ、まだ揺れてるのか？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それがキミの弱さだって…知ってるはずだぜ</v>
      </c>
      <c r="F46" s="142">
        <v>40015089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233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si="15"/>
        <v>40015008_40015090</v>
      </c>
      <c r="B47" s="142">
        <v>40015008</v>
      </c>
      <c r="C47" s="142">
        <v>40015090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パーシ、まだ揺れてるのか？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それがキミの弱さだって…知ってるはずだぜ</v>
      </c>
      <c r="F47" s="142">
        <v>40015090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232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ht="21" customHeight="1" x14ac:dyDescent="0.15">
      <c r="A48" s="38" t="str">
        <f t="shared" si="8"/>
        <v>40015008_40015034</v>
      </c>
      <c r="B48" s="46">
        <v>40015008</v>
      </c>
      <c r="C48" s="46">
        <v>40015034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へぇ…ライオネル…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やっぱりキミの覚悟はその程度だったか</v>
      </c>
      <c r="F48" s="46">
        <v>40015034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765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6"/>
      <c r="R48" s="46"/>
    </row>
    <row r="49" spans="1:18" ht="21" customHeight="1" x14ac:dyDescent="0.15">
      <c r="A49" s="38" t="str">
        <f t="shared" ref="A49" si="16">B49&amp;"_"&amp;C49</f>
        <v>40015008_40015091</v>
      </c>
      <c r="B49" s="142">
        <v>40015008</v>
      </c>
      <c r="C49" s="142">
        <v>40015091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へぇ…ライオネル…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やっぱりキミの覚悟はその程度だったか</v>
      </c>
      <c r="F49" s="142">
        <v>40015091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764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ht="21" customHeight="1" x14ac:dyDescent="0.15">
      <c r="A50" s="38" t="str">
        <f t="shared" si="8"/>
        <v>40015008_40015035</v>
      </c>
      <c r="B50" s="46">
        <v>40015008</v>
      </c>
      <c r="C50" s="46">
        <v>40015035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デスクリーブ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3ターンウィルス＋攻撃</v>
      </c>
      <c r="F50" s="46">
        <v>40015035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0" s="4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0" s="46"/>
      <c r="Q50" s="46"/>
      <c r="R50" s="46"/>
    </row>
    <row r="51" spans="1:18" ht="21" customHeight="1" x14ac:dyDescent="0.15">
      <c r="A51" s="38" t="str">
        <f t="shared" si="8"/>
        <v>40015008_40015036</v>
      </c>
      <c r="B51" s="46">
        <v>40015008</v>
      </c>
      <c r="C51" s="46">
        <v>40015036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サイクロンソード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1" s="46">
        <v>40015036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6"/>
      <c r="R51" s="46"/>
    </row>
    <row r="52" spans="1:18" ht="21" customHeight="1" x14ac:dyDescent="0.15">
      <c r="A52" s="38" t="str">
        <f t="shared" ref="A52:A74" si="17">B52&amp;"_"&amp;C52</f>
        <v>40015008_40015037</v>
      </c>
      <c r="B52" s="46">
        <v>40015008</v>
      </c>
      <c r="C52" s="46">
        <v>40015037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シューティングスター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種族ドラゴンのユニットに大ダメージ</v>
      </c>
      <c r="F52" s="46">
        <v>40015037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7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6"/>
      <c r="R52" s="46"/>
    </row>
    <row r="53" spans="1:18" ht="21" customHeight="1" x14ac:dyDescent="0.15">
      <c r="A53" s="38" t="str">
        <f t="shared" si="17"/>
        <v>40015008_40015038</v>
      </c>
      <c r="B53" s="46">
        <v>40015008</v>
      </c>
      <c r="C53" s="46">
        <v>40015038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ブリリアント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5ターン自身の攻撃力をUP</v>
      </c>
      <c r="F53" s="46">
        <v>40015038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7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7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6"/>
      <c r="R53" s="46"/>
    </row>
    <row r="54" spans="1:18" ht="21" customHeight="1" x14ac:dyDescent="0.15">
      <c r="A54" s="38" t="str">
        <f t="shared" si="17"/>
        <v>40015008_40015039</v>
      </c>
      <c r="B54" s="46">
        <v>40015008</v>
      </c>
      <c r="C54" s="46">
        <v>40015039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クラッシュフォール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10ターンCパネル生成激烈延長</v>
      </c>
      <c r="F54" s="46">
        <v>40015039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7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7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6"/>
      <c r="Q54" s="46"/>
      <c r="R54" s="46"/>
    </row>
    <row r="55" spans="1:18" ht="21" customHeight="1" x14ac:dyDescent="0.15">
      <c r="A55" s="38" t="str">
        <f t="shared" si="17"/>
        <v>40015009_40015040</v>
      </c>
      <c r="B55" s="143">
        <v>40015009</v>
      </c>
      <c r="C55" s="143">
        <v>40015040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不義の輩を排除すること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それが正義に属する者の使命だ</v>
      </c>
      <c r="F55" s="46">
        <v>40015040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6"/>
      <c r="Q55" s="46"/>
      <c r="R55" s="46"/>
    </row>
    <row r="56" spans="1:18" ht="21" customHeight="1" x14ac:dyDescent="0.15">
      <c r="A56" s="38" t="str">
        <f t="shared" si="17"/>
        <v>40015009_40015041</v>
      </c>
      <c r="B56" s="143">
        <v>40015009</v>
      </c>
      <c r="C56" s="143">
        <v>40015041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…キミのそういう所が好きだよ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だからこそ…僕はキミの刃になると決めたんだ</v>
      </c>
      <c r="F56" s="46">
        <v>40015041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473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6"/>
      <c r="Q56" s="46"/>
      <c r="R56" s="46"/>
    </row>
    <row r="57" spans="1:18" ht="21" customHeight="1" x14ac:dyDescent="0.15">
      <c r="A57" s="38" t="str">
        <f t="shared" ref="A57" si="18">B57&amp;"_"&amp;C57</f>
        <v>40015009_40015092</v>
      </c>
      <c r="B57" s="142">
        <v>40015009</v>
      </c>
      <c r="C57" s="142">
        <v>40015092</v>
      </c>
      <c r="D57" s="4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…キミのそういう所が好きだよ</v>
      </c>
      <c r="E57" s="4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だからこそ…僕はキミの刃になると決めたんだ</v>
      </c>
      <c r="F57" s="142">
        <v>40015092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7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472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6"/>
      <c r="Q57" s="46"/>
      <c r="R57" s="46"/>
    </row>
    <row r="58" spans="1:18" ht="21" customHeight="1" x14ac:dyDescent="0.15">
      <c r="A58" s="38" t="str">
        <f t="shared" si="17"/>
        <v>40015009_40015042</v>
      </c>
      <c r="B58" s="143">
        <v>40015009</v>
      </c>
      <c r="C58" s="143">
        <v>40015042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正直、僕は幻滅している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キミが一番　彼の信頼を得ていたのに…！</v>
      </c>
      <c r="F58" s="46">
        <v>40015042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7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7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6"/>
      <c r="R58" s="46"/>
    </row>
    <row r="59" spans="1:18" ht="21" customHeight="1" x14ac:dyDescent="0.15">
      <c r="A59" s="38" t="str">
        <f t="shared" ref="A59" si="19">B59&amp;"_"&amp;C59</f>
        <v>40015009_40015093</v>
      </c>
      <c r="B59" s="142">
        <v>40015009</v>
      </c>
      <c r="C59" s="142">
        <v>40015093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正直、僕は幻滅している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キミが一番　彼の信頼を得ていたのに…！</v>
      </c>
      <c r="F59" s="142">
        <v>40015093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7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7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  <row r="60" spans="1:18" ht="21" customHeight="1" x14ac:dyDescent="0.15">
      <c r="A60" s="38" t="str">
        <f t="shared" si="17"/>
        <v>40015009_40015043</v>
      </c>
      <c r="B60" s="143">
        <v>40015009</v>
      </c>
      <c r="C60" s="143">
        <v>40015043</v>
      </c>
      <c r="D60" s="4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違う…彼は何も変わってない</v>
      </c>
      <c r="E60" s="4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変わったのは　キミの志のほうだ…！</v>
      </c>
      <c r="F60" s="46">
        <v>40015043</v>
      </c>
      <c r="G60" s="4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60" s="4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7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7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7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468</v>
      </c>
      <c r="O60" s="4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6"/>
      <c r="Q60" s="46"/>
      <c r="R60" s="46"/>
    </row>
    <row r="61" spans="1:18" ht="21" customHeight="1" x14ac:dyDescent="0.15">
      <c r="A61" s="38" t="str">
        <f t="shared" ref="A61" si="20">B61&amp;"_"&amp;C61</f>
        <v>40015009_40015094</v>
      </c>
      <c r="B61" s="142">
        <v>40015009</v>
      </c>
      <c r="C61" s="142">
        <v>40015094</v>
      </c>
      <c r="D61" s="4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違う…彼は何も変わってない</v>
      </c>
      <c r="E61" s="4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変わったのは　キミの志のほうだ…！</v>
      </c>
      <c r="F61" s="142">
        <v>40015094</v>
      </c>
      <c r="G61" s="4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7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61" s="4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7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7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7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7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61" s="4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6"/>
      <c r="Q61" s="46"/>
      <c r="R61" s="46"/>
    </row>
    <row r="62" spans="1:18" ht="21" customHeight="1" x14ac:dyDescent="0.15">
      <c r="A62" s="38" t="str">
        <f t="shared" si="17"/>
        <v>40015009_40015044</v>
      </c>
      <c r="B62" s="143">
        <v>40015009</v>
      </c>
      <c r="C62" s="143">
        <v>40015044</v>
      </c>
      <c r="D62" s="4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貴方も分かっているはずだ</v>
      </c>
      <c r="E62" s="4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理想のため　誰かが動かねばならないと！</v>
      </c>
      <c r="F62" s="46">
        <v>40015044</v>
      </c>
      <c r="G62" s="4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7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62" s="4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7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7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7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7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464</v>
      </c>
      <c r="O62" s="4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6"/>
      <c r="Q62" s="46"/>
      <c r="R62" s="46"/>
    </row>
    <row r="63" spans="1:18" ht="21" customHeight="1" x14ac:dyDescent="0.15">
      <c r="A63" s="38" t="str">
        <f t="shared" ref="A63" si="21">B63&amp;"_"&amp;C63</f>
        <v>40015009_40015095</v>
      </c>
      <c r="B63" s="142">
        <v>40015009</v>
      </c>
      <c r="C63" s="142">
        <v>40015095</v>
      </c>
      <c r="D63" s="45" t="str">
        <f ca="1">VLOOKUP($C63,OFFSET(enemy_skills!$A$1,0,0,COUNTA(enemy_skills!$A:$A),MATCH(D$1,enemy_skills!$1:$1,0)-MATCH("enemy_skill_id",enemy_skills!$1:$1,0)+1),MATCH(D$1,enemy_skills!$1:$1,0)-MATCH("enemy_skill_id",enemy_skills!$1:$1,0)+1,FALSE)</f>
        <v>貴方も分かっているはずだ</v>
      </c>
      <c r="E63" s="45" t="str">
        <f ca="1">VLOOKUP($C63,OFFSET(enemy_skills!$A$1,0,0,COUNTA(enemy_skills!$A:$A),MATCH(E$1,enemy_skills!$1:$1,0)-MATCH("enemy_skill_id",enemy_skills!$1:$1,0)+1),MATCH(E$1,enemy_skills!$1:$1,0)-MATCH("enemy_skill_id",enemy_skills!$1:$1,0)+1,FALSE)</f>
        <v>理想のため　誰かが動かねばならないと！</v>
      </c>
      <c r="F63" s="142">
        <v>40015095</v>
      </c>
      <c r="G63" s="4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7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63" s="4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7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7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7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7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463</v>
      </c>
      <c r="O63" s="4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6"/>
      <c r="Q63" s="46"/>
      <c r="R63" s="46"/>
    </row>
    <row r="64" spans="1:18" ht="21" customHeight="1" x14ac:dyDescent="0.15">
      <c r="A64" s="38" t="str">
        <f t="shared" ref="A64" si="22">B64&amp;"_"&amp;C64</f>
        <v>40015009_40015096</v>
      </c>
      <c r="B64" s="142">
        <v>40015009</v>
      </c>
      <c r="C64" s="142">
        <v>40015096</v>
      </c>
      <c r="D64" s="45" t="str">
        <f ca="1">VLOOKUP($C64,OFFSET(enemy_skills!$A$1,0,0,COUNTA(enemy_skills!$A:$A),MATCH(D$1,enemy_skills!$1:$1,0)-MATCH("enemy_skill_id",enemy_skills!$1:$1,0)+1),MATCH(D$1,enemy_skills!$1:$1,0)-MATCH("enemy_skill_id",enemy_skills!$1:$1,0)+1,FALSE)</f>
        <v>貴方も分かっているはずだ</v>
      </c>
      <c r="E64" s="45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理想のため　誰かが動かねばならないと！</v>
      </c>
      <c r="F64" s="142">
        <v>40015096</v>
      </c>
      <c r="G64" s="4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64" s="4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7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7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7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7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462</v>
      </c>
      <c r="O64" s="4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6"/>
      <c r="Q64" s="46"/>
      <c r="R64" s="46"/>
    </row>
    <row r="65" spans="1:18" ht="21" customHeight="1" x14ac:dyDescent="0.15">
      <c r="A65" s="38" t="str">
        <f t="shared" si="17"/>
        <v>40015009_40015045</v>
      </c>
      <c r="B65" s="143">
        <v>40015009</v>
      </c>
      <c r="C65" s="143">
        <v>40015045</v>
      </c>
      <c r="D65" s="45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どうした…なぜ帰らない？</v>
      </c>
      <c r="E65" s="45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キミが僕を止める理由は無いはずだ</v>
      </c>
      <c r="F65" s="46">
        <v>40015045</v>
      </c>
      <c r="G65" s="47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7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65" s="47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7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7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7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7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7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471</v>
      </c>
      <c r="O65" s="47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6"/>
      <c r="Q65" s="46"/>
      <c r="R65" s="46"/>
    </row>
    <row r="66" spans="1:18" ht="21" customHeight="1" x14ac:dyDescent="0.15">
      <c r="A66" s="38" t="str">
        <f t="shared" ref="A66" si="23">B66&amp;"_"&amp;C66</f>
        <v>40015009_40015097</v>
      </c>
      <c r="B66" s="142">
        <v>40015009</v>
      </c>
      <c r="C66" s="142">
        <v>40015097</v>
      </c>
      <c r="D66" s="45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どうした…なぜ帰らない？</v>
      </c>
      <c r="E66" s="45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キミが僕を止める理由は無いはずだ</v>
      </c>
      <c r="F66" s="142">
        <v>40015097</v>
      </c>
      <c r="G66" s="47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7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66" s="47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7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7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7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7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7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470</v>
      </c>
      <c r="O66" s="47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6"/>
      <c r="Q66" s="46"/>
      <c r="R66" s="46"/>
    </row>
    <row r="67" spans="1:18" ht="21" customHeight="1" x14ac:dyDescent="0.15">
      <c r="A67" s="38" t="str">
        <f t="shared" ref="A67" si="24">B67&amp;"_"&amp;C67</f>
        <v>40015009_40015098</v>
      </c>
      <c r="B67" s="142">
        <v>40015009</v>
      </c>
      <c r="C67" s="142">
        <v>40015098</v>
      </c>
      <c r="D67" s="45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どうした…なぜ帰らない？</v>
      </c>
      <c r="E67" s="45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キミが僕を止める理由は無いはずだ</v>
      </c>
      <c r="F67" s="142">
        <v>40015098</v>
      </c>
      <c r="G67" s="4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67" s="4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7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7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7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7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469</v>
      </c>
      <c r="O67" s="4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6"/>
      <c r="Q67" s="46"/>
      <c r="R67" s="46"/>
    </row>
    <row r="68" spans="1:18" ht="21" customHeight="1" x14ac:dyDescent="0.15">
      <c r="A68" s="38" t="str">
        <f t="shared" si="17"/>
        <v>40015009_40015046</v>
      </c>
      <c r="B68" s="143">
        <v>40015009</v>
      </c>
      <c r="C68" s="143">
        <v>40015046</v>
      </c>
      <c r="D68" s="45" t="str">
        <f ca="1">VLOOKUP($C68,OFFSET(enemy_skills!$A$1,0,0,COUNTA(enemy_skills!$A:$A),MATCH(D$1,enemy_skills!$1:$1,0)-MATCH("enemy_skill_id",enemy_skills!$1:$1,0)+1),MATCH(D$1,enemy_skills!$1:$1,0)-MATCH("enemy_skill_id",enemy_skills!$1:$1,0)+1,FALSE)</f>
        <v>悩みってヤツは2種類ある</v>
      </c>
      <c r="E68" s="45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キミのは　自分を誤魔化してるだけさ</v>
      </c>
      <c r="F68" s="46">
        <v>40015046</v>
      </c>
      <c r="G68" s="47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7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68" s="4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7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7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7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7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234</v>
      </c>
      <c r="O68" s="4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6"/>
      <c r="Q68" s="46"/>
      <c r="R68" s="46"/>
    </row>
    <row r="69" spans="1:18" ht="21" customHeight="1" x14ac:dyDescent="0.15">
      <c r="A69" s="38" t="str">
        <f t="shared" ref="A69" si="25">B69&amp;"_"&amp;C69</f>
        <v>40015009_40015099</v>
      </c>
      <c r="B69" s="142">
        <v>40015009</v>
      </c>
      <c r="C69" s="142">
        <v>40015099</v>
      </c>
      <c r="D69" s="45" t="str">
        <f ca="1">VLOOKUP($C69,OFFSET(enemy_skills!$A$1,0,0,COUNTA(enemy_skills!$A:$A),MATCH(D$1,enemy_skills!$1:$1,0)-MATCH("enemy_skill_id",enemy_skills!$1:$1,0)+1),MATCH(D$1,enemy_skills!$1:$1,0)-MATCH("enemy_skill_id",enemy_skills!$1:$1,0)+1,FALSE)</f>
        <v>悩みってヤツは2種類ある</v>
      </c>
      <c r="E69" s="45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キミのは　自分を誤魔化してるだけさ</v>
      </c>
      <c r="F69" s="142">
        <v>40015099</v>
      </c>
      <c r="G69" s="47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7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69" s="47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7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7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7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7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7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233</v>
      </c>
      <c r="O69" s="47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6"/>
      <c r="Q69" s="46"/>
      <c r="R69" s="46"/>
    </row>
    <row r="70" spans="1:18" ht="21" customHeight="1" x14ac:dyDescent="0.15">
      <c r="A70" s="38" t="str">
        <f t="shared" ref="A70" si="26">B70&amp;"_"&amp;C70</f>
        <v>40015009_40015100</v>
      </c>
      <c r="B70" s="142">
        <v>40015009</v>
      </c>
      <c r="C70" s="142">
        <v>40015100</v>
      </c>
      <c r="D70" s="45" t="str">
        <f ca="1">VLOOKUP($C70,OFFSET(enemy_skills!$A$1,0,0,COUNTA(enemy_skills!$A:$A),MATCH(D$1,enemy_skills!$1:$1,0)-MATCH("enemy_skill_id",enemy_skills!$1:$1,0)+1),MATCH(D$1,enemy_skills!$1:$1,0)-MATCH("enemy_skill_id",enemy_skills!$1:$1,0)+1,FALSE)</f>
        <v>悩みってヤツは2種類ある</v>
      </c>
      <c r="E70" s="45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キミのは　自分を誤魔化してるだけさ</v>
      </c>
      <c r="F70" s="142">
        <v>40015100</v>
      </c>
      <c r="G70" s="47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7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70" s="47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7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7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7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7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7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232</v>
      </c>
      <c r="O70" s="47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6"/>
      <c r="Q70" s="46"/>
      <c r="R70" s="46"/>
    </row>
    <row r="71" spans="1:18" ht="21" customHeight="1" x14ac:dyDescent="0.15">
      <c r="A71" s="38" t="str">
        <f t="shared" si="17"/>
        <v>40015009_40015047</v>
      </c>
      <c r="B71" s="143">
        <v>40015009</v>
      </c>
      <c r="C71" s="143">
        <v>40015047</v>
      </c>
      <c r="D71" s="45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もう何を言っても無駄だ</v>
      </c>
      <c r="E71" s="45" t="str">
        <f ca="1">VLOOKUP($C71,OFFSET(enemy_skills!$A$1,0,0,COUNTA(enemy_skills!$A:$A),MATCH(E$1,enemy_skills!$1:$1,0)-MATCH("enemy_skill_id",enemy_skills!$1:$1,0)+1),MATCH(E$1,enemy_skills!$1:$1,0)-MATCH("enemy_skill_id",enemy_skills!$1:$1,0)+1,FALSE)</f>
        <v>意見がコロコロ変わるのに信用できねーよ</v>
      </c>
      <c r="F71" s="46">
        <v>40015047</v>
      </c>
      <c r="G71" s="47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7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71" s="47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7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7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7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7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7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765</v>
      </c>
      <c r="O71" s="47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6"/>
      <c r="Q71" s="46"/>
      <c r="R71" s="46"/>
    </row>
    <row r="72" spans="1:18" ht="21" customHeight="1" x14ac:dyDescent="0.15">
      <c r="A72" s="38" t="str">
        <f t="shared" ref="A72" si="27">B72&amp;"_"&amp;C72</f>
        <v>40015009_40015101</v>
      </c>
      <c r="B72" s="142">
        <v>40015009</v>
      </c>
      <c r="C72" s="142">
        <v>40015101</v>
      </c>
      <c r="D72" s="45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もう何を言っても無駄だ</v>
      </c>
      <c r="E72" s="45" t="str">
        <f ca="1">VLOOKUP($C72,OFFSET(enemy_skills!$A$1,0,0,COUNTA(enemy_skills!$A:$A),MATCH(E$1,enemy_skills!$1:$1,0)-MATCH("enemy_skill_id",enemy_skills!$1:$1,0)+1),MATCH(E$1,enemy_skills!$1:$1,0)-MATCH("enemy_skill_id",enemy_skills!$1:$1,0)+1,FALSE)</f>
        <v>意見がコロコロ変わるのに信用できねーよ</v>
      </c>
      <c r="F72" s="142">
        <v>40015101</v>
      </c>
      <c r="G72" s="47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7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72" s="47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7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7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7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7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7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764</v>
      </c>
      <c r="O72" s="47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6"/>
      <c r="Q72" s="46"/>
      <c r="R72" s="46"/>
    </row>
    <row r="73" spans="1:18" ht="21" customHeight="1" x14ac:dyDescent="0.15">
      <c r="A73" s="38" t="str">
        <f t="shared" si="17"/>
        <v>40015009_40015048</v>
      </c>
      <c r="B73" s="143">
        <v>40015009</v>
      </c>
      <c r="C73" s="143">
        <v>40015048</v>
      </c>
      <c r="D73" s="45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エクスイレイザーTHI</v>
      </c>
      <c r="E73" s="45" t="str">
        <f ca="1">VLOOKUP($C73,OFFSET(enemy_skills!$A$1,0,0,COUNTA(enemy_skills!$A:$A),MATCH(E$1,enemy_skills!$1:$1,0)-MATCH("enemy_skill_id",enemy_skills!$1:$1,0)+1),MATCH(E$1,enemy_skills!$1:$1,0)-MATCH("enemy_skill_id",enemy_skills!$1:$1,0)+1,FALSE)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73" s="46">
        <v>40015048</v>
      </c>
      <c r="G73" s="47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7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73" s="4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7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7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66</v>
      </c>
      <c r="L73" s="47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7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7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6"/>
      <c r="Q73" s="46"/>
      <c r="R73" s="46"/>
    </row>
    <row r="74" spans="1:18" ht="21" customHeight="1" x14ac:dyDescent="0.15">
      <c r="A74" s="38" t="str">
        <f t="shared" si="17"/>
        <v>40015009_40015049</v>
      </c>
      <c r="B74" s="143">
        <v>40015009</v>
      </c>
      <c r="C74" s="143">
        <v>40015049</v>
      </c>
      <c r="D74" s="45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エクスイレイザーTHI</v>
      </c>
      <c r="E74" s="45" t="str">
        <f ca="1">VLOOKUP($C74,OFFSET(enemy_skills!$A$1,0,0,COUNTA(enemy_skills!$A:$A),MATCH(E$1,enemy_skills!$1:$1,0)-MATCH("enemy_skill_id",enemy_skills!$1:$1,0)+1),MATCH(E$1,enemy_skills!$1:$1,0)-MATCH("enemy_skill_id",enemy_skills!$1:$1,0)+1,FALSE)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74" s="46">
        <v>40015049</v>
      </c>
      <c r="G74" s="47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7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74" s="47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7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74" s="47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33</v>
      </c>
      <c r="L74" s="47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7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7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7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6"/>
      <c r="Q74" s="46"/>
      <c r="R74" s="46"/>
    </row>
    <row r="75" spans="1:18" ht="21" customHeight="1" x14ac:dyDescent="0.15">
      <c r="A75" s="38" t="str">
        <f t="shared" ref="A75" si="28">B75&amp;"_"&amp;C75</f>
        <v>40015009_40015050</v>
      </c>
      <c r="B75" s="143">
        <v>40015009</v>
      </c>
      <c r="C75" s="143">
        <v>40015050</v>
      </c>
      <c r="D75" s="45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エクスイレイザーTHI</v>
      </c>
      <c r="E75" s="45" t="str">
        <f ca="1">VLOOKUP($C75,OFFSET(enemy_skills!$A$1,0,0,COUNTA(enemy_skills!$A:$A),MATCH(E$1,enemy_skills!$1:$1,0)-MATCH("enemy_skill_id",enemy_skills!$1:$1,0)+1),MATCH(E$1,enemy_skills!$1:$1,0)-MATCH("enemy_skill_id",enemy_skills!$1:$1,0)+1,FALSE)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75" s="46">
        <v>40015050</v>
      </c>
      <c r="G75" s="47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7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75" s="47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7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75" s="47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7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7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7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7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6"/>
      <c r="Q75" s="46"/>
      <c r="R75" s="46"/>
    </row>
    <row r="76" spans="1:18" ht="21" customHeight="1" x14ac:dyDescent="0.15">
      <c r="A76" s="38" t="str">
        <f t="shared" ref="A76:A82" si="29">B76&amp;"_"&amp;C76</f>
        <v>40015009_40015052</v>
      </c>
      <c r="B76" s="143">
        <v>40015009</v>
      </c>
      <c r="C76" s="143">
        <v>40015052</v>
      </c>
      <c r="D76" s="45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エクスイレイザーSEC</v>
      </c>
      <c r="E76" s="45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カウンター解除＋8回連続攻撃</v>
      </c>
      <c r="F76" s="46">
        <v>40015052</v>
      </c>
      <c r="G76" s="47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7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76" s="47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7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7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66</v>
      </c>
      <c r="L76" s="47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7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7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7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6"/>
      <c r="Q76" s="46"/>
      <c r="R76" s="46"/>
    </row>
    <row r="77" spans="1:18" ht="21" customHeight="1" x14ac:dyDescent="0.15">
      <c r="A77" s="38" t="str">
        <f t="shared" si="29"/>
        <v>40015009_40015053</v>
      </c>
      <c r="B77" s="143">
        <v>40015009</v>
      </c>
      <c r="C77" s="143">
        <v>40015053</v>
      </c>
      <c r="D77" s="45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エクスイレイザーSEC</v>
      </c>
      <c r="E77" s="45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カウンター解除＋8回連続攻撃</v>
      </c>
      <c r="F77" s="46">
        <v>40015053</v>
      </c>
      <c r="G77" s="4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7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77" s="4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7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77" s="47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33</v>
      </c>
      <c r="L77" s="47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7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7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6"/>
      <c r="Q77" s="46"/>
      <c r="R77" s="46"/>
    </row>
    <row r="78" spans="1:18" ht="21" customHeight="1" x14ac:dyDescent="0.15">
      <c r="A78" s="38" t="str">
        <f t="shared" si="29"/>
        <v>40015009_40015054</v>
      </c>
      <c r="B78" s="143">
        <v>40015009</v>
      </c>
      <c r="C78" s="143">
        <v>40015054</v>
      </c>
      <c r="D78" s="45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エクスイレイザーSEC</v>
      </c>
      <c r="E78" s="45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カウンター解除＋8回連続攻撃</v>
      </c>
      <c r="F78" s="46">
        <v>40015054</v>
      </c>
      <c r="G78" s="47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7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78" s="47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7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78" s="47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7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7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7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7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6"/>
      <c r="Q78" s="46"/>
      <c r="R78" s="46"/>
    </row>
    <row r="79" spans="1:18" ht="21" customHeight="1" x14ac:dyDescent="0.15">
      <c r="A79" s="38" t="str">
        <f t="shared" si="29"/>
        <v>40015009_40015056</v>
      </c>
      <c r="B79" s="143">
        <v>40015009</v>
      </c>
      <c r="C79" s="143">
        <v>40015056</v>
      </c>
      <c r="D79" s="45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エクスイレイザーFIR</v>
      </c>
      <c r="E79" s="45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カウンター解除＋強力な連続攻撃</v>
      </c>
      <c r="F79" s="46">
        <v>40015056</v>
      </c>
      <c r="G79" s="47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7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79" s="47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7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7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66</v>
      </c>
      <c r="L79" s="47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7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7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7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6"/>
      <c r="Q79" s="46"/>
      <c r="R79" s="46"/>
    </row>
    <row r="80" spans="1:18" ht="21" customHeight="1" x14ac:dyDescent="0.15">
      <c r="A80" s="38" t="str">
        <f t="shared" si="29"/>
        <v>40015009_40015057</v>
      </c>
      <c r="B80" s="143">
        <v>40015009</v>
      </c>
      <c r="C80" s="143">
        <v>40015057</v>
      </c>
      <c r="D80" s="45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エクスイレイザーFIR</v>
      </c>
      <c r="E80" s="45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カウンター解除＋強力な連続攻撃</v>
      </c>
      <c r="F80" s="46">
        <v>40015057</v>
      </c>
      <c r="G80" s="47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7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80" s="47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7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80" s="47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33</v>
      </c>
      <c r="L80" s="47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7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7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7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6"/>
      <c r="Q80" s="46"/>
      <c r="R80" s="46"/>
    </row>
    <row r="81" spans="1:18" ht="21" customHeight="1" x14ac:dyDescent="0.15">
      <c r="A81" s="38" t="str">
        <f t="shared" si="29"/>
        <v>40015009_40015058</v>
      </c>
      <c r="B81" s="143">
        <v>40015009</v>
      </c>
      <c r="C81" s="143">
        <v>40015058</v>
      </c>
      <c r="D81" s="45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エクスイレイザーFIR</v>
      </c>
      <c r="E81" s="45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カウンター解除＋強力な連続攻撃</v>
      </c>
      <c r="F81" s="46">
        <v>40015058</v>
      </c>
      <c r="G81" s="47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7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81" s="47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7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81" s="47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7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7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7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7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6"/>
      <c r="Q81" s="46"/>
      <c r="R81" s="46"/>
    </row>
    <row r="82" spans="1:18" ht="21" customHeight="1" x14ac:dyDescent="0.15">
      <c r="A82" s="38" t="str">
        <f t="shared" si="29"/>
        <v>40015009_40015059</v>
      </c>
      <c r="B82" s="143">
        <v>40015009</v>
      </c>
      <c r="C82" s="143">
        <v>40015059</v>
      </c>
      <c r="D82" s="45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エクスイレイザーABS</v>
      </c>
      <c r="E82" s="45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全てのプラス効果を解除＋致命的な連続攻撃</v>
      </c>
      <c r="F82" s="46">
        <v>40015059</v>
      </c>
      <c r="G82" s="47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7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2" s="47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7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7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7" t="str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2" s="47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7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7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6"/>
      <c r="Q82" s="46"/>
      <c r="R82" s="46"/>
    </row>
    <row r="83" spans="1:18" ht="21" customHeight="1" x14ac:dyDescent="0.15">
      <c r="A83" s="38" t="str">
        <f t="shared" ref="A83:A84" si="30">B83&amp;"_"&amp;C83</f>
        <v>40015009_40015051</v>
      </c>
      <c r="B83" s="143">
        <v>40015009</v>
      </c>
      <c r="C83" s="143">
        <v>40015051</v>
      </c>
      <c r="D83" s="45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カースオブマジック</v>
      </c>
      <c r="E83" s="45" t="str">
        <f ca="1">VLOOKUP($C83,OFFSET(enemy_skills!$A$1,0,0,COUNTA(enemy_skills!$A:$A),MATCH(E$1,enemy_skills!$1:$1,0)-MATCH("enemy_skill_id",enemy_skills!$1:$1,0)+1),MATCH(E$1,enemy_skills!$1:$1,0)-MATCH("enemy_skill_id",enemy_skills!$1:$1,0)+1,FALSE)</f>
        <v>3ターン攻撃力50%DOWN</v>
      </c>
      <c r="F83" s="46">
        <v>40015051</v>
      </c>
      <c r="G83" s="47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7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83" s="47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3" s="47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7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7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7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7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7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3" s="46"/>
      <c r="Q83" s="46"/>
      <c r="R83" s="46"/>
    </row>
    <row r="84" spans="1:18" ht="21" customHeight="1" x14ac:dyDescent="0.15">
      <c r="A84" s="38" t="str">
        <f t="shared" si="30"/>
        <v>40015009_40015060</v>
      </c>
      <c r="B84" s="143">
        <v>40015009</v>
      </c>
      <c r="C84" s="143">
        <v>40015060</v>
      </c>
      <c r="D84" s="45" t="str">
        <f ca="1">VLOOKUP($C84,OFFSET(enemy_skills!$A$1,0,0,COUNTA(enemy_skills!$A:$A),MATCH(D$1,enemy_skills!$1:$1,0)-MATCH("enemy_skill_id",enemy_skills!$1:$1,0)+1),MATCH(D$1,enemy_skills!$1:$1,0)-MATCH("enemy_skill_id",enemy_skills!$1:$1,0)+1,FALSE)</f>
        <v>RGBリフレクション</v>
      </c>
      <c r="E84" s="45" t="str">
        <f ca="1">VLOOKUP($C84,OFFSET(enemy_skills!$A$1,0,0,COUNTA(enemy_skills!$A:$A),MATCH(E$1,enemy_skills!$1:$1,0)-MATCH("enemy_skill_id",enemy_skills!$1:$1,0)+1),MATCH(E$1,enemy_skills!$1:$1,0)-MATCH("enemy_skill_id",enemy_skills!$1:$1,0)+1,FALSE)</f>
        <v>3ターン赤・緑・青属性のダメージを50%軽減</v>
      </c>
      <c r="F84" s="46">
        <v>40015060</v>
      </c>
      <c r="G84" s="47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7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84" s="47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7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7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7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7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4" s="47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7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6"/>
      <c r="Q84" s="46"/>
      <c r="R84" s="46"/>
    </row>
    <row r="85" spans="1:18" ht="21" customHeight="1" x14ac:dyDescent="0.15">
      <c r="A85" s="38" t="str">
        <f t="shared" ref="A85" si="31">B85&amp;"_"&amp;C85</f>
        <v>40015009_40015062</v>
      </c>
      <c r="B85" s="143">
        <v>40015009</v>
      </c>
      <c r="C85" s="143">
        <v>40015062</v>
      </c>
      <c r="D85" s="45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クラッシュフォール</v>
      </c>
      <c r="E85" s="45" t="str">
        <f ca="1">VLOOKUP($C85,OFFSET(enemy_skills!$A$1,0,0,COUNTA(enemy_skills!$A:$A),MATCH(E$1,enemy_skills!$1:$1,0)-MATCH("enemy_skill_id",enemy_skills!$1:$1,0)+1),MATCH(E$1,enemy_skills!$1:$1,0)-MATCH("enemy_skill_id",enemy_skills!$1:$1,0)+1,FALSE)</f>
        <v>10ターンCパネル生成激烈延長</v>
      </c>
      <c r="F85" s="46">
        <v>40015062</v>
      </c>
      <c r="G85" s="47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7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85" s="47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7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7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7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7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85" s="47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7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6"/>
      <c r="Q85" s="46"/>
      <c r="R85" s="46"/>
    </row>
    <row r="86" spans="1:18" ht="21" customHeight="1" x14ac:dyDescent="0.15">
      <c r="A86" s="38" t="str">
        <f t="shared" ref="A86:A102" si="32">B86&amp;"_"&amp;C86</f>
        <v>40015010_40015063</v>
      </c>
      <c r="B86" s="46">
        <v>40015010</v>
      </c>
      <c r="C86" s="46">
        <v>40015063</v>
      </c>
      <c r="D86" s="45" t="str">
        <f ca="1">VLOOKUP($C86,OFFSET(enemy_skills!$A$1,0,0,COUNTA(enemy_skills!$A:$A),MATCH(D$1,enemy_skills!$1:$1,0)-MATCH("enemy_skill_id",enemy_skills!$1:$1,0)+1),MATCH(D$1,enemy_skills!$1:$1,0)-MATCH("enemy_skill_id",enemy_skills!$1:$1,0)+1,FALSE)</f>
        <v>教えてやるよ…</v>
      </c>
      <c r="E86" s="45" t="str">
        <f ca="1">VLOOKUP($C86,OFFSET(enemy_skills!$A$1,0,0,COUNTA(enemy_skills!$A:$A),MATCH(E$1,enemy_skills!$1:$1,0)-MATCH("enemy_skill_id",enemy_skills!$1:$1,0)+1),MATCH(E$1,enemy_skills!$1:$1,0)-MATCH("enemy_skill_id",enemy_skills!$1:$1,0)+1,FALSE)</f>
        <v>正義にやりすぎが無いって事をね_x000D_【！】次のターン即死攻撃発動【！】</v>
      </c>
      <c r="F86" s="46">
        <v>40015063</v>
      </c>
      <c r="G86" s="47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47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6" s="47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7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7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7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7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7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7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6"/>
      <c r="Q86" s="46"/>
      <c r="R86" s="46"/>
    </row>
    <row r="87" spans="1:18" ht="21" customHeight="1" x14ac:dyDescent="0.15">
      <c r="A87" s="38" t="str">
        <f t="shared" si="32"/>
        <v>40015010_40015064</v>
      </c>
      <c r="B87" s="46">
        <v>40015010</v>
      </c>
      <c r="C87" s="46">
        <v>40015064</v>
      </c>
      <c r="D87" s="45" t="str">
        <f ca="1">VLOOKUP($C87,OFFSET(enemy_skills!$A$1,0,0,COUNTA(enemy_skills!$A:$A),MATCH(D$1,enemy_skills!$1:$1,0)-MATCH("enemy_skill_id",enemy_skills!$1:$1,0)+1),MATCH(D$1,enemy_skills!$1:$1,0)-MATCH("enemy_skill_id",enemy_skills!$1:$1,0)+1,FALSE)</f>
        <v>優しすぎるキミの代わりに</v>
      </c>
      <c r="E87" s="45" t="str">
        <f ca="1">VLOOKUP($C87,OFFSET(enemy_skills!$A$1,0,0,COUNTA(enemy_skills!$A:$A),MATCH(E$1,enemy_skills!$1:$1,0)-MATCH("enemy_skill_id",enemy_skills!$1:$1,0)+1),MATCH(E$1,enemy_skills!$1:$1,0)-MATCH("enemy_skill_id",enemy_skills!$1:$1,0)+1,FALSE)</f>
        <v>僕が理想を実現してあげるよ…！！_x000D_【！】次のターン即死攻撃発動【！】</v>
      </c>
      <c r="F87" s="46">
        <v>40015064</v>
      </c>
      <c r="G87" s="47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7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7" s="47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7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7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7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7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7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473</v>
      </c>
      <c r="O87" s="47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6"/>
      <c r="Q87" s="46"/>
      <c r="R87" s="46"/>
    </row>
    <row r="88" spans="1:18" ht="21" customHeight="1" x14ac:dyDescent="0.15">
      <c r="A88" s="38" t="str">
        <f t="shared" ref="A88" si="33">B88&amp;"_"&amp;C88</f>
        <v>40015010_40015102</v>
      </c>
      <c r="B88" s="142">
        <v>40015010</v>
      </c>
      <c r="C88" s="142">
        <v>40015102</v>
      </c>
      <c r="D88" s="45" t="str">
        <f ca="1">VLOOKUP($C88,OFFSET(enemy_skills!$A$1,0,0,COUNTA(enemy_skills!$A:$A),MATCH(D$1,enemy_skills!$1:$1,0)-MATCH("enemy_skill_id",enemy_skills!$1:$1,0)+1),MATCH(D$1,enemy_skills!$1:$1,0)-MATCH("enemy_skill_id",enemy_skills!$1:$1,0)+1,FALSE)</f>
        <v>優しすぎるキミの代わりに</v>
      </c>
      <c r="E88" s="45" t="str">
        <f ca="1">VLOOKUP($C88,OFFSET(enemy_skills!$A$1,0,0,COUNTA(enemy_skills!$A:$A),MATCH(E$1,enemy_skills!$1:$1,0)-MATCH("enemy_skill_id",enemy_skills!$1:$1,0)+1),MATCH(E$1,enemy_skills!$1:$1,0)-MATCH("enemy_skill_id",enemy_skills!$1:$1,0)+1,FALSE)</f>
        <v>僕が理想を実現してあげるよ…！！_x000D_【！】次のターン即死攻撃発動【！】</v>
      </c>
      <c r="F88" s="142">
        <v>40015102</v>
      </c>
      <c r="G88" s="47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7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8" s="47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7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7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7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7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7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472</v>
      </c>
      <c r="O88" s="47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6"/>
      <c r="Q88" s="46"/>
      <c r="R88" s="46"/>
    </row>
    <row r="89" spans="1:18" ht="21" customHeight="1" x14ac:dyDescent="0.15">
      <c r="A89" s="38" t="str">
        <f t="shared" si="32"/>
        <v>40015010_40015065</v>
      </c>
      <c r="B89" s="46">
        <v>40015010</v>
      </c>
      <c r="C89" s="46">
        <v>40015065</v>
      </c>
      <c r="D89" s="45" t="str">
        <f ca="1">VLOOKUP($C89,OFFSET(enemy_skills!$A$1,0,0,COUNTA(enemy_skills!$A:$A),MATCH(D$1,enemy_skills!$1:$1,0)-MATCH("enemy_skill_id",enemy_skills!$1:$1,0)+1),MATCH(D$1,enemy_skills!$1:$1,0)-MATCH("enemy_skill_id",enemy_skills!$1:$1,0)+1,FALSE)</f>
        <v>何を言っても今更か…</v>
      </c>
      <c r="E89" s="45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せめてキミを倒して　僕が彼の一番になる…！_x000D_【！】次のターン即死攻撃発動【！】</v>
      </c>
      <c r="F89" s="46">
        <v>40015065</v>
      </c>
      <c r="G89" s="47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7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89" s="47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7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7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7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7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7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89" s="47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6"/>
      <c r="Q89" s="46"/>
      <c r="R89" s="46"/>
    </row>
    <row r="90" spans="1:18" ht="21" customHeight="1" x14ac:dyDescent="0.15">
      <c r="A90" s="38" t="str">
        <f t="shared" ref="A90" si="34">B90&amp;"_"&amp;C90</f>
        <v>40015010_40015103</v>
      </c>
      <c r="B90" s="142">
        <v>40015010</v>
      </c>
      <c r="C90" s="142">
        <v>40015103</v>
      </c>
      <c r="D90" s="45" t="str">
        <f ca="1">VLOOKUP($C90,OFFSET(enemy_skills!$A$1,0,0,COUNTA(enemy_skills!$A:$A),MATCH(D$1,enemy_skills!$1:$1,0)-MATCH("enemy_skill_id",enemy_skills!$1:$1,0)+1),MATCH(D$1,enemy_skills!$1:$1,0)-MATCH("enemy_skill_id",enemy_skills!$1:$1,0)+1,FALSE)</f>
        <v>何を言っても今更か…</v>
      </c>
      <c r="E90" s="45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せめてキミを倒して　僕が彼の一番になる…！_x000D_【！】次のターン即死攻撃発動【！】</v>
      </c>
      <c r="F90" s="142">
        <v>40015103</v>
      </c>
      <c r="G90" s="47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47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90" s="47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7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7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7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7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7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90" s="47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6"/>
      <c r="Q90" s="46"/>
      <c r="R90" s="46"/>
    </row>
    <row r="91" spans="1:18" ht="21" customHeight="1" x14ac:dyDescent="0.15">
      <c r="A91" s="38" t="str">
        <f t="shared" si="32"/>
        <v>40015010_40015066</v>
      </c>
      <c r="B91" s="46">
        <v>40015010</v>
      </c>
      <c r="C91" s="46">
        <v>40015066</v>
      </c>
      <c r="D91" s="45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ここで葬り去ってやる</v>
      </c>
      <c r="E91" s="45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キミの存在が…彼の正義を鈍らせる前にね_x000D_【！】次のターン即死攻撃発動【！】</v>
      </c>
      <c r="F91" s="46">
        <v>40015066</v>
      </c>
      <c r="G91" s="47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47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91" s="47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7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7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7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7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7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468</v>
      </c>
      <c r="O91" s="47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6"/>
      <c r="Q91" s="46"/>
      <c r="R91" s="46"/>
    </row>
    <row r="92" spans="1:18" ht="21" customHeight="1" x14ac:dyDescent="0.15">
      <c r="A92" s="38" t="str">
        <f t="shared" ref="A92" si="35">B92&amp;"_"&amp;C92</f>
        <v>40015010_40015104</v>
      </c>
      <c r="B92" s="142">
        <v>40015010</v>
      </c>
      <c r="C92" s="142">
        <v>40015104</v>
      </c>
      <c r="D92" s="45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ここで葬り去ってやる</v>
      </c>
      <c r="E92" s="45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キミの存在が…彼の正義を鈍らせる前にね_x000D_【！】次のターン即死攻撃発動【！】</v>
      </c>
      <c r="F92" s="142">
        <v>40015104</v>
      </c>
      <c r="G92" s="47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47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92" s="47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7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7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7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7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7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92" s="47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6"/>
      <c r="Q92" s="46"/>
      <c r="R92" s="46"/>
    </row>
    <row r="93" spans="1:18" ht="21" customHeight="1" x14ac:dyDescent="0.15">
      <c r="A93" s="38" t="str">
        <f t="shared" si="32"/>
        <v>40015010_40015067</v>
      </c>
      <c r="B93" s="46">
        <v>40015010</v>
      </c>
      <c r="C93" s="46">
        <v>40015067</v>
      </c>
      <c r="D93" s="45" t="str">
        <f ca="1">VLOOKUP($C93,OFFSET(enemy_skills!$A$1,0,0,COUNTA(enemy_skills!$A:$A),MATCH(D$1,enemy_skills!$1:$1,0)-MATCH("enemy_skill_id",enemy_skills!$1:$1,0)+1),MATCH(D$1,enemy_skills!$1:$1,0)-MATCH("enemy_skill_id",enemy_skills!$1:$1,0)+1,FALSE)</f>
        <v>…何を笑っているのです</v>
      </c>
      <c r="E93" s="45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これ以上やり合えば　命の保証はしませんよ_x000D_【！】次のターン即死攻撃発動【！】</v>
      </c>
      <c r="F93" s="46">
        <v>40015067</v>
      </c>
      <c r="G93" s="47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47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93" s="47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7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7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7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7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7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464</v>
      </c>
      <c r="O93" s="47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6"/>
      <c r="Q93" s="46"/>
      <c r="R93" s="46"/>
    </row>
    <row r="94" spans="1:18" ht="21" customHeight="1" x14ac:dyDescent="0.15">
      <c r="A94" s="38" t="str">
        <f t="shared" ref="A94:A95" si="36">B94&amp;"_"&amp;C94</f>
        <v>40015010_40015105</v>
      </c>
      <c r="B94" s="142">
        <v>40015010</v>
      </c>
      <c r="C94" s="142">
        <v>40015105</v>
      </c>
      <c r="D94" s="45" t="str">
        <f ca="1">VLOOKUP($C94,OFFSET(enemy_skills!$A$1,0,0,COUNTA(enemy_skills!$A:$A),MATCH(D$1,enemy_skills!$1:$1,0)-MATCH("enemy_skill_id",enemy_skills!$1:$1,0)+1),MATCH(D$1,enemy_skills!$1:$1,0)-MATCH("enemy_skill_id",enemy_skills!$1:$1,0)+1,FALSE)</f>
        <v>…何を笑っているのです</v>
      </c>
      <c r="E94" s="45" t="str">
        <f ca="1">VLOOKUP($C94,OFFSET(enemy_skills!$A$1,0,0,COUNTA(enemy_skills!$A:$A),MATCH(E$1,enemy_skills!$1:$1,0)-MATCH("enemy_skill_id",enemy_skills!$1:$1,0)+1),MATCH(E$1,enemy_skills!$1:$1,0)-MATCH("enemy_skill_id",enemy_skills!$1:$1,0)+1,FALSE)</f>
        <v>これ以上やり合えば　命の保証はしませんよ_x000D_【！】次のターン即死攻撃発動【！】</v>
      </c>
      <c r="F94" s="142">
        <v>40015105</v>
      </c>
      <c r="G94" s="47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47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94" s="47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7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7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7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7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7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463</v>
      </c>
      <c r="O94" s="47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6"/>
      <c r="Q94" s="46"/>
      <c r="R94" s="46"/>
    </row>
    <row r="95" spans="1:18" ht="21" customHeight="1" x14ac:dyDescent="0.15">
      <c r="A95" s="38" t="str">
        <f t="shared" si="36"/>
        <v>40015010_40015106</v>
      </c>
      <c r="B95" s="142">
        <v>40015010</v>
      </c>
      <c r="C95" s="142">
        <v>40015106</v>
      </c>
      <c r="D95" s="45" t="str">
        <f ca="1">VLOOKUP($C95,OFFSET(enemy_skills!$A$1,0,0,COUNTA(enemy_skills!$A:$A),MATCH(D$1,enemy_skills!$1:$1,0)-MATCH("enemy_skill_id",enemy_skills!$1:$1,0)+1),MATCH(D$1,enemy_skills!$1:$1,0)-MATCH("enemy_skill_id",enemy_skills!$1:$1,0)+1,FALSE)</f>
        <v>…何を笑っているのです</v>
      </c>
      <c r="E95" s="45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これ以上やり合えば　命の保証はしませんよ_x000D_【！】次のターン即死攻撃発動【！】</v>
      </c>
      <c r="F95" s="142">
        <v>40015106</v>
      </c>
      <c r="G95" s="47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47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95" s="47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7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7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7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7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7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462</v>
      </c>
      <c r="O95" s="47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6"/>
      <c r="Q95" s="46"/>
      <c r="R95" s="46"/>
    </row>
    <row r="96" spans="1:18" ht="21" customHeight="1" x14ac:dyDescent="0.15">
      <c r="A96" s="38" t="str">
        <f t="shared" si="32"/>
        <v>40015010_40015068</v>
      </c>
      <c r="B96" s="46">
        <v>40015010</v>
      </c>
      <c r="C96" s="46">
        <v>40015068</v>
      </c>
      <c r="D96" s="45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そうか…ようやくキミも…</v>
      </c>
      <c r="E96" s="45" t="str">
        <f ca="1">VLOOKUP($C96,OFFSET(enemy_skills!$A$1,0,0,COUNTA(enemy_skills!$A:$A),MATCH(E$1,enemy_skills!$1:$1,0)-MATCH("enemy_skill_id",enemy_skills!$1:$1,0)+1),MATCH(E$1,enemy_skills!$1:$1,0)-MATCH("enemy_skill_id",enemy_skills!$1:$1,0)+1,FALSE)</f>
        <v>失礼　ならば全霊をかけてキミを倒そう_x000D_【！】次のターン即死攻撃発動【！】</v>
      </c>
      <c r="F96" s="46">
        <v>40015068</v>
      </c>
      <c r="G96" s="47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47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96" s="47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7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7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7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7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7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471</v>
      </c>
      <c r="O96" s="47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6"/>
      <c r="Q96" s="46"/>
      <c r="R96" s="46"/>
    </row>
    <row r="97" spans="1:18" ht="21" customHeight="1" x14ac:dyDescent="0.15">
      <c r="A97" s="38" t="str">
        <f t="shared" ref="A97:A98" si="37">B97&amp;"_"&amp;C97</f>
        <v>40015010_40015107</v>
      </c>
      <c r="B97" s="142">
        <v>40015010</v>
      </c>
      <c r="C97" s="142">
        <v>40015107</v>
      </c>
      <c r="D97" s="45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そうか…ようやくキミも…</v>
      </c>
      <c r="E97" s="45" t="str">
        <f ca="1">VLOOKUP($C97,OFFSET(enemy_skills!$A$1,0,0,COUNTA(enemy_skills!$A:$A),MATCH(E$1,enemy_skills!$1:$1,0)-MATCH("enemy_skill_id",enemy_skills!$1:$1,0)+1),MATCH(E$1,enemy_skills!$1:$1,0)-MATCH("enemy_skill_id",enemy_skills!$1:$1,0)+1,FALSE)</f>
        <v>失礼　ならば全霊をかけてキミを倒そう_x000D_【！】次のターン即死攻撃発動【！】</v>
      </c>
      <c r="F97" s="142">
        <v>40015107</v>
      </c>
      <c r="G97" s="47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7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97" s="47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7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7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7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7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7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470</v>
      </c>
      <c r="O97" s="47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6"/>
      <c r="Q97" s="46"/>
      <c r="R97" s="46"/>
    </row>
    <row r="98" spans="1:18" ht="21" customHeight="1" x14ac:dyDescent="0.15">
      <c r="A98" s="38" t="str">
        <f t="shared" si="37"/>
        <v>40015010_40015108</v>
      </c>
      <c r="B98" s="142">
        <v>40015010</v>
      </c>
      <c r="C98" s="142">
        <v>40015108</v>
      </c>
      <c r="D98" s="45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そうか…ようやくキミも…</v>
      </c>
      <c r="E98" s="45" t="str">
        <f ca="1">VLOOKUP($C98,OFFSET(enemy_skills!$A$1,0,0,COUNTA(enemy_skills!$A:$A),MATCH(E$1,enemy_skills!$1:$1,0)-MATCH("enemy_skill_id",enemy_skills!$1:$1,0)+1),MATCH(E$1,enemy_skills!$1:$1,0)-MATCH("enemy_skill_id",enemy_skills!$1:$1,0)+1,FALSE)</f>
        <v>失礼　ならば全霊をかけてキミを倒そう_x000D_【！】次のターン即死攻撃発動【！】</v>
      </c>
      <c r="F98" s="142">
        <v>40015108</v>
      </c>
      <c r="G98" s="47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7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98" s="47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7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7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7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7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7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469</v>
      </c>
      <c r="O98" s="47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6"/>
      <c r="Q98" s="46"/>
      <c r="R98" s="46"/>
    </row>
    <row r="99" spans="1:18" ht="21" customHeight="1" x14ac:dyDescent="0.15">
      <c r="A99" s="38" t="str">
        <f t="shared" si="32"/>
        <v>40015010_40015069</v>
      </c>
      <c r="B99" s="46">
        <v>40015010</v>
      </c>
      <c r="C99" s="46">
        <v>40015069</v>
      </c>
      <c r="D99" s="45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それでも背負っていくのなら</v>
      </c>
      <c r="E99" s="45" t="str">
        <f ca="1">VLOOKUP($C99,OFFSET(enemy_skills!$A$1,0,0,COUNTA(enemy_skills!$A:$A),MATCH(E$1,enemy_skills!$1:$1,0)-MATCH("enemy_skill_id",enemy_skills!$1:$1,0)+1),MATCH(E$1,enemy_skills!$1:$1,0)-MATCH("enemy_skill_id",enemy_skills!$1:$1,0)+1,FALSE)</f>
        <v>僕の信念とどちらが上か…試してやるよ_x000D_【！】次のターン即死攻撃発動【！】</v>
      </c>
      <c r="F99" s="46">
        <v>40015069</v>
      </c>
      <c r="G99" s="47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7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99" s="47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7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7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7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7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7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234</v>
      </c>
      <c r="O99" s="47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6"/>
      <c r="Q99" s="46"/>
      <c r="R99" s="46"/>
    </row>
    <row r="100" spans="1:18" ht="21" customHeight="1" x14ac:dyDescent="0.15">
      <c r="A100" s="38" t="str">
        <f t="shared" ref="A100:A101" si="38">B100&amp;"_"&amp;C100</f>
        <v>40015010_40015109</v>
      </c>
      <c r="B100" s="142">
        <v>40015010</v>
      </c>
      <c r="C100" s="142">
        <v>40015109</v>
      </c>
      <c r="D100" s="45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それでも背負っていくのなら</v>
      </c>
      <c r="E100" s="45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僕の信念とどちらが上か…試してやるよ_x000D_【！】次のターン即死攻撃発動【！】</v>
      </c>
      <c r="F100" s="142">
        <v>40015109</v>
      </c>
      <c r="G100" s="47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7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100" s="47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7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7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7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7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7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233</v>
      </c>
      <c r="O100" s="47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6"/>
      <c r="Q100" s="46"/>
      <c r="R100" s="46"/>
    </row>
    <row r="101" spans="1:18" ht="21" customHeight="1" x14ac:dyDescent="0.15">
      <c r="A101" s="38" t="str">
        <f t="shared" si="38"/>
        <v>40015010_40015110</v>
      </c>
      <c r="B101" s="142">
        <v>40015010</v>
      </c>
      <c r="C101" s="142">
        <v>40015110</v>
      </c>
      <c r="D101" s="45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それでも背負っていくのなら</v>
      </c>
      <c r="E101" s="45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僕の信念とどちらが上か…試してやるよ_x000D_【！】次のターン即死攻撃発動【！】</v>
      </c>
      <c r="F101" s="142">
        <v>40015110</v>
      </c>
      <c r="G101" s="47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47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101" s="47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7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7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7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7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7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232</v>
      </c>
      <c r="O101" s="47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6"/>
      <c r="Q101" s="46"/>
      <c r="R101" s="46"/>
    </row>
    <row r="102" spans="1:18" ht="21" customHeight="1" x14ac:dyDescent="0.15">
      <c r="A102" s="38" t="str">
        <f t="shared" si="32"/>
        <v>40015010_40015070</v>
      </c>
      <c r="B102" s="46">
        <v>40015010</v>
      </c>
      <c r="C102" s="46">
        <v>40015070</v>
      </c>
      <c r="D102" s="45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腕っ節だけは立派だな</v>
      </c>
      <c r="E102" s="45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だが最後に勝つのは…いつだって正義だ_x000D_【！】次のターン即死攻撃発動【！】</v>
      </c>
      <c r="F102" s="46">
        <v>40015070</v>
      </c>
      <c r="G102" s="47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7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102" s="47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7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7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7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7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7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765</v>
      </c>
      <c r="O102" s="47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6"/>
      <c r="Q102" s="46"/>
      <c r="R102" s="46"/>
    </row>
    <row r="103" spans="1:18" ht="21" customHeight="1" x14ac:dyDescent="0.15">
      <c r="A103" s="38" t="str">
        <f t="shared" ref="A103" si="39">B103&amp;"_"&amp;C103</f>
        <v>40015010_40015111</v>
      </c>
      <c r="B103" s="142">
        <v>40015010</v>
      </c>
      <c r="C103" s="142">
        <v>40015111</v>
      </c>
      <c r="D103" s="45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腕っ節だけは立派だな</v>
      </c>
      <c r="E103" s="45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だが最後に勝つのは…いつだって正義だ_x000D_【！】次のターン即死攻撃発動【！】</v>
      </c>
      <c r="F103" s="142">
        <v>40015111</v>
      </c>
      <c r="G103" s="47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47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103" s="47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7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7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7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7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7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764</v>
      </c>
      <c r="O103" s="47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6"/>
      <c r="Q103" s="46"/>
      <c r="R103" s="46"/>
    </row>
    <row r="104" spans="1:18" ht="21" customHeight="1" x14ac:dyDescent="0.15">
      <c r="A104" s="38" t="str">
        <f t="shared" ref="A104" si="40">B104&amp;"_"&amp;C104</f>
        <v>40015010_40015075</v>
      </c>
      <c r="B104" s="46">
        <v>40015010</v>
      </c>
      <c r="C104" s="46">
        <v>40015075</v>
      </c>
      <c r="D104" s="45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ユートピア</v>
      </c>
      <c r="E104" s="45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これが世界の　あるべき姿だ！</v>
      </c>
      <c r="F104" s="46">
        <v>40015075</v>
      </c>
      <c r="G104" s="47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7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04" s="47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7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7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7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7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4" s="47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7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6"/>
      <c r="Q104" s="46"/>
      <c r="R104" s="46"/>
    </row>
    <row r="105" spans="1:18" ht="21" customHeight="1" x14ac:dyDescent="0.15">
      <c r="A105" s="38" t="str">
        <f t="shared" ref="A105" si="41">B105&amp;"_"&amp;C105</f>
        <v>40015010_40015072</v>
      </c>
      <c r="B105" s="46">
        <v>40015010</v>
      </c>
      <c r="C105" s="46">
        <v>40015072</v>
      </c>
      <c r="D105" s="45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…何度やっても</v>
      </c>
      <c r="E105" s="45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結果は変わらないと思うぜ？_x000D_【！】次のターン即死攻撃発動【！】</v>
      </c>
      <c r="F105" s="46">
        <v>40015072</v>
      </c>
      <c r="G105" s="47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7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05" s="47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7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7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7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7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5" s="47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7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6"/>
      <c r="Q105" s="46"/>
      <c r="R105" s="46"/>
    </row>
    <row r="106" spans="1:18" ht="21" customHeight="1" x14ac:dyDescent="0.15">
      <c r="A106" s="38" t="str">
        <f t="shared" ref="A106" si="42">B106&amp;"_"&amp;C106</f>
        <v>40015010_40015073</v>
      </c>
      <c r="B106" s="46">
        <v>40015010</v>
      </c>
      <c r="C106" s="46">
        <v>40015073</v>
      </c>
      <c r="D106" s="45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ユートピア</v>
      </c>
      <c r="E106" s="45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…いずれキミも理解できるさ</v>
      </c>
      <c r="F106" s="46">
        <v>40015073</v>
      </c>
      <c r="G106" s="47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7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106" s="47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7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7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7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7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6" s="47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7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6"/>
      <c r="Q106" s="46"/>
      <c r="R106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09"/>
  <sheetViews>
    <sheetView showGridLines="0" tabSelected="1" zoomScale="85" zoomScaleNormal="85" zoomScalePageLayoutView="85" workbookViewId="0">
      <pane ySplit="1" topLeftCell="A76" activePane="bottomLeft" state="frozenSplit"/>
      <selection pane="bottomLeft" activeCell="E84" sqref="E84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customWidth="1" outlineLevel="1"/>
    <col min="8" max="8" width="18.33203125" style="48" customWidth="1" outlineLevel="1"/>
    <col min="9" max="11" width="18.6640625" style="48" customWidth="1" outlineLevel="1"/>
    <col min="12" max="12" width="23.6640625" style="48" customWidth="1"/>
    <col min="13" max="18" width="23.6640625" style="48" customWidth="1" outlineLevel="1"/>
    <col min="19" max="19" width="23.6640625" style="48" customWidth="1"/>
    <col min="20" max="24" width="23.6640625" style="48" customWidth="1" outlineLevel="1"/>
    <col min="25" max="25" width="23.6640625" style="48" customWidth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126</v>
      </c>
      <c r="E1" s="39" t="s">
        <v>82</v>
      </c>
      <c r="F1" s="39" t="s">
        <v>83</v>
      </c>
      <c r="G1" s="40" t="s">
        <v>132</v>
      </c>
      <c r="H1" s="40" t="s">
        <v>138</v>
      </c>
      <c r="I1" s="40" t="s">
        <v>140</v>
      </c>
      <c r="J1" s="40" t="s">
        <v>139</v>
      </c>
      <c r="K1" s="40" t="s">
        <v>141</v>
      </c>
      <c r="L1" s="40" t="s">
        <v>133</v>
      </c>
      <c r="M1" s="40" t="s">
        <v>131</v>
      </c>
      <c r="N1" s="40" t="s">
        <v>134</v>
      </c>
      <c r="O1" s="40" t="s">
        <v>142</v>
      </c>
      <c r="P1" s="40" t="s">
        <v>143</v>
      </c>
      <c r="Q1" s="40" t="s">
        <v>144</v>
      </c>
      <c r="R1" s="40" t="s">
        <v>145</v>
      </c>
      <c r="S1" s="40" t="s">
        <v>135</v>
      </c>
      <c r="T1" s="40" t="s">
        <v>136</v>
      </c>
      <c r="U1" s="40" t="s">
        <v>146</v>
      </c>
      <c r="V1" s="40" t="s">
        <v>147</v>
      </c>
      <c r="W1" s="40" t="s">
        <v>148</v>
      </c>
      <c r="X1" s="40" t="s">
        <v>149</v>
      </c>
      <c r="Y1" s="40" t="s">
        <v>137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6">
        <v>40015001</v>
      </c>
      <c r="B2" s="46" t="s">
        <v>230</v>
      </c>
      <c r="C2" s="49">
        <v>3</v>
      </c>
      <c r="D2" s="49" t="s">
        <v>127</v>
      </c>
      <c r="E2" s="50" t="s">
        <v>416</v>
      </c>
      <c r="F2" s="50" t="s">
        <v>302</v>
      </c>
      <c r="G2" s="62" t="str">
        <f t="shared" ref="G2:G7" si="0">IFERROR(LEFT(B2,FIND("],",B2)),B2)</f>
        <v>[effect:enhance_enemy, target:enemy_yellow, turn:-1, status:attack, val:0.1, animation:enemy_enhance_attack]</v>
      </c>
      <c r="H2" s="62">
        <f t="shared" ref="H2:H7" si="1">FIND("effect:",G2)+7</f>
        <v>9</v>
      </c>
      <c r="I2" s="62">
        <f t="shared" ref="I2:I7" si="2">IFERROR(FIND(",",G2),LEN(G2))</f>
        <v>22</v>
      </c>
      <c r="J2" s="62">
        <f t="shared" ref="J2:J7" si="3">FIND("target:",G2)+7</f>
        <v>31</v>
      </c>
      <c r="K2" s="62">
        <f t="shared" ref="K2:K7" si="4">FIND(",",G2,I2+1)</f>
        <v>43</v>
      </c>
      <c r="L2" s="62" t="str">
        <f>IFERROR(VLOOKUP(MID(G2,J2,K2-J2),[6]skilldef!$C:$D,2,FALSE),"-") &amp; " / " &amp; IFERROR(VLOOKUP(MID(G2,H2,I2-H2),[6]skilldef!$A:$B,2,FALSE),"-")</f>
        <v>黄の敵に / ステータス強化</v>
      </c>
      <c r="M2" s="62" t="str">
        <f t="shared" ref="M2:M7" si="5">IFERROR(RIGHT(B2,LEN(B2)-FIND("],",B2)-1),"none")</f>
        <v>[effect:suicide, val:1, dead_type:escape, target:myself]</v>
      </c>
      <c r="N2" s="47" t="str">
        <f t="shared" ref="N2:N7" si="6">IFERROR(LEFT(M2,FIND("],",M2)+S14),M2)</f>
        <v>[effect:suicide, val:1, dead_type:escape, target:myself]</v>
      </c>
      <c r="O2" s="62">
        <f t="shared" ref="O2:O7" si="7">FIND("effect:",N2)+7</f>
        <v>9</v>
      </c>
      <c r="P2" s="62">
        <f t="shared" ref="P2:P7" si="8">IFERROR(FIND(",",N2),LEN(N2))</f>
        <v>16</v>
      </c>
      <c r="Q2" s="62">
        <f t="shared" ref="Q2:Q7" si="9">FIND("target:",N2)+7</f>
        <v>50</v>
      </c>
      <c r="R2" s="62">
        <f t="shared" ref="R2:R7" si="10">FIND(",",N2,P2+1)</f>
        <v>23</v>
      </c>
      <c r="S2" s="62" t="str">
        <f>IFERROR(VLOOKUP(MID(N2,Q2,R2-Q2),[6]skilldef!$C:$D,2,FALSE),"-") &amp; " / " &amp; IFERROR(VLOOKUP(MID(N2,O2,P2-O2),[6]skilldef!$A:$B,2,FALSE),"-")</f>
        <v>- / -</v>
      </c>
      <c r="T2" s="47" t="str">
        <f t="shared" ref="T2:T7" si="11">IFERROR(RIGHT(M2,LEN(M2)-FIND("],",M2)-1),"none")</f>
        <v>none</v>
      </c>
      <c r="U2" s="62" t="e">
        <f t="shared" ref="U2:U7" si="12">FIND("effect:",T2)+7</f>
        <v>#VALUE!</v>
      </c>
      <c r="V2" s="62">
        <f t="shared" ref="V2:V7" si="13">IFERROR(FIND(",",T2),LEN(T2))</f>
        <v>4</v>
      </c>
      <c r="W2" s="62" t="e">
        <f t="shared" ref="W2:W7" si="14">FIND("target:",T2)+7</f>
        <v>#VALUE!</v>
      </c>
      <c r="X2" s="62" t="e">
        <f t="shared" ref="X2:X7" si="15"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9"/>
      <c r="AA2" s="51"/>
      <c r="AB2" s="49"/>
    </row>
    <row r="3" spans="1:28" ht="21" customHeight="1" x14ac:dyDescent="0.15">
      <c r="A3" s="46">
        <v>40015002</v>
      </c>
      <c r="B3" s="46" t="s">
        <v>233</v>
      </c>
      <c r="C3" s="49">
        <v>3</v>
      </c>
      <c r="D3" s="49" t="s">
        <v>127</v>
      </c>
      <c r="E3" s="50" t="s">
        <v>300</v>
      </c>
      <c r="F3" s="50" t="s">
        <v>299</v>
      </c>
      <c r="G3" s="62" t="str">
        <f t="shared" si="0"/>
        <v>[effect:nothing]</v>
      </c>
      <c r="H3" s="62">
        <f t="shared" si="1"/>
        <v>9</v>
      </c>
      <c r="I3" s="62">
        <f t="shared" si="2"/>
        <v>16</v>
      </c>
      <c r="J3" s="62" t="e">
        <f t="shared" si="3"/>
        <v>#VALUE!</v>
      </c>
      <c r="K3" s="62" t="e">
        <f t="shared" si="4"/>
        <v>#VALUE!</v>
      </c>
      <c r="L3" s="62" t="str">
        <f>IFERROR(VLOOKUP(MID(G3,J3,K3-J3),[6]skilldef!$C:$D,2,FALSE),"-") &amp; " / " &amp; IFERROR(VLOOKUP(MID(G3,H3,I3-H3),[6]skilldef!$A:$B,2,FALSE),"-")</f>
        <v>- / 何もしない</v>
      </c>
      <c r="M3" s="62" t="str">
        <f t="shared" si="5"/>
        <v>none</v>
      </c>
      <c r="N3" s="47" t="str">
        <f t="shared" si="6"/>
        <v>none</v>
      </c>
      <c r="O3" s="62" t="e">
        <f t="shared" si="7"/>
        <v>#VALUE!</v>
      </c>
      <c r="P3" s="62">
        <f t="shared" si="8"/>
        <v>4</v>
      </c>
      <c r="Q3" s="62" t="e">
        <f t="shared" si="9"/>
        <v>#VALUE!</v>
      </c>
      <c r="R3" s="62" t="e">
        <f t="shared" si="10"/>
        <v>#VALUE!</v>
      </c>
      <c r="S3" s="62" t="str">
        <f>IFERROR(VLOOKUP(MID(N3,Q3,R3-Q3),[6]skilldef!$C:$D,2,FALSE),"-") &amp; " / " &amp; IFERROR(VLOOKUP(MID(N3,O3,P3-O3),[6]skilldef!$A:$B,2,FALSE),"-")</f>
        <v>- / -</v>
      </c>
      <c r="T3" s="47" t="str">
        <f t="shared" si="11"/>
        <v>none</v>
      </c>
      <c r="U3" s="62" t="e">
        <f t="shared" si="12"/>
        <v>#VALUE!</v>
      </c>
      <c r="V3" s="62">
        <f t="shared" si="13"/>
        <v>4</v>
      </c>
      <c r="W3" s="62" t="e">
        <f t="shared" si="14"/>
        <v>#VALUE!</v>
      </c>
      <c r="X3" s="62" t="e">
        <f t="shared" si="15"/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9"/>
      <c r="AA3" s="51"/>
      <c r="AB3" s="49"/>
    </row>
    <row r="4" spans="1:28" ht="21" customHeight="1" x14ac:dyDescent="0.15">
      <c r="A4" s="46">
        <v>40015003</v>
      </c>
      <c r="B4" s="46" t="s">
        <v>234</v>
      </c>
      <c r="C4" s="49">
        <v>3</v>
      </c>
      <c r="D4" s="49" t="s">
        <v>127</v>
      </c>
      <c r="E4" s="50" t="s">
        <v>304</v>
      </c>
      <c r="F4" s="50" t="s">
        <v>225</v>
      </c>
      <c r="G4" s="62" t="str">
        <f t="shared" si="0"/>
        <v>[effect:rush, count:2, val:0.65]</v>
      </c>
      <c r="H4" s="62">
        <f t="shared" si="1"/>
        <v>9</v>
      </c>
      <c r="I4" s="62">
        <f t="shared" si="2"/>
        <v>13</v>
      </c>
      <c r="J4" s="62" t="e">
        <f t="shared" si="3"/>
        <v>#VALUE!</v>
      </c>
      <c r="K4" s="62">
        <f t="shared" si="4"/>
        <v>22</v>
      </c>
      <c r="L4" s="62" t="str">
        <f>IFERROR(VLOOKUP(MID(G4,J4,K4-J4),[6]skilldef!$C:$D,2,FALSE),"-") &amp; " / " &amp; IFERROR(VLOOKUP(MID(G4,H4,I4-H4),[6]skilldef!$A:$B,2,FALSE),"-")</f>
        <v>- / 連続攻撃</v>
      </c>
      <c r="M4" s="62" t="str">
        <f t="shared" si="5"/>
        <v>none</v>
      </c>
      <c r="N4" s="47" t="str">
        <f t="shared" si="6"/>
        <v>none</v>
      </c>
      <c r="O4" s="62" t="e">
        <f t="shared" si="7"/>
        <v>#VALUE!</v>
      </c>
      <c r="P4" s="62">
        <f t="shared" si="8"/>
        <v>4</v>
      </c>
      <c r="Q4" s="62" t="e">
        <f t="shared" si="9"/>
        <v>#VALUE!</v>
      </c>
      <c r="R4" s="62" t="e">
        <f t="shared" si="10"/>
        <v>#VALUE!</v>
      </c>
      <c r="S4" s="62" t="str">
        <f>IFERROR(VLOOKUP(MID(N4,Q4,R4-Q4),[6]skilldef!$C:$D,2,FALSE),"-") &amp; " / " &amp; IFERROR(VLOOKUP(MID(N4,O4,P4-O4),[6]skilldef!$A:$B,2,FALSE),"-")</f>
        <v>- / -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9"/>
      <c r="AA4" s="51"/>
      <c r="AB4" s="49"/>
    </row>
    <row r="5" spans="1:28" ht="21" customHeight="1" x14ac:dyDescent="0.15">
      <c r="A5" s="46">
        <v>40015004</v>
      </c>
      <c r="B5" s="46" t="s">
        <v>258</v>
      </c>
      <c r="C5" s="49">
        <v>3</v>
      </c>
      <c r="D5" s="49" t="s">
        <v>127</v>
      </c>
      <c r="E5" s="50" t="s">
        <v>305</v>
      </c>
      <c r="F5" s="50" t="s">
        <v>226</v>
      </c>
      <c r="G5" s="62" t="str">
        <f t="shared" si="0"/>
        <v>[effect:spread, val:0.35]</v>
      </c>
      <c r="H5" s="62">
        <f t="shared" si="1"/>
        <v>9</v>
      </c>
      <c r="I5" s="62">
        <f t="shared" si="2"/>
        <v>15</v>
      </c>
      <c r="J5" s="62" t="e">
        <f t="shared" si="3"/>
        <v>#VALUE!</v>
      </c>
      <c r="K5" s="62" t="e">
        <f t="shared" si="4"/>
        <v>#VALUE!</v>
      </c>
      <c r="L5" s="62" t="str">
        <f>IFERROR(VLOOKUP(MID(G5,J5,K5-J5),[6]skilldef!$C:$D,2,FALSE),"-") &amp; " / " &amp; IFERROR(VLOOKUP(MID(G5,H5,I5-H5),[6]skilldef!$A:$B,2,FALSE),"-")</f>
        <v>- / 全体攻撃</v>
      </c>
      <c r="M5" s="62" t="str">
        <f t="shared" si="5"/>
        <v>none</v>
      </c>
      <c r="N5" s="47" t="str">
        <f t="shared" si="6"/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IFERROR(VLOOKUP(MID(N5,Q5,R5-Q5),[6]skilldef!$C:$D,2,FALSE),"-") &amp; " / " &amp; IFERROR(VLOOKUP(MID(N5,O5,P5-O5),[6]skilldef!$A:$B,2,FALSE),"-")</f>
        <v>- / -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9"/>
      <c r="AA5" s="51"/>
      <c r="AB5" s="49"/>
    </row>
    <row r="6" spans="1:28" ht="21" customHeight="1" x14ac:dyDescent="0.15">
      <c r="A6" s="46">
        <v>40015005</v>
      </c>
      <c r="B6" s="46" t="s">
        <v>232</v>
      </c>
      <c r="C6" s="49">
        <v>3</v>
      </c>
      <c r="D6" s="49" t="s">
        <v>127</v>
      </c>
      <c r="E6" s="50" t="s">
        <v>303</v>
      </c>
      <c r="F6" s="50" t="s">
        <v>231</v>
      </c>
      <c r="G6" s="62" t="str">
        <f t="shared" si="0"/>
        <v>[effect:suicide, val:0.5, dead_type:suicide, target:myself, animation:enemy_suicide]</v>
      </c>
      <c r="H6" s="62">
        <f t="shared" si="1"/>
        <v>9</v>
      </c>
      <c r="I6" s="62">
        <f t="shared" si="2"/>
        <v>16</v>
      </c>
      <c r="J6" s="62">
        <f t="shared" si="3"/>
        <v>53</v>
      </c>
      <c r="K6" s="62">
        <f t="shared" si="4"/>
        <v>25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 t="shared" si="5"/>
        <v>none</v>
      </c>
      <c r="N6" s="47" t="str">
        <f t="shared" si="6"/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IFERROR(VLOOKUP(MID(N6,Q6,R6-Q6),[6]skilldef!$C:$D,2,FALSE),"-") &amp; " / " &amp; IFERROR(VLOOKUP(MID(N6,O6,P6-O6),[6]skilldef!$A:$B,2,FALSE),"-")</f>
        <v>- / -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49"/>
      <c r="AA6" s="51"/>
      <c r="AB6" s="49"/>
    </row>
    <row r="7" spans="1:28" ht="21" customHeight="1" x14ac:dyDescent="0.15">
      <c r="A7" s="46">
        <v>40015006</v>
      </c>
      <c r="B7" s="46" t="s">
        <v>238</v>
      </c>
      <c r="C7" s="49">
        <v>3</v>
      </c>
      <c r="D7" s="49" t="s">
        <v>127</v>
      </c>
      <c r="E7" s="50" t="s">
        <v>314</v>
      </c>
      <c r="F7" s="50" t="s">
        <v>417</v>
      </c>
      <c r="G7" s="62" t="str">
        <f t="shared" si="0"/>
        <v>[effect:fix_speed, target:myself, turn:1]</v>
      </c>
      <c r="H7" s="62">
        <f t="shared" si="1"/>
        <v>9</v>
      </c>
      <c r="I7" s="62">
        <f t="shared" si="2"/>
        <v>18</v>
      </c>
      <c r="J7" s="62">
        <f t="shared" si="3"/>
        <v>27</v>
      </c>
      <c r="K7" s="62">
        <f t="shared" si="4"/>
        <v>33</v>
      </c>
      <c r="L7" s="62" t="str">
        <f>IFERROR(VLOOKUP(MID(G7,J7,K7-J7),[6]skilldef!$C:$D,2,FALSE),"-") &amp; " / " &amp; IFERROR(VLOOKUP(MID(G7,H7,I7-H7),[6]skilldef!$A:$B,2,FALSE),"-")</f>
        <v>自分自身に / 行動値設定</v>
      </c>
      <c r="M7" s="62" t="str">
        <f t="shared" si="5"/>
        <v>none</v>
      </c>
      <c r="N7" s="47" t="str">
        <f t="shared" si="6"/>
        <v>none</v>
      </c>
      <c r="O7" s="62" t="e">
        <f t="shared" si="7"/>
        <v>#VALUE!</v>
      </c>
      <c r="P7" s="62">
        <f t="shared" si="8"/>
        <v>4</v>
      </c>
      <c r="Q7" s="62" t="e">
        <f t="shared" si="9"/>
        <v>#VALUE!</v>
      </c>
      <c r="R7" s="62" t="e">
        <f t="shared" si="10"/>
        <v>#VALUE!</v>
      </c>
      <c r="S7" s="62" t="str">
        <f>IFERROR(VLOOKUP(MID(N7,Q7,R7-Q7),[6]skilldef!$C:$D,2,FALSE),"-") &amp; " / " &amp; IFERROR(VLOOKUP(MID(N7,O7,P7-O7),[6]skilldef!$A:$B,2,FALSE),"-")</f>
        <v>- / -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9"/>
      <c r="AA7" s="51"/>
      <c r="AB7" s="49"/>
    </row>
    <row r="8" spans="1:28" ht="21" customHeight="1" x14ac:dyDescent="0.15">
      <c r="A8" s="46">
        <v>40015007</v>
      </c>
      <c r="B8" s="46" t="s">
        <v>400</v>
      </c>
      <c r="C8" s="115">
        <v>3</v>
      </c>
      <c r="D8" s="115" t="s">
        <v>221</v>
      </c>
      <c r="E8" s="116" t="s">
        <v>306</v>
      </c>
      <c r="F8" s="116" t="s">
        <v>418</v>
      </c>
      <c r="G8" s="117" t="s">
        <v>220</v>
      </c>
      <c r="H8" s="117">
        <v>9</v>
      </c>
      <c r="I8" s="117">
        <v>13</v>
      </c>
      <c r="J8" s="117">
        <v>22</v>
      </c>
      <c r="K8" s="117">
        <v>31</v>
      </c>
      <c r="L8" s="117" t="s">
        <v>222</v>
      </c>
      <c r="M8" s="117" t="s">
        <v>223</v>
      </c>
      <c r="N8" s="118" t="s">
        <v>223</v>
      </c>
      <c r="O8" s="117" t="e">
        <v>#VALUE!</v>
      </c>
      <c r="P8" s="117">
        <v>4</v>
      </c>
      <c r="Q8" s="117" t="e">
        <v>#VALUE!</v>
      </c>
      <c r="R8" s="117" t="e">
        <v>#VALUE!</v>
      </c>
      <c r="S8" s="117" t="s">
        <v>224</v>
      </c>
      <c r="T8" s="118" t="s">
        <v>223</v>
      </c>
      <c r="U8" s="117" t="e">
        <v>#VALUE!</v>
      </c>
      <c r="V8" s="117">
        <v>4</v>
      </c>
      <c r="W8" s="117" t="e">
        <v>#VALUE!</v>
      </c>
      <c r="X8" s="117" t="e">
        <v>#VALUE!</v>
      </c>
      <c r="Y8" s="117" t="s">
        <v>224</v>
      </c>
      <c r="Z8" s="115"/>
      <c r="AA8" s="119"/>
      <c r="AB8" s="115"/>
    </row>
    <row r="9" spans="1:28" ht="21" customHeight="1" x14ac:dyDescent="0.15">
      <c r="A9" s="46">
        <v>40015008</v>
      </c>
      <c r="B9" s="46" t="s">
        <v>233</v>
      </c>
      <c r="C9" s="115">
        <v>3</v>
      </c>
      <c r="D9" s="115" t="s">
        <v>221</v>
      </c>
      <c r="E9" s="116" t="s">
        <v>380</v>
      </c>
      <c r="F9" s="116" t="s">
        <v>419</v>
      </c>
      <c r="G9" s="117" t="s">
        <v>220</v>
      </c>
      <c r="H9" s="117">
        <v>9</v>
      </c>
      <c r="I9" s="117">
        <v>13</v>
      </c>
      <c r="J9" s="117">
        <v>22</v>
      </c>
      <c r="K9" s="117">
        <v>31</v>
      </c>
      <c r="L9" s="117" t="s">
        <v>222</v>
      </c>
      <c r="M9" s="117" t="s">
        <v>223</v>
      </c>
      <c r="N9" s="118" t="s">
        <v>223</v>
      </c>
      <c r="O9" s="117" t="e">
        <v>#VALUE!</v>
      </c>
      <c r="P9" s="117">
        <v>4</v>
      </c>
      <c r="Q9" s="117" t="e">
        <v>#VALUE!</v>
      </c>
      <c r="R9" s="117" t="e">
        <v>#VALUE!</v>
      </c>
      <c r="S9" s="117" t="s">
        <v>224</v>
      </c>
      <c r="T9" s="118" t="s">
        <v>223</v>
      </c>
      <c r="U9" s="117" t="e">
        <v>#VALUE!</v>
      </c>
      <c r="V9" s="117">
        <v>4</v>
      </c>
      <c r="W9" s="117" t="e">
        <v>#VALUE!</v>
      </c>
      <c r="X9" s="117" t="e">
        <v>#VALUE!</v>
      </c>
      <c r="Y9" s="117" t="s">
        <v>224</v>
      </c>
      <c r="Z9" s="115"/>
      <c r="AA9" s="119"/>
      <c r="AB9" s="115"/>
    </row>
    <row r="10" spans="1:28" ht="21" customHeight="1" x14ac:dyDescent="0.15">
      <c r="A10" s="46">
        <v>40015009</v>
      </c>
      <c r="B10" s="46" t="s">
        <v>235</v>
      </c>
      <c r="C10" s="49">
        <v>3</v>
      </c>
      <c r="D10" s="49" t="s">
        <v>127</v>
      </c>
      <c r="E10" s="50" t="s">
        <v>307</v>
      </c>
      <c r="F10" s="50" t="s">
        <v>423</v>
      </c>
      <c r="G10" s="62" t="str">
        <f t="shared" ref="G10:G40" si="16">IFERROR(LEFT(B10,FIND("],",B10)),B10)</f>
        <v>[effect:rush, count:6, val:0.2]</v>
      </c>
      <c r="H10" s="62">
        <f t="shared" ref="H10:H40" si="17">FIND("effect:",G10)+7</f>
        <v>9</v>
      </c>
      <c r="I10" s="62">
        <f t="shared" ref="I10:I40" si="18">IFERROR(FIND(",",G10),LEN(G10))</f>
        <v>13</v>
      </c>
      <c r="J10" s="62" t="e">
        <f t="shared" ref="J10:J40" si="19">FIND("target:",G10)+7</f>
        <v>#VALUE!</v>
      </c>
      <c r="K10" s="62">
        <f t="shared" ref="K10:K40" si="20">FIND(",",G10,I10+1)</f>
        <v>22</v>
      </c>
      <c r="L10" s="62" t="str">
        <f>IFERROR(VLOOKUP(MID(G10,J10,K10-J10),[6]skilldef!$C:$D,2,FALSE),"-") &amp; " / " &amp; IFERROR(VLOOKUP(MID(G10,H10,I10-H10),[6]skilldef!$A:$B,2,FALSE),"-")</f>
        <v>- / 連続攻撃</v>
      </c>
      <c r="M10" s="62" t="str">
        <f t="shared" ref="M10:M40" si="21">IFERROR(RIGHT(B10,LEN(B10)-FIND("],",B10)-1),"none")</f>
        <v>[effect:suicide, val:0.05, dead_type:suicide, target:myself, animation:enemy_suicide]</v>
      </c>
      <c r="N10" s="47" t="str">
        <f t="shared" ref="N10:N40" si="22">IFERROR(LEFT(M10,FIND("],",M10)+S20),M10)</f>
        <v>[effect:suicide, val:0.05, dead_type:suicide, target:myself, animation:enemy_suicide]</v>
      </c>
      <c r="O10" s="62">
        <f t="shared" ref="O10:O40" si="23">FIND("effect:",N10)+7</f>
        <v>9</v>
      </c>
      <c r="P10" s="62">
        <f t="shared" ref="P10:P40" si="24">IFERROR(FIND(",",N10),LEN(N10))</f>
        <v>16</v>
      </c>
      <c r="Q10" s="62">
        <f t="shared" ref="Q10:Q40" si="25">FIND("target:",N10)+7</f>
        <v>54</v>
      </c>
      <c r="R10" s="62">
        <f t="shared" ref="R10:R40" si="26">FIND(",",N10,P10+1)</f>
        <v>26</v>
      </c>
      <c r="S10" s="62" t="str">
        <f>IFERROR(VLOOKUP(MID(N10,Q10,R10-Q10),[6]skilldef!$C:$D,2,FALSE),"-") &amp; " / " &amp; IFERROR(VLOOKUP(MID(N10,O10,P10-O10),[6]skilldef!$A:$B,2,FALSE),"-")</f>
        <v>- / -</v>
      </c>
      <c r="T10" s="47" t="str">
        <f t="shared" ref="T10:T40" si="27">IFERROR(RIGHT(M10,LEN(M10)-FIND("],",M10)-1),"none")</f>
        <v>none</v>
      </c>
      <c r="U10" s="62" t="e">
        <f t="shared" ref="U10:U40" si="28">FIND("effect:",T10)+7</f>
        <v>#VALUE!</v>
      </c>
      <c r="V10" s="62">
        <f t="shared" ref="V10:V40" si="29">IFERROR(FIND(",",T10),LEN(T10))</f>
        <v>4</v>
      </c>
      <c r="W10" s="62" t="e">
        <f t="shared" ref="W10:W40" si="30">FIND("target:",T10)+7</f>
        <v>#VALUE!</v>
      </c>
      <c r="X10" s="62" t="e">
        <f t="shared" ref="X10:X40" si="31">FIND(",",T10,V10+1)</f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49"/>
      <c r="AA10" s="51"/>
      <c r="AB10" s="49"/>
    </row>
    <row r="11" spans="1:28" ht="21" customHeight="1" x14ac:dyDescent="0.15">
      <c r="A11" s="46">
        <v>40015010</v>
      </c>
      <c r="B11" s="46" t="s">
        <v>237</v>
      </c>
      <c r="C11" s="49">
        <v>3</v>
      </c>
      <c r="D11" s="49" t="s">
        <v>127</v>
      </c>
      <c r="E11" s="50" t="s">
        <v>308</v>
      </c>
      <c r="F11" s="50" t="s">
        <v>424</v>
      </c>
      <c r="G11" s="62" t="str">
        <f t="shared" si="16"/>
        <v>[effect:spread, val:0.35]</v>
      </c>
      <c r="H11" s="62">
        <f t="shared" si="17"/>
        <v>9</v>
      </c>
      <c r="I11" s="62">
        <f t="shared" si="18"/>
        <v>15</v>
      </c>
      <c r="J11" s="62" t="e">
        <f t="shared" si="19"/>
        <v>#VALUE!</v>
      </c>
      <c r="K11" s="62" t="e">
        <f t="shared" si="20"/>
        <v>#VALUE!</v>
      </c>
      <c r="L11" s="62" t="str">
        <f>IFERROR(VLOOKUP(MID(G11,J11,K11-J11),[6]skilldef!$C:$D,2,FALSE),"-") &amp; " / " &amp; IFERROR(VLOOKUP(MID(G11,H11,I11-H11),[6]skilldef!$A:$B,2,FALSE),"-")</f>
        <v>- / 全体攻撃</v>
      </c>
      <c r="M11" s="62" t="str">
        <f t="shared" si="21"/>
        <v>[effect:suicide, val:0.1, dead_type:suicide, target:myself, animation:enemy_suicide]</v>
      </c>
      <c r="N11" s="47" t="str">
        <f t="shared" si="22"/>
        <v>[effect:suicide, val:0.1, dead_type:suicide, target:myself, animation:enemy_suicide]</v>
      </c>
      <c r="O11" s="62">
        <f t="shared" si="23"/>
        <v>9</v>
      </c>
      <c r="P11" s="62">
        <f t="shared" si="24"/>
        <v>16</v>
      </c>
      <c r="Q11" s="62">
        <f t="shared" si="25"/>
        <v>53</v>
      </c>
      <c r="R11" s="62">
        <f t="shared" si="26"/>
        <v>25</v>
      </c>
      <c r="S11" s="62" t="str">
        <f>IFERROR(VLOOKUP(MID(N11,Q11,R11-Q11),[6]skilldef!$C:$D,2,FALSE),"-") &amp; " / " &amp; IFERROR(VLOOKUP(MID(N11,O11,P11-O11),[6]skilldef!$A:$B,2,FALSE),"-")</f>
        <v>- / -</v>
      </c>
      <c r="T11" s="47" t="str">
        <f t="shared" si="27"/>
        <v>none</v>
      </c>
      <c r="U11" s="62" t="e">
        <f t="shared" si="28"/>
        <v>#VALUE!</v>
      </c>
      <c r="V11" s="62">
        <f t="shared" si="29"/>
        <v>4</v>
      </c>
      <c r="W11" s="62" t="e">
        <f t="shared" si="30"/>
        <v>#VALUE!</v>
      </c>
      <c r="X11" s="62" t="e">
        <f t="shared" si="31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49"/>
      <c r="AA11" s="51"/>
      <c r="AB11" s="49"/>
    </row>
    <row r="12" spans="1:28" ht="21" customHeight="1" x14ac:dyDescent="0.15">
      <c r="A12" s="46">
        <v>40015011</v>
      </c>
      <c r="B12" s="46" t="s">
        <v>236</v>
      </c>
      <c r="C12" s="49">
        <v>3</v>
      </c>
      <c r="D12" s="49" t="s">
        <v>127</v>
      </c>
      <c r="E12" s="50" t="s">
        <v>311</v>
      </c>
      <c r="F12" s="50" t="s">
        <v>310</v>
      </c>
      <c r="G12" s="62" t="str">
        <f t="shared" si="16"/>
        <v>[effect:suicide, val:0.2, dead_type:suicide, target:myself, animation:enemy_suicide]</v>
      </c>
      <c r="H12" s="62">
        <f t="shared" si="17"/>
        <v>9</v>
      </c>
      <c r="I12" s="62">
        <f t="shared" si="18"/>
        <v>16</v>
      </c>
      <c r="J12" s="62">
        <f t="shared" si="19"/>
        <v>53</v>
      </c>
      <c r="K12" s="62">
        <f t="shared" si="20"/>
        <v>25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si="21"/>
        <v>none</v>
      </c>
      <c r="N12" s="47" t="str">
        <f t="shared" si="22"/>
        <v>none</v>
      </c>
      <c r="O12" s="62" t="e">
        <f t="shared" si="23"/>
        <v>#VALUE!</v>
      </c>
      <c r="P12" s="62">
        <f t="shared" si="24"/>
        <v>4</v>
      </c>
      <c r="Q12" s="62" t="e">
        <f t="shared" si="25"/>
        <v>#VALUE!</v>
      </c>
      <c r="R12" s="62" t="e">
        <f t="shared" si="26"/>
        <v>#VALUE!</v>
      </c>
      <c r="S12" s="62" t="str">
        <f>IFERROR(VLOOKUP(MID(N12,Q12,R12-Q12),[6]skilldef!$C:$D,2,FALSE),"-") &amp; " / " &amp; IFERROR(VLOOKUP(MID(N12,O12,P12-O12),[6]skilldef!$A:$B,2,FALSE),"-")</f>
        <v>- / -</v>
      </c>
      <c r="T12" s="47" t="str">
        <f t="shared" si="27"/>
        <v>none</v>
      </c>
      <c r="U12" s="62" t="e">
        <f t="shared" si="28"/>
        <v>#VALUE!</v>
      </c>
      <c r="V12" s="62">
        <f t="shared" si="29"/>
        <v>4</v>
      </c>
      <c r="W12" s="62" t="e">
        <f t="shared" si="30"/>
        <v>#VALUE!</v>
      </c>
      <c r="X12" s="62" t="e">
        <f t="shared" si="31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49"/>
      <c r="AA12" s="51"/>
      <c r="AB12" s="49"/>
    </row>
    <row r="13" spans="1:28" ht="21" customHeight="1" x14ac:dyDescent="0.15">
      <c r="A13" s="46">
        <v>40015012</v>
      </c>
      <c r="B13" s="46" t="s">
        <v>266</v>
      </c>
      <c r="C13" s="49">
        <v>3</v>
      </c>
      <c r="D13" s="49" t="s">
        <v>127</v>
      </c>
      <c r="E13" s="50" t="s">
        <v>309</v>
      </c>
      <c r="F13" s="50" t="s">
        <v>422</v>
      </c>
      <c r="G13" s="62" t="str">
        <f t="shared" si="16"/>
        <v>[effect:critical, val:2.4]</v>
      </c>
      <c r="H13" s="62">
        <f t="shared" si="17"/>
        <v>9</v>
      </c>
      <c r="I13" s="62">
        <f t="shared" si="18"/>
        <v>17</v>
      </c>
      <c r="J13" s="62" t="e">
        <f t="shared" si="19"/>
        <v>#VALUE!</v>
      </c>
      <c r="K13" s="62" t="e">
        <f t="shared" si="20"/>
        <v>#VALUE!</v>
      </c>
      <c r="L13" s="62" t="str">
        <f>IFERROR(VLOOKUP(MID(G13,J13,K13-J13),[6]skilldef!$C:$D,2,FALSE),"-") &amp; " / " &amp; IFERROR(VLOOKUP(MID(G13,H13,I13-H13),[6]skilldef!$A:$B,2,FALSE),"-")</f>
        <v>- / 大攻撃</v>
      </c>
      <c r="M13" s="62" t="str">
        <f t="shared" si="21"/>
        <v>[effect:suicide, val:0.5, dead_type:suicide, target:myself, animation:enemy_suicide]</v>
      </c>
      <c r="N13" s="47" t="str">
        <f t="shared" si="22"/>
        <v>[effect:suicide, val:0.5, dead_type:suicide, target:myself, animation:enemy_suicide]</v>
      </c>
      <c r="O13" s="62">
        <f t="shared" si="23"/>
        <v>9</v>
      </c>
      <c r="P13" s="62">
        <f t="shared" si="24"/>
        <v>16</v>
      </c>
      <c r="Q13" s="62">
        <f t="shared" si="25"/>
        <v>53</v>
      </c>
      <c r="R13" s="62">
        <f t="shared" si="26"/>
        <v>25</v>
      </c>
      <c r="S13" s="62" t="str">
        <f>IFERROR(VLOOKUP(MID(N13,Q13,R13-Q13),[6]skilldef!$C:$D,2,FALSE),"-") &amp; " / " &amp; IFERROR(VLOOKUP(MID(N13,O13,P13-O13),[6]skilldef!$A:$B,2,FALSE),"-")</f>
        <v>- / -</v>
      </c>
      <c r="T13" s="47" t="str">
        <f t="shared" si="27"/>
        <v>none</v>
      </c>
      <c r="U13" s="62" t="e">
        <f t="shared" si="28"/>
        <v>#VALUE!</v>
      </c>
      <c r="V13" s="62">
        <f t="shared" si="29"/>
        <v>4</v>
      </c>
      <c r="W13" s="62" t="e">
        <f t="shared" si="30"/>
        <v>#VALUE!</v>
      </c>
      <c r="X13" s="62" t="e">
        <f t="shared" si="31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49"/>
      <c r="AA13" s="51"/>
      <c r="AB13" s="49"/>
    </row>
    <row r="14" spans="1:28" ht="21" customHeight="1" x14ac:dyDescent="0.15">
      <c r="A14" s="46">
        <v>40015013</v>
      </c>
      <c r="B14" s="46" t="s">
        <v>233</v>
      </c>
      <c r="C14" s="49">
        <v>3</v>
      </c>
      <c r="D14" s="49" t="s">
        <v>127</v>
      </c>
      <c r="E14" s="50" t="s">
        <v>312</v>
      </c>
      <c r="F14" s="50" t="s">
        <v>313</v>
      </c>
      <c r="G14" s="62" t="str">
        <f t="shared" si="16"/>
        <v>[effect:nothing]</v>
      </c>
      <c r="H14" s="62">
        <f t="shared" si="17"/>
        <v>9</v>
      </c>
      <c r="I14" s="62">
        <f t="shared" si="18"/>
        <v>16</v>
      </c>
      <c r="J14" s="62" t="e">
        <f t="shared" si="19"/>
        <v>#VALUE!</v>
      </c>
      <c r="K14" s="62" t="e">
        <f t="shared" si="20"/>
        <v>#VALUE!</v>
      </c>
      <c r="L14" s="62" t="str">
        <f>IFERROR(VLOOKUP(MID(G14,J14,K14-J14),[6]skilldef!$C:$D,2,FALSE),"-") &amp; " / " &amp; IFERROR(VLOOKUP(MID(G14,H14,I14-H14),[6]skilldef!$A:$B,2,FALSE),"-")</f>
        <v>- / 何もしない</v>
      </c>
      <c r="M14" s="62" t="str">
        <f t="shared" si="21"/>
        <v>none</v>
      </c>
      <c r="N14" s="47" t="str">
        <f t="shared" si="22"/>
        <v>none</v>
      </c>
      <c r="O14" s="62" t="e">
        <f t="shared" si="23"/>
        <v>#VALUE!</v>
      </c>
      <c r="P14" s="62">
        <f t="shared" si="24"/>
        <v>4</v>
      </c>
      <c r="Q14" s="62" t="e">
        <f t="shared" si="25"/>
        <v>#VALUE!</v>
      </c>
      <c r="R14" s="62" t="e">
        <f t="shared" si="26"/>
        <v>#VALUE!</v>
      </c>
      <c r="S14" s="62" t="str">
        <f>IFERROR(VLOOKUP(MID(N14,Q14,R14-Q14),[6]skilldef!$C:$D,2,FALSE),"-") &amp; " / " &amp; IFERROR(VLOOKUP(MID(N14,O14,P14-O14),[6]skilldef!$A:$B,2,FALSE),"-")</f>
        <v>- / -</v>
      </c>
      <c r="T14" s="47" t="str">
        <f t="shared" si="27"/>
        <v>none</v>
      </c>
      <c r="U14" s="62" t="e">
        <f t="shared" si="28"/>
        <v>#VALUE!</v>
      </c>
      <c r="V14" s="62">
        <f t="shared" si="29"/>
        <v>4</v>
      </c>
      <c r="W14" s="62" t="e">
        <f t="shared" si="30"/>
        <v>#VALUE!</v>
      </c>
      <c r="X14" s="62" t="e">
        <f t="shared" si="31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49"/>
      <c r="AA14" s="51"/>
      <c r="AB14" s="49"/>
    </row>
    <row r="15" spans="1:28" ht="21" customHeight="1" x14ac:dyDescent="0.15">
      <c r="A15" s="46">
        <v>40015014</v>
      </c>
      <c r="B15" s="46" t="s">
        <v>239</v>
      </c>
      <c r="C15" s="49">
        <v>3</v>
      </c>
      <c r="D15" s="49" t="s">
        <v>127</v>
      </c>
      <c r="E15" s="50" t="s">
        <v>316</v>
      </c>
      <c r="F15" s="50" t="s">
        <v>315</v>
      </c>
      <c r="G15" s="62" t="str">
        <f t="shared" si="16"/>
        <v>[effect:fix_speed, target:enemy_all, turn:8]</v>
      </c>
      <c r="H15" s="62">
        <f t="shared" si="17"/>
        <v>9</v>
      </c>
      <c r="I15" s="62">
        <f t="shared" si="18"/>
        <v>18</v>
      </c>
      <c r="J15" s="62">
        <f t="shared" si="19"/>
        <v>27</v>
      </c>
      <c r="K15" s="62">
        <f t="shared" si="20"/>
        <v>36</v>
      </c>
      <c r="L15" s="62" t="str">
        <f>IFERROR(VLOOKUP(MID(G15,J15,K15-J15),[6]skilldef!$C:$D,2,FALSE),"-") &amp; " / " &amp; IFERROR(VLOOKUP(MID(G15,H15,I15-H15),[6]skilldef!$A:$B,2,FALSE),"-")</f>
        <v>敵全体に / 行動値設定</v>
      </c>
      <c r="M15" s="62" t="str">
        <f t="shared" si="21"/>
        <v>none</v>
      </c>
      <c r="N15" s="47" t="str">
        <f t="shared" si="22"/>
        <v>none</v>
      </c>
      <c r="O15" s="62" t="e">
        <f t="shared" si="23"/>
        <v>#VALUE!</v>
      </c>
      <c r="P15" s="62">
        <f t="shared" si="24"/>
        <v>4</v>
      </c>
      <c r="Q15" s="62" t="e">
        <f t="shared" si="25"/>
        <v>#VALUE!</v>
      </c>
      <c r="R15" s="62" t="e">
        <f t="shared" si="26"/>
        <v>#VALUE!</v>
      </c>
      <c r="S15" s="62" t="str">
        <f>IFERROR(VLOOKUP(MID(N15,Q15,R15-Q15),[6]skilldef!$C:$D,2,FALSE),"-") &amp; " / " &amp; IFERROR(VLOOKUP(MID(N15,O15,P15-O15),[6]skilldef!$A:$B,2,FALSE),"-")</f>
        <v>- / -</v>
      </c>
      <c r="T15" s="47" t="str">
        <f t="shared" si="27"/>
        <v>none</v>
      </c>
      <c r="U15" s="62" t="e">
        <f t="shared" si="28"/>
        <v>#VALUE!</v>
      </c>
      <c r="V15" s="62">
        <f t="shared" si="29"/>
        <v>4</v>
      </c>
      <c r="W15" s="62" t="e">
        <f t="shared" si="30"/>
        <v>#VALUE!</v>
      </c>
      <c r="X15" s="62" t="e">
        <f t="shared" si="31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9"/>
      <c r="AA15" s="51"/>
      <c r="AB15" s="49"/>
    </row>
    <row r="16" spans="1:28" ht="21" customHeight="1" x14ac:dyDescent="0.15">
      <c r="A16" s="46">
        <v>40015015</v>
      </c>
      <c r="B16" s="46" t="s">
        <v>240</v>
      </c>
      <c r="C16" s="49">
        <v>3</v>
      </c>
      <c r="D16" s="49" t="s">
        <v>127</v>
      </c>
      <c r="E16" s="50" t="s">
        <v>317</v>
      </c>
      <c r="F16" s="50" t="s">
        <v>318</v>
      </c>
      <c r="G16" s="62" t="str">
        <f t="shared" si="16"/>
        <v>[effect:kamikaze, val:0.25]</v>
      </c>
      <c r="H16" s="62">
        <f t="shared" si="17"/>
        <v>9</v>
      </c>
      <c r="I16" s="62">
        <f t="shared" si="18"/>
        <v>17</v>
      </c>
      <c r="J16" s="62" t="e">
        <f t="shared" si="19"/>
        <v>#VALUE!</v>
      </c>
      <c r="K16" s="62" t="e">
        <f t="shared" si="20"/>
        <v>#VALUE!</v>
      </c>
      <c r="L16" s="62" t="str">
        <f>IFERROR(VLOOKUP(MID(G16,J16,K16-J16),[6]skilldef!$C:$D,2,FALSE),"-") &amp; " / " &amp; IFERROR(VLOOKUP(MID(G16,H16,I16-H16),[6]skilldef!$A:$B,2,FALSE),"-")</f>
        <v>- / 自爆</v>
      </c>
      <c r="M16" s="62" t="str">
        <f t="shared" si="21"/>
        <v>none</v>
      </c>
      <c r="N16" s="47" t="str">
        <f t="shared" si="22"/>
        <v>none</v>
      </c>
      <c r="O16" s="62" t="e">
        <f t="shared" si="23"/>
        <v>#VALUE!</v>
      </c>
      <c r="P16" s="62">
        <f t="shared" si="24"/>
        <v>4</v>
      </c>
      <c r="Q16" s="62" t="e">
        <f t="shared" si="25"/>
        <v>#VALUE!</v>
      </c>
      <c r="R16" s="62" t="e">
        <f t="shared" si="26"/>
        <v>#VALUE!</v>
      </c>
      <c r="S16" s="62" t="str">
        <f>IFERROR(VLOOKUP(MID(N16,Q16,R16-Q16),[6]skilldef!$C:$D,2,FALSE),"-") &amp; " / " &amp; IFERROR(VLOOKUP(MID(N16,O16,P16-O16),[6]skilldef!$A:$B,2,FALSE),"-")</f>
        <v>- / -</v>
      </c>
      <c r="T16" s="47" t="str">
        <f t="shared" si="27"/>
        <v>none</v>
      </c>
      <c r="U16" s="62" t="e">
        <f t="shared" si="28"/>
        <v>#VALUE!</v>
      </c>
      <c r="V16" s="62">
        <f t="shared" si="29"/>
        <v>4</v>
      </c>
      <c r="W16" s="62" t="e">
        <f t="shared" si="30"/>
        <v>#VALUE!</v>
      </c>
      <c r="X16" s="62" t="e">
        <f t="shared" si="31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9"/>
      <c r="AA16" s="51"/>
      <c r="AB16" s="49"/>
    </row>
    <row r="17" spans="1:28" ht="21" customHeight="1" x14ac:dyDescent="0.15">
      <c r="A17" s="46">
        <v>40015016</v>
      </c>
      <c r="B17" s="46" t="s">
        <v>241</v>
      </c>
      <c r="C17" s="49">
        <v>3</v>
      </c>
      <c r="D17" s="49" t="s">
        <v>127</v>
      </c>
      <c r="E17" s="50" t="s">
        <v>319</v>
      </c>
      <c r="F17" s="50" t="s">
        <v>320</v>
      </c>
      <c r="G17" s="62" t="str">
        <f t="shared" si="16"/>
        <v>[effect:crash_growth, count:-1, val:-41, animation:change_block]</v>
      </c>
      <c r="H17" s="62">
        <f t="shared" si="17"/>
        <v>9</v>
      </c>
      <c r="I17" s="62">
        <f t="shared" si="18"/>
        <v>21</v>
      </c>
      <c r="J17" s="62" t="e">
        <f t="shared" si="19"/>
        <v>#VALUE!</v>
      </c>
      <c r="K17" s="62">
        <f t="shared" si="20"/>
        <v>31</v>
      </c>
      <c r="L17" s="62" t="str">
        <f>IFERROR(VLOOKUP(MID(G17,J17,K17-J17),[6]skilldef!$C:$D,2,FALSE),"-") &amp; " / " &amp; IFERROR(VLOOKUP(MID(G17,H17,I17-H17),[6]skilldef!$A:$B,2,FALSE),"-")</f>
        <v>- / -</v>
      </c>
      <c r="M17" s="62" t="str">
        <f t="shared" si="21"/>
        <v>none</v>
      </c>
      <c r="N17" s="47" t="str">
        <f t="shared" si="22"/>
        <v>none</v>
      </c>
      <c r="O17" s="62" t="e">
        <f t="shared" si="23"/>
        <v>#VALUE!</v>
      </c>
      <c r="P17" s="62">
        <f t="shared" si="24"/>
        <v>4</v>
      </c>
      <c r="Q17" s="62" t="e">
        <f t="shared" si="25"/>
        <v>#VALUE!</v>
      </c>
      <c r="R17" s="62" t="e">
        <f t="shared" si="26"/>
        <v>#VALUE!</v>
      </c>
      <c r="S17" s="62" t="str">
        <f>IFERROR(VLOOKUP(MID(N17,Q17,R17-Q17),[6]skilldef!$C:$D,2,FALSE),"-") &amp; " / " &amp; IFERROR(VLOOKUP(MID(N17,O17,P17-O17),[6]skilldef!$A:$B,2,FALSE),"-")</f>
        <v>- / -</v>
      </c>
      <c r="T17" s="47" t="str">
        <f t="shared" si="27"/>
        <v>none</v>
      </c>
      <c r="U17" s="62" t="e">
        <f t="shared" si="28"/>
        <v>#VALUE!</v>
      </c>
      <c r="V17" s="62">
        <f t="shared" si="29"/>
        <v>4</v>
      </c>
      <c r="W17" s="62" t="e">
        <f t="shared" si="30"/>
        <v>#VALUE!</v>
      </c>
      <c r="X17" s="62" t="e">
        <f t="shared" si="31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9"/>
      <c r="AA17" s="51"/>
      <c r="AB17" s="49"/>
    </row>
    <row r="18" spans="1:28" ht="21" customHeight="1" x14ac:dyDescent="0.15">
      <c r="A18" s="46">
        <v>40015017</v>
      </c>
      <c r="B18" s="46" t="s">
        <v>364</v>
      </c>
      <c r="C18" s="49">
        <v>3</v>
      </c>
      <c r="D18" s="49" t="s">
        <v>127</v>
      </c>
      <c r="E18" s="50" t="s">
        <v>321</v>
      </c>
      <c r="F18" s="50" t="s">
        <v>217</v>
      </c>
      <c r="G18" s="62" t="str">
        <f t="shared" si="16"/>
        <v>[effect:critical, val:1.5]</v>
      </c>
      <c r="H18" s="62">
        <f t="shared" si="17"/>
        <v>9</v>
      </c>
      <c r="I18" s="62">
        <f t="shared" si="18"/>
        <v>17</v>
      </c>
      <c r="J18" s="62" t="e">
        <f t="shared" si="19"/>
        <v>#VALUE!</v>
      </c>
      <c r="K18" s="62" t="e">
        <f t="shared" si="20"/>
        <v>#VALUE!</v>
      </c>
      <c r="L18" s="62" t="str">
        <f>IFERROR(VLOOKUP(MID(G18,J18,K18-J18),[6]skilldef!$C:$D,2,FALSE),"-") &amp; " / " &amp; IFERROR(VLOOKUP(MID(G18,H18,I18-H18),[6]skilldef!$A:$B,2,FALSE),"-")</f>
        <v>- / 大攻撃</v>
      </c>
      <c r="M18" s="62" t="str">
        <f t="shared" si="21"/>
        <v>none</v>
      </c>
      <c r="N18" s="47" t="str">
        <f t="shared" si="22"/>
        <v>none</v>
      </c>
      <c r="O18" s="62" t="e">
        <f t="shared" si="23"/>
        <v>#VALUE!</v>
      </c>
      <c r="P18" s="62">
        <f t="shared" si="24"/>
        <v>4</v>
      </c>
      <c r="Q18" s="62" t="e">
        <f t="shared" si="25"/>
        <v>#VALUE!</v>
      </c>
      <c r="R18" s="62" t="e">
        <f t="shared" si="26"/>
        <v>#VALUE!</v>
      </c>
      <c r="S18" s="62" t="str">
        <f>IFERROR(VLOOKUP(MID(N18,Q18,R18-Q18),[6]skilldef!$C:$D,2,FALSE),"-") &amp; " / " &amp; IFERROR(VLOOKUP(MID(N18,O18,P18-O18),[6]skilldef!$A:$B,2,FALSE),"-")</f>
        <v>- / -</v>
      </c>
      <c r="T18" s="47" t="str">
        <f t="shared" si="27"/>
        <v>none</v>
      </c>
      <c r="U18" s="62" t="e">
        <f t="shared" si="28"/>
        <v>#VALUE!</v>
      </c>
      <c r="V18" s="62">
        <f t="shared" si="29"/>
        <v>4</v>
      </c>
      <c r="W18" s="62" t="e">
        <f t="shared" si="30"/>
        <v>#VALUE!</v>
      </c>
      <c r="X18" s="62" t="e">
        <f t="shared" si="31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/>
      <c r="AA18" s="51"/>
      <c r="AB18" s="49"/>
    </row>
    <row r="19" spans="1:28" ht="21" customHeight="1" x14ac:dyDescent="0.15">
      <c r="A19" s="46">
        <v>40015018</v>
      </c>
      <c r="B19" s="46" t="s">
        <v>242</v>
      </c>
      <c r="C19" s="49">
        <v>3</v>
      </c>
      <c r="D19" s="49" t="s">
        <v>127</v>
      </c>
      <c r="E19" s="50" t="s">
        <v>365</v>
      </c>
      <c r="F19" s="50" t="s">
        <v>218</v>
      </c>
      <c r="G19" s="62" t="str">
        <f t="shared" si="16"/>
        <v>[effect:enhance_enemy, target:myself, turn:1, status:attack, val:0.5, animation:enemy_enhance_attack]</v>
      </c>
      <c r="H19" s="62">
        <f t="shared" si="17"/>
        <v>9</v>
      </c>
      <c r="I19" s="62">
        <f t="shared" si="18"/>
        <v>22</v>
      </c>
      <c r="J19" s="62">
        <f t="shared" si="19"/>
        <v>31</v>
      </c>
      <c r="K19" s="62">
        <f t="shared" si="20"/>
        <v>37</v>
      </c>
      <c r="L19" s="62" t="str">
        <f>IFERROR(VLOOKUP(MID(G19,J19,K19-J19),[6]skilldef!$C:$D,2,FALSE),"-") &amp; " / " &amp; IFERROR(VLOOKUP(MID(G19,H19,I19-H19),[6]skilldef!$A:$B,2,FALSE),"-")</f>
        <v>自分自身に / ステータス強化</v>
      </c>
      <c r="M19" s="62" t="str">
        <f t="shared" si="21"/>
        <v>_x000D_[effect:freq_turn, target:myself, turn:1, val:1]</v>
      </c>
      <c r="N19" s="47" t="str">
        <f t="shared" si="22"/>
        <v>_x000D_[effect:freq_turn, target:myself, turn:1, val:1]</v>
      </c>
      <c r="O19" s="62">
        <f t="shared" si="23"/>
        <v>10</v>
      </c>
      <c r="P19" s="62">
        <f t="shared" si="24"/>
        <v>19</v>
      </c>
      <c r="Q19" s="62">
        <f t="shared" si="25"/>
        <v>28</v>
      </c>
      <c r="R19" s="62">
        <f t="shared" si="26"/>
        <v>34</v>
      </c>
      <c r="S19" s="62" t="str">
        <f>IFERROR(VLOOKUP(MID(N19,Q19,R19-Q19),[6]skilldef!$C:$D,2,FALSE),"-") &amp; " / " &amp; IFERROR(VLOOKUP(MID(N19,O19,P19-O19),[6]skilldef!$A:$B,2,FALSE),"-")</f>
        <v>自分自身に / 攻撃頻度がUP</v>
      </c>
      <c r="T19" s="47" t="str">
        <f t="shared" si="27"/>
        <v>none</v>
      </c>
      <c r="U19" s="62" t="e">
        <f t="shared" si="28"/>
        <v>#VALUE!</v>
      </c>
      <c r="V19" s="62">
        <f t="shared" si="29"/>
        <v>4</v>
      </c>
      <c r="W19" s="62" t="e">
        <f t="shared" si="30"/>
        <v>#VALUE!</v>
      </c>
      <c r="X19" s="62" t="e">
        <f t="shared" si="31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/>
      <c r="AA19" s="51"/>
      <c r="AB19" s="49"/>
    </row>
    <row r="20" spans="1:28" ht="21" customHeight="1" x14ac:dyDescent="0.15">
      <c r="A20" s="46">
        <v>40015019</v>
      </c>
      <c r="B20" s="46" t="s">
        <v>267</v>
      </c>
      <c r="C20" s="49">
        <v>3</v>
      </c>
      <c r="D20" s="49" t="s">
        <v>127</v>
      </c>
      <c r="E20" s="50" t="s">
        <v>366</v>
      </c>
      <c r="F20" s="50" t="s">
        <v>381</v>
      </c>
      <c r="G20" s="62" t="str">
        <f t="shared" si="16"/>
        <v>[effect:force_change_block, new_block:block_red, target:block_heart, count:0, val:0, animation:change_block]</v>
      </c>
      <c r="H20" s="62">
        <f t="shared" si="17"/>
        <v>9</v>
      </c>
      <c r="I20" s="62">
        <f t="shared" si="18"/>
        <v>27</v>
      </c>
      <c r="J20" s="62">
        <f t="shared" si="19"/>
        <v>57</v>
      </c>
      <c r="K20" s="62">
        <f t="shared" si="20"/>
        <v>48</v>
      </c>
      <c r="L20" s="62" t="str">
        <f>IFERROR(VLOOKUP(MID(G20,J20,K20-J20),[6]skilldef!$C:$D,2,FALSE),"-") &amp; " / " &amp; IFERROR(VLOOKUP(MID(G20,H20,I20-H20),[6]skilldef!$A:$B,2,FALSE),"-")</f>
        <v>- / -</v>
      </c>
      <c r="M20" s="62" t="str">
        <f t="shared" si="21"/>
        <v>[effect:rush, count:1, val:0.75],[effect:freq_turn, target:myself, turn:1, val:1]</v>
      </c>
      <c r="N20" s="47" t="str">
        <f t="shared" si="22"/>
        <v>[effect:rush, count:1, val:0.75],[effect:freq_turn, target:myself, turn:1, val:1]</v>
      </c>
      <c r="O20" s="62">
        <f t="shared" si="23"/>
        <v>9</v>
      </c>
      <c r="P20" s="62">
        <f t="shared" si="24"/>
        <v>13</v>
      </c>
      <c r="Q20" s="62">
        <f t="shared" si="25"/>
        <v>60</v>
      </c>
      <c r="R20" s="62">
        <f t="shared" si="26"/>
        <v>22</v>
      </c>
      <c r="S20" s="62" t="str">
        <f>IFERROR(VLOOKUP(MID(N20,Q20,R20-Q20),[6]skilldef!$C:$D,2,FALSE),"-") &amp; " / " &amp; IFERROR(VLOOKUP(MID(N20,O20,P20-O20),[6]skilldef!$A:$B,2,FALSE),"-")</f>
        <v>- / 連続攻撃</v>
      </c>
      <c r="T20" s="47" t="str">
        <f t="shared" si="27"/>
        <v>[effect:freq_turn, target:myself, turn:1, val:1]</v>
      </c>
      <c r="U20" s="62">
        <f t="shared" si="28"/>
        <v>9</v>
      </c>
      <c r="V20" s="62">
        <f t="shared" si="29"/>
        <v>18</v>
      </c>
      <c r="W20" s="62">
        <f t="shared" si="30"/>
        <v>27</v>
      </c>
      <c r="X20" s="62">
        <f t="shared" si="31"/>
        <v>33</v>
      </c>
      <c r="Y20" s="62" t="str">
        <f>IFERROR(VLOOKUP(MID(T20,W20,X20-W20),[6]skilldef!$C:$D,2,FALSE),"-") &amp; " / " &amp; IFERROR(VLOOKUP(MID(T20,U20,V20-U20),[6]skilldef!$A:$B,2,FALSE),"-")</f>
        <v>自分自身に / 攻撃頻度がUP</v>
      </c>
      <c r="Z20" s="49"/>
      <c r="AA20" s="51"/>
      <c r="AB20" s="49"/>
    </row>
    <row r="21" spans="1:28" ht="21" customHeight="1" x14ac:dyDescent="0.15">
      <c r="A21" s="46">
        <v>40015020</v>
      </c>
      <c r="B21" s="46" t="s">
        <v>243</v>
      </c>
      <c r="C21" s="49">
        <v>3</v>
      </c>
      <c r="D21" s="49" t="s">
        <v>127</v>
      </c>
      <c r="E21" s="50" t="s">
        <v>322</v>
      </c>
      <c r="F21" s="50" t="s">
        <v>219</v>
      </c>
      <c r="G21" s="62" t="str">
        <f t="shared" si="16"/>
        <v>[effect:remove_enhancement, target:unit_all, target_effect:all, target_type:buff, animation:frozen_wave]</v>
      </c>
      <c r="H21" s="62">
        <f t="shared" si="17"/>
        <v>9</v>
      </c>
      <c r="I21" s="62">
        <f t="shared" si="18"/>
        <v>27</v>
      </c>
      <c r="J21" s="62">
        <f t="shared" si="19"/>
        <v>36</v>
      </c>
      <c r="K21" s="62">
        <f t="shared" si="20"/>
        <v>44</v>
      </c>
      <c r="L21" s="62" t="str">
        <f>IFERROR(VLOOKUP(MID(G21,J21,K21-J21),[6]skilldef!$C:$D,2,FALSE),"-") &amp; " / " &amp; IFERROR(VLOOKUP(MID(G21,H21,I21-H21),[6]skilldef!$A:$B,2,FALSE),"-")</f>
        <v>味方全体に / -</v>
      </c>
      <c r="M21" s="62" t="str">
        <f t="shared" si="21"/>
        <v>[effect:spread, val:0.4]</v>
      </c>
      <c r="N21" s="47" t="str">
        <f t="shared" si="22"/>
        <v>[effect:spread, val:0.4]</v>
      </c>
      <c r="O21" s="62">
        <f t="shared" si="23"/>
        <v>9</v>
      </c>
      <c r="P21" s="62">
        <f t="shared" si="24"/>
        <v>15</v>
      </c>
      <c r="Q21" s="62" t="e">
        <f t="shared" si="25"/>
        <v>#VALUE!</v>
      </c>
      <c r="R21" s="62" t="e">
        <f t="shared" si="26"/>
        <v>#VALUE!</v>
      </c>
      <c r="S21" s="62" t="str">
        <f>IFERROR(VLOOKUP(MID(N21,Q21,R21-Q21),[6]skilldef!$C:$D,2,FALSE),"-") &amp; " / " &amp; IFERROR(VLOOKUP(MID(N21,O21,P21-O21),[6]skilldef!$A:$B,2,FALSE),"-")</f>
        <v>- / 全体攻撃</v>
      </c>
      <c r="T21" s="47" t="str">
        <f t="shared" si="27"/>
        <v>none</v>
      </c>
      <c r="U21" s="62" t="e">
        <f t="shared" si="28"/>
        <v>#VALUE!</v>
      </c>
      <c r="V21" s="62">
        <f t="shared" si="29"/>
        <v>4</v>
      </c>
      <c r="W21" s="62" t="e">
        <f t="shared" si="30"/>
        <v>#VALUE!</v>
      </c>
      <c r="X21" s="62" t="e">
        <f t="shared" si="31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/>
      <c r="AA21" s="51"/>
      <c r="AB21" s="49"/>
    </row>
    <row r="22" spans="1:28" ht="21" customHeight="1" x14ac:dyDescent="0.15">
      <c r="A22" s="46">
        <v>40015021</v>
      </c>
      <c r="B22" s="46" t="s">
        <v>268</v>
      </c>
      <c r="C22" s="49">
        <v>3</v>
      </c>
      <c r="D22" s="49" t="s">
        <v>127</v>
      </c>
      <c r="E22" s="50" t="s">
        <v>323</v>
      </c>
      <c r="F22" s="50" t="s">
        <v>324</v>
      </c>
      <c r="G22" s="62" t="str">
        <f t="shared" si="16"/>
        <v>[effect:fix_speed, target:myself, turn:1]</v>
      </c>
      <c r="H22" s="62">
        <f t="shared" si="17"/>
        <v>9</v>
      </c>
      <c r="I22" s="62">
        <f t="shared" si="18"/>
        <v>18</v>
      </c>
      <c r="J22" s="62">
        <f t="shared" si="19"/>
        <v>27</v>
      </c>
      <c r="K22" s="62">
        <f t="shared" si="20"/>
        <v>33</v>
      </c>
      <c r="L22" s="62" t="str">
        <f>IFERROR(VLOOKUP(MID(G22,J22,K22-J22),[6]skilldef!$C:$D,2,FALSE),"-") &amp; " / " &amp; IFERROR(VLOOKUP(MID(G22,H22,I22-H22),[6]skilldef!$A:$B,2,FALSE),"-")</f>
        <v>自分自身に / 行動値設定</v>
      </c>
      <c r="M22" s="62" t="str">
        <f t="shared" si="21"/>
        <v>none</v>
      </c>
      <c r="N22" s="47" t="str">
        <f t="shared" si="22"/>
        <v>none</v>
      </c>
      <c r="O22" s="62" t="e">
        <f t="shared" si="23"/>
        <v>#VALUE!</v>
      </c>
      <c r="P22" s="62">
        <f t="shared" si="24"/>
        <v>4</v>
      </c>
      <c r="Q22" s="62" t="e">
        <f t="shared" si="25"/>
        <v>#VALUE!</v>
      </c>
      <c r="R22" s="62" t="e">
        <f t="shared" si="26"/>
        <v>#VALUE!</v>
      </c>
      <c r="S22" s="62" t="str">
        <f>IFERROR(VLOOKUP(MID(N22,Q22,R22-Q22),[6]skilldef!$C:$D,2,FALSE),"-") &amp; " / " &amp; IFERROR(VLOOKUP(MID(N22,O22,P22-O22),[6]skilldef!$A:$B,2,FALSE),"-")</f>
        <v>- / -</v>
      </c>
      <c r="T22" s="47" t="str">
        <f t="shared" si="27"/>
        <v>none</v>
      </c>
      <c r="U22" s="62" t="e">
        <f t="shared" si="28"/>
        <v>#VALUE!</v>
      </c>
      <c r="V22" s="62">
        <f t="shared" si="29"/>
        <v>4</v>
      </c>
      <c r="W22" s="62" t="e">
        <f t="shared" si="30"/>
        <v>#VALUE!</v>
      </c>
      <c r="X22" s="62" t="e">
        <f t="shared" si="31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49"/>
      <c r="AA22" s="51"/>
      <c r="AB22" s="49"/>
    </row>
    <row r="23" spans="1:28" ht="21" customHeight="1" x14ac:dyDescent="0.15">
      <c r="A23" s="46">
        <v>40015022</v>
      </c>
      <c r="B23" s="46" t="s">
        <v>385</v>
      </c>
      <c r="C23" s="49">
        <v>3</v>
      </c>
      <c r="D23" s="49" t="s">
        <v>127</v>
      </c>
      <c r="E23" s="50" t="s">
        <v>325</v>
      </c>
      <c r="F23" s="50" t="s">
        <v>384</v>
      </c>
      <c r="G23" s="62" t="str">
        <f t="shared" si="16"/>
        <v>[effect:spread, val:0.6]</v>
      </c>
      <c r="H23" s="62">
        <f t="shared" si="17"/>
        <v>9</v>
      </c>
      <c r="I23" s="62">
        <f t="shared" si="18"/>
        <v>15</v>
      </c>
      <c r="J23" s="62" t="e">
        <f t="shared" si="19"/>
        <v>#VALUE!</v>
      </c>
      <c r="K23" s="62" t="e">
        <f t="shared" si="20"/>
        <v>#VALUE!</v>
      </c>
      <c r="L23" s="62" t="str">
        <f>IFERROR(VLOOKUP(MID(G23,J23,K23-J23),[6]skilldef!$C:$D,2,FALSE),"-") &amp; " / " &amp; IFERROR(VLOOKUP(MID(G23,H23,I23-H23),[6]skilldef!$A:$B,2,FALSE),"-")</f>
        <v>- / 全体攻撃</v>
      </c>
      <c r="M23" s="62" t="str">
        <f t="shared" si="21"/>
        <v>[effect:force_change_block, new_block:time_bomb, target:block_all, count:15, val:0.2, min_time_count:1, max_time_count:1, animation:change_block],[effect:fix_speed, target:myself, turn:2]</v>
      </c>
      <c r="N23" s="47" t="str">
        <f t="shared" si="22"/>
        <v>[effect:force_change_block, new_block:time_bomb, target:block_all, count:15, val:0.2, min_time_count:1, max_time_count:1, animation:change_block],[effect:fix_speed, target:myself, turn:2]</v>
      </c>
      <c r="O23" s="62">
        <f t="shared" si="23"/>
        <v>9</v>
      </c>
      <c r="P23" s="62">
        <f t="shared" si="24"/>
        <v>27</v>
      </c>
      <c r="Q23" s="62">
        <f t="shared" si="25"/>
        <v>57</v>
      </c>
      <c r="R23" s="62">
        <f t="shared" si="26"/>
        <v>48</v>
      </c>
      <c r="S23" s="62" t="str">
        <f>IFERROR(VLOOKUP(MID(N23,Q23,R23-Q23),[6]skilldef!$C:$D,2,FALSE),"-") &amp; " / " &amp; IFERROR(VLOOKUP(MID(N23,O23,P23-O23),[6]skilldef!$A:$B,2,FALSE),"-")</f>
        <v>- / -</v>
      </c>
      <c r="T23" s="47" t="str">
        <f t="shared" si="27"/>
        <v>[effect:fix_speed, target:myself, turn:2]</v>
      </c>
      <c r="U23" s="62">
        <f t="shared" si="28"/>
        <v>9</v>
      </c>
      <c r="V23" s="62">
        <f t="shared" si="29"/>
        <v>18</v>
      </c>
      <c r="W23" s="62">
        <f t="shared" si="30"/>
        <v>27</v>
      </c>
      <c r="X23" s="62">
        <f t="shared" si="31"/>
        <v>33</v>
      </c>
      <c r="Y23" s="62" t="str">
        <f>IFERROR(VLOOKUP(MID(T23,W23,X23-W23),[6]skilldef!$C:$D,2,FALSE),"-") &amp; " / " &amp; IFERROR(VLOOKUP(MID(T23,U23,V23-U23),[6]skilldef!$A:$B,2,FALSE),"-")</f>
        <v>自分自身に / 行動値設定</v>
      </c>
      <c r="Z23" s="49"/>
      <c r="AA23" s="51"/>
      <c r="AB23" s="49"/>
    </row>
    <row r="24" spans="1:28" ht="21" customHeight="1" x14ac:dyDescent="0.15">
      <c r="A24" s="46">
        <v>40015023</v>
      </c>
      <c r="B24" s="46" t="s">
        <v>363</v>
      </c>
      <c r="C24" s="49">
        <v>3</v>
      </c>
      <c r="D24" s="49" t="s">
        <v>127</v>
      </c>
      <c r="E24" s="50" t="s">
        <v>321</v>
      </c>
      <c r="F24" s="50" t="s">
        <v>326</v>
      </c>
      <c r="G24" s="62" t="str">
        <f t="shared" si="16"/>
        <v>[effect:critical, val:1.5]</v>
      </c>
      <c r="H24" s="62">
        <f t="shared" si="17"/>
        <v>9</v>
      </c>
      <c r="I24" s="62">
        <f t="shared" si="18"/>
        <v>17</v>
      </c>
      <c r="J24" s="62" t="e">
        <f t="shared" si="19"/>
        <v>#VALUE!</v>
      </c>
      <c r="K24" s="62" t="e">
        <f t="shared" si="20"/>
        <v>#VALUE!</v>
      </c>
      <c r="L24" s="62" t="str">
        <f>IFERROR(VLOOKUP(MID(G24,J24,K24-J24),[6]skilldef!$C:$D,2,FALSE),"-") &amp; " / " &amp; IFERROR(VLOOKUP(MID(G24,H24,I24-H24),[6]skilldef!$A:$B,2,FALSE),"-")</f>
        <v>- / 大攻撃</v>
      </c>
      <c r="M24" s="62" t="str">
        <f t="shared" si="21"/>
        <v>none</v>
      </c>
      <c r="N24" s="47" t="str">
        <f t="shared" si="22"/>
        <v>none</v>
      </c>
      <c r="O24" s="62" t="e">
        <f t="shared" si="23"/>
        <v>#VALUE!</v>
      </c>
      <c r="P24" s="62">
        <f t="shared" si="24"/>
        <v>4</v>
      </c>
      <c r="Q24" s="62" t="e">
        <f t="shared" si="25"/>
        <v>#VALUE!</v>
      </c>
      <c r="R24" s="62" t="e">
        <f t="shared" si="26"/>
        <v>#VALUE!</v>
      </c>
      <c r="S24" s="62" t="str">
        <f>IFERROR(VLOOKUP(MID(N24,Q24,R24-Q24),[6]skilldef!$C:$D,2,FALSE),"-") &amp; " / " &amp; IFERROR(VLOOKUP(MID(N24,O24,P24-O24),[6]skilldef!$A:$B,2,FALSE),"-")</f>
        <v>- / -</v>
      </c>
      <c r="T24" s="47" t="str">
        <f t="shared" si="27"/>
        <v>none</v>
      </c>
      <c r="U24" s="62" t="e">
        <f t="shared" si="28"/>
        <v>#VALUE!</v>
      </c>
      <c r="V24" s="62">
        <f t="shared" si="29"/>
        <v>4</v>
      </c>
      <c r="W24" s="62" t="e">
        <f t="shared" si="30"/>
        <v>#VALUE!</v>
      </c>
      <c r="X24" s="62" t="e">
        <f t="shared" si="31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49"/>
      <c r="AA24" s="51"/>
      <c r="AB24" s="49"/>
    </row>
    <row r="25" spans="1:28" ht="21" customHeight="1" x14ac:dyDescent="0.15">
      <c r="A25" s="46">
        <v>40015024</v>
      </c>
      <c r="B25" s="46" t="s">
        <v>333</v>
      </c>
      <c r="C25" s="49">
        <v>3</v>
      </c>
      <c r="D25" s="49" t="s">
        <v>127</v>
      </c>
      <c r="E25" s="50" t="s">
        <v>322</v>
      </c>
      <c r="F25" s="50" t="s">
        <v>219</v>
      </c>
      <c r="G25" s="62" t="str">
        <f t="shared" si="16"/>
        <v>[effect:remove_enhancement, target:unit_all, target_effect:all, target_type:buff, animation:frozen_wave]</v>
      </c>
      <c r="H25" s="62">
        <f t="shared" si="17"/>
        <v>9</v>
      </c>
      <c r="I25" s="62">
        <f t="shared" si="18"/>
        <v>27</v>
      </c>
      <c r="J25" s="62">
        <f t="shared" si="19"/>
        <v>36</v>
      </c>
      <c r="K25" s="62">
        <f t="shared" si="20"/>
        <v>44</v>
      </c>
      <c r="L25" s="62" t="str">
        <f>IFERROR(VLOOKUP(MID(G25,J25,K25-J25),[6]skilldef!$C:$D,2,FALSE),"-") &amp; " / " &amp; IFERROR(VLOOKUP(MID(G25,H25,I25-H25),[6]skilldef!$A:$B,2,FALSE),"-")</f>
        <v>味方全体に / -</v>
      </c>
      <c r="M25" s="62" t="str">
        <f t="shared" si="21"/>
        <v>[effect:spread, val:0.4]</v>
      </c>
      <c r="N25" s="47" t="str">
        <f t="shared" si="22"/>
        <v>[effect:spread, val:0.4]</v>
      </c>
      <c r="O25" s="62">
        <f t="shared" si="23"/>
        <v>9</v>
      </c>
      <c r="P25" s="62">
        <f t="shared" si="24"/>
        <v>15</v>
      </c>
      <c r="Q25" s="62" t="e">
        <f t="shared" si="25"/>
        <v>#VALUE!</v>
      </c>
      <c r="R25" s="62" t="e">
        <f t="shared" si="26"/>
        <v>#VALUE!</v>
      </c>
      <c r="S25" s="62" t="str">
        <f>IFERROR(VLOOKUP(MID(N25,Q25,R25-Q25),[6]skilldef!$C:$D,2,FALSE),"-") &amp; " / " &amp; IFERROR(VLOOKUP(MID(N25,O25,P25-O25),[6]skilldef!$A:$B,2,FALSE),"-")</f>
        <v>- / 全体攻撃</v>
      </c>
      <c r="T25" s="47" t="str">
        <f t="shared" si="27"/>
        <v>none</v>
      </c>
      <c r="U25" s="62" t="e">
        <f t="shared" si="28"/>
        <v>#VALUE!</v>
      </c>
      <c r="V25" s="62">
        <f t="shared" si="29"/>
        <v>4</v>
      </c>
      <c r="W25" s="62" t="e">
        <f t="shared" si="30"/>
        <v>#VALUE!</v>
      </c>
      <c r="X25" s="62" t="e">
        <f t="shared" si="31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/>
      <c r="AA25" s="51"/>
      <c r="AB25" s="49"/>
    </row>
    <row r="26" spans="1:28" ht="21" customHeight="1" x14ac:dyDescent="0.15">
      <c r="A26" s="46">
        <v>40015025</v>
      </c>
      <c r="B26" s="46" t="s">
        <v>244</v>
      </c>
      <c r="C26" s="49">
        <v>3</v>
      </c>
      <c r="D26" s="49" t="s">
        <v>127</v>
      </c>
      <c r="E26" s="50" t="s">
        <v>323</v>
      </c>
      <c r="F26" s="50" t="s">
        <v>383</v>
      </c>
      <c r="G26" s="62" t="str">
        <f t="shared" si="16"/>
        <v>[effect:reduction, target:myself, turn:2, color:all, val:0.9, animation:reduction_one04]</v>
      </c>
      <c r="H26" s="62">
        <f t="shared" si="17"/>
        <v>9</v>
      </c>
      <c r="I26" s="62">
        <f t="shared" si="18"/>
        <v>18</v>
      </c>
      <c r="J26" s="62">
        <f t="shared" si="19"/>
        <v>27</v>
      </c>
      <c r="K26" s="62">
        <f t="shared" si="20"/>
        <v>33</v>
      </c>
      <c r="L26" s="62" t="str">
        <f>IFERROR(VLOOKUP(MID(G26,J26,K26-J26),[6]skilldef!$C:$D,2,FALSE),"-") &amp; " / " &amp; IFERROR(VLOOKUP(MID(G26,H26,I26-H26),[6]skilldef!$A:$B,2,FALSE),"-")</f>
        <v>自分自身に / -</v>
      </c>
      <c r="M26" s="62" t="str">
        <f t="shared" si="21"/>
        <v>none</v>
      </c>
      <c r="N26" s="47" t="str">
        <f t="shared" si="22"/>
        <v>none</v>
      </c>
      <c r="O26" s="62" t="e">
        <f t="shared" si="23"/>
        <v>#VALUE!</v>
      </c>
      <c r="P26" s="62">
        <f t="shared" si="24"/>
        <v>4</v>
      </c>
      <c r="Q26" s="62" t="e">
        <f t="shared" si="25"/>
        <v>#VALUE!</v>
      </c>
      <c r="R26" s="62" t="e">
        <f t="shared" si="26"/>
        <v>#VALUE!</v>
      </c>
      <c r="S26" s="62" t="str">
        <f>IFERROR(VLOOKUP(MID(N26,Q26,R26-Q26),[6]skilldef!$C:$D,2,FALSE),"-") &amp; " / " &amp; IFERROR(VLOOKUP(MID(N26,O26,P26-O26),[6]skilldef!$A:$B,2,FALSE),"-")</f>
        <v>- / -</v>
      </c>
      <c r="T26" s="47" t="str">
        <f t="shared" si="27"/>
        <v>none</v>
      </c>
      <c r="U26" s="62" t="e">
        <f t="shared" si="28"/>
        <v>#VALUE!</v>
      </c>
      <c r="V26" s="62">
        <f t="shared" si="29"/>
        <v>4</v>
      </c>
      <c r="W26" s="62" t="e">
        <f t="shared" si="30"/>
        <v>#VALUE!</v>
      </c>
      <c r="X26" s="62" t="e">
        <f t="shared" si="31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49"/>
      <c r="AA26" s="51"/>
      <c r="AB26" s="49"/>
    </row>
    <row r="27" spans="1:28" ht="21" customHeight="1" x14ac:dyDescent="0.15">
      <c r="A27" s="46">
        <v>40015026</v>
      </c>
      <c r="B27" s="46" t="s">
        <v>347</v>
      </c>
      <c r="C27" s="49">
        <v>3</v>
      </c>
      <c r="D27" s="49" t="s">
        <v>127</v>
      </c>
      <c r="E27" s="50" t="s">
        <v>327</v>
      </c>
      <c r="F27" s="50" t="s">
        <v>382</v>
      </c>
      <c r="G27" s="62" t="str">
        <f t="shared" si="16"/>
        <v>[effect:break_enchance_enemy, val:0.04, lowest_val:0.05, count :5, status:attack, turn:5, block:block_blue, target:myself, calc:mul, animation:enemy_enhance_attack]</v>
      </c>
      <c r="H27" s="62">
        <f t="shared" si="17"/>
        <v>9</v>
      </c>
      <c r="I27" s="62">
        <f t="shared" si="18"/>
        <v>29</v>
      </c>
      <c r="J27" s="62">
        <f t="shared" si="19"/>
        <v>116</v>
      </c>
      <c r="K27" s="62">
        <f t="shared" si="20"/>
        <v>39</v>
      </c>
      <c r="L27" s="62" t="str">
        <f>IFERROR(VLOOKUP(MID(G27,J27,K27-J27),[6]skilldef!$C:$D,2,FALSE),"-") &amp; " / " &amp; IFERROR(VLOOKUP(MID(G27,H27,I27-H27),[6]skilldef!$A:$B,2,FALSE),"-")</f>
        <v>- / -</v>
      </c>
      <c r="M27" s="62" t="str">
        <f t="shared" si="21"/>
        <v>[effect:break_attack, val:0.08, lowest_val:1000, count:5, block:block_green, target:unit_all]</v>
      </c>
      <c r="N27" s="47" t="str">
        <f t="shared" si="22"/>
        <v>[effect:break_attack, val:0.08, lowest_val:1000, count:5, block:block_green, target:unit_all]</v>
      </c>
      <c r="O27" s="62">
        <f t="shared" si="23"/>
        <v>9</v>
      </c>
      <c r="P27" s="62">
        <f t="shared" si="24"/>
        <v>21</v>
      </c>
      <c r="Q27" s="62">
        <f t="shared" si="25"/>
        <v>85</v>
      </c>
      <c r="R27" s="62">
        <f t="shared" si="26"/>
        <v>31</v>
      </c>
      <c r="S27" s="62" t="str">
        <f>IFERROR(VLOOKUP(MID(N27,Q27,R27-Q27),[6]skilldef!$C:$D,2,FALSE),"-") &amp; " / " &amp; IFERROR(VLOOKUP(MID(N27,O27,P27-O27),[6]skilldef!$A:$B,2,FALSE),"-")</f>
        <v>- / -</v>
      </c>
      <c r="T27" s="47" t="str">
        <f t="shared" si="27"/>
        <v>none</v>
      </c>
      <c r="U27" s="62" t="e">
        <f t="shared" si="28"/>
        <v>#VALUE!</v>
      </c>
      <c r="V27" s="62">
        <f t="shared" si="29"/>
        <v>4</v>
      </c>
      <c r="W27" s="62" t="e">
        <f t="shared" si="30"/>
        <v>#VALUE!</v>
      </c>
      <c r="X27" s="62" t="e">
        <f t="shared" si="31"/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49"/>
      <c r="AA27" s="51"/>
      <c r="AB27" s="49"/>
    </row>
    <row r="28" spans="1:28" ht="21" customHeight="1" x14ac:dyDescent="0.15">
      <c r="A28" s="125">
        <v>40015027</v>
      </c>
      <c r="B28" s="125" t="s">
        <v>348</v>
      </c>
      <c r="C28" s="126">
        <v>3</v>
      </c>
      <c r="D28" s="126" t="s">
        <v>127</v>
      </c>
      <c r="E28" s="123" t="s">
        <v>354</v>
      </c>
      <c r="F28" s="123" t="s">
        <v>277</v>
      </c>
      <c r="G28" s="62" t="str">
        <f t="shared" si="16"/>
        <v>[effect:tolerance, target:myself, turn:-1, tolerance_effect:hungup, count:-1, animation:enemy_tolerance]</v>
      </c>
      <c r="H28" s="62">
        <f t="shared" si="17"/>
        <v>9</v>
      </c>
      <c r="I28" s="62">
        <f t="shared" si="18"/>
        <v>18</v>
      </c>
      <c r="J28" s="62">
        <f t="shared" si="19"/>
        <v>27</v>
      </c>
      <c r="K28" s="62">
        <f t="shared" si="20"/>
        <v>33</v>
      </c>
      <c r="L28" s="62" t="str">
        <f>IFERROR(VLOOKUP(MID(G28,J28,K28-J28),[6]skilldef!$C:$D,2,FALSE),"-") &amp; " / " &amp; IFERROR(VLOOKUP(MID(G28,H28,I28-H28),[6]skilldef!$A:$B,2,FALSE),"-")</f>
        <v>自分自身に / 状態異常耐性</v>
      </c>
      <c r="M28" s="62" t="str">
        <f t="shared" si="21"/>
        <v>none</v>
      </c>
      <c r="N28" s="47" t="str">
        <f t="shared" si="22"/>
        <v>none</v>
      </c>
      <c r="O28" s="62" t="e">
        <f t="shared" si="23"/>
        <v>#VALUE!</v>
      </c>
      <c r="P28" s="62">
        <f t="shared" si="24"/>
        <v>4</v>
      </c>
      <c r="Q28" s="62" t="e">
        <f t="shared" si="25"/>
        <v>#VALUE!</v>
      </c>
      <c r="R28" s="62" t="e">
        <f t="shared" si="26"/>
        <v>#VALUE!</v>
      </c>
      <c r="S28" s="62" t="str">
        <f>IFERROR(VLOOKUP(MID(N28,Q28,R28-Q28),[6]skilldef!$C:$D,2,FALSE),"-") &amp; " / " &amp; IFERROR(VLOOKUP(MID(N28,O28,P28-O28),[6]skilldef!$A:$B,2,FALSE),"-")</f>
        <v>- / -</v>
      </c>
      <c r="T28" s="47" t="str">
        <f t="shared" si="27"/>
        <v>none</v>
      </c>
      <c r="U28" s="62" t="e">
        <f t="shared" si="28"/>
        <v>#VALUE!</v>
      </c>
      <c r="V28" s="62">
        <f t="shared" si="29"/>
        <v>4</v>
      </c>
      <c r="W28" s="62" t="e">
        <f t="shared" si="30"/>
        <v>#VALUE!</v>
      </c>
      <c r="X28" s="62" t="e">
        <f t="shared" si="31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49"/>
      <c r="AA28" s="51"/>
      <c r="AB28" s="49"/>
    </row>
    <row r="29" spans="1:28" ht="21" customHeight="1" x14ac:dyDescent="0.15">
      <c r="A29" s="125">
        <v>40015028</v>
      </c>
      <c r="B29" s="125" t="s">
        <v>376</v>
      </c>
      <c r="C29" s="126">
        <v>3</v>
      </c>
      <c r="D29" s="126" t="s">
        <v>127</v>
      </c>
      <c r="E29" s="127" t="s">
        <v>260</v>
      </c>
      <c r="F29" s="127" t="s">
        <v>409</v>
      </c>
      <c r="G29" s="62" t="str">
        <f t="shared" si="16"/>
        <v>[effect:tolerance, target:myself, turn:-1, tolerance_effect:hungup, count:-1, animation:enemy_tolerance]</v>
      </c>
      <c r="H29" s="62">
        <f t="shared" si="17"/>
        <v>9</v>
      </c>
      <c r="I29" s="62">
        <f t="shared" si="18"/>
        <v>18</v>
      </c>
      <c r="J29" s="62">
        <f t="shared" si="19"/>
        <v>27</v>
      </c>
      <c r="K29" s="62">
        <f t="shared" si="20"/>
        <v>33</v>
      </c>
      <c r="L29" s="62" t="str">
        <f>IFERROR(VLOOKUP(MID(G29,J29,K29-J29),[6]skilldef!$C:$D,2,FALSE),"-") &amp; " / " &amp; IFERROR(VLOOKUP(MID(G29,H29,I29-H29),[6]skilldef!$A:$B,2,FALSE),"-")</f>
        <v>自分自身に / 状態異常耐性</v>
      </c>
      <c r="M29" s="62" t="str">
        <f t="shared" si="21"/>
        <v>none</v>
      </c>
      <c r="N29" s="47" t="str">
        <f t="shared" si="22"/>
        <v>none</v>
      </c>
      <c r="O29" s="62" t="e">
        <f t="shared" si="23"/>
        <v>#VALUE!</v>
      </c>
      <c r="P29" s="62">
        <f t="shared" si="24"/>
        <v>4</v>
      </c>
      <c r="Q29" s="62" t="e">
        <f t="shared" si="25"/>
        <v>#VALUE!</v>
      </c>
      <c r="R29" s="62" t="e">
        <f t="shared" si="26"/>
        <v>#VALUE!</v>
      </c>
      <c r="S29" s="62" t="str">
        <f>IFERROR(VLOOKUP(MID(N29,Q29,R29-Q29),[6]skilldef!$C:$D,2,FALSE),"-") &amp; " / " &amp; IFERROR(VLOOKUP(MID(N29,O29,P29-O29),[6]skilldef!$A:$B,2,FALSE),"-")</f>
        <v>- / -</v>
      </c>
      <c r="T29" s="47" t="str">
        <f t="shared" si="27"/>
        <v>none</v>
      </c>
      <c r="U29" s="62" t="e">
        <f t="shared" si="28"/>
        <v>#VALUE!</v>
      </c>
      <c r="V29" s="62">
        <f t="shared" si="29"/>
        <v>4</v>
      </c>
      <c r="W29" s="62" t="e">
        <f t="shared" si="30"/>
        <v>#VALUE!</v>
      </c>
      <c r="X29" s="62" t="e">
        <f t="shared" si="31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/>
      <c r="AA29" s="51"/>
      <c r="AB29" s="49"/>
    </row>
    <row r="30" spans="1:28" ht="21" customHeight="1" x14ac:dyDescent="0.15">
      <c r="A30" s="125">
        <v>40015029</v>
      </c>
      <c r="B30" s="125" t="s">
        <v>376</v>
      </c>
      <c r="C30" s="126">
        <v>3</v>
      </c>
      <c r="D30" s="126" t="s">
        <v>127</v>
      </c>
      <c r="E30" s="127" t="s">
        <v>386</v>
      </c>
      <c r="F30" s="127" t="s">
        <v>412</v>
      </c>
      <c r="G30" s="62" t="str">
        <f t="shared" si="16"/>
        <v>[effect:tolerance, target:myself, turn:-1, tolerance_effect:hungup, count:-1, animation:enemy_tolerance]</v>
      </c>
      <c r="H30" s="62">
        <f t="shared" si="17"/>
        <v>9</v>
      </c>
      <c r="I30" s="62">
        <f t="shared" si="18"/>
        <v>18</v>
      </c>
      <c r="J30" s="62">
        <f t="shared" si="19"/>
        <v>27</v>
      </c>
      <c r="K30" s="62">
        <f t="shared" si="20"/>
        <v>33</v>
      </c>
      <c r="L30" s="62" t="str">
        <f>IFERROR(VLOOKUP(MID(G30,J30,K30-J30),[6]skilldef!$C:$D,2,FALSE),"-") &amp; " / " &amp; IFERROR(VLOOKUP(MID(G30,H30,I30-H30),[6]skilldef!$A:$B,2,FALSE),"-")</f>
        <v>自分自身に / 状態異常耐性</v>
      </c>
      <c r="M30" s="62" t="str">
        <f t="shared" si="21"/>
        <v>none</v>
      </c>
      <c r="N30" s="47" t="str">
        <f t="shared" si="22"/>
        <v>none</v>
      </c>
      <c r="O30" s="62" t="e">
        <f t="shared" si="23"/>
        <v>#VALUE!</v>
      </c>
      <c r="P30" s="62">
        <f t="shared" si="24"/>
        <v>4</v>
      </c>
      <c r="Q30" s="62" t="e">
        <f t="shared" si="25"/>
        <v>#VALUE!</v>
      </c>
      <c r="R30" s="62" t="e">
        <f t="shared" si="26"/>
        <v>#VALUE!</v>
      </c>
      <c r="S30" s="62" t="str">
        <f>IFERROR(VLOOKUP(MID(N30,Q30,R30-Q30),[6]skilldef!$C:$D,2,FALSE),"-") &amp; " / " &amp; IFERROR(VLOOKUP(MID(N30,O30,P30-O30),[6]skilldef!$A:$B,2,FALSE),"-")</f>
        <v>- / -</v>
      </c>
      <c r="T30" s="47" t="str">
        <f t="shared" si="27"/>
        <v>none</v>
      </c>
      <c r="U30" s="62" t="e">
        <f t="shared" si="28"/>
        <v>#VALUE!</v>
      </c>
      <c r="V30" s="62">
        <f t="shared" si="29"/>
        <v>4</v>
      </c>
      <c r="W30" s="62" t="e">
        <f t="shared" si="30"/>
        <v>#VALUE!</v>
      </c>
      <c r="X30" s="62" t="e">
        <f t="shared" si="31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49"/>
      <c r="AA30" s="51"/>
      <c r="AB30" s="49"/>
    </row>
    <row r="31" spans="1:28" ht="21" customHeight="1" x14ac:dyDescent="0.15">
      <c r="A31" s="125">
        <v>40015030</v>
      </c>
      <c r="B31" s="125" t="s">
        <v>376</v>
      </c>
      <c r="C31" s="126">
        <v>3</v>
      </c>
      <c r="D31" s="126" t="s">
        <v>127</v>
      </c>
      <c r="E31" s="127" t="s">
        <v>332</v>
      </c>
      <c r="F31" s="127" t="s">
        <v>276</v>
      </c>
      <c r="G31" s="62" t="str">
        <f t="shared" si="16"/>
        <v>[effect:tolerance, target:myself, turn:-1, tolerance_effect:hungup, count:-1, animation:enemy_tolerance]</v>
      </c>
      <c r="H31" s="62">
        <f t="shared" si="17"/>
        <v>9</v>
      </c>
      <c r="I31" s="62">
        <f t="shared" si="18"/>
        <v>18</v>
      </c>
      <c r="J31" s="62">
        <f t="shared" si="19"/>
        <v>27</v>
      </c>
      <c r="K31" s="62">
        <f t="shared" si="20"/>
        <v>33</v>
      </c>
      <c r="L31" s="62" t="str">
        <f>IFERROR(VLOOKUP(MID(G31,J31,K31-J31),[6]skilldef!$C:$D,2,FALSE),"-") &amp; " / " &amp; IFERROR(VLOOKUP(MID(G31,H31,I31-H31),[6]skilldef!$A:$B,2,FALSE),"-")</f>
        <v>自分自身に / 状態異常耐性</v>
      </c>
      <c r="M31" s="62" t="str">
        <f t="shared" si="21"/>
        <v>none</v>
      </c>
      <c r="N31" s="47" t="str">
        <f t="shared" si="22"/>
        <v>none</v>
      </c>
      <c r="O31" s="62" t="e">
        <f t="shared" si="23"/>
        <v>#VALUE!</v>
      </c>
      <c r="P31" s="62">
        <f t="shared" si="24"/>
        <v>4</v>
      </c>
      <c r="Q31" s="62" t="e">
        <f t="shared" si="25"/>
        <v>#VALUE!</v>
      </c>
      <c r="R31" s="62" t="e">
        <f t="shared" si="26"/>
        <v>#VALUE!</v>
      </c>
      <c r="S31" s="62" t="str">
        <f>IFERROR(VLOOKUP(MID(N31,Q31,R31-Q31),[6]skilldef!$C:$D,2,FALSE),"-") &amp; " / " &amp; IFERROR(VLOOKUP(MID(N31,O31,P31-O31),[6]skilldef!$A:$B,2,FALSE),"-")</f>
        <v>- / -</v>
      </c>
      <c r="T31" s="47" t="str">
        <f t="shared" si="27"/>
        <v>none</v>
      </c>
      <c r="U31" s="62" t="e">
        <f t="shared" si="28"/>
        <v>#VALUE!</v>
      </c>
      <c r="V31" s="62">
        <f t="shared" si="29"/>
        <v>4</v>
      </c>
      <c r="W31" s="62" t="e">
        <f t="shared" si="30"/>
        <v>#VALUE!</v>
      </c>
      <c r="X31" s="62" t="e">
        <f t="shared" si="31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49"/>
      <c r="AA31" s="51"/>
      <c r="AB31" s="49"/>
    </row>
    <row r="32" spans="1:28" ht="21" customHeight="1" x14ac:dyDescent="0.15">
      <c r="A32" s="125">
        <v>40015031</v>
      </c>
      <c r="B32" s="125" t="s">
        <v>376</v>
      </c>
      <c r="C32" s="126">
        <v>3</v>
      </c>
      <c r="D32" s="126" t="s">
        <v>127</v>
      </c>
      <c r="E32" s="127" t="s">
        <v>261</v>
      </c>
      <c r="F32" s="127" t="s">
        <v>262</v>
      </c>
      <c r="G32" s="62" t="str">
        <f t="shared" si="16"/>
        <v>[effect:tolerance, target:myself, turn:-1, tolerance_effect:hungup, count:-1, animation:enemy_tolerance]</v>
      </c>
      <c r="H32" s="62">
        <f t="shared" si="17"/>
        <v>9</v>
      </c>
      <c r="I32" s="62">
        <f t="shared" si="18"/>
        <v>18</v>
      </c>
      <c r="J32" s="62">
        <f t="shared" si="19"/>
        <v>27</v>
      </c>
      <c r="K32" s="62">
        <f t="shared" si="20"/>
        <v>33</v>
      </c>
      <c r="L32" s="62" t="str">
        <f>IFERROR(VLOOKUP(MID(G32,J32,K32-J32),[6]skilldef!$C:$D,2,FALSE),"-") &amp; " / " &amp; IFERROR(VLOOKUP(MID(G32,H32,I32-H32),[6]skilldef!$A:$B,2,FALSE),"-")</f>
        <v>自分自身に / 状態異常耐性</v>
      </c>
      <c r="M32" s="62" t="str">
        <f t="shared" si="21"/>
        <v>none</v>
      </c>
      <c r="N32" s="47" t="str">
        <f t="shared" si="22"/>
        <v>none</v>
      </c>
      <c r="O32" s="62" t="e">
        <f t="shared" si="23"/>
        <v>#VALUE!</v>
      </c>
      <c r="P32" s="62">
        <f t="shared" si="24"/>
        <v>4</v>
      </c>
      <c r="Q32" s="62" t="e">
        <f t="shared" si="25"/>
        <v>#VALUE!</v>
      </c>
      <c r="R32" s="62" t="e">
        <f t="shared" si="26"/>
        <v>#VALUE!</v>
      </c>
      <c r="S32" s="62" t="str">
        <f>IFERROR(VLOOKUP(MID(N32,Q32,R32-Q32),[6]skilldef!$C:$D,2,FALSE),"-") &amp; " / " &amp; IFERROR(VLOOKUP(MID(N32,O32,P32-O32),[6]skilldef!$A:$B,2,FALSE),"-")</f>
        <v>- / -</v>
      </c>
      <c r="T32" s="47" t="str">
        <f t="shared" si="27"/>
        <v>none</v>
      </c>
      <c r="U32" s="62" t="e">
        <f t="shared" si="28"/>
        <v>#VALUE!</v>
      </c>
      <c r="V32" s="62">
        <f t="shared" si="29"/>
        <v>4</v>
      </c>
      <c r="W32" s="62" t="e">
        <f t="shared" si="30"/>
        <v>#VALUE!</v>
      </c>
      <c r="X32" s="62" t="e">
        <f t="shared" si="31"/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49"/>
      <c r="AA32" s="51"/>
      <c r="AB32" s="49"/>
    </row>
    <row r="33" spans="1:28" ht="21" customHeight="1" x14ac:dyDescent="0.15">
      <c r="A33" s="125">
        <v>40015032</v>
      </c>
      <c r="B33" s="125" t="s">
        <v>376</v>
      </c>
      <c r="C33" s="126">
        <v>3</v>
      </c>
      <c r="D33" s="126" t="s">
        <v>127</v>
      </c>
      <c r="E33" s="127" t="s">
        <v>425</v>
      </c>
      <c r="F33" s="127" t="s">
        <v>328</v>
      </c>
      <c r="G33" s="62" t="str">
        <f t="shared" si="16"/>
        <v>[effect:tolerance, target:myself, turn:-1, tolerance_effect:hungup, count:-1, animation:enemy_tolerance]</v>
      </c>
      <c r="H33" s="62">
        <f t="shared" si="17"/>
        <v>9</v>
      </c>
      <c r="I33" s="62">
        <f t="shared" si="18"/>
        <v>18</v>
      </c>
      <c r="J33" s="62">
        <f t="shared" si="19"/>
        <v>27</v>
      </c>
      <c r="K33" s="62">
        <f t="shared" si="20"/>
        <v>33</v>
      </c>
      <c r="L33" s="62" t="str">
        <f>IFERROR(VLOOKUP(MID(G33,J33,K33-J33),[6]skilldef!$C:$D,2,FALSE),"-") &amp; " / " &amp; IFERROR(VLOOKUP(MID(G33,H33,I33-H33),[6]skilldef!$A:$B,2,FALSE),"-")</f>
        <v>自分自身に / 状態異常耐性</v>
      </c>
      <c r="M33" s="62" t="str">
        <f t="shared" si="21"/>
        <v>none</v>
      </c>
      <c r="N33" s="47" t="str">
        <f t="shared" si="22"/>
        <v>none</v>
      </c>
      <c r="O33" s="62" t="e">
        <f t="shared" si="23"/>
        <v>#VALUE!</v>
      </c>
      <c r="P33" s="62">
        <f t="shared" si="24"/>
        <v>4</v>
      </c>
      <c r="Q33" s="62" t="e">
        <f t="shared" si="25"/>
        <v>#VALUE!</v>
      </c>
      <c r="R33" s="62" t="e">
        <f t="shared" si="26"/>
        <v>#VALUE!</v>
      </c>
      <c r="S33" s="62" t="str">
        <f>IFERROR(VLOOKUP(MID(N33,Q33,R33-Q33),[6]skilldef!$C:$D,2,FALSE),"-") &amp; " / " &amp; IFERROR(VLOOKUP(MID(N33,O33,P33-O33),[6]skilldef!$A:$B,2,FALSE),"-")</f>
        <v>- / -</v>
      </c>
      <c r="T33" s="47" t="str">
        <f t="shared" si="27"/>
        <v>none</v>
      </c>
      <c r="U33" s="62" t="e">
        <f t="shared" si="28"/>
        <v>#VALUE!</v>
      </c>
      <c r="V33" s="62">
        <f t="shared" si="29"/>
        <v>4</v>
      </c>
      <c r="W33" s="62" t="e">
        <f t="shared" si="30"/>
        <v>#VALUE!</v>
      </c>
      <c r="X33" s="62" t="e">
        <f t="shared" si="31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49"/>
      <c r="AA33" s="51"/>
      <c r="AB33" s="49"/>
    </row>
    <row r="34" spans="1:28" ht="21" customHeight="1" x14ac:dyDescent="0.15">
      <c r="A34" s="125">
        <v>40015033</v>
      </c>
      <c r="B34" s="125" t="s">
        <v>376</v>
      </c>
      <c r="C34" s="126">
        <v>3</v>
      </c>
      <c r="D34" s="126" t="s">
        <v>127</v>
      </c>
      <c r="E34" s="127" t="s">
        <v>278</v>
      </c>
      <c r="F34" s="127" t="s">
        <v>263</v>
      </c>
      <c r="G34" s="62" t="str">
        <f t="shared" si="16"/>
        <v>[effect:tolerance, target:myself, turn:-1, tolerance_effect:hungup, count:-1, animation:enemy_tolerance]</v>
      </c>
      <c r="H34" s="62">
        <f t="shared" si="17"/>
        <v>9</v>
      </c>
      <c r="I34" s="62">
        <f t="shared" si="18"/>
        <v>18</v>
      </c>
      <c r="J34" s="62">
        <f t="shared" si="19"/>
        <v>27</v>
      </c>
      <c r="K34" s="62">
        <f t="shared" si="20"/>
        <v>33</v>
      </c>
      <c r="L34" s="62" t="str">
        <f>IFERROR(VLOOKUP(MID(G34,J34,K34-J34),[6]skilldef!$C:$D,2,FALSE),"-") &amp; " / " &amp; IFERROR(VLOOKUP(MID(G34,H34,I34-H34),[6]skilldef!$A:$B,2,FALSE),"-")</f>
        <v>自分自身に / 状態異常耐性</v>
      </c>
      <c r="M34" s="62" t="str">
        <f t="shared" si="21"/>
        <v>none</v>
      </c>
      <c r="N34" s="47" t="str">
        <f t="shared" si="22"/>
        <v>none</v>
      </c>
      <c r="O34" s="62" t="e">
        <f t="shared" si="23"/>
        <v>#VALUE!</v>
      </c>
      <c r="P34" s="62">
        <f t="shared" si="24"/>
        <v>4</v>
      </c>
      <c r="Q34" s="62" t="e">
        <f t="shared" si="25"/>
        <v>#VALUE!</v>
      </c>
      <c r="R34" s="62" t="e">
        <f t="shared" si="26"/>
        <v>#VALUE!</v>
      </c>
      <c r="S34" s="62" t="str">
        <f>IFERROR(VLOOKUP(MID(N34,Q34,R34-Q34),[6]skilldef!$C:$D,2,FALSE),"-") &amp; " / " &amp; IFERROR(VLOOKUP(MID(N34,O34,P34-O34),[6]skilldef!$A:$B,2,FALSE),"-")</f>
        <v>- / -</v>
      </c>
      <c r="T34" s="47" t="str">
        <f t="shared" si="27"/>
        <v>none</v>
      </c>
      <c r="U34" s="62" t="e">
        <f t="shared" si="28"/>
        <v>#VALUE!</v>
      </c>
      <c r="V34" s="62">
        <f t="shared" si="29"/>
        <v>4</v>
      </c>
      <c r="W34" s="62" t="e">
        <f t="shared" si="30"/>
        <v>#VALUE!</v>
      </c>
      <c r="X34" s="62" t="e">
        <f t="shared" si="31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49"/>
      <c r="AA34" s="51"/>
      <c r="AB34" s="49"/>
    </row>
    <row r="35" spans="1:28" ht="21" customHeight="1" x14ac:dyDescent="0.15">
      <c r="A35" s="125">
        <v>40015034</v>
      </c>
      <c r="B35" s="125" t="s">
        <v>376</v>
      </c>
      <c r="C35" s="126">
        <v>3</v>
      </c>
      <c r="D35" s="126" t="s">
        <v>127</v>
      </c>
      <c r="E35" s="127" t="s">
        <v>264</v>
      </c>
      <c r="F35" s="127" t="s">
        <v>369</v>
      </c>
      <c r="G35" s="62" t="str">
        <f t="shared" si="16"/>
        <v>[effect:tolerance, target:myself, turn:-1, tolerance_effect:hungup, count:-1, animation:enemy_tolerance]</v>
      </c>
      <c r="H35" s="62">
        <f t="shared" si="17"/>
        <v>9</v>
      </c>
      <c r="I35" s="62">
        <f t="shared" si="18"/>
        <v>18</v>
      </c>
      <c r="J35" s="62">
        <f t="shared" si="19"/>
        <v>27</v>
      </c>
      <c r="K35" s="62">
        <f t="shared" si="20"/>
        <v>33</v>
      </c>
      <c r="L35" s="62" t="str">
        <f>IFERROR(VLOOKUP(MID(G35,J35,K35-J35),[6]skilldef!$C:$D,2,FALSE),"-") &amp; " / " &amp; IFERROR(VLOOKUP(MID(G35,H35,I35-H35),[6]skilldef!$A:$B,2,FALSE),"-")</f>
        <v>自分自身に / 状態異常耐性</v>
      </c>
      <c r="M35" s="62" t="str">
        <f t="shared" si="21"/>
        <v>none</v>
      </c>
      <c r="N35" s="47" t="str">
        <f t="shared" si="22"/>
        <v>none</v>
      </c>
      <c r="O35" s="62" t="e">
        <f t="shared" si="23"/>
        <v>#VALUE!</v>
      </c>
      <c r="P35" s="62">
        <f t="shared" si="24"/>
        <v>4</v>
      </c>
      <c r="Q35" s="62" t="e">
        <f t="shared" si="25"/>
        <v>#VALUE!</v>
      </c>
      <c r="R35" s="62" t="e">
        <f t="shared" si="26"/>
        <v>#VALUE!</v>
      </c>
      <c r="S35" s="62" t="str">
        <f>IFERROR(VLOOKUP(MID(N35,Q35,R35-Q35),[6]skilldef!$C:$D,2,FALSE),"-") &amp; " / " &amp; IFERROR(VLOOKUP(MID(N35,O35,P35-O35),[6]skilldef!$A:$B,2,FALSE),"-")</f>
        <v>- / -</v>
      </c>
      <c r="T35" s="47" t="str">
        <f t="shared" si="27"/>
        <v>none</v>
      </c>
      <c r="U35" s="62" t="e">
        <f t="shared" si="28"/>
        <v>#VALUE!</v>
      </c>
      <c r="V35" s="62">
        <f t="shared" si="29"/>
        <v>4</v>
      </c>
      <c r="W35" s="62" t="e">
        <f t="shared" si="30"/>
        <v>#VALUE!</v>
      </c>
      <c r="X35" s="62" t="e">
        <f t="shared" si="31"/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49"/>
      <c r="AA35" s="51"/>
      <c r="AB35" s="49"/>
    </row>
    <row r="36" spans="1:28" ht="21" customHeight="1" x14ac:dyDescent="0.15">
      <c r="A36" s="125">
        <v>40015035</v>
      </c>
      <c r="B36" s="125" t="s">
        <v>368</v>
      </c>
      <c r="C36" s="126">
        <v>3</v>
      </c>
      <c r="D36" s="126" t="s">
        <v>127</v>
      </c>
      <c r="E36" s="123" t="s">
        <v>361</v>
      </c>
      <c r="F36" s="124" t="s">
        <v>362</v>
      </c>
      <c r="G36" s="62" t="str">
        <f t="shared" si="16"/>
        <v>[effect:virus, turn:3, rate:1, val:0.08, animation:enemy_virus]</v>
      </c>
      <c r="H36" s="62">
        <f t="shared" si="17"/>
        <v>9</v>
      </c>
      <c r="I36" s="62">
        <f t="shared" si="18"/>
        <v>14</v>
      </c>
      <c r="J36" s="62" t="e">
        <f t="shared" si="19"/>
        <v>#VALUE!</v>
      </c>
      <c r="K36" s="62">
        <f t="shared" si="20"/>
        <v>22</v>
      </c>
      <c r="L36" s="62" t="str">
        <f>IFERROR(VLOOKUP(MID(G36,J36,K36-J36),[6]skilldef!$C:$D,2,FALSE),"-") &amp; " / " &amp; IFERROR(VLOOKUP(MID(G36,H36,I36-H36),[6]skilldef!$A:$B,2,FALSE),"-")</f>
        <v>- / ウィルス</v>
      </c>
      <c r="M36" s="62" t="str">
        <f t="shared" si="21"/>
        <v>[effect:rush, count:1, val:0.8]</v>
      </c>
      <c r="N36" s="47" t="str">
        <f t="shared" si="22"/>
        <v>[effect:rush, count:1, val:0.8]</v>
      </c>
      <c r="O36" s="62">
        <f t="shared" si="23"/>
        <v>9</v>
      </c>
      <c r="P36" s="62">
        <f t="shared" si="24"/>
        <v>13</v>
      </c>
      <c r="Q36" s="62" t="e">
        <f t="shared" si="25"/>
        <v>#VALUE!</v>
      </c>
      <c r="R36" s="62">
        <f t="shared" si="26"/>
        <v>22</v>
      </c>
      <c r="S36" s="62" t="str">
        <f>IFERROR(VLOOKUP(MID(N36,Q36,R36-Q36),[6]skilldef!$C:$D,2,FALSE),"-") &amp; " / " &amp; IFERROR(VLOOKUP(MID(N36,O36,P36-O36),[6]skilldef!$A:$B,2,FALSE),"-")</f>
        <v>- / 連続攻撃</v>
      </c>
      <c r="T36" s="47" t="str">
        <f t="shared" si="27"/>
        <v>none</v>
      </c>
      <c r="U36" s="62" t="e">
        <f t="shared" si="28"/>
        <v>#VALUE!</v>
      </c>
      <c r="V36" s="62">
        <f t="shared" si="29"/>
        <v>4</v>
      </c>
      <c r="W36" s="62" t="e">
        <f t="shared" si="30"/>
        <v>#VALUE!</v>
      </c>
      <c r="X36" s="62" t="e">
        <f t="shared" si="31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49"/>
      <c r="AA36" s="51"/>
      <c r="AB36" s="49"/>
    </row>
    <row r="37" spans="1:28" ht="21" customHeight="1" x14ac:dyDescent="0.15">
      <c r="A37" s="125">
        <v>40015036</v>
      </c>
      <c r="B37" s="125" t="s">
        <v>245</v>
      </c>
      <c r="C37" s="126">
        <v>3</v>
      </c>
      <c r="D37" s="126" t="s">
        <v>127</v>
      </c>
      <c r="E37" s="123" t="s">
        <v>284</v>
      </c>
      <c r="F37" s="124" t="s">
        <v>214</v>
      </c>
      <c r="G37" s="62" t="str">
        <f t="shared" si="16"/>
        <v>[effect:spread, val:0.3]</v>
      </c>
      <c r="H37" s="62">
        <f t="shared" si="17"/>
        <v>9</v>
      </c>
      <c r="I37" s="62">
        <f t="shared" si="18"/>
        <v>15</v>
      </c>
      <c r="J37" s="62" t="e">
        <f t="shared" si="19"/>
        <v>#VALUE!</v>
      </c>
      <c r="K37" s="62" t="e">
        <f t="shared" si="20"/>
        <v>#VALUE!</v>
      </c>
      <c r="L37" s="62" t="str">
        <f>IFERROR(VLOOKUP(MID(G37,J37,K37-J37),[6]skilldef!$C:$D,2,FALSE),"-") &amp; " / " &amp; IFERROR(VLOOKUP(MID(G37,H37,I37-H37),[6]skilldef!$A:$B,2,FALSE),"-")</f>
        <v>- / 全体攻撃</v>
      </c>
      <c r="M37" s="62" t="str">
        <f t="shared" si="21"/>
        <v>none</v>
      </c>
      <c r="N37" s="47" t="str">
        <f t="shared" si="22"/>
        <v>none</v>
      </c>
      <c r="O37" s="62" t="e">
        <f t="shared" si="23"/>
        <v>#VALUE!</v>
      </c>
      <c r="P37" s="62">
        <f t="shared" si="24"/>
        <v>4</v>
      </c>
      <c r="Q37" s="62" t="e">
        <f t="shared" si="25"/>
        <v>#VALUE!</v>
      </c>
      <c r="R37" s="62" t="e">
        <f t="shared" si="26"/>
        <v>#VALUE!</v>
      </c>
      <c r="S37" s="62" t="str">
        <f>IFERROR(VLOOKUP(MID(N37,Q37,R37-Q37),[6]skilldef!$C:$D,2,FALSE),"-") &amp; " / " &amp; IFERROR(VLOOKUP(MID(N37,O37,P37-O37),[6]skilldef!$A:$B,2,FALSE),"-")</f>
        <v>- / -</v>
      </c>
      <c r="T37" s="47" t="str">
        <f t="shared" si="27"/>
        <v>none</v>
      </c>
      <c r="U37" s="62" t="e">
        <f t="shared" si="28"/>
        <v>#VALUE!</v>
      </c>
      <c r="V37" s="62">
        <f t="shared" si="29"/>
        <v>4</v>
      </c>
      <c r="W37" s="62" t="e">
        <f t="shared" si="30"/>
        <v>#VALUE!</v>
      </c>
      <c r="X37" s="62" t="e">
        <f t="shared" si="31"/>
        <v>#VALUE!</v>
      </c>
      <c r="Y37" s="62" t="str">
        <f>IFERROR(VLOOKUP(MID(T37,W37,X37-W37),[6]skilldef!$C:$D,2,FALSE),"-") &amp; " / " &amp; IFERROR(VLOOKUP(MID(T37,U37,V37-U37),[6]skilldef!$A:$B,2,FALSE),"-")</f>
        <v>- / -</v>
      </c>
      <c r="Z37" s="49"/>
      <c r="AA37" s="51"/>
      <c r="AB37" s="49"/>
    </row>
    <row r="38" spans="1:28" ht="21" customHeight="1" x14ac:dyDescent="0.15">
      <c r="A38" s="125">
        <v>40015037</v>
      </c>
      <c r="B38" s="125" t="s">
        <v>280</v>
      </c>
      <c r="C38" s="126">
        <v>3</v>
      </c>
      <c r="D38" s="126" t="s">
        <v>127</v>
      </c>
      <c r="E38" s="123" t="s">
        <v>296</v>
      </c>
      <c r="F38" s="124" t="s">
        <v>265</v>
      </c>
      <c r="G38" s="62" t="str">
        <f t="shared" si="16"/>
        <v>[effect:damage_anti_tribe, target:unit_one, tribe:dragon, val1:1.75, val2:1]</v>
      </c>
      <c r="H38" s="62">
        <f t="shared" si="17"/>
        <v>9</v>
      </c>
      <c r="I38" s="62">
        <f t="shared" si="18"/>
        <v>26</v>
      </c>
      <c r="J38" s="62">
        <f t="shared" si="19"/>
        <v>35</v>
      </c>
      <c r="K38" s="62">
        <f t="shared" si="20"/>
        <v>43</v>
      </c>
      <c r="L38" s="62" t="str">
        <f>IFERROR(VLOOKUP(MID(G38,J38,K38-J38),[6]skilldef!$C:$D,2,FALSE),"-") &amp; " / " &amp; IFERROR(VLOOKUP(MID(G38,H38,I38-H38),[6]skilldef!$A:$B,2,FALSE),"-")</f>
        <v>味方単体に / 種族キラー</v>
      </c>
      <c r="M38" s="62" t="str">
        <f t="shared" si="21"/>
        <v>none</v>
      </c>
      <c r="N38" s="47" t="str">
        <f t="shared" si="22"/>
        <v>none</v>
      </c>
      <c r="O38" s="62" t="e">
        <f t="shared" si="23"/>
        <v>#VALUE!</v>
      </c>
      <c r="P38" s="62">
        <f t="shared" si="24"/>
        <v>4</v>
      </c>
      <c r="Q38" s="62" t="e">
        <f t="shared" si="25"/>
        <v>#VALUE!</v>
      </c>
      <c r="R38" s="62" t="e">
        <f t="shared" si="26"/>
        <v>#VALUE!</v>
      </c>
      <c r="S38" s="62" t="str">
        <f>IFERROR(VLOOKUP(MID(N38,Q38,R38-Q38),[6]skilldef!$C:$D,2,FALSE),"-") &amp; " / " &amp; IFERROR(VLOOKUP(MID(N38,O38,P38-O38),[6]skilldef!$A:$B,2,FALSE),"-")</f>
        <v>- / -</v>
      </c>
      <c r="T38" s="47" t="str">
        <f t="shared" si="27"/>
        <v>none</v>
      </c>
      <c r="U38" s="62" t="e">
        <f t="shared" si="28"/>
        <v>#VALUE!</v>
      </c>
      <c r="V38" s="62">
        <f t="shared" si="29"/>
        <v>4</v>
      </c>
      <c r="W38" s="62" t="e">
        <f t="shared" si="30"/>
        <v>#VALUE!</v>
      </c>
      <c r="X38" s="62" t="e">
        <f t="shared" si="31"/>
        <v>#VALUE!</v>
      </c>
      <c r="Y38" s="62" t="str">
        <f>IFERROR(VLOOKUP(MID(T38,W38,X38-W38),[6]skilldef!$C:$D,2,FALSE),"-") &amp; " / " &amp; IFERROR(VLOOKUP(MID(T38,U38,V38-U38),[6]skilldef!$A:$B,2,FALSE),"-")</f>
        <v>- / -</v>
      </c>
      <c r="Z38" s="49"/>
      <c r="AA38" s="51"/>
      <c r="AB38" s="49"/>
    </row>
    <row r="39" spans="1:28" ht="21" customHeight="1" x14ac:dyDescent="0.15">
      <c r="A39" s="125">
        <v>40015038</v>
      </c>
      <c r="B39" s="125" t="s">
        <v>246</v>
      </c>
      <c r="C39" s="126">
        <v>3</v>
      </c>
      <c r="D39" s="126" t="s">
        <v>127</v>
      </c>
      <c r="E39" s="123" t="s">
        <v>283</v>
      </c>
      <c r="F39" s="124" t="s">
        <v>215</v>
      </c>
      <c r="G39" s="62" t="str">
        <f t="shared" si="16"/>
        <v>[effect:enhance_enemy, target:myself, turn:5, status:attack, val:0.3, animation:enemy_enhance_attack]</v>
      </c>
      <c r="H39" s="62">
        <f t="shared" si="17"/>
        <v>9</v>
      </c>
      <c r="I39" s="62">
        <f t="shared" si="18"/>
        <v>22</v>
      </c>
      <c r="J39" s="62">
        <f t="shared" si="19"/>
        <v>31</v>
      </c>
      <c r="K39" s="62">
        <f t="shared" si="20"/>
        <v>37</v>
      </c>
      <c r="L39" s="62" t="str">
        <f>IFERROR(VLOOKUP(MID(G39,J39,K39-J39),[6]skilldef!$C:$D,2,FALSE),"-") &amp; " / " &amp; IFERROR(VLOOKUP(MID(G39,H39,I39-H39),[6]skilldef!$A:$B,2,FALSE),"-")</f>
        <v>自分自身に / ステータス強化</v>
      </c>
      <c r="M39" s="62" t="str">
        <f t="shared" si="21"/>
        <v>none</v>
      </c>
      <c r="N39" s="47" t="str">
        <f t="shared" si="22"/>
        <v>none</v>
      </c>
      <c r="O39" s="62" t="e">
        <f t="shared" si="23"/>
        <v>#VALUE!</v>
      </c>
      <c r="P39" s="62">
        <f t="shared" si="24"/>
        <v>4</v>
      </c>
      <c r="Q39" s="62" t="e">
        <f t="shared" si="25"/>
        <v>#VALUE!</v>
      </c>
      <c r="R39" s="62" t="e">
        <f t="shared" si="26"/>
        <v>#VALUE!</v>
      </c>
      <c r="S39" s="62" t="str">
        <f>IFERROR(VLOOKUP(MID(N39,Q39,R39-Q39),[6]skilldef!$C:$D,2,FALSE),"-") &amp; " / " &amp; IFERROR(VLOOKUP(MID(N39,O39,P39-O39),[6]skilldef!$A:$B,2,FALSE),"-")</f>
        <v>- / -</v>
      </c>
      <c r="T39" s="47" t="str">
        <f t="shared" si="27"/>
        <v>none</v>
      </c>
      <c r="U39" s="62" t="e">
        <f t="shared" si="28"/>
        <v>#VALUE!</v>
      </c>
      <c r="V39" s="62">
        <f t="shared" si="29"/>
        <v>4</v>
      </c>
      <c r="W39" s="62" t="e">
        <f t="shared" si="30"/>
        <v>#VALUE!</v>
      </c>
      <c r="X39" s="62" t="e">
        <f t="shared" si="31"/>
        <v>#VALUE!</v>
      </c>
      <c r="Y39" s="62" t="str">
        <f>IFERROR(VLOOKUP(MID(T39,W39,X39-W39),[6]skilldef!$C:$D,2,FALSE),"-") &amp; " / " &amp; IFERROR(VLOOKUP(MID(T39,U39,V39-U39),[6]skilldef!$A:$B,2,FALSE),"-")</f>
        <v>- / -</v>
      </c>
      <c r="Z39" s="49"/>
      <c r="AA39" s="51"/>
      <c r="AB39" s="49"/>
    </row>
    <row r="40" spans="1:28" ht="21" customHeight="1" x14ac:dyDescent="0.15">
      <c r="A40" s="125">
        <v>40015039</v>
      </c>
      <c r="B40" s="125" t="s">
        <v>247</v>
      </c>
      <c r="C40" s="126">
        <v>3</v>
      </c>
      <c r="D40" s="126" t="s">
        <v>127</v>
      </c>
      <c r="E40" s="123" t="s">
        <v>359</v>
      </c>
      <c r="F40" s="124" t="s">
        <v>216</v>
      </c>
      <c r="G40" s="62" t="str">
        <f t="shared" si="16"/>
        <v>[effect:crash_condition, target:unit_all, val:11, turn:10, animation:crash_panel_reduce04]</v>
      </c>
      <c r="H40" s="62">
        <f t="shared" si="17"/>
        <v>9</v>
      </c>
      <c r="I40" s="62">
        <f t="shared" si="18"/>
        <v>24</v>
      </c>
      <c r="J40" s="62">
        <f t="shared" si="19"/>
        <v>33</v>
      </c>
      <c r="K40" s="62">
        <f t="shared" si="20"/>
        <v>41</v>
      </c>
      <c r="L40" s="62" t="str">
        <f>IFERROR(VLOOKUP(MID(G40,J40,K40-J40),[6]skilldef!$C:$D,2,FALSE),"-") &amp; " / " &amp; IFERROR(VLOOKUP(MID(G40,H40,I40-H40),[6]skilldef!$A:$B,2,FALSE),"-")</f>
        <v>味方全体に / -</v>
      </c>
      <c r="M40" s="62" t="str">
        <f t="shared" si="21"/>
        <v>none</v>
      </c>
      <c r="N40" s="47" t="str">
        <f t="shared" si="22"/>
        <v>none</v>
      </c>
      <c r="O40" s="62" t="e">
        <f t="shared" si="23"/>
        <v>#VALUE!</v>
      </c>
      <c r="P40" s="62">
        <f t="shared" si="24"/>
        <v>4</v>
      </c>
      <c r="Q40" s="62" t="e">
        <f t="shared" si="25"/>
        <v>#VALUE!</v>
      </c>
      <c r="R40" s="62" t="e">
        <f t="shared" si="26"/>
        <v>#VALUE!</v>
      </c>
      <c r="S40" s="62" t="str">
        <f>IFERROR(VLOOKUP(MID(N40,Q40,R40-Q40),[6]skilldef!$C:$D,2,FALSE),"-") &amp; " / " &amp; IFERROR(VLOOKUP(MID(N40,O40,P40-O40),[6]skilldef!$A:$B,2,FALSE),"-")</f>
        <v>- / -</v>
      </c>
      <c r="T40" s="47" t="str">
        <f t="shared" si="27"/>
        <v>none</v>
      </c>
      <c r="U40" s="62" t="e">
        <f t="shared" si="28"/>
        <v>#VALUE!</v>
      </c>
      <c r="V40" s="62">
        <f t="shared" si="29"/>
        <v>4</v>
      </c>
      <c r="W40" s="62" t="e">
        <f t="shared" si="30"/>
        <v>#VALUE!</v>
      </c>
      <c r="X40" s="62" t="e">
        <f t="shared" si="31"/>
        <v>#VALUE!</v>
      </c>
      <c r="Y40" s="62" t="str">
        <f>IFERROR(VLOOKUP(MID(T40,W40,X40-W40),[6]skilldef!$C:$D,2,FALSE),"-") &amp; " / " &amp; IFERROR(VLOOKUP(MID(T40,U40,V40-U40),[6]skilldef!$A:$B,2,FALSE),"-")</f>
        <v>- / -</v>
      </c>
      <c r="Z40" s="49"/>
      <c r="AA40" s="51"/>
      <c r="AB40" s="49"/>
    </row>
    <row r="41" spans="1:28" ht="21" customHeight="1" x14ac:dyDescent="0.15">
      <c r="A41" s="128">
        <v>40015040</v>
      </c>
      <c r="B41" s="128" t="s">
        <v>259</v>
      </c>
      <c r="C41" s="129">
        <v>3</v>
      </c>
      <c r="D41" s="129" t="s">
        <v>127</v>
      </c>
      <c r="E41" s="130" t="s">
        <v>345</v>
      </c>
      <c r="F41" s="130" t="s">
        <v>370</v>
      </c>
      <c r="G41" s="62" t="str">
        <f t="shared" ref="G41:G48" si="32">IFERROR(LEFT(B41,FIND("],",B41)),B41)</f>
        <v>[effect:tolerance, target:myself, turn:-1, tolerance_effect:hungup, count:-1, animation:enemy_tolerance]</v>
      </c>
      <c r="H41" s="62">
        <f t="shared" ref="H41:H48" si="33">FIND("effect:",G41)+7</f>
        <v>9</v>
      </c>
      <c r="I41" s="62">
        <f t="shared" ref="I41:I48" si="34">IFERROR(FIND(",",G41),LEN(G41))</f>
        <v>18</v>
      </c>
      <c r="J41" s="62">
        <f t="shared" ref="J41:J48" si="35">FIND("target:",G41)+7</f>
        <v>27</v>
      </c>
      <c r="K41" s="62">
        <f t="shared" ref="K41:K48" si="36">FIND(",",G41,I41+1)</f>
        <v>33</v>
      </c>
      <c r="L41" s="62" t="str">
        <f>IFERROR(VLOOKUP(MID(G41,J41,K41-J41),[6]skilldef!$C:$D,2,FALSE),"-") &amp; " / " &amp; IFERROR(VLOOKUP(MID(G41,H41,I41-H41),[6]skilldef!$A:$B,2,FALSE),"-")</f>
        <v>自分自身に / 状態異常耐性</v>
      </c>
      <c r="M41" s="62" t="str">
        <f t="shared" ref="M41:M48" si="37">IFERROR(RIGHT(B41,LEN(B41)-FIND("],",B41)-1),"none")</f>
        <v>[effect:fix_speed, target:myself, turn:1]</v>
      </c>
      <c r="N41" s="47" t="str">
        <f t="shared" ref="N41:N48" si="38">IFERROR(LEFT(M41,FIND("],",M41)+S51),M41)</f>
        <v>[effect:fix_speed, target:myself, turn:1]</v>
      </c>
      <c r="O41" s="62">
        <f t="shared" ref="O41:O48" si="39">FIND("effect:",N41)+7</f>
        <v>9</v>
      </c>
      <c r="P41" s="62">
        <f t="shared" ref="P41:P48" si="40">IFERROR(FIND(",",N41),LEN(N41))</f>
        <v>18</v>
      </c>
      <c r="Q41" s="62">
        <f t="shared" ref="Q41:Q48" si="41">FIND("target:",N41)+7</f>
        <v>27</v>
      </c>
      <c r="R41" s="62">
        <f t="shared" ref="R41:R48" si="42">FIND(",",N41,P41+1)</f>
        <v>33</v>
      </c>
      <c r="S41" s="62" t="str">
        <f>IFERROR(VLOOKUP(MID(N41,Q41,R41-Q41),[6]skilldef!$C:$D,2,FALSE),"-") &amp; " / " &amp; IFERROR(VLOOKUP(MID(N41,O41,P41-O41),[6]skilldef!$A:$B,2,FALSE),"-")</f>
        <v>自分自身に / 行動値設定</v>
      </c>
      <c r="T41" s="47" t="str">
        <f t="shared" ref="T41:T48" si="43">IFERROR(RIGHT(M41,LEN(M41)-FIND("],",M41)-1),"none")</f>
        <v>none</v>
      </c>
      <c r="U41" s="62" t="e">
        <f t="shared" ref="U41:U48" si="44">FIND("effect:",T41)+7</f>
        <v>#VALUE!</v>
      </c>
      <c r="V41" s="62">
        <f t="shared" ref="V41:V48" si="45">IFERROR(FIND(",",T41),LEN(T41))</f>
        <v>4</v>
      </c>
      <c r="W41" s="62" t="e">
        <f t="shared" ref="W41:W48" si="46">FIND("target:",T41)+7</f>
        <v>#VALUE!</v>
      </c>
      <c r="X41" s="62" t="e">
        <f t="shared" ref="X41:X48" si="47">FIND(",",T41,V41+1)</f>
        <v>#VALUE!</v>
      </c>
      <c r="Y41" s="62" t="str">
        <f>IFERROR(VLOOKUP(MID(T41,W41,X41-W41),[6]skilldef!$C:$D,2,FALSE),"-") &amp; " / " &amp; IFERROR(VLOOKUP(MID(T41,U41,V41-U41),[6]skilldef!$A:$B,2,FALSE),"-")</f>
        <v>- / -</v>
      </c>
      <c r="Z41" s="49"/>
      <c r="AA41" s="51"/>
      <c r="AB41" s="49"/>
    </row>
    <row r="42" spans="1:28" ht="21" customHeight="1" x14ac:dyDescent="0.15">
      <c r="A42" s="128">
        <v>40015041</v>
      </c>
      <c r="B42" s="128" t="s">
        <v>259</v>
      </c>
      <c r="C42" s="129">
        <v>3</v>
      </c>
      <c r="D42" s="129" t="s">
        <v>127</v>
      </c>
      <c r="E42" s="131" t="s">
        <v>387</v>
      </c>
      <c r="F42" s="131" t="s">
        <v>421</v>
      </c>
      <c r="G42" s="62" t="str">
        <f t="shared" si="32"/>
        <v>[effect:tolerance, target:myself, turn:-1, tolerance_effect:hungup, count:-1, animation:enemy_tolerance]</v>
      </c>
      <c r="H42" s="62">
        <f t="shared" si="33"/>
        <v>9</v>
      </c>
      <c r="I42" s="62">
        <f t="shared" si="34"/>
        <v>18</v>
      </c>
      <c r="J42" s="62">
        <f t="shared" si="35"/>
        <v>27</v>
      </c>
      <c r="K42" s="62">
        <f t="shared" si="36"/>
        <v>33</v>
      </c>
      <c r="L42" s="62" t="str">
        <f>IFERROR(VLOOKUP(MID(G42,J42,K42-J42),[6]skilldef!$C:$D,2,FALSE),"-") &amp; " / " &amp; IFERROR(VLOOKUP(MID(G42,H42,I42-H42),[6]skilldef!$A:$B,2,FALSE),"-")</f>
        <v>自分自身に / 状態異常耐性</v>
      </c>
      <c r="M42" s="62" t="str">
        <f t="shared" si="37"/>
        <v>[effect:fix_speed, target:myself, turn:1]</v>
      </c>
      <c r="N42" s="47" t="str">
        <f t="shared" si="38"/>
        <v>[effect:fix_speed, target:myself, turn:1]</v>
      </c>
      <c r="O42" s="62">
        <f t="shared" si="39"/>
        <v>9</v>
      </c>
      <c r="P42" s="62">
        <f t="shared" si="40"/>
        <v>18</v>
      </c>
      <c r="Q42" s="62">
        <f t="shared" si="41"/>
        <v>27</v>
      </c>
      <c r="R42" s="62">
        <f t="shared" si="42"/>
        <v>33</v>
      </c>
      <c r="S42" s="62" t="str">
        <f>IFERROR(VLOOKUP(MID(N42,Q42,R42-Q42),[6]skilldef!$C:$D,2,FALSE),"-") &amp; " / " &amp; IFERROR(VLOOKUP(MID(N42,O42,P42-O42),[6]skilldef!$A:$B,2,FALSE),"-")</f>
        <v>自分自身に / 行動値設定</v>
      </c>
      <c r="T42" s="47" t="str">
        <f t="shared" si="43"/>
        <v>none</v>
      </c>
      <c r="U42" s="62" t="e">
        <f t="shared" si="44"/>
        <v>#VALUE!</v>
      </c>
      <c r="V42" s="62">
        <f t="shared" si="45"/>
        <v>4</v>
      </c>
      <c r="W42" s="62" t="e">
        <f t="shared" si="46"/>
        <v>#VALUE!</v>
      </c>
      <c r="X42" s="62" t="e">
        <f t="shared" si="47"/>
        <v>#VALUE!</v>
      </c>
      <c r="Y42" s="62" t="str">
        <f>IFERROR(VLOOKUP(MID(T42,W42,X42-W42),[6]skilldef!$C:$D,2,FALSE),"-") &amp; " / " &amp; IFERROR(VLOOKUP(MID(T42,U42,V42-U42),[6]skilldef!$A:$B,2,FALSE),"-")</f>
        <v>- / -</v>
      </c>
      <c r="Z42" s="49"/>
      <c r="AA42" s="51"/>
      <c r="AB42" s="49"/>
    </row>
    <row r="43" spans="1:28" ht="21" customHeight="1" x14ac:dyDescent="0.15">
      <c r="A43" s="128">
        <v>40015042</v>
      </c>
      <c r="B43" s="128" t="s">
        <v>259</v>
      </c>
      <c r="C43" s="129">
        <v>3</v>
      </c>
      <c r="D43" s="129" t="s">
        <v>127</v>
      </c>
      <c r="E43" s="131" t="s">
        <v>341</v>
      </c>
      <c r="F43" s="131" t="s">
        <v>392</v>
      </c>
      <c r="G43" s="62" t="str">
        <f t="shared" si="32"/>
        <v>[effect:tolerance, target:myself, turn:-1, tolerance_effect:hungup, count:-1, animation:enemy_tolerance]</v>
      </c>
      <c r="H43" s="62">
        <f t="shared" si="33"/>
        <v>9</v>
      </c>
      <c r="I43" s="62">
        <f t="shared" si="34"/>
        <v>18</v>
      </c>
      <c r="J43" s="62">
        <f t="shared" si="35"/>
        <v>27</v>
      </c>
      <c r="K43" s="62">
        <f t="shared" si="36"/>
        <v>33</v>
      </c>
      <c r="L43" s="62" t="str">
        <f>IFERROR(VLOOKUP(MID(G43,J43,K43-J43),[6]skilldef!$C:$D,2,FALSE),"-") &amp; " / " &amp; IFERROR(VLOOKUP(MID(G43,H43,I43-H43),[6]skilldef!$A:$B,2,FALSE),"-")</f>
        <v>自分自身に / 状態異常耐性</v>
      </c>
      <c r="M43" s="62" t="str">
        <f t="shared" si="37"/>
        <v>[effect:fix_speed, target:myself, turn:1]</v>
      </c>
      <c r="N43" s="47" t="str">
        <f t="shared" si="38"/>
        <v>[effect:fix_speed, target:myself, turn:1]</v>
      </c>
      <c r="O43" s="62">
        <f t="shared" si="39"/>
        <v>9</v>
      </c>
      <c r="P43" s="62">
        <f t="shared" si="40"/>
        <v>18</v>
      </c>
      <c r="Q43" s="62">
        <f t="shared" si="41"/>
        <v>27</v>
      </c>
      <c r="R43" s="62">
        <f t="shared" si="42"/>
        <v>33</v>
      </c>
      <c r="S43" s="62" t="str">
        <f>IFERROR(VLOOKUP(MID(N43,Q43,R43-Q43),[6]skilldef!$C:$D,2,FALSE),"-") &amp; " / " &amp; IFERROR(VLOOKUP(MID(N43,O43,P43-O43),[6]skilldef!$A:$B,2,FALSE),"-")</f>
        <v>自分自身に / 行動値設定</v>
      </c>
      <c r="T43" s="47" t="str">
        <f t="shared" si="43"/>
        <v>none</v>
      </c>
      <c r="U43" s="62" t="e">
        <f t="shared" si="44"/>
        <v>#VALUE!</v>
      </c>
      <c r="V43" s="62">
        <f t="shared" si="45"/>
        <v>4</v>
      </c>
      <c r="W43" s="62" t="e">
        <f t="shared" si="46"/>
        <v>#VALUE!</v>
      </c>
      <c r="X43" s="62" t="e">
        <f t="shared" si="47"/>
        <v>#VALUE!</v>
      </c>
      <c r="Y43" s="62" t="str">
        <f>IFERROR(VLOOKUP(MID(T43,W43,X43-W43),[6]skilldef!$C:$D,2,FALSE),"-") &amp; " / " &amp; IFERROR(VLOOKUP(MID(T43,U43,V43-U43),[6]skilldef!$A:$B,2,FALSE),"-")</f>
        <v>- / -</v>
      </c>
      <c r="Z43" s="49"/>
      <c r="AA43" s="51"/>
      <c r="AB43" s="49"/>
    </row>
    <row r="44" spans="1:28" ht="21" customHeight="1" x14ac:dyDescent="0.15">
      <c r="A44" s="128">
        <v>40015043</v>
      </c>
      <c r="B44" s="128" t="s">
        <v>259</v>
      </c>
      <c r="C44" s="129">
        <v>3</v>
      </c>
      <c r="D44" s="129" t="s">
        <v>127</v>
      </c>
      <c r="E44" s="131" t="s">
        <v>391</v>
      </c>
      <c r="F44" s="131" t="s">
        <v>388</v>
      </c>
      <c r="G44" s="62" t="str">
        <f t="shared" si="32"/>
        <v>[effect:tolerance, target:myself, turn:-1, tolerance_effect:hungup, count:-1, animation:enemy_tolerance]</v>
      </c>
      <c r="H44" s="62">
        <f t="shared" si="33"/>
        <v>9</v>
      </c>
      <c r="I44" s="62">
        <f t="shared" si="34"/>
        <v>18</v>
      </c>
      <c r="J44" s="62">
        <f t="shared" si="35"/>
        <v>27</v>
      </c>
      <c r="K44" s="62">
        <f t="shared" si="36"/>
        <v>33</v>
      </c>
      <c r="L44" s="62" t="str">
        <f>IFERROR(VLOOKUP(MID(G44,J44,K44-J44),[6]skilldef!$C:$D,2,FALSE),"-") &amp; " / " &amp; IFERROR(VLOOKUP(MID(G44,H44,I44-H44),[6]skilldef!$A:$B,2,FALSE),"-")</f>
        <v>自分自身に / 状態異常耐性</v>
      </c>
      <c r="M44" s="62" t="str">
        <f t="shared" si="37"/>
        <v>[effect:fix_speed, target:myself, turn:1]</v>
      </c>
      <c r="N44" s="47" t="str">
        <f t="shared" si="38"/>
        <v>[effect:fix_speed, target:myself, turn:1]</v>
      </c>
      <c r="O44" s="62">
        <f t="shared" si="39"/>
        <v>9</v>
      </c>
      <c r="P44" s="62">
        <f t="shared" si="40"/>
        <v>18</v>
      </c>
      <c r="Q44" s="62">
        <f t="shared" si="41"/>
        <v>27</v>
      </c>
      <c r="R44" s="62">
        <f t="shared" si="42"/>
        <v>33</v>
      </c>
      <c r="S44" s="62" t="str">
        <f>IFERROR(VLOOKUP(MID(N44,Q44,R44-Q44),[6]skilldef!$C:$D,2,FALSE),"-") &amp; " / " &amp; IFERROR(VLOOKUP(MID(N44,O44,P44-O44),[6]skilldef!$A:$B,2,FALSE),"-")</f>
        <v>自分自身に / 行動値設定</v>
      </c>
      <c r="T44" s="47" t="str">
        <f t="shared" si="43"/>
        <v>none</v>
      </c>
      <c r="U44" s="62" t="e">
        <f t="shared" si="44"/>
        <v>#VALUE!</v>
      </c>
      <c r="V44" s="62">
        <f t="shared" si="45"/>
        <v>4</v>
      </c>
      <c r="W44" s="62" t="e">
        <f t="shared" si="46"/>
        <v>#VALUE!</v>
      </c>
      <c r="X44" s="62" t="e">
        <f t="shared" si="47"/>
        <v>#VALUE!</v>
      </c>
      <c r="Y44" s="62" t="str">
        <f>IFERROR(VLOOKUP(MID(T44,W44,X44-W44),[6]skilldef!$C:$D,2,FALSE),"-") &amp; " / " &amp; IFERROR(VLOOKUP(MID(T44,U44,V44-U44),[6]skilldef!$A:$B,2,FALSE),"-")</f>
        <v>- / -</v>
      </c>
      <c r="Z44" s="49"/>
      <c r="AA44" s="51"/>
      <c r="AB44" s="49"/>
    </row>
    <row r="45" spans="1:28" ht="21" customHeight="1" x14ac:dyDescent="0.15">
      <c r="A45" s="128">
        <v>40015044</v>
      </c>
      <c r="B45" s="128" t="s">
        <v>259</v>
      </c>
      <c r="C45" s="129">
        <v>3</v>
      </c>
      <c r="D45" s="129" t="s">
        <v>127</v>
      </c>
      <c r="E45" s="131" t="s">
        <v>356</v>
      </c>
      <c r="F45" s="131" t="s">
        <v>295</v>
      </c>
      <c r="G45" s="62" t="str">
        <f t="shared" si="32"/>
        <v>[effect:tolerance, target:myself, turn:-1, tolerance_effect:hungup, count:-1, animation:enemy_tolerance]</v>
      </c>
      <c r="H45" s="62">
        <f t="shared" si="33"/>
        <v>9</v>
      </c>
      <c r="I45" s="62">
        <f t="shared" si="34"/>
        <v>18</v>
      </c>
      <c r="J45" s="62">
        <f t="shared" si="35"/>
        <v>27</v>
      </c>
      <c r="K45" s="62">
        <f t="shared" si="36"/>
        <v>33</v>
      </c>
      <c r="L45" s="62" t="str">
        <f>IFERROR(VLOOKUP(MID(G45,J45,K45-J45),[6]skilldef!$C:$D,2,FALSE),"-") &amp; " / " &amp; IFERROR(VLOOKUP(MID(G45,H45,I45-H45),[6]skilldef!$A:$B,2,FALSE),"-")</f>
        <v>自分自身に / 状態異常耐性</v>
      </c>
      <c r="M45" s="62" t="str">
        <f t="shared" si="37"/>
        <v>[effect:fix_speed, target:myself, turn:1]</v>
      </c>
      <c r="N45" s="47" t="str">
        <f t="shared" si="38"/>
        <v>[effect:fix_speed, target:myself, turn:1]</v>
      </c>
      <c r="O45" s="62">
        <f t="shared" si="39"/>
        <v>9</v>
      </c>
      <c r="P45" s="62">
        <f t="shared" si="40"/>
        <v>18</v>
      </c>
      <c r="Q45" s="62">
        <f t="shared" si="41"/>
        <v>27</v>
      </c>
      <c r="R45" s="62">
        <f t="shared" si="42"/>
        <v>33</v>
      </c>
      <c r="S45" s="62" t="str">
        <f>IFERROR(VLOOKUP(MID(N45,Q45,R45-Q45),[6]skilldef!$C:$D,2,FALSE),"-") &amp; " / " &amp; IFERROR(VLOOKUP(MID(N45,O45,P45-O45),[6]skilldef!$A:$B,2,FALSE),"-")</f>
        <v>自分自身に / 行動値設定</v>
      </c>
      <c r="T45" s="47" t="str">
        <f t="shared" si="43"/>
        <v>none</v>
      </c>
      <c r="U45" s="62" t="e">
        <f t="shared" si="44"/>
        <v>#VALUE!</v>
      </c>
      <c r="V45" s="62">
        <f t="shared" si="45"/>
        <v>4</v>
      </c>
      <c r="W45" s="62" t="e">
        <f t="shared" si="46"/>
        <v>#VALUE!</v>
      </c>
      <c r="X45" s="62" t="e">
        <f t="shared" si="47"/>
        <v>#VALUE!</v>
      </c>
      <c r="Y45" s="62" t="str">
        <f>IFERROR(VLOOKUP(MID(T45,W45,X45-W45),[6]skilldef!$C:$D,2,FALSE),"-") &amp; " / " &amp; IFERROR(VLOOKUP(MID(T45,U45,V45-U45),[6]skilldef!$A:$B,2,FALSE),"-")</f>
        <v>- / -</v>
      </c>
      <c r="Z45" s="49"/>
      <c r="AA45" s="51"/>
      <c r="AB45" s="49"/>
    </row>
    <row r="46" spans="1:28" ht="21" customHeight="1" x14ac:dyDescent="0.15">
      <c r="A46" s="128">
        <v>40015045</v>
      </c>
      <c r="B46" s="128" t="s">
        <v>259</v>
      </c>
      <c r="C46" s="129">
        <v>3</v>
      </c>
      <c r="D46" s="129" t="s">
        <v>127</v>
      </c>
      <c r="E46" s="131" t="s">
        <v>281</v>
      </c>
      <c r="F46" s="131" t="s">
        <v>330</v>
      </c>
      <c r="G46" s="62" t="str">
        <f t="shared" si="32"/>
        <v>[effect:tolerance, target:myself, turn:-1, tolerance_effect:hungup, count:-1, animation:enemy_tolerance]</v>
      </c>
      <c r="H46" s="62">
        <f t="shared" si="33"/>
        <v>9</v>
      </c>
      <c r="I46" s="62">
        <f t="shared" si="34"/>
        <v>18</v>
      </c>
      <c r="J46" s="62">
        <f t="shared" si="35"/>
        <v>27</v>
      </c>
      <c r="K46" s="62">
        <f t="shared" si="36"/>
        <v>33</v>
      </c>
      <c r="L46" s="62" t="str">
        <f>IFERROR(VLOOKUP(MID(G46,J46,K46-J46),[6]skilldef!$C:$D,2,FALSE),"-") &amp; " / " &amp; IFERROR(VLOOKUP(MID(G46,H46,I46-H46),[6]skilldef!$A:$B,2,FALSE),"-")</f>
        <v>自分自身に / 状態異常耐性</v>
      </c>
      <c r="M46" s="62" t="str">
        <f t="shared" si="37"/>
        <v>[effect:fix_speed, target:myself, turn:1]</v>
      </c>
      <c r="N46" s="47" t="str">
        <f t="shared" si="38"/>
        <v>[effect:fix_speed, target:myself, turn:1]</v>
      </c>
      <c r="O46" s="62">
        <f t="shared" si="39"/>
        <v>9</v>
      </c>
      <c r="P46" s="62">
        <f t="shared" si="40"/>
        <v>18</v>
      </c>
      <c r="Q46" s="62">
        <f t="shared" si="41"/>
        <v>27</v>
      </c>
      <c r="R46" s="62">
        <f t="shared" si="42"/>
        <v>33</v>
      </c>
      <c r="S46" s="62" t="str">
        <f>IFERROR(VLOOKUP(MID(N46,Q46,R46-Q46),[6]skilldef!$C:$D,2,FALSE),"-") &amp; " / " &amp; IFERROR(VLOOKUP(MID(N46,O46,P46-O46),[6]skilldef!$A:$B,2,FALSE),"-")</f>
        <v>自分自身に / 行動値設定</v>
      </c>
      <c r="T46" s="47" t="str">
        <f t="shared" si="43"/>
        <v>none</v>
      </c>
      <c r="U46" s="62" t="e">
        <f t="shared" si="44"/>
        <v>#VALUE!</v>
      </c>
      <c r="V46" s="62">
        <f t="shared" si="45"/>
        <v>4</v>
      </c>
      <c r="W46" s="62" t="e">
        <f t="shared" si="46"/>
        <v>#VALUE!</v>
      </c>
      <c r="X46" s="62" t="e">
        <f t="shared" si="47"/>
        <v>#VALUE!</v>
      </c>
      <c r="Y46" s="62" t="str">
        <f>IFERROR(VLOOKUP(MID(T46,W46,X46-W46),[6]skilldef!$C:$D,2,FALSE),"-") &amp; " / " &amp; IFERROR(VLOOKUP(MID(T46,U46,V46-U46),[6]skilldef!$A:$B,2,FALSE),"-")</f>
        <v>- / -</v>
      </c>
      <c r="Z46" s="49"/>
      <c r="AA46" s="51"/>
      <c r="AB46" s="49"/>
    </row>
    <row r="47" spans="1:28" ht="21" customHeight="1" x14ac:dyDescent="0.15">
      <c r="A47" s="128">
        <v>40015046</v>
      </c>
      <c r="B47" s="128" t="s">
        <v>259</v>
      </c>
      <c r="C47" s="129">
        <v>3</v>
      </c>
      <c r="D47" s="129" t="s">
        <v>127</v>
      </c>
      <c r="E47" s="131" t="s">
        <v>285</v>
      </c>
      <c r="F47" s="131" t="s">
        <v>372</v>
      </c>
      <c r="G47" s="62" t="str">
        <f t="shared" si="32"/>
        <v>[effect:tolerance, target:myself, turn:-1, tolerance_effect:hungup, count:-1, animation:enemy_tolerance]</v>
      </c>
      <c r="H47" s="62">
        <f t="shared" si="33"/>
        <v>9</v>
      </c>
      <c r="I47" s="62">
        <f t="shared" si="34"/>
        <v>18</v>
      </c>
      <c r="J47" s="62">
        <f t="shared" si="35"/>
        <v>27</v>
      </c>
      <c r="K47" s="62">
        <f t="shared" si="36"/>
        <v>33</v>
      </c>
      <c r="L47" s="62" t="str">
        <f>IFERROR(VLOOKUP(MID(G47,J47,K47-J47),[6]skilldef!$C:$D,2,FALSE),"-") &amp; " / " &amp; IFERROR(VLOOKUP(MID(G47,H47,I47-H47),[6]skilldef!$A:$B,2,FALSE),"-")</f>
        <v>自分自身に / 状態異常耐性</v>
      </c>
      <c r="M47" s="62" t="str">
        <f t="shared" si="37"/>
        <v>[effect:fix_speed, target:myself, turn:1]</v>
      </c>
      <c r="N47" s="47" t="str">
        <f t="shared" si="38"/>
        <v>[effect:fix_speed, target:myself, turn:1]</v>
      </c>
      <c r="O47" s="62">
        <f t="shared" si="39"/>
        <v>9</v>
      </c>
      <c r="P47" s="62">
        <f t="shared" si="40"/>
        <v>18</v>
      </c>
      <c r="Q47" s="62">
        <f t="shared" si="41"/>
        <v>27</v>
      </c>
      <c r="R47" s="62">
        <f t="shared" si="42"/>
        <v>33</v>
      </c>
      <c r="S47" s="62" t="str">
        <f>IFERROR(VLOOKUP(MID(N47,Q47,R47-Q47),[6]skilldef!$C:$D,2,FALSE),"-") &amp; " / " &amp; IFERROR(VLOOKUP(MID(N47,O47,P47-O47),[6]skilldef!$A:$B,2,FALSE),"-")</f>
        <v>自分自身に / 行動値設定</v>
      </c>
      <c r="T47" s="47" t="str">
        <f t="shared" si="43"/>
        <v>none</v>
      </c>
      <c r="U47" s="62" t="e">
        <f t="shared" si="44"/>
        <v>#VALUE!</v>
      </c>
      <c r="V47" s="62">
        <f t="shared" si="45"/>
        <v>4</v>
      </c>
      <c r="W47" s="62" t="e">
        <f t="shared" si="46"/>
        <v>#VALUE!</v>
      </c>
      <c r="X47" s="62" t="e">
        <f t="shared" si="47"/>
        <v>#VALUE!</v>
      </c>
      <c r="Y47" s="62" t="str">
        <f>IFERROR(VLOOKUP(MID(T47,W47,X47-W47),[6]skilldef!$C:$D,2,FALSE),"-") &amp; " / " &amp; IFERROR(VLOOKUP(MID(T47,U47,V47-U47),[6]skilldef!$A:$B,2,FALSE),"-")</f>
        <v>- / -</v>
      </c>
      <c r="Z47" s="49"/>
      <c r="AA47" s="51"/>
      <c r="AB47" s="49"/>
    </row>
    <row r="48" spans="1:28" ht="21" customHeight="1" x14ac:dyDescent="0.15">
      <c r="A48" s="128">
        <v>40015047</v>
      </c>
      <c r="B48" s="128" t="s">
        <v>259</v>
      </c>
      <c r="C48" s="129">
        <v>3</v>
      </c>
      <c r="D48" s="129" t="s">
        <v>127</v>
      </c>
      <c r="E48" s="131" t="s">
        <v>331</v>
      </c>
      <c r="F48" s="131" t="s">
        <v>329</v>
      </c>
      <c r="G48" s="62" t="str">
        <f t="shared" si="32"/>
        <v>[effect:tolerance, target:myself, turn:-1, tolerance_effect:hungup, count:-1, animation:enemy_tolerance]</v>
      </c>
      <c r="H48" s="62">
        <f t="shared" si="33"/>
        <v>9</v>
      </c>
      <c r="I48" s="62">
        <f t="shared" si="34"/>
        <v>18</v>
      </c>
      <c r="J48" s="62">
        <f t="shared" si="35"/>
        <v>27</v>
      </c>
      <c r="K48" s="62">
        <f t="shared" si="36"/>
        <v>33</v>
      </c>
      <c r="L48" s="62" t="str">
        <f>IFERROR(VLOOKUP(MID(G48,J48,K48-J48),[6]skilldef!$C:$D,2,FALSE),"-") &amp; " / " &amp; IFERROR(VLOOKUP(MID(G48,H48,I48-H48),[6]skilldef!$A:$B,2,FALSE),"-")</f>
        <v>自分自身に / 状態異常耐性</v>
      </c>
      <c r="M48" s="62" t="str">
        <f t="shared" si="37"/>
        <v>[effect:fix_speed, target:myself, turn:1]</v>
      </c>
      <c r="N48" s="47" t="str">
        <f t="shared" si="38"/>
        <v>[effect:fix_speed, target:myself, turn:1]</v>
      </c>
      <c r="O48" s="62">
        <f t="shared" si="39"/>
        <v>9</v>
      </c>
      <c r="P48" s="62">
        <f t="shared" si="40"/>
        <v>18</v>
      </c>
      <c r="Q48" s="62">
        <f t="shared" si="41"/>
        <v>27</v>
      </c>
      <c r="R48" s="62">
        <f t="shared" si="42"/>
        <v>33</v>
      </c>
      <c r="S48" s="62" t="str">
        <f>IFERROR(VLOOKUP(MID(N48,Q48,R48-Q48),[6]skilldef!$C:$D,2,FALSE),"-") &amp; " / " &amp; IFERROR(VLOOKUP(MID(N48,O48,P48-O48),[6]skilldef!$A:$B,2,FALSE),"-")</f>
        <v>自分自身に / 行動値設定</v>
      </c>
      <c r="T48" s="47" t="str">
        <f t="shared" si="43"/>
        <v>none</v>
      </c>
      <c r="U48" s="62" t="e">
        <f t="shared" si="44"/>
        <v>#VALUE!</v>
      </c>
      <c r="V48" s="62">
        <f t="shared" si="45"/>
        <v>4</v>
      </c>
      <c r="W48" s="62" t="e">
        <f t="shared" si="46"/>
        <v>#VALUE!</v>
      </c>
      <c r="X48" s="62" t="e">
        <f t="shared" si="47"/>
        <v>#VALUE!</v>
      </c>
      <c r="Y48" s="62" t="str">
        <f>IFERROR(VLOOKUP(MID(T48,W48,X48-W48),[6]skilldef!$C:$D,2,FALSE),"-") &amp; " / " &amp; IFERROR(VLOOKUP(MID(T48,U48,V48-U48),[6]skilldef!$A:$B,2,FALSE),"-")</f>
        <v>- / -</v>
      </c>
      <c r="Z48" s="49"/>
      <c r="AA48" s="51"/>
      <c r="AB48" s="49"/>
    </row>
    <row r="49" spans="1:28" ht="21" customHeight="1" x14ac:dyDescent="0.15">
      <c r="A49" s="128">
        <v>40015048</v>
      </c>
      <c r="B49" s="128" t="s">
        <v>269</v>
      </c>
      <c r="C49" s="129">
        <v>3</v>
      </c>
      <c r="D49" s="129" t="s">
        <v>127</v>
      </c>
      <c r="E49" s="130" t="s">
        <v>271</v>
      </c>
      <c r="F49" s="130" t="s">
        <v>293</v>
      </c>
      <c r="G49" s="62" t="str">
        <f t="shared" ref="G49:G72" si="48">IFERROR(LEFT(B49,FIND("],",B49)),B49)</f>
        <v>[effect:rush, count:4, val:0.2]</v>
      </c>
      <c r="H49" s="62">
        <f t="shared" ref="H49:H72" si="49">FIND("effect:",G49)+7</f>
        <v>9</v>
      </c>
      <c r="I49" s="62">
        <f t="shared" ref="I49:I72" si="50">IFERROR(FIND(",",G49),LEN(G49))</f>
        <v>13</v>
      </c>
      <c r="J49" s="62" t="e">
        <f t="shared" ref="J49:J72" si="51">FIND("target:",G49)+7</f>
        <v>#VALUE!</v>
      </c>
      <c r="K49" s="62">
        <f t="shared" ref="K49:K72" si="52">FIND(",",G49,I49+1)</f>
        <v>22</v>
      </c>
      <c r="L49" s="62" t="str">
        <f>IFERROR(VLOOKUP(MID(G49,J49,K49-J49),[6]skilldef!$C:$D,2,FALSE),"-") &amp; " / " &amp; IFERROR(VLOOKUP(MID(G49,H49,I49-H49),[6]skilldef!$A:$B,2,FALSE),"-")</f>
        <v>- / 連続攻撃</v>
      </c>
      <c r="M49" s="62" t="str">
        <f t="shared" ref="M49:M72" si="53">IFERROR(RIGHT(B49,LEN(B49)-FIND("],",B49)-1),"none")</f>
        <v>none</v>
      </c>
      <c r="N49" s="47" t="str">
        <f t="shared" ref="N49:N67" si="54">IFERROR(LEFT(M49,FIND("],",M49)+S59),M49)</f>
        <v>none</v>
      </c>
      <c r="O49" s="62" t="e">
        <f t="shared" ref="O49:O72" si="55">FIND("effect:",N49)+7</f>
        <v>#VALUE!</v>
      </c>
      <c r="P49" s="62">
        <f t="shared" ref="P49:P72" si="56">IFERROR(FIND(",",N49),LEN(N49))</f>
        <v>4</v>
      </c>
      <c r="Q49" s="62" t="e">
        <f t="shared" ref="Q49:Q72" si="57">FIND("target:",N49)+7</f>
        <v>#VALUE!</v>
      </c>
      <c r="R49" s="62" t="e">
        <f t="shared" ref="R49:R72" si="58">FIND(",",N49,P49+1)</f>
        <v>#VALUE!</v>
      </c>
      <c r="S49" s="62" t="str">
        <f>IFERROR(VLOOKUP(MID(N49,Q49,R49-Q49),[6]skilldef!$C:$D,2,FALSE),"-") &amp; " / " &amp; IFERROR(VLOOKUP(MID(N49,O49,P49-O49),[6]skilldef!$A:$B,2,FALSE),"-")</f>
        <v>- / -</v>
      </c>
      <c r="T49" s="47" t="str">
        <f t="shared" ref="T49:T72" si="59">IFERROR(RIGHT(M49,LEN(M49)-FIND("],",M49)-1),"none")</f>
        <v>none</v>
      </c>
      <c r="U49" s="62" t="e">
        <f t="shared" ref="U49:U72" si="60">FIND("effect:",T49)+7</f>
        <v>#VALUE!</v>
      </c>
      <c r="V49" s="62">
        <f t="shared" ref="V49:V72" si="61">IFERROR(FIND(",",T49),LEN(T49))</f>
        <v>4</v>
      </c>
      <c r="W49" s="62" t="e">
        <f t="shared" ref="W49:W72" si="62">FIND("target:",T49)+7</f>
        <v>#VALUE!</v>
      </c>
      <c r="X49" s="62" t="e">
        <f t="shared" ref="X49:X72" si="63">FIND(",",T49,V49+1)</f>
        <v>#VALUE!</v>
      </c>
      <c r="Y49" s="62" t="str">
        <f>IFERROR(VLOOKUP(MID(T49,W49,X49-W49),[6]skilldef!$C:$D,2,FALSE),"-") &amp; " / " &amp; IFERROR(VLOOKUP(MID(T49,U49,V49-U49),[6]skilldef!$A:$B,2,FALSE),"-")</f>
        <v>- / -</v>
      </c>
      <c r="Z49" s="49"/>
      <c r="AA49" s="51"/>
      <c r="AB49" s="49"/>
    </row>
    <row r="50" spans="1:28" ht="21" customHeight="1" x14ac:dyDescent="0.15">
      <c r="A50" s="128">
        <v>40015049</v>
      </c>
      <c r="B50" s="128" t="s">
        <v>269</v>
      </c>
      <c r="C50" s="129">
        <v>3</v>
      </c>
      <c r="D50" s="129" t="s">
        <v>127</v>
      </c>
      <c r="E50" s="130" t="s">
        <v>271</v>
      </c>
      <c r="F50" s="130" t="s">
        <v>293</v>
      </c>
      <c r="G50" s="62" t="str">
        <f t="shared" ref="G50" si="64">IFERROR(LEFT(B50,FIND("],",B50)),B50)</f>
        <v>[effect:rush, count:4, val:0.2]</v>
      </c>
      <c r="H50" s="62">
        <f t="shared" ref="H50" si="65">FIND("effect:",G50)+7</f>
        <v>9</v>
      </c>
      <c r="I50" s="62">
        <f t="shared" ref="I50" si="66">IFERROR(FIND(",",G50),LEN(G50))</f>
        <v>13</v>
      </c>
      <c r="J50" s="62" t="e">
        <f t="shared" ref="J50" si="67">FIND("target:",G50)+7</f>
        <v>#VALUE!</v>
      </c>
      <c r="K50" s="62">
        <f t="shared" ref="K50" si="68">FIND(",",G50,I50+1)</f>
        <v>22</v>
      </c>
      <c r="L50" s="62" t="str">
        <f>IFERROR(VLOOKUP(MID(G50,J50,K50-J50),[6]skilldef!$C:$D,2,FALSE),"-") &amp; " / " &amp; IFERROR(VLOOKUP(MID(G50,H50,I50-H50),[6]skilldef!$A:$B,2,FALSE),"-")</f>
        <v>- / 連続攻撃</v>
      </c>
      <c r="M50" s="62" t="str">
        <f t="shared" ref="M50" si="69">IFERROR(RIGHT(B50,LEN(B50)-FIND("],",B50)-1),"none")</f>
        <v>none</v>
      </c>
      <c r="N50" s="47" t="str">
        <f t="shared" ref="N50" si="70">IFERROR(LEFT(M50,FIND("],",M50)+S60),M50)</f>
        <v>none</v>
      </c>
      <c r="O50" s="62" t="e">
        <f t="shared" ref="O50" si="71">FIND("effect:",N50)+7</f>
        <v>#VALUE!</v>
      </c>
      <c r="P50" s="62">
        <f t="shared" ref="P50" si="72">IFERROR(FIND(",",N50),LEN(N50))</f>
        <v>4</v>
      </c>
      <c r="Q50" s="62" t="e">
        <f t="shared" ref="Q50" si="73">FIND("target:",N50)+7</f>
        <v>#VALUE!</v>
      </c>
      <c r="R50" s="62" t="e">
        <f t="shared" ref="R50" si="74">FIND(",",N50,P50+1)</f>
        <v>#VALUE!</v>
      </c>
      <c r="S50" s="62" t="str">
        <f>IFERROR(VLOOKUP(MID(N50,Q50,R50-Q50),[6]skilldef!$C:$D,2,FALSE),"-") &amp; " / " &amp; IFERROR(VLOOKUP(MID(N50,O50,P50-O50),[6]skilldef!$A:$B,2,FALSE),"-")</f>
        <v>- / -</v>
      </c>
      <c r="T50" s="47" t="str">
        <f t="shared" ref="T50" si="75">IFERROR(RIGHT(M50,LEN(M50)-FIND("],",M50)-1),"none")</f>
        <v>none</v>
      </c>
      <c r="U50" s="62" t="e">
        <f t="shared" ref="U50" si="76">FIND("effect:",T50)+7</f>
        <v>#VALUE!</v>
      </c>
      <c r="V50" s="62">
        <f t="shared" ref="V50" si="77">IFERROR(FIND(",",T50),LEN(T50))</f>
        <v>4</v>
      </c>
      <c r="W50" s="62" t="e">
        <f t="shared" ref="W50" si="78">FIND("target:",T50)+7</f>
        <v>#VALUE!</v>
      </c>
      <c r="X50" s="62" t="e">
        <f t="shared" ref="X50" si="79">FIND(",",T50,V50+1)</f>
        <v>#VALUE!</v>
      </c>
      <c r="Y50" s="62" t="str">
        <f>IFERROR(VLOOKUP(MID(T50,W50,X50-W50),[6]skilldef!$C:$D,2,FALSE),"-") &amp; " / " &amp; IFERROR(VLOOKUP(MID(T50,U50,V50-U50),[6]skilldef!$A:$B,2,FALSE),"-")</f>
        <v>- / -</v>
      </c>
      <c r="Z50" s="49"/>
      <c r="AA50" s="51"/>
      <c r="AB50" s="49"/>
    </row>
    <row r="51" spans="1:28" ht="21" customHeight="1" x14ac:dyDescent="0.15">
      <c r="A51" s="128">
        <v>40015050</v>
      </c>
      <c r="B51" s="128" t="s">
        <v>269</v>
      </c>
      <c r="C51" s="129">
        <v>3</v>
      </c>
      <c r="D51" s="129" t="s">
        <v>127</v>
      </c>
      <c r="E51" s="130" t="s">
        <v>275</v>
      </c>
      <c r="F51" s="132" t="s">
        <v>292</v>
      </c>
      <c r="G51" s="62" t="str">
        <f t="shared" si="48"/>
        <v>[effect:rush, count:4, val:0.2]</v>
      </c>
      <c r="H51" s="62">
        <f t="shared" si="49"/>
        <v>9</v>
      </c>
      <c r="I51" s="62">
        <f t="shared" si="50"/>
        <v>13</v>
      </c>
      <c r="J51" s="62" t="e">
        <f t="shared" si="51"/>
        <v>#VALUE!</v>
      </c>
      <c r="K51" s="62">
        <f t="shared" si="52"/>
        <v>22</v>
      </c>
      <c r="L51" s="62" t="str">
        <f>IFERROR(VLOOKUP(MID(G51,J51,K51-J51),[6]skilldef!$C:$D,2,FALSE),"-") &amp; " / " &amp; IFERROR(VLOOKUP(MID(G51,H51,I51-H51),[6]skilldef!$A:$B,2,FALSE),"-")</f>
        <v>- / 連続攻撃</v>
      </c>
      <c r="M51" s="62" t="str">
        <f t="shared" si="53"/>
        <v>none</v>
      </c>
      <c r="N51" s="47" t="str">
        <f t="shared" si="54"/>
        <v>none</v>
      </c>
      <c r="O51" s="62" t="e">
        <f t="shared" si="55"/>
        <v>#VALUE!</v>
      </c>
      <c r="P51" s="62">
        <f t="shared" si="56"/>
        <v>4</v>
      </c>
      <c r="Q51" s="62" t="e">
        <f t="shared" si="57"/>
        <v>#VALUE!</v>
      </c>
      <c r="R51" s="62" t="e">
        <f t="shared" si="58"/>
        <v>#VALUE!</v>
      </c>
      <c r="S51" s="62" t="str">
        <f>IFERROR(VLOOKUP(MID(N51,Q51,R51-Q51),[6]skilldef!$C:$D,2,FALSE),"-") &amp; " / " &amp; IFERROR(VLOOKUP(MID(N51,O51,P51-O51),[6]skilldef!$A:$B,2,FALSE),"-")</f>
        <v>- / -</v>
      </c>
      <c r="T51" s="47" t="str">
        <f t="shared" si="59"/>
        <v>none</v>
      </c>
      <c r="U51" s="62" t="e">
        <f t="shared" si="60"/>
        <v>#VALUE!</v>
      </c>
      <c r="V51" s="62">
        <f t="shared" si="61"/>
        <v>4</v>
      </c>
      <c r="W51" s="62" t="e">
        <f t="shared" si="62"/>
        <v>#VALUE!</v>
      </c>
      <c r="X51" s="62" t="e">
        <f t="shared" si="63"/>
        <v>#VALUE!</v>
      </c>
      <c r="Y51" s="62" t="str">
        <f>IFERROR(VLOOKUP(MID(T51,W51,X51-W51),[6]skilldef!$C:$D,2,FALSE),"-") &amp; " / " &amp; IFERROR(VLOOKUP(MID(T51,U51,V51-U51),[6]skilldef!$A:$B,2,FALSE),"-")</f>
        <v>- / -</v>
      </c>
      <c r="Z51" s="49"/>
      <c r="AA51" s="51"/>
      <c r="AB51" s="49"/>
    </row>
    <row r="52" spans="1:28" ht="21" customHeight="1" x14ac:dyDescent="0.15">
      <c r="A52" s="128">
        <v>40015051</v>
      </c>
      <c r="B52" s="128" t="s">
        <v>351</v>
      </c>
      <c r="C52" s="129">
        <v>3</v>
      </c>
      <c r="D52" s="129" t="s">
        <v>127</v>
      </c>
      <c r="E52" s="130" t="s">
        <v>279</v>
      </c>
      <c r="F52" s="130" t="s">
        <v>350</v>
      </c>
      <c r="G52" s="62" t="str">
        <f t="shared" si="48"/>
        <v>[effect:degrade_unit, target:unit_all, turn:3, status:attack, val:0.5]</v>
      </c>
      <c r="H52" s="62">
        <f t="shared" si="49"/>
        <v>9</v>
      </c>
      <c r="I52" s="62">
        <f t="shared" si="50"/>
        <v>21</v>
      </c>
      <c r="J52" s="62">
        <f t="shared" si="51"/>
        <v>30</v>
      </c>
      <c r="K52" s="62">
        <f t="shared" si="52"/>
        <v>38</v>
      </c>
      <c r="L52" s="62" t="str">
        <f>IFERROR(VLOOKUP(MID(G52,J52,K52-J52),[6]skilldef!$C:$D,2,FALSE),"-") &amp; " / " &amp; IFERROR(VLOOKUP(MID(G52,H52,I52-H52),[6]skilldef!$A:$B,2,FALSE),"-")</f>
        <v>味方全体に / ステータスDOWN</v>
      </c>
      <c r="M52" s="62" t="str">
        <f t="shared" si="53"/>
        <v>none</v>
      </c>
      <c r="N52" s="47" t="str">
        <f t="shared" si="54"/>
        <v>none</v>
      </c>
      <c r="O52" s="62" t="e">
        <f t="shared" si="55"/>
        <v>#VALUE!</v>
      </c>
      <c r="P52" s="62">
        <f t="shared" si="56"/>
        <v>4</v>
      </c>
      <c r="Q52" s="62" t="e">
        <f t="shared" si="57"/>
        <v>#VALUE!</v>
      </c>
      <c r="R52" s="62" t="e">
        <f t="shared" si="58"/>
        <v>#VALUE!</v>
      </c>
      <c r="S52" s="62" t="str">
        <f>IFERROR(VLOOKUP(MID(N52,Q52,R52-Q52),[6]skilldef!$C:$D,2,FALSE),"-") &amp; " / " &amp; IFERROR(VLOOKUP(MID(N52,O52,P52-O52),[6]skilldef!$A:$B,2,FALSE),"-")</f>
        <v>- / -</v>
      </c>
      <c r="T52" s="47" t="str">
        <f t="shared" si="59"/>
        <v>none</v>
      </c>
      <c r="U52" s="62" t="e">
        <f t="shared" si="60"/>
        <v>#VALUE!</v>
      </c>
      <c r="V52" s="62">
        <f t="shared" si="61"/>
        <v>4</v>
      </c>
      <c r="W52" s="62" t="e">
        <f t="shared" si="62"/>
        <v>#VALUE!</v>
      </c>
      <c r="X52" s="62" t="e">
        <f t="shared" si="63"/>
        <v>#VALUE!</v>
      </c>
      <c r="Y52" s="62" t="str">
        <f>IFERROR(VLOOKUP(MID(T52,W52,X52-W52),[6]skilldef!$C:$D,2,FALSE),"-") &amp; " / " &amp; IFERROR(VLOOKUP(MID(T52,U52,V52-U52),[6]skilldef!$A:$B,2,FALSE),"-")</f>
        <v>- / -</v>
      </c>
      <c r="Z52" s="49"/>
      <c r="AA52" s="51"/>
      <c r="AB52" s="49"/>
    </row>
    <row r="53" spans="1:28" ht="21" customHeight="1" x14ac:dyDescent="0.15">
      <c r="A53" s="128">
        <v>40015052</v>
      </c>
      <c r="B53" s="128" t="s">
        <v>357</v>
      </c>
      <c r="C53" s="129">
        <v>3</v>
      </c>
      <c r="D53" s="129" t="s">
        <v>127</v>
      </c>
      <c r="E53" s="130" t="s">
        <v>272</v>
      </c>
      <c r="F53" s="132" t="s">
        <v>291</v>
      </c>
      <c r="G53" s="62" t="str">
        <f t="shared" ref="G53" si="80">IFERROR(LEFT(B53,FIND("],",B53)),B53)</f>
        <v>[effect:remove_enhancement, target:unit_all, target_effect:counter, target_type:buff]</v>
      </c>
      <c r="H53" s="62">
        <f t="shared" ref="H53" si="81">FIND("effect:",G53)+7</f>
        <v>9</v>
      </c>
      <c r="I53" s="62">
        <f t="shared" ref="I53" si="82">IFERROR(FIND(",",G53),LEN(G53))</f>
        <v>27</v>
      </c>
      <c r="J53" s="62">
        <f t="shared" ref="J53" si="83">FIND("target:",G53)+7</f>
        <v>36</v>
      </c>
      <c r="K53" s="62">
        <f t="shared" ref="K53" si="84">FIND(",",G53,I53+1)</f>
        <v>44</v>
      </c>
      <c r="L53" s="62" t="str">
        <f>IFERROR(VLOOKUP(MID(G53,J53,K53-J53),[6]skilldef!$C:$D,2,FALSE),"-") &amp; " / " &amp; IFERROR(VLOOKUP(MID(G53,H53,I53-H53),[6]skilldef!$A:$B,2,FALSE),"-")</f>
        <v>味方全体に / -</v>
      </c>
      <c r="M53" s="62" t="str">
        <f t="shared" ref="M53" si="85">IFERROR(RIGHT(B53,LEN(B53)-FIND("],",B53)-1),"none")</f>
        <v>[effect:remove_enhancement, target:unit_all, target_effect:counter_new, target_type:buff, animation:frozen_wave],[effect:rush, count:8, val:0.14]</v>
      </c>
      <c r="N53" s="47" t="str">
        <f t="shared" ref="N53" si="86">IFERROR(LEFT(M53,FIND("],",M53)+S63),M53)</f>
        <v>[effect:remove_enhancement, target:unit_all, target_effect:counter_new, target_type:buff, animation:frozen_wave],[effect:rush, count:8, val:0.14]</v>
      </c>
      <c r="O53" s="62">
        <f t="shared" ref="O53" si="87">FIND("effect:",N53)+7</f>
        <v>9</v>
      </c>
      <c r="P53" s="62">
        <f t="shared" ref="P53" si="88">IFERROR(FIND(",",N53),LEN(N53))</f>
        <v>27</v>
      </c>
      <c r="Q53" s="62">
        <f t="shared" ref="Q53" si="89">FIND("target:",N53)+7</f>
        <v>36</v>
      </c>
      <c r="R53" s="62">
        <f t="shared" ref="R53" si="90">FIND(",",N53,P53+1)</f>
        <v>44</v>
      </c>
      <c r="S53" s="62" t="str">
        <f>IFERROR(VLOOKUP(MID(N53,Q53,R53-Q53),[6]skilldef!$C:$D,2,FALSE),"-") &amp; " / " &amp; IFERROR(VLOOKUP(MID(N53,O53,P53-O53),[6]skilldef!$A:$B,2,FALSE),"-")</f>
        <v>味方全体に / -</v>
      </c>
      <c r="T53" s="47" t="str">
        <f t="shared" ref="T53" si="91">IFERROR(RIGHT(M53,LEN(M53)-FIND("],",M53)-1),"none")</f>
        <v>[effect:rush, count:8, val:0.14]</v>
      </c>
      <c r="U53" s="62">
        <f t="shared" ref="U53" si="92">FIND("effect:",T53)+7</f>
        <v>9</v>
      </c>
      <c r="V53" s="62">
        <f t="shared" ref="V53" si="93">IFERROR(FIND(",",T53),LEN(T53))</f>
        <v>13</v>
      </c>
      <c r="W53" s="62" t="e">
        <f t="shared" ref="W53" si="94">FIND("target:",T53)+7</f>
        <v>#VALUE!</v>
      </c>
      <c r="X53" s="62">
        <f t="shared" ref="X53" si="95">FIND(",",T53,V53+1)</f>
        <v>22</v>
      </c>
      <c r="Y53" s="62" t="str">
        <f>IFERROR(VLOOKUP(MID(T53,W53,X53-W53),[6]skilldef!$C:$D,2,FALSE),"-") &amp; " / " &amp; IFERROR(VLOOKUP(MID(T53,U53,V53-U53),[6]skilldef!$A:$B,2,FALSE),"-")</f>
        <v>- / 連続攻撃</v>
      </c>
      <c r="Z53" s="49"/>
      <c r="AA53" s="51"/>
      <c r="AB53" s="49"/>
    </row>
    <row r="54" spans="1:28" ht="21" customHeight="1" x14ac:dyDescent="0.15">
      <c r="A54" s="128">
        <v>40015053</v>
      </c>
      <c r="B54" s="128" t="s">
        <v>357</v>
      </c>
      <c r="C54" s="129">
        <v>3</v>
      </c>
      <c r="D54" s="129" t="s">
        <v>127</v>
      </c>
      <c r="E54" s="130" t="s">
        <v>272</v>
      </c>
      <c r="F54" s="132" t="s">
        <v>291</v>
      </c>
      <c r="G54" s="62" t="str">
        <f t="shared" si="48"/>
        <v>[effect:remove_enhancement, target:unit_all, target_effect:counter, target_type:buff]</v>
      </c>
      <c r="H54" s="62">
        <f t="shared" si="49"/>
        <v>9</v>
      </c>
      <c r="I54" s="62">
        <f t="shared" si="50"/>
        <v>27</v>
      </c>
      <c r="J54" s="62">
        <f t="shared" si="51"/>
        <v>36</v>
      </c>
      <c r="K54" s="62">
        <f t="shared" si="52"/>
        <v>44</v>
      </c>
      <c r="L54" s="62" t="str">
        <f>IFERROR(VLOOKUP(MID(G54,J54,K54-J54),[6]skilldef!$C:$D,2,FALSE),"-") &amp; " / " &amp; IFERROR(VLOOKUP(MID(G54,H54,I54-H54),[6]skilldef!$A:$B,2,FALSE),"-")</f>
        <v>味方全体に / -</v>
      </c>
      <c r="M54" s="62" t="str">
        <f t="shared" si="53"/>
        <v>[effect:remove_enhancement, target:unit_all, target_effect:counter_new, target_type:buff, animation:frozen_wave],[effect:rush, count:8, val:0.14]</v>
      </c>
      <c r="N54" s="47" t="str">
        <f t="shared" si="54"/>
        <v>[effect:remove_enhancement, target:unit_all, target_effect:counter_new, target_type:buff, animation:frozen_wave],[effect:rush, count:8, val:0.14]</v>
      </c>
      <c r="O54" s="62">
        <f t="shared" si="55"/>
        <v>9</v>
      </c>
      <c r="P54" s="62">
        <f t="shared" si="56"/>
        <v>27</v>
      </c>
      <c r="Q54" s="62">
        <f t="shared" si="57"/>
        <v>36</v>
      </c>
      <c r="R54" s="62">
        <f t="shared" si="58"/>
        <v>44</v>
      </c>
      <c r="S54" s="62" t="str">
        <f>IFERROR(VLOOKUP(MID(N54,Q54,R54-Q54),[6]skilldef!$C:$D,2,FALSE),"-") &amp; " / " &amp; IFERROR(VLOOKUP(MID(N54,O54,P54-O54),[6]skilldef!$A:$B,2,FALSE),"-")</f>
        <v>味方全体に / -</v>
      </c>
      <c r="T54" s="47" t="str">
        <f t="shared" si="59"/>
        <v>[effect:rush, count:8, val:0.14]</v>
      </c>
      <c r="U54" s="62">
        <f t="shared" si="60"/>
        <v>9</v>
      </c>
      <c r="V54" s="62">
        <f t="shared" si="61"/>
        <v>13</v>
      </c>
      <c r="W54" s="62" t="e">
        <f t="shared" si="62"/>
        <v>#VALUE!</v>
      </c>
      <c r="X54" s="62">
        <f t="shared" si="63"/>
        <v>22</v>
      </c>
      <c r="Y54" s="62" t="str">
        <f>IFERROR(VLOOKUP(MID(T54,W54,X54-W54),[6]skilldef!$C:$D,2,FALSE),"-") &amp; " / " &amp; IFERROR(VLOOKUP(MID(T54,U54,V54-U54),[6]skilldef!$A:$B,2,FALSE),"-")</f>
        <v>- / 連続攻撃</v>
      </c>
      <c r="Z54" s="49"/>
      <c r="AA54" s="51"/>
      <c r="AB54" s="49"/>
    </row>
    <row r="55" spans="1:28" ht="21" customHeight="1" x14ac:dyDescent="0.15">
      <c r="A55" s="128">
        <v>40015054</v>
      </c>
      <c r="B55" s="128" t="s">
        <v>357</v>
      </c>
      <c r="C55" s="129">
        <v>3</v>
      </c>
      <c r="D55" s="129" t="s">
        <v>127</v>
      </c>
      <c r="E55" s="130" t="s">
        <v>272</v>
      </c>
      <c r="F55" s="132" t="s">
        <v>291</v>
      </c>
      <c r="G55" s="62" t="str">
        <f t="shared" ref="G55" si="96">IFERROR(LEFT(B55,FIND("],",B55)),B55)</f>
        <v>[effect:remove_enhancement, target:unit_all, target_effect:counter, target_type:buff]</v>
      </c>
      <c r="H55" s="62">
        <f t="shared" ref="H55" si="97">FIND("effect:",G55)+7</f>
        <v>9</v>
      </c>
      <c r="I55" s="62">
        <f t="shared" ref="I55" si="98">IFERROR(FIND(",",G55),LEN(G55))</f>
        <v>27</v>
      </c>
      <c r="J55" s="62">
        <f t="shared" ref="J55" si="99">FIND("target:",G55)+7</f>
        <v>36</v>
      </c>
      <c r="K55" s="62">
        <f t="shared" ref="K55" si="100">FIND(",",G55,I55+1)</f>
        <v>44</v>
      </c>
      <c r="L55" s="62" t="str">
        <f>IFERROR(VLOOKUP(MID(G55,J55,K55-J55),[6]skilldef!$C:$D,2,FALSE),"-") &amp; " / " &amp; IFERROR(VLOOKUP(MID(G55,H55,I55-H55),[6]skilldef!$A:$B,2,FALSE),"-")</f>
        <v>味方全体に / -</v>
      </c>
      <c r="M55" s="62" t="str">
        <f t="shared" ref="M55" si="101">IFERROR(RIGHT(B55,LEN(B55)-FIND("],",B55)-1),"none")</f>
        <v>[effect:remove_enhancement, target:unit_all, target_effect:counter_new, target_type:buff, animation:frozen_wave],[effect:rush, count:8, val:0.14]</v>
      </c>
      <c r="N55" s="47" t="str">
        <f t="shared" ref="N55" si="102">IFERROR(LEFT(M55,FIND("],",M55)+S65),M55)</f>
        <v>[effect:remove_enhancement, target:unit_all, target_effect:counter_new, target_type:buff, animation:frozen_wave],[effect:rush, count:8, val:0.14]</v>
      </c>
      <c r="O55" s="62">
        <f t="shared" ref="O55" si="103">FIND("effect:",N55)+7</f>
        <v>9</v>
      </c>
      <c r="P55" s="62">
        <f t="shared" ref="P55" si="104">IFERROR(FIND(",",N55),LEN(N55))</f>
        <v>27</v>
      </c>
      <c r="Q55" s="62">
        <f t="shared" ref="Q55" si="105">FIND("target:",N55)+7</f>
        <v>36</v>
      </c>
      <c r="R55" s="62">
        <f t="shared" ref="R55" si="106">FIND(",",N55,P55+1)</f>
        <v>44</v>
      </c>
      <c r="S55" s="62" t="str">
        <f>IFERROR(VLOOKUP(MID(N55,Q55,R55-Q55),[6]skilldef!$C:$D,2,FALSE),"-") &amp; " / " &amp; IFERROR(VLOOKUP(MID(N55,O55,P55-O55),[6]skilldef!$A:$B,2,FALSE),"-")</f>
        <v>味方全体に / -</v>
      </c>
      <c r="T55" s="47" t="str">
        <f t="shared" ref="T55" si="107">IFERROR(RIGHT(M55,LEN(M55)-FIND("],",M55)-1),"none")</f>
        <v>[effect:rush, count:8, val:0.14]</v>
      </c>
      <c r="U55" s="62">
        <f t="shared" ref="U55" si="108">FIND("effect:",T55)+7</f>
        <v>9</v>
      </c>
      <c r="V55" s="62">
        <f t="shared" ref="V55" si="109">IFERROR(FIND(",",T55),LEN(T55))</f>
        <v>13</v>
      </c>
      <c r="W55" s="62" t="e">
        <f t="shared" ref="W55" si="110">FIND("target:",T55)+7</f>
        <v>#VALUE!</v>
      </c>
      <c r="X55" s="62">
        <f t="shared" ref="X55" si="111">FIND(",",T55,V55+1)</f>
        <v>22</v>
      </c>
      <c r="Y55" s="62" t="str">
        <f>IFERROR(VLOOKUP(MID(T55,W55,X55-W55),[6]skilldef!$C:$D,2,FALSE),"-") &amp; " / " &amp; IFERROR(VLOOKUP(MID(T55,U55,V55-U55),[6]skilldef!$A:$B,2,FALSE),"-")</f>
        <v>- / 連続攻撃</v>
      </c>
      <c r="Z55" s="49"/>
      <c r="AA55" s="51"/>
      <c r="AB55" s="49"/>
    </row>
    <row r="56" spans="1:28" ht="21" customHeight="1" x14ac:dyDescent="0.15">
      <c r="A56" s="137">
        <v>40015055</v>
      </c>
      <c r="B56" s="137" t="s">
        <v>352</v>
      </c>
      <c r="C56" s="138">
        <v>0</v>
      </c>
      <c r="D56" s="138" t="s">
        <v>127</v>
      </c>
      <c r="E56" s="139" t="s">
        <v>338</v>
      </c>
      <c r="F56" s="139" t="s">
        <v>420</v>
      </c>
      <c r="G56" s="62" t="str">
        <f t="shared" ref="G56" si="112">IFERROR(LEFT(B56,FIND("],",B56)),B56)</f>
        <v>[effect:force_change_block, new_block:jammer, target:block_all, ignore:crash, ignore02:jammer, count:6, val:0, animation:change_block]</v>
      </c>
      <c r="H56" s="62">
        <f t="shared" ref="H56" si="113">FIND("effect:",G56)+7</f>
        <v>9</v>
      </c>
      <c r="I56" s="62">
        <f t="shared" ref="I56" si="114">IFERROR(FIND(",",G56),LEN(G56))</f>
        <v>27</v>
      </c>
      <c r="J56" s="62">
        <f t="shared" ref="J56" si="115">FIND("target:",G56)+7</f>
        <v>54</v>
      </c>
      <c r="K56" s="62">
        <f t="shared" ref="K56" si="116">FIND(",",G56,I56+1)</f>
        <v>45</v>
      </c>
      <c r="L56" s="62" t="str">
        <f>IFERROR(VLOOKUP(MID(G56,J56,K56-J56),[6]skilldef!$C:$D,2,FALSE),"-") &amp; " / " &amp; IFERROR(VLOOKUP(MID(G56,H56,I56-H56),[6]skilldef!$A:$B,2,FALSE),"-")</f>
        <v>- / -</v>
      </c>
      <c r="M56" s="62" t="str">
        <f t="shared" ref="M56" si="117">IFERROR(RIGHT(B56,LEN(B56)-FIND("],",B56)-1),"none")</f>
        <v>[effect:spread, val:0.15]</v>
      </c>
      <c r="N56" s="47" t="str">
        <f t="shared" ref="N56" si="118">IFERROR(LEFT(M56,FIND("],",M56)+S66),M56)</f>
        <v>[effect:spread, val:0.15]</v>
      </c>
      <c r="O56" s="62">
        <f t="shared" ref="O56" si="119">FIND("effect:",N56)+7</f>
        <v>9</v>
      </c>
      <c r="P56" s="62">
        <f t="shared" ref="P56" si="120">IFERROR(FIND(",",N56),LEN(N56))</f>
        <v>15</v>
      </c>
      <c r="Q56" s="62" t="e">
        <f t="shared" ref="Q56" si="121">FIND("target:",N56)+7</f>
        <v>#VALUE!</v>
      </c>
      <c r="R56" s="62" t="e">
        <f t="shared" ref="R56" si="122">FIND(",",N56,P56+1)</f>
        <v>#VALUE!</v>
      </c>
      <c r="S56" s="62" t="str">
        <f>IFERROR(VLOOKUP(MID(N56,Q56,R56-Q56),[6]skilldef!$C:$D,2,FALSE),"-") &amp; " / " &amp; IFERROR(VLOOKUP(MID(N56,O56,P56-O56),[6]skilldef!$A:$B,2,FALSE),"-")</f>
        <v>- / 全体攻撃</v>
      </c>
      <c r="T56" s="47" t="str">
        <f t="shared" ref="T56" si="123">IFERROR(RIGHT(M56,LEN(M56)-FIND("],",M56)-1),"none")</f>
        <v>none</v>
      </c>
      <c r="U56" s="62" t="e">
        <f t="shared" ref="U56" si="124">FIND("effect:",T56)+7</f>
        <v>#VALUE!</v>
      </c>
      <c r="V56" s="62">
        <f t="shared" ref="V56" si="125">IFERROR(FIND(",",T56),LEN(T56))</f>
        <v>4</v>
      </c>
      <c r="W56" s="62" t="e">
        <f t="shared" ref="W56" si="126">FIND("target:",T56)+7</f>
        <v>#VALUE!</v>
      </c>
      <c r="X56" s="62" t="e">
        <f t="shared" ref="X56" si="127">FIND(",",T56,V56+1)</f>
        <v>#VALUE!</v>
      </c>
      <c r="Y56" s="62" t="str">
        <f>IFERROR(VLOOKUP(MID(T56,W56,X56-W56),[6]skilldef!$C:$D,2,FALSE),"-") &amp; " / " &amp; IFERROR(VLOOKUP(MID(T56,U56,V56-U56),[6]skilldef!$A:$B,2,FALSE),"-")</f>
        <v>- / -</v>
      </c>
      <c r="Z56" s="49"/>
      <c r="AA56" s="51"/>
      <c r="AB56" s="49"/>
    </row>
    <row r="57" spans="1:28" ht="21" customHeight="1" x14ac:dyDescent="0.15">
      <c r="A57" s="128">
        <v>40015056</v>
      </c>
      <c r="B57" s="128" t="s">
        <v>358</v>
      </c>
      <c r="C57" s="129">
        <v>3</v>
      </c>
      <c r="D57" s="129" t="s">
        <v>127</v>
      </c>
      <c r="E57" s="130" t="s">
        <v>273</v>
      </c>
      <c r="F57" s="130" t="s">
        <v>406</v>
      </c>
      <c r="G57" s="62" t="str">
        <f t="shared" si="48"/>
        <v>[effect:remove_enhancement, target:unit_all, target_effect:counter, target_type:buff]</v>
      </c>
      <c r="H57" s="62">
        <f t="shared" si="49"/>
        <v>9</v>
      </c>
      <c r="I57" s="62">
        <f t="shared" si="50"/>
        <v>27</v>
      </c>
      <c r="J57" s="62">
        <f t="shared" si="51"/>
        <v>36</v>
      </c>
      <c r="K57" s="62">
        <f t="shared" si="52"/>
        <v>44</v>
      </c>
      <c r="L57" s="62" t="str">
        <f>IFERROR(VLOOKUP(MID(G57,J57,K57-J57),[6]skilldef!$C:$D,2,FALSE),"-") &amp; " / " &amp; IFERROR(VLOOKUP(MID(G57,H57,I57-H57),[6]skilldef!$A:$B,2,FALSE),"-")</f>
        <v>味方全体に / -</v>
      </c>
      <c r="M57" s="62" t="str">
        <f t="shared" si="53"/>
        <v>[effect:remove_enhancement, target:unit_all, target_effect:counter_new, target_type:buff, animation:frozen_wave],[effect:spread, val:0.12],[effect:rush, count:8, val:0.12]</v>
      </c>
      <c r="N57" s="47" t="str">
        <f t="shared" si="54"/>
        <v>[effect:remove_enhancement, target:unit_all, target_effect:counter_new, target_type:buff, animation:frozen_wave],[effect:spread, val:0.12],[effect:rush, count:8, val:0.12]</v>
      </c>
      <c r="O57" s="62">
        <f t="shared" si="55"/>
        <v>9</v>
      </c>
      <c r="P57" s="62">
        <f t="shared" si="56"/>
        <v>27</v>
      </c>
      <c r="Q57" s="62">
        <f t="shared" si="57"/>
        <v>36</v>
      </c>
      <c r="R57" s="62">
        <f t="shared" si="58"/>
        <v>44</v>
      </c>
      <c r="S57" s="62" t="str">
        <f>IFERROR(VLOOKUP(MID(N57,Q57,R57-Q57),[6]skilldef!$C:$D,2,FALSE),"-") &amp; " / " &amp; IFERROR(VLOOKUP(MID(N57,O57,P57-O57),[6]skilldef!$A:$B,2,FALSE),"-")</f>
        <v>味方全体に / -</v>
      </c>
      <c r="T57" s="47" t="str">
        <f t="shared" si="59"/>
        <v>[effect:spread, val:0.12],[effect:rush, count:8, val:0.12]</v>
      </c>
      <c r="U57" s="62">
        <f t="shared" si="60"/>
        <v>9</v>
      </c>
      <c r="V57" s="62">
        <f t="shared" si="61"/>
        <v>15</v>
      </c>
      <c r="W57" s="62" t="e">
        <f t="shared" si="62"/>
        <v>#VALUE!</v>
      </c>
      <c r="X57" s="62">
        <f t="shared" si="63"/>
        <v>26</v>
      </c>
      <c r="Y57" s="62" t="str">
        <f>IFERROR(VLOOKUP(MID(T57,W57,X57-W57),[6]skilldef!$C:$D,2,FALSE),"-") &amp; " / " &amp; IFERROR(VLOOKUP(MID(T57,U57,V57-U57),[6]skilldef!$A:$B,2,FALSE),"-")</f>
        <v>- / 全体攻撃</v>
      </c>
      <c r="Z57" s="49"/>
      <c r="AA57" s="51"/>
      <c r="AB57" s="49"/>
    </row>
    <row r="58" spans="1:28" ht="21" customHeight="1" x14ac:dyDescent="0.15">
      <c r="A58" s="128">
        <v>40015057</v>
      </c>
      <c r="B58" s="128" t="s">
        <v>358</v>
      </c>
      <c r="C58" s="129">
        <v>3</v>
      </c>
      <c r="D58" s="129" t="s">
        <v>127</v>
      </c>
      <c r="E58" s="130" t="s">
        <v>273</v>
      </c>
      <c r="F58" s="130" t="s">
        <v>406</v>
      </c>
      <c r="G58" s="62" t="str">
        <f t="shared" si="48"/>
        <v>[effect:remove_enhancement, target:unit_all, target_effect:counter, target_type:buff]</v>
      </c>
      <c r="H58" s="62">
        <f t="shared" si="49"/>
        <v>9</v>
      </c>
      <c r="I58" s="62">
        <f t="shared" si="50"/>
        <v>27</v>
      </c>
      <c r="J58" s="62">
        <f t="shared" si="51"/>
        <v>36</v>
      </c>
      <c r="K58" s="62">
        <f t="shared" si="52"/>
        <v>44</v>
      </c>
      <c r="L58" s="62" t="str">
        <f>IFERROR(VLOOKUP(MID(G58,J58,K58-J58),[6]skilldef!$C:$D,2,FALSE),"-") &amp; " / " &amp; IFERROR(VLOOKUP(MID(G58,H58,I58-H58),[6]skilldef!$A:$B,2,FALSE),"-")</f>
        <v>味方全体に / -</v>
      </c>
      <c r="M58" s="62" t="str">
        <f t="shared" si="53"/>
        <v>[effect:remove_enhancement, target:unit_all, target_effect:counter_new, target_type:buff, animation:frozen_wave],[effect:spread, val:0.12],[effect:rush, count:8, val:0.12]</v>
      </c>
      <c r="N58" s="47" t="str">
        <f t="shared" si="54"/>
        <v>[effect:remove_enhancement, target:unit_all, target_effect:counter_new, target_type:buff, animation:frozen_wave],[effect:spread, val:0.12],[effect:rush, count:8, val:0.12]</v>
      </c>
      <c r="O58" s="62">
        <f t="shared" si="55"/>
        <v>9</v>
      </c>
      <c r="P58" s="62">
        <f t="shared" si="56"/>
        <v>27</v>
      </c>
      <c r="Q58" s="62">
        <f t="shared" si="57"/>
        <v>36</v>
      </c>
      <c r="R58" s="62">
        <f t="shared" si="58"/>
        <v>44</v>
      </c>
      <c r="S58" s="62" t="str">
        <f>IFERROR(VLOOKUP(MID(N58,Q58,R58-Q58),[6]skilldef!$C:$D,2,FALSE),"-") &amp; " / " &amp; IFERROR(VLOOKUP(MID(N58,O58,P58-O58),[6]skilldef!$A:$B,2,FALSE),"-")</f>
        <v>味方全体に / -</v>
      </c>
      <c r="T58" s="47" t="str">
        <f t="shared" si="59"/>
        <v>[effect:spread, val:0.12],[effect:rush, count:8, val:0.12]</v>
      </c>
      <c r="U58" s="62">
        <f t="shared" si="60"/>
        <v>9</v>
      </c>
      <c r="V58" s="62">
        <f t="shared" si="61"/>
        <v>15</v>
      </c>
      <c r="W58" s="62" t="e">
        <f t="shared" si="62"/>
        <v>#VALUE!</v>
      </c>
      <c r="X58" s="62">
        <f t="shared" si="63"/>
        <v>26</v>
      </c>
      <c r="Y58" s="62" t="str">
        <f>IFERROR(VLOOKUP(MID(T58,W58,X58-W58),[6]skilldef!$C:$D,2,FALSE),"-") &amp; " / " &amp; IFERROR(VLOOKUP(MID(T58,U58,V58-U58),[6]skilldef!$A:$B,2,FALSE),"-")</f>
        <v>- / 全体攻撃</v>
      </c>
      <c r="Z58" s="49"/>
      <c r="AA58" s="51"/>
      <c r="AB58" s="49"/>
    </row>
    <row r="59" spans="1:28" ht="21" customHeight="1" x14ac:dyDescent="0.15">
      <c r="A59" s="128">
        <v>40015058</v>
      </c>
      <c r="B59" s="128" t="s">
        <v>358</v>
      </c>
      <c r="C59" s="129">
        <v>3</v>
      </c>
      <c r="D59" s="129" t="s">
        <v>127</v>
      </c>
      <c r="E59" s="130" t="s">
        <v>273</v>
      </c>
      <c r="F59" s="130" t="s">
        <v>406</v>
      </c>
      <c r="G59" s="62" t="str">
        <f t="shared" si="48"/>
        <v>[effect:remove_enhancement, target:unit_all, target_effect:counter, target_type:buff]</v>
      </c>
      <c r="H59" s="62">
        <f t="shared" si="49"/>
        <v>9</v>
      </c>
      <c r="I59" s="62">
        <f t="shared" si="50"/>
        <v>27</v>
      </c>
      <c r="J59" s="62">
        <f t="shared" si="51"/>
        <v>36</v>
      </c>
      <c r="K59" s="62">
        <f t="shared" si="52"/>
        <v>44</v>
      </c>
      <c r="L59" s="62" t="str">
        <f>IFERROR(VLOOKUP(MID(G59,J59,K59-J59),[6]skilldef!$C:$D,2,FALSE),"-") &amp; " / " &amp; IFERROR(VLOOKUP(MID(G59,H59,I59-H59),[6]skilldef!$A:$B,2,FALSE),"-")</f>
        <v>味方全体に / -</v>
      </c>
      <c r="M59" s="62" t="str">
        <f t="shared" si="53"/>
        <v>[effect:remove_enhancement, target:unit_all, target_effect:counter_new, target_type:buff, animation:frozen_wave],[effect:spread, val:0.12],[effect:rush, count:8, val:0.12]</v>
      </c>
      <c r="N59" s="47" t="str">
        <f t="shared" si="54"/>
        <v>[effect:remove_enhancement, target:unit_all, target_effect:counter_new, target_type:buff, animation:frozen_wave],[effect:spread, val:0.12],[effect:rush, count:8, val:0.12]</v>
      </c>
      <c r="O59" s="62">
        <f t="shared" si="55"/>
        <v>9</v>
      </c>
      <c r="P59" s="62">
        <f t="shared" si="56"/>
        <v>27</v>
      </c>
      <c r="Q59" s="62">
        <f t="shared" si="57"/>
        <v>36</v>
      </c>
      <c r="R59" s="62">
        <f t="shared" si="58"/>
        <v>44</v>
      </c>
      <c r="S59" s="62" t="str">
        <f>IFERROR(VLOOKUP(MID(N59,Q59,R59-Q59),[6]skilldef!$C:$D,2,FALSE),"-") &amp; " / " &amp; IFERROR(VLOOKUP(MID(N59,O59,P59-O59),[6]skilldef!$A:$B,2,FALSE),"-")</f>
        <v>味方全体に / -</v>
      </c>
      <c r="T59" s="47" t="str">
        <f t="shared" si="59"/>
        <v>[effect:spread, val:0.12],[effect:rush, count:8, val:0.12]</v>
      </c>
      <c r="U59" s="62">
        <f t="shared" si="60"/>
        <v>9</v>
      </c>
      <c r="V59" s="62">
        <f t="shared" si="61"/>
        <v>15</v>
      </c>
      <c r="W59" s="62" t="e">
        <f t="shared" si="62"/>
        <v>#VALUE!</v>
      </c>
      <c r="X59" s="62">
        <f t="shared" si="63"/>
        <v>26</v>
      </c>
      <c r="Y59" s="62" t="str">
        <f>IFERROR(VLOOKUP(MID(T59,W59,X59-W59),[6]skilldef!$C:$D,2,FALSE),"-") &amp; " / " &amp; IFERROR(VLOOKUP(MID(T59,U59,V59-U59),[6]skilldef!$A:$B,2,FALSE),"-")</f>
        <v>- / 全体攻撃</v>
      </c>
      <c r="Z59" s="49"/>
      <c r="AA59" s="51"/>
      <c r="AB59" s="49"/>
    </row>
    <row r="60" spans="1:28" ht="21" customHeight="1" x14ac:dyDescent="0.15">
      <c r="A60" s="128">
        <v>40015059</v>
      </c>
      <c r="B60" s="128" t="s">
        <v>353</v>
      </c>
      <c r="C60" s="129">
        <v>3</v>
      </c>
      <c r="D60" s="129" t="s">
        <v>127</v>
      </c>
      <c r="E60" s="130" t="s">
        <v>274</v>
      </c>
      <c r="F60" s="133" t="s">
        <v>377</v>
      </c>
      <c r="G60" s="62" t="str">
        <f t="shared" ref="G60:G61" si="128">IFERROR(LEFT(B60,FIND("],",B60)),B60)</f>
        <v>[effect:remove_enhancement, target:unit_all, target_effect:all, target_type:buff, animation:frozen_wave]</v>
      </c>
      <c r="H60" s="62">
        <f t="shared" ref="H60:H61" si="129">FIND("effect:",G60)+7</f>
        <v>9</v>
      </c>
      <c r="I60" s="62">
        <f t="shared" ref="I60:I61" si="130">IFERROR(FIND(",",G60),LEN(G60))</f>
        <v>27</v>
      </c>
      <c r="J60" s="62">
        <f t="shared" ref="J60:J61" si="131">FIND("target:",G60)+7</f>
        <v>36</v>
      </c>
      <c r="K60" s="62">
        <f t="shared" ref="K60:K61" si="132">FIND(",",G60,I60+1)</f>
        <v>44</v>
      </c>
      <c r="L60" s="62" t="str">
        <f>IFERROR(VLOOKUP(MID(G60,J60,K60-J60),[6]skilldef!$C:$D,2,FALSE),"-") &amp; " / " &amp; IFERROR(VLOOKUP(MID(G60,H60,I60-H60),[6]skilldef!$A:$B,2,FALSE),"-")</f>
        <v>味方全体に / -</v>
      </c>
      <c r="M60" s="62" t="str">
        <f t="shared" ref="M60:M61" si="133">IFERROR(RIGHT(B60,LEN(B60)-FIND("],",B60)-1),"none")</f>
        <v>[effect:spread, val:0.1],[effect:spread, val:0.1],[effect:spread, val:0.1],[effect:spread, val:0.1],[effect:spread, val:0.1],[effect:spread, val:0.1]</v>
      </c>
      <c r="N60" s="47" t="str">
        <f t="shared" ref="N60:N61" si="134">IFERROR(LEFT(M60,FIND("],",M60)+S70),M60)</f>
        <v>[effect:spread, val:0.1],[effect:spread, val:0.1],[effect:spread, val:0.1],[effect:spread, val:0.1],[effect:spread, val:0.1],[effect:spread, val:0.1]</v>
      </c>
      <c r="O60" s="62">
        <f t="shared" ref="O60:O61" si="135">FIND("effect:",N60)+7</f>
        <v>9</v>
      </c>
      <c r="P60" s="62">
        <f t="shared" ref="P60:P61" si="136">IFERROR(FIND(",",N60),LEN(N60))</f>
        <v>15</v>
      </c>
      <c r="Q60" s="62" t="e">
        <f t="shared" ref="Q60:Q61" si="137">FIND("target:",N60)+7</f>
        <v>#VALUE!</v>
      </c>
      <c r="R60" s="62">
        <f t="shared" ref="R60:R61" si="138">FIND(",",N60,P60+1)</f>
        <v>25</v>
      </c>
      <c r="S60" s="62" t="str">
        <f>IFERROR(VLOOKUP(MID(N60,Q60,R60-Q60),[6]skilldef!$C:$D,2,FALSE),"-") &amp; " / " &amp; IFERROR(VLOOKUP(MID(N60,O60,P60-O60),[6]skilldef!$A:$B,2,FALSE),"-")</f>
        <v>- / 全体攻撃</v>
      </c>
      <c r="T60" s="47" t="str">
        <f t="shared" ref="T60:T61" si="139">IFERROR(RIGHT(M60,LEN(M60)-FIND("],",M60)-1),"none")</f>
        <v>[effect:spread, val:0.1],[effect:spread, val:0.1],[effect:spread, val:0.1],[effect:spread, val:0.1],[effect:spread, val:0.1]</v>
      </c>
      <c r="U60" s="62">
        <f t="shared" ref="U60:U61" si="140">FIND("effect:",T60)+7</f>
        <v>9</v>
      </c>
      <c r="V60" s="62">
        <f t="shared" ref="V60:V61" si="141">IFERROR(FIND(",",T60),LEN(T60))</f>
        <v>15</v>
      </c>
      <c r="W60" s="62" t="e">
        <f t="shared" ref="W60:W61" si="142">FIND("target:",T60)+7</f>
        <v>#VALUE!</v>
      </c>
      <c r="X60" s="62">
        <f t="shared" ref="X60:X61" si="143">FIND(",",T60,V60+1)</f>
        <v>25</v>
      </c>
      <c r="Y60" s="62" t="str">
        <f>IFERROR(VLOOKUP(MID(T60,W60,X60-W60),[6]skilldef!$C:$D,2,FALSE),"-") &amp; " / " &amp; IFERROR(VLOOKUP(MID(T60,U60,V60-U60),[6]skilldef!$A:$B,2,FALSE),"-")</f>
        <v>- / 全体攻撃</v>
      </c>
      <c r="Z60" s="49"/>
      <c r="AA60" s="51"/>
      <c r="AB60" s="49"/>
    </row>
    <row r="61" spans="1:28" ht="21" customHeight="1" x14ac:dyDescent="0.15">
      <c r="A61" s="128">
        <v>40015060</v>
      </c>
      <c r="B61" s="128" t="s">
        <v>378</v>
      </c>
      <c r="C61" s="129">
        <v>3</v>
      </c>
      <c r="D61" s="129" t="s">
        <v>127</v>
      </c>
      <c r="E61" s="130" t="s">
        <v>286</v>
      </c>
      <c r="F61" s="133" t="s">
        <v>344</v>
      </c>
      <c r="G61" s="62" t="str">
        <f t="shared" si="128"/>
        <v>[effect:reduction, target:myself, turn:3, color:red, val:0.5, animation:reduction_one04]</v>
      </c>
      <c r="H61" s="62">
        <f t="shared" si="129"/>
        <v>9</v>
      </c>
      <c r="I61" s="62">
        <f t="shared" si="130"/>
        <v>18</v>
      </c>
      <c r="J61" s="62">
        <f t="shared" si="131"/>
        <v>27</v>
      </c>
      <c r="K61" s="62">
        <f t="shared" si="132"/>
        <v>33</v>
      </c>
      <c r="L61" s="62" t="str">
        <f>IFERROR(VLOOKUP(MID(G61,J61,K61-J61),[6]skilldef!$C:$D,2,FALSE),"-") &amp; " / " &amp; IFERROR(VLOOKUP(MID(G61,H61,I61-H61),[6]skilldef!$A:$B,2,FALSE),"-")</f>
        <v>自分自身に / -</v>
      </c>
      <c r="M61" s="62" t="str">
        <f t="shared" si="133"/>
        <v>[effect:reduction, target:myself, turn:3, color:green, val:0.5],[effect:reduction, target:myself, turn:3, color:blue, val:0.5]</v>
      </c>
      <c r="N61" s="47" t="str">
        <f t="shared" si="134"/>
        <v>[effect:reduction, target:myself, turn:3, color:green, val:0.5],[effect:reduction, target:myself, turn:3, color:blue, val:0.5]</v>
      </c>
      <c r="O61" s="62">
        <f t="shared" si="135"/>
        <v>9</v>
      </c>
      <c r="P61" s="62">
        <f t="shared" si="136"/>
        <v>18</v>
      </c>
      <c r="Q61" s="62">
        <f t="shared" si="137"/>
        <v>27</v>
      </c>
      <c r="R61" s="62">
        <f t="shared" si="138"/>
        <v>33</v>
      </c>
      <c r="S61" s="62" t="str">
        <f>IFERROR(VLOOKUP(MID(N61,Q61,R61-Q61),[6]skilldef!$C:$D,2,FALSE),"-") &amp; " / " &amp; IFERROR(VLOOKUP(MID(N61,O61,P61-O61),[6]skilldef!$A:$B,2,FALSE),"-")</f>
        <v>自分自身に / -</v>
      </c>
      <c r="T61" s="47" t="str">
        <f t="shared" si="139"/>
        <v>[effect:reduction, target:myself, turn:3, color:blue, val:0.5]</v>
      </c>
      <c r="U61" s="62">
        <f t="shared" si="140"/>
        <v>9</v>
      </c>
      <c r="V61" s="62">
        <f t="shared" si="141"/>
        <v>18</v>
      </c>
      <c r="W61" s="62">
        <f t="shared" si="142"/>
        <v>27</v>
      </c>
      <c r="X61" s="62">
        <f t="shared" si="143"/>
        <v>33</v>
      </c>
      <c r="Y61" s="62" t="str">
        <f>IFERROR(VLOOKUP(MID(T61,W61,X61-W61),[6]skilldef!$C:$D,2,FALSE),"-") &amp; " / " &amp; IFERROR(VLOOKUP(MID(T61,U61,V61-U61),[6]skilldef!$A:$B,2,FALSE),"-")</f>
        <v>自分自身に / -</v>
      </c>
      <c r="Z61" s="49"/>
      <c r="AA61" s="51"/>
      <c r="AB61" s="49"/>
    </row>
    <row r="62" spans="1:28" ht="21" customHeight="1" x14ac:dyDescent="0.15">
      <c r="A62" s="137">
        <v>40015061</v>
      </c>
      <c r="B62" s="137" t="s">
        <v>343</v>
      </c>
      <c r="C62" s="138">
        <v>0</v>
      </c>
      <c r="D62" s="138" t="s">
        <v>127</v>
      </c>
      <c r="E62" s="139" t="s">
        <v>286</v>
      </c>
      <c r="F62" s="139" t="s">
        <v>420</v>
      </c>
      <c r="G62" s="62" t="str">
        <f t="shared" si="48"/>
        <v>[effect:reduction, target:myself, turn:3, color:red, val:0.5, animation:reduction_one04]</v>
      </c>
      <c r="H62" s="62">
        <f t="shared" si="49"/>
        <v>9</v>
      </c>
      <c r="I62" s="62">
        <f t="shared" si="50"/>
        <v>18</v>
      </c>
      <c r="J62" s="62">
        <f t="shared" si="51"/>
        <v>27</v>
      </c>
      <c r="K62" s="62">
        <f t="shared" si="52"/>
        <v>33</v>
      </c>
      <c r="L62" s="62" t="str">
        <f>IFERROR(VLOOKUP(MID(G62,J62,K62-J62),[6]skilldef!$C:$D,2,FALSE),"-") &amp; " / " &amp; IFERROR(VLOOKUP(MID(G62,H62,I62-H62),[6]skilldef!$A:$B,2,FALSE),"-")</f>
        <v>自分自身に / -</v>
      </c>
      <c r="M62" s="62" t="str">
        <f t="shared" si="53"/>
        <v>[effect:reduction, target:myself, turn:3, color:gleen, val:0.5, animation:reduction_one04],[effect:reduction, target:myself, turn:3, color:blue, val:0.5, animation:reduction_one04]</v>
      </c>
      <c r="N62" s="47" t="str">
        <f t="shared" si="54"/>
        <v>[effect:reduction, target:myself, turn:3, color:gleen, val:0.5, animation:reduction_one04],[effect:reduction, target:myself, turn:3, color:blue, val:0.5, animation:reduction_one04]</v>
      </c>
      <c r="O62" s="62">
        <f t="shared" si="55"/>
        <v>9</v>
      </c>
      <c r="P62" s="62">
        <f t="shared" si="56"/>
        <v>18</v>
      </c>
      <c r="Q62" s="62">
        <f t="shared" si="57"/>
        <v>27</v>
      </c>
      <c r="R62" s="62">
        <f t="shared" si="58"/>
        <v>33</v>
      </c>
      <c r="S62" s="62" t="str">
        <f>IFERROR(VLOOKUP(MID(N62,Q62,R62-Q62),[6]skilldef!$C:$D,2,FALSE),"-") &amp; " / " &amp; IFERROR(VLOOKUP(MID(N62,O62,P62-O62),[6]skilldef!$A:$B,2,FALSE),"-")</f>
        <v>自分自身に / -</v>
      </c>
      <c r="T62" s="47" t="str">
        <f t="shared" si="59"/>
        <v>[effect:reduction, target:myself, turn:3, color:blue, val:0.5, animation:reduction_one04]</v>
      </c>
      <c r="U62" s="62">
        <f t="shared" si="60"/>
        <v>9</v>
      </c>
      <c r="V62" s="62">
        <f t="shared" si="61"/>
        <v>18</v>
      </c>
      <c r="W62" s="62">
        <f t="shared" si="62"/>
        <v>27</v>
      </c>
      <c r="X62" s="62">
        <f t="shared" si="63"/>
        <v>33</v>
      </c>
      <c r="Y62" s="62" t="str">
        <f>IFERROR(VLOOKUP(MID(T62,W62,X62-W62),[6]skilldef!$C:$D,2,FALSE),"-") &amp; " / " &amp; IFERROR(VLOOKUP(MID(T62,U62,V62-U62),[6]skilldef!$A:$B,2,FALSE),"-")</f>
        <v>自分自身に / -</v>
      </c>
      <c r="Z62" s="49"/>
      <c r="AA62" s="51"/>
      <c r="AB62" s="49"/>
    </row>
    <row r="63" spans="1:28" ht="21" customHeight="1" x14ac:dyDescent="0.15">
      <c r="A63" s="128">
        <v>40015062</v>
      </c>
      <c r="B63" s="128" t="s">
        <v>249</v>
      </c>
      <c r="C63" s="129">
        <v>3</v>
      </c>
      <c r="D63" s="129" t="s">
        <v>127</v>
      </c>
      <c r="E63" s="130" t="s">
        <v>359</v>
      </c>
      <c r="F63" s="133" t="s">
        <v>248</v>
      </c>
      <c r="G63" s="62" t="str">
        <f t="shared" si="48"/>
        <v>[effect:crash_condition, target:unit_all, val:11, turn:10, animation:crash_panel_reduce04]</v>
      </c>
      <c r="H63" s="62">
        <f t="shared" si="49"/>
        <v>9</v>
      </c>
      <c r="I63" s="62">
        <f t="shared" si="50"/>
        <v>24</v>
      </c>
      <c r="J63" s="62">
        <f t="shared" si="51"/>
        <v>33</v>
      </c>
      <c r="K63" s="62">
        <f t="shared" si="52"/>
        <v>41</v>
      </c>
      <c r="L63" s="62" t="str">
        <f>IFERROR(VLOOKUP(MID(G63,J63,K63-J63),[6]skilldef!$C:$D,2,FALSE),"-") &amp; " / " &amp; IFERROR(VLOOKUP(MID(G63,H63,I63-H63),[6]skilldef!$A:$B,2,FALSE),"-")</f>
        <v>味方全体に / -</v>
      </c>
      <c r="M63" s="62" t="str">
        <f t="shared" si="53"/>
        <v>none</v>
      </c>
      <c r="N63" s="47" t="str">
        <f t="shared" si="54"/>
        <v>none</v>
      </c>
      <c r="O63" s="62" t="e">
        <f t="shared" si="55"/>
        <v>#VALUE!</v>
      </c>
      <c r="P63" s="62">
        <f t="shared" si="56"/>
        <v>4</v>
      </c>
      <c r="Q63" s="62" t="e">
        <f t="shared" si="57"/>
        <v>#VALUE!</v>
      </c>
      <c r="R63" s="62" t="e">
        <f t="shared" si="58"/>
        <v>#VALUE!</v>
      </c>
      <c r="S63" s="62" t="str">
        <f>IFERROR(VLOOKUP(MID(N63,Q63,R63-Q63),[6]skilldef!$C:$D,2,FALSE),"-") &amp; " / " &amp; IFERROR(VLOOKUP(MID(N63,O63,P63-O63),[6]skilldef!$A:$B,2,FALSE),"-")</f>
        <v>- / -</v>
      </c>
      <c r="T63" s="47" t="str">
        <f t="shared" si="59"/>
        <v>none</v>
      </c>
      <c r="U63" s="62" t="e">
        <f t="shared" si="60"/>
        <v>#VALUE!</v>
      </c>
      <c r="V63" s="62">
        <f t="shared" si="61"/>
        <v>4</v>
      </c>
      <c r="W63" s="62" t="e">
        <f t="shared" si="62"/>
        <v>#VALUE!</v>
      </c>
      <c r="X63" s="62" t="e">
        <f t="shared" si="63"/>
        <v>#VALUE!</v>
      </c>
      <c r="Y63" s="62" t="str">
        <f>IFERROR(VLOOKUP(MID(T63,W63,X63-W63),[6]skilldef!$C:$D,2,FALSE),"-") &amp; " / " &amp; IFERROR(VLOOKUP(MID(T63,U63,V63-U63),[6]skilldef!$A:$B,2,FALSE),"-")</f>
        <v>- / -</v>
      </c>
      <c r="Z63" s="49"/>
      <c r="AA63" s="51"/>
      <c r="AB63" s="49"/>
    </row>
    <row r="64" spans="1:28" ht="21" customHeight="1" x14ac:dyDescent="0.15">
      <c r="A64" s="125">
        <v>40015063</v>
      </c>
      <c r="B64" s="125" t="s">
        <v>334</v>
      </c>
      <c r="C64" s="126">
        <v>3</v>
      </c>
      <c r="D64" s="126" t="s">
        <v>127</v>
      </c>
      <c r="E64" s="123" t="s">
        <v>342</v>
      </c>
      <c r="F64" s="123" t="s">
        <v>349</v>
      </c>
      <c r="G64" s="62" t="str">
        <f t="shared" si="48"/>
        <v>[effect:tolerance, target:myself, turn:-1, tolerance_effect:all, count:-1, animation:enemy_tolerance]</v>
      </c>
      <c r="H64" s="62">
        <f t="shared" si="49"/>
        <v>9</v>
      </c>
      <c r="I64" s="62">
        <f t="shared" si="50"/>
        <v>18</v>
      </c>
      <c r="J64" s="62">
        <f t="shared" si="51"/>
        <v>27</v>
      </c>
      <c r="K64" s="62">
        <f t="shared" si="52"/>
        <v>33</v>
      </c>
      <c r="L64" s="62" t="str">
        <f>IFERROR(VLOOKUP(MID(G64,J64,K64-J64),[6]skilldef!$C:$D,2,FALSE),"-") &amp; " / " &amp; IFERROR(VLOOKUP(MID(G64,H64,I64-H64),[6]skilldef!$A:$B,2,FALSE),"-")</f>
        <v>自分自身に / 状態異常耐性</v>
      </c>
      <c r="M64" s="62" t="str">
        <f t="shared" si="53"/>
        <v>[effect:fix_speed, target:myself, turn:4]</v>
      </c>
      <c r="N64" s="47" t="str">
        <f t="shared" si="54"/>
        <v>[effect:fix_speed, target:myself, turn:4]</v>
      </c>
      <c r="O64" s="62">
        <f t="shared" si="55"/>
        <v>9</v>
      </c>
      <c r="P64" s="62">
        <f t="shared" si="56"/>
        <v>18</v>
      </c>
      <c r="Q64" s="62">
        <f t="shared" si="57"/>
        <v>27</v>
      </c>
      <c r="R64" s="62">
        <f t="shared" si="58"/>
        <v>33</v>
      </c>
      <c r="S64" s="62" t="str">
        <f>IFERROR(VLOOKUP(MID(N64,Q64,R64-Q64),[6]skilldef!$C:$D,2,FALSE),"-") &amp; " / " &amp; IFERROR(VLOOKUP(MID(N64,O64,P64-O64),[6]skilldef!$A:$B,2,FALSE),"-")</f>
        <v>自分自身に / 行動値設定</v>
      </c>
      <c r="T64" s="47" t="str">
        <f t="shared" si="59"/>
        <v>none</v>
      </c>
      <c r="U64" s="62" t="e">
        <f t="shared" si="60"/>
        <v>#VALUE!</v>
      </c>
      <c r="V64" s="62">
        <f t="shared" si="61"/>
        <v>4</v>
      </c>
      <c r="W64" s="62" t="e">
        <f t="shared" si="62"/>
        <v>#VALUE!</v>
      </c>
      <c r="X64" s="62" t="e">
        <f t="shared" si="63"/>
        <v>#VALUE!</v>
      </c>
      <c r="Y64" s="62" t="str">
        <f>IFERROR(VLOOKUP(MID(T64,W64,X64-W64),[6]skilldef!$C:$D,2,FALSE),"-") &amp; " / " &amp; IFERROR(VLOOKUP(MID(T64,U64,V64-U64),[6]skilldef!$A:$B,2,FALSE),"-")</f>
        <v>- / -</v>
      </c>
      <c r="Z64" s="49"/>
      <c r="AA64" s="51"/>
      <c r="AB64" s="49"/>
    </row>
    <row r="65" spans="1:28" ht="21" customHeight="1" x14ac:dyDescent="0.15">
      <c r="A65" s="125">
        <v>40015064</v>
      </c>
      <c r="B65" s="125" t="s">
        <v>334</v>
      </c>
      <c r="C65" s="126">
        <v>3</v>
      </c>
      <c r="D65" s="126" t="s">
        <v>127</v>
      </c>
      <c r="E65" s="127" t="s">
        <v>371</v>
      </c>
      <c r="F65" s="127" t="s">
        <v>390</v>
      </c>
      <c r="G65" s="62" t="str">
        <f t="shared" si="48"/>
        <v>[effect:tolerance, target:myself, turn:-1, tolerance_effect:all, count:-1, animation:enemy_tolerance]</v>
      </c>
      <c r="H65" s="62">
        <f t="shared" si="49"/>
        <v>9</v>
      </c>
      <c r="I65" s="62">
        <f t="shared" si="50"/>
        <v>18</v>
      </c>
      <c r="J65" s="62">
        <f t="shared" si="51"/>
        <v>27</v>
      </c>
      <c r="K65" s="62">
        <f t="shared" si="52"/>
        <v>33</v>
      </c>
      <c r="L65" s="62" t="str">
        <f>IFERROR(VLOOKUP(MID(G65,J65,K65-J65),[6]skilldef!$C:$D,2,FALSE),"-") &amp; " / " &amp; IFERROR(VLOOKUP(MID(G65,H65,I65-H65),[6]skilldef!$A:$B,2,FALSE),"-")</f>
        <v>自分自身に / 状態異常耐性</v>
      </c>
      <c r="M65" s="62" t="str">
        <f t="shared" si="53"/>
        <v>[effect:fix_speed, target:myself, turn:4]</v>
      </c>
      <c r="N65" s="47" t="str">
        <f t="shared" si="54"/>
        <v>[effect:fix_speed, target:myself, turn:4]</v>
      </c>
      <c r="O65" s="62">
        <f t="shared" si="55"/>
        <v>9</v>
      </c>
      <c r="P65" s="62">
        <f t="shared" si="56"/>
        <v>18</v>
      </c>
      <c r="Q65" s="62">
        <f t="shared" si="57"/>
        <v>27</v>
      </c>
      <c r="R65" s="62">
        <f t="shared" si="58"/>
        <v>33</v>
      </c>
      <c r="S65" s="62" t="str">
        <f>IFERROR(VLOOKUP(MID(N65,Q65,R65-Q65),[6]skilldef!$C:$D,2,FALSE),"-") &amp; " / " &amp; IFERROR(VLOOKUP(MID(N65,O65,P65-O65),[6]skilldef!$A:$B,2,FALSE),"-")</f>
        <v>自分自身に / 行動値設定</v>
      </c>
      <c r="T65" s="47" t="str">
        <f t="shared" si="59"/>
        <v>none</v>
      </c>
      <c r="U65" s="62" t="e">
        <f t="shared" si="60"/>
        <v>#VALUE!</v>
      </c>
      <c r="V65" s="62">
        <f t="shared" si="61"/>
        <v>4</v>
      </c>
      <c r="W65" s="62" t="e">
        <f t="shared" si="62"/>
        <v>#VALUE!</v>
      </c>
      <c r="X65" s="62" t="e">
        <f t="shared" si="63"/>
        <v>#VALUE!</v>
      </c>
      <c r="Y65" s="62" t="str">
        <f>IFERROR(VLOOKUP(MID(T65,W65,X65-W65),[6]skilldef!$C:$D,2,FALSE),"-") &amp; " / " &amp; IFERROR(VLOOKUP(MID(T65,U65,V65-U65),[6]skilldef!$A:$B,2,FALSE),"-")</f>
        <v>- / -</v>
      </c>
      <c r="Z65" s="49"/>
      <c r="AA65" s="51"/>
      <c r="AB65" s="49"/>
    </row>
    <row r="66" spans="1:28" ht="21" customHeight="1" x14ac:dyDescent="0.15">
      <c r="A66" s="125">
        <v>40015065</v>
      </c>
      <c r="B66" s="125" t="s">
        <v>334</v>
      </c>
      <c r="C66" s="126">
        <v>3</v>
      </c>
      <c r="D66" s="126" t="s">
        <v>127</v>
      </c>
      <c r="E66" s="127" t="s">
        <v>394</v>
      </c>
      <c r="F66" s="127" t="s">
        <v>393</v>
      </c>
      <c r="G66" s="62" t="str">
        <f t="shared" si="48"/>
        <v>[effect:tolerance, target:myself, turn:-1, tolerance_effect:all, count:-1, animation:enemy_tolerance]</v>
      </c>
      <c r="H66" s="62">
        <f t="shared" si="49"/>
        <v>9</v>
      </c>
      <c r="I66" s="62">
        <f t="shared" si="50"/>
        <v>18</v>
      </c>
      <c r="J66" s="62">
        <f t="shared" si="51"/>
        <v>27</v>
      </c>
      <c r="K66" s="62">
        <f t="shared" si="52"/>
        <v>33</v>
      </c>
      <c r="L66" s="62" t="str">
        <f>IFERROR(VLOOKUP(MID(G66,J66,K66-J66),[6]skilldef!$C:$D,2,FALSE),"-") &amp; " / " &amp; IFERROR(VLOOKUP(MID(G66,H66,I66-H66),[6]skilldef!$A:$B,2,FALSE),"-")</f>
        <v>自分自身に / 状態異常耐性</v>
      </c>
      <c r="M66" s="62" t="str">
        <f t="shared" si="53"/>
        <v>[effect:fix_speed, target:myself, turn:4]</v>
      </c>
      <c r="N66" s="47" t="str">
        <f t="shared" si="54"/>
        <v>[effect:fix_speed, target:myself, turn:4]</v>
      </c>
      <c r="O66" s="62">
        <f t="shared" si="55"/>
        <v>9</v>
      </c>
      <c r="P66" s="62">
        <f t="shared" si="56"/>
        <v>18</v>
      </c>
      <c r="Q66" s="62">
        <f t="shared" si="57"/>
        <v>27</v>
      </c>
      <c r="R66" s="62">
        <f t="shared" si="58"/>
        <v>33</v>
      </c>
      <c r="S66" s="62" t="str">
        <f>IFERROR(VLOOKUP(MID(N66,Q66,R66-Q66),[6]skilldef!$C:$D,2,FALSE),"-") &amp; " / " &amp; IFERROR(VLOOKUP(MID(N66,O66,P66-O66),[6]skilldef!$A:$B,2,FALSE),"-")</f>
        <v>自分自身に / 行動値設定</v>
      </c>
      <c r="T66" s="47" t="str">
        <f t="shared" si="59"/>
        <v>none</v>
      </c>
      <c r="U66" s="62" t="e">
        <f t="shared" si="60"/>
        <v>#VALUE!</v>
      </c>
      <c r="V66" s="62">
        <f t="shared" si="61"/>
        <v>4</v>
      </c>
      <c r="W66" s="62" t="e">
        <f t="shared" si="62"/>
        <v>#VALUE!</v>
      </c>
      <c r="X66" s="62" t="e">
        <f t="shared" si="63"/>
        <v>#VALUE!</v>
      </c>
      <c r="Y66" s="62" t="str">
        <f>IFERROR(VLOOKUP(MID(T66,W66,X66-W66),[6]skilldef!$C:$D,2,FALSE),"-") &amp; " / " &amp; IFERROR(VLOOKUP(MID(T66,U66,V66-U66),[6]skilldef!$A:$B,2,FALSE),"-")</f>
        <v>- / -</v>
      </c>
      <c r="Z66" s="49"/>
      <c r="AA66" s="51"/>
      <c r="AB66" s="49"/>
    </row>
    <row r="67" spans="1:28" ht="21" customHeight="1" x14ac:dyDescent="0.15">
      <c r="A67" s="125">
        <v>40015066</v>
      </c>
      <c r="B67" s="125" t="s">
        <v>334</v>
      </c>
      <c r="C67" s="126">
        <v>3</v>
      </c>
      <c r="D67" s="126" t="s">
        <v>127</v>
      </c>
      <c r="E67" s="127" t="s">
        <v>389</v>
      </c>
      <c r="F67" s="127" t="s">
        <v>367</v>
      </c>
      <c r="G67" s="62" t="str">
        <f t="shared" si="48"/>
        <v>[effect:tolerance, target:myself, turn:-1, tolerance_effect:all, count:-1, animation:enemy_tolerance]</v>
      </c>
      <c r="H67" s="62">
        <f t="shared" si="49"/>
        <v>9</v>
      </c>
      <c r="I67" s="62">
        <f t="shared" si="50"/>
        <v>18</v>
      </c>
      <c r="J67" s="62">
        <f t="shared" si="51"/>
        <v>27</v>
      </c>
      <c r="K67" s="62">
        <f t="shared" si="52"/>
        <v>33</v>
      </c>
      <c r="L67" s="62" t="str">
        <f>IFERROR(VLOOKUP(MID(G67,J67,K67-J67),[6]skilldef!$C:$D,2,FALSE),"-") &amp; " / " &amp; IFERROR(VLOOKUP(MID(G67,H67,I67-H67),[6]skilldef!$A:$B,2,FALSE),"-")</f>
        <v>自分自身に / 状態異常耐性</v>
      </c>
      <c r="M67" s="62" t="str">
        <f t="shared" si="53"/>
        <v>[effect:fix_speed, target:myself, turn:4]</v>
      </c>
      <c r="N67" s="47" t="str">
        <f t="shared" si="54"/>
        <v>[effect:fix_speed, target:myself, turn:4]</v>
      </c>
      <c r="O67" s="62">
        <f t="shared" si="55"/>
        <v>9</v>
      </c>
      <c r="P67" s="62">
        <f t="shared" si="56"/>
        <v>18</v>
      </c>
      <c r="Q67" s="62">
        <f t="shared" si="57"/>
        <v>27</v>
      </c>
      <c r="R67" s="62">
        <f t="shared" si="58"/>
        <v>33</v>
      </c>
      <c r="S67" s="62" t="str">
        <f>IFERROR(VLOOKUP(MID(N67,Q67,R67-Q67),[6]skilldef!$C:$D,2,FALSE),"-") &amp; " / " &amp; IFERROR(VLOOKUP(MID(N67,O67,P67-O67),[6]skilldef!$A:$B,2,FALSE),"-")</f>
        <v>自分自身に / 行動値設定</v>
      </c>
      <c r="T67" s="47" t="str">
        <f t="shared" si="59"/>
        <v>none</v>
      </c>
      <c r="U67" s="62" t="e">
        <f t="shared" si="60"/>
        <v>#VALUE!</v>
      </c>
      <c r="V67" s="62">
        <f t="shared" si="61"/>
        <v>4</v>
      </c>
      <c r="W67" s="62" t="e">
        <f t="shared" si="62"/>
        <v>#VALUE!</v>
      </c>
      <c r="X67" s="62" t="e">
        <f t="shared" si="63"/>
        <v>#VALUE!</v>
      </c>
      <c r="Y67" s="62" t="str">
        <f>IFERROR(VLOOKUP(MID(T67,W67,X67-W67),[6]skilldef!$C:$D,2,FALSE),"-") &amp; " / " &amp; IFERROR(VLOOKUP(MID(T67,U67,V67-U67),[6]skilldef!$A:$B,2,FALSE),"-")</f>
        <v>- / -</v>
      </c>
      <c r="Z67" s="49"/>
      <c r="AA67" s="51"/>
      <c r="AB67" s="49"/>
    </row>
    <row r="68" spans="1:28" ht="21" customHeight="1" x14ac:dyDescent="0.15">
      <c r="A68" s="125">
        <v>40015067</v>
      </c>
      <c r="B68" s="125" t="s">
        <v>334</v>
      </c>
      <c r="C68" s="126">
        <v>3</v>
      </c>
      <c r="D68" s="126" t="s">
        <v>127</v>
      </c>
      <c r="E68" s="127" t="s">
        <v>301</v>
      </c>
      <c r="F68" s="127" t="s">
        <v>297</v>
      </c>
      <c r="G68" s="62" t="str">
        <f t="shared" si="48"/>
        <v>[effect:tolerance, target:myself, turn:-1, tolerance_effect:all, count:-1, animation:enemy_tolerance]</v>
      </c>
      <c r="H68" s="62">
        <f t="shared" si="49"/>
        <v>9</v>
      </c>
      <c r="I68" s="62">
        <f t="shared" si="50"/>
        <v>18</v>
      </c>
      <c r="J68" s="62">
        <f t="shared" si="51"/>
        <v>27</v>
      </c>
      <c r="K68" s="62">
        <f t="shared" si="52"/>
        <v>33</v>
      </c>
      <c r="L68" s="62" t="str">
        <f>IFERROR(VLOOKUP(MID(G68,J68,K68-J68),[6]skilldef!$C:$D,2,FALSE),"-") &amp; " / " &amp; IFERROR(VLOOKUP(MID(G68,H68,I68-H68),[6]skilldef!$A:$B,2,FALSE),"-")</f>
        <v>自分自身に / 状態異常耐性</v>
      </c>
      <c r="M68" s="62" t="str">
        <f t="shared" si="53"/>
        <v>[effect:fix_speed, target:myself, turn:4]</v>
      </c>
      <c r="N68" s="47" t="str">
        <f>IFERROR(LEFT(M68,FIND("],",M68)+#REF!),M68)</f>
        <v>[effect:fix_speed, target:myself, turn:4]</v>
      </c>
      <c r="O68" s="62">
        <f t="shared" si="55"/>
        <v>9</v>
      </c>
      <c r="P68" s="62">
        <f t="shared" si="56"/>
        <v>18</v>
      </c>
      <c r="Q68" s="62">
        <f t="shared" si="57"/>
        <v>27</v>
      </c>
      <c r="R68" s="62">
        <f t="shared" si="58"/>
        <v>33</v>
      </c>
      <c r="S68" s="62" t="str">
        <f>IFERROR(VLOOKUP(MID(N68,Q68,R68-Q68),[6]skilldef!$C:$D,2,FALSE),"-") &amp; " / " &amp; IFERROR(VLOOKUP(MID(N68,O68,P68-O68),[6]skilldef!$A:$B,2,FALSE),"-")</f>
        <v>自分自身に / 行動値設定</v>
      </c>
      <c r="T68" s="47" t="str">
        <f t="shared" si="59"/>
        <v>none</v>
      </c>
      <c r="U68" s="62" t="e">
        <f t="shared" si="60"/>
        <v>#VALUE!</v>
      </c>
      <c r="V68" s="62">
        <f t="shared" si="61"/>
        <v>4</v>
      </c>
      <c r="W68" s="62" t="e">
        <f t="shared" si="62"/>
        <v>#VALUE!</v>
      </c>
      <c r="X68" s="62" t="e">
        <f t="shared" si="63"/>
        <v>#VALUE!</v>
      </c>
      <c r="Y68" s="62" t="str">
        <f>IFERROR(VLOOKUP(MID(T68,W68,X68-W68),[6]skilldef!$C:$D,2,FALSE),"-") &amp; " / " &amp; IFERROR(VLOOKUP(MID(T68,U68,V68-U68),[6]skilldef!$A:$B,2,FALSE),"-")</f>
        <v>- / -</v>
      </c>
      <c r="Z68" s="49"/>
      <c r="AA68" s="51"/>
      <c r="AB68" s="49"/>
    </row>
    <row r="69" spans="1:28" ht="21" customHeight="1" x14ac:dyDescent="0.15">
      <c r="A69" s="125">
        <v>40015068</v>
      </c>
      <c r="B69" s="125" t="s">
        <v>334</v>
      </c>
      <c r="C69" s="126">
        <v>3</v>
      </c>
      <c r="D69" s="126" t="s">
        <v>127</v>
      </c>
      <c r="E69" s="127" t="s">
        <v>282</v>
      </c>
      <c r="F69" s="127" t="s">
        <v>379</v>
      </c>
      <c r="G69" s="62" t="str">
        <f t="shared" si="48"/>
        <v>[effect:tolerance, target:myself, turn:-1, tolerance_effect:all, count:-1, animation:enemy_tolerance]</v>
      </c>
      <c r="H69" s="62">
        <f t="shared" si="49"/>
        <v>9</v>
      </c>
      <c r="I69" s="62">
        <f t="shared" si="50"/>
        <v>18</v>
      </c>
      <c r="J69" s="62">
        <f t="shared" si="51"/>
        <v>27</v>
      </c>
      <c r="K69" s="62">
        <f t="shared" si="52"/>
        <v>33</v>
      </c>
      <c r="L69" s="62" t="str">
        <f>IFERROR(VLOOKUP(MID(G69,J69,K69-J69),[6]skilldef!$C:$D,2,FALSE),"-") &amp; " / " &amp; IFERROR(VLOOKUP(MID(G69,H69,I69-H69),[6]skilldef!$A:$B,2,FALSE),"-")</f>
        <v>自分自身に / 状態異常耐性</v>
      </c>
      <c r="M69" s="62" t="str">
        <f t="shared" si="53"/>
        <v>[effect:fix_speed, target:myself, turn:4]</v>
      </c>
      <c r="N69" s="47" t="str">
        <f t="shared" ref="N69:N73" si="144">IFERROR(LEFT(M69,FIND("],",M69)+S78),M69)</f>
        <v>[effect:fix_speed, target:myself, turn:4]</v>
      </c>
      <c r="O69" s="62">
        <f t="shared" si="55"/>
        <v>9</v>
      </c>
      <c r="P69" s="62">
        <f t="shared" si="56"/>
        <v>18</v>
      </c>
      <c r="Q69" s="62">
        <f t="shared" si="57"/>
        <v>27</v>
      </c>
      <c r="R69" s="62">
        <f t="shared" si="58"/>
        <v>33</v>
      </c>
      <c r="S69" s="62" t="str">
        <f>IFERROR(VLOOKUP(MID(N69,Q69,R69-Q69),[6]skilldef!$C:$D,2,FALSE),"-") &amp; " / " &amp; IFERROR(VLOOKUP(MID(N69,O69,P69-O69),[6]skilldef!$A:$B,2,FALSE),"-")</f>
        <v>自分自身に / 行動値設定</v>
      </c>
      <c r="T69" s="47" t="str">
        <f t="shared" si="59"/>
        <v>none</v>
      </c>
      <c r="U69" s="62" t="e">
        <f t="shared" si="60"/>
        <v>#VALUE!</v>
      </c>
      <c r="V69" s="62">
        <f t="shared" si="61"/>
        <v>4</v>
      </c>
      <c r="W69" s="62" t="e">
        <f t="shared" si="62"/>
        <v>#VALUE!</v>
      </c>
      <c r="X69" s="62" t="e">
        <f t="shared" si="63"/>
        <v>#VALUE!</v>
      </c>
      <c r="Y69" s="62" t="str">
        <f>IFERROR(VLOOKUP(MID(T69,W69,X69-W69),[6]skilldef!$C:$D,2,FALSE),"-") &amp; " / " &amp; IFERROR(VLOOKUP(MID(T69,U69,V69-U69),[6]skilldef!$A:$B,2,FALSE),"-")</f>
        <v>- / -</v>
      </c>
      <c r="Z69" s="49"/>
      <c r="AA69" s="51"/>
      <c r="AB69" s="49"/>
    </row>
    <row r="70" spans="1:28" ht="21" customHeight="1" x14ac:dyDescent="0.15">
      <c r="A70" s="125">
        <v>40015069</v>
      </c>
      <c r="B70" s="125" t="s">
        <v>334</v>
      </c>
      <c r="C70" s="126">
        <v>3</v>
      </c>
      <c r="D70" s="126" t="s">
        <v>127</v>
      </c>
      <c r="E70" s="127" t="s">
        <v>413</v>
      </c>
      <c r="F70" s="127" t="s">
        <v>415</v>
      </c>
      <c r="G70" s="62" t="str">
        <f t="shared" si="48"/>
        <v>[effect:tolerance, target:myself, turn:-1, tolerance_effect:all, count:-1, animation:enemy_tolerance]</v>
      </c>
      <c r="H70" s="62">
        <f t="shared" si="49"/>
        <v>9</v>
      </c>
      <c r="I70" s="62">
        <f t="shared" si="50"/>
        <v>18</v>
      </c>
      <c r="J70" s="62">
        <f t="shared" si="51"/>
        <v>27</v>
      </c>
      <c r="K70" s="62">
        <f t="shared" si="52"/>
        <v>33</v>
      </c>
      <c r="L70" s="62" t="str">
        <f>IFERROR(VLOOKUP(MID(G70,J70,K70-J70),[6]skilldef!$C:$D,2,FALSE),"-") &amp; " / " &amp; IFERROR(VLOOKUP(MID(G70,H70,I70-H70),[6]skilldef!$A:$B,2,FALSE),"-")</f>
        <v>自分自身に / 状態異常耐性</v>
      </c>
      <c r="M70" s="62" t="str">
        <f t="shared" si="53"/>
        <v>[effect:fix_speed, target:myself, turn:4]</v>
      </c>
      <c r="N70" s="47" t="str">
        <f t="shared" si="144"/>
        <v>[effect:fix_speed, target:myself, turn:4]</v>
      </c>
      <c r="O70" s="62">
        <f t="shared" si="55"/>
        <v>9</v>
      </c>
      <c r="P70" s="62">
        <f t="shared" si="56"/>
        <v>18</v>
      </c>
      <c r="Q70" s="62">
        <f t="shared" si="57"/>
        <v>27</v>
      </c>
      <c r="R70" s="62">
        <f t="shared" si="58"/>
        <v>33</v>
      </c>
      <c r="S70" s="62" t="str">
        <f>IFERROR(VLOOKUP(MID(N70,Q70,R70-Q70),[6]skilldef!$C:$D,2,FALSE),"-") &amp; " / " &amp; IFERROR(VLOOKUP(MID(N70,O70,P70-O70),[6]skilldef!$A:$B,2,FALSE),"-")</f>
        <v>自分自身に / 行動値設定</v>
      </c>
      <c r="T70" s="47" t="str">
        <f t="shared" si="59"/>
        <v>none</v>
      </c>
      <c r="U70" s="62" t="e">
        <f t="shared" si="60"/>
        <v>#VALUE!</v>
      </c>
      <c r="V70" s="62">
        <f t="shared" si="61"/>
        <v>4</v>
      </c>
      <c r="W70" s="62" t="e">
        <f t="shared" si="62"/>
        <v>#VALUE!</v>
      </c>
      <c r="X70" s="62" t="e">
        <f t="shared" si="63"/>
        <v>#VALUE!</v>
      </c>
      <c r="Y70" s="62" t="str">
        <f>IFERROR(VLOOKUP(MID(T70,W70,X70-W70),[6]skilldef!$C:$D,2,FALSE),"-") &amp; " / " &amp; IFERROR(VLOOKUP(MID(T70,U70,V70-U70),[6]skilldef!$A:$B,2,FALSE),"-")</f>
        <v>- / -</v>
      </c>
      <c r="Z70" s="49"/>
      <c r="AA70" s="51"/>
      <c r="AB70" s="49"/>
    </row>
    <row r="71" spans="1:28" ht="21" customHeight="1" x14ac:dyDescent="0.15">
      <c r="A71" s="125">
        <v>40015070</v>
      </c>
      <c r="B71" s="125" t="s">
        <v>334</v>
      </c>
      <c r="C71" s="126">
        <v>3</v>
      </c>
      <c r="D71" s="126" t="s">
        <v>127</v>
      </c>
      <c r="E71" s="127" t="s">
        <v>287</v>
      </c>
      <c r="F71" s="127" t="s">
        <v>298</v>
      </c>
      <c r="G71" s="62" t="str">
        <f t="shared" si="48"/>
        <v>[effect:tolerance, target:myself, turn:-1, tolerance_effect:all, count:-1, animation:enemy_tolerance]</v>
      </c>
      <c r="H71" s="62">
        <f t="shared" si="49"/>
        <v>9</v>
      </c>
      <c r="I71" s="62">
        <f t="shared" si="50"/>
        <v>18</v>
      </c>
      <c r="J71" s="62">
        <f t="shared" si="51"/>
        <v>27</v>
      </c>
      <c r="K71" s="62">
        <f t="shared" si="52"/>
        <v>33</v>
      </c>
      <c r="L71" s="62" t="str">
        <f>IFERROR(VLOOKUP(MID(G71,J71,K71-J71),[6]skilldef!$C:$D,2,FALSE),"-") &amp; " / " &amp; IFERROR(VLOOKUP(MID(G71,H71,I71-H71),[6]skilldef!$A:$B,2,FALSE),"-")</f>
        <v>自分自身に / 状態異常耐性</v>
      </c>
      <c r="M71" s="62" t="str">
        <f t="shared" si="53"/>
        <v>[effect:fix_speed, target:myself, turn:4]</v>
      </c>
      <c r="N71" s="47" t="str">
        <f t="shared" si="144"/>
        <v>[effect:fix_speed, target:myself, turn:4]</v>
      </c>
      <c r="O71" s="62">
        <f t="shared" si="55"/>
        <v>9</v>
      </c>
      <c r="P71" s="62">
        <f t="shared" si="56"/>
        <v>18</v>
      </c>
      <c r="Q71" s="62">
        <f t="shared" si="57"/>
        <v>27</v>
      </c>
      <c r="R71" s="62">
        <f t="shared" si="58"/>
        <v>33</v>
      </c>
      <c r="S71" s="62" t="str">
        <f>IFERROR(VLOOKUP(MID(N71,Q71,R71-Q71),[6]skilldef!$C:$D,2,FALSE),"-") &amp; " / " &amp; IFERROR(VLOOKUP(MID(N71,O71,P71-O71),[6]skilldef!$A:$B,2,FALSE),"-")</f>
        <v>自分自身に / 行動値設定</v>
      </c>
      <c r="T71" s="47" t="str">
        <f t="shared" si="59"/>
        <v>none</v>
      </c>
      <c r="U71" s="62" t="e">
        <f t="shared" si="60"/>
        <v>#VALUE!</v>
      </c>
      <c r="V71" s="62">
        <f t="shared" si="61"/>
        <v>4</v>
      </c>
      <c r="W71" s="62" t="e">
        <f t="shared" si="62"/>
        <v>#VALUE!</v>
      </c>
      <c r="X71" s="62" t="e">
        <f t="shared" si="63"/>
        <v>#VALUE!</v>
      </c>
      <c r="Y71" s="62" t="str">
        <f>IFERROR(VLOOKUP(MID(T71,W71,X71-W71),[6]skilldef!$C:$D,2,FALSE),"-") &amp; " / " &amp; IFERROR(VLOOKUP(MID(T71,U71,V71-U71),[6]skilldef!$A:$B,2,FALSE),"-")</f>
        <v>- / -</v>
      </c>
      <c r="Z71" s="49"/>
      <c r="AA71" s="51"/>
      <c r="AB71" s="49"/>
    </row>
    <row r="72" spans="1:28" ht="21" customHeight="1" x14ac:dyDescent="0.15">
      <c r="A72" s="137">
        <v>40015071</v>
      </c>
      <c r="B72" s="137" t="s">
        <v>233</v>
      </c>
      <c r="C72" s="138">
        <v>0</v>
      </c>
      <c r="D72" s="138" t="s">
        <v>127</v>
      </c>
      <c r="E72" s="139" t="s">
        <v>250</v>
      </c>
      <c r="F72" s="139" t="s">
        <v>420</v>
      </c>
      <c r="G72" s="62" t="str">
        <f t="shared" si="48"/>
        <v>[effect:nothing]</v>
      </c>
      <c r="H72" s="62">
        <f t="shared" si="49"/>
        <v>9</v>
      </c>
      <c r="I72" s="62">
        <f t="shared" si="50"/>
        <v>16</v>
      </c>
      <c r="J72" s="62" t="e">
        <f t="shared" si="51"/>
        <v>#VALUE!</v>
      </c>
      <c r="K72" s="62" t="e">
        <f t="shared" si="52"/>
        <v>#VALUE!</v>
      </c>
      <c r="L72" s="62" t="str">
        <f>IFERROR(VLOOKUP(MID(G72,J72,K72-J72),[6]skilldef!$C:$D,2,FALSE),"-") &amp; " / " &amp; IFERROR(VLOOKUP(MID(G72,H72,I72-H72),[6]skilldef!$A:$B,2,FALSE),"-")</f>
        <v>- / 何もしない</v>
      </c>
      <c r="M72" s="62" t="str">
        <f t="shared" si="53"/>
        <v>none</v>
      </c>
      <c r="N72" s="47" t="str">
        <f t="shared" si="144"/>
        <v>none</v>
      </c>
      <c r="O72" s="62" t="e">
        <f t="shared" si="55"/>
        <v>#VALUE!</v>
      </c>
      <c r="P72" s="62">
        <f t="shared" si="56"/>
        <v>4</v>
      </c>
      <c r="Q72" s="62" t="e">
        <f t="shared" si="57"/>
        <v>#VALUE!</v>
      </c>
      <c r="R72" s="62" t="e">
        <f t="shared" si="58"/>
        <v>#VALUE!</v>
      </c>
      <c r="S72" s="62" t="str">
        <f>IFERROR(VLOOKUP(MID(N72,Q72,R72-Q72),[6]skilldef!$C:$D,2,FALSE),"-") &amp; " / " &amp; IFERROR(VLOOKUP(MID(N72,O72,P72-O72),[6]skilldef!$A:$B,2,FALSE),"-")</f>
        <v>- / -</v>
      </c>
      <c r="T72" s="47" t="str">
        <f t="shared" si="59"/>
        <v>none</v>
      </c>
      <c r="U72" s="62" t="e">
        <f t="shared" si="60"/>
        <v>#VALUE!</v>
      </c>
      <c r="V72" s="62">
        <f t="shared" si="61"/>
        <v>4</v>
      </c>
      <c r="W72" s="62" t="e">
        <f t="shared" si="62"/>
        <v>#VALUE!</v>
      </c>
      <c r="X72" s="62" t="e">
        <f t="shared" si="63"/>
        <v>#VALUE!</v>
      </c>
      <c r="Y72" s="62" t="str">
        <f>IFERROR(VLOOKUP(MID(T72,W72,X72-W72),[6]skilldef!$C:$D,2,FALSE),"-") &amp; " / " &amp; IFERROR(VLOOKUP(MID(T72,U72,V72-U72),[6]skilldef!$A:$B,2,FALSE),"-")</f>
        <v>- / -</v>
      </c>
      <c r="Z72" s="49"/>
      <c r="AA72" s="51"/>
      <c r="AB72" s="49"/>
    </row>
    <row r="73" spans="1:28" ht="21" customHeight="1" x14ac:dyDescent="0.15">
      <c r="A73" s="125">
        <v>40015072</v>
      </c>
      <c r="B73" s="125" t="s">
        <v>233</v>
      </c>
      <c r="C73" s="126">
        <v>3</v>
      </c>
      <c r="D73" s="126" t="s">
        <v>127</v>
      </c>
      <c r="E73" s="123" t="s">
        <v>346</v>
      </c>
      <c r="F73" s="123" t="s">
        <v>355</v>
      </c>
      <c r="G73" s="62" t="str">
        <f t="shared" ref="G73:G76" si="145">IFERROR(LEFT(B73,FIND("],",B73)),B73)</f>
        <v>[effect:nothing]</v>
      </c>
      <c r="H73" s="62">
        <f t="shared" ref="H73:H76" si="146">FIND("effect:",G73)+7</f>
        <v>9</v>
      </c>
      <c r="I73" s="62">
        <f t="shared" ref="I73:I76" si="147">IFERROR(FIND(",",G73),LEN(G73))</f>
        <v>16</v>
      </c>
      <c r="J73" s="62" t="e">
        <f t="shared" ref="J73:J76" si="148">FIND("target:",G73)+7</f>
        <v>#VALUE!</v>
      </c>
      <c r="K73" s="62" t="e">
        <f t="shared" ref="K73:K76" si="149">FIND(",",G73,I73+1)</f>
        <v>#VALUE!</v>
      </c>
      <c r="L73" s="62" t="str">
        <f>IFERROR(VLOOKUP(MID(G73,J73,K73-J73),[6]skilldef!$C:$D,2,FALSE),"-") &amp; " / " &amp; IFERROR(VLOOKUP(MID(G73,H73,I73-H73),[6]skilldef!$A:$B,2,FALSE),"-")</f>
        <v>- / 何もしない</v>
      </c>
      <c r="M73" s="62" t="str">
        <f t="shared" ref="M73:M76" si="150">IFERROR(RIGHT(B73,LEN(B73)-FIND("],",B73)-1),"none")</f>
        <v>none</v>
      </c>
      <c r="N73" s="47" t="str">
        <f t="shared" si="144"/>
        <v>none</v>
      </c>
      <c r="O73" s="62" t="e">
        <f t="shared" ref="O73:O76" si="151">FIND("effect:",N73)+7</f>
        <v>#VALUE!</v>
      </c>
      <c r="P73" s="62">
        <f t="shared" ref="P73:P76" si="152">IFERROR(FIND(",",N73),LEN(N73))</f>
        <v>4</v>
      </c>
      <c r="Q73" s="62" t="e">
        <f t="shared" ref="Q73:Q76" si="153">FIND("target:",N73)+7</f>
        <v>#VALUE!</v>
      </c>
      <c r="R73" s="62" t="e">
        <f t="shared" ref="R73:R76" si="154">FIND(",",N73,P73+1)</f>
        <v>#VALUE!</v>
      </c>
      <c r="S73" s="62" t="str">
        <f>IFERROR(VLOOKUP(MID(N73,Q73,R73-Q73),[6]skilldef!$C:$D,2,FALSE),"-") &amp; " / " &amp; IFERROR(VLOOKUP(MID(N73,O73,P73-O73),[6]skilldef!$A:$B,2,FALSE),"-")</f>
        <v>- / -</v>
      </c>
      <c r="T73" s="47" t="str">
        <f t="shared" ref="T73:T76" si="155">IFERROR(RIGHT(M73,LEN(M73)-FIND("],",M73)-1),"none")</f>
        <v>none</v>
      </c>
      <c r="U73" s="62" t="e">
        <f t="shared" ref="U73:U76" si="156">FIND("effect:",T73)+7</f>
        <v>#VALUE!</v>
      </c>
      <c r="V73" s="62">
        <f t="shared" ref="V73:V76" si="157">IFERROR(FIND(",",T73),LEN(T73))</f>
        <v>4</v>
      </c>
      <c r="W73" s="62" t="e">
        <f t="shared" ref="W73:W76" si="158">FIND("target:",T73)+7</f>
        <v>#VALUE!</v>
      </c>
      <c r="X73" s="62" t="e">
        <f t="shared" ref="X73:X76" si="159">FIND(",",T73,V73+1)</f>
        <v>#VALUE!</v>
      </c>
      <c r="Y73" s="62" t="str">
        <f>IFERROR(VLOOKUP(MID(T73,W73,X73-W73),[6]skilldef!$C:$D,2,FALSE),"-") &amp; " / " &amp; IFERROR(VLOOKUP(MID(T73,U73,V73-U73),[6]skilldef!$A:$B,2,FALSE),"-")</f>
        <v>- / -</v>
      </c>
      <c r="Z73" s="49"/>
      <c r="AA73" s="51"/>
      <c r="AB73" s="49"/>
    </row>
    <row r="74" spans="1:28" ht="21" customHeight="1" x14ac:dyDescent="0.15">
      <c r="A74" s="125">
        <v>40015073</v>
      </c>
      <c r="B74" s="125" t="s">
        <v>251</v>
      </c>
      <c r="C74" s="126">
        <v>3</v>
      </c>
      <c r="D74" s="126" t="s">
        <v>127</v>
      </c>
      <c r="E74" s="123" t="s">
        <v>294</v>
      </c>
      <c r="F74" s="123" t="s">
        <v>360</v>
      </c>
      <c r="G74" s="62" t="str">
        <f t="shared" si="145"/>
        <v>[effect:remove_enhancement, target:unit_all, target_effect:all, target_type:buff, animation:frozen_wave]</v>
      </c>
      <c r="H74" s="62">
        <f t="shared" si="146"/>
        <v>9</v>
      </c>
      <c r="I74" s="62">
        <f t="shared" si="147"/>
        <v>27</v>
      </c>
      <c r="J74" s="62">
        <f t="shared" si="148"/>
        <v>36</v>
      </c>
      <c r="K74" s="62">
        <f t="shared" si="149"/>
        <v>44</v>
      </c>
      <c r="L74" s="62" t="str">
        <f>IFERROR(VLOOKUP(MID(G74,J74,K74-J74),[6]skilldef!$C:$D,2,FALSE),"-") &amp; " / " &amp; IFERROR(VLOOKUP(MID(G74,H74,I74-H74),[6]skilldef!$A:$B,2,FALSE),"-")</f>
        <v>味方全体に / -</v>
      </c>
      <c r="M74" s="62" t="str">
        <f t="shared" si="150"/>
        <v>[effect:damage_fix_absolute, target:unit_all, val:11111]</v>
      </c>
      <c r="N74" s="47" t="str">
        <f>IFERROR(LEFT(M74,FIND("],",M74)+S84),M74)</f>
        <v>[effect:damage_fix_absolute, target:unit_all, val:11111]</v>
      </c>
      <c r="O74" s="62">
        <f t="shared" si="151"/>
        <v>9</v>
      </c>
      <c r="P74" s="62">
        <f t="shared" si="152"/>
        <v>28</v>
      </c>
      <c r="Q74" s="62">
        <f t="shared" si="153"/>
        <v>37</v>
      </c>
      <c r="R74" s="62">
        <f t="shared" si="154"/>
        <v>45</v>
      </c>
      <c r="S74" s="62" t="str">
        <f>IFERROR(VLOOKUP(MID(N74,Q74,R74-Q74),[6]skilldef!$C:$D,2,FALSE),"-") &amp; " / " &amp; IFERROR(VLOOKUP(MID(N74,O74,P74-O74),[6]skilldef!$A:$B,2,FALSE),"-")</f>
        <v>味方全体に / -</v>
      </c>
      <c r="T74" s="47" t="str">
        <f t="shared" si="155"/>
        <v>none</v>
      </c>
      <c r="U74" s="62" t="e">
        <f t="shared" si="156"/>
        <v>#VALUE!</v>
      </c>
      <c r="V74" s="62">
        <f t="shared" si="157"/>
        <v>4</v>
      </c>
      <c r="W74" s="62" t="e">
        <f t="shared" si="158"/>
        <v>#VALUE!</v>
      </c>
      <c r="X74" s="62" t="e">
        <f t="shared" si="159"/>
        <v>#VALUE!</v>
      </c>
      <c r="Y74" s="62" t="str">
        <f>IFERROR(VLOOKUP(MID(T74,W74,X74-W74),[6]skilldef!$C:$D,2,FALSE),"-") &amp; " / " &amp; IFERROR(VLOOKUP(MID(T74,U74,V74-U74),[6]skilldef!$A:$B,2,FALSE),"-")</f>
        <v>- / -</v>
      </c>
      <c r="Z74" s="49"/>
      <c r="AA74" s="51"/>
      <c r="AB74" s="49"/>
    </row>
    <row r="75" spans="1:28" ht="21" customHeight="1" x14ac:dyDescent="0.15">
      <c r="A75" s="137">
        <v>40015074</v>
      </c>
      <c r="B75" s="137" t="s">
        <v>233</v>
      </c>
      <c r="C75" s="138">
        <v>0</v>
      </c>
      <c r="D75" s="138" t="s">
        <v>127</v>
      </c>
      <c r="E75" s="139" t="s">
        <v>250</v>
      </c>
      <c r="F75" s="139" t="s">
        <v>420</v>
      </c>
      <c r="G75" s="62" t="str">
        <f t="shared" si="145"/>
        <v>[effect:nothing]</v>
      </c>
      <c r="H75" s="62">
        <f t="shared" si="146"/>
        <v>9</v>
      </c>
      <c r="I75" s="62">
        <f t="shared" si="147"/>
        <v>16</v>
      </c>
      <c r="J75" s="62" t="e">
        <f t="shared" si="148"/>
        <v>#VALUE!</v>
      </c>
      <c r="K75" s="62" t="e">
        <f t="shared" si="149"/>
        <v>#VALUE!</v>
      </c>
      <c r="L75" s="62" t="str">
        <f>IFERROR(VLOOKUP(MID(G75,J75,K75-J75),[6]skilldef!$C:$D,2,FALSE),"-") &amp; " / " &amp; IFERROR(VLOOKUP(MID(G75,H75,I75-H75),[6]skilldef!$A:$B,2,FALSE),"-")</f>
        <v>- / 何もしない</v>
      </c>
      <c r="M75" s="62" t="str">
        <f t="shared" si="150"/>
        <v>none</v>
      </c>
      <c r="N75" s="47" t="str">
        <f>IFERROR(LEFT(M75,FIND("],",M75)+S85),M75)</f>
        <v>none</v>
      </c>
      <c r="O75" s="62" t="e">
        <f t="shared" si="151"/>
        <v>#VALUE!</v>
      </c>
      <c r="P75" s="62">
        <f t="shared" si="152"/>
        <v>4</v>
      </c>
      <c r="Q75" s="62" t="e">
        <f t="shared" si="153"/>
        <v>#VALUE!</v>
      </c>
      <c r="R75" s="62" t="e">
        <f t="shared" si="154"/>
        <v>#VALUE!</v>
      </c>
      <c r="S75" s="62" t="str">
        <f>IFERROR(VLOOKUP(MID(N75,Q75,R75-Q75),[6]skilldef!$C:$D,2,FALSE),"-") &amp; " / " &amp; IFERROR(VLOOKUP(MID(N75,O75,P75-O75),[6]skilldef!$A:$B,2,FALSE),"-")</f>
        <v>- / -</v>
      </c>
      <c r="T75" s="47" t="str">
        <f t="shared" si="155"/>
        <v>none</v>
      </c>
      <c r="U75" s="62" t="e">
        <f t="shared" si="156"/>
        <v>#VALUE!</v>
      </c>
      <c r="V75" s="62">
        <f t="shared" si="157"/>
        <v>4</v>
      </c>
      <c r="W75" s="62" t="e">
        <f t="shared" si="158"/>
        <v>#VALUE!</v>
      </c>
      <c r="X75" s="62" t="e">
        <f t="shared" si="159"/>
        <v>#VALUE!</v>
      </c>
      <c r="Y75" s="62" t="str">
        <f>IFERROR(VLOOKUP(MID(T75,W75,X75-W75),[6]skilldef!$C:$D,2,FALSE),"-") &amp; " / " &amp; IFERROR(VLOOKUP(MID(T75,U75,V75-U75),[6]skilldef!$A:$B,2,FALSE),"-")</f>
        <v>- / -</v>
      </c>
      <c r="Z75" s="49"/>
      <c r="AA75" s="51"/>
      <c r="AB75" s="49"/>
    </row>
    <row r="76" spans="1:28" ht="21" customHeight="1" x14ac:dyDescent="0.15">
      <c r="A76" s="125">
        <v>40015075</v>
      </c>
      <c r="B76" s="125" t="s">
        <v>289</v>
      </c>
      <c r="C76" s="126">
        <v>3</v>
      </c>
      <c r="D76" s="126" t="s">
        <v>127</v>
      </c>
      <c r="E76" s="123" t="s">
        <v>340</v>
      </c>
      <c r="F76" s="123" t="s">
        <v>339</v>
      </c>
      <c r="G76" s="62" t="str">
        <f t="shared" si="145"/>
        <v>[effect:remove_enhancement, target:unit_all, target_effect:all, target_type:buff, animation:frozen_wave]</v>
      </c>
      <c r="H76" s="62">
        <f t="shared" si="146"/>
        <v>9</v>
      </c>
      <c r="I76" s="62">
        <f t="shared" si="147"/>
        <v>27</v>
      </c>
      <c r="J76" s="62">
        <f t="shared" si="148"/>
        <v>36</v>
      </c>
      <c r="K76" s="62">
        <f t="shared" si="149"/>
        <v>44</v>
      </c>
      <c r="L76" s="62" t="str">
        <f>IFERROR(VLOOKUP(MID(G76,J76,K76-J76),[6]skilldef!$C:$D,2,FALSE),"-") &amp; " / " &amp; IFERROR(VLOOKUP(MID(G76,H76,I76-H76),[6]skilldef!$A:$B,2,FALSE),"-")</f>
        <v>味方全体に / -</v>
      </c>
      <c r="M76" s="62" t="str">
        <f t="shared" si="150"/>
        <v>[effect:damage_fix_absolute, target:unit_all, val:11111],[effect:fix_speed, target:myself, turn:1]</v>
      </c>
      <c r="N76" s="47" t="str">
        <f>IFERROR(LEFT(M76,FIND("],",M76)+S88),M76)</f>
        <v>[effect:damage_fix_absolute, target:unit_all, val:11111],[effect:fix_speed, target:myself, turn:1]</v>
      </c>
      <c r="O76" s="62">
        <f t="shared" si="151"/>
        <v>9</v>
      </c>
      <c r="P76" s="62">
        <f t="shared" si="152"/>
        <v>28</v>
      </c>
      <c r="Q76" s="62">
        <f t="shared" si="153"/>
        <v>37</v>
      </c>
      <c r="R76" s="62">
        <f t="shared" si="154"/>
        <v>45</v>
      </c>
      <c r="S76" s="62" t="str">
        <f>IFERROR(VLOOKUP(MID(N76,Q76,R76-Q76),[6]skilldef!$C:$D,2,FALSE),"-") &amp; " / " &amp; IFERROR(VLOOKUP(MID(N76,O76,P76-O76),[6]skilldef!$A:$B,2,FALSE),"-")</f>
        <v>味方全体に / -</v>
      </c>
      <c r="T76" s="47" t="str">
        <f t="shared" si="155"/>
        <v>[effect:fix_speed, target:myself, turn:1]</v>
      </c>
      <c r="U76" s="62">
        <f t="shared" si="156"/>
        <v>9</v>
      </c>
      <c r="V76" s="62">
        <f t="shared" si="157"/>
        <v>18</v>
      </c>
      <c r="W76" s="62">
        <f t="shared" si="158"/>
        <v>27</v>
      </c>
      <c r="X76" s="62">
        <f t="shared" si="159"/>
        <v>33</v>
      </c>
      <c r="Y76" s="62" t="str">
        <f>IFERROR(VLOOKUP(MID(T76,W76,X76-W76),[6]skilldef!$C:$D,2,FALSE),"-") &amp; " / " &amp; IFERROR(VLOOKUP(MID(T76,U76,V76-U76),[6]skilldef!$A:$B,2,FALSE),"-")</f>
        <v>自分自身に / 行動値設定</v>
      </c>
      <c r="Z76" s="49"/>
      <c r="AA76" s="51"/>
      <c r="AB76" s="49"/>
    </row>
    <row r="77" spans="1:28" ht="21" customHeight="1" x14ac:dyDescent="0.15">
      <c r="A77" s="137">
        <v>40015076</v>
      </c>
      <c r="B77" s="137" t="s">
        <v>252</v>
      </c>
      <c r="C77" s="138">
        <v>0</v>
      </c>
      <c r="D77" s="138" t="s">
        <v>127</v>
      </c>
      <c r="E77" s="139" t="s">
        <v>288</v>
      </c>
      <c r="F77" s="139" t="s">
        <v>420</v>
      </c>
      <c r="G77" s="62" t="str">
        <f t="shared" ref="G77" si="160">IFERROR(LEFT(B77,FIND("],",B77)),B77)</f>
        <v>[effect:suicide, val:1.0, dead_type:suicide, target:myself, animation:enemy_suicide]</v>
      </c>
      <c r="H77" s="62">
        <f t="shared" ref="H77" si="161">FIND("effect:",G77)+7</f>
        <v>9</v>
      </c>
      <c r="I77" s="62">
        <f t="shared" ref="I77" si="162">IFERROR(FIND(",",G77),LEN(G77))</f>
        <v>16</v>
      </c>
      <c r="J77" s="62">
        <f t="shared" ref="J77" si="163">FIND("target:",G77)+7</f>
        <v>53</v>
      </c>
      <c r="K77" s="62">
        <f t="shared" ref="K77" si="164">FIND(",",G77,I77+1)</f>
        <v>25</v>
      </c>
      <c r="L77" s="62" t="str">
        <f>IFERROR(VLOOKUP(MID(G77,J77,K77-J77),[6]skilldef!$C:$D,2,FALSE),"-") &amp; " / " &amp; IFERROR(VLOOKUP(MID(G77,H77,I77-H77),[6]skilldef!$A:$B,2,FALSE),"-")</f>
        <v>- / -</v>
      </c>
      <c r="M77" s="62" t="str">
        <f t="shared" ref="M77" si="165">IFERROR(RIGHT(B77,LEN(B77)-FIND("],",B77)-1),"none")</f>
        <v>none</v>
      </c>
      <c r="N77" s="47" t="str">
        <f>IFERROR(LEFT(M77,FIND("],",M77)+S89),M77)</f>
        <v>none</v>
      </c>
      <c r="O77" s="62" t="e">
        <f t="shared" ref="O77" si="166">FIND("effect:",N77)+7</f>
        <v>#VALUE!</v>
      </c>
      <c r="P77" s="62">
        <f t="shared" ref="P77" si="167">IFERROR(FIND(",",N77),LEN(N77))</f>
        <v>4</v>
      </c>
      <c r="Q77" s="62" t="e">
        <f t="shared" ref="Q77" si="168">FIND("target:",N77)+7</f>
        <v>#VALUE!</v>
      </c>
      <c r="R77" s="62" t="e">
        <f t="shared" ref="R77" si="169">FIND(",",N77,P77+1)</f>
        <v>#VALUE!</v>
      </c>
      <c r="S77" s="62" t="str">
        <f>IFERROR(VLOOKUP(MID(N77,Q77,R77-Q77),[6]skilldef!$C:$D,2,FALSE),"-") &amp; " / " &amp; IFERROR(VLOOKUP(MID(N77,O77,P77-O77),[6]skilldef!$A:$B,2,FALSE),"-")</f>
        <v>- / -</v>
      </c>
      <c r="T77" s="47" t="str">
        <f t="shared" ref="T77" si="170">IFERROR(RIGHT(M77,LEN(M77)-FIND("],",M77)-1),"none")</f>
        <v>none</v>
      </c>
      <c r="U77" s="62" t="e">
        <f t="shared" ref="U77" si="171">FIND("effect:",T77)+7</f>
        <v>#VALUE!</v>
      </c>
      <c r="V77" s="62">
        <f t="shared" ref="V77" si="172">IFERROR(FIND(",",T77),LEN(T77))</f>
        <v>4</v>
      </c>
      <c r="W77" s="62" t="e">
        <f t="shared" ref="W77" si="173">FIND("target:",T77)+7</f>
        <v>#VALUE!</v>
      </c>
      <c r="X77" s="62" t="e">
        <f t="shared" ref="X77" si="174">FIND(",",T77,V77+1)</f>
        <v>#VALUE!</v>
      </c>
      <c r="Y77" s="62" t="str">
        <f>IFERROR(VLOOKUP(MID(T77,W77,X77-W77),[6]skilldef!$C:$D,2,FALSE),"-") &amp; " / " &amp; IFERROR(VLOOKUP(MID(T77,U77,V77-U77),[6]skilldef!$A:$B,2,FALSE),"-")</f>
        <v>- / -</v>
      </c>
      <c r="Z77" s="49"/>
      <c r="AA77" s="51"/>
      <c r="AB77" s="49"/>
    </row>
    <row r="78" spans="1:28" ht="21" customHeight="1" x14ac:dyDescent="0.15">
      <c r="A78" s="46">
        <v>40015080</v>
      </c>
      <c r="B78" s="46" t="s">
        <v>233</v>
      </c>
      <c r="C78" s="115">
        <v>3</v>
      </c>
      <c r="D78" s="115" t="s">
        <v>221</v>
      </c>
      <c r="E78" s="116" t="s">
        <v>306</v>
      </c>
      <c r="F78" s="116" t="s">
        <v>418</v>
      </c>
      <c r="G78" s="117" t="s">
        <v>220</v>
      </c>
      <c r="H78" s="117">
        <v>9</v>
      </c>
      <c r="I78" s="117">
        <v>13</v>
      </c>
      <c r="J78" s="117">
        <v>22</v>
      </c>
      <c r="K78" s="117">
        <v>31</v>
      </c>
      <c r="L78" s="117" t="s">
        <v>222</v>
      </c>
      <c r="M78" s="117" t="s">
        <v>223</v>
      </c>
      <c r="N78" s="118" t="s">
        <v>223</v>
      </c>
      <c r="O78" s="117" t="e">
        <v>#VALUE!</v>
      </c>
      <c r="P78" s="117">
        <v>4</v>
      </c>
      <c r="Q78" s="117" t="e">
        <v>#VALUE!</v>
      </c>
      <c r="R78" s="117" t="e">
        <v>#VALUE!</v>
      </c>
      <c r="S78" s="117" t="s">
        <v>224</v>
      </c>
      <c r="T78" s="118" t="s">
        <v>223</v>
      </c>
      <c r="U78" s="117" t="e">
        <v>#VALUE!</v>
      </c>
      <c r="V78" s="117">
        <v>4</v>
      </c>
      <c r="W78" s="117" t="e">
        <v>#VALUE!</v>
      </c>
      <c r="X78" s="117" t="e">
        <v>#VALUE!</v>
      </c>
      <c r="Y78" s="117" t="s">
        <v>224</v>
      </c>
      <c r="Z78" s="115"/>
      <c r="AA78" s="119"/>
      <c r="AB78" s="115"/>
    </row>
    <row r="79" spans="1:28" ht="21" customHeight="1" x14ac:dyDescent="0.15">
      <c r="A79" s="46">
        <v>40015081</v>
      </c>
      <c r="B79" s="46" t="s">
        <v>233</v>
      </c>
      <c r="C79" s="115">
        <v>3</v>
      </c>
      <c r="D79" s="115" t="s">
        <v>221</v>
      </c>
      <c r="E79" s="116" t="s">
        <v>380</v>
      </c>
      <c r="F79" s="116" t="s">
        <v>419</v>
      </c>
      <c r="G79" s="117" t="s">
        <v>220</v>
      </c>
      <c r="H79" s="117">
        <v>9</v>
      </c>
      <c r="I79" s="117">
        <v>13</v>
      </c>
      <c r="J79" s="117">
        <v>22</v>
      </c>
      <c r="K79" s="117">
        <v>31</v>
      </c>
      <c r="L79" s="117" t="s">
        <v>222</v>
      </c>
      <c r="M79" s="117" t="s">
        <v>223</v>
      </c>
      <c r="N79" s="118" t="s">
        <v>223</v>
      </c>
      <c r="O79" s="117" t="e">
        <v>#VALUE!</v>
      </c>
      <c r="P79" s="117">
        <v>4</v>
      </c>
      <c r="Q79" s="117" t="e">
        <v>#VALUE!</v>
      </c>
      <c r="R79" s="117" t="e">
        <v>#VALUE!</v>
      </c>
      <c r="S79" s="117" t="s">
        <v>224</v>
      </c>
      <c r="T79" s="118" t="s">
        <v>223</v>
      </c>
      <c r="U79" s="117" t="e">
        <v>#VALUE!</v>
      </c>
      <c r="V79" s="117">
        <v>4</v>
      </c>
      <c r="W79" s="117" t="e">
        <v>#VALUE!</v>
      </c>
      <c r="X79" s="117" t="e">
        <v>#VALUE!</v>
      </c>
      <c r="Y79" s="117" t="s">
        <v>224</v>
      </c>
      <c r="Z79" s="115"/>
      <c r="AA79" s="119"/>
      <c r="AB79" s="115"/>
    </row>
    <row r="80" spans="1:28" ht="21" customHeight="1" x14ac:dyDescent="0.15">
      <c r="A80" s="46">
        <v>40015082</v>
      </c>
      <c r="B80" s="46" t="s">
        <v>374</v>
      </c>
      <c r="C80" s="49">
        <v>3</v>
      </c>
      <c r="D80" s="49" t="s">
        <v>127</v>
      </c>
      <c r="E80" s="144" t="s">
        <v>260</v>
      </c>
      <c r="F80" s="144" t="s">
        <v>410</v>
      </c>
      <c r="G80" s="62" t="str">
        <f t="shared" ref="G80:G109" si="175">IFERROR(LEFT(B80,FIND("],",B80)),B80)</f>
        <v>[effect:tolerance, target:myself, turn:-1, tolerance_effect:hungup, count:-1, animation:enemy_tolerance]</v>
      </c>
      <c r="H80" s="62">
        <f t="shared" ref="H80:H109" si="176">FIND("effect:",G80)+7</f>
        <v>9</v>
      </c>
      <c r="I80" s="62">
        <f t="shared" ref="I80:I109" si="177">IFERROR(FIND(",",G80),LEN(G80))</f>
        <v>18</v>
      </c>
      <c r="J80" s="62">
        <f t="shared" ref="J80:J109" si="178">FIND("target:",G80)+7</f>
        <v>27</v>
      </c>
      <c r="K80" s="62">
        <f t="shared" ref="K80:K109" si="179">FIND(",",G80,I80+1)</f>
        <v>33</v>
      </c>
      <c r="L80" s="62" t="str">
        <f>IFERROR(VLOOKUP(MID(G80,J80,K80-J80),[6]skilldef!$C:$D,2,FALSE),"-") &amp; " / " &amp; IFERROR(VLOOKUP(MID(G80,H80,I80-H80),[6]skilldef!$A:$B,2,FALSE),"-")</f>
        <v>自分自身に / 状態異常耐性</v>
      </c>
      <c r="M80" s="62" t="str">
        <f t="shared" ref="M80:M109" si="180">IFERROR(RIGHT(B80,LEN(B80)-FIND("],",B80)-1),"none")</f>
        <v>none</v>
      </c>
      <c r="N80" s="47" t="str">
        <f>IFERROR(LEFT(M80,FIND("],",M80)+S93),M80)</f>
        <v>none</v>
      </c>
      <c r="O80" s="62" t="e">
        <f t="shared" ref="O80:O109" si="181">FIND("effect:",N80)+7</f>
        <v>#VALUE!</v>
      </c>
      <c r="P80" s="62">
        <f t="shared" ref="P80:P109" si="182">IFERROR(FIND(",",N80),LEN(N80))</f>
        <v>4</v>
      </c>
      <c r="Q80" s="62" t="e">
        <f t="shared" ref="Q80:Q109" si="183">FIND("target:",N80)+7</f>
        <v>#VALUE!</v>
      </c>
      <c r="R80" s="62" t="e">
        <f t="shared" ref="R80:R109" si="184">FIND(",",N80,P80+1)</f>
        <v>#VALUE!</v>
      </c>
      <c r="S80" s="62" t="str">
        <f>IFERROR(VLOOKUP(MID(N80,Q80,R80-Q80),[6]skilldef!$C:$D,2,FALSE),"-") &amp; " / " &amp; IFERROR(VLOOKUP(MID(N80,O80,P80-O80),[6]skilldef!$A:$B,2,FALSE),"-")</f>
        <v>- / -</v>
      </c>
      <c r="T80" s="47" t="str">
        <f t="shared" ref="T80:T109" si="185">IFERROR(RIGHT(M80,LEN(M80)-FIND("],",M80)-1),"none")</f>
        <v>none</v>
      </c>
      <c r="U80" s="62" t="e">
        <f t="shared" ref="U80:U109" si="186">FIND("effect:",T80)+7</f>
        <v>#VALUE!</v>
      </c>
      <c r="V80" s="62">
        <f t="shared" ref="V80:V109" si="187">IFERROR(FIND(",",T80),LEN(T80))</f>
        <v>4</v>
      </c>
      <c r="W80" s="62" t="e">
        <f t="shared" ref="W80:W109" si="188">FIND("target:",T80)+7</f>
        <v>#VALUE!</v>
      </c>
      <c r="X80" s="62" t="e">
        <f t="shared" ref="X80:X109" si="189">FIND(",",T80,V80+1)</f>
        <v>#VALUE!</v>
      </c>
      <c r="Y80" s="62" t="str">
        <f>IFERROR(VLOOKUP(MID(T80,W80,X80-W80),[6]skilldef!$C:$D,2,FALSE),"-") &amp; " / " &amp; IFERROR(VLOOKUP(MID(T80,U80,V80-U80),[6]skilldef!$A:$B,2,FALSE),"-")</f>
        <v>- / -</v>
      </c>
      <c r="Z80" s="49"/>
      <c r="AA80" s="51"/>
      <c r="AB80" s="49"/>
    </row>
    <row r="81" spans="1:28" ht="21" customHeight="1" x14ac:dyDescent="0.15">
      <c r="A81" s="46">
        <v>40015083</v>
      </c>
      <c r="B81" s="46" t="s">
        <v>374</v>
      </c>
      <c r="C81" s="49">
        <v>3</v>
      </c>
      <c r="D81" s="49" t="s">
        <v>127</v>
      </c>
      <c r="E81" s="144" t="s">
        <v>386</v>
      </c>
      <c r="F81" s="144" t="s">
        <v>411</v>
      </c>
      <c r="G81" s="62" t="str">
        <f t="shared" si="175"/>
        <v>[effect:tolerance, target:myself, turn:-1, tolerance_effect:hungup, count:-1, animation:enemy_tolerance]</v>
      </c>
      <c r="H81" s="62">
        <f t="shared" si="176"/>
        <v>9</v>
      </c>
      <c r="I81" s="62">
        <f t="shared" si="177"/>
        <v>18</v>
      </c>
      <c r="J81" s="62">
        <f t="shared" si="178"/>
        <v>27</v>
      </c>
      <c r="K81" s="62">
        <f t="shared" si="179"/>
        <v>33</v>
      </c>
      <c r="L81" s="62" t="str">
        <f>IFERROR(VLOOKUP(MID(G81,J81,K81-J81),[6]skilldef!$C:$D,2,FALSE),"-") &amp; " / " &amp; IFERROR(VLOOKUP(MID(G81,H81,I81-H81),[6]skilldef!$A:$B,2,FALSE),"-")</f>
        <v>自分自身に / 状態異常耐性</v>
      </c>
      <c r="M81" s="62" t="str">
        <f t="shared" si="180"/>
        <v>none</v>
      </c>
      <c r="N81" s="47" t="str">
        <f>IFERROR(LEFT(M81,FIND("],",M81)+S95),M81)</f>
        <v>none</v>
      </c>
      <c r="O81" s="62" t="e">
        <f t="shared" si="181"/>
        <v>#VALUE!</v>
      </c>
      <c r="P81" s="62">
        <f t="shared" si="182"/>
        <v>4</v>
      </c>
      <c r="Q81" s="62" t="e">
        <f t="shared" si="183"/>
        <v>#VALUE!</v>
      </c>
      <c r="R81" s="62" t="e">
        <f t="shared" si="184"/>
        <v>#VALUE!</v>
      </c>
      <c r="S81" s="62" t="str">
        <f>IFERROR(VLOOKUP(MID(N81,Q81,R81-Q81),[6]skilldef!$C:$D,2,FALSE),"-") &amp; " / " &amp; IFERROR(VLOOKUP(MID(N81,O81,P81-O81),[6]skilldef!$A:$B,2,FALSE),"-")</f>
        <v>- / -</v>
      </c>
      <c r="T81" s="47" t="str">
        <f t="shared" si="185"/>
        <v>none</v>
      </c>
      <c r="U81" s="62" t="e">
        <f t="shared" si="186"/>
        <v>#VALUE!</v>
      </c>
      <c r="V81" s="62">
        <f t="shared" si="187"/>
        <v>4</v>
      </c>
      <c r="W81" s="62" t="e">
        <f t="shared" si="188"/>
        <v>#VALUE!</v>
      </c>
      <c r="X81" s="62" t="e">
        <f t="shared" si="189"/>
        <v>#VALUE!</v>
      </c>
      <c r="Y81" s="62" t="str">
        <f>IFERROR(VLOOKUP(MID(T81,W81,X81-W81),[6]skilldef!$C:$D,2,FALSE),"-") &amp; " / " &amp; IFERROR(VLOOKUP(MID(T81,U81,V81-U81),[6]skilldef!$A:$B,2,FALSE),"-")</f>
        <v>- / -</v>
      </c>
      <c r="Z81" s="49"/>
      <c r="AA81" s="51"/>
      <c r="AB81" s="49"/>
    </row>
    <row r="82" spans="1:28" ht="21" customHeight="1" x14ac:dyDescent="0.15">
      <c r="A82" s="46">
        <v>40015084</v>
      </c>
      <c r="B82" s="46" t="s">
        <v>374</v>
      </c>
      <c r="C82" s="49">
        <v>3</v>
      </c>
      <c r="D82" s="49" t="s">
        <v>127</v>
      </c>
      <c r="E82" s="144" t="s">
        <v>332</v>
      </c>
      <c r="F82" s="144" t="s">
        <v>276</v>
      </c>
      <c r="G82" s="62" t="str">
        <f t="shared" si="175"/>
        <v>[effect:tolerance, target:myself, turn:-1, tolerance_effect:hungup, count:-1, animation:enemy_tolerance]</v>
      </c>
      <c r="H82" s="62">
        <f t="shared" si="176"/>
        <v>9</v>
      </c>
      <c r="I82" s="62">
        <f t="shared" si="177"/>
        <v>18</v>
      </c>
      <c r="J82" s="62">
        <f t="shared" si="178"/>
        <v>27</v>
      </c>
      <c r="K82" s="62">
        <f t="shared" si="179"/>
        <v>33</v>
      </c>
      <c r="L82" s="62" t="str">
        <f>IFERROR(VLOOKUP(MID(G82,J82,K82-J82),[6]skilldef!$C:$D,2,FALSE),"-") &amp; " / " &amp; IFERROR(VLOOKUP(MID(G82,H82,I82-H82),[6]skilldef!$A:$B,2,FALSE),"-")</f>
        <v>自分自身に / 状態異常耐性</v>
      </c>
      <c r="M82" s="62" t="str">
        <f t="shared" si="180"/>
        <v>none</v>
      </c>
      <c r="N82" s="47" t="str">
        <f>IFERROR(LEFT(M82,FIND("],",M82)+S97),M82)</f>
        <v>none</v>
      </c>
      <c r="O82" s="62" t="e">
        <f t="shared" si="181"/>
        <v>#VALUE!</v>
      </c>
      <c r="P82" s="62">
        <f t="shared" si="182"/>
        <v>4</v>
      </c>
      <c r="Q82" s="62" t="e">
        <f t="shared" si="183"/>
        <v>#VALUE!</v>
      </c>
      <c r="R82" s="62" t="e">
        <f t="shared" si="184"/>
        <v>#VALUE!</v>
      </c>
      <c r="S82" s="62" t="str">
        <f>IFERROR(VLOOKUP(MID(N82,Q82,R82-Q82),[6]skilldef!$C:$D,2,FALSE),"-") &amp; " / " &amp; IFERROR(VLOOKUP(MID(N82,O82,P82-O82),[6]skilldef!$A:$B,2,FALSE),"-")</f>
        <v>- / -</v>
      </c>
      <c r="T82" s="47" t="str">
        <f t="shared" si="185"/>
        <v>none</v>
      </c>
      <c r="U82" s="62" t="e">
        <f t="shared" si="186"/>
        <v>#VALUE!</v>
      </c>
      <c r="V82" s="62">
        <f t="shared" si="187"/>
        <v>4</v>
      </c>
      <c r="W82" s="62" t="e">
        <f t="shared" si="188"/>
        <v>#VALUE!</v>
      </c>
      <c r="X82" s="62" t="e">
        <f t="shared" si="189"/>
        <v>#VALUE!</v>
      </c>
      <c r="Y82" s="62" t="str">
        <f>IFERROR(VLOOKUP(MID(T82,W82,X82-W82),[6]skilldef!$C:$D,2,FALSE),"-") &amp; " / " &amp; IFERROR(VLOOKUP(MID(T82,U82,V82-U82),[6]skilldef!$A:$B,2,FALSE),"-")</f>
        <v>- / -</v>
      </c>
      <c r="Z82" s="49"/>
      <c r="AA82" s="51"/>
      <c r="AB82" s="49"/>
    </row>
    <row r="83" spans="1:28" ht="21" customHeight="1" x14ac:dyDescent="0.15">
      <c r="A83" s="46">
        <v>40015085</v>
      </c>
      <c r="B83" s="46" t="s">
        <v>374</v>
      </c>
      <c r="C83" s="49">
        <v>3</v>
      </c>
      <c r="D83" s="49" t="s">
        <v>127</v>
      </c>
      <c r="E83" s="144" t="s">
        <v>261</v>
      </c>
      <c r="F83" s="144" t="s">
        <v>262</v>
      </c>
      <c r="G83" s="62" t="str">
        <f t="shared" ref="G83" si="190">IFERROR(LEFT(B83,FIND("],",B83)),B83)</f>
        <v>[effect:tolerance, target:myself, turn:-1, tolerance_effect:hungup, count:-1, animation:enemy_tolerance]</v>
      </c>
      <c r="H83" s="62">
        <f t="shared" ref="H83" si="191">FIND("effect:",G83)+7</f>
        <v>9</v>
      </c>
      <c r="I83" s="62">
        <f t="shared" ref="I83" si="192">IFERROR(FIND(",",G83),LEN(G83))</f>
        <v>18</v>
      </c>
      <c r="J83" s="62">
        <f t="shared" ref="J83" si="193">FIND("target:",G83)+7</f>
        <v>27</v>
      </c>
      <c r="K83" s="62">
        <f t="shared" ref="K83" si="194">FIND(",",G83,I83+1)</f>
        <v>33</v>
      </c>
      <c r="L83" s="62" t="str">
        <f>IFERROR(VLOOKUP(MID(G83,J83,K83-J83),[6]skilldef!$C:$D,2,FALSE),"-") &amp; " / " &amp; IFERROR(VLOOKUP(MID(G83,H83,I83-H83),[6]skilldef!$A:$B,2,FALSE),"-")</f>
        <v>自分自身に / 状態異常耐性</v>
      </c>
      <c r="M83" s="62" t="str">
        <f t="shared" ref="M83" si="195">IFERROR(RIGHT(B83,LEN(B83)-FIND("],",B83)-1),"none")</f>
        <v>none</v>
      </c>
      <c r="N83" s="47" t="str">
        <f t="shared" ref="N83" si="196">IFERROR(LEFT(M83,FIND("],",M83)+S97),M83)</f>
        <v>none</v>
      </c>
      <c r="O83" s="62" t="e">
        <f t="shared" ref="O83" si="197">FIND("effect:",N83)+7</f>
        <v>#VALUE!</v>
      </c>
      <c r="P83" s="62">
        <f t="shared" ref="P83" si="198">IFERROR(FIND(",",N83),LEN(N83))</f>
        <v>4</v>
      </c>
      <c r="Q83" s="62" t="e">
        <f t="shared" ref="Q83" si="199">FIND("target:",N83)+7</f>
        <v>#VALUE!</v>
      </c>
      <c r="R83" s="62" t="e">
        <f t="shared" ref="R83" si="200">FIND(",",N83,P83+1)</f>
        <v>#VALUE!</v>
      </c>
      <c r="S83" s="62" t="str">
        <f>IFERROR(VLOOKUP(MID(N83,Q83,R83-Q83),[6]skilldef!$C:$D,2,FALSE),"-") &amp; " / " &amp; IFERROR(VLOOKUP(MID(N83,O83,P83-O83),[6]skilldef!$A:$B,2,FALSE),"-")</f>
        <v>- / -</v>
      </c>
      <c r="T83" s="47" t="str">
        <f t="shared" ref="T83" si="201">IFERROR(RIGHT(M83,LEN(M83)-FIND("],",M83)-1),"none")</f>
        <v>none</v>
      </c>
      <c r="U83" s="62" t="e">
        <f t="shared" ref="U83" si="202">FIND("effect:",T83)+7</f>
        <v>#VALUE!</v>
      </c>
      <c r="V83" s="62">
        <f t="shared" ref="V83" si="203">IFERROR(FIND(",",T83),LEN(T83))</f>
        <v>4</v>
      </c>
      <c r="W83" s="62" t="e">
        <f t="shared" ref="W83" si="204">FIND("target:",T83)+7</f>
        <v>#VALUE!</v>
      </c>
      <c r="X83" s="62" t="e">
        <f t="shared" ref="X83" si="205">FIND(",",T83,V83+1)</f>
        <v>#VALUE!</v>
      </c>
      <c r="Y83" s="62" t="str">
        <f>IFERROR(VLOOKUP(MID(T83,W83,X83-W83),[6]skilldef!$C:$D,2,FALSE),"-") &amp; " / " &amp; IFERROR(VLOOKUP(MID(T83,U83,V83-U83),[6]skilldef!$A:$B,2,FALSE),"-")</f>
        <v>- / -</v>
      </c>
      <c r="Z83" s="49"/>
      <c r="AA83" s="51"/>
      <c r="AB83" s="49"/>
    </row>
    <row r="84" spans="1:28" ht="21" customHeight="1" x14ac:dyDescent="0.15">
      <c r="A84" s="46">
        <v>40015086</v>
      </c>
      <c r="B84" s="140" t="s">
        <v>373</v>
      </c>
      <c r="C84" s="49">
        <v>3</v>
      </c>
      <c r="D84" s="49" t="s">
        <v>127</v>
      </c>
      <c r="E84" s="144" t="s">
        <v>261</v>
      </c>
      <c r="F84" s="144" t="s">
        <v>262</v>
      </c>
      <c r="G84" s="62" t="str">
        <f t="shared" si="175"/>
        <v>[effect:tolerance, target:myself, turn:-1, tolerance_effect:hungup, count:-1, animation:enemy_tolerance]</v>
      </c>
      <c r="H84" s="62">
        <f t="shared" si="176"/>
        <v>9</v>
      </c>
      <c r="I84" s="62">
        <f t="shared" si="177"/>
        <v>18</v>
      </c>
      <c r="J84" s="62">
        <f t="shared" si="178"/>
        <v>27</v>
      </c>
      <c r="K84" s="62">
        <f t="shared" si="179"/>
        <v>33</v>
      </c>
      <c r="L84" s="62" t="str">
        <f>IFERROR(VLOOKUP(MID(G84,J84,K84-J84),[6]skilldef!$C:$D,2,FALSE),"-") &amp; " / " &amp; IFERROR(VLOOKUP(MID(G84,H84,I84-H84),[6]skilldef!$A:$B,2,FALSE),"-")</f>
        <v>自分自身に / 状態異常耐性</v>
      </c>
      <c r="M84" s="62" t="str">
        <f t="shared" si="180"/>
        <v>none</v>
      </c>
      <c r="N84" s="47" t="str">
        <f>IFERROR(LEFT(M84,FIND("],",M84)+S99),M84)</f>
        <v>none</v>
      </c>
      <c r="O84" s="62" t="e">
        <f t="shared" si="181"/>
        <v>#VALUE!</v>
      </c>
      <c r="P84" s="62">
        <f t="shared" si="182"/>
        <v>4</v>
      </c>
      <c r="Q84" s="62" t="e">
        <f t="shared" si="183"/>
        <v>#VALUE!</v>
      </c>
      <c r="R84" s="62" t="e">
        <f t="shared" si="184"/>
        <v>#VALUE!</v>
      </c>
      <c r="S84" s="62" t="str">
        <f>IFERROR(VLOOKUP(MID(N84,Q84,R84-Q84),[6]skilldef!$C:$D,2,FALSE),"-") &amp; " / " &amp; IFERROR(VLOOKUP(MID(N84,O84,P84-O84),[6]skilldef!$A:$B,2,FALSE),"-")</f>
        <v>- / -</v>
      </c>
      <c r="T84" s="47" t="str">
        <f t="shared" si="185"/>
        <v>none</v>
      </c>
      <c r="U84" s="62" t="e">
        <f t="shared" si="186"/>
        <v>#VALUE!</v>
      </c>
      <c r="V84" s="62">
        <f t="shared" si="187"/>
        <v>4</v>
      </c>
      <c r="W84" s="62" t="e">
        <f t="shared" si="188"/>
        <v>#VALUE!</v>
      </c>
      <c r="X84" s="62" t="e">
        <f t="shared" si="189"/>
        <v>#VALUE!</v>
      </c>
      <c r="Y84" s="62" t="str">
        <f>IFERROR(VLOOKUP(MID(T84,W84,X84-W84),[6]skilldef!$C:$D,2,FALSE),"-") &amp; " / " &amp; IFERROR(VLOOKUP(MID(T84,U84,V84-U84),[6]skilldef!$A:$B,2,FALSE),"-")</f>
        <v>- / -</v>
      </c>
      <c r="Z84" s="49"/>
      <c r="AA84" s="51"/>
      <c r="AB84" s="49"/>
    </row>
    <row r="85" spans="1:28" ht="21" customHeight="1" x14ac:dyDescent="0.15">
      <c r="A85" s="46">
        <v>40015087</v>
      </c>
      <c r="B85" s="140" t="s">
        <v>373</v>
      </c>
      <c r="C85" s="49">
        <v>3</v>
      </c>
      <c r="D85" s="49" t="s">
        <v>127</v>
      </c>
      <c r="E85" s="127" t="s">
        <v>425</v>
      </c>
      <c r="F85" s="144" t="s">
        <v>328</v>
      </c>
      <c r="G85" s="62" t="str">
        <f t="shared" si="175"/>
        <v>[effect:tolerance, target:myself, turn:-1, tolerance_effect:hungup, count:-1, animation:enemy_tolerance]</v>
      </c>
      <c r="H85" s="62">
        <f t="shared" si="176"/>
        <v>9</v>
      </c>
      <c r="I85" s="62">
        <f t="shared" si="177"/>
        <v>18</v>
      </c>
      <c r="J85" s="62">
        <f t="shared" si="178"/>
        <v>27</v>
      </c>
      <c r="K85" s="62">
        <f t="shared" si="179"/>
        <v>33</v>
      </c>
      <c r="L85" s="62" t="str">
        <f>IFERROR(VLOOKUP(MID(G85,J85,K85-J85),[6]skilldef!$C:$D,2,FALSE),"-") &amp; " / " &amp; IFERROR(VLOOKUP(MID(G85,H85,I85-H85),[6]skilldef!$A:$B,2,FALSE),"-")</f>
        <v>自分自身に / 状態異常耐性</v>
      </c>
      <c r="M85" s="62" t="str">
        <f t="shared" si="180"/>
        <v>none</v>
      </c>
      <c r="N85" s="47" t="str">
        <f>IFERROR(LEFT(M85,FIND("],",M85)+S100),M85)</f>
        <v>none</v>
      </c>
      <c r="O85" s="62" t="e">
        <f t="shared" si="181"/>
        <v>#VALUE!</v>
      </c>
      <c r="P85" s="62">
        <f t="shared" si="182"/>
        <v>4</v>
      </c>
      <c r="Q85" s="62" t="e">
        <f t="shared" si="183"/>
        <v>#VALUE!</v>
      </c>
      <c r="R85" s="62" t="e">
        <f t="shared" si="184"/>
        <v>#VALUE!</v>
      </c>
      <c r="S85" s="62" t="str">
        <f>IFERROR(VLOOKUP(MID(N85,Q85,R85-Q85),[6]skilldef!$C:$D,2,FALSE),"-") &amp; " / " &amp; IFERROR(VLOOKUP(MID(N85,O85,P85-O85),[6]skilldef!$A:$B,2,FALSE),"-")</f>
        <v>- / -</v>
      </c>
      <c r="T85" s="47" t="str">
        <f t="shared" si="185"/>
        <v>none</v>
      </c>
      <c r="U85" s="62" t="e">
        <f t="shared" si="186"/>
        <v>#VALUE!</v>
      </c>
      <c r="V85" s="62">
        <f t="shared" si="187"/>
        <v>4</v>
      </c>
      <c r="W85" s="62" t="e">
        <f t="shared" si="188"/>
        <v>#VALUE!</v>
      </c>
      <c r="X85" s="62" t="e">
        <f t="shared" si="189"/>
        <v>#VALUE!</v>
      </c>
      <c r="Y85" s="62" t="str">
        <f>IFERROR(VLOOKUP(MID(T85,W85,X85-W85),[6]skilldef!$C:$D,2,FALSE),"-") &amp; " / " &amp; IFERROR(VLOOKUP(MID(T85,U85,V85-U85),[6]skilldef!$A:$B,2,FALSE),"-")</f>
        <v>- / -</v>
      </c>
      <c r="Z85" s="49"/>
      <c r="AA85" s="51"/>
      <c r="AB85" s="49"/>
    </row>
    <row r="86" spans="1:28" ht="21" customHeight="1" x14ac:dyDescent="0.15">
      <c r="A86" s="46">
        <v>40015088</v>
      </c>
      <c r="B86" s="140" t="s">
        <v>373</v>
      </c>
      <c r="C86" s="49">
        <v>3</v>
      </c>
      <c r="D86" s="49" t="s">
        <v>127</v>
      </c>
      <c r="E86" s="127" t="s">
        <v>425</v>
      </c>
      <c r="F86" s="144" t="s">
        <v>328</v>
      </c>
      <c r="G86" s="62" t="str">
        <f t="shared" ref="G86:G87" si="206">IFERROR(LEFT(B86,FIND("],",B86)),B86)</f>
        <v>[effect:tolerance, target:myself, turn:-1, tolerance_effect:hungup, count:-1, animation:enemy_tolerance]</v>
      </c>
      <c r="H86" s="62">
        <f t="shared" ref="H86:H87" si="207">FIND("effect:",G86)+7</f>
        <v>9</v>
      </c>
      <c r="I86" s="62">
        <f t="shared" ref="I86:I87" si="208">IFERROR(FIND(",",G86),LEN(G86))</f>
        <v>18</v>
      </c>
      <c r="J86" s="62">
        <f t="shared" ref="J86:J87" si="209">FIND("target:",G86)+7</f>
        <v>27</v>
      </c>
      <c r="K86" s="62">
        <f t="shared" ref="K86:K87" si="210">FIND(",",G86,I86+1)</f>
        <v>33</v>
      </c>
      <c r="L86" s="62" t="str">
        <f>IFERROR(VLOOKUP(MID(G86,J86,K86-J86),[6]skilldef!$C:$D,2,FALSE),"-") &amp; " / " &amp; IFERROR(VLOOKUP(MID(G86,H86,I86-H86),[6]skilldef!$A:$B,2,FALSE),"-")</f>
        <v>自分自身に / 状態異常耐性</v>
      </c>
      <c r="M86" s="62" t="str">
        <f t="shared" ref="M86:M87" si="211">IFERROR(RIGHT(B86,LEN(B86)-FIND("],",B86)-1),"none")</f>
        <v>none</v>
      </c>
      <c r="N86" s="47" t="str">
        <f>IFERROR(LEFT(M86,FIND("],",M86)+S101),M86)</f>
        <v>none</v>
      </c>
      <c r="O86" s="62" t="e">
        <f t="shared" ref="O86:O87" si="212">FIND("effect:",N86)+7</f>
        <v>#VALUE!</v>
      </c>
      <c r="P86" s="62">
        <f t="shared" ref="P86:P87" si="213">IFERROR(FIND(",",N86),LEN(N86))</f>
        <v>4</v>
      </c>
      <c r="Q86" s="62" t="e">
        <f t="shared" ref="Q86:Q87" si="214">FIND("target:",N86)+7</f>
        <v>#VALUE!</v>
      </c>
      <c r="R86" s="62" t="e">
        <f t="shared" ref="R86:R87" si="215">FIND(",",N86,P86+1)</f>
        <v>#VALUE!</v>
      </c>
      <c r="S86" s="62" t="str">
        <f>IFERROR(VLOOKUP(MID(N86,Q86,R86-Q86),[6]skilldef!$C:$D,2,FALSE),"-") &amp; " / " &amp; IFERROR(VLOOKUP(MID(N86,O86,P86-O86),[6]skilldef!$A:$B,2,FALSE),"-")</f>
        <v>- / -</v>
      </c>
      <c r="T86" s="47" t="str">
        <f t="shared" ref="T86:T87" si="216">IFERROR(RIGHT(M86,LEN(M86)-FIND("],",M86)-1),"none")</f>
        <v>none</v>
      </c>
      <c r="U86" s="62" t="e">
        <f t="shared" ref="U86:U87" si="217">FIND("effect:",T86)+7</f>
        <v>#VALUE!</v>
      </c>
      <c r="V86" s="62">
        <f t="shared" ref="V86:V87" si="218">IFERROR(FIND(",",T86),LEN(T86))</f>
        <v>4</v>
      </c>
      <c r="W86" s="62" t="e">
        <f t="shared" ref="W86:W87" si="219">FIND("target:",T86)+7</f>
        <v>#VALUE!</v>
      </c>
      <c r="X86" s="62" t="e">
        <f t="shared" ref="X86:X87" si="220">FIND(",",T86,V86+1)</f>
        <v>#VALUE!</v>
      </c>
      <c r="Y86" s="62" t="str">
        <f>IFERROR(VLOOKUP(MID(T86,W86,X86-W86),[6]skilldef!$C:$D,2,FALSE),"-") &amp; " / " &amp; IFERROR(VLOOKUP(MID(T86,U86,V86-U86),[6]skilldef!$A:$B,2,FALSE),"-")</f>
        <v>- / -</v>
      </c>
      <c r="Z86" s="49"/>
      <c r="AA86" s="51"/>
      <c r="AB86" s="49"/>
    </row>
    <row r="87" spans="1:28" ht="21" customHeight="1" x14ac:dyDescent="0.15">
      <c r="A87" s="46">
        <v>40015089</v>
      </c>
      <c r="B87" s="140" t="s">
        <v>373</v>
      </c>
      <c r="C87" s="49">
        <v>3</v>
      </c>
      <c r="D87" s="49" t="s">
        <v>127</v>
      </c>
      <c r="E87" s="144" t="s">
        <v>278</v>
      </c>
      <c r="F87" s="144" t="s">
        <v>263</v>
      </c>
      <c r="G87" s="62" t="str">
        <f t="shared" si="206"/>
        <v>[effect:tolerance, target:myself, turn:-1, tolerance_effect:hungup, count:-1, animation:enemy_tolerance]</v>
      </c>
      <c r="H87" s="62">
        <f t="shared" si="207"/>
        <v>9</v>
      </c>
      <c r="I87" s="62">
        <f t="shared" si="208"/>
        <v>18</v>
      </c>
      <c r="J87" s="62">
        <f t="shared" si="209"/>
        <v>27</v>
      </c>
      <c r="K87" s="62">
        <f t="shared" si="210"/>
        <v>33</v>
      </c>
      <c r="L87" s="62" t="str">
        <f>IFERROR(VLOOKUP(MID(G87,J87,K87-J87),[6]skilldef!$C:$D,2,FALSE),"-") &amp; " / " &amp; IFERROR(VLOOKUP(MID(G87,H87,I87-H87),[6]skilldef!$A:$B,2,FALSE),"-")</f>
        <v>自分自身に / 状態異常耐性</v>
      </c>
      <c r="M87" s="62" t="str">
        <f t="shared" si="211"/>
        <v>none</v>
      </c>
      <c r="N87" s="47" t="str">
        <f t="shared" ref="N87" si="221">IFERROR(LEFT(M87,FIND("],",M87)+S100),M87)</f>
        <v>none</v>
      </c>
      <c r="O87" s="62" t="e">
        <f t="shared" si="212"/>
        <v>#VALUE!</v>
      </c>
      <c r="P87" s="62">
        <f t="shared" si="213"/>
        <v>4</v>
      </c>
      <c r="Q87" s="62" t="e">
        <f t="shared" si="214"/>
        <v>#VALUE!</v>
      </c>
      <c r="R87" s="62" t="e">
        <f t="shared" si="215"/>
        <v>#VALUE!</v>
      </c>
      <c r="S87" s="62" t="str">
        <f>IFERROR(VLOOKUP(MID(N87,Q87,R87-Q87),[6]skilldef!$C:$D,2,FALSE),"-") &amp; " / " &amp; IFERROR(VLOOKUP(MID(N87,O87,P87-O87),[6]skilldef!$A:$B,2,FALSE),"-")</f>
        <v>- / -</v>
      </c>
      <c r="T87" s="47" t="str">
        <f t="shared" si="216"/>
        <v>none</v>
      </c>
      <c r="U87" s="62" t="e">
        <f t="shared" si="217"/>
        <v>#VALUE!</v>
      </c>
      <c r="V87" s="62">
        <f t="shared" si="218"/>
        <v>4</v>
      </c>
      <c r="W87" s="62" t="e">
        <f t="shared" si="219"/>
        <v>#VALUE!</v>
      </c>
      <c r="X87" s="62" t="e">
        <f t="shared" si="220"/>
        <v>#VALUE!</v>
      </c>
      <c r="Y87" s="62" t="str">
        <f>IFERROR(VLOOKUP(MID(T87,W87,X87-W87),[6]skilldef!$C:$D,2,FALSE),"-") &amp; " / " &amp; IFERROR(VLOOKUP(MID(T87,U87,V87-U87),[6]skilldef!$A:$B,2,FALSE),"-")</f>
        <v>- / -</v>
      </c>
      <c r="Z87" s="49"/>
      <c r="AA87" s="51"/>
      <c r="AB87" s="49"/>
    </row>
    <row r="88" spans="1:28" ht="21" customHeight="1" x14ac:dyDescent="0.15">
      <c r="A88" s="46">
        <v>40015090</v>
      </c>
      <c r="B88" s="140" t="s">
        <v>373</v>
      </c>
      <c r="C88" s="49">
        <v>3</v>
      </c>
      <c r="D88" s="49" t="s">
        <v>127</v>
      </c>
      <c r="E88" s="144" t="s">
        <v>278</v>
      </c>
      <c r="F88" s="144" t="s">
        <v>263</v>
      </c>
      <c r="G88" s="62" t="str">
        <f t="shared" si="175"/>
        <v>[effect:tolerance, target:myself, turn:-1, tolerance_effect:hungup, count:-1, animation:enemy_tolerance]</v>
      </c>
      <c r="H88" s="62">
        <f t="shared" si="176"/>
        <v>9</v>
      </c>
      <c r="I88" s="62">
        <f t="shared" si="177"/>
        <v>18</v>
      </c>
      <c r="J88" s="62">
        <f t="shared" si="178"/>
        <v>27</v>
      </c>
      <c r="K88" s="62">
        <f t="shared" si="179"/>
        <v>33</v>
      </c>
      <c r="L88" s="62" t="str">
        <f>IFERROR(VLOOKUP(MID(G88,J88,K88-J88),[6]skilldef!$C:$D,2,FALSE),"-") &amp; " / " &amp; IFERROR(VLOOKUP(MID(G88,H88,I88-H88),[6]skilldef!$A:$B,2,FALSE),"-")</f>
        <v>自分自身に / 状態異常耐性</v>
      </c>
      <c r="M88" s="62" t="str">
        <f t="shared" si="180"/>
        <v>none</v>
      </c>
      <c r="N88" s="47" t="str">
        <f>IFERROR(LEFT(M88,FIND("],",M88)+S101),M88)</f>
        <v>none</v>
      </c>
      <c r="O88" s="62" t="e">
        <f t="shared" si="181"/>
        <v>#VALUE!</v>
      </c>
      <c r="P88" s="62">
        <f t="shared" si="182"/>
        <v>4</v>
      </c>
      <c r="Q88" s="62" t="e">
        <f t="shared" si="183"/>
        <v>#VALUE!</v>
      </c>
      <c r="R88" s="62" t="e">
        <f t="shared" si="184"/>
        <v>#VALUE!</v>
      </c>
      <c r="S88" s="62" t="str">
        <f>IFERROR(VLOOKUP(MID(N88,Q88,R88-Q88),[6]skilldef!$C:$D,2,FALSE),"-") &amp; " / " &amp; IFERROR(VLOOKUP(MID(N88,O88,P88-O88),[6]skilldef!$A:$B,2,FALSE),"-")</f>
        <v>- / -</v>
      </c>
      <c r="T88" s="47" t="str">
        <f t="shared" si="185"/>
        <v>none</v>
      </c>
      <c r="U88" s="62" t="e">
        <f t="shared" si="186"/>
        <v>#VALUE!</v>
      </c>
      <c r="V88" s="62">
        <f t="shared" si="187"/>
        <v>4</v>
      </c>
      <c r="W88" s="62" t="e">
        <f t="shared" si="188"/>
        <v>#VALUE!</v>
      </c>
      <c r="X88" s="62" t="e">
        <f t="shared" si="189"/>
        <v>#VALUE!</v>
      </c>
      <c r="Y88" s="62" t="str">
        <f>IFERROR(VLOOKUP(MID(T88,W88,X88-W88),[6]skilldef!$C:$D,2,FALSE),"-") &amp; " / " &amp; IFERROR(VLOOKUP(MID(T88,U88,V88-U88),[6]skilldef!$A:$B,2,FALSE),"-")</f>
        <v>- / -</v>
      </c>
      <c r="Z88" s="49"/>
      <c r="AA88" s="51"/>
      <c r="AB88" s="49"/>
    </row>
    <row r="89" spans="1:28" ht="21" customHeight="1" x14ac:dyDescent="0.15">
      <c r="A89" s="46">
        <v>40015091</v>
      </c>
      <c r="B89" s="140" t="s">
        <v>373</v>
      </c>
      <c r="C89" s="49">
        <v>3</v>
      </c>
      <c r="D89" s="49" t="s">
        <v>127</v>
      </c>
      <c r="E89" s="144" t="s">
        <v>264</v>
      </c>
      <c r="F89" s="144" t="s">
        <v>369</v>
      </c>
      <c r="G89" s="62" t="str">
        <f t="shared" si="175"/>
        <v>[effect:tolerance, target:myself, turn:-1, tolerance_effect:hungup, count:-1, animation:enemy_tolerance]</v>
      </c>
      <c r="H89" s="62">
        <f t="shared" si="176"/>
        <v>9</v>
      </c>
      <c r="I89" s="62">
        <f t="shared" si="177"/>
        <v>18</v>
      </c>
      <c r="J89" s="62">
        <f t="shared" si="178"/>
        <v>27</v>
      </c>
      <c r="K89" s="62">
        <f t="shared" si="179"/>
        <v>33</v>
      </c>
      <c r="L89" s="62" t="str">
        <f>IFERROR(VLOOKUP(MID(G89,J89,K89-J89),[6]skilldef!$C:$D,2,FALSE),"-") &amp; " / " &amp; IFERROR(VLOOKUP(MID(G89,H89,I89-H89),[6]skilldef!$A:$B,2,FALSE),"-")</f>
        <v>自分自身に / 状態異常耐性</v>
      </c>
      <c r="M89" s="62" t="str">
        <f t="shared" si="180"/>
        <v>none</v>
      </c>
      <c r="N89" s="47" t="str">
        <f>IFERROR(LEFT(M89,FIND("],",M89)+S102),M89)</f>
        <v>none</v>
      </c>
      <c r="O89" s="62" t="e">
        <f t="shared" si="181"/>
        <v>#VALUE!</v>
      </c>
      <c r="P89" s="62">
        <f t="shared" si="182"/>
        <v>4</v>
      </c>
      <c r="Q89" s="62" t="e">
        <f t="shared" si="183"/>
        <v>#VALUE!</v>
      </c>
      <c r="R89" s="62" t="e">
        <f t="shared" si="184"/>
        <v>#VALUE!</v>
      </c>
      <c r="S89" s="62" t="str">
        <f>IFERROR(VLOOKUP(MID(N89,Q89,R89-Q89),[6]skilldef!$C:$D,2,FALSE),"-") &amp; " / " &amp; IFERROR(VLOOKUP(MID(N89,O89,P89-O89),[6]skilldef!$A:$B,2,FALSE),"-")</f>
        <v>- / -</v>
      </c>
      <c r="T89" s="47" t="str">
        <f t="shared" si="185"/>
        <v>none</v>
      </c>
      <c r="U89" s="62" t="e">
        <f t="shared" si="186"/>
        <v>#VALUE!</v>
      </c>
      <c r="V89" s="62">
        <f t="shared" si="187"/>
        <v>4</v>
      </c>
      <c r="W89" s="62" t="e">
        <f t="shared" si="188"/>
        <v>#VALUE!</v>
      </c>
      <c r="X89" s="62" t="e">
        <f t="shared" si="189"/>
        <v>#VALUE!</v>
      </c>
      <c r="Y89" s="62" t="str">
        <f>IFERROR(VLOOKUP(MID(T89,W89,X89-W89),[6]skilldef!$C:$D,2,FALSE),"-") &amp; " / " &amp; IFERROR(VLOOKUP(MID(T89,U89,V89-U89),[6]skilldef!$A:$B,2,FALSE),"-")</f>
        <v>- / -</v>
      </c>
      <c r="Z89" s="49"/>
      <c r="AA89" s="51"/>
      <c r="AB89" s="49"/>
    </row>
    <row r="90" spans="1:28" ht="21" customHeight="1" x14ac:dyDescent="0.15">
      <c r="A90" s="46">
        <v>40015092</v>
      </c>
      <c r="B90" s="140" t="s">
        <v>375</v>
      </c>
      <c r="C90" s="49">
        <v>3</v>
      </c>
      <c r="D90" s="49" t="s">
        <v>127</v>
      </c>
      <c r="E90" s="145" t="s">
        <v>387</v>
      </c>
      <c r="F90" s="145" t="s">
        <v>421</v>
      </c>
      <c r="G90" s="62" t="str">
        <f t="shared" si="175"/>
        <v>[effect:tolerance, target:myself, turn:-1, tolerance_effect:hungup, count:-1, animation:enemy_tolerance]</v>
      </c>
      <c r="H90" s="62">
        <f t="shared" si="176"/>
        <v>9</v>
      </c>
      <c r="I90" s="62">
        <f t="shared" si="177"/>
        <v>18</v>
      </c>
      <c r="J90" s="62">
        <f t="shared" si="178"/>
        <v>27</v>
      </c>
      <c r="K90" s="62">
        <f t="shared" si="179"/>
        <v>33</v>
      </c>
      <c r="L90" s="62" t="str">
        <f>IFERROR(VLOOKUP(MID(G90,J90,K90-J90),[6]skilldef!$C:$D,2,FALSE),"-") &amp; " / " &amp; IFERROR(VLOOKUP(MID(G90,H90,I90-H90),[6]skilldef!$A:$B,2,FALSE),"-")</f>
        <v>自分自身に / 状態異常耐性</v>
      </c>
      <c r="M90" s="62" t="str">
        <f t="shared" si="180"/>
        <v>[effect:fix_speed, target:myself, turn:1]</v>
      </c>
      <c r="N90" s="47" t="str">
        <f>IFERROR(LEFT(M90,FIND("],",M90)+S103),M90)</f>
        <v>[effect:fix_speed, target:myself, turn:1]</v>
      </c>
      <c r="O90" s="62">
        <f t="shared" si="181"/>
        <v>9</v>
      </c>
      <c r="P90" s="62">
        <f t="shared" si="182"/>
        <v>18</v>
      </c>
      <c r="Q90" s="62">
        <f t="shared" si="183"/>
        <v>27</v>
      </c>
      <c r="R90" s="62">
        <f t="shared" si="184"/>
        <v>33</v>
      </c>
      <c r="S90" s="62" t="str">
        <f>IFERROR(VLOOKUP(MID(N90,Q90,R90-Q90),[6]skilldef!$C:$D,2,FALSE),"-") &amp; " / " &amp; IFERROR(VLOOKUP(MID(N90,O90,P90-O90),[6]skilldef!$A:$B,2,FALSE),"-")</f>
        <v>自分自身に / 行動値設定</v>
      </c>
      <c r="T90" s="47" t="str">
        <f t="shared" si="185"/>
        <v>none</v>
      </c>
      <c r="U90" s="62" t="e">
        <f t="shared" si="186"/>
        <v>#VALUE!</v>
      </c>
      <c r="V90" s="62">
        <f t="shared" si="187"/>
        <v>4</v>
      </c>
      <c r="W90" s="62" t="e">
        <f t="shared" si="188"/>
        <v>#VALUE!</v>
      </c>
      <c r="X90" s="62" t="e">
        <f t="shared" si="189"/>
        <v>#VALUE!</v>
      </c>
      <c r="Y90" s="62" t="str">
        <f>IFERROR(VLOOKUP(MID(T90,W90,X90-W90),[6]skilldef!$C:$D,2,FALSE),"-") &amp; " / " &amp; IFERROR(VLOOKUP(MID(T90,U90,V90-U90),[6]skilldef!$A:$B,2,FALSE),"-")</f>
        <v>- / -</v>
      </c>
      <c r="Z90" s="49"/>
      <c r="AA90" s="51"/>
      <c r="AB90" s="49"/>
    </row>
    <row r="91" spans="1:28" ht="21" customHeight="1" x14ac:dyDescent="0.15">
      <c r="A91" s="46">
        <v>40015093</v>
      </c>
      <c r="B91" s="140" t="s">
        <v>375</v>
      </c>
      <c r="C91" s="49">
        <v>3</v>
      </c>
      <c r="D91" s="49" t="s">
        <v>127</v>
      </c>
      <c r="E91" s="145" t="s">
        <v>341</v>
      </c>
      <c r="F91" s="145" t="s">
        <v>395</v>
      </c>
      <c r="G91" s="62" t="str">
        <f t="shared" si="175"/>
        <v>[effect:tolerance, target:myself, turn:-1, tolerance_effect:hungup, count:-1, animation:enemy_tolerance]</v>
      </c>
      <c r="H91" s="62">
        <f t="shared" si="176"/>
        <v>9</v>
      </c>
      <c r="I91" s="62">
        <f t="shared" si="177"/>
        <v>18</v>
      </c>
      <c r="J91" s="62">
        <f t="shared" si="178"/>
        <v>27</v>
      </c>
      <c r="K91" s="62">
        <f t="shared" si="179"/>
        <v>33</v>
      </c>
      <c r="L91" s="62" t="str">
        <f>IFERROR(VLOOKUP(MID(G91,J91,K91-J91),[6]skilldef!$C:$D,2,FALSE),"-") &amp; " / " &amp; IFERROR(VLOOKUP(MID(G91,H91,I91-H91),[6]skilldef!$A:$B,2,FALSE),"-")</f>
        <v>自分自身に / 状態異常耐性</v>
      </c>
      <c r="M91" s="62" t="str">
        <f t="shared" si="180"/>
        <v>[effect:fix_speed, target:myself, turn:1]</v>
      </c>
      <c r="N91" s="47" t="str">
        <f>IFERROR(LEFT(M91,FIND("],",M91)+S105),M91)</f>
        <v>[effect:fix_speed, target:myself, turn:1]</v>
      </c>
      <c r="O91" s="62">
        <f t="shared" si="181"/>
        <v>9</v>
      </c>
      <c r="P91" s="62">
        <f t="shared" si="182"/>
        <v>18</v>
      </c>
      <c r="Q91" s="62">
        <f t="shared" si="183"/>
        <v>27</v>
      </c>
      <c r="R91" s="62">
        <f t="shared" si="184"/>
        <v>33</v>
      </c>
      <c r="S91" s="62" t="str">
        <f>IFERROR(VLOOKUP(MID(N91,Q91,R91-Q91),[6]skilldef!$C:$D,2,FALSE),"-") &amp; " / " &amp; IFERROR(VLOOKUP(MID(N91,O91,P91-O91),[6]skilldef!$A:$B,2,FALSE),"-")</f>
        <v>自分自身に / 行動値設定</v>
      </c>
      <c r="T91" s="47" t="str">
        <f t="shared" si="185"/>
        <v>none</v>
      </c>
      <c r="U91" s="62" t="e">
        <f t="shared" si="186"/>
        <v>#VALUE!</v>
      </c>
      <c r="V91" s="62">
        <f t="shared" si="187"/>
        <v>4</v>
      </c>
      <c r="W91" s="62" t="e">
        <f t="shared" si="188"/>
        <v>#VALUE!</v>
      </c>
      <c r="X91" s="62" t="e">
        <f t="shared" si="189"/>
        <v>#VALUE!</v>
      </c>
      <c r="Y91" s="62" t="str">
        <f>IFERROR(VLOOKUP(MID(T91,W91,X91-W91),[6]skilldef!$C:$D,2,FALSE),"-") &amp; " / " &amp; IFERROR(VLOOKUP(MID(T91,U91,V91-U91),[6]skilldef!$A:$B,2,FALSE),"-")</f>
        <v>- / -</v>
      </c>
      <c r="Z91" s="49"/>
      <c r="AA91" s="51"/>
      <c r="AB91" s="49"/>
    </row>
    <row r="92" spans="1:28" ht="21" customHeight="1" x14ac:dyDescent="0.15">
      <c r="A92" s="46">
        <v>40015094</v>
      </c>
      <c r="B92" s="140" t="s">
        <v>375</v>
      </c>
      <c r="C92" s="49">
        <v>3</v>
      </c>
      <c r="D92" s="49" t="s">
        <v>127</v>
      </c>
      <c r="E92" s="145" t="s">
        <v>408</v>
      </c>
      <c r="F92" s="145" t="s">
        <v>388</v>
      </c>
      <c r="G92" s="62" t="str">
        <f t="shared" si="175"/>
        <v>[effect:tolerance, target:myself, turn:-1, tolerance_effect:hungup, count:-1, animation:enemy_tolerance]</v>
      </c>
      <c r="H92" s="62">
        <f t="shared" si="176"/>
        <v>9</v>
      </c>
      <c r="I92" s="62">
        <f t="shared" si="177"/>
        <v>18</v>
      </c>
      <c r="J92" s="62">
        <f t="shared" si="178"/>
        <v>27</v>
      </c>
      <c r="K92" s="62">
        <f t="shared" si="179"/>
        <v>33</v>
      </c>
      <c r="L92" s="62" t="str">
        <f>IFERROR(VLOOKUP(MID(G92,J92,K92-J92),[6]skilldef!$C:$D,2,FALSE),"-") &amp; " / " &amp; IFERROR(VLOOKUP(MID(G92,H92,I92-H92),[6]skilldef!$A:$B,2,FALSE),"-")</f>
        <v>自分自身に / 状態異常耐性</v>
      </c>
      <c r="M92" s="62" t="str">
        <f t="shared" si="180"/>
        <v>[effect:fix_speed, target:myself, turn:1]</v>
      </c>
      <c r="N92" s="47" t="str">
        <f>IFERROR(LEFT(M92,FIND("],",M92)+S108),M92)</f>
        <v>[effect:fix_speed, target:myself, turn:1]</v>
      </c>
      <c r="O92" s="62">
        <f t="shared" si="181"/>
        <v>9</v>
      </c>
      <c r="P92" s="62">
        <f t="shared" si="182"/>
        <v>18</v>
      </c>
      <c r="Q92" s="62">
        <f t="shared" si="183"/>
        <v>27</v>
      </c>
      <c r="R92" s="62">
        <f t="shared" si="184"/>
        <v>33</v>
      </c>
      <c r="S92" s="62" t="str">
        <f>IFERROR(VLOOKUP(MID(N92,Q92,R92-Q92),[6]skilldef!$C:$D,2,FALSE),"-") &amp; " / " &amp; IFERROR(VLOOKUP(MID(N92,O92,P92-O92),[6]skilldef!$A:$B,2,FALSE),"-")</f>
        <v>自分自身に / 行動値設定</v>
      </c>
      <c r="T92" s="47" t="str">
        <f t="shared" si="185"/>
        <v>none</v>
      </c>
      <c r="U92" s="62" t="e">
        <f t="shared" si="186"/>
        <v>#VALUE!</v>
      </c>
      <c r="V92" s="62">
        <f t="shared" si="187"/>
        <v>4</v>
      </c>
      <c r="W92" s="62" t="e">
        <f t="shared" si="188"/>
        <v>#VALUE!</v>
      </c>
      <c r="X92" s="62" t="e">
        <f t="shared" si="189"/>
        <v>#VALUE!</v>
      </c>
      <c r="Y92" s="62" t="str">
        <f>IFERROR(VLOOKUP(MID(T92,W92,X92-W92),[6]skilldef!$C:$D,2,FALSE),"-") &amp; " / " &amp; IFERROR(VLOOKUP(MID(T92,U92,V92-U92),[6]skilldef!$A:$B,2,FALSE),"-")</f>
        <v>- / -</v>
      </c>
      <c r="Z92" s="49"/>
      <c r="AA92" s="51"/>
      <c r="AB92" s="49"/>
    </row>
    <row r="93" spans="1:28" ht="21" customHeight="1" x14ac:dyDescent="0.15">
      <c r="A93" s="46">
        <v>40015095</v>
      </c>
      <c r="B93" s="46" t="s">
        <v>259</v>
      </c>
      <c r="C93" s="49">
        <v>3</v>
      </c>
      <c r="D93" s="49" t="s">
        <v>127</v>
      </c>
      <c r="E93" s="145" t="s">
        <v>356</v>
      </c>
      <c r="F93" s="145" t="s">
        <v>295</v>
      </c>
      <c r="G93" s="62" t="str">
        <f t="shared" si="175"/>
        <v>[effect:tolerance, target:myself, turn:-1, tolerance_effect:hungup, count:-1, animation:enemy_tolerance]</v>
      </c>
      <c r="H93" s="62">
        <f t="shared" si="176"/>
        <v>9</v>
      </c>
      <c r="I93" s="62">
        <f t="shared" si="177"/>
        <v>18</v>
      </c>
      <c r="J93" s="62">
        <f t="shared" si="178"/>
        <v>27</v>
      </c>
      <c r="K93" s="62">
        <f t="shared" si="179"/>
        <v>33</v>
      </c>
      <c r="L93" s="62" t="str">
        <f>IFERROR(VLOOKUP(MID(G93,J93,K93-J93),[6]skilldef!$C:$D,2,FALSE),"-") &amp; " / " &amp; IFERROR(VLOOKUP(MID(G93,H93,I93-H93),[6]skilldef!$A:$B,2,FALSE),"-")</f>
        <v>自分自身に / 状態異常耐性</v>
      </c>
      <c r="M93" s="62" t="str">
        <f t="shared" si="180"/>
        <v>[effect:fix_speed, target:myself, turn:1]</v>
      </c>
      <c r="N93" s="47" t="str">
        <f>IFERROR(LEFT(M93,FIND("],",M93)+S109),M93)</f>
        <v>[effect:fix_speed, target:myself, turn:1]</v>
      </c>
      <c r="O93" s="62">
        <f t="shared" si="181"/>
        <v>9</v>
      </c>
      <c r="P93" s="62">
        <f t="shared" si="182"/>
        <v>18</v>
      </c>
      <c r="Q93" s="62">
        <f t="shared" si="183"/>
        <v>27</v>
      </c>
      <c r="R93" s="62">
        <f t="shared" si="184"/>
        <v>33</v>
      </c>
      <c r="S93" s="62" t="str">
        <f>IFERROR(VLOOKUP(MID(N93,Q93,R93-Q93),[6]skilldef!$C:$D,2,FALSE),"-") &amp; " / " &amp; IFERROR(VLOOKUP(MID(N93,O93,P93-O93),[6]skilldef!$A:$B,2,FALSE),"-")</f>
        <v>自分自身に / 行動値設定</v>
      </c>
      <c r="T93" s="47" t="str">
        <f t="shared" si="185"/>
        <v>none</v>
      </c>
      <c r="U93" s="62" t="e">
        <f t="shared" si="186"/>
        <v>#VALUE!</v>
      </c>
      <c r="V93" s="62">
        <f t="shared" si="187"/>
        <v>4</v>
      </c>
      <c r="W93" s="62" t="e">
        <f t="shared" si="188"/>
        <v>#VALUE!</v>
      </c>
      <c r="X93" s="62" t="e">
        <f t="shared" si="189"/>
        <v>#VALUE!</v>
      </c>
      <c r="Y93" s="62" t="str">
        <f>IFERROR(VLOOKUP(MID(T93,W93,X93-W93),[6]skilldef!$C:$D,2,FALSE),"-") &amp; " / " &amp; IFERROR(VLOOKUP(MID(T93,U93,V93-U93),[6]skilldef!$A:$B,2,FALSE),"-")</f>
        <v>- / -</v>
      </c>
      <c r="Z93" s="49"/>
      <c r="AA93" s="51"/>
      <c r="AB93" s="49"/>
    </row>
    <row r="94" spans="1:28" ht="21" customHeight="1" x14ac:dyDescent="0.15">
      <c r="A94" s="46">
        <v>40015096</v>
      </c>
      <c r="B94" s="46" t="s">
        <v>259</v>
      </c>
      <c r="C94" s="49">
        <v>3</v>
      </c>
      <c r="D94" s="49" t="s">
        <v>127</v>
      </c>
      <c r="E94" s="145" t="s">
        <v>356</v>
      </c>
      <c r="F94" s="145" t="s">
        <v>295</v>
      </c>
      <c r="G94" s="62" t="str">
        <f t="shared" ref="G94" si="222">IFERROR(LEFT(B94,FIND("],",B94)),B94)</f>
        <v>[effect:tolerance, target:myself, turn:-1, tolerance_effect:hungup, count:-1, animation:enemy_tolerance]</v>
      </c>
      <c r="H94" s="62">
        <f t="shared" ref="H94" si="223">FIND("effect:",G94)+7</f>
        <v>9</v>
      </c>
      <c r="I94" s="62">
        <f t="shared" ref="I94" si="224">IFERROR(FIND(",",G94),LEN(G94))</f>
        <v>18</v>
      </c>
      <c r="J94" s="62">
        <f t="shared" ref="J94" si="225">FIND("target:",G94)+7</f>
        <v>27</v>
      </c>
      <c r="K94" s="62">
        <f t="shared" ref="K94" si="226">FIND(",",G94,I94+1)</f>
        <v>33</v>
      </c>
      <c r="L94" s="62" t="str">
        <f>IFERROR(VLOOKUP(MID(G94,J94,K94-J94),[6]skilldef!$C:$D,2,FALSE),"-") &amp; " / " &amp; IFERROR(VLOOKUP(MID(G94,H94,I94-H94),[6]skilldef!$A:$B,2,FALSE),"-")</f>
        <v>自分自身に / 状態異常耐性</v>
      </c>
      <c r="M94" s="62" t="str">
        <f t="shared" ref="M94" si="227">IFERROR(RIGHT(B94,LEN(B94)-FIND("],",B94)-1),"none")</f>
        <v>[effect:fix_speed, target:myself, turn:1]</v>
      </c>
      <c r="N94" s="47" t="str">
        <f>IFERROR(LEFT(M94,FIND("],",M94)+S110),M94)</f>
        <v>[effect:fix_speed, target:myself, turn:1]</v>
      </c>
      <c r="O94" s="62">
        <f t="shared" ref="O94" si="228">FIND("effect:",N94)+7</f>
        <v>9</v>
      </c>
      <c r="P94" s="62">
        <f t="shared" ref="P94" si="229">IFERROR(FIND(",",N94),LEN(N94))</f>
        <v>18</v>
      </c>
      <c r="Q94" s="62">
        <f t="shared" ref="Q94" si="230">FIND("target:",N94)+7</f>
        <v>27</v>
      </c>
      <c r="R94" s="62">
        <f t="shared" ref="R94" si="231">FIND(",",N94,P94+1)</f>
        <v>33</v>
      </c>
      <c r="S94" s="62" t="str">
        <f>IFERROR(VLOOKUP(MID(N94,Q94,R94-Q94),[6]skilldef!$C:$D,2,FALSE),"-") &amp; " / " &amp; IFERROR(VLOOKUP(MID(N94,O94,P94-O94),[6]skilldef!$A:$B,2,FALSE),"-")</f>
        <v>自分自身に / 行動値設定</v>
      </c>
      <c r="T94" s="47" t="str">
        <f t="shared" ref="T94" si="232">IFERROR(RIGHT(M94,LEN(M94)-FIND("],",M94)-1),"none")</f>
        <v>none</v>
      </c>
      <c r="U94" s="62" t="e">
        <f t="shared" ref="U94" si="233">FIND("effect:",T94)+7</f>
        <v>#VALUE!</v>
      </c>
      <c r="V94" s="62">
        <f t="shared" ref="V94" si="234">IFERROR(FIND(",",T94),LEN(T94))</f>
        <v>4</v>
      </c>
      <c r="W94" s="62" t="e">
        <f t="shared" ref="W94" si="235">FIND("target:",T94)+7</f>
        <v>#VALUE!</v>
      </c>
      <c r="X94" s="62" t="e">
        <f t="shared" ref="X94" si="236">FIND(",",T94,V94+1)</f>
        <v>#VALUE!</v>
      </c>
      <c r="Y94" s="62" t="str">
        <f>IFERROR(VLOOKUP(MID(T94,W94,X94-W94),[6]skilldef!$C:$D,2,FALSE),"-") &amp; " / " &amp; IFERROR(VLOOKUP(MID(T94,U94,V94-U94),[6]skilldef!$A:$B,2,FALSE),"-")</f>
        <v>- / -</v>
      </c>
      <c r="Z94" s="49"/>
      <c r="AA94" s="51"/>
      <c r="AB94" s="49"/>
    </row>
    <row r="95" spans="1:28" ht="21" customHeight="1" x14ac:dyDescent="0.15">
      <c r="A95" s="46">
        <v>40015097</v>
      </c>
      <c r="B95" s="46" t="s">
        <v>259</v>
      </c>
      <c r="C95" s="49">
        <v>3</v>
      </c>
      <c r="D95" s="49" t="s">
        <v>127</v>
      </c>
      <c r="E95" s="145" t="s">
        <v>281</v>
      </c>
      <c r="F95" s="145" t="s">
        <v>330</v>
      </c>
      <c r="G95" s="62" t="str">
        <f t="shared" si="175"/>
        <v>[effect:tolerance, target:myself, turn:-1, tolerance_effect:hungup, count:-1, animation:enemy_tolerance]</v>
      </c>
      <c r="H95" s="62">
        <f t="shared" si="176"/>
        <v>9</v>
      </c>
      <c r="I95" s="62">
        <f t="shared" si="177"/>
        <v>18</v>
      </c>
      <c r="J95" s="62">
        <f t="shared" si="178"/>
        <v>27</v>
      </c>
      <c r="K95" s="62">
        <f t="shared" si="179"/>
        <v>33</v>
      </c>
      <c r="L95" s="62" t="str">
        <f>IFERROR(VLOOKUP(MID(G95,J95,K95-J95),[6]skilldef!$C:$D,2,FALSE),"-") &amp; " / " &amp; IFERROR(VLOOKUP(MID(G95,H95,I95-H95),[6]skilldef!$A:$B,2,FALSE),"-")</f>
        <v>自分自身に / 状態異常耐性</v>
      </c>
      <c r="M95" s="62" t="str">
        <f t="shared" si="180"/>
        <v>[effect:fix_speed, target:myself, turn:1]</v>
      </c>
      <c r="N95" s="47" t="str">
        <f>IFERROR(LEFT(M95,FIND("],",M95)+S110),M95)</f>
        <v>[effect:fix_speed, target:myself, turn:1]</v>
      </c>
      <c r="O95" s="62">
        <f t="shared" si="181"/>
        <v>9</v>
      </c>
      <c r="P95" s="62">
        <f t="shared" si="182"/>
        <v>18</v>
      </c>
      <c r="Q95" s="62">
        <f t="shared" si="183"/>
        <v>27</v>
      </c>
      <c r="R95" s="62">
        <f t="shared" si="184"/>
        <v>33</v>
      </c>
      <c r="S95" s="62" t="str">
        <f>IFERROR(VLOOKUP(MID(N95,Q95,R95-Q95),[6]skilldef!$C:$D,2,FALSE),"-") &amp; " / " &amp; IFERROR(VLOOKUP(MID(N95,O95,P95-O95),[6]skilldef!$A:$B,2,FALSE),"-")</f>
        <v>自分自身に / 行動値設定</v>
      </c>
      <c r="T95" s="47" t="str">
        <f t="shared" si="185"/>
        <v>none</v>
      </c>
      <c r="U95" s="62" t="e">
        <f t="shared" si="186"/>
        <v>#VALUE!</v>
      </c>
      <c r="V95" s="62">
        <f t="shared" si="187"/>
        <v>4</v>
      </c>
      <c r="W95" s="62" t="e">
        <f t="shared" si="188"/>
        <v>#VALUE!</v>
      </c>
      <c r="X95" s="62" t="e">
        <f t="shared" si="189"/>
        <v>#VALUE!</v>
      </c>
      <c r="Y95" s="62" t="str">
        <f>IFERROR(VLOOKUP(MID(T95,W95,X95-W95),[6]skilldef!$C:$D,2,FALSE),"-") &amp; " / " &amp; IFERROR(VLOOKUP(MID(T95,U95,V95-U95),[6]skilldef!$A:$B,2,FALSE),"-")</f>
        <v>- / -</v>
      </c>
      <c r="Z95" s="49"/>
      <c r="AA95" s="51"/>
      <c r="AB95" s="49"/>
    </row>
    <row r="96" spans="1:28" ht="21" customHeight="1" x14ac:dyDescent="0.15">
      <c r="A96" s="46">
        <v>40015098</v>
      </c>
      <c r="B96" s="46" t="s">
        <v>259</v>
      </c>
      <c r="C96" s="49">
        <v>3</v>
      </c>
      <c r="D96" s="49" t="s">
        <v>127</v>
      </c>
      <c r="E96" s="145" t="s">
        <v>281</v>
      </c>
      <c r="F96" s="145" t="s">
        <v>330</v>
      </c>
      <c r="G96" s="62" t="str">
        <f t="shared" ref="G96" si="237">IFERROR(LEFT(B96,FIND("],",B96)),B96)</f>
        <v>[effect:tolerance, target:myself, turn:-1, tolerance_effect:hungup, count:-1, animation:enemy_tolerance]</v>
      </c>
      <c r="H96" s="62">
        <f t="shared" ref="H96" si="238">FIND("effect:",G96)+7</f>
        <v>9</v>
      </c>
      <c r="I96" s="62">
        <f t="shared" ref="I96" si="239">IFERROR(FIND(",",G96),LEN(G96))</f>
        <v>18</v>
      </c>
      <c r="J96" s="62">
        <f t="shared" ref="J96" si="240">FIND("target:",G96)+7</f>
        <v>27</v>
      </c>
      <c r="K96" s="62">
        <f t="shared" ref="K96" si="241">FIND(",",G96,I96+1)</f>
        <v>33</v>
      </c>
      <c r="L96" s="62" t="str">
        <f>IFERROR(VLOOKUP(MID(G96,J96,K96-J96),[6]skilldef!$C:$D,2,FALSE),"-") &amp; " / " &amp; IFERROR(VLOOKUP(MID(G96,H96,I96-H96),[6]skilldef!$A:$B,2,FALSE),"-")</f>
        <v>自分自身に / 状態異常耐性</v>
      </c>
      <c r="M96" s="62" t="str">
        <f t="shared" ref="M96" si="242">IFERROR(RIGHT(B96,LEN(B96)-FIND("],",B96)-1),"none")</f>
        <v>[effect:fix_speed, target:myself, turn:1]</v>
      </c>
      <c r="N96" s="47" t="str">
        <f>IFERROR(LEFT(M96,FIND("],",M96)+S111),M96)</f>
        <v>[effect:fix_speed, target:myself, turn:1]</v>
      </c>
      <c r="O96" s="62">
        <f t="shared" ref="O96" si="243">FIND("effect:",N96)+7</f>
        <v>9</v>
      </c>
      <c r="P96" s="62">
        <f t="shared" ref="P96" si="244">IFERROR(FIND(",",N96),LEN(N96))</f>
        <v>18</v>
      </c>
      <c r="Q96" s="62">
        <f t="shared" ref="Q96" si="245">FIND("target:",N96)+7</f>
        <v>27</v>
      </c>
      <c r="R96" s="62">
        <f t="shared" ref="R96" si="246">FIND(",",N96,P96+1)</f>
        <v>33</v>
      </c>
      <c r="S96" s="62" t="str">
        <f>IFERROR(VLOOKUP(MID(N96,Q96,R96-Q96),[6]skilldef!$C:$D,2,FALSE),"-") &amp; " / " &amp; IFERROR(VLOOKUP(MID(N96,O96,P96-O96),[6]skilldef!$A:$B,2,FALSE),"-")</f>
        <v>自分自身に / 行動値設定</v>
      </c>
      <c r="T96" s="47" t="str">
        <f t="shared" ref="T96" si="247">IFERROR(RIGHT(M96,LEN(M96)-FIND("],",M96)-1),"none")</f>
        <v>none</v>
      </c>
      <c r="U96" s="62" t="e">
        <f t="shared" ref="U96" si="248">FIND("effect:",T96)+7</f>
        <v>#VALUE!</v>
      </c>
      <c r="V96" s="62">
        <f t="shared" ref="V96" si="249">IFERROR(FIND(",",T96),LEN(T96))</f>
        <v>4</v>
      </c>
      <c r="W96" s="62" t="e">
        <f t="shared" ref="W96" si="250">FIND("target:",T96)+7</f>
        <v>#VALUE!</v>
      </c>
      <c r="X96" s="62" t="e">
        <f t="shared" ref="X96" si="251">FIND(",",T96,V96+1)</f>
        <v>#VALUE!</v>
      </c>
      <c r="Y96" s="62" t="str">
        <f>IFERROR(VLOOKUP(MID(T96,W96,X96-W96),[6]skilldef!$C:$D,2,FALSE),"-") &amp; " / " &amp; IFERROR(VLOOKUP(MID(T96,U96,V96-U96),[6]skilldef!$A:$B,2,FALSE),"-")</f>
        <v>- / -</v>
      </c>
      <c r="Z96" s="49"/>
      <c r="AA96" s="51"/>
      <c r="AB96" s="49"/>
    </row>
    <row r="97" spans="1:28" ht="21" customHeight="1" x14ac:dyDescent="0.15">
      <c r="A97" s="46">
        <v>40015099</v>
      </c>
      <c r="B97" s="46" t="s">
        <v>259</v>
      </c>
      <c r="C97" s="49">
        <v>3</v>
      </c>
      <c r="D97" s="49" t="s">
        <v>127</v>
      </c>
      <c r="E97" s="145" t="s">
        <v>285</v>
      </c>
      <c r="F97" s="145" t="s">
        <v>372</v>
      </c>
      <c r="G97" s="62" t="str">
        <f t="shared" si="175"/>
        <v>[effect:tolerance, target:myself, turn:-1, tolerance_effect:hungup, count:-1, animation:enemy_tolerance]</v>
      </c>
      <c r="H97" s="62">
        <f t="shared" si="176"/>
        <v>9</v>
      </c>
      <c r="I97" s="62">
        <f t="shared" si="177"/>
        <v>18</v>
      </c>
      <c r="J97" s="62">
        <f t="shared" si="178"/>
        <v>27</v>
      </c>
      <c r="K97" s="62">
        <f t="shared" si="179"/>
        <v>33</v>
      </c>
      <c r="L97" s="62" t="str">
        <f>IFERROR(VLOOKUP(MID(G97,J97,K97-J97),[6]skilldef!$C:$D,2,FALSE),"-") &amp; " / " &amp; IFERROR(VLOOKUP(MID(G97,H97,I97-H97),[6]skilldef!$A:$B,2,FALSE),"-")</f>
        <v>自分自身に / 状態異常耐性</v>
      </c>
      <c r="M97" s="62" t="str">
        <f t="shared" si="180"/>
        <v>[effect:fix_speed, target:myself, turn:1]</v>
      </c>
      <c r="N97" s="47" t="str">
        <f>IFERROR(LEFT(M97,FIND("],",M97)+S111),M97)</f>
        <v>[effect:fix_speed, target:myself, turn:1]</v>
      </c>
      <c r="O97" s="62">
        <f t="shared" si="181"/>
        <v>9</v>
      </c>
      <c r="P97" s="62">
        <f t="shared" si="182"/>
        <v>18</v>
      </c>
      <c r="Q97" s="62">
        <f t="shared" si="183"/>
        <v>27</v>
      </c>
      <c r="R97" s="62">
        <f t="shared" si="184"/>
        <v>33</v>
      </c>
      <c r="S97" s="62" t="str">
        <f>IFERROR(VLOOKUP(MID(N97,Q97,R97-Q97),[6]skilldef!$C:$D,2,FALSE),"-") &amp; " / " &amp; IFERROR(VLOOKUP(MID(N97,O97,P97-O97),[6]skilldef!$A:$B,2,FALSE),"-")</f>
        <v>自分自身に / 行動値設定</v>
      </c>
      <c r="T97" s="47" t="str">
        <f t="shared" si="185"/>
        <v>none</v>
      </c>
      <c r="U97" s="62" t="e">
        <f t="shared" si="186"/>
        <v>#VALUE!</v>
      </c>
      <c r="V97" s="62">
        <f t="shared" si="187"/>
        <v>4</v>
      </c>
      <c r="W97" s="62" t="e">
        <f t="shared" si="188"/>
        <v>#VALUE!</v>
      </c>
      <c r="X97" s="62" t="e">
        <f t="shared" si="189"/>
        <v>#VALUE!</v>
      </c>
      <c r="Y97" s="62" t="str">
        <f>IFERROR(VLOOKUP(MID(T97,W97,X97-W97),[6]skilldef!$C:$D,2,FALSE),"-") &amp; " / " &amp; IFERROR(VLOOKUP(MID(T97,U97,V97-U97),[6]skilldef!$A:$B,2,FALSE),"-")</f>
        <v>- / -</v>
      </c>
      <c r="Z97" s="49"/>
      <c r="AA97" s="51"/>
      <c r="AB97" s="49"/>
    </row>
    <row r="98" spans="1:28" ht="21" customHeight="1" x14ac:dyDescent="0.15">
      <c r="A98" s="46">
        <v>40015100</v>
      </c>
      <c r="B98" s="46" t="s">
        <v>259</v>
      </c>
      <c r="C98" s="49">
        <v>3</v>
      </c>
      <c r="D98" s="49" t="s">
        <v>127</v>
      </c>
      <c r="E98" s="145" t="s">
        <v>285</v>
      </c>
      <c r="F98" s="145" t="s">
        <v>372</v>
      </c>
      <c r="G98" s="62" t="str">
        <f t="shared" ref="G98" si="252">IFERROR(LEFT(B98,FIND("],",B98)),B98)</f>
        <v>[effect:tolerance, target:myself, turn:-1, tolerance_effect:hungup, count:-1, animation:enemy_tolerance]</v>
      </c>
      <c r="H98" s="62">
        <f t="shared" ref="H98" si="253">FIND("effect:",G98)+7</f>
        <v>9</v>
      </c>
      <c r="I98" s="62">
        <f t="shared" ref="I98" si="254">IFERROR(FIND(",",G98),LEN(G98))</f>
        <v>18</v>
      </c>
      <c r="J98" s="62">
        <f t="shared" ref="J98" si="255">FIND("target:",G98)+7</f>
        <v>27</v>
      </c>
      <c r="K98" s="62">
        <f t="shared" ref="K98" si="256">FIND(",",G98,I98+1)</f>
        <v>33</v>
      </c>
      <c r="L98" s="62" t="str">
        <f>IFERROR(VLOOKUP(MID(G98,J98,K98-J98),[6]skilldef!$C:$D,2,FALSE),"-") &amp; " / " &amp; IFERROR(VLOOKUP(MID(G98,H98,I98-H98),[6]skilldef!$A:$B,2,FALSE),"-")</f>
        <v>自分自身に / 状態異常耐性</v>
      </c>
      <c r="M98" s="62" t="str">
        <f t="shared" ref="M98" si="257">IFERROR(RIGHT(B98,LEN(B98)-FIND("],",B98)-1),"none")</f>
        <v>[effect:fix_speed, target:myself, turn:1]</v>
      </c>
      <c r="N98" s="47" t="str">
        <f>IFERROR(LEFT(M98,FIND("],",M98)+S112),M98)</f>
        <v>[effect:fix_speed, target:myself, turn:1]</v>
      </c>
      <c r="O98" s="62">
        <f t="shared" ref="O98" si="258">FIND("effect:",N98)+7</f>
        <v>9</v>
      </c>
      <c r="P98" s="62">
        <f t="shared" ref="P98" si="259">IFERROR(FIND(",",N98),LEN(N98))</f>
        <v>18</v>
      </c>
      <c r="Q98" s="62">
        <f t="shared" ref="Q98" si="260">FIND("target:",N98)+7</f>
        <v>27</v>
      </c>
      <c r="R98" s="62">
        <f t="shared" ref="R98" si="261">FIND(",",N98,P98+1)</f>
        <v>33</v>
      </c>
      <c r="S98" s="62" t="str">
        <f>IFERROR(VLOOKUP(MID(N98,Q98,R98-Q98),[6]skilldef!$C:$D,2,FALSE),"-") &amp; " / " &amp; IFERROR(VLOOKUP(MID(N98,O98,P98-O98),[6]skilldef!$A:$B,2,FALSE),"-")</f>
        <v>自分自身に / 行動値設定</v>
      </c>
      <c r="T98" s="47" t="str">
        <f t="shared" ref="T98" si="262">IFERROR(RIGHT(M98,LEN(M98)-FIND("],",M98)-1),"none")</f>
        <v>none</v>
      </c>
      <c r="U98" s="62" t="e">
        <f t="shared" ref="U98" si="263">FIND("effect:",T98)+7</f>
        <v>#VALUE!</v>
      </c>
      <c r="V98" s="62">
        <f t="shared" ref="V98" si="264">IFERROR(FIND(",",T98),LEN(T98))</f>
        <v>4</v>
      </c>
      <c r="W98" s="62" t="e">
        <f t="shared" ref="W98" si="265">FIND("target:",T98)+7</f>
        <v>#VALUE!</v>
      </c>
      <c r="X98" s="62" t="e">
        <f t="shared" ref="X98" si="266">FIND(",",T98,V98+1)</f>
        <v>#VALUE!</v>
      </c>
      <c r="Y98" s="62" t="str">
        <f>IFERROR(VLOOKUP(MID(T98,W98,X98-W98),[6]skilldef!$C:$D,2,FALSE),"-") &amp; " / " &amp; IFERROR(VLOOKUP(MID(T98,U98,V98-U98),[6]skilldef!$A:$B,2,FALSE),"-")</f>
        <v>- / -</v>
      </c>
      <c r="Z98" s="49"/>
      <c r="AA98" s="51"/>
      <c r="AB98" s="49"/>
    </row>
    <row r="99" spans="1:28" ht="21" customHeight="1" x14ac:dyDescent="0.15">
      <c r="A99" s="46">
        <v>40015101</v>
      </c>
      <c r="B99" s="46" t="s">
        <v>259</v>
      </c>
      <c r="C99" s="49">
        <v>3</v>
      </c>
      <c r="D99" s="49" t="s">
        <v>127</v>
      </c>
      <c r="E99" s="145" t="s">
        <v>331</v>
      </c>
      <c r="F99" s="145" t="s">
        <v>329</v>
      </c>
      <c r="G99" s="62" t="str">
        <f t="shared" si="175"/>
        <v>[effect:tolerance, target:myself, turn:-1, tolerance_effect:hungup, count:-1, animation:enemy_tolerance]</v>
      </c>
      <c r="H99" s="62">
        <f t="shared" si="176"/>
        <v>9</v>
      </c>
      <c r="I99" s="62">
        <f t="shared" si="177"/>
        <v>18</v>
      </c>
      <c r="J99" s="62">
        <f t="shared" si="178"/>
        <v>27</v>
      </c>
      <c r="K99" s="62">
        <f t="shared" si="179"/>
        <v>33</v>
      </c>
      <c r="L99" s="62" t="str">
        <f>IFERROR(VLOOKUP(MID(G99,J99,K99-J99),[6]skilldef!$C:$D,2,FALSE),"-") &amp; " / " &amp; IFERROR(VLOOKUP(MID(G99,H99,I99-H99),[6]skilldef!$A:$B,2,FALSE),"-")</f>
        <v>自分自身に / 状態異常耐性</v>
      </c>
      <c r="M99" s="62" t="str">
        <f t="shared" si="180"/>
        <v>[effect:fix_speed, target:myself, turn:1]</v>
      </c>
      <c r="N99" s="47" t="str">
        <f>IFERROR(LEFT(M99,FIND("],",M99)+S112),M99)</f>
        <v>[effect:fix_speed, target:myself, turn:1]</v>
      </c>
      <c r="O99" s="62">
        <f t="shared" si="181"/>
        <v>9</v>
      </c>
      <c r="P99" s="62">
        <f t="shared" si="182"/>
        <v>18</v>
      </c>
      <c r="Q99" s="62">
        <f t="shared" si="183"/>
        <v>27</v>
      </c>
      <c r="R99" s="62">
        <f t="shared" si="184"/>
        <v>33</v>
      </c>
      <c r="S99" s="62" t="str">
        <f>IFERROR(VLOOKUP(MID(N99,Q99,R99-Q99),[6]skilldef!$C:$D,2,FALSE),"-") &amp; " / " &amp; IFERROR(VLOOKUP(MID(N99,O99,P99-O99),[6]skilldef!$A:$B,2,FALSE),"-")</f>
        <v>自分自身に / 行動値設定</v>
      </c>
      <c r="T99" s="47" t="str">
        <f t="shared" si="185"/>
        <v>none</v>
      </c>
      <c r="U99" s="62" t="e">
        <f t="shared" si="186"/>
        <v>#VALUE!</v>
      </c>
      <c r="V99" s="62">
        <f t="shared" si="187"/>
        <v>4</v>
      </c>
      <c r="W99" s="62" t="e">
        <f t="shared" si="188"/>
        <v>#VALUE!</v>
      </c>
      <c r="X99" s="62" t="e">
        <f t="shared" si="189"/>
        <v>#VALUE!</v>
      </c>
      <c r="Y99" s="62" t="str">
        <f>IFERROR(VLOOKUP(MID(T99,W99,X99-W99),[6]skilldef!$C:$D,2,FALSE),"-") &amp; " / " &amp; IFERROR(VLOOKUP(MID(T99,U99,V99-U99),[6]skilldef!$A:$B,2,FALSE),"-")</f>
        <v>- / -</v>
      </c>
      <c r="Z99" s="49"/>
      <c r="AA99" s="51"/>
      <c r="AB99" s="49"/>
    </row>
    <row r="100" spans="1:28" ht="21" customHeight="1" x14ac:dyDescent="0.15">
      <c r="A100" s="46">
        <v>40015102</v>
      </c>
      <c r="B100" s="46" t="s">
        <v>334</v>
      </c>
      <c r="C100" s="49">
        <v>3</v>
      </c>
      <c r="D100" s="49" t="s">
        <v>127</v>
      </c>
      <c r="E100" s="144" t="s">
        <v>371</v>
      </c>
      <c r="F100" s="144" t="s">
        <v>396</v>
      </c>
      <c r="G100" s="62" t="str">
        <f t="shared" si="175"/>
        <v>[effect:tolerance, target:myself, turn:-1, tolerance_effect:all, count:-1, animation:enemy_tolerance]</v>
      </c>
      <c r="H100" s="62">
        <f t="shared" si="176"/>
        <v>9</v>
      </c>
      <c r="I100" s="62">
        <f t="shared" si="177"/>
        <v>18</v>
      </c>
      <c r="J100" s="62">
        <f t="shared" si="178"/>
        <v>27</v>
      </c>
      <c r="K100" s="62">
        <f t="shared" si="179"/>
        <v>33</v>
      </c>
      <c r="L100" s="62" t="str">
        <f>IFERROR(VLOOKUP(MID(G100,J100,K100-J100),[6]skilldef!$C:$D,2,FALSE),"-") &amp; " / " &amp; IFERROR(VLOOKUP(MID(G100,H100,I100-H100),[6]skilldef!$A:$B,2,FALSE),"-")</f>
        <v>自分自身に / 状態異常耐性</v>
      </c>
      <c r="M100" s="62" t="str">
        <f t="shared" si="180"/>
        <v>[effect:fix_speed, target:myself, turn:4]</v>
      </c>
      <c r="N100" s="47" t="str">
        <f>IFERROR(LEFT(M100,FIND("],",M100)+S113),M100)</f>
        <v>[effect:fix_speed, target:myself, turn:4]</v>
      </c>
      <c r="O100" s="62">
        <f t="shared" si="181"/>
        <v>9</v>
      </c>
      <c r="P100" s="62">
        <f t="shared" si="182"/>
        <v>18</v>
      </c>
      <c r="Q100" s="62">
        <f t="shared" si="183"/>
        <v>27</v>
      </c>
      <c r="R100" s="62">
        <f t="shared" si="184"/>
        <v>33</v>
      </c>
      <c r="S100" s="62" t="str">
        <f>IFERROR(VLOOKUP(MID(N100,Q100,R100-Q100),[6]skilldef!$C:$D,2,FALSE),"-") &amp; " / " &amp; IFERROR(VLOOKUP(MID(N100,O100,P100-O100),[6]skilldef!$A:$B,2,FALSE),"-")</f>
        <v>自分自身に / 行動値設定</v>
      </c>
      <c r="T100" s="47" t="str">
        <f t="shared" si="185"/>
        <v>none</v>
      </c>
      <c r="U100" s="62" t="e">
        <f t="shared" si="186"/>
        <v>#VALUE!</v>
      </c>
      <c r="V100" s="62">
        <f t="shared" si="187"/>
        <v>4</v>
      </c>
      <c r="W100" s="62" t="e">
        <f t="shared" si="188"/>
        <v>#VALUE!</v>
      </c>
      <c r="X100" s="62" t="e">
        <f t="shared" si="189"/>
        <v>#VALUE!</v>
      </c>
      <c r="Y100" s="62" t="str">
        <f>IFERROR(VLOOKUP(MID(T100,W100,X100-W100),[6]skilldef!$C:$D,2,FALSE),"-") &amp; " / " &amp; IFERROR(VLOOKUP(MID(T100,U100,V100-U100),[6]skilldef!$A:$B,2,FALSE),"-")</f>
        <v>- / -</v>
      </c>
      <c r="Z100" s="49"/>
      <c r="AA100" s="51"/>
      <c r="AB100" s="49"/>
    </row>
    <row r="101" spans="1:28" ht="21" customHeight="1" x14ac:dyDescent="0.15">
      <c r="A101" s="46">
        <v>40015103</v>
      </c>
      <c r="B101" s="46" t="s">
        <v>334</v>
      </c>
      <c r="C101" s="49">
        <v>3</v>
      </c>
      <c r="D101" s="49" t="s">
        <v>127</v>
      </c>
      <c r="E101" s="144" t="s">
        <v>397</v>
      </c>
      <c r="F101" s="144" t="s">
        <v>398</v>
      </c>
      <c r="G101" s="62" t="str">
        <f t="shared" si="175"/>
        <v>[effect:tolerance, target:myself, turn:-1, tolerance_effect:all, count:-1, animation:enemy_tolerance]</v>
      </c>
      <c r="H101" s="62">
        <f t="shared" si="176"/>
        <v>9</v>
      </c>
      <c r="I101" s="62">
        <f t="shared" si="177"/>
        <v>18</v>
      </c>
      <c r="J101" s="62">
        <f t="shared" si="178"/>
        <v>27</v>
      </c>
      <c r="K101" s="62">
        <f t="shared" si="179"/>
        <v>33</v>
      </c>
      <c r="L101" s="62" t="str">
        <f>IFERROR(VLOOKUP(MID(G101,J101,K101-J101),[6]skilldef!$C:$D,2,FALSE),"-") &amp; " / " &amp; IFERROR(VLOOKUP(MID(G101,H101,I101-H101),[6]skilldef!$A:$B,2,FALSE),"-")</f>
        <v>自分自身に / 状態異常耐性</v>
      </c>
      <c r="M101" s="62" t="str">
        <f t="shared" si="180"/>
        <v>[effect:fix_speed, target:myself, turn:4]</v>
      </c>
      <c r="N101" s="47" t="str">
        <f>IFERROR(LEFT(M101,FIND("],",M101)+S114),M101)</f>
        <v>[effect:fix_speed, target:myself, turn:4]</v>
      </c>
      <c r="O101" s="62">
        <f t="shared" si="181"/>
        <v>9</v>
      </c>
      <c r="P101" s="62">
        <f t="shared" si="182"/>
        <v>18</v>
      </c>
      <c r="Q101" s="62">
        <f t="shared" si="183"/>
        <v>27</v>
      </c>
      <c r="R101" s="62">
        <f t="shared" si="184"/>
        <v>33</v>
      </c>
      <c r="S101" s="62" t="str">
        <f>IFERROR(VLOOKUP(MID(N101,Q101,R101-Q101),[6]skilldef!$C:$D,2,FALSE),"-") &amp; " / " &amp; IFERROR(VLOOKUP(MID(N101,O101,P101-O101),[6]skilldef!$A:$B,2,FALSE),"-")</f>
        <v>自分自身に / 行動値設定</v>
      </c>
      <c r="T101" s="47" t="str">
        <f t="shared" si="185"/>
        <v>none</v>
      </c>
      <c r="U101" s="62" t="e">
        <f t="shared" si="186"/>
        <v>#VALUE!</v>
      </c>
      <c r="V101" s="62">
        <f t="shared" si="187"/>
        <v>4</v>
      </c>
      <c r="W101" s="62" t="e">
        <f t="shared" si="188"/>
        <v>#VALUE!</v>
      </c>
      <c r="X101" s="62" t="e">
        <f t="shared" si="189"/>
        <v>#VALUE!</v>
      </c>
      <c r="Y101" s="62" t="str">
        <f>IFERROR(VLOOKUP(MID(T101,W101,X101-W101),[6]skilldef!$C:$D,2,FALSE),"-") &amp; " / " &amp; IFERROR(VLOOKUP(MID(T101,U101,V101-U101),[6]skilldef!$A:$B,2,FALSE),"-")</f>
        <v>- / -</v>
      </c>
      <c r="Z101" s="49"/>
      <c r="AA101" s="51"/>
      <c r="AB101" s="49"/>
    </row>
    <row r="102" spans="1:28" ht="21" customHeight="1" x14ac:dyDescent="0.15">
      <c r="A102" s="46">
        <v>40015104</v>
      </c>
      <c r="B102" s="46" t="s">
        <v>334</v>
      </c>
      <c r="C102" s="49">
        <v>3</v>
      </c>
      <c r="D102" s="49" t="s">
        <v>127</v>
      </c>
      <c r="E102" s="144" t="s">
        <v>389</v>
      </c>
      <c r="F102" s="144" t="s">
        <v>367</v>
      </c>
      <c r="G102" s="62" t="str">
        <f t="shared" si="175"/>
        <v>[effect:tolerance, target:myself, turn:-1, tolerance_effect:all, count:-1, animation:enemy_tolerance]</v>
      </c>
      <c r="H102" s="62">
        <f t="shared" si="176"/>
        <v>9</v>
      </c>
      <c r="I102" s="62">
        <f t="shared" si="177"/>
        <v>18</v>
      </c>
      <c r="J102" s="62">
        <f t="shared" si="178"/>
        <v>27</v>
      </c>
      <c r="K102" s="62">
        <f t="shared" si="179"/>
        <v>33</v>
      </c>
      <c r="L102" s="62" t="str">
        <f>IFERROR(VLOOKUP(MID(G102,J102,K102-J102),[6]skilldef!$C:$D,2,FALSE),"-") &amp; " / " &amp; IFERROR(VLOOKUP(MID(G102,H102,I102-H102),[6]skilldef!$A:$B,2,FALSE),"-")</f>
        <v>自分自身に / 状態異常耐性</v>
      </c>
      <c r="M102" s="62" t="str">
        <f t="shared" si="180"/>
        <v>[effect:fix_speed, target:myself, turn:4]</v>
      </c>
      <c r="N102" s="47" t="str">
        <f>IFERROR(LEFT(M102,FIND("],",M102)+S115),M102)</f>
        <v>[effect:fix_speed, target:myself, turn:4]</v>
      </c>
      <c r="O102" s="62">
        <f t="shared" si="181"/>
        <v>9</v>
      </c>
      <c r="P102" s="62">
        <f t="shared" si="182"/>
        <v>18</v>
      </c>
      <c r="Q102" s="62">
        <f t="shared" si="183"/>
        <v>27</v>
      </c>
      <c r="R102" s="62">
        <f t="shared" si="184"/>
        <v>33</v>
      </c>
      <c r="S102" s="62" t="str">
        <f>IFERROR(VLOOKUP(MID(N102,Q102,R102-Q102),[6]skilldef!$C:$D,2,FALSE),"-") &amp; " / " &amp; IFERROR(VLOOKUP(MID(N102,O102,P102-O102),[6]skilldef!$A:$B,2,FALSE),"-")</f>
        <v>自分自身に / 行動値設定</v>
      </c>
      <c r="T102" s="47" t="str">
        <f t="shared" si="185"/>
        <v>none</v>
      </c>
      <c r="U102" s="62" t="e">
        <f t="shared" si="186"/>
        <v>#VALUE!</v>
      </c>
      <c r="V102" s="62">
        <f t="shared" si="187"/>
        <v>4</v>
      </c>
      <c r="W102" s="62" t="e">
        <f t="shared" si="188"/>
        <v>#VALUE!</v>
      </c>
      <c r="X102" s="62" t="e">
        <f t="shared" si="189"/>
        <v>#VALUE!</v>
      </c>
      <c r="Y102" s="62" t="str">
        <f>IFERROR(VLOOKUP(MID(T102,W102,X102-W102),[6]skilldef!$C:$D,2,FALSE),"-") &amp; " / " &amp; IFERROR(VLOOKUP(MID(T102,U102,V102-U102),[6]skilldef!$A:$B,2,FALSE),"-")</f>
        <v>- / -</v>
      </c>
      <c r="Z102" s="49"/>
      <c r="AA102" s="51"/>
      <c r="AB102" s="49"/>
    </row>
    <row r="103" spans="1:28" ht="21" customHeight="1" x14ac:dyDescent="0.15">
      <c r="A103" s="46">
        <v>40015105</v>
      </c>
      <c r="B103" s="46" t="s">
        <v>334</v>
      </c>
      <c r="C103" s="49">
        <v>3</v>
      </c>
      <c r="D103" s="49" t="s">
        <v>127</v>
      </c>
      <c r="E103" s="144" t="s">
        <v>301</v>
      </c>
      <c r="F103" s="144" t="s">
        <v>297</v>
      </c>
      <c r="G103" s="62" t="str">
        <f t="shared" si="175"/>
        <v>[effect:tolerance, target:myself, turn:-1, tolerance_effect:all, count:-1, animation:enemy_tolerance]</v>
      </c>
      <c r="H103" s="62">
        <f t="shared" si="176"/>
        <v>9</v>
      </c>
      <c r="I103" s="62">
        <f t="shared" si="177"/>
        <v>18</v>
      </c>
      <c r="J103" s="62">
        <f t="shared" si="178"/>
        <v>27</v>
      </c>
      <c r="K103" s="62">
        <f t="shared" si="179"/>
        <v>33</v>
      </c>
      <c r="L103" s="62" t="str">
        <f>IFERROR(VLOOKUP(MID(G103,J103,K103-J103),[6]skilldef!$C:$D,2,FALSE),"-") &amp; " / " &amp; IFERROR(VLOOKUP(MID(G103,H103,I103-H103),[6]skilldef!$A:$B,2,FALSE),"-")</f>
        <v>自分自身に / 状態異常耐性</v>
      </c>
      <c r="M103" s="62" t="str">
        <f t="shared" si="180"/>
        <v>[effect:fix_speed, target:myself, turn:4]</v>
      </c>
      <c r="N103" s="47" t="str">
        <f>IFERROR(LEFT(M103,FIND("],",M103)+#REF!),M103)</f>
        <v>[effect:fix_speed, target:myself, turn:4]</v>
      </c>
      <c r="O103" s="62">
        <f t="shared" si="181"/>
        <v>9</v>
      </c>
      <c r="P103" s="62">
        <f t="shared" si="182"/>
        <v>18</v>
      </c>
      <c r="Q103" s="62">
        <f t="shared" si="183"/>
        <v>27</v>
      </c>
      <c r="R103" s="62">
        <f t="shared" si="184"/>
        <v>33</v>
      </c>
      <c r="S103" s="62" t="str">
        <f>IFERROR(VLOOKUP(MID(N103,Q103,R103-Q103),[6]skilldef!$C:$D,2,FALSE),"-") &amp; " / " &amp; IFERROR(VLOOKUP(MID(N103,O103,P103-O103),[6]skilldef!$A:$B,2,FALSE),"-")</f>
        <v>自分自身に / 行動値設定</v>
      </c>
      <c r="T103" s="47" t="str">
        <f t="shared" si="185"/>
        <v>none</v>
      </c>
      <c r="U103" s="62" t="e">
        <f t="shared" si="186"/>
        <v>#VALUE!</v>
      </c>
      <c r="V103" s="62">
        <f t="shared" si="187"/>
        <v>4</v>
      </c>
      <c r="W103" s="62" t="e">
        <f t="shared" si="188"/>
        <v>#VALUE!</v>
      </c>
      <c r="X103" s="62" t="e">
        <f t="shared" si="189"/>
        <v>#VALUE!</v>
      </c>
      <c r="Y103" s="62" t="str">
        <f>IFERROR(VLOOKUP(MID(T103,W103,X103-W103),[6]skilldef!$C:$D,2,FALSE),"-") &amp; " / " &amp; IFERROR(VLOOKUP(MID(T103,U103,V103-U103),[6]skilldef!$A:$B,2,FALSE),"-")</f>
        <v>- / -</v>
      </c>
      <c r="Z103" s="49"/>
      <c r="AA103" s="51"/>
      <c r="AB103" s="49"/>
    </row>
    <row r="104" spans="1:28" ht="21" customHeight="1" x14ac:dyDescent="0.15">
      <c r="A104" s="46">
        <v>40015106</v>
      </c>
      <c r="B104" s="46" t="s">
        <v>334</v>
      </c>
      <c r="C104" s="49">
        <v>3</v>
      </c>
      <c r="D104" s="49" t="s">
        <v>127</v>
      </c>
      <c r="E104" s="144" t="s">
        <v>301</v>
      </c>
      <c r="F104" s="144" t="s">
        <v>297</v>
      </c>
      <c r="G104" s="62" t="str">
        <f t="shared" ref="G104" si="267">IFERROR(LEFT(B104,FIND("],",B104)),B104)</f>
        <v>[effect:tolerance, target:myself, turn:-1, tolerance_effect:all, count:-1, animation:enemy_tolerance]</v>
      </c>
      <c r="H104" s="62">
        <f t="shared" ref="H104" si="268">FIND("effect:",G104)+7</f>
        <v>9</v>
      </c>
      <c r="I104" s="62">
        <f t="shared" ref="I104" si="269">IFERROR(FIND(",",G104),LEN(G104))</f>
        <v>18</v>
      </c>
      <c r="J104" s="62">
        <f t="shared" ref="J104" si="270">FIND("target:",G104)+7</f>
        <v>27</v>
      </c>
      <c r="K104" s="62">
        <f t="shared" ref="K104" si="271">FIND(",",G104,I104+1)</f>
        <v>33</v>
      </c>
      <c r="L104" s="62" t="str">
        <f>IFERROR(VLOOKUP(MID(G104,J104,K104-J104),[6]skilldef!$C:$D,2,FALSE),"-") &amp; " / " &amp; IFERROR(VLOOKUP(MID(G104,H104,I104-H104),[6]skilldef!$A:$B,2,FALSE),"-")</f>
        <v>自分自身に / 状態異常耐性</v>
      </c>
      <c r="M104" s="62" t="str">
        <f t="shared" ref="M104" si="272">IFERROR(RIGHT(B104,LEN(B104)-FIND("],",B104)-1),"none")</f>
        <v>[effect:fix_speed, target:myself, turn:4]</v>
      </c>
      <c r="N104" s="47" t="str">
        <f>IFERROR(LEFT(M104,FIND("],",M104)+#REF!),M104)</f>
        <v>[effect:fix_speed, target:myself, turn:4]</v>
      </c>
      <c r="O104" s="62">
        <f t="shared" ref="O104" si="273">FIND("effect:",N104)+7</f>
        <v>9</v>
      </c>
      <c r="P104" s="62">
        <f t="shared" ref="P104" si="274">IFERROR(FIND(",",N104),LEN(N104))</f>
        <v>18</v>
      </c>
      <c r="Q104" s="62">
        <f t="shared" ref="Q104" si="275">FIND("target:",N104)+7</f>
        <v>27</v>
      </c>
      <c r="R104" s="62">
        <f t="shared" ref="R104" si="276">FIND(",",N104,P104+1)</f>
        <v>33</v>
      </c>
      <c r="S104" s="62" t="str">
        <f>IFERROR(VLOOKUP(MID(N104,Q104,R104-Q104),[6]skilldef!$C:$D,2,FALSE),"-") &amp; " / " &amp; IFERROR(VLOOKUP(MID(N104,O104,P104-O104),[6]skilldef!$A:$B,2,FALSE),"-")</f>
        <v>自分自身に / 行動値設定</v>
      </c>
      <c r="T104" s="47" t="str">
        <f t="shared" ref="T104" si="277">IFERROR(RIGHT(M104,LEN(M104)-FIND("],",M104)-1),"none")</f>
        <v>none</v>
      </c>
      <c r="U104" s="62" t="e">
        <f t="shared" ref="U104" si="278">FIND("effect:",T104)+7</f>
        <v>#VALUE!</v>
      </c>
      <c r="V104" s="62">
        <f t="shared" ref="V104" si="279">IFERROR(FIND(",",T104),LEN(T104))</f>
        <v>4</v>
      </c>
      <c r="W104" s="62" t="e">
        <f t="shared" ref="W104" si="280">FIND("target:",T104)+7</f>
        <v>#VALUE!</v>
      </c>
      <c r="X104" s="62" t="e">
        <f t="shared" ref="X104" si="281">FIND(",",T104,V104+1)</f>
        <v>#VALUE!</v>
      </c>
      <c r="Y104" s="62" t="str">
        <f>IFERROR(VLOOKUP(MID(T104,W104,X104-W104),[6]skilldef!$C:$D,2,FALSE),"-") &amp; " / " &amp; IFERROR(VLOOKUP(MID(T104,U104,V104-U104),[6]skilldef!$A:$B,2,FALSE),"-")</f>
        <v>- / -</v>
      </c>
      <c r="Z104" s="49"/>
      <c r="AA104" s="51"/>
      <c r="AB104" s="49"/>
    </row>
    <row r="105" spans="1:28" ht="21" customHeight="1" x14ac:dyDescent="0.15">
      <c r="A105" s="46">
        <v>40015107</v>
      </c>
      <c r="B105" s="46" t="s">
        <v>334</v>
      </c>
      <c r="C105" s="49">
        <v>3</v>
      </c>
      <c r="D105" s="49" t="s">
        <v>127</v>
      </c>
      <c r="E105" s="144" t="s">
        <v>282</v>
      </c>
      <c r="F105" s="144" t="s">
        <v>399</v>
      </c>
      <c r="G105" s="62" t="str">
        <f t="shared" si="175"/>
        <v>[effect:tolerance, target:myself, turn:-1, tolerance_effect:all, count:-1, animation:enemy_tolerance]</v>
      </c>
      <c r="H105" s="62">
        <f t="shared" si="176"/>
        <v>9</v>
      </c>
      <c r="I105" s="62">
        <f t="shared" si="177"/>
        <v>18</v>
      </c>
      <c r="J105" s="62">
        <f t="shared" si="178"/>
        <v>27</v>
      </c>
      <c r="K105" s="62">
        <f t="shared" si="179"/>
        <v>33</v>
      </c>
      <c r="L105" s="62" t="str">
        <f>IFERROR(VLOOKUP(MID(G105,J105,K105-J105),[6]skilldef!$C:$D,2,FALSE),"-") &amp; " / " &amp; IFERROR(VLOOKUP(MID(G105,H105,I105-H105),[6]skilldef!$A:$B,2,FALSE),"-")</f>
        <v>自分自身に / 状態異常耐性</v>
      </c>
      <c r="M105" s="62" t="str">
        <f t="shared" si="180"/>
        <v>[effect:fix_speed, target:myself, turn:4]</v>
      </c>
      <c r="N105" s="47" t="str">
        <f>IFERROR(LEFT(M105,FIND("],",M105)+S116),M105)</f>
        <v>[effect:fix_speed, target:myself, turn:4]</v>
      </c>
      <c r="O105" s="62">
        <f t="shared" si="181"/>
        <v>9</v>
      </c>
      <c r="P105" s="62">
        <f t="shared" si="182"/>
        <v>18</v>
      </c>
      <c r="Q105" s="62">
        <f t="shared" si="183"/>
        <v>27</v>
      </c>
      <c r="R105" s="62">
        <f t="shared" si="184"/>
        <v>33</v>
      </c>
      <c r="S105" s="62" t="str">
        <f>IFERROR(VLOOKUP(MID(N105,Q105,R105-Q105),[6]skilldef!$C:$D,2,FALSE),"-") &amp; " / " &amp; IFERROR(VLOOKUP(MID(N105,O105,P105-O105),[6]skilldef!$A:$B,2,FALSE),"-")</f>
        <v>自分自身に / 行動値設定</v>
      </c>
      <c r="T105" s="47" t="str">
        <f t="shared" si="185"/>
        <v>none</v>
      </c>
      <c r="U105" s="62" t="e">
        <f t="shared" si="186"/>
        <v>#VALUE!</v>
      </c>
      <c r="V105" s="62">
        <f t="shared" si="187"/>
        <v>4</v>
      </c>
      <c r="W105" s="62" t="e">
        <f t="shared" si="188"/>
        <v>#VALUE!</v>
      </c>
      <c r="X105" s="62" t="e">
        <f t="shared" si="189"/>
        <v>#VALUE!</v>
      </c>
      <c r="Y105" s="62" t="str">
        <f>IFERROR(VLOOKUP(MID(T105,W105,X105-W105),[6]skilldef!$C:$D,2,FALSE),"-") &amp; " / " &amp; IFERROR(VLOOKUP(MID(T105,U105,V105-U105),[6]skilldef!$A:$B,2,FALSE),"-")</f>
        <v>- / -</v>
      </c>
      <c r="Z105" s="49"/>
      <c r="AA105" s="51"/>
      <c r="AB105" s="49"/>
    </row>
    <row r="106" spans="1:28" ht="21" customHeight="1" x14ac:dyDescent="0.15">
      <c r="A106" s="46">
        <v>40015108</v>
      </c>
      <c r="B106" s="46" t="s">
        <v>334</v>
      </c>
      <c r="C106" s="49">
        <v>3</v>
      </c>
      <c r="D106" s="49" t="s">
        <v>127</v>
      </c>
      <c r="E106" s="144" t="s">
        <v>282</v>
      </c>
      <c r="F106" s="144" t="s">
        <v>399</v>
      </c>
      <c r="G106" s="62" t="str">
        <f t="shared" ref="G106:G107" si="282">IFERROR(LEFT(B106,FIND("],",B106)),B106)</f>
        <v>[effect:tolerance, target:myself, turn:-1, tolerance_effect:all, count:-1, animation:enemy_tolerance]</v>
      </c>
      <c r="H106" s="62">
        <f t="shared" ref="H106:H107" si="283">FIND("effect:",G106)+7</f>
        <v>9</v>
      </c>
      <c r="I106" s="62">
        <f t="shared" ref="I106:I107" si="284">IFERROR(FIND(",",G106),LEN(G106))</f>
        <v>18</v>
      </c>
      <c r="J106" s="62">
        <f t="shared" ref="J106:J107" si="285">FIND("target:",G106)+7</f>
        <v>27</v>
      </c>
      <c r="K106" s="62">
        <f t="shared" ref="K106:K107" si="286">FIND(",",G106,I106+1)</f>
        <v>33</v>
      </c>
      <c r="L106" s="62" t="str">
        <f>IFERROR(VLOOKUP(MID(G106,J106,K106-J106),[6]skilldef!$C:$D,2,FALSE),"-") &amp; " / " &amp; IFERROR(VLOOKUP(MID(G106,H106,I106-H106),[6]skilldef!$A:$B,2,FALSE),"-")</f>
        <v>自分自身に / 状態異常耐性</v>
      </c>
      <c r="M106" s="62" t="str">
        <f t="shared" ref="M106:M107" si="287">IFERROR(RIGHT(B106,LEN(B106)-FIND("],",B106)-1),"none")</f>
        <v>[effect:fix_speed, target:myself, turn:4]</v>
      </c>
      <c r="N106" s="47" t="str">
        <f>IFERROR(LEFT(M106,FIND("],",M106)+S117),M106)</f>
        <v>[effect:fix_speed, target:myself, turn:4]</v>
      </c>
      <c r="O106" s="62">
        <f t="shared" ref="O106:O107" si="288">FIND("effect:",N106)+7</f>
        <v>9</v>
      </c>
      <c r="P106" s="62">
        <f t="shared" ref="P106:P107" si="289">IFERROR(FIND(",",N106),LEN(N106))</f>
        <v>18</v>
      </c>
      <c r="Q106" s="62">
        <f t="shared" ref="Q106:Q107" si="290">FIND("target:",N106)+7</f>
        <v>27</v>
      </c>
      <c r="R106" s="62">
        <f t="shared" ref="R106:R107" si="291">FIND(",",N106,P106+1)</f>
        <v>33</v>
      </c>
      <c r="S106" s="62" t="str">
        <f>IFERROR(VLOOKUP(MID(N106,Q106,R106-Q106),[6]skilldef!$C:$D,2,FALSE),"-") &amp; " / " &amp; IFERROR(VLOOKUP(MID(N106,O106,P106-O106),[6]skilldef!$A:$B,2,FALSE),"-")</f>
        <v>自分自身に / 行動値設定</v>
      </c>
      <c r="T106" s="47" t="str">
        <f t="shared" ref="T106:T107" si="292">IFERROR(RIGHT(M106,LEN(M106)-FIND("],",M106)-1),"none")</f>
        <v>none</v>
      </c>
      <c r="U106" s="62" t="e">
        <f t="shared" ref="U106:U107" si="293">FIND("effect:",T106)+7</f>
        <v>#VALUE!</v>
      </c>
      <c r="V106" s="62">
        <f t="shared" ref="V106:V107" si="294">IFERROR(FIND(",",T106),LEN(T106))</f>
        <v>4</v>
      </c>
      <c r="W106" s="62" t="e">
        <f t="shared" ref="W106:W107" si="295">FIND("target:",T106)+7</f>
        <v>#VALUE!</v>
      </c>
      <c r="X106" s="62" t="e">
        <f t="shared" ref="X106:X107" si="296">FIND(",",T106,V106+1)</f>
        <v>#VALUE!</v>
      </c>
      <c r="Y106" s="62" t="str">
        <f>IFERROR(VLOOKUP(MID(T106,W106,X106-W106),[6]skilldef!$C:$D,2,FALSE),"-") &amp; " / " &amp; IFERROR(VLOOKUP(MID(T106,U106,V106-U106),[6]skilldef!$A:$B,2,FALSE),"-")</f>
        <v>- / -</v>
      </c>
      <c r="Z106" s="49"/>
      <c r="AA106" s="51"/>
      <c r="AB106" s="49"/>
    </row>
    <row r="107" spans="1:28" ht="21" customHeight="1" x14ac:dyDescent="0.15">
      <c r="A107" s="46">
        <v>40015109</v>
      </c>
      <c r="B107" s="46" t="s">
        <v>334</v>
      </c>
      <c r="C107" s="49">
        <v>3</v>
      </c>
      <c r="D107" s="49" t="s">
        <v>127</v>
      </c>
      <c r="E107" s="144" t="s">
        <v>414</v>
      </c>
      <c r="F107" s="144" t="s">
        <v>415</v>
      </c>
      <c r="G107" s="62" t="str">
        <f t="shared" si="282"/>
        <v>[effect:tolerance, target:myself, turn:-1, tolerance_effect:all, count:-1, animation:enemy_tolerance]</v>
      </c>
      <c r="H107" s="62">
        <f t="shared" si="283"/>
        <v>9</v>
      </c>
      <c r="I107" s="62">
        <f t="shared" si="284"/>
        <v>18</v>
      </c>
      <c r="J107" s="62">
        <f t="shared" si="285"/>
        <v>27</v>
      </c>
      <c r="K107" s="62">
        <f t="shared" si="286"/>
        <v>33</v>
      </c>
      <c r="L107" s="62" t="str">
        <f>IFERROR(VLOOKUP(MID(G107,J107,K107-J107),[6]skilldef!$C:$D,2,FALSE),"-") &amp; " / " &amp; IFERROR(VLOOKUP(MID(G107,H107,I107-H107),[6]skilldef!$A:$B,2,FALSE),"-")</f>
        <v>自分自身に / 状態異常耐性</v>
      </c>
      <c r="M107" s="62" t="str">
        <f t="shared" si="287"/>
        <v>[effect:fix_speed, target:myself, turn:4]</v>
      </c>
      <c r="N107" s="47" t="str">
        <f t="shared" ref="N107" si="297">IFERROR(LEFT(M107,FIND("],",M107)+S116),M107)</f>
        <v>[effect:fix_speed, target:myself, turn:4]</v>
      </c>
      <c r="O107" s="62">
        <f t="shared" si="288"/>
        <v>9</v>
      </c>
      <c r="P107" s="62">
        <f t="shared" si="289"/>
        <v>18</v>
      </c>
      <c r="Q107" s="62">
        <f t="shared" si="290"/>
        <v>27</v>
      </c>
      <c r="R107" s="62">
        <f t="shared" si="291"/>
        <v>33</v>
      </c>
      <c r="S107" s="62" t="str">
        <f>IFERROR(VLOOKUP(MID(N107,Q107,R107-Q107),[6]skilldef!$C:$D,2,FALSE),"-") &amp; " / " &amp; IFERROR(VLOOKUP(MID(N107,O107,P107-O107),[6]skilldef!$A:$B,2,FALSE),"-")</f>
        <v>自分自身に / 行動値設定</v>
      </c>
      <c r="T107" s="47" t="str">
        <f t="shared" si="292"/>
        <v>none</v>
      </c>
      <c r="U107" s="62" t="e">
        <f t="shared" si="293"/>
        <v>#VALUE!</v>
      </c>
      <c r="V107" s="62">
        <f t="shared" si="294"/>
        <v>4</v>
      </c>
      <c r="W107" s="62" t="e">
        <f t="shared" si="295"/>
        <v>#VALUE!</v>
      </c>
      <c r="X107" s="62" t="e">
        <f t="shared" si="296"/>
        <v>#VALUE!</v>
      </c>
      <c r="Y107" s="62" t="str">
        <f>IFERROR(VLOOKUP(MID(T107,W107,X107-W107),[6]skilldef!$C:$D,2,FALSE),"-") &amp; " / " &amp; IFERROR(VLOOKUP(MID(T107,U107,V107-U107),[6]skilldef!$A:$B,2,FALSE),"-")</f>
        <v>- / -</v>
      </c>
      <c r="Z107" s="49"/>
      <c r="AA107" s="51"/>
      <c r="AB107" s="49"/>
    </row>
    <row r="108" spans="1:28" ht="21" customHeight="1" x14ac:dyDescent="0.15">
      <c r="A108" s="46">
        <v>40015110</v>
      </c>
      <c r="B108" s="46" t="s">
        <v>334</v>
      </c>
      <c r="C108" s="49">
        <v>3</v>
      </c>
      <c r="D108" s="49" t="s">
        <v>127</v>
      </c>
      <c r="E108" s="144" t="s">
        <v>414</v>
      </c>
      <c r="F108" s="144" t="s">
        <v>415</v>
      </c>
      <c r="G108" s="62" t="str">
        <f t="shared" si="175"/>
        <v>[effect:tolerance, target:myself, turn:-1, tolerance_effect:all, count:-1, animation:enemy_tolerance]</v>
      </c>
      <c r="H108" s="62">
        <f t="shared" si="176"/>
        <v>9</v>
      </c>
      <c r="I108" s="62">
        <f t="shared" si="177"/>
        <v>18</v>
      </c>
      <c r="J108" s="62">
        <f t="shared" si="178"/>
        <v>27</v>
      </c>
      <c r="K108" s="62">
        <f t="shared" si="179"/>
        <v>33</v>
      </c>
      <c r="L108" s="62" t="str">
        <f>IFERROR(VLOOKUP(MID(G108,J108,K108-J108),[6]skilldef!$C:$D,2,FALSE),"-") &amp; " / " &amp; IFERROR(VLOOKUP(MID(G108,H108,I108-H108),[6]skilldef!$A:$B,2,FALSE),"-")</f>
        <v>自分自身に / 状態異常耐性</v>
      </c>
      <c r="M108" s="62" t="str">
        <f t="shared" si="180"/>
        <v>[effect:fix_speed, target:myself, turn:4]</v>
      </c>
      <c r="N108" s="47" t="str">
        <f t="shared" ref="N108:N109" si="298">IFERROR(LEFT(M108,FIND("],",M108)+S117),M108)</f>
        <v>[effect:fix_speed, target:myself, turn:4]</v>
      </c>
      <c r="O108" s="62">
        <f t="shared" si="181"/>
        <v>9</v>
      </c>
      <c r="P108" s="62">
        <f t="shared" si="182"/>
        <v>18</v>
      </c>
      <c r="Q108" s="62">
        <f t="shared" si="183"/>
        <v>27</v>
      </c>
      <c r="R108" s="62">
        <f t="shared" si="184"/>
        <v>33</v>
      </c>
      <c r="S108" s="62" t="str">
        <f>IFERROR(VLOOKUP(MID(N108,Q108,R108-Q108),[6]skilldef!$C:$D,2,FALSE),"-") &amp; " / " &amp; IFERROR(VLOOKUP(MID(N108,O108,P108-O108),[6]skilldef!$A:$B,2,FALSE),"-")</f>
        <v>自分自身に / 行動値設定</v>
      </c>
      <c r="T108" s="47" t="str">
        <f t="shared" si="185"/>
        <v>none</v>
      </c>
      <c r="U108" s="62" t="e">
        <f t="shared" si="186"/>
        <v>#VALUE!</v>
      </c>
      <c r="V108" s="62">
        <f t="shared" si="187"/>
        <v>4</v>
      </c>
      <c r="W108" s="62" t="e">
        <f t="shared" si="188"/>
        <v>#VALUE!</v>
      </c>
      <c r="X108" s="62" t="e">
        <f t="shared" si="189"/>
        <v>#VALUE!</v>
      </c>
      <c r="Y108" s="62" t="str">
        <f>IFERROR(VLOOKUP(MID(T108,W108,X108-W108),[6]skilldef!$C:$D,2,FALSE),"-") &amp; " / " &amp; IFERROR(VLOOKUP(MID(T108,U108,V108-U108),[6]skilldef!$A:$B,2,FALSE),"-")</f>
        <v>- / -</v>
      </c>
      <c r="Z108" s="49"/>
      <c r="AA108" s="51"/>
      <c r="AB108" s="49"/>
    </row>
    <row r="109" spans="1:28" ht="21" customHeight="1" x14ac:dyDescent="0.15">
      <c r="A109" s="46">
        <v>40015111</v>
      </c>
      <c r="B109" s="46" t="s">
        <v>334</v>
      </c>
      <c r="C109" s="49">
        <v>3</v>
      </c>
      <c r="D109" s="49" t="s">
        <v>127</v>
      </c>
      <c r="E109" s="144" t="s">
        <v>287</v>
      </c>
      <c r="F109" s="144" t="s">
        <v>298</v>
      </c>
      <c r="G109" s="62" t="str">
        <f t="shared" si="175"/>
        <v>[effect:tolerance, target:myself, turn:-1, tolerance_effect:all, count:-1, animation:enemy_tolerance]</v>
      </c>
      <c r="H109" s="62">
        <f t="shared" si="176"/>
        <v>9</v>
      </c>
      <c r="I109" s="62">
        <f t="shared" si="177"/>
        <v>18</v>
      </c>
      <c r="J109" s="62">
        <f t="shared" si="178"/>
        <v>27</v>
      </c>
      <c r="K109" s="62">
        <f t="shared" si="179"/>
        <v>33</v>
      </c>
      <c r="L109" s="62" t="str">
        <f>IFERROR(VLOOKUP(MID(G109,J109,K109-J109),[6]skilldef!$C:$D,2,FALSE),"-") &amp; " / " &amp; IFERROR(VLOOKUP(MID(G109,H109,I109-H109),[6]skilldef!$A:$B,2,FALSE),"-")</f>
        <v>自分自身に / 状態異常耐性</v>
      </c>
      <c r="M109" s="62" t="str">
        <f t="shared" si="180"/>
        <v>[effect:fix_speed, target:myself, turn:4]</v>
      </c>
      <c r="N109" s="47" t="str">
        <f t="shared" si="298"/>
        <v>[effect:fix_speed, target:myself, turn:4]</v>
      </c>
      <c r="O109" s="62">
        <f t="shared" si="181"/>
        <v>9</v>
      </c>
      <c r="P109" s="62">
        <f t="shared" si="182"/>
        <v>18</v>
      </c>
      <c r="Q109" s="62">
        <f t="shared" si="183"/>
        <v>27</v>
      </c>
      <c r="R109" s="62">
        <f t="shared" si="184"/>
        <v>33</v>
      </c>
      <c r="S109" s="62" t="str">
        <f>IFERROR(VLOOKUP(MID(N109,Q109,R109-Q109),[6]skilldef!$C:$D,2,FALSE),"-") &amp; " / " &amp; IFERROR(VLOOKUP(MID(N109,O109,P109-O109),[6]skilldef!$A:$B,2,FALSE),"-")</f>
        <v>自分自身に / 行動値設定</v>
      </c>
      <c r="T109" s="47" t="str">
        <f t="shared" si="185"/>
        <v>none</v>
      </c>
      <c r="U109" s="62" t="e">
        <f t="shared" si="186"/>
        <v>#VALUE!</v>
      </c>
      <c r="V109" s="62">
        <f t="shared" si="187"/>
        <v>4</v>
      </c>
      <c r="W109" s="62" t="e">
        <f t="shared" si="188"/>
        <v>#VALUE!</v>
      </c>
      <c r="X109" s="62" t="e">
        <f t="shared" si="189"/>
        <v>#VALUE!</v>
      </c>
      <c r="Y109" s="62" t="str">
        <f>IFERROR(VLOOKUP(MID(T109,W109,X109-W109),[6]skilldef!$C:$D,2,FALSE),"-") &amp; " / " &amp; IFERROR(VLOOKUP(MID(T109,U109,V109-U109),[6]skilldef!$A:$B,2,FALSE),"-")</f>
        <v>- / -</v>
      </c>
      <c r="Z109" s="49"/>
      <c r="AA109" s="51"/>
      <c r="AB109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11"/>
  <sheetViews>
    <sheetView showGridLines="0" zoomScale="75" zoomScaleNormal="75" zoomScalePageLayoutView="75" workbookViewId="0">
      <pane ySplit="1" topLeftCell="A4" activePane="bottomLeft" state="frozenSplit"/>
      <selection pane="bottomLeft" activeCell="D22" sqref="D22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40015001</v>
      </c>
      <c r="B2" s="46">
        <v>1</v>
      </c>
      <c r="C2" s="46">
        <v>50</v>
      </c>
      <c r="D2" s="46">
        <v>100</v>
      </c>
      <c r="E2" s="46" t="s">
        <v>89</v>
      </c>
      <c r="F2" s="46" t="s">
        <v>89</v>
      </c>
      <c r="G2" s="46">
        <v>1</v>
      </c>
      <c r="H2" s="46" t="s">
        <v>89</v>
      </c>
      <c r="I2" s="46" t="s">
        <v>89</v>
      </c>
      <c r="J2" s="47">
        <f t="shared" ref="J2" si="0">D2</f>
        <v>100</v>
      </c>
    </row>
    <row r="3" spans="1:11" ht="21" customHeight="1" x14ac:dyDescent="0.15">
      <c r="A3" s="46">
        <v>40015002</v>
      </c>
      <c r="B3" s="46">
        <v>1</v>
      </c>
      <c r="C3" s="46">
        <v>50</v>
      </c>
      <c r="D3" s="46">
        <v>100</v>
      </c>
      <c r="E3" s="46" t="s">
        <v>253</v>
      </c>
      <c r="F3" s="46" t="s">
        <v>254</v>
      </c>
      <c r="G3" s="46">
        <v>1</v>
      </c>
      <c r="H3" s="46" t="s">
        <v>256</v>
      </c>
      <c r="I3" s="46" t="s">
        <v>257</v>
      </c>
      <c r="J3" s="47">
        <f t="shared" ref="J3:J64" si="1">D3</f>
        <v>100</v>
      </c>
    </row>
    <row r="4" spans="1:11" ht="21" customHeight="1" x14ac:dyDescent="0.15">
      <c r="A4" s="46">
        <v>40015003</v>
      </c>
      <c r="B4" s="46">
        <v>0</v>
      </c>
      <c r="C4" s="46">
        <v>25</v>
      </c>
      <c r="D4" s="46">
        <v>50</v>
      </c>
      <c r="E4" s="46" t="s">
        <v>253</v>
      </c>
      <c r="F4" s="46" t="s">
        <v>254</v>
      </c>
      <c r="G4" s="46" t="s">
        <v>255</v>
      </c>
      <c r="H4" s="46" t="s">
        <v>256</v>
      </c>
      <c r="I4" s="46" t="s">
        <v>257</v>
      </c>
      <c r="J4" s="47">
        <f t="shared" si="1"/>
        <v>50</v>
      </c>
    </row>
    <row r="5" spans="1:11" ht="21" customHeight="1" x14ac:dyDescent="0.15">
      <c r="A5" s="46">
        <v>40015004</v>
      </c>
      <c r="B5" s="46">
        <v>0</v>
      </c>
      <c r="C5" s="46">
        <v>24</v>
      </c>
      <c r="D5" s="46">
        <v>100</v>
      </c>
      <c r="E5" s="46" t="s">
        <v>253</v>
      </c>
      <c r="F5" s="46" t="s">
        <v>254</v>
      </c>
      <c r="G5" s="46">
        <v>2</v>
      </c>
      <c r="H5" s="46" t="s">
        <v>256</v>
      </c>
      <c r="I5" s="46" t="s">
        <v>257</v>
      </c>
      <c r="J5" s="47">
        <f t="shared" si="1"/>
        <v>100</v>
      </c>
    </row>
    <row r="6" spans="1:11" ht="21" customHeight="1" x14ac:dyDescent="0.15">
      <c r="A6" s="46">
        <v>40015005</v>
      </c>
      <c r="B6" s="46">
        <v>0</v>
      </c>
      <c r="C6" s="46">
        <v>30</v>
      </c>
      <c r="D6" s="46">
        <v>100</v>
      </c>
      <c r="E6" s="46" t="s">
        <v>253</v>
      </c>
      <c r="F6" s="46" t="s">
        <v>254</v>
      </c>
      <c r="G6" s="46">
        <v>1</v>
      </c>
      <c r="H6" s="46" t="s">
        <v>256</v>
      </c>
      <c r="I6" s="46" t="s">
        <v>257</v>
      </c>
      <c r="J6" s="47">
        <f t="shared" si="1"/>
        <v>100</v>
      </c>
    </row>
    <row r="7" spans="1:11" ht="21" customHeight="1" x14ac:dyDescent="0.15">
      <c r="A7" s="46">
        <v>40015006</v>
      </c>
      <c r="B7" s="46">
        <v>1</v>
      </c>
      <c r="C7" s="46">
        <v>50</v>
      </c>
      <c r="D7" s="46">
        <v>100</v>
      </c>
      <c r="E7" s="46" t="s">
        <v>253</v>
      </c>
      <c r="F7" s="46" t="s">
        <v>254</v>
      </c>
      <c r="G7" s="46">
        <v>1</v>
      </c>
      <c r="H7" s="46" t="s">
        <v>256</v>
      </c>
      <c r="I7" s="46" t="s">
        <v>257</v>
      </c>
      <c r="J7" s="47">
        <f t="shared" si="1"/>
        <v>100</v>
      </c>
    </row>
    <row r="8" spans="1:11" ht="21" customHeight="1" x14ac:dyDescent="0.15">
      <c r="A8" s="46">
        <v>40015007</v>
      </c>
      <c r="B8" s="46">
        <v>1</v>
      </c>
      <c r="C8" s="46">
        <v>52</v>
      </c>
      <c r="D8" s="46">
        <v>100</v>
      </c>
      <c r="E8" s="46" t="s">
        <v>253</v>
      </c>
      <c r="F8" s="46" t="s">
        <v>254</v>
      </c>
      <c r="G8" s="46">
        <v>1</v>
      </c>
      <c r="H8" s="46" t="s">
        <v>256</v>
      </c>
      <c r="I8" s="46">
        <v>466</v>
      </c>
      <c r="J8" s="47">
        <f t="shared" si="1"/>
        <v>100</v>
      </c>
    </row>
    <row r="9" spans="1:11" ht="21" customHeight="1" x14ac:dyDescent="0.15">
      <c r="A9" s="46">
        <v>40015008</v>
      </c>
      <c r="B9" s="46">
        <v>1</v>
      </c>
      <c r="C9" s="46">
        <v>51</v>
      </c>
      <c r="D9" s="46">
        <v>100</v>
      </c>
      <c r="E9" s="46" t="s">
        <v>253</v>
      </c>
      <c r="F9" s="46" t="s">
        <v>254</v>
      </c>
      <c r="G9" s="46">
        <v>1</v>
      </c>
      <c r="H9" s="46" t="s">
        <v>256</v>
      </c>
      <c r="I9" s="46">
        <v>473</v>
      </c>
      <c r="J9" s="47">
        <f t="shared" si="1"/>
        <v>100</v>
      </c>
    </row>
    <row r="10" spans="1:11" ht="21" customHeight="1" x14ac:dyDescent="0.15">
      <c r="A10" s="46">
        <v>40015009</v>
      </c>
      <c r="B10" s="46">
        <v>0</v>
      </c>
      <c r="C10" s="46">
        <v>25</v>
      </c>
      <c r="D10" s="46">
        <v>100</v>
      </c>
      <c r="E10" s="46" t="s">
        <v>253</v>
      </c>
      <c r="F10" s="46" t="s">
        <v>254</v>
      </c>
      <c r="G10" s="46" t="s">
        <v>255</v>
      </c>
      <c r="H10" s="46" t="s">
        <v>256</v>
      </c>
      <c r="I10" s="46" t="s">
        <v>257</v>
      </c>
      <c r="J10" s="47">
        <f t="shared" si="1"/>
        <v>100</v>
      </c>
    </row>
    <row r="11" spans="1:11" ht="21" customHeight="1" x14ac:dyDescent="0.15">
      <c r="A11" s="46">
        <v>40015010</v>
      </c>
      <c r="B11" s="46">
        <v>0</v>
      </c>
      <c r="C11" s="46">
        <v>30</v>
      </c>
      <c r="D11" s="46">
        <v>60</v>
      </c>
      <c r="E11" s="46">
        <v>70</v>
      </c>
      <c r="F11" s="46" t="s">
        <v>254</v>
      </c>
      <c r="G11" s="46">
        <v>3</v>
      </c>
      <c r="H11" s="46" t="s">
        <v>256</v>
      </c>
      <c r="I11" s="46" t="s">
        <v>257</v>
      </c>
      <c r="J11" s="47">
        <f t="shared" si="1"/>
        <v>60</v>
      </c>
    </row>
    <row r="12" spans="1:11" ht="21" customHeight="1" x14ac:dyDescent="0.15">
      <c r="A12" s="46">
        <v>40015011</v>
      </c>
      <c r="B12" s="46">
        <v>0</v>
      </c>
      <c r="C12" s="46">
        <v>40</v>
      </c>
      <c r="D12" s="46">
        <v>100</v>
      </c>
      <c r="E12" s="46">
        <v>30</v>
      </c>
      <c r="F12" s="46" t="s">
        <v>254</v>
      </c>
      <c r="G12" s="46">
        <v>1</v>
      </c>
      <c r="H12" s="46" t="s">
        <v>256</v>
      </c>
      <c r="I12" s="46" t="s">
        <v>257</v>
      </c>
      <c r="J12" s="47">
        <f t="shared" si="1"/>
        <v>100</v>
      </c>
    </row>
    <row r="13" spans="1:11" ht="21" customHeight="1" x14ac:dyDescent="0.15">
      <c r="A13" s="46">
        <v>40015012</v>
      </c>
      <c r="B13" s="46">
        <v>0</v>
      </c>
      <c r="C13" s="46">
        <v>39</v>
      </c>
      <c r="D13" s="46">
        <v>100</v>
      </c>
      <c r="E13" s="46">
        <v>30</v>
      </c>
      <c r="F13" s="46" t="s">
        <v>254</v>
      </c>
      <c r="G13" s="46">
        <v>1</v>
      </c>
      <c r="H13" s="46" t="s">
        <v>256</v>
      </c>
      <c r="I13" s="46" t="s">
        <v>257</v>
      </c>
      <c r="J13" s="47">
        <f t="shared" si="1"/>
        <v>100</v>
      </c>
    </row>
    <row r="14" spans="1:11" ht="21" customHeight="1" x14ac:dyDescent="0.15">
      <c r="A14" s="46">
        <v>40015013</v>
      </c>
      <c r="B14" s="46">
        <v>0</v>
      </c>
      <c r="C14" s="46">
        <v>45</v>
      </c>
      <c r="D14" s="46">
        <v>100</v>
      </c>
      <c r="E14" s="46" t="s">
        <v>253</v>
      </c>
      <c r="F14" s="46" t="s">
        <v>254</v>
      </c>
      <c r="G14" s="46" t="s">
        <v>255</v>
      </c>
      <c r="H14" s="46">
        <v>3</v>
      </c>
      <c r="I14" s="46" t="s">
        <v>257</v>
      </c>
      <c r="J14" s="47">
        <f t="shared" si="1"/>
        <v>100</v>
      </c>
    </row>
    <row r="15" spans="1:11" ht="21" customHeight="1" x14ac:dyDescent="0.15">
      <c r="A15" s="46">
        <v>40015014</v>
      </c>
      <c r="B15" s="46">
        <v>1</v>
      </c>
      <c r="C15" s="46">
        <v>50</v>
      </c>
      <c r="D15" s="46">
        <v>100</v>
      </c>
      <c r="E15" s="46" t="s">
        <v>253</v>
      </c>
      <c r="F15" s="46" t="s">
        <v>254</v>
      </c>
      <c r="G15" s="46">
        <v>1</v>
      </c>
      <c r="H15" s="46" t="s">
        <v>256</v>
      </c>
      <c r="I15" s="46" t="s">
        <v>257</v>
      </c>
      <c r="J15" s="47">
        <f t="shared" si="1"/>
        <v>100</v>
      </c>
    </row>
    <row r="16" spans="1:11" ht="21" customHeight="1" x14ac:dyDescent="0.15">
      <c r="A16" s="46">
        <v>40015015</v>
      </c>
      <c r="B16" s="46">
        <v>0</v>
      </c>
      <c r="C16" s="46">
        <v>25</v>
      </c>
      <c r="D16" s="46">
        <v>100</v>
      </c>
      <c r="E16" s="46" t="s">
        <v>253</v>
      </c>
      <c r="F16" s="46" t="s">
        <v>254</v>
      </c>
      <c r="G16" s="46">
        <v>1</v>
      </c>
      <c r="H16" s="46" t="s">
        <v>256</v>
      </c>
      <c r="I16" s="46">
        <v>121</v>
      </c>
      <c r="J16" s="47">
        <f t="shared" si="1"/>
        <v>100</v>
      </c>
    </row>
    <row r="17" spans="1:10" ht="21" customHeight="1" x14ac:dyDescent="0.15">
      <c r="A17" s="46">
        <v>40015016</v>
      </c>
      <c r="B17" s="46">
        <v>1</v>
      </c>
      <c r="C17" s="46">
        <v>50</v>
      </c>
      <c r="D17" s="46">
        <v>100</v>
      </c>
      <c r="E17" s="46" t="s">
        <v>253</v>
      </c>
      <c r="F17" s="46" t="s">
        <v>254</v>
      </c>
      <c r="G17" s="46">
        <v>1</v>
      </c>
      <c r="H17" s="46" t="s">
        <v>256</v>
      </c>
      <c r="I17" s="46" t="s">
        <v>257</v>
      </c>
      <c r="J17" s="47">
        <f t="shared" si="1"/>
        <v>100</v>
      </c>
    </row>
    <row r="18" spans="1:10" ht="21" customHeight="1" x14ac:dyDescent="0.15">
      <c r="A18" s="46">
        <v>40015017</v>
      </c>
      <c r="B18" s="46">
        <v>0</v>
      </c>
      <c r="C18" s="46">
        <v>25</v>
      </c>
      <c r="D18" s="46">
        <v>100</v>
      </c>
      <c r="E18" s="46" t="s">
        <v>253</v>
      </c>
      <c r="F18" s="46" t="s">
        <v>254</v>
      </c>
      <c r="G18" s="46" t="s">
        <v>255</v>
      </c>
      <c r="H18" s="46" t="s">
        <v>256</v>
      </c>
      <c r="I18" s="46" t="s">
        <v>257</v>
      </c>
      <c r="J18" s="47">
        <f t="shared" si="1"/>
        <v>100</v>
      </c>
    </row>
    <row r="19" spans="1:10" ht="21" customHeight="1" x14ac:dyDescent="0.15">
      <c r="A19" s="46">
        <v>40015018</v>
      </c>
      <c r="B19" s="46">
        <v>0</v>
      </c>
      <c r="C19" s="46">
        <v>30</v>
      </c>
      <c r="D19" s="46">
        <v>50</v>
      </c>
      <c r="E19" s="46" t="s">
        <v>253</v>
      </c>
      <c r="F19" s="46" t="s">
        <v>254</v>
      </c>
      <c r="G19" s="46" t="s">
        <v>255</v>
      </c>
      <c r="H19" s="46">
        <v>2</v>
      </c>
      <c r="I19" s="46" t="s">
        <v>257</v>
      </c>
      <c r="J19" s="47">
        <f t="shared" si="1"/>
        <v>50</v>
      </c>
    </row>
    <row r="20" spans="1:10" ht="21" customHeight="1" x14ac:dyDescent="0.15">
      <c r="A20" s="46">
        <v>40015019</v>
      </c>
      <c r="B20" s="46">
        <v>0</v>
      </c>
      <c r="C20" s="46">
        <v>30</v>
      </c>
      <c r="D20" s="46">
        <v>50</v>
      </c>
      <c r="E20" s="46" t="s">
        <v>253</v>
      </c>
      <c r="F20" s="46" t="s">
        <v>254</v>
      </c>
      <c r="G20" s="46" t="s">
        <v>255</v>
      </c>
      <c r="H20" s="46">
        <v>2</v>
      </c>
      <c r="I20" s="46" t="s">
        <v>257</v>
      </c>
      <c r="J20" s="47">
        <f t="shared" si="1"/>
        <v>50</v>
      </c>
    </row>
    <row r="21" spans="1:10" ht="21" customHeight="1" x14ac:dyDescent="0.15">
      <c r="A21" s="46">
        <v>40015020</v>
      </c>
      <c r="B21" s="46">
        <v>0</v>
      </c>
      <c r="C21" s="46">
        <v>31</v>
      </c>
      <c r="D21" s="46">
        <v>100</v>
      </c>
      <c r="E21" s="46" t="s">
        <v>253</v>
      </c>
      <c r="F21" s="46" t="s">
        <v>254</v>
      </c>
      <c r="G21" s="46" t="s">
        <v>255</v>
      </c>
      <c r="H21" s="46">
        <v>5</v>
      </c>
      <c r="I21" s="46" t="s">
        <v>257</v>
      </c>
      <c r="J21" s="47">
        <f t="shared" si="1"/>
        <v>100</v>
      </c>
    </row>
    <row r="22" spans="1:10" ht="21" customHeight="1" x14ac:dyDescent="0.15">
      <c r="A22" s="46">
        <v>40015021</v>
      </c>
      <c r="B22" s="46">
        <v>1</v>
      </c>
      <c r="C22" s="46">
        <v>50</v>
      </c>
      <c r="D22" s="46">
        <v>100</v>
      </c>
      <c r="E22" s="46" t="s">
        <v>253</v>
      </c>
      <c r="F22" s="46" t="s">
        <v>254</v>
      </c>
      <c r="G22" s="46">
        <v>1</v>
      </c>
      <c r="H22" s="46" t="s">
        <v>256</v>
      </c>
      <c r="I22" s="46" t="s">
        <v>257</v>
      </c>
      <c r="J22" s="47">
        <f t="shared" si="1"/>
        <v>100</v>
      </c>
    </row>
    <row r="23" spans="1:10" ht="21" customHeight="1" x14ac:dyDescent="0.15">
      <c r="A23" s="46">
        <v>40015022</v>
      </c>
      <c r="B23" s="46">
        <v>0</v>
      </c>
      <c r="C23" s="46">
        <v>49</v>
      </c>
      <c r="D23" s="46">
        <v>100</v>
      </c>
      <c r="E23" s="46" t="s">
        <v>253</v>
      </c>
      <c r="F23" s="46" t="s">
        <v>254</v>
      </c>
      <c r="G23" s="46">
        <v>1</v>
      </c>
      <c r="H23" s="46">
        <v>1</v>
      </c>
      <c r="I23" s="46" t="s">
        <v>257</v>
      </c>
      <c r="J23" s="47">
        <f t="shared" si="1"/>
        <v>100</v>
      </c>
    </row>
    <row r="24" spans="1:10" ht="21" customHeight="1" x14ac:dyDescent="0.15">
      <c r="A24" s="46">
        <v>40015023</v>
      </c>
      <c r="B24" s="46">
        <v>0</v>
      </c>
      <c r="C24" s="46">
        <v>25</v>
      </c>
      <c r="D24" s="46">
        <v>100</v>
      </c>
      <c r="E24" s="46" t="s">
        <v>253</v>
      </c>
      <c r="F24" s="46" t="s">
        <v>254</v>
      </c>
      <c r="G24" s="46" t="s">
        <v>255</v>
      </c>
      <c r="H24" s="46" t="s">
        <v>256</v>
      </c>
      <c r="I24" s="46" t="s">
        <v>257</v>
      </c>
      <c r="J24" s="47">
        <f t="shared" si="1"/>
        <v>100</v>
      </c>
    </row>
    <row r="25" spans="1:10" ht="21" customHeight="1" x14ac:dyDescent="0.15">
      <c r="A25" s="46">
        <v>40015024</v>
      </c>
      <c r="B25" s="46">
        <v>0</v>
      </c>
      <c r="C25" s="46">
        <v>30</v>
      </c>
      <c r="D25" s="46">
        <v>100</v>
      </c>
      <c r="E25" s="46" t="s">
        <v>253</v>
      </c>
      <c r="F25" s="46" t="s">
        <v>254</v>
      </c>
      <c r="G25" s="46" t="s">
        <v>255</v>
      </c>
      <c r="H25" s="46">
        <v>3</v>
      </c>
      <c r="I25" s="46" t="s">
        <v>257</v>
      </c>
      <c r="J25" s="47">
        <f t="shared" si="1"/>
        <v>100</v>
      </c>
    </row>
    <row r="26" spans="1:10" ht="21" customHeight="1" x14ac:dyDescent="0.15">
      <c r="A26" s="46">
        <v>40015025</v>
      </c>
      <c r="B26" s="46">
        <v>0</v>
      </c>
      <c r="C26" s="46">
        <v>40</v>
      </c>
      <c r="D26" s="46">
        <v>100</v>
      </c>
      <c r="E26" s="46">
        <v>50</v>
      </c>
      <c r="F26" s="46" t="s">
        <v>254</v>
      </c>
      <c r="G26" s="46">
        <v>1</v>
      </c>
      <c r="H26" s="46">
        <v>1</v>
      </c>
      <c r="I26" s="46" t="s">
        <v>257</v>
      </c>
      <c r="J26" s="47">
        <f t="shared" si="1"/>
        <v>100</v>
      </c>
    </row>
    <row r="27" spans="1:10" ht="21" customHeight="1" x14ac:dyDescent="0.15">
      <c r="A27" s="46">
        <v>40015026</v>
      </c>
      <c r="B27" s="46">
        <v>0</v>
      </c>
      <c r="C27" s="46">
        <v>39</v>
      </c>
      <c r="D27" s="46">
        <v>100</v>
      </c>
      <c r="E27" s="46">
        <v>50</v>
      </c>
      <c r="F27" s="46" t="s">
        <v>254</v>
      </c>
      <c r="G27" s="46">
        <v>1</v>
      </c>
      <c r="H27" s="46">
        <v>1</v>
      </c>
      <c r="I27" s="46" t="s">
        <v>257</v>
      </c>
      <c r="J27" s="47">
        <f t="shared" si="1"/>
        <v>100</v>
      </c>
    </row>
    <row r="28" spans="1:10" ht="21" customHeight="1" x14ac:dyDescent="0.15">
      <c r="A28" s="46">
        <v>40015027</v>
      </c>
      <c r="B28" s="46">
        <v>1</v>
      </c>
      <c r="C28" s="46">
        <v>50</v>
      </c>
      <c r="D28" s="46">
        <v>100</v>
      </c>
      <c r="E28" s="46" t="s">
        <v>253</v>
      </c>
      <c r="F28" s="46" t="s">
        <v>254</v>
      </c>
      <c r="G28" s="46">
        <v>1</v>
      </c>
      <c r="H28" s="46" t="s">
        <v>256</v>
      </c>
      <c r="I28" s="46" t="s">
        <v>257</v>
      </c>
      <c r="J28" s="47">
        <f t="shared" si="1"/>
        <v>100</v>
      </c>
    </row>
    <row r="29" spans="1:10" ht="21" customHeight="1" x14ac:dyDescent="0.15">
      <c r="A29" s="46">
        <v>40015028</v>
      </c>
      <c r="B29" s="134">
        <v>1</v>
      </c>
      <c r="C29" s="134">
        <v>99</v>
      </c>
      <c r="D29" s="134">
        <v>100</v>
      </c>
      <c r="E29" s="134" t="s">
        <v>270</v>
      </c>
      <c r="F29" s="134" t="s">
        <v>270</v>
      </c>
      <c r="G29" s="134">
        <v>1</v>
      </c>
      <c r="H29" s="134" t="s">
        <v>270</v>
      </c>
      <c r="I29" s="134">
        <v>473</v>
      </c>
      <c r="J29" s="118">
        <v>100</v>
      </c>
    </row>
    <row r="30" spans="1:10" ht="21" customHeight="1" x14ac:dyDescent="0.15">
      <c r="A30" s="46">
        <v>40015029</v>
      </c>
      <c r="B30" s="135">
        <v>1</v>
      </c>
      <c r="C30" s="135">
        <v>98</v>
      </c>
      <c r="D30" s="135">
        <v>100</v>
      </c>
      <c r="E30" s="135" t="s">
        <v>270</v>
      </c>
      <c r="F30" s="135" t="s">
        <v>270</v>
      </c>
      <c r="G30" s="135">
        <v>1</v>
      </c>
      <c r="H30" s="135" t="s">
        <v>270</v>
      </c>
      <c r="I30" s="135">
        <v>466</v>
      </c>
      <c r="J30" s="136">
        <v>100</v>
      </c>
    </row>
    <row r="31" spans="1:10" ht="21" customHeight="1" x14ac:dyDescent="0.15">
      <c r="A31" s="46">
        <v>40015030</v>
      </c>
      <c r="B31" s="135">
        <v>1</v>
      </c>
      <c r="C31" s="135">
        <v>97</v>
      </c>
      <c r="D31" s="135">
        <v>100</v>
      </c>
      <c r="E31" s="135" t="s">
        <v>270</v>
      </c>
      <c r="F31" s="135" t="s">
        <v>270</v>
      </c>
      <c r="G31" s="135">
        <v>1</v>
      </c>
      <c r="H31" s="135" t="s">
        <v>270</v>
      </c>
      <c r="I31" s="135">
        <v>468</v>
      </c>
      <c r="J31" s="136">
        <v>100</v>
      </c>
    </row>
    <row r="32" spans="1:10" ht="21" customHeight="1" x14ac:dyDescent="0.15">
      <c r="A32" s="46">
        <v>40015031</v>
      </c>
      <c r="B32" s="135">
        <v>1</v>
      </c>
      <c r="C32" s="135">
        <v>96</v>
      </c>
      <c r="D32" s="135">
        <v>100</v>
      </c>
      <c r="E32" s="135" t="s">
        <v>270</v>
      </c>
      <c r="F32" s="135" t="s">
        <v>270</v>
      </c>
      <c r="G32" s="135">
        <v>1</v>
      </c>
      <c r="H32" s="135" t="s">
        <v>270</v>
      </c>
      <c r="I32" s="135">
        <v>464</v>
      </c>
      <c r="J32" s="136">
        <v>100</v>
      </c>
    </row>
    <row r="33" spans="1:10" ht="21" customHeight="1" x14ac:dyDescent="0.15">
      <c r="A33" s="46">
        <v>40015032</v>
      </c>
      <c r="B33" s="135">
        <v>1</v>
      </c>
      <c r="C33" s="135">
        <v>95</v>
      </c>
      <c r="D33" s="135">
        <v>100</v>
      </c>
      <c r="E33" s="135" t="s">
        <v>270</v>
      </c>
      <c r="F33" s="135" t="s">
        <v>270</v>
      </c>
      <c r="G33" s="135">
        <v>1</v>
      </c>
      <c r="H33" s="135" t="s">
        <v>270</v>
      </c>
      <c r="I33" s="135">
        <v>471</v>
      </c>
      <c r="J33" s="136">
        <v>100</v>
      </c>
    </row>
    <row r="34" spans="1:10" ht="21" customHeight="1" x14ac:dyDescent="0.15">
      <c r="A34" s="46">
        <v>40015033</v>
      </c>
      <c r="B34" s="135">
        <v>1</v>
      </c>
      <c r="C34" s="135">
        <v>94</v>
      </c>
      <c r="D34" s="135">
        <v>100</v>
      </c>
      <c r="E34" s="135" t="s">
        <v>270</v>
      </c>
      <c r="F34" s="135" t="s">
        <v>270</v>
      </c>
      <c r="G34" s="135">
        <v>1</v>
      </c>
      <c r="H34" s="135" t="s">
        <v>270</v>
      </c>
      <c r="I34" s="135">
        <v>234</v>
      </c>
      <c r="J34" s="136">
        <v>100</v>
      </c>
    </row>
    <row r="35" spans="1:10" ht="21" customHeight="1" x14ac:dyDescent="0.15">
      <c r="A35" s="46">
        <v>40015034</v>
      </c>
      <c r="B35" s="135">
        <v>1</v>
      </c>
      <c r="C35" s="135">
        <v>93</v>
      </c>
      <c r="D35" s="135">
        <v>100</v>
      </c>
      <c r="E35" s="135" t="s">
        <v>270</v>
      </c>
      <c r="F35" s="135" t="s">
        <v>270</v>
      </c>
      <c r="G35" s="135">
        <v>1</v>
      </c>
      <c r="H35" s="135" t="s">
        <v>270</v>
      </c>
      <c r="I35" s="135">
        <v>765</v>
      </c>
      <c r="J35" s="136">
        <v>100</v>
      </c>
    </row>
    <row r="36" spans="1:10" ht="21" customHeight="1" x14ac:dyDescent="0.15">
      <c r="A36" s="46">
        <v>40015035</v>
      </c>
      <c r="B36" s="46">
        <v>0</v>
      </c>
      <c r="C36" s="46">
        <v>25</v>
      </c>
      <c r="D36" s="46">
        <v>50</v>
      </c>
      <c r="E36" s="46" t="s">
        <v>253</v>
      </c>
      <c r="F36" s="46" t="s">
        <v>254</v>
      </c>
      <c r="G36" s="46" t="s">
        <v>255</v>
      </c>
      <c r="H36" s="46" t="s">
        <v>256</v>
      </c>
      <c r="I36" s="46" t="s">
        <v>257</v>
      </c>
      <c r="J36" s="47">
        <f t="shared" si="1"/>
        <v>50</v>
      </c>
    </row>
    <row r="37" spans="1:10" ht="21" customHeight="1" x14ac:dyDescent="0.15">
      <c r="A37" s="46">
        <v>40015036</v>
      </c>
      <c r="B37" s="46">
        <v>0</v>
      </c>
      <c r="C37" s="46">
        <v>24</v>
      </c>
      <c r="D37" s="46">
        <v>100</v>
      </c>
      <c r="E37" s="46" t="s">
        <v>253</v>
      </c>
      <c r="F37" s="46" t="s">
        <v>254</v>
      </c>
      <c r="G37" s="46" t="s">
        <v>255</v>
      </c>
      <c r="H37" s="46" t="s">
        <v>256</v>
      </c>
      <c r="I37" s="46" t="s">
        <v>257</v>
      </c>
      <c r="J37" s="47">
        <f t="shared" si="1"/>
        <v>100</v>
      </c>
    </row>
    <row r="38" spans="1:10" ht="21" customHeight="1" x14ac:dyDescent="0.15">
      <c r="A38" s="46">
        <v>40015037</v>
      </c>
      <c r="B38" s="46">
        <v>0</v>
      </c>
      <c r="C38" s="46">
        <v>30</v>
      </c>
      <c r="D38" s="46">
        <v>100</v>
      </c>
      <c r="E38" s="46" t="s">
        <v>253</v>
      </c>
      <c r="F38" s="46" t="s">
        <v>254</v>
      </c>
      <c r="G38" s="46" t="s">
        <v>255</v>
      </c>
      <c r="H38" s="46">
        <v>4</v>
      </c>
      <c r="I38" s="46" t="s">
        <v>257</v>
      </c>
      <c r="J38" s="47">
        <f t="shared" si="1"/>
        <v>100</v>
      </c>
    </row>
    <row r="39" spans="1:10" ht="21" customHeight="1" x14ac:dyDescent="0.15">
      <c r="A39" s="46">
        <v>40015038</v>
      </c>
      <c r="B39" s="46">
        <v>0</v>
      </c>
      <c r="C39" s="46">
        <v>40</v>
      </c>
      <c r="D39" s="46">
        <v>100</v>
      </c>
      <c r="E39" s="46" t="s">
        <v>253</v>
      </c>
      <c r="F39" s="46">
        <v>50</v>
      </c>
      <c r="G39" s="46">
        <v>1</v>
      </c>
      <c r="H39" s="46">
        <v>1</v>
      </c>
      <c r="I39" s="46" t="s">
        <v>257</v>
      </c>
      <c r="J39" s="47">
        <f t="shared" si="1"/>
        <v>100</v>
      </c>
    </row>
    <row r="40" spans="1:10" ht="21" customHeight="1" x14ac:dyDescent="0.15">
      <c r="A40" s="46">
        <v>40015039</v>
      </c>
      <c r="B40" s="46">
        <v>0</v>
      </c>
      <c r="C40" s="46">
        <v>35</v>
      </c>
      <c r="D40" s="46">
        <v>100</v>
      </c>
      <c r="E40" s="46">
        <v>25</v>
      </c>
      <c r="F40" s="46" t="s">
        <v>254</v>
      </c>
      <c r="G40" s="46">
        <v>1</v>
      </c>
      <c r="H40" s="46">
        <v>1</v>
      </c>
      <c r="I40" s="46" t="s">
        <v>257</v>
      </c>
      <c r="J40" s="47">
        <f t="shared" si="1"/>
        <v>100</v>
      </c>
    </row>
    <row r="41" spans="1:10" ht="21" customHeight="1" x14ac:dyDescent="0.15">
      <c r="A41" s="46">
        <v>40015040</v>
      </c>
      <c r="B41" s="46">
        <v>1</v>
      </c>
      <c r="C41" s="46">
        <v>50</v>
      </c>
      <c r="D41" s="46">
        <v>100</v>
      </c>
      <c r="E41" s="46" t="s">
        <v>253</v>
      </c>
      <c r="F41" s="46" t="s">
        <v>254</v>
      </c>
      <c r="G41" s="46">
        <v>1</v>
      </c>
      <c r="H41" s="46" t="s">
        <v>256</v>
      </c>
      <c r="I41" s="46" t="s">
        <v>257</v>
      </c>
      <c r="J41" s="47">
        <f t="shared" si="1"/>
        <v>100</v>
      </c>
    </row>
    <row r="42" spans="1:10" ht="21" customHeight="1" x14ac:dyDescent="0.15">
      <c r="A42" s="46">
        <v>40015041</v>
      </c>
      <c r="B42" s="46">
        <v>1</v>
      </c>
      <c r="C42" s="46">
        <v>99</v>
      </c>
      <c r="D42" s="46">
        <v>100</v>
      </c>
      <c r="E42" s="46" t="s">
        <v>253</v>
      </c>
      <c r="F42" s="46" t="s">
        <v>254</v>
      </c>
      <c r="G42" s="46">
        <v>1</v>
      </c>
      <c r="H42" s="46" t="s">
        <v>256</v>
      </c>
      <c r="I42" s="46">
        <v>473</v>
      </c>
      <c r="J42" s="47">
        <f t="shared" si="1"/>
        <v>100</v>
      </c>
    </row>
    <row r="43" spans="1:10" ht="21" customHeight="1" x14ac:dyDescent="0.15">
      <c r="A43" s="46">
        <v>40015042</v>
      </c>
      <c r="B43" s="46">
        <v>1</v>
      </c>
      <c r="C43" s="46">
        <v>98</v>
      </c>
      <c r="D43" s="46">
        <v>100</v>
      </c>
      <c r="E43" s="46" t="s">
        <v>253</v>
      </c>
      <c r="F43" s="46" t="s">
        <v>254</v>
      </c>
      <c r="G43" s="46">
        <v>1</v>
      </c>
      <c r="H43" s="46" t="s">
        <v>256</v>
      </c>
      <c r="I43" s="46">
        <v>466</v>
      </c>
      <c r="J43" s="47">
        <f t="shared" si="1"/>
        <v>100</v>
      </c>
    </row>
    <row r="44" spans="1:10" ht="21" customHeight="1" x14ac:dyDescent="0.15">
      <c r="A44" s="46">
        <v>40015043</v>
      </c>
      <c r="B44" s="46">
        <v>1</v>
      </c>
      <c r="C44" s="46">
        <v>97</v>
      </c>
      <c r="D44" s="46">
        <v>100</v>
      </c>
      <c r="E44" s="46" t="s">
        <v>253</v>
      </c>
      <c r="F44" s="46" t="s">
        <v>254</v>
      </c>
      <c r="G44" s="46">
        <v>1</v>
      </c>
      <c r="H44" s="46" t="s">
        <v>256</v>
      </c>
      <c r="I44" s="46">
        <v>468</v>
      </c>
      <c r="J44" s="47">
        <f t="shared" si="1"/>
        <v>100</v>
      </c>
    </row>
    <row r="45" spans="1:10" ht="21" customHeight="1" x14ac:dyDescent="0.15">
      <c r="A45" s="46">
        <v>40015044</v>
      </c>
      <c r="B45" s="46">
        <v>1</v>
      </c>
      <c r="C45" s="46">
        <v>96</v>
      </c>
      <c r="D45" s="46">
        <v>100</v>
      </c>
      <c r="E45" s="46" t="s">
        <v>253</v>
      </c>
      <c r="F45" s="46" t="s">
        <v>254</v>
      </c>
      <c r="G45" s="46">
        <v>1</v>
      </c>
      <c r="H45" s="46" t="s">
        <v>256</v>
      </c>
      <c r="I45" s="46">
        <v>464</v>
      </c>
      <c r="J45" s="47">
        <f t="shared" si="1"/>
        <v>100</v>
      </c>
    </row>
    <row r="46" spans="1:10" ht="21" customHeight="1" x14ac:dyDescent="0.15">
      <c r="A46" s="46">
        <v>40015045</v>
      </c>
      <c r="B46" s="46">
        <v>1</v>
      </c>
      <c r="C46" s="46">
        <v>95</v>
      </c>
      <c r="D46" s="46">
        <v>100</v>
      </c>
      <c r="E46" s="46" t="s">
        <v>253</v>
      </c>
      <c r="F46" s="46" t="s">
        <v>254</v>
      </c>
      <c r="G46" s="46">
        <v>1</v>
      </c>
      <c r="H46" s="46" t="s">
        <v>256</v>
      </c>
      <c r="I46" s="46">
        <v>471</v>
      </c>
      <c r="J46" s="47">
        <f t="shared" si="1"/>
        <v>100</v>
      </c>
    </row>
    <row r="47" spans="1:10" ht="21" customHeight="1" x14ac:dyDescent="0.15">
      <c r="A47" s="46">
        <v>40015046</v>
      </c>
      <c r="B47" s="46">
        <v>1</v>
      </c>
      <c r="C47" s="46">
        <v>94</v>
      </c>
      <c r="D47" s="46">
        <v>100</v>
      </c>
      <c r="E47" s="46" t="s">
        <v>253</v>
      </c>
      <c r="F47" s="46" t="s">
        <v>254</v>
      </c>
      <c r="G47" s="46">
        <v>1</v>
      </c>
      <c r="H47" s="46" t="s">
        <v>256</v>
      </c>
      <c r="I47" s="46">
        <v>234</v>
      </c>
      <c r="J47" s="47">
        <f t="shared" si="1"/>
        <v>100</v>
      </c>
    </row>
    <row r="48" spans="1:10" ht="21" customHeight="1" x14ac:dyDescent="0.15">
      <c r="A48" s="46">
        <v>40015047</v>
      </c>
      <c r="B48" s="46">
        <v>1</v>
      </c>
      <c r="C48" s="46">
        <v>93</v>
      </c>
      <c r="D48" s="46">
        <v>100</v>
      </c>
      <c r="E48" s="46" t="s">
        <v>253</v>
      </c>
      <c r="F48" s="46" t="s">
        <v>254</v>
      </c>
      <c r="G48" s="46">
        <v>1</v>
      </c>
      <c r="H48" s="46" t="s">
        <v>256</v>
      </c>
      <c r="I48" s="46">
        <v>765</v>
      </c>
      <c r="J48" s="47">
        <f t="shared" si="1"/>
        <v>100</v>
      </c>
    </row>
    <row r="49" spans="1:10" ht="21" customHeight="1" x14ac:dyDescent="0.15">
      <c r="A49" s="46">
        <v>40015048</v>
      </c>
      <c r="B49" s="46">
        <v>0</v>
      </c>
      <c r="C49" s="46">
        <v>25</v>
      </c>
      <c r="D49" s="46">
        <v>100</v>
      </c>
      <c r="E49" s="46" t="s">
        <v>253</v>
      </c>
      <c r="F49" s="46">
        <v>66</v>
      </c>
      <c r="G49" s="46">
        <v>1</v>
      </c>
      <c r="H49" s="46" t="s">
        <v>256</v>
      </c>
      <c r="I49" s="46" t="s">
        <v>257</v>
      </c>
      <c r="J49" s="47">
        <f t="shared" si="1"/>
        <v>100</v>
      </c>
    </row>
    <row r="50" spans="1:10" ht="21" customHeight="1" x14ac:dyDescent="0.15">
      <c r="A50" s="46">
        <v>40015049</v>
      </c>
      <c r="B50" s="46">
        <v>0</v>
      </c>
      <c r="C50" s="46">
        <v>25</v>
      </c>
      <c r="D50" s="46">
        <v>100</v>
      </c>
      <c r="E50" s="46">
        <v>66</v>
      </c>
      <c r="F50" s="46">
        <v>33</v>
      </c>
      <c r="G50" s="46">
        <v>1</v>
      </c>
      <c r="H50" s="46" t="s">
        <v>256</v>
      </c>
      <c r="I50" s="46" t="s">
        <v>257</v>
      </c>
      <c r="J50" s="47">
        <f t="shared" si="1"/>
        <v>100</v>
      </c>
    </row>
    <row r="51" spans="1:10" ht="21" customHeight="1" x14ac:dyDescent="0.15">
      <c r="A51" s="46">
        <v>40015050</v>
      </c>
      <c r="B51" s="46">
        <v>0</v>
      </c>
      <c r="C51" s="46">
        <v>25</v>
      </c>
      <c r="D51" s="46">
        <v>100</v>
      </c>
      <c r="E51" s="46">
        <v>33</v>
      </c>
      <c r="F51" s="46" t="s">
        <v>335</v>
      </c>
      <c r="G51" s="46">
        <v>1</v>
      </c>
      <c r="H51" s="46" t="s">
        <v>256</v>
      </c>
      <c r="I51" s="46" t="s">
        <v>257</v>
      </c>
      <c r="J51" s="47">
        <f t="shared" si="1"/>
        <v>100</v>
      </c>
    </row>
    <row r="52" spans="1:10" ht="21" customHeight="1" x14ac:dyDescent="0.15">
      <c r="A52" s="46">
        <v>40015051</v>
      </c>
      <c r="B52" s="46">
        <v>0</v>
      </c>
      <c r="C52" s="46">
        <v>30</v>
      </c>
      <c r="D52" s="46">
        <v>20</v>
      </c>
      <c r="E52" s="46" t="s">
        <v>336</v>
      </c>
      <c r="F52" s="46" t="s">
        <v>254</v>
      </c>
      <c r="G52" s="46">
        <v>1</v>
      </c>
      <c r="H52" s="46" t="s">
        <v>256</v>
      </c>
      <c r="I52" s="46" t="s">
        <v>257</v>
      </c>
      <c r="J52" s="47">
        <f t="shared" si="1"/>
        <v>20</v>
      </c>
    </row>
    <row r="53" spans="1:10" ht="21" customHeight="1" x14ac:dyDescent="0.15">
      <c r="A53" s="46">
        <v>40015052</v>
      </c>
      <c r="B53" s="46">
        <v>0</v>
      </c>
      <c r="C53" s="46">
        <v>24</v>
      </c>
      <c r="D53" s="46">
        <v>100</v>
      </c>
      <c r="E53" s="46" t="s">
        <v>253</v>
      </c>
      <c r="F53" s="46">
        <v>66</v>
      </c>
      <c r="G53" s="46">
        <v>1</v>
      </c>
      <c r="H53" s="46" t="s">
        <v>256</v>
      </c>
      <c r="I53" s="46" t="s">
        <v>257</v>
      </c>
      <c r="J53" s="47">
        <f t="shared" si="1"/>
        <v>100</v>
      </c>
    </row>
    <row r="54" spans="1:10" ht="21" customHeight="1" x14ac:dyDescent="0.15">
      <c r="A54" s="46">
        <v>40015053</v>
      </c>
      <c r="B54" s="46">
        <v>0</v>
      </c>
      <c r="C54" s="46">
        <v>24</v>
      </c>
      <c r="D54" s="46">
        <v>100</v>
      </c>
      <c r="E54" s="46">
        <v>66</v>
      </c>
      <c r="F54" s="46">
        <v>33</v>
      </c>
      <c r="G54" s="46">
        <v>1</v>
      </c>
      <c r="H54" s="46" t="s">
        <v>256</v>
      </c>
      <c r="I54" s="46" t="s">
        <v>257</v>
      </c>
      <c r="J54" s="47">
        <f t="shared" si="1"/>
        <v>100</v>
      </c>
    </row>
    <row r="55" spans="1:10" ht="21" customHeight="1" x14ac:dyDescent="0.15">
      <c r="A55" s="46">
        <v>40015054</v>
      </c>
      <c r="B55" s="46">
        <v>0</v>
      </c>
      <c r="C55" s="46">
        <v>24</v>
      </c>
      <c r="D55" s="46">
        <v>100</v>
      </c>
      <c r="E55" s="46">
        <v>33</v>
      </c>
      <c r="F55" s="46" t="s">
        <v>335</v>
      </c>
      <c r="G55" s="46">
        <v>1</v>
      </c>
      <c r="H55" s="46" t="s">
        <v>256</v>
      </c>
      <c r="I55" s="46" t="s">
        <v>257</v>
      </c>
      <c r="J55" s="47">
        <f t="shared" si="1"/>
        <v>100</v>
      </c>
    </row>
    <row r="56" spans="1:10" ht="21" customHeight="1" x14ac:dyDescent="0.15">
      <c r="A56" s="46">
        <v>40015055</v>
      </c>
      <c r="B56" s="46">
        <v>0</v>
      </c>
      <c r="C56" s="46">
        <v>30</v>
      </c>
      <c r="D56" s="46">
        <v>20</v>
      </c>
      <c r="E56" s="46" t="s">
        <v>337</v>
      </c>
      <c r="F56" s="46" t="s">
        <v>254</v>
      </c>
      <c r="G56" s="46">
        <v>1</v>
      </c>
      <c r="H56" s="46" t="s">
        <v>256</v>
      </c>
      <c r="I56" s="46" t="s">
        <v>257</v>
      </c>
      <c r="J56" s="47">
        <f t="shared" si="1"/>
        <v>20</v>
      </c>
    </row>
    <row r="57" spans="1:10" ht="21" customHeight="1" x14ac:dyDescent="0.15">
      <c r="A57" s="46">
        <v>40015056</v>
      </c>
      <c r="B57" s="46">
        <v>0</v>
      </c>
      <c r="C57" s="46">
        <v>23</v>
      </c>
      <c r="D57" s="46">
        <v>100</v>
      </c>
      <c r="E57" s="46" t="s">
        <v>253</v>
      </c>
      <c r="F57" s="46">
        <v>66</v>
      </c>
      <c r="G57" s="46">
        <v>1</v>
      </c>
      <c r="H57" s="46" t="s">
        <v>256</v>
      </c>
      <c r="I57" s="46" t="s">
        <v>257</v>
      </c>
      <c r="J57" s="47">
        <f t="shared" si="1"/>
        <v>100</v>
      </c>
    </row>
    <row r="58" spans="1:10" ht="21" customHeight="1" x14ac:dyDescent="0.15">
      <c r="A58" s="46">
        <v>40015057</v>
      </c>
      <c r="B58" s="46">
        <v>0</v>
      </c>
      <c r="C58" s="46">
        <v>23</v>
      </c>
      <c r="D58" s="46">
        <v>100</v>
      </c>
      <c r="E58" s="140">
        <v>66</v>
      </c>
      <c r="F58" s="134">
        <v>33</v>
      </c>
      <c r="G58" s="46">
        <v>1</v>
      </c>
      <c r="H58" s="46" t="s">
        <v>256</v>
      </c>
      <c r="I58" s="46" t="s">
        <v>257</v>
      </c>
      <c r="J58" s="47">
        <f t="shared" si="1"/>
        <v>100</v>
      </c>
    </row>
    <row r="59" spans="1:10" ht="21" customHeight="1" x14ac:dyDescent="0.15">
      <c r="A59" s="46">
        <v>40015058</v>
      </c>
      <c r="B59" s="46">
        <v>0</v>
      </c>
      <c r="C59" s="46">
        <v>23</v>
      </c>
      <c r="D59" s="46">
        <v>100</v>
      </c>
      <c r="E59" s="141">
        <v>33</v>
      </c>
      <c r="F59" s="135" t="s">
        <v>270</v>
      </c>
      <c r="G59" s="46">
        <v>1</v>
      </c>
      <c r="H59" s="46" t="s">
        <v>256</v>
      </c>
      <c r="I59" s="46" t="s">
        <v>257</v>
      </c>
      <c r="J59" s="47">
        <f t="shared" si="1"/>
        <v>100</v>
      </c>
    </row>
    <row r="60" spans="1:10" ht="21" customHeight="1" x14ac:dyDescent="0.15">
      <c r="A60" s="46">
        <v>40015059</v>
      </c>
      <c r="B60" s="46">
        <v>0</v>
      </c>
      <c r="C60" s="46">
        <v>20</v>
      </c>
      <c r="D60" s="46">
        <v>100</v>
      </c>
      <c r="E60" s="46" t="s">
        <v>253</v>
      </c>
      <c r="F60" s="46" t="s">
        <v>53</v>
      </c>
      <c r="G60" s="46" t="s">
        <v>53</v>
      </c>
      <c r="H60" s="46" t="s">
        <v>53</v>
      </c>
      <c r="I60" s="46" t="s">
        <v>257</v>
      </c>
      <c r="J60" s="47">
        <f t="shared" si="1"/>
        <v>100</v>
      </c>
    </row>
    <row r="61" spans="1:10" ht="21" customHeight="1" x14ac:dyDescent="0.15">
      <c r="A61" s="46">
        <v>40015060</v>
      </c>
      <c r="B61" s="46">
        <v>0</v>
      </c>
      <c r="C61" s="46">
        <v>35</v>
      </c>
      <c r="D61" s="46">
        <v>100</v>
      </c>
      <c r="E61" s="46" t="s">
        <v>253</v>
      </c>
      <c r="F61" s="46" t="s">
        <v>254</v>
      </c>
      <c r="G61" s="46">
        <v>1</v>
      </c>
      <c r="H61" s="46">
        <v>4</v>
      </c>
      <c r="I61" s="46" t="s">
        <v>257</v>
      </c>
      <c r="J61" s="47">
        <f t="shared" si="1"/>
        <v>100</v>
      </c>
    </row>
    <row r="62" spans="1:10" ht="21" customHeight="1" x14ac:dyDescent="0.15">
      <c r="A62" s="46">
        <v>40015061</v>
      </c>
      <c r="B62" s="46">
        <v>0</v>
      </c>
      <c r="C62" s="46">
        <v>35</v>
      </c>
      <c r="D62" s="46">
        <v>100</v>
      </c>
      <c r="E62" s="46" t="s">
        <v>253</v>
      </c>
      <c r="F62" s="46" t="s">
        <v>254</v>
      </c>
      <c r="G62" s="46">
        <v>1</v>
      </c>
      <c r="H62" s="46">
        <v>4</v>
      </c>
      <c r="I62" s="46" t="s">
        <v>257</v>
      </c>
      <c r="J62" s="47">
        <f t="shared" si="1"/>
        <v>100</v>
      </c>
    </row>
    <row r="63" spans="1:10" ht="21" customHeight="1" x14ac:dyDescent="0.15">
      <c r="A63" s="46">
        <v>40015062</v>
      </c>
      <c r="B63" s="46">
        <v>0</v>
      </c>
      <c r="C63" s="46">
        <v>35</v>
      </c>
      <c r="D63" s="46">
        <v>100</v>
      </c>
      <c r="E63" s="46" t="s">
        <v>253</v>
      </c>
      <c r="F63" s="46" t="s">
        <v>254</v>
      </c>
      <c r="G63" s="46">
        <v>1</v>
      </c>
      <c r="H63" s="46">
        <v>8</v>
      </c>
      <c r="I63" s="46" t="s">
        <v>257</v>
      </c>
      <c r="J63" s="47">
        <f t="shared" si="1"/>
        <v>100</v>
      </c>
    </row>
    <row r="64" spans="1:10" ht="21" customHeight="1" x14ac:dyDescent="0.15">
      <c r="A64" s="46">
        <v>40015063</v>
      </c>
      <c r="B64" s="46">
        <v>1</v>
      </c>
      <c r="C64" s="46">
        <v>50</v>
      </c>
      <c r="D64" s="46">
        <v>100</v>
      </c>
      <c r="E64" s="46" t="s">
        <v>253</v>
      </c>
      <c r="F64" s="46" t="s">
        <v>254</v>
      </c>
      <c r="G64" s="46">
        <v>1</v>
      </c>
      <c r="H64" s="46" t="s">
        <v>256</v>
      </c>
      <c r="I64" s="46" t="s">
        <v>257</v>
      </c>
      <c r="J64" s="47">
        <f t="shared" si="1"/>
        <v>100</v>
      </c>
    </row>
    <row r="65" spans="1:10" ht="21" customHeight="1" x14ac:dyDescent="0.15">
      <c r="A65" s="46">
        <v>40015064</v>
      </c>
      <c r="B65" s="46">
        <v>1</v>
      </c>
      <c r="C65" s="46">
        <v>99</v>
      </c>
      <c r="D65" s="46">
        <v>100</v>
      </c>
      <c r="E65" s="46" t="s">
        <v>227</v>
      </c>
      <c r="F65" s="46" t="s">
        <v>227</v>
      </c>
      <c r="G65" s="46">
        <v>1</v>
      </c>
      <c r="H65" s="46" t="s">
        <v>227</v>
      </c>
      <c r="I65" s="46">
        <v>473</v>
      </c>
      <c r="J65" s="47">
        <f t="shared" ref="J65:J71" si="2">D65</f>
        <v>100</v>
      </c>
    </row>
    <row r="66" spans="1:10" ht="21" customHeight="1" x14ac:dyDescent="0.15">
      <c r="A66" s="46">
        <v>40015065</v>
      </c>
      <c r="B66" s="46">
        <v>1</v>
      </c>
      <c r="C66" s="46">
        <v>98</v>
      </c>
      <c r="D66" s="46">
        <v>100</v>
      </c>
      <c r="E66" s="46" t="s">
        <v>227</v>
      </c>
      <c r="F66" s="46" t="s">
        <v>227</v>
      </c>
      <c r="G66" s="46">
        <v>1</v>
      </c>
      <c r="H66" s="46" t="s">
        <v>227</v>
      </c>
      <c r="I66" s="46">
        <v>466</v>
      </c>
      <c r="J66" s="47">
        <f t="shared" si="2"/>
        <v>100</v>
      </c>
    </row>
    <row r="67" spans="1:10" ht="21" customHeight="1" x14ac:dyDescent="0.15">
      <c r="A67" s="46">
        <v>40015066</v>
      </c>
      <c r="B67" s="46">
        <v>1</v>
      </c>
      <c r="C67" s="46">
        <v>97</v>
      </c>
      <c r="D67" s="46">
        <v>100</v>
      </c>
      <c r="E67" s="46" t="s">
        <v>227</v>
      </c>
      <c r="F67" s="46" t="s">
        <v>227</v>
      </c>
      <c r="G67" s="46">
        <v>1</v>
      </c>
      <c r="H67" s="46" t="s">
        <v>227</v>
      </c>
      <c r="I67" s="46">
        <v>468</v>
      </c>
      <c r="J67" s="47">
        <f t="shared" si="2"/>
        <v>100</v>
      </c>
    </row>
    <row r="68" spans="1:10" ht="21" customHeight="1" x14ac:dyDescent="0.15">
      <c r="A68" s="46">
        <v>40015067</v>
      </c>
      <c r="B68" s="46">
        <v>1</v>
      </c>
      <c r="C68" s="46">
        <v>96</v>
      </c>
      <c r="D68" s="46">
        <v>100</v>
      </c>
      <c r="E68" s="46" t="s">
        <v>227</v>
      </c>
      <c r="F68" s="46" t="s">
        <v>227</v>
      </c>
      <c r="G68" s="46">
        <v>1</v>
      </c>
      <c r="H68" s="46" t="s">
        <v>227</v>
      </c>
      <c r="I68" s="46">
        <v>464</v>
      </c>
      <c r="J68" s="47">
        <f t="shared" si="2"/>
        <v>100</v>
      </c>
    </row>
    <row r="69" spans="1:10" ht="21" customHeight="1" x14ac:dyDescent="0.15">
      <c r="A69" s="46">
        <v>40015068</v>
      </c>
      <c r="B69" s="46">
        <v>1</v>
      </c>
      <c r="C69" s="46">
        <v>95</v>
      </c>
      <c r="D69" s="46">
        <v>100</v>
      </c>
      <c r="E69" s="46" t="s">
        <v>227</v>
      </c>
      <c r="F69" s="46" t="s">
        <v>227</v>
      </c>
      <c r="G69" s="46">
        <v>1</v>
      </c>
      <c r="H69" s="46" t="s">
        <v>227</v>
      </c>
      <c r="I69" s="46">
        <v>471</v>
      </c>
      <c r="J69" s="47">
        <f t="shared" si="2"/>
        <v>100</v>
      </c>
    </row>
    <row r="70" spans="1:10" ht="21" customHeight="1" x14ac:dyDescent="0.15">
      <c r="A70" s="46">
        <v>40015069</v>
      </c>
      <c r="B70" s="46">
        <v>1</v>
      </c>
      <c r="C70" s="46">
        <v>94</v>
      </c>
      <c r="D70" s="46">
        <v>100</v>
      </c>
      <c r="E70" s="46" t="s">
        <v>227</v>
      </c>
      <c r="F70" s="46" t="s">
        <v>227</v>
      </c>
      <c r="G70" s="46">
        <v>1</v>
      </c>
      <c r="H70" s="46" t="s">
        <v>227</v>
      </c>
      <c r="I70" s="46">
        <v>234</v>
      </c>
      <c r="J70" s="47">
        <f t="shared" si="2"/>
        <v>100</v>
      </c>
    </row>
    <row r="71" spans="1:10" ht="21" customHeight="1" x14ac:dyDescent="0.15">
      <c r="A71" s="46">
        <v>40015070</v>
      </c>
      <c r="B71" s="46">
        <v>1</v>
      </c>
      <c r="C71" s="46">
        <v>93</v>
      </c>
      <c r="D71" s="46">
        <v>100</v>
      </c>
      <c r="E71" s="46" t="s">
        <v>227</v>
      </c>
      <c r="F71" s="46" t="s">
        <v>227</v>
      </c>
      <c r="G71" s="46">
        <v>1</v>
      </c>
      <c r="H71" s="46" t="s">
        <v>227</v>
      </c>
      <c r="I71" s="46">
        <v>765</v>
      </c>
      <c r="J71" s="47">
        <f t="shared" si="2"/>
        <v>100</v>
      </c>
    </row>
    <row r="72" spans="1:10" ht="21" customHeight="1" x14ac:dyDescent="0.15">
      <c r="A72" s="46">
        <v>40015071</v>
      </c>
      <c r="B72" s="46">
        <v>0</v>
      </c>
      <c r="C72" s="46">
        <v>25</v>
      </c>
      <c r="D72" s="46">
        <v>100</v>
      </c>
      <c r="E72" s="46" t="s">
        <v>253</v>
      </c>
      <c r="F72" s="46" t="s">
        <v>254</v>
      </c>
      <c r="G72" s="46">
        <v>1</v>
      </c>
      <c r="H72" s="46">
        <v>1</v>
      </c>
      <c r="I72" s="46" t="s">
        <v>257</v>
      </c>
      <c r="J72" s="47">
        <f t="shared" ref="J72:J78" si="3">D72</f>
        <v>100</v>
      </c>
    </row>
    <row r="73" spans="1:10" ht="21" customHeight="1" x14ac:dyDescent="0.15">
      <c r="A73" s="46">
        <v>40015072</v>
      </c>
      <c r="B73" s="46">
        <v>0</v>
      </c>
      <c r="C73" s="46">
        <v>25</v>
      </c>
      <c r="D73" s="46">
        <v>100</v>
      </c>
      <c r="E73" s="46" t="s">
        <v>253</v>
      </c>
      <c r="F73" s="46" t="s">
        <v>254</v>
      </c>
      <c r="G73" s="46">
        <v>1</v>
      </c>
      <c r="H73" s="46">
        <v>2</v>
      </c>
      <c r="I73" s="46" t="s">
        <v>257</v>
      </c>
      <c r="J73" s="47">
        <f t="shared" si="3"/>
        <v>100</v>
      </c>
    </row>
    <row r="74" spans="1:10" ht="21" customHeight="1" x14ac:dyDescent="0.15">
      <c r="A74" s="46">
        <v>40015073</v>
      </c>
      <c r="B74" s="46">
        <v>0</v>
      </c>
      <c r="C74" s="46">
        <v>24</v>
      </c>
      <c r="D74" s="46">
        <v>100</v>
      </c>
      <c r="E74" s="46" t="s">
        <v>253</v>
      </c>
      <c r="F74" s="46" t="s">
        <v>254</v>
      </c>
      <c r="G74" s="46">
        <v>1</v>
      </c>
      <c r="H74" s="46">
        <v>3</v>
      </c>
      <c r="I74" s="46" t="s">
        <v>257</v>
      </c>
      <c r="J74" s="47">
        <f t="shared" si="3"/>
        <v>100</v>
      </c>
    </row>
    <row r="75" spans="1:10" ht="21" customHeight="1" x14ac:dyDescent="0.15">
      <c r="A75" s="46">
        <v>40015074</v>
      </c>
      <c r="B75" s="46">
        <v>0</v>
      </c>
      <c r="C75" s="46">
        <v>25</v>
      </c>
      <c r="D75" s="46">
        <v>100</v>
      </c>
      <c r="E75" s="46" t="s">
        <v>253</v>
      </c>
      <c r="F75" s="46" t="s">
        <v>254</v>
      </c>
      <c r="G75" s="46">
        <v>1</v>
      </c>
      <c r="H75" s="46">
        <v>4</v>
      </c>
      <c r="I75" s="46" t="s">
        <v>257</v>
      </c>
      <c r="J75" s="47">
        <f t="shared" si="3"/>
        <v>100</v>
      </c>
    </row>
    <row r="76" spans="1:10" ht="21" customHeight="1" x14ac:dyDescent="0.15">
      <c r="A76" s="46">
        <v>40015075</v>
      </c>
      <c r="B76" s="46">
        <v>0</v>
      </c>
      <c r="C76" s="46">
        <v>30</v>
      </c>
      <c r="D76" s="46">
        <v>100</v>
      </c>
      <c r="E76" s="46" t="s">
        <v>253</v>
      </c>
      <c r="F76" s="46" t="s">
        <v>290</v>
      </c>
      <c r="G76" s="46">
        <v>1</v>
      </c>
      <c r="H76" s="46">
        <v>1</v>
      </c>
      <c r="I76" s="46" t="s">
        <v>257</v>
      </c>
      <c r="J76" s="47">
        <f t="shared" si="3"/>
        <v>100</v>
      </c>
    </row>
    <row r="77" spans="1:10" ht="21" customHeight="1" x14ac:dyDescent="0.15">
      <c r="A77" s="46">
        <v>40015076</v>
      </c>
      <c r="B77" s="46">
        <v>0</v>
      </c>
      <c r="C77" s="46">
        <v>40</v>
      </c>
      <c r="D77" s="46">
        <v>100</v>
      </c>
      <c r="E77" s="46">
        <v>50</v>
      </c>
      <c r="F77" s="46" t="s">
        <v>254</v>
      </c>
      <c r="G77" s="46" t="s">
        <v>255</v>
      </c>
      <c r="H77" s="46">
        <v>1</v>
      </c>
      <c r="I77" s="46" t="s">
        <v>257</v>
      </c>
      <c r="J77" s="47">
        <f t="shared" si="3"/>
        <v>100</v>
      </c>
    </row>
    <row r="78" spans="1:10" ht="21" customHeight="1" x14ac:dyDescent="0.15">
      <c r="A78" s="46">
        <v>40015077</v>
      </c>
      <c r="B78" s="46">
        <v>0</v>
      </c>
      <c r="C78" s="46">
        <v>25</v>
      </c>
      <c r="D78" s="46">
        <v>100</v>
      </c>
      <c r="E78" s="46" t="s">
        <v>53</v>
      </c>
      <c r="F78" s="46" t="s">
        <v>53</v>
      </c>
      <c r="G78" s="46">
        <v>1</v>
      </c>
      <c r="H78" s="46" t="s">
        <v>256</v>
      </c>
      <c r="I78" s="46">
        <v>122</v>
      </c>
      <c r="J78" s="47">
        <f t="shared" si="3"/>
        <v>100</v>
      </c>
    </row>
    <row r="79" spans="1:10" ht="21" customHeight="1" x14ac:dyDescent="0.15">
      <c r="A79" s="46">
        <v>40015078</v>
      </c>
      <c r="B79" s="46">
        <v>0</v>
      </c>
      <c r="C79" s="46">
        <v>25</v>
      </c>
      <c r="D79" s="46">
        <v>100</v>
      </c>
      <c r="E79" s="46" t="s">
        <v>53</v>
      </c>
      <c r="F79" s="46" t="s">
        <v>53</v>
      </c>
      <c r="G79" s="46">
        <v>1</v>
      </c>
      <c r="H79" s="46" t="s">
        <v>256</v>
      </c>
      <c r="I79" s="46">
        <v>123</v>
      </c>
      <c r="J79" s="47">
        <f t="shared" ref="J79:J81" si="4">D79</f>
        <v>100</v>
      </c>
    </row>
    <row r="80" spans="1:10" ht="21" customHeight="1" x14ac:dyDescent="0.15">
      <c r="A80" s="142">
        <v>40015080</v>
      </c>
      <c r="B80" s="46">
        <v>1</v>
      </c>
      <c r="C80" s="46">
        <v>52</v>
      </c>
      <c r="D80" s="46">
        <v>100</v>
      </c>
      <c r="E80" s="46" t="s">
        <v>53</v>
      </c>
      <c r="F80" s="46" t="s">
        <v>53</v>
      </c>
      <c r="G80" s="46">
        <v>1</v>
      </c>
      <c r="H80" s="46" t="s">
        <v>53</v>
      </c>
      <c r="I80" s="46">
        <v>465</v>
      </c>
      <c r="J80" s="47">
        <f t="shared" si="4"/>
        <v>100</v>
      </c>
    </row>
    <row r="81" spans="1:10" ht="21" customHeight="1" x14ac:dyDescent="0.15">
      <c r="A81" s="142">
        <v>40015081</v>
      </c>
      <c r="B81" s="46">
        <v>1</v>
      </c>
      <c r="C81" s="46">
        <v>51</v>
      </c>
      <c r="D81" s="46">
        <v>100</v>
      </c>
      <c r="E81" s="46" t="s">
        <v>53</v>
      </c>
      <c r="F81" s="46" t="s">
        <v>53</v>
      </c>
      <c r="G81" s="46">
        <v>1</v>
      </c>
      <c r="H81" s="46" t="s">
        <v>53</v>
      </c>
      <c r="I81" s="46">
        <v>472</v>
      </c>
      <c r="J81" s="47">
        <f t="shared" si="4"/>
        <v>100</v>
      </c>
    </row>
    <row r="82" spans="1:10" ht="21" customHeight="1" x14ac:dyDescent="0.15">
      <c r="A82" s="142">
        <v>40015082</v>
      </c>
      <c r="B82" s="134">
        <v>1</v>
      </c>
      <c r="C82" s="134">
        <v>99</v>
      </c>
      <c r="D82" s="134">
        <v>100</v>
      </c>
      <c r="E82" s="134" t="s">
        <v>270</v>
      </c>
      <c r="F82" s="134" t="s">
        <v>270</v>
      </c>
      <c r="G82" s="134">
        <v>1</v>
      </c>
      <c r="H82" s="134" t="s">
        <v>270</v>
      </c>
      <c r="I82" s="134">
        <v>472</v>
      </c>
      <c r="J82" s="118">
        <v>100</v>
      </c>
    </row>
    <row r="83" spans="1:10" ht="21" customHeight="1" x14ac:dyDescent="0.15">
      <c r="A83" s="142">
        <v>40015083</v>
      </c>
      <c r="B83" s="135">
        <v>1</v>
      </c>
      <c r="C83" s="135">
        <v>98</v>
      </c>
      <c r="D83" s="135">
        <v>100</v>
      </c>
      <c r="E83" s="135" t="s">
        <v>270</v>
      </c>
      <c r="F83" s="135" t="s">
        <v>270</v>
      </c>
      <c r="G83" s="135">
        <v>1</v>
      </c>
      <c r="H83" s="135" t="s">
        <v>270</v>
      </c>
      <c r="I83" s="135">
        <v>465</v>
      </c>
      <c r="J83" s="136">
        <v>100</v>
      </c>
    </row>
    <row r="84" spans="1:10" ht="21" customHeight="1" x14ac:dyDescent="0.15">
      <c r="A84" s="142">
        <v>40015084</v>
      </c>
      <c r="B84" s="135">
        <v>1</v>
      </c>
      <c r="C84" s="135">
        <v>97</v>
      </c>
      <c r="D84" s="135">
        <v>100</v>
      </c>
      <c r="E84" s="135" t="s">
        <v>270</v>
      </c>
      <c r="F84" s="135" t="s">
        <v>270</v>
      </c>
      <c r="G84" s="135">
        <v>1</v>
      </c>
      <c r="H84" s="135" t="s">
        <v>270</v>
      </c>
      <c r="I84" s="135">
        <v>467</v>
      </c>
      <c r="J84" s="136">
        <v>100</v>
      </c>
    </row>
    <row r="85" spans="1:10" ht="21" customHeight="1" x14ac:dyDescent="0.15">
      <c r="A85" s="142">
        <v>40015085</v>
      </c>
      <c r="B85" s="135">
        <v>1</v>
      </c>
      <c r="C85" s="135">
        <v>96</v>
      </c>
      <c r="D85" s="135">
        <v>100</v>
      </c>
      <c r="E85" s="135" t="s">
        <v>270</v>
      </c>
      <c r="F85" s="135" t="s">
        <v>270</v>
      </c>
      <c r="G85" s="135">
        <v>1</v>
      </c>
      <c r="H85" s="135" t="s">
        <v>270</v>
      </c>
      <c r="I85" s="135">
        <v>463</v>
      </c>
      <c r="J85" s="136">
        <v>100</v>
      </c>
    </row>
    <row r="86" spans="1:10" ht="21" customHeight="1" x14ac:dyDescent="0.15">
      <c r="A86" s="142">
        <v>40015086</v>
      </c>
      <c r="B86" s="135">
        <v>1</v>
      </c>
      <c r="C86" s="135">
        <v>96</v>
      </c>
      <c r="D86" s="135">
        <v>100</v>
      </c>
      <c r="E86" s="135" t="s">
        <v>270</v>
      </c>
      <c r="F86" s="135" t="s">
        <v>270</v>
      </c>
      <c r="G86" s="135">
        <v>1</v>
      </c>
      <c r="H86" s="135" t="s">
        <v>270</v>
      </c>
      <c r="I86" s="135">
        <v>462</v>
      </c>
      <c r="J86" s="136">
        <v>100</v>
      </c>
    </row>
    <row r="87" spans="1:10" ht="21" customHeight="1" x14ac:dyDescent="0.15">
      <c r="A87" s="142">
        <v>40015087</v>
      </c>
      <c r="B87" s="135">
        <v>1</v>
      </c>
      <c r="C87" s="135">
        <v>95</v>
      </c>
      <c r="D87" s="135">
        <v>100</v>
      </c>
      <c r="E87" s="135" t="s">
        <v>270</v>
      </c>
      <c r="F87" s="135" t="s">
        <v>270</v>
      </c>
      <c r="G87" s="135">
        <v>1</v>
      </c>
      <c r="H87" s="135" t="s">
        <v>270</v>
      </c>
      <c r="I87" s="135">
        <v>470</v>
      </c>
      <c r="J87" s="136">
        <v>100</v>
      </c>
    </row>
    <row r="88" spans="1:10" ht="21" customHeight="1" x14ac:dyDescent="0.15">
      <c r="A88" s="142">
        <v>40015088</v>
      </c>
      <c r="B88" s="135">
        <v>1</v>
      </c>
      <c r="C88" s="135">
        <v>95</v>
      </c>
      <c r="D88" s="135">
        <v>100</v>
      </c>
      <c r="E88" s="135" t="s">
        <v>270</v>
      </c>
      <c r="F88" s="135" t="s">
        <v>270</v>
      </c>
      <c r="G88" s="135">
        <v>1</v>
      </c>
      <c r="H88" s="135" t="s">
        <v>270</v>
      </c>
      <c r="I88" s="135">
        <v>469</v>
      </c>
      <c r="J88" s="136">
        <v>100</v>
      </c>
    </row>
    <row r="89" spans="1:10" ht="21" customHeight="1" x14ac:dyDescent="0.15">
      <c r="A89" s="142">
        <v>40015089</v>
      </c>
      <c r="B89" s="135">
        <v>1</v>
      </c>
      <c r="C89" s="135">
        <v>94</v>
      </c>
      <c r="D89" s="135">
        <v>100</v>
      </c>
      <c r="E89" s="135" t="s">
        <v>270</v>
      </c>
      <c r="F89" s="135" t="s">
        <v>270</v>
      </c>
      <c r="G89" s="135">
        <v>1</v>
      </c>
      <c r="H89" s="135" t="s">
        <v>270</v>
      </c>
      <c r="I89" s="135">
        <v>233</v>
      </c>
      <c r="J89" s="136">
        <v>100</v>
      </c>
    </row>
    <row r="90" spans="1:10" ht="21" customHeight="1" x14ac:dyDescent="0.15">
      <c r="A90" s="142">
        <v>40015090</v>
      </c>
      <c r="B90" s="135">
        <v>1</v>
      </c>
      <c r="C90" s="135">
        <v>94</v>
      </c>
      <c r="D90" s="135">
        <v>100</v>
      </c>
      <c r="E90" s="135" t="s">
        <v>270</v>
      </c>
      <c r="F90" s="135" t="s">
        <v>270</v>
      </c>
      <c r="G90" s="135">
        <v>1</v>
      </c>
      <c r="H90" s="135" t="s">
        <v>270</v>
      </c>
      <c r="I90" s="135">
        <v>232</v>
      </c>
      <c r="J90" s="136">
        <v>100</v>
      </c>
    </row>
    <row r="91" spans="1:10" ht="21" customHeight="1" x14ac:dyDescent="0.15">
      <c r="A91" s="142">
        <v>40015091</v>
      </c>
      <c r="B91" s="135">
        <v>1</v>
      </c>
      <c r="C91" s="135">
        <v>93</v>
      </c>
      <c r="D91" s="135">
        <v>100</v>
      </c>
      <c r="E91" s="135" t="s">
        <v>270</v>
      </c>
      <c r="F91" s="135" t="s">
        <v>270</v>
      </c>
      <c r="G91" s="135">
        <v>1</v>
      </c>
      <c r="H91" s="135" t="s">
        <v>270</v>
      </c>
      <c r="I91" s="135">
        <v>764</v>
      </c>
      <c r="J91" s="136">
        <v>100</v>
      </c>
    </row>
    <row r="92" spans="1:10" ht="21" customHeight="1" x14ac:dyDescent="0.15">
      <c r="A92" s="142">
        <v>40015092</v>
      </c>
      <c r="B92" s="134">
        <v>1</v>
      </c>
      <c r="C92" s="134">
        <v>99</v>
      </c>
      <c r="D92" s="134">
        <v>100</v>
      </c>
      <c r="E92" s="134" t="s">
        <v>270</v>
      </c>
      <c r="F92" s="134" t="s">
        <v>270</v>
      </c>
      <c r="G92" s="134">
        <v>1</v>
      </c>
      <c r="H92" s="134" t="s">
        <v>270</v>
      </c>
      <c r="I92" s="134">
        <v>472</v>
      </c>
      <c r="J92" s="118">
        <v>100</v>
      </c>
    </row>
    <row r="93" spans="1:10" ht="21" customHeight="1" x14ac:dyDescent="0.15">
      <c r="A93" s="142">
        <v>40015093</v>
      </c>
      <c r="B93" s="135">
        <v>1</v>
      </c>
      <c r="C93" s="135">
        <v>98</v>
      </c>
      <c r="D93" s="135">
        <v>100</v>
      </c>
      <c r="E93" s="135" t="s">
        <v>270</v>
      </c>
      <c r="F93" s="135" t="s">
        <v>270</v>
      </c>
      <c r="G93" s="135">
        <v>1</v>
      </c>
      <c r="H93" s="135" t="s">
        <v>270</v>
      </c>
      <c r="I93" s="135">
        <v>465</v>
      </c>
      <c r="J93" s="136">
        <v>100</v>
      </c>
    </row>
    <row r="94" spans="1:10" ht="21" customHeight="1" x14ac:dyDescent="0.15">
      <c r="A94" s="142">
        <v>40015094</v>
      </c>
      <c r="B94" s="135">
        <v>1</v>
      </c>
      <c r="C94" s="135">
        <v>97</v>
      </c>
      <c r="D94" s="135">
        <v>100</v>
      </c>
      <c r="E94" s="135" t="s">
        <v>270</v>
      </c>
      <c r="F94" s="135" t="s">
        <v>270</v>
      </c>
      <c r="G94" s="135">
        <v>1</v>
      </c>
      <c r="H94" s="135" t="s">
        <v>270</v>
      </c>
      <c r="I94" s="135">
        <v>467</v>
      </c>
      <c r="J94" s="136">
        <v>100</v>
      </c>
    </row>
    <row r="95" spans="1:10" ht="21" customHeight="1" x14ac:dyDescent="0.15">
      <c r="A95" s="142">
        <v>40015095</v>
      </c>
      <c r="B95" s="135">
        <v>1</v>
      </c>
      <c r="C95" s="135">
        <v>96</v>
      </c>
      <c r="D95" s="135">
        <v>100</v>
      </c>
      <c r="E95" s="135" t="s">
        <v>270</v>
      </c>
      <c r="F95" s="135" t="s">
        <v>270</v>
      </c>
      <c r="G95" s="135">
        <v>1</v>
      </c>
      <c r="H95" s="135" t="s">
        <v>270</v>
      </c>
      <c r="I95" s="135">
        <v>463</v>
      </c>
      <c r="J95" s="136">
        <v>100</v>
      </c>
    </row>
    <row r="96" spans="1:10" ht="21" customHeight="1" x14ac:dyDescent="0.15">
      <c r="A96" s="142">
        <v>40015096</v>
      </c>
      <c r="B96" s="135">
        <v>1</v>
      </c>
      <c r="C96" s="135">
        <v>96</v>
      </c>
      <c r="D96" s="135">
        <v>100</v>
      </c>
      <c r="E96" s="135" t="s">
        <v>270</v>
      </c>
      <c r="F96" s="135" t="s">
        <v>270</v>
      </c>
      <c r="G96" s="135">
        <v>1</v>
      </c>
      <c r="H96" s="135" t="s">
        <v>270</v>
      </c>
      <c r="I96" s="135">
        <v>462</v>
      </c>
      <c r="J96" s="136">
        <v>100</v>
      </c>
    </row>
    <row r="97" spans="1:10" ht="21" customHeight="1" x14ac:dyDescent="0.15">
      <c r="A97" s="142">
        <v>40015097</v>
      </c>
      <c r="B97" s="135">
        <v>1</v>
      </c>
      <c r="C97" s="135">
        <v>95</v>
      </c>
      <c r="D97" s="135">
        <v>100</v>
      </c>
      <c r="E97" s="135" t="s">
        <v>270</v>
      </c>
      <c r="F97" s="135" t="s">
        <v>270</v>
      </c>
      <c r="G97" s="135">
        <v>1</v>
      </c>
      <c r="H97" s="135" t="s">
        <v>270</v>
      </c>
      <c r="I97" s="135">
        <v>470</v>
      </c>
      <c r="J97" s="136">
        <v>100</v>
      </c>
    </row>
    <row r="98" spans="1:10" ht="21" customHeight="1" x14ac:dyDescent="0.15">
      <c r="A98" s="142">
        <v>40015098</v>
      </c>
      <c r="B98" s="135">
        <v>1</v>
      </c>
      <c r="C98" s="135">
        <v>95</v>
      </c>
      <c r="D98" s="135">
        <v>100</v>
      </c>
      <c r="E98" s="135" t="s">
        <v>270</v>
      </c>
      <c r="F98" s="135" t="s">
        <v>270</v>
      </c>
      <c r="G98" s="135">
        <v>1</v>
      </c>
      <c r="H98" s="135" t="s">
        <v>270</v>
      </c>
      <c r="I98" s="135">
        <v>469</v>
      </c>
      <c r="J98" s="136">
        <v>100</v>
      </c>
    </row>
    <row r="99" spans="1:10" ht="21" customHeight="1" x14ac:dyDescent="0.15">
      <c r="A99" s="142">
        <v>40015099</v>
      </c>
      <c r="B99" s="135">
        <v>1</v>
      </c>
      <c r="C99" s="135">
        <v>94</v>
      </c>
      <c r="D99" s="135">
        <v>100</v>
      </c>
      <c r="E99" s="135" t="s">
        <v>270</v>
      </c>
      <c r="F99" s="135" t="s">
        <v>270</v>
      </c>
      <c r="G99" s="135">
        <v>1</v>
      </c>
      <c r="H99" s="135" t="s">
        <v>270</v>
      </c>
      <c r="I99" s="135">
        <v>233</v>
      </c>
      <c r="J99" s="136">
        <v>100</v>
      </c>
    </row>
    <row r="100" spans="1:10" ht="21" customHeight="1" x14ac:dyDescent="0.15">
      <c r="A100" s="142">
        <v>40015100</v>
      </c>
      <c r="B100" s="135">
        <v>1</v>
      </c>
      <c r="C100" s="135">
        <v>94</v>
      </c>
      <c r="D100" s="135">
        <v>100</v>
      </c>
      <c r="E100" s="135" t="s">
        <v>270</v>
      </c>
      <c r="F100" s="135" t="s">
        <v>270</v>
      </c>
      <c r="G100" s="135">
        <v>1</v>
      </c>
      <c r="H100" s="135" t="s">
        <v>270</v>
      </c>
      <c r="I100" s="135">
        <v>232</v>
      </c>
      <c r="J100" s="136">
        <v>100</v>
      </c>
    </row>
    <row r="101" spans="1:10" ht="21" customHeight="1" x14ac:dyDescent="0.15">
      <c r="A101" s="142">
        <v>40015101</v>
      </c>
      <c r="B101" s="135">
        <v>1</v>
      </c>
      <c r="C101" s="135">
        <v>93</v>
      </c>
      <c r="D101" s="135">
        <v>100</v>
      </c>
      <c r="E101" s="135" t="s">
        <v>270</v>
      </c>
      <c r="F101" s="135" t="s">
        <v>270</v>
      </c>
      <c r="G101" s="135">
        <v>1</v>
      </c>
      <c r="H101" s="135" t="s">
        <v>270</v>
      </c>
      <c r="I101" s="135">
        <v>764</v>
      </c>
      <c r="J101" s="136">
        <v>100</v>
      </c>
    </row>
    <row r="102" spans="1:10" ht="21" customHeight="1" x14ac:dyDescent="0.15">
      <c r="A102" s="142">
        <v>40015102</v>
      </c>
      <c r="B102" s="134">
        <v>1</v>
      </c>
      <c r="C102" s="134">
        <v>99</v>
      </c>
      <c r="D102" s="134">
        <v>100</v>
      </c>
      <c r="E102" s="134" t="s">
        <v>270</v>
      </c>
      <c r="F102" s="134" t="s">
        <v>270</v>
      </c>
      <c r="G102" s="134">
        <v>1</v>
      </c>
      <c r="H102" s="134" t="s">
        <v>270</v>
      </c>
      <c r="I102" s="134">
        <v>472</v>
      </c>
      <c r="J102" s="118">
        <v>100</v>
      </c>
    </row>
    <row r="103" spans="1:10" ht="21" customHeight="1" x14ac:dyDescent="0.15">
      <c r="A103" s="142">
        <v>40015103</v>
      </c>
      <c r="B103" s="135">
        <v>1</v>
      </c>
      <c r="C103" s="135">
        <v>98</v>
      </c>
      <c r="D103" s="135">
        <v>100</v>
      </c>
      <c r="E103" s="135" t="s">
        <v>270</v>
      </c>
      <c r="F103" s="135" t="s">
        <v>270</v>
      </c>
      <c r="G103" s="135">
        <v>1</v>
      </c>
      <c r="H103" s="135" t="s">
        <v>270</v>
      </c>
      <c r="I103" s="135">
        <v>465</v>
      </c>
      <c r="J103" s="136">
        <v>100</v>
      </c>
    </row>
    <row r="104" spans="1:10" ht="21" customHeight="1" x14ac:dyDescent="0.15">
      <c r="A104" s="142">
        <v>40015104</v>
      </c>
      <c r="B104" s="135">
        <v>1</v>
      </c>
      <c r="C104" s="135">
        <v>97</v>
      </c>
      <c r="D104" s="135">
        <v>100</v>
      </c>
      <c r="E104" s="135" t="s">
        <v>270</v>
      </c>
      <c r="F104" s="135" t="s">
        <v>270</v>
      </c>
      <c r="G104" s="135">
        <v>1</v>
      </c>
      <c r="H104" s="135" t="s">
        <v>270</v>
      </c>
      <c r="I104" s="135">
        <v>467</v>
      </c>
      <c r="J104" s="136">
        <v>100</v>
      </c>
    </row>
    <row r="105" spans="1:10" ht="21" customHeight="1" x14ac:dyDescent="0.15">
      <c r="A105" s="142">
        <v>40015105</v>
      </c>
      <c r="B105" s="135">
        <v>1</v>
      </c>
      <c r="C105" s="135">
        <v>96</v>
      </c>
      <c r="D105" s="135">
        <v>100</v>
      </c>
      <c r="E105" s="135" t="s">
        <v>270</v>
      </c>
      <c r="F105" s="135" t="s">
        <v>270</v>
      </c>
      <c r="G105" s="135">
        <v>1</v>
      </c>
      <c r="H105" s="135" t="s">
        <v>270</v>
      </c>
      <c r="I105" s="135">
        <v>463</v>
      </c>
      <c r="J105" s="136">
        <v>100</v>
      </c>
    </row>
    <row r="106" spans="1:10" ht="21" customHeight="1" x14ac:dyDescent="0.15">
      <c r="A106" s="142">
        <v>40015106</v>
      </c>
      <c r="B106" s="135">
        <v>1</v>
      </c>
      <c r="C106" s="135">
        <v>96</v>
      </c>
      <c r="D106" s="135">
        <v>100</v>
      </c>
      <c r="E106" s="135" t="s">
        <v>270</v>
      </c>
      <c r="F106" s="135" t="s">
        <v>270</v>
      </c>
      <c r="G106" s="135">
        <v>1</v>
      </c>
      <c r="H106" s="135" t="s">
        <v>270</v>
      </c>
      <c r="I106" s="135">
        <v>462</v>
      </c>
      <c r="J106" s="136">
        <v>100</v>
      </c>
    </row>
    <row r="107" spans="1:10" ht="21" customHeight="1" x14ac:dyDescent="0.15">
      <c r="A107" s="142">
        <v>40015107</v>
      </c>
      <c r="B107" s="135">
        <v>1</v>
      </c>
      <c r="C107" s="135">
        <v>95</v>
      </c>
      <c r="D107" s="135">
        <v>100</v>
      </c>
      <c r="E107" s="135" t="s">
        <v>270</v>
      </c>
      <c r="F107" s="135" t="s">
        <v>270</v>
      </c>
      <c r="G107" s="135">
        <v>1</v>
      </c>
      <c r="H107" s="135" t="s">
        <v>270</v>
      </c>
      <c r="I107" s="135">
        <v>470</v>
      </c>
      <c r="J107" s="136">
        <v>100</v>
      </c>
    </row>
    <row r="108" spans="1:10" ht="21" customHeight="1" x14ac:dyDescent="0.15">
      <c r="A108" s="142">
        <v>40015108</v>
      </c>
      <c r="B108" s="135">
        <v>1</v>
      </c>
      <c r="C108" s="135">
        <v>95</v>
      </c>
      <c r="D108" s="135">
        <v>100</v>
      </c>
      <c r="E108" s="135" t="s">
        <v>270</v>
      </c>
      <c r="F108" s="135" t="s">
        <v>270</v>
      </c>
      <c r="G108" s="135">
        <v>1</v>
      </c>
      <c r="H108" s="135" t="s">
        <v>270</v>
      </c>
      <c r="I108" s="135">
        <v>469</v>
      </c>
      <c r="J108" s="136">
        <v>100</v>
      </c>
    </row>
    <row r="109" spans="1:10" ht="21" customHeight="1" x14ac:dyDescent="0.15">
      <c r="A109" s="142">
        <v>40015109</v>
      </c>
      <c r="B109" s="135">
        <v>1</v>
      </c>
      <c r="C109" s="135">
        <v>94</v>
      </c>
      <c r="D109" s="135">
        <v>100</v>
      </c>
      <c r="E109" s="135" t="s">
        <v>270</v>
      </c>
      <c r="F109" s="135" t="s">
        <v>270</v>
      </c>
      <c r="G109" s="135">
        <v>1</v>
      </c>
      <c r="H109" s="135" t="s">
        <v>270</v>
      </c>
      <c r="I109" s="135">
        <v>233</v>
      </c>
      <c r="J109" s="136">
        <v>100</v>
      </c>
    </row>
    <row r="110" spans="1:10" ht="21" customHeight="1" x14ac:dyDescent="0.15">
      <c r="A110" s="142">
        <v>40015110</v>
      </c>
      <c r="B110" s="135">
        <v>1</v>
      </c>
      <c r="C110" s="135">
        <v>94</v>
      </c>
      <c r="D110" s="135">
        <v>100</v>
      </c>
      <c r="E110" s="135" t="s">
        <v>270</v>
      </c>
      <c r="F110" s="135" t="s">
        <v>270</v>
      </c>
      <c r="G110" s="135">
        <v>1</v>
      </c>
      <c r="H110" s="135" t="s">
        <v>270</v>
      </c>
      <c r="I110" s="135">
        <v>232</v>
      </c>
      <c r="J110" s="136">
        <v>100</v>
      </c>
    </row>
    <row r="111" spans="1:10" ht="21" customHeight="1" x14ac:dyDescent="0.15">
      <c r="A111" s="142">
        <v>40015111</v>
      </c>
      <c r="B111" s="135">
        <v>1</v>
      </c>
      <c r="C111" s="135">
        <v>93</v>
      </c>
      <c r="D111" s="135">
        <v>100</v>
      </c>
      <c r="E111" s="135" t="s">
        <v>270</v>
      </c>
      <c r="F111" s="135" t="s">
        <v>270</v>
      </c>
      <c r="G111" s="135">
        <v>1</v>
      </c>
      <c r="H111" s="135" t="s">
        <v>270</v>
      </c>
      <c r="I111" s="135">
        <v>764</v>
      </c>
      <c r="J111" s="136">
        <v>100</v>
      </c>
    </row>
  </sheetData>
  <autoFilter ref="A1:G1"/>
  <phoneticPr fontId="5"/>
  <conditionalFormatting sqref="K112:K1048576 K1:K2 K4:K77">
    <cfRule type="duplicateValues" dxfId="17" priority="19"/>
  </conditionalFormatting>
  <conditionalFormatting sqref="K3">
    <cfRule type="duplicateValues" dxfId="16" priority="18"/>
  </conditionalFormatting>
  <conditionalFormatting sqref="K78">
    <cfRule type="duplicateValues" dxfId="15" priority="17"/>
  </conditionalFormatting>
  <conditionalFormatting sqref="K79">
    <cfRule type="duplicateValues" dxfId="14" priority="16"/>
  </conditionalFormatting>
  <conditionalFormatting sqref="K80">
    <cfRule type="duplicateValues" dxfId="13" priority="15"/>
  </conditionalFormatting>
  <conditionalFormatting sqref="K81">
    <cfRule type="duplicateValues" dxfId="12" priority="14"/>
  </conditionalFormatting>
  <conditionalFormatting sqref="K82:K85 K87 K90:K91">
    <cfRule type="duplicateValues" dxfId="11" priority="13"/>
  </conditionalFormatting>
  <conditionalFormatting sqref="K86">
    <cfRule type="duplicateValues" dxfId="10" priority="12"/>
  </conditionalFormatting>
  <conditionalFormatting sqref="K89">
    <cfRule type="duplicateValues" dxfId="9" priority="11"/>
  </conditionalFormatting>
  <conditionalFormatting sqref="K88">
    <cfRule type="duplicateValues" dxfId="8" priority="10"/>
  </conditionalFormatting>
  <conditionalFormatting sqref="K92:K95 K97 K100:K101">
    <cfRule type="duplicateValues" dxfId="7" priority="8"/>
  </conditionalFormatting>
  <conditionalFormatting sqref="K96">
    <cfRule type="duplicateValues" dxfId="6" priority="7"/>
  </conditionalFormatting>
  <conditionalFormatting sqref="K99">
    <cfRule type="duplicateValues" dxfId="5" priority="6"/>
  </conditionalFormatting>
  <conditionalFormatting sqref="K98">
    <cfRule type="duplicateValues" dxfId="4" priority="5"/>
  </conditionalFormatting>
  <conditionalFormatting sqref="K102:K105 K107 K110:K111">
    <cfRule type="duplicateValues" dxfId="3" priority="4"/>
  </conditionalFormatting>
  <conditionalFormatting sqref="K106">
    <cfRule type="duplicateValues" dxfId="2" priority="3"/>
  </conditionalFormatting>
  <conditionalFormatting sqref="K109">
    <cfRule type="duplicateValues" dxfId="1" priority="2"/>
  </conditionalFormatting>
  <conditionalFormatting sqref="K10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I33" sqref="I3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150</v>
      </c>
      <c r="B1" s="63" t="s">
        <v>151</v>
      </c>
      <c r="C1" s="64" t="s">
        <v>152</v>
      </c>
      <c r="D1" s="69" t="s">
        <v>153</v>
      </c>
      <c r="E1" s="65" t="s">
        <v>154</v>
      </c>
      <c r="F1" s="63" t="s">
        <v>155</v>
      </c>
      <c r="G1" s="63" t="s">
        <v>156</v>
      </c>
      <c r="H1" s="63" t="s">
        <v>157</v>
      </c>
      <c r="I1" s="63" t="s">
        <v>158</v>
      </c>
      <c r="J1" s="63" t="s">
        <v>159</v>
      </c>
      <c r="K1" s="63" t="s">
        <v>160</v>
      </c>
      <c r="L1" s="63" t="s">
        <v>161</v>
      </c>
      <c r="M1" s="63" t="s">
        <v>162</v>
      </c>
      <c r="N1" s="63" t="s">
        <v>163</v>
      </c>
      <c r="O1" s="63" t="s">
        <v>164</v>
      </c>
      <c r="P1" s="63" t="s">
        <v>165</v>
      </c>
      <c r="Q1" s="63" t="s">
        <v>166</v>
      </c>
      <c r="R1" s="63" t="s">
        <v>167</v>
      </c>
    </row>
    <row r="2" spans="1:18" x14ac:dyDescent="0.15">
      <c r="A2" s="79">
        <v>40015</v>
      </c>
      <c r="B2" s="79">
        <v>1</v>
      </c>
      <c r="C2" s="79" t="str">
        <f t="shared" ref="C2:C11" si="0">A2&amp; "_"&amp;B2</f>
        <v>40015_1</v>
      </c>
      <c r="D2" s="79" t="str">
        <f>VLOOKUP(C2,[2]stages!$A:$AE,31,FALSE)</f>
        <v>everyone</v>
      </c>
      <c r="E2" s="79">
        <v>1</v>
      </c>
      <c r="F2" s="79" t="s">
        <v>168</v>
      </c>
      <c r="G2" s="79">
        <v>40000</v>
      </c>
      <c r="H2" s="79" t="s">
        <v>227</v>
      </c>
      <c r="I2" s="79">
        <v>1</v>
      </c>
      <c r="J2" s="79">
        <v>1</v>
      </c>
      <c r="K2" s="79">
        <v>0</v>
      </c>
      <c r="L2" s="79">
        <v>0</v>
      </c>
      <c r="M2" s="79">
        <v>0</v>
      </c>
      <c r="N2" s="79">
        <v>0</v>
      </c>
      <c r="O2" s="79">
        <v>1</v>
      </c>
      <c r="P2" s="79">
        <v>150</v>
      </c>
      <c r="Q2" s="79" t="s">
        <v>169</v>
      </c>
      <c r="R2" s="79" t="s">
        <v>170</v>
      </c>
    </row>
    <row r="3" spans="1:18" x14ac:dyDescent="0.15">
      <c r="A3" s="79">
        <v>40015</v>
      </c>
      <c r="B3" s="79">
        <v>1</v>
      </c>
      <c r="C3" s="79" t="str">
        <f t="shared" si="0"/>
        <v>40015_1</v>
      </c>
      <c r="D3" s="79" t="str">
        <f>VLOOKUP(C3,[2]stages!$A:$AE,31,FALSE)</f>
        <v>everyone</v>
      </c>
      <c r="E3" s="79">
        <v>2</v>
      </c>
      <c r="F3" s="79" t="s">
        <v>228</v>
      </c>
      <c r="G3" s="79">
        <v>30</v>
      </c>
      <c r="H3" s="79" t="s">
        <v>227</v>
      </c>
      <c r="I3" s="79">
        <v>1</v>
      </c>
      <c r="J3" s="79">
        <v>1</v>
      </c>
      <c r="K3" s="79">
        <v>0</v>
      </c>
      <c r="L3" s="79">
        <v>0</v>
      </c>
      <c r="M3" s="79">
        <v>0</v>
      </c>
      <c r="N3" s="79">
        <v>0</v>
      </c>
      <c r="O3" s="79">
        <v>1</v>
      </c>
      <c r="P3" s="79">
        <v>150</v>
      </c>
      <c r="Q3" s="79" t="s">
        <v>169</v>
      </c>
      <c r="R3" s="79" t="s">
        <v>170</v>
      </c>
    </row>
    <row r="4" spans="1:18" x14ac:dyDescent="0.15">
      <c r="A4" s="79">
        <v>40015</v>
      </c>
      <c r="B4" s="79">
        <v>1</v>
      </c>
      <c r="C4" s="79" t="str">
        <f t="shared" si="0"/>
        <v>40015_1</v>
      </c>
      <c r="D4" s="79" t="str">
        <f>VLOOKUP(C4,[2]stages!$A:$AE,31,FALSE)</f>
        <v>everyone</v>
      </c>
      <c r="E4" s="79">
        <v>3</v>
      </c>
      <c r="F4" s="79" t="s">
        <v>229</v>
      </c>
      <c r="G4" s="122">
        <v>337</v>
      </c>
      <c r="H4" s="79">
        <v>1</v>
      </c>
      <c r="I4" s="79">
        <v>1</v>
      </c>
      <c r="J4" s="79">
        <v>1</v>
      </c>
      <c r="K4" s="79">
        <v>0</v>
      </c>
      <c r="L4" s="79">
        <v>0</v>
      </c>
      <c r="M4" s="79">
        <v>0</v>
      </c>
      <c r="N4" s="79">
        <v>0</v>
      </c>
      <c r="O4" s="79">
        <v>1</v>
      </c>
      <c r="P4" s="79">
        <v>28</v>
      </c>
      <c r="Q4" s="79" t="s">
        <v>169</v>
      </c>
      <c r="R4" s="79" t="s">
        <v>170</v>
      </c>
    </row>
    <row r="5" spans="1:18" x14ac:dyDescent="0.15">
      <c r="A5" s="79">
        <v>40015</v>
      </c>
      <c r="B5" s="79">
        <v>1</v>
      </c>
      <c r="C5" s="79" t="str">
        <f t="shared" si="0"/>
        <v>40015_1</v>
      </c>
      <c r="D5" s="79" t="str">
        <f>VLOOKUP(C5,[2]stages!$A:$AE,31,FALSE)</f>
        <v>everyone</v>
      </c>
      <c r="E5" s="79">
        <v>4</v>
      </c>
      <c r="F5" s="79" t="s">
        <v>229</v>
      </c>
      <c r="G5" s="122">
        <v>338</v>
      </c>
      <c r="H5" s="79">
        <v>1</v>
      </c>
      <c r="I5" s="79">
        <v>1</v>
      </c>
      <c r="J5" s="79">
        <v>1</v>
      </c>
      <c r="K5" s="79">
        <v>0</v>
      </c>
      <c r="L5" s="79">
        <v>0</v>
      </c>
      <c r="M5" s="79">
        <v>0</v>
      </c>
      <c r="N5" s="79">
        <v>0</v>
      </c>
      <c r="O5" s="79">
        <v>1</v>
      </c>
      <c r="P5" s="79">
        <v>112</v>
      </c>
      <c r="Q5" s="79" t="s">
        <v>169</v>
      </c>
      <c r="R5" s="79" t="s">
        <v>170</v>
      </c>
    </row>
    <row r="6" spans="1:18" x14ac:dyDescent="0.15">
      <c r="A6" s="79">
        <v>40015</v>
      </c>
      <c r="B6" s="79">
        <v>1</v>
      </c>
      <c r="C6" s="79" t="str">
        <f t="shared" si="0"/>
        <v>40015_1</v>
      </c>
      <c r="D6" s="79" t="str">
        <f>VLOOKUP(C6,[2]stages!$A:$AE,31,FALSE)</f>
        <v>everyone</v>
      </c>
      <c r="E6" s="79">
        <v>5</v>
      </c>
      <c r="F6" s="79" t="s">
        <v>229</v>
      </c>
      <c r="G6" s="79">
        <v>121</v>
      </c>
      <c r="H6" s="79">
        <v>1</v>
      </c>
      <c r="I6" s="79">
        <v>1</v>
      </c>
      <c r="J6" s="79">
        <v>1</v>
      </c>
      <c r="K6" s="79">
        <v>0</v>
      </c>
      <c r="L6" s="79">
        <v>0</v>
      </c>
      <c r="M6" s="79">
        <v>0</v>
      </c>
      <c r="N6" s="79">
        <v>0</v>
      </c>
      <c r="O6" s="79">
        <v>1</v>
      </c>
      <c r="P6" s="79">
        <v>50</v>
      </c>
      <c r="Q6" s="79" t="s">
        <v>169</v>
      </c>
      <c r="R6" s="79" t="s">
        <v>170</v>
      </c>
    </row>
    <row r="7" spans="1:18" x14ac:dyDescent="0.15">
      <c r="A7" s="79">
        <v>40015</v>
      </c>
      <c r="B7" s="79">
        <v>1</v>
      </c>
      <c r="C7" s="79" t="str">
        <f t="shared" si="0"/>
        <v>40015_1</v>
      </c>
      <c r="D7" s="79" t="str">
        <f>VLOOKUP(C7,[2]stages!$A:$AE,31,FALSE)</f>
        <v>everyone</v>
      </c>
      <c r="E7" s="79">
        <v>6</v>
      </c>
      <c r="F7" s="79" t="s">
        <v>229</v>
      </c>
      <c r="G7" s="79">
        <v>122</v>
      </c>
      <c r="H7" s="79">
        <v>1</v>
      </c>
      <c r="I7" s="79">
        <v>1</v>
      </c>
      <c r="J7" s="79">
        <v>1</v>
      </c>
      <c r="K7" s="79">
        <v>0</v>
      </c>
      <c r="L7" s="79">
        <v>0</v>
      </c>
      <c r="M7" s="79">
        <v>0</v>
      </c>
      <c r="N7" s="79">
        <v>0</v>
      </c>
      <c r="O7" s="79">
        <v>1</v>
      </c>
      <c r="P7" s="79">
        <v>50</v>
      </c>
      <c r="Q7" s="79" t="s">
        <v>169</v>
      </c>
      <c r="R7" s="79" t="s">
        <v>170</v>
      </c>
    </row>
    <row r="8" spans="1:18" x14ac:dyDescent="0.15">
      <c r="A8" s="79">
        <v>40015</v>
      </c>
      <c r="B8" s="79">
        <v>1</v>
      </c>
      <c r="C8" s="79" t="str">
        <f t="shared" si="0"/>
        <v>40015_1</v>
      </c>
      <c r="D8" s="79" t="str">
        <f>VLOOKUP(C8,[2]stages!$A:$AE,31,FALSE)</f>
        <v>everyone</v>
      </c>
      <c r="E8" s="79">
        <v>7</v>
      </c>
      <c r="F8" s="79" t="s">
        <v>229</v>
      </c>
      <c r="G8" s="79">
        <v>123</v>
      </c>
      <c r="H8" s="79">
        <v>1</v>
      </c>
      <c r="I8" s="79">
        <v>1</v>
      </c>
      <c r="J8" s="79">
        <v>1</v>
      </c>
      <c r="K8" s="79">
        <v>0</v>
      </c>
      <c r="L8" s="79">
        <v>0</v>
      </c>
      <c r="M8" s="79">
        <v>0</v>
      </c>
      <c r="N8" s="79">
        <v>0</v>
      </c>
      <c r="O8" s="79">
        <v>1</v>
      </c>
      <c r="P8" s="79">
        <v>50</v>
      </c>
      <c r="Q8" s="79" t="s">
        <v>169</v>
      </c>
      <c r="R8" s="79" t="s">
        <v>170</v>
      </c>
    </row>
    <row r="9" spans="1:18" x14ac:dyDescent="0.15">
      <c r="A9" s="79">
        <v>40015</v>
      </c>
      <c r="B9" s="79">
        <v>1</v>
      </c>
      <c r="C9" s="79" t="str">
        <f t="shared" si="0"/>
        <v>40015_1</v>
      </c>
      <c r="D9" s="79" t="str">
        <f>VLOOKUP(C9,[2]stages!$A:$AE,31,FALSE)</f>
        <v>everyone</v>
      </c>
      <c r="E9" s="79">
        <v>8</v>
      </c>
      <c r="F9" s="79" t="s">
        <v>229</v>
      </c>
      <c r="G9" s="79">
        <v>125</v>
      </c>
      <c r="H9" s="79">
        <v>1</v>
      </c>
      <c r="I9" s="79">
        <v>1</v>
      </c>
      <c r="J9" s="79">
        <v>1</v>
      </c>
      <c r="K9" s="79">
        <v>0</v>
      </c>
      <c r="L9" s="79">
        <v>0</v>
      </c>
      <c r="M9" s="79">
        <v>0</v>
      </c>
      <c r="N9" s="79">
        <v>0</v>
      </c>
      <c r="O9" s="79">
        <v>1</v>
      </c>
      <c r="P9" s="79">
        <v>10</v>
      </c>
      <c r="Q9" s="79" t="s">
        <v>169</v>
      </c>
      <c r="R9" s="79" t="s">
        <v>170</v>
      </c>
    </row>
    <row r="10" spans="1:18" x14ac:dyDescent="0.15">
      <c r="A10" s="79">
        <v>40015</v>
      </c>
      <c r="B10" s="79">
        <v>1</v>
      </c>
      <c r="C10" s="79" t="str">
        <f t="shared" si="0"/>
        <v>40015_1</v>
      </c>
      <c r="D10" s="79" t="str">
        <f>VLOOKUP(C10,[2]stages!$A:$AE,31,FALSE)</f>
        <v>everyone</v>
      </c>
      <c r="E10" s="79">
        <v>9</v>
      </c>
      <c r="F10" s="79" t="s">
        <v>229</v>
      </c>
      <c r="G10" s="79">
        <v>768</v>
      </c>
      <c r="H10" s="79">
        <v>1</v>
      </c>
      <c r="I10" s="79">
        <v>1</v>
      </c>
      <c r="J10" s="79">
        <v>1</v>
      </c>
      <c r="K10" s="79">
        <v>0</v>
      </c>
      <c r="L10" s="79">
        <v>0</v>
      </c>
      <c r="M10" s="79">
        <v>0</v>
      </c>
      <c r="N10" s="79">
        <v>0</v>
      </c>
      <c r="O10" s="79">
        <v>1</v>
      </c>
      <c r="P10" s="79">
        <v>250</v>
      </c>
      <c r="Q10" s="79" t="s">
        <v>169</v>
      </c>
      <c r="R10" s="79" t="s">
        <v>170</v>
      </c>
    </row>
    <row r="11" spans="1:18" x14ac:dyDescent="0.15">
      <c r="A11" s="79">
        <v>40015</v>
      </c>
      <c r="B11" s="79">
        <v>1</v>
      </c>
      <c r="C11" s="79" t="str">
        <f t="shared" si="0"/>
        <v>40015_1</v>
      </c>
      <c r="D11" s="79" t="str">
        <f>VLOOKUP(C11,[2]stages!$A:$AE,31,FALSE)</f>
        <v>everyone</v>
      </c>
      <c r="E11" s="79">
        <v>10</v>
      </c>
      <c r="F11" s="79" t="s">
        <v>229</v>
      </c>
      <c r="G11" s="79">
        <v>350</v>
      </c>
      <c r="H11" s="79">
        <v>1</v>
      </c>
      <c r="I11" s="79">
        <v>1</v>
      </c>
      <c r="J11" s="79">
        <v>1</v>
      </c>
      <c r="K11" s="79">
        <v>0</v>
      </c>
      <c r="L11" s="79">
        <v>0</v>
      </c>
      <c r="M11" s="79">
        <v>0</v>
      </c>
      <c r="N11" s="79">
        <v>0</v>
      </c>
      <c r="O11" s="79">
        <v>1</v>
      </c>
      <c r="P11" s="79">
        <v>150</v>
      </c>
      <c r="Q11" s="79" t="s">
        <v>169</v>
      </c>
      <c r="R11" s="79" t="s">
        <v>170</v>
      </c>
    </row>
  </sheetData>
  <phoneticPr fontId="5"/>
  <dataValidations disablePrompts="1"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J18" sqref="J18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187</v>
      </c>
      <c r="B1" s="70" t="s">
        <v>188</v>
      </c>
      <c r="C1" s="75" t="s">
        <v>189</v>
      </c>
      <c r="D1" s="75" t="s">
        <v>33</v>
      </c>
      <c r="E1" s="70" t="s">
        <v>190</v>
      </c>
      <c r="F1" s="75" t="s">
        <v>191</v>
      </c>
      <c r="G1" s="75" t="s">
        <v>33</v>
      </c>
      <c r="H1" s="70" t="s">
        <v>192</v>
      </c>
      <c r="I1" s="89" t="s">
        <v>194</v>
      </c>
      <c r="J1" s="77" t="s">
        <v>126</v>
      </c>
      <c r="K1" s="76" t="s">
        <v>186</v>
      </c>
      <c r="L1" s="90" t="s">
        <v>185</v>
      </c>
      <c r="M1" s="78" t="s">
        <v>195</v>
      </c>
    </row>
    <row r="2" spans="1:13" x14ac:dyDescent="0.15">
      <c r="A2" s="79" t="s">
        <v>200</v>
      </c>
      <c r="B2" s="80">
        <f>floors!$C$2</f>
        <v>40015</v>
      </c>
      <c r="C2" s="81" t="e">
        <f ca="1">VLOOKUP($B2,OFFSET([2]quests!$A$1,0,0,COUNTA([2]quests!$A:$A),MATCH(C$1,[2]quests!$1:$1,0)-MATCH($B$1,[2]quests!$1:$1,0)+1),MATCH(C$1,[2]quests!$1:$1,0)-MATCH($B$1,[2]quests!$1:$1,0)+1,FALSE)</f>
        <v>#VALUE!</v>
      </c>
      <c r="D2" s="81" t="e">
        <f ca="1">VLOOKUP($B2,OFFSET([2]quests!$A$1,0,0,COUNTA([2]quests!$A:$A),MATCH(D$1,[2]quests!$1:$1,0)-MATCH($B$1,[2]quests!$1:$1,0)+1),MATCH(D$1,[2]quests!$1:$1,0)-MATCH($B$1,[2]quests!$1:$1,0)+1,FALSE)</f>
        <v>#VALUE!</v>
      </c>
      <c r="E2" s="85">
        <v>1</v>
      </c>
      <c r="F2" s="81" t="e">
        <f ca="1">VLOOKUP($B2&amp;"_"&amp;$E2,OFFSET([2]stages!$A$1,0,0,COUNTA([2]stages!$A:$A),MATCH(F$1,[2]stages!$2:$2,0)-MATCH("temp_stage",[2]stages!$2:$2,0)+1),MATCH(F$1,[2]stages!$2:$2,0)-MATCH("temp_stage",[2]stages!$2:$2,0)+1,FALSE)</f>
        <v>#VALUE!</v>
      </c>
      <c r="G2" s="81" t="e">
        <f ca="1">VLOOKUP($B2&amp;"_"&amp;$E2,OFFSET([2]stages!$A$1,0,0,COUNTA([2]stages!$A:$A),MATCH(G$1,[2]stages!$2:$2,0)-MATCH("temp_stage",[2]stages!$2:$2,0)+1),MATCH(G$1,[2]stages!$2:$2,0)-MATCH("temp_stage",[2]stages!$2:$2,0)+1,FALSE)</f>
        <v>#VALUE!</v>
      </c>
      <c r="H2" s="83">
        <v>0</v>
      </c>
      <c r="I2">
        <v>12</v>
      </c>
      <c r="J2" s="82" t="s">
        <v>197</v>
      </c>
      <c r="K2" s="91" t="str">
        <f>VLOOKUP(I2,[7]stage_hints!$A:$C,3,FALSE)</f>
        <v>ユニットのお気に入り登録</v>
      </c>
      <c r="L2" s="92" t="str">
        <f>VLOOKUP(I2,[7]stage_hints!$A:$D,4,FALSE)</f>
        <v>大事なユニットを誤って消さないように_x000D_フォルダから「お気に入り登録」しましょう</v>
      </c>
      <c r="M2" s="56" t="s">
        <v>210</v>
      </c>
    </row>
    <row r="3" spans="1:13" x14ac:dyDescent="0.15">
      <c r="A3" s="79" t="s">
        <v>200</v>
      </c>
      <c r="B3" s="80">
        <f>floors!$C$2</f>
        <v>40015</v>
      </c>
      <c r="C3" s="81" t="e">
        <f ca="1">VLOOKUP($B3,OFFSET([2]quests!$A$1,0,0,COUNTA([2]quests!$A:$A),MATCH(C$1,[2]quests!$1:$1,0)-MATCH($B$1,[2]quests!$1:$1,0)+1),MATCH(C$1,[2]quests!$1:$1,0)-MATCH($B$1,[2]quests!$1:$1,0)+1,FALSE)</f>
        <v>#VALUE!</v>
      </c>
      <c r="D3" s="81" t="e">
        <f ca="1">VLOOKUP($B3,OFFSET([2]quests!$A$1,0,0,COUNTA([2]quests!$A:$A),MATCH(D$1,[2]quests!$1:$1,0)-MATCH($B$1,[2]quests!$1:$1,0)+1),MATCH(D$1,[2]quests!$1:$1,0)-MATCH($B$1,[2]quests!$1:$1,0)+1,FALSE)</f>
        <v>#VALUE!</v>
      </c>
      <c r="E3" s="85">
        <v>1</v>
      </c>
      <c r="F3" s="81" t="e">
        <f ca="1">VLOOKUP($B3&amp;"_"&amp;$E3,OFFSET([2]stages!$A$1,0,0,COUNTA([2]stages!$A:$A),MATCH(F$1,[2]stages!$2:$2,0)-MATCH("temp_stage",[2]stages!$2:$2,0)+1),MATCH(F$1,[2]stages!$2:$2,0)-MATCH("temp_stage",[2]stages!$2:$2,0)+1,FALSE)</f>
        <v>#VALUE!</v>
      </c>
      <c r="G3" s="81" t="e">
        <f ca="1">VLOOKUP($B3&amp;"_"&amp;$E3,OFFSET([2]stages!$A$1,0,0,COUNTA([2]stages!$A:$A),MATCH(G$1,[2]stages!$2:$2,0)-MATCH("temp_stage",[2]stages!$2:$2,0)+1),MATCH(G$1,[2]stages!$2:$2,0)-MATCH("temp_stage",[2]stages!$2:$2,0)+1,FALSE)</f>
        <v>#VALUE!</v>
      </c>
      <c r="H3" s="83">
        <v>0</v>
      </c>
      <c r="I3">
        <v>17</v>
      </c>
      <c r="J3" s="82" t="s">
        <v>197</v>
      </c>
      <c r="K3" s="91" t="str">
        <f>VLOOKUP(I3,[7]stage_hints!$A:$C,3,FALSE)</f>
        <v>リンクガチャ</v>
      </c>
      <c r="L3" s="92" t="str">
        <f>VLOOKUP(I3,[7]stage_hints!$A:$D,4,FALSE)</f>
        <v>無料のリンクガチャを回して_x000D_経験値素材や売却素材を獲得しましょう</v>
      </c>
      <c r="M3" s="56" t="s">
        <v>210</v>
      </c>
    </row>
    <row r="4" spans="1:13" x14ac:dyDescent="0.15">
      <c r="A4" s="79" t="s">
        <v>200</v>
      </c>
      <c r="B4" s="80">
        <f>floors!$C$2</f>
        <v>40015</v>
      </c>
      <c r="C4" s="81" t="e">
        <f ca="1">VLOOKUP($B4,OFFSET([2]quests!$A$1,0,0,COUNTA([2]quests!$A:$A),MATCH(C$1,[2]quests!$1:$1,0)-MATCH($B$1,[2]quests!$1:$1,0)+1),MATCH(C$1,[2]quests!$1:$1,0)-MATCH($B$1,[2]quests!$1:$1,0)+1,FALSE)</f>
        <v>#VALUE!</v>
      </c>
      <c r="D4" s="81" t="e">
        <f ca="1">VLOOKUP($B4,OFFSET([2]quests!$A$1,0,0,COUNTA([2]quests!$A:$A),MATCH(D$1,[2]quests!$1:$1,0)-MATCH($B$1,[2]quests!$1:$1,0)+1),MATCH(D$1,[2]quests!$1:$1,0)-MATCH($B$1,[2]quests!$1:$1,0)+1,FALSE)</f>
        <v>#VALUE!</v>
      </c>
      <c r="E4" s="85">
        <v>1</v>
      </c>
      <c r="F4" s="81" t="e">
        <f ca="1">VLOOKUP($B4&amp;"_"&amp;$E4,OFFSET([2]stages!$A$1,0,0,COUNTA([2]stages!$A:$A),MATCH(F$1,[2]stages!$2:$2,0)-MATCH("temp_stage",[2]stages!$2:$2,0)+1),MATCH(F$1,[2]stages!$2:$2,0)-MATCH("temp_stage",[2]stages!$2:$2,0)+1,FALSE)</f>
        <v>#VALUE!</v>
      </c>
      <c r="G4" s="81" t="e">
        <f ca="1">VLOOKUP($B4&amp;"_"&amp;$E4,OFFSET([2]stages!$A$1,0,0,COUNTA([2]stages!$A:$A),MATCH(G$1,[2]stages!$2:$2,0)-MATCH("temp_stage",[2]stages!$2:$2,0)+1),MATCH(G$1,[2]stages!$2:$2,0)-MATCH("temp_stage",[2]stages!$2:$2,0)+1,FALSE)</f>
        <v>#VALUE!</v>
      </c>
      <c r="H4" s="83">
        <v>0</v>
      </c>
      <c r="I4">
        <v>19</v>
      </c>
      <c r="J4" s="82" t="s">
        <v>197</v>
      </c>
      <c r="K4" s="91" t="str">
        <f>VLOOKUP(I4,[7]stage_hints!$A:$C,3,FALSE)</f>
        <v>ソロ専用チャレンジタワー</v>
      </c>
      <c r="L4" s="92" t="str">
        <f>VLOOKUP(I4,[7]stage_hints!$A:$D,4,FALSE)</f>
        <v>ソロ専用の「チャレンジタワー」では_x000D_各フロアごとにクリア報酬がもらえます</v>
      </c>
      <c r="M4" s="56" t="s">
        <v>210</v>
      </c>
    </row>
    <row r="5" spans="1:13" x14ac:dyDescent="0.15">
      <c r="A5" s="79" t="s">
        <v>200</v>
      </c>
      <c r="B5" s="80">
        <f>floors!$C$2</f>
        <v>40015</v>
      </c>
      <c r="C5" s="81" t="e">
        <f ca="1">VLOOKUP($B5,OFFSET([2]quests!$A$1,0,0,COUNTA([2]quests!$A:$A),MATCH(C$1,[2]quests!$1:$1,0)-MATCH($B$1,[2]quests!$1:$1,0)+1),MATCH(C$1,[2]quests!$1:$1,0)-MATCH($B$1,[2]quests!$1:$1,0)+1,FALSE)</f>
        <v>#VALUE!</v>
      </c>
      <c r="D5" s="81" t="e">
        <f ca="1">VLOOKUP($B5,OFFSET([2]quests!$A$1,0,0,COUNTA([2]quests!$A:$A),MATCH(D$1,[2]quests!$1:$1,0)-MATCH($B$1,[2]quests!$1:$1,0)+1),MATCH(D$1,[2]quests!$1:$1,0)-MATCH($B$1,[2]quests!$1:$1,0)+1,FALSE)</f>
        <v>#VALUE!</v>
      </c>
      <c r="E5" s="85">
        <v>1</v>
      </c>
      <c r="F5" s="81" t="e">
        <f ca="1">VLOOKUP($B5&amp;"_"&amp;$E5,OFFSET([2]stages!$A$1,0,0,COUNTA([2]stages!$A:$A),MATCH(F$1,[2]stages!$2:$2,0)-MATCH("temp_stage",[2]stages!$2:$2,0)+1),MATCH(F$1,[2]stages!$2:$2,0)-MATCH("temp_stage",[2]stages!$2:$2,0)+1,FALSE)</f>
        <v>#VALUE!</v>
      </c>
      <c r="G5" s="81" t="e">
        <f ca="1">VLOOKUP($B5&amp;"_"&amp;$E5,OFFSET([2]stages!$A$1,0,0,COUNTA([2]stages!$A:$A),MATCH(G$1,[2]stages!$2:$2,0)-MATCH("temp_stage",[2]stages!$2:$2,0)+1),MATCH(G$1,[2]stages!$2:$2,0)-MATCH("temp_stage",[2]stages!$2:$2,0)+1,FALSE)</f>
        <v>#VALUE!</v>
      </c>
      <c r="H5" s="83">
        <v>0</v>
      </c>
      <c r="I5">
        <v>21</v>
      </c>
      <c r="J5" s="82" t="s">
        <v>197</v>
      </c>
      <c r="K5" s="91" t="str">
        <f>VLOOKUP(I5,[7]stage_hints!$A:$C,3,FALSE)</f>
        <v>スキルを有効に</v>
      </c>
      <c r="L5" s="92" t="str">
        <f>VLOOKUP(I5,[7]stage_hints!$A:$D,4,FALSE)</f>
        <v>ターン経過でユニットのスキルが使えます_x000D_強力スキルでバトルを有利に進めましょう</v>
      </c>
      <c r="M5" s="56" t="s">
        <v>210</v>
      </c>
    </row>
    <row r="6" spans="1:13" x14ac:dyDescent="0.15">
      <c r="A6" s="79" t="s">
        <v>200</v>
      </c>
      <c r="B6" s="80">
        <f>floors!$C$2</f>
        <v>40015</v>
      </c>
      <c r="C6" s="81" t="e">
        <f ca="1">VLOOKUP($B6,OFFSET([2]quests!$A$1,0,0,COUNTA([2]quests!$A:$A),MATCH(C$1,[2]quests!$1:$1,0)-MATCH($B$1,[2]quests!$1:$1,0)+1),MATCH(C$1,[2]quests!$1:$1,0)-MATCH($B$1,[2]quests!$1:$1,0)+1,FALSE)</f>
        <v>#VALUE!</v>
      </c>
      <c r="D6" s="81" t="e">
        <f ca="1">VLOOKUP($B6,OFFSET([2]quests!$A$1,0,0,COUNTA([2]quests!$A:$A),MATCH(D$1,[2]quests!$1:$1,0)-MATCH($B$1,[2]quests!$1:$1,0)+1),MATCH(D$1,[2]quests!$1:$1,0)-MATCH($B$1,[2]quests!$1:$1,0)+1,FALSE)</f>
        <v>#VALUE!</v>
      </c>
      <c r="E6" s="85">
        <v>1</v>
      </c>
      <c r="F6" s="81" t="e">
        <f ca="1">VLOOKUP($B6&amp;"_"&amp;$E6,OFFSET([2]stages!$A$1,0,0,COUNTA([2]stages!$A:$A),MATCH(F$1,[2]stages!$2:$2,0)-MATCH("temp_stage",[2]stages!$2:$2,0)+1),MATCH(F$1,[2]stages!$2:$2,0)-MATCH("temp_stage",[2]stages!$2:$2,0)+1,FALSE)</f>
        <v>#VALUE!</v>
      </c>
      <c r="G6" s="81" t="e">
        <f ca="1">VLOOKUP($B6&amp;"_"&amp;$E6,OFFSET([2]stages!$A$1,0,0,COUNTA([2]stages!$A:$A),MATCH(G$1,[2]stages!$2:$2,0)-MATCH("temp_stage",[2]stages!$2:$2,0)+1),MATCH(G$1,[2]stages!$2:$2,0)-MATCH("temp_stage",[2]stages!$2:$2,0)+1,FALSE)</f>
        <v>#VALUE!</v>
      </c>
      <c r="H6" s="83">
        <v>0</v>
      </c>
      <c r="I6">
        <v>29</v>
      </c>
      <c r="J6" s="82" t="s">
        <v>197</v>
      </c>
      <c r="K6" s="91" t="str">
        <f>VLOOKUP(I6,[7]stage_hints!$A:$C,3,FALSE)</f>
        <v>「バグ」のメリット</v>
      </c>
      <c r="L6" s="92" t="str">
        <f>VLOOKUP(I6,[7]stage_hints!$A:$D,4,FALSE)</f>
        <v>ユニットの「バグ」を増やすと_x000D_報酬をもらえる確率がアップします</v>
      </c>
      <c r="M6" s="56" t="s">
        <v>210</v>
      </c>
    </row>
    <row r="7" spans="1:13" x14ac:dyDescent="0.15">
      <c r="A7" s="79" t="s">
        <v>200</v>
      </c>
      <c r="B7" s="80">
        <f>floors!$C$2</f>
        <v>40015</v>
      </c>
      <c r="C7" s="81" t="e">
        <f ca="1">VLOOKUP($B7,OFFSET([2]quests!$A$1,0,0,COUNTA([2]quests!$A:$A),MATCH(C$1,[2]quests!$1:$1,0)-MATCH($B$1,[2]quests!$1:$1,0)+1),MATCH(C$1,[2]quests!$1:$1,0)-MATCH($B$1,[2]quests!$1:$1,0)+1,FALSE)</f>
        <v>#VALUE!</v>
      </c>
      <c r="D7" s="81" t="e">
        <f ca="1">VLOOKUP($B7,OFFSET([2]quests!$A$1,0,0,COUNTA([2]quests!$A:$A),MATCH(D$1,[2]quests!$1:$1,0)-MATCH($B$1,[2]quests!$1:$1,0)+1),MATCH(D$1,[2]quests!$1:$1,0)-MATCH($B$1,[2]quests!$1:$1,0)+1,FALSE)</f>
        <v>#VALUE!</v>
      </c>
      <c r="E7" s="85">
        <v>1</v>
      </c>
      <c r="F7" s="81" t="e">
        <f ca="1">VLOOKUP($B7&amp;"_"&amp;$E7,OFFSET([2]stages!$A$1,0,0,COUNTA([2]stages!$A:$A),MATCH(F$1,[2]stages!$2:$2,0)-MATCH("temp_stage",[2]stages!$2:$2,0)+1),MATCH(F$1,[2]stages!$2:$2,0)-MATCH("temp_stage",[2]stages!$2:$2,0)+1,FALSE)</f>
        <v>#VALUE!</v>
      </c>
      <c r="G7" s="81" t="e">
        <f ca="1">VLOOKUP($B7&amp;"_"&amp;$E7,OFFSET([2]stages!$A$1,0,0,COUNTA([2]stages!$A:$A),MATCH(G$1,[2]stages!$2:$2,0)-MATCH("temp_stage",[2]stages!$2:$2,0)+1),MATCH(G$1,[2]stages!$2:$2,0)-MATCH("temp_stage",[2]stages!$2:$2,0)+1,FALSE)</f>
        <v>#VALUE!</v>
      </c>
      <c r="H7" s="83">
        <v>0</v>
      </c>
      <c r="I7">
        <v>30</v>
      </c>
      <c r="J7" s="82" t="s">
        <v>197</v>
      </c>
      <c r="K7" s="91" t="str">
        <f>VLOOKUP(I7,[7]stage_hints!$A:$C,3,FALSE)</f>
        <v>「バグ」の増やし方</v>
      </c>
      <c r="L7" s="92" t="str">
        <f>VLOOKUP(I7,[7]stage_hints!$A:$D,4,FALSE)</f>
        <v>同じユニット同士を強化で合成すると_x000D_「バグ」を増やすことができます</v>
      </c>
      <c r="M7" s="56" t="s">
        <v>210</v>
      </c>
    </row>
    <row r="8" spans="1:13" x14ac:dyDescent="0.15">
      <c r="A8" s="79" t="s">
        <v>200</v>
      </c>
      <c r="B8" s="80">
        <f>floors!$C$2</f>
        <v>40015</v>
      </c>
      <c r="C8" s="81" t="e">
        <f ca="1">VLOOKUP($B8,OFFSET([2]quests!$A$1,0,0,COUNTA([2]quests!$A:$A),MATCH(C$1,[2]quests!$1:$1,0)-MATCH($B$1,[2]quests!$1:$1,0)+1),MATCH(C$1,[2]quests!$1:$1,0)-MATCH($B$1,[2]quests!$1:$1,0)+1,FALSE)</f>
        <v>#VALUE!</v>
      </c>
      <c r="D8" s="81" t="e">
        <f ca="1">VLOOKUP($B8,OFFSET([2]quests!$A$1,0,0,COUNTA([2]quests!$A:$A),MATCH(D$1,[2]quests!$1:$1,0)-MATCH($B$1,[2]quests!$1:$1,0)+1),MATCH(D$1,[2]quests!$1:$1,0)-MATCH($B$1,[2]quests!$1:$1,0)+1,FALSE)</f>
        <v>#VALUE!</v>
      </c>
      <c r="E8" s="85">
        <v>1</v>
      </c>
      <c r="F8" s="81" t="e">
        <f ca="1">VLOOKUP($B8&amp;"_"&amp;$E8,OFFSET([2]stages!$A$1,0,0,COUNTA([2]stages!$A:$A),MATCH(F$1,[2]stages!$2:$2,0)-MATCH("temp_stage",[2]stages!$2:$2,0)+1),MATCH(F$1,[2]stages!$2:$2,0)-MATCH("temp_stage",[2]stages!$2:$2,0)+1,FALSE)</f>
        <v>#VALUE!</v>
      </c>
      <c r="G8" s="81" t="e">
        <f ca="1">VLOOKUP($B8&amp;"_"&amp;$E8,OFFSET([2]stages!$A$1,0,0,COUNTA([2]stages!$A:$A),MATCH(G$1,[2]stages!$2:$2,0)-MATCH("temp_stage",[2]stages!$2:$2,0)+1),MATCH(G$1,[2]stages!$2:$2,0)-MATCH("temp_stage",[2]stages!$2:$2,0)+1,FALSE)</f>
        <v>#VALUE!</v>
      </c>
      <c r="H8" s="83">
        <v>0</v>
      </c>
      <c r="I8">
        <v>32</v>
      </c>
      <c r="J8" s="82" t="s">
        <v>197</v>
      </c>
      <c r="K8" s="91" t="str">
        <f>VLOOKUP(I8,[7]stage_hints!$A:$C,3,FALSE)</f>
        <v>敵の連続攻撃には</v>
      </c>
      <c r="L8" s="92" t="str">
        <f>VLOOKUP(I8,[7]stage_hints!$A:$D,4,FALSE)</f>
        <v>カウンタースキルを持つユニットがいれば_x000D_ダメージ回数分の反撃ができます</v>
      </c>
      <c r="M8" s="56" t="s">
        <v>210</v>
      </c>
    </row>
    <row r="9" spans="1:13" x14ac:dyDescent="0.15">
      <c r="A9" s="79" t="s">
        <v>200</v>
      </c>
      <c r="B9" s="80">
        <f>floors!$C$2</f>
        <v>40015</v>
      </c>
      <c r="C9" s="81" t="e">
        <f ca="1">VLOOKUP($B9,OFFSET([2]quests!$A$1,0,0,COUNTA([2]quests!$A:$A),MATCH(C$1,[2]quests!$1:$1,0)-MATCH($B$1,[2]quests!$1:$1,0)+1),MATCH(C$1,[2]quests!$1:$1,0)-MATCH($B$1,[2]quests!$1:$1,0)+1,FALSE)</f>
        <v>#VALUE!</v>
      </c>
      <c r="D9" s="81" t="e">
        <f ca="1">VLOOKUP($B9,OFFSET([2]quests!$A$1,0,0,COUNTA([2]quests!$A:$A),MATCH(D$1,[2]quests!$1:$1,0)-MATCH($B$1,[2]quests!$1:$1,0)+1),MATCH(D$1,[2]quests!$1:$1,0)-MATCH($B$1,[2]quests!$1:$1,0)+1,FALSE)</f>
        <v>#VALUE!</v>
      </c>
      <c r="E9" s="85">
        <v>1</v>
      </c>
      <c r="F9" s="81" t="e">
        <f ca="1">VLOOKUP($B9&amp;"_"&amp;$E9,OFFSET([2]stages!$A$1,0,0,COUNTA([2]stages!$A:$A),MATCH(F$1,[2]stages!$2:$2,0)-MATCH("temp_stage",[2]stages!$2:$2,0)+1),MATCH(F$1,[2]stages!$2:$2,0)-MATCH("temp_stage",[2]stages!$2:$2,0)+1,FALSE)</f>
        <v>#VALUE!</v>
      </c>
      <c r="G9" s="81" t="e">
        <f ca="1">VLOOKUP($B9&amp;"_"&amp;$E9,OFFSET([2]stages!$A$1,0,0,COUNTA([2]stages!$A:$A),MATCH(G$1,[2]stages!$2:$2,0)-MATCH("temp_stage",[2]stages!$2:$2,0)+1),MATCH(G$1,[2]stages!$2:$2,0)-MATCH("temp_stage",[2]stages!$2:$2,0)+1,FALSE)</f>
        <v>#VALUE!</v>
      </c>
      <c r="H9" s="83">
        <v>0</v>
      </c>
      <c r="I9">
        <v>33</v>
      </c>
      <c r="J9" s="82" t="s">
        <v>197</v>
      </c>
      <c r="K9" s="91" t="str">
        <f>VLOOKUP(I9,[7]stage_hints!$A:$C,3,FALSE)</f>
        <v>敵のカウンター攻撃には</v>
      </c>
      <c r="L9" s="92" t="str">
        <f>VLOOKUP(I9,[7]stage_hints!$A:$D,4,FALSE)</f>
        <v>カウンターブレイクスキルを持っていれば_x000D_敵のカウンターを解除して攻撃ができます</v>
      </c>
      <c r="M9" s="56" t="s">
        <v>210</v>
      </c>
    </row>
    <row r="10" spans="1:13" x14ac:dyDescent="0.15">
      <c r="A10" s="79" t="s">
        <v>200</v>
      </c>
      <c r="B10" s="80">
        <f>floors!$C$2</f>
        <v>40015</v>
      </c>
      <c r="C10" s="81" t="e">
        <f ca="1">VLOOKUP($B10,OFFSET([2]quests!$A$1,0,0,COUNTA([2]quests!$A:$A),MATCH(C$1,[2]quests!$1:$1,0)-MATCH($B$1,[2]quests!$1:$1,0)+1),MATCH(C$1,[2]quests!$1:$1,0)-MATCH($B$1,[2]quests!$1:$1,0)+1,FALSE)</f>
        <v>#VALUE!</v>
      </c>
      <c r="D10" s="81" t="e">
        <f ca="1">VLOOKUP($B10,OFFSET([2]quests!$A$1,0,0,COUNTA([2]quests!$A:$A),MATCH(D$1,[2]quests!$1:$1,0)-MATCH($B$1,[2]quests!$1:$1,0)+1),MATCH(D$1,[2]quests!$1:$1,0)-MATCH($B$1,[2]quests!$1:$1,0)+1,FALSE)</f>
        <v>#VALUE!</v>
      </c>
      <c r="E10" s="85">
        <v>1</v>
      </c>
      <c r="F10" s="81" t="e">
        <f ca="1">VLOOKUP($B10&amp;"_"&amp;$E10,OFFSET([2]stages!$A$1,0,0,COUNTA([2]stages!$A:$A),MATCH(F$1,[2]stages!$2:$2,0)-MATCH("temp_stage",[2]stages!$2:$2,0)+1),MATCH(F$1,[2]stages!$2:$2,0)-MATCH("temp_stage",[2]stages!$2:$2,0)+1,FALSE)</f>
        <v>#VALUE!</v>
      </c>
      <c r="G10" s="81" t="e">
        <f ca="1">VLOOKUP($B10&amp;"_"&amp;$E10,OFFSET([2]stages!$A$1,0,0,COUNTA([2]stages!$A:$A),MATCH(G$1,[2]stages!$2:$2,0)-MATCH("temp_stage",[2]stages!$2:$2,0)+1),MATCH(G$1,[2]stages!$2:$2,0)-MATCH("temp_stage",[2]stages!$2:$2,0)+1,FALSE)</f>
        <v>#VALUE!</v>
      </c>
      <c r="H10" s="83">
        <v>0</v>
      </c>
      <c r="I10">
        <v>34</v>
      </c>
      <c r="J10" s="82" t="s">
        <v>197</v>
      </c>
      <c r="K10" s="91" t="str">
        <f>VLOOKUP(I10,[7]stage_hints!$A:$C,3,FALSE)</f>
        <v>ステータスをスキルで下げられたら</v>
      </c>
      <c r="L10" s="92" t="str">
        <f>VLOOKUP(I10,[7]stage_hints!$A:$D,4,FALSE)</f>
        <v>ステータスダウンのスキルを受けたら_x000D_ステータスアップスキルで上書きしましょう</v>
      </c>
      <c r="M10" s="56" t="s">
        <v>210</v>
      </c>
    </row>
    <row r="11" spans="1:13" x14ac:dyDescent="0.15">
      <c r="A11" s="79" t="s">
        <v>200</v>
      </c>
      <c r="B11" s="80">
        <f>floors!$C$2</f>
        <v>40015</v>
      </c>
      <c r="C11" s="81" t="e">
        <f ca="1">VLOOKUP($B11,OFFSET([2]quests!$A$1,0,0,COUNTA([2]quests!$A:$A),MATCH(C$1,[2]quests!$1:$1,0)-MATCH($B$1,[2]quests!$1:$1,0)+1),MATCH(C$1,[2]quests!$1:$1,0)-MATCH($B$1,[2]quests!$1:$1,0)+1,FALSE)</f>
        <v>#VALUE!</v>
      </c>
      <c r="D11" s="81" t="e">
        <f ca="1">VLOOKUP($B11,OFFSET([2]quests!$A$1,0,0,COUNTA([2]quests!$A:$A),MATCH(D$1,[2]quests!$1:$1,0)-MATCH($B$1,[2]quests!$1:$1,0)+1),MATCH(D$1,[2]quests!$1:$1,0)-MATCH($B$1,[2]quests!$1:$1,0)+1,FALSE)</f>
        <v>#VALUE!</v>
      </c>
      <c r="E11" s="85">
        <v>1</v>
      </c>
      <c r="F11" s="81" t="e">
        <f ca="1">VLOOKUP($B11&amp;"_"&amp;$E11,OFFSET([2]stages!$A$1,0,0,COUNTA([2]stages!$A:$A),MATCH(F$1,[2]stages!$2:$2,0)-MATCH("temp_stage",[2]stages!$2:$2,0)+1),MATCH(F$1,[2]stages!$2:$2,0)-MATCH("temp_stage",[2]stages!$2:$2,0)+1,FALSE)</f>
        <v>#VALUE!</v>
      </c>
      <c r="G11" s="81" t="e">
        <f ca="1">VLOOKUP($B11&amp;"_"&amp;$E11,OFFSET([2]stages!$A$1,0,0,COUNTA([2]stages!$A:$A),MATCH(G$1,[2]stages!$2:$2,0)-MATCH("temp_stage",[2]stages!$2:$2,0)+1),MATCH(G$1,[2]stages!$2:$2,0)-MATCH("temp_stage",[2]stages!$2:$2,0)+1,FALSE)</f>
        <v>#VALUE!</v>
      </c>
      <c r="H11" s="83">
        <v>0</v>
      </c>
      <c r="I11">
        <v>35</v>
      </c>
      <c r="J11" s="82" t="s">
        <v>197</v>
      </c>
      <c r="K11" s="91" t="str">
        <f>VLOOKUP(I11,[7]stage_hints!$A:$C,3,FALSE)</f>
        <v>敵のステータスがスキルで上がったら</v>
      </c>
      <c r="L11" s="92" t="str">
        <f>VLOOKUP(I11,[7]stage_hints!$A:$D,4,FALSE)</f>
        <v>敵のステータスがスキルでアップしたときは_x000D_ステータスダウンスキルで上書きしましょう</v>
      </c>
      <c r="M11" s="56" t="s">
        <v>210</v>
      </c>
    </row>
    <row r="12" spans="1:13" x14ac:dyDescent="0.15">
      <c r="A12" s="79" t="s">
        <v>200</v>
      </c>
      <c r="B12" s="80">
        <f>floors!$C$2</f>
        <v>40015</v>
      </c>
      <c r="C12" s="81" t="e">
        <f ca="1">VLOOKUP($B12,OFFSET([2]quests!$A$1,0,0,COUNTA([2]quests!$A:$A),MATCH(C$1,[2]quests!$1:$1,0)-MATCH($B$1,[2]quests!$1:$1,0)+1),MATCH(C$1,[2]quests!$1:$1,0)-MATCH($B$1,[2]quests!$1:$1,0)+1,FALSE)</f>
        <v>#VALUE!</v>
      </c>
      <c r="D12" s="81" t="e">
        <f ca="1">VLOOKUP($B12,OFFSET([2]quests!$A$1,0,0,COUNTA([2]quests!$A:$A),MATCH(D$1,[2]quests!$1:$1,0)-MATCH($B$1,[2]quests!$1:$1,0)+1),MATCH(D$1,[2]quests!$1:$1,0)-MATCH($B$1,[2]quests!$1:$1,0)+1,FALSE)</f>
        <v>#VALUE!</v>
      </c>
      <c r="E12" s="85">
        <v>1</v>
      </c>
      <c r="F12" s="81" t="e">
        <f ca="1">VLOOKUP($B12&amp;"_"&amp;$E12,OFFSET([2]stages!$A$1,0,0,COUNTA([2]stages!$A:$A),MATCH(F$1,[2]stages!$2:$2,0)-MATCH("temp_stage",[2]stages!$2:$2,0)+1),MATCH(F$1,[2]stages!$2:$2,0)-MATCH("temp_stage",[2]stages!$2:$2,0)+1,FALSE)</f>
        <v>#VALUE!</v>
      </c>
      <c r="G12" s="81" t="e">
        <f ca="1">VLOOKUP($B12&amp;"_"&amp;$E12,OFFSET([2]stages!$A$1,0,0,COUNTA([2]stages!$A:$A),MATCH(G$1,[2]stages!$2:$2,0)-MATCH("temp_stage",[2]stages!$2:$2,0)+1),MATCH(G$1,[2]stages!$2:$2,0)-MATCH("temp_stage",[2]stages!$2:$2,0)+1,FALSE)</f>
        <v>#VALUE!</v>
      </c>
      <c r="H12" s="83">
        <v>0</v>
      </c>
      <c r="I12">
        <v>36</v>
      </c>
      <c r="J12" s="82" t="s">
        <v>197</v>
      </c>
      <c r="K12" s="91" t="str">
        <f>VLOOKUP(I12,[7]stage_hints!$A:$C,3,FALSE)</f>
        <v>チャレンジタワーのボス</v>
      </c>
      <c r="L12" s="92" t="str">
        <f>VLOOKUP(I12,[7]stage_hints!$A:$D,4,FALSE)</f>
        <v>チャレンジタワーでのみ登場するボスは_x000D_一定確率で獲得することができます</v>
      </c>
      <c r="M12" s="56" t="s">
        <v>210</v>
      </c>
    </row>
    <row r="13" spans="1:13" x14ac:dyDescent="0.15">
      <c r="A13" s="79" t="s">
        <v>200</v>
      </c>
      <c r="B13" s="80">
        <f>floors!$C$2</f>
        <v>40015</v>
      </c>
      <c r="C13" s="81" t="e">
        <f ca="1">VLOOKUP($B13,OFFSET([2]quests!$A$1,0,0,COUNTA([2]quests!$A:$A),MATCH(C$1,[2]quests!$1:$1,0)-MATCH($B$1,[2]quests!$1:$1,0)+1),MATCH(C$1,[2]quests!$1:$1,0)-MATCH($B$1,[2]quests!$1:$1,0)+1,FALSE)</f>
        <v>#VALUE!</v>
      </c>
      <c r="D13" s="81" t="e">
        <f ca="1">VLOOKUP($B13,OFFSET([2]quests!$A$1,0,0,COUNTA([2]quests!$A:$A),MATCH(D$1,[2]quests!$1:$1,0)-MATCH($B$1,[2]quests!$1:$1,0)+1),MATCH(D$1,[2]quests!$1:$1,0)-MATCH($B$1,[2]quests!$1:$1,0)+1,FALSE)</f>
        <v>#VALUE!</v>
      </c>
      <c r="E13" s="85">
        <v>1</v>
      </c>
      <c r="F13" s="81" t="e">
        <f ca="1">VLOOKUP($B13&amp;"_"&amp;$E13,OFFSET([2]stages!$A$1,0,0,COUNTA([2]stages!$A:$A),MATCH(F$1,[2]stages!$2:$2,0)-MATCH("temp_stage",[2]stages!$2:$2,0)+1),MATCH(F$1,[2]stages!$2:$2,0)-MATCH("temp_stage",[2]stages!$2:$2,0)+1,FALSE)</f>
        <v>#VALUE!</v>
      </c>
      <c r="G13" s="81" t="e">
        <f ca="1">VLOOKUP($B13&amp;"_"&amp;$E13,OFFSET([2]stages!$A$1,0,0,COUNTA([2]stages!$A:$A),MATCH(G$1,[2]stages!$2:$2,0)-MATCH("temp_stage",[2]stages!$2:$2,0)+1),MATCH(G$1,[2]stages!$2:$2,0)-MATCH("temp_stage",[2]stages!$2:$2,0)+1,FALSE)</f>
        <v>#VALUE!</v>
      </c>
      <c r="H13" s="83">
        <v>0</v>
      </c>
      <c r="I13">
        <v>37</v>
      </c>
      <c r="J13" s="82" t="s">
        <v>197</v>
      </c>
      <c r="K13" s="91" t="str">
        <f>VLOOKUP(I13,[7]stage_hints!$A:$C,3,FALSE)</f>
        <v>限界突破値の引き継ぎ</v>
      </c>
      <c r="L13" s="92" t="str">
        <f>VLOOKUP(I13,[7]stage_hints!$A:$D,4,FALSE)</f>
        <v>同じユニットを強化で合成すると_x000D_限界突破値を引き継げます（覚醒前後も可）</v>
      </c>
      <c r="M13" s="56" t="s">
        <v>210</v>
      </c>
    </row>
    <row r="14" spans="1:13" x14ac:dyDescent="0.15">
      <c r="A14" s="79" t="s">
        <v>200</v>
      </c>
      <c r="B14" s="80">
        <f>floors!$C$2</f>
        <v>40015</v>
      </c>
      <c r="C14" s="81" t="e">
        <f ca="1">VLOOKUP($B14,OFFSET([2]quests!$A$1,0,0,COUNTA([2]quests!$A:$A),MATCH(C$1,[2]quests!$1:$1,0)-MATCH($B$1,[2]quests!$1:$1,0)+1),MATCH(C$1,[2]quests!$1:$1,0)-MATCH($B$1,[2]quests!$1:$1,0)+1,FALSE)</f>
        <v>#VALUE!</v>
      </c>
      <c r="D14" s="81" t="e">
        <f ca="1">VLOOKUP($B14,OFFSET([2]quests!$A$1,0,0,COUNTA([2]quests!$A:$A),MATCH(D$1,[2]quests!$1:$1,0)-MATCH($B$1,[2]quests!$1:$1,0)+1),MATCH(D$1,[2]quests!$1:$1,0)-MATCH($B$1,[2]quests!$1:$1,0)+1,FALSE)</f>
        <v>#VALUE!</v>
      </c>
      <c r="E14" s="85">
        <v>1</v>
      </c>
      <c r="F14" s="81" t="e">
        <f ca="1">VLOOKUP($B14&amp;"_"&amp;$E14,OFFSET([2]stages!$A$1,0,0,COUNTA([2]stages!$A:$A),MATCH(F$1,[2]stages!$2:$2,0)-MATCH("temp_stage",[2]stages!$2:$2,0)+1),MATCH(F$1,[2]stages!$2:$2,0)-MATCH("temp_stage",[2]stages!$2:$2,0)+1,FALSE)</f>
        <v>#VALUE!</v>
      </c>
      <c r="G14" s="81" t="e">
        <f ca="1">VLOOKUP($B14&amp;"_"&amp;$E14,OFFSET([2]stages!$A$1,0,0,COUNTA([2]stages!$A:$A),MATCH(G$1,[2]stages!$2:$2,0)-MATCH("temp_stage",[2]stages!$2:$2,0)+1),MATCH(G$1,[2]stages!$2:$2,0)-MATCH("temp_stage",[2]stages!$2:$2,0)+1,FALSE)</f>
        <v>#VALUE!</v>
      </c>
      <c r="H14" s="83">
        <v>0</v>
      </c>
      <c r="I14">
        <v>39</v>
      </c>
      <c r="J14" s="82" t="s">
        <v>197</v>
      </c>
      <c r="K14" s="91" t="str">
        <f>VLOOKUP(I14,[7]stage_hints!$A:$C,3,FALSE)</f>
        <v>システム適合者を確認</v>
      </c>
      <c r="L14" s="92" t="str">
        <f>VLOOKUP(I14,[7]stage_hints!$A:$D,4,FALSE)</f>
        <v>ALICEが「アナタ」を呼んでいます</v>
      </c>
      <c r="M14" s="56" t="s">
        <v>210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7"/>
  <sheetViews>
    <sheetView showGridLines="0" workbookViewId="0">
      <pane ySplit="1" topLeftCell="A2" activePane="bottomLeft" state="frozen"/>
      <selection pane="bottomLeft" activeCell="M9" sqref="M9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187</v>
      </c>
      <c r="B1" s="70" t="s">
        <v>150</v>
      </c>
      <c r="C1" s="75" t="s">
        <v>189</v>
      </c>
      <c r="D1" s="75" t="s">
        <v>33</v>
      </c>
      <c r="E1" s="70" t="s">
        <v>190</v>
      </c>
      <c r="F1" s="75" t="s">
        <v>18</v>
      </c>
      <c r="G1" s="75" t="s">
        <v>33</v>
      </c>
      <c r="H1" s="70" t="s">
        <v>192</v>
      </c>
      <c r="I1" s="87" t="s">
        <v>193</v>
      </c>
      <c r="J1" s="89" t="s">
        <v>194</v>
      </c>
      <c r="K1" s="77" t="s">
        <v>126</v>
      </c>
      <c r="L1" s="76" t="s">
        <v>186</v>
      </c>
      <c r="M1" s="90" t="s">
        <v>185</v>
      </c>
      <c r="N1" s="78" t="s">
        <v>195</v>
      </c>
    </row>
    <row r="2" spans="1:14" ht="56" x14ac:dyDescent="0.15">
      <c r="A2" s="79" t="s">
        <v>196</v>
      </c>
      <c r="B2" s="80">
        <f>floors!$C$2</f>
        <v>40015</v>
      </c>
      <c r="C2" s="81" t="e">
        <f ca="1">VLOOKUP($B2,OFFSET([2]quests!$A$1,0,0,COUNTA([2]quests!$A:$A),MATCH(C$1,[2]quests!$1:$1,0)-MATCH($B$1,[2]quests!$1:$1,0)+1),MATCH(C$1,[2]quests!$1:$1,0)-MATCH($B$1,[2]quests!$1:$1,0)+1,FALSE)</f>
        <v>#VALUE!</v>
      </c>
      <c r="D2" s="81" t="e">
        <f ca="1">VLOOKUP($B2,OFFSET([2]quests!$A$1,0,0,COUNTA([2]quests!$A:$A),MATCH(D$1,[2]quests!$1:$1,0)-MATCH($B$1,[2]quests!$1:$1,0)+1),MATCH(D$1,[2]quests!$1:$1,0)-MATCH($B$1,[2]quests!$1:$1,0)+1,FALSE)</f>
        <v>#VALUE!</v>
      </c>
      <c r="E2" s="82">
        <v>1</v>
      </c>
      <c r="F2" s="81" t="e">
        <f ca="1">VLOOKUP($B2&amp;"_"&amp;$E2,OFFSET([2]stages!$A$1,0,0,COUNTA([2]stages!$A:$A),MATCH(F$1,[2]stages!$2:$2,0)-MATCH("temp_stage",[2]stages!$2:$2,0)+1),MATCH(F$1,[2]stages!$2:$2,0)-MATCH("temp_stage",[2]stages!$2:$2,0)+1,FALSE)</f>
        <v>#VALUE!</v>
      </c>
      <c r="G2" s="81" t="e">
        <f ca="1">VLOOKUP($B2&amp;"_"&amp;$E2,OFFSET([2]stages!$A$1,0,0,COUNTA([2]stages!$A:$A),MATCH(G$1,[2]stages!$2:$2,0)-MATCH("temp_stage",[2]stages!$2:$2,0)+1),MATCH(G$1,[2]stages!$2:$2,0)-MATCH("temp_stage",[2]stages!$2:$2,0)+1,FALSE)</f>
        <v>#VALUE!</v>
      </c>
      <c r="H2" s="83">
        <v>1</v>
      </c>
      <c r="I2" s="88">
        <f t="shared" ref="I2:I7" si="0">ROW()-1</f>
        <v>1</v>
      </c>
      <c r="J2" s="84" t="str">
        <f t="shared" ref="J2:J7" si="1">B2&amp;TEXT(I2,"00")</f>
        <v>4001501</v>
      </c>
      <c r="K2" s="82" t="s">
        <v>127</v>
      </c>
      <c r="L2" s="85" t="s">
        <v>198</v>
      </c>
      <c r="M2" s="146" t="s">
        <v>401</v>
      </c>
      <c r="N2" s="56" t="s">
        <v>199</v>
      </c>
    </row>
    <row r="3" spans="1:14" ht="56" x14ac:dyDescent="0.15">
      <c r="A3" s="79" t="s">
        <v>196</v>
      </c>
      <c r="B3" s="80">
        <f>floors!$C$2</f>
        <v>40015</v>
      </c>
      <c r="C3" s="81" t="e">
        <f ca="1">VLOOKUP($B3,OFFSET([2]quests!$A$1,0,0,COUNTA([2]quests!$A:$A),MATCH(C$1,[2]quests!$1:$1,0)-MATCH($B$1,[2]quests!$1:$1,0)+1),MATCH(C$1,[2]quests!$1:$1,0)-MATCH($B$1,[2]quests!$1:$1,0)+1,FALSE)</f>
        <v>#VALUE!</v>
      </c>
      <c r="D3" s="81" t="e">
        <f ca="1">VLOOKUP($B3,OFFSET([2]quests!$A$1,0,0,COUNTA([2]quests!$A:$A),MATCH(D$1,[2]quests!$1:$1,0)-MATCH($B$1,[2]quests!$1:$1,0)+1),MATCH(D$1,[2]quests!$1:$1,0)-MATCH($B$1,[2]quests!$1:$1,0)+1,FALSE)</f>
        <v>#VALUE!</v>
      </c>
      <c r="E3" s="82">
        <v>1</v>
      </c>
      <c r="F3" s="81" t="e">
        <f ca="1">VLOOKUP($B3&amp;"_"&amp;$E3,OFFSET([2]stages!$A$1,0,0,COUNTA([2]stages!$A:$A),MATCH(F$1,[2]stages!$2:$2,0)-MATCH("temp_stage",[2]stages!$2:$2,0)+1),MATCH(F$1,[2]stages!$2:$2,0)-MATCH("temp_stage",[2]stages!$2:$2,0)+1,FALSE)</f>
        <v>#VALUE!</v>
      </c>
      <c r="G3" s="81" t="e">
        <f ca="1">VLOOKUP($B3&amp;"_"&amp;$E3,OFFSET([2]stages!$A$1,0,0,COUNTA([2]stages!$A:$A),MATCH(G$1,[2]stages!$2:$2,0)-MATCH("temp_stage",[2]stages!$2:$2,0)+1),MATCH(G$1,[2]stages!$2:$2,0)-MATCH("temp_stage",[2]stages!$2:$2,0)+1,FALSE)</f>
        <v>#VALUE!</v>
      </c>
      <c r="H3" s="83">
        <v>2</v>
      </c>
      <c r="I3" s="88">
        <f t="shared" si="0"/>
        <v>2</v>
      </c>
      <c r="J3" s="84" t="str">
        <f t="shared" si="1"/>
        <v>4001502</v>
      </c>
      <c r="K3" s="82" t="s">
        <v>127</v>
      </c>
      <c r="L3" s="85" t="s">
        <v>198</v>
      </c>
      <c r="M3" s="146" t="s">
        <v>402</v>
      </c>
      <c r="N3" s="56" t="s">
        <v>199</v>
      </c>
    </row>
    <row r="4" spans="1:14" ht="56" x14ac:dyDescent="0.15">
      <c r="A4" s="79" t="s">
        <v>196</v>
      </c>
      <c r="B4" s="80">
        <f>floors!$C$2</f>
        <v>40015</v>
      </c>
      <c r="C4" s="81" t="e">
        <f ca="1">VLOOKUP($B4,OFFSET([2]quests!$A$1,0,0,COUNTA([2]quests!$A:$A),MATCH(C$1,[2]quests!$1:$1,0)-MATCH($B$1,[2]quests!$1:$1,0)+1),MATCH(C$1,[2]quests!$1:$1,0)-MATCH($B$1,[2]quests!$1:$1,0)+1,FALSE)</f>
        <v>#VALUE!</v>
      </c>
      <c r="D4" s="81" t="e">
        <f ca="1">VLOOKUP($B4,OFFSET([2]quests!$A$1,0,0,COUNTA([2]quests!$A:$A),MATCH(D$1,[2]quests!$1:$1,0)-MATCH($B$1,[2]quests!$1:$1,0)+1),MATCH(D$1,[2]quests!$1:$1,0)-MATCH($B$1,[2]quests!$1:$1,0)+1,FALSE)</f>
        <v>#VALUE!</v>
      </c>
      <c r="E4" s="82">
        <v>1</v>
      </c>
      <c r="F4" s="81" t="e">
        <f ca="1">VLOOKUP($B4&amp;"_"&amp;$E4,OFFSET([2]stages!$A$1,0,0,COUNTA([2]stages!$A:$A),MATCH(F$1,[2]stages!$2:$2,0)-MATCH("temp_stage",[2]stages!$2:$2,0)+1),MATCH(F$1,[2]stages!$2:$2,0)-MATCH("temp_stage",[2]stages!$2:$2,0)+1,FALSE)</f>
        <v>#VALUE!</v>
      </c>
      <c r="G4" s="81" t="e">
        <f ca="1">VLOOKUP($B4&amp;"_"&amp;$E4,OFFSET([2]stages!$A$1,0,0,COUNTA([2]stages!$A:$A),MATCH(G$1,[2]stages!$2:$2,0)-MATCH("temp_stage",[2]stages!$2:$2,0)+1),MATCH(G$1,[2]stages!$2:$2,0)-MATCH("temp_stage",[2]stages!$2:$2,0)+1,FALSE)</f>
        <v>#VALUE!</v>
      </c>
      <c r="H4" s="83">
        <v>3</v>
      </c>
      <c r="I4" s="88">
        <f t="shared" si="0"/>
        <v>3</v>
      </c>
      <c r="J4" s="84" t="str">
        <f t="shared" si="1"/>
        <v>4001503</v>
      </c>
      <c r="K4" s="82" t="s">
        <v>127</v>
      </c>
      <c r="L4" s="85" t="s">
        <v>198</v>
      </c>
      <c r="M4" s="146" t="s">
        <v>403</v>
      </c>
      <c r="N4" s="56" t="s">
        <v>199</v>
      </c>
    </row>
    <row r="5" spans="1:14" ht="56" x14ac:dyDescent="0.15">
      <c r="A5" s="79" t="s">
        <v>196</v>
      </c>
      <c r="B5" s="80">
        <f>floors!$C$2</f>
        <v>40015</v>
      </c>
      <c r="C5" s="81" t="e">
        <f ca="1">VLOOKUP($B5,OFFSET([2]quests!$A$1,0,0,COUNTA([2]quests!$A:$A),MATCH(C$1,[2]quests!$1:$1,0)-MATCH($B$1,[2]quests!$1:$1,0)+1),MATCH(C$1,[2]quests!$1:$1,0)-MATCH($B$1,[2]quests!$1:$1,0)+1,FALSE)</f>
        <v>#VALUE!</v>
      </c>
      <c r="D5" s="81" t="e">
        <f ca="1">VLOOKUP($B5,OFFSET([2]quests!$A$1,0,0,COUNTA([2]quests!$A:$A),MATCH(D$1,[2]quests!$1:$1,0)-MATCH($B$1,[2]quests!$1:$1,0)+1),MATCH(D$1,[2]quests!$1:$1,0)-MATCH($B$1,[2]quests!$1:$1,0)+1,FALSE)</f>
        <v>#VALUE!</v>
      </c>
      <c r="E5" s="82">
        <v>1</v>
      </c>
      <c r="F5" s="81" t="e">
        <f ca="1">VLOOKUP($B5&amp;"_"&amp;$E5,OFFSET([2]stages!$A$1,0,0,COUNTA([2]stages!$A:$A),MATCH(F$1,[2]stages!$2:$2,0)-MATCH("temp_stage",[2]stages!$2:$2,0)+1),MATCH(F$1,[2]stages!$2:$2,0)-MATCH("temp_stage",[2]stages!$2:$2,0)+1,FALSE)</f>
        <v>#VALUE!</v>
      </c>
      <c r="G5" s="81" t="e">
        <f ca="1">VLOOKUP($B5&amp;"_"&amp;$E5,OFFSET([2]stages!$A$1,0,0,COUNTA([2]stages!$A:$A),MATCH(G$1,[2]stages!$2:$2,0)-MATCH("temp_stage",[2]stages!$2:$2,0)+1),MATCH(G$1,[2]stages!$2:$2,0)-MATCH("temp_stage",[2]stages!$2:$2,0)+1,FALSE)</f>
        <v>#VALUE!</v>
      </c>
      <c r="H5" s="83">
        <v>4</v>
      </c>
      <c r="I5" s="88">
        <f t="shared" si="0"/>
        <v>4</v>
      </c>
      <c r="J5" s="84" t="str">
        <f t="shared" si="1"/>
        <v>4001504</v>
      </c>
      <c r="K5" s="82" t="s">
        <v>127</v>
      </c>
      <c r="L5" s="85" t="s">
        <v>198</v>
      </c>
      <c r="M5" s="146" t="s">
        <v>404</v>
      </c>
      <c r="N5" s="56" t="s">
        <v>199</v>
      </c>
    </row>
    <row r="6" spans="1:14" ht="56" x14ac:dyDescent="0.15">
      <c r="A6" s="79" t="s">
        <v>196</v>
      </c>
      <c r="B6" s="80">
        <f>floors!$C$2</f>
        <v>40015</v>
      </c>
      <c r="C6" s="81" t="e">
        <f ca="1">VLOOKUP($B6,OFFSET([2]quests!$A$1,0,0,COUNTA([2]quests!$A:$A),MATCH(C$1,[2]quests!$1:$1,0)-MATCH($B$1,[2]quests!$1:$1,0)+1),MATCH(C$1,[2]quests!$1:$1,0)-MATCH($B$1,[2]quests!$1:$1,0)+1,FALSE)</f>
        <v>#VALUE!</v>
      </c>
      <c r="D6" s="81" t="e">
        <f ca="1">VLOOKUP($B6,OFFSET([2]quests!$A$1,0,0,COUNTA([2]quests!$A:$A),MATCH(D$1,[2]quests!$1:$1,0)-MATCH($B$1,[2]quests!$1:$1,0)+1),MATCH(D$1,[2]quests!$1:$1,0)-MATCH($B$1,[2]quests!$1:$1,0)+1,FALSE)</f>
        <v>#VALUE!</v>
      </c>
      <c r="E6" s="82">
        <v>1</v>
      </c>
      <c r="F6" s="81" t="e">
        <f ca="1">VLOOKUP($B6&amp;"_"&amp;$E6,OFFSET([2]stages!$A$1,0,0,COUNTA([2]stages!$A:$A),MATCH(F$1,[2]stages!$2:$2,0)-MATCH("temp_stage",[2]stages!$2:$2,0)+1),MATCH(F$1,[2]stages!$2:$2,0)-MATCH("temp_stage",[2]stages!$2:$2,0)+1,FALSE)</f>
        <v>#VALUE!</v>
      </c>
      <c r="G6" s="81" t="e">
        <f ca="1">VLOOKUP($B6&amp;"_"&amp;$E6,OFFSET([2]stages!$A$1,0,0,COUNTA([2]stages!$A:$A),MATCH(G$1,[2]stages!$2:$2,0)-MATCH("temp_stage",[2]stages!$2:$2,0)+1),MATCH(G$1,[2]stages!$2:$2,0)-MATCH("temp_stage",[2]stages!$2:$2,0)+1,FALSE)</f>
        <v>#VALUE!</v>
      </c>
      <c r="H6" s="83">
        <v>4</v>
      </c>
      <c r="I6" s="88">
        <f t="shared" si="0"/>
        <v>5</v>
      </c>
      <c r="J6" s="84" t="str">
        <f t="shared" si="1"/>
        <v>4001505</v>
      </c>
      <c r="K6" s="82" t="s">
        <v>127</v>
      </c>
      <c r="L6" s="85" t="s">
        <v>198</v>
      </c>
      <c r="M6" s="146" t="s">
        <v>407</v>
      </c>
      <c r="N6" s="56" t="s">
        <v>199</v>
      </c>
    </row>
    <row r="7" spans="1:14" ht="56" x14ac:dyDescent="0.15">
      <c r="A7" s="79" t="s">
        <v>196</v>
      </c>
      <c r="B7" s="80">
        <f>floors!$C$2</f>
        <v>40015</v>
      </c>
      <c r="C7" s="81" t="e">
        <f ca="1">VLOOKUP($B7,OFFSET([2]quests!$A$1,0,0,COUNTA([2]quests!$A:$A),MATCH(C$1,[2]quests!$1:$1,0)-MATCH($B$1,[2]quests!$1:$1,0)+1),MATCH(C$1,[2]quests!$1:$1,0)-MATCH($B$1,[2]quests!$1:$1,0)+1,FALSE)</f>
        <v>#VALUE!</v>
      </c>
      <c r="D7" s="81" t="e">
        <f ca="1">VLOOKUP($B7,OFFSET([2]quests!$A$1,0,0,COUNTA([2]quests!$A:$A),MATCH(D$1,[2]quests!$1:$1,0)-MATCH($B$1,[2]quests!$1:$1,0)+1),MATCH(D$1,[2]quests!$1:$1,0)-MATCH($B$1,[2]quests!$1:$1,0)+1,FALSE)</f>
        <v>#VALUE!</v>
      </c>
      <c r="E7" s="82">
        <v>1</v>
      </c>
      <c r="F7" s="81" t="e">
        <f ca="1">VLOOKUP($B7&amp;"_"&amp;$E7,OFFSET([2]stages!$A$1,0,0,COUNTA([2]stages!$A:$A),MATCH(F$1,[2]stages!$2:$2,0)-MATCH("temp_stage",[2]stages!$2:$2,0)+1),MATCH(F$1,[2]stages!$2:$2,0)-MATCH("temp_stage",[2]stages!$2:$2,0)+1,FALSE)</f>
        <v>#VALUE!</v>
      </c>
      <c r="G7" s="81" t="e">
        <f ca="1">VLOOKUP($B7&amp;"_"&amp;$E7,OFFSET([2]stages!$A$1,0,0,COUNTA([2]stages!$A:$A),MATCH(G$1,[2]stages!$2:$2,0)-MATCH("temp_stage",[2]stages!$2:$2,0)+1),MATCH(G$1,[2]stages!$2:$2,0)-MATCH("temp_stage",[2]stages!$2:$2,0)+1,FALSE)</f>
        <v>#VALUE!</v>
      </c>
      <c r="H7" s="83">
        <v>4</v>
      </c>
      <c r="I7" s="88">
        <f t="shared" si="0"/>
        <v>6</v>
      </c>
      <c r="J7" s="84" t="str">
        <f t="shared" si="1"/>
        <v>4001506</v>
      </c>
      <c r="K7" s="82" t="s">
        <v>127</v>
      </c>
      <c r="L7" s="85" t="s">
        <v>198</v>
      </c>
      <c r="M7" s="146" t="s">
        <v>405</v>
      </c>
      <c r="N7" s="56" t="s">
        <v>199</v>
      </c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2016-04-13T07:45:58Z</dcterms:modified>
</cp:coreProperties>
</file>