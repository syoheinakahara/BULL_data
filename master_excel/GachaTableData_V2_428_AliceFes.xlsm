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8"/>
  </bookViews>
  <sheets>
    <sheet name="確率の考え方" sheetId="110" r:id="rId1"/>
    <sheet name="Sheet1" sheetId="107" r:id="rId2"/>
    <sheet name="output" sheetId="103" r:id="rId3"/>
    <sheet name="input_428010" sheetId="157" r:id="rId4"/>
    <sheet name="tables_428010" sheetId="158" r:id="rId5"/>
    <sheet name="input_428100" sheetId="153" r:id="rId6"/>
    <sheet name="tables_428100" sheetId="154" r:id="rId7"/>
    <sheet name="tables_settle_428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tables_428010!$A$1:$V$294</definedName>
    <definedName name="_xlnm._FilterDatabase" localSheetId="6" hidden="1">tables_428100!$A$1:$V$294</definedName>
    <definedName name="_xlnm._FilterDatabase" localSheetId="7" hidden="1">tables_settle_428100!$A$1:$V$1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03" l="1"/>
  <c r="E4" i="103"/>
  <c r="P2" i="159"/>
  <c r="P126" i="159"/>
  <c r="I126" i="159"/>
  <c r="D126" i="159"/>
  <c r="J126" i="159"/>
  <c r="E126" i="159"/>
  <c r="F126" i="159"/>
  <c r="C126" i="159"/>
  <c r="H126" i="159"/>
  <c r="K126" i="159"/>
  <c r="L126" i="159"/>
  <c r="M126" i="159"/>
  <c r="N126" i="159"/>
  <c r="I127" i="159"/>
  <c r="D127" i="159"/>
  <c r="J127" i="159"/>
  <c r="E127" i="159"/>
  <c r="F127" i="159"/>
  <c r="C127" i="159"/>
  <c r="H127" i="159"/>
  <c r="K127" i="159"/>
  <c r="L127" i="159"/>
  <c r="M127" i="159"/>
  <c r="N127" i="159"/>
  <c r="P127" i="159"/>
  <c r="I128" i="159"/>
  <c r="D128" i="159"/>
  <c r="J128" i="159"/>
  <c r="E128" i="159"/>
  <c r="F128" i="159"/>
  <c r="C128" i="159"/>
  <c r="H128" i="159"/>
  <c r="K128" i="159"/>
  <c r="L128" i="159"/>
  <c r="M128" i="159"/>
  <c r="N128" i="159"/>
  <c r="P128" i="159"/>
  <c r="I129" i="159"/>
  <c r="D129" i="159"/>
  <c r="J129" i="159"/>
  <c r="E129" i="159"/>
  <c r="F129" i="159"/>
  <c r="C129" i="159"/>
  <c r="H129" i="159"/>
  <c r="K129" i="159"/>
  <c r="L129" i="159"/>
  <c r="M129" i="159"/>
  <c r="N129" i="159"/>
  <c r="P129" i="159"/>
  <c r="A2" i="153"/>
  <c r="A126" i="159"/>
  <c r="A127" i="159"/>
  <c r="A128" i="159"/>
  <c r="A129" i="159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F6" i="153"/>
  <c r="E6" i="153"/>
  <c r="B23" i="153"/>
  <c r="E26" i="153"/>
  <c r="B26" i="153"/>
  <c r="F5" i="153"/>
  <c r="E5" i="153"/>
  <c r="E28" i="153"/>
  <c r="B28" i="153"/>
  <c r="E29" i="153"/>
  <c r="B29" i="153"/>
  <c r="B21" i="153"/>
  <c r="F320" i="154"/>
  <c r="H320" i="154"/>
  <c r="K320" i="154"/>
  <c r="L320" i="154"/>
  <c r="M320" i="154"/>
  <c r="N320" i="154"/>
  <c r="F321" i="154"/>
  <c r="F322" i="154"/>
  <c r="F323" i="154"/>
  <c r="A36" i="153"/>
  <c r="R3" i="153"/>
  <c r="O320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R4" i="153"/>
  <c r="O321" i="154"/>
  <c r="R5" i="153"/>
  <c r="O322" i="154"/>
  <c r="R6" i="153"/>
  <c r="O323" i="154"/>
  <c r="P320" i="154"/>
  <c r="H321" i="154"/>
  <c r="K321" i="154"/>
  <c r="L321" i="154"/>
  <c r="M321" i="154"/>
  <c r="N321" i="154"/>
  <c r="P321" i="154"/>
  <c r="H322" i="154"/>
  <c r="K322" i="154"/>
  <c r="L322" i="154"/>
  <c r="M322" i="154"/>
  <c r="N322" i="154"/>
  <c r="P322" i="154"/>
  <c r="H323" i="154"/>
  <c r="K323" i="154"/>
  <c r="L323" i="154"/>
  <c r="M323" i="154"/>
  <c r="N323" i="154"/>
  <c r="P323" i="154"/>
  <c r="A320" i="154"/>
  <c r="A321" i="154"/>
  <c r="A322" i="154"/>
  <c r="A323" i="154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E26" i="157"/>
  <c r="B26" i="157"/>
  <c r="F5" i="157"/>
  <c r="E5" i="157"/>
  <c r="E28" i="157"/>
  <c r="B28" i="157"/>
  <c r="E29" i="157"/>
  <c r="B29" i="157"/>
  <c r="B21" i="157"/>
  <c r="F320" i="158"/>
  <c r="H320" i="158"/>
  <c r="K320" i="158"/>
  <c r="L320" i="158"/>
  <c r="M320" i="158"/>
  <c r="N320" i="158"/>
  <c r="F321" i="158"/>
  <c r="F322" i="158"/>
  <c r="F323" i="158"/>
  <c r="A36" i="157"/>
  <c r="R3" i="157"/>
  <c r="O320" i="158"/>
  <c r="A2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6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R4" i="157"/>
  <c r="O321" i="158"/>
  <c r="R5" i="157"/>
  <c r="O322" i="158"/>
  <c r="R6" i="157"/>
  <c r="O323" i="158"/>
  <c r="P320" i="158"/>
  <c r="H321" i="158"/>
  <c r="K321" i="158"/>
  <c r="L321" i="158"/>
  <c r="M321" i="158"/>
  <c r="N321" i="158"/>
  <c r="P321" i="158"/>
  <c r="H322" i="158"/>
  <c r="K322" i="158"/>
  <c r="L322" i="158"/>
  <c r="M322" i="158"/>
  <c r="N322" i="158"/>
  <c r="P322" i="158"/>
  <c r="H323" i="158"/>
  <c r="K323" i="158"/>
  <c r="L323" i="158"/>
  <c r="M323" i="158"/>
  <c r="N323" i="158"/>
  <c r="P323" i="158"/>
  <c r="A320" i="158"/>
  <c r="A321" i="158"/>
  <c r="A322" i="158"/>
  <c r="A323" i="158"/>
  <c r="M6" i="153"/>
  <c r="M5" i="153"/>
  <c r="M4" i="153"/>
  <c r="M3" i="153"/>
  <c r="B30" i="153"/>
  <c r="B10" i="153"/>
  <c r="F50" i="157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2" i="159"/>
  <c r="D72" i="159"/>
  <c r="J72" i="159"/>
  <c r="E72" i="159"/>
  <c r="F72" i="159"/>
  <c r="C72" i="159"/>
  <c r="H72" i="159"/>
  <c r="K72" i="159"/>
  <c r="L72" i="159"/>
  <c r="M72" i="159"/>
  <c r="N72" i="159"/>
  <c r="P72" i="159"/>
  <c r="I73" i="159"/>
  <c r="D73" i="159"/>
  <c r="J73" i="159"/>
  <c r="E73" i="159"/>
  <c r="F73" i="159"/>
  <c r="C73" i="159"/>
  <c r="H73" i="159"/>
  <c r="K73" i="159"/>
  <c r="L73" i="159"/>
  <c r="M73" i="159"/>
  <c r="N73" i="159"/>
  <c r="P73" i="159"/>
  <c r="I74" i="159"/>
  <c r="D74" i="159"/>
  <c r="J74" i="159"/>
  <c r="E74" i="159"/>
  <c r="F74" i="159"/>
  <c r="C74" i="159"/>
  <c r="H74" i="159"/>
  <c r="K74" i="159"/>
  <c r="L74" i="159"/>
  <c r="M74" i="159"/>
  <c r="N74" i="159"/>
  <c r="P74" i="159"/>
  <c r="I75" i="159"/>
  <c r="D75" i="159"/>
  <c r="J75" i="159"/>
  <c r="E75" i="159"/>
  <c r="F75" i="159"/>
  <c r="C75" i="159"/>
  <c r="H75" i="159"/>
  <c r="K75" i="159"/>
  <c r="L75" i="159"/>
  <c r="M75" i="159"/>
  <c r="N75" i="159"/>
  <c r="P75" i="159"/>
  <c r="I76" i="159"/>
  <c r="D76" i="159"/>
  <c r="J76" i="159"/>
  <c r="E76" i="159"/>
  <c r="F76" i="159"/>
  <c r="C76" i="159"/>
  <c r="H76" i="159"/>
  <c r="K76" i="159"/>
  <c r="L76" i="159"/>
  <c r="M76" i="159"/>
  <c r="N76" i="159"/>
  <c r="P76" i="159"/>
  <c r="I77" i="159"/>
  <c r="D77" i="159"/>
  <c r="J77" i="159"/>
  <c r="E77" i="159"/>
  <c r="F77" i="159"/>
  <c r="C77" i="159"/>
  <c r="H77" i="159"/>
  <c r="K77" i="159"/>
  <c r="L77" i="159"/>
  <c r="M77" i="159"/>
  <c r="N77" i="159"/>
  <c r="P77" i="159"/>
  <c r="I78" i="159"/>
  <c r="D78" i="159"/>
  <c r="J78" i="159"/>
  <c r="E78" i="159"/>
  <c r="F78" i="159"/>
  <c r="C78" i="159"/>
  <c r="H78" i="159"/>
  <c r="K78" i="159"/>
  <c r="L78" i="159"/>
  <c r="M78" i="159"/>
  <c r="N78" i="159"/>
  <c r="P78" i="159"/>
  <c r="I79" i="159"/>
  <c r="D79" i="159"/>
  <c r="J79" i="159"/>
  <c r="E79" i="159"/>
  <c r="F79" i="159"/>
  <c r="C79" i="159"/>
  <c r="H79" i="159"/>
  <c r="K79" i="159"/>
  <c r="L79" i="159"/>
  <c r="M79" i="159"/>
  <c r="N79" i="159"/>
  <c r="P79" i="159"/>
  <c r="I80" i="159"/>
  <c r="D80" i="159"/>
  <c r="J80" i="159"/>
  <c r="E80" i="159"/>
  <c r="F80" i="159"/>
  <c r="C80" i="159"/>
  <c r="H80" i="159"/>
  <c r="K80" i="159"/>
  <c r="L80" i="159"/>
  <c r="M80" i="159"/>
  <c r="N80" i="159"/>
  <c r="P80" i="159"/>
  <c r="I81" i="159"/>
  <c r="D81" i="159"/>
  <c r="J81" i="159"/>
  <c r="E81" i="159"/>
  <c r="F81" i="159"/>
  <c r="C81" i="159"/>
  <c r="H81" i="159"/>
  <c r="K81" i="159"/>
  <c r="L81" i="159"/>
  <c r="M81" i="159"/>
  <c r="N81" i="159"/>
  <c r="P81" i="159"/>
  <c r="I82" i="159"/>
  <c r="D82" i="159"/>
  <c r="J82" i="159"/>
  <c r="E82" i="159"/>
  <c r="F82" i="159"/>
  <c r="C82" i="159"/>
  <c r="H82" i="159"/>
  <c r="K82" i="159"/>
  <c r="L82" i="159"/>
  <c r="M82" i="159"/>
  <c r="N82" i="159"/>
  <c r="P82" i="159"/>
  <c r="I83" i="159"/>
  <c r="D83" i="159"/>
  <c r="J83" i="159"/>
  <c r="E83" i="159"/>
  <c r="F83" i="159"/>
  <c r="C83" i="159"/>
  <c r="H83" i="159"/>
  <c r="K83" i="159"/>
  <c r="L83" i="159"/>
  <c r="M83" i="159"/>
  <c r="N83" i="159"/>
  <c r="P83" i="159"/>
  <c r="I84" i="159"/>
  <c r="D84" i="159"/>
  <c r="J84" i="159"/>
  <c r="E84" i="159"/>
  <c r="F84" i="159"/>
  <c r="C84" i="159"/>
  <c r="H84" i="159"/>
  <c r="K84" i="159"/>
  <c r="L84" i="159"/>
  <c r="M84" i="159"/>
  <c r="N84" i="159"/>
  <c r="P84" i="159"/>
  <c r="I85" i="159"/>
  <c r="D85" i="159"/>
  <c r="J85" i="159"/>
  <c r="E85" i="159"/>
  <c r="F85" i="159"/>
  <c r="C85" i="159"/>
  <c r="H85" i="159"/>
  <c r="K85" i="159"/>
  <c r="L85" i="159"/>
  <c r="M85" i="159"/>
  <c r="N85" i="159"/>
  <c r="P85" i="159"/>
  <c r="I86" i="159"/>
  <c r="D86" i="159"/>
  <c r="J86" i="159"/>
  <c r="E86" i="159"/>
  <c r="F86" i="159"/>
  <c r="C86" i="159"/>
  <c r="H86" i="159"/>
  <c r="K86" i="159"/>
  <c r="L86" i="159"/>
  <c r="M86" i="159"/>
  <c r="N86" i="159"/>
  <c r="P86" i="159"/>
  <c r="I87" i="159"/>
  <c r="D87" i="159"/>
  <c r="J87" i="159"/>
  <c r="E87" i="159"/>
  <c r="F87" i="159"/>
  <c r="C87" i="159"/>
  <c r="H87" i="159"/>
  <c r="K87" i="159"/>
  <c r="L87" i="159"/>
  <c r="M87" i="159"/>
  <c r="N87" i="159"/>
  <c r="P87" i="159"/>
  <c r="I88" i="159"/>
  <c r="D88" i="159"/>
  <c r="J88" i="159"/>
  <c r="E88" i="159"/>
  <c r="F88" i="159"/>
  <c r="C88" i="159"/>
  <c r="H88" i="159"/>
  <c r="K88" i="159"/>
  <c r="L88" i="159"/>
  <c r="M88" i="159"/>
  <c r="N88" i="159"/>
  <c r="P88" i="159"/>
  <c r="I89" i="159"/>
  <c r="D89" i="159"/>
  <c r="J89" i="159"/>
  <c r="E89" i="159"/>
  <c r="F89" i="159"/>
  <c r="C89" i="159"/>
  <c r="H89" i="159"/>
  <c r="K89" i="159"/>
  <c r="L89" i="159"/>
  <c r="M89" i="159"/>
  <c r="N89" i="159"/>
  <c r="P89" i="159"/>
  <c r="I90" i="159"/>
  <c r="D90" i="159"/>
  <c r="J90" i="159"/>
  <c r="E90" i="159"/>
  <c r="F90" i="159"/>
  <c r="C90" i="159"/>
  <c r="H90" i="159"/>
  <c r="K90" i="159"/>
  <c r="L90" i="159"/>
  <c r="M90" i="159"/>
  <c r="N90" i="159"/>
  <c r="P90" i="159"/>
  <c r="I91" i="159"/>
  <c r="D91" i="159"/>
  <c r="J91" i="159"/>
  <c r="E91" i="159"/>
  <c r="F91" i="159"/>
  <c r="C91" i="159"/>
  <c r="H91" i="159"/>
  <c r="K91" i="159"/>
  <c r="L91" i="159"/>
  <c r="M91" i="159"/>
  <c r="N91" i="159"/>
  <c r="P91" i="159"/>
  <c r="I92" i="159"/>
  <c r="D92" i="159"/>
  <c r="J92" i="159"/>
  <c r="E92" i="159"/>
  <c r="F92" i="159"/>
  <c r="C92" i="159"/>
  <c r="H92" i="159"/>
  <c r="K92" i="159"/>
  <c r="L92" i="159"/>
  <c r="M92" i="159"/>
  <c r="N92" i="159"/>
  <c r="P92" i="159"/>
  <c r="I93" i="159"/>
  <c r="D93" i="159"/>
  <c r="J93" i="159"/>
  <c r="E93" i="159"/>
  <c r="F93" i="159"/>
  <c r="C93" i="159"/>
  <c r="H93" i="159"/>
  <c r="K93" i="159"/>
  <c r="L93" i="159"/>
  <c r="M93" i="159"/>
  <c r="N93" i="159"/>
  <c r="P93" i="159"/>
  <c r="I94" i="159"/>
  <c r="D94" i="159"/>
  <c r="J94" i="159"/>
  <c r="E94" i="159"/>
  <c r="F94" i="159"/>
  <c r="C94" i="159"/>
  <c r="H94" i="159"/>
  <c r="K94" i="159"/>
  <c r="L94" i="159"/>
  <c r="M94" i="159"/>
  <c r="N94" i="159"/>
  <c r="P94" i="159"/>
  <c r="I95" i="159"/>
  <c r="D95" i="159"/>
  <c r="J95" i="159"/>
  <c r="E95" i="159"/>
  <c r="F95" i="159"/>
  <c r="C95" i="159"/>
  <c r="H95" i="159"/>
  <c r="K95" i="159"/>
  <c r="L95" i="159"/>
  <c r="M95" i="159"/>
  <c r="N95" i="159"/>
  <c r="P95" i="159"/>
  <c r="I96" i="159"/>
  <c r="D96" i="159"/>
  <c r="J96" i="159"/>
  <c r="E96" i="159"/>
  <c r="F96" i="159"/>
  <c r="C96" i="159"/>
  <c r="H96" i="159"/>
  <c r="K96" i="159"/>
  <c r="L96" i="159"/>
  <c r="M96" i="159"/>
  <c r="N96" i="159"/>
  <c r="P96" i="159"/>
  <c r="I97" i="159"/>
  <c r="D97" i="159"/>
  <c r="J97" i="159"/>
  <c r="E97" i="159"/>
  <c r="F97" i="159"/>
  <c r="C97" i="159"/>
  <c r="H97" i="159"/>
  <c r="K97" i="159"/>
  <c r="L97" i="159"/>
  <c r="M97" i="159"/>
  <c r="N97" i="159"/>
  <c r="P97" i="159"/>
  <c r="I98" i="159"/>
  <c r="D98" i="159"/>
  <c r="J98" i="159"/>
  <c r="E98" i="159"/>
  <c r="F98" i="159"/>
  <c r="C98" i="159"/>
  <c r="H98" i="159"/>
  <c r="K98" i="159"/>
  <c r="L98" i="159"/>
  <c r="M98" i="159"/>
  <c r="N98" i="159"/>
  <c r="P98" i="159"/>
  <c r="I99" i="159"/>
  <c r="D99" i="159"/>
  <c r="J99" i="159"/>
  <c r="E99" i="159"/>
  <c r="F99" i="159"/>
  <c r="C99" i="159"/>
  <c r="H99" i="159"/>
  <c r="K99" i="159"/>
  <c r="L99" i="159"/>
  <c r="M99" i="159"/>
  <c r="N99" i="159"/>
  <c r="P99" i="159"/>
  <c r="I100" i="159"/>
  <c r="D100" i="159"/>
  <c r="J100" i="159"/>
  <c r="E100" i="159"/>
  <c r="F100" i="159"/>
  <c r="C100" i="159"/>
  <c r="H100" i="159"/>
  <c r="K100" i="159"/>
  <c r="L100" i="159"/>
  <c r="M100" i="159"/>
  <c r="N100" i="159"/>
  <c r="P100" i="159"/>
  <c r="I101" i="159"/>
  <c r="D101" i="159"/>
  <c r="J101" i="159"/>
  <c r="E101" i="159"/>
  <c r="F101" i="159"/>
  <c r="C101" i="159"/>
  <c r="H101" i="159"/>
  <c r="K101" i="159"/>
  <c r="L101" i="159"/>
  <c r="M101" i="159"/>
  <c r="N101" i="159"/>
  <c r="P101" i="159"/>
  <c r="I102" i="159"/>
  <c r="D102" i="159"/>
  <c r="J102" i="159"/>
  <c r="E102" i="159"/>
  <c r="F102" i="159"/>
  <c r="C102" i="159"/>
  <c r="H102" i="159"/>
  <c r="K102" i="159"/>
  <c r="L102" i="159"/>
  <c r="M102" i="159"/>
  <c r="N102" i="159"/>
  <c r="P102" i="159"/>
  <c r="I103" i="159"/>
  <c r="D103" i="159"/>
  <c r="J103" i="159"/>
  <c r="E103" i="159"/>
  <c r="F103" i="159"/>
  <c r="C103" i="159"/>
  <c r="H103" i="159"/>
  <c r="K103" i="159"/>
  <c r="L103" i="159"/>
  <c r="M103" i="159"/>
  <c r="N103" i="159"/>
  <c r="P103" i="159"/>
  <c r="I104" i="159"/>
  <c r="D104" i="159"/>
  <c r="J104" i="159"/>
  <c r="E104" i="159"/>
  <c r="F104" i="159"/>
  <c r="C104" i="159"/>
  <c r="H104" i="159"/>
  <c r="K104" i="159"/>
  <c r="L104" i="159"/>
  <c r="M104" i="159"/>
  <c r="N104" i="159"/>
  <c r="P104" i="159"/>
  <c r="I105" i="159"/>
  <c r="D105" i="159"/>
  <c r="J105" i="159"/>
  <c r="E105" i="159"/>
  <c r="F105" i="159"/>
  <c r="C105" i="159"/>
  <c r="H105" i="159"/>
  <c r="K105" i="159"/>
  <c r="L105" i="159"/>
  <c r="M105" i="159"/>
  <c r="N105" i="159"/>
  <c r="P105" i="159"/>
  <c r="I106" i="159"/>
  <c r="D106" i="159"/>
  <c r="J106" i="159"/>
  <c r="E106" i="159"/>
  <c r="F106" i="159"/>
  <c r="C106" i="159"/>
  <c r="H106" i="159"/>
  <c r="K106" i="159"/>
  <c r="L106" i="159"/>
  <c r="M106" i="159"/>
  <c r="N106" i="159"/>
  <c r="P106" i="159"/>
  <c r="I107" i="159"/>
  <c r="D107" i="159"/>
  <c r="J107" i="159"/>
  <c r="E107" i="159"/>
  <c r="F107" i="159"/>
  <c r="C107" i="159"/>
  <c r="H107" i="159"/>
  <c r="K107" i="159"/>
  <c r="L107" i="159"/>
  <c r="M107" i="159"/>
  <c r="N107" i="159"/>
  <c r="P107" i="159"/>
  <c r="I108" i="159"/>
  <c r="D108" i="159"/>
  <c r="J108" i="159"/>
  <c r="E108" i="159"/>
  <c r="F108" i="159"/>
  <c r="C108" i="159"/>
  <c r="H108" i="159"/>
  <c r="K108" i="159"/>
  <c r="L108" i="159"/>
  <c r="M108" i="159"/>
  <c r="N108" i="159"/>
  <c r="P108" i="159"/>
  <c r="I109" i="159"/>
  <c r="D109" i="159"/>
  <c r="J109" i="159"/>
  <c r="E109" i="159"/>
  <c r="F109" i="159"/>
  <c r="C109" i="159"/>
  <c r="H109" i="159"/>
  <c r="K109" i="159"/>
  <c r="L109" i="159"/>
  <c r="M109" i="159"/>
  <c r="N109" i="159"/>
  <c r="P109" i="159"/>
  <c r="I110" i="159"/>
  <c r="D110" i="159"/>
  <c r="J110" i="159"/>
  <c r="E110" i="159"/>
  <c r="F110" i="159"/>
  <c r="C110" i="159"/>
  <c r="H110" i="159"/>
  <c r="K110" i="159"/>
  <c r="L110" i="159"/>
  <c r="M110" i="159"/>
  <c r="N110" i="159"/>
  <c r="P110" i="159"/>
  <c r="I111" i="159"/>
  <c r="D111" i="159"/>
  <c r="J111" i="159"/>
  <c r="E111" i="159"/>
  <c r="F111" i="159"/>
  <c r="C111" i="159"/>
  <c r="H111" i="159"/>
  <c r="K111" i="159"/>
  <c r="L111" i="159"/>
  <c r="M111" i="159"/>
  <c r="N111" i="159"/>
  <c r="P111" i="159"/>
  <c r="I112" i="159"/>
  <c r="D112" i="159"/>
  <c r="J112" i="159"/>
  <c r="E112" i="159"/>
  <c r="F112" i="159"/>
  <c r="C112" i="159"/>
  <c r="H112" i="159"/>
  <c r="K112" i="159"/>
  <c r="L112" i="159"/>
  <c r="M112" i="159"/>
  <c r="N112" i="159"/>
  <c r="P112" i="159"/>
  <c r="I113" i="159"/>
  <c r="D113" i="159"/>
  <c r="J113" i="159"/>
  <c r="E113" i="159"/>
  <c r="F113" i="159"/>
  <c r="C113" i="159"/>
  <c r="H113" i="159"/>
  <c r="K113" i="159"/>
  <c r="L113" i="159"/>
  <c r="M113" i="159"/>
  <c r="N113" i="159"/>
  <c r="P113" i="159"/>
  <c r="I114" i="159"/>
  <c r="D114" i="159"/>
  <c r="J114" i="159"/>
  <c r="E114" i="159"/>
  <c r="F114" i="159"/>
  <c r="C114" i="159"/>
  <c r="H114" i="159"/>
  <c r="K114" i="159"/>
  <c r="L114" i="159"/>
  <c r="M114" i="159"/>
  <c r="N114" i="159"/>
  <c r="P114" i="159"/>
  <c r="I115" i="159"/>
  <c r="D115" i="159"/>
  <c r="J115" i="159"/>
  <c r="E115" i="159"/>
  <c r="F115" i="159"/>
  <c r="C115" i="159"/>
  <c r="H115" i="159"/>
  <c r="K115" i="159"/>
  <c r="L115" i="159"/>
  <c r="M115" i="159"/>
  <c r="N115" i="159"/>
  <c r="P115" i="159"/>
  <c r="I116" i="159"/>
  <c r="D116" i="159"/>
  <c r="J116" i="159"/>
  <c r="E116" i="159"/>
  <c r="F116" i="159"/>
  <c r="C116" i="159"/>
  <c r="H116" i="159"/>
  <c r="K116" i="159"/>
  <c r="L116" i="159"/>
  <c r="M116" i="159"/>
  <c r="N116" i="159"/>
  <c r="P116" i="159"/>
  <c r="I117" i="159"/>
  <c r="D117" i="159"/>
  <c r="J117" i="159"/>
  <c r="E117" i="159"/>
  <c r="F117" i="159"/>
  <c r="C117" i="159"/>
  <c r="H117" i="159"/>
  <c r="K117" i="159"/>
  <c r="L117" i="159"/>
  <c r="M117" i="159"/>
  <c r="N117" i="159"/>
  <c r="P117" i="159"/>
  <c r="I118" i="159"/>
  <c r="D118" i="159"/>
  <c r="J118" i="159"/>
  <c r="E118" i="159"/>
  <c r="F118" i="159"/>
  <c r="C118" i="159"/>
  <c r="H118" i="159"/>
  <c r="K118" i="159"/>
  <c r="L118" i="159"/>
  <c r="M118" i="159"/>
  <c r="N118" i="159"/>
  <c r="P118" i="159"/>
  <c r="I119" i="159"/>
  <c r="D119" i="159"/>
  <c r="J119" i="159"/>
  <c r="E119" i="159"/>
  <c r="F119" i="159"/>
  <c r="C119" i="159"/>
  <c r="H119" i="159"/>
  <c r="K119" i="159"/>
  <c r="L119" i="159"/>
  <c r="M119" i="159"/>
  <c r="N119" i="159"/>
  <c r="P119" i="159"/>
  <c r="I120" i="159"/>
  <c r="D120" i="159"/>
  <c r="J120" i="159"/>
  <c r="E120" i="159"/>
  <c r="F120" i="159"/>
  <c r="C120" i="159"/>
  <c r="H120" i="159"/>
  <c r="K120" i="159"/>
  <c r="L120" i="159"/>
  <c r="M120" i="159"/>
  <c r="N120" i="159"/>
  <c r="P120" i="159"/>
  <c r="I121" i="159"/>
  <c r="D121" i="159"/>
  <c r="J121" i="159"/>
  <c r="E121" i="159"/>
  <c r="F121" i="159"/>
  <c r="C121" i="159"/>
  <c r="H121" i="159"/>
  <c r="K121" i="159"/>
  <c r="L121" i="159"/>
  <c r="M121" i="159"/>
  <c r="N121" i="159"/>
  <c r="P121" i="159"/>
  <c r="I122" i="159"/>
  <c r="D122" i="159"/>
  <c r="J122" i="159"/>
  <c r="E122" i="159"/>
  <c r="F122" i="159"/>
  <c r="C122" i="159"/>
  <c r="H122" i="159"/>
  <c r="K122" i="159"/>
  <c r="L122" i="159"/>
  <c r="M122" i="159"/>
  <c r="N122" i="159"/>
  <c r="P122" i="159"/>
  <c r="I123" i="159"/>
  <c r="D123" i="159"/>
  <c r="J123" i="159"/>
  <c r="E123" i="159"/>
  <c r="F123" i="159"/>
  <c r="C123" i="159"/>
  <c r="H123" i="159"/>
  <c r="K123" i="159"/>
  <c r="L123" i="159"/>
  <c r="M123" i="159"/>
  <c r="N123" i="159"/>
  <c r="P123" i="159"/>
  <c r="I124" i="159"/>
  <c r="D124" i="159"/>
  <c r="J124" i="159"/>
  <c r="E124" i="159"/>
  <c r="F124" i="159"/>
  <c r="C124" i="159"/>
  <c r="H124" i="159"/>
  <c r="K124" i="159"/>
  <c r="L124" i="159"/>
  <c r="M124" i="159"/>
  <c r="N124" i="159"/>
  <c r="P124" i="159"/>
  <c r="I125" i="159"/>
  <c r="D125" i="159"/>
  <c r="J125" i="159"/>
  <c r="E125" i="159"/>
  <c r="F125" i="159"/>
  <c r="C125" i="159"/>
  <c r="H125" i="159"/>
  <c r="K125" i="159"/>
  <c r="L125" i="159"/>
  <c r="M125" i="159"/>
  <c r="N125" i="159"/>
  <c r="P125" i="159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B10" i="157"/>
  <c r="F315" i="154"/>
  <c r="H315" i="154"/>
  <c r="K315" i="154"/>
  <c r="L315" i="154"/>
  <c r="M315" i="154"/>
  <c r="N315" i="154"/>
  <c r="F316" i="154"/>
  <c r="F317" i="154"/>
  <c r="F318" i="154"/>
  <c r="F319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F315" i="158"/>
  <c r="H315" i="158"/>
  <c r="K315" i="158"/>
  <c r="L315" i="158"/>
  <c r="M315" i="158"/>
  <c r="N315" i="158"/>
  <c r="F316" i="158"/>
  <c r="F317" i="158"/>
  <c r="F318" i="158"/>
  <c r="F319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F310" i="154"/>
  <c r="H310" i="154"/>
  <c r="K310" i="154"/>
  <c r="L310" i="154"/>
  <c r="M310" i="154"/>
  <c r="N310" i="154"/>
  <c r="F311" i="154"/>
  <c r="F312" i="154"/>
  <c r="F313" i="154"/>
  <c r="F314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F310" i="158"/>
  <c r="H310" i="158"/>
  <c r="K310" i="158"/>
  <c r="L310" i="158"/>
  <c r="M310" i="158"/>
  <c r="N310" i="158"/>
  <c r="F311" i="158"/>
  <c r="F312" i="158"/>
  <c r="F313" i="158"/>
  <c r="F314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3" i="157"/>
  <c r="B44" i="157"/>
  <c r="B45" i="157"/>
  <c r="B46" i="157"/>
  <c r="F42" i="157"/>
  <c r="G42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D27" i="157"/>
  <c r="F27" i="157"/>
  <c r="I27" i="157"/>
  <c r="J27" i="157"/>
  <c r="B32" i="157"/>
  <c r="D32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F45" i="157"/>
  <c r="F46" i="157"/>
  <c r="B42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9" i="157"/>
  <c r="F48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<sst xmlns="http://schemas.openxmlformats.org/spreadsheetml/2006/main" count="540" uniqueCount="261">
  <si>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</si>
  <si>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</si>
  <si>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</si>
  <si>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</si>
  <si>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</si>
  <si>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</si>
  <si>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</si>
  <si>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</si>
  <si>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</si>
  <si>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</si>
  <si>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</si>
  <si>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</si>
  <si>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</si>
  <si>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</si>
  <si>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</si>
  <si>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</si>
  <si>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</si>
  <si>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</si>
  <si>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</si>
  <si>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</si>
  <si>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</si>
  <si>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</si>
  <si>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</si>
  <si>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</si>
  <si>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</si>
  <si>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</si>
  <si>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</si>
  <si>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</si>
  <si>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</si>
  <si>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</si>
  <si>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</si>
  <si>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</si>
  <si>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</si>
  <si>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</si>
  <si>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</si>
  <si>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</si>
  <si>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</si>
  <si>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</si>
  <si>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</si>
  <si>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</si>
  <si>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</si>
  <si>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</si>
  <si>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</si>
  <si>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</si>
  <si>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</si>
  <si>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</si>
  <si>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</si>
  <si>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</si>
  <si>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</si>
  <si>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</si>
  <si>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</si>
  <si>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</si>
  <si>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</si>
  <si>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</si>
  <si>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</si>
  <si>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</si>
  <si>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</si>
  <si>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</si>
  <si>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</si>
  <si>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</si>
  <si>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</si>
  <si>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</si>
  <si>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</si>
  <si>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</si>
  <si>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</si>
  <si>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</si>
  <si>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</si>
  <si>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</si>
  <si>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</si>
  <si>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</si>
  <si>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</si>
  <si>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</si>
  <si>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</si>
  <si>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</si>
  <si>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</si>
  <si>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</si>
  <si>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</si>
  <si>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</si>
  <si>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</si>
  <si>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</si>
  <si>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</si>
  <si>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</si>
  <si>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</si>
  <si>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</si>
  <si>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</si>
  <si>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</si>
  <si>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</si>
  <si>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</si>
  <si>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</si>
  <si>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</si>
  <si>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</si>
  <si>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</si>
  <si>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</si>
  <si>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</si>
  <si>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</si>
  <si>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</si>
  <si>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</si>
  <si>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</si>
  <si>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</si>
  <si>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</si>
  <si>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</si>
  <si>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</si>
  <si>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</si>
  <si>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</si>
  <si>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</si>
  <si>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</si>
  <si>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</si>
  <si>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</si>
  <si>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</si>
  <si>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</si>
  <si>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</si>
  <si>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</si>
  <si>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</si>
  <si>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</si>
  <si>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</si>
  <si>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</si>
  <si>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</si>
  <si>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</si>
  <si>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</si>
  <si>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</si>
  <si>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</si>
  <si>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</si>
  <si>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</si>
  <si>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</si>
  <si>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</si>
  <si>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</si>
  <si>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</si>
  <si>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</si>
  <si>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</si>
  <si>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</si>
  <si>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</si>
  <si>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</si>
  <si>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</si>
  <si>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</si>
  <si>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</si>
  <si>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</si>
  <si>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</si>
  <si>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</si>
  <si>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</si>
  <si>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</si>
  <si>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</si>
  <si>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</si>
  <si>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</si>
  <si>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</si>
  <si>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</si>
  <si>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</si>
  <si>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</si>
  <si>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</si>
  <si>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</si>
  <si>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</si>
  <si>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</si>
  <si>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</si>
  <si>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</si>
  <si>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</si>
  <si>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</si>
  <si>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</si>
  <si>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</si>
  <si>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</si>
  <si>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</si>
  <si>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</si>
  <si>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</si>
  <si>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</si>
  <si>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</si>
  <si>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</si>
  <si>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</si>
  <si>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</si>
  <si>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</si>
  <si>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</si>
  <si>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</si>
  <si>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</si>
  <si>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</si>
  <si>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</si>
  <si>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</si>
  <si>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</si>
  <si>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</si>
  <si>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</si>
  <si>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</si>
  <si>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</si>
  <si>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</si>
  <si>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</si>
  <si>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</si>
  <si>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</si>
  <si>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</si>
  <si>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</si>
  <si>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</si>
  <si>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</si>
  <si>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</si>
  <si>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</si>
  <si>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</si>
  <si>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</si>
  <si>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</si>
  <si>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</si>
  <si>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</si>
  <si>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</si>
  <si>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</si>
  <si>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</si>
  <si>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</si>
  <si>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</si>
  <si>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</si>
  <si>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</si>
  <si>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</si>
  <si>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</si>
  <si>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</si>
  <si>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</si>
  <si>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</si>
  <si>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</si>
  <si>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</si>
  <si>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</si>
  <si>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</si>
  <si>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</si>
  <si>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</si>
  <si>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</si>
  <si>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</si>
  <si>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</si>
  <si>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</si>
  <si>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</si>
  <si>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</si>
  <si>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</si>
  <si>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</si>
  <si>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</si>
  <si>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</si>
  <si>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</si>
  <si>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</si>
  <si>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</si>
  <si>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</si>
  <si>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</si>
  <si>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</si>
  <si>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</si>
  <si>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</si>
  <si>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</si>
  <si>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</si>
  <si>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</si>
  <si>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</si>
  <si>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</si>
  <si>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</si>
  <si>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</si>
  <si>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</si>
  <si>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</si>
  <si>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</si>
  <si>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</si>
  <si>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</si>
  <si>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</si>
  <si>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</si>
  <si>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</si>
  <si>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</si>
  <si>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</si>
  <si>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</si>
  <si>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</si>
  <si>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PremiumSSw</t>
    <phoneticPr fontId="21"/>
  </si>
  <si>
    <t>PremiumSSS</t>
    <phoneticPr fontId="21"/>
  </si>
  <si>
    <t>weight</t>
    <phoneticPr fontId="21"/>
  </si>
  <si>
    <t>tables_428100</t>
    <phoneticPr fontId="21"/>
  </si>
  <si>
    <t>tables_428010</t>
    <phoneticPr fontId="21"/>
  </si>
  <si>
    <t>item</t>
    <phoneticPr fontId="21"/>
  </si>
  <si>
    <t>ja</t>
    <phoneticPr fontId="21"/>
  </si>
  <si>
    <t>gacha_settle_tables_</t>
    <phoneticPr fontId="21"/>
  </si>
  <si>
    <t>tables_settle_428100</t>
    <phoneticPr fontId="21"/>
  </si>
  <si>
    <t>old</t>
    <phoneticPr fontId="21"/>
  </si>
  <si>
    <t>フィーバーフェスティバル特典</t>
    <phoneticPr fontId="21"/>
  </si>
  <si>
    <t>★6覚醒可能ユニットチケット</t>
    <phoneticPr fontId="21"/>
  </si>
  <si>
    <t>5回目特典として★6覚醒可能ユニットチケットを1枚プレゼント！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</si>
</sst>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.00000000000000000%"/>
    <numFmt numFmtId="185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6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5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184" fontId="0" fillId="0" borderId="0" xfId="0" applyNumberFormat="1"/>
    <xf numFmtId="1" fontId="0" fillId="3" borderId="1" xfId="0" applyNumberFormat="1" applyFill="1" applyBorder="1"/>
    <xf numFmtId="1" fontId="0" fillId="29" borderId="1" xfId="0" applyNumberFormat="1" applyFill="1" applyBorder="1"/>
    <xf numFmtId="1" fontId="26" fillId="0" borderId="0" xfId="2" applyNumberFormat="1" applyFont="1" applyAlignment="1">
      <alignment vertical="center"/>
    </xf>
    <xf numFmtId="0" fontId="4" fillId="4" borderId="1" xfId="2978" applyFont="1" applyFill="1" applyBorder="1"/>
    <xf numFmtId="0" fontId="4" fillId="0" borderId="1" xfId="3036" applyFont="1" applyBorder="1"/>
    <xf numFmtId="185" fontId="26" fillId="4" borderId="1" xfId="3663" quotePrefix="1" applyNumberFormat="1" applyFont="1" applyFill="1" applyBorder="1" applyAlignment="1">
      <alignment vertical="center"/>
    </xf>
    <xf numFmtId="0" fontId="3" fillId="0" borderId="1" xfId="2978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0" borderId="1" xfId="3036" applyFont="1" applyBorder="1"/>
  </cellXfs>
  <cellStyles count="3666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ポチ_ハロウィン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ジョー_ハロウィン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ジェリー_ハロウィン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エレキポッド_ハロウィン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オリジナル_ウィザード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オリジナル_ウィザード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ランスロット_ハロウィン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balance</v>
          </cell>
          <cell r="L1194" t="str">
            <v>バランスタイプ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オリジナル_ガチャあたり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attack</v>
          </cell>
          <cell r="L1195" t="str">
            <v>攻撃タイプ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オリジナル_ガチャあたり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attack</v>
          </cell>
          <cell r="L1196" t="str">
            <v>攻撃タイプ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ラプンツェル_ハロウィン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attack</v>
          </cell>
          <cell r="L1197" t="str">
            <v>攻撃タイプ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バフォメット_ハロウィン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ピノキオ_ハロウィン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ケルベロス_ハロウィン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attack</v>
          </cell>
          <cell r="M1201" t="str">
            <v>god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attack</v>
          </cell>
          <cell r="M1202" t="str">
            <v>god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attack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attack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attack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attack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attack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attack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attack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attack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PremiumSS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11" sqref="A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9" t="s">
        <v>247</v>
      </c>
      <c r="B2" s="61" t="s">
        <v>110</v>
      </c>
      <c r="C2" s="50" t="str">
        <f t="shared" ref="C2" si="0">RIGHT(F2,6)</f>
        <v>428100</v>
      </c>
      <c r="D2" s="19" t="s">
        <v>45</v>
      </c>
      <c r="E2" s="17" t="str">
        <f t="shared" ref="E2" si="1">B2&amp;C2&amp;D2</f>
        <v>gacha_select_tables_428100.tmp</v>
      </c>
      <c r="F2" s="98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9" t="s">
        <v>247</v>
      </c>
      <c r="B3" s="61" t="s">
        <v>110</v>
      </c>
      <c r="C3" s="50" t="str">
        <f t="shared" ref="C3:C7" si="2">RIGHT(F3,6)</f>
        <v>428010</v>
      </c>
      <c r="D3" s="19" t="s">
        <v>45</v>
      </c>
      <c r="E3" s="17" t="str">
        <f t="shared" ref="E3:E10" si="3">B3&amp;C3&amp;D3</f>
        <v>gacha_select_tables_428010.tmp</v>
      </c>
      <c r="F3" s="98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3" t="s">
        <v>247</v>
      </c>
      <c r="B4" s="101" t="s">
        <v>255</v>
      </c>
      <c r="C4" s="102" t="str">
        <f t="shared" si="2"/>
        <v>428100</v>
      </c>
      <c r="D4" s="19" t="s">
        <v>45</v>
      </c>
      <c r="E4" s="17" t="str">
        <f t="shared" si="3"/>
        <v>gacha_settle_tables_428100.tmp</v>
      </c>
      <c r="F4" s="102" t="s">
        <v>256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4" t="s">
        <v>257</v>
      </c>
      <c r="B8" s="27" t="s">
        <v>50</v>
      </c>
      <c r="C8" s="32">
        <v>428</v>
      </c>
      <c r="D8" s="19" t="s">
        <v>46</v>
      </c>
      <c r="E8" s="17" t="str">
        <f t="shared" si="3"/>
        <v>gacha_bonus_tables_428.tmp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4" t="s">
        <v>247</v>
      </c>
      <c r="B9" s="19" t="s">
        <v>48</v>
      </c>
      <c r="C9" s="32">
        <v>428</v>
      </c>
      <c r="D9" s="19" t="s">
        <v>46</v>
      </c>
      <c r="E9" s="17" t="str">
        <f t="shared" si="3"/>
        <v>gifts_tmp_428.tmp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4" t="s">
        <v>247</v>
      </c>
      <c r="B10" s="19" t="s">
        <v>49</v>
      </c>
      <c r="C10" s="32">
        <v>428</v>
      </c>
      <c r="D10" s="19" t="s">
        <v>46</v>
      </c>
      <c r="E10" s="17" t="str">
        <f t="shared" si="3"/>
        <v>gifts_i18n_428.tmp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B6" sqref="B6"/>
    </sheetView>
  </sheetViews>
  <sheetFormatPr baseColWidth="12" defaultRowHeight="14" x14ac:dyDescent="0.15"/>
  <cols>
    <col min="1" max="2" width="24.19921875" bestFit="1" customWidth="1"/>
    <col min="7" max="7" width="21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487</v>
      </c>
      <c r="M3" s="37" t="str">
        <f>VLOOKUP(L3,[1]characters!$A:$C,3,FALSE)</f>
        <v>暴創の造物 チューリング</v>
      </c>
      <c r="N3" s="63">
        <v>2.5000000000000001E-3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VLOOKUP(L3,tables_428010!B:C,2,FALSE)</f>
        <v>PremiumSSS5R3less</v>
      </c>
      <c r="R3" s="62">
        <f t="shared" ref="R3:R20" si="1">N3*A$36</f>
        <v>13500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488</v>
      </c>
      <c r="M4" s="37" t="str">
        <f>VLOOKUP(L4,[1]characters!$A:$C,3,FALSE)</f>
        <v>直観の異論 ヘンペル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VLOOKUP(L4,tables_428010!B:C,2,FALSE)</f>
        <v>PremiumSSS5R3less</v>
      </c>
      <c r="R4" s="62">
        <f t="shared" si="1"/>
        <v>13500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7.407407407407407E-4</v>
      </c>
      <c r="F5">
        <f>(COUNTIF(tables_428010!C:C,input_428010!A28)+COUNTIF(tables_428010!C:C,input_428010!A29))</f>
        <v>54</v>
      </c>
      <c r="H5" s="84">
        <v>0.01</v>
      </c>
      <c r="I5" s="31">
        <v>0</v>
      </c>
      <c r="L5" s="60">
        <v>489</v>
      </c>
      <c r="M5" s="37" t="str">
        <f>VLOOKUP(L5,[1]characters!$A:$C,3,FALSE)</f>
        <v>宇宙の拡超 ハップル</v>
      </c>
      <c r="N5" s="63">
        <v>2.5000000000000001E-3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VLOOKUP(L5,tables_428010!B:C,2,FALSE)</f>
        <v>PremiumSSS5R3less</v>
      </c>
      <c r="R5" s="62">
        <f t="shared" si="1"/>
        <v>13500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0.95</v>
      </c>
      <c r="D6" t="s">
        <v>202</v>
      </c>
      <c r="E6" s="76">
        <f>(B10-H6)/(F6-I6)</f>
        <v>1.0444444444444444E-2</v>
      </c>
      <c r="F6">
        <f>(COUNTIF(tables_428010!C:C,input_428010!A25)+COUNTIF(tables_428010!C:C,input_428010!A18)+COUNTIF(tables_428010!C:C,input_428010!A20)+COUNTIF(tables_428010!C:C,input_428010!A22))</f>
        <v>90</v>
      </c>
      <c r="H6" s="89">
        <v>0</v>
      </c>
      <c r="I6" s="31">
        <v>0</v>
      </c>
      <c r="L6" s="92">
        <v>783</v>
      </c>
      <c r="M6" s="37" t="str">
        <f>VLOOKUP(L6,[1]characters!$A:$C,3,FALSE)</f>
        <v>モールス</v>
      </c>
      <c r="N6" s="63">
        <v>2.5000000000000001E-3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VLOOKUP(L6,tables_428010!B:C,2,FALSE)</f>
        <v>PremiumSSS5R3less</v>
      </c>
      <c r="R6" s="62">
        <f t="shared" si="1"/>
        <v>13500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COUNTIF(tables_428010!C:C,input_428010!A17)-COUNTIF(Q:Q,A17)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0.20888888888888887</v>
      </c>
      <c r="C18" s="85">
        <f t="shared" si="2"/>
        <v>0</v>
      </c>
      <c r="D18" s="74">
        <f t="shared" si="3"/>
        <v>0.20888888888888887</v>
      </c>
      <c r="E18">
        <f>COUNTIF(tables_428010!C:C,input_428010!A18)-COUNTIF(Q:Q,A18)</f>
        <v>20</v>
      </c>
      <c r="F18" s="43">
        <f>IFERROR(B18/E18,0)</f>
        <v>1.0444444444444444E-2</v>
      </c>
      <c r="G18">
        <f t="shared" si="4"/>
        <v>1128000</v>
      </c>
      <c r="H18">
        <f t="shared" si="5"/>
        <v>56400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COUNTIF(tables_428010!C:C,input_428010!A19)-COUNTIF(Q:Q,A19)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E$6*E20*B$6+E34-G48</f>
        <v>0.53280740740622223</v>
      </c>
      <c r="C20" s="85">
        <f t="shared" si="2"/>
        <v>0</v>
      </c>
      <c r="D20" s="74">
        <f t="shared" si="3"/>
        <v>0.53280740740622223</v>
      </c>
      <c r="E20">
        <f>COUNTIF(tables_428010!C:C,input_428010!A20)-COUNTIF(Q:Q,A20)</f>
        <v>52</v>
      </c>
      <c r="F20" s="43">
        <f t="shared" si="8"/>
        <v>1.0246296296273504E-2</v>
      </c>
      <c r="G20">
        <f t="shared" si="4"/>
        <v>2877159.9999936</v>
      </c>
      <c r="H20">
        <f t="shared" si="5"/>
        <v>55330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B7-B23-B26-B28-B29-0.01</f>
        <v>1.0303703703703709E-2</v>
      </c>
      <c r="C21" s="85">
        <f t="shared" si="2"/>
        <v>0</v>
      </c>
      <c r="D21" s="74">
        <f t="shared" si="3"/>
        <v>1.0303703703703709E-2</v>
      </c>
      <c r="E21">
        <f>COUNTIF(tables_428010!C:C,input_428010!A21)-COUNTIF(Q:Q,A21)</f>
        <v>52</v>
      </c>
      <c r="F21" s="43">
        <f t="shared" si="8"/>
        <v>1.9814814814814825E-4</v>
      </c>
      <c r="G21">
        <f t="shared" si="4"/>
        <v>55640.000000000029</v>
      </c>
      <c r="H21">
        <f t="shared" si="5"/>
        <v>1070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0.1389111111111111</v>
      </c>
      <c r="C22" s="85">
        <f t="shared" si="2"/>
        <v>0</v>
      </c>
      <c r="D22" s="74">
        <f t="shared" si="3"/>
        <v>0.1389111111111111</v>
      </c>
      <c r="E22">
        <f>COUNTIF(tables_428010!C:C,input_428010!A22)-COUNTIF(Q:Q,A22)</f>
        <v>14</v>
      </c>
      <c r="F22" s="43">
        <f t="shared" si="8"/>
        <v>9.9222222222222212E-3</v>
      </c>
      <c r="G22">
        <f t="shared" si="4"/>
        <v>750119.99999999988</v>
      </c>
      <c r="H22">
        <f t="shared" si="5"/>
        <v>53580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7.3111111111111102E-3</v>
      </c>
      <c r="C23" s="85">
        <f t="shared" si="2"/>
        <v>0</v>
      </c>
      <c r="D23" s="74">
        <f t="shared" si="3"/>
        <v>7.3111111111111102E-3</v>
      </c>
      <c r="E23">
        <f>COUNTIF(tables_428010!C:C,input_428010!A23)-COUNTIF(Q:Q,A23)</f>
        <v>14</v>
      </c>
      <c r="F23" s="43">
        <f t="shared" si="8"/>
        <v>5.2222222222222221E-4</v>
      </c>
      <c r="G23">
        <f t="shared" si="4"/>
        <v>39479.999999999993</v>
      </c>
      <c r="H23">
        <f t="shared" si="5"/>
        <v>2820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COUNTIF(tables_428010!C:C,input_428010!A24)-COUNTIF(Q:Q,A24)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3.9688888888888885E-2</v>
      </c>
      <c r="C25" s="85">
        <f t="shared" si="2"/>
        <v>0</v>
      </c>
      <c r="D25" s="74">
        <f t="shared" si="3"/>
        <v>3.9688888888888885E-2</v>
      </c>
      <c r="E25">
        <f>COUNTIF(tables_428010!C:C,input_428010!A25)-COUNTIF(Q:Q,A25)</f>
        <v>4</v>
      </c>
      <c r="F25" s="43">
        <f t="shared" si="8"/>
        <v>9.9222222222222212E-3</v>
      </c>
      <c r="G25">
        <f t="shared" si="4"/>
        <v>214319.99999999997</v>
      </c>
      <c r="H25">
        <f t="shared" si="5"/>
        <v>53580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2.0888888888888888E-3</v>
      </c>
      <c r="C26" s="85">
        <f t="shared" si="2"/>
        <v>0</v>
      </c>
      <c r="D26" s="74">
        <f t="shared" si="3"/>
        <v>2.0888888888888888E-3</v>
      </c>
      <c r="E26">
        <f>COUNTIF(tables_428010!C:C,input_428010!A26)-COUNTIF(Q:Q,A26)</f>
        <v>4</v>
      </c>
      <c r="F26" s="43">
        <f t="shared" si="8"/>
        <v>5.2222222222222221E-4</v>
      </c>
      <c r="G26">
        <f t="shared" si="4"/>
        <v>11280</v>
      </c>
      <c r="H26">
        <f t="shared" si="5"/>
        <v>2820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E$5*E27*(B$5+B$6)+G48</f>
        <v>2.9703703704888854E-2</v>
      </c>
      <c r="C27" s="85">
        <f t="shared" si="2"/>
        <v>0</v>
      </c>
      <c r="D27" s="74">
        <f t="shared" si="3"/>
        <v>2.9703703704888854E-2</v>
      </c>
      <c r="E27">
        <f>COUNTIF(tables_428010!C:C,input_428010!A27)-COUNTIF(Q:Q,A27)</f>
        <v>28</v>
      </c>
      <c r="F27" s="43">
        <f>IFERROR(B27/E27,0)</f>
        <v>1.0608465608888877E-3</v>
      </c>
      <c r="G27">
        <f t="shared" si="4"/>
        <v>160400.00000639982</v>
      </c>
      <c r="H27">
        <f t="shared" si="5"/>
        <v>5728.57143</v>
      </c>
      <c r="I27">
        <f t="shared" si="6"/>
        <v>0.57142999999996391</v>
      </c>
      <c r="J27">
        <f t="shared" si="7"/>
        <v>1.749995625011048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1.0370370370370371E-3</v>
      </c>
      <c r="C28" s="85">
        <f t="shared" si="2"/>
        <v>0</v>
      </c>
      <c r="D28" s="74">
        <f t="shared" si="3"/>
        <v>1.0370370370370371E-3</v>
      </c>
      <c r="E28">
        <f>COUNTIF(tables_428010!C:C,input_428010!A28)-COUNTIF(Q:Q,A28)</f>
        <v>28</v>
      </c>
      <c r="F28" s="43">
        <f t="shared" si="8"/>
        <v>3.7037037037037037E-5</v>
      </c>
      <c r="G28">
        <f t="shared" si="4"/>
        <v>5600</v>
      </c>
      <c r="H28">
        <f t="shared" si="5"/>
        <v>200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1.9259259259259257E-2</v>
      </c>
      <c r="C29" s="85">
        <f t="shared" si="2"/>
        <v>0</v>
      </c>
      <c r="D29" s="74">
        <f t="shared" si="3"/>
        <v>1.9259259259259257E-2</v>
      </c>
      <c r="E29">
        <f>COUNTIF(tables_428010!C:C,input_428010!A29)-COUNTIF(Q:Q,A29)</f>
        <v>26</v>
      </c>
      <c r="F29" s="43">
        <f t="shared" si="8"/>
        <v>7.407407407407407E-4</v>
      </c>
      <c r="G29">
        <f t="shared" si="4"/>
        <v>103999.99999999999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COUNTIF(tables_428010!C:C,input_428010!A30)-COUNTIF(Q:Q,A30)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COUNTIF(tables_428010!C:C,input_428010!A31)-COUNTIF(Q:Q,A31)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0.9900000000000001</v>
      </c>
      <c r="C32" s="41">
        <f>SUM(C19:C31)</f>
        <v>0.01</v>
      </c>
      <c r="D32" s="42">
        <f t="shared" si="3"/>
        <v>0.98000000000000009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2.6851851851851849E-2</v>
      </c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SUMIF(tables_428010!C:C,input_428010!A40,tables_428010!O:O)</f>
        <v>0</v>
      </c>
      <c r="C40" s="54">
        <f t="shared" ref="C40:C46" ca="1" si="9">B40/B$47</f>
        <v>0</v>
      </c>
      <c r="E40">
        <v>3</v>
      </c>
      <c r="F40">
        <f ca="1">SUMIF(tables_428010!J:J,input_428010!E40,tables_428010!O:O)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SUMIF(tables_428010!C:C,input_428010!A41,tables_428010!O:O)</f>
        <v>2877160</v>
      </c>
      <c r="C41" s="54">
        <f t="shared" ca="1" si="9"/>
        <v>0.92847553890630607</v>
      </c>
      <c r="E41">
        <v>4</v>
      </c>
      <c r="F41">
        <f ca="1">SUMIF(tables_428010!J:J,input_428010!E41,tables_428010!O:O)</f>
        <v>5130000.0000399984</v>
      </c>
      <c r="G41">
        <f ca="1">F41/A36</f>
        <v>0.95000000000740714</v>
      </c>
    </row>
    <row r="42" spans="1:7" x14ac:dyDescent="0.15">
      <c r="A42" s="33" t="s">
        <v>106</v>
      </c>
      <c r="B42">
        <f ca="1">SUMIF(tables_428010!C:C,input_428010!A42,tables_428010!O:O)</f>
        <v>160400.00004000001</v>
      </c>
      <c r="C42" s="54">
        <f t="shared" ca="1" si="9"/>
        <v>5.1761972388643843E-2</v>
      </c>
      <c r="E42">
        <v>5</v>
      </c>
      <c r="F42">
        <f ca="1">SUMIF(tables_428010!J:J,input_428010!E42,tables_428010!O:O)</f>
        <v>270000</v>
      </c>
      <c r="G42">
        <f ca="1">F42/A36</f>
        <v>0.05</v>
      </c>
    </row>
    <row r="43" spans="1:7" x14ac:dyDescent="0.15">
      <c r="A43" s="33" t="s">
        <v>109</v>
      </c>
      <c r="B43">
        <f>SUMIF(tables_428010!C:C,input_428010!A43,tables_428010!O:O)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SUMIF(tables_428010!C:C,input_428010!A44,tables_428010!O:O)</f>
        <v>55640</v>
      </c>
      <c r="C44" s="54">
        <f t="shared" ca="1" si="9"/>
        <v>1.7955337549787592E-2</v>
      </c>
      <c r="E44" t="s">
        <v>54</v>
      </c>
      <c r="F44" s="55"/>
    </row>
    <row r="45" spans="1:7" x14ac:dyDescent="0.15">
      <c r="A45" s="33" t="s">
        <v>107</v>
      </c>
      <c r="B45">
        <f ca="1">SUMIF(tables_428010!C:C,input_428010!A45,tables_428010!O:O)</f>
        <v>5600</v>
      </c>
      <c r="C45" s="54">
        <f t="shared" ca="1" si="9"/>
        <v>1.80715115526259E-3</v>
      </c>
      <c r="E45" t="s">
        <v>204</v>
      </c>
      <c r="F45" s="55">
        <f ca="1">SUMIF(tables_428010!I:I,input_428010!E45,tables_428010!P:P)</f>
        <v>0.20888888888734175</v>
      </c>
    </row>
    <row r="46" spans="1:7" x14ac:dyDescent="0.15">
      <c r="A46" s="33" t="s">
        <v>108</v>
      </c>
      <c r="B46">
        <f>SUMIF(tables_428010!C:C,input_428010!A46,tables_428010!O:O)</f>
        <v>0</v>
      </c>
      <c r="C46" s="54">
        <f t="shared" ca="1" si="9"/>
        <v>0</v>
      </c>
      <c r="E46" t="s">
        <v>205</v>
      </c>
      <c r="F46" s="55">
        <f ca="1">SUMIF(tables_428010!I:I,input_428010!E46,tables_428010!P:P)</f>
        <v>0.20888888888734153</v>
      </c>
    </row>
    <row r="47" spans="1:7" x14ac:dyDescent="0.15">
      <c r="A47" s="39" t="s">
        <v>59</v>
      </c>
      <c r="B47">
        <f ca="1">SUM(B40:B46)</f>
        <v>3098800.0000399998</v>
      </c>
      <c r="C47" s="55">
        <f ca="1">SUM(C40:C46)</f>
        <v>1.0000000000000002</v>
      </c>
      <c r="E47" t="s">
        <v>206</v>
      </c>
      <c r="F47" s="55">
        <f ca="1">SUMIF(tables_428010!I:I,input_428010!E47,tables_428010!P:P)</f>
        <v>0.52222222221835424</v>
      </c>
    </row>
    <row r="48" spans="1:7" x14ac:dyDescent="0.15">
      <c r="E48" t="s">
        <v>207</v>
      </c>
      <c r="F48" s="55">
        <f ca="1">SUMIF(tables_428010!I:I,input_428010!E48,tables_428010!P:P)</f>
        <v>4.7777777784831318E-2</v>
      </c>
      <c r="G48" s="94">
        <v>1.0000000001185151E-2</v>
      </c>
    </row>
    <row r="49" spans="5:6" x14ac:dyDescent="0.15">
      <c r="E49" t="s">
        <v>248</v>
      </c>
      <c r="F49" s="55">
        <f ca="1">SUMIF(tables_428010!I:I,input_428010!E49,tables_428010!P:P)</f>
        <v>2.2222222222057619E-3</v>
      </c>
    </row>
    <row r="50" spans="5:6" x14ac:dyDescent="0.15">
      <c r="E50" t="s">
        <v>249</v>
      </c>
      <c r="F50" s="55">
        <f ca="1">SUMIF(tables_428010!I:I,input_428010!E50,tables_428010!P:P)</f>
        <v>9.9999999999259293E-3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23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G334" sqref="G33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input_428010!A$2</f>
        <v>428010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IFERROR(VLOOKUP(B2,input_428010!L:R,7,FALSE),VLOOKUP(tables_428010!C2,input_428010!A:H,8,FALSE))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input_428010!A$2</f>
        <v>428010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IFERROR(VLOOKUP(B3,input_428010!L:R,7,FALSE),VLOOKUP(tables_428010!C3,input_428010!A:H,8,FALSE))</f>
        <v>56400</v>
      </c>
      <c r="P3" s="46">
        <f t="shared" ca="1" si="1"/>
        <v>1.0444444444367082E-2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input_428010!A$2</f>
        <v>428010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IFERROR(VLOOKUP(B4,input_428010!L:R,7,FALSE),VLOOKUP(tables_428010!C4,input_428010!A:H,8,FALSE))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input_428010!A$2</f>
        <v>428010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IFERROR(VLOOKUP(B5,input_428010!L:R,7,FALSE),VLOOKUP(tables_428010!C5,input_428010!A:H,8,FALSE))</f>
        <v>56400</v>
      </c>
      <c r="P5" s="46">
        <f t="shared" ca="1" si="1"/>
        <v>1.0444444444367082E-2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input_428010!A$2</f>
        <v>428010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IFERROR(VLOOKUP(B6,input_428010!L:R,7,FALSE),VLOOKUP(tables_428010!C6,input_428010!A:H,8,FALSE))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input_428010!A$2</f>
        <v>428010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IFERROR(VLOOKUP(B7,input_428010!L:R,7,FALSE),VLOOKUP(tables_428010!C7,input_428010!A:H,8,FALSE))</f>
        <v>56400</v>
      </c>
      <c r="P7" s="46">
        <f t="shared" ca="1" si="1"/>
        <v>1.0444444444367082E-2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input_428010!A$2</f>
        <v>428010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IFERROR(VLOOKUP(B8,input_428010!L:R,7,FALSE),VLOOKUP(tables_428010!C8,input_428010!A:H,8,FALSE))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input_428010!A$2</f>
        <v>428010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IFERROR(VLOOKUP(B9,input_428010!L:R,7,FALSE),VLOOKUP(tables_428010!C9,input_428010!A:H,8,FALSE))</f>
        <v>56400</v>
      </c>
      <c r="P9" s="46">
        <f t="shared" ca="1" si="1"/>
        <v>1.0444444444367082E-2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input_428010!A$2</f>
        <v>428010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IFERROR(VLOOKUP(B10,input_428010!L:R,7,FALSE),VLOOKUP(tables_428010!C10,input_428010!A:H,8,FALSE))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input_428010!A$2</f>
        <v>428010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IFERROR(VLOOKUP(B11,input_428010!L:R,7,FALSE),VLOOKUP(tables_428010!C11,input_428010!A:H,8,FALSE))</f>
        <v>56400</v>
      </c>
      <c r="P11" s="46">
        <f t="shared" ca="1" si="1"/>
        <v>1.0444444444367082E-2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input_428010!A$2</f>
        <v>428010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IFERROR(VLOOKUP(B12,input_428010!L:R,7,FALSE),VLOOKUP(tables_428010!C12,input_428010!A:H,8,FALSE))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input_428010!A$2</f>
        <v>428010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IFERROR(VLOOKUP(B13,input_428010!L:R,7,FALSE),VLOOKUP(tables_428010!C13,input_428010!A:H,8,FALSE))</f>
        <v>56400</v>
      </c>
      <c r="P13" s="46">
        <f t="shared" ca="1" si="1"/>
        <v>1.0444444444367082E-2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input_428010!A$2</f>
        <v>428010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IFERROR(VLOOKUP(B14,input_428010!L:R,7,FALSE),VLOOKUP(tables_428010!C14,input_428010!A:H,8,FALSE))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input_428010!A$2</f>
        <v>428010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IFERROR(VLOOKUP(B15,input_428010!L:R,7,FALSE),VLOOKUP(tables_428010!C15,input_428010!A:H,8,FALSE))</f>
        <v>56400</v>
      </c>
      <c r="P15" s="46">
        <f t="shared" ca="1" si="1"/>
        <v>1.0444444444367082E-2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input_428010!A$2</f>
        <v>428010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IFERROR(VLOOKUP(B16,input_428010!L:R,7,FALSE),VLOOKUP(tables_428010!C16,input_428010!A:H,8,FALSE))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input_428010!A$2</f>
        <v>428010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IFERROR(VLOOKUP(B17,input_428010!L:R,7,FALSE),VLOOKUP(tables_428010!C17,input_428010!A:H,8,FALSE))</f>
        <v>56400</v>
      </c>
      <c r="P17" s="46">
        <f t="shared" ca="1" si="1"/>
        <v>1.0444444444367082E-2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input_428010!A$2</f>
        <v>428010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IFERROR(VLOOKUP(B18,input_428010!L:R,7,FALSE),VLOOKUP(tables_428010!C18,input_428010!A:H,8,FALSE))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input_428010!A$2</f>
        <v>428010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IFERROR(VLOOKUP(B19,input_428010!L:R,7,FALSE),VLOOKUP(tables_428010!C19,input_428010!A:H,8,FALSE))</f>
        <v>56400</v>
      </c>
      <c r="P19" s="46">
        <f t="shared" ca="1" si="1"/>
        <v>1.0444444444367082E-2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input_428010!A$2</f>
        <v>428010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IFERROR(VLOOKUP(B20,input_428010!L:R,7,FALSE),VLOOKUP(tables_428010!C20,input_428010!A:H,8,FALSE))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input_428010!A$2</f>
        <v>428010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IFERROR(VLOOKUP(B21,input_428010!L:R,7,FALSE),VLOOKUP(tables_428010!C21,input_428010!A:H,8,FALSE))</f>
        <v>56400</v>
      </c>
      <c r="P21" s="46">
        <f t="shared" ca="1" si="1"/>
        <v>1.0444444444367082E-2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input_428010!A$2</f>
        <v>428010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IFERROR(VLOOKUP(B22,input_428010!L:R,7,FALSE),VLOOKUP(tables_428010!C22,input_428010!A:H,8,FALSE))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input_428010!A$2</f>
        <v>428010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IFERROR(VLOOKUP(B23,input_428010!L:R,7,FALSE),VLOOKUP(tables_428010!C23,input_428010!A:H,8,FALSE))</f>
        <v>56400</v>
      </c>
      <c r="P23" s="46">
        <f t="shared" ca="1" si="1"/>
        <v>1.0444444444367082E-2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input_428010!A$2</f>
        <v>428010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IFERROR(VLOOKUP(B24,input_428010!L:R,7,FALSE),VLOOKUP(tables_428010!C24,input_428010!A:H,8,FALSE))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input_428010!A$2</f>
        <v>428010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IFERROR(VLOOKUP(B25,input_428010!L:R,7,FALSE),VLOOKUP(tables_428010!C25,input_428010!A:H,8,FALSE))</f>
        <v>56400</v>
      </c>
      <c r="P25" s="46">
        <f t="shared" ca="1" si="1"/>
        <v>1.0444444444367082E-2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input_428010!A$2</f>
        <v>428010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IFERROR(VLOOKUP(B26,input_428010!L:R,7,FALSE),VLOOKUP(tables_428010!C26,input_428010!A:H,8,FALSE))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input_428010!A$2</f>
        <v>428010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IFERROR(VLOOKUP(B27,input_428010!L:R,7,FALSE),VLOOKUP(tables_428010!C27,input_428010!A:H,8,FALSE))</f>
        <v>56400</v>
      </c>
      <c r="P27" s="46">
        <f t="shared" ca="1" si="1"/>
        <v>1.0444444444367082E-2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input_428010!A$2</f>
        <v>428010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IFERROR(VLOOKUP(B28,input_428010!L:R,7,FALSE),VLOOKUP(tables_428010!C28,input_428010!A:H,8,FALSE))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input_428010!A$2</f>
        <v>428010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IFERROR(VLOOKUP(B29,input_428010!L:R,7,FALSE),VLOOKUP(tables_428010!C29,input_428010!A:H,8,FALSE))</f>
        <v>56400</v>
      </c>
      <c r="P29" s="46">
        <f t="shared" ca="1" si="1"/>
        <v>1.0444444444367082E-2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input_428010!A$2</f>
        <v>428010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IFERROR(VLOOKUP(B30,input_428010!L:R,7,FALSE),VLOOKUP(tables_428010!C30,input_428010!A:H,8,FALSE))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input_428010!A$2</f>
        <v>428010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IFERROR(VLOOKUP(B31,input_428010!L:R,7,FALSE),VLOOKUP(tables_428010!C31,input_428010!A:H,8,FALSE))</f>
        <v>56400</v>
      </c>
      <c r="P31" s="46">
        <f t="shared" ca="1" si="1"/>
        <v>1.0444444444367082E-2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input_428010!A$2</f>
        <v>428010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IFERROR(VLOOKUP(B32,input_428010!L:R,7,FALSE),VLOOKUP(tables_428010!C32,input_428010!A:H,8,FALSE))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input_428010!A$2</f>
        <v>428010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IFERROR(VLOOKUP(B33,input_428010!L:R,7,FALSE),VLOOKUP(tables_428010!C33,input_428010!A:H,8,FALSE))</f>
        <v>56400</v>
      </c>
      <c r="P33" s="46">
        <f t="shared" ca="1" si="1"/>
        <v>1.0444444444367082E-2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input_428010!A$2</f>
        <v>428010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IFERROR(VLOOKUP(B34,input_428010!L:R,7,FALSE),VLOOKUP(tables_428010!C34,input_428010!A:H,8,FALSE))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input_428010!A$2</f>
        <v>428010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IFERROR(VLOOKUP(B35,input_428010!L:R,7,FALSE),VLOOKUP(tables_428010!C35,input_428010!A:H,8,FALSE))</f>
        <v>56400</v>
      </c>
      <c r="P35" s="46">
        <f t="shared" ca="1" si="1"/>
        <v>1.0444444444367082E-2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input_428010!A$2</f>
        <v>428010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IFERROR(VLOOKUP(B36,input_428010!L:R,7,FALSE),VLOOKUP(tables_428010!C36,input_428010!A:H,8,FALSE))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input_428010!A$2</f>
        <v>428010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IFERROR(VLOOKUP(B37,input_428010!L:R,7,FALSE),VLOOKUP(tables_428010!C37,input_428010!A:H,8,FALSE))</f>
        <v>56400</v>
      </c>
      <c r="P37" s="46">
        <f t="shared" ca="1" si="1"/>
        <v>1.0444444444367082E-2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input_428010!A$2</f>
        <v>428010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IFERROR(VLOOKUP(B38,input_428010!L:R,7,FALSE),VLOOKUP(tables_428010!C38,input_428010!A:H,8,FALSE))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input_428010!A$2</f>
        <v>428010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IFERROR(VLOOKUP(B39,input_428010!L:R,7,FALSE),VLOOKUP(tables_428010!C39,input_428010!A:H,8,FALSE))</f>
        <v>56400</v>
      </c>
      <c r="P39" s="46">
        <f t="shared" ca="1" si="1"/>
        <v>1.0444444444367082E-2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input_428010!A$2</f>
        <v>428010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IFERROR(VLOOKUP(B40,input_428010!L:R,7,FALSE),VLOOKUP(tables_428010!C40,input_428010!A:H,8,FALSE))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input_428010!A$2</f>
        <v>428010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IFERROR(VLOOKUP(B41,input_428010!L:R,7,FALSE),VLOOKUP(tables_428010!C41,input_428010!A:H,8,FALSE))</f>
        <v>56400</v>
      </c>
      <c r="P41" s="46">
        <f t="shared" ca="1" si="1"/>
        <v>1.0444444444367082E-2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input_428010!A$2</f>
        <v>428010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IFERROR(VLOOKUP(B42,input_428010!L:R,7,FALSE),VLOOKUP(tables_428010!C42,input_428010!A:H,8,FALSE))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input_428010!A$2</f>
        <v>428010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IFERROR(VLOOKUP(B43,input_428010!L:R,7,FALSE),VLOOKUP(tables_428010!C43,input_428010!A:H,8,FALSE))</f>
        <v>53580</v>
      </c>
      <c r="P43" s="46">
        <f t="shared" ca="1" si="1"/>
        <v>9.9222222221487279E-3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input_428010!A$2</f>
        <v>428010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IFERROR(VLOOKUP(B44,input_428010!L:R,7,FALSE),VLOOKUP(tables_428010!C44,input_428010!A:H,8,FALSE))</f>
        <v>2820</v>
      </c>
      <c r="P44" s="46">
        <f t="shared" ca="1" si="1"/>
        <v>5.222222222183541E-4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input_428010!A$2</f>
        <v>428010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IFERROR(VLOOKUP(B45,input_428010!L:R,7,FALSE),VLOOKUP(tables_428010!C45,input_428010!A:H,8,FALSE))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input_428010!A$2</f>
        <v>428010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IFERROR(VLOOKUP(B46,input_428010!L:R,7,FALSE),VLOOKUP(tables_428010!C46,input_428010!A:H,8,FALSE))</f>
        <v>53580</v>
      </c>
      <c r="P46" s="46">
        <f t="shared" ca="1" si="1"/>
        <v>9.9222222221487279E-3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input_428010!A$2</f>
        <v>428010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IFERROR(VLOOKUP(B47,input_428010!L:R,7,FALSE),VLOOKUP(tables_428010!C47,input_428010!A:H,8,FALSE))</f>
        <v>2820</v>
      </c>
      <c r="P47" s="46">
        <f t="shared" ca="1" si="1"/>
        <v>5.222222222183541E-4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input_428010!A$2</f>
        <v>428010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IFERROR(VLOOKUP(B48,input_428010!L:R,7,FALSE),VLOOKUP(tables_428010!C48,input_428010!A:H,8,FALSE))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input_428010!A$2</f>
        <v>428010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IFERROR(VLOOKUP(B49,input_428010!L:R,7,FALSE),VLOOKUP(tables_428010!C49,input_428010!A:H,8,FALSE))</f>
        <v>53580</v>
      </c>
      <c r="P49" s="46">
        <f t="shared" ca="1" si="1"/>
        <v>9.9222222221487279E-3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input_428010!A$2</f>
        <v>428010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IFERROR(VLOOKUP(B50,input_428010!L:R,7,FALSE),VLOOKUP(tables_428010!C50,input_428010!A:H,8,FALSE))</f>
        <v>2820</v>
      </c>
      <c r="P50" s="46">
        <f t="shared" ca="1" si="1"/>
        <v>5.222222222183541E-4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input_428010!A$2</f>
        <v>428010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IFERROR(VLOOKUP(B51,input_428010!L:R,7,FALSE),VLOOKUP(tables_428010!C51,input_428010!A:H,8,FALSE))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input_428010!A$2</f>
        <v>428010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IFERROR(VLOOKUP(B52,input_428010!L:R,7,FALSE),VLOOKUP(tables_428010!C52,input_428010!A:H,8,FALSE))</f>
        <v>55330</v>
      </c>
      <c r="P52" s="46">
        <f t="shared" ca="1" si="1"/>
        <v>1.0246296296220401E-2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input_428010!A$2</f>
        <v>428010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IFERROR(VLOOKUP(B53,input_428010!L:R,7,FALSE),VLOOKUP(tables_428010!C53,input_428010!A:H,8,FALSE))</f>
        <v>1070</v>
      </c>
      <c r="P53" s="46">
        <f t="shared" ca="1" si="1"/>
        <v>1.9814814814668043E-4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input_428010!A$2</f>
        <v>428010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IFERROR(VLOOKUP(B54,input_428010!L:R,7,FALSE),VLOOKUP(tables_428010!C54,input_428010!A:H,8,FALSE))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input_428010!A$2</f>
        <v>428010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IFERROR(VLOOKUP(B55,input_428010!L:R,7,FALSE),VLOOKUP(tables_428010!C55,input_428010!A:H,8,FALSE))</f>
        <v>55330</v>
      </c>
      <c r="P55" s="46">
        <f t="shared" ca="1" si="1"/>
        <v>1.0246296296220401E-2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input_428010!A$2</f>
        <v>428010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IFERROR(VLOOKUP(B56,input_428010!L:R,7,FALSE),VLOOKUP(tables_428010!C56,input_428010!A:H,8,FALSE))</f>
        <v>1070</v>
      </c>
      <c r="P56" s="46">
        <f t="shared" ca="1" si="1"/>
        <v>1.9814814814668043E-4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input_428010!A$2</f>
        <v>428010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IFERROR(VLOOKUP(B57,input_428010!L:R,7,FALSE),VLOOKUP(tables_428010!C57,input_428010!A:H,8,FALSE))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input_428010!A$2</f>
        <v>428010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IFERROR(VLOOKUP(B58,input_428010!L:R,7,FALSE),VLOOKUP(tables_428010!C58,input_428010!A:H,8,FALSE))</f>
        <v>55330</v>
      </c>
      <c r="P58" s="46">
        <f t="shared" ca="1" si="1"/>
        <v>1.0246296296220401E-2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input_428010!A$2</f>
        <v>428010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IFERROR(VLOOKUP(B59,input_428010!L:R,7,FALSE),VLOOKUP(tables_428010!C59,input_428010!A:H,8,FALSE))</f>
        <v>1070</v>
      </c>
      <c r="P59" s="46">
        <f t="shared" ca="1" si="1"/>
        <v>1.9814814814668043E-4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input_428010!A$2</f>
        <v>428010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IFERROR(VLOOKUP(B60,input_428010!L:R,7,FALSE),VLOOKUP(tables_428010!C60,input_428010!A:H,8,FALSE))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input_428010!A$2</f>
        <v>428010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IFERROR(VLOOKUP(B61,input_428010!L:R,7,FALSE),VLOOKUP(tables_428010!C61,input_428010!A:H,8,FALSE))</f>
        <v>55330</v>
      </c>
      <c r="P61" s="46">
        <f t="shared" ca="1" si="1"/>
        <v>1.0246296296220401E-2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input_428010!A$2</f>
        <v>428010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IFERROR(VLOOKUP(B62,input_428010!L:R,7,FALSE),VLOOKUP(tables_428010!C62,input_428010!A:H,8,FALSE))</f>
        <v>1070</v>
      </c>
      <c r="P62" s="46">
        <f t="shared" ca="1" si="1"/>
        <v>1.9814814814668043E-4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input_428010!A$2</f>
        <v>428010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IFERROR(VLOOKUP(B63,input_428010!L:R,7,FALSE),VLOOKUP(tables_428010!C63,input_428010!A:H,8,FALSE))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input_428010!A$2</f>
        <v>428010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IFERROR(VLOOKUP(B64,input_428010!L:R,7,FALSE),VLOOKUP(tables_428010!C64,input_428010!A:H,8,FALSE))</f>
        <v>55330</v>
      </c>
      <c r="P64" s="46">
        <f t="shared" ca="1" si="1"/>
        <v>1.0246296296220401E-2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input_428010!A$2</f>
        <v>428010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IFERROR(VLOOKUP(B65,input_428010!L:R,7,FALSE),VLOOKUP(tables_428010!C65,input_428010!A:H,8,FALSE))</f>
        <v>1070</v>
      </c>
      <c r="P65" s="46">
        <f t="shared" ca="1" si="1"/>
        <v>1.9814814814668043E-4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input_428010!A$2</f>
        <v>428010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IFERROR(VLOOKUP(B66,input_428010!L:R,7,FALSE),VLOOKUP(tables_428010!C66,input_428010!A:H,8,FALSE))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input_428010!A$2</f>
        <v>428010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IFERROR(VLOOKUP(B67,input_428010!L:R,7,FALSE),VLOOKUP(tables_428010!C67,input_428010!A:H,8,FALSE))</f>
        <v>55330</v>
      </c>
      <c r="P67" s="46">
        <f t="shared" ca="1" si="4"/>
        <v>1.0246296296220401E-2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input_428010!A$2</f>
        <v>428010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IFERROR(VLOOKUP(B68,input_428010!L:R,7,FALSE),VLOOKUP(tables_428010!C68,input_428010!A:H,8,FALSE))</f>
        <v>1070</v>
      </c>
      <c r="P68" s="46">
        <f t="shared" ca="1" si="4"/>
        <v>1.9814814814668043E-4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input_428010!A$2</f>
        <v>428010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IFERROR(VLOOKUP(B69,input_428010!L:R,7,FALSE),VLOOKUP(tables_428010!C69,input_428010!A:H,8,FALSE))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input_428010!A$2</f>
        <v>428010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IFERROR(VLOOKUP(B70,input_428010!L:R,7,FALSE),VLOOKUP(tables_428010!C70,input_428010!A:H,8,FALSE))</f>
        <v>55330</v>
      </c>
      <c r="P70" s="46">
        <f t="shared" ca="1" si="4"/>
        <v>1.0246296296220401E-2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input_428010!A$2</f>
        <v>428010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IFERROR(VLOOKUP(B71,input_428010!L:R,7,FALSE),VLOOKUP(tables_428010!C71,input_428010!A:H,8,FALSE))</f>
        <v>1070</v>
      </c>
      <c r="P71" s="46">
        <f t="shared" ca="1" si="4"/>
        <v>1.9814814814668043E-4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input_428010!A$2</f>
        <v>428010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IFERROR(VLOOKUP(B72,input_428010!L:R,7,FALSE),VLOOKUP(tables_428010!C72,input_428010!A:H,8,FALSE))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input_428010!A$2</f>
        <v>428010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IFERROR(VLOOKUP(B73,input_428010!L:R,7,FALSE),VLOOKUP(tables_428010!C73,input_428010!A:H,8,FALSE))</f>
        <v>55330</v>
      </c>
      <c r="P73" s="46">
        <f t="shared" ca="1" si="4"/>
        <v>1.0246296296220401E-2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input_428010!A$2</f>
        <v>428010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IFERROR(VLOOKUP(B74,input_428010!L:R,7,FALSE),VLOOKUP(tables_428010!C74,input_428010!A:H,8,FALSE))</f>
        <v>1070</v>
      </c>
      <c r="P74" s="46">
        <f t="shared" ca="1" si="4"/>
        <v>1.9814814814668043E-4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input_428010!A$2</f>
        <v>428010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IFERROR(VLOOKUP(B75,input_428010!L:R,7,FALSE),VLOOKUP(tables_428010!C75,input_428010!A:H,8,FALSE))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input_428010!A$2</f>
        <v>428010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IFERROR(VLOOKUP(B76,input_428010!L:R,7,FALSE),VLOOKUP(tables_428010!C76,input_428010!A:H,8,FALSE))</f>
        <v>55330</v>
      </c>
      <c r="P76" s="46">
        <f t="shared" ca="1" si="4"/>
        <v>1.0246296296220401E-2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input_428010!A$2</f>
        <v>428010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IFERROR(VLOOKUP(B77,input_428010!L:R,7,FALSE),VLOOKUP(tables_428010!C77,input_428010!A:H,8,FALSE))</f>
        <v>1070</v>
      </c>
      <c r="P77" s="46">
        <f t="shared" ca="1" si="4"/>
        <v>1.9814814814668043E-4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input_428010!A$2</f>
        <v>428010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IFERROR(VLOOKUP(B78,input_428010!L:R,7,FALSE),VLOOKUP(tables_428010!C78,input_428010!A:H,8,FALSE))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input_428010!A$2</f>
        <v>428010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IFERROR(VLOOKUP(B79,input_428010!L:R,7,FALSE),VLOOKUP(tables_428010!C79,input_428010!A:H,8,FALSE))</f>
        <v>55330</v>
      </c>
      <c r="P79" s="46">
        <f t="shared" ca="1" si="4"/>
        <v>1.0246296296220401E-2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input_428010!A$2</f>
        <v>428010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IFERROR(VLOOKUP(B80,input_428010!L:R,7,FALSE),VLOOKUP(tables_428010!C80,input_428010!A:H,8,FALSE))</f>
        <v>1070</v>
      </c>
      <c r="P80" s="46">
        <f t="shared" ca="1" si="4"/>
        <v>1.9814814814668043E-4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input_428010!A$2</f>
        <v>428010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IFERROR(VLOOKUP(B81,input_428010!L:R,7,FALSE),VLOOKUP(tables_428010!C81,input_428010!A:H,8,FALSE))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input_428010!A$2</f>
        <v>428010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IFERROR(VLOOKUP(B82,input_428010!L:R,7,FALSE),VLOOKUP(tables_428010!C82,input_428010!A:H,8,FALSE))</f>
        <v>55330</v>
      </c>
      <c r="P82" s="46">
        <f t="shared" ca="1" si="4"/>
        <v>1.0246296296220401E-2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input_428010!A$2</f>
        <v>428010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IFERROR(VLOOKUP(B83,input_428010!L:R,7,FALSE),VLOOKUP(tables_428010!C83,input_428010!A:H,8,FALSE))</f>
        <v>1070</v>
      </c>
      <c r="P83" s="46">
        <f t="shared" ca="1" si="4"/>
        <v>1.9814814814668043E-4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input_428010!A$2</f>
        <v>428010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IFERROR(VLOOKUP(B84,input_428010!L:R,7,FALSE),VLOOKUP(tables_428010!C84,input_428010!A:H,8,FALSE))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input_428010!A$2</f>
        <v>428010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IFERROR(VLOOKUP(B85,input_428010!L:R,7,FALSE),VLOOKUP(tables_428010!C85,input_428010!A:H,8,FALSE))</f>
        <v>55330</v>
      </c>
      <c r="P85" s="46">
        <f t="shared" ca="1" si="4"/>
        <v>1.0246296296220401E-2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input_428010!A$2</f>
        <v>428010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IFERROR(VLOOKUP(B86,input_428010!L:R,7,FALSE),VLOOKUP(tables_428010!C86,input_428010!A:H,8,FALSE))</f>
        <v>1070</v>
      </c>
      <c r="P86" s="46">
        <f t="shared" ca="1" si="4"/>
        <v>1.9814814814668043E-4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input_428010!A$2</f>
        <v>428010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IFERROR(VLOOKUP(B87,input_428010!L:R,7,FALSE),VLOOKUP(tables_428010!C87,input_428010!A:H,8,FALSE))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input_428010!A$2</f>
        <v>428010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IFERROR(VLOOKUP(B88,input_428010!L:R,7,FALSE),VLOOKUP(tables_428010!C88,input_428010!A:H,8,FALSE))</f>
        <v>55330</v>
      </c>
      <c r="P88" s="46">
        <f t="shared" ca="1" si="4"/>
        <v>1.0246296296220401E-2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input_428010!A$2</f>
        <v>428010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IFERROR(VLOOKUP(B89,input_428010!L:R,7,FALSE),VLOOKUP(tables_428010!C89,input_428010!A:H,8,FALSE))</f>
        <v>1070</v>
      </c>
      <c r="P89" s="46">
        <f t="shared" ca="1" si="4"/>
        <v>1.9814814814668043E-4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input_428010!A$2</f>
        <v>428010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IFERROR(VLOOKUP(B90,input_428010!L:R,7,FALSE),VLOOKUP(tables_428010!C90,input_428010!A:H,8,FALSE))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input_428010!A$2</f>
        <v>428010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IFERROR(VLOOKUP(B91,input_428010!L:R,7,FALSE),VLOOKUP(tables_428010!C91,input_428010!A:H,8,FALSE))</f>
        <v>55330</v>
      </c>
      <c r="P91" s="46">
        <f t="shared" ca="1" si="4"/>
        <v>1.0246296296220401E-2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input_428010!A$2</f>
        <v>428010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IFERROR(VLOOKUP(B92,input_428010!L:R,7,FALSE),VLOOKUP(tables_428010!C92,input_428010!A:H,8,FALSE))</f>
        <v>1070</v>
      </c>
      <c r="P92" s="46">
        <f t="shared" ca="1" si="4"/>
        <v>1.9814814814668043E-4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input_428010!A$2</f>
        <v>428010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IFERROR(VLOOKUP(B93,input_428010!L:R,7,FALSE),VLOOKUP(tables_428010!C93,input_428010!A:H,8,FALSE))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input_428010!A$2</f>
        <v>428010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IFERROR(VLOOKUP(B94,input_428010!L:R,7,FALSE),VLOOKUP(tables_428010!C94,input_428010!A:H,8,FALSE))</f>
        <v>55330</v>
      </c>
      <c r="P94" s="46">
        <f t="shared" ca="1" si="4"/>
        <v>1.0246296296220401E-2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input_428010!A$2</f>
        <v>428010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IFERROR(VLOOKUP(B95,input_428010!L:R,7,FALSE),VLOOKUP(tables_428010!C95,input_428010!A:H,8,FALSE))</f>
        <v>1070</v>
      </c>
      <c r="P95" s="46">
        <f t="shared" ca="1" si="4"/>
        <v>1.9814814814668043E-4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input_428010!A$2</f>
        <v>428010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IFERROR(VLOOKUP(B96,input_428010!L:R,7,FALSE),VLOOKUP(tables_428010!C96,input_428010!A:H,8,FALSE))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input_428010!A$2</f>
        <v>428010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IFERROR(VLOOKUP(B97,input_428010!L:R,7,FALSE),VLOOKUP(tables_428010!C97,input_428010!A:H,8,FALSE))</f>
        <v>55330</v>
      </c>
      <c r="P97" s="46">
        <f t="shared" ca="1" si="4"/>
        <v>1.0246296296220401E-2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input_428010!A$2</f>
        <v>428010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IFERROR(VLOOKUP(B98,input_428010!L:R,7,FALSE),VLOOKUP(tables_428010!C98,input_428010!A:H,8,FALSE))</f>
        <v>1070</v>
      </c>
      <c r="P98" s="46">
        <f t="shared" ca="1" si="4"/>
        <v>1.9814814814668043E-4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input_428010!A$2</f>
        <v>428010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IFERROR(VLOOKUP(B99,input_428010!L:R,7,FALSE),VLOOKUP(tables_428010!C99,input_428010!A:H,8,FALSE))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input_428010!A$2</f>
        <v>428010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IFERROR(VLOOKUP(B100,input_428010!L:R,7,FALSE),VLOOKUP(tables_428010!C100,input_428010!A:H,8,FALSE))</f>
        <v>55330</v>
      </c>
      <c r="P100" s="46">
        <f t="shared" ca="1" si="4"/>
        <v>1.0246296296220401E-2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input_428010!A$2</f>
        <v>428010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IFERROR(VLOOKUP(B101,input_428010!L:R,7,FALSE),VLOOKUP(tables_428010!C101,input_428010!A:H,8,FALSE))</f>
        <v>1070</v>
      </c>
      <c r="P101" s="46">
        <f t="shared" ca="1" si="4"/>
        <v>1.9814814814668043E-4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input_428010!A$2</f>
        <v>428010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IFERROR(VLOOKUP(B102,input_428010!L:R,7,FALSE),VLOOKUP(tables_428010!C102,input_428010!A:H,8,FALSE))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input_428010!A$2</f>
        <v>428010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IFERROR(VLOOKUP(B103,input_428010!L:R,7,FALSE),VLOOKUP(tables_428010!C103,input_428010!A:H,8,FALSE))</f>
        <v>55330</v>
      </c>
      <c r="P103" s="46">
        <f t="shared" ca="1" si="4"/>
        <v>1.0246296296220401E-2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input_428010!A$2</f>
        <v>428010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IFERROR(VLOOKUP(B104,input_428010!L:R,7,FALSE),VLOOKUP(tables_428010!C104,input_428010!A:H,8,FALSE))</f>
        <v>1070</v>
      </c>
      <c r="P104" s="46">
        <f t="shared" ca="1" si="4"/>
        <v>1.9814814814668043E-4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input_428010!A$2</f>
        <v>428010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IFERROR(VLOOKUP(B105,input_428010!L:R,7,FALSE),VLOOKUP(tables_428010!C105,input_428010!A:H,8,FALSE))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input_428010!A$2</f>
        <v>428010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IFERROR(VLOOKUP(B106,input_428010!L:R,7,FALSE),VLOOKUP(tables_428010!C106,input_428010!A:H,8,FALSE))</f>
        <v>55330</v>
      </c>
      <c r="P106" s="46">
        <f t="shared" ca="1" si="4"/>
        <v>1.0246296296220401E-2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input_428010!A$2</f>
        <v>428010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IFERROR(VLOOKUP(B107,input_428010!L:R,7,FALSE),VLOOKUP(tables_428010!C107,input_428010!A:H,8,FALSE))</f>
        <v>1070</v>
      </c>
      <c r="P107" s="46">
        <f t="shared" ca="1" si="4"/>
        <v>1.9814814814668043E-4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input_428010!A$2</f>
        <v>428010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IFERROR(VLOOKUP(B108,input_428010!L:R,7,FALSE),VLOOKUP(tables_428010!C108,input_428010!A:H,8,FALSE))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input_428010!A$2</f>
        <v>428010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IFERROR(VLOOKUP(B109,input_428010!L:R,7,FALSE),VLOOKUP(tables_428010!C109,input_428010!A:H,8,FALSE))</f>
        <v>55330</v>
      </c>
      <c r="P109" s="46">
        <f t="shared" ca="1" si="4"/>
        <v>1.0246296296220401E-2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input_428010!A$2</f>
        <v>428010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IFERROR(VLOOKUP(B110,input_428010!L:R,7,FALSE),VLOOKUP(tables_428010!C110,input_428010!A:H,8,FALSE))</f>
        <v>1070</v>
      </c>
      <c r="P110" s="46">
        <f t="shared" ca="1" si="4"/>
        <v>1.9814814814668043E-4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input_428010!A$2</f>
        <v>428010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IFERROR(VLOOKUP(B111,input_428010!L:R,7,FALSE),VLOOKUP(tables_428010!C111,input_428010!A:H,8,FALSE))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input_428010!A$2</f>
        <v>428010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IFERROR(VLOOKUP(B112,input_428010!L:R,7,FALSE),VLOOKUP(tables_428010!C112,input_428010!A:H,8,FALSE))</f>
        <v>53580</v>
      </c>
      <c r="P112" s="46">
        <f t="shared" ca="1" si="4"/>
        <v>9.9222222221487279E-3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input_428010!A$2</f>
        <v>428010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IFERROR(VLOOKUP(B113,input_428010!L:R,7,FALSE),VLOOKUP(tables_428010!C113,input_428010!A:H,8,FALSE))</f>
        <v>2820</v>
      </c>
      <c r="P113" s="46">
        <f t="shared" ca="1" si="4"/>
        <v>5.222222222183541E-4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input_428010!A$2</f>
        <v>428010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IFERROR(VLOOKUP(B114,input_428010!L:R,7,FALSE),VLOOKUP(tables_428010!C114,input_428010!A:H,8,FALSE))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input_428010!A$2</f>
        <v>428010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IFERROR(VLOOKUP(B115,input_428010!L:R,7,FALSE),VLOOKUP(tables_428010!C115,input_428010!A:H,8,FALSE))</f>
        <v>55330</v>
      </c>
      <c r="P115" s="46">
        <f t="shared" ca="1" si="4"/>
        <v>1.0246296296220401E-2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input_428010!A$2</f>
        <v>428010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IFERROR(VLOOKUP(B116,input_428010!L:R,7,FALSE),VLOOKUP(tables_428010!C116,input_428010!A:H,8,FALSE))</f>
        <v>1070</v>
      </c>
      <c r="P116" s="46">
        <f t="shared" ca="1" si="4"/>
        <v>1.9814814814668043E-4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input_428010!A$2</f>
        <v>428010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IFERROR(VLOOKUP(B117,input_428010!L:R,7,FALSE),VLOOKUP(tables_428010!C117,input_428010!A:H,8,FALSE))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input_428010!A$2</f>
        <v>428010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IFERROR(VLOOKUP(B118,input_428010!L:R,7,FALSE),VLOOKUP(tables_428010!C118,input_428010!A:H,8,FALSE))</f>
        <v>55330</v>
      </c>
      <c r="P118" s="46">
        <f t="shared" ca="1" si="4"/>
        <v>1.0246296296220401E-2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input_428010!A$2</f>
        <v>428010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IFERROR(VLOOKUP(B119,input_428010!L:R,7,FALSE),VLOOKUP(tables_428010!C119,input_428010!A:H,8,FALSE))</f>
        <v>1070</v>
      </c>
      <c r="P119" s="46">
        <f t="shared" ca="1" si="4"/>
        <v>1.9814814814668043E-4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input_428010!A$2</f>
        <v>428010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IFERROR(VLOOKUP(B120,input_428010!L:R,7,FALSE),VLOOKUP(tables_428010!C120,input_428010!A:H,8,FALSE))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input_428010!A$2</f>
        <v>428010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IFERROR(VLOOKUP(B121,input_428010!L:R,7,FALSE),VLOOKUP(tables_428010!C121,input_428010!A:H,8,FALSE))</f>
        <v>55330</v>
      </c>
      <c r="P121" s="46">
        <f t="shared" ca="1" si="4"/>
        <v>1.0246296296220401E-2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input_428010!A$2</f>
        <v>428010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IFERROR(VLOOKUP(B122,input_428010!L:R,7,FALSE),VLOOKUP(tables_428010!C122,input_428010!A:H,8,FALSE))</f>
        <v>1070</v>
      </c>
      <c r="P122" s="46">
        <f t="shared" ca="1" si="4"/>
        <v>1.9814814814668043E-4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input_428010!A$2</f>
        <v>428010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IFERROR(VLOOKUP(B123,input_428010!L:R,7,FALSE),VLOOKUP(tables_428010!C123,input_428010!A:H,8,FALSE))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input_428010!A$2</f>
        <v>428010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IFERROR(VLOOKUP(B124,input_428010!L:R,7,FALSE),VLOOKUP(tables_428010!C124,input_428010!A:H,8,FALSE))</f>
        <v>55330</v>
      </c>
      <c r="P124" s="46">
        <f t="shared" ca="1" si="4"/>
        <v>1.0246296296220401E-2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input_428010!A$2</f>
        <v>428010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IFERROR(VLOOKUP(B125,input_428010!L:R,7,FALSE),VLOOKUP(tables_428010!C125,input_428010!A:H,8,FALSE))</f>
        <v>1070</v>
      </c>
      <c r="P125" s="46">
        <f t="shared" ca="1" si="4"/>
        <v>1.9814814814668043E-4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input_428010!A$2</f>
        <v>428010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IFERROR(VLOOKUP(B126,input_428010!L:R,7,FALSE),VLOOKUP(tables_428010!C126,input_428010!A:H,8,FALSE))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input_428010!A$2</f>
        <v>428010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IFERROR(VLOOKUP(B127,input_428010!L:R,7,FALSE),VLOOKUP(tables_428010!C127,input_428010!A:H,8,FALSE))</f>
        <v>55330</v>
      </c>
      <c r="P127" s="46">
        <f t="shared" ca="1" si="4"/>
        <v>1.0246296296220401E-2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input_428010!A$2</f>
        <v>428010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IFERROR(VLOOKUP(B128,input_428010!L:R,7,FALSE),VLOOKUP(tables_428010!C128,input_428010!A:H,8,FALSE))</f>
        <v>1070</v>
      </c>
      <c r="P128" s="46">
        <f t="shared" ca="1" si="4"/>
        <v>1.9814814814668043E-4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input_428010!A$2</f>
        <v>428010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IFERROR(VLOOKUP(B129,input_428010!L:R,7,FALSE),VLOOKUP(tables_428010!C129,input_428010!A:H,8,FALSE))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input_428010!A$2</f>
        <v>428010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IFERROR(VLOOKUP(B130,input_428010!L:R,7,FALSE),VLOOKUP(tables_428010!C130,input_428010!A:H,8,FALSE))</f>
        <v>55330</v>
      </c>
      <c r="P130" s="46">
        <f t="shared" ref="P130:P193" ca="1" si="7">O130/SUM(O:O)</f>
        <v>1.0246296296220401E-2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input_428010!A$2</f>
        <v>428010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IFERROR(VLOOKUP(B131,input_428010!L:R,7,FALSE),VLOOKUP(tables_428010!C131,input_428010!A:H,8,FALSE))</f>
        <v>1070</v>
      </c>
      <c r="P131" s="46">
        <f t="shared" ca="1" si="7"/>
        <v>1.9814814814668043E-4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input_428010!A$2</f>
        <v>428010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IFERROR(VLOOKUP(B132,input_428010!L:R,7,FALSE),VLOOKUP(tables_428010!C132,input_428010!A:H,8,FALSE))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input_428010!A$2</f>
        <v>428010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IFERROR(VLOOKUP(B133,input_428010!L:R,7,FALSE),VLOOKUP(tables_428010!C133,input_428010!A:H,8,FALSE))</f>
        <v>55330</v>
      </c>
      <c r="P133" s="46">
        <f t="shared" ca="1" si="7"/>
        <v>1.0246296296220401E-2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input_428010!A$2</f>
        <v>428010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IFERROR(VLOOKUP(B134,input_428010!L:R,7,FALSE),VLOOKUP(tables_428010!C134,input_428010!A:H,8,FALSE))</f>
        <v>1070</v>
      </c>
      <c r="P134" s="46">
        <f t="shared" ca="1" si="7"/>
        <v>1.9814814814668043E-4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input_428010!A$2</f>
        <v>428010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IFERROR(VLOOKUP(B135,input_428010!L:R,7,FALSE),VLOOKUP(tables_428010!C135,input_428010!A:H,8,FALSE))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input_428010!A$2</f>
        <v>428010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IFERROR(VLOOKUP(B136,input_428010!L:R,7,FALSE),VLOOKUP(tables_428010!C136,input_428010!A:H,8,FALSE))</f>
        <v>55330</v>
      </c>
      <c r="P136" s="46">
        <f t="shared" ca="1" si="7"/>
        <v>1.0246296296220401E-2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input_428010!A$2</f>
        <v>428010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IFERROR(VLOOKUP(B137,input_428010!L:R,7,FALSE),VLOOKUP(tables_428010!C137,input_428010!A:H,8,FALSE))</f>
        <v>1070</v>
      </c>
      <c r="P137" s="46">
        <f t="shared" ca="1" si="7"/>
        <v>1.9814814814668043E-4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input_428010!A$2</f>
        <v>428010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IFERROR(VLOOKUP(B138,input_428010!L:R,7,FALSE),VLOOKUP(tables_428010!C138,input_428010!A:H,8,FALSE))</f>
        <v>5728.57143</v>
      </c>
      <c r="P138" s="46">
        <f t="shared" ca="1" si="7"/>
        <v>1.0608465611032533E-3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input_428010!A$2</f>
        <v>428010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IFERROR(VLOOKUP(B139,input_428010!L:R,7,FALSE),VLOOKUP(tables_428010!C139,input_428010!A:H,8,FALSE))</f>
        <v>200</v>
      </c>
      <c r="P139" s="46">
        <f t="shared" ca="1" si="7"/>
        <v>3.70370370367627E-5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input_428010!A$2</f>
        <v>428010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IFERROR(VLOOKUP(B140,input_428010!L:R,7,FALSE),VLOOKUP(tables_428010!C140,input_428010!A:H,8,FALSE))</f>
        <v>5728.57143</v>
      </c>
      <c r="P140" s="46">
        <f t="shared" ca="1" si="7"/>
        <v>1.0608465611032533E-3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input_428010!A$2</f>
        <v>428010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IFERROR(VLOOKUP(B141,input_428010!L:R,7,FALSE),VLOOKUP(tables_428010!C141,input_428010!A:H,8,FALSE))</f>
        <v>200</v>
      </c>
      <c r="P141" s="46">
        <f t="shared" ca="1" si="7"/>
        <v>3.70370370367627E-5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input_428010!A$2</f>
        <v>428010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IFERROR(VLOOKUP(B142,input_428010!L:R,7,FALSE),VLOOKUP(tables_428010!C142,input_428010!A:H,8,FALSE))</f>
        <v>5728.57143</v>
      </c>
      <c r="P142" s="46">
        <f t="shared" ca="1" si="7"/>
        <v>1.0608465611032533E-3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input_428010!A$2</f>
        <v>428010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IFERROR(VLOOKUP(B143,input_428010!L:R,7,FALSE),VLOOKUP(tables_428010!C143,input_428010!A:H,8,FALSE))</f>
        <v>200</v>
      </c>
      <c r="P143" s="46">
        <f t="shared" ca="1" si="7"/>
        <v>3.70370370367627E-5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input_428010!A$2</f>
        <v>428010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IFERROR(VLOOKUP(B144,input_428010!L:R,7,FALSE),VLOOKUP(tables_428010!C144,input_428010!A:H,8,FALSE))</f>
        <v>5728.57143</v>
      </c>
      <c r="P144" s="46">
        <f t="shared" ca="1" si="7"/>
        <v>1.0608465611032533E-3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input_428010!A$2</f>
        <v>428010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IFERROR(VLOOKUP(B145,input_428010!L:R,7,FALSE),VLOOKUP(tables_428010!C145,input_428010!A:H,8,FALSE))</f>
        <v>200</v>
      </c>
      <c r="P145" s="46">
        <f t="shared" ca="1" si="7"/>
        <v>3.70370370367627E-5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input_428010!A$2</f>
        <v>428010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IFERROR(VLOOKUP(B146,input_428010!L:R,7,FALSE),VLOOKUP(tables_428010!C146,input_428010!A:H,8,FALSE))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input_428010!A$2</f>
        <v>428010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IFERROR(VLOOKUP(B147,input_428010!L:R,7,FALSE),VLOOKUP(tables_428010!C147,input_428010!A:H,8,FALSE))</f>
        <v>55330</v>
      </c>
      <c r="P147" s="46">
        <f t="shared" ca="1" si="7"/>
        <v>1.0246296296220401E-2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input_428010!A$2</f>
        <v>428010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IFERROR(VLOOKUP(B148,input_428010!L:R,7,FALSE),VLOOKUP(tables_428010!C148,input_428010!A:H,8,FALSE))</f>
        <v>1070</v>
      </c>
      <c r="P148" s="46">
        <f t="shared" ca="1" si="7"/>
        <v>1.9814814814668043E-4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input_428010!A$2</f>
        <v>428010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IFERROR(VLOOKUP(B149,input_428010!L:R,7,FALSE),VLOOKUP(tables_428010!C149,input_428010!A:H,8,FALSE))</f>
        <v>5728.57143</v>
      </c>
      <c r="P149" s="46">
        <f t="shared" ca="1" si="7"/>
        <v>1.0608465611032533E-3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input_428010!A$2</f>
        <v>428010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IFERROR(VLOOKUP(B150,input_428010!L:R,7,FALSE),VLOOKUP(tables_428010!C150,input_428010!A:H,8,FALSE))</f>
        <v>200</v>
      </c>
      <c r="P150" s="46">
        <f t="shared" ca="1" si="7"/>
        <v>3.70370370367627E-5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input_428010!A$2</f>
        <v>428010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IFERROR(VLOOKUP(B151,input_428010!L:R,7,FALSE),VLOOKUP(tables_428010!C151,input_428010!A:H,8,FALSE))</f>
        <v>5728.57143</v>
      </c>
      <c r="P151" s="46">
        <f t="shared" ca="1" si="7"/>
        <v>1.0608465611032533E-3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input_428010!A$2</f>
        <v>428010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IFERROR(VLOOKUP(B152,input_428010!L:R,7,FALSE),VLOOKUP(tables_428010!C152,input_428010!A:H,8,FALSE))</f>
        <v>200</v>
      </c>
      <c r="P152" s="46">
        <f t="shared" ca="1" si="7"/>
        <v>3.70370370367627E-5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input_428010!A$2</f>
        <v>428010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IFERROR(VLOOKUP(B153,input_428010!L:R,7,FALSE),VLOOKUP(tables_428010!C153,input_428010!A:H,8,FALSE))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input_428010!A$2</f>
        <v>428010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IFERROR(VLOOKUP(B154,input_428010!L:R,7,FALSE),VLOOKUP(tables_428010!C154,input_428010!A:H,8,FALSE))</f>
        <v>55330</v>
      </c>
      <c r="P154" s="46">
        <f t="shared" ca="1" si="7"/>
        <v>1.0246296296220401E-2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input_428010!A$2</f>
        <v>428010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IFERROR(VLOOKUP(B155,input_428010!L:R,7,FALSE),VLOOKUP(tables_428010!C155,input_428010!A:H,8,FALSE))</f>
        <v>1070</v>
      </c>
      <c r="P155" s="46">
        <f t="shared" ca="1" si="7"/>
        <v>1.9814814814668043E-4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input_428010!A$2</f>
        <v>428010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IFERROR(VLOOKUP(B156,input_428010!L:R,7,FALSE),VLOOKUP(tables_428010!C156,input_428010!A:H,8,FALSE))</f>
        <v>5728.57143</v>
      </c>
      <c r="P156" s="46">
        <f t="shared" ca="1" si="7"/>
        <v>1.0608465611032533E-3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input_428010!A$2</f>
        <v>428010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IFERROR(VLOOKUP(B157,input_428010!L:R,7,FALSE),VLOOKUP(tables_428010!C157,input_428010!A:H,8,FALSE))</f>
        <v>200</v>
      </c>
      <c r="P157" s="46">
        <f t="shared" ca="1" si="7"/>
        <v>3.70370370367627E-5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input_428010!A$2</f>
        <v>428010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IFERROR(VLOOKUP(B158,input_428010!L:R,7,FALSE),VLOOKUP(tables_428010!C158,input_428010!A:H,8,FALSE))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input_428010!A$2</f>
        <v>428010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IFERROR(VLOOKUP(B159,input_428010!L:R,7,FALSE),VLOOKUP(tables_428010!C159,input_428010!A:H,8,FALSE))</f>
        <v>55330</v>
      </c>
      <c r="P159" s="46">
        <f t="shared" ca="1" si="7"/>
        <v>1.0246296296220401E-2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input_428010!A$2</f>
        <v>428010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IFERROR(VLOOKUP(B160,input_428010!L:R,7,FALSE),VLOOKUP(tables_428010!C160,input_428010!A:H,8,FALSE))</f>
        <v>1070</v>
      </c>
      <c r="P160" s="46">
        <f t="shared" ca="1" si="7"/>
        <v>1.9814814814668043E-4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input_428010!A$2</f>
        <v>428010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IFERROR(VLOOKUP(B161,input_428010!L:R,7,FALSE),VLOOKUP(tables_428010!C161,input_428010!A:H,8,FALSE))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input_428010!A$2</f>
        <v>428010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IFERROR(VLOOKUP(B162,input_428010!L:R,7,FALSE),VLOOKUP(tables_428010!C162,input_428010!A:H,8,FALSE))</f>
        <v>55330</v>
      </c>
      <c r="P162" s="46">
        <f t="shared" ca="1" si="7"/>
        <v>1.0246296296220401E-2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input_428010!A$2</f>
        <v>428010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IFERROR(VLOOKUP(B163,input_428010!L:R,7,FALSE),VLOOKUP(tables_428010!C163,input_428010!A:H,8,FALSE))</f>
        <v>1070</v>
      </c>
      <c r="P163" s="46">
        <f t="shared" ca="1" si="7"/>
        <v>1.9814814814668043E-4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input_428010!A$2</f>
        <v>428010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IFERROR(VLOOKUP(B164,input_428010!L:R,7,FALSE),VLOOKUP(tables_428010!C164,input_428010!A:H,8,FALSE))</f>
        <v>5728.57143</v>
      </c>
      <c r="P164" s="46">
        <f t="shared" ca="1" si="7"/>
        <v>1.0608465611032533E-3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input_428010!A$2</f>
        <v>428010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IFERROR(VLOOKUP(B165,input_428010!L:R,7,FALSE),VLOOKUP(tables_428010!C165,input_428010!A:H,8,FALSE))</f>
        <v>200</v>
      </c>
      <c r="P165" s="46">
        <f t="shared" ca="1" si="7"/>
        <v>3.70370370367627E-5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input_428010!A$2</f>
        <v>428010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IFERROR(VLOOKUP(B166,input_428010!L:R,7,FALSE),VLOOKUP(tables_428010!C166,input_428010!A:H,8,FALSE))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input_428010!A$2</f>
        <v>428010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IFERROR(VLOOKUP(B167,input_428010!L:R,7,FALSE),VLOOKUP(tables_428010!C167,input_428010!A:H,8,FALSE))</f>
        <v>55330</v>
      </c>
      <c r="P167" s="46">
        <f t="shared" ca="1" si="7"/>
        <v>1.0246296296220401E-2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input_428010!A$2</f>
        <v>428010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IFERROR(VLOOKUP(B168,input_428010!L:R,7,FALSE),VLOOKUP(tables_428010!C168,input_428010!A:H,8,FALSE))</f>
        <v>1070</v>
      </c>
      <c r="P168" s="46">
        <f t="shared" ca="1" si="7"/>
        <v>1.9814814814668043E-4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input_428010!A$2</f>
        <v>428010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IFERROR(VLOOKUP(B169,input_428010!L:R,7,FALSE),VLOOKUP(tables_428010!C169,input_428010!A:H,8,FALSE))</f>
        <v>5728.57143</v>
      </c>
      <c r="P169" s="46">
        <f t="shared" ca="1" si="7"/>
        <v>1.0608465611032533E-3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input_428010!A$2</f>
        <v>428010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IFERROR(VLOOKUP(B170,input_428010!L:R,7,FALSE),VLOOKUP(tables_428010!C170,input_428010!A:H,8,FALSE))</f>
        <v>200</v>
      </c>
      <c r="P170" s="46">
        <f t="shared" ca="1" si="7"/>
        <v>3.70370370367627E-5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input_428010!A$2</f>
        <v>428010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IFERROR(VLOOKUP(B171,input_428010!L:R,7,FALSE),VLOOKUP(tables_428010!C171,input_428010!A:H,8,FALSE))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input_428010!A$2</f>
        <v>428010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IFERROR(VLOOKUP(B172,input_428010!L:R,7,FALSE),VLOOKUP(tables_428010!C172,input_428010!A:H,8,FALSE))</f>
        <v>55330</v>
      </c>
      <c r="P172" s="46">
        <f t="shared" ca="1" si="7"/>
        <v>1.0246296296220401E-2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input_428010!A$2</f>
        <v>428010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IFERROR(VLOOKUP(B173,input_428010!L:R,7,FALSE),VLOOKUP(tables_428010!C173,input_428010!A:H,8,FALSE))</f>
        <v>1070</v>
      </c>
      <c r="P173" s="46">
        <f t="shared" ca="1" si="7"/>
        <v>1.9814814814668043E-4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input_428010!A$2</f>
        <v>428010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IFERROR(VLOOKUP(B174,input_428010!L:R,7,FALSE),VLOOKUP(tables_428010!C174,input_428010!A:H,8,FALSE))</f>
        <v>5728.57143</v>
      </c>
      <c r="P174" s="46">
        <f t="shared" ca="1" si="7"/>
        <v>1.0608465611032533E-3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input_428010!A$2</f>
        <v>428010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IFERROR(VLOOKUP(B175,input_428010!L:R,7,FALSE),VLOOKUP(tables_428010!C175,input_428010!A:H,8,FALSE))</f>
        <v>200</v>
      </c>
      <c r="P175" s="46">
        <f t="shared" ca="1" si="7"/>
        <v>3.70370370367627E-5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input_428010!A$2</f>
        <v>428010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IFERROR(VLOOKUP(B176,input_428010!L:R,7,FALSE),VLOOKUP(tables_428010!C176,input_428010!A:H,8,FALSE))</f>
        <v>5728.57143</v>
      </c>
      <c r="P176" s="46">
        <f t="shared" ca="1" si="7"/>
        <v>1.0608465611032533E-3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input_428010!A$2</f>
        <v>428010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IFERROR(VLOOKUP(B177,input_428010!L:R,7,FALSE),VLOOKUP(tables_428010!C177,input_428010!A:H,8,FALSE))</f>
        <v>200</v>
      </c>
      <c r="P177" s="46">
        <f t="shared" ca="1" si="7"/>
        <v>3.70370370367627E-5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input_428010!A$2</f>
        <v>428010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IFERROR(VLOOKUP(B178,input_428010!L:R,7,FALSE),VLOOKUP(tables_428010!C178,input_428010!A:H,8,FALSE))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input_428010!A$2</f>
        <v>428010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IFERROR(VLOOKUP(B179,input_428010!L:R,7,FALSE),VLOOKUP(tables_428010!C179,input_428010!A:H,8,FALSE))</f>
        <v>55330</v>
      </c>
      <c r="P179" s="46">
        <f t="shared" ca="1" si="7"/>
        <v>1.0246296296220401E-2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input_428010!A$2</f>
        <v>428010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IFERROR(VLOOKUP(B180,input_428010!L:R,7,FALSE),VLOOKUP(tables_428010!C180,input_428010!A:H,8,FALSE))</f>
        <v>1070</v>
      </c>
      <c r="P180" s="46">
        <f t="shared" ca="1" si="7"/>
        <v>1.9814814814668043E-4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input_428010!A$2</f>
        <v>428010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IFERROR(VLOOKUP(B181,input_428010!L:R,7,FALSE),VLOOKUP(tables_428010!C181,input_428010!A:H,8,FALSE))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input_428010!A$2</f>
        <v>428010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IFERROR(VLOOKUP(B182,input_428010!L:R,7,FALSE),VLOOKUP(tables_428010!C182,input_428010!A:H,8,FALSE))</f>
        <v>55330</v>
      </c>
      <c r="P182" s="46">
        <f t="shared" ca="1" si="7"/>
        <v>1.0246296296220401E-2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input_428010!A$2</f>
        <v>428010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IFERROR(VLOOKUP(B183,input_428010!L:R,7,FALSE),VLOOKUP(tables_428010!C183,input_428010!A:H,8,FALSE))</f>
        <v>1070</v>
      </c>
      <c r="P183" s="46">
        <f t="shared" ca="1" si="7"/>
        <v>1.9814814814668043E-4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input_428010!A$2</f>
        <v>428010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IFERROR(VLOOKUP(B184,input_428010!L:R,7,FALSE),VLOOKUP(tables_428010!C184,input_428010!A:H,8,FALSE))</f>
        <v>5728.57143</v>
      </c>
      <c r="P184" s="46">
        <f t="shared" ca="1" si="7"/>
        <v>1.0608465611032533E-3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input_428010!A$2</f>
        <v>428010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IFERROR(VLOOKUP(B185,input_428010!L:R,7,FALSE),VLOOKUP(tables_428010!C185,input_428010!A:H,8,FALSE))</f>
        <v>200</v>
      </c>
      <c r="P185" s="46">
        <f t="shared" ca="1" si="7"/>
        <v>3.70370370367627E-5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input_428010!A$2</f>
        <v>428010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IFERROR(VLOOKUP(B186,input_428010!L:R,7,FALSE),VLOOKUP(tables_428010!C186,input_428010!A:H,8,FALSE))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input_428010!A$2</f>
        <v>428010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IFERROR(VLOOKUP(B187,input_428010!L:R,7,FALSE),VLOOKUP(tables_428010!C187,input_428010!A:H,8,FALSE))</f>
        <v>55330</v>
      </c>
      <c r="P187" s="46">
        <f t="shared" ca="1" si="7"/>
        <v>1.0246296296220401E-2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input_428010!A$2</f>
        <v>428010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IFERROR(VLOOKUP(B188,input_428010!L:R,7,FALSE),VLOOKUP(tables_428010!C188,input_428010!A:H,8,FALSE))</f>
        <v>1070</v>
      </c>
      <c r="P188" s="46">
        <f t="shared" ca="1" si="7"/>
        <v>1.9814814814668043E-4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input_428010!A$2</f>
        <v>428010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IFERROR(VLOOKUP(B189,input_428010!L:R,7,FALSE),VLOOKUP(tables_428010!C189,input_428010!A:H,8,FALSE))</f>
        <v>5728.57143</v>
      </c>
      <c r="P189" s="46">
        <f t="shared" ca="1" si="7"/>
        <v>1.0608465611032533E-3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input_428010!A$2</f>
        <v>428010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IFERROR(VLOOKUP(B190,input_428010!L:R,7,FALSE),VLOOKUP(tables_428010!C190,input_428010!A:H,8,FALSE))</f>
        <v>200</v>
      </c>
      <c r="P190" s="46">
        <f t="shared" ca="1" si="7"/>
        <v>3.70370370367627E-5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input_428010!A$2</f>
        <v>428010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IFERROR(VLOOKUP(B191,input_428010!L:R,7,FALSE),VLOOKUP(tables_428010!C191,input_428010!A:H,8,FALSE))</f>
        <v>5728.57143</v>
      </c>
      <c r="P191" s="46">
        <f t="shared" ca="1" si="7"/>
        <v>1.0608465611032533E-3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input_428010!A$2</f>
        <v>428010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IFERROR(VLOOKUP(B192,input_428010!L:R,7,FALSE),VLOOKUP(tables_428010!C192,input_428010!A:H,8,FALSE))</f>
        <v>200</v>
      </c>
      <c r="P192" s="46">
        <f t="shared" ca="1" si="7"/>
        <v>3.70370370367627E-5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input_428010!A$2</f>
        <v>428010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IFERROR(VLOOKUP(B193,input_428010!L:R,7,FALSE),VLOOKUP(tables_428010!C193,input_428010!A:H,8,FALSE))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input_428010!A$2</f>
        <v>428010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IFERROR(VLOOKUP(B194,input_428010!L:R,7,FALSE),VLOOKUP(tables_428010!C194,input_428010!A:H,8,FALSE))</f>
        <v>55330</v>
      </c>
      <c r="P194" s="46">
        <f t="shared" ref="P194:P257" ca="1" si="10">O194/SUM(O:O)</f>
        <v>1.0246296296220401E-2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input_428010!A$2</f>
        <v>428010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IFERROR(VLOOKUP(B195,input_428010!L:R,7,FALSE),VLOOKUP(tables_428010!C195,input_428010!A:H,8,FALSE))</f>
        <v>1070</v>
      </c>
      <c r="P195" s="46">
        <f t="shared" ca="1" si="10"/>
        <v>1.9814814814668043E-4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input_428010!A$2</f>
        <v>428010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IFERROR(VLOOKUP(B196,input_428010!L:R,7,FALSE),VLOOKUP(tables_428010!C196,input_428010!A:H,8,FALSE))</f>
        <v>5728.57143</v>
      </c>
      <c r="P196" s="46">
        <f t="shared" ca="1" si="10"/>
        <v>1.0608465611032533E-3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input_428010!A$2</f>
        <v>428010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IFERROR(VLOOKUP(B197,input_428010!L:R,7,FALSE),VLOOKUP(tables_428010!C197,input_428010!A:H,8,FALSE))</f>
        <v>200</v>
      </c>
      <c r="P197" s="46">
        <f t="shared" ca="1" si="10"/>
        <v>3.70370370367627E-5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input_428010!A$2</f>
        <v>428010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IFERROR(VLOOKUP(B198,input_428010!L:R,7,FALSE),VLOOKUP(tables_428010!C198,input_428010!A:H,8,FALSE))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input_428010!A$2</f>
        <v>428010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IFERROR(VLOOKUP(B199,input_428010!L:R,7,FALSE),VLOOKUP(tables_428010!C199,input_428010!A:H,8,FALSE))</f>
        <v>55330</v>
      </c>
      <c r="P199" s="46">
        <f t="shared" ca="1" si="10"/>
        <v>1.0246296296220401E-2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input_428010!A$2</f>
        <v>428010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IFERROR(VLOOKUP(B200,input_428010!L:R,7,FALSE),VLOOKUP(tables_428010!C200,input_428010!A:H,8,FALSE))</f>
        <v>1070</v>
      </c>
      <c r="P200" s="46">
        <f t="shared" ca="1" si="10"/>
        <v>1.9814814814668043E-4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input_428010!A$2</f>
        <v>428010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IFERROR(VLOOKUP(B201,input_428010!L:R,7,FALSE),VLOOKUP(tables_428010!C201,input_428010!A:H,8,FALSE))</f>
        <v>5728.57143</v>
      </c>
      <c r="P201" s="46">
        <f t="shared" ca="1" si="10"/>
        <v>1.0608465611032533E-3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input_428010!A$2</f>
        <v>428010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IFERROR(VLOOKUP(B202,input_428010!L:R,7,FALSE),VLOOKUP(tables_428010!C202,input_428010!A:H,8,FALSE))</f>
        <v>200</v>
      </c>
      <c r="P202" s="46">
        <f t="shared" ca="1" si="10"/>
        <v>3.70370370367627E-5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input_428010!A$2</f>
        <v>428010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IFERROR(VLOOKUP(B203,input_428010!L:R,7,FALSE),VLOOKUP(tables_428010!C203,input_428010!A:H,8,FALSE))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input_428010!A$2</f>
        <v>428010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IFERROR(VLOOKUP(B204,input_428010!L:R,7,FALSE),VLOOKUP(tables_428010!C204,input_428010!A:H,8,FALSE))</f>
        <v>55330</v>
      </c>
      <c r="P204" s="46">
        <f t="shared" ca="1" si="10"/>
        <v>1.0246296296220401E-2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input_428010!A$2</f>
        <v>428010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IFERROR(VLOOKUP(B205,input_428010!L:R,7,FALSE),VLOOKUP(tables_428010!C205,input_428010!A:H,8,FALSE))</f>
        <v>1070</v>
      </c>
      <c r="P205" s="46">
        <f t="shared" ca="1" si="10"/>
        <v>1.9814814814668043E-4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input_428010!A$2</f>
        <v>428010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IFERROR(VLOOKUP(B206,input_428010!L:R,7,FALSE),VLOOKUP(tables_428010!C206,input_428010!A:H,8,FALSE))</f>
        <v>5728.57143</v>
      </c>
      <c r="P206" s="46">
        <f t="shared" ca="1" si="10"/>
        <v>1.0608465611032533E-3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input_428010!A$2</f>
        <v>428010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IFERROR(VLOOKUP(B207,input_428010!L:R,7,FALSE),VLOOKUP(tables_428010!C207,input_428010!A:H,8,FALSE))</f>
        <v>200</v>
      </c>
      <c r="P207" s="46">
        <f t="shared" ca="1" si="10"/>
        <v>3.70370370367627E-5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input_428010!A$2</f>
        <v>428010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IFERROR(VLOOKUP(B208,input_428010!L:R,7,FALSE),VLOOKUP(tables_428010!C208,input_428010!A:H,8,FALSE))</f>
        <v>5728.57143</v>
      </c>
      <c r="P208" s="46">
        <f t="shared" ca="1" si="10"/>
        <v>1.0608465611032533E-3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input_428010!A$2</f>
        <v>428010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IFERROR(VLOOKUP(B209,input_428010!L:R,7,FALSE),VLOOKUP(tables_428010!C209,input_428010!A:H,8,FALSE))</f>
        <v>200</v>
      </c>
      <c r="P209" s="46">
        <f t="shared" ca="1" si="10"/>
        <v>3.70370370367627E-5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input_428010!A$2</f>
        <v>428010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IFERROR(VLOOKUP(B210,input_428010!L:R,7,FALSE),VLOOKUP(tables_428010!C210,input_428010!A:H,8,FALSE))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input_428010!A$2</f>
        <v>428010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IFERROR(VLOOKUP(B211,input_428010!L:R,7,FALSE),VLOOKUP(tables_428010!C211,input_428010!A:H,8,FALSE))</f>
        <v>55330</v>
      </c>
      <c r="P211" s="46">
        <f t="shared" ca="1" si="10"/>
        <v>1.0246296296220401E-2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input_428010!A$2</f>
        <v>428010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IFERROR(VLOOKUP(B212,input_428010!L:R,7,FALSE),VLOOKUP(tables_428010!C212,input_428010!A:H,8,FALSE))</f>
        <v>1070</v>
      </c>
      <c r="P212" s="46">
        <f t="shared" ca="1" si="10"/>
        <v>1.9814814814668043E-4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input_428010!A$2</f>
        <v>428010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IFERROR(VLOOKUP(B213,input_428010!L:R,7,FALSE),VLOOKUP(tables_428010!C213,input_428010!A:H,8,FALSE))</f>
        <v>5728.57143</v>
      </c>
      <c r="P213" s="46">
        <f t="shared" ca="1" si="10"/>
        <v>1.0608465611032533E-3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input_428010!A$2</f>
        <v>428010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IFERROR(VLOOKUP(B214,input_428010!L:R,7,FALSE),VLOOKUP(tables_428010!C214,input_428010!A:H,8,FALSE))</f>
        <v>200</v>
      </c>
      <c r="P214" s="46">
        <f t="shared" ca="1" si="10"/>
        <v>3.70370370367627E-5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input_428010!A$2</f>
        <v>428010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IFERROR(VLOOKUP(B215,input_428010!L:R,7,FALSE),VLOOKUP(tables_428010!C215,input_428010!A:H,8,FALSE))</f>
        <v>5728.57143</v>
      </c>
      <c r="P215" s="46">
        <f t="shared" ca="1" si="10"/>
        <v>1.0608465611032533E-3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input_428010!A$2</f>
        <v>428010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IFERROR(VLOOKUP(B216,input_428010!L:R,7,FALSE),VLOOKUP(tables_428010!C216,input_428010!A:H,8,FALSE))</f>
        <v>200</v>
      </c>
      <c r="P216" s="46">
        <f t="shared" ca="1" si="10"/>
        <v>3.70370370367627E-5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input_428010!A$2</f>
        <v>428010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IFERROR(VLOOKUP(B217,input_428010!L:R,7,FALSE),VLOOKUP(tables_428010!C217,input_428010!A:H,8,FALSE))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input_428010!A$2</f>
        <v>428010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IFERROR(VLOOKUP(B218,input_428010!L:R,7,FALSE),VLOOKUP(tables_428010!C218,input_428010!A:H,8,FALSE))</f>
        <v>55330</v>
      </c>
      <c r="P218" s="46">
        <f t="shared" ca="1" si="10"/>
        <v>1.0246296296220401E-2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input_428010!A$2</f>
        <v>428010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IFERROR(VLOOKUP(B219,input_428010!L:R,7,FALSE),VLOOKUP(tables_428010!C219,input_428010!A:H,8,FALSE))</f>
        <v>1070</v>
      </c>
      <c r="P219" s="46">
        <f t="shared" ca="1" si="10"/>
        <v>1.9814814814668043E-4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input_428010!A$2</f>
        <v>428010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IFERROR(VLOOKUP(B220,input_428010!L:R,7,FALSE),VLOOKUP(tables_428010!C220,input_428010!A:H,8,FALSE))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input_428010!A$2</f>
        <v>428010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IFERROR(VLOOKUP(B221,input_428010!L:R,7,FALSE),VLOOKUP(tables_428010!C221,input_428010!A:H,8,FALSE))</f>
        <v>55330</v>
      </c>
      <c r="P221" s="46">
        <f t="shared" ca="1" si="10"/>
        <v>1.0246296296220401E-2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input_428010!A$2</f>
        <v>428010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IFERROR(VLOOKUP(B222,input_428010!L:R,7,FALSE),VLOOKUP(tables_428010!C222,input_428010!A:H,8,FALSE))</f>
        <v>1070</v>
      </c>
      <c r="P222" s="46">
        <f t="shared" ca="1" si="10"/>
        <v>1.9814814814668043E-4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input_428010!A$2</f>
        <v>428010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IFERROR(VLOOKUP(B223,input_428010!L:R,7,FALSE),VLOOKUP(tables_428010!C223,input_428010!A:H,8,FALSE))</f>
        <v>5728.57143</v>
      </c>
      <c r="P223" s="46">
        <f t="shared" ca="1" si="10"/>
        <v>1.0608465611032533E-3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input_428010!A$2</f>
        <v>428010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IFERROR(VLOOKUP(B224,input_428010!L:R,7,FALSE),VLOOKUP(tables_428010!C224,input_428010!A:H,8,FALSE))</f>
        <v>200</v>
      </c>
      <c r="P224" s="46">
        <f t="shared" ca="1" si="10"/>
        <v>3.70370370367627E-5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input_428010!A$2</f>
        <v>428010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IFERROR(VLOOKUP(B225,input_428010!L:R,7,FALSE),VLOOKUP(tables_428010!C225,input_428010!A:H,8,FALSE))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input_428010!A$2</f>
        <v>428010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IFERROR(VLOOKUP(B226,input_428010!L:R,7,FALSE),VLOOKUP(tables_428010!C226,input_428010!A:H,8,FALSE))</f>
        <v>55330</v>
      </c>
      <c r="P226" s="46">
        <f t="shared" ca="1" si="10"/>
        <v>1.0246296296220401E-2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input_428010!A$2</f>
        <v>428010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IFERROR(VLOOKUP(B227,input_428010!L:R,7,FALSE),VLOOKUP(tables_428010!C227,input_428010!A:H,8,FALSE))</f>
        <v>1070</v>
      </c>
      <c r="P227" s="46">
        <f t="shared" ca="1" si="10"/>
        <v>1.9814814814668043E-4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input_428010!A$2</f>
        <v>428010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IFERROR(VLOOKUP(B228,input_428010!L:R,7,FALSE),VLOOKUP(tables_428010!C228,input_428010!A:H,8,FALSE))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input_428010!A$2</f>
        <v>428010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IFERROR(VLOOKUP(B229,input_428010!L:R,7,FALSE),VLOOKUP(tables_428010!C229,input_428010!A:H,8,FALSE))</f>
        <v>55330</v>
      </c>
      <c r="P229" s="46">
        <f t="shared" ca="1" si="10"/>
        <v>1.0246296296220401E-2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input_428010!A$2</f>
        <v>428010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IFERROR(VLOOKUP(B230,input_428010!L:R,7,FALSE),VLOOKUP(tables_428010!C230,input_428010!A:H,8,FALSE))</f>
        <v>1070</v>
      </c>
      <c r="P230" s="46">
        <f t="shared" ca="1" si="10"/>
        <v>1.9814814814668043E-4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input_428010!A$2</f>
        <v>428010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IFERROR(VLOOKUP(B231,input_428010!L:R,7,FALSE),VLOOKUP(tables_428010!C231,input_428010!A:H,8,FALSE))</f>
        <v>5728.57143</v>
      </c>
      <c r="P231" s="46">
        <f t="shared" ca="1" si="10"/>
        <v>1.0608465611032533E-3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input_428010!A$2</f>
        <v>428010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IFERROR(VLOOKUP(B232,input_428010!L:R,7,FALSE),VLOOKUP(tables_428010!C232,input_428010!A:H,8,FALSE))</f>
        <v>200</v>
      </c>
      <c r="P232" s="46">
        <f t="shared" ca="1" si="10"/>
        <v>3.70370370367627E-5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input_428010!A$2</f>
        <v>428010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IFERROR(VLOOKUP(B233,input_428010!L:R,7,FALSE),VLOOKUP(tables_428010!C233,input_428010!A:H,8,FALSE))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input_428010!A$2</f>
        <v>428010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IFERROR(VLOOKUP(B234,input_428010!L:R,7,FALSE),VLOOKUP(tables_428010!C234,input_428010!A:H,8,FALSE))</f>
        <v>55330</v>
      </c>
      <c r="P234" s="46">
        <f t="shared" ca="1" si="10"/>
        <v>1.0246296296220401E-2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input_428010!A$2</f>
        <v>428010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IFERROR(VLOOKUP(B235,input_428010!L:R,7,FALSE),VLOOKUP(tables_428010!C235,input_428010!A:H,8,FALSE))</f>
        <v>1070</v>
      </c>
      <c r="P235" s="46">
        <f t="shared" ca="1" si="10"/>
        <v>1.9814814814668043E-4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input_428010!A$2</f>
        <v>428010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IFERROR(VLOOKUP(B236,input_428010!L:R,7,FALSE),VLOOKUP(tables_428010!C236,input_428010!A:H,8,FALSE))</f>
        <v>5728.57143</v>
      </c>
      <c r="P236" s="46">
        <f t="shared" ca="1" si="10"/>
        <v>1.0608465611032533E-3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input_428010!A$2</f>
        <v>428010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IFERROR(VLOOKUP(B237,input_428010!L:R,7,FALSE),VLOOKUP(tables_428010!C237,input_428010!A:H,8,FALSE))</f>
        <v>200</v>
      </c>
      <c r="P237" s="46">
        <f t="shared" ca="1" si="10"/>
        <v>3.70370370367627E-5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input_428010!A$2</f>
        <v>428010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IFERROR(VLOOKUP(B238,input_428010!L:R,7,FALSE),VLOOKUP(tables_428010!C238,input_428010!A:H,8,FALSE))</f>
        <v>5728.57143</v>
      </c>
      <c r="P238" s="46">
        <f t="shared" ca="1" si="10"/>
        <v>1.0608465611032533E-3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input_428010!A$2</f>
        <v>428010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IFERROR(VLOOKUP(B239,input_428010!L:R,7,FALSE),VLOOKUP(tables_428010!C239,input_428010!A:H,8,FALSE))</f>
        <v>200</v>
      </c>
      <c r="P239" s="46">
        <f t="shared" ca="1" si="10"/>
        <v>3.70370370367627E-5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input_428010!A$2</f>
        <v>428010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IFERROR(VLOOKUP(B240,input_428010!L:R,7,FALSE),VLOOKUP(tables_428010!C240,input_428010!A:H,8,FALSE))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input_428010!A$2</f>
        <v>428010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IFERROR(VLOOKUP(B241,input_428010!L:R,7,FALSE),VLOOKUP(tables_428010!C241,input_428010!A:H,8,FALSE))</f>
        <v>55330</v>
      </c>
      <c r="P241" s="46">
        <f t="shared" ca="1" si="10"/>
        <v>1.0246296296220401E-2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input_428010!A$2</f>
        <v>428010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IFERROR(VLOOKUP(B242,input_428010!L:R,7,FALSE),VLOOKUP(tables_428010!C242,input_428010!A:H,8,FALSE))</f>
        <v>1070</v>
      </c>
      <c r="P242" s="46">
        <f t="shared" ca="1" si="10"/>
        <v>1.9814814814668043E-4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input_428010!A$2</f>
        <v>428010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IFERROR(VLOOKUP(B243,input_428010!L:R,7,FALSE),VLOOKUP(tables_428010!C243,input_428010!A:H,8,FALSE))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input_428010!A$2</f>
        <v>428010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IFERROR(VLOOKUP(B244,input_428010!L:R,7,FALSE),VLOOKUP(tables_428010!C244,input_428010!A:H,8,FALSE))</f>
        <v>55330</v>
      </c>
      <c r="P244" s="46">
        <f t="shared" ca="1" si="10"/>
        <v>1.0246296296220401E-2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input_428010!A$2</f>
        <v>428010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IFERROR(VLOOKUP(B245,input_428010!L:R,7,FALSE),VLOOKUP(tables_428010!C245,input_428010!A:H,8,FALSE))</f>
        <v>1070</v>
      </c>
      <c r="P245" s="46">
        <f t="shared" ca="1" si="10"/>
        <v>1.9814814814668043E-4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input_428010!A$2</f>
        <v>428010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IFERROR(VLOOKUP(B246,input_428010!L:R,7,FALSE),VLOOKUP(tables_428010!C246,input_428010!A:H,8,FALSE))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input_428010!A$2</f>
        <v>428010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IFERROR(VLOOKUP(B247,input_428010!L:R,7,FALSE),VLOOKUP(tables_428010!C247,input_428010!A:H,8,FALSE))</f>
        <v>55330</v>
      </c>
      <c r="P247" s="46">
        <f t="shared" ca="1" si="10"/>
        <v>1.0246296296220401E-2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input_428010!A$2</f>
        <v>428010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IFERROR(VLOOKUP(B248,input_428010!L:R,7,FALSE),VLOOKUP(tables_428010!C248,input_428010!A:H,8,FALSE))</f>
        <v>1070</v>
      </c>
      <c r="P248" s="46">
        <f t="shared" ca="1" si="10"/>
        <v>1.9814814814668043E-4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input_428010!A$2</f>
        <v>428010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IFERROR(VLOOKUP(B249,input_428010!L:R,7,FALSE),VLOOKUP(tables_428010!C249,input_428010!A:H,8,FALSE))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input_428010!A$2</f>
        <v>428010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IFERROR(VLOOKUP(B250,input_428010!L:R,7,FALSE),VLOOKUP(tables_428010!C250,input_428010!A:H,8,FALSE))</f>
        <v>55330</v>
      </c>
      <c r="P250" s="46">
        <f t="shared" ca="1" si="10"/>
        <v>1.0246296296220401E-2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input_428010!A$2</f>
        <v>428010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IFERROR(VLOOKUP(B251,input_428010!L:R,7,FALSE),VLOOKUP(tables_428010!C251,input_428010!A:H,8,FALSE))</f>
        <v>1070</v>
      </c>
      <c r="P251" s="46">
        <f t="shared" ca="1" si="10"/>
        <v>1.9814814814668043E-4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input_428010!A$2</f>
        <v>428010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IFERROR(VLOOKUP(B252,input_428010!L:R,7,FALSE),VLOOKUP(tables_428010!C252,input_428010!A:H,8,FALSE))</f>
        <v>5728.57143</v>
      </c>
      <c r="P252" s="46">
        <f t="shared" ca="1" si="10"/>
        <v>1.0608465611032533E-3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input_428010!A$2</f>
        <v>428010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IFERROR(VLOOKUP(B253,input_428010!L:R,7,FALSE),VLOOKUP(tables_428010!C253,input_428010!A:H,8,FALSE))</f>
        <v>200</v>
      </c>
      <c r="P253" s="46">
        <f t="shared" ca="1" si="10"/>
        <v>3.70370370367627E-5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input_428010!A$2</f>
        <v>428010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IFERROR(VLOOKUP(B254,input_428010!L:R,7,FALSE),VLOOKUP(tables_428010!C254,input_428010!A:H,8,FALSE))</f>
        <v>5728.57143</v>
      </c>
      <c r="P254" s="46">
        <f t="shared" ca="1" si="10"/>
        <v>1.0608465611032533E-3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input_428010!A$2</f>
        <v>428010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IFERROR(VLOOKUP(B255,input_428010!L:R,7,FALSE),VLOOKUP(tables_428010!C255,input_428010!A:H,8,FALSE))</f>
        <v>200</v>
      </c>
      <c r="P255" s="46">
        <f t="shared" ca="1" si="10"/>
        <v>3.70370370367627E-5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input_428010!A$2</f>
        <v>428010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IFERROR(VLOOKUP(B256,input_428010!L:R,7,FALSE),VLOOKUP(tables_428010!C256,input_428010!A:H,8,FALSE))</f>
        <v>53580</v>
      </c>
      <c r="P256" s="46">
        <f t="shared" ca="1" si="10"/>
        <v>9.9222222221487279E-3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input_428010!A$2</f>
        <v>428010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IFERROR(VLOOKUP(B257,input_428010!L:R,7,FALSE),VLOOKUP(tables_428010!C257,input_428010!A:H,8,FALSE))</f>
        <v>2820</v>
      </c>
      <c r="P257" s="46">
        <f t="shared" ca="1" si="10"/>
        <v>5.222222222183541E-4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input_428010!A$2</f>
        <v>428010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IFERROR(VLOOKUP(B258,input_428010!L:R,7,FALSE),VLOOKUP(tables_428010!C258,input_428010!A:H,8,FALSE))</f>
        <v>53580</v>
      </c>
      <c r="P258" s="46">
        <f t="shared" ref="P258:P294" ca="1" si="13">O258/SUM(O:O)</f>
        <v>9.9222222221487279E-3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input_428010!A$2</f>
        <v>428010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IFERROR(VLOOKUP(B259,input_428010!L:R,7,FALSE),VLOOKUP(tables_428010!C259,input_428010!A:H,8,FALSE))</f>
        <v>2820</v>
      </c>
      <c r="P259" s="46">
        <f t="shared" ca="1" si="13"/>
        <v>5.222222222183541E-4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input_428010!A$2</f>
        <v>428010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IFERROR(VLOOKUP(B260,input_428010!L:R,7,FALSE),VLOOKUP(tables_428010!C260,input_428010!A:H,8,FALSE))</f>
        <v>4000</v>
      </c>
      <c r="P260" s="46">
        <f t="shared" ca="1" si="13"/>
        <v>7.4074074073525399E-4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input_428010!A$2</f>
        <v>428010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IFERROR(VLOOKUP(B261,input_428010!L:R,7,FALSE),VLOOKUP(tables_428010!C261,input_428010!A:H,8,FALSE))</f>
        <v>4000</v>
      </c>
      <c r="P261" s="46">
        <f t="shared" ca="1" si="13"/>
        <v>7.4074074073525399E-4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input_428010!A$2</f>
        <v>428010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IFERROR(VLOOKUP(B262,input_428010!L:R,7,FALSE),VLOOKUP(tables_428010!C262,input_428010!A:H,8,FALSE))</f>
        <v>5728.57143</v>
      </c>
      <c r="P262" s="46">
        <f t="shared" ca="1" si="13"/>
        <v>1.0608465611032533E-3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input_428010!A$2</f>
        <v>428010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IFERROR(VLOOKUP(B263,input_428010!L:R,7,FALSE),VLOOKUP(tables_428010!C263,input_428010!A:H,8,FALSE))</f>
        <v>200</v>
      </c>
      <c r="P263" s="46">
        <f t="shared" ca="1" si="13"/>
        <v>3.70370370367627E-5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input_428010!A$2</f>
        <v>428010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IFERROR(VLOOKUP(B264,input_428010!L:R,7,FALSE),VLOOKUP(tables_428010!C264,input_428010!A:H,8,FALSE))</f>
        <v>5728.57143</v>
      </c>
      <c r="P264" s="46">
        <f t="shared" ca="1" si="13"/>
        <v>1.0608465611032533E-3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input_428010!A$2</f>
        <v>428010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IFERROR(VLOOKUP(B265,input_428010!L:R,7,FALSE),VLOOKUP(tables_428010!C265,input_428010!A:H,8,FALSE))</f>
        <v>200</v>
      </c>
      <c r="P265" s="46">
        <f t="shared" ca="1" si="13"/>
        <v>3.70370370367627E-5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input_428010!A$2</f>
        <v>428010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IFERROR(VLOOKUP(B266,input_428010!L:R,7,FALSE),VLOOKUP(tables_428010!C266,input_428010!A:H,8,FALSE))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input_428010!A$2</f>
        <v>428010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IFERROR(VLOOKUP(B267,input_428010!L:R,7,FALSE),VLOOKUP(tables_428010!C267,input_428010!A:H,8,FALSE))</f>
        <v>55330</v>
      </c>
      <c r="P267" s="46">
        <f t="shared" ca="1" si="13"/>
        <v>1.0246296296220401E-2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input_428010!A$2</f>
        <v>428010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IFERROR(VLOOKUP(B268,input_428010!L:R,7,FALSE),VLOOKUP(tables_428010!C268,input_428010!A:H,8,FALSE))</f>
        <v>1070</v>
      </c>
      <c r="P268" s="46">
        <f t="shared" ca="1" si="13"/>
        <v>1.9814814814668043E-4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input_428010!A$2</f>
        <v>428010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IFERROR(VLOOKUP(B269,input_428010!L:R,7,FALSE),VLOOKUP(tables_428010!C269,input_428010!A:H,8,FALSE))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input_428010!A$2</f>
        <v>428010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IFERROR(VLOOKUP(B270,input_428010!L:R,7,FALSE),VLOOKUP(tables_428010!C270,input_428010!A:H,8,FALSE))</f>
        <v>55330</v>
      </c>
      <c r="P270" s="46">
        <f t="shared" ca="1" si="13"/>
        <v>1.0246296296220401E-2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input_428010!A$2</f>
        <v>428010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IFERROR(VLOOKUP(B271,input_428010!L:R,7,FALSE),VLOOKUP(tables_428010!C271,input_428010!A:H,8,FALSE))</f>
        <v>1070</v>
      </c>
      <c r="P271" s="46">
        <f t="shared" ca="1" si="13"/>
        <v>1.9814814814668043E-4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input_428010!A$2</f>
        <v>428010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IFERROR(VLOOKUP(B272,input_428010!L:R,7,FALSE),VLOOKUP(tables_428010!C272,input_428010!A:H,8,FALSE))</f>
        <v>4000</v>
      </c>
      <c r="P272" s="46">
        <f t="shared" ca="1" si="13"/>
        <v>7.4074074073525399E-4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input_428010!A$2</f>
        <v>428010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IFERROR(VLOOKUP(B273,input_428010!L:R,7,FALSE),VLOOKUP(tables_428010!C273,input_428010!A:H,8,FALSE))</f>
        <v>4000</v>
      </c>
      <c r="P273" s="46">
        <f t="shared" ca="1" si="13"/>
        <v>7.4074074073525399E-4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input_428010!A$2</f>
        <v>428010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IFERROR(VLOOKUP(B274,input_428010!L:R,7,FALSE),VLOOKUP(tables_428010!C274,input_428010!A:H,8,FALSE))</f>
        <v>53580</v>
      </c>
      <c r="P274" s="46">
        <f t="shared" ca="1" si="13"/>
        <v>9.9222222221487279E-3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input_428010!A$2</f>
        <v>428010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IFERROR(VLOOKUP(B275,input_428010!L:R,7,FALSE),VLOOKUP(tables_428010!C275,input_428010!A:H,8,FALSE))</f>
        <v>2820</v>
      </c>
      <c r="P275" s="46">
        <f t="shared" ca="1" si="13"/>
        <v>5.222222222183541E-4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input_428010!A$2</f>
        <v>428010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IFERROR(VLOOKUP(B276,input_428010!L:R,7,FALSE),VLOOKUP(tables_428010!C276,input_428010!A:H,8,FALSE))</f>
        <v>53580</v>
      </c>
      <c r="P276" s="46">
        <f t="shared" ca="1" si="13"/>
        <v>9.9222222221487279E-3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input_428010!A$2</f>
        <v>428010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IFERROR(VLOOKUP(B277,input_428010!L:R,7,FALSE),VLOOKUP(tables_428010!C277,input_428010!A:H,8,FALSE))</f>
        <v>2820</v>
      </c>
      <c r="P277" s="46">
        <f t="shared" ca="1" si="13"/>
        <v>5.222222222183541E-4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input_428010!A$2</f>
        <v>428010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IFERROR(VLOOKUP(B278,input_428010!L:R,7,FALSE),VLOOKUP(tables_428010!C278,input_428010!A:H,8,FALSE))</f>
        <v>53580</v>
      </c>
      <c r="P278" s="46">
        <f t="shared" ca="1" si="13"/>
        <v>9.9222222221487279E-3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input_428010!A$2</f>
        <v>428010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IFERROR(VLOOKUP(B279,input_428010!L:R,7,FALSE),VLOOKUP(tables_428010!C279,input_428010!A:H,8,FALSE))</f>
        <v>2820</v>
      </c>
      <c r="P279" s="46">
        <f t="shared" ca="1" si="13"/>
        <v>5.222222222183541E-4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input_428010!A$2</f>
        <v>428010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IFERROR(VLOOKUP(B280,input_428010!L:R,7,FALSE),VLOOKUP(tables_428010!C280,input_428010!A:H,8,FALSE))</f>
        <v>53580</v>
      </c>
      <c r="P280" s="46">
        <f t="shared" ca="1" si="13"/>
        <v>9.9222222221487279E-3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input_428010!A$2</f>
        <v>428010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IFERROR(VLOOKUP(B281,input_428010!L:R,7,FALSE),VLOOKUP(tables_428010!C281,input_428010!A:H,8,FALSE))</f>
        <v>2820</v>
      </c>
      <c r="P281" s="46">
        <f t="shared" ca="1" si="13"/>
        <v>5.222222222183541E-4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input_428010!A$2</f>
        <v>428010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IFERROR(VLOOKUP(B282,input_428010!L:R,7,FALSE),VLOOKUP(tables_428010!C282,input_428010!A:H,8,FALSE))</f>
        <v>4000</v>
      </c>
      <c r="P282" s="46">
        <f t="shared" ca="1" si="13"/>
        <v>7.4074074073525399E-4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input_428010!A$2</f>
        <v>428010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IFERROR(VLOOKUP(B283,input_428010!L:R,7,FALSE),VLOOKUP(tables_428010!C283,input_428010!A:H,8,FALSE))</f>
        <v>4000</v>
      </c>
      <c r="P283" s="46">
        <f t="shared" ca="1" si="13"/>
        <v>7.4074074073525399E-4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input_428010!A$2</f>
        <v>428010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IFERROR(VLOOKUP(B284,input_428010!L:R,7,FALSE),VLOOKUP(tables_428010!C284,input_428010!A:H,8,FALSE))</f>
        <v>4000</v>
      </c>
      <c r="P284" s="46">
        <f t="shared" ca="1" si="13"/>
        <v>7.4074074073525399E-4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input_428010!A$2</f>
        <v>428010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IFERROR(VLOOKUP(B285,input_428010!L:R,7,FALSE),VLOOKUP(tables_428010!C285,input_428010!A:H,8,FALSE))</f>
        <v>4000</v>
      </c>
      <c r="P285" s="46">
        <f t="shared" ca="1" si="13"/>
        <v>7.4074074073525399E-4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input_428010!A$2</f>
        <v>428010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IFERROR(VLOOKUP(B286,input_428010!L:R,7,FALSE),VLOOKUP(tables_428010!C286,input_428010!A:H,8,FALSE))</f>
        <v>53580</v>
      </c>
      <c r="P286" s="46">
        <f t="shared" ca="1" si="13"/>
        <v>9.9222222221487279E-3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input_428010!A$2</f>
        <v>428010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IFERROR(VLOOKUP(B287,input_428010!L:R,7,FALSE),VLOOKUP(tables_428010!C287,input_428010!A:H,8,FALSE))</f>
        <v>2820</v>
      </c>
      <c r="P287" s="46">
        <f t="shared" ca="1" si="13"/>
        <v>5.222222222183541E-4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input_428010!A$2</f>
        <v>428010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IFERROR(VLOOKUP(B288,input_428010!L:R,7,FALSE),VLOOKUP(tables_428010!C288,input_428010!A:H,8,FALSE))</f>
        <v>53580</v>
      </c>
      <c r="P288" s="46">
        <f t="shared" ca="1" si="13"/>
        <v>9.9222222221487279E-3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input_428010!A$2</f>
        <v>428010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IFERROR(VLOOKUP(B289,input_428010!L:R,7,FALSE),VLOOKUP(tables_428010!C289,input_428010!A:H,8,FALSE))</f>
        <v>2820</v>
      </c>
      <c r="P289" s="46">
        <f t="shared" ca="1" si="13"/>
        <v>5.222222222183541E-4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input_428010!A$2</f>
        <v>428010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IFERROR(VLOOKUP(B290,input_428010!L:R,7,FALSE),VLOOKUP(tables_428010!C290,input_428010!A:H,8,FALSE))</f>
        <v>4000</v>
      </c>
      <c r="P290" s="46">
        <f t="shared" ca="1" si="13"/>
        <v>7.4074074073525399E-4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input_428010!A$2</f>
        <v>428010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IFERROR(VLOOKUP(B291,input_428010!L:R,7,FALSE),VLOOKUP(tables_428010!C291,input_428010!A:H,8,FALSE))</f>
        <v>53580</v>
      </c>
      <c r="P291" s="46">
        <f t="shared" ca="1" si="13"/>
        <v>9.9222222221487279E-3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input_428010!A$2</f>
        <v>428010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IFERROR(VLOOKUP(B292,input_428010!L:R,7,FALSE),VLOOKUP(tables_428010!C292,input_428010!A:H,8,FALSE))</f>
        <v>2820</v>
      </c>
      <c r="P292" s="46">
        <f t="shared" ca="1" si="13"/>
        <v>5.222222222183541E-4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input_428010!A$2</f>
        <v>428010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IFERROR(VLOOKUP(B293,input_428010!L:R,7,FALSE),VLOOKUP(tables_428010!C293,input_428010!A:H,8,FALSE))</f>
        <v>4000</v>
      </c>
      <c r="P293" s="46">
        <f t="shared" ca="1" si="13"/>
        <v>7.4074074073525399E-4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input_428010!A$2</f>
        <v>428010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IFERROR(VLOOKUP(B294,input_428010!L:R,7,FALSE),VLOOKUP(tables_428010!C294,input_428010!A:H,8,FALSE))</f>
        <v>4000</v>
      </c>
      <c r="P294" s="46">
        <f t="shared" ca="1" si="13"/>
        <v>7.4074074073525399E-4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input_428010!A$2</f>
        <v>428010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IFERROR(VLOOKUP(B295,input_428010!L:R,7,FALSE),VLOOKUP(tables_428010!C295,input_428010!A:H,8,FALSE))</f>
        <v>4000</v>
      </c>
      <c r="P295" s="46">
        <f t="shared" ref="P295:P299" ca="1" si="18">O295/SUM(O:O)</f>
        <v>7.4074074073525399E-4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input_428010!A$2</f>
        <v>428010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IFERROR(VLOOKUP(B296,input_428010!L:R,7,FALSE),VLOOKUP(tables_428010!C296,input_428010!A:H,8,FALSE))</f>
        <v>4000</v>
      </c>
      <c r="P296" s="46">
        <f t="shared" ca="1" si="18"/>
        <v>7.4074074073525399E-4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input_428010!A$2</f>
        <v>428010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IFERROR(VLOOKUP(B297,input_428010!L:R,7,FALSE),VLOOKUP(tables_428010!C297,input_428010!A:H,8,FALSE))</f>
        <v>53580</v>
      </c>
      <c r="P297" s="46">
        <f t="shared" ca="1" si="18"/>
        <v>9.9222222221487279E-3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input_428010!A$2</f>
        <v>428010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IFERROR(VLOOKUP(B298,input_428010!L:R,7,FALSE),VLOOKUP(tables_428010!C298,input_428010!A:H,8,FALSE))</f>
        <v>2820</v>
      </c>
      <c r="P298" s="46">
        <f t="shared" ca="1" si="18"/>
        <v>5.222222222183541E-4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input_428010!A$2</f>
        <v>428010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IFERROR(VLOOKUP(B299,input_428010!L:R,7,FALSE),VLOOKUP(tables_428010!C299,input_428010!A:H,8,FALSE))</f>
        <v>4000</v>
      </c>
      <c r="P299" s="46">
        <f t="shared" ca="1" si="18"/>
        <v>7.4074074073525399E-4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input_428010!A$2</f>
        <v>428010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IFERROR(VLOOKUP(B300,input_428010!L:R,7,FALSE),VLOOKUP(tables_428010!C300,input_428010!A:H,8,FALSE))</f>
        <v>53580</v>
      </c>
      <c r="P300" s="46">
        <f t="shared" ref="P300:P304" ca="1" si="20">O300/SUM(O:O)</f>
        <v>9.9222222221487279E-3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input_428010!A$2</f>
        <v>428010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IFERROR(VLOOKUP(B301,input_428010!L:R,7,FALSE),VLOOKUP(tables_428010!C301,input_428010!A:H,8,FALSE))</f>
        <v>2820</v>
      </c>
      <c r="P301" s="46">
        <f t="shared" ca="1" si="20"/>
        <v>5.222222222183541E-4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input_428010!A$2</f>
        <v>428010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IFERROR(VLOOKUP(B302,input_428010!L:R,7,FALSE),VLOOKUP(tables_428010!C302,input_428010!A:H,8,FALSE))</f>
        <v>4000</v>
      </c>
      <c r="P302" s="46">
        <f t="shared" ca="1" si="20"/>
        <v>7.4074074073525399E-4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input_428010!A$2</f>
        <v>428010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IFERROR(VLOOKUP(B303,input_428010!L:R,7,FALSE),VLOOKUP(tables_428010!C303,input_428010!A:H,8,FALSE))</f>
        <v>4000</v>
      </c>
      <c r="P303" s="46">
        <f t="shared" ca="1" si="20"/>
        <v>7.4074074073525399E-4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input_428010!A$2</f>
        <v>428010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IFERROR(VLOOKUP(B304,input_428010!L:R,7,FALSE),VLOOKUP(tables_428010!C304,input_428010!A:H,8,FALSE))</f>
        <v>4000</v>
      </c>
      <c r="P304" s="46">
        <f t="shared" ca="1" si="20"/>
        <v>7.4074074073525399E-4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input_428010!A$2</f>
        <v>428010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IFERROR(VLOOKUP(B305,input_428010!L:R,7,FALSE),VLOOKUP(tables_428010!C305,input_428010!A:H,8,FALSE))</f>
        <v>53580</v>
      </c>
      <c r="P305" s="46">
        <f t="shared" ref="P305:P309" ca="1" si="22">O305/SUM(O:O)</f>
        <v>9.9222222221487279E-3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input_428010!A$2</f>
        <v>428010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IFERROR(VLOOKUP(B306,input_428010!L:R,7,FALSE),VLOOKUP(tables_428010!C306,input_428010!A:H,8,FALSE))</f>
        <v>2820</v>
      </c>
      <c r="P306" s="46">
        <f t="shared" ca="1" si="22"/>
        <v>5.222222222183541E-4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input_428010!A$2</f>
        <v>428010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IFERROR(VLOOKUP(B307,input_428010!L:R,7,FALSE),VLOOKUP(tables_428010!C307,input_428010!A:H,8,FALSE))</f>
        <v>4000</v>
      </c>
      <c r="P307" s="46">
        <f t="shared" ca="1" si="22"/>
        <v>7.4074074073525399E-4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input_428010!A$2</f>
        <v>428010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IFERROR(VLOOKUP(B308,input_428010!L:R,7,FALSE),VLOOKUP(tables_428010!C308,input_428010!A:H,8,FALSE))</f>
        <v>4000</v>
      </c>
      <c r="P308" s="46">
        <f t="shared" ca="1" si="22"/>
        <v>7.4074074073525399E-4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input_428010!A$2</f>
        <v>428010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IFERROR(VLOOKUP(B309,input_428010!L:R,7,FALSE),VLOOKUP(tables_428010!C309,input_428010!A:H,8,FALSE))</f>
        <v>4000</v>
      </c>
      <c r="P309" s="46">
        <f t="shared" ca="1" si="22"/>
        <v>7.4074074073525399E-4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input_428010!A$2</f>
        <v>428010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IFERROR(VLOOKUP(B310,input_428010!L:R,7,FALSE),VLOOKUP(tables_428010!C310,input_428010!A:H,8,FALSE))</f>
        <v>53580</v>
      </c>
      <c r="P310" s="46">
        <f t="shared" ref="P310:P314" ca="1" si="25">O310/SUM(O:O)</f>
        <v>9.9222222221487279E-3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input_428010!A$2</f>
        <v>428010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IFERROR(VLOOKUP(B311,input_428010!L:R,7,FALSE),VLOOKUP(tables_428010!C311,input_428010!A:H,8,FALSE))</f>
        <v>2820</v>
      </c>
      <c r="P311" s="46">
        <f t="shared" ca="1" si="25"/>
        <v>5.222222222183541E-4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input_428010!A$2</f>
        <v>428010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IFERROR(VLOOKUP(B312,input_428010!L:R,7,FALSE),VLOOKUP(tables_428010!C312,input_428010!A:H,8,FALSE))</f>
        <v>4000</v>
      </c>
      <c r="P312" s="46">
        <f t="shared" ca="1" si="25"/>
        <v>7.4074074073525399E-4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input_428010!A$2</f>
        <v>428010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IFERROR(VLOOKUP(B313,input_428010!L:R,7,FALSE),VLOOKUP(tables_428010!C313,input_428010!A:H,8,FALSE))</f>
        <v>4000</v>
      </c>
      <c r="P313" s="46">
        <f t="shared" ca="1" si="25"/>
        <v>7.4074074073525399E-4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input_428010!A$2</f>
        <v>428010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IFERROR(VLOOKUP(B314,input_428010!L:R,7,FALSE),VLOOKUP(tables_428010!C314,input_428010!A:H,8,FALSE))</f>
        <v>4000</v>
      </c>
      <c r="P314" s="46">
        <f t="shared" ca="1" si="25"/>
        <v>7.4074074073525399E-4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input_428010!A$2</f>
        <v>428010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IFERROR(VLOOKUP(B315,input_428010!L:R,7,FALSE),VLOOKUP(tables_428010!C315,input_428010!A:H,8,FALSE))</f>
        <v>4000</v>
      </c>
      <c r="P315" s="46">
        <f t="shared" ref="P315:P319" ca="1" si="28">O315/SUM(O:O)</f>
        <v>7.4074074073525399E-4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input_428010!A$2</f>
        <v>428010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IFERROR(VLOOKUP(B316,input_428010!L:R,7,FALSE),VLOOKUP(tables_428010!C316,input_428010!A:H,8,FALSE))</f>
        <v>4000</v>
      </c>
      <c r="P316" s="46">
        <f t="shared" ca="1" si="28"/>
        <v>7.4074074073525399E-4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input_428010!A$2</f>
        <v>428010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IFERROR(VLOOKUP(B317,input_428010!L:R,7,FALSE),VLOOKUP(tables_428010!C317,input_428010!A:H,8,FALSE))</f>
        <v>4000</v>
      </c>
      <c r="P317" s="46">
        <f t="shared" ca="1" si="28"/>
        <v>7.4074074073525399E-4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input_428010!A$2</f>
        <v>428010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IFERROR(VLOOKUP(B318,input_428010!L:R,7,FALSE),VLOOKUP(tables_428010!C318,input_428010!A:H,8,FALSE))</f>
        <v>53580</v>
      </c>
      <c r="P318" s="46">
        <f t="shared" ca="1" si="28"/>
        <v>9.9222222221487279E-3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input_428010!A$2</f>
        <v>428010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IFERROR(VLOOKUP(B319,input_428010!L:R,7,FALSE),VLOOKUP(tables_428010!C319,input_428010!A:H,8,FALSE))</f>
        <v>2820</v>
      </c>
      <c r="P319" s="46">
        <f t="shared" ca="1" si="28"/>
        <v>5.222222222183541E-4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input_428010!A$2</f>
        <v>428010</v>
      </c>
      <c r="B320" s="60">
        <v>487</v>
      </c>
      <c r="C320" s="7" t="str">
        <f t="shared" ref="C320:C323" si="29">D320&amp;J320&amp;E320&amp;F320&amp;G320</f>
        <v>PremiumSSS5R3less</v>
      </c>
      <c r="D320" s="7" t="str">
        <f t="shared" ref="D320:D323" si="30">IF(OR(I320="PremiumSS",I320="PremiumSSw"),"PremiumSS",IF(I320="PremiumSSS",I320,IF(I320="PremiumW",I320,"Premium")))</f>
        <v>PremiumSSS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暴創の造物 チューリング</v>
      </c>
      <c r="I320" s="7" t="str">
        <f>VLOOKUP(B320,[1]characters!$A:$J,10,FALSE)</f>
        <v>PremiumSSS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human</v>
      </c>
      <c r="N320" s="7" t="str">
        <f>VLOOKUP(B320,[1]characters!$A:$G,7,FALSE)</f>
        <v>女性</v>
      </c>
      <c r="O320" s="45">
        <f>IFERROR(VLOOKUP(B320,input_428010!L:R,7,FALSE),VLOOKUP(tables_428010!C320,input_428010!A:H,8,FALSE))</f>
        <v>13500</v>
      </c>
      <c r="P320" s="46">
        <f t="shared" ref="P320:P323" ca="1" si="31">O320/SUM(O:O)</f>
        <v>2.4999999999814823E-3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input_428010!A$2</f>
        <v>428010</v>
      </c>
      <c r="B321" s="60">
        <v>488</v>
      </c>
      <c r="C321" s="7" t="str">
        <f t="shared" si="29"/>
        <v>PremiumSSS5R3less</v>
      </c>
      <c r="D321" s="7" t="str">
        <f t="shared" si="30"/>
        <v>PremiumSSS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直観の異論 ヘンペル</v>
      </c>
      <c r="I321" s="7" t="str">
        <f>VLOOKUP(B321,[1]characters!$A:$J,10,FALSE)</f>
        <v>PremiumSSS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technical</v>
      </c>
      <c r="M321" s="7" t="str">
        <f>VLOOKUP(B321,[1]characters!$A:$M,13,FALSE)</f>
        <v>human</v>
      </c>
      <c r="N321" s="7" t="str">
        <f>VLOOKUP(B321,[1]characters!$A:$G,7,FALSE)</f>
        <v>男性</v>
      </c>
      <c r="O321" s="45">
        <f>IFERROR(VLOOKUP(B321,input_428010!L:R,7,FALSE),VLOOKUP(tables_428010!C321,input_428010!A:H,8,FALSE))</f>
        <v>13500</v>
      </c>
      <c r="P321" s="46">
        <f t="shared" ca="1" si="31"/>
        <v>2.4999999999814823E-3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input_428010!A$2</f>
        <v>428010</v>
      </c>
      <c r="B322" s="60">
        <v>489</v>
      </c>
      <c r="C322" s="7" t="str">
        <f t="shared" si="29"/>
        <v>PremiumSSS5R3less</v>
      </c>
      <c r="D322" s="7" t="str">
        <f t="shared" si="30"/>
        <v>PremiumSSS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/>
      <c r="H322" s="7" t="str">
        <f>VLOOKUP(B322,[1]characters!$A:$C,3,FALSE)</f>
        <v>宇宙の拡超 ハップル</v>
      </c>
      <c r="I322" s="7" t="str">
        <f>VLOOKUP(B322,[1]characters!$A:$J,10,FALSE)</f>
        <v>PremiumSSS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technical</v>
      </c>
      <c r="M322" s="7" t="str">
        <f>VLOOKUP(B322,[1]characters!$A:$M,13,FALSE)</f>
        <v>human</v>
      </c>
      <c r="N322" s="7" t="str">
        <f>VLOOKUP(B322,[1]characters!$A:$G,7,FALSE)</f>
        <v>女性</v>
      </c>
      <c r="O322" s="45">
        <f>IFERROR(VLOOKUP(B322,input_428010!L:R,7,FALSE),VLOOKUP(tables_428010!C322,input_428010!A:H,8,FALSE))</f>
        <v>13500</v>
      </c>
      <c r="P322" s="46">
        <f t="shared" ca="1" si="31"/>
        <v>2.4999999999814823E-3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input_428010!A$2</f>
        <v>428010</v>
      </c>
      <c r="B323" s="92">
        <v>783</v>
      </c>
      <c r="C323" s="7" t="str">
        <f t="shared" si="29"/>
        <v>PremiumSSS5R3less</v>
      </c>
      <c r="D323" s="7" t="str">
        <f t="shared" si="30"/>
        <v>PremiumSSS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モールス</v>
      </c>
      <c r="I323" s="7" t="str">
        <f>VLOOKUP(B323,[1]characters!$A:$J,10,FALSE)</f>
        <v>PremiumSSS</v>
      </c>
      <c r="J323" s="7">
        <f>VLOOKUP(B323,[1]characters!$A:$I,9,FALSE)</f>
        <v>5</v>
      </c>
      <c r="K323" s="7" t="str">
        <f>VLOOKUP(B323,[1]characters!$A:$H,8,FALSE)</f>
        <v>red</v>
      </c>
      <c r="L323" s="7" t="str">
        <f>VLOOKUP(B323,[1]characters!$A:$K,11,FALSE)</f>
        <v>technical</v>
      </c>
      <c r="M323" s="7" t="str">
        <f>VLOOKUP(B323,[1]characters!$A:$M,13,FALSE)</f>
        <v>academia</v>
      </c>
      <c r="N323" s="7" t="str">
        <f>VLOOKUP(B323,[1]characters!$A:$G,7,FALSE)</f>
        <v>男性</v>
      </c>
      <c r="O323" s="45">
        <f>IFERROR(VLOOKUP(B323,input_428010!L:R,7,FALSE),VLOOKUP(tables_428010!C323,input_428010!A:H,8,FALSE))</f>
        <v>13500</v>
      </c>
      <c r="P323" s="46">
        <f t="shared" ca="1" si="31"/>
        <v>2.4999999999814823E-3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L3" sqref="L3:L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487</v>
      </c>
      <c r="M3" s="37" t="str">
        <f>VLOOKUP(L3,[1]characters!$A:$C,3,FALSE)</f>
        <v>暴創の造物 チューリング</v>
      </c>
      <c r="N3" s="63">
        <v>2.5000000000000001E-3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VLOOKUP(L3,tables_428100!B:C,2,FALSE)</f>
        <v>PremiumSSS5R3less</v>
      </c>
      <c r="R3" s="62">
        <f t="shared" ref="R3:R20" si="1">N3*A$36</f>
        <v>13500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488</v>
      </c>
      <c r="M4" s="37" t="str">
        <f>VLOOKUP(L4,[1]characters!$A:$C,3,FALSE)</f>
        <v>直観の異論 ヘンペル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VLOOKUP(L4,tables_428100!B:C,2,FALSE)</f>
        <v>PremiumSSS5R3less</v>
      </c>
      <c r="R4" s="62">
        <f t="shared" si="1"/>
        <v>13500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7.407407407407407E-4</v>
      </c>
      <c r="F5">
        <f>(COUNTIF(tables_428100!C:C,input_428100!A28)+COUNTIF(tables_428100!C:C,input_428100!A29))</f>
        <v>54</v>
      </c>
      <c r="H5" s="84">
        <v>0.01</v>
      </c>
      <c r="I5" s="31">
        <v>0</v>
      </c>
      <c r="L5" s="60">
        <v>489</v>
      </c>
      <c r="M5" s="37" t="str">
        <f>VLOOKUP(L5,[1]characters!$A:$C,3,FALSE)</f>
        <v>宇宙の拡超 ハップル</v>
      </c>
      <c r="N5" s="63">
        <v>2.5000000000000001E-3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VLOOKUP(L5,tables_428100!B:C,2,FALSE)</f>
        <v>PremiumSSS5R3less</v>
      </c>
      <c r="R5" s="62">
        <f t="shared" si="1"/>
        <v>13500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1.0444444444444444E-2</v>
      </c>
      <c r="F6">
        <f>(COUNTIF(tables_428100!C:C,input_428100!A25)+COUNTIF(tables_428100!C:C,input_428100!A18)+COUNTIF(tables_428100!C:C,input_428100!A20)+COUNTIF(tables_428100!C:C,input_428100!A22))</f>
        <v>90</v>
      </c>
      <c r="H6" s="89">
        <v>0</v>
      </c>
      <c r="I6" s="31">
        <v>0</v>
      </c>
      <c r="L6" s="92">
        <v>783</v>
      </c>
      <c r="M6" s="37" t="str">
        <f>VLOOKUP(L6,[1]characters!$A:$C,3,FALSE)</f>
        <v>モールス</v>
      </c>
      <c r="N6" s="63">
        <v>2.5000000000000001E-3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VLOOKUP(L6,tables_428100!B:C,2,FALSE)</f>
        <v>PremiumSSS5R3less</v>
      </c>
      <c r="R6" s="62">
        <f t="shared" si="1"/>
        <v>13500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COUNTIF(tables_428100!C:C,input_428100!A17)-COUNTIF(Q:Q,A17)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0.20888888888888887</v>
      </c>
      <c r="C18" s="85">
        <f t="shared" si="2"/>
        <v>0</v>
      </c>
      <c r="D18" s="74">
        <f t="shared" si="3"/>
        <v>0.20888888888888887</v>
      </c>
      <c r="E18">
        <f>COUNTIF(tables_428100!C:C,input_428100!A18)-COUNTIF(Q:Q,A18)</f>
        <v>20</v>
      </c>
      <c r="F18" s="43">
        <f>IFERROR(B18/E18,0)</f>
        <v>1.0444444444444444E-2</v>
      </c>
      <c r="G18">
        <f t="shared" si="4"/>
        <v>1128000</v>
      </c>
      <c r="H18">
        <f t="shared" si="5"/>
        <v>56400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COUNTIF(tables_428100!C:C,input_428100!A19)-COUNTIF(Q:Q,A19)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E$6*E20*B$6+E34-G48</f>
        <v>0.53280740740622223</v>
      </c>
      <c r="C20" s="85">
        <f t="shared" si="2"/>
        <v>0</v>
      </c>
      <c r="D20" s="74">
        <f t="shared" si="3"/>
        <v>0.53280740740622223</v>
      </c>
      <c r="E20">
        <f>COUNTIF(tables_428100!C:C,input_428100!A20)-COUNTIF(Q:Q,A20)</f>
        <v>52</v>
      </c>
      <c r="F20" s="43">
        <f t="shared" si="8"/>
        <v>1.0246296296273504E-2</v>
      </c>
      <c r="G20">
        <f t="shared" si="4"/>
        <v>2877159.9999936</v>
      </c>
      <c r="H20">
        <f t="shared" si="5"/>
        <v>55330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B7-B23-B26-B28-B29-0.01</f>
        <v>1.0303703703703709E-2</v>
      </c>
      <c r="C21" s="85">
        <f t="shared" si="2"/>
        <v>0</v>
      </c>
      <c r="D21" s="74">
        <f t="shared" si="3"/>
        <v>1.0303703703703709E-2</v>
      </c>
      <c r="E21">
        <f>COUNTIF(tables_428100!C:C,input_428100!A21)-COUNTIF(Q:Q,A21)</f>
        <v>52</v>
      </c>
      <c r="F21" s="43">
        <f t="shared" si="8"/>
        <v>1.9814814814814825E-4</v>
      </c>
      <c r="G21">
        <f t="shared" si="4"/>
        <v>55640.000000000029</v>
      </c>
      <c r="H21">
        <f t="shared" si="5"/>
        <v>1070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0.1389111111111111</v>
      </c>
      <c r="C22" s="85">
        <f t="shared" si="2"/>
        <v>0</v>
      </c>
      <c r="D22" s="74">
        <f t="shared" si="3"/>
        <v>0.1389111111111111</v>
      </c>
      <c r="E22">
        <f>COUNTIF(tables_428100!C:C,input_428100!A22)-COUNTIF(Q:Q,A22)</f>
        <v>14</v>
      </c>
      <c r="F22" s="43">
        <f t="shared" si="8"/>
        <v>9.9222222222222212E-3</v>
      </c>
      <c r="G22">
        <f t="shared" si="4"/>
        <v>750119.99999999988</v>
      </c>
      <c r="H22">
        <f t="shared" si="5"/>
        <v>53580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7.3111111111111102E-3</v>
      </c>
      <c r="C23" s="85">
        <f t="shared" si="2"/>
        <v>0</v>
      </c>
      <c r="D23" s="74">
        <f t="shared" si="3"/>
        <v>7.3111111111111102E-3</v>
      </c>
      <c r="E23">
        <f>COUNTIF(tables_428100!C:C,input_428100!A23)-COUNTIF(Q:Q,A23)</f>
        <v>14</v>
      </c>
      <c r="F23" s="43">
        <f t="shared" si="8"/>
        <v>5.2222222222222221E-4</v>
      </c>
      <c r="G23">
        <f t="shared" si="4"/>
        <v>39479.999999999993</v>
      </c>
      <c r="H23">
        <f t="shared" si="5"/>
        <v>2820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COUNTIF(tables_428100!C:C,input_428100!A24)-COUNTIF(Q:Q,A24)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3.9688888888888885E-2</v>
      </c>
      <c r="C25" s="85">
        <f t="shared" si="2"/>
        <v>0</v>
      </c>
      <c r="D25" s="74">
        <f t="shared" si="3"/>
        <v>3.9688888888888885E-2</v>
      </c>
      <c r="E25">
        <f>COUNTIF(tables_428100!C:C,input_428100!A25)-COUNTIF(Q:Q,A25)</f>
        <v>4</v>
      </c>
      <c r="F25" s="43">
        <f t="shared" si="8"/>
        <v>9.9222222222222212E-3</v>
      </c>
      <c r="G25">
        <f t="shared" si="4"/>
        <v>214319.99999999997</v>
      </c>
      <c r="H25">
        <f t="shared" si="5"/>
        <v>53580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2.0888888888888888E-3</v>
      </c>
      <c r="C26" s="85">
        <f t="shared" si="2"/>
        <v>0</v>
      </c>
      <c r="D26" s="74">
        <f t="shared" si="3"/>
        <v>2.0888888888888888E-3</v>
      </c>
      <c r="E26">
        <f>COUNTIF(tables_428100!C:C,input_428100!A26)-COUNTIF(Q:Q,A26)</f>
        <v>4</v>
      </c>
      <c r="F26" s="43">
        <f t="shared" si="8"/>
        <v>5.2222222222222221E-4</v>
      </c>
      <c r="G26">
        <f t="shared" si="4"/>
        <v>11280</v>
      </c>
      <c r="H26">
        <f t="shared" si="5"/>
        <v>2820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E$5*E27*(B$5+B$6)+G48</f>
        <v>2.9703703704888854E-2</v>
      </c>
      <c r="C27" s="85">
        <f t="shared" si="2"/>
        <v>0</v>
      </c>
      <c r="D27" s="74">
        <f t="shared" si="3"/>
        <v>2.9703703704888854E-2</v>
      </c>
      <c r="E27">
        <f>COUNTIF(tables_428100!C:C,input_428100!A27)-COUNTIF(Q:Q,A27)</f>
        <v>28</v>
      </c>
      <c r="F27" s="43">
        <f>IFERROR(B27/E27,0)</f>
        <v>1.0608465608888877E-3</v>
      </c>
      <c r="G27">
        <f t="shared" si="4"/>
        <v>160400.00000639982</v>
      </c>
      <c r="H27">
        <f t="shared" si="5"/>
        <v>5728.57143</v>
      </c>
      <c r="I27">
        <f t="shared" si="6"/>
        <v>0.57142999999996391</v>
      </c>
      <c r="J27">
        <f t="shared" si="7"/>
        <v>1.749995625011048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1.0370370370370371E-3</v>
      </c>
      <c r="C28" s="85">
        <f t="shared" si="2"/>
        <v>0</v>
      </c>
      <c r="D28" s="74">
        <f t="shared" si="3"/>
        <v>1.0370370370370371E-3</v>
      </c>
      <c r="E28">
        <f>COUNTIF(tables_428100!C:C,input_428100!A28)-COUNTIF(Q:Q,A28)</f>
        <v>28</v>
      </c>
      <c r="F28" s="43">
        <f t="shared" si="8"/>
        <v>3.7037037037037037E-5</v>
      </c>
      <c r="G28">
        <f t="shared" si="4"/>
        <v>5600</v>
      </c>
      <c r="H28">
        <f t="shared" si="5"/>
        <v>200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1.9259259259259257E-2</v>
      </c>
      <c r="C29" s="85">
        <f t="shared" si="2"/>
        <v>0</v>
      </c>
      <c r="D29" s="74">
        <f t="shared" si="3"/>
        <v>1.9259259259259257E-2</v>
      </c>
      <c r="E29">
        <f>COUNTIF(tables_428100!C:C,input_428100!A29)-COUNTIF(Q:Q,A29)</f>
        <v>26</v>
      </c>
      <c r="F29" s="43">
        <f t="shared" si="8"/>
        <v>7.407407407407407E-4</v>
      </c>
      <c r="G29">
        <f t="shared" si="4"/>
        <v>103999.99999999999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COUNTIF(tables_428100!C:C,input_428100!A30)-COUNTIF(Q:Q,A30)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COUNTIF(tables_428100!C:C,input_428100!A31)-COUNTIF(Q:Q,A31)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0.9900000000000001</v>
      </c>
      <c r="C32" s="41">
        <f>SUM(C19:C31)</f>
        <v>0.01</v>
      </c>
      <c r="D32" s="42">
        <f t="shared" si="3"/>
        <v>0.98000000000000009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2.6851851851851849E-2</v>
      </c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SUMIF(tables_428100!C:C,input_428100!A40,tables_428100!O:O)</f>
        <v>0</v>
      </c>
      <c r="C40" s="54">
        <f t="shared" ref="C40:C46" ca="1" si="9">B40/B$47</f>
        <v>0</v>
      </c>
      <c r="E40">
        <v>3</v>
      </c>
      <c r="F40">
        <f ca="1">SUMIF(tables_428100!J:J,input_428100!E40,tables_428100!O:O)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SUMIF(tables_428100!C:C,input_428100!A41,tables_428100!O:O)</f>
        <v>2877160</v>
      </c>
      <c r="C41" s="54">
        <f t="shared" ca="1" si="9"/>
        <v>0.92847553890630607</v>
      </c>
      <c r="E41">
        <v>4</v>
      </c>
      <c r="F41">
        <f ca="1">SUMIF(tables_428100!J:J,input_428100!E41,tables_428100!O:O)</f>
        <v>5130000.0000399984</v>
      </c>
      <c r="G41">
        <f ca="1">F41/A36</f>
        <v>0.95000000000740714</v>
      </c>
    </row>
    <row r="42" spans="1:7" x14ac:dyDescent="0.15">
      <c r="A42" s="33" t="s">
        <v>106</v>
      </c>
      <c r="B42">
        <f ca="1">SUMIF(tables_428100!C:C,input_428100!A42,tables_428100!O:O)</f>
        <v>160400.00004000001</v>
      </c>
      <c r="C42" s="54">
        <f t="shared" ca="1" si="9"/>
        <v>5.1761972388643843E-2</v>
      </c>
      <c r="E42">
        <v>5</v>
      </c>
      <c r="F42">
        <f ca="1">SUMIF(tables_428100!J:J,input_428100!E42,tables_428100!O:O)</f>
        <v>270000</v>
      </c>
      <c r="G42">
        <f ca="1">F42/A36</f>
        <v>0.05</v>
      </c>
    </row>
    <row r="43" spans="1:7" x14ac:dyDescent="0.15">
      <c r="A43" s="33" t="s">
        <v>109</v>
      </c>
      <c r="B43">
        <f>SUMIF(tables_428100!C:C,input_428100!A43,tables_428100!O:O)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SUMIF(tables_428100!C:C,input_428100!A44,tables_428100!O:O)</f>
        <v>55640</v>
      </c>
      <c r="C44" s="54">
        <f t="shared" ca="1" si="9"/>
        <v>1.7955337549787592E-2</v>
      </c>
      <c r="E44" t="s">
        <v>54</v>
      </c>
      <c r="F44" s="55"/>
    </row>
    <row r="45" spans="1:7" x14ac:dyDescent="0.15">
      <c r="A45" s="33" t="s">
        <v>107</v>
      </c>
      <c r="B45">
        <f ca="1">SUMIF(tables_428100!C:C,input_428100!A45,tables_428100!O:O)</f>
        <v>5600</v>
      </c>
      <c r="C45" s="54">
        <f t="shared" ca="1" si="9"/>
        <v>1.80715115526259E-3</v>
      </c>
      <c r="E45" t="s">
        <v>204</v>
      </c>
      <c r="F45" s="55">
        <f ca="1">SUMIF(tables_428100!I:I,input_428100!E45,tables_428100!P:P)</f>
        <v>0.20888888888734175</v>
      </c>
    </row>
    <row r="46" spans="1:7" x14ac:dyDescent="0.15">
      <c r="A46" s="33" t="s">
        <v>108</v>
      </c>
      <c r="B46">
        <f>SUMIF(tables_428100!C:C,input_428100!A46,tables_428100!O:O)</f>
        <v>0</v>
      </c>
      <c r="C46" s="54">
        <f t="shared" ca="1" si="9"/>
        <v>0</v>
      </c>
      <c r="E46" t="s">
        <v>205</v>
      </c>
      <c r="F46" s="55">
        <f ca="1">SUMIF(tables_428100!I:I,input_428100!E46,tables_428100!P:P)</f>
        <v>0.20888888888734153</v>
      </c>
    </row>
    <row r="47" spans="1:7" x14ac:dyDescent="0.15">
      <c r="A47" s="39" t="s">
        <v>59</v>
      </c>
      <c r="B47">
        <f ca="1">SUM(B40:B46)</f>
        <v>3098800.0000399998</v>
      </c>
      <c r="C47" s="55">
        <f ca="1">SUM(C40:C46)</f>
        <v>1.0000000000000002</v>
      </c>
      <c r="E47" t="s">
        <v>206</v>
      </c>
      <c r="F47" s="55">
        <f ca="1">SUMIF(tables_428100!I:I,input_428100!E47,tables_428100!P:P)</f>
        <v>0.52222222221835424</v>
      </c>
    </row>
    <row r="48" spans="1:7" x14ac:dyDescent="0.15">
      <c r="E48" t="s">
        <v>207</v>
      </c>
      <c r="F48" s="55">
        <f ca="1">SUMIF(tables_428100!I:I,input_428100!E48,tables_428100!P:P)</f>
        <v>4.7777777784831318E-2</v>
      </c>
      <c r="G48" s="94">
        <v>1.0000000001185151E-2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23"/>
  <sheetViews>
    <sheetView showGridLines="0" zoomScale="75" zoomScaleNormal="75" zoomScalePageLayoutView="75" workbookViewId="0">
      <pane ySplit="1" topLeftCell="A282" activePane="bottomLeft" state="frozen"/>
      <selection activeCell="D34" sqref="D34"/>
      <selection pane="bottomLeft" activeCell="C319" sqref="C319:V3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input_428100!A$2</f>
        <v>428100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IFERROR(VLOOKUP(B2,input_428100!L:R,7,FALSE),VLOOKUP(tables_428100!C2,input_428100!A:H,8,FALSE))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input_428100!A$2</f>
        <v>428100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IFERROR(VLOOKUP(B3,input_428100!L:R,7,FALSE),VLOOKUP(tables_428100!C3,input_428100!A:H,8,FALSE))</f>
        <v>56400</v>
      </c>
      <c r="P3" s="46">
        <f t="shared" ca="1" si="1"/>
        <v>1.0444444444367082E-2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input_428100!A$2</f>
        <v>428100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IFERROR(VLOOKUP(B4,input_428100!L:R,7,FALSE),VLOOKUP(tables_428100!C4,input_428100!A:H,8,FALSE))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input_428100!A$2</f>
        <v>428100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IFERROR(VLOOKUP(B5,input_428100!L:R,7,FALSE),VLOOKUP(tables_428100!C5,input_428100!A:H,8,FALSE))</f>
        <v>56400</v>
      </c>
      <c r="P5" s="46">
        <f t="shared" ca="1" si="1"/>
        <v>1.0444444444367082E-2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input_428100!A$2</f>
        <v>428100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IFERROR(VLOOKUP(B6,input_428100!L:R,7,FALSE),VLOOKUP(tables_428100!C6,input_428100!A:H,8,FALSE))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input_428100!A$2</f>
        <v>428100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IFERROR(VLOOKUP(B7,input_428100!L:R,7,FALSE),VLOOKUP(tables_428100!C7,input_428100!A:H,8,FALSE))</f>
        <v>56400</v>
      </c>
      <c r="P7" s="46">
        <f t="shared" ca="1" si="1"/>
        <v>1.0444444444367082E-2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input_428100!A$2</f>
        <v>428100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IFERROR(VLOOKUP(B8,input_428100!L:R,7,FALSE),VLOOKUP(tables_428100!C8,input_428100!A:H,8,FALSE))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input_428100!A$2</f>
        <v>428100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IFERROR(VLOOKUP(B9,input_428100!L:R,7,FALSE),VLOOKUP(tables_428100!C9,input_428100!A:H,8,FALSE))</f>
        <v>56400</v>
      </c>
      <c r="P9" s="46">
        <f t="shared" ca="1" si="1"/>
        <v>1.0444444444367082E-2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input_428100!A$2</f>
        <v>428100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IFERROR(VLOOKUP(B10,input_428100!L:R,7,FALSE),VLOOKUP(tables_428100!C10,input_428100!A:H,8,FALSE))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input_428100!A$2</f>
        <v>428100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IFERROR(VLOOKUP(B11,input_428100!L:R,7,FALSE),VLOOKUP(tables_428100!C11,input_428100!A:H,8,FALSE))</f>
        <v>56400</v>
      </c>
      <c r="P11" s="46">
        <f t="shared" ca="1" si="1"/>
        <v>1.0444444444367082E-2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input_428100!A$2</f>
        <v>428100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IFERROR(VLOOKUP(B12,input_428100!L:R,7,FALSE),VLOOKUP(tables_428100!C12,input_428100!A:H,8,FALSE))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input_428100!A$2</f>
        <v>428100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IFERROR(VLOOKUP(B13,input_428100!L:R,7,FALSE),VLOOKUP(tables_428100!C13,input_428100!A:H,8,FALSE))</f>
        <v>56400</v>
      </c>
      <c r="P13" s="46">
        <f t="shared" ca="1" si="1"/>
        <v>1.0444444444367082E-2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input_428100!A$2</f>
        <v>428100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IFERROR(VLOOKUP(B14,input_428100!L:R,7,FALSE),VLOOKUP(tables_428100!C14,input_428100!A:H,8,FALSE))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input_428100!A$2</f>
        <v>428100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IFERROR(VLOOKUP(B15,input_428100!L:R,7,FALSE),VLOOKUP(tables_428100!C15,input_428100!A:H,8,FALSE))</f>
        <v>56400</v>
      </c>
      <c r="P15" s="46">
        <f t="shared" ca="1" si="1"/>
        <v>1.0444444444367082E-2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input_428100!A$2</f>
        <v>428100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IFERROR(VLOOKUP(B16,input_428100!L:R,7,FALSE),VLOOKUP(tables_428100!C16,input_428100!A:H,8,FALSE))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input_428100!A$2</f>
        <v>428100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IFERROR(VLOOKUP(B17,input_428100!L:R,7,FALSE),VLOOKUP(tables_428100!C17,input_428100!A:H,8,FALSE))</f>
        <v>56400</v>
      </c>
      <c r="P17" s="46">
        <f t="shared" ca="1" si="1"/>
        <v>1.0444444444367082E-2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input_428100!A$2</f>
        <v>428100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IFERROR(VLOOKUP(B18,input_428100!L:R,7,FALSE),VLOOKUP(tables_428100!C18,input_428100!A:H,8,FALSE))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input_428100!A$2</f>
        <v>428100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IFERROR(VLOOKUP(B19,input_428100!L:R,7,FALSE),VLOOKUP(tables_428100!C19,input_428100!A:H,8,FALSE))</f>
        <v>56400</v>
      </c>
      <c r="P19" s="46">
        <f t="shared" ca="1" si="1"/>
        <v>1.0444444444367082E-2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input_428100!A$2</f>
        <v>428100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IFERROR(VLOOKUP(B20,input_428100!L:R,7,FALSE),VLOOKUP(tables_428100!C20,input_428100!A:H,8,FALSE))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input_428100!A$2</f>
        <v>428100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IFERROR(VLOOKUP(B21,input_428100!L:R,7,FALSE),VLOOKUP(tables_428100!C21,input_428100!A:H,8,FALSE))</f>
        <v>56400</v>
      </c>
      <c r="P21" s="46">
        <f t="shared" ca="1" si="1"/>
        <v>1.0444444444367082E-2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input_428100!A$2</f>
        <v>428100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IFERROR(VLOOKUP(B22,input_428100!L:R,7,FALSE),VLOOKUP(tables_428100!C22,input_428100!A:H,8,FALSE))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input_428100!A$2</f>
        <v>428100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IFERROR(VLOOKUP(B23,input_428100!L:R,7,FALSE),VLOOKUP(tables_428100!C23,input_428100!A:H,8,FALSE))</f>
        <v>56400</v>
      </c>
      <c r="P23" s="46">
        <f t="shared" ca="1" si="1"/>
        <v>1.0444444444367082E-2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input_428100!A$2</f>
        <v>428100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IFERROR(VLOOKUP(B24,input_428100!L:R,7,FALSE),VLOOKUP(tables_428100!C24,input_428100!A:H,8,FALSE))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input_428100!A$2</f>
        <v>428100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IFERROR(VLOOKUP(B25,input_428100!L:R,7,FALSE),VLOOKUP(tables_428100!C25,input_428100!A:H,8,FALSE))</f>
        <v>56400</v>
      </c>
      <c r="P25" s="46">
        <f t="shared" ca="1" si="1"/>
        <v>1.0444444444367082E-2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input_428100!A$2</f>
        <v>428100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IFERROR(VLOOKUP(B26,input_428100!L:R,7,FALSE),VLOOKUP(tables_428100!C26,input_428100!A:H,8,FALSE))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input_428100!A$2</f>
        <v>428100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IFERROR(VLOOKUP(B27,input_428100!L:R,7,FALSE),VLOOKUP(tables_428100!C27,input_428100!A:H,8,FALSE))</f>
        <v>56400</v>
      </c>
      <c r="P27" s="46">
        <f t="shared" ca="1" si="1"/>
        <v>1.0444444444367082E-2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input_428100!A$2</f>
        <v>428100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IFERROR(VLOOKUP(B28,input_428100!L:R,7,FALSE),VLOOKUP(tables_428100!C28,input_428100!A:H,8,FALSE))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input_428100!A$2</f>
        <v>428100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IFERROR(VLOOKUP(B29,input_428100!L:R,7,FALSE),VLOOKUP(tables_428100!C29,input_428100!A:H,8,FALSE))</f>
        <v>56400</v>
      </c>
      <c r="P29" s="46">
        <f t="shared" ca="1" si="1"/>
        <v>1.0444444444367082E-2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input_428100!A$2</f>
        <v>428100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IFERROR(VLOOKUP(B30,input_428100!L:R,7,FALSE),VLOOKUP(tables_428100!C30,input_428100!A:H,8,FALSE))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input_428100!A$2</f>
        <v>428100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IFERROR(VLOOKUP(B31,input_428100!L:R,7,FALSE),VLOOKUP(tables_428100!C31,input_428100!A:H,8,FALSE))</f>
        <v>56400</v>
      </c>
      <c r="P31" s="46">
        <f t="shared" ca="1" si="1"/>
        <v>1.0444444444367082E-2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input_428100!A$2</f>
        <v>428100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IFERROR(VLOOKUP(B32,input_428100!L:R,7,FALSE),VLOOKUP(tables_428100!C32,input_428100!A:H,8,FALSE))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input_428100!A$2</f>
        <v>428100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IFERROR(VLOOKUP(B33,input_428100!L:R,7,FALSE),VLOOKUP(tables_428100!C33,input_428100!A:H,8,FALSE))</f>
        <v>56400</v>
      </c>
      <c r="P33" s="46">
        <f t="shared" ca="1" si="1"/>
        <v>1.0444444444367082E-2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input_428100!A$2</f>
        <v>428100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IFERROR(VLOOKUP(B34,input_428100!L:R,7,FALSE),VLOOKUP(tables_428100!C34,input_428100!A:H,8,FALSE))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input_428100!A$2</f>
        <v>428100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IFERROR(VLOOKUP(B35,input_428100!L:R,7,FALSE),VLOOKUP(tables_428100!C35,input_428100!A:H,8,FALSE))</f>
        <v>56400</v>
      </c>
      <c r="P35" s="46">
        <f t="shared" ca="1" si="1"/>
        <v>1.0444444444367082E-2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input_428100!A$2</f>
        <v>428100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IFERROR(VLOOKUP(B36,input_428100!L:R,7,FALSE),VLOOKUP(tables_428100!C36,input_428100!A:H,8,FALSE))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input_428100!A$2</f>
        <v>428100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IFERROR(VLOOKUP(B37,input_428100!L:R,7,FALSE),VLOOKUP(tables_428100!C37,input_428100!A:H,8,FALSE))</f>
        <v>56400</v>
      </c>
      <c r="P37" s="46">
        <f t="shared" ca="1" si="1"/>
        <v>1.0444444444367082E-2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input_428100!A$2</f>
        <v>428100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IFERROR(VLOOKUP(B38,input_428100!L:R,7,FALSE),VLOOKUP(tables_428100!C38,input_428100!A:H,8,FALSE))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input_428100!A$2</f>
        <v>428100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IFERROR(VLOOKUP(B39,input_428100!L:R,7,FALSE),VLOOKUP(tables_428100!C39,input_428100!A:H,8,FALSE))</f>
        <v>56400</v>
      </c>
      <c r="P39" s="46">
        <f t="shared" ca="1" si="1"/>
        <v>1.0444444444367082E-2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input_428100!A$2</f>
        <v>428100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IFERROR(VLOOKUP(B40,input_428100!L:R,7,FALSE),VLOOKUP(tables_428100!C40,input_428100!A:H,8,FALSE))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input_428100!A$2</f>
        <v>428100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IFERROR(VLOOKUP(B41,input_428100!L:R,7,FALSE),VLOOKUP(tables_428100!C41,input_428100!A:H,8,FALSE))</f>
        <v>56400</v>
      </c>
      <c r="P41" s="46">
        <f t="shared" ca="1" si="1"/>
        <v>1.0444444444367082E-2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input_428100!A$2</f>
        <v>428100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IFERROR(VLOOKUP(B42,input_428100!L:R,7,FALSE),VLOOKUP(tables_428100!C42,input_428100!A:H,8,FALSE))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input_428100!A$2</f>
        <v>428100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IFERROR(VLOOKUP(B43,input_428100!L:R,7,FALSE),VLOOKUP(tables_428100!C43,input_428100!A:H,8,FALSE))</f>
        <v>53580</v>
      </c>
      <c r="P43" s="46">
        <f t="shared" ca="1" si="1"/>
        <v>9.9222222221487279E-3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input_428100!A$2</f>
        <v>428100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IFERROR(VLOOKUP(B44,input_428100!L:R,7,FALSE),VLOOKUP(tables_428100!C44,input_428100!A:H,8,FALSE))</f>
        <v>2820</v>
      </c>
      <c r="P44" s="46">
        <f t="shared" ca="1" si="1"/>
        <v>5.222222222183541E-4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input_428100!A$2</f>
        <v>428100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IFERROR(VLOOKUP(B45,input_428100!L:R,7,FALSE),VLOOKUP(tables_428100!C45,input_428100!A:H,8,FALSE))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input_428100!A$2</f>
        <v>428100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IFERROR(VLOOKUP(B46,input_428100!L:R,7,FALSE),VLOOKUP(tables_428100!C46,input_428100!A:H,8,FALSE))</f>
        <v>53580</v>
      </c>
      <c r="P46" s="46">
        <f t="shared" ca="1" si="1"/>
        <v>9.9222222221487279E-3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input_428100!A$2</f>
        <v>428100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IFERROR(VLOOKUP(B47,input_428100!L:R,7,FALSE),VLOOKUP(tables_428100!C47,input_428100!A:H,8,FALSE))</f>
        <v>2820</v>
      </c>
      <c r="P47" s="46">
        <f t="shared" ca="1" si="1"/>
        <v>5.222222222183541E-4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input_428100!A$2</f>
        <v>428100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IFERROR(VLOOKUP(B48,input_428100!L:R,7,FALSE),VLOOKUP(tables_428100!C48,input_428100!A:H,8,FALSE))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input_428100!A$2</f>
        <v>428100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IFERROR(VLOOKUP(B49,input_428100!L:R,7,FALSE),VLOOKUP(tables_428100!C49,input_428100!A:H,8,FALSE))</f>
        <v>53580</v>
      </c>
      <c r="P49" s="46">
        <f t="shared" ca="1" si="1"/>
        <v>9.9222222221487279E-3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input_428100!A$2</f>
        <v>428100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IFERROR(VLOOKUP(B50,input_428100!L:R,7,FALSE),VLOOKUP(tables_428100!C50,input_428100!A:H,8,FALSE))</f>
        <v>2820</v>
      </c>
      <c r="P50" s="46">
        <f t="shared" ca="1" si="1"/>
        <v>5.222222222183541E-4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input_428100!A$2</f>
        <v>428100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IFERROR(VLOOKUP(B51,input_428100!L:R,7,FALSE),VLOOKUP(tables_428100!C51,input_428100!A:H,8,FALSE))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input_428100!A$2</f>
        <v>428100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IFERROR(VLOOKUP(B52,input_428100!L:R,7,FALSE),VLOOKUP(tables_428100!C52,input_428100!A:H,8,FALSE))</f>
        <v>55330</v>
      </c>
      <c r="P52" s="46">
        <f t="shared" ca="1" si="1"/>
        <v>1.0246296296220401E-2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input_428100!A$2</f>
        <v>428100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IFERROR(VLOOKUP(B53,input_428100!L:R,7,FALSE),VLOOKUP(tables_428100!C53,input_428100!A:H,8,FALSE))</f>
        <v>1070</v>
      </c>
      <c r="P53" s="46">
        <f t="shared" ca="1" si="1"/>
        <v>1.9814814814668043E-4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input_428100!A$2</f>
        <v>428100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IFERROR(VLOOKUP(B54,input_428100!L:R,7,FALSE),VLOOKUP(tables_428100!C54,input_428100!A:H,8,FALSE))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input_428100!A$2</f>
        <v>428100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IFERROR(VLOOKUP(B55,input_428100!L:R,7,FALSE),VLOOKUP(tables_428100!C55,input_428100!A:H,8,FALSE))</f>
        <v>55330</v>
      </c>
      <c r="P55" s="46">
        <f t="shared" ca="1" si="1"/>
        <v>1.0246296296220401E-2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input_428100!A$2</f>
        <v>428100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IFERROR(VLOOKUP(B56,input_428100!L:R,7,FALSE),VLOOKUP(tables_428100!C56,input_428100!A:H,8,FALSE))</f>
        <v>1070</v>
      </c>
      <c r="P56" s="46">
        <f t="shared" ca="1" si="1"/>
        <v>1.9814814814668043E-4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input_428100!A$2</f>
        <v>428100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IFERROR(VLOOKUP(B57,input_428100!L:R,7,FALSE),VLOOKUP(tables_428100!C57,input_428100!A:H,8,FALSE))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input_428100!A$2</f>
        <v>428100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IFERROR(VLOOKUP(B58,input_428100!L:R,7,FALSE),VLOOKUP(tables_428100!C58,input_428100!A:H,8,FALSE))</f>
        <v>55330</v>
      </c>
      <c r="P58" s="46">
        <f t="shared" ca="1" si="1"/>
        <v>1.0246296296220401E-2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input_428100!A$2</f>
        <v>428100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IFERROR(VLOOKUP(B59,input_428100!L:R,7,FALSE),VLOOKUP(tables_428100!C59,input_428100!A:H,8,FALSE))</f>
        <v>1070</v>
      </c>
      <c r="P59" s="46">
        <f t="shared" ca="1" si="1"/>
        <v>1.9814814814668043E-4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input_428100!A$2</f>
        <v>428100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IFERROR(VLOOKUP(B60,input_428100!L:R,7,FALSE),VLOOKUP(tables_428100!C60,input_428100!A:H,8,FALSE))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input_428100!A$2</f>
        <v>428100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IFERROR(VLOOKUP(B61,input_428100!L:R,7,FALSE),VLOOKUP(tables_428100!C61,input_428100!A:H,8,FALSE))</f>
        <v>55330</v>
      </c>
      <c r="P61" s="46">
        <f t="shared" ca="1" si="1"/>
        <v>1.0246296296220401E-2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input_428100!A$2</f>
        <v>428100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IFERROR(VLOOKUP(B62,input_428100!L:R,7,FALSE),VLOOKUP(tables_428100!C62,input_428100!A:H,8,FALSE))</f>
        <v>1070</v>
      </c>
      <c r="P62" s="46">
        <f t="shared" ca="1" si="1"/>
        <v>1.9814814814668043E-4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input_428100!A$2</f>
        <v>428100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IFERROR(VLOOKUP(B63,input_428100!L:R,7,FALSE),VLOOKUP(tables_428100!C63,input_428100!A:H,8,FALSE))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input_428100!A$2</f>
        <v>428100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IFERROR(VLOOKUP(B64,input_428100!L:R,7,FALSE),VLOOKUP(tables_428100!C64,input_428100!A:H,8,FALSE))</f>
        <v>55330</v>
      </c>
      <c r="P64" s="46">
        <f t="shared" ca="1" si="1"/>
        <v>1.0246296296220401E-2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input_428100!A$2</f>
        <v>428100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IFERROR(VLOOKUP(B65,input_428100!L:R,7,FALSE),VLOOKUP(tables_428100!C65,input_428100!A:H,8,FALSE))</f>
        <v>1070</v>
      </c>
      <c r="P65" s="46">
        <f t="shared" ca="1" si="1"/>
        <v>1.9814814814668043E-4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input_428100!A$2</f>
        <v>428100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IFERROR(VLOOKUP(B66,input_428100!L:R,7,FALSE),VLOOKUP(tables_428100!C66,input_428100!A:H,8,FALSE))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input_428100!A$2</f>
        <v>428100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IFERROR(VLOOKUP(B67,input_428100!L:R,7,FALSE),VLOOKUP(tables_428100!C67,input_428100!A:H,8,FALSE))</f>
        <v>55330</v>
      </c>
      <c r="P67" s="46">
        <f t="shared" ca="1" si="4"/>
        <v>1.0246296296220401E-2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input_428100!A$2</f>
        <v>428100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IFERROR(VLOOKUP(B68,input_428100!L:R,7,FALSE),VLOOKUP(tables_428100!C68,input_428100!A:H,8,FALSE))</f>
        <v>1070</v>
      </c>
      <c r="P68" s="46">
        <f t="shared" ca="1" si="4"/>
        <v>1.9814814814668043E-4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input_428100!A$2</f>
        <v>428100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IFERROR(VLOOKUP(B69,input_428100!L:R,7,FALSE),VLOOKUP(tables_428100!C69,input_428100!A:H,8,FALSE))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input_428100!A$2</f>
        <v>428100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IFERROR(VLOOKUP(B70,input_428100!L:R,7,FALSE),VLOOKUP(tables_428100!C70,input_428100!A:H,8,FALSE))</f>
        <v>55330</v>
      </c>
      <c r="P70" s="46">
        <f t="shared" ca="1" si="4"/>
        <v>1.0246296296220401E-2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input_428100!A$2</f>
        <v>428100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IFERROR(VLOOKUP(B71,input_428100!L:R,7,FALSE),VLOOKUP(tables_428100!C71,input_428100!A:H,8,FALSE))</f>
        <v>1070</v>
      </c>
      <c r="P71" s="46">
        <f t="shared" ca="1" si="4"/>
        <v>1.9814814814668043E-4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input_428100!A$2</f>
        <v>428100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IFERROR(VLOOKUP(B72,input_428100!L:R,7,FALSE),VLOOKUP(tables_428100!C72,input_428100!A:H,8,FALSE))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input_428100!A$2</f>
        <v>428100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IFERROR(VLOOKUP(B73,input_428100!L:R,7,FALSE),VLOOKUP(tables_428100!C73,input_428100!A:H,8,FALSE))</f>
        <v>55330</v>
      </c>
      <c r="P73" s="46">
        <f t="shared" ca="1" si="4"/>
        <v>1.0246296296220401E-2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input_428100!A$2</f>
        <v>428100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IFERROR(VLOOKUP(B74,input_428100!L:R,7,FALSE),VLOOKUP(tables_428100!C74,input_428100!A:H,8,FALSE))</f>
        <v>1070</v>
      </c>
      <c r="P74" s="46">
        <f t="shared" ca="1" si="4"/>
        <v>1.9814814814668043E-4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input_428100!A$2</f>
        <v>428100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IFERROR(VLOOKUP(B75,input_428100!L:R,7,FALSE),VLOOKUP(tables_428100!C75,input_428100!A:H,8,FALSE))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input_428100!A$2</f>
        <v>428100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IFERROR(VLOOKUP(B76,input_428100!L:R,7,FALSE),VLOOKUP(tables_428100!C76,input_428100!A:H,8,FALSE))</f>
        <v>55330</v>
      </c>
      <c r="P76" s="46">
        <f t="shared" ca="1" si="4"/>
        <v>1.0246296296220401E-2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input_428100!A$2</f>
        <v>428100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IFERROR(VLOOKUP(B77,input_428100!L:R,7,FALSE),VLOOKUP(tables_428100!C77,input_428100!A:H,8,FALSE))</f>
        <v>1070</v>
      </c>
      <c r="P77" s="46">
        <f t="shared" ca="1" si="4"/>
        <v>1.9814814814668043E-4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input_428100!A$2</f>
        <v>428100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IFERROR(VLOOKUP(B78,input_428100!L:R,7,FALSE),VLOOKUP(tables_428100!C78,input_428100!A:H,8,FALSE))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input_428100!A$2</f>
        <v>428100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IFERROR(VLOOKUP(B79,input_428100!L:R,7,FALSE),VLOOKUP(tables_428100!C79,input_428100!A:H,8,FALSE))</f>
        <v>55330</v>
      </c>
      <c r="P79" s="46">
        <f t="shared" ca="1" si="4"/>
        <v>1.0246296296220401E-2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input_428100!A$2</f>
        <v>428100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IFERROR(VLOOKUP(B80,input_428100!L:R,7,FALSE),VLOOKUP(tables_428100!C80,input_428100!A:H,8,FALSE))</f>
        <v>1070</v>
      </c>
      <c r="P80" s="46">
        <f t="shared" ca="1" si="4"/>
        <v>1.9814814814668043E-4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input_428100!A$2</f>
        <v>428100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IFERROR(VLOOKUP(B81,input_428100!L:R,7,FALSE),VLOOKUP(tables_428100!C81,input_428100!A:H,8,FALSE))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input_428100!A$2</f>
        <v>428100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IFERROR(VLOOKUP(B82,input_428100!L:R,7,FALSE),VLOOKUP(tables_428100!C82,input_428100!A:H,8,FALSE))</f>
        <v>55330</v>
      </c>
      <c r="P82" s="46">
        <f t="shared" ca="1" si="4"/>
        <v>1.0246296296220401E-2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input_428100!A$2</f>
        <v>428100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IFERROR(VLOOKUP(B83,input_428100!L:R,7,FALSE),VLOOKUP(tables_428100!C83,input_428100!A:H,8,FALSE))</f>
        <v>1070</v>
      </c>
      <c r="P83" s="46">
        <f t="shared" ca="1" si="4"/>
        <v>1.9814814814668043E-4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input_428100!A$2</f>
        <v>428100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IFERROR(VLOOKUP(B84,input_428100!L:R,7,FALSE),VLOOKUP(tables_428100!C84,input_428100!A:H,8,FALSE))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input_428100!A$2</f>
        <v>428100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IFERROR(VLOOKUP(B85,input_428100!L:R,7,FALSE),VLOOKUP(tables_428100!C85,input_428100!A:H,8,FALSE))</f>
        <v>55330</v>
      </c>
      <c r="P85" s="46">
        <f t="shared" ca="1" si="4"/>
        <v>1.0246296296220401E-2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input_428100!A$2</f>
        <v>428100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IFERROR(VLOOKUP(B86,input_428100!L:R,7,FALSE),VLOOKUP(tables_428100!C86,input_428100!A:H,8,FALSE))</f>
        <v>1070</v>
      </c>
      <c r="P86" s="46">
        <f t="shared" ca="1" si="4"/>
        <v>1.9814814814668043E-4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input_428100!A$2</f>
        <v>428100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IFERROR(VLOOKUP(B87,input_428100!L:R,7,FALSE),VLOOKUP(tables_428100!C87,input_428100!A:H,8,FALSE))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input_428100!A$2</f>
        <v>428100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IFERROR(VLOOKUP(B88,input_428100!L:R,7,FALSE),VLOOKUP(tables_428100!C88,input_428100!A:H,8,FALSE))</f>
        <v>55330</v>
      </c>
      <c r="P88" s="46">
        <f t="shared" ca="1" si="4"/>
        <v>1.0246296296220401E-2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input_428100!A$2</f>
        <v>428100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IFERROR(VLOOKUP(B89,input_428100!L:R,7,FALSE),VLOOKUP(tables_428100!C89,input_428100!A:H,8,FALSE))</f>
        <v>1070</v>
      </c>
      <c r="P89" s="46">
        <f t="shared" ca="1" si="4"/>
        <v>1.9814814814668043E-4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input_428100!A$2</f>
        <v>428100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IFERROR(VLOOKUP(B90,input_428100!L:R,7,FALSE),VLOOKUP(tables_428100!C90,input_428100!A:H,8,FALSE))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input_428100!A$2</f>
        <v>428100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IFERROR(VLOOKUP(B91,input_428100!L:R,7,FALSE),VLOOKUP(tables_428100!C91,input_428100!A:H,8,FALSE))</f>
        <v>55330</v>
      </c>
      <c r="P91" s="46">
        <f t="shared" ca="1" si="4"/>
        <v>1.0246296296220401E-2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input_428100!A$2</f>
        <v>428100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IFERROR(VLOOKUP(B92,input_428100!L:R,7,FALSE),VLOOKUP(tables_428100!C92,input_428100!A:H,8,FALSE))</f>
        <v>1070</v>
      </c>
      <c r="P92" s="46">
        <f t="shared" ca="1" si="4"/>
        <v>1.9814814814668043E-4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input_428100!A$2</f>
        <v>428100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IFERROR(VLOOKUP(B93,input_428100!L:R,7,FALSE),VLOOKUP(tables_428100!C93,input_428100!A:H,8,FALSE))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input_428100!A$2</f>
        <v>428100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IFERROR(VLOOKUP(B94,input_428100!L:R,7,FALSE),VLOOKUP(tables_428100!C94,input_428100!A:H,8,FALSE))</f>
        <v>55330</v>
      </c>
      <c r="P94" s="46">
        <f t="shared" ca="1" si="4"/>
        <v>1.0246296296220401E-2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input_428100!A$2</f>
        <v>428100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IFERROR(VLOOKUP(B95,input_428100!L:R,7,FALSE),VLOOKUP(tables_428100!C95,input_428100!A:H,8,FALSE))</f>
        <v>1070</v>
      </c>
      <c r="P95" s="46">
        <f t="shared" ca="1" si="4"/>
        <v>1.9814814814668043E-4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input_428100!A$2</f>
        <v>428100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IFERROR(VLOOKUP(B96,input_428100!L:R,7,FALSE),VLOOKUP(tables_428100!C96,input_428100!A:H,8,FALSE))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input_428100!A$2</f>
        <v>428100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IFERROR(VLOOKUP(B97,input_428100!L:R,7,FALSE),VLOOKUP(tables_428100!C97,input_428100!A:H,8,FALSE))</f>
        <v>55330</v>
      </c>
      <c r="P97" s="46">
        <f t="shared" ca="1" si="4"/>
        <v>1.0246296296220401E-2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input_428100!A$2</f>
        <v>428100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IFERROR(VLOOKUP(B98,input_428100!L:R,7,FALSE),VLOOKUP(tables_428100!C98,input_428100!A:H,8,FALSE))</f>
        <v>1070</v>
      </c>
      <c r="P98" s="46">
        <f t="shared" ca="1" si="4"/>
        <v>1.9814814814668043E-4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input_428100!A$2</f>
        <v>428100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IFERROR(VLOOKUP(B99,input_428100!L:R,7,FALSE),VLOOKUP(tables_428100!C99,input_428100!A:H,8,FALSE))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input_428100!A$2</f>
        <v>428100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IFERROR(VLOOKUP(B100,input_428100!L:R,7,FALSE),VLOOKUP(tables_428100!C100,input_428100!A:H,8,FALSE))</f>
        <v>55330</v>
      </c>
      <c r="P100" s="46">
        <f t="shared" ca="1" si="4"/>
        <v>1.0246296296220401E-2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input_428100!A$2</f>
        <v>428100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IFERROR(VLOOKUP(B101,input_428100!L:R,7,FALSE),VLOOKUP(tables_428100!C101,input_428100!A:H,8,FALSE))</f>
        <v>1070</v>
      </c>
      <c r="P101" s="46">
        <f t="shared" ca="1" si="4"/>
        <v>1.9814814814668043E-4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input_428100!A$2</f>
        <v>428100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IFERROR(VLOOKUP(B102,input_428100!L:R,7,FALSE),VLOOKUP(tables_428100!C102,input_428100!A:H,8,FALSE))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input_428100!A$2</f>
        <v>428100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IFERROR(VLOOKUP(B103,input_428100!L:R,7,FALSE),VLOOKUP(tables_428100!C103,input_428100!A:H,8,FALSE))</f>
        <v>55330</v>
      </c>
      <c r="P103" s="46">
        <f t="shared" ca="1" si="4"/>
        <v>1.0246296296220401E-2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input_428100!A$2</f>
        <v>428100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IFERROR(VLOOKUP(B104,input_428100!L:R,7,FALSE),VLOOKUP(tables_428100!C104,input_428100!A:H,8,FALSE))</f>
        <v>1070</v>
      </c>
      <c r="P104" s="46">
        <f t="shared" ca="1" si="4"/>
        <v>1.9814814814668043E-4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input_428100!A$2</f>
        <v>428100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IFERROR(VLOOKUP(B105,input_428100!L:R,7,FALSE),VLOOKUP(tables_428100!C105,input_428100!A:H,8,FALSE))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input_428100!A$2</f>
        <v>428100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IFERROR(VLOOKUP(B106,input_428100!L:R,7,FALSE),VLOOKUP(tables_428100!C106,input_428100!A:H,8,FALSE))</f>
        <v>55330</v>
      </c>
      <c r="P106" s="46">
        <f t="shared" ca="1" si="4"/>
        <v>1.0246296296220401E-2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input_428100!A$2</f>
        <v>428100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IFERROR(VLOOKUP(B107,input_428100!L:R,7,FALSE),VLOOKUP(tables_428100!C107,input_428100!A:H,8,FALSE))</f>
        <v>1070</v>
      </c>
      <c r="P107" s="46">
        <f t="shared" ca="1" si="4"/>
        <v>1.9814814814668043E-4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input_428100!A$2</f>
        <v>428100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IFERROR(VLOOKUP(B108,input_428100!L:R,7,FALSE),VLOOKUP(tables_428100!C108,input_428100!A:H,8,FALSE))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input_428100!A$2</f>
        <v>428100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IFERROR(VLOOKUP(B109,input_428100!L:R,7,FALSE),VLOOKUP(tables_428100!C109,input_428100!A:H,8,FALSE))</f>
        <v>55330</v>
      </c>
      <c r="P109" s="46">
        <f t="shared" ca="1" si="4"/>
        <v>1.0246296296220401E-2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input_428100!A$2</f>
        <v>428100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IFERROR(VLOOKUP(B110,input_428100!L:R,7,FALSE),VLOOKUP(tables_428100!C110,input_428100!A:H,8,FALSE))</f>
        <v>1070</v>
      </c>
      <c r="P110" s="46">
        <f t="shared" ca="1" si="4"/>
        <v>1.9814814814668043E-4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input_428100!A$2</f>
        <v>428100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IFERROR(VLOOKUP(B111,input_428100!L:R,7,FALSE),VLOOKUP(tables_428100!C111,input_428100!A:H,8,FALSE))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input_428100!A$2</f>
        <v>428100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IFERROR(VLOOKUP(B112,input_428100!L:R,7,FALSE),VLOOKUP(tables_428100!C112,input_428100!A:H,8,FALSE))</f>
        <v>53580</v>
      </c>
      <c r="P112" s="46">
        <f t="shared" ca="1" si="4"/>
        <v>9.9222222221487279E-3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input_428100!A$2</f>
        <v>428100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IFERROR(VLOOKUP(B113,input_428100!L:R,7,FALSE),VLOOKUP(tables_428100!C113,input_428100!A:H,8,FALSE))</f>
        <v>2820</v>
      </c>
      <c r="P113" s="46">
        <f t="shared" ca="1" si="4"/>
        <v>5.222222222183541E-4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input_428100!A$2</f>
        <v>428100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IFERROR(VLOOKUP(B114,input_428100!L:R,7,FALSE),VLOOKUP(tables_428100!C114,input_428100!A:H,8,FALSE))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input_428100!A$2</f>
        <v>428100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IFERROR(VLOOKUP(B115,input_428100!L:R,7,FALSE),VLOOKUP(tables_428100!C115,input_428100!A:H,8,FALSE))</f>
        <v>55330</v>
      </c>
      <c r="P115" s="46">
        <f t="shared" ca="1" si="4"/>
        <v>1.0246296296220401E-2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input_428100!A$2</f>
        <v>428100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IFERROR(VLOOKUP(B116,input_428100!L:R,7,FALSE),VLOOKUP(tables_428100!C116,input_428100!A:H,8,FALSE))</f>
        <v>1070</v>
      </c>
      <c r="P116" s="46">
        <f t="shared" ca="1" si="4"/>
        <v>1.9814814814668043E-4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input_428100!A$2</f>
        <v>428100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IFERROR(VLOOKUP(B117,input_428100!L:R,7,FALSE),VLOOKUP(tables_428100!C117,input_428100!A:H,8,FALSE))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input_428100!A$2</f>
        <v>428100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IFERROR(VLOOKUP(B118,input_428100!L:R,7,FALSE),VLOOKUP(tables_428100!C118,input_428100!A:H,8,FALSE))</f>
        <v>55330</v>
      </c>
      <c r="P118" s="46">
        <f t="shared" ca="1" si="4"/>
        <v>1.0246296296220401E-2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input_428100!A$2</f>
        <v>428100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IFERROR(VLOOKUP(B119,input_428100!L:R,7,FALSE),VLOOKUP(tables_428100!C119,input_428100!A:H,8,FALSE))</f>
        <v>1070</v>
      </c>
      <c r="P119" s="46">
        <f t="shared" ca="1" si="4"/>
        <v>1.9814814814668043E-4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input_428100!A$2</f>
        <v>428100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IFERROR(VLOOKUP(B120,input_428100!L:R,7,FALSE),VLOOKUP(tables_428100!C120,input_428100!A:H,8,FALSE))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input_428100!A$2</f>
        <v>428100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IFERROR(VLOOKUP(B121,input_428100!L:R,7,FALSE),VLOOKUP(tables_428100!C121,input_428100!A:H,8,FALSE))</f>
        <v>55330</v>
      </c>
      <c r="P121" s="46">
        <f t="shared" ca="1" si="4"/>
        <v>1.0246296296220401E-2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input_428100!A$2</f>
        <v>428100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IFERROR(VLOOKUP(B122,input_428100!L:R,7,FALSE),VLOOKUP(tables_428100!C122,input_428100!A:H,8,FALSE))</f>
        <v>1070</v>
      </c>
      <c r="P122" s="46">
        <f t="shared" ca="1" si="4"/>
        <v>1.9814814814668043E-4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input_428100!A$2</f>
        <v>428100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IFERROR(VLOOKUP(B123,input_428100!L:R,7,FALSE),VLOOKUP(tables_428100!C123,input_428100!A:H,8,FALSE))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input_428100!A$2</f>
        <v>428100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IFERROR(VLOOKUP(B124,input_428100!L:R,7,FALSE),VLOOKUP(tables_428100!C124,input_428100!A:H,8,FALSE))</f>
        <v>55330</v>
      </c>
      <c r="P124" s="46">
        <f t="shared" ca="1" si="4"/>
        <v>1.0246296296220401E-2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input_428100!A$2</f>
        <v>428100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IFERROR(VLOOKUP(B125,input_428100!L:R,7,FALSE),VLOOKUP(tables_428100!C125,input_428100!A:H,8,FALSE))</f>
        <v>1070</v>
      </c>
      <c r="P125" s="46">
        <f t="shared" ca="1" si="4"/>
        <v>1.9814814814668043E-4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input_428100!A$2</f>
        <v>428100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IFERROR(VLOOKUP(B126,input_428100!L:R,7,FALSE),VLOOKUP(tables_428100!C126,input_428100!A:H,8,FALSE))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input_428100!A$2</f>
        <v>428100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IFERROR(VLOOKUP(B127,input_428100!L:R,7,FALSE),VLOOKUP(tables_428100!C127,input_428100!A:H,8,FALSE))</f>
        <v>55330</v>
      </c>
      <c r="P127" s="46">
        <f t="shared" ca="1" si="4"/>
        <v>1.0246296296220401E-2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input_428100!A$2</f>
        <v>428100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IFERROR(VLOOKUP(B128,input_428100!L:R,7,FALSE),VLOOKUP(tables_428100!C128,input_428100!A:H,8,FALSE))</f>
        <v>1070</v>
      </c>
      <c r="P128" s="46">
        <f t="shared" ca="1" si="4"/>
        <v>1.9814814814668043E-4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input_428100!A$2</f>
        <v>428100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IFERROR(VLOOKUP(B129,input_428100!L:R,7,FALSE),VLOOKUP(tables_428100!C129,input_428100!A:H,8,FALSE))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input_428100!A$2</f>
        <v>428100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IFERROR(VLOOKUP(B130,input_428100!L:R,7,FALSE),VLOOKUP(tables_428100!C130,input_428100!A:H,8,FALSE))</f>
        <v>55330</v>
      </c>
      <c r="P130" s="46">
        <f t="shared" ref="P130:P193" ca="1" si="7">O130/SUM(O:O)</f>
        <v>1.0246296296220401E-2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input_428100!A$2</f>
        <v>428100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IFERROR(VLOOKUP(B131,input_428100!L:R,7,FALSE),VLOOKUP(tables_428100!C131,input_428100!A:H,8,FALSE))</f>
        <v>1070</v>
      </c>
      <c r="P131" s="46">
        <f t="shared" ca="1" si="7"/>
        <v>1.9814814814668043E-4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input_428100!A$2</f>
        <v>428100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IFERROR(VLOOKUP(B132,input_428100!L:R,7,FALSE),VLOOKUP(tables_428100!C132,input_428100!A:H,8,FALSE))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input_428100!A$2</f>
        <v>428100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IFERROR(VLOOKUP(B133,input_428100!L:R,7,FALSE),VLOOKUP(tables_428100!C133,input_428100!A:H,8,FALSE))</f>
        <v>55330</v>
      </c>
      <c r="P133" s="46">
        <f t="shared" ca="1" si="7"/>
        <v>1.0246296296220401E-2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input_428100!A$2</f>
        <v>428100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IFERROR(VLOOKUP(B134,input_428100!L:R,7,FALSE),VLOOKUP(tables_428100!C134,input_428100!A:H,8,FALSE))</f>
        <v>1070</v>
      </c>
      <c r="P134" s="46">
        <f t="shared" ca="1" si="7"/>
        <v>1.9814814814668043E-4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input_428100!A$2</f>
        <v>428100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IFERROR(VLOOKUP(B135,input_428100!L:R,7,FALSE),VLOOKUP(tables_428100!C135,input_428100!A:H,8,FALSE))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input_428100!A$2</f>
        <v>428100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IFERROR(VLOOKUP(B136,input_428100!L:R,7,FALSE),VLOOKUP(tables_428100!C136,input_428100!A:H,8,FALSE))</f>
        <v>55330</v>
      </c>
      <c r="P136" s="46">
        <f t="shared" ca="1" si="7"/>
        <v>1.0246296296220401E-2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input_428100!A$2</f>
        <v>428100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IFERROR(VLOOKUP(B137,input_428100!L:R,7,FALSE),VLOOKUP(tables_428100!C137,input_428100!A:H,8,FALSE))</f>
        <v>1070</v>
      </c>
      <c r="P137" s="46">
        <f t="shared" ca="1" si="7"/>
        <v>1.9814814814668043E-4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input_428100!A$2</f>
        <v>428100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IFERROR(VLOOKUP(B138,input_428100!L:R,7,FALSE),VLOOKUP(tables_428100!C138,input_428100!A:H,8,FALSE))</f>
        <v>5728.57143</v>
      </c>
      <c r="P138" s="46">
        <f t="shared" ca="1" si="7"/>
        <v>1.0608465611032533E-3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input_428100!A$2</f>
        <v>428100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IFERROR(VLOOKUP(B139,input_428100!L:R,7,FALSE),VLOOKUP(tables_428100!C139,input_428100!A:H,8,FALSE))</f>
        <v>200</v>
      </c>
      <c r="P139" s="46">
        <f t="shared" ca="1" si="7"/>
        <v>3.70370370367627E-5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input_428100!A$2</f>
        <v>428100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IFERROR(VLOOKUP(B140,input_428100!L:R,7,FALSE),VLOOKUP(tables_428100!C140,input_428100!A:H,8,FALSE))</f>
        <v>5728.57143</v>
      </c>
      <c r="P140" s="46">
        <f t="shared" ca="1" si="7"/>
        <v>1.0608465611032533E-3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input_428100!A$2</f>
        <v>428100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IFERROR(VLOOKUP(B141,input_428100!L:R,7,FALSE),VLOOKUP(tables_428100!C141,input_428100!A:H,8,FALSE))</f>
        <v>200</v>
      </c>
      <c r="P141" s="46">
        <f t="shared" ca="1" si="7"/>
        <v>3.70370370367627E-5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input_428100!A$2</f>
        <v>428100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IFERROR(VLOOKUP(B142,input_428100!L:R,7,FALSE),VLOOKUP(tables_428100!C142,input_428100!A:H,8,FALSE))</f>
        <v>5728.57143</v>
      </c>
      <c r="P142" s="46">
        <f t="shared" ca="1" si="7"/>
        <v>1.0608465611032533E-3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input_428100!A$2</f>
        <v>428100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IFERROR(VLOOKUP(B143,input_428100!L:R,7,FALSE),VLOOKUP(tables_428100!C143,input_428100!A:H,8,FALSE))</f>
        <v>200</v>
      </c>
      <c r="P143" s="46">
        <f t="shared" ca="1" si="7"/>
        <v>3.70370370367627E-5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input_428100!A$2</f>
        <v>428100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IFERROR(VLOOKUP(B144,input_428100!L:R,7,FALSE),VLOOKUP(tables_428100!C144,input_428100!A:H,8,FALSE))</f>
        <v>5728.57143</v>
      </c>
      <c r="P144" s="46">
        <f t="shared" ca="1" si="7"/>
        <v>1.0608465611032533E-3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input_428100!A$2</f>
        <v>428100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IFERROR(VLOOKUP(B145,input_428100!L:R,7,FALSE),VLOOKUP(tables_428100!C145,input_428100!A:H,8,FALSE))</f>
        <v>200</v>
      </c>
      <c r="P145" s="46">
        <f t="shared" ca="1" si="7"/>
        <v>3.70370370367627E-5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input_428100!A$2</f>
        <v>428100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IFERROR(VLOOKUP(B146,input_428100!L:R,7,FALSE),VLOOKUP(tables_428100!C146,input_428100!A:H,8,FALSE))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input_428100!A$2</f>
        <v>428100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IFERROR(VLOOKUP(B147,input_428100!L:R,7,FALSE),VLOOKUP(tables_428100!C147,input_428100!A:H,8,FALSE))</f>
        <v>55330</v>
      </c>
      <c r="P147" s="46">
        <f t="shared" ca="1" si="7"/>
        <v>1.0246296296220401E-2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input_428100!A$2</f>
        <v>428100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IFERROR(VLOOKUP(B148,input_428100!L:R,7,FALSE),VLOOKUP(tables_428100!C148,input_428100!A:H,8,FALSE))</f>
        <v>1070</v>
      </c>
      <c r="P148" s="46">
        <f t="shared" ca="1" si="7"/>
        <v>1.9814814814668043E-4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input_428100!A$2</f>
        <v>428100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IFERROR(VLOOKUP(B149,input_428100!L:R,7,FALSE),VLOOKUP(tables_428100!C149,input_428100!A:H,8,FALSE))</f>
        <v>5728.57143</v>
      </c>
      <c r="P149" s="46">
        <f t="shared" ca="1" si="7"/>
        <v>1.0608465611032533E-3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input_428100!A$2</f>
        <v>428100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IFERROR(VLOOKUP(B150,input_428100!L:R,7,FALSE),VLOOKUP(tables_428100!C150,input_428100!A:H,8,FALSE))</f>
        <v>200</v>
      </c>
      <c r="P150" s="46">
        <f t="shared" ca="1" si="7"/>
        <v>3.70370370367627E-5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input_428100!A$2</f>
        <v>428100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IFERROR(VLOOKUP(B151,input_428100!L:R,7,FALSE),VLOOKUP(tables_428100!C151,input_428100!A:H,8,FALSE))</f>
        <v>5728.57143</v>
      </c>
      <c r="P151" s="46">
        <f t="shared" ca="1" si="7"/>
        <v>1.0608465611032533E-3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input_428100!A$2</f>
        <v>428100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IFERROR(VLOOKUP(B152,input_428100!L:R,7,FALSE),VLOOKUP(tables_428100!C152,input_428100!A:H,8,FALSE))</f>
        <v>200</v>
      </c>
      <c r="P152" s="46">
        <f t="shared" ca="1" si="7"/>
        <v>3.70370370367627E-5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input_428100!A$2</f>
        <v>428100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IFERROR(VLOOKUP(B153,input_428100!L:R,7,FALSE),VLOOKUP(tables_428100!C153,input_428100!A:H,8,FALSE))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input_428100!A$2</f>
        <v>428100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IFERROR(VLOOKUP(B154,input_428100!L:R,7,FALSE),VLOOKUP(tables_428100!C154,input_428100!A:H,8,FALSE))</f>
        <v>55330</v>
      </c>
      <c r="P154" s="46">
        <f t="shared" ca="1" si="7"/>
        <v>1.0246296296220401E-2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input_428100!A$2</f>
        <v>428100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IFERROR(VLOOKUP(B155,input_428100!L:R,7,FALSE),VLOOKUP(tables_428100!C155,input_428100!A:H,8,FALSE))</f>
        <v>1070</v>
      </c>
      <c r="P155" s="46">
        <f t="shared" ca="1" si="7"/>
        <v>1.9814814814668043E-4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input_428100!A$2</f>
        <v>428100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IFERROR(VLOOKUP(B156,input_428100!L:R,7,FALSE),VLOOKUP(tables_428100!C156,input_428100!A:H,8,FALSE))</f>
        <v>5728.57143</v>
      </c>
      <c r="P156" s="46">
        <f t="shared" ca="1" si="7"/>
        <v>1.0608465611032533E-3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input_428100!A$2</f>
        <v>428100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IFERROR(VLOOKUP(B157,input_428100!L:R,7,FALSE),VLOOKUP(tables_428100!C157,input_428100!A:H,8,FALSE))</f>
        <v>200</v>
      </c>
      <c r="P157" s="46">
        <f t="shared" ca="1" si="7"/>
        <v>3.70370370367627E-5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input_428100!A$2</f>
        <v>428100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IFERROR(VLOOKUP(B158,input_428100!L:R,7,FALSE),VLOOKUP(tables_428100!C158,input_428100!A:H,8,FALSE))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input_428100!A$2</f>
        <v>428100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IFERROR(VLOOKUP(B159,input_428100!L:R,7,FALSE),VLOOKUP(tables_428100!C159,input_428100!A:H,8,FALSE))</f>
        <v>55330</v>
      </c>
      <c r="P159" s="46">
        <f t="shared" ca="1" si="7"/>
        <v>1.0246296296220401E-2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input_428100!A$2</f>
        <v>428100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IFERROR(VLOOKUP(B160,input_428100!L:R,7,FALSE),VLOOKUP(tables_428100!C160,input_428100!A:H,8,FALSE))</f>
        <v>1070</v>
      </c>
      <c r="P160" s="46">
        <f t="shared" ca="1" si="7"/>
        <v>1.9814814814668043E-4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input_428100!A$2</f>
        <v>428100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IFERROR(VLOOKUP(B161,input_428100!L:R,7,FALSE),VLOOKUP(tables_428100!C161,input_428100!A:H,8,FALSE))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input_428100!A$2</f>
        <v>428100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IFERROR(VLOOKUP(B162,input_428100!L:R,7,FALSE),VLOOKUP(tables_428100!C162,input_428100!A:H,8,FALSE))</f>
        <v>55330</v>
      </c>
      <c r="P162" s="46">
        <f t="shared" ca="1" si="7"/>
        <v>1.0246296296220401E-2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input_428100!A$2</f>
        <v>428100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IFERROR(VLOOKUP(B163,input_428100!L:R,7,FALSE),VLOOKUP(tables_428100!C163,input_428100!A:H,8,FALSE))</f>
        <v>1070</v>
      </c>
      <c r="P163" s="46">
        <f t="shared" ca="1" si="7"/>
        <v>1.9814814814668043E-4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input_428100!A$2</f>
        <v>428100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IFERROR(VLOOKUP(B164,input_428100!L:R,7,FALSE),VLOOKUP(tables_428100!C164,input_428100!A:H,8,FALSE))</f>
        <v>5728.57143</v>
      </c>
      <c r="P164" s="46">
        <f t="shared" ca="1" si="7"/>
        <v>1.0608465611032533E-3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input_428100!A$2</f>
        <v>428100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IFERROR(VLOOKUP(B165,input_428100!L:R,7,FALSE),VLOOKUP(tables_428100!C165,input_428100!A:H,8,FALSE))</f>
        <v>200</v>
      </c>
      <c r="P165" s="46">
        <f t="shared" ca="1" si="7"/>
        <v>3.70370370367627E-5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input_428100!A$2</f>
        <v>428100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IFERROR(VLOOKUP(B166,input_428100!L:R,7,FALSE),VLOOKUP(tables_428100!C166,input_428100!A:H,8,FALSE))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input_428100!A$2</f>
        <v>428100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IFERROR(VLOOKUP(B167,input_428100!L:R,7,FALSE),VLOOKUP(tables_428100!C167,input_428100!A:H,8,FALSE))</f>
        <v>55330</v>
      </c>
      <c r="P167" s="46">
        <f t="shared" ca="1" si="7"/>
        <v>1.0246296296220401E-2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input_428100!A$2</f>
        <v>428100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IFERROR(VLOOKUP(B168,input_428100!L:R,7,FALSE),VLOOKUP(tables_428100!C168,input_428100!A:H,8,FALSE))</f>
        <v>1070</v>
      </c>
      <c r="P168" s="46">
        <f t="shared" ca="1" si="7"/>
        <v>1.9814814814668043E-4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input_428100!A$2</f>
        <v>428100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IFERROR(VLOOKUP(B169,input_428100!L:R,7,FALSE),VLOOKUP(tables_428100!C169,input_428100!A:H,8,FALSE))</f>
        <v>5728.57143</v>
      </c>
      <c r="P169" s="46">
        <f t="shared" ca="1" si="7"/>
        <v>1.0608465611032533E-3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input_428100!A$2</f>
        <v>428100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IFERROR(VLOOKUP(B170,input_428100!L:R,7,FALSE),VLOOKUP(tables_428100!C170,input_428100!A:H,8,FALSE))</f>
        <v>200</v>
      </c>
      <c r="P170" s="46">
        <f t="shared" ca="1" si="7"/>
        <v>3.70370370367627E-5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input_428100!A$2</f>
        <v>428100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IFERROR(VLOOKUP(B171,input_428100!L:R,7,FALSE),VLOOKUP(tables_428100!C171,input_428100!A:H,8,FALSE))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input_428100!A$2</f>
        <v>428100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IFERROR(VLOOKUP(B172,input_428100!L:R,7,FALSE),VLOOKUP(tables_428100!C172,input_428100!A:H,8,FALSE))</f>
        <v>55330</v>
      </c>
      <c r="P172" s="46">
        <f t="shared" ca="1" si="7"/>
        <v>1.0246296296220401E-2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input_428100!A$2</f>
        <v>428100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IFERROR(VLOOKUP(B173,input_428100!L:R,7,FALSE),VLOOKUP(tables_428100!C173,input_428100!A:H,8,FALSE))</f>
        <v>1070</v>
      </c>
      <c r="P173" s="46">
        <f t="shared" ca="1" si="7"/>
        <v>1.9814814814668043E-4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input_428100!A$2</f>
        <v>428100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IFERROR(VLOOKUP(B174,input_428100!L:R,7,FALSE),VLOOKUP(tables_428100!C174,input_428100!A:H,8,FALSE))</f>
        <v>5728.57143</v>
      </c>
      <c r="P174" s="46">
        <f t="shared" ca="1" si="7"/>
        <v>1.0608465611032533E-3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input_428100!A$2</f>
        <v>428100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IFERROR(VLOOKUP(B175,input_428100!L:R,7,FALSE),VLOOKUP(tables_428100!C175,input_428100!A:H,8,FALSE))</f>
        <v>200</v>
      </c>
      <c r="P175" s="46">
        <f t="shared" ca="1" si="7"/>
        <v>3.70370370367627E-5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input_428100!A$2</f>
        <v>428100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IFERROR(VLOOKUP(B176,input_428100!L:R,7,FALSE),VLOOKUP(tables_428100!C176,input_428100!A:H,8,FALSE))</f>
        <v>5728.57143</v>
      </c>
      <c r="P176" s="46">
        <f t="shared" ca="1" si="7"/>
        <v>1.0608465611032533E-3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input_428100!A$2</f>
        <v>428100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IFERROR(VLOOKUP(B177,input_428100!L:R,7,FALSE),VLOOKUP(tables_428100!C177,input_428100!A:H,8,FALSE))</f>
        <v>200</v>
      </c>
      <c r="P177" s="46">
        <f t="shared" ca="1" si="7"/>
        <v>3.70370370367627E-5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input_428100!A$2</f>
        <v>428100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IFERROR(VLOOKUP(B178,input_428100!L:R,7,FALSE),VLOOKUP(tables_428100!C178,input_428100!A:H,8,FALSE))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input_428100!A$2</f>
        <v>428100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IFERROR(VLOOKUP(B179,input_428100!L:R,7,FALSE),VLOOKUP(tables_428100!C179,input_428100!A:H,8,FALSE))</f>
        <v>55330</v>
      </c>
      <c r="P179" s="46">
        <f t="shared" ca="1" si="7"/>
        <v>1.0246296296220401E-2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input_428100!A$2</f>
        <v>428100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IFERROR(VLOOKUP(B180,input_428100!L:R,7,FALSE),VLOOKUP(tables_428100!C180,input_428100!A:H,8,FALSE))</f>
        <v>1070</v>
      </c>
      <c r="P180" s="46">
        <f t="shared" ca="1" si="7"/>
        <v>1.9814814814668043E-4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input_428100!A$2</f>
        <v>428100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IFERROR(VLOOKUP(B181,input_428100!L:R,7,FALSE),VLOOKUP(tables_428100!C181,input_428100!A:H,8,FALSE))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input_428100!A$2</f>
        <v>428100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IFERROR(VLOOKUP(B182,input_428100!L:R,7,FALSE),VLOOKUP(tables_428100!C182,input_428100!A:H,8,FALSE))</f>
        <v>55330</v>
      </c>
      <c r="P182" s="46">
        <f t="shared" ca="1" si="7"/>
        <v>1.0246296296220401E-2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input_428100!A$2</f>
        <v>428100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IFERROR(VLOOKUP(B183,input_428100!L:R,7,FALSE),VLOOKUP(tables_428100!C183,input_428100!A:H,8,FALSE))</f>
        <v>1070</v>
      </c>
      <c r="P183" s="46">
        <f t="shared" ca="1" si="7"/>
        <v>1.9814814814668043E-4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input_428100!A$2</f>
        <v>428100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IFERROR(VLOOKUP(B184,input_428100!L:R,7,FALSE),VLOOKUP(tables_428100!C184,input_428100!A:H,8,FALSE))</f>
        <v>5728.57143</v>
      </c>
      <c r="P184" s="46">
        <f t="shared" ca="1" si="7"/>
        <v>1.0608465611032533E-3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input_428100!A$2</f>
        <v>428100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IFERROR(VLOOKUP(B185,input_428100!L:R,7,FALSE),VLOOKUP(tables_428100!C185,input_428100!A:H,8,FALSE))</f>
        <v>200</v>
      </c>
      <c r="P185" s="46">
        <f t="shared" ca="1" si="7"/>
        <v>3.70370370367627E-5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input_428100!A$2</f>
        <v>428100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IFERROR(VLOOKUP(B186,input_428100!L:R,7,FALSE),VLOOKUP(tables_428100!C186,input_428100!A:H,8,FALSE))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input_428100!A$2</f>
        <v>428100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IFERROR(VLOOKUP(B187,input_428100!L:R,7,FALSE),VLOOKUP(tables_428100!C187,input_428100!A:H,8,FALSE))</f>
        <v>55330</v>
      </c>
      <c r="P187" s="46">
        <f t="shared" ca="1" si="7"/>
        <v>1.0246296296220401E-2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input_428100!A$2</f>
        <v>428100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IFERROR(VLOOKUP(B188,input_428100!L:R,7,FALSE),VLOOKUP(tables_428100!C188,input_428100!A:H,8,FALSE))</f>
        <v>1070</v>
      </c>
      <c r="P188" s="46">
        <f t="shared" ca="1" si="7"/>
        <v>1.9814814814668043E-4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input_428100!A$2</f>
        <v>428100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IFERROR(VLOOKUP(B189,input_428100!L:R,7,FALSE),VLOOKUP(tables_428100!C189,input_428100!A:H,8,FALSE))</f>
        <v>5728.57143</v>
      </c>
      <c r="P189" s="46">
        <f t="shared" ca="1" si="7"/>
        <v>1.0608465611032533E-3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input_428100!A$2</f>
        <v>428100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IFERROR(VLOOKUP(B190,input_428100!L:R,7,FALSE),VLOOKUP(tables_428100!C190,input_428100!A:H,8,FALSE))</f>
        <v>200</v>
      </c>
      <c r="P190" s="46">
        <f t="shared" ca="1" si="7"/>
        <v>3.70370370367627E-5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input_428100!A$2</f>
        <v>428100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IFERROR(VLOOKUP(B191,input_428100!L:R,7,FALSE),VLOOKUP(tables_428100!C191,input_428100!A:H,8,FALSE))</f>
        <v>5728.57143</v>
      </c>
      <c r="P191" s="46">
        <f t="shared" ca="1" si="7"/>
        <v>1.0608465611032533E-3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input_428100!A$2</f>
        <v>428100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IFERROR(VLOOKUP(B192,input_428100!L:R,7,FALSE),VLOOKUP(tables_428100!C192,input_428100!A:H,8,FALSE))</f>
        <v>200</v>
      </c>
      <c r="P192" s="46">
        <f t="shared" ca="1" si="7"/>
        <v>3.70370370367627E-5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input_428100!A$2</f>
        <v>428100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IFERROR(VLOOKUP(B193,input_428100!L:R,7,FALSE),VLOOKUP(tables_428100!C193,input_428100!A:H,8,FALSE))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input_428100!A$2</f>
        <v>428100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IFERROR(VLOOKUP(B194,input_428100!L:R,7,FALSE),VLOOKUP(tables_428100!C194,input_428100!A:H,8,FALSE))</f>
        <v>55330</v>
      </c>
      <c r="P194" s="46">
        <f t="shared" ref="P194:P257" ca="1" si="10">O194/SUM(O:O)</f>
        <v>1.0246296296220401E-2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input_428100!A$2</f>
        <v>428100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IFERROR(VLOOKUP(B195,input_428100!L:R,7,FALSE),VLOOKUP(tables_428100!C195,input_428100!A:H,8,FALSE))</f>
        <v>1070</v>
      </c>
      <c r="P195" s="46">
        <f t="shared" ca="1" si="10"/>
        <v>1.9814814814668043E-4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input_428100!A$2</f>
        <v>428100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IFERROR(VLOOKUP(B196,input_428100!L:R,7,FALSE),VLOOKUP(tables_428100!C196,input_428100!A:H,8,FALSE))</f>
        <v>5728.57143</v>
      </c>
      <c r="P196" s="46">
        <f t="shared" ca="1" si="10"/>
        <v>1.0608465611032533E-3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input_428100!A$2</f>
        <v>428100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IFERROR(VLOOKUP(B197,input_428100!L:R,7,FALSE),VLOOKUP(tables_428100!C197,input_428100!A:H,8,FALSE))</f>
        <v>200</v>
      </c>
      <c r="P197" s="46">
        <f t="shared" ca="1" si="10"/>
        <v>3.70370370367627E-5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input_428100!A$2</f>
        <v>428100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IFERROR(VLOOKUP(B198,input_428100!L:R,7,FALSE),VLOOKUP(tables_428100!C198,input_428100!A:H,8,FALSE))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input_428100!A$2</f>
        <v>428100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IFERROR(VLOOKUP(B199,input_428100!L:R,7,FALSE),VLOOKUP(tables_428100!C199,input_428100!A:H,8,FALSE))</f>
        <v>55330</v>
      </c>
      <c r="P199" s="46">
        <f t="shared" ca="1" si="10"/>
        <v>1.0246296296220401E-2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input_428100!A$2</f>
        <v>428100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IFERROR(VLOOKUP(B200,input_428100!L:R,7,FALSE),VLOOKUP(tables_428100!C200,input_428100!A:H,8,FALSE))</f>
        <v>1070</v>
      </c>
      <c r="P200" s="46">
        <f t="shared" ca="1" si="10"/>
        <v>1.9814814814668043E-4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input_428100!A$2</f>
        <v>428100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IFERROR(VLOOKUP(B201,input_428100!L:R,7,FALSE),VLOOKUP(tables_428100!C201,input_428100!A:H,8,FALSE))</f>
        <v>5728.57143</v>
      </c>
      <c r="P201" s="46">
        <f t="shared" ca="1" si="10"/>
        <v>1.0608465611032533E-3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input_428100!A$2</f>
        <v>428100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IFERROR(VLOOKUP(B202,input_428100!L:R,7,FALSE),VLOOKUP(tables_428100!C202,input_428100!A:H,8,FALSE))</f>
        <v>200</v>
      </c>
      <c r="P202" s="46">
        <f t="shared" ca="1" si="10"/>
        <v>3.70370370367627E-5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input_428100!A$2</f>
        <v>428100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IFERROR(VLOOKUP(B203,input_428100!L:R,7,FALSE),VLOOKUP(tables_428100!C203,input_428100!A:H,8,FALSE))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input_428100!A$2</f>
        <v>428100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IFERROR(VLOOKUP(B204,input_428100!L:R,7,FALSE),VLOOKUP(tables_428100!C204,input_428100!A:H,8,FALSE))</f>
        <v>55330</v>
      </c>
      <c r="P204" s="46">
        <f t="shared" ca="1" si="10"/>
        <v>1.0246296296220401E-2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input_428100!A$2</f>
        <v>428100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IFERROR(VLOOKUP(B205,input_428100!L:R,7,FALSE),VLOOKUP(tables_428100!C205,input_428100!A:H,8,FALSE))</f>
        <v>1070</v>
      </c>
      <c r="P205" s="46">
        <f t="shared" ca="1" si="10"/>
        <v>1.9814814814668043E-4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input_428100!A$2</f>
        <v>428100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IFERROR(VLOOKUP(B206,input_428100!L:R,7,FALSE),VLOOKUP(tables_428100!C206,input_428100!A:H,8,FALSE))</f>
        <v>5728.57143</v>
      </c>
      <c r="P206" s="46">
        <f t="shared" ca="1" si="10"/>
        <v>1.0608465611032533E-3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input_428100!A$2</f>
        <v>428100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IFERROR(VLOOKUP(B207,input_428100!L:R,7,FALSE),VLOOKUP(tables_428100!C207,input_428100!A:H,8,FALSE))</f>
        <v>200</v>
      </c>
      <c r="P207" s="46">
        <f t="shared" ca="1" si="10"/>
        <v>3.70370370367627E-5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input_428100!A$2</f>
        <v>428100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IFERROR(VLOOKUP(B208,input_428100!L:R,7,FALSE),VLOOKUP(tables_428100!C208,input_428100!A:H,8,FALSE))</f>
        <v>5728.57143</v>
      </c>
      <c r="P208" s="46">
        <f t="shared" ca="1" si="10"/>
        <v>1.0608465611032533E-3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input_428100!A$2</f>
        <v>428100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IFERROR(VLOOKUP(B209,input_428100!L:R,7,FALSE),VLOOKUP(tables_428100!C209,input_428100!A:H,8,FALSE))</f>
        <v>200</v>
      </c>
      <c r="P209" s="46">
        <f t="shared" ca="1" si="10"/>
        <v>3.70370370367627E-5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input_428100!A$2</f>
        <v>428100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IFERROR(VLOOKUP(B210,input_428100!L:R,7,FALSE),VLOOKUP(tables_428100!C210,input_428100!A:H,8,FALSE))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input_428100!A$2</f>
        <v>428100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IFERROR(VLOOKUP(B211,input_428100!L:R,7,FALSE),VLOOKUP(tables_428100!C211,input_428100!A:H,8,FALSE))</f>
        <v>55330</v>
      </c>
      <c r="P211" s="46">
        <f t="shared" ca="1" si="10"/>
        <v>1.0246296296220401E-2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input_428100!A$2</f>
        <v>428100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IFERROR(VLOOKUP(B212,input_428100!L:R,7,FALSE),VLOOKUP(tables_428100!C212,input_428100!A:H,8,FALSE))</f>
        <v>1070</v>
      </c>
      <c r="P212" s="46">
        <f t="shared" ca="1" si="10"/>
        <v>1.9814814814668043E-4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input_428100!A$2</f>
        <v>428100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IFERROR(VLOOKUP(B213,input_428100!L:R,7,FALSE),VLOOKUP(tables_428100!C213,input_428100!A:H,8,FALSE))</f>
        <v>5728.57143</v>
      </c>
      <c r="P213" s="46">
        <f t="shared" ca="1" si="10"/>
        <v>1.0608465611032533E-3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input_428100!A$2</f>
        <v>428100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IFERROR(VLOOKUP(B214,input_428100!L:R,7,FALSE),VLOOKUP(tables_428100!C214,input_428100!A:H,8,FALSE))</f>
        <v>200</v>
      </c>
      <c r="P214" s="46">
        <f t="shared" ca="1" si="10"/>
        <v>3.70370370367627E-5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input_428100!A$2</f>
        <v>428100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IFERROR(VLOOKUP(B215,input_428100!L:R,7,FALSE),VLOOKUP(tables_428100!C215,input_428100!A:H,8,FALSE))</f>
        <v>5728.57143</v>
      </c>
      <c r="P215" s="46">
        <f t="shared" ca="1" si="10"/>
        <v>1.0608465611032533E-3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input_428100!A$2</f>
        <v>428100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IFERROR(VLOOKUP(B216,input_428100!L:R,7,FALSE),VLOOKUP(tables_428100!C216,input_428100!A:H,8,FALSE))</f>
        <v>200</v>
      </c>
      <c r="P216" s="46">
        <f t="shared" ca="1" si="10"/>
        <v>3.70370370367627E-5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input_428100!A$2</f>
        <v>428100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IFERROR(VLOOKUP(B217,input_428100!L:R,7,FALSE),VLOOKUP(tables_428100!C217,input_428100!A:H,8,FALSE))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input_428100!A$2</f>
        <v>428100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IFERROR(VLOOKUP(B218,input_428100!L:R,7,FALSE),VLOOKUP(tables_428100!C218,input_428100!A:H,8,FALSE))</f>
        <v>55330</v>
      </c>
      <c r="P218" s="46">
        <f t="shared" ca="1" si="10"/>
        <v>1.0246296296220401E-2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input_428100!A$2</f>
        <v>428100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IFERROR(VLOOKUP(B219,input_428100!L:R,7,FALSE),VLOOKUP(tables_428100!C219,input_428100!A:H,8,FALSE))</f>
        <v>1070</v>
      </c>
      <c r="P219" s="46">
        <f t="shared" ca="1" si="10"/>
        <v>1.9814814814668043E-4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input_428100!A$2</f>
        <v>428100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IFERROR(VLOOKUP(B220,input_428100!L:R,7,FALSE),VLOOKUP(tables_428100!C220,input_428100!A:H,8,FALSE))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input_428100!A$2</f>
        <v>428100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IFERROR(VLOOKUP(B221,input_428100!L:R,7,FALSE),VLOOKUP(tables_428100!C221,input_428100!A:H,8,FALSE))</f>
        <v>55330</v>
      </c>
      <c r="P221" s="46">
        <f t="shared" ca="1" si="10"/>
        <v>1.0246296296220401E-2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input_428100!A$2</f>
        <v>428100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IFERROR(VLOOKUP(B222,input_428100!L:R,7,FALSE),VLOOKUP(tables_428100!C222,input_428100!A:H,8,FALSE))</f>
        <v>1070</v>
      </c>
      <c r="P222" s="46">
        <f t="shared" ca="1" si="10"/>
        <v>1.9814814814668043E-4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input_428100!A$2</f>
        <v>428100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IFERROR(VLOOKUP(B223,input_428100!L:R,7,FALSE),VLOOKUP(tables_428100!C223,input_428100!A:H,8,FALSE))</f>
        <v>5728.57143</v>
      </c>
      <c r="P223" s="46">
        <f t="shared" ca="1" si="10"/>
        <v>1.0608465611032533E-3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input_428100!A$2</f>
        <v>428100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IFERROR(VLOOKUP(B224,input_428100!L:R,7,FALSE),VLOOKUP(tables_428100!C224,input_428100!A:H,8,FALSE))</f>
        <v>200</v>
      </c>
      <c r="P224" s="46">
        <f t="shared" ca="1" si="10"/>
        <v>3.70370370367627E-5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input_428100!A$2</f>
        <v>428100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IFERROR(VLOOKUP(B225,input_428100!L:R,7,FALSE),VLOOKUP(tables_428100!C225,input_428100!A:H,8,FALSE))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input_428100!A$2</f>
        <v>428100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IFERROR(VLOOKUP(B226,input_428100!L:R,7,FALSE),VLOOKUP(tables_428100!C226,input_428100!A:H,8,FALSE))</f>
        <v>55330</v>
      </c>
      <c r="P226" s="46">
        <f t="shared" ca="1" si="10"/>
        <v>1.0246296296220401E-2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input_428100!A$2</f>
        <v>428100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IFERROR(VLOOKUP(B227,input_428100!L:R,7,FALSE),VLOOKUP(tables_428100!C227,input_428100!A:H,8,FALSE))</f>
        <v>1070</v>
      </c>
      <c r="P227" s="46">
        <f t="shared" ca="1" si="10"/>
        <v>1.9814814814668043E-4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input_428100!A$2</f>
        <v>428100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IFERROR(VLOOKUP(B228,input_428100!L:R,7,FALSE),VLOOKUP(tables_428100!C228,input_428100!A:H,8,FALSE))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input_428100!A$2</f>
        <v>428100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IFERROR(VLOOKUP(B229,input_428100!L:R,7,FALSE),VLOOKUP(tables_428100!C229,input_428100!A:H,8,FALSE))</f>
        <v>55330</v>
      </c>
      <c r="P229" s="46">
        <f t="shared" ca="1" si="10"/>
        <v>1.0246296296220401E-2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input_428100!A$2</f>
        <v>428100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IFERROR(VLOOKUP(B230,input_428100!L:R,7,FALSE),VLOOKUP(tables_428100!C230,input_428100!A:H,8,FALSE))</f>
        <v>1070</v>
      </c>
      <c r="P230" s="46">
        <f t="shared" ca="1" si="10"/>
        <v>1.9814814814668043E-4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input_428100!A$2</f>
        <v>428100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IFERROR(VLOOKUP(B231,input_428100!L:R,7,FALSE),VLOOKUP(tables_428100!C231,input_428100!A:H,8,FALSE))</f>
        <v>5728.57143</v>
      </c>
      <c r="P231" s="46">
        <f t="shared" ca="1" si="10"/>
        <v>1.0608465611032533E-3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input_428100!A$2</f>
        <v>428100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IFERROR(VLOOKUP(B232,input_428100!L:R,7,FALSE),VLOOKUP(tables_428100!C232,input_428100!A:H,8,FALSE))</f>
        <v>200</v>
      </c>
      <c r="P232" s="46">
        <f t="shared" ca="1" si="10"/>
        <v>3.70370370367627E-5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input_428100!A$2</f>
        <v>428100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IFERROR(VLOOKUP(B233,input_428100!L:R,7,FALSE),VLOOKUP(tables_428100!C233,input_428100!A:H,8,FALSE))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input_428100!A$2</f>
        <v>428100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IFERROR(VLOOKUP(B234,input_428100!L:R,7,FALSE),VLOOKUP(tables_428100!C234,input_428100!A:H,8,FALSE))</f>
        <v>55330</v>
      </c>
      <c r="P234" s="46">
        <f t="shared" ca="1" si="10"/>
        <v>1.0246296296220401E-2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input_428100!A$2</f>
        <v>428100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IFERROR(VLOOKUP(B235,input_428100!L:R,7,FALSE),VLOOKUP(tables_428100!C235,input_428100!A:H,8,FALSE))</f>
        <v>1070</v>
      </c>
      <c r="P235" s="46">
        <f t="shared" ca="1" si="10"/>
        <v>1.9814814814668043E-4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input_428100!A$2</f>
        <v>428100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IFERROR(VLOOKUP(B236,input_428100!L:R,7,FALSE),VLOOKUP(tables_428100!C236,input_428100!A:H,8,FALSE))</f>
        <v>5728.57143</v>
      </c>
      <c r="P236" s="46">
        <f t="shared" ca="1" si="10"/>
        <v>1.0608465611032533E-3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input_428100!A$2</f>
        <v>428100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IFERROR(VLOOKUP(B237,input_428100!L:R,7,FALSE),VLOOKUP(tables_428100!C237,input_428100!A:H,8,FALSE))</f>
        <v>200</v>
      </c>
      <c r="P237" s="46">
        <f t="shared" ca="1" si="10"/>
        <v>3.70370370367627E-5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input_428100!A$2</f>
        <v>428100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IFERROR(VLOOKUP(B238,input_428100!L:R,7,FALSE),VLOOKUP(tables_428100!C238,input_428100!A:H,8,FALSE))</f>
        <v>5728.57143</v>
      </c>
      <c r="P238" s="46">
        <f t="shared" ca="1" si="10"/>
        <v>1.0608465611032533E-3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input_428100!A$2</f>
        <v>428100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IFERROR(VLOOKUP(B239,input_428100!L:R,7,FALSE),VLOOKUP(tables_428100!C239,input_428100!A:H,8,FALSE))</f>
        <v>200</v>
      </c>
      <c r="P239" s="46">
        <f t="shared" ca="1" si="10"/>
        <v>3.70370370367627E-5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input_428100!A$2</f>
        <v>428100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IFERROR(VLOOKUP(B240,input_428100!L:R,7,FALSE),VLOOKUP(tables_428100!C240,input_428100!A:H,8,FALSE))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input_428100!A$2</f>
        <v>428100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IFERROR(VLOOKUP(B241,input_428100!L:R,7,FALSE),VLOOKUP(tables_428100!C241,input_428100!A:H,8,FALSE))</f>
        <v>55330</v>
      </c>
      <c r="P241" s="46">
        <f t="shared" ca="1" si="10"/>
        <v>1.0246296296220401E-2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input_428100!A$2</f>
        <v>428100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IFERROR(VLOOKUP(B242,input_428100!L:R,7,FALSE),VLOOKUP(tables_428100!C242,input_428100!A:H,8,FALSE))</f>
        <v>1070</v>
      </c>
      <c r="P242" s="46">
        <f t="shared" ca="1" si="10"/>
        <v>1.9814814814668043E-4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input_428100!A$2</f>
        <v>428100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IFERROR(VLOOKUP(B243,input_428100!L:R,7,FALSE),VLOOKUP(tables_428100!C243,input_428100!A:H,8,FALSE))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input_428100!A$2</f>
        <v>428100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IFERROR(VLOOKUP(B244,input_428100!L:R,7,FALSE),VLOOKUP(tables_428100!C244,input_428100!A:H,8,FALSE))</f>
        <v>55330</v>
      </c>
      <c r="P244" s="46">
        <f t="shared" ca="1" si="10"/>
        <v>1.0246296296220401E-2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input_428100!A$2</f>
        <v>428100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IFERROR(VLOOKUP(B245,input_428100!L:R,7,FALSE),VLOOKUP(tables_428100!C245,input_428100!A:H,8,FALSE))</f>
        <v>1070</v>
      </c>
      <c r="P245" s="46">
        <f t="shared" ca="1" si="10"/>
        <v>1.9814814814668043E-4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input_428100!A$2</f>
        <v>428100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IFERROR(VLOOKUP(B246,input_428100!L:R,7,FALSE),VLOOKUP(tables_428100!C246,input_428100!A:H,8,FALSE))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input_428100!A$2</f>
        <v>428100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IFERROR(VLOOKUP(B247,input_428100!L:R,7,FALSE),VLOOKUP(tables_428100!C247,input_428100!A:H,8,FALSE))</f>
        <v>55330</v>
      </c>
      <c r="P247" s="46">
        <f t="shared" ca="1" si="10"/>
        <v>1.0246296296220401E-2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input_428100!A$2</f>
        <v>428100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IFERROR(VLOOKUP(B248,input_428100!L:R,7,FALSE),VLOOKUP(tables_428100!C248,input_428100!A:H,8,FALSE))</f>
        <v>1070</v>
      </c>
      <c r="P248" s="46">
        <f t="shared" ca="1" si="10"/>
        <v>1.9814814814668043E-4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input_428100!A$2</f>
        <v>428100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IFERROR(VLOOKUP(B249,input_428100!L:R,7,FALSE),VLOOKUP(tables_428100!C249,input_428100!A:H,8,FALSE))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input_428100!A$2</f>
        <v>428100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IFERROR(VLOOKUP(B250,input_428100!L:R,7,FALSE),VLOOKUP(tables_428100!C250,input_428100!A:H,8,FALSE))</f>
        <v>55330</v>
      </c>
      <c r="P250" s="46">
        <f t="shared" ca="1" si="10"/>
        <v>1.0246296296220401E-2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input_428100!A$2</f>
        <v>428100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IFERROR(VLOOKUP(B251,input_428100!L:R,7,FALSE),VLOOKUP(tables_428100!C251,input_428100!A:H,8,FALSE))</f>
        <v>1070</v>
      </c>
      <c r="P251" s="46">
        <f t="shared" ca="1" si="10"/>
        <v>1.9814814814668043E-4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input_428100!A$2</f>
        <v>428100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IFERROR(VLOOKUP(B252,input_428100!L:R,7,FALSE),VLOOKUP(tables_428100!C252,input_428100!A:H,8,FALSE))</f>
        <v>5728.57143</v>
      </c>
      <c r="P252" s="46">
        <f t="shared" ca="1" si="10"/>
        <v>1.0608465611032533E-3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input_428100!A$2</f>
        <v>428100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IFERROR(VLOOKUP(B253,input_428100!L:R,7,FALSE),VLOOKUP(tables_428100!C253,input_428100!A:H,8,FALSE))</f>
        <v>200</v>
      </c>
      <c r="P253" s="46">
        <f t="shared" ca="1" si="10"/>
        <v>3.70370370367627E-5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input_428100!A$2</f>
        <v>428100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IFERROR(VLOOKUP(B254,input_428100!L:R,7,FALSE),VLOOKUP(tables_428100!C254,input_428100!A:H,8,FALSE))</f>
        <v>5728.57143</v>
      </c>
      <c r="P254" s="46">
        <f t="shared" ca="1" si="10"/>
        <v>1.0608465611032533E-3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input_428100!A$2</f>
        <v>428100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IFERROR(VLOOKUP(B255,input_428100!L:R,7,FALSE),VLOOKUP(tables_428100!C255,input_428100!A:H,8,FALSE))</f>
        <v>200</v>
      </c>
      <c r="P255" s="46">
        <f t="shared" ca="1" si="10"/>
        <v>3.70370370367627E-5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input_428100!A$2</f>
        <v>428100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IFERROR(VLOOKUP(B256,input_428100!L:R,7,FALSE),VLOOKUP(tables_428100!C256,input_428100!A:H,8,FALSE))</f>
        <v>53580</v>
      </c>
      <c r="P256" s="46">
        <f t="shared" ca="1" si="10"/>
        <v>9.9222222221487279E-3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input_428100!A$2</f>
        <v>428100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IFERROR(VLOOKUP(B257,input_428100!L:R,7,FALSE),VLOOKUP(tables_428100!C257,input_428100!A:H,8,FALSE))</f>
        <v>2820</v>
      </c>
      <c r="P257" s="46">
        <f t="shared" ca="1" si="10"/>
        <v>5.222222222183541E-4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input_428100!A$2</f>
        <v>428100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IFERROR(VLOOKUP(B258,input_428100!L:R,7,FALSE),VLOOKUP(tables_428100!C258,input_428100!A:H,8,FALSE))</f>
        <v>53580</v>
      </c>
      <c r="P258" s="46">
        <f t="shared" ref="P258:P294" ca="1" si="13">O258/SUM(O:O)</f>
        <v>9.9222222221487279E-3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input_428100!A$2</f>
        <v>428100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IFERROR(VLOOKUP(B259,input_428100!L:R,7,FALSE),VLOOKUP(tables_428100!C259,input_428100!A:H,8,FALSE))</f>
        <v>2820</v>
      </c>
      <c r="P259" s="46">
        <f t="shared" ca="1" si="13"/>
        <v>5.222222222183541E-4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input_428100!A$2</f>
        <v>428100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IFERROR(VLOOKUP(B260,input_428100!L:R,7,FALSE),VLOOKUP(tables_428100!C260,input_428100!A:H,8,FALSE))</f>
        <v>4000</v>
      </c>
      <c r="P260" s="46">
        <f t="shared" ca="1" si="13"/>
        <v>7.4074074073525399E-4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input_428100!A$2</f>
        <v>428100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IFERROR(VLOOKUP(B261,input_428100!L:R,7,FALSE),VLOOKUP(tables_428100!C261,input_428100!A:H,8,FALSE))</f>
        <v>4000</v>
      </c>
      <c r="P261" s="46">
        <f t="shared" ca="1" si="13"/>
        <v>7.4074074073525399E-4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input_428100!A$2</f>
        <v>428100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IFERROR(VLOOKUP(B262,input_428100!L:R,7,FALSE),VLOOKUP(tables_428100!C262,input_428100!A:H,8,FALSE))</f>
        <v>5728.57143</v>
      </c>
      <c r="P262" s="46">
        <f t="shared" ca="1" si="13"/>
        <v>1.0608465611032533E-3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input_428100!A$2</f>
        <v>428100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IFERROR(VLOOKUP(B263,input_428100!L:R,7,FALSE),VLOOKUP(tables_428100!C263,input_428100!A:H,8,FALSE))</f>
        <v>200</v>
      </c>
      <c r="P263" s="46">
        <f t="shared" ca="1" si="13"/>
        <v>3.70370370367627E-5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input_428100!A$2</f>
        <v>428100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IFERROR(VLOOKUP(B264,input_428100!L:R,7,FALSE),VLOOKUP(tables_428100!C264,input_428100!A:H,8,FALSE))</f>
        <v>5728.57143</v>
      </c>
      <c r="P264" s="46">
        <f t="shared" ca="1" si="13"/>
        <v>1.0608465611032533E-3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input_428100!A$2</f>
        <v>428100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IFERROR(VLOOKUP(B265,input_428100!L:R,7,FALSE),VLOOKUP(tables_428100!C265,input_428100!A:H,8,FALSE))</f>
        <v>200</v>
      </c>
      <c r="P265" s="46">
        <f t="shared" ca="1" si="13"/>
        <v>3.70370370367627E-5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input_428100!A$2</f>
        <v>428100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IFERROR(VLOOKUP(B266,input_428100!L:R,7,FALSE),VLOOKUP(tables_428100!C266,input_428100!A:H,8,FALSE))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input_428100!A$2</f>
        <v>428100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IFERROR(VLOOKUP(B267,input_428100!L:R,7,FALSE),VLOOKUP(tables_428100!C267,input_428100!A:H,8,FALSE))</f>
        <v>55330</v>
      </c>
      <c r="P267" s="46">
        <f t="shared" ca="1" si="13"/>
        <v>1.0246296296220401E-2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input_428100!A$2</f>
        <v>428100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IFERROR(VLOOKUP(B268,input_428100!L:R,7,FALSE),VLOOKUP(tables_428100!C268,input_428100!A:H,8,FALSE))</f>
        <v>1070</v>
      </c>
      <c r="P268" s="46">
        <f t="shared" ca="1" si="13"/>
        <v>1.9814814814668043E-4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input_428100!A$2</f>
        <v>428100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IFERROR(VLOOKUP(B269,input_428100!L:R,7,FALSE),VLOOKUP(tables_428100!C269,input_428100!A:H,8,FALSE))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input_428100!A$2</f>
        <v>428100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IFERROR(VLOOKUP(B270,input_428100!L:R,7,FALSE),VLOOKUP(tables_428100!C270,input_428100!A:H,8,FALSE))</f>
        <v>55330</v>
      </c>
      <c r="P270" s="46">
        <f t="shared" ca="1" si="13"/>
        <v>1.0246296296220401E-2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input_428100!A$2</f>
        <v>428100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IFERROR(VLOOKUP(B271,input_428100!L:R,7,FALSE),VLOOKUP(tables_428100!C271,input_428100!A:H,8,FALSE))</f>
        <v>1070</v>
      </c>
      <c r="P271" s="46">
        <f t="shared" ca="1" si="13"/>
        <v>1.9814814814668043E-4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input_428100!A$2</f>
        <v>428100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IFERROR(VLOOKUP(B272,input_428100!L:R,7,FALSE),VLOOKUP(tables_428100!C272,input_428100!A:H,8,FALSE))</f>
        <v>4000</v>
      </c>
      <c r="P272" s="46">
        <f t="shared" ca="1" si="13"/>
        <v>7.4074074073525399E-4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input_428100!A$2</f>
        <v>428100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IFERROR(VLOOKUP(B273,input_428100!L:R,7,FALSE),VLOOKUP(tables_428100!C273,input_428100!A:H,8,FALSE))</f>
        <v>4000</v>
      </c>
      <c r="P273" s="46">
        <f t="shared" ca="1" si="13"/>
        <v>7.4074074073525399E-4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input_428100!A$2</f>
        <v>428100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IFERROR(VLOOKUP(B274,input_428100!L:R,7,FALSE),VLOOKUP(tables_428100!C274,input_428100!A:H,8,FALSE))</f>
        <v>53580</v>
      </c>
      <c r="P274" s="46">
        <f t="shared" ca="1" si="13"/>
        <v>9.9222222221487279E-3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input_428100!A$2</f>
        <v>428100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IFERROR(VLOOKUP(B275,input_428100!L:R,7,FALSE),VLOOKUP(tables_428100!C275,input_428100!A:H,8,FALSE))</f>
        <v>2820</v>
      </c>
      <c r="P275" s="46">
        <f t="shared" ca="1" si="13"/>
        <v>5.222222222183541E-4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input_428100!A$2</f>
        <v>428100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IFERROR(VLOOKUP(B276,input_428100!L:R,7,FALSE),VLOOKUP(tables_428100!C276,input_428100!A:H,8,FALSE))</f>
        <v>53580</v>
      </c>
      <c r="P276" s="46">
        <f t="shared" ca="1" si="13"/>
        <v>9.9222222221487279E-3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input_428100!A$2</f>
        <v>428100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IFERROR(VLOOKUP(B277,input_428100!L:R,7,FALSE),VLOOKUP(tables_428100!C277,input_428100!A:H,8,FALSE))</f>
        <v>2820</v>
      </c>
      <c r="P277" s="46">
        <f t="shared" ca="1" si="13"/>
        <v>5.222222222183541E-4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input_428100!A$2</f>
        <v>428100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IFERROR(VLOOKUP(B278,input_428100!L:R,7,FALSE),VLOOKUP(tables_428100!C278,input_428100!A:H,8,FALSE))</f>
        <v>53580</v>
      </c>
      <c r="P278" s="46">
        <f t="shared" ca="1" si="13"/>
        <v>9.9222222221487279E-3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input_428100!A$2</f>
        <v>428100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IFERROR(VLOOKUP(B279,input_428100!L:R,7,FALSE),VLOOKUP(tables_428100!C279,input_428100!A:H,8,FALSE))</f>
        <v>2820</v>
      </c>
      <c r="P279" s="46">
        <f t="shared" ca="1" si="13"/>
        <v>5.222222222183541E-4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input_428100!A$2</f>
        <v>428100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IFERROR(VLOOKUP(B280,input_428100!L:R,7,FALSE),VLOOKUP(tables_428100!C280,input_428100!A:H,8,FALSE))</f>
        <v>53580</v>
      </c>
      <c r="P280" s="46">
        <f t="shared" ca="1" si="13"/>
        <v>9.9222222221487279E-3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input_428100!A$2</f>
        <v>428100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IFERROR(VLOOKUP(B281,input_428100!L:R,7,FALSE),VLOOKUP(tables_428100!C281,input_428100!A:H,8,FALSE))</f>
        <v>2820</v>
      </c>
      <c r="P281" s="46">
        <f t="shared" ca="1" si="13"/>
        <v>5.222222222183541E-4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input_428100!A$2</f>
        <v>428100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IFERROR(VLOOKUP(B282,input_428100!L:R,7,FALSE),VLOOKUP(tables_428100!C282,input_428100!A:H,8,FALSE))</f>
        <v>4000</v>
      </c>
      <c r="P282" s="46">
        <f t="shared" ca="1" si="13"/>
        <v>7.4074074073525399E-4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input_428100!A$2</f>
        <v>428100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IFERROR(VLOOKUP(B283,input_428100!L:R,7,FALSE),VLOOKUP(tables_428100!C283,input_428100!A:H,8,FALSE))</f>
        <v>4000</v>
      </c>
      <c r="P283" s="46">
        <f t="shared" ca="1" si="13"/>
        <v>7.4074074073525399E-4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input_428100!A$2</f>
        <v>428100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IFERROR(VLOOKUP(B284,input_428100!L:R,7,FALSE),VLOOKUP(tables_428100!C284,input_428100!A:H,8,FALSE))</f>
        <v>4000</v>
      </c>
      <c r="P284" s="46">
        <f t="shared" ca="1" si="13"/>
        <v>7.4074074073525399E-4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input_428100!A$2</f>
        <v>428100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IFERROR(VLOOKUP(B285,input_428100!L:R,7,FALSE),VLOOKUP(tables_428100!C285,input_428100!A:H,8,FALSE))</f>
        <v>4000</v>
      </c>
      <c r="P285" s="46">
        <f t="shared" ca="1" si="13"/>
        <v>7.4074074073525399E-4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input_428100!A$2</f>
        <v>428100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IFERROR(VLOOKUP(B286,input_428100!L:R,7,FALSE),VLOOKUP(tables_428100!C286,input_428100!A:H,8,FALSE))</f>
        <v>53580</v>
      </c>
      <c r="P286" s="46">
        <f t="shared" ca="1" si="13"/>
        <v>9.9222222221487279E-3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input_428100!A$2</f>
        <v>428100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IFERROR(VLOOKUP(B287,input_428100!L:R,7,FALSE),VLOOKUP(tables_428100!C287,input_428100!A:H,8,FALSE))</f>
        <v>2820</v>
      </c>
      <c r="P287" s="46">
        <f t="shared" ca="1" si="13"/>
        <v>5.222222222183541E-4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input_428100!A$2</f>
        <v>428100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IFERROR(VLOOKUP(B288,input_428100!L:R,7,FALSE),VLOOKUP(tables_428100!C288,input_428100!A:H,8,FALSE))</f>
        <v>53580</v>
      </c>
      <c r="P288" s="46">
        <f t="shared" ca="1" si="13"/>
        <v>9.9222222221487279E-3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input_428100!A$2</f>
        <v>428100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IFERROR(VLOOKUP(B289,input_428100!L:R,7,FALSE),VLOOKUP(tables_428100!C289,input_428100!A:H,8,FALSE))</f>
        <v>2820</v>
      </c>
      <c r="P289" s="46">
        <f t="shared" ca="1" si="13"/>
        <v>5.222222222183541E-4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input_428100!A$2</f>
        <v>428100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IFERROR(VLOOKUP(B290,input_428100!L:R,7,FALSE),VLOOKUP(tables_428100!C290,input_428100!A:H,8,FALSE))</f>
        <v>4000</v>
      </c>
      <c r="P290" s="46">
        <f t="shared" ca="1" si="13"/>
        <v>7.4074074073525399E-4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input_428100!A$2</f>
        <v>428100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IFERROR(VLOOKUP(B291,input_428100!L:R,7,FALSE),VLOOKUP(tables_428100!C291,input_428100!A:H,8,FALSE))</f>
        <v>53580</v>
      </c>
      <c r="P291" s="46">
        <f t="shared" ca="1" si="13"/>
        <v>9.9222222221487279E-3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input_428100!A$2</f>
        <v>428100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IFERROR(VLOOKUP(B292,input_428100!L:R,7,FALSE),VLOOKUP(tables_428100!C292,input_428100!A:H,8,FALSE))</f>
        <v>2820</v>
      </c>
      <c r="P292" s="46">
        <f t="shared" ca="1" si="13"/>
        <v>5.222222222183541E-4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input_428100!A$2</f>
        <v>428100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IFERROR(VLOOKUP(B293,input_428100!L:R,7,FALSE),VLOOKUP(tables_428100!C293,input_428100!A:H,8,FALSE))</f>
        <v>4000</v>
      </c>
      <c r="P293" s="46">
        <f t="shared" ca="1" si="13"/>
        <v>7.4074074073525399E-4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input_428100!A$2</f>
        <v>428100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IFERROR(VLOOKUP(B294,input_428100!L:R,7,FALSE),VLOOKUP(tables_428100!C294,input_428100!A:H,8,FALSE))</f>
        <v>4000</v>
      </c>
      <c r="P294" s="46">
        <f t="shared" ca="1" si="13"/>
        <v>7.4074074073525399E-4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input_428100!A$2</f>
        <v>428100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IFERROR(VLOOKUP(B295,input_428100!L:R,7,FALSE),VLOOKUP(tables_428100!C295,input_428100!A:H,8,FALSE))</f>
        <v>4000</v>
      </c>
      <c r="P295" s="46">
        <f t="shared" ref="P295:P299" ca="1" si="20">O295/SUM(O:O)</f>
        <v>7.4074074073525399E-4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input_428100!A$2</f>
        <v>428100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IFERROR(VLOOKUP(B296,input_428100!L:R,7,FALSE),VLOOKUP(tables_428100!C296,input_428100!A:H,8,FALSE))</f>
        <v>4000</v>
      </c>
      <c r="P296" s="46">
        <f t="shared" ca="1" si="20"/>
        <v>7.4074074073525399E-4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input_428100!A$2</f>
        <v>428100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IFERROR(VLOOKUP(B297,input_428100!L:R,7,FALSE),VLOOKUP(tables_428100!C297,input_428100!A:H,8,FALSE))</f>
        <v>53580</v>
      </c>
      <c r="P297" s="46">
        <f t="shared" ca="1" si="20"/>
        <v>9.9222222221487279E-3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input_428100!A$2</f>
        <v>428100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IFERROR(VLOOKUP(B298,input_428100!L:R,7,FALSE),VLOOKUP(tables_428100!C298,input_428100!A:H,8,FALSE))</f>
        <v>2820</v>
      </c>
      <c r="P298" s="46">
        <f t="shared" ca="1" si="20"/>
        <v>5.222222222183541E-4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input_428100!A$2</f>
        <v>428100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IFERROR(VLOOKUP(B299,input_428100!L:R,7,FALSE),VLOOKUP(tables_428100!C299,input_428100!A:H,8,FALSE))</f>
        <v>4000</v>
      </c>
      <c r="P299" s="46">
        <f t="shared" ca="1" si="20"/>
        <v>7.4074074073525399E-4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input_428100!A$2</f>
        <v>428100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IFERROR(VLOOKUP(B300,input_428100!L:R,7,FALSE),VLOOKUP(tables_428100!C300,input_428100!A:H,8,FALSE))</f>
        <v>53580</v>
      </c>
      <c r="P300" s="46">
        <f t="shared" ref="P300:P304" ca="1" si="22">O300/SUM(O:O)</f>
        <v>9.9222222221487279E-3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input_428100!A$2</f>
        <v>428100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IFERROR(VLOOKUP(B301,input_428100!L:R,7,FALSE),VLOOKUP(tables_428100!C301,input_428100!A:H,8,FALSE))</f>
        <v>2820</v>
      </c>
      <c r="P301" s="46">
        <f t="shared" ca="1" si="22"/>
        <v>5.222222222183541E-4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input_428100!A$2</f>
        <v>428100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IFERROR(VLOOKUP(B302,input_428100!L:R,7,FALSE),VLOOKUP(tables_428100!C302,input_428100!A:H,8,FALSE))</f>
        <v>4000</v>
      </c>
      <c r="P302" s="46">
        <f t="shared" ca="1" si="22"/>
        <v>7.4074074073525399E-4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input_428100!A$2</f>
        <v>428100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IFERROR(VLOOKUP(B303,input_428100!L:R,7,FALSE),VLOOKUP(tables_428100!C303,input_428100!A:H,8,FALSE))</f>
        <v>4000</v>
      </c>
      <c r="P303" s="46">
        <f t="shared" ca="1" si="22"/>
        <v>7.4074074073525399E-4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input_428100!A$2</f>
        <v>428100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IFERROR(VLOOKUP(B304,input_428100!L:R,7,FALSE),VLOOKUP(tables_428100!C304,input_428100!A:H,8,FALSE))</f>
        <v>4000</v>
      </c>
      <c r="P304" s="46">
        <f t="shared" ca="1" si="22"/>
        <v>7.4074074073525399E-4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input_428100!A$2</f>
        <v>428100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IFERROR(VLOOKUP(B305,input_428100!L:R,7,FALSE),VLOOKUP(tables_428100!C305,input_428100!A:H,8,FALSE))</f>
        <v>53580</v>
      </c>
      <c r="P305" s="46">
        <f t="shared" ref="P305:P308" ca="1" si="24">O305/SUM(O:O)</f>
        <v>9.9222222221487279E-3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input_428100!A$2</f>
        <v>428100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IFERROR(VLOOKUP(B306,input_428100!L:R,7,FALSE),VLOOKUP(tables_428100!C306,input_428100!A:H,8,FALSE))</f>
        <v>2820</v>
      </c>
      <c r="P306" s="46">
        <f t="shared" ca="1" si="24"/>
        <v>5.222222222183541E-4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input_428100!A$2</f>
        <v>428100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IFERROR(VLOOKUP(B307,input_428100!L:R,7,FALSE),VLOOKUP(tables_428100!C307,input_428100!A:H,8,FALSE))</f>
        <v>4000</v>
      </c>
      <c r="P307" s="46">
        <f t="shared" ca="1" si="24"/>
        <v>7.4074074073525399E-4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input_428100!A$2</f>
        <v>428100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IFERROR(VLOOKUP(B308,input_428100!L:R,7,FALSE),VLOOKUP(tables_428100!C308,input_428100!A:H,8,FALSE))</f>
        <v>4000</v>
      </c>
      <c r="P308" s="46">
        <f t="shared" ca="1" si="24"/>
        <v>7.4074074073525399E-4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input_428100!A$2</f>
        <v>428100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IFERROR(VLOOKUP(B309,input_428100!L:R,7,FALSE),VLOOKUP(tables_428100!C309,input_428100!A:H,8,FALSE))</f>
        <v>4000</v>
      </c>
      <c r="P309" s="46">
        <f t="shared" ref="P309" ca="1" si="26">O309/SUM(O:O)</f>
        <v>7.4074074073525399E-4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input_428100!A$2</f>
        <v>428100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IFERROR(VLOOKUP(B310,input_428100!L:R,7,FALSE),VLOOKUP(tables_428100!C310,input_428100!A:H,8,FALSE))</f>
        <v>53580</v>
      </c>
      <c r="P310" s="46">
        <f t="shared" ref="P310:P314" ca="1" si="29">O310/SUM(O:O)</f>
        <v>9.9222222221487279E-3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input_428100!A$2</f>
        <v>428100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IFERROR(VLOOKUP(B311,input_428100!L:R,7,FALSE),VLOOKUP(tables_428100!C311,input_428100!A:H,8,FALSE))</f>
        <v>2820</v>
      </c>
      <c r="P311" s="46">
        <f t="shared" ca="1" si="29"/>
        <v>5.222222222183541E-4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input_428100!A$2</f>
        <v>428100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IFERROR(VLOOKUP(B312,input_428100!L:R,7,FALSE),VLOOKUP(tables_428100!C312,input_428100!A:H,8,FALSE))</f>
        <v>4000</v>
      </c>
      <c r="P312" s="46">
        <f t="shared" ca="1" si="29"/>
        <v>7.4074074073525399E-4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input_428100!A$2</f>
        <v>428100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IFERROR(VLOOKUP(B313,input_428100!L:R,7,FALSE),VLOOKUP(tables_428100!C313,input_428100!A:H,8,FALSE))</f>
        <v>4000</v>
      </c>
      <c r="P313" s="46">
        <f t="shared" ca="1" si="29"/>
        <v>7.4074074073525399E-4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input_428100!A$2</f>
        <v>428100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IFERROR(VLOOKUP(B314,input_428100!L:R,7,FALSE),VLOOKUP(tables_428100!C314,input_428100!A:H,8,FALSE))</f>
        <v>4000</v>
      </c>
      <c r="P314" s="46">
        <f t="shared" ca="1" si="29"/>
        <v>7.4074074073525399E-4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input_428100!A$2</f>
        <v>428100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IFERROR(VLOOKUP(B315,input_428100!L:R,7,FALSE),VLOOKUP(tables_428100!C315,input_428100!A:H,8,FALSE))</f>
        <v>4000</v>
      </c>
      <c r="P315" s="46">
        <f t="shared" ref="P315:P319" ca="1" si="32">O315/SUM(O:O)</f>
        <v>7.4074074073525399E-4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input_428100!A$2</f>
        <v>428100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IFERROR(VLOOKUP(B316,input_428100!L:R,7,FALSE),VLOOKUP(tables_428100!C316,input_428100!A:H,8,FALSE))</f>
        <v>4000</v>
      </c>
      <c r="P316" s="46">
        <f t="shared" ca="1" si="32"/>
        <v>7.4074074073525399E-4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input_428100!A$2</f>
        <v>428100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IFERROR(VLOOKUP(B317,input_428100!L:R,7,FALSE),VLOOKUP(tables_428100!C317,input_428100!A:H,8,FALSE))</f>
        <v>4000</v>
      </c>
      <c r="P317" s="46">
        <f t="shared" ca="1" si="32"/>
        <v>7.4074074073525399E-4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input_428100!A$2</f>
        <v>428100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IFERROR(VLOOKUP(B318,input_428100!L:R,7,FALSE),VLOOKUP(tables_428100!C318,input_428100!A:H,8,FALSE))</f>
        <v>53580</v>
      </c>
      <c r="P318" s="46">
        <f t="shared" ca="1" si="32"/>
        <v>9.9222222221487279E-3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input_428100!A$2</f>
        <v>428100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IFERROR(VLOOKUP(B319,input_428100!L:R,7,FALSE),VLOOKUP(tables_428100!C319,input_428100!A:H,8,FALSE))</f>
        <v>2820</v>
      </c>
      <c r="P319" s="46">
        <f t="shared" ca="1" si="32"/>
        <v>5.222222222183541E-4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input_428100!A$2</f>
        <v>428100</v>
      </c>
      <c r="B320" s="60">
        <v>487</v>
      </c>
      <c r="C320" s="7" t="str">
        <f t="shared" ref="C320:C323" si="33">D320&amp;J320&amp;E320&amp;F320&amp;G320</f>
        <v>PremiumSSS5R3less</v>
      </c>
      <c r="D320" s="7" t="str">
        <f t="shared" ref="D320:D323" si="34">IF(OR(I320="PremiumSS",I320="PremiumSSw"),"PremiumSS",IF(I320="PremiumSSS",I320,IF(I320="PremiumW",I320,"Premium")))</f>
        <v>PremiumSSS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暴創の造物 チューリング</v>
      </c>
      <c r="I320" s="7" t="str">
        <f>VLOOKUP(B320,[1]characters!$A:$J,10,FALSE)</f>
        <v>PremiumSSS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human</v>
      </c>
      <c r="N320" s="7" t="str">
        <f>VLOOKUP(B320,[1]characters!$A:$G,7,FALSE)</f>
        <v>女性</v>
      </c>
      <c r="O320" s="45">
        <f>IFERROR(VLOOKUP(B320,input_428100!L:R,7,FALSE),VLOOKUP(tables_428100!C320,input_428100!A:H,8,FALSE))</f>
        <v>13500</v>
      </c>
      <c r="P320" s="46">
        <f t="shared" ref="P320:P323" ca="1" si="35">O320/SUM(O:O)</f>
        <v>2.4999999999814823E-3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input_428100!A$2</f>
        <v>428100</v>
      </c>
      <c r="B321" s="60">
        <v>488</v>
      </c>
      <c r="C321" s="7" t="str">
        <f t="shared" si="33"/>
        <v>PremiumSSS5R3less</v>
      </c>
      <c r="D321" s="7" t="str">
        <f t="shared" si="34"/>
        <v>PremiumSSS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直観の異論 ヘンペル</v>
      </c>
      <c r="I321" s="7" t="str">
        <f>VLOOKUP(B321,[1]characters!$A:$J,10,FALSE)</f>
        <v>PremiumSSS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technical</v>
      </c>
      <c r="M321" s="7" t="str">
        <f>VLOOKUP(B321,[1]characters!$A:$M,13,FALSE)</f>
        <v>human</v>
      </c>
      <c r="N321" s="7" t="str">
        <f>VLOOKUP(B321,[1]characters!$A:$G,7,FALSE)</f>
        <v>男性</v>
      </c>
      <c r="O321" s="45">
        <f>IFERROR(VLOOKUP(B321,input_428100!L:R,7,FALSE),VLOOKUP(tables_428100!C321,input_428100!A:H,8,FALSE))</f>
        <v>13500</v>
      </c>
      <c r="P321" s="46">
        <f t="shared" ca="1" si="35"/>
        <v>2.4999999999814823E-3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input_428100!A$2</f>
        <v>428100</v>
      </c>
      <c r="B322" s="60">
        <v>489</v>
      </c>
      <c r="C322" s="7" t="str">
        <f t="shared" si="33"/>
        <v>PremiumSSS5R3less</v>
      </c>
      <c r="D322" s="7" t="str">
        <f t="shared" si="34"/>
        <v>PremiumSSS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/>
      <c r="H322" s="7" t="str">
        <f>VLOOKUP(B322,[1]characters!$A:$C,3,FALSE)</f>
        <v>宇宙の拡超 ハップル</v>
      </c>
      <c r="I322" s="7" t="str">
        <f>VLOOKUP(B322,[1]characters!$A:$J,10,FALSE)</f>
        <v>PremiumSSS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technical</v>
      </c>
      <c r="M322" s="7" t="str">
        <f>VLOOKUP(B322,[1]characters!$A:$M,13,FALSE)</f>
        <v>human</v>
      </c>
      <c r="N322" s="7" t="str">
        <f>VLOOKUP(B322,[1]characters!$A:$G,7,FALSE)</f>
        <v>女性</v>
      </c>
      <c r="O322" s="45">
        <f>IFERROR(VLOOKUP(B322,input_428100!L:R,7,FALSE),VLOOKUP(tables_428100!C322,input_428100!A:H,8,FALSE))</f>
        <v>13500</v>
      </c>
      <c r="P322" s="46">
        <f t="shared" ca="1" si="35"/>
        <v>2.4999999999814823E-3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input_428100!A$2</f>
        <v>428100</v>
      </c>
      <c r="B323" s="92">
        <v>783</v>
      </c>
      <c r="C323" s="7" t="str">
        <f t="shared" si="33"/>
        <v>PremiumSSS5R3less</v>
      </c>
      <c r="D323" s="7" t="str">
        <f t="shared" si="34"/>
        <v>PremiumSSS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モールス</v>
      </c>
      <c r="I323" s="7" t="str">
        <f>VLOOKUP(B323,[1]characters!$A:$J,10,FALSE)</f>
        <v>PremiumSSS</v>
      </c>
      <c r="J323" s="7">
        <f>VLOOKUP(B323,[1]characters!$A:$I,9,FALSE)</f>
        <v>5</v>
      </c>
      <c r="K323" s="7" t="str">
        <f>VLOOKUP(B323,[1]characters!$A:$H,8,FALSE)</f>
        <v>red</v>
      </c>
      <c r="L323" s="7" t="str">
        <f>VLOOKUP(B323,[1]characters!$A:$K,11,FALSE)</f>
        <v>technical</v>
      </c>
      <c r="M323" s="7" t="str">
        <f>VLOOKUP(B323,[1]characters!$A:$M,13,FALSE)</f>
        <v>academia</v>
      </c>
      <c r="N323" s="7" t="str">
        <f>VLOOKUP(B323,[1]characters!$A:$G,7,FALSE)</f>
        <v>男性</v>
      </c>
      <c r="O323" s="45">
        <f>IFERROR(VLOOKUP(B323,input_428100!L:R,7,FALSE),VLOOKUP(tables_428100!C323,input_428100!A:H,8,FALSE))</f>
        <v>13500</v>
      </c>
      <c r="P323" s="46">
        <f t="shared" ca="1" si="35"/>
        <v>2.4999999999814823E-3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29"/>
  <sheetViews>
    <sheetView showGridLines="0" zoomScale="75" zoomScaleNormal="75" zoomScalePageLayoutView="75" workbookViewId="0">
      <pane ySplit="1" topLeftCell="A109" activePane="bottomLeft" state="frozen"/>
      <selection activeCell="D34" sqref="D34"/>
      <selection pane="bottomLeft" activeCell="N14" sqref="N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97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95" t="s">
        <v>250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input_428100!A$2</f>
        <v>428100</v>
      </c>
      <c r="B2" s="5">
        <v>168</v>
      </c>
      <c r="C2" s="7" t="str">
        <f t="shared" ref="C2:C6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96">
        <v>5076</v>
      </c>
      <c r="P2" s="46">
        <f>O2/SUM(O:O)</f>
        <v>1.3428571428571429E-2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input_428100!A$2</f>
        <v>428100</v>
      </c>
      <c r="B3" s="5">
        <v>171</v>
      </c>
      <c r="C3" s="7" t="str">
        <f t="shared" si="0"/>
        <v>Premium5R6release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96">
        <v>5076</v>
      </c>
      <c r="P3" s="46">
        <f>O3/SUM(O:O)</f>
        <v>1.3428571428571429E-2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input_428100!A$2</f>
        <v>428100</v>
      </c>
      <c r="B4" s="5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96">
        <v>5076</v>
      </c>
      <c r="P4" s="46">
        <f>O4/SUM(O:O)</f>
        <v>1.3428571428571429E-2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input_428100!A$2</f>
        <v>428100</v>
      </c>
      <c r="B5" s="5">
        <v>177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96">
        <v>5076</v>
      </c>
      <c r="P5" s="46">
        <f>O5/SUM(O:O)</f>
        <v>1.3428571428571429E-2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input_428100!A$2</f>
        <v>428100</v>
      </c>
      <c r="B6" s="5">
        <v>180</v>
      </c>
      <c r="C6" s="7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96">
        <v>5076</v>
      </c>
      <c r="P6" s="46">
        <f>O6/SUM(O:O)</f>
        <v>1.3428571428571429E-2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input_428100!A$2</f>
        <v>428100</v>
      </c>
      <c r="B7" s="2">
        <v>183</v>
      </c>
      <c r="C7" s="7" t="str">
        <f t="shared" ref="C7:C70" si="2">D7&amp;J7&amp;E7&amp;F7&amp;G7</f>
        <v>Premium5</v>
      </c>
      <c r="D7" s="7" t="str">
        <f t="shared" ref="D7:D70" si="3">IF(OR(I7="PremiumSS",I7="PremiumSSw"),"PremiumSS",IF(I7="PremiumSSS",I7,IF(I7="PremiumW",I7,"Premium")))</f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96">
        <v>5076</v>
      </c>
      <c r="P7" s="46">
        <f t="shared" ref="P7:P70" si="4">O7/SUM(O:O)</f>
        <v>1.3428571428571429E-2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input_428100!A$2</f>
        <v>428100</v>
      </c>
      <c r="B8" s="2">
        <v>186</v>
      </c>
      <c r="C8" s="7" t="str">
        <f t="shared" si="2"/>
        <v>Premium5</v>
      </c>
      <c r="D8" s="7" t="str">
        <f t="shared" si="3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96">
        <v>5076</v>
      </c>
      <c r="P8" s="46">
        <f t="shared" si="4"/>
        <v>1.3428571428571429E-2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input_428100!A$2</f>
        <v>428100</v>
      </c>
      <c r="B9" s="2">
        <v>189</v>
      </c>
      <c r="C9" s="7" t="str">
        <f t="shared" si="2"/>
        <v>Premium5</v>
      </c>
      <c r="D9" s="7" t="str">
        <f t="shared" si="3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96">
        <v>5076</v>
      </c>
      <c r="P9" s="46">
        <f t="shared" si="4"/>
        <v>1.3428571428571429E-2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input_428100!A$2</f>
        <v>428100</v>
      </c>
      <c r="B10" s="2">
        <v>192</v>
      </c>
      <c r="C10" s="7" t="str">
        <f t="shared" si="2"/>
        <v>Premium5</v>
      </c>
      <c r="D10" s="7" t="str">
        <f t="shared" si="3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96">
        <v>5076</v>
      </c>
      <c r="P10" s="46">
        <f t="shared" si="4"/>
        <v>1.3428571428571429E-2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input_428100!A$2</f>
        <v>428100</v>
      </c>
      <c r="B11" s="2">
        <v>195</v>
      </c>
      <c r="C11" s="7" t="str">
        <f t="shared" si="2"/>
        <v>Premium5</v>
      </c>
      <c r="D11" s="7" t="str">
        <f t="shared" si="3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96">
        <v>5076</v>
      </c>
      <c r="P11" s="46">
        <f t="shared" si="4"/>
        <v>1.3428571428571429E-2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input_428100!A$2</f>
        <v>428100</v>
      </c>
      <c r="B12" s="2">
        <v>198</v>
      </c>
      <c r="C12" s="7" t="str">
        <f t="shared" si="2"/>
        <v>Premium5</v>
      </c>
      <c r="D12" s="7" t="str">
        <f t="shared" si="3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96">
        <v>5076</v>
      </c>
      <c r="P12" s="46">
        <f t="shared" si="4"/>
        <v>1.3428571428571429E-2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input_428100!A$2</f>
        <v>428100</v>
      </c>
      <c r="B13" s="2">
        <v>201</v>
      </c>
      <c r="C13" s="7" t="str">
        <f t="shared" si="2"/>
        <v>Premium5</v>
      </c>
      <c r="D13" s="7" t="str">
        <f t="shared" si="3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96">
        <v>5076</v>
      </c>
      <c r="P13" s="46">
        <f t="shared" si="4"/>
        <v>1.3428571428571429E-2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input_428100!A$2</f>
        <v>428100</v>
      </c>
      <c r="B14" s="2">
        <v>204</v>
      </c>
      <c r="C14" s="7" t="str">
        <f t="shared" si="2"/>
        <v>Premium5</v>
      </c>
      <c r="D14" s="7" t="str">
        <f t="shared" si="3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96">
        <v>5076</v>
      </c>
      <c r="P14" s="46">
        <f t="shared" si="4"/>
        <v>1.3428571428571429E-2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input_428100!A$2</f>
        <v>428100</v>
      </c>
      <c r="B15" s="2">
        <v>207</v>
      </c>
      <c r="C15" s="7" t="str">
        <f t="shared" si="2"/>
        <v>Premium5</v>
      </c>
      <c r="D15" s="7" t="str">
        <f t="shared" si="3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96">
        <v>5076</v>
      </c>
      <c r="P15" s="46">
        <f t="shared" si="4"/>
        <v>1.3428571428571429E-2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input_428100!A$2</f>
        <v>428100</v>
      </c>
      <c r="B16" s="2">
        <v>210</v>
      </c>
      <c r="C16" s="7" t="str">
        <f t="shared" si="2"/>
        <v>Premium5</v>
      </c>
      <c r="D16" s="7" t="str">
        <f t="shared" si="3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96">
        <v>5076</v>
      </c>
      <c r="P16" s="46">
        <f t="shared" si="4"/>
        <v>1.3428571428571429E-2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input_428100!A$2</f>
        <v>428100</v>
      </c>
      <c r="B17" s="2">
        <v>213</v>
      </c>
      <c r="C17" s="7" t="str">
        <f t="shared" si="2"/>
        <v>Premium5</v>
      </c>
      <c r="D17" s="7" t="str">
        <f t="shared" si="3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96">
        <v>5076</v>
      </c>
      <c r="P17" s="46">
        <f t="shared" si="4"/>
        <v>1.3428571428571429E-2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input_428100!A$2</f>
        <v>428100</v>
      </c>
      <c r="B18" s="2">
        <v>216</v>
      </c>
      <c r="C18" s="7" t="str">
        <f t="shared" si="2"/>
        <v>Premium5</v>
      </c>
      <c r="D18" s="7" t="str">
        <f t="shared" si="3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96">
        <v>5076</v>
      </c>
      <c r="P18" s="46">
        <f t="shared" si="4"/>
        <v>1.3428571428571429E-2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input_428100!A$2</f>
        <v>428100</v>
      </c>
      <c r="B19" s="2">
        <v>219</v>
      </c>
      <c r="C19" s="7" t="str">
        <f t="shared" si="2"/>
        <v>Premium5</v>
      </c>
      <c r="D19" s="7" t="str">
        <f t="shared" si="3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96">
        <v>5076</v>
      </c>
      <c r="P19" s="46">
        <f t="shared" si="4"/>
        <v>1.3428571428571429E-2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input_428100!A$2</f>
        <v>428100</v>
      </c>
      <c r="B20" s="2">
        <v>222</v>
      </c>
      <c r="C20" s="7" t="str">
        <f t="shared" si="2"/>
        <v>Premium5</v>
      </c>
      <c r="D20" s="7" t="str">
        <f t="shared" si="3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96">
        <v>5076</v>
      </c>
      <c r="P20" s="46">
        <f t="shared" si="4"/>
        <v>1.3428571428571429E-2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input_428100!A$2</f>
        <v>428100</v>
      </c>
      <c r="B21" s="2">
        <v>225</v>
      </c>
      <c r="C21" s="7" t="str">
        <f t="shared" si="2"/>
        <v>Premium5</v>
      </c>
      <c r="D21" s="7" t="str">
        <f t="shared" si="3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96">
        <v>5076</v>
      </c>
      <c r="P21" s="46">
        <f t="shared" si="4"/>
        <v>1.3428571428571429E-2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input_428100!A$2</f>
        <v>428100</v>
      </c>
      <c r="B22" s="2">
        <v>228</v>
      </c>
      <c r="C22" s="7" t="str">
        <f t="shared" si="2"/>
        <v>Premium5</v>
      </c>
      <c r="D22" s="7" t="str">
        <f t="shared" si="3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96">
        <v>5076</v>
      </c>
      <c r="P22" s="46">
        <f t="shared" si="4"/>
        <v>1.3428571428571429E-2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input_428100!A$2</f>
        <v>428100</v>
      </c>
      <c r="B23" s="2">
        <v>231</v>
      </c>
      <c r="C23" s="7" t="str">
        <f t="shared" si="2"/>
        <v>Premium5</v>
      </c>
      <c r="D23" s="7" t="str">
        <f t="shared" si="3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96">
        <v>5076</v>
      </c>
      <c r="P23" s="46">
        <f t="shared" si="4"/>
        <v>1.3428571428571429E-2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input_428100!A$2</f>
        <v>428100</v>
      </c>
      <c r="B24" s="2">
        <v>234</v>
      </c>
      <c r="C24" s="7" t="str">
        <f t="shared" si="2"/>
        <v>Premium5</v>
      </c>
      <c r="D24" s="7" t="str">
        <f t="shared" si="3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96">
        <v>5076</v>
      </c>
      <c r="P24" s="46">
        <f t="shared" si="4"/>
        <v>1.3428571428571429E-2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input_428100!A$2</f>
        <v>428100</v>
      </c>
      <c r="B25" s="2">
        <v>237</v>
      </c>
      <c r="C25" s="7" t="str">
        <f t="shared" si="2"/>
        <v>Premium5R6release</v>
      </c>
      <c r="D25" s="7" t="str">
        <f t="shared" si="3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96">
        <v>5076</v>
      </c>
      <c r="P25" s="46">
        <f t="shared" si="4"/>
        <v>1.3428571428571429E-2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input_428100!A$2</f>
        <v>428100</v>
      </c>
      <c r="B26" s="2">
        <v>240</v>
      </c>
      <c r="C26" s="7" t="str">
        <f t="shared" si="2"/>
        <v>Premium5</v>
      </c>
      <c r="D26" s="7" t="str">
        <f t="shared" si="3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96">
        <v>5076</v>
      </c>
      <c r="P26" s="46">
        <f t="shared" si="4"/>
        <v>1.3428571428571429E-2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input_428100!A$2</f>
        <v>428100</v>
      </c>
      <c r="B27" s="2">
        <v>243</v>
      </c>
      <c r="C27" s="7" t="str">
        <f t="shared" si="2"/>
        <v>Premium5</v>
      </c>
      <c r="D27" s="7" t="str">
        <f t="shared" si="3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96">
        <v>5076</v>
      </c>
      <c r="P27" s="46">
        <f t="shared" si="4"/>
        <v>1.3428571428571429E-2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input_428100!A$2</f>
        <v>428100</v>
      </c>
      <c r="B28" s="2">
        <v>246</v>
      </c>
      <c r="C28" s="7" t="str">
        <f t="shared" si="2"/>
        <v>Premium5</v>
      </c>
      <c r="D28" s="7" t="str">
        <f t="shared" si="3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96">
        <v>5076</v>
      </c>
      <c r="P28" s="46">
        <f t="shared" si="4"/>
        <v>1.3428571428571429E-2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input_428100!A$2</f>
        <v>428100</v>
      </c>
      <c r="B29" s="2">
        <v>249</v>
      </c>
      <c r="C29" s="7" t="str">
        <f t="shared" si="2"/>
        <v>Premium5</v>
      </c>
      <c r="D29" s="7" t="str">
        <f t="shared" si="3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96">
        <v>5076</v>
      </c>
      <c r="P29" s="46">
        <f t="shared" si="4"/>
        <v>1.3428571428571429E-2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input_428100!A$2</f>
        <v>428100</v>
      </c>
      <c r="B30" s="2">
        <v>252</v>
      </c>
      <c r="C30" s="7" t="str">
        <f t="shared" si="2"/>
        <v>Premium5</v>
      </c>
      <c r="D30" s="7" t="str">
        <f t="shared" si="3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96">
        <v>5076</v>
      </c>
      <c r="P30" s="46">
        <f t="shared" si="4"/>
        <v>1.3428571428571429E-2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input_428100!A$2</f>
        <v>428100</v>
      </c>
      <c r="B31" s="2">
        <v>255</v>
      </c>
      <c r="C31" s="7" t="str">
        <f t="shared" si="2"/>
        <v>Premium5</v>
      </c>
      <c r="D31" s="7" t="str">
        <f t="shared" si="3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96">
        <v>5076</v>
      </c>
      <c r="P31" s="46">
        <f t="shared" si="4"/>
        <v>1.3428571428571429E-2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input_428100!A$2</f>
        <v>428100</v>
      </c>
      <c r="B32" s="2">
        <v>258</v>
      </c>
      <c r="C32" s="7" t="str">
        <f t="shared" si="2"/>
        <v>Premium5</v>
      </c>
      <c r="D32" s="7" t="str">
        <f t="shared" si="3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96">
        <v>5076</v>
      </c>
      <c r="P32" s="46">
        <f t="shared" si="4"/>
        <v>1.3428571428571429E-2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input_428100!A$2</f>
        <v>428100</v>
      </c>
      <c r="B33" s="2">
        <v>261</v>
      </c>
      <c r="C33" s="7" t="str">
        <f t="shared" si="2"/>
        <v>Premium5</v>
      </c>
      <c r="D33" s="7" t="str">
        <f t="shared" si="3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96">
        <v>5076</v>
      </c>
      <c r="P33" s="46">
        <f t="shared" si="4"/>
        <v>1.3428571428571429E-2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input_428100!A$2</f>
        <v>428100</v>
      </c>
      <c r="B34" s="2">
        <v>321</v>
      </c>
      <c r="C34" s="7" t="str">
        <f t="shared" si="2"/>
        <v>PremiumSS5</v>
      </c>
      <c r="D34" s="7" t="str">
        <f t="shared" si="3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96">
        <v>350</v>
      </c>
      <c r="P34" s="46">
        <f t="shared" si="4"/>
        <v>9.2592592592592596E-4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input_428100!A$2</f>
        <v>428100</v>
      </c>
      <c r="B35" s="2">
        <v>323</v>
      </c>
      <c r="C35" s="7" t="str">
        <f t="shared" si="2"/>
        <v>PremiumSS5</v>
      </c>
      <c r="D35" s="7" t="str">
        <f t="shared" si="3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96">
        <v>350</v>
      </c>
      <c r="P35" s="46">
        <f t="shared" si="4"/>
        <v>9.2592592592592596E-4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input_428100!A$2</f>
        <v>428100</v>
      </c>
      <c r="B36" s="2">
        <v>325</v>
      </c>
      <c r="C36" s="7" t="str">
        <f t="shared" si="2"/>
        <v>PremiumSS5</v>
      </c>
      <c r="D36" s="7" t="str">
        <f t="shared" si="3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96">
        <v>350</v>
      </c>
      <c r="P36" s="46">
        <f t="shared" si="4"/>
        <v>9.2592592592592596E-4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input_428100!A$2</f>
        <v>428100</v>
      </c>
      <c r="B37" s="2">
        <v>327</v>
      </c>
      <c r="C37" s="7" t="str">
        <f t="shared" si="2"/>
        <v>PremiumSS5</v>
      </c>
      <c r="D37" s="7" t="str">
        <f t="shared" si="3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96">
        <v>350</v>
      </c>
      <c r="P37" s="46">
        <f t="shared" si="4"/>
        <v>9.2592592592592596E-4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input_428100!A$2</f>
        <v>428100</v>
      </c>
      <c r="B38" s="2">
        <v>382</v>
      </c>
      <c r="C38" s="7" t="str">
        <f t="shared" si="2"/>
        <v>Premium5</v>
      </c>
      <c r="D38" s="7" t="str">
        <f t="shared" si="3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96">
        <v>5076</v>
      </c>
      <c r="P38" s="46">
        <f t="shared" si="4"/>
        <v>1.3428571428571429E-2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input_428100!A$2</f>
        <v>428100</v>
      </c>
      <c r="B39" s="2">
        <v>384</v>
      </c>
      <c r="C39" s="7" t="str">
        <f t="shared" si="2"/>
        <v>PremiumSS5</v>
      </c>
      <c r="D39" s="7" t="str">
        <f t="shared" si="3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96">
        <v>350</v>
      </c>
      <c r="P39" s="46">
        <f t="shared" si="4"/>
        <v>9.2592592592592596E-4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input_428100!A$2</f>
        <v>428100</v>
      </c>
      <c r="B40" s="2">
        <v>386</v>
      </c>
      <c r="C40" s="7" t="str">
        <f t="shared" si="2"/>
        <v>PremiumSS5</v>
      </c>
      <c r="D40" s="7" t="str">
        <f t="shared" si="3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96">
        <v>350</v>
      </c>
      <c r="P40" s="46">
        <f t="shared" si="4"/>
        <v>9.2592592592592596E-4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input_428100!A$2</f>
        <v>428100</v>
      </c>
      <c r="B41" s="2">
        <v>389</v>
      </c>
      <c r="C41" s="7" t="str">
        <f t="shared" si="2"/>
        <v>Premium5</v>
      </c>
      <c r="D41" s="7" t="str">
        <f t="shared" si="3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96">
        <v>5076</v>
      </c>
      <c r="P41" s="46">
        <f t="shared" si="4"/>
        <v>1.3428571428571429E-2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input_428100!A$2</f>
        <v>428100</v>
      </c>
      <c r="B42" s="2">
        <v>391</v>
      </c>
      <c r="C42" s="7" t="str">
        <f t="shared" si="2"/>
        <v>PremiumSS5</v>
      </c>
      <c r="D42" s="7" t="str">
        <f t="shared" si="3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96">
        <v>350</v>
      </c>
      <c r="P42" s="46">
        <f t="shared" si="4"/>
        <v>9.2592592592592596E-4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input_428100!A$2</f>
        <v>428100</v>
      </c>
      <c r="B43" s="2">
        <v>394</v>
      </c>
      <c r="C43" s="7" t="str">
        <f t="shared" si="2"/>
        <v>Premium5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96">
        <v>5076</v>
      </c>
      <c r="P43" s="46">
        <f t="shared" si="4"/>
        <v>1.3428571428571429E-2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input_428100!A$2</f>
        <v>428100</v>
      </c>
      <c r="B44" s="2">
        <v>397</v>
      </c>
      <c r="C44" s="7" t="str">
        <f t="shared" si="2"/>
        <v>Premium5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96">
        <v>5076</v>
      </c>
      <c r="P44" s="46">
        <f t="shared" si="4"/>
        <v>1.3428571428571429E-2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input_428100!A$2</f>
        <v>428100</v>
      </c>
      <c r="B45" s="2">
        <v>399</v>
      </c>
      <c r="C45" s="7" t="str">
        <f t="shared" si="2"/>
        <v>PremiumSS5</v>
      </c>
      <c r="D45" s="7" t="str">
        <f t="shared" si="3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96">
        <v>350</v>
      </c>
      <c r="P45" s="46">
        <f t="shared" si="4"/>
        <v>9.2592592592592596E-4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input_428100!A$2</f>
        <v>428100</v>
      </c>
      <c r="B46" s="2">
        <v>402</v>
      </c>
      <c r="C46" s="7" t="str">
        <f t="shared" si="2"/>
        <v>Premium5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96">
        <v>5076</v>
      </c>
      <c r="P46" s="46">
        <f t="shared" si="4"/>
        <v>1.3428571428571429E-2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input_428100!A$2</f>
        <v>428100</v>
      </c>
      <c r="B47" s="2">
        <v>404</v>
      </c>
      <c r="C47" s="7" t="str">
        <f t="shared" si="2"/>
        <v>PremiumSS5</v>
      </c>
      <c r="D47" s="7" t="str">
        <f t="shared" si="3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96">
        <v>350</v>
      </c>
      <c r="P47" s="46">
        <f t="shared" si="4"/>
        <v>9.2592592592592596E-4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input_428100!A$2</f>
        <v>428100</v>
      </c>
      <c r="B48" s="2">
        <v>407</v>
      </c>
      <c r="C48" s="7" t="str">
        <f t="shared" si="2"/>
        <v>Premium5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96">
        <v>5076</v>
      </c>
      <c r="P48" s="46">
        <f t="shared" si="4"/>
        <v>1.3428571428571429E-2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input_428100!A$2</f>
        <v>428100</v>
      </c>
      <c r="B49" s="2">
        <v>409</v>
      </c>
      <c r="C49" s="7" t="str">
        <f t="shared" si="2"/>
        <v>PremiumSS5</v>
      </c>
      <c r="D49" s="7" t="str">
        <f t="shared" si="3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96">
        <v>350</v>
      </c>
      <c r="P49" s="46">
        <f t="shared" si="4"/>
        <v>9.2592592592592596E-4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input_428100!A$2</f>
        <v>428100</v>
      </c>
      <c r="B50" s="2">
        <v>435</v>
      </c>
      <c r="C50" s="7" t="str">
        <f t="shared" si="2"/>
        <v>PremiumSS5</v>
      </c>
      <c r="D50" s="7" t="str">
        <f t="shared" si="3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96">
        <v>350</v>
      </c>
      <c r="P50" s="46">
        <f t="shared" si="4"/>
        <v>9.2592592592592596E-4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input_428100!A$2</f>
        <v>428100</v>
      </c>
      <c r="B51" s="2">
        <v>438</v>
      </c>
      <c r="C51" s="7" t="str">
        <f t="shared" si="2"/>
        <v>Premium5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96">
        <v>5076</v>
      </c>
      <c r="P51" s="46">
        <f t="shared" si="4"/>
        <v>1.3428571428571429E-2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input_428100!A$2</f>
        <v>428100</v>
      </c>
      <c r="B52" s="2">
        <v>441</v>
      </c>
      <c r="C52" s="7" t="str">
        <f t="shared" si="2"/>
        <v>Premium5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96">
        <v>5076</v>
      </c>
      <c r="P52" s="46">
        <f t="shared" si="4"/>
        <v>1.3428571428571429E-2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input_428100!A$2</f>
        <v>428100</v>
      </c>
      <c r="B53" s="2">
        <v>443</v>
      </c>
      <c r="C53" s="7" t="str">
        <f t="shared" si="2"/>
        <v>PremiumSS5</v>
      </c>
      <c r="D53" s="7" t="str">
        <f t="shared" si="3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96">
        <v>350</v>
      </c>
      <c r="P53" s="46">
        <f t="shared" si="4"/>
        <v>9.2592592592592596E-4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input_428100!A$2</f>
        <v>428100</v>
      </c>
      <c r="B54" s="2">
        <v>464</v>
      </c>
      <c r="C54" s="7" t="str">
        <f t="shared" si="2"/>
        <v>Premium5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96">
        <v>5076</v>
      </c>
      <c r="P54" s="46">
        <f t="shared" si="4"/>
        <v>1.3428571428571429E-2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input_428100!A$2</f>
        <v>428100</v>
      </c>
      <c r="B55" s="2">
        <v>466</v>
      </c>
      <c r="C55" s="7" t="str">
        <f t="shared" si="2"/>
        <v>PremiumSS5</v>
      </c>
      <c r="D55" s="7" t="str">
        <f t="shared" si="3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96">
        <v>350</v>
      </c>
      <c r="P55" s="46">
        <f t="shared" si="4"/>
        <v>9.2592592592592596E-4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input_428100!A$2</f>
        <v>428100</v>
      </c>
      <c r="B56" s="2">
        <v>468</v>
      </c>
      <c r="C56" s="7" t="str">
        <f t="shared" si="2"/>
        <v>PremiumSS5</v>
      </c>
      <c r="D56" s="7" t="str">
        <f t="shared" si="3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96">
        <v>350</v>
      </c>
      <c r="P56" s="46">
        <f t="shared" si="4"/>
        <v>9.2592592592592596E-4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input_428100!A$2</f>
        <v>428100</v>
      </c>
      <c r="B57" s="2">
        <v>471</v>
      </c>
      <c r="C57" s="7" t="str">
        <f t="shared" si="2"/>
        <v>Premium5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96">
        <v>5076</v>
      </c>
      <c r="P57" s="46">
        <f t="shared" si="4"/>
        <v>1.3428571428571429E-2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input_428100!A$2</f>
        <v>428100</v>
      </c>
      <c r="B58" s="2">
        <v>475</v>
      </c>
      <c r="C58" s="7" t="str">
        <f t="shared" si="2"/>
        <v>PremiumSS5</v>
      </c>
      <c r="D58" s="7" t="str">
        <f t="shared" si="3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96">
        <v>350</v>
      </c>
      <c r="P58" s="46">
        <f t="shared" si="4"/>
        <v>9.2592592592592596E-4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input_428100!A$2</f>
        <v>428100</v>
      </c>
      <c r="B59" s="2">
        <v>478</v>
      </c>
      <c r="C59" s="7" t="str">
        <f t="shared" si="2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96">
        <v>5076</v>
      </c>
      <c r="P59" s="46">
        <f t="shared" si="4"/>
        <v>1.3428571428571429E-2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input_428100!A$2</f>
        <v>428100</v>
      </c>
      <c r="B60" s="2">
        <v>480</v>
      </c>
      <c r="C60" s="7" t="str">
        <f t="shared" si="2"/>
        <v>PremiumSS5</v>
      </c>
      <c r="D60" s="7" t="str">
        <f t="shared" si="3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96">
        <v>350</v>
      </c>
      <c r="P60" s="46">
        <f t="shared" si="4"/>
        <v>9.2592592592592596E-4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input_428100!A$2</f>
        <v>428100</v>
      </c>
      <c r="B61" s="2">
        <v>483</v>
      </c>
      <c r="C61" s="7" t="str">
        <f t="shared" si="2"/>
        <v>Premium5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96">
        <v>5076</v>
      </c>
      <c r="P61" s="46">
        <f t="shared" si="4"/>
        <v>1.3428571428571429E-2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input_428100!A$2</f>
        <v>428100</v>
      </c>
      <c r="B62" s="2">
        <v>493</v>
      </c>
      <c r="C62" s="7" t="str">
        <f t="shared" si="2"/>
        <v>PremiumSS5</v>
      </c>
      <c r="D62" s="7" t="str">
        <f t="shared" si="3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96">
        <v>350</v>
      </c>
      <c r="P62" s="46">
        <f t="shared" si="4"/>
        <v>9.2592592592592596E-4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input_428100!A$2</f>
        <v>428100</v>
      </c>
      <c r="B63" s="2">
        <v>495</v>
      </c>
      <c r="C63" s="7" t="str">
        <f t="shared" si="2"/>
        <v>PremiumSS5</v>
      </c>
      <c r="D63" s="7" t="str">
        <f t="shared" si="3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96">
        <v>350</v>
      </c>
      <c r="P63" s="46">
        <f t="shared" si="4"/>
        <v>9.2592592592592596E-4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input_428100!A$2</f>
        <v>428100</v>
      </c>
      <c r="B64" s="2">
        <v>498</v>
      </c>
      <c r="C64" s="7" t="str">
        <f t="shared" si="2"/>
        <v>Premium5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96">
        <v>5076</v>
      </c>
      <c r="P64" s="46">
        <f t="shared" si="4"/>
        <v>1.3428571428571429E-2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input_428100!A$2</f>
        <v>428100</v>
      </c>
      <c r="B65" s="2">
        <v>500</v>
      </c>
      <c r="C65" s="7" t="str">
        <f t="shared" si="2"/>
        <v>PremiumSS5</v>
      </c>
      <c r="D65" s="7" t="str">
        <f t="shared" si="3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96">
        <v>350</v>
      </c>
      <c r="P65" s="46">
        <f t="shared" si="4"/>
        <v>9.2592592592592596E-4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input_428100!A$2</f>
        <v>428100</v>
      </c>
      <c r="B66" s="2">
        <v>587</v>
      </c>
      <c r="C66" s="7" t="str">
        <f t="shared" si="2"/>
        <v>PremiumSS5</v>
      </c>
      <c r="D66" s="7" t="str">
        <f t="shared" si="3"/>
        <v>PremiumSS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96">
        <v>350</v>
      </c>
      <c r="P66" s="46">
        <f t="shared" si="4"/>
        <v>9.2592592592592596E-4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input_428100!A$2</f>
        <v>428100</v>
      </c>
      <c r="B67" s="2">
        <v>590</v>
      </c>
      <c r="C67" s="7" t="str">
        <f t="shared" si="2"/>
        <v>Premium5</v>
      </c>
      <c r="D67" s="7" t="str">
        <f t="shared" si="3"/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96">
        <v>5076</v>
      </c>
      <c r="P67" s="46">
        <f t="shared" si="4"/>
        <v>1.3428571428571429E-2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input_428100!A$2</f>
        <v>428100</v>
      </c>
      <c r="B68" s="2">
        <v>593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96">
        <v>5076</v>
      </c>
      <c r="P68" s="46">
        <f t="shared" si="4"/>
        <v>1.3428571428571429E-2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input_428100!A$2</f>
        <v>428100</v>
      </c>
      <c r="B69" s="2">
        <v>595</v>
      </c>
      <c r="C69" s="7" t="str">
        <f t="shared" si="2"/>
        <v>PremiumSS5</v>
      </c>
      <c r="D69" s="7" t="str">
        <f t="shared" si="3"/>
        <v>PremiumSS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96">
        <v>350</v>
      </c>
      <c r="P69" s="46">
        <f t="shared" si="4"/>
        <v>9.2592592592592596E-4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input_428100!A$2</f>
        <v>428100</v>
      </c>
      <c r="B70" s="2">
        <v>598</v>
      </c>
      <c r="C70" s="7" t="str">
        <f t="shared" si="2"/>
        <v>Premium5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96">
        <v>5076</v>
      </c>
      <c r="P70" s="46">
        <f t="shared" si="4"/>
        <v>1.3428571428571429E-2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input_428100!A$2</f>
        <v>428100</v>
      </c>
      <c r="B71" s="2">
        <v>601</v>
      </c>
      <c r="C71" s="7" t="str">
        <f t="shared" ref="C71:C125" si="5">D71&amp;J71&amp;E71&amp;F71&amp;G71</f>
        <v>Premium5</v>
      </c>
      <c r="D71" s="7" t="str">
        <f t="shared" ref="D71:D125" si="6">IF(OR(I71="PremiumSS",I71="PremiumSSw"),"PremiumSS",IF(I71="PremiumSSS",I71,IF(I71="PremiumW",I71,"Premium")))</f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96">
        <v>5076</v>
      </c>
      <c r="P71" s="46">
        <f t="shared" ref="P71:P129" si="7">O71/SUM(O:O)</f>
        <v>1.3428571428571429E-2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input_428100!A$2</f>
        <v>428100</v>
      </c>
      <c r="B72" s="2">
        <v>603</v>
      </c>
      <c r="C72" s="7" t="str">
        <f t="shared" si="5"/>
        <v>PremiumSS5</v>
      </c>
      <c r="D72" s="7" t="str">
        <f t="shared" si="6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96">
        <v>350</v>
      </c>
      <c r="P72" s="46">
        <f t="shared" si="7"/>
        <v>9.2592592592592596E-4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input_428100!A$2</f>
        <v>428100</v>
      </c>
      <c r="B73" s="2">
        <v>606</v>
      </c>
      <c r="C73" s="7" t="str">
        <f t="shared" si="5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96">
        <v>5076</v>
      </c>
      <c r="P73" s="46">
        <f t="shared" si="7"/>
        <v>1.3428571428571429E-2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input_428100!A$2</f>
        <v>428100</v>
      </c>
      <c r="B74" s="2">
        <v>659</v>
      </c>
      <c r="C74" s="7" t="str">
        <f t="shared" si="5"/>
        <v>PremiumSS5</v>
      </c>
      <c r="D74" s="7" t="str">
        <f t="shared" si="6"/>
        <v>PremiumSS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96">
        <v>350</v>
      </c>
      <c r="P74" s="46">
        <f t="shared" si="7"/>
        <v>9.2592592592592596E-4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input_428100!A$2</f>
        <v>428100</v>
      </c>
      <c r="B75" s="2">
        <v>661</v>
      </c>
      <c r="C75" s="7" t="str">
        <f t="shared" si="5"/>
        <v>PremiumSS5</v>
      </c>
      <c r="D75" s="7" t="str">
        <f t="shared" si="6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96">
        <v>350</v>
      </c>
      <c r="P75" s="46">
        <f t="shared" si="7"/>
        <v>9.2592592592592596E-4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input_428100!A$2</f>
        <v>428100</v>
      </c>
      <c r="B76" s="2">
        <v>664</v>
      </c>
      <c r="C76" s="7" t="str">
        <f t="shared" si="5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96">
        <v>5076</v>
      </c>
      <c r="P76" s="46">
        <f t="shared" si="7"/>
        <v>1.3428571428571429E-2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input_428100!A$2</f>
        <v>428100</v>
      </c>
      <c r="B77" s="2">
        <v>667</v>
      </c>
      <c r="C77" s="7" t="str">
        <f t="shared" si="5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96">
        <v>5076</v>
      </c>
      <c r="P77" s="46">
        <f t="shared" si="7"/>
        <v>1.3428571428571429E-2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input_428100!A$2</f>
        <v>428100</v>
      </c>
      <c r="B78" s="2">
        <v>670</v>
      </c>
      <c r="C78" s="7" t="str">
        <f t="shared" si="5"/>
        <v>Premium5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96">
        <v>5076</v>
      </c>
      <c r="P78" s="46">
        <f t="shared" si="7"/>
        <v>1.3428571428571429E-2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input_428100!A$2</f>
        <v>428100</v>
      </c>
      <c r="B79" s="2">
        <v>673</v>
      </c>
      <c r="C79" s="7" t="str">
        <f t="shared" si="5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96">
        <v>5076</v>
      </c>
      <c r="P79" s="46">
        <f t="shared" si="7"/>
        <v>1.3428571428571429E-2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input_428100!A$2</f>
        <v>428100</v>
      </c>
      <c r="B80" s="2">
        <v>675</v>
      </c>
      <c r="C80" s="7" t="str">
        <f t="shared" si="5"/>
        <v>PremiumSS5</v>
      </c>
      <c r="D80" s="7" t="str">
        <f t="shared" si="6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96">
        <v>350</v>
      </c>
      <c r="P80" s="46">
        <f t="shared" si="7"/>
        <v>9.2592592592592596E-4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input_428100!A$2</f>
        <v>428100</v>
      </c>
      <c r="B81" s="2">
        <v>677</v>
      </c>
      <c r="C81" s="7" t="str">
        <f t="shared" si="5"/>
        <v>PremiumSS5</v>
      </c>
      <c r="D81" s="7" t="str">
        <f t="shared" si="6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96">
        <v>350</v>
      </c>
      <c r="P81" s="46">
        <f t="shared" si="7"/>
        <v>9.2592592592592596E-4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input_428100!A$2</f>
        <v>428100</v>
      </c>
      <c r="B82" s="2">
        <v>729</v>
      </c>
      <c r="C82" s="7" t="str">
        <f t="shared" si="5"/>
        <v>Premium5R3less</v>
      </c>
      <c r="D82" s="7" t="str">
        <f t="shared" si="6"/>
        <v>Premium</v>
      </c>
      <c r="E82" s="7" t="str">
        <f>IF(COUNTIF('R6追加前'!A:A,B82)=0,IF(OR(I82="PremiumSS",I82="PremiumSSw"),"R5only","R3less"),"")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96">
        <v>5076</v>
      </c>
      <c r="P82" s="46">
        <f t="shared" si="7"/>
        <v>1.3428571428571429E-2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input_428100!A$2</f>
        <v>428100</v>
      </c>
      <c r="B83" s="2">
        <v>731</v>
      </c>
      <c r="C83" s="7" t="str">
        <f t="shared" si="5"/>
        <v>Premium5R3less</v>
      </c>
      <c r="D83" s="7" t="str">
        <f t="shared" si="6"/>
        <v>Premium</v>
      </c>
      <c r="E83" s="7" t="str">
        <f>IF(COUNTIF('R6追加前'!A:A,B83)=0,IF(OR(I83="PremiumSS",I83="PremiumSSw"),"R5only","R3less"),"")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96">
        <v>5076</v>
      </c>
      <c r="P83" s="46">
        <f t="shared" si="7"/>
        <v>1.3428571428571429E-2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input_428100!A$2</f>
        <v>428100</v>
      </c>
      <c r="B84" s="2">
        <v>732</v>
      </c>
      <c r="C84" s="7" t="str">
        <f t="shared" si="5"/>
        <v>PremiumSS5R5only</v>
      </c>
      <c r="D84" s="7" t="str">
        <f t="shared" si="6"/>
        <v>PremiumSS</v>
      </c>
      <c r="E84" s="7" t="str">
        <f>IF(COUNTIF('R6追加前'!A:A,B84)=0,IF(OR(I84="PremiumSS",I84="PremiumSSw"),"R5only","R3less"),"")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96">
        <v>350</v>
      </c>
      <c r="P84" s="46">
        <f t="shared" si="7"/>
        <v>9.2592592592592596E-4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input_428100!A$2</f>
        <v>428100</v>
      </c>
      <c r="B85" s="2">
        <v>734</v>
      </c>
      <c r="C85" s="7" t="str">
        <f t="shared" si="5"/>
        <v>PremiumSS5R5only</v>
      </c>
      <c r="D85" s="7" t="str">
        <f t="shared" si="6"/>
        <v>PremiumSS</v>
      </c>
      <c r="E85" s="7" t="str">
        <f>IF(COUNTIF('R6追加前'!A:A,B85)=0,IF(OR(I85="PremiumSS",I85="PremiumSSw"),"R5only","R3less"),"")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96">
        <v>350</v>
      </c>
      <c r="P85" s="46">
        <f t="shared" si="7"/>
        <v>9.2592592592592596E-4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input_428100!A$2</f>
        <v>428100</v>
      </c>
      <c r="B86" s="2">
        <v>771</v>
      </c>
      <c r="C86" s="7" t="str">
        <f t="shared" si="5"/>
        <v>PremiumSS5</v>
      </c>
      <c r="D86" s="7" t="str">
        <f t="shared" si="6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96">
        <v>350</v>
      </c>
      <c r="P86" s="46">
        <f t="shared" si="7"/>
        <v>9.2592592592592596E-4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input_428100!A$2</f>
        <v>428100</v>
      </c>
      <c r="B87" s="2">
        <v>773</v>
      </c>
      <c r="C87" s="7" t="str">
        <f t="shared" si="5"/>
        <v>PremiumSS5</v>
      </c>
      <c r="D87" s="7" t="str">
        <f t="shared" si="6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96">
        <v>350</v>
      </c>
      <c r="P87" s="46">
        <f t="shared" si="7"/>
        <v>9.2592592592592596E-4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input_428100!A$2</f>
        <v>428100</v>
      </c>
      <c r="B88" s="2">
        <v>776</v>
      </c>
      <c r="C88" s="7" t="str">
        <f t="shared" si="5"/>
        <v>Premium5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96">
        <v>5076</v>
      </c>
      <c r="P88" s="46">
        <f t="shared" si="7"/>
        <v>1.3428571428571429E-2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input_428100!A$2</f>
        <v>428100</v>
      </c>
      <c r="B89" s="2">
        <v>779</v>
      </c>
      <c r="C89" s="7" t="str">
        <f t="shared" si="5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96">
        <v>5076</v>
      </c>
      <c r="P89" s="46">
        <f t="shared" si="7"/>
        <v>1.3428571428571429E-2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input_428100!A$2</f>
        <v>428100</v>
      </c>
      <c r="B90" s="2">
        <v>848</v>
      </c>
      <c r="C90" s="7" t="str">
        <f t="shared" si="5"/>
        <v>PremiumSS5R5only</v>
      </c>
      <c r="D90" s="7" t="str">
        <f t="shared" si="6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96">
        <v>350</v>
      </c>
      <c r="P90" s="46">
        <f t="shared" si="7"/>
        <v>9.2592592592592596E-4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input_428100!A$2</f>
        <v>428100</v>
      </c>
      <c r="B91" s="2">
        <v>850</v>
      </c>
      <c r="C91" s="7" t="str">
        <f t="shared" si="5"/>
        <v>PremiumSS5R5only</v>
      </c>
      <c r="D91" s="7" t="str">
        <f t="shared" si="6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96">
        <v>350</v>
      </c>
      <c r="P91" s="46">
        <f t="shared" si="7"/>
        <v>9.2592592592592596E-4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input_428100!A$2</f>
        <v>428100</v>
      </c>
      <c r="B92" s="2">
        <v>853</v>
      </c>
      <c r="C92" s="7" t="str">
        <f t="shared" si="5"/>
        <v>Premium5R3less</v>
      </c>
      <c r="D92" s="7" t="str">
        <f t="shared" si="6"/>
        <v>Premium</v>
      </c>
      <c r="E92" s="7" t="str">
        <f>IF(COUNTIF('R6追加前'!A:A,B92)=0,IF(OR(I92="PremiumSS",I92="PremiumSSw"),"R5only","R3less"),"")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96">
        <v>5076</v>
      </c>
      <c r="P92" s="46">
        <f t="shared" si="7"/>
        <v>1.3428571428571429E-2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input_428100!A$2</f>
        <v>428100</v>
      </c>
      <c r="B93" s="2">
        <v>855</v>
      </c>
      <c r="C93" s="7" t="str">
        <f t="shared" si="5"/>
        <v>Premium5R3less</v>
      </c>
      <c r="D93" s="7" t="str">
        <f t="shared" si="6"/>
        <v>Premium</v>
      </c>
      <c r="E93" s="7" t="str">
        <f>IF(COUNTIF('R6追加前'!A:A,B93)=0,IF(OR(I93="PremiumSS",I93="PremiumSSw"),"R5only","R3less"),"")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96">
        <v>5076</v>
      </c>
      <c r="P93" s="46">
        <f t="shared" si="7"/>
        <v>1.3428571428571429E-2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input_428100!A$2</f>
        <v>428100</v>
      </c>
      <c r="B94" s="2">
        <v>863</v>
      </c>
      <c r="C94" s="7" t="str">
        <f t="shared" si="5"/>
        <v>Premium5R3less</v>
      </c>
      <c r="D94" s="7" t="str">
        <f t="shared" si="6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96">
        <v>5076</v>
      </c>
      <c r="P94" s="46">
        <f t="shared" si="7"/>
        <v>1.3428571428571429E-2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input_428100!A$2</f>
        <v>428100</v>
      </c>
      <c r="B95" s="2">
        <v>865</v>
      </c>
      <c r="C95" s="7" t="str">
        <f t="shared" si="5"/>
        <v>Premium5R3less</v>
      </c>
      <c r="D95" s="7" t="str">
        <f t="shared" si="6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96">
        <v>5076</v>
      </c>
      <c r="P95" s="46">
        <f t="shared" si="7"/>
        <v>1.3428571428571429E-2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input_428100!A$2</f>
        <v>428100</v>
      </c>
      <c r="B96" s="2">
        <v>866</v>
      </c>
      <c r="C96" s="7" t="str">
        <f t="shared" si="5"/>
        <v>PremiumSS5R5only</v>
      </c>
      <c r="D96" s="7" t="str">
        <f t="shared" si="6"/>
        <v>PremiumSS</v>
      </c>
      <c r="E96" s="7" t="str">
        <f>IF(COUNTIF('R6追加前'!A:A,B96)=0,IF(OR(I96="PremiumSS",I96="PremiumSSw"),"R5only","R3less"),"")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96">
        <v>350</v>
      </c>
      <c r="P96" s="46">
        <f t="shared" si="7"/>
        <v>9.2592592592592596E-4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input_428100!A$2</f>
        <v>428100</v>
      </c>
      <c r="B97" s="2">
        <v>868</v>
      </c>
      <c r="C97" s="7" t="str">
        <f t="shared" si="5"/>
        <v>PremiumSS5R5only</v>
      </c>
      <c r="D97" s="7" t="str">
        <f t="shared" si="6"/>
        <v>PremiumSS</v>
      </c>
      <c r="E97" s="7" t="str">
        <f>IF(COUNTIF('R6追加前'!A:A,B97)=0,IF(OR(I97="PremiumSS",I97="PremiumSSw"),"R5only","R3less"),"")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96">
        <v>350</v>
      </c>
      <c r="P97" s="46">
        <f t="shared" si="7"/>
        <v>9.2592592592592596E-4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input_428100!A$2</f>
        <v>428100</v>
      </c>
      <c r="B98" s="2">
        <v>742</v>
      </c>
      <c r="C98" s="7" t="str">
        <f t="shared" si="5"/>
        <v>PremiumSS5R5only</v>
      </c>
      <c r="D98" s="7" t="str">
        <f t="shared" si="6"/>
        <v>PremiumSS</v>
      </c>
      <c r="E98" s="7" t="str">
        <f>IF(COUNTIF('R6追加前'!A:A,B98)=0,IF(OR(I98="PremiumSS",I98="PremiumSSw"),"R5only","R3less"),"")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アポロン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red</v>
      </c>
      <c r="L98" s="7" t="str">
        <f>VLOOKUP(B98,[1]characters!$A:$K,11,FALSE)</f>
        <v>attack</v>
      </c>
      <c r="M98" s="7" t="str">
        <f>VLOOKUP(B98,[1]characters!$A:$M,13,FALSE)</f>
        <v>god</v>
      </c>
      <c r="N98" s="7" t="str">
        <f>VLOOKUP(B98,[1]characters!$A:$G,7,FALSE)</f>
        <v>男性</v>
      </c>
      <c r="O98" s="96">
        <v>350</v>
      </c>
      <c r="P98" s="46">
        <f t="shared" si="7"/>
        <v>9.2592592592592596E-4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input_428100!A$2</f>
        <v>428100</v>
      </c>
      <c r="B99" s="2">
        <v>744</v>
      </c>
      <c r="C99" s="7" t="str">
        <f t="shared" si="5"/>
        <v>PremiumSS5R5only</v>
      </c>
      <c r="D99" s="7" t="str">
        <f t="shared" si="6"/>
        <v>PremiumSS</v>
      </c>
      <c r="E99" s="7" t="str">
        <f>IF(COUNTIF('R6追加前'!A:A,B99)=0,IF(OR(I99="PremiumSS",I99="PremiumSSw"),"R5only","R3less"),"")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ヘルメス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god</v>
      </c>
      <c r="N99" s="7" t="str">
        <f>VLOOKUP(B99,[1]characters!$A:$G,7,FALSE)</f>
        <v>男性</v>
      </c>
      <c r="O99" s="96">
        <v>350</v>
      </c>
      <c r="P99" s="46">
        <f t="shared" si="7"/>
        <v>9.2592592592592596E-4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input_428100!A$2</f>
        <v>428100</v>
      </c>
      <c r="B100" s="2">
        <v>747</v>
      </c>
      <c r="C100" s="7" t="str">
        <f t="shared" si="5"/>
        <v>Premium5R3less</v>
      </c>
      <c r="D100" s="7" t="str">
        <f t="shared" si="6"/>
        <v>Premium</v>
      </c>
      <c r="E100" s="7" t="str">
        <f>IF(COUNTIF('R6追加前'!A:A,B100)=0,IF(OR(I100="PremiumSS",I100="PremiumSSw"),"R5only","R3less"),"")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潔碧の巡励神 ノルン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96">
        <v>5076</v>
      </c>
      <c r="P100" s="46">
        <f t="shared" si="7"/>
        <v>1.3428571428571429E-2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input_428100!A$2</f>
        <v>428100</v>
      </c>
      <c r="B101" s="2">
        <v>749</v>
      </c>
      <c r="C101" s="7" t="str">
        <f t="shared" si="5"/>
        <v>Premium5R3less</v>
      </c>
      <c r="D101" s="7" t="str">
        <f t="shared" si="6"/>
        <v>Premium</v>
      </c>
      <c r="E101" s="7" t="str">
        <f>IF(COUNTIF('R6追加前'!A:A,B101)=0,IF(OR(I101="PremiumSS",I101="PremiumSSw"),"R5only","R3less"),"")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光喜の牧童 パーン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heal</v>
      </c>
      <c r="M101" s="7" t="str">
        <f>VLOOKUP(B101,[1]characters!$A:$M,13,FALSE)</f>
        <v>animal</v>
      </c>
      <c r="N101" s="7" t="str">
        <f>VLOOKUP(B101,[1]characters!$A:$G,7,FALSE)</f>
        <v>男性</v>
      </c>
      <c r="O101" s="96">
        <v>5076</v>
      </c>
      <c r="P101" s="46">
        <f t="shared" si="7"/>
        <v>1.3428571428571429E-2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input_428100!A$2</f>
        <v>428100</v>
      </c>
      <c r="B102" s="2">
        <v>937</v>
      </c>
      <c r="C102" s="7" t="str">
        <f t="shared" si="5"/>
        <v>PremiumSS5R5only</v>
      </c>
      <c r="D102" s="7" t="str">
        <f t="shared" si="6"/>
        <v>PremiumSS</v>
      </c>
      <c r="E102" s="7" t="str">
        <f>IF(COUNTIF('R6追加前'!A:A,B102)=0,IF(OR(I102="PremiumSS",I102="PremiumSSw"),"R5only","R3less"),"")</f>
        <v>R5only</v>
      </c>
      <c r="F102" s="7" t="str">
        <f>IF(COUNTIF('R6開放'!A:A,B102)&gt;0,"R6release","")</f>
        <v/>
      </c>
      <c r="G102" s="7"/>
      <c r="H102" s="7" t="str">
        <f>VLOOKUP(B102,[1]characters!$A:$C,3,FALSE)</f>
        <v>ナポレオン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red</v>
      </c>
      <c r="L102" s="7" t="str">
        <f>VLOOKUP(B102,[1]characters!$A:$K,11,FALSE)</f>
        <v>balance</v>
      </c>
      <c r="M102" s="7" t="str">
        <f>VLOOKUP(B102,[1]characters!$A:$M,13,FALSE)</f>
        <v>human</v>
      </c>
      <c r="N102" s="7" t="str">
        <f>VLOOKUP(B102,[1]characters!$A:$G,7,FALSE)</f>
        <v>男性</v>
      </c>
      <c r="O102" s="96">
        <v>350</v>
      </c>
      <c r="P102" s="46">
        <f t="shared" si="7"/>
        <v>9.2592592592592596E-4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input_428100!A$2</f>
        <v>428100</v>
      </c>
      <c r="B103" s="2">
        <v>940</v>
      </c>
      <c r="C103" s="7" t="str">
        <f t="shared" si="5"/>
        <v>Premium5R3less</v>
      </c>
      <c r="D103" s="7" t="str">
        <f t="shared" si="6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不壊の大要塞 バスティーユ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green</v>
      </c>
      <c r="L103" s="7" t="str">
        <f>VLOOKUP(B103,[1]characters!$A:$K,11,FALSE)</f>
        <v>hp</v>
      </c>
      <c r="M103" s="7" t="str">
        <f>VLOOKUP(B103,[1]characters!$A:$M,13,FALSE)</f>
        <v>unknown</v>
      </c>
      <c r="N103" s="7" t="str">
        <f>VLOOKUP(B103,[1]characters!$A:$G,7,FALSE)</f>
        <v>男性</v>
      </c>
      <c r="O103" s="96">
        <v>5076</v>
      </c>
      <c r="P103" s="46">
        <f t="shared" si="7"/>
        <v>1.3428571428571429E-2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input_428100!A$2</f>
        <v>428100</v>
      </c>
      <c r="B104" s="2">
        <v>941</v>
      </c>
      <c r="C104" s="7" t="str">
        <f t="shared" si="5"/>
        <v>PremiumSS5R5only</v>
      </c>
      <c r="D104" s="7" t="str">
        <f t="shared" si="6"/>
        <v>PremiumSS</v>
      </c>
      <c r="E104" s="7" t="str">
        <f>IF(COUNTIF('R6追加前'!A:A,B104)=0,IF(OR(I104="PremiumSS",I104="PremiumSSw"),"R5only","R3less"),"")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アントワネット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blue</v>
      </c>
      <c r="L104" s="7" t="str">
        <f>VLOOKUP(B104,[1]characters!$A:$K,11,FALSE)</f>
        <v>technical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96">
        <v>350</v>
      </c>
      <c r="P104" s="46">
        <f t="shared" si="7"/>
        <v>9.2592592592592596E-4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input_428100!A$2</f>
        <v>428100</v>
      </c>
      <c r="B105" s="2">
        <v>943</v>
      </c>
      <c r="C105" s="7" t="str">
        <f t="shared" si="5"/>
        <v>PremiumSS5R5only</v>
      </c>
      <c r="D105" s="7" t="str">
        <f t="shared" si="6"/>
        <v>PremiumSS</v>
      </c>
      <c r="E105" s="7" t="str">
        <f>IF(COUNTIF('R6追加前'!A:A,B105)=0,IF(OR(I105="PremiumSS",I105="PremiumSSw"),"R5only","R3less"),"")</f>
        <v>R5only</v>
      </c>
      <c r="F105" s="7" t="str">
        <f>IF(COUNTIF('R6開放'!A:A,B105)&gt;0,"R6release","")</f>
        <v/>
      </c>
      <c r="G105" s="7"/>
      <c r="H105" s="7" t="str">
        <f>VLOOKUP(B105,[1]characters!$A:$C,3,FALSE)</f>
        <v>サンソン</v>
      </c>
      <c r="I105" s="7" t="str">
        <f>VLOOKUP(B105,[1]characters!$A:$J,10,FALSE)</f>
        <v>PremiumSS</v>
      </c>
      <c r="J105" s="7">
        <f>VLOOKUP(B105,[1]characters!$A:$I,9,FALSE)</f>
        <v>5</v>
      </c>
      <c r="K105" s="7" t="str">
        <f>VLOOKUP(B105,[1]characters!$A:$H,8,FALSE)</f>
        <v>yellow</v>
      </c>
      <c r="L105" s="7" t="str">
        <f>VLOOKUP(B105,[1]characters!$A:$K,11,FALSE)</f>
        <v>attack</v>
      </c>
      <c r="M105" s="7" t="str">
        <f>VLOOKUP(B105,[1]characters!$A:$M,13,FALSE)</f>
        <v>human</v>
      </c>
      <c r="N105" s="7" t="str">
        <f>VLOOKUP(B105,[1]characters!$A:$G,7,FALSE)</f>
        <v>男性</v>
      </c>
      <c r="O105" s="96">
        <v>350</v>
      </c>
      <c r="P105" s="46">
        <f t="shared" si="7"/>
        <v>9.2592592592592596E-4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input_428100!A$2</f>
        <v>428100</v>
      </c>
      <c r="B106" s="2">
        <v>1012</v>
      </c>
      <c r="C106" s="7" t="str">
        <f t="shared" si="5"/>
        <v>PremiumSS5R5only</v>
      </c>
      <c r="D106" s="7" t="str">
        <f t="shared" si="6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ラー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red</v>
      </c>
      <c r="L106" s="7" t="str">
        <f>VLOOKUP(B106,[1]characters!$A:$K,11,FALSE)</f>
        <v>balance</v>
      </c>
      <c r="M106" s="7" t="str">
        <f>VLOOKUP(B106,[1]characters!$A:$M,13,FALSE)</f>
        <v>god</v>
      </c>
      <c r="N106" s="7" t="str">
        <f>VLOOKUP(B106,[1]characters!$A:$G,7,FALSE)</f>
        <v>男性</v>
      </c>
      <c r="O106" s="96">
        <v>350</v>
      </c>
      <c r="P106" s="46">
        <f t="shared" si="7"/>
        <v>9.2592592592592596E-4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input_428100!A$2</f>
        <v>428100</v>
      </c>
      <c r="B107" s="2">
        <v>1014</v>
      </c>
      <c r="C107" s="7" t="str">
        <f t="shared" si="5"/>
        <v>PremiumSS5R5only</v>
      </c>
      <c r="D107" s="7" t="str">
        <f t="shared" si="6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イシス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hp</v>
      </c>
      <c r="M107" s="7" t="str">
        <f>VLOOKUP(B107,[1]characters!$A:$M,13,FALSE)</f>
        <v>god</v>
      </c>
      <c r="N107" s="7" t="str">
        <f>VLOOKUP(B107,[1]characters!$A:$G,7,FALSE)</f>
        <v>男性</v>
      </c>
      <c r="O107" s="96">
        <v>350</v>
      </c>
      <c r="P107" s="46">
        <f t="shared" si="7"/>
        <v>9.2592592592592596E-4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input_428100!A$2</f>
        <v>428100</v>
      </c>
      <c r="B108" s="2">
        <v>1017</v>
      </c>
      <c r="C108" s="7" t="str">
        <f t="shared" si="5"/>
        <v>Premium5R3less</v>
      </c>
      <c r="D108" s="7" t="str">
        <f t="shared" si="6"/>
        <v>Premium</v>
      </c>
      <c r="E108" s="7" t="str">
        <f>IF(COUNTIF('R6追加前'!A:A,B108)=0,IF(OR(I108="PremiumSS",I108="PremiumSSw"),"R5only","R3less"),"")</f>
        <v>R3less</v>
      </c>
      <c r="F108" s="7" t="str">
        <f>IF(COUNTIF('R6開放'!A:A,B108)&gt;0,"R6release","")</f>
        <v/>
      </c>
      <c r="G108" s="7"/>
      <c r="H108" s="7" t="str">
        <f>VLOOKUP(B108,[1]characters!$A:$C,3,FALSE)</f>
        <v>命瞳の慈母神 ハトホル</v>
      </c>
      <c r="I108" s="7" t="str">
        <f>VLOOKUP(B108,[1]characters!$A:$J,10,FALSE)</f>
        <v>PremiumS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heal</v>
      </c>
      <c r="M108" s="7" t="str">
        <f>VLOOKUP(B108,[1]characters!$A:$M,13,FALSE)</f>
        <v>god</v>
      </c>
      <c r="N108" s="7" t="str">
        <f>VLOOKUP(B108,[1]characters!$A:$G,7,FALSE)</f>
        <v>男性</v>
      </c>
      <c r="O108" s="96">
        <v>5076</v>
      </c>
      <c r="P108" s="46">
        <f t="shared" si="7"/>
        <v>1.3428571428571429E-2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input_428100!A$2</f>
        <v>428100</v>
      </c>
      <c r="B109" s="2">
        <v>1018</v>
      </c>
      <c r="C109" s="7" t="str">
        <f t="shared" si="5"/>
        <v>PremiumSS5R5only</v>
      </c>
      <c r="D109" s="7" t="str">
        <f t="shared" si="6"/>
        <v>PremiumSS</v>
      </c>
      <c r="E109" s="7" t="str">
        <f>IF(COUNTIF('R6追加前'!A:A,B109)=0,IF(OR(I109="PremiumSS",I109="PremiumSSw"),"R5only","R3less"),"")</f>
        <v>R5only</v>
      </c>
      <c r="F109" s="7" t="str">
        <f>IF(COUNTIF('R6開放'!A:A,B109)&gt;0,"R6release","")</f>
        <v/>
      </c>
      <c r="G109" s="7"/>
      <c r="H109" s="7" t="str">
        <f>VLOOKUP(B109,[1]characters!$A:$C,3,FALSE)</f>
        <v>バステト</v>
      </c>
      <c r="I109" s="7" t="str">
        <f>VLOOKUP(B109,[1]characters!$A:$J,10,FALSE)</f>
        <v>PremiumSS</v>
      </c>
      <c r="J109" s="7">
        <f>VLOOKUP(B109,[1]characters!$A:$I,9,FALSE)</f>
        <v>5</v>
      </c>
      <c r="K109" s="7" t="str">
        <f>VLOOKUP(B109,[1]characters!$A:$H,8,FALSE)</f>
        <v>yellow</v>
      </c>
      <c r="L109" s="7" t="str">
        <f>VLOOKUP(B109,[1]characters!$A:$K,11,FALSE)</f>
        <v>attack</v>
      </c>
      <c r="M109" s="7" t="str">
        <f>VLOOKUP(B109,[1]characters!$A:$M,13,FALSE)</f>
        <v>god</v>
      </c>
      <c r="N109" s="7" t="str">
        <f>VLOOKUP(B109,[1]characters!$A:$G,7,FALSE)</f>
        <v>男性</v>
      </c>
      <c r="O109" s="96">
        <v>350</v>
      </c>
      <c r="P109" s="46">
        <f t="shared" si="7"/>
        <v>9.2592592592592596E-4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input_428100!A$2</f>
        <v>428100</v>
      </c>
      <c r="B110" s="2">
        <v>1027</v>
      </c>
      <c r="C110" s="7" t="str">
        <f t="shared" si="5"/>
        <v>Premium5R3less</v>
      </c>
      <c r="D110" s="7" t="str">
        <f t="shared" si="6"/>
        <v>Premium</v>
      </c>
      <c r="E110" s="7" t="str">
        <f>IF(COUNTIF('R6追加前'!A:A,B110)=0,IF(OR(I110="PremiumSS",I110="PremiumSSw"),"R5only","R3less"),"")</f>
        <v>R3less</v>
      </c>
      <c r="F110" s="7" t="str">
        <f>IF(COUNTIF('R6開放'!A:A,B110)&gt;0,"R6release","")</f>
        <v/>
      </c>
      <c r="G110" s="7"/>
      <c r="H110" s="7" t="str">
        <f>VLOOKUP(B110,[1]characters!$A:$C,3,FALSE)</f>
        <v>弾丸多重奏 蝉丸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red</v>
      </c>
      <c r="L110" s="7" t="str">
        <f>VLOOKUP(B110,[1]characters!$A:$K,11,FALSE)</f>
        <v>attack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96">
        <v>5076</v>
      </c>
      <c r="P110" s="46">
        <f t="shared" si="7"/>
        <v>1.3428571428571429E-2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input_428100!A$2</f>
        <v>428100</v>
      </c>
      <c r="B111" s="2">
        <v>1028</v>
      </c>
      <c r="C111" s="7" t="str">
        <f t="shared" si="5"/>
        <v>PremiumSS5R5only</v>
      </c>
      <c r="D111" s="7" t="str">
        <f t="shared" si="6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牛若丸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green</v>
      </c>
      <c r="L111" s="7" t="str">
        <f>VLOOKUP(B111,[1]characters!$A:$K,11,FALSE)</f>
        <v>balance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96">
        <v>350</v>
      </c>
      <c r="P111" s="46">
        <f t="shared" si="7"/>
        <v>9.2592592592592596E-4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input_428100!A$2</f>
        <v>428100</v>
      </c>
      <c r="B112" s="2">
        <v>1031</v>
      </c>
      <c r="C112" s="7" t="str">
        <f t="shared" si="5"/>
        <v>PremiumSS5R5only</v>
      </c>
      <c r="D112" s="7" t="str">
        <f t="shared" si="6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紫式部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blue</v>
      </c>
      <c r="L112" s="7" t="str">
        <f>VLOOKUP(B112,[1]characters!$A:$K,11,FALSE)</f>
        <v>technical</v>
      </c>
      <c r="M112" s="7" t="str">
        <f>VLOOKUP(B112,[1]characters!$A:$M,13,FALSE)</f>
        <v>human</v>
      </c>
      <c r="N112" s="7" t="str">
        <f>VLOOKUP(B112,[1]characters!$A:$G,7,FALSE)</f>
        <v>男性</v>
      </c>
      <c r="O112" s="96">
        <v>350</v>
      </c>
      <c r="P112" s="46">
        <f t="shared" si="7"/>
        <v>9.2592592592592596E-4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input_428100!A$2</f>
        <v>428100</v>
      </c>
      <c r="B113" s="2">
        <v>1033</v>
      </c>
      <c r="C113" s="7" t="str">
        <f t="shared" si="5"/>
        <v>PremiumSS5R5only</v>
      </c>
      <c r="D113" s="7" t="str">
        <f t="shared" si="6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清少納言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heal</v>
      </c>
      <c r="M113" s="7" t="str">
        <f>VLOOKUP(B113,[1]characters!$A:$M,13,FALSE)</f>
        <v>human</v>
      </c>
      <c r="N113" s="7" t="str">
        <f>VLOOKUP(B113,[1]characters!$A:$G,7,FALSE)</f>
        <v>男性</v>
      </c>
      <c r="O113" s="96">
        <v>350</v>
      </c>
      <c r="P113" s="46">
        <f t="shared" si="7"/>
        <v>9.2592592592592596E-4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input_428100!A$2</f>
        <v>428100</v>
      </c>
      <c r="B114" s="2">
        <v>1068</v>
      </c>
      <c r="C114" s="7" t="str">
        <f t="shared" si="5"/>
        <v>Premium5R3less</v>
      </c>
      <c r="D114" s="7" t="str">
        <f t="shared" si="6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想母の羽龍 ウシュムガル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red</v>
      </c>
      <c r="L114" s="7" t="str">
        <f>VLOOKUP(B114,[1]characters!$A:$K,11,FALSE)</f>
        <v>balance</v>
      </c>
      <c r="M114" s="7" t="str">
        <f>VLOOKUP(B114,[1]characters!$A:$M,13,FALSE)</f>
        <v>dragon</v>
      </c>
      <c r="N114" s="7" t="str">
        <f>VLOOKUP(B114,[1]characters!$A:$G,7,FALSE)</f>
        <v>男性</v>
      </c>
      <c r="O114" s="96">
        <v>5076</v>
      </c>
      <c r="P114" s="46">
        <f t="shared" si="7"/>
        <v>1.3428571428571429E-2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input_428100!A$2</f>
        <v>428100</v>
      </c>
      <c r="B115" s="2">
        <v>1069</v>
      </c>
      <c r="C115" s="7" t="str">
        <f t="shared" si="5"/>
        <v>PremiumSS5R5only</v>
      </c>
      <c r="D115" s="7" t="str">
        <f t="shared" si="6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イシュタル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green</v>
      </c>
      <c r="L115" s="7" t="str">
        <f>VLOOKUP(B115,[1]characters!$A:$K,11,FALSE)</f>
        <v>technical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96">
        <v>350</v>
      </c>
      <c r="P115" s="46">
        <f t="shared" si="7"/>
        <v>9.2592592592592596E-4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input_428100!A$2</f>
        <v>428100</v>
      </c>
      <c r="B116" s="2">
        <v>1072</v>
      </c>
      <c r="C116" s="7" t="str">
        <f t="shared" si="5"/>
        <v>PremiumSS5R5only</v>
      </c>
      <c r="D116" s="7" t="str">
        <f t="shared" si="6"/>
        <v>PremiumSS</v>
      </c>
      <c r="E116" s="7" t="str">
        <f>IF(COUNTIF('R6追加前'!A:A,B116)=0,IF(OR(I116="PremiumSS",I116="PremiumSSw"),"R5only","R3less"),"")</f>
        <v>R5only</v>
      </c>
      <c r="F116" s="7" t="str">
        <f>IF(COUNTIF('R6開放'!A:A,B116)&gt;0,"R6release","")</f>
        <v/>
      </c>
      <c r="G116" s="7"/>
      <c r="H116" s="7" t="str">
        <f>VLOOKUP(B116,[1]characters!$A:$C,3,FALSE)</f>
        <v>エンキドゥ</v>
      </c>
      <c r="I116" s="7" t="str">
        <f>VLOOKUP(B116,[1]characters!$A:$J,10,FALSE)</f>
        <v>PremiumSSw</v>
      </c>
      <c r="J116" s="7">
        <f>VLOOKUP(B116,[1]characters!$A:$I,9,FALSE)</f>
        <v>5</v>
      </c>
      <c r="K116" s="7" t="str">
        <f>VLOOKUP(B116,[1]characters!$A:$H,8,FALSE)</f>
        <v>blue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96">
        <v>350</v>
      </c>
      <c r="P116" s="46">
        <f t="shared" si="7"/>
        <v>9.2592592592592596E-4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input_428100!A$2</f>
        <v>428100</v>
      </c>
      <c r="B117" s="2">
        <v>1074</v>
      </c>
      <c r="C117" s="7" t="str">
        <f t="shared" si="5"/>
        <v>PremiumSS5R5only</v>
      </c>
      <c r="D117" s="7" t="str">
        <f t="shared" si="6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マルドゥク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yellow</v>
      </c>
      <c r="L117" s="7" t="str">
        <f>VLOOKUP(B117,[1]characters!$A:$K,11,FALSE)</f>
        <v>technical</v>
      </c>
      <c r="M117" s="7" t="str">
        <f>VLOOKUP(B117,[1]characters!$A:$M,13,FALSE)</f>
        <v>god</v>
      </c>
      <c r="N117" s="7" t="str">
        <f>VLOOKUP(B117,[1]characters!$A:$G,7,FALSE)</f>
        <v>男性</v>
      </c>
      <c r="O117" s="96">
        <v>350</v>
      </c>
      <c r="P117" s="46">
        <f t="shared" si="7"/>
        <v>9.2592592592592596E-4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input_428100!A$2</f>
        <v>428100</v>
      </c>
      <c r="B118" s="2">
        <v>1105</v>
      </c>
      <c r="C118" s="7" t="str">
        <f t="shared" si="5"/>
        <v>Premium5R3less</v>
      </c>
      <c r="D118" s="7" t="str">
        <f t="shared" si="6"/>
        <v>Premium</v>
      </c>
      <c r="E118" s="7" t="str">
        <f>IF(COUNTIF('R6追加前'!A:A,B118)=0,IF(OR(I118="PremiumSS",I118="PremiumSSw"),"R5only","R3less"),"")</f>
        <v>R3less</v>
      </c>
      <c r="F118" s="7" t="str">
        <f>IF(COUNTIF('R6開放'!A:A,B118)&gt;0,"R6release","")</f>
        <v/>
      </c>
      <c r="G118" s="7"/>
      <c r="H118" s="7" t="str">
        <f>VLOOKUP(B118,[1]characters!$A:$C,3,FALSE)</f>
        <v>甘美なる背徳 クリムト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不明</v>
      </c>
      <c r="O118" s="96">
        <v>5076</v>
      </c>
      <c r="P118" s="46">
        <f t="shared" si="7"/>
        <v>1.3428571428571429E-2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input_428100!A$2</f>
        <v>428100</v>
      </c>
      <c r="B119" s="2">
        <v>1106</v>
      </c>
      <c r="C119" s="7" t="str">
        <f t="shared" si="5"/>
        <v>PremiumSS5R5only</v>
      </c>
      <c r="D119" s="7" t="str">
        <f t="shared" si="6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ラファエロ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attack</v>
      </c>
      <c r="M119" s="7" t="str">
        <f>VLOOKUP(B119,[1]characters!$A:$M,13,FALSE)</f>
        <v>human</v>
      </c>
      <c r="N119" s="7" t="str">
        <f>VLOOKUP(B119,[1]characters!$A:$G,7,FALSE)</f>
        <v>不明</v>
      </c>
      <c r="O119" s="96">
        <v>350</v>
      </c>
      <c r="P119" s="46">
        <f t="shared" si="7"/>
        <v>9.2592592592592596E-4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input_428100!A$2</f>
        <v>428100</v>
      </c>
      <c r="B120" s="2">
        <v>1102</v>
      </c>
      <c r="C120" s="7" t="str">
        <f t="shared" si="5"/>
        <v>PremiumSS5R5only</v>
      </c>
      <c r="D120" s="7" t="str">
        <f t="shared" si="6"/>
        <v>PremiumSS</v>
      </c>
      <c r="E120" s="7" t="str">
        <f>IF(COUNTIF('R6追加前'!A:A,B120)=0,IF(OR(I120="PremiumSS",I120="PremiumSSw"),"R5only","R3less"),"")</f>
        <v>R5only</v>
      </c>
      <c r="F120" s="7" t="str">
        <f>IF(COUNTIF('R6開放'!A:A,B120)&gt;0,"R6release","")</f>
        <v/>
      </c>
      <c r="G120" s="7"/>
      <c r="H120" s="7" t="str">
        <f>VLOOKUP(B120,[1]characters!$A:$C,3,FALSE)</f>
        <v>ドガ</v>
      </c>
      <c r="I120" s="7" t="str">
        <f>VLOOKUP(B120,[1]characters!$A:$J,10,FALSE)</f>
        <v>PremiumSSW</v>
      </c>
      <c r="J120" s="7">
        <f>VLOOKUP(B120,[1]characters!$A:$I,9,FALSE)</f>
        <v>5</v>
      </c>
      <c r="K120" s="7" t="str">
        <f>VLOOKUP(B120,[1]characters!$A:$H,8,FALSE)</f>
        <v>green</v>
      </c>
      <c r="L120" s="7" t="str">
        <f>VLOOKUP(B120,[1]characters!$A:$K,11,FALSE)</f>
        <v>balance</v>
      </c>
      <c r="M120" s="7" t="str">
        <f>VLOOKUP(B120,[1]characters!$A:$M,13,FALSE)</f>
        <v>animal</v>
      </c>
      <c r="N120" s="7" t="str">
        <f>VLOOKUP(B120,[1]characters!$A:$G,7,FALSE)</f>
        <v>不明</v>
      </c>
      <c r="O120" s="96">
        <v>350</v>
      </c>
      <c r="P120" s="46">
        <f t="shared" si="7"/>
        <v>9.2592592592592596E-4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input_428100!A$2</f>
        <v>428100</v>
      </c>
      <c r="B121" s="2">
        <v>1100</v>
      </c>
      <c r="C121" s="7" t="str">
        <f t="shared" si="5"/>
        <v>PremiumSS5R5only</v>
      </c>
      <c r="D121" s="7" t="str">
        <f t="shared" si="6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北斎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red</v>
      </c>
      <c r="L121" s="7" t="str">
        <f>VLOOKUP(B121,[1]characters!$A:$K,11,FALSE)</f>
        <v>attack</v>
      </c>
      <c r="M121" s="7" t="str">
        <f>VLOOKUP(B121,[1]characters!$A:$M,13,FALSE)</f>
        <v>human</v>
      </c>
      <c r="N121" s="7" t="str">
        <f>VLOOKUP(B121,[1]characters!$A:$G,7,FALSE)</f>
        <v>不明</v>
      </c>
      <c r="O121" s="96">
        <v>350</v>
      </c>
      <c r="P121" s="46">
        <f t="shared" si="7"/>
        <v>9.2592592592592596E-4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input_428100!A$2</f>
        <v>428100</v>
      </c>
      <c r="B122" s="2">
        <v>1137</v>
      </c>
      <c r="C122" s="7" t="str">
        <f t="shared" si="5"/>
        <v>PremiumSS5R5only</v>
      </c>
      <c r="D122" s="7" t="str">
        <f t="shared" si="6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諸葛亮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red</v>
      </c>
      <c r="L122" s="7" t="str">
        <f>VLOOKUP(B122,[1]characters!$A:$K,11,FALSE)</f>
        <v>technical</v>
      </c>
      <c r="M122" s="7" t="str">
        <f>VLOOKUP(B122,[1]characters!$A:$M,13,FALSE)</f>
        <v>samurai</v>
      </c>
      <c r="N122" s="7" t="str">
        <f>VLOOKUP(B122,[1]characters!$A:$G,7,FALSE)</f>
        <v>不明</v>
      </c>
      <c r="O122" s="96">
        <v>350</v>
      </c>
      <c r="P122" s="46">
        <f t="shared" si="7"/>
        <v>9.2592592592592596E-4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input_428100!A$2</f>
        <v>428100</v>
      </c>
      <c r="B123" s="2">
        <v>1139</v>
      </c>
      <c r="C123" s="7" t="str">
        <f t="shared" si="5"/>
        <v>PremiumSS5R5only</v>
      </c>
      <c r="D123" s="7" t="str">
        <f t="shared" si="6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趙雲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green</v>
      </c>
      <c r="L123" s="7" t="str">
        <f>VLOOKUP(B123,[1]characters!$A:$K,11,FALSE)</f>
        <v>balance</v>
      </c>
      <c r="M123" s="7" t="str">
        <f>VLOOKUP(B123,[1]characters!$A:$M,13,FALSE)</f>
        <v>samurai</v>
      </c>
      <c r="N123" s="7" t="str">
        <f>VLOOKUP(B123,[1]characters!$A:$G,7,FALSE)</f>
        <v>不明</v>
      </c>
      <c r="O123" s="96">
        <v>350</v>
      </c>
      <c r="P123" s="46">
        <f t="shared" si="7"/>
        <v>9.2592592592592596E-4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input_428100!A$2</f>
        <v>428100</v>
      </c>
      <c r="B124" s="2">
        <v>1141</v>
      </c>
      <c r="C124" s="7" t="str">
        <f t="shared" si="5"/>
        <v>PremiumSS5R5only</v>
      </c>
      <c r="D124" s="7" t="str">
        <f t="shared" si="6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月英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blue</v>
      </c>
      <c r="L124" s="7" t="str">
        <f>VLOOKUP(B124,[1]characters!$A:$K,11,FALSE)</f>
        <v>balance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96">
        <v>350</v>
      </c>
      <c r="P124" s="46">
        <f t="shared" si="7"/>
        <v>9.2592592592592596E-4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input_428100!A$2</f>
        <v>428100</v>
      </c>
      <c r="B125" s="2">
        <v>1144</v>
      </c>
      <c r="C125" s="7" t="str">
        <f t="shared" si="5"/>
        <v>Premium5R3less</v>
      </c>
      <c r="D125" s="7" t="str">
        <f t="shared" si="6"/>
        <v>Premium</v>
      </c>
      <c r="E125" s="7" t="str">
        <f>IF(COUNTIF('R6追加前'!A:A,B125)=0,IF(OR(I125="PremiumSS",I125="PremiumSSw"),"R5only","R3less"),"")</f>
        <v>R3less</v>
      </c>
      <c r="F125" s="7" t="str">
        <f>IF(COUNTIF('R6開放'!A:A,B125)&gt;0,"R6release","")</f>
        <v/>
      </c>
      <c r="G125" s="7"/>
      <c r="H125" s="7" t="str">
        <f>VLOOKUP(B125,[1]characters!$A:$C,3,FALSE)</f>
        <v>白星を射る老将 黄忠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technical</v>
      </c>
      <c r="M125" s="7" t="str">
        <f>VLOOKUP(B125,[1]characters!$A:$M,13,FALSE)</f>
        <v>samurai</v>
      </c>
      <c r="N125" s="7" t="str">
        <f>VLOOKUP(B125,[1]characters!$A:$G,7,FALSE)</f>
        <v>不明</v>
      </c>
      <c r="O125" s="96">
        <v>5076</v>
      </c>
      <c r="P125" s="46">
        <f t="shared" si="7"/>
        <v>1.3428571428571429E-2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input_428100!A$2</f>
        <v>428100</v>
      </c>
      <c r="B126" s="60">
        <v>487</v>
      </c>
      <c r="C126" s="7" t="str">
        <f t="shared" ref="C126:C129" si="8">D126&amp;J126&amp;E126&amp;F126&amp;G126</f>
        <v>PremiumSSS5R3less</v>
      </c>
      <c r="D126" s="7" t="str">
        <f t="shared" ref="D126:D129" si="9">IF(OR(I126="PremiumSS",I126="PremiumSSw"),"PremiumSS",IF(I126="PremiumSSS",I126,IF(I126="PremiumW",I126,"Premium")))</f>
        <v>PremiumSSS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暴創の造物 チューリング</v>
      </c>
      <c r="I126" s="7" t="str">
        <f>VLOOKUP(B126,[1]characters!$A:$J,10,FALSE)</f>
        <v>PremiumSSS</v>
      </c>
      <c r="J126" s="7">
        <f>VLOOKUP(B126,[1]characters!$A:$I,9,FALSE)</f>
        <v>5</v>
      </c>
      <c r="K126" s="7" t="str">
        <f>VLOOKUP(B126,[1]characters!$A:$H,8,FALSE)</f>
        <v>green</v>
      </c>
      <c r="L126" s="7" t="str">
        <f>VLOOKUP(B126,[1]characters!$A:$K,11,FALSE)</f>
        <v>hp</v>
      </c>
      <c r="M126" s="7" t="str">
        <f>VLOOKUP(B126,[1]characters!$A:$M,13,FALSE)</f>
        <v>human</v>
      </c>
      <c r="N126" s="7" t="str">
        <f>VLOOKUP(B126,[1]characters!$A:$G,7,FALSE)</f>
        <v>女性</v>
      </c>
      <c r="O126" s="96">
        <v>945</v>
      </c>
      <c r="P126" s="46">
        <f>O126/SUM(O:O)</f>
        <v>2.5000000000000001E-3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input_428100!A$2</f>
        <v>428100</v>
      </c>
      <c r="B127" s="60">
        <v>488</v>
      </c>
      <c r="C127" s="7" t="str">
        <f t="shared" si="8"/>
        <v>PremiumSSS5R3less</v>
      </c>
      <c r="D127" s="7" t="str">
        <f t="shared" si="9"/>
        <v>PremiumSSS</v>
      </c>
      <c r="E127" s="7" t="str">
        <f>IF(COUNTIF('R6追加前'!A:A,B127)=0,IF(OR(I127="PremiumSS",I127="PremiumSSw"),"R5only","R3less"),"")</f>
        <v>R3less</v>
      </c>
      <c r="F127" s="7" t="str">
        <f>IF(COUNTIF('R6開放'!A:A,B127)&gt;0,"R6release","")</f>
        <v/>
      </c>
      <c r="G127" s="7"/>
      <c r="H127" s="7" t="str">
        <f>VLOOKUP(B127,[1]characters!$A:$C,3,FALSE)</f>
        <v>直観の異論 ヘンペル</v>
      </c>
      <c r="I127" s="7" t="str">
        <f>VLOOKUP(B127,[1]characters!$A:$J,10,FALSE)</f>
        <v>PremiumSSS</v>
      </c>
      <c r="J127" s="7">
        <f>VLOOKUP(B127,[1]characters!$A:$I,9,FALSE)</f>
        <v>5</v>
      </c>
      <c r="K127" s="7" t="str">
        <f>VLOOKUP(B127,[1]characters!$A:$H,8,FALSE)</f>
        <v>blue</v>
      </c>
      <c r="L127" s="7" t="str">
        <f>VLOOKUP(B127,[1]characters!$A:$K,11,FALSE)</f>
        <v>technical</v>
      </c>
      <c r="M127" s="7" t="str">
        <f>VLOOKUP(B127,[1]characters!$A:$M,13,FALSE)</f>
        <v>human</v>
      </c>
      <c r="N127" s="7" t="str">
        <f>VLOOKUP(B127,[1]characters!$A:$G,7,FALSE)</f>
        <v>男性</v>
      </c>
      <c r="O127" s="96">
        <v>945</v>
      </c>
      <c r="P127" s="46">
        <f t="shared" si="7"/>
        <v>2.5000000000000001E-3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input_428100!A$2</f>
        <v>428100</v>
      </c>
      <c r="B128" s="60">
        <v>489</v>
      </c>
      <c r="C128" s="7" t="str">
        <f t="shared" si="8"/>
        <v>PremiumSSS5R3less</v>
      </c>
      <c r="D128" s="7" t="str">
        <f t="shared" si="9"/>
        <v>PremiumSSS</v>
      </c>
      <c r="E128" s="7" t="str">
        <f>IF(COUNTIF('R6追加前'!A:A,B128)=0,IF(OR(I128="PremiumSS",I128="PremiumSSw"),"R5only","R3less"),"")</f>
        <v>R3less</v>
      </c>
      <c r="F128" s="7" t="str">
        <f>IF(COUNTIF('R6開放'!A:A,B128)&gt;0,"R6release","")</f>
        <v/>
      </c>
      <c r="G128" s="7"/>
      <c r="H128" s="7" t="str">
        <f>VLOOKUP(B128,[1]characters!$A:$C,3,FALSE)</f>
        <v>宇宙の拡超 ハップル</v>
      </c>
      <c r="I128" s="7" t="str">
        <f>VLOOKUP(B128,[1]characters!$A:$J,10,FALSE)</f>
        <v>PremiumSSS</v>
      </c>
      <c r="J128" s="7">
        <f>VLOOKUP(B128,[1]characters!$A:$I,9,FALSE)</f>
        <v>5</v>
      </c>
      <c r="K128" s="7" t="str">
        <f>VLOOKUP(B128,[1]characters!$A:$H,8,FALSE)</f>
        <v>yellow</v>
      </c>
      <c r="L128" s="7" t="str">
        <f>VLOOKUP(B128,[1]characters!$A:$K,11,FALSE)</f>
        <v>technical</v>
      </c>
      <c r="M128" s="7" t="str">
        <f>VLOOKUP(B128,[1]characters!$A:$M,13,FALSE)</f>
        <v>human</v>
      </c>
      <c r="N128" s="7" t="str">
        <f>VLOOKUP(B128,[1]characters!$A:$G,7,FALSE)</f>
        <v>女性</v>
      </c>
      <c r="O128" s="96">
        <v>945</v>
      </c>
      <c r="P128" s="46">
        <f t="shared" si="7"/>
        <v>2.5000000000000001E-3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input_428100!A$2</f>
        <v>428100</v>
      </c>
      <c r="B129" s="92">
        <v>783</v>
      </c>
      <c r="C129" s="7" t="str">
        <f t="shared" si="8"/>
        <v>PremiumSSS5R3less</v>
      </c>
      <c r="D129" s="7" t="str">
        <f t="shared" si="9"/>
        <v>PremiumSSS</v>
      </c>
      <c r="E129" s="7" t="str">
        <f>IF(COUNTIF('R6追加前'!A:A,B129)=0,IF(OR(I129="PremiumSS",I129="PremiumSSw"),"R5only","R3less"),"")</f>
        <v>R3less</v>
      </c>
      <c r="F129" s="7" t="str">
        <f>IF(COUNTIF('R6開放'!A:A,B129)&gt;0,"R6release","")</f>
        <v/>
      </c>
      <c r="G129" s="7"/>
      <c r="H129" s="7" t="str">
        <f>VLOOKUP(B129,[1]characters!$A:$C,3,FALSE)</f>
        <v>モールス</v>
      </c>
      <c r="I129" s="7" t="str">
        <f>VLOOKUP(B129,[1]characters!$A:$J,10,FALSE)</f>
        <v>PremiumSSS</v>
      </c>
      <c r="J129" s="7">
        <f>VLOOKUP(B129,[1]characters!$A:$I,9,FALSE)</f>
        <v>5</v>
      </c>
      <c r="K129" s="7" t="str">
        <f>VLOOKUP(B129,[1]characters!$A:$H,8,FALSE)</f>
        <v>red</v>
      </c>
      <c r="L129" s="7" t="str">
        <f>VLOOKUP(B129,[1]characters!$A:$K,11,FALSE)</f>
        <v>technical</v>
      </c>
      <c r="M129" s="7" t="str">
        <f>VLOOKUP(B129,[1]characters!$A:$M,13,FALSE)</f>
        <v>academia</v>
      </c>
      <c r="N129" s="7" t="str">
        <f>VLOOKUP(B129,[1]characters!$A:$G,7,FALSE)</f>
        <v>男性</v>
      </c>
      <c r="O129" s="96">
        <v>945</v>
      </c>
      <c r="P129" s="46">
        <f t="shared" si="7"/>
        <v>2.5000000000000001E-3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Q3" sqref="Q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428105</v>
      </c>
      <c r="B2" s="100">
        <v>4281051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259</v>
      </c>
      <c r="P2" s="79" t="s">
        <v>258</v>
      </c>
      <c r="Q2" s="80" t="s">
        <v>260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input_428010</vt:lpstr>
      <vt:lpstr>tables_428010</vt:lpstr>
      <vt:lpstr>input_428100</vt:lpstr>
      <vt:lpstr>tables_428100</vt:lpstr>
      <vt:lpstr>tables_settle_428100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2016-10-12T14:48:54Z</dcterms:modified>
</cp:coreProperties>
</file>