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596101" sheetId="106" r:id="rId4"/>
    <sheet name="tables_596101" sheetId="82" r:id="rId5"/>
    <sheet name="input_596103" sheetId="147" r:id="rId6"/>
    <sheet name="tables_596103" sheetId="148" r:id="rId7"/>
    <sheet name="tables_settle_596103" sheetId="164" r:id="rId8"/>
    <sheet name="input_596104" sheetId="149" r:id="rId9"/>
    <sheet name="tables_596104" sheetId="150" r:id="rId10"/>
    <sheet name="tables_settle_596104" sheetId="157" r:id="rId11"/>
    <sheet name="input_596105" sheetId="158" r:id="rId12"/>
    <sheet name="tables_596105" sheetId="159" r:id="rId13"/>
    <sheet name="input_596106" sheetId="153" r:id="rId14"/>
    <sheet name="tables_596106" sheetId="154" r:id="rId15"/>
    <sheet name="input_596100" sheetId="162" r:id="rId16"/>
    <sheet name="tables_596100" sheetId="163" r:id="rId17"/>
    <sheet name="gacha_bonus_tables" sheetId="98" r:id="rId18"/>
    <sheet name="R6追加前" sheetId="111" r:id="rId19"/>
    <sheet name="R6開放" sheetId="112" r:id="rId20"/>
  </sheets>
  <externalReferences>
    <externalReference r:id="rId21"/>
  </externalReferences>
  <definedNames>
    <definedName name="_xlnm._FilterDatabase" localSheetId="17" hidden="1">gacha_bonus_tables!$A$1:$F$1</definedName>
    <definedName name="_xlnm._FilterDatabase" localSheetId="16" hidden="1">tables_596100!$A$1:$V$300</definedName>
    <definedName name="_xlnm._FilterDatabase" localSheetId="4" hidden="1">tables_596101!$A$1:$V$361</definedName>
    <definedName name="_xlnm._FilterDatabase" localSheetId="6" hidden="1">tables_596103!$A$1:$V$300</definedName>
    <definedName name="_xlnm._FilterDatabase" localSheetId="9" hidden="1">tables_596104!$A$1:$V$294</definedName>
    <definedName name="_xlnm._FilterDatabase" localSheetId="12" hidden="1">tables_596105!$A$1:$V$300</definedName>
    <definedName name="_xlnm._FilterDatabase" localSheetId="14" hidden="1">tables_596106!$A$1:$V$300</definedName>
    <definedName name="_xlnm._FilterDatabase" localSheetId="7" hidden="1">tables_settle_596103!$A$1:$V$16</definedName>
    <definedName name="_xlnm._FilterDatabase" localSheetId="10" hidden="1">tables_settle_596104!$A$1:$V$3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47" l="1"/>
  <c r="A3" i="164"/>
  <c r="A4" i="164"/>
  <c r="A5" i="164"/>
  <c r="A6" i="164"/>
  <c r="A7" i="164"/>
  <c r="A8" i="164"/>
  <c r="A9" i="164"/>
  <c r="A10" i="164"/>
  <c r="A11" i="164"/>
  <c r="A12" i="164"/>
  <c r="A13" i="164"/>
  <c r="A14" i="164"/>
  <c r="A15" i="164"/>
  <c r="A16" i="164"/>
  <c r="A2" i="164"/>
  <c r="I2" i="164"/>
  <c r="J2" i="164"/>
  <c r="D2" i="164"/>
  <c r="E2" i="164"/>
  <c r="F2" i="164"/>
  <c r="C2" i="164"/>
  <c r="A2" i="149"/>
  <c r="I3" i="164"/>
  <c r="J3" i="164"/>
  <c r="D3" i="164"/>
  <c r="E3" i="164"/>
  <c r="F3" i="164"/>
  <c r="C3" i="164"/>
  <c r="I4" i="164"/>
  <c r="J4" i="164"/>
  <c r="D4" i="164"/>
  <c r="E4" i="164"/>
  <c r="F4" i="164"/>
  <c r="C4" i="164"/>
  <c r="I5" i="164"/>
  <c r="J5" i="164"/>
  <c r="D5" i="164"/>
  <c r="E5" i="164"/>
  <c r="F5" i="164"/>
  <c r="C5" i="164"/>
  <c r="I6" i="164"/>
  <c r="J6" i="164"/>
  <c r="D6" i="164"/>
  <c r="E6" i="164"/>
  <c r="F6" i="164"/>
  <c r="C6" i="164"/>
  <c r="I7" i="164"/>
  <c r="J7" i="164"/>
  <c r="D7" i="164"/>
  <c r="E7" i="164"/>
  <c r="F7" i="164"/>
  <c r="C7" i="164"/>
  <c r="I8" i="164"/>
  <c r="J8" i="164"/>
  <c r="D8" i="164"/>
  <c r="E8" i="164"/>
  <c r="F8" i="164"/>
  <c r="C8" i="164"/>
  <c r="I9" i="164"/>
  <c r="J9" i="164"/>
  <c r="D9" i="164"/>
  <c r="E9" i="164"/>
  <c r="F9" i="164"/>
  <c r="C9" i="164"/>
  <c r="I10" i="164"/>
  <c r="J10" i="164"/>
  <c r="D10" i="164"/>
  <c r="E10" i="164"/>
  <c r="F10" i="164"/>
  <c r="C10" i="164"/>
  <c r="I11" i="164"/>
  <c r="D11" i="164"/>
  <c r="J11" i="164"/>
  <c r="E11" i="164"/>
  <c r="F11" i="164"/>
  <c r="C11" i="164"/>
  <c r="I12" i="164"/>
  <c r="D12" i="164"/>
  <c r="J12" i="164"/>
  <c r="E12" i="164"/>
  <c r="F12" i="164"/>
  <c r="C12" i="164"/>
  <c r="I13" i="164"/>
  <c r="D13" i="164"/>
  <c r="J13" i="164"/>
  <c r="E13" i="164"/>
  <c r="F13" i="164"/>
  <c r="C13" i="164"/>
  <c r="I14" i="164"/>
  <c r="D14" i="164"/>
  <c r="J14" i="164"/>
  <c r="E14" i="164"/>
  <c r="F14" i="164"/>
  <c r="C14" i="164"/>
  <c r="I15" i="164"/>
  <c r="D15" i="164"/>
  <c r="J15" i="164"/>
  <c r="E15" i="164"/>
  <c r="F15" i="164"/>
  <c r="C15" i="164"/>
  <c r="I16" i="164"/>
  <c r="D16" i="164"/>
  <c r="J16" i="164"/>
  <c r="E16" i="164"/>
  <c r="F16" i="164"/>
  <c r="C16" i="164"/>
  <c r="P16" i="164"/>
  <c r="N16" i="164"/>
  <c r="M16" i="164"/>
  <c r="L16" i="164"/>
  <c r="K16" i="164"/>
  <c r="H16" i="164"/>
  <c r="P15" i="164"/>
  <c r="N15" i="164"/>
  <c r="M15" i="164"/>
  <c r="L15" i="164"/>
  <c r="K15" i="164"/>
  <c r="H15" i="164"/>
  <c r="P14" i="164"/>
  <c r="N14" i="164"/>
  <c r="M14" i="164"/>
  <c r="L14" i="164"/>
  <c r="K14" i="164"/>
  <c r="H14" i="164"/>
  <c r="P13" i="164"/>
  <c r="N13" i="164"/>
  <c r="M13" i="164"/>
  <c r="L13" i="164"/>
  <c r="K13" i="164"/>
  <c r="H13" i="164"/>
  <c r="P12" i="164"/>
  <c r="N12" i="164"/>
  <c r="M12" i="164"/>
  <c r="L12" i="164"/>
  <c r="K12" i="164"/>
  <c r="H12" i="164"/>
  <c r="P11" i="164"/>
  <c r="N11" i="164"/>
  <c r="M11" i="164"/>
  <c r="L11" i="164"/>
  <c r="K11" i="164"/>
  <c r="H11" i="164"/>
  <c r="P10" i="164"/>
  <c r="N10" i="164"/>
  <c r="M10" i="164"/>
  <c r="L10" i="164"/>
  <c r="K10" i="164"/>
  <c r="H10" i="164"/>
  <c r="P9" i="164"/>
  <c r="N9" i="164"/>
  <c r="M9" i="164"/>
  <c r="L9" i="164"/>
  <c r="K9" i="164"/>
  <c r="H9" i="164"/>
  <c r="P8" i="164"/>
  <c r="N8" i="164"/>
  <c r="M8" i="164"/>
  <c r="L8" i="164"/>
  <c r="K8" i="164"/>
  <c r="H8" i="164"/>
  <c r="P7" i="164"/>
  <c r="N7" i="164"/>
  <c r="M7" i="164"/>
  <c r="L7" i="164"/>
  <c r="K7" i="164"/>
  <c r="H7" i="164"/>
  <c r="P6" i="164"/>
  <c r="N6" i="164"/>
  <c r="M6" i="164"/>
  <c r="L6" i="164"/>
  <c r="K6" i="164"/>
  <c r="H6" i="164"/>
  <c r="P5" i="164"/>
  <c r="N5" i="164"/>
  <c r="M5" i="164"/>
  <c r="L5" i="164"/>
  <c r="K5" i="164"/>
  <c r="H5" i="164"/>
  <c r="P4" i="164"/>
  <c r="N4" i="164"/>
  <c r="M4" i="164"/>
  <c r="L4" i="164"/>
  <c r="K4" i="164"/>
  <c r="H4" i="164"/>
  <c r="P3" i="164"/>
  <c r="N3" i="164"/>
  <c r="M3" i="164"/>
  <c r="L3" i="164"/>
  <c r="K3" i="164"/>
  <c r="H3" i="164"/>
  <c r="P2" i="164"/>
  <c r="N2" i="164"/>
  <c r="M2" i="164"/>
  <c r="L2" i="164"/>
  <c r="K2" i="164"/>
  <c r="H2" i="164"/>
  <c r="C4" i="103"/>
  <c r="E4" i="103"/>
  <c r="A4" i="157"/>
  <c r="A3" i="157"/>
  <c r="I358" i="163"/>
  <c r="D358" i="163"/>
  <c r="J358" i="163"/>
  <c r="E358" i="163"/>
  <c r="F358" i="163"/>
  <c r="C358" i="163"/>
  <c r="H358" i="163"/>
  <c r="K358" i="163"/>
  <c r="L358" i="163"/>
  <c r="M358" i="163"/>
  <c r="N358" i="163"/>
  <c r="A2" i="162"/>
  <c r="I359" i="163"/>
  <c r="D359" i="163"/>
  <c r="J359" i="163"/>
  <c r="E359" i="163"/>
  <c r="F359" i="163"/>
  <c r="C359" i="163"/>
  <c r="I360" i="163"/>
  <c r="D360" i="163"/>
  <c r="J360" i="163"/>
  <c r="E360" i="163"/>
  <c r="F360" i="163"/>
  <c r="C360" i="163"/>
  <c r="I361" i="163"/>
  <c r="D361" i="163"/>
  <c r="J361" i="163"/>
  <c r="E361" i="163"/>
  <c r="F361" i="163"/>
  <c r="C361" i="163"/>
  <c r="I2" i="163"/>
  <c r="J2" i="163"/>
  <c r="D2" i="163"/>
  <c r="E2" i="163"/>
  <c r="C2" i="163"/>
  <c r="I3" i="163"/>
  <c r="J3" i="163"/>
  <c r="D3" i="163"/>
  <c r="E3" i="163"/>
  <c r="C3" i="163"/>
  <c r="I4" i="163"/>
  <c r="J4" i="163"/>
  <c r="D4" i="163"/>
  <c r="E4" i="163"/>
  <c r="C4" i="163"/>
  <c r="I5" i="163"/>
  <c r="J5" i="163"/>
  <c r="D5" i="163"/>
  <c r="E5" i="163"/>
  <c r="C5" i="163"/>
  <c r="I6" i="163"/>
  <c r="J6" i="163"/>
  <c r="D6" i="163"/>
  <c r="E6" i="163"/>
  <c r="C6" i="163"/>
  <c r="I7" i="163"/>
  <c r="J7" i="163"/>
  <c r="D7" i="163"/>
  <c r="E7" i="163"/>
  <c r="C7" i="163"/>
  <c r="I8" i="163"/>
  <c r="J8" i="163"/>
  <c r="D8" i="163"/>
  <c r="E8" i="163"/>
  <c r="C8" i="163"/>
  <c r="I9" i="163"/>
  <c r="J9" i="163"/>
  <c r="D9" i="163"/>
  <c r="E9" i="163"/>
  <c r="C9" i="163"/>
  <c r="I10" i="163"/>
  <c r="J10" i="163"/>
  <c r="D10" i="163"/>
  <c r="E10" i="163"/>
  <c r="C10" i="163"/>
  <c r="I11" i="163"/>
  <c r="J11" i="163"/>
  <c r="D11" i="163"/>
  <c r="E11" i="163"/>
  <c r="C11" i="163"/>
  <c r="I12" i="163"/>
  <c r="J12" i="163"/>
  <c r="D12" i="163"/>
  <c r="E12" i="163"/>
  <c r="C12" i="163"/>
  <c r="I13" i="163"/>
  <c r="J13" i="163"/>
  <c r="D13" i="163"/>
  <c r="E13" i="163"/>
  <c r="C13" i="163"/>
  <c r="I14" i="163"/>
  <c r="J14" i="163"/>
  <c r="D14" i="163"/>
  <c r="E14" i="163"/>
  <c r="C14" i="163"/>
  <c r="I15" i="163"/>
  <c r="J15" i="163"/>
  <c r="D15" i="163"/>
  <c r="E15" i="163"/>
  <c r="C15" i="163"/>
  <c r="I16" i="163"/>
  <c r="J16" i="163"/>
  <c r="D16" i="163"/>
  <c r="E16" i="163"/>
  <c r="C16" i="163"/>
  <c r="I17" i="163"/>
  <c r="J17" i="163"/>
  <c r="D17" i="163"/>
  <c r="E17" i="163"/>
  <c r="C17" i="163"/>
  <c r="I18" i="163"/>
  <c r="J18" i="163"/>
  <c r="D18" i="163"/>
  <c r="E18" i="163"/>
  <c r="C18" i="163"/>
  <c r="I19" i="163"/>
  <c r="J19" i="163"/>
  <c r="D19" i="163"/>
  <c r="E19" i="163"/>
  <c r="C19" i="163"/>
  <c r="I20" i="163"/>
  <c r="J20" i="163"/>
  <c r="D20" i="163"/>
  <c r="E20" i="163"/>
  <c r="C20" i="163"/>
  <c r="I21" i="163"/>
  <c r="J21" i="163"/>
  <c r="D21" i="163"/>
  <c r="E21" i="163"/>
  <c r="C21" i="163"/>
  <c r="I22" i="163"/>
  <c r="J22" i="163"/>
  <c r="D22" i="163"/>
  <c r="E22" i="163"/>
  <c r="C22" i="163"/>
  <c r="I23" i="163"/>
  <c r="J23" i="163"/>
  <c r="D23" i="163"/>
  <c r="E23" i="163"/>
  <c r="C23" i="163"/>
  <c r="I24" i="163"/>
  <c r="J24" i="163"/>
  <c r="D24" i="163"/>
  <c r="E24" i="163"/>
  <c r="C24" i="163"/>
  <c r="I25" i="163"/>
  <c r="J25" i="163"/>
  <c r="D25" i="163"/>
  <c r="E25" i="163"/>
  <c r="C25" i="163"/>
  <c r="I26" i="163"/>
  <c r="J26" i="163"/>
  <c r="D26" i="163"/>
  <c r="E26" i="163"/>
  <c r="C26" i="163"/>
  <c r="I27" i="163"/>
  <c r="J27" i="163"/>
  <c r="D27" i="163"/>
  <c r="E27" i="163"/>
  <c r="C27" i="163"/>
  <c r="I28" i="163"/>
  <c r="J28" i="163"/>
  <c r="D28" i="163"/>
  <c r="E28" i="163"/>
  <c r="C28" i="163"/>
  <c r="I29" i="163"/>
  <c r="J29" i="163"/>
  <c r="D29" i="163"/>
  <c r="E29" i="163"/>
  <c r="C29" i="163"/>
  <c r="I30" i="163"/>
  <c r="J30" i="163"/>
  <c r="D30" i="163"/>
  <c r="E30" i="163"/>
  <c r="C30" i="163"/>
  <c r="I31" i="163"/>
  <c r="J31" i="163"/>
  <c r="D31" i="163"/>
  <c r="E31" i="163"/>
  <c r="C31" i="163"/>
  <c r="I32" i="163"/>
  <c r="J32" i="163"/>
  <c r="D32" i="163"/>
  <c r="E32" i="163"/>
  <c r="C32" i="163"/>
  <c r="I33" i="163"/>
  <c r="J33" i="163"/>
  <c r="D33" i="163"/>
  <c r="E33" i="163"/>
  <c r="C33" i="163"/>
  <c r="I34" i="163"/>
  <c r="J34" i="163"/>
  <c r="D34" i="163"/>
  <c r="E34" i="163"/>
  <c r="C34" i="163"/>
  <c r="I35" i="163"/>
  <c r="J35" i="163"/>
  <c r="D35" i="163"/>
  <c r="E35" i="163"/>
  <c r="C35" i="163"/>
  <c r="I36" i="163"/>
  <c r="J36" i="163"/>
  <c r="D36" i="163"/>
  <c r="E36" i="163"/>
  <c r="C36" i="163"/>
  <c r="I37" i="163"/>
  <c r="J37" i="163"/>
  <c r="D37" i="163"/>
  <c r="E37" i="163"/>
  <c r="C37" i="163"/>
  <c r="I38" i="163"/>
  <c r="J38" i="163"/>
  <c r="D38" i="163"/>
  <c r="E38" i="163"/>
  <c r="C38" i="163"/>
  <c r="I39" i="163"/>
  <c r="J39" i="163"/>
  <c r="D39" i="163"/>
  <c r="E39" i="163"/>
  <c r="C39" i="163"/>
  <c r="I40" i="163"/>
  <c r="J40" i="163"/>
  <c r="D40" i="163"/>
  <c r="E40" i="163"/>
  <c r="C40" i="163"/>
  <c r="I41" i="163"/>
  <c r="J41" i="163"/>
  <c r="D41" i="163"/>
  <c r="E41" i="163"/>
  <c r="C41" i="163"/>
  <c r="I42" i="163"/>
  <c r="D42" i="163"/>
  <c r="J42" i="163"/>
  <c r="E42" i="163"/>
  <c r="C42" i="163"/>
  <c r="I43" i="163"/>
  <c r="D43" i="163"/>
  <c r="J43" i="163"/>
  <c r="E43" i="163"/>
  <c r="C43" i="163"/>
  <c r="I44" i="163"/>
  <c r="D44" i="163"/>
  <c r="J44" i="163"/>
  <c r="E44" i="163"/>
  <c r="C44" i="163"/>
  <c r="I45" i="163"/>
  <c r="D45" i="163"/>
  <c r="J45" i="163"/>
  <c r="E45" i="163"/>
  <c r="C45" i="163"/>
  <c r="I46" i="163"/>
  <c r="D46" i="163"/>
  <c r="J46" i="163"/>
  <c r="E46" i="163"/>
  <c r="C46" i="163"/>
  <c r="I47" i="163"/>
  <c r="D47" i="163"/>
  <c r="J47" i="163"/>
  <c r="E47" i="163"/>
  <c r="C47" i="163"/>
  <c r="I48" i="163"/>
  <c r="D48" i="163"/>
  <c r="J48" i="163"/>
  <c r="E48" i="163"/>
  <c r="C48" i="163"/>
  <c r="I49" i="163"/>
  <c r="D49" i="163"/>
  <c r="J49" i="163"/>
  <c r="E49" i="163"/>
  <c r="C49" i="163"/>
  <c r="I50" i="163"/>
  <c r="D50" i="163"/>
  <c r="J50" i="163"/>
  <c r="E50" i="163"/>
  <c r="C50" i="163"/>
  <c r="I51" i="163"/>
  <c r="D51" i="163"/>
  <c r="J51" i="163"/>
  <c r="E51" i="163"/>
  <c r="C51" i="163"/>
  <c r="I52" i="163"/>
  <c r="D52" i="163"/>
  <c r="J52" i="163"/>
  <c r="E52" i="163"/>
  <c r="C52" i="163"/>
  <c r="I53" i="163"/>
  <c r="D53" i="163"/>
  <c r="J53" i="163"/>
  <c r="E53" i="163"/>
  <c r="C53" i="163"/>
  <c r="I54" i="163"/>
  <c r="D54" i="163"/>
  <c r="J54" i="163"/>
  <c r="E54" i="163"/>
  <c r="C54" i="163"/>
  <c r="I55" i="163"/>
  <c r="D55" i="163"/>
  <c r="J55" i="163"/>
  <c r="E55" i="163"/>
  <c r="C55" i="163"/>
  <c r="I56" i="163"/>
  <c r="D56" i="163"/>
  <c r="J56" i="163"/>
  <c r="E56" i="163"/>
  <c r="C56" i="163"/>
  <c r="I57" i="163"/>
  <c r="D57" i="163"/>
  <c r="J57" i="163"/>
  <c r="E57" i="163"/>
  <c r="C57" i="163"/>
  <c r="I58" i="163"/>
  <c r="D58" i="163"/>
  <c r="J58" i="163"/>
  <c r="E58" i="163"/>
  <c r="C58" i="163"/>
  <c r="I59" i="163"/>
  <c r="D59" i="163"/>
  <c r="J59" i="163"/>
  <c r="E59" i="163"/>
  <c r="C59" i="163"/>
  <c r="I60" i="163"/>
  <c r="D60" i="163"/>
  <c r="J60" i="163"/>
  <c r="E60" i="163"/>
  <c r="C60" i="163"/>
  <c r="I61" i="163"/>
  <c r="D61" i="163"/>
  <c r="J61" i="163"/>
  <c r="E61" i="163"/>
  <c r="C61" i="163"/>
  <c r="I62" i="163"/>
  <c r="D62" i="163"/>
  <c r="J62" i="163"/>
  <c r="E62" i="163"/>
  <c r="C62" i="163"/>
  <c r="I63" i="163"/>
  <c r="D63" i="163"/>
  <c r="J63" i="163"/>
  <c r="E63" i="163"/>
  <c r="C63" i="163"/>
  <c r="I64" i="163"/>
  <c r="D64" i="163"/>
  <c r="J64" i="163"/>
  <c r="E64" i="163"/>
  <c r="C64" i="163"/>
  <c r="I65" i="163"/>
  <c r="D65" i="163"/>
  <c r="J65" i="163"/>
  <c r="E65" i="163"/>
  <c r="C65" i="163"/>
  <c r="I66" i="163"/>
  <c r="D66" i="163"/>
  <c r="J66" i="163"/>
  <c r="E66" i="163"/>
  <c r="C66" i="163"/>
  <c r="I67" i="163"/>
  <c r="D67" i="163"/>
  <c r="J67" i="163"/>
  <c r="E67" i="163"/>
  <c r="C67" i="163"/>
  <c r="I68" i="163"/>
  <c r="D68" i="163"/>
  <c r="J68" i="163"/>
  <c r="E68" i="163"/>
  <c r="C68" i="163"/>
  <c r="I69" i="163"/>
  <c r="D69" i="163"/>
  <c r="J69" i="163"/>
  <c r="E69" i="163"/>
  <c r="C69" i="163"/>
  <c r="I70" i="163"/>
  <c r="D70" i="163"/>
  <c r="J70" i="163"/>
  <c r="E70" i="163"/>
  <c r="C70" i="163"/>
  <c r="I71" i="163"/>
  <c r="D71" i="163"/>
  <c r="J71" i="163"/>
  <c r="E71" i="163"/>
  <c r="C71" i="163"/>
  <c r="I72" i="163"/>
  <c r="D72" i="163"/>
  <c r="J72" i="163"/>
  <c r="E72" i="163"/>
  <c r="C72" i="163"/>
  <c r="I73" i="163"/>
  <c r="D73" i="163"/>
  <c r="J73" i="163"/>
  <c r="E73" i="163"/>
  <c r="C73" i="163"/>
  <c r="I74" i="163"/>
  <c r="D74" i="163"/>
  <c r="J74" i="163"/>
  <c r="E74" i="163"/>
  <c r="C74" i="163"/>
  <c r="I75" i="163"/>
  <c r="D75" i="163"/>
  <c r="J75" i="163"/>
  <c r="E75" i="163"/>
  <c r="C75" i="163"/>
  <c r="I76" i="163"/>
  <c r="D76" i="163"/>
  <c r="J76" i="163"/>
  <c r="E76" i="163"/>
  <c r="C76" i="163"/>
  <c r="I77" i="163"/>
  <c r="D77" i="163"/>
  <c r="J77" i="163"/>
  <c r="E77" i="163"/>
  <c r="C77" i="163"/>
  <c r="I78" i="163"/>
  <c r="D78" i="163"/>
  <c r="J78" i="163"/>
  <c r="E78" i="163"/>
  <c r="C78" i="163"/>
  <c r="I79" i="163"/>
  <c r="D79" i="163"/>
  <c r="J79" i="163"/>
  <c r="E79" i="163"/>
  <c r="C79" i="163"/>
  <c r="I80" i="163"/>
  <c r="D80" i="163"/>
  <c r="J80" i="163"/>
  <c r="E80" i="163"/>
  <c r="C80" i="163"/>
  <c r="I81" i="163"/>
  <c r="D81" i="163"/>
  <c r="J81" i="163"/>
  <c r="E81" i="163"/>
  <c r="C81" i="163"/>
  <c r="I82" i="163"/>
  <c r="D82" i="163"/>
  <c r="J82" i="163"/>
  <c r="E82" i="163"/>
  <c r="C82" i="163"/>
  <c r="I83" i="163"/>
  <c r="D83" i="163"/>
  <c r="J83" i="163"/>
  <c r="E83" i="163"/>
  <c r="C83" i="163"/>
  <c r="I84" i="163"/>
  <c r="D84" i="163"/>
  <c r="J84" i="163"/>
  <c r="E84" i="163"/>
  <c r="C84" i="163"/>
  <c r="I85" i="163"/>
  <c r="D85" i="163"/>
  <c r="J85" i="163"/>
  <c r="E85" i="163"/>
  <c r="C85" i="163"/>
  <c r="I86" i="163"/>
  <c r="D86" i="163"/>
  <c r="J86" i="163"/>
  <c r="E86" i="163"/>
  <c r="C86" i="163"/>
  <c r="I87" i="163"/>
  <c r="D87" i="163"/>
  <c r="J87" i="163"/>
  <c r="E87" i="163"/>
  <c r="C87" i="163"/>
  <c r="I88" i="163"/>
  <c r="D88" i="163"/>
  <c r="J88" i="163"/>
  <c r="E88" i="163"/>
  <c r="C88" i="163"/>
  <c r="I89" i="163"/>
  <c r="D89" i="163"/>
  <c r="J89" i="163"/>
  <c r="E89" i="163"/>
  <c r="C89" i="163"/>
  <c r="I90" i="163"/>
  <c r="D90" i="163"/>
  <c r="J90" i="163"/>
  <c r="E90" i="163"/>
  <c r="C90" i="163"/>
  <c r="I91" i="163"/>
  <c r="D91" i="163"/>
  <c r="J91" i="163"/>
  <c r="E91" i="163"/>
  <c r="C91" i="163"/>
  <c r="I92" i="163"/>
  <c r="D92" i="163"/>
  <c r="J92" i="163"/>
  <c r="E92" i="163"/>
  <c r="C92" i="163"/>
  <c r="I93" i="163"/>
  <c r="D93" i="163"/>
  <c r="J93" i="163"/>
  <c r="E93" i="163"/>
  <c r="C93" i="163"/>
  <c r="I94" i="163"/>
  <c r="D94" i="163"/>
  <c r="J94" i="163"/>
  <c r="E94" i="163"/>
  <c r="C94" i="163"/>
  <c r="I95" i="163"/>
  <c r="D95" i="163"/>
  <c r="J95" i="163"/>
  <c r="E95" i="163"/>
  <c r="C95" i="163"/>
  <c r="I96" i="163"/>
  <c r="D96" i="163"/>
  <c r="J96" i="163"/>
  <c r="E96" i="163"/>
  <c r="C96" i="163"/>
  <c r="I97" i="163"/>
  <c r="D97" i="163"/>
  <c r="J97" i="163"/>
  <c r="E97" i="163"/>
  <c r="C97" i="163"/>
  <c r="I98" i="163"/>
  <c r="D98" i="163"/>
  <c r="J98" i="163"/>
  <c r="E98" i="163"/>
  <c r="C98" i="163"/>
  <c r="I99" i="163"/>
  <c r="D99" i="163"/>
  <c r="J99" i="163"/>
  <c r="E99" i="163"/>
  <c r="C99" i="163"/>
  <c r="I100" i="163"/>
  <c r="D100" i="163"/>
  <c r="J100" i="163"/>
  <c r="E100" i="163"/>
  <c r="C100" i="163"/>
  <c r="I101" i="163"/>
  <c r="D101" i="163"/>
  <c r="J101" i="163"/>
  <c r="E101" i="163"/>
  <c r="C101" i="163"/>
  <c r="I102" i="163"/>
  <c r="D102" i="163"/>
  <c r="J102" i="163"/>
  <c r="E102" i="163"/>
  <c r="C102" i="163"/>
  <c r="I103" i="163"/>
  <c r="D103" i="163"/>
  <c r="J103" i="163"/>
  <c r="E103" i="163"/>
  <c r="C103" i="163"/>
  <c r="I104" i="163"/>
  <c r="D104" i="163"/>
  <c r="J104" i="163"/>
  <c r="E104" i="163"/>
  <c r="C104" i="163"/>
  <c r="I105" i="163"/>
  <c r="D105" i="163"/>
  <c r="J105" i="163"/>
  <c r="E105" i="163"/>
  <c r="C105" i="163"/>
  <c r="I106" i="163"/>
  <c r="D106" i="163"/>
  <c r="J106" i="163"/>
  <c r="E106" i="163"/>
  <c r="C106" i="163"/>
  <c r="I107" i="163"/>
  <c r="D107" i="163"/>
  <c r="J107" i="163"/>
  <c r="E107" i="163"/>
  <c r="C107" i="163"/>
  <c r="I108" i="163"/>
  <c r="D108" i="163"/>
  <c r="J108" i="163"/>
  <c r="E108" i="163"/>
  <c r="C108" i="163"/>
  <c r="I109" i="163"/>
  <c r="D109" i="163"/>
  <c r="J109" i="163"/>
  <c r="E109" i="163"/>
  <c r="C109" i="163"/>
  <c r="I110" i="163"/>
  <c r="D110" i="163"/>
  <c r="J110" i="163"/>
  <c r="E110" i="163"/>
  <c r="C110" i="163"/>
  <c r="I111" i="163"/>
  <c r="D111" i="163"/>
  <c r="J111" i="163"/>
  <c r="E111" i="163"/>
  <c r="C111" i="163"/>
  <c r="I112" i="163"/>
  <c r="D112" i="163"/>
  <c r="J112" i="163"/>
  <c r="E112" i="163"/>
  <c r="C112" i="163"/>
  <c r="I113" i="163"/>
  <c r="D113" i="163"/>
  <c r="J113" i="163"/>
  <c r="E113" i="163"/>
  <c r="C113" i="163"/>
  <c r="I114" i="163"/>
  <c r="D114" i="163"/>
  <c r="J114" i="163"/>
  <c r="E114" i="163"/>
  <c r="C114" i="163"/>
  <c r="I115" i="163"/>
  <c r="D115" i="163"/>
  <c r="J115" i="163"/>
  <c r="E115" i="163"/>
  <c r="C115" i="163"/>
  <c r="I116" i="163"/>
  <c r="D116" i="163"/>
  <c r="J116" i="163"/>
  <c r="E116" i="163"/>
  <c r="C116" i="163"/>
  <c r="I117" i="163"/>
  <c r="D117" i="163"/>
  <c r="J117" i="163"/>
  <c r="E117" i="163"/>
  <c r="C117" i="163"/>
  <c r="I118" i="163"/>
  <c r="D118" i="163"/>
  <c r="J118" i="163"/>
  <c r="E118" i="163"/>
  <c r="C118" i="163"/>
  <c r="I119" i="163"/>
  <c r="D119" i="163"/>
  <c r="J119" i="163"/>
  <c r="E119" i="163"/>
  <c r="C119" i="163"/>
  <c r="I120" i="163"/>
  <c r="D120" i="163"/>
  <c r="J120" i="163"/>
  <c r="E120" i="163"/>
  <c r="C120" i="163"/>
  <c r="I121" i="163"/>
  <c r="D121" i="163"/>
  <c r="J121" i="163"/>
  <c r="E121" i="163"/>
  <c r="C121" i="163"/>
  <c r="I122" i="163"/>
  <c r="D122" i="163"/>
  <c r="J122" i="163"/>
  <c r="E122" i="163"/>
  <c r="C122" i="163"/>
  <c r="I123" i="163"/>
  <c r="D123" i="163"/>
  <c r="J123" i="163"/>
  <c r="E123" i="163"/>
  <c r="C123" i="163"/>
  <c r="I124" i="163"/>
  <c r="D124" i="163"/>
  <c r="J124" i="163"/>
  <c r="E124" i="163"/>
  <c r="C124" i="163"/>
  <c r="I125" i="163"/>
  <c r="D125" i="163"/>
  <c r="J125" i="163"/>
  <c r="E125" i="163"/>
  <c r="C125" i="163"/>
  <c r="I126" i="163"/>
  <c r="D126" i="163"/>
  <c r="J126" i="163"/>
  <c r="E126" i="163"/>
  <c r="C126" i="163"/>
  <c r="I127" i="163"/>
  <c r="D127" i="163"/>
  <c r="J127" i="163"/>
  <c r="E127" i="163"/>
  <c r="C127" i="163"/>
  <c r="I128" i="163"/>
  <c r="D128" i="163"/>
  <c r="J128" i="163"/>
  <c r="E128" i="163"/>
  <c r="C128" i="163"/>
  <c r="I129" i="163"/>
  <c r="D129" i="163"/>
  <c r="J129" i="163"/>
  <c r="E129" i="163"/>
  <c r="C129" i="163"/>
  <c r="I130" i="163"/>
  <c r="D130" i="163"/>
  <c r="J130" i="163"/>
  <c r="E130" i="163"/>
  <c r="C130" i="163"/>
  <c r="I131" i="163"/>
  <c r="D131" i="163"/>
  <c r="J131" i="163"/>
  <c r="E131" i="163"/>
  <c r="C131" i="163"/>
  <c r="I132" i="163"/>
  <c r="D132" i="163"/>
  <c r="J132" i="163"/>
  <c r="E132" i="163"/>
  <c r="C132" i="163"/>
  <c r="I133" i="163"/>
  <c r="D133" i="163"/>
  <c r="J133" i="163"/>
  <c r="E133" i="163"/>
  <c r="C133" i="163"/>
  <c r="I134" i="163"/>
  <c r="D134" i="163"/>
  <c r="J134" i="163"/>
  <c r="E134" i="163"/>
  <c r="C134" i="163"/>
  <c r="I135" i="163"/>
  <c r="D135" i="163"/>
  <c r="J135" i="163"/>
  <c r="E135" i="163"/>
  <c r="C135" i="163"/>
  <c r="I136" i="163"/>
  <c r="D136" i="163"/>
  <c r="J136" i="163"/>
  <c r="E136" i="163"/>
  <c r="C136" i="163"/>
  <c r="I137" i="163"/>
  <c r="D137" i="163"/>
  <c r="J137" i="163"/>
  <c r="E137" i="163"/>
  <c r="C137" i="163"/>
  <c r="I138" i="163"/>
  <c r="D138" i="163"/>
  <c r="J138" i="163"/>
  <c r="E138" i="163"/>
  <c r="C138" i="163"/>
  <c r="I139" i="163"/>
  <c r="D139" i="163"/>
  <c r="J139" i="163"/>
  <c r="E139" i="163"/>
  <c r="C139" i="163"/>
  <c r="I140" i="163"/>
  <c r="D140" i="163"/>
  <c r="J140" i="163"/>
  <c r="E140" i="163"/>
  <c r="C140" i="163"/>
  <c r="I141" i="163"/>
  <c r="D141" i="163"/>
  <c r="J141" i="163"/>
  <c r="E141" i="163"/>
  <c r="C141" i="163"/>
  <c r="I142" i="163"/>
  <c r="D142" i="163"/>
  <c r="J142" i="163"/>
  <c r="E142" i="163"/>
  <c r="C142" i="163"/>
  <c r="I143" i="163"/>
  <c r="D143" i="163"/>
  <c r="J143" i="163"/>
  <c r="E143" i="163"/>
  <c r="C143" i="163"/>
  <c r="I144" i="163"/>
  <c r="D144" i="163"/>
  <c r="J144" i="163"/>
  <c r="E144" i="163"/>
  <c r="C144" i="163"/>
  <c r="I145" i="163"/>
  <c r="D145" i="163"/>
  <c r="J145" i="163"/>
  <c r="E145" i="163"/>
  <c r="C145" i="163"/>
  <c r="I146" i="163"/>
  <c r="D146" i="163"/>
  <c r="J146" i="163"/>
  <c r="E146" i="163"/>
  <c r="C146" i="163"/>
  <c r="I147" i="163"/>
  <c r="D147" i="163"/>
  <c r="J147" i="163"/>
  <c r="E147" i="163"/>
  <c r="C147" i="163"/>
  <c r="I148" i="163"/>
  <c r="D148" i="163"/>
  <c r="J148" i="163"/>
  <c r="E148" i="163"/>
  <c r="C148" i="163"/>
  <c r="I149" i="163"/>
  <c r="D149" i="163"/>
  <c r="J149" i="163"/>
  <c r="E149" i="163"/>
  <c r="C149" i="163"/>
  <c r="I150" i="163"/>
  <c r="D150" i="163"/>
  <c r="J150" i="163"/>
  <c r="E150" i="163"/>
  <c r="C150" i="163"/>
  <c r="I151" i="163"/>
  <c r="D151" i="163"/>
  <c r="J151" i="163"/>
  <c r="E151" i="163"/>
  <c r="C151" i="163"/>
  <c r="I152" i="163"/>
  <c r="D152" i="163"/>
  <c r="J152" i="163"/>
  <c r="E152" i="163"/>
  <c r="C152" i="163"/>
  <c r="I153" i="163"/>
  <c r="D153" i="163"/>
  <c r="J153" i="163"/>
  <c r="E153" i="163"/>
  <c r="C153" i="163"/>
  <c r="I154" i="163"/>
  <c r="D154" i="163"/>
  <c r="J154" i="163"/>
  <c r="E154" i="163"/>
  <c r="C154" i="163"/>
  <c r="I155" i="163"/>
  <c r="D155" i="163"/>
  <c r="J155" i="163"/>
  <c r="E155" i="163"/>
  <c r="C155" i="163"/>
  <c r="I156" i="163"/>
  <c r="D156" i="163"/>
  <c r="J156" i="163"/>
  <c r="E156" i="163"/>
  <c r="C156" i="163"/>
  <c r="I157" i="163"/>
  <c r="D157" i="163"/>
  <c r="J157" i="163"/>
  <c r="E157" i="163"/>
  <c r="C157" i="163"/>
  <c r="I158" i="163"/>
  <c r="D158" i="163"/>
  <c r="J158" i="163"/>
  <c r="E158" i="163"/>
  <c r="C158" i="163"/>
  <c r="I159" i="163"/>
  <c r="D159" i="163"/>
  <c r="J159" i="163"/>
  <c r="E159" i="163"/>
  <c r="C159" i="163"/>
  <c r="I160" i="163"/>
  <c r="D160" i="163"/>
  <c r="J160" i="163"/>
  <c r="E160" i="163"/>
  <c r="C160" i="163"/>
  <c r="I161" i="163"/>
  <c r="D161" i="163"/>
  <c r="J161" i="163"/>
  <c r="E161" i="163"/>
  <c r="C161" i="163"/>
  <c r="I162" i="163"/>
  <c r="D162" i="163"/>
  <c r="J162" i="163"/>
  <c r="E162" i="163"/>
  <c r="C162" i="163"/>
  <c r="I163" i="163"/>
  <c r="D163" i="163"/>
  <c r="J163" i="163"/>
  <c r="E163" i="163"/>
  <c r="C163" i="163"/>
  <c r="I164" i="163"/>
  <c r="D164" i="163"/>
  <c r="J164" i="163"/>
  <c r="E164" i="163"/>
  <c r="C164" i="163"/>
  <c r="I165" i="163"/>
  <c r="D165" i="163"/>
  <c r="J165" i="163"/>
  <c r="E165" i="163"/>
  <c r="C165" i="163"/>
  <c r="I166" i="163"/>
  <c r="D166" i="163"/>
  <c r="J166" i="163"/>
  <c r="E166" i="163"/>
  <c r="C166" i="163"/>
  <c r="I167" i="163"/>
  <c r="D167" i="163"/>
  <c r="J167" i="163"/>
  <c r="E167" i="163"/>
  <c r="C167" i="163"/>
  <c r="I168" i="163"/>
  <c r="D168" i="163"/>
  <c r="J168" i="163"/>
  <c r="E168" i="163"/>
  <c r="C168" i="163"/>
  <c r="I169" i="163"/>
  <c r="D169" i="163"/>
  <c r="J169" i="163"/>
  <c r="E169" i="163"/>
  <c r="C169" i="163"/>
  <c r="I170" i="163"/>
  <c r="D170" i="163"/>
  <c r="J170" i="163"/>
  <c r="E170" i="163"/>
  <c r="C170" i="163"/>
  <c r="I171" i="163"/>
  <c r="D171" i="163"/>
  <c r="J171" i="163"/>
  <c r="E171" i="163"/>
  <c r="C171" i="163"/>
  <c r="I172" i="163"/>
  <c r="D172" i="163"/>
  <c r="J172" i="163"/>
  <c r="E172" i="163"/>
  <c r="C172" i="163"/>
  <c r="I173" i="163"/>
  <c r="D173" i="163"/>
  <c r="J173" i="163"/>
  <c r="E173" i="163"/>
  <c r="C173" i="163"/>
  <c r="I174" i="163"/>
  <c r="D174" i="163"/>
  <c r="J174" i="163"/>
  <c r="E174" i="163"/>
  <c r="C174" i="163"/>
  <c r="I175" i="163"/>
  <c r="D175" i="163"/>
  <c r="J175" i="163"/>
  <c r="E175" i="163"/>
  <c r="C175" i="163"/>
  <c r="I176" i="163"/>
  <c r="D176" i="163"/>
  <c r="J176" i="163"/>
  <c r="E176" i="163"/>
  <c r="C176" i="163"/>
  <c r="I177" i="163"/>
  <c r="D177" i="163"/>
  <c r="J177" i="163"/>
  <c r="E177" i="163"/>
  <c r="C177" i="163"/>
  <c r="I178" i="163"/>
  <c r="D178" i="163"/>
  <c r="J178" i="163"/>
  <c r="E178" i="163"/>
  <c r="C178" i="163"/>
  <c r="I179" i="163"/>
  <c r="D179" i="163"/>
  <c r="J179" i="163"/>
  <c r="E179" i="163"/>
  <c r="C179" i="163"/>
  <c r="I180" i="163"/>
  <c r="D180" i="163"/>
  <c r="J180" i="163"/>
  <c r="E180" i="163"/>
  <c r="C180" i="163"/>
  <c r="I181" i="163"/>
  <c r="D181" i="163"/>
  <c r="J181" i="163"/>
  <c r="E181" i="163"/>
  <c r="C181" i="163"/>
  <c r="I182" i="163"/>
  <c r="D182" i="163"/>
  <c r="J182" i="163"/>
  <c r="E182" i="163"/>
  <c r="C182" i="163"/>
  <c r="I183" i="163"/>
  <c r="D183" i="163"/>
  <c r="J183" i="163"/>
  <c r="E183" i="163"/>
  <c r="C183" i="163"/>
  <c r="I184" i="163"/>
  <c r="D184" i="163"/>
  <c r="J184" i="163"/>
  <c r="E184" i="163"/>
  <c r="C184" i="163"/>
  <c r="I185" i="163"/>
  <c r="D185" i="163"/>
  <c r="J185" i="163"/>
  <c r="E185" i="163"/>
  <c r="C185" i="163"/>
  <c r="I186" i="163"/>
  <c r="D186" i="163"/>
  <c r="J186" i="163"/>
  <c r="E186" i="163"/>
  <c r="C186" i="163"/>
  <c r="I187" i="163"/>
  <c r="D187" i="163"/>
  <c r="J187" i="163"/>
  <c r="E187" i="163"/>
  <c r="C187" i="163"/>
  <c r="I188" i="163"/>
  <c r="D188" i="163"/>
  <c r="J188" i="163"/>
  <c r="E188" i="163"/>
  <c r="C188" i="163"/>
  <c r="I189" i="163"/>
  <c r="D189" i="163"/>
  <c r="J189" i="163"/>
  <c r="E189" i="163"/>
  <c r="C189" i="163"/>
  <c r="I190" i="163"/>
  <c r="D190" i="163"/>
  <c r="J190" i="163"/>
  <c r="E190" i="163"/>
  <c r="C190" i="163"/>
  <c r="I191" i="163"/>
  <c r="D191" i="163"/>
  <c r="J191" i="163"/>
  <c r="E191" i="163"/>
  <c r="C191" i="163"/>
  <c r="I192" i="163"/>
  <c r="D192" i="163"/>
  <c r="J192" i="163"/>
  <c r="E192" i="163"/>
  <c r="C192" i="163"/>
  <c r="I193" i="163"/>
  <c r="D193" i="163"/>
  <c r="J193" i="163"/>
  <c r="E193" i="163"/>
  <c r="C193" i="163"/>
  <c r="I194" i="163"/>
  <c r="D194" i="163"/>
  <c r="J194" i="163"/>
  <c r="E194" i="163"/>
  <c r="C194" i="163"/>
  <c r="I195" i="163"/>
  <c r="D195" i="163"/>
  <c r="J195" i="163"/>
  <c r="E195" i="163"/>
  <c r="C195" i="163"/>
  <c r="I196" i="163"/>
  <c r="D196" i="163"/>
  <c r="J196" i="163"/>
  <c r="E196" i="163"/>
  <c r="C196" i="163"/>
  <c r="I197" i="163"/>
  <c r="D197" i="163"/>
  <c r="J197" i="163"/>
  <c r="E197" i="163"/>
  <c r="C197" i="163"/>
  <c r="I198" i="163"/>
  <c r="D198" i="163"/>
  <c r="J198" i="163"/>
  <c r="E198" i="163"/>
  <c r="C198" i="163"/>
  <c r="I199" i="163"/>
  <c r="D199" i="163"/>
  <c r="J199" i="163"/>
  <c r="E199" i="163"/>
  <c r="C199" i="163"/>
  <c r="I200" i="163"/>
  <c r="D200" i="163"/>
  <c r="J200" i="163"/>
  <c r="E200" i="163"/>
  <c r="C200" i="163"/>
  <c r="I201" i="163"/>
  <c r="D201" i="163"/>
  <c r="J201" i="163"/>
  <c r="E201" i="163"/>
  <c r="C201" i="163"/>
  <c r="I202" i="163"/>
  <c r="D202" i="163"/>
  <c r="J202" i="163"/>
  <c r="E202" i="163"/>
  <c r="C202" i="163"/>
  <c r="I203" i="163"/>
  <c r="D203" i="163"/>
  <c r="J203" i="163"/>
  <c r="E203" i="163"/>
  <c r="C203" i="163"/>
  <c r="I204" i="163"/>
  <c r="D204" i="163"/>
  <c r="J204" i="163"/>
  <c r="E204" i="163"/>
  <c r="C204" i="163"/>
  <c r="I205" i="163"/>
  <c r="D205" i="163"/>
  <c r="J205" i="163"/>
  <c r="E205" i="163"/>
  <c r="C205" i="163"/>
  <c r="I206" i="163"/>
  <c r="D206" i="163"/>
  <c r="J206" i="163"/>
  <c r="E206" i="163"/>
  <c r="C206" i="163"/>
  <c r="I207" i="163"/>
  <c r="D207" i="163"/>
  <c r="J207" i="163"/>
  <c r="E207" i="163"/>
  <c r="C207" i="163"/>
  <c r="I208" i="163"/>
  <c r="D208" i="163"/>
  <c r="J208" i="163"/>
  <c r="E208" i="163"/>
  <c r="C208" i="163"/>
  <c r="I209" i="163"/>
  <c r="D209" i="163"/>
  <c r="J209" i="163"/>
  <c r="E209" i="163"/>
  <c r="C209" i="163"/>
  <c r="I210" i="163"/>
  <c r="D210" i="163"/>
  <c r="J210" i="163"/>
  <c r="E210" i="163"/>
  <c r="C210" i="163"/>
  <c r="I211" i="163"/>
  <c r="D211" i="163"/>
  <c r="J211" i="163"/>
  <c r="E211" i="163"/>
  <c r="C211" i="163"/>
  <c r="I212" i="163"/>
  <c r="D212" i="163"/>
  <c r="J212" i="163"/>
  <c r="E212" i="163"/>
  <c r="C212" i="163"/>
  <c r="I213" i="163"/>
  <c r="D213" i="163"/>
  <c r="J213" i="163"/>
  <c r="E213" i="163"/>
  <c r="C213" i="163"/>
  <c r="I214" i="163"/>
  <c r="D214" i="163"/>
  <c r="J214" i="163"/>
  <c r="E214" i="163"/>
  <c r="C214" i="163"/>
  <c r="I215" i="163"/>
  <c r="J215" i="163"/>
  <c r="D215" i="163"/>
  <c r="E215" i="163"/>
  <c r="C215" i="163"/>
  <c r="I216" i="163"/>
  <c r="J216" i="163"/>
  <c r="D216" i="163"/>
  <c r="E216" i="163"/>
  <c r="C216" i="163"/>
  <c r="I217" i="163"/>
  <c r="J217" i="163"/>
  <c r="D217" i="163"/>
  <c r="E217" i="163"/>
  <c r="C217" i="163"/>
  <c r="I218" i="163"/>
  <c r="J218" i="163"/>
  <c r="D218" i="163"/>
  <c r="E218" i="163"/>
  <c r="C218" i="163"/>
  <c r="I219" i="163"/>
  <c r="J219" i="163"/>
  <c r="D219" i="163"/>
  <c r="E219" i="163"/>
  <c r="C219" i="163"/>
  <c r="I220" i="163"/>
  <c r="J220" i="163"/>
  <c r="D220" i="163"/>
  <c r="E220" i="163"/>
  <c r="C220" i="163"/>
  <c r="I221" i="163"/>
  <c r="D221" i="163"/>
  <c r="J221" i="163"/>
  <c r="E221" i="163"/>
  <c r="C221" i="163"/>
  <c r="I222" i="163"/>
  <c r="D222" i="163"/>
  <c r="J222" i="163"/>
  <c r="E222" i="163"/>
  <c r="C222" i="163"/>
  <c r="I223" i="163"/>
  <c r="D223" i="163"/>
  <c r="J223" i="163"/>
  <c r="E223" i="163"/>
  <c r="C223" i="163"/>
  <c r="I224" i="163"/>
  <c r="D224" i="163"/>
  <c r="J224" i="163"/>
  <c r="E224" i="163"/>
  <c r="C224" i="163"/>
  <c r="I225" i="163"/>
  <c r="D225" i="163"/>
  <c r="J225" i="163"/>
  <c r="E225" i="163"/>
  <c r="C225" i="163"/>
  <c r="I226" i="163"/>
  <c r="D226" i="163"/>
  <c r="J226" i="163"/>
  <c r="E226" i="163"/>
  <c r="C226" i="163"/>
  <c r="I227" i="163"/>
  <c r="D227" i="163"/>
  <c r="J227" i="163"/>
  <c r="E227" i="163"/>
  <c r="C227" i="163"/>
  <c r="I228" i="163"/>
  <c r="D228" i="163"/>
  <c r="J228" i="163"/>
  <c r="E228" i="163"/>
  <c r="C228" i="163"/>
  <c r="I229" i="163"/>
  <c r="D229" i="163"/>
  <c r="J229" i="163"/>
  <c r="E229" i="163"/>
  <c r="C229" i="163"/>
  <c r="I230" i="163"/>
  <c r="D230" i="163"/>
  <c r="J230" i="163"/>
  <c r="E230" i="163"/>
  <c r="C230" i="163"/>
  <c r="I231" i="163"/>
  <c r="D231" i="163"/>
  <c r="J231" i="163"/>
  <c r="E231" i="163"/>
  <c r="C231" i="163"/>
  <c r="I232" i="163"/>
  <c r="D232" i="163"/>
  <c r="J232" i="163"/>
  <c r="E232" i="163"/>
  <c r="C232" i="163"/>
  <c r="I233" i="163"/>
  <c r="D233" i="163"/>
  <c r="J233" i="163"/>
  <c r="E233" i="163"/>
  <c r="C233" i="163"/>
  <c r="I234" i="163"/>
  <c r="D234" i="163"/>
  <c r="J234" i="163"/>
  <c r="E234" i="163"/>
  <c r="C234" i="163"/>
  <c r="I235" i="163"/>
  <c r="D235" i="163"/>
  <c r="J235" i="163"/>
  <c r="E235" i="163"/>
  <c r="C235" i="163"/>
  <c r="I236" i="163"/>
  <c r="D236" i="163"/>
  <c r="J236" i="163"/>
  <c r="E236" i="163"/>
  <c r="C236" i="163"/>
  <c r="I237" i="163"/>
  <c r="D237" i="163"/>
  <c r="J237" i="163"/>
  <c r="E237" i="163"/>
  <c r="C237" i="163"/>
  <c r="I238" i="163"/>
  <c r="D238" i="163"/>
  <c r="J238" i="163"/>
  <c r="E238" i="163"/>
  <c r="C238" i="163"/>
  <c r="I239" i="163"/>
  <c r="D239" i="163"/>
  <c r="J239" i="163"/>
  <c r="E239" i="163"/>
  <c r="C239" i="163"/>
  <c r="I240" i="163"/>
  <c r="D240" i="163"/>
  <c r="J240" i="163"/>
  <c r="E240" i="163"/>
  <c r="C240" i="163"/>
  <c r="I241" i="163"/>
  <c r="D241" i="163"/>
  <c r="J241" i="163"/>
  <c r="E241" i="163"/>
  <c r="C241" i="163"/>
  <c r="I242" i="163"/>
  <c r="D242" i="163"/>
  <c r="J242" i="163"/>
  <c r="E242" i="163"/>
  <c r="C242" i="163"/>
  <c r="I243" i="163"/>
  <c r="D243" i="163"/>
  <c r="J243" i="163"/>
  <c r="E243" i="163"/>
  <c r="C243" i="163"/>
  <c r="I244" i="163"/>
  <c r="D244" i="163"/>
  <c r="J244" i="163"/>
  <c r="E244" i="163"/>
  <c r="C244" i="163"/>
  <c r="I245" i="163"/>
  <c r="D245" i="163"/>
  <c r="J245" i="163"/>
  <c r="E245" i="163"/>
  <c r="C245" i="163"/>
  <c r="I246" i="163"/>
  <c r="D246" i="163"/>
  <c r="J246" i="163"/>
  <c r="E246" i="163"/>
  <c r="C246" i="163"/>
  <c r="I247" i="163"/>
  <c r="D247" i="163"/>
  <c r="J247" i="163"/>
  <c r="E247" i="163"/>
  <c r="C247" i="163"/>
  <c r="I248" i="163"/>
  <c r="D248" i="163"/>
  <c r="J248" i="163"/>
  <c r="E248" i="163"/>
  <c r="C248" i="163"/>
  <c r="I249" i="163"/>
  <c r="D249" i="163"/>
  <c r="J249" i="163"/>
  <c r="E249" i="163"/>
  <c r="C249" i="163"/>
  <c r="I250" i="163"/>
  <c r="D250" i="163"/>
  <c r="J250" i="163"/>
  <c r="E250" i="163"/>
  <c r="C250" i="163"/>
  <c r="I251" i="163"/>
  <c r="D251" i="163"/>
  <c r="J251" i="163"/>
  <c r="E251" i="163"/>
  <c r="C251" i="163"/>
  <c r="I252" i="163"/>
  <c r="D252" i="163"/>
  <c r="J252" i="163"/>
  <c r="E252" i="163"/>
  <c r="C252" i="163"/>
  <c r="I253" i="163"/>
  <c r="D253" i="163"/>
  <c r="J253" i="163"/>
  <c r="E253" i="163"/>
  <c r="C253" i="163"/>
  <c r="I254" i="163"/>
  <c r="D254" i="163"/>
  <c r="J254" i="163"/>
  <c r="E254" i="163"/>
  <c r="C254" i="163"/>
  <c r="I255" i="163"/>
  <c r="D255" i="163"/>
  <c r="J255" i="163"/>
  <c r="E255" i="163"/>
  <c r="C255" i="163"/>
  <c r="I256" i="163"/>
  <c r="D256" i="163"/>
  <c r="J256" i="163"/>
  <c r="E256" i="163"/>
  <c r="C256" i="163"/>
  <c r="I257" i="163"/>
  <c r="D257" i="163"/>
  <c r="J257" i="163"/>
  <c r="E257" i="163"/>
  <c r="C257" i="163"/>
  <c r="I258" i="163"/>
  <c r="D258" i="163"/>
  <c r="J258" i="163"/>
  <c r="E258" i="163"/>
  <c r="C258" i="163"/>
  <c r="I259" i="163"/>
  <c r="D259" i="163"/>
  <c r="J259" i="163"/>
  <c r="E259" i="163"/>
  <c r="C259" i="163"/>
  <c r="I260" i="163"/>
  <c r="D260" i="163"/>
  <c r="J260" i="163"/>
  <c r="E260" i="163"/>
  <c r="C260" i="163"/>
  <c r="I261" i="163"/>
  <c r="D261" i="163"/>
  <c r="J261" i="163"/>
  <c r="E261" i="163"/>
  <c r="C261" i="163"/>
  <c r="I262" i="163"/>
  <c r="D262" i="163"/>
  <c r="J262" i="163"/>
  <c r="E262" i="163"/>
  <c r="C262" i="163"/>
  <c r="I263" i="163"/>
  <c r="D263" i="163"/>
  <c r="J263" i="163"/>
  <c r="E263" i="163"/>
  <c r="C263" i="163"/>
  <c r="I264" i="163"/>
  <c r="D264" i="163"/>
  <c r="J264" i="163"/>
  <c r="E264" i="163"/>
  <c r="C264" i="163"/>
  <c r="I265" i="163"/>
  <c r="D265" i="163"/>
  <c r="J265" i="163"/>
  <c r="E265" i="163"/>
  <c r="C265" i="163"/>
  <c r="I266" i="163"/>
  <c r="D266" i="163"/>
  <c r="J266" i="163"/>
  <c r="E266" i="163"/>
  <c r="C266" i="163"/>
  <c r="I267" i="163"/>
  <c r="D267" i="163"/>
  <c r="J267" i="163"/>
  <c r="E267" i="163"/>
  <c r="C267" i="163"/>
  <c r="I268" i="163"/>
  <c r="D268" i="163"/>
  <c r="J268" i="163"/>
  <c r="E268" i="163"/>
  <c r="C268" i="163"/>
  <c r="I269" i="163"/>
  <c r="D269" i="163"/>
  <c r="J269" i="163"/>
  <c r="E269" i="163"/>
  <c r="C269" i="163"/>
  <c r="I270" i="163"/>
  <c r="D270" i="163"/>
  <c r="J270" i="163"/>
  <c r="E270" i="163"/>
  <c r="C270" i="163"/>
  <c r="I271" i="163"/>
  <c r="D271" i="163"/>
  <c r="J271" i="163"/>
  <c r="E271" i="163"/>
  <c r="C271" i="163"/>
  <c r="I272" i="163"/>
  <c r="D272" i="163"/>
  <c r="J272" i="163"/>
  <c r="E272" i="163"/>
  <c r="C272" i="163"/>
  <c r="I273" i="163"/>
  <c r="D273" i="163"/>
  <c r="J273" i="163"/>
  <c r="E273" i="163"/>
  <c r="C273" i="163"/>
  <c r="I274" i="163"/>
  <c r="D274" i="163"/>
  <c r="J274" i="163"/>
  <c r="E274" i="163"/>
  <c r="C274" i="163"/>
  <c r="I275" i="163"/>
  <c r="D275" i="163"/>
  <c r="J275" i="163"/>
  <c r="E275" i="163"/>
  <c r="C275" i="163"/>
  <c r="I276" i="163"/>
  <c r="D276" i="163"/>
  <c r="J276" i="163"/>
  <c r="E276" i="163"/>
  <c r="C276" i="163"/>
  <c r="I277" i="163"/>
  <c r="D277" i="163"/>
  <c r="J277" i="163"/>
  <c r="E277" i="163"/>
  <c r="C277" i="163"/>
  <c r="I278" i="163"/>
  <c r="D278" i="163"/>
  <c r="J278" i="163"/>
  <c r="E278" i="163"/>
  <c r="C278" i="163"/>
  <c r="I279" i="163"/>
  <c r="D279" i="163"/>
  <c r="J279" i="163"/>
  <c r="E279" i="163"/>
  <c r="C279" i="163"/>
  <c r="I280" i="163"/>
  <c r="D280" i="163"/>
  <c r="J280" i="163"/>
  <c r="E280" i="163"/>
  <c r="C280" i="163"/>
  <c r="I281" i="163"/>
  <c r="D281" i="163"/>
  <c r="J281" i="163"/>
  <c r="E281" i="163"/>
  <c r="C281" i="163"/>
  <c r="I282" i="163"/>
  <c r="D282" i="163"/>
  <c r="J282" i="163"/>
  <c r="E282" i="163"/>
  <c r="C282" i="163"/>
  <c r="I283" i="163"/>
  <c r="D283" i="163"/>
  <c r="J283" i="163"/>
  <c r="E283" i="163"/>
  <c r="C283" i="163"/>
  <c r="I284" i="163"/>
  <c r="D284" i="163"/>
  <c r="J284" i="163"/>
  <c r="E284" i="163"/>
  <c r="C284" i="163"/>
  <c r="I285" i="163"/>
  <c r="D285" i="163"/>
  <c r="J285" i="163"/>
  <c r="E285" i="163"/>
  <c r="C285" i="163"/>
  <c r="I286" i="163"/>
  <c r="D286" i="163"/>
  <c r="J286" i="163"/>
  <c r="E286" i="163"/>
  <c r="C286" i="163"/>
  <c r="I287" i="163"/>
  <c r="D287" i="163"/>
  <c r="J287" i="163"/>
  <c r="E287" i="163"/>
  <c r="C287" i="163"/>
  <c r="I288" i="163"/>
  <c r="D288" i="163"/>
  <c r="J288" i="163"/>
  <c r="E288" i="163"/>
  <c r="C288" i="163"/>
  <c r="I289" i="163"/>
  <c r="D289" i="163"/>
  <c r="J289" i="163"/>
  <c r="E289" i="163"/>
  <c r="C289" i="163"/>
  <c r="I290" i="163"/>
  <c r="D290" i="163"/>
  <c r="J290" i="163"/>
  <c r="E290" i="163"/>
  <c r="C290" i="163"/>
  <c r="I291" i="163"/>
  <c r="D291" i="163"/>
  <c r="J291" i="163"/>
  <c r="E291" i="163"/>
  <c r="C291" i="163"/>
  <c r="I292" i="163"/>
  <c r="D292" i="163"/>
  <c r="J292" i="163"/>
  <c r="E292" i="163"/>
  <c r="C292" i="163"/>
  <c r="I293" i="163"/>
  <c r="D293" i="163"/>
  <c r="J293" i="163"/>
  <c r="E293" i="163"/>
  <c r="C293" i="163"/>
  <c r="I294" i="163"/>
  <c r="D294" i="163"/>
  <c r="J294" i="163"/>
  <c r="E294" i="163"/>
  <c r="C294" i="163"/>
  <c r="I295" i="163"/>
  <c r="D295" i="163"/>
  <c r="J295" i="163"/>
  <c r="E295" i="163"/>
  <c r="C295" i="163"/>
  <c r="I296" i="163"/>
  <c r="D296" i="163"/>
  <c r="J296" i="163"/>
  <c r="E296" i="163"/>
  <c r="C296" i="163"/>
  <c r="I297" i="163"/>
  <c r="D297" i="163"/>
  <c r="J297" i="163"/>
  <c r="E297" i="163"/>
  <c r="C297" i="163"/>
  <c r="I298" i="163"/>
  <c r="D298" i="163"/>
  <c r="J298" i="163"/>
  <c r="E298" i="163"/>
  <c r="C298" i="163"/>
  <c r="I299" i="163"/>
  <c r="D299" i="163"/>
  <c r="J299" i="163"/>
  <c r="E299" i="163"/>
  <c r="C299" i="163"/>
  <c r="I300" i="163"/>
  <c r="D300" i="163"/>
  <c r="J300" i="163"/>
  <c r="E300" i="163"/>
  <c r="C300" i="163"/>
  <c r="I301" i="163"/>
  <c r="D301" i="163"/>
  <c r="J301" i="163"/>
  <c r="E301" i="163"/>
  <c r="C301" i="163"/>
  <c r="I302" i="163"/>
  <c r="D302" i="163"/>
  <c r="J302" i="163"/>
  <c r="E302" i="163"/>
  <c r="C302" i="163"/>
  <c r="I303" i="163"/>
  <c r="D303" i="163"/>
  <c r="J303" i="163"/>
  <c r="E303" i="163"/>
  <c r="C303" i="163"/>
  <c r="I304" i="163"/>
  <c r="D304" i="163"/>
  <c r="J304" i="163"/>
  <c r="E304" i="163"/>
  <c r="C304" i="163"/>
  <c r="I305" i="163"/>
  <c r="D305" i="163"/>
  <c r="J305" i="163"/>
  <c r="E305" i="163"/>
  <c r="C305" i="163"/>
  <c r="I306" i="163"/>
  <c r="D306" i="163"/>
  <c r="J306" i="163"/>
  <c r="E306" i="163"/>
  <c r="C306" i="163"/>
  <c r="I307" i="163"/>
  <c r="D307" i="163"/>
  <c r="J307" i="163"/>
  <c r="E307" i="163"/>
  <c r="C307" i="163"/>
  <c r="I308" i="163"/>
  <c r="D308" i="163"/>
  <c r="J308" i="163"/>
  <c r="E308" i="163"/>
  <c r="C308" i="163"/>
  <c r="I309" i="163"/>
  <c r="D309" i="163"/>
  <c r="J309" i="163"/>
  <c r="E309" i="163"/>
  <c r="C309" i="163"/>
  <c r="I310" i="163"/>
  <c r="D310" i="163"/>
  <c r="J310" i="163"/>
  <c r="E310" i="163"/>
  <c r="C310" i="163"/>
  <c r="I311" i="163"/>
  <c r="D311" i="163"/>
  <c r="J311" i="163"/>
  <c r="E311" i="163"/>
  <c r="C311" i="163"/>
  <c r="I312" i="163"/>
  <c r="D312" i="163"/>
  <c r="J312" i="163"/>
  <c r="E312" i="163"/>
  <c r="C312" i="163"/>
  <c r="I313" i="163"/>
  <c r="D313" i="163"/>
  <c r="J313" i="163"/>
  <c r="E313" i="163"/>
  <c r="C313" i="163"/>
  <c r="I314" i="163"/>
  <c r="D314" i="163"/>
  <c r="J314" i="163"/>
  <c r="E314" i="163"/>
  <c r="C314" i="163"/>
  <c r="I315" i="163"/>
  <c r="D315" i="163"/>
  <c r="J315" i="163"/>
  <c r="E315" i="163"/>
  <c r="C315" i="163"/>
  <c r="I316" i="163"/>
  <c r="D316" i="163"/>
  <c r="J316" i="163"/>
  <c r="E316" i="163"/>
  <c r="C316" i="163"/>
  <c r="I317" i="163"/>
  <c r="D317" i="163"/>
  <c r="J317" i="163"/>
  <c r="E317" i="163"/>
  <c r="C317" i="163"/>
  <c r="I318" i="163"/>
  <c r="D318" i="163"/>
  <c r="J318" i="163"/>
  <c r="E318" i="163"/>
  <c r="C318" i="163"/>
  <c r="I319" i="163"/>
  <c r="D319" i="163"/>
  <c r="J319" i="163"/>
  <c r="E319" i="163"/>
  <c r="C319" i="163"/>
  <c r="I320" i="163"/>
  <c r="D320" i="163"/>
  <c r="J320" i="163"/>
  <c r="E320" i="163"/>
  <c r="C320" i="163"/>
  <c r="I321" i="163"/>
  <c r="D321" i="163"/>
  <c r="J321" i="163"/>
  <c r="E321" i="163"/>
  <c r="C321" i="163"/>
  <c r="I322" i="163"/>
  <c r="D322" i="163"/>
  <c r="J322" i="163"/>
  <c r="E322" i="163"/>
  <c r="C322" i="163"/>
  <c r="I323" i="163"/>
  <c r="D323" i="163"/>
  <c r="J323" i="163"/>
  <c r="E323" i="163"/>
  <c r="C323" i="163"/>
  <c r="I324" i="163"/>
  <c r="D324" i="163"/>
  <c r="J324" i="163"/>
  <c r="E324" i="163"/>
  <c r="C324" i="163"/>
  <c r="I325" i="163"/>
  <c r="D325" i="163"/>
  <c r="J325" i="163"/>
  <c r="E325" i="163"/>
  <c r="C325" i="163"/>
  <c r="I326" i="163"/>
  <c r="D326" i="163"/>
  <c r="J326" i="163"/>
  <c r="E326" i="163"/>
  <c r="C326" i="163"/>
  <c r="I327" i="163"/>
  <c r="D327" i="163"/>
  <c r="J327" i="163"/>
  <c r="E327" i="163"/>
  <c r="C327" i="163"/>
  <c r="I328" i="163"/>
  <c r="D328" i="163"/>
  <c r="J328" i="163"/>
  <c r="E328" i="163"/>
  <c r="C328" i="163"/>
  <c r="I329" i="163"/>
  <c r="D329" i="163"/>
  <c r="J329" i="163"/>
  <c r="E329" i="163"/>
  <c r="C329" i="163"/>
  <c r="I330" i="163"/>
  <c r="D330" i="163"/>
  <c r="J330" i="163"/>
  <c r="E330" i="163"/>
  <c r="C330" i="163"/>
  <c r="I331" i="163"/>
  <c r="D331" i="163"/>
  <c r="J331" i="163"/>
  <c r="E331" i="163"/>
  <c r="C331" i="163"/>
  <c r="I332" i="163"/>
  <c r="D332" i="163"/>
  <c r="J332" i="163"/>
  <c r="E332" i="163"/>
  <c r="C332" i="163"/>
  <c r="I333" i="163"/>
  <c r="D333" i="163"/>
  <c r="J333" i="163"/>
  <c r="E333" i="163"/>
  <c r="C333" i="163"/>
  <c r="I334" i="163"/>
  <c r="D334" i="163"/>
  <c r="J334" i="163"/>
  <c r="E334" i="163"/>
  <c r="C334" i="163"/>
  <c r="I335" i="163"/>
  <c r="D335" i="163"/>
  <c r="J335" i="163"/>
  <c r="E335" i="163"/>
  <c r="C335" i="163"/>
  <c r="I336" i="163"/>
  <c r="D336" i="163"/>
  <c r="J336" i="163"/>
  <c r="E336" i="163"/>
  <c r="C336" i="163"/>
  <c r="I337" i="163"/>
  <c r="D337" i="163"/>
  <c r="J337" i="163"/>
  <c r="E337" i="163"/>
  <c r="C337" i="163"/>
  <c r="I338" i="163"/>
  <c r="D338" i="163"/>
  <c r="J338" i="163"/>
  <c r="E338" i="163"/>
  <c r="C338" i="163"/>
  <c r="I339" i="163"/>
  <c r="D339" i="163"/>
  <c r="J339" i="163"/>
  <c r="E339" i="163"/>
  <c r="C339" i="163"/>
  <c r="I340" i="163"/>
  <c r="D340" i="163"/>
  <c r="J340" i="163"/>
  <c r="E340" i="163"/>
  <c r="C340" i="163"/>
  <c r="I341" i="163"/>
  <c r="D341" i="163"/>
  <c r="J341" i="163"/>
  <c r="E341" i="163"/>
  <c r="C341" i="163"/>
  <c r="I342" i="163"/>
  <c r="D342" i="163"/>
  <c r="J342" i="163"/>
  <c r="E342" i="163"/>
  <c r="C342" i="163"/>
  <c r="I343" i="163"/>
  <c r="D343" i="163"/>
  <c r="J343" i="163"/>
  <c r="E343" i="163"/>
  <c r="C343" i="163"/>
  <c r="I344" i="163"/>
  <c r="D344" i="163"/>
  <c r="J344" i="163"/>
  <c r="E344" i="163"/>
  <c r="C344" i="163"/>
  <c r="I345" i="163"/>
  <c r="D345" i="163"/>
  <c r="J345" i="163"/>
  <c r="E345" i="163"/>
  <c r="C345" i="163"/>
  <c r="I346" i="163"/>
  <c r="D346" i="163"/>
  <c r="J346" i="163"/>
  <c r="E346" i="163"/>
  <c r="C346" i="163"/>
  <c r="I347" i="163"/>
  <c r="D347" i="163"/>
  <c r="J347" i="163"/>
  <c r="E347" i="163"/>
  <c r="C347" i="163"/>
  <c r="I348" i="163"/>
  <c r="D348" i="163"/>
  <c r="J348" i="163"/>
  <c r="E348" i="163"/>
  <c r="C348" i="163"/>
  <c r="I349" i="163"/>
  <c r="D349" i="163"/>
  <c r="J349" i="163"/>
  <c r="E349" i="163"/>
  <c r="C349" i="163"/>
  <c r="I350" i="163"/>
  <c r="D350" i="163"/>
  <c r="J350" i="163"/>
  <c r="E350" i="163"/>
  <c r="C350" i="163"/>
  <c r="I351" i="163"/>
  <c r="D351" i="163"/>
  <c r="J351" i="163"/>
  <c r="E351" i="163"/>
  <c r="C351" i="163"/>
  <c r="I352" i="163"/>
  <c r="D352" i="163"/>
  <c r="J352" i="163"/>
  <c r="E352" i="163"/>
  <c r="C352" i="163"/>
  <c r="I353" i="163"/>
  <c r="D353" i="163"/>
  <c r="J353" i="163"/>
  <c r="E353" i="163"/>
  <c r="C353" i="163"/>
  <c r="I354" i="163"/>
  <c r="D354" i="163"/>
  <c r="J354" i="163"/>
  <c r="E354" i="163"/>
  <c r="C354" i="163"/>
  <c r="I355" i="163"/>
  <c r="D355" i="163"/>
  <c r="J355" i="163"/>
  <c r="E355" i="163"/>
  <c r="C355" i="163"/>
  <c r="I356" i="163"/>
  <c r="D356" i="163"/>
  <c r="J356" i="163"/>
  <c r="E356" i="163"/>
  <c r="C356" i="163"/>
  <c r="I357" i="163"/>
  <c r="D357" i="163"/>
  <c r="J357" i="163"/>
  <c r="E357" i="163"/>
  <c r="C357" i="163"/>
  <c r="F5" i="162"/>
  <c r="F7" i="162"/>
  <c r="A51" i="162"/>
  <c r="F6" i="162"/>
  <c r="E6" i="162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44" i="162"/>
  <c r="B44" i="162"/>
  <c r="G44" i="162"/>
  <c r="H44" i="162"/>
  <c r="E5" i="162"/>
  <c r="E29" i="162"/>
  <c r="B29" i="162"/>
  <c r="G29" i="162"/>
  <c r="H29" i="162"/>
  <c r="O358" i="163"/>
  <c r="E7" i="162"/>
  <c r="E19" i="162"/>
  <c r="B19" i="162"/>
  <c r="E24" i="162"/>
  <c r="B24" i="162"/>
  <c r="B17" i="162"/>
  <c r="G17" i="162"/>
  <c r="E17" i="162"/>
  <c r="H17" i="162"/>
  <c r="O2" i="163"/>
  <c r="E20" i="162"/>
  <c r="B20" i="162"/>
  <c r="E22" i="162"/>
  <c r="E21" i="162"/>
  <c r="B21" i="162"/>
  <c r="E26" i="162"/>
  <c r="B26" i="162"/>
  <c r="E28" i="162"/>
  <c r="B28" i="162"/>
  <c r="B23" i="162"/>
  <c r="B22" i="162"/>
  <c r="E25" i="162"/>
  <c r="B25" i="162"/>
  <c r="E27" i="162"/>
  <c r="B27" i="162"/>
  <c r="B18" i="162"/>
  <c r="G18" i="162"/>
  <c r="E18" i="162"/>
  <c r="H18" i="162"/>
  <c r="O3" i="163"/>
  <c r="O4" i="163"/>
  <c r="O5" i="163"/>
  <c r="F8" i="162"/>
  <c r="E8" i="162"/>
  <c r="E34" i="162"/>
  <c r="B34" i="162"/>
  <c r="E39" i="162"/>
  <c r="B39" i="162"/>
  <c r="B32" i="162"/>
  <c r="G32" i="162"/>
  <c r="E32" i="162"/>
  <c r="H32" i="162"/>
  <c r="O6" i="163"/>
  <c r="E35" i="162"/>
  <c r="B35" i="162"/>
  <c r="E37" i="162"/>
  <c r="E38" i="162"/>
  <c r="C46" i="162"/>
  <c r="B38" i="162"/>
  <c r="B37" i="162"/>
  <c r="E40" i="162"/>
  <c r="B40" i="162"/>
  <c r="E42" i="162"/>
  <c r="B42" i="162"/>
  <c r="B33" i="162"/>
  <c r="G33" i="162"/>
  <c r="E33" i="162"/>
  <c r="H33" i="162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G24" i="162"/>
  <c r="H24" i="162"/>
  <c r="O42" i="163"/>
  <c r="G25" i="162"/>
  <c r="H25" i="162"/>
  <c r="O43" i="163"/>
  <c r="G26" i="162"/>
  <c r="H26" i="162"/>
  <c r="O44" i="163"/>
  <c r="O45" i="163"/>
  <c r="O46" i="163"/>
  <c r="O47" i="163"/>
  <c r="G39" i="162"/>
  <c r="H39" i="162"/>
  <c r="O48" i="163"/>
  <c r="G40" i="162"/>
  <c r="H40" i="162"/>
  <c r="O49" i="163"/>
  <c r="E41" i="162"/>
  <c r="B41" i="162"/>
  <c r="G41" i="162"/>
  <c r="H41" i="162"/>
  <c r="O50" i="163"/>
  <c r="G34" i="162"/>
  <c r="H34" i="162"/>
  <c r="G19" i="162"/>
  <c r="H19" i="162"/>
  <c r="O51" i="163"/>
  <c r="G35" i="162"/>
  <c r="H35" i="162"/>
  <c r="G20" i="162"/>
  <c r="H20" i="162"/>
  <c r="O52" i="163"/>
  <c r="E43" i="162"/>
  <c r="B43" i="162"/>
  <c r="B36" i="162"/>
  <c r="G36" i="162"/>
  <c r="E36" i="162"/>
  <c r="H36" i="162"/>
  <c r="G21" i="162"/>
  <c r="H21" i="162"/>
  <c r="O53" i="163"/>
  <c r="O54" i="163"/>
  <c r="O55" i="163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G27" i="162"/>
  <c r="H27" i="162"/>
  <c r="O138" i="163"/>
  <c r="G28" i="162"/>
  <c r="H28" i="162"/>
  <c r="O139" i="163"/>
  <c r="O140" i="163"/>
  <c r="O141" i="163"/>
  <c r="G42" i="162"/>
  <c r="H42" i="162"/>
  <c r="O142" i="163"/>
  <c r="G43" i="162"/>
  <c r="H43" i="162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G23" i="162"/>
  <c r="E23" i="162"/>
  <c r="H23" i="162"/>
  <c r="O215" i="163"/>
  <c r="O216" i="163"/>
  <c r="G38" i="162"/>
  <c r="H38" i="162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O260" i="163"/>
  <c r="O261" i="163"/>
  <c r="G22" i="162"/>
  <c r="H22" i="162"/>
  <c r="O262" i="163"/>
  <c r="O263" i="163"/>
  <c r="O264" i="163"/>
  <c r="O265" i="163"/>
  <c r="O266" i="163"/>
  <c r="O267" i="163"/>
  <c r="O268" i="163"/>
  <c r="O269" i="163"/>
  <c r="G37" i="162"/>
  <c r="H37" i="162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4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O331" i="163"/>
  <c r="O332" i="163"/>
  <c r="O333" i="163"/>
  <c r="O334" i="163"/>
  <c r="O335" i="163"/>
  <c r="O336" i="163"/>
  <c r="O337" i="163"/>
  <c r="O338" i="163"/>
  <c r="O339" i="163"/>
  <c r="O340" i="163"/>
  <c r="O341" i="163"/>
  <c r="O342" i="163"/>
  <c r="O343" i="163"/>
  <c r="O344" i="163"/>
  <c r="O345" i="163"/>
  <c r="O346" i="163"/>
  <c r="O347" i="163"/>
  <c r="O348" i="163"/>
  <c r="O349" i="163"/>
  <c r="O350" i="163"/>
  <c r="O351" i="163"/>
  <c r="O352" i="163"/>
  <c r="O353" i="163"/>
  <c r="O354" i="163"/>
  <c r="O355" i="163"/>
  <c r="O356" i="163"/>
  <c r="O357" i="163"/>
  <c r="O359" i="163"/>
  <c r="O360" i="163"/>
  <c r="B46" i="162"/>
  <c r="G46" i="162"/>
  <c r="E46" i="162"/>
  <c r="H46" i="162"/>
  <c r="R3" i="162"/>
  <c r="O361" i="163"/>
  <c r="P358" i="163"/>
  <c r="H359" i="163"/>
  <c r="K359" i="163"/>
  <c r="L359" i="163"/>
  <c r="M359" i="163"/>
  <c r="N359" i="163"/>
  <c r="P359" i="163"/>
  <c r="H360" i="163"/>
  <c r="K360" i="163"/>
  <c r="L360" i="163"/>
  <c r="M360" i="163"/>
  <c r="N360" i="163"/>
  <c r="P360" i="163"/>
  <c r="H361" i="163"/>
  <c r="K361" i="163"/>
  <c r="L361" i="163"/>
  <c r="M361" i="163"/>
  <c r="N361" i="163"/>
  <c r="P361" i="163"/>
  <c r="F357" i="163"/>
  <c r="H357" i="163"/>
  <c r="K357" i="163"/>
  <c r="L357" i="163"/>
  <c r="M357" i="163"/>
  <c r="N357" i="163"/>
  <c r="P357" i="163"/>
  <c r="A358" i="163"/>
  <c r="A359" i="163"/>
  <c r="A360" i="163"/>
  <c r="A361" i="163"/>
  <c r="A357" i="163"/>
  <c r="I358" i="154"/>
  <c r="D358" i="154"/>
  <c r="J358" i="154"/>
  <c r="E358" i="154"/>
  <c r="F358" i="154"/>
  <c r="C358" i="154"/>
  <c r="H358" i="154"/>
  <c r="K358" i="154"/>
  <c r="L358" i="154"/>
  <c r="M358" i="154"/>
  <c r="N358" i="154"/>
  <c r="A2" i="153"/>
  <c r="I359" i="154"/>
  <c r="D359" i="154"/>
  <c r="J359" i="154"/>
  <c r="E359" i="154"/>
  <c r="F359" i="154"/>
  <c r="C359" i="154"/>
  <c r="I360" i="154"/>
  <c r="D360" i="154"/>
  <c r="J360" i="154"/>
  <c r="E360" i="154"/>
  <c r="F360" i="154"/>
  <c r="C360" i="154"/>
  <c r="I361" i="154"/>
  <c r="D361" i="154"/>
  <c r="J361" i="154"/>
  <c r="E361" i="154"/>
  <c r="F361" i="154"/>
  <c r="C361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F5" i="153"/>
  <c r="F7" i="153"/>
  <c r="A51" i="153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44" i="153"/>
  <c r="B44" i="153"/>
  <c r="G44" i="153"/>
  <c r="H44" i="153"/>
  <c r="E5" i="153"/>
  <c r="E29" i="153"/>
  <c r="B29" i="153"/>
  <c r="G29" i="153"/>
  <c r="H29" i="153"/>
  <c r="O358" i="154"/>
  <c r="E7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1" i="153"/>
  <c r="B21" i="153"/>
  <c r="E26" i="153"/>
  <c r="B26" i="153"/>
  <c r="E28" i="153"/>
  <c r="B28" i="153"/>
  <c r="B23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F8" i="153"/>
  <c r="E8" i="153"/>
  <c r="E34" i="153"/>
  <c r="B34" i="153"/>
  <c r="E39" i="153"/>
  <c r="B39" i="153"/>
  <c r="B32" i="153"/>
  <c r="G32" i="153"/>
  <c r="E32" i="153"/>
  <c r="H32" i="153"/>
  <c r="O6" i="154"/>
  <c r="E35" i="153"/>
  <c r="B35" i="153"/>
  <c r="E37" i="153"/>
  <c r="E38" i="153"/>
  <c r="C46" i="153"/>
  <c r="B38" i="153"/>
  <c r="B37" i="153"/>
  <c r="E40" i="153"/>
  <c r="B40" i="153"/>
  <c r="E42" i="153"/>
  <c r="B42" i="153"/>
  <c r="B33" i="153"/>
  <c r="G33" i="153"/>
  <c r="E33" i="153"/>
  <c r="H33" i="153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G39" i="153"/>
  <c r="H39" i="153"/>
  <c r="O48" i="154"/>
  <c r="G40" i="153"/>
  <c r="H40" i="153"/>
  <c r="O49" i="154"/>
  <c r="E41" i="153"/>
  <c r="B41" i="153"/>
  <c r="G41" i="153"/>
  <c r="H41" i="153"/>
  <c r="O50" i="154"/>
  <c r="G34" i="153"/>
  <c r="H34" i="153"/>
  <c r="G19" i="153"/>
  <c r="H19" i="153"/>
  <c r="O51" i="154"/>
  <c r="G35" i="153"/>
  <c r="H35" i="153"/>
  <c r="G20" i="153"/>
  <c r="H20" i="153"/>
  <c r="O52" i="154"/>
  <c r="E43" i="153"/>
  <c r="B43" i="153"/>
  <c r="B36" i="153"/>
  <c r="G36" i="153"/>
  <c r="E36" i="153"/>
  <c r="H36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G42" i="153"/>
  <c r="H42" i="153"/>
  <c r="O142" i="154"/>
  <c r="G43" i="153"/>
  <c r="H43" i="153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E23" i="153"/>
  <c r="H23" i="153"/>
  <c r="O215" i="154"/>
  <c r="O216" i="154"/>
  <c r="G38" i="153"/>
  <c r="H38" i="153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G37" i="153"/>
  <c r="H37" i="153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9" i="154"/>
  <c r="O360" i="154"/>
  <c r="B46" i="153"/>
  <c r="G46" i="153"/>
  <c r="E46" i="153"/>
  <c r="H46" i="153"/>
  <c r="R3" i="153"/>
  <c r="O361" i="154"/>
  <c r="P358" i="154"/>
  <c r="H359" i="154"/>
  <c r="K359" i="154"/>
  <c r="L359" i="154"/>
  <c r="M359" i="154"/>
  <c r="N359" i="154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F357" i="154"/>
  <c r="H357" i="154"/>
  <c r="K357" i="154"/>
  <c r="L357" i="154"/>
  <c r="M357" i="154"/>
  <c r="N357" i="154"/>
  <c r="P357" i="154"/>
  <c r="A361" i="154"/>
  <c r="A360" i="154"/>
  <c r="A359" i="154"/>
  <c r="A358" i="154"/>
  <c r="A357" i="154"/>
  <c r="I358" i="159"/>
  <c r="D358" i="159"/>
  <c r="J358" i="159"/>
  <c r="E358" i="159"/>
  <c r="F358" i="159"/>
  <c r="C358" i="159"/>
  <c r="H358" i="159"/>
  <c r="K358" i="159"/>
  <c r="L358" i="159"/>
  <c r="M358" i="159"/>
  <c r="N358" i="159"/>
  <c r="A2" i="158"/>
  <c r="I359" i="159"/>
  <c r="D359" i="159"/>
  <c r="J359" i="159"/>
  <c r="E359" i="159"/>
  <c r="F359" i="159"/>
  <c r="C359" i="159"/>
  <c r="I360" i="159"/>
  <c r="D360" i="159"/>
  <c r="J360" i="159"/>
  <c r="E360" i="159"/>
  <c r="F360" i="159"/>
  <c r="C360" i="159"/>
  <c r="I361" i="159"/>
  <c r="D361" i="159"/>
  <c r="J361" i="159"/>
  <c r="E361" i="159"/>
  <c r="F361" i="159"/>
  <c r="C361" i="159"/>
  <c r="I2" i="159"/>
  <c r="J2" i="159"/>
  <c r="D2" i="159"/>
  <c r="E2" i="159"/>
  <c r="C2" i="159"/>
  <c r="I3" i="159"/>
  <c r="J3" i="159"/>
  <c r="D3" i="159"/>
  <c r="E3" i="159"/>
  <c r="C3" i="159"/>
  <c r="I4" i="159"/>
  <c r="J4" i="159"/>
  <c r="D4" i="159"/>
  <c r="E4" i="159"/>
  <c r="C4" i="159"/>
  <c r="I5" i="159"/>
  <c r="J5" i="159"/>
  <c r="D5" i="159"/>
  <c r="E5" i="159"/>
  <c r="C5" i="159"/>
  <c r="I6" i="159"/>
  <c r="J6" i="159"/>
  <c r="D6" i="159"/>
  <c r="E6" i="159"/>
  <c r="C6" i="159"/>
  <c r="I7" i="159"/>
  <c r="J7" i="159"/>
  <c r="D7" i="159"/>
  <c r="E7" i="159"/>
  <c r="C7" i="159"/>
  <c r="I8" i="159"/>
  <c r="J8" i="159"/>
  <c r="D8" i="159"/>
  <c r="E8" i="159"/>
  <c r="C8" i="159"/>
  <c r="I9" i="159"/>
  <c r="J9" i="159"/>
  <c r="D9" i="159"/>
  <c r="E9" i="159"/>
  <c r="C9" i="159"/>
  <c r="I10" i="159"/>
  <c r="J10" i="159"/>
  <c r="D10" i="159"/>
  <c r="E10" i="159"/>
  <c r="C10" i="159"/>
  <c r="I11" i="159"/>
  <c r="J11" i="159"/>
  <c r="D11" i="159"/>
  <c r="E11" i="159"/>
  <c r="C11" i="159"/>
  <c r="I12" i="159"/>
  <c r="J12" i="159"/>
  <c r="D12" i="159"/>
  <c r="E12" i="159"/>
  <c r="C12" i="159"/>
  <c r="I13" i="159"/>
  <c r="J13" i="159"/>
  <c r="D13" i="159"/>
  <c r="E13" i="159"/>
  <c r="C13" i="159"/>
  <c r="I14" i="159"/>
  <c r="J14" i="159"/>
  <c r="D14" i="159"/>
  <c r="E14" i="159"/>
  <c r="C14" i="159"/>
  <c r="I15" i="159"/>
  <c r="J15" i="159"/>
  <c r="D15" i="159"/>
  <c r="E15" i="159"/>
  <c r="C15" i="159"/>
  <c r="I16" i="159"/>
  <c r="J16" i="159"/>
  <c r="D16" i="159"/>
  <c r="E16" i="159"/>
  <c r="C16" i="159"/>
  <c r="I17" i="159"/>
  <c r="J17" i="159"/>
  <c r="D17" i="159"/>
  <c r="E17" i="159"/>
  <c r="C17" i="159"/>
  <c r="I18" i="159"/>
  <c r="J18" i="159"/>
  <c r="D18" i="159"/>
  <c r="E18" i="159"/>
  <c r="C18" i="159"/>
  <c r="I19" i="159"/>
  <c r="J19" i="159"/>
  <c r="D19" i="159"/>
  <c r="E19" i="159"/>
  <c r="C19" i="159"/>
  <c r="I20" i="159"/>
  <c r="J20" i="159"/>
  <c r="D20" i="159"/>
  <c r="E20" i="159"/>
  <c r="C20" i="159"/>
  <c r="I21" i="159"/>
  <c r="J21" i="159"/>
  <c r="D21" i="159"/>
  <c r="E21" i="159"/>
  <c r="C21" i="159"/>
  <c r="I22" i="159"/>
  <c r="J22" i="159"/>
  <c r="D22" i="159"/>
  <c r="E22" i="159"/>
  <c r="C22" i="159"/>
  <c r="I23" i="159"/>
  <c r="J23" i="159"/>
  <c r="D23" i="159"/>
  <c r="E23" i="159"/>
  <c r="C23" i="159"/>
  <c r="I24" i="159"/>
  <c r="J24" i="159"/>
  <c r="D24" i="159"/>
  <c r="E24" i="159"/>
  <c r="C24" i="159"/>
  <c r="I25" i="159"/>
  <c r="J25" i="159"/>
  <c r="D25" i="159"/>
  <c r="E25" i="159"/>
  <c r="C25" i="159"/>
  <c r="I26" i="159"/>
  <c r="J26" i="159"/>
  <c r="D26" i="159"/>
  <c r="E26" i="159"/>
  <c r="C26" i="159"/>
  <c r="I27" i="159"/>
  <c r="J27" i="159"/>
  <c r="D27" i="159"/>
  <c r="E27" i="159"/>
  <c r="C27" i="159"/>
  <c r="I28" i="159"/>
  <c r="J28" i="159"/>
  <c r="D28" i="159"/>
  <c r="E28" i="159"/>
  <c r="C28" i="159"/>
  <c r="I29" i="159"/>
  <c r="J29" i="159"/>
  <c r="D29" i="159"/>
  <c r="E29" i="159"/>
  <c r="C29" i="159"/>
  <c r="I30" i="159"/>
  <c r="J30" i="159"/>
  <c r="D30" i="159"/>
  <c r="E30" i="159"/>
  <c r="C30" i="159"/>
  <c r="I31" i="159"/>
  <c r="J31" i="159"/>
  <c r="D31" i="159"/>
  <c r="E31" i="159"/>
  <c r="C31" i="159"/>
  <c r="I32" i="159"/>
  <c r="J32" i="159"/>
  <c r="D32" i="159"/>
  <c r="E32" i="159"/>
  <c r="C32" i="159"/>
  <c r="I33" i="159"/>
  <c r="J33" i="159"/>
  <c r="D33" i="159"/>
  <c r="E33" i="159"/>
  <c r="C33" i="159"/>
  <c r="I34" i="159"/>
  <c r="J34" i="159"/>
  <c r="D34" i="159"/>
  <c r="E34" i="159"/>
  <c r="C34" i="159"/>
  <c r="I35" i="159"/>
  <c r="J35" i="159"/>
  <c r="D35" i="159"/>
  <c r="E35" i="159"/>
  <c r="C35" i="159"/>
  <c r="I36" i="159"/>
  <c r="J36" i="159"/>
  <c r="D36" i="159"/>
  <c r="E36" i="159"/>
  <c r="C36" i="159"/>
  <c r="I37" i="159"/>
  <c r="J37" i="159"/>
  <c r="D37" i="159"/>
  <c r="E37" i="159"/>
  <c r="C37" i="159"/>
  <c r="I38" i="159"/>
  <c r="J38" i="159"/>
  <c r="D38" i="159"/>
  <c r="E38" i="159"/>
  <c r="C38" i="159"/>
  <c r="I39" i="159"/>
  <c r="J39" i="159"/>
  <c r="D39" i="159"/>
  <c r="E39" i="159"/>
  <c r="C39" i="159"/>
  <c r="I40" i="159"/>
  <c r="J40" i="159"/>
  <c r="D40" i="159"/>
  <c r="E40" i="159"/>
  <c r="C40" i="159"/>
  <c r="I41" i="159"/>
  <c r="J41" i="159"/>
  <c r="D41" i="159"/>
  <c r="E41" i="159"/>
  <c r="C41" i="159"/>
  <c r="I42" i="159"/>
  <c r="D42" i="159"/>
  <c r="J42" i="159"/>
  <c r="E42" i="159"/>
  <c r="C42" i="159"/>
  <c r="I43" i="159"/>
  <c r="D43" i="159"/>
  <c r="J43" i="159"/>
  <c r="E43" i="159"/>
  <c r="C43" i="159"/>
  <c r="I44" i="159"/>
  <c r="D44" i="159"/>
  <c r="J44" i="159"/>
  <c r="E44" i="159"/>
  <c r="C44" i="159"/>
  <c r="I45" i="159"/>
  <c r="D45" i="159"/>
  <c r="J45" i="159"/>
  <c r="E45" i="159"/>
  <c r="C45" i="159"/>
  <c r="I46" i="159"/>
  <c r="D46" i="159"/>
  <c r="J46" i="159"/>
  <c r="E46" i="159"/>
  <c r="C46" i="159"/>
  <c r="I47" i="159"/>
  <c r="D47" i="159"/>
  <c r="J47" i="159"/>
  <c r="E47" i="159"/>
  <c r="C47" i="159"/>
  <c r="I48" i="159"/>
  <c r="D48" i="159"/>
  <c r="J48" i="159"/>
  <c r="E48" i="159"/>
  <c r="C48" i="159"/>
  <c r="I49" i="159"/>
  <c r="D49" i="159"/>
  <c r="J49" i="159"/>
  <c r="E49" i="159"/>
  <c r="C49" i="159"/>
  <c r="I50" i="159"/>
  <c r="D50" i="159"/>
  <c r="J50" i="159"/>
  <c r="E50" i="159"/>
  <c r="C50" i="159"/>
  <c r="I51" i="159"/>
  <c r="D51" i="159"/>
  <c r="J51" i="159"/>
  <c r="E51" i="159"/>
  <c r="C51" i="159"/>
  <c r="I52" i="159"/>
  <c r="D52" i="159"/>
  <c r="J52" i="159"/>
  <c r="E52" i="159"/>
  <c r="C52" i="159"/>
  <c r="I53" i="159"/>
  <c r="D53" i="159"/>
  <c r="J53" i="159"/>
  <c r="E53" i="159"/>
  <c r="C53" i="159"/>
  <c r="I54" i="159"/>
  <c r="D54" i="159"/>
  <c r="J54" i="159"/>
  <c r="E54" i="159"/>
  <c r="C54" i="159"/>
  <c r="I55" i="159"/>
  <c r="D55" i="159"/>
  <c r="J55" i="159"/>
  <c r="E55" i="159"/>
  <c r="C55" i="159"/>
  <c r="I56" i="159"/>
  <c r="D56" i="159"/>
  <c r="J56" i="159"/>
  <c r="E56" i="159"/>
  <c r="C56" i="159"/>
  <c r="I57" i="159"/>
  <c r="D57" i="159"/>
  <c r="J57" i="159"/>
  <c r="E57" i="159"/>
  <c r="C57" i="159"/>
  <c r="I58" i="159"/>
  <c r="D58" i="159"/>
  <c r="J58" i="159"/>
  <c r="E58" i="159"/>
  <c r="C58" i="159"/>
  <c r="I59" i="159"/>
  <c r="D59" i="159"/>
  <c r="J59" i="159"/>
  <c r="E59" i="159"/>
  <c r="C59" i="159"/>
  <c r="I60" i="159"/>
  <c r="D60" i="159"/>
  <c r="J60" i="159"/>
  <c r="E60" i="159"/>
  <c r="C60" i="159"/>
  <c r="I61" i="159"/>
  <c r="D61" i="159"/>
  <c r="J61" i="159"/>
  <c r="E61" i="159"/>
  <c r="C61" i="159"/>
  <c r="I62" i="159"/>
  <c r="D62" i="159"/>
  <c r="J62" i="159"/>
  <c r="E62" i="159"/>
  <c r="C62" i="159"/>
  <c r="I63" i="159"/>
  <c r="D63" i="159"/>
  <c r="J63" i="159"/>
  <c r="E63" i="159"/>
  <c r="C63" i="159"/>
  <c r="I64" i="159"/>
  <c r="D64" i="159"/>
  <c r="J64" i="159"/>
  <c r="E64" i="159"/>
  <c r="C64" i="159"/>
  <c r="I65" i="159"/>
  <c r="D65" i="159"/>
  <c r="J65" i="159"/>
  <c r="E65" i="159"/>
  <c r="C65" i="159"/>
  <c r="I66" i="159"/>
  <c r="D66" i="159"/>
  <c r="J66" i="159"/>
  <c r="E66" i="159"/>
  <c r="C66" i="159"/>
  <c r="I67" i="159"/>
  <c r="D67" i="159"/>
  <c r="J67" i="159"/>
  <c r="E67" i="159"/>
  <c r="C67" i="159"/>
  <c r="I68" i="159"/>
  <c r="D68" i="159"/>
  <c r="J68" i="159"/>
  <c r="E68" i="159"/>
  <c r="C68" i="159"/>
  <c r="I69" i="159"/>
  <c r="D69" i="159"/>
  <c r="J69" i="159"/>
  <c r="E69" i="159"/>
  <c r="C69" i="159"/>
  <c r="I70" i="159"/>
  <c r="D70" i="159"/>
  <c r="J70" i="159"/>
  <c r="E70" i="159"/>
  <c r="C70" i="159"/>
  <c r="I71" i="159"/>
  <c r="D71" i="159"/>
  <c r="J71" i="159"/>
  <c r="E71" i="159"/>
  <c r="C71" i="159"/>
  <c r="I72" i="159"/>
  <c r="D72" i="159"/>
  <c r="J72" i="159"/>
  <c r="E72" i="159"/>
  <c r="C72" i="159"/>
  <c r="I73" i="159"/>
  <c r="D73" i="159"/>
  <c r="J73" i="159"/>
  <c r="E73" i="159"/>
  <c r="C73" i="159"/>
  <c r="I74" i="159"/>
  <c r="D74" i="159"/>
  <c r="J74" i="159"/>
  <c r="E74" i="159"/>
  <c r="C74" i="159"/>
  <c r="I75" i="159"/>
  <c r="D75" i="159"/>
  <c r="J75" i="159"/>
  <c r="E75" i="159"/>
  <c r="C75" i="159"/>
  <c r="I76" i="159"/>
  <c r="D76" i="159"/>
  <c r="J76" i="159"/>
  <c r="E76" i="159"/>
  <c r="C76" i="159"/>
  <c r="I77" i="159"/>
  <c r="D77" i="159"/>
  <c r="J77" i="159"/>
  <c r="E77" i="159"/>
  <c r="C77" i="159"/>
  <c r="I78" i="159"/>
  <c r="D78" i="159"/>
  <c r="J78" i="159"/>
  <c r="E78" i="159"/>
  <c r="C78" i="159"/>
  <c r="I79" i="159"/>
  <c r="D79" i="159"/>
  <c r="J79" i="159"/>
  <c r="E79" i="159"/>
  <c r="C79" i="159"/>
  <c r="I80" i="159"/>
  <c r="D80" i="159"/>
  <c r="J80" i="159"/>
  <c r="E80" i="159"/>
  <c r="C80" i="159"/>
  <c r="I81" i="159"/>
  <c r="D81" i="159"/>
  <c r="J81" i="159"/>
  <c r="E81" i="159"/>
  <c r="C81" i="159"/>
  <c r="I82" i="159"/>
  <c r="D82" i="159"/>
  <c r="J82" i="159"/>
  <c r="E82" i="159"/>
  <c r="C82" i="159"/>
  <c r="I83" i="159"/>
  <c r="D83" i="159"/>
  <c r="J83" i="159"/>
  <c r="E83" i="159"/>
  <c r="C83" i="159"/>
  <c r="I84" i="159"/>
  <c r="D84" i="159"/>
  <c r="J84" i="159"/>
  <c r="E84" i="159"/>
  <c r="C84" i="159"/>
  <c r="I85" i="159"/>
  <c r="D85" i="159"/>
  <c r="J85" i="159"/>
  <c r="E85" i="159"/>
  <c r="C85" i="159"/>
  <c r="I86" i="159"/>
  <c r="D86" i="159"/>
  <c r="J86" i="159"/>
  <c r="E86" i="159"/>
  <c r="C86" i="159"/>
  <c r="I87" i="159"/>
  <c r="D87" i="159"/>
  <c r="J87" i="159"/>
  <c r="E87" i="159"/>
  <c r="C87" i="159"/>
  <c r="I88" i="159"/>
  <c r="D88" i="159"/>
  <c r="J88" i="159"/>
  <c r="E88" i="159"/>
  <c r="C88" i="159"/>
  <c r="I89" i="159"/>
  <c r="D89" i="159"/>
  <c r="J89" i="159"/>
  <c r="E89" i="159"/>
  <c r="C89" i="159"/>
  <c r="I90" i="159"/>
  <c r="D90" i="159"/>
  <c r="J90" i="159"/>
  <c r="E90" i="159"/>
  <c r="C90" i="159"/>
  <c r="I91" i="159"/>
  <c r="D91" i="159"/>
  <c r="J91" i="159"/>
  <c r="E91" i="159"/>
  <c r="C91" i="159"/>
  <c r="I92" i="159"/>
  <c r="D92" i="159"/>
  <c r="J92" i="159"/>
  <c r="E92" i="159"/>
  <c r="C92" i="159"/>
  <c r="I93" i="159"/>
  <c r="D93" i="159"/>
  <c r="J93" i="159"/>
  <c r="E93" i="159"/>
  <c r="C93" i="159"/>
  <c r="I94" i="159"/>
  <c r="D94" i="159"/>
  <c r="J94" i="159"/>
  <c r="E94" i="159"/>
  <c r="C94" i="159"/>
  <c r="I95" i="159"/>
  <c r="D95" i="159"/>
  <c r="J95" i="159"/>
  <c r="E95" i="159"/>
  <c r="C95" i="159"/>
  <c r="I96" i="159"/>
  <c r="D96" i="159"/>
  <c r="J96" i="159"/>
  <c r="E96" i="159"/>
  <c r="C96" i="159"/>
  <c r="I97" i="159"/>
  <c r="D97" i="159"/>
  <c r="J97" i="159"/>
  <c r="E97" i="159"/>
  <c r="C97" i="159"/>
  <c r="I98" i="159"/>
  <c r="D98" i="159"/>
  <c r="J98" i="159"/>
  <c r="E98" i="159"/>
  <c r="C98" i="159"/>
  <c r="I99" i="159"/>
  <c r="D99" i="159"/>
  <c r="J99" i="159"/>
  <c r="E99" i="159"/>
  <c r="C99" i="159"/>
  <c r="I100" i="159"/>
  <c r="D100" i="159"/>
  <c r="J100" i="159"/>
  <c r="E100" i="159"/>
  <c r="C100" i="159"/>
  <c r="I101" i="159"/>
  <c r="D101" i="159"/>
  <c r="J101" i="159"/>
  <c r="E101" i="159"/>
  <c r="C101" i="159"/>
  <c r="I102" i="159"/>
  <c r="D102" i="159"/>
  <c r="J102" i="159"/>
  <c r="E102" i="159"/>
  <c r="C102" i="159"/>
  <c r="I103" i="159"/>
  <c r="D103" i="159"/>
  <c r="J103" i="159"/>
  <c r="E103" i="159"/>
  <c r="C103" i="159"/>
  <c r="I104" i="159"/>
  <c r="D104" i="159"/>
  <c r="J104" i="159"/>
  <c r="E104" i="159"/>
  <c r="C104" i="159"/>
  <c r="I105" i="159"/>
  <c r="D105" i="159"/>
  <c r="J105" i="159"/>
  <c r="E105" i="159"/>
  <c r="C105" i="159"/>
  <c r="I106" i="159"/>
  <c r="D106" i="159"/>
  <c r="J106" i="159"/>
  <c r="E106" i="159"/>
  <c r="C106" i="159"/>
  <c r="I107" i="159"/>
  <c r="D107" i="159"/>
  <c r="J107" i="159"/>
  <c r="E107" i="159"/>
  <c r="C107" i="159"/>
  <c r="I108" i="159"/>
  <c r="D108" i="159"/>
  <c r="J108" i="159"/>
  <c r="E108" i="159"/>
  <c r="C108" i="159"/>
  <c r="I109" i="159"/>
  <c r="D109" i="159"/>
  <c r="J109" i="159"/>
  <c r="E109" i="159"/>
  <c r="C109" i="159"/>
  <c r="I110" i="159"/>
  <c r="D110" i="159"/>
  <c r="J110" i="159"/>
  <c r="E110" i="159"/>
  <c r="C110" i="159"/>
  <c r="I111" i="159"/>
  <c r="D111" i="159"/>
  <c r="J111" i="159"/>
  <c r="E111" i="159"/>
  <c r="C111" i="159"/>
  <c r="I112" i="159"/>
  <c r="D112" i="159"/>
  <c r="J112" i="159"/>
  <c r="E112" i="159"/>
  <c r="C112" i="159"/>
  <c r="I113" i="159"/>
  <c r="D113" i="159"/>
  <c r="J113" i="159"/>
  <c r="E113" i="159"/>
  <c r="C113" i="159"/>
  <c r="I114" i="159"/>
  <c r="D114" i="159"/>
  <c r="J114" i="159"/>
  <c r="E114" i="159"/>
  <c r="C114" i="159"/>
  <c r="I115" i="159"/>
  <c r="D115" i="159"/>
  <c r="J115" i="159"/>
  <c r="E115" i="159"/>
  <c r="C115" i="159"/>
  <c r="I116" i="159"/>
  <c r="D116" i="159"/>
  <c r="J116" i="159"/>
  <c r="E116" i="159"/>
  <c r="C116" i="159"/>
  <c r="I117" i="159"/>
  <c r="D117" i="159"/>
  <c r="J117" i="159"/>
  <c r="E117" i="159"/>
  <c r="C117" i="159"/>
  <c r="I118" i="159"/>
  <c r="D118" i="159"/>
  <c r="J118" i="159"/>
  <c r="E118" i="159"/>
  <c r="C118" i="159"/>
  <c r="I119" i="159"/>
  <c r="D119" i="159"/>
  <c r="J119" i="159"/>
  <c r="E119" i="159"/>
  <c r="C119" i="159"/>
  <c r="I120" i="159"/>
  <c r="D120" i="159"/>
  <c r="J120" i="159"/>
  <c r="E120" i="159"/>
  <c r="C120" i="159"/>
  <c r="I121" i="159"/>
  <c r="D121" i="159"/>
  <c r="J121" i="159"/>
  <c r="E121" i="159"/>
  <c r="C121" i="159"/>
  <c r="I122" i="159"/>
  <c r="D122" i="159"/>
  <c r="J122" i="159"/>
  <c r="E122" i="159"/>
  <c r="C122" i="159"/>
  <c r="I123" i="159"/>
  <c r="D123" i="159"/>
  <c r="J123" i="159"/>
  <c r="E123" i="159"/>
  <c r="C123" i="159"/>
  <c r="I124" i="159"/>
  <c r="D124" i="159"/>
  <c r="J124" i="159"/>
  <c r="E124" i="159"/>
  <c r="C124" i="159"/>
  <c r="I125" i="159"/>
  <c r="D125" i="159"/>
  <c r="J125" i="159"/>
  <c r="E125" i="159"/>
  <c r="C125" i="159"/>
  <c r="I126" i="159"/>
  <c r="D126" i="159"/>
  <c r="J126" i="159"/>
  <c r="E126" i="159"/>
  <c r="C126" i="159"/>
  <c r="I127" i="159"/>
  <c r="D127" i="159"/>
  <c r="J127" i="159"/>
  <c r="E127" i="159"/>
  <c r="C127" i="159"/>
  <c r="I128" i="159"/>
  <c r="D128" i="159"/>
  <c r="J128" i="159"/>
  <c r="E128" i="159"/>
  <c r="C128" i="159"/>
  <c r="I129" i="159"/>
  <c r="D129" i="159"/>
  <c r="J129" i="159"/>
  <c r="E129" i="159"/>
  <c r="C129" i="159"/>
  <c r="I130" i="159"/>
  <c r="D130" i="159"/>
  <c r="J130" i="159"/>
  <c r="E130" i="159"/>
  <c r="C130" i="159"/>
  <c r="I131" i="159"/>
  <c r="D131" i="159"/>
  <c r="J131" i="159"/>
  <c r="E131" i="159"/>
  <c r="C131" i="159"/>
  <c r="I132" i="159"/>
  <c r="D132" i="159"/>
  <c r="J132" i="159"/>
  <c r="E132" i="159"/>
  <c r="C132" i="159"/>
  <c r="I133" i="159"/>
  <c r="D133" i="159"/>
  <c r="J133" i="159"/>
  <c r="E133" i="159"/>
  <c r="C133" i="159"/>
  <c r="I134" i="159"/>
  <c r="D134" i="159"/>
  <c r="J134" i="159"/>
  <c r="E134" i="159"/>
  <c r="C134" i="159"/>
  <c r="I135" i="159"/>
  <c r="D135" i="159"/>
  <c r="J135" i="159"/>
  <c r="E135" i="159"/>
  <c r="C135" i="159"/>
  <c r="I136" i="159"/>
  <c r="D136" i="159"/>
  <c r="J136" i="159"/>
  <c r="E136" i="159"/>
  <c r="C136" i="159"/>
  <c r="I137" i="159"/>
  <c r="D137" i="159"/>
  <c r="J137" i="159"/>
  <c r="E137" i="159"/>
  <c r="C137" i="159"/>
  <c r="I138" i="159"/>
  <c r="D138" i="159"/>
  <c r="J138" i="159"/>
  <c r="E138" i="159"/>
  <c r="C138" i="159"/>
  <c r="I139" i="159"/>
  <c r="D139" i="159"/>
  <c r="J139" i="159"/>
  <c r="E139" i="159"/>
  <c r="C139" i="159"/>
  <c r="I140" i="159"/>
  <c r="D140" i="159"/>
  <c r="J140" i="159"/>
  <c r="E140" i="159"/>
  <c r="C140" i="159"/>
  <c r="I141" i="159"/>
  <c r="D141" i="159"/>
  <c r="J141" i="159"/>
  <c r="E141" i="159"/>
  <c r="C141" i="159"/>
  <c r="I142" i="159"/>
  <c r="D142" i="159"/>
  <c r="J142" i="159"/>
  <c r="E142" i="159"/>
  <c r="C142" i="159"/>
  <c r="I143" i="159"/>
  <c r="D143" i="159"/>
  <c r="J143" i="159"/>
  <c r="E143" i="159"/>
  <c r="C143" i="159"/>
  <c r="I144" i="159"/>
  <c r="D144" i="159"/>
  <c r="J144" i="159"/>
  <c r="E144" i="159"/>
  <c r="C144" i="159"/>
  <c r="I145" i="159"/>
  <c r="D145" i="159"/>
  <c r="J145" i="159"/>
  <c r="E145" i="159"/>
  <c r="C145" i="159"/>
  <c r="I146" i="159"/>
  <c r="D146" i="159"/>
  <c r="J146" i="159"/>
  <c r="E146" i="159"/>
  <c r="C146" i="159"/>
  <c r="I147" i="159"/>
  <c r="D147" i="159"/>
  <c r="J147" i="159"/>
  <c r="E147" i="159"/>
  <c r="C147" i="159"/>
  <c r="I148" i="159"/>
  <c r="D148" i="159"/>
  <c r="J148" i="159"/>
  <c r="E148" i="159"/>
  <c r="C148" i="159"/>
  <c r="I149" i="159"/>
  <c r="D149" i="159"/>
  <c r="J149" i="159"/>
  <c r="E149" i="159"/>
  <c r="C149" i="159"/>
  <c r="I150" i="159"/>
  <c r="D150" i="159"/>
  <c r="J150" i="159"/>
  <c r="E150" i="159"/>
  <c r="C150" i="159"/>
  <c r="I151" i="159"/>
  <c r="D151" i="159"/>
  <c r="J151" i="159"/>
  <c r="E151" i="159"/>
  <c r="C151" i="159"/>
  <c r="I152" i="159"/>
  <c r="D152" i="159"/>
  <c r="J152" i="159"/>
  <c r="E152" i="159"/>
  <c r="C152" i="159"/>
  <c r="I153" i="159"/>
  <c r="D153" i="159"/>
  <c r="J153" i="159"/>
  <c r="E153" i="159"/>
  <c r="C153" i="159"/>
  <c r="I154" i="159"/>
  <c r="D154" i="159"/>
  <c r="J154" i="159"/>
  <c r="E154" i="159"/>
  <c r="C154" i="159"/>
  <c r="I155" i="159"/>
  <c r="D155" i="159"/>
  <c r="J155" i="159"/>
  <c r="E155" i="159"/>
  <c r="C155" i="159"/>
  <c r="I156" i="159"/>
  <c r="D156" i="159"/>
  <c r="J156" i="159"/>
  <c r="E156" i="159"/>
  <c r="C156" i="159"/>
  <c r="I157" i="159"/>
  <c r="D157" i="159"/>
  <c r="J157" i="159"/>
  <c r="E157" i="159"/>
  <c r="C157" i="159"/>
  <c r="I158" i="159"/>
  <c r="D158" i="159"/>
  <c r="J158" i="159"/>
  <c r="E158" i="159"/>
  <c r="C158" i="159"/>
  <c r="I159" i="159"/>
  <c r="D159" i="159"/>
  <c r="J159" i="159"/>
  <c r="E159" i="159"/>
  <c r="C159" i="159"/>
  <c r="I160" i="159"/>
  <c r="D160" i="159"/>
  <c r="J160" i="159"/>
  <c r="E160" i="159"/>
  <c r="C160" i="159"/>
  <c r="I161" i="159"/>
  <c r="D161" i="159"/>
  <c r="J161" i="159"/>
  <c r="E161" i="159"/>
  <c r="C161" i="159"/>
  <c r="I162" i="159"/>
  <c r="D162" i="159"/>
  <c r="J162" i="159"/>
  <c r="E162" i="159"/>
  <c r="C162" i="159"/>
  <c r="I163" i="159"/>
  <c r="D163" i="159"/>
  <c r="J163" i="159"/>
  <c r="E163" i="159"/>
  <c r="C163" i="159"/>
  <c r="I164" i="159"/>
  <c r="D164" i="159"/>
  <c r="J164" i="159"/>
  <c r="E164" i="159"/>
  <c r="C164" i="159"/>
  <c r="I165" i="159"/>
  <c r="D165" i="159"/>
  <c r="J165" i="159"/>
  <c r="E165" i="159"/>
  <c r="C165" i="159"/>
  <c r="I166" i="159"/>
  <c r="D166" i="159"/>
  <c r="J166" i="159"/>
  <c r="E166" i="159"/>
  <c r="C166" i="159"/>
  <c r="I167" i="159"/>
  <c r="D167" i="159"/>
  <c r="J167" i="159"/>
  <c r="E167" i="159"/>
  <c r="C167" i="159"/>
  <c r="I168" i="159"/>
  <c r="D168" i="159"/>
  <c r="J168" i="159"/>
  <c r="E168" i="159"/>
  <c r="C168" i="159"/>
  <c r="I169" i="159"/>
  <c r="D169" i="159"/>
  <c r="J169" i="159"/>
  <c r="E169" i="159"/>
  <c r="C169" i="159"/>
  <c r="I170" i="159"/>
  <c r="D170" i="159"/>
  <c r="J170" i="159"/>
  <c r="E170" i="159"/>
  <c r="C170" i="159"/>
  <c r="I171" i="159"/>
  <c r="D171" i="159"/>
  <c r="J171" i="159"/>
  <c r="E171" i="159"/>
  <c r="C171" i="159"/>
  <c r="I172" i="159"/>
  <c r="D172" i="159"/>
  <c r="J172" i="159"/>
  <c r="E172" i="159"/>
  <c r="C172" i="159"/>
  <c r="I173" i="159"/>
  <c r="D173" i="159"/>
  <c r="J173" i="159"/>
  <c r="E173" i="159"/>
  <c r="C173" i="159"/>
  <c r="I174" i="159"/>
  <c r="D174" i="159"/>
  <c r="J174" i="159"/>
  <c r="E174" i="159"/>
  <c r="C174" i="159"/>
  <c r="I175" i="159"/>
  <c r="D175" i="159"/>
  <c r="J175" i="159"/>
  <c r="E175" i="159"/>
  <c r="C175" i="159"/>
  <c r="I176" i="159"/>
  <c r="D176" i="159"/>
  <c r="J176" i="159"/>
  <c r="E176" i="159"/>
  <c r="C176" i="159"/>
  <c r="I177" i="159"/>
  <c r="D177" i="159"/>
  <c r="J177" i="159"/>
  <c r="E177" i="159"/>
  <c r="C177" i="159"/>
  <c r="I178" i="159"/>
  <c r="D178" i="159"/>
  <c r="J178" i="159"/>
  <c r="E178" i="159"/>
  <c r="C178" i="159"/>
  <c r="I179" i="159"/>
  <c r="D179" i="159"/>
  <c r="J179" i="159"/>
  <c r="E179" i="159"/>
  <c r="C179" i="159"/>
  <c r="I180" i="159"/>
  <c r="D180" i="159"/>
  <c r="J180" i="159"/>
  <c r="E180" i="159"/>
  <c r="C180" i="159"/>
  <c r="I181" i="159"/>
  <c r="D181" i="159"/>
  <c r="J181" i="159"/>
  <c r="E181" i="159"/>
  <c r="C181" i="159"/>
  <c r="I182" i="159"/>
  <c r="D182" i="159"/>
  <c r="J182" i="159"/>
  <c r="E182" i="159"/>
  <c r="C182" i="159"/>
  <c r="I183" i="159"/>
  <c r="D183" i="159"/>
  <c r="J183" i="159"/>
  <c r="E183" i="159"/>
  <c r="C183" i="159"/>
  <c r="I184" i="159"/>
  <c r="D184" i="159"/>
  <c r="J184" i="159"/>
  <c r="E184" i="159"/>
  <c r="C184" i="159"/>
  <c r="I185" i="159"/>
  <c r="D185" i="159"/>
  <c r="J185" i="159"/>
  <c r="E185" i="159"/>
  <c r="C185" i="159"/>
  <c r="I186" i="159"/>
  <c r="D186" i="159"/>
  <c r="J186" i="159"/>
  <c r="E186" i="159"/>
  <c r="C186" i="159"/>
  <c r="I187" i="159"/>
  <c r="D187" i="159"/>
  <c r="J187" i="159"/>
  <c r="E187" i="159"/>
  <c r="C187" i="159"/>
  <c r="I188" i="159"/>
  <c r="D188" i="159"/>
  <c r="J188" i="159"/>
  <c r="E188" i="159"/>
  <c r="C188" i="159"/>
  <c r="I189" i="159"/>
  <c r="D189" i="159"/>
  <c r="J189" i="159"/>
  <c r="E189" i="159"/>
  <c r="C189" i="159"/>
  <c r="I190" i="159"/>
  <c r="D190" i="159"/>
  <c r="J190" i="159"/>
  <c r="E190" i="159"/>
  <c r="C190" i="159"/>
  <c r="I191" i="159"/>
  <c r="D191" i="159"/>
  <c r="J191" i="159"/>
  <c r="E191" i="159"/>
  <c r="C191" i="159"/>
  <c r="I192" i="159"/>
  <c r="D192" i="159"/>
  <c r="J192" i="159"/>
  <c r="E192" i="159"/>
  <c r="C192" i="159"/>
  <c r="I193" i="159"/>
  <c r="D193" i="159"/>
  <c r="J193" i="159"/>
  <c r="E193" i="159"/>
  <c r="C193" i="159"/>
  <c r="I194" i="159"/>
  <c r="D194" i="159"/>
  <c r="J194" i="159"/>
  <c r="E194" i="159"/>
  <c r="C194" i="159"/>
  <c r="I195" i="159"/>
  <c r="D195" i="159"/>
  <c r="J195" i="159"/>
  <c r="E195" i="159"/>
  <c r="C195" i="159"/>
  <c r="I196" i="159"/>
  <c r="D196" i="159"/>
  <c r="J196" i="159"/>
  <c r="E196" i="159"/>
  <c r="C196" i="159"/>
  <c r="I197" i="159"/>
  <c r="D197" i="159"/>
  <c r="J197" i="159"/>
  <c r="E197" i="159"/>
  <c r="C197" i="159"/>
  <c r="I198" i="159"/>
  <c r="D198" i="159"/>
  <c r="J198" i="159"/>
  <c r="E198" i="159"/>
  <c r="C198" i="159"/>
  <c r="I199" i="159"/>
  <c r="D199" i="159"/>
  <c r="J199" i="159"/>
  <c r="E199" i="159"/>
  <c r="C199" i="159"/>
  <c r="I200" i="159"/>
  <c r="D200" i="159"/>
  <c r="J200" i="159"/>
  <c r="E200" i="159"/>
  <c r="C200" i="159"/>
  <c r="I201" i="159"/>
  <c r="D201" i="159"/>
  <c r="J201" i="159"/>
  <c r="E201" i="159"/>
  <c r="C201" i="159"/>
  <c r="I202" i="159"/>
  <c r="D202" i="159"/>
  <c r="J202" i="159"/>
  <c r="E202" i="159"/>
  <c r="C202" i="159"/>
  <c r="I203" i="159"/>
  <c r="D203" i="159"/>
  <c r="J203" i="159"/>
  <c r="E203" i="159"/>
  <c r="C203" i="159"/>
  <c r="I204" i="159"/>
  <c r="D204" i="159"/>
  <c r="J204" i="159"/>
  <c r="E204" i="159"/>
  <c r="C204" i="159"/>
  <c r="I205" i="159"/>
  <c r="D205" i="159"/>
  <c r="J205" i="159"/>
  <c r="E205" i="159"/>
  <c r="C205" i="159"/>
  <c r="I206" i="159"/>
  <c r="D206" i="159"/>
  <c r="J206" i="159"/>
  <c r="E206" i="159"/>
  <c r="C206" i="159"/>
  <c r="I207" i="159"/>
  <c r="D207" i="159"/>
  <c r="J207" i="159"/>
  <c r="E207" i="159"/>
  <c r="C207" i="159"/>
  <c r="I208" i="159"/>
  <c r="D208" i="159"/>
  <c r="J208" i="159"/>
  <c r="E208" i="159"/>
  <c r="C208" i="159"/>
  <c r="I209" i="159"/>
  <c r="D209" i="159"/>
  <c r="J209" i="159"/>
  <c r="E209" i="159"/>
  <c r="C209" i="159"/>
  <c r="I210" i="159"/>
  <c r="D210" i="159"/>
  <c r="J210" i="159"/>
  <c r="E210" i="159"/>
  <c r="C210" i="159"/>
  <c r="I211" i="159"/>
  <c r="D211" i="159"/>
  <c r="J211" i="159"/>
  <c r="E211" i="159"/>
  <c r="C211" i="159"/>
  <c r="I212" i="159"/>
  <c r="D212" i="159"/>
  <c r="J212" i="159"/>
  <c r="E212" i="159"/>
  <c r="C212" i="159"/>
  <c r="I213" i="159"/>
  <c r="D213" i="159"/>
  <c r="J213" i="159"/>
  <c r="E213" i="159"/>
  <c r="C213" i="159"/>
  <c r="I214" i="159"/>
  <c r="D214" i="159"/>
  <c r="J214" i="159"/>
  <c r="E214" i="159"/>
  <c r="C214" i="159"/>
  <c r="I215" i="159"/>
  <c r="J215" i="159"/>
  <c r="D215" i="159"/>
  <c r="E215" i="159"/>
  <c r="C215" i="159"/>
  <c r="I216" i="159"/>
  <c r="J216" i="159"/>
  <c r="D216" i="159"/>
  <c r="E216" i="159"/>
  <c r="C216" i="159"/>
  <c r="I217" i="159"/>
  <c r="J217" i="159"/>
  <c r="D217" i="159"/>
  <c r="E217" i="159"/>
  <c r="C217" i="159"/>
  <c r="I218" i="159"/>
  <c r="J218" i="159"/>
  <c r="D218" i="159"/>
  <c r="E218" i="159"/>
  <c r="C218" i="159"/>
  <c r="I219" i="159"/>
  <c r="J219" i="159"/>
  <c r="D219" i="159"/>
  <c r="E219" i="159"/>
  <c r="C219" i="159"/>
  <c r="I220" i="159"/>
  <c r="J220" i="159"/>
  <c r="D220" i="159"/>
  <c r="E220" i="159"/>
  <c r="C220" i="159"/>
  <c r="I221" i="159"/>
  <c r="D221" i="159"/>
  <c r="J221" i="159"/>
  <c r="E221" i="159"/>
  <c r="C221" i="159"/>
  <c r="I222" i="159"/>
  <c r="D222" i="159"/>
  <c r="J222" i="159"/>
  <c r="E222" i="159"/>
  <c r="C222" i="159"/>
  <c r="I223" i="159"/>
  <c r="D223" i="159"/>
  <c r="J223" i="159"/>
  <c r="E223" i="159"/>
  <c r="C223" i="159"/>
  <c r="I224" i="159"/>
  <c r="D224" i="159"/>
  <c r="J224" i="159"/>
  <c r="E224" i="159"/>
  <c r="C224" i="159"/>
  <c r="I225" i="159"/>
  <c r="D225" i="159"/>
  <c r="J225" i="159"/>
  <c r="E225" i="159"/>
  <c r="C225" i="159"/>
  <c r="I226" i="159"/>
  <c r="D226" i="159"/>
  <c r="J226" i="159"/>
  <c r="E226" i="159"/>
  <c r="C226" i="159"/>
  <c r="I227" i="159"/>
  <c r="D227" i="159"/>
  <c r="J227" i="159"/>
  <c r="E227" i="159"/>
  <c r="C227" i="159"/>
  <c r="I228" i="159"/>
  <c r="D228" i="159"/>
  <c r="J228" i="159"/>
  <c r="E228" i="159"/>
  <c r="C228" i="159"/>
  <c r="I229" i="159"/>
  <c r="D229" i="159"/>
  <c r="J229" i="159"/>
  <c r="E229" i="159"/>
  <c r="C229" i="159"/>
  <c r="I230" i="159"/>
  <c r="D230" i="159"/>
  <c r="J230" i="159"/>
  <c r="E230" i="159"/>
  <c r="C230" i="159"/>
  <c r="I231" i="159"/>
  <c r="D231" i="159"/>
  <c r="J231" i="159"/>
  <c r="E231" i="159"/>
  <c r="C231" i="159"/>
  <c r="I232" i="159"/>
  <c r="D232" i="159"/>
  <c r="J232" i="159"/>
  <c r="E232" i="159"/>
  <c r="C232" i="159"/>
  <c r="I233" i="159"/>
  <c r="D233" i="159"/>
  <c r="J233" i="159"/>
  <c r="E233" i="159"/>
  <c r="C233" i="159"/>
  <c r="I234" i="159"/>
  <c r="D234" i="159"/>
  <c r="J234" i="159"/>
  <c r="E234" i="159"/>
  <c r="C234" i="159"/>
  <c r="I235" i="159"/>
  <c r="D235" i="159"/>
  <c r="J235" i="159"/>
  <c r="E235" i="159"/>
  <c r="C235" i="159"/>
  <c r="I236" i="159"/>
  <c r="D236" i="159"/>
  <c r="J236" i="159"/>
  <c r="E236" i="159"/>
  <c r="C236" i="159"/>
  <c r="I237" i="159"/>
  <c r="D237" i="159"/>
  <c r="J237" i="159"/>
  <c r="E237" i="159"/>
  <c r="C237" i="159"/>
  <c r="I238" i="159"/>
  <c r="D238" i="159"/>
  <c r="J238" i="159"/>
  <c r="E238" i="159"/>
  <c r="C238" i="159"/>
  <c r="I239" i="159"/>
  <c r="D239" i="159"/>
  <c r="J239" i="159"/>
  <c r="E239" i="159"/>
  <c r="C239" i="159"/>
  <c r="I240" i="159"/>
  <c r="D240" i="159"/>
  <c r="J240" i="159"/>
  <c r="E240" i="159"/>
  <c r="C240" i="159"/>
  <c r="I241" i="159"/>
  <c r="D241" i="159"/>
  <c r="J241" i="159"/>
  <c r="E241" i="159"/>
  <c r="C241" i="159"/>
  <c r="I242" i="159"/>
  <c r="D242" i="159"/>
  <c r="J242" i="159"/>
  <c r="E242" i="159"/>
  <c r="C242" i="159"/>
  <c r="I243" i="159"/>
  <c r="D243" i="159"/>
  <c r="J243" i="159"/>
  <c r="E243" i="159"/>
  <c r="C243" i="159"/>
  <c r="I244" i="159"/>
  <c r="D244" i="159"/>
  <c r="J244" i="159"/>
  <c r="E244" i="159"/>
  <c r="C244" i="159"/>
  <c r="I245" i="159"/>
  <c r="D245" i="159"/>
  <c r="J245" i="159"/>
  <c r="E245" i="159"/>
  <c r="C245" i="159"/>
  <c r="I246" i="159"/>
  <c r="D246" i="159"/>
  <c r="J246" i="159"/>
  <c r="E246" i="159"/>
  <c r="C246" i="159"/>
  <c r="I247" i="159"/>
  <c r="D247" i="159"/>
  <c r="J247" i="159"/>
  <c r="E247" i="159"/>
  <c r="C247" i="159"/>
  <c r="I248" i="159"/>
  <c r="D248" i="159"/>
  <c r="J248" i="159"/>
  <c r="E248" i="159"/>
  <c r="C248" i="159"/>
  <c r="I249" i="159"/>
  <c r="D249" i="159"/>
  <c r="J249" i="159"/>
  <c r="E249" i="159"/>
  <c r="C249" i="159"/>
  <c r="I250" i="159"/>
  <c r="D250" i="159"/>
  <c r="J250" i="159"/>
  <c r="E250" i="159"/>
  <c r="C250" i="159"/>
  <c r="I251" i="159"/>
  <c r="D251" i="159"/>
  <c r="J251" i="159"/>
  <c r="E251" i="159"/>
  <c r="C251" i="159"/>
  <c r="I252" i="159"/>
  <c r="D252" i="159"/>
  <c r="J252" i="159"/>
  <c r="E252" i="159"/>
  <c r="C252" i="159"/>
  <c r="I253" i="159"/>
  <c r="D253" i="159"/>
  <c r="J253" i="159"/>
  <c r="E253" i="159"/>
  <c r="C253" i="159"/>
  <c r="I254" i="159"/>
  <c r="D254" i="159"/>
  <c r="J254" i="159"/>
  <c r="E254" i="159"/>
  <c r="C254" i="159"/>
  <c r="I255" i="159"/>
  <c r="D255" i="159"/>
  <c r="J255" i="159"/>
  <c r="E255" i="159"/>
  <c r="C255" i="159"/>
  <c r="I256" i="159"/>
  <c r="D256" i="159"/>
  <c r="J256" i="159"/>
  <c r="E256" i="159"/>
  <c r="C256" i="159"/>
  <c r="I257" i="159"/>
  <c r="D257" i="159"/>
  <c r="J257" i="159"/>
  <c r="E257" i="159"/>
  <c r="C257" i="159"/>
  <c r="I258" i="159"/>
  <c r="D258" i="159"/>
  <c r="J258" i="159"/>
  <c r="E258" i="159"/>
  <c r="C258" i="159"/>
  <c r="I259" i="159"/>
  <c r="D259" i="159"/>
  <c r="J259" i="159"/>
  <c r="E259" i="159"/>
  <c r="C259" i="159"/>
  <c r="I260" i="159"/>
  <c r="D260" i="159"/>
  <c r="J260" i="159"/>
  <c r="E260" i="159"/>
  <c r="C260" i="159"/>
  <c r="I261" i="159"/>
  <c r="D261" i="159"/>
  <c r="J261" i="159"/>
  <c r="E261" i="159"/>
  <c r="C261" i="159"/>
  <c r="I262" i="159"/>
  <c r="D262" i="159"/>
  <c r="J262" i="159"/>
  <c r="E262" i="159"/>
  <c r="C262" i="159"/>
  <c r="I263" i="159"/>
  <c r="D263" i="159"/>
  <c r="J263" i="159"/>
  <c r="E263" i="159"/>
  <c r="C263" i="159"/>
  <c r="I264" i="159"/>
  <c r="D264" i="159"/>
  <c r="J264" i="159"/>
  <c r="E264" i="159"/>
  <c r="C264" i="159"/>
  <c r="I265" i="159"/>
  <c r="D265" i="159"/>
  <c r="J265" i="159"/>
  <c r="E265" i="159"/>
  <c r="C265" i="159"/>
  <c r="I266" i="159"/>
  <c r="D266" i="159"/>
  <c r="J266" i="159"/>
  <c r="E266" i="159"/>
  <c r="C266" i="159"/>
  <c r="I267" i="159"/>
  <c r="D267" i="159"/>
  <c r="J267" i="159"/>
  <c r="E267" i="159"/>
  <c r="C267" i="159"/>
  <c r="I268" i="159"/>
  <c r="D268" i="159"/>
  <c r="J268" i="159"/>
  <c r="E268" i="159"/>
  <c r="C268" i="159"/>
  <c r="I269" i="159"/>
  <c r="D269" i="159"/>
  <c r="J269" i="159"/>
  <c r="E269" i="159"/>
  <c r="C269" i="159"/>
  <c r="I270" i="159"/>
  <c r="D270" i="159"/>
  <c r="J270" i="159"/>
  <c r="E270" i="159"/>
  <c r="C270" i="159"/>
  <c r="I271" i="159"/>
  <c r="D271" i="159"/>
  <c r="J271" i="159"/>
  <c r="E271" i="159"/>
  <c r="C271" i="159"/>
  <c r="I272" i="159"/>
  <c r="D272" i="159"/>
  <c r="J272" i="159"/>
  <c r="E272" i="159"/>
  <c r="C272" i="159"/>
  <c r="I273" i="159"/>
  <c r="D273" i="159"/>
  <c r="J273" i="159"/>
  <c r="E273" i="159"/>
  <c r="C273" i="159"/>
  <c r="I274" i="159"/>
  <c r="D274" i="159"/>
  <c r="J274" i="159"/>
  <c r="E274" i="159"/>
  <c r="C274" i="159"/>
  <c r="I275" i="159"/>
  <c r="D275" i="159"/>
  <c r="J275" i="159"/>
  <c r="E275" i="159"/>
  <c r="C275" i="159"/>
  <c r="I276" i="159"/>
  <c r="D276" i="159"/>
  <c r="J276" i="159"/>
  <c r="E276" i="159"/>
  <c r="C276" i="159"/>
  <c r="I277" i="159"/>
  <c r="D277" i="159"/>
  <c r="J277" i="159"/>
  <c r="E277" i="159"/>
  <c r="C277" i="159"/>
  <c r="I278" i="159"/>
  <c r="D278" i="159"/>
  <c r="J278" i="159"/>
  <c r="E278" i="159"/>
  <c r="C278" i="159"/>
  <c r="I279" i="159"/>
  <c r="D279" i="159"/>
  <c r="J279" i="159"/>
  <c r="E279" i="159"/>
  <c r="C279" i="159"/>
  <c r="I280" i="159"/>
  <c r="D280" i="159"/>
  <c r="J280" i="159"/>
  <c r="E280" i="159"/>
  <c r="C280" i="159"/>
  <c r="I281" i="159"/>
  <c r="D281" i="159"/>
  <c r="J281" i="159"/>
  <c r="E281" i="159"/>
  <c r="C281" i="159"/>
  <c r="I282" i="159"/>
  <c r="D282" i="159"/>
  <c r="J282" i="159"/>
  <c r="E282" i="159"/>
  <c r="C282" i="159"/>
  <c r="I283" i="159"/>
  <c r="D283" i="159"/>
  <c r="J283" i="159"/>
  <c r="E283" i="159"/>
  <c r="C283" i="159"/>
  <c r="I284" i="159"/>
  <c r="D284" i="159"/>
  <c r="J284" i="159"/>
  <c r="E284" i="159"/>
  <c r="C284" i="159"/>
  <c r="I285" i="159"/>
  <c r="D285" i="159"/>
  <c r="J285" i="159"/>
  <c r="E285" i="159"/>
  <c r="C285" i="159"/>
  <c r="I286" i="159"/>
  <c r="D286" i="159"/>
  <c r="J286" i="159"/>
  <c r="E286" i="159"/>
  <c r="C286" i="159"/>
  <c r="I287" i="159"/>
  <c r="D287" i="159"/>
  <c r="J287" i="159"/>
  <c r="E287" i="159"/>
  <c r="C287" i="159"/>
  <c r="I288" i="159"/>
  <c r="D288" i="159"/>
  <c r="J288" i="159"/>
  <c r="E288" i="159"/>
  <c r="C288" i="159"/>
  <c r="I289" i="159"/>
  <c r="D289" i="159"/>
  <c r="J289" i="159"/>
  <c r="E289" i="159"/>
  <c r="C289" i="159"/>
  <c r="I290" i="159"/>
  <c r="D290" i="159"/>
  <c r="J290" i="159"/>
  <c r="E290" i="159"/>
  <c r="C290" i="159"/>
  <c r="I291" i="159"/>
  <c r="D291" i="159"/>
  <c r="J291" i="159"/>
  <c r="E291" i="159"/>
  <c r="C291" i="159"/>
  <c r="I292" i="159"/>
  <c r="D292" i="159"/>
  <c r="J292" i="159"/>
  <c r="E292" i="159"/>
  <c r="C292" i="159"/>
  <c r="I293" i="159"/>
  <c r="D293" i="159"/>
  <c r="J293" i="159"/>
  <c r="E293" i="159"/>
  <c r="C293" i="159"/>
  <c r="I294" i="159"/>
  <c r="D294" i="159"/>
  <c r="J294" i="159"/>
  <c r="E294" i="159"/>
  <c r="C294" i="159"/>
  <c r="I295" i="159"/>
  <c r="D295" i="159"/>
  <c r="J295" i="159"/>
  <c r="E295" i="159"/>
  <c r="C295" i="159"/>
  <c r="I296" i="159"/>
  <c r="D296" i="159"/>
  <c r="J296" i="159"/>
  <c r="E296" i="159"/>
  <c r="C296" i="159"/>
  <c r="I297" i="159"/>
  <c r="D297" i="159"/>
  <c r="J297" i="159"/>
  <c r="E297" i="159"/>
  <c r="C297" i="159"/>
  <c r="I298" i="159"/>
  <c r="D298" i="159"/>
  <c r="J298" i="159"/>
  <c r="E298" i="159"/>
  <c r="C298" i="159"/>
  <c r="I299" i="159"/>
  <c r="D299" i="159"/>
  <c r="J299" i="159"/>
  <c r="E299" i="159"/>
  <c r="C299" i="159"/>
  <c r="I300" i="159"/>
  <c r="D300" i="159"/>
  <c r="J300" i="159"/>
  <c r="E300" i="159"/>
  <c r="C300" i="159"/>
  <c r="I301" i="159"/>
  <c r="D301" i="159"/>
  <c r="J301" i="159"/>
  <c r="E301" i="159"/>
  <c r="C301" i="159"/>
  <c r="I302" i="159"/>
  <c r="D302" i="159"/>
  <c r="J302" i="159"/>
  <c r="E302" i="159"/>
  <c r="C302" i="159"/>
  <c r="I303" i="159"/>
  <c r="D303" i="159"/>
  <c r="J303" i="159"/>
  <c r="E303" i="159"/>
  <c r="C303" i="159"/>
  <c r="I304" i="159"/>
  <c r="D304" i="159"/>
  <c r="J304" i="159"/>
  <c r="E304" i="159"/>
  <c r="C304" i="159"/>
  <c r="I305" i="159"/>
  <c r="D305" i="159"/>
  <c r="J305" i="159"/>
  <c r="E305" i="159"/>
  <c r="C305" i="159"/>
  <c r="I306" i="159"/>
  <c r="D306" i="159"/>
  <c r="J306" i="159"/>
  <c r="E306" i="159"/>
  <c r="C306" i="159"/>
  <c r="I307" i="159"/>
  <c r="D307" i="159"/>
  <c r="J307" i="159"/>
  <c r="E307" i="159"/>
  <c r="C307" i="159"/>
  <c r="I308" i="159"/>
  <c r="D308" i="159"/>
  <c r="J308" i="159"/>
  <c r="E308" i="159"/>
  <c r="C308" i="159"/>
  <c r="I309" i="159"/>
  <c r="D309" i="159"/>
  <c r="J309" i="159"/>
  <c r="E309" i="159"/>
  <c r="C309" i="159"/>
  <c r="I310" i="159"/>
  <c r="D310" i="159"/>
  <c r="J310" i="159"/>
  <c r="E310" i="159"/>
  <c r="C310" i="159"/>
  <c r="I311" i="159"/>
  <c r="D311" i="159"/>
  <c r="J311" i="159"/>
  <c r="E311" i="159"/>
  <c r="C311" i="159"/>
  <c r="I312" i="159"/>
  <c r="D312" i="159"/>
  <c r="J312" i="159"/>
  <c r="E312" i="159"/>
  <c r="C312" i="159"/>
  <c r="I313" i="159"/>
  <c r="D313" i="159"/>
  <c r="J313" i="159"/>
  <c r="E313" i="159"/>
  <c r="C313" i="159"/>
  <c r="I314" i="159"/>
  <c r="D314" i="159"/>
  <c r="J314" i="159"/>
  <c r="E314" i="159"/>
  <c r="C314" i="159"/>
  <c r="I315" i="159"/>
  <c r="D315" i="159"/>
  <c r="J315" i="159"/>
  <c r="E315" i="159"/>
  <c r="C315" i="159"/>
  <c r="I316" i="159"/>
  <c r="D316" i="159"/>
  <c r="J316" i="159"/>
  <c r="E316" i="159"/>
  <c r="C316" i="159"/>
  <c r="I317" i="159"/>
  <c r="D317" i="159"/>
  <c r="J317" i="159"/>
  <c r="E317" i="159"/>
  <c r="C317" i="159"/>
  <c r="I318" i="159"/>
  <c r="D318" i="159"/>
  <c r="J318" i="159"/>
  <c r="E318" i="159"/>
  <c r="C318" i="159"/>
  <c r="I319" i="159"/>
  <c r="D319" i="159"/>
  <c r="J319" i="159"/>
  <c r="E319" i="159"/>
  <c r="C319" i="159"/>
  <c r="I320" i="159"/>
  <c r="D320" i="159"/>
  <c r="J320" i="159"/>
  <c r="E320" i="159"/>
  <c r="C320" i="159"/>
  <c r="I321" i="159"/>
  <c r="D321" i="159"/>
  <c r="J321" i="159"/>
  <c r="E321" i="159"/>
  <c r="C321" i="159"/>
  <c r="I322" i="159"/>
  <c r="D322" i="159"/>
  <c r="J322" i="159"/>
  <c r="E322" i="159"/>
  <c r="C322" i="159"/>
  <c r="I323" i="159"/>
  <c r="D323" i="159"/>
  <c r="J323" i="159"/>
  <c r="E323" i="159"/>
  <c r="C323" i="159"/>
  <c r="I324" i="159"/>
  <c r="D324" i="159"/>
  <c r="J324" i="159"/>
  <c r="E324" i="159"/>
  <c r="C324" i="159"/>
  <c r="I325" i="159"/>
  <c r="D325" i="159"/>
  <c r="J325" i="159"/>
  <c r="E325" i="159"/>
  <c r="C325" i="159"/>
  <c r="I326" i="159"/>
  <c r="D326" i="159"/>
  <c r="J326" i="159"/>
  <c r="E326" i="159"/>
  <c r="C326" i="159"/>
  <c r="I327" i="159"/>
  <c r="D327" i="159"/>
  <c r="J327" i="159"/>
  <c r="E327" i="159"/>
  <c r="C327" i="159"/>
  <c r="I328" i="159"/>
  <c r="D328" i="159"/>
  <c r="J328" i="159"/>
  <c r="E328" i="159"/>
  <c r="C328" i="159"/>
  <c r="I329" i="159"/>
  <c r="D329" i="159"/>
  <c r="J329" i="159"/>
  <c r="E329" i="159"/>
  <c r="C329" i="159"/>
  <c r="I330" i="159"/>
  <c r="D330" i="159"/>
  <c r="J330" i="159"/>
  <c r="E330" i="159"/>
  <c r="C330" i="159"/>
  <c r="I331" i="159"/>
  <c r="D331" i="159"/>
  <c r="J331" i="159"/>
  <c r="E331" i="159"/>
  <c r="C331" i="159"/>
  <c r="I332" i="159"/>
  <c r="D332" i="159"/>
  <c r="J332" i="159"/>
  <c r="E332" i="159"/>
  <c r="C332" i="159"/>
  <c r="I333" i="159"/>
  <c r="D333" i="159"/>
  <c r="J333" i="159"/>
  <c r="E333" i="159"/>
  <c r="C333" i="159"/>
  <c r="I334" i="159"/>
  <c r="D334" i="159"/>
  <c r="J334" i="159"/>
  <c r="E334" i="159"/>
  <c r="C334" i="159"/>
  <c r="I335" i="159"/>
  <c r="D335" i="159"/>
  <c r="J335" i="159"/>
  <c r="E335" i="159"/>
  <c r="C335" i="159"/>
  <c r="I336" i="159"/>
  <c r="D336" i="159"/>
  <c r="J336" i="159"/>
  <c r="E336" i="159"/>
  <c r="C336" i="159"/>
  <c r="I337" i="159"/>
  <c r="D337" i="159"/>
  <c r="J337" i="159"/>
  <c r="E337" i="159"/>
  <c r="C337" i="159"/>
  <c r="I338" i="159"/>
  <c r="D338" i="159"/>
  <c r="J338" i="159"/>
  <c r="E338" i="159"/>
  <c r="C338" i="159"/>
  <c r="I339" i="159"/>
  <c r="D339" i="159"/>
  <c r="J339" i="159"/>
  <c r="E339" i="159"/>
  <c r="C339" i="159"/>
  <c r="I340" i="159"/>
  <c r="D340" i="159"/>
  <c r="J340" i="159"/>
  <c r="E340" i="159"/>
  <c r="C340" i="159"/>
  <c r="I341" i="159"/>
  <c r="D341" i="159"/>
  <c r="J341" i="159"/>
  <c r="E341" i="159"/>
  <c r="C341" i="159"/>
  <c r="I342" i="159"/>
  <c r="D342" i="159"/>
  <c r="J342" i="159"/>
  <c r="E342" i="159"/>
  <c r="C342" i="159"/>
  <c r="I343" i="159"/>
  <c r="D343" i="159"/>
  <c r="J343" i="159"/>
  <c r="E343" i="159"/>
  <c r="C343" i="159"/>
  <c r="I344" i="159"/>
  <c r="D344" i="159"/>
  <c r="J344" i="159"/>
  <c r="E344" i="159"/>
  <c r="C344" i="159"/>
  <c r="I345" i="159"/>
  <c r="D345" i="159"/>
  <c r="J345" i="159"/>
  <c r="E345" i="159"/>
  <c r="C345" i="159"/>
  <c r="I346" i="159"/>
  <c r="D346" i="159"/>
  <c r="J346" i="159"/>
  <c r="E346" i="159"/>
  <c r="C346" i="159"/>
  <c r="I347" i="159"/>
  <c r="D347" i="159"/>
  <c r="J347" i="159"/>
  <c r="E347" i="159"/>
  <c r="C347" i="159"/>
  <c r="I348" i="159"/>
  <c r="D348" i="159"/>
  <c r="J348" i="159"/>
  <c r="E348" i="159"/>
  <c r="C348" i="159"/>
  <c r="I349" i="159"/>
  <c r="D349" i="159"/>
  <c r="J349" i="159"/>
  <c r="E349" i="159"/>
  <c r="C349" i="159"/>
  <c r="I350" i="159"/>
  <c r="D350" i="159"/>
  <c r="J350" i="159"/>
  <c r="E350" i="159"/>
  <c r="C350" i="159"/>
  <c r="I351" i="159"/>
  <c r="D351" i="159"/>
  <c r="J351" i="159"/>
  <c r="E351" i="159"/>
  <c r="C351" i="159"/>
  <c r="I352" i="159"/>
  <c r="D352" i="159"/>
  <c r="J352" i="159"/>
  <c r="E352" i="159"/>
  <c r="C352" i="159"/>
  <c r="I353" i="159"/>
  <c r="D353" i="159"/>
  <c r="J353" i="159"/>
  <c r="E353" i="159"/>
  <c r="C353" i="159"/>
  <c r="I354" i="159"/>
  <c r="D354" i="159"/>
  <c r="J354" i="159"/>
  <c r="E354" i="159"/>
  <c r="C354" i="159"/>
  <c r="I355" i="159"/>
  <c r="D355" i="159"/>
  <c r="J355" i="159"/>
  <c r="E355" i="159"/>
  <c r="C355" i="159"/>
  <c r="I356" i="159"/>
  <c r="D356" i="159"/>
  <c r="J356" i="159"/>
  <c r="E356" i="159"/>
  <c r="C356" i="159"/>
  <c r="I357" i="159"/>
  <c r="D357" i="159"/>
  <c r="J357" i="159"/>
  <c r="E357" i="159"/>
  <c r="C357" i="159"/>
  <c r="F5" i="158"/>
  <c r="F7" i="158"/>
  <c r="A51" i="158"/>
  <c r="F6" i="158"/>
  <c r="E6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44" i="158"/>
  <c r="B44" i="158"/>
  <c r="G44" i="158"/>
  <c r="H44" i="158"/>
  <c r="E5" i="158"/>
  <c r="E29" i="158"/>
  <c r="B29" i="158"/>
  <c r="G29" i="158"/>
  <c r="H29" i="158"/>
  <c r="O358" i="159"/>
  <c r="E7" i="158"/>
  <c r="E19" i="158"/>
  <c r="B19" i="158"/>
  <c r="E24" i="158"/>
  <c r="B24" i="158"/>
  <c r="B17" i="158"/>
  <c r="G17" i="158"/>
  <c r="E17" i="158"/>
  <c r="H17" i="158"/>
  <c r="O2" i="159"/>
  <c r="E20" i="158"/>
  <c r="B20" i="158"/>
  <c r="E22" i="158"/>
  <c r="E21" i="158"/>
  <c r="B21" i="158"/>
  <c r="E26" i="158"/>
  <c r="B26" i="158"/>
  <c r="E28" i="158"/>
  <c r="B28" i="158"/>
  <c r="B23" i="158"/>
  <c r="B22" i="158"/>
  <c r="E25" i="158"/>
  <c r="B25" i="158"/>
  <c r="E27" i="158"/>
  <c r="B27" i="158"/>
  <c r="B18" i="158"/>
  <c r="G18" i="158"/>
  <c r="E18" i="158"/>
  <c r="H18" i="158"/>
  <c r="O3" i="159"/>
  <c r="O4" i="159"/>
  <c r="O5" i="159"/>
  <c r="F8" i="158"/>
  <c r="E8" i="158"/>
  <c r="E34" i="158"/>
  <c r="B34" i="158"/>
  <c r="E39" i="158"/>
  <c r="B39" i="158"/>
  <c r="B32" i="158"/>
  <c r="G32" i="158"/>
  <c r="E32" i="158"/>
  <c r="H32" i="158"/>
  <c r="O6" i="159"/>
  <c r="E35" i="158"/>
  <c r="B35" i="158"/>
  <c r="E37" i="158"/>
  <c r="E38" i="158"/>
  <c r="C46" i="158"/>
  <c r="B38" i="158"/>
  <c r="B37" i="158"/>
  <c r="E40" i="158"/>
  <c r="B40" i="158"/>
  <c r="E42" i="158"/>
  <c r="B42" i="158"/>
  <c r="B33" i="158"/>
  <c r="G33" i="158"/>
  <c r="E33" i="158"/>
  <c r="H33" i="158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24" i="158"/>
  <c r="H24" i="158"/>
  <c r="O42" i="159"/>
  <c r="G25" i="158"/>
  <c r="H25" i="158"/>
  <c r="O43" i="159"/>
  <c r="G26" i="158"/>
  <c r="H26" i="158"/>
  <c r="O44" i="159"/>
  <c r="O45" i="159"/>
  <c r="O46" i="159"/>
  <c r="O47" i="159"/>
  <c r="G39" i="158"/>
  <c r="H39" i="158"/>
  <c r="O48" i="159"/>
  <c r="G40" i="158"/>
  <c r="H40" i="158"/>
  <c r="O49" i="159"/>
  <c r="E41" i="158"/>
  <c r="B41" i="158"/>
  <c r="G41" i="158"/>
  <c r="H41" i="158"/>
  <c r="O50" i="159"/>
  <c r="G34" i="158"/>
  <c r="H34" i="158"/>
  <c r="G19" i="158"/>
  <c r="H19" i="158"/>
  <c r="O51" i="159"/>
  <c r="G35" i="158"/>
  <c r="H35" i="158"/>
  <c r="G20" i="158"/>
  <c r="H20" i="158"/>
  <c r="O52" i="159"/>
  <c r="E43" i="158"/>
  <c r="B43" i="158"/>
  <c r="B36" i="158"/>
  <c r="G36" i="158"/>
  <c r="E36" i="158"/>
  <c r="H36" i="158"/>
  <c r="G21" i="158"/>
  <c r="H21" i="158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G27" i="158"/>
  <c r="H27" i="158"/>
  <c r="O138" i="159"/>
  <c r="G28" i="158"/>
  <c r="H28" i="158"/>
  <c r="O139" i="159"/>
  <c r="O140" i="159"/>
  <c r="O141" i="159"/>
  <c r="G42" i="158"/>
  <c r="H42" i="158"/>
  <c r="O142" i="159"/>
  <c r="G43" i="158"/>
  <c r="H43" i="158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G23" i="158"/>
  <c r="E23" i="158"/>
  <c r="H23" i="158"/>
  <c r="O215" i="159"/>
  <c r="O216" i="159"/>
  <c r="G38" i="158"/>
  <c r="H38" i="158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O256" i="159"/>
  <c r="O257" i="159"/>
  <c r="O258" i="159"/>
  <c r="O259" i="159"/>
  <c r="O260" i="159"/>
  <c r="O261" i="159"/>
  <c r="G22" i="158"/>
  <c r="H22" i="158"/>
  <c r="O262" i="159"/>
  <c r="O263" i="159"/>
  <c r="O264" i="159"/>
  <c r="O265" i="159"/>
  <c r="O266" i="159"/>
  <c r="O267" i="159"/>
  <c r="O268" i="159"/>
  <c r="O269" i="159"/>
  <c r="G37" i="158"/>
  <c r="H37" i="158"/>
  <c r="O270" i="159"/>
  <c r="O271" i="159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O319" i="159"/>
  <c r="O320" i="159"/>
  <c r="O321" i="159"/>
  <c r="O322" i="159"/>
  <c r="O323" i="159"/>
  <c r="O324" i="159"/>
  <c r="O325" i="159"/>
  <c r="O326" i="159"/>
  <c r="O327" i="159"/>
  <c r="O328" i="159"/>
  <c r="O329" i="159"/>
  <c r="O330" i="159"/>
  <c r="O331" i="159"/>
  <c r="O332" i="159"/>
  <c r="O333" i="159"/>
  <c r="O334" i="159"/>
  <c r="O335" i="159"/>
  <c r="O336" i="159"/>
  <c r="O337" i="159"/>
  <c r="O338" i="159"/>
  <c r="O339" i="159"/>
  <c r="O340" i="159"/>
  <c r="O341" i="159"/>
  <c r="O342" i="159"/>
  <c r="O343" i="159"/>
  <c r="O344" i="159"/>
  <c r="O345" i="159"/>
  <c r="O346" i="159"/>
  <c r="O347" i="159"/>
  <c r="O348" i="159"/>
  <c r="O349" i="159"/>
  <c r="O350" i="159"/>
  <c r="O351" i="159"/>
  <c r="O352" i="159"/>
  <c r="O353" i="159"/>
  <c r="O354" i="159"/>
  <c r="O355" i="159"/>
  <c r="O356" i="159"/>
  <c r="O357" i="159"/>
  <c r="O359" i="159"/>
  <c r="O360" i="159"/>
  <c r="B46" i="158"/>
  <c r="G46" i="158"/>
  <c r="E46" i="158"/>
  <c r="H46" i="158"/>
  <c r="R3" i="158"/>
  <c r="O361" i="159"/>
  <c r="P358" i="159"/>
  <c r="H359" i="159"/>
  <c r="K359" i="159"/>
  <c r="L359" i="159"/>
  <c r="M359" i="159"/>
  <c r="N359" i="159"/>
  <c r="P359" i="159"/>
  <c r="H360" i="159"/>
  <c r="K360" i="159"/>
  <c r="L360" i="159"/>
  <c r="M360" i="159"/>
  <c r="N360" i="159"/>
  <c r="P360" i="159"/>
  <c r="H361" i="159"/>
  <c r="K361" i="159"/>
  <c r="L361" i="159"/>
  <c r="M361" i="159"/>
  <c r="N361" i="159"/>
  <c r="P361" i="159"/>
  <c r="F357" i="159"/>
  <c r="H357" i="159"/>
  <c r="K357" i="159"/>
  <c r="L357" i="159"/>
  <c r="M357" i="159"/>
  <c r="N357" i="159"/>
  <c r="P357" i="159"/>
  <c r="A358" i="159"/>
  <c r="A359" i="159"/>
  <c r="A360" i="159"/>
  <c r="A361" i="159"/>
  <c r="A357" i="159"/>
  <c r="I358" i="150"/>
  <c r="D358" i="150"/>
  <c r="J358" i="150"/>
  <c r="E358" i="150"/>
  <c r="F358" i="150"/>
  <c r="C358" i="150"/>
  <c r="H358" i="150"/>
  <c r="K358" i="150"/>
  <c r="L358" i="150"/>
  <c r="M358" i="150"/>
  <c r="N358" i="150"/>
  <c r="I359" i="150"/>
  <c r="D359" i="150"/>
  <c r="J359" i="150"/>
  <c r="E359" i="150"/>
  <c r="F359" i="150"/>
  <c r="C359" i="150"/>
  <c r="I360" i="150"/>
  <c r="D360" i="150"/>
  <c r="J360" i="150"/>
  <c r="E360" i="150"/>
  <c r="F360" i="150"/>
  <c r="C360" i="150"/>
  <c r="I361" i="150"/>
  <c r="D361" i="150"/>
  <c r="J361" i="150"/>
  <c r="E361" i="150"/>
  <c r="F361" i="150"/>
  <c r="C361" i="150"/>
  <c r="I2" i="150"/>
  <c r="J2" i="150"/>
  <c r="D2" i="150"/>
  <c r="E2" i="150"/>
  <c r="C2" i="150"/>
  <c r="I3" i="150"/>
  <c r="J3" i="150"/>
  <c r="D3" i="150"/>
  <c r="E3" i="150"/>
  <c r="C3" i="150"/>
  <c r="I4" i="150"/>
  <c r="J4" i="150"/>
  <c r="D4" i="150"/>
  <c r="E4" i="150"/>
  <c r="C4" i="150"/>
  <c r="I5" i="150"/>
  <c r="J5" i="150"/>
  <c r="D5" i="150"/>
  <c r="E5" i="150"/>
  <c r="C5" i="150"/>
  <c r="I6" i="150"/>
  <c r="J6" i="150"/>
  <c r="D6" i="150"/>
  <c r="E6" i="150"/>
  <c r="C6" i="150"/>
  <c r="I7" i="150"/>
  <c r="J7" i="150"/>
  <c r="D7" i="150"/>
  <c r="E7" i="150"/>
  <c r="C7" i="150"/>
  <c r="I8" i="150"/>
  <c r="J8" i="150"/>
  <c r="D8" i="150"/>
  <c r="E8" i="150"/>
  <c r="C8" i="150"/>
  <c r="I9" i="150"/>
  <c r="J9" i="150"/>
  <c r="D9" i="150"/>
  <c r="E9" i="150"/>
  <c r="C9" i="150"/>
  <c r="I10" i="150"/>
  <c r="J10" i="150"/>
  <c r="D10" i="150"/>
  <c r="E10" i="150"/>
  <c r="C10" i="150"/>
  <c r="I11" i="150"/>
  <c r="J11" i="150"/>
  <c r="D11" i="150"/>
  <c r="E11" i="150"/>
  <c r="C11" i="150"/>
  <c r="I12" i="150"/>
  <c r="J12" i="150"/>
  <c r="D12" i="150"/>
  <c r="E12" i="150"/>
  <c r="C12" i="150"/>
  <c r="I13" i="150"/>
  <c r="J13" i="150"/>
  <c r="D13" i="150"/>
  <c r="E13" i="150"/>
  <c r="C13" i="150"/>
  <c r="I14" i="150"/>
  <c r="J14" i="150"/>
  <c r="D14" i="150"/>
  <c r="E14" i="150"/>
  <c r="C14" i="150"/>
  <c r="I15" i="150"/>
  <c r="J15" i="150"/>
  <c r="D15" i="150"/>
  <c r="E15" i="150"/>
  <c r="C15" i="150"/>
  <c r="I16" i="150"/>
  <c r="J16" i="150"/>
  <c r="D16" i="150"/>
  <c r="E16" i="150"/>
  <c r="C16" i="150"/>
  <c r="I17" i="150"/>
  <c r="J17" i="150"/>
  <c r="D17" i="150"/>
  <c r="E17" i="150"/>
  <c r="C17" i="150"/>
  <c r="I18" i="150"/>
  <c r="J18" i="150"/>
  <c r="D18" i="150"/>
  <c r="E18" i="150"/>
  <c r="C18" i="150"/>
  <c r="I19" i="150"/>
  <c r="J19" i="150"/>
  <c r="D19" i="150"/>
  <c r="E19" i="150"/>
  <c r="C19" i="150"/>
  <c r="I20" i="150"/>
  <c r="J20" i="150"/>
  <c r="D20" i="150"/>
  <c r="E20" i="150"/>
  <c r="C20" i="150"/>
  <c r="I21" i="150"/>
  <c r="J21" i="150"/>
  <c r="D21" i="150"/>
  <c r="E21" i="150"/>
  <c r="C21" i="150"/>
  <c r="I22" i="150"/>
  <c r="J22" i="150"/>
  <c r="D22" i="150"/>
  <c r="E22" i="150"/>
  <c r="C22" i="150"/>
  <c r="I23" i="150"/>
  <c r="J23" i="150"/>
  <c r="D23" i="150"/>
  <c r="E23" i="150"/>
  <c r="C23" i="150"/>
  <c r="I24" i="150"/>
  <c r="J24" i="150"/>
  <c r="D24" i="150"/>
  <c r="E24" i="150"/>
  <c r="C24" i="150"/>
  <c r="I25" i="150"/>
  <c r="J25" i="150"/>
  <c r="D25" i="150"/>
  <c r="E25" i="150"/>
  <c r="C25" i="150"/>
  <c r="I26" i="150"/>
  <c r="J26" i="150"/>
  <c r="D26" i="150"/>
  <c r="E26" i="150"/>
  <c r="C26" i="150"/>
  <c r="I27" i="150"/>
  <c r="J27" i="150"/>
  <c r="D27" i="150"/>
  <c r="E27" i="150"/>
  <c r="C27" i="150"/>
  <c r="I28" i="150"/>
  <c r="J28" i="150"/>
  <c r="D28" i="150"/>
  <c r="E28" i="150"/>
  <c r="C28" i="150"/>
  <c r="I29" i="150"/>
  <c r="J29" i="150"/>
  <c r="D29" i="150"/>
  <c r="E29" i="150"/>
  <c r="C29" i="150"/>
  <c r="I30" i="150"/>
  <c r="J30" i="150"/>
  <c r="D30" i="150"/>
  <c r="E30" i="150"/>
  <c r="C30" i="150"/>
  <c r="I31" i="150"/>
  <c r="J31" i="150"/>
  <c r="D31" i="150"/>
  <c r="E31" i="150"/>
  <c r="C31" i="150"/>
  <c r="I32" i="150"/>
  <c r="J32" i="150"/>
  <c r="D32" i="150"/>
  <c r="E32" i="150"/>
  <c r="C32" i="150"/>
  <c r="I33" i="150"/>
  <c r="J33" i="150"/>
  <c r="D33" i="150"/>
  <c r="E33" i="150"/>
  <c r="C33" i="150"/>
  <c r="I34" i="150"/>
  <c r="J34" i="150"/>
  <c r="D34" i="150"/>
  <c r="E34" i="150"/>
  <c r="C34" i="150"/>
  <c r="I35" i="150"/>
  <c r="J35" i="150"/>
  <c r="D35" i="150"/>
  <c r="E35" i="150"/>
  <c r="C35" i="150"/>
  <c r="I36" i="150"/>
  <c r="J36" i="150"/>
  <c r="D36" i="150"/>
  <c r="E36" i="150"/>
  <c r="C36" i="150"/>
  <c r="I37" i="150"/>
  <c r="J37" i="150"/>
  <c r="D37" i="150"/>
  <c r="E37" i="150"/>
  <c r="C37" i="150"/>
  <c r="I38" i="150"/>
  <c r="J38" i="150"/>
  <c r="D38" i="150"/>
  <c r="E38" i="150"/>
  <c r="C38" i="150"/>
  <c r="I39" i="150"/>
  <c r="J39" i="150"/>
  <c r="D39" i="150"/>
  <c r="E39" i="150"/>
  <c r="C39" i="150"/>
  <c r="I40" i="150"/>
  <c r="J40" i="150"/>
  <c r="D40" i="150"/>
  <c r="E40" i="150"/>
  <c r="C40" i="150"/>
  <c r="I41" i="150"/>
  <c r="J41" i="150"/>
  <c r="D41" i="150"/>
  <c r="E41" i="150"/>
  <c r="C41" i="150"/>
  <c r="I42" i="150"/>
  <c r="D42" i="150"/>
  <c r="J42" i="150"/>
  <c r="E42" i="150"/>
  <c r="C42" i="150"/>
  <c r="I43" i="150"/>
  <c r="D43" i="150"/>
  <c r="J43" i="150"/>
  <c r="E43" i="150"/>
  <c r="C43" i="150"/>
  <c r="I44" i="150"/>
  <c r="D44" i="150"/>
  <c r="J44" i="150"/>
  <c r="E44" i="150"/>
  <c r="C44" i="150"/>
  <c r="I45" i="150"/>
  <c r="D45" i="150"/>
  <c r="J45" i="150"/>
  <c r="E45" i="150"/>
  <c r="C45" i="150"/>
  <c r="I46" i="150"/>
  <c r="D46" i="150"/>
  <c r="J46" i="150"/>
  <c r="E46" i="150"/>
  <c r="C46" i="150"/>
  <c r="I47" i="150"/>
  <c r="D47" i="150"/>
  <c r="J47" i="150"/>
  <c r="E47" i="150"/>
  <c r="C47" i="150"/>
  <c r="I48" i="150"/>
  <c r="D48" i="150"/>
  <c r="J48" i="150"/>
  <c r="E48" i="150"/>
  <c r="C48" i="150"/>
  <c r="I49" i="150"/>
  <c r="D49" i="150"/>
  <c r="J49" i="150"/>
  <c r="E49" i="150"/>
  <c r="C49" i="150"/>
  <c r="I50" i="150"/>
  <c r="D50" i="150"/>
  <c r="J50" i="150"/>
  <c r="E50" i="150"/>
  <c r="C50" i="150"/>
  <c r="I51" i="150"/>
  <c r="D51" i="150"/>
  <c r="J51" i="150"/>
  <c r="E51" i="150"/>
  <c r="C51" i="150"/>
  <c r="I52" i="150"/>
  <c r="D52" i="150"/>
  <c r="J52" i="150"/>
  <c r="E52" i="150"/>
  <c r="C52" i="150"/>
  <c r="I53" i="150"/>
  <c r="D53" i="150"/>
  <c r="J53" i="150"/>
  <c r="E53" i="150"/>
  <c r="C53" i="150"/>
  <c r="I54" i="150"/>
  <c r="D54" i="150"/>
  <c r="J54" i="150"/>
  <c r="E54" i="150"/>
  <c r="C54" i="150"/>
  <c r="I55" i="150"/>
  <c r="D55" i="150"/>
  <c r="J55" i="150"/>
  <c r="E55" i="150"/>
  <c r="C55" i="150"/>
  <c r="I56" i="150"/>
  <c r="D56" i="150"/>
  <c r="J56" i="150"/>
  <c r="E56" i="150"/>
  <c r="C56" i="150"/>
  <c r="I57" i="150"/>
  <c r="D57" i="150"/>
  <c r="J57" i="150"/>
  <c r="E57" i="150"/>
  <c r="C57" i="150"/>
  <c r="I58" i="150"/>
  <c r="D58" i="150"/>
  <c r="J58" i="150"/>
  <c r="E58" i="150"/>
  <c r="C58" i="150"/>
  <c r="I59" i="150"/>
  <c r="D59" i="150"/>
  <c r="J59" i="150"/>
  <c r="E59" i="150"/>
  <c r="C59" i="150"/>
  <c r="I60" i="150"/>
  <c r="D60" i="150"/>
  <c r="J60" i="150"/>
  <c r="E60" i="150"/>
  <c r="C60" i="150"/>
  <c r="I61" i="150"/>
  <c r="D61" i="150"/>
  <c r="J61" i="150"/>
  <c r="E61" i="150"/>
  <c r="C61" i="150"/>
  <c r="I62" i="150"/>
  <c r="D62" i="150"/>
  <c r="J62" i="150"/>
  <c r="E62" i="150"/>
  <c r="C62" i="150"/>
  <c r="I63" i="150"/>
  <c r="D63" i="150"/>
  <c r="J63" i="150"/>
  <c r="E63" i="150"/>
  <c r="C63" i="150"/>
  <c r="I64" i="150"/>
  <c r="D64" i="150"/>
  <c r="J64" i="150"/>
  <c r="E64" i="150"/>
  <c r="C64" i="150"/>
  <c r="I65" i="150"/>
  <c r="D65" i="150"/>
  <c r="J65" i="150"/>
  <c r="E65" i="150"/>
  <c r="C65" i="150"/>
  <c r="I66" i="150"/>
  <c r="D66" i="150"/>
  <c r="J66" i="150"/>
  <c r="E66" i="150"/>
  <c r="C66" i="150"/>
  <c r="I67" i="150"/>
  <c r="D67" i="150"/>
  <c r="J67" i="150"/>
  <c r="E67" i="150"/>
  <c r="C67" i="150"/>
  <c r="I68" i="150"/>
  <c r="D68" i="150"/>
  <c r="J68" i="150"/>
  <c r="E68" i="150"/>
  <c r="C68" i="150"/>
  <c r="I69" i="150"/>
  <c r="D69" i="150"/>
  <c r="J69" i="150"/>
  <c r="E69" i="150"/>
  <c r="C69" i="150"/>
  <c r="I70" i="150"/>
  <c r="D70" i="150"/>
  <c r="J70" i="150"/>
  <c r="E70" i="150"/>
  <c r="C70" i="150"/>
  <c r="I71" i="150"/>
  <c r="D71" i="150"/>
  <c r="J71" i="150"/>
  <c r="E71" i="150"/>
  <c r="C71" i="150"/>
  <c r="I72" i="150"/>
  <c r="D72" i="150"/>
  <c r="J72" i="150"/>
  <c r="E72" i="150"/>
  <c r="C72" i="150"/>
  <c r="I73" i="150"/>
  <c r="D73" i="150"/>
  <c r="J73" i="150"/>
  <c r="E73" i="150"/>
  <c r="C73" i="150"/>
  <c r="I74" i="150"/>
  <c r="D74" i="150"/>
  <c r="J74" i="150"/>
  <c r="E74" i="150"/>
  <c r="C74" i="150"/>
  <c r="I75" i="150"/>
  <c r="D75" i="150"/>
  <c r="J75" i="150"/>
  <c r="E75" i="150"/>
  <c r="C75" i="150"/>
  <c r="I76" i="150"/>
  <c r="D76" i="150"/>
  <c r="J76" i="150"/>
  <c r="E76" i="150"/>
  <c r="C76" i="150"/>
  <c r="I77" i="150"/>
  <c r="D77" i="150"/>
  <c r="J77" i="150"/>
  <c r="E77" i="150"/>
  <c r="C77" i="150"/>
  <c r="I78" i="150"/>
  <c r="D78" i="150"/>
  <c r="J78" i="150"/>
  <c r="E78" i="150"/>
  <c r="C78" i="150"/>
  <c r="I79" i="150"/>
  <c r="D79" i="150"/>
  <c r="J79" i="150"/>
  <c r="E79" i="150"/>
  <c r="C79" i="150"/>
  <c r="I80" i="150"/>
  <c r="D80" i="150"/>
  <c r="J80" i="150"/>
  <c r="E80" i="150"/>
  <c r="C80" i="150"/>
  <c r="I81" i="150"/>
  <c r="D81" i="150"/>
  <c r="J81" i="150"/>
  <c r="E81" i="150"/>
  <c r="C81" i="150"/>
  <c r="I82" i="150"/>
  <c r="D82" i="150"/>
  <c r="J82" i="150"/>
  <c r="E82" i="150"/>
  <c r="C82" i="150"/>
  <c r="I83" i="150"/>
  <c r="D83" i="150"/>
  <c r="J83" i="150"/>
  <c r="E83" i="150"/>
  <c r="C83" i="150"/>
  <c r="I84" i="150"/>
  <c r="D84" i="150"/>
  <c r="J84" i="150"/>
  <c r="E84" i="150"/>
  <c r="C84" i="150"/>
  <c r="I85" i="150"/>
  <c r="D85" i="150"/>
  <c r="J85" i="150"/>
  <c r="E85" i="150"/>
  <c r="C85" i="150"/>
  <c r="I86" i="150"/>
  <c r="D86" i="150"/>
  <c r="J86" i="150"/>
  <c r="E86" i="150"/>
  <c r="C86" i="150"/>
  <c r="I87" i="150"/>
  <c r="D87" i="150"/>
  <c r="J87" i="150"/>
  <c r="E87" i="150"/>
  <c r="C87" i="150"/>
  <c r="I88" i="150"/>
  <c r="D88" i="150"/>
  <c r="J88" i="150"/>
  <c r="E88" i="150"/>
  <c r="C88" i="150"/>
  <c r="I89" i="150"/>
  <c r="D89" i="150"/>
  <c r="J89" i="150"/>
  <c r="E89" i="150"/>
  <c r="C89" i="150"/>
  <c r="I90" i="150"/>
  <c r="D90" i="150"/>
  <c r="J90" i="150"/>
  <c r="E90" i="150"/>
  <c r="C90" i="150"/>
  <c r="I91" i="150"/>
  <c r="D91" i="150"/>
  <c r="J91" i="150"/>
  <c r="E91" i="150"/>
  <c r="C91" i="150"/>
  <c r="I92" i="150"/>
  <c r="D92" i="150"/>
  <c r="J92" i="150"/>
  <c r="E92" i="150"/>
  <c r="C92" i="150"/>
  <c r="I93" i="150"/>
  <c r="D93" i="150"/>
  <c r="J93" i="150"/>
  <c r="E93" i="150"/>
  <c r="C93" i="150"/>
  <c r="I94" i="150"/>
  <c r="D94" i="150"/>
  <c r="J94" i="150"/>
  <c r="E94" i="150"/>
  <c r="C94" i="150"/>
  <c r="I95" i="150"/>
  <c r="D95" i="150"/>
  <c r="J95" i="150"/>
  <c r="E95" i="150"/>
  <c r="C95" i="150"/>
  <c r="I96" i="150"/>
  <c r="D96" i="150"/>
  <c r="J96" i="150"/>
  <c r="E96" i="150"/>
  <c r="C96" i="150"/>
  <c r="I97" i="150"/>
  <c r="D97" i="150"/>
  <c r="J97" i="150"/>
  <c r="E97" i="150"/>
  <c r="C97" i="150"/>
  <c r="I98" i="150"/>
  <c r="D98" i="150"/>
  <c r="J98" i="150"/>
  <c r="E98" i="150"/>
  <c r="C98" i="150"/>
  <c r="I99" i="150"/>
  <c r="D99" i="150"/>
  <c r="J99" i="150"/>
  <c r="E99" i="150"/>
  <c r="C99" i="150"/>
  <c r="I100" i="150"/>
  <c r="D100" i="150"/>
  <c r="J100" i="150"/>
  <c r="E100" i="150"/>
  <c r="C100" i="150"/>
  <c r="I101" i="150"/>
  <c r="D101" i="150"/>
  <c r="J101" i="150"/>
  <c r="E101" i="150"/>
  <c r="C101" i="150"/>
  <c r="I102" i="150"/>
  <c r="D102" i="150"/>
  <c r="J102" i="150"/>
  <c r="E102" i="150"/>
  <c r="C102" i="150"/>
  <c r="I103" i="150"/>
  <c r="D103" i="150"/>
  <c r="J103" i="150"/>
  <c r="E103" i="150"/>
  <c r="C103" i="150"/>
  <c r="I104" i="150"/>
  <c r="D104" i="150"/>
  <c r="J104" i="150"/>
  <c r="E104" i="150"/>
  <c r="C104" i="150"/>
  <c r="I105" i="150"/>
  <c r="D105" i="150"/>
  <c r="J105" i="150"/>
  <c r="E105" i="150"/>
  <c r="C105" i="150"/>
  <c r="I106" i="150"/>
  <c r="D106" i="150"/>
  <c r="J106" i="150"/>
  <c r="E106" i="150"/>
  <c r="C106" i="150"/>
  <c r="I107" i="150"/>
  <c r="D107" i="150"/>
  <c r="J107" i="150"/>
  <c r="E107" i="150"/>
  <c r="C107" i="150"/>
  <c r="I108" i="150"/>
  <c r="D108" i="150"/>
  <c r="J108" i="150"/>
  <c r="E108" i="150"/>
  <c r="C108" i="150"/>
  <c r="I109" i="150"/>
  <c r="D109" i="150"/>
  <c r="J109" i="150"/>
  <c r="E109" i="150"/>
  <c r="C109" i="150"/>
  <c r="I110" i="150"/>
  <c r="D110" i="150"/>
  <c r="J110" i="150"/>
  <c r="E110" i="150"/>
  <c r="C110" i="150"/>
  <c r="I111" i="150"/>
  <c r="D111" i="150"/>
  <c r="J111" i="150"/>
  <c r="E111" i="150"/>
  <c r="C111" i="150"/>
  <c r="I112" i="150"/>
  <c r="D112" i="150"/>
  <c r="J112" i="150"/>
  <c r="E112" i="150"/>
  <c r="C112" i="150"/>
  <c r="I113" i="150"/>
  <c r="D113" i="150"/>
  <c r="J113" i="150"/>
  <c r="E113" i="150"/>
  <c r="C113" i="150"/>
  <c r="I114" i="150"/>
  <c r="D114" i="150"/>
  <c r="J114" i="150"/>
  <c r="E114" i="150"/>
  <c r="C114" i="150"/>
  <c r="I115" i="150"/>
  <c r="D115" i="150"/>
  <c r="J115" i="150"/>
  <c r="E115" i="150"/>
  <c r="C115" i="150"/>
  <c r="I116" i="150"/>
  <c r="D116" i="150"/>
  <c r="J116" i="150"/>
  <c r="E116" i="150"/>
  <c r="C116" i="150"/>
  <c r="I117" i="150"/>
  <c r="D117" i="150"/>
  <c r="J117" i="150"/>
  <c r="E117" i="150"/>
  <c r="C117" i="150"/>
  <c r="I118" i="150"/>
  <c r="D118" i="150"/>
  <c r="J118" i="150"/>
  <c r="E118" i="150"/>
  <c r="C118" i="150"/>
  <c r="I119" i="150"/>
  <c r="D119" i="150"/>
  <c r="J119" i="150"/>
  <c r="E119" i="150"/>
  <c r="C119" i="150"/>
  <c r="I120" i="150"/>
  <c r="D120" i="150"/>
  <c r="J120" i="150"/>
  <c r="E120" i="150"/>
  <c r="C120" i="150"/>
  <c r="I121" i="150"/>
  <c r="D121" i="150"/>
  <c r="J121" i="150"/>
  <c r="E121" i="150"/>
  <c r="C121" i="150"/>
  <c r="I122" i="150"/>
  <c r="D122" i="150"/>
  <c r="J122" i="150"/>
  <c r="E122" i="150"/>
  <c r="C122" i="150"/>
  <c r="I123" i="150"/>
  <c r="D123" i="150"/>
  <c r="J123" i="150"/>
  <c r="E123" i="150"/>
  <c r="C123" i="150"/>
  <c r="I124" i="150"/>
  <c r="D124" i="150"/>
  <c r="J124" i="150"/>
  <c r="E124" i="150"/>
  <c r="C124" i="150"/>
  <c r="I125" i="150"/>
  <c r="D125" i="150"/>
  <c r="J125" i="150"/>
  <c r="E125" i="150"/>
  <c r="C125" i="150"/>
  <c r="I126" i="150"/>
  <c r="D126" i="150"/>
  <c r="J126" i="150"/>
  <c r="E126" i="150"/>
  <c r="C126" i="150"/>
  <c r="I127" i="150"/>
  <c r="D127" i="150"/>
  <c r="J127" i="150"/>
  <c r="E127" i="150"/>
  <c r="C127" i="150"/>
  <c r="I128" i="150"/>
  <c r="D128" i="150"/>
  <c r="J128" i="150"/>
  <c r="E128" i="150"/>
  <c r="C128" i="150"/>
  <c r="I129" i="150"/>
  <c r="D129" i="150"/>
  <c r="J129" i="150"/>
  <c r="E129" i="150"/>
  <c r="C129" i="150"/>
  <c r="I130" i="150"/>
  <c r="D130" i="150"/>
  <c r="J130" i="150"/>
  <c r="E130" i="150"/>
  <c r="C130" i="150"/>
  <c r="I131" i="150"/>
  <c r="D131" i="150"/>
  <c r="J131" i="150"/>
  <c r="E131" i="150"/>
  <c r="C131" i="150"/>
  <c r="I132" i="150"/>
  <c r="D132" i="150"/>
  <c r="J132" i="150"/>
  <c r="E132" i="150"/>
  <c r="C132" i="150"/>
  <c r="I133" i="150"/>
  <c r="D133" i="150"/>
  <c r="J133" i="150"/>
  <c r="E133" i="150"/>
  <c r="C133" i="150"/>
  <c r="I134" i="150"/>
  <c r="D134" i="150"/>
  <c r="J134" i="150"/>
  <c r="E134" i="150"/>
  <c r="C134" i="150"/>
  <c r="I135" i="150"/>
  <c r="D135" i="150"/>
  <c r="J135" i="150"/>
  <c r="E135" i="150"/>
  <c r="C135" i="150"/>
  <c r="I136" i="150"/>
  <c r="D136" i="150"/>
  <c r="J136" i="150"/>
  <c r="E136" i="150"/>
  <c r="C136" i="150"/>
  <c r="I137" i="150"/>
  <c r="D137" i="150"/>
  <c r="J137" i="150"/>
  <c r="E137" i="150"/>
  <c r="C137" i="150"/>
  <c r="I138" i="150"/>
  <c r="D138" i="150"/>
  <c r="J138" i="150"/>
  <c r="E138" i="150"/>
  <c r="C138" i="150"/>
  <c r="I139" i="150"/>
  <c r="D139" i="150"/>
  <c r="J139" i="150"/>
  <c r="E139" i="150"/>
  <c r="C139" i="150"/>
  <c r="I140" i="150"/>
  <c r="D140" i="150"/>
  <c r="J140" i="150"/>
  <c r="E140" i="150"/>
  <c r="C140" i="150"/>
  <c r="I141" i="150"/>
  <c r="D141" i="150"/>
  <c r="J141" i="150"/>
  <c r="E141" i="150"/>
  <c r="C141" i="150"/>
  <c r="I142" i="150"/>
  <c r="D142" i="150"/>
  <c r="J142" i="150"/>
  <c r="E142" i="150"/>
  <c r="C142" i="150"/>
  <c r="I143" i="150"/>
  <c r="D143" i="150"/>
  <c r="J143" i="150"/>
  <c r="E143" i="150"/>
  <c r="C143" i="150"/>
  <c r="I144" i="150"/>
  <c r="D144" i="150"/>
  <c r="J144" i="150"/>
  <c r="E144" i="150"/>
  <c r="C144" i="150"/>
  <c r="I145" i="150"/>
  <c r="D145" i="150"/>
  <c r="J145" i="150"/>
  <c r="E145" i="150"/>
  <c r="C145" i="150"/>
  <c r="I146" i="150"/>
  <c r="D146" i="150"/>
  <c r="J146" i="150"/>
  <c r="E146" i="150"/>
  <c r="C146" i="150"/>
  <c r="I147" i="150"/>
  <c r="D147" i="150"/>
  <c r="J147" i="150"/>
  <c r="E147" i="150"/>
  <c r="C147" i="150"/>
  <c r="I148" i="150"/>
  <c r="D148" i="150"/>
  <c r="J148" i="150"/>
  <c r="E148" i="150"/>
  <c r="C148" i="150"/>
  <c r="I149" i="150"/>
  <c r="D149" i="150"/>
  <c r="J149" i="150"/>
  <c r="E149" i="150"/>
  <c r="C149" i="150"/>
  <c r="I150" i="150"/>
  <c r="D150" i="150"/>
  <c r="J150" i="150"/>
  <c r="E150" i="150"/>
  <c r="C150" i="150"/>
  <c r="I151" i="150"/>
  <c r="D151" i="150"/>
  <c r="J151" i="150"/>
  <c r="E151" i="150"/>
  <c r="C151" i="150"/>
  <c r="I152" i="150"/>
  <c r="D152" i="150"/>
  <c r="J152" i="150"/>
  <c r="E152" i="150"/>
  <c r="C152" i="150"/>
  <c r="I153" i="150"/>
  <c r="D153" i="150"/>
  <c r="J153" i="150"/>
  <c r="E153" i="150"/>
  <c r="C153" i="150"/>
  <c r="I154" i="150"/>
  <c r="D154" i="150"/>
  <c r="J154" i="150"/>
  <c r="E154" i="150"/>
  <c r="C154" i="150"/>
  <c r="I155" i="150"/>
  <c r="D155" i="150"/>
  <c r="J155" i="150"/>
  <c r="E155" i="150"/>
  <c r="C155" i="150"/>
  <c r="I156" i="150"/>
  <c r="D156" i="150"/>
  <c r="J156" i="150"/>
  <c r="E156" i="150"/>
  <c r="C156" i="150"/>
  <c r="I157" i="150"/>
  <c r="D157" i="150"/>
  <c r="J157" i="150"/>
  <c r="E157" i="150"/>
  <c r="C157" i="150"/>
  <c r="I158" i="150"/>
  <c r="D158" i="150"/>
  <c r="J158" i="150"/>
  <c r="E158" i="150"/>
  <c r="C158" i="150"/>
  <c r="I159" i="150"/>
  <c r="D159" i="150"/>
  <c r="J159" i="150"/>
  <c r="E159" i="150"/>
  <c r="C159" i="150"/>
  <c r="I160" i="150"/>
  <c r="D160" i="150"/>
  <c r="J160" i="150"/>
  <c r="E160" i="150"/>
  <c r="C160" i="150"/>
  <c r="I161" i="150"/>
  <c r="D161" i="150"/>
  <c r="J161" i="150"/>
  <c r="E161" i="150"/>
  <c r="C161" i="150"/>
  <c r="I162" i="150"/>
  <c r="D162" i="150"/>
  <c r="J162" i="150"/>
  <c r="E162" i="150"/>
  <c r="C162" i="150"/>
  <c r="I163" i="150"/>
  <c r="D163" i="150"/>
  <c r="J163" i="150"/>
  <c r="E163" i="150"/>
  <c r="C163" i="150"/>
  <c r="I164" i="150"/>
  <c r="D164" i="150"/>
  <c r="J164" i="150"/>
  <c r="E164" i="150"/>
  <c r="C164" i="150"/>
  <c r="I165" i="150"/>
  <c r="D165" i="150"/>
  <c r="J165" i="150"/>
  <c r="E165" i="150"/>
  <c r="C165" i="150"/>
  <c r="I166" i="150"/>
  <c r="D166" i="150"/>
  <c r="J166" i="150"/>
  <c r="E166" i="150"/>
  <c r="C166" i="150"/>
  <c r="I167" i="150"/>
  <c r="D167" i="150"/>
  <c r="J167" i="150"/>
  <c r="E167" i="150"/>
  <c r="C167" i="150"/>
  <c r="I168" i="150"/>
  <c r="D168" i="150"/>
  <c r="J168" i="150"/>
  <c r="E168" i="150"/>
  <c r="C168" i="150"/>
  <c r="I169" i="150"/>
  <c r="D169" i="150"/>
  <c r="J169" i="150"/>
  <c r="E169" i="150"/>
  <c r="C169" i="150"/>
  <c r="I170" i="150"/>
  <c r="D170" i="150"/>
  <c r="J170" i="150"/>
  <c r="E170" i="150"/>
  <c r="C170" i="150"/>
  <c r="I171" i="150"/>
  <c r="D171" i="150"/>
  <c r="J171" i="150"/>
  <c r="E171" i="150"/>
  <c r="C171" i="150"/>
  <c r="I172" i="150"/>
  <c r="D172" i="150"/>
  <c r="J172" i="150"/>
  <c r="E172" i="150"/>
  <c r="C172" i="150"/>
  <c r="I173" i="150"/>
  <c r="D173" i="150"/>
  <c r="J173" i="150"/>
  <c r="E173" i="150"/>
  <c r="C173" i="150"/>
  <c r="I174" i="150"/>
  <c r="D174" i="150"/>
  <c r="J174" i="150"/>
  <c r="E174" i="150"/>
  <c r="C174" i="150"/>
  <c r="I175" i="150"/>
  <c r="D175" i="150"/>
  <c r="J175" i="150"/>
  <c r="E175" i="150"/>
  <c r="C175" i="150"/>
  <c r="I176" i="150"/>
  <c r="D176" i="150"/>
  <c r="J176" i="150"/>
  <c r="E176" i="150"/>
  <c r="C176" i="150"/>
  <c r="I177" i="150"/>
  <c r="D177" i="150"/>
  <c r="J177" i="150"/>
  <c r="E177" i="150"/>
  <c r="C177" i="150"/>
  <c r="I178" i="150"/>
  <c r="D178" i="150"/>
  <c r="J178" i="150"/>
  <c r="E178" i="150"/>
  <c r="C178" i="150"/>
  <c r="I179" i="150"/>
  <c r="D179" i="150"/>
  <c r="J179" i="150"/>
  <c r="E179" i="150"/>
  <c r="C179" i="150"/>
  <c r="I180" i="150"/>
  <c r="D180" i="150"/>
  <c r="J180" i="150"/>
  <c r="E180" i="150"/>
  <c r="C180" i="150"/>
  <c r="I181" i="150"/>
  <c r="D181" i="150"/>
  <c r="J181" i="150"/>
  <c r="E181" i="150"/>
  <c r="C181" i="150"/>
  <c r="I182" i="150"/>
  <c r="D182" i="150"/>
  <c r="J182" i="150"/>
  <c r="E182" i="150"/>
  <c r="C182" i="150"/>
  <c r="I183" i="150"/>
  <c r="D183" i="150"/>
  <c r="J183" i="150"/>
  <c r="E183" i="150"/>
  <c r="C183" i="150"/>
  <c r="I184" i="150"/>
  <c r="D184" i="150"/>
  <c r="J184" i="150"/>
  <c r="E184" i="150"/>
  <c r="C184" i="150"/>
  <c r="I185" i="150"/>
  <c r="D185" i="150"/>
  <c r="J185" i="150"/>
  <c r="E185" i="150"/>
  <c r="C185" i="150"/>
  <c r="I186" i="150"/>
  <c r="D186" i="150"/>
  <c r="J186" i="150"/>
  <c r="E186" i="150"/>
  <c r="C186" i="150"/>
  <c r="I187" i="150"/>
  <c r="D187" i="150"/>
  <c r="J187" i="150"/>
  <c r="E187" i="150"/>
  <c r="C187" i="150"/>
  <c r="I188" i="150"/>
  <c r="D188" i="150"/>
  <c r="J188" i="150"/>
  <c r="E188" i="150"/>
  <c r="C188" i="150"/>
  <c r="I189" i="150"/>
  <c r="D189" i="150"/>
  <c r="J189" i="150"/>
  <c r="E189" i="150"/>
  <c r="C189" i="150"/>
  <c r="I190" i="150"/>
  <c r="D190" i="150"/>
  <c r="J190" i="150"/>
  <c r="E190" i="150"/>
  <c r="C190" i="150"/>
  <c r="I191" i="150"/>
  <c r="D191" i="150"/>
  <c r="J191" i="150"/>
  <c r="E191" i="150"/>
  <c r="C191" i="150"/>
  <c r="I192" i="150"/>
  <c r="D192" i="150"/>
  <c r="J192" i="150"/>
  <c r="E192" i="150"/>
  <c r="C192" i="150"/>
  <c r="I193" i="150"/>
  <c r="D193" i="150"/>
  <c r="J193" i="150"/>
  <c r="E193" i="150"/>
  <c r="C193" i="150"/>
  <c r="I194" i="150"/>
  <c r="D194" i="150"/>
  <c r="J194" i="150"/>
  <c r="E194" i="150"/>
  <c r="C194" i="150"/>
  <c r="I195" i="150"/>
  <c r="D195" i="150"/>
  <c r="J195" i="150"/>
  <c r="E195" i="150"/>
  <c r="C195" i="150"/>
  <c r="I196" i="150"/>
  <c r="D196" i="150"/>
  <c r="J196" i="150"/>
  <c r="E196" i="150"/>
  <c r="C196" i="150"/>
  <c r="I197" i="150"/>
  <c r="D197" i="150"/>
  <c r="J197" i="150"/>
  <c r="E197" i="150"/>
  <c r="C197" i="150"/>
  <c r="I198" i="150"/>
  <c r="D198" i="150"/>
  <c r="J198" i="150"/>
  <c r="E198" i="150"/>
  <c r="C198" i="150"/>
  <c r="I199" i="150"/>
  <c r="D199" i="150"/>
  <c r="J199" i="150"/>
  <c r="E199" i="150"/>
  <c r="C199" i="150"/>
  <c r="I200" i="150"/>
  <c r="D200" i="150"/>
  <c r="J200" i="150"/>
  <c r="E200" i="150"/>
  <c r="C200" i="150"/>
  <c r="I201" i="150"/>
  <c r="D201" i="150"/>
  <c r="J201" i="150"/>
  <c r="E201" i="150"/>
  <c r="C201" i="150"/>
  <c r="I202" i="150"/>
  <c r="D202" i="150"/>
  <c r="J202" i="150"/>
  <c r="E202" i="150"/>
  <c r="C202" i="150"/>
  <c r="I203" i="150"/>
  <c r="D203" i="150"/>
  <c r="J203" i="150"/>
  <c r="E203" i="150"/>
  <c r="C203" i="150"/>
  <c r="I204" i="150"/>
  <c r="D204" i="150"/>
  <c r="J204" i="150"/>
  <c r="E204" i="150"/>
  <c r="C204" i="150"/>
  <c r="I205" i="150"/>
  <c r="D205" i="150"/>
  <c r="J205" i="150"/>
  <c r="E205" i="150"/>
  <c r="C205" i="150"/>
  <c r="I206" i="150"/>
  <c r="D206" i="150"/>
  <c r="J206" i="150"/>
  <c r="E206" i="150"/>
  <c r="C206" i="150"/>
  <c r="I207" i="150"/>
  <c r="D207" i="150"/>
  <c r="J207" i="150"/>
  <c r="E207" i="150"/>
  <c r="C207" i="150"/>
  <c r="I208" i="150"/>
  <c r="D208" i="150"/>
  <c r="J208" i="150"/>
  <c r="E208" i="150"/>
  <c r="C208" i="150"/>
  <c r="I209" i="150"/>
  <c r="D209" i="150"/>
  <c r="J209" i="150"/>
  <c r="E209" i="150"/>
  <c r="C209" i="150"/>
  <c r="I210" i="150"/>
  <c r="D210" i="150"/>
  <c r="J210" i="150"/>
  <c r="E210" i="150"/>
  <c r="C210" i="150"/>
  <c r="I211" i="150"/>
  <c r="D211" i="150"/>
  <c r="J211" i="150"/>
  <c r="E211" i="150"/>
  <c r="C211" i="150"/>
  <c r="I212" i="150"/>
  <c r="D212" i="150"/>
  <c r="J212" i="150"/>
  <c r="E212" i="150"/>
  <c r="C212" i="150"/>
  <c r="I213" i="150"/>
  <c r="D213" i="150"/>
  <c r="J213" i="150"/>
  <c r="E213" i="150"/>
  <c r="C213" i="150"/>
  <c r="I214" i="150"/>
  <c r="D214" i="150"/>
  <c r="J214" i="150"/>
  <c r="E214" i="150"/>
  <c r="C214" i="150"/>
  <c r="I215" i="150"/>
  <c r="J215" i="150"/>
  <c r="D215" i="150"/>
  <c r="E215" i="150"/>
  <c r="C215" i="150"/>
  <c r="I216" i="150"/>
  <c r="J216" i="150"/>
  <c r="D216" i="150"/>
  <c r="E216" i="150"/>
  <c r="C216" i="150"/>
  <c r="I217" i="150"/>
  <c r="J217" i="150"/>
  <c r="D217" i="150"/>
  <c r="E217" i="150"/>
  <c r="C217" i="150"/>
  <c r="I218" i="150"/>
  <c r="J218" i="150"/>
  <c r="D218" i="150"/>
  <c r="E218" i="150"/>
  <c r="C218" i="150"/>
  <c r="I219" i="150"/>
  <c r="J219" i="150"/>
  <c r="D219" i="150"/>
  <c r="E219" i="150"/>
  <c r="C219" i="150"/>
  <c r="I220" i="150"/>
  <c r="J220" i="150"/>
  <c r="D220" i="150"/>
  <c r="E220" i="150"/>
  <c r="C220" i="150"/>
  <c r="I221" i="150"/>
  <c r="D221" i="150"/>
  <c r="J221" i="150"/>
  <c r="E221" i="150"/>
  <c r="C221" i="150"/>
  <c r="I222" i="150"/>
  <c r="D222" i="150"/>
  <c r="J222" i="150"/>
  <c r="E222" i="150"/>
  <c r="C222" i="150"/>
  <c r="I223" i="150"/>
  <c r="D223" i="150"/>
  <c r="J223" i="150"/>
  <c r="E223" i="150"/>
  <c r="C223" i="150"/>
  <c r="I224" i="150"/>
  <c r="D224" i="150"/>
  <c r="J224" i="150"/>
  <c r="E224" i="150"/>
  <c r="C224" i="150"/>
  <c r="I225" i="150"/>
  <c r="D225" i="150"/>
  <c r="J225" i="150"/>
  <c r="E225" i="150"/>
  <c r="C225" i="150"/>
  <c r="I226" i="150"/>
  <c r="D226" i="150"/>
  <c r="J226" i="150"/>
  <c r="E226" i="150"/>
  <c r="C226" i="150"/>
  <c r="I227" i="150"/>
  <c r="D227" i="150"/>
  <c r="J227" i="150"/>
  <c r="E227" i="150"/>
  <c r="C227" i="150"/>
  <c r="I228" i="150"/>
  <c r="D228" i="150"/>
  <c r="J228" i="150"/>
  <c r="E228" i="150"/>
  <c r="C228" i="150"/>
  <c r="I229" i="150"/>
  <c r="D229" i="150"/>
  <c r="J229" i="150"/>
  <c r="E229" i="150"/>
  <c r="C229" i="150"/>
  <c r="I230" i="150"/>
  <c r="D230" i="150"/>
  <c r="J230" i="150"/>
  <c r="E230" i="150"/>
  <c r="C230" i="150"/>
  <c r="I231" i="150"/>
  <c r="D231" i="150"/>
  <c r="J231" i="150"/>
  <c r="E231" i="150"/>
  <c r="C231" i="150"/>
  <c r="I232" i="150"/>
  <c r="D232" i="150"/>
  <c r="J232" i="150"/>
  <c r="E232" i="150"/>
  <c r="C232" i="150"/>
  <c r="I233" i="150"/>
  <c r="D233" i="150"/>
  <c r="J233" i="150"/>
  <c r="E233" i="150"/>
  <c r="C233" i="150"/>
  <c r="I234" i="150"/>
  <c r="D234" i="150"/>
  <c r="J234" i="150"/>
  <c r="E234" i="150"/>
  <c r="C234" i="150"/>
  <c r="I235" i="150"/>
  <c r="D235" i="150"/>
  <c r="J235" i="150"/>
  <c r="E235" i="150"/>
  <c r="C235" i="150"/>
  <c r="I236" i="150"/>
  <c r="D236" i="150"/>
  <c r="J236" i="150"/>
  <c r="E236" i="150"/>
  <c r="C236" i="150"/>
  <c r="I237" i="150"/>
  <c r="D237" i="150"/>
  <c r="J237" i="150"/>
  <c r="E237" i="150"/>
  <c r="C237" i="150"/>
  <c r="I238" i="150"/>
  <c r="D238" i="150"/>
  <c r="J238" i="150"/>
  <c r="E238" i="150"/>
  <c r="C238" i="150"/>
  <c r="I239" i="150"/>
  <c r="D239" i="150"/>
  <c r="J239" i="150"/>
  <c r="E239" i="150"/>
  <c r="C239" i="150"/>
  <c r="I240" i="150"/>
  <c r="D240" i="150"/>
  <c r="J240" i="150"/>
  <c r="E240" i="150"/>
  <c r="C240" i="150"/>
  <c r="I241" i="150"/>
  <c r="D241" i="150"/>
  <c r="J241" i="150"/>
  <c r="E241" i="150"/>
  <c r="C241" i="150"/>
  <c r="I242" i="150"/>
  <c r="D242" i="150"/>
  <c r="J242" i="150"/>
  <c r="E242" i="150"/>
  <c r="C242" i="150"/>
  <c r="I243" i="150"/>
  <c r="D243" i="150"/>
  <c r="J243" i="150"/>
  <c r="E243" i="150"/>
  <c r="C243" i="150"/>
  <c r="I244" i="150"/>
  <c r="D244" i="150"/>
  <c r="J244" i="150"/>
  <c r="E244" i="150"/>
  <c r="C244" i="150"/>
  <c r="I245" i="150"/>
  <c r="D245" i="150"/>
  <c r="J245" i="150"/>
  <c r="E245" i="150"/>
  <c r="C245" i="150"/>
  <c r="I246" i="150"/>
  <c r="D246" i="150"/>
  <c r="J246" i="150"/>
  <c r="E246" i="150"/>
  <c r="C246" i="150"/>
  <c r="I247" i="150"/>
  <c r="D247" i="150"/>
  <c r="J247" i="150"/>
  <c r="E247" i="150"/>
  <c r="C247" i="150"/>
  <c r="I248" i="150"/>
  <c r="D248" i="150"/>
  <c r="J248" i="150"/>
  <c r="E248" i="150"/>
  <c r="C248" i="150"/>
  <c r="I249" i="150"/>
  <c r="D249" i="150"/>
  <c r="J249" i="150"/>
  <c r="E249" i="150"/>
  <c r="C249" i="150"/>
  <c r="I250" i="150"/>
  <c r="D250" i="150"/>
  <c r="J250" i="150"/>
  <c r="E250" i="150"/>
  <c r="C250" i="150"/>
  <c r="I251" i="150"/>
  <c r="D251" i="150"/>
  <c r="J251" i="150"/>
  <c r="E251" i="150"/>
  <c r="C251" i="150"/>
  <c r="I252" i="150"/>
  <c r="D252" i="150"/>
  <c r="J252" i="150"/>
  <c r="E252" i="150"/>
  <c r="C252" i="150"/>
  <c r="I253" i="150"/>
  <c r="D253" i="150"/>
  <c r="J253" i="150"/>
  <c r="E253" i="150"/>
  <c r="C253" i="150"/>
  <c r="I254" i="150"/>
  <c r="D254" i="150"/>
  <c r="J254" i="150"/>
  <c r="E254" i="150"/>
  <c r="C254" i="150"/>
  <c r="I255" i="150"/>
  <c r="D255" i="150"/>
  <c r="J255" i="150"/>
  <c r="E255" i="150"/>
  <c r="C255" i="150"/>
  <c r="I256" i="150"/>
  <c r="D256" i="150"/>
  <c r="J256" i="150"/>
  <c r="E256" i="150"/>
  <c r="C256" i="150"/>
  <c r="I257" i="150"/>
  <c r="D257" i="150"/>
  <c r="J257" i="150"/>
  <c r="E257" i="150"/>
  <c r="C257" i="150"/>
  <c r="I258" i="150"/>
  <c r="D258" i="150"/>
  <c r="J258" i="150"/>
  <c r="E258" i="150"/>
  <c r="C258" i="150"/>
  <c r="I259" i="150"/>
  <c r="D259" i="150"/>
  <c r="J259" i="150"/>
  <c r="E259" i="150"/>
  <c r="C259" i="150"/>
  <c r="I260" i="150"/>
  <c r="D260" i="150"/>
  <c r="J260" i="150"/>
  <c r="E260" i="150"/>
  <c r="C260" i="150"/>
  <c r="I261" i="150"/>
  <c r="D261" i="150"/>
  <c r="J261" i="150"/>
  <c r="E261" i="150"/>
  <c r="C261" i="150"/>
  <c r="I262" i="150"/>
  <c r="D262" i="150"/>
  <c r="J262" i="150"/>
  <c r="E262" i="150"/>
  <c r="C262" i="150"/>
  <c r="I263" i="150"/>
  <c r="D263" i="150"/>
  <c r="J263" i="150"/>
  <c r="E263" i="150"/>
  <c r="C263" i="150"/>
  <c r="I264" i="150"/>
  <c r="D264" i="150"/>
  <c r="J264" i="150"/>
  <c r="E264" i="150"/>
  <c r="C264" i="150"/>
  <c r="I265" i="150"/>
  <c r="D265" i="150"/>
  <c r="J265" i="150"/>
  <c r="E265" i="150"/>
  <c r="C265" i="150"/>
  <c r="I266" i="150"/>
  <c r="D266" i="150"/>
  <c r="J266" i="150"/>
  <c r="E266" i="150"/>
  <c r="C266" i="150"/>
  <c r="I267" i="150"/>
  <c r="D267" i="150"/>
  <c r="J267" i="150"/>
  <c r="E267" i="150"/>
  <c r="C267" i="150"/>
  <c r="I268" i="150"/>
  <c r="D268" i="150"/>
  <c r="J268" i="150"/>
  <c r="E268" i="150"/>
  <c r="C268" i="150"/>
  <c r="I269" i="150"/>
  <c r="D269" i="150"/>
  <c r="J269" i="150"/>
  <c r="E269" i="150"/>
  <c r="C269" i="150"/>
  <c r="I270" i="150"/>
  <c r="D270" i="150"/>
  <c r="J270" i="150"/>
  <c r="E270" i="150"/>
  <c r="C270" i="150"/>
  <c r="I271" i="150"/>
  <c r="D271" i="150"/>
  <c r="J271" i="150"/>
  <c r="E271" i="150"/>
  <c r="C271" i="150"/>
  <c r="I272" i="150"/>
  <c r="D272" i="150"/>
  <c r="J272" i="150"/>
  <c r="E272" i="150"/>
  <c r="C272" i="150"/>
  <c r="I273" i="150"/>
  <c r="D273" i="150"/>
  <c r="J273" i="150"/>
  <c r="E273" i="150"/>
  <c r="C273" i="150"/>
  <c r="I274" i="150"/>
  <c r="D274" i="150"/>
  <c r="J274" i="150"/>
  <c r="E274" i="150"/>
  <c r="C274" i="150"/>
  <c r="I275" i="150"/>
  <c r="D275" i="150"/>
  <c r="J275" i="150"/>
  <c r="E275" i="150"/>
  <c r="C275" i="150"/>
  <c r="I276" i="150"/>
  <c r="D276" i="150"/>
  <c r="J276" i="150"/>
  <c r="E276" i="150"/>
  <c r="C276" i="150"/>
  <c r="I277" i="150"/>
  <c r="D277" i="150"/>
  <c r="J277" i="150"/>
  <c r="E277" i="150"/>
  <c r="C277" i="150"/>
  <c r="I278" i="150"/>
  <c r="D278" i="150"/>
  <c r="J278" i="150"/>
  <c r="E278" i="150"/>
  <c r="C278" i="150"/>
  <c r="I279" i="150"/>
  <c r="D279" i="150"/>
  <c r="J279" i="150"/>
  <c r="E279" i="150"/>
  <c r="C279" i="150"/>
  <c r="I280" i="150"/>
  <c r="D280" i="150"/>
  <c r="J280" i="150"/>
  <c r="E280" i="150"/>
  <c r="C280" i="150"/>
  <c r="I281" i="150"/>
  <c r="D281" i="150"/>
  <c r="J281" i="150"/>
  <c r="E281" i="150"/>
  <c r="C281" i="150"/>
  <c r="I282" i="150"/>
  <c r="D282" i="150"/>
  <c r="J282" i="150"/>
  <c r="E282" i="150"/>
  <c r="C282" i="150"/>
  <c r="I283" i="150"/>
  <c r="D283" i="150"/>
  <c r="J283" i="150"/>
  <c r="E283" i="150"/>
  <c r="C283" i="150"/>
  <c r="I284" i="150"/>
  <c r="D284" i="150"/>
  <c r="J284" i="150"/>
  <c r="E284" i="150"/>
  <c r="C284" i="150"/>
  <c r="I285" i="150"/>
  <c r="D285" i="150"/>
  <c r="J285" i="150"/>
  <c r="E285" i="150"/>
  <c r="C285" i="150"/>
  <c r="I286" i="150"/>
  <c r="D286" i="150"/>
  <c r="J286" i="150"/>
  <c r="E286" i="150"/>
  <c r="C286" i="150"/>
  <c r="I287" i="150"/>
  <c r="D287" i="150"/>
  <c r="J287" i="150"/>
  <c r="E287" i="150"/>
  <c r="C287" i="150"/>
  <c r="I288" i="150"/>
  <c r="D288" i="150"/>
  <c r="J288" i="150"/>
  <c r="E288" i="150"/>
  <c r="C288" i="150"/>
  <c r="I289" i="150"/>
  <c r="D289" i="150"/>
  <c r="J289" i="150"/>
  <c r="E289" i="150"/>
  <c r="C289" i="150"/>
  <c r="I290" i="150"/>
  <c r="D290" i="150"/>
  <c r="J290" i="150"/>
  <c r="E290" i="150"/>
  <c r="C290" i="150"/>
  <c r="I291" i="150"/>
  <c r="D291" i="150"/>
  <c r="J291" i="150"/>
  <c r="E291" i="150"/>
  <c r="C291" i="150"/>
  <c r="I292" i="150"/>
  <c r="D292" i="150"/>
  <c r="J292" i="150"/>
  <c r="E292" i="150"/>
  <c r="C292" i="150"/>
  <c r="I293" i="150"/>
  <c r="D293" i="150"/>
  <c r="J293" i="150"/>
  <c r="E293" i="150"/>
  <c r="C293" i="150"/>
  <c r="I294" i="150"/>
  <c r="D294" i="150"/>
  <c r="J294" i="150"/>
  <c r="E294" i="150"/>
  <c r="C294" i="150"/>
  <c r="I295" i="150"/>
  <c r="D295" i="150"/>
  <c r="J295" i="150"/>
  <c r="E295" i="150"/>
  <c r="C295" i="150"/>
  <c r="I296" i="150"/>
  <c r="D296" i="150"/>
  <c r="J296" i="150"/>
  <c r="E296" i="150"/>
  <c r="C296" i="150"/>
  <c r="I297" i="150"/>
  <c r="D297" i="150"/>
  <c r="J297" i="150"/>
  <c r="E297" i="150"/>
  <c r="C297" i="150"/>
  <c r="I298" i="150"/>
  <c r="D298" i="150"/>
  <c r="J298" i="150"/>
  <c r="E298" i="150"/>
  <c r="C298" i="150"/>
  <c r="I299" i="150"/>
  <c r="D299" i="150"/>
  <c r="J299" i="150"/>
  <c r="E299" i="150"/>
  <c r="C299" i="150"/>
  <c r="I300" i="150"/>
  <c r="D300" i="150"/>
  <c r="J300" i="150"/>
  <c r="E300" i="150"/>
  <c r="C300" i="150"/>
  <c r="I301" i="150"/>
  <c r="D301" i="150"/>
  <c r="J301" i="150"/>
  <c r="E301" i="150"/>
  <c r="C301" i="150"/>
  <c r="I302" i="150"/>
  <c r="D302" i="150"/>
  <c r="J302" i="150"/>
  <c r="E302" i="150"/>
  <c r="C302" i="150"/>
  <c r="I303" i="150"/>
  <c r="D303" i="150"/>
  <c r="J303" i="150"/>
  <c r="E303" i="150"/>
  <c r="C303" i="150"/>
  <c r="I304" i="150"/>
  <c r="D304" i="150"/>
  <c r="J304" i="150"/>
  <c r="E304" i="150"/>
  <c r="C304" i="150"/>
  <c r="I305" i="150"/>
  <c r="D305" i="150"/>
  <c r="J305" i="150"/>
  <c r="E305" i="150"/>
  <c r="C305" i="150"/>
  <c r="I306" i="150"/>
  <c r="D306" i="150"/>
  <c r="J306" i="150"/>
  <c r="E306" i="150"/>
  <c r="C306" i="150"/>
  <c r="I307" i="150"/>
  <c r="D307" i="150"/>
  <c r="J307" i="150"/>
  <c r="E307" i="150"/>
  <c r="C307" i="150"/>
  <c r="I308" i="150"/>
  <c r="D308" i="150"/>
  <c r="J308" i="150"/>
  <c r="E308" i="150"/>
  <c r="C308" i="150"/>
  <c r="I309" i="150"/>
  <c r="D309" i="150"/>
  <c r="J309" i="150"/>
  <c r="E309" i="150"/>
  <c r="C309" i="150"/>
  <c r="I310" i="150"/>
  <c r="D310" i="150"/>
  <c r="J310" i="150"/>
  <c r="E310" i="150"/>
  <c r="C310" i="150"/>
  <c r="I311" i="150"/>
  <c r="D311" i="150"/>
  <c r="J311" i="150"/>
  <c r="E311" i="150"/>
  <c r="C311" i="150"/>
  <c r="I312" i="150"/>
  <c r="D312" i="150"/>
  <c r="J312" i="150"/>
  <c r="E312" i="150"/>
  <c r="C312" i="150"/>
  <c r="I313" i="150"/>
  <c r="D313" i="150"/>
  <c r="J313" i="150"/>
  <c r="E313" i="150"/>
  <c r="C313" i="150"/>
  <c r="I314" i="150"/>
  <c r="D314" i="150"/>
  <c r="J314" i="150"/>
  <c r="E314" i="150"/>
  <c r="C314" i="150"/>
  <c r="I315" i="150"/>
  <c r="D315" i="150"/>
  <c r="J315" i="150"/>
  <c r="E315" i="150"/>
  <c r="C315" i="150"/>
  <c r="I316" i="150"/>
  <c r="D316" i="150"/>
  <c r="J316" i="150"/>
  <c r="E316" i="150"/>
  <c r="C316" i="150"/>
  <c r="I317" i="150"/>
  <c r="D317" i="150"/>
  <c r="J317" i="150"/>
  <c r="E317" i="150"/>
  <c r="C317" i="150"/>
  <c r="I318" i="150"/>
  <c r="D318" i="150"/>
  <c r="J318" i="150"/>
  <c r="E318" i="150"/>
  <c r="C318" i="150"/>
  <c r="I319" i="150"/>
  <c r="D319" i="150"/>
  <c r="J319" i="150"/>
  <c r="E319" i="150"/>
  <c r="C319" i="150"/>
  <c r="I320" i="150"/>
  <c r="D320" i="150"/>
  <c r="J320" i="150"/>
  <c r="E320" i="150"/>
  <c r="C320" i="150"/>
  <c r="I321" i="150"/>
  <c r="D321" i="150"/>
  <c r="J321" i="150"/>
  <c r="E321" i="150"/>
  <c r="C321" i="150"/>
  <c r="I322" i="150"/>
  <c r="D322" i="150"/>
  <c r="J322" i="150"/>
  <c r="E322" i="150"/>
  <c r="C322" i="150"/>
  <c r="I323" i="150"/>
  <c r="D323" i="150"/>
  <c r="J323" i="150"/>
  <c r="E323" i="150"/>
  <c r="C323" i="150"/>
  <c r="I324" i="150"/>
  <c r="D324" i="150"/>
  <c r="J324" i="150"/>
  <c r="E324" i="150"/>
  <c r="C324" i="150"/>
  <c r="I325" i="150"/>
  <c r="D325" i="150"/>
  <c r="J325" i="150"/>
  <c r="E325" i="150"/>
  <c r="C325" i="150"/>
  <c r="I326" i="150"/>
  <c r="D326" i="150"/>
  <c r="J326" i="150"/>
  <c r="E326" i="150"/>
  <c r="C326" i="150"/>
  <c r="I327" i="150"/>
  <c r="D327" i="150"/>
  <c r="J327" i="150"/>
  <c r="E327" i="150"/>
  <c r="C327" i="150"/>
  <c r="I328" i="150"/>
  <c r="D328" i="150"/>
  <c r="J328" i="150"/>
  <c r="E328" i="150"/>
  <c r="C328" i="150"/>
  <c r="I329" i="150"/>
  <c r="D329" i="150"/>
  <c r="J329" i="150"/>
  <c r="E329" i="150"/>
  <c r="C329" i="150"/>
  <c r="I330" i="150"/>
  <c r="D330" i="150"/>
  <c r="J330" i="150"/>
  <c r="E330" i="150"/>
  <c r="C330" i="150"/>
  <c r="I331" i="150"/>
  <c r="D331" i="150"/>
  <c r="J331" i="150"/>
  <c r="E331" i="150"/>
  <c r="C331" i="150"/>
  <c r="I332" i="150"/>
  <c r="D332" i="150"/>
  <c r="J332" i="150"/>
  <c r="E332" i="150"/>
  <c r="C332" i="150"/>
  <c r="I333" i="150"/>
  <c r="D333" i="150"/>
  <c r="J333" i="150"/>
  <c r="E333" i="150"/>
  <c r="C333" i="150"/>
  <c r="I334" i="150"/>
  <c r="D334" i="150"/>
  <c r="J334" i="150"/>
  <c r="E334" i="150"/>
  <c r="C334" i="150"/>
  <c r="I335" i="150"/>
  <c r="D335" i="150"/>
  <c r="J335" i="150"/>
  <c r="E335" i="150"/>
  <c r="C335" i="150"/>
  <c r="I336" i="150"/>
  <c r="D336" i="150"/>
  <c r="J336" i="150"/>
  <c r="E336" i="150"/>
  <c r="C336" i="150"/>
  <c r="I337" i="150"/>
  <c r="D337" i="150"/>
  <c r="J337" i="150"/>
  <c r="E337" i="150"/>
  <c r="C337" i="150"/>
  <c r="I338" i="150"/>
  <c r="D338" i="150"/>
  <c r="J338" i="150"/>
  <c r="E338" i="150"/>
  <c r="C338" i="150"/>
  <c r="I339" i="150"/>
  <c r="D339" i="150"/>
  <c r="J339" i="150"/>
  <c r="E339" i="150"/>
  <c r="C339" i="150"/>
  <c r="I340" i="150"/>
  <c r="D340" i="150"/>
  <c r="J340" i="150"/>
  <c r="E340" i="150"/>
  <c r="C340" i="150"/>
  <c r="I341" i="150"/>
  <c r="D341" i="150"/>
  <c r="J341" i="150"/>
  <c r="E341" i="150"/>
  <c r="C341" i="150"/>
  <c r="I342" i="150"/>
  <c r="D342" i="150"/>
  <c r="J342" i="150"/>
  <c r="E342" i="150"/>
  <c r="C342" i="150"/>
  <c r="I343" i="150"/>
  <c r="D343" i="150"/>
  <c r="J343" i="150"/>
  <c r="E343" i="150"/>
  <c r="C343" i="150"/>
  <c r="I344" i="150"/>
  <c r="D344" i="150"/>
  <c r="J344" i="150"/>
  <c r="E344" i="150"/>
  <c r="C344" i="150"/>
  <c r="I345" i="150"/>
  <c r="D345" i="150"/>
  <c r="J345" i="150"/>
  <c r="E345" i="150"/>
  <c r="C345" i="150"/>
  <c r="I346" i="150"/>
  <c r="D346" i="150"/>
  <c r="J346" i="150"/>
  <c r="E346" i="150"/>
  <c r="C346" i="150"/>
  <c r="I347" i="150"/>
  <c r="D347" i="150"/>
  <c r="J347" i="150"/>
  <c r="E347" i="150"/>
  <c r="C347" i="150"/>
  <c r="I348" i="150"/>
  <c r="D348" i="150"/>
  <c r="J348" i="150"/>
  <c r="E348" i="150"/>
  <c r="C348" i="150"/>
  <c r="I349" i="150"/>
  <c r="D349" i="150"/>
  <c r="J349" i="150"/>
  <c r="E349" i="150"/>
  <c r="C349" i="150"/>
  <c r="I350" i="150"/>
  <c r="D350" i="150"/>
  <c r="J350" i="150"/>
  <c r="E350" i="150"/>
  <c r="C350" i="150"/>
  <c r="I351" i="150"/>
  <c r="D351" i="150"/>
  <c r="J351" i="150"/>
  <c r="E351" i="150"/>
  <c r="C351" i="150"/>
  <c r="I352" i="150"/>
  <c r="D352" i="150"/>
  <c r="J352" i="150"/>
  <c r="E352" i="150"/>
  <c r="C352" i="150"/>
  <c r="I353" i="150"/>
  <c r="D353" i="150"/>
  <c r="J353" i="150"/>
  <c r="E353" i="150"/>
  <c r="C353" i="150"/>
  <c r="I354" i="150"/>
  <c r="D354" i="150"/>
  <c r="J354" i="150"/>
  <c r="E354" i="150"/>
  <c r="C354" i="150"/>
  <c r="I355" i="150"/>
  <c r="D355" i="150"/>
  <c r="J355" i="150"/>
  <c r="E355" i="150"/>
  <c r="C355" i="150"/>
  <c r="I356" i="150"/>
  <c r="D356" i="150"/>
  <c r="J356" i="150"/>
  <c r="E356" i="150"/>
  <c r="C356" i="150"/>
  <c r="I357" i="150"/>
  <c r="D357" i="150"/>
  <c r="J357" i="150"/>
  <c r="E357" i="150"/>
  <c r="C357" i="150"/>
  <c r="F5" i="149"/>
  <c r="F7" i="149"/>
  <c r="A51" i="149"/>
  <c r="F6" i="149"/>
  <c r="E6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44" i="149"/>
  <c r="B44" i="149"/>
  <c r="G44" i="149"/>
  <c r="H44" i="149"/>
  <c r="E5" i="149"/>
  <c r="E29" i="149"/>
  <c r="B29" i="149"/>
  <c r="G29" i="149"/>
  <c r="H29" i="149"/>
  <c r="O358" i="150"/>
  <c r="E7" i="149"/>
  <c r="E19" i="149"/>
  <c r="B19" i="149"/>
  <c r="E24" i="149"/>
  <c r="B24" i="149"/>
  <c r="B17" i="149"/>
  <c r="G17" i="149"/>
  <c r="E17" i="149"/>
  <c r="H17" i="149"/>
  <c r="O2" i="150"/>
  <c r="E20" i="149"/>
  <c r="B20" i="149"/>
  <c r="E22" i="149"/>
  <c r="E21" i="149"/>
  <c r="B21" i="149"/>
  <c r="E26" i="149"/>
  <c r="B26" i="149"/>
  <c r="E28" i="149"/>
  <c r="B28" i="149"/>
  <c r="B23" i="149"/>
  <c r="B22" i="149"/>
  <c r="E25" i="149"/>
  <c r="B25" i="149"/>
  <c r="E27" i="149"/>
  <c r="B27" i="149"/>
  <c r="B18" i="149"/>
  <c r="G18" i="149"/>
  <c r="E18" i="149"/>
  <c r="H18" i="149"/>
  <c r="O3" i="150"/>
  <c r="O4" i="150"/>
  <c r="O5" i="150"/>
  <c r="F8" i="149"/>
  <c r="E8" i="149"/>
  <c r="E34" i="149"/>
  <c r="B34" i="149"/>
  <c r="E39" i="149"/>
  <c r="B39" i="149"/>
  <c r="B32" i="149"/>
  <c r="G32" i="149"/>
  <c r="E32" i="149"/>
  <c r="H32" i="149"/>
  <c r="O6" i="150"/>
  <c r="E35" i="149"/>
  <c r="B35" i="149"/>
  <c r="E37" i="149"/>
  <c r="E38" i="149"/>
  <c r="C46" i="149"/>
  <c r="B38" i="149"/>
  <c r="B37" i="149"/>
  <c r="E40" i="149"/>
  <c r="B40" i="149"/>
  <c r="E42" i="149"/>
  <c r="B42" i="149"/>
  <c r="B33" i="149"/>
  <c r="G33" i="149"/>
  <c r="E33" i="149"/>
  <c r="H33" i="149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O42" i="150"/>
  <c r="G25" i="149"/>
  <c r="H25" i="149"/>
  <c r="O43" i="150"/>
  <c r="G26" i="149"/>
  <c r="H26" i="149"/>
  <c r="O44" i="150"/>
  <c r="O45" i="150"/>
  <c r="O46" i="150"/>
  <c r="O47" i="150"/>
  <c r="G39" i="149"/>
  <c r="H39" i="149"/>
  <c r="O48" i="150"/>
  <c r="G40" i="149"/>
  <c r="H40" i="149"/>
  <c r="O49" i="150"/>
  <c r="E41" i="149"/>
  <c r="B41" i="149"/>
  <c r="G41" i="149"/>
  <c r="H41" i="149"/>
  <c r="O50" i="150"/>
  <c r="G34" i="149"/>
  <c r="H34" i="149"/>
  <c r="G19" i="149"/>
  <c r="H19" i="149"/>
  <c r="O51" i="150"/>
  <c r="G35" i="149"/>
  <c r="H35" i="149"/>
  <c r="G20" i="149"/>
  <c r="H20" i="149"/>
  <c r="O52" i="150"/>
  <c r="E43" i="149"/>
  <c r="B43" i="149"/>
  <c r="B36" i="149"/>
  <c r="G36" i="149"/>
  <c r="E36" i="149"/>
  <c r="H36" i="149"/>
  <c r="G21" i="149"/>
  <c r="H21" i="149"/>
  <c r="O53" i="150"/>
  <c r="O54" i="150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G27" i="149"/>
  <c r="H27" i="149"/>
  <c r="O138" i="150"/>
  <c r="G28" i="149"/>
  <c r="H28" i="149"/>
  <c r="O139" i="150"/>
  <c r="O140" i="150"/>
  <c r="O141" i="150"/>
  <c r="G42" i="149"/>
  <c r="H42" i="149"/>
  <c r="O142" i="150"/>
  <c r="G43" i="149"/>
  <c r="H43" i="149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G23" i="149"/>
  <c r="E23" i="149"/>
  <c r="H23" i="149"/>
  <c r="O215" i="150"/>
  <c r="O216" i="150"/>
  <c r="G38" i="149"/>
  <c r="H38" i="149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O256" i="150"/>
  <c r="O257" i="150"/>
  <c r="O258" i="150"/>
  <c r="O259" i="150"/>
  <c r="O260" i="150"/>
  <c r="O261" i="150"/>
  <c r="G22" i="149"/>
  <c r="H22" i="149"/>
  <c r="O262" i="150"/>
  <c r="O263" i="150"/>
  <c r="O264" i="150"/>
  <c r="O265" i="150"/>
  <c r="O266" i="150"/>
  <c r="O267" i="150"/>
  <c r="O268" i="150"/>
  <c r="O269" i="150"/>
  <c r="G37" i="149"/>
  <c r="H37" i="149"/>
  <c r="O270" i="150"/>
  <c r="O271" i="150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O319" i="150"/>
  <c r="O320" i="150"/>
  <c r="O321" i="150"/>
  <c r="O322" i="150"/>
  <c r="O323" i="150"/>
  <c r="O324" i="150"/>
  <c r="O325" i="150"/>
  <c r="O326" i="150"/>
  <c r="O327" i="150"/>
  <c r="O328" i="150"/>
  <c r="O329" i="150"/>
  <c r="O330" i="150"/>
  <c r="O331" i="150"/>
  <c r="O332" i="150"/>
  <c r="O333" i="150"/>
  <c r="O334" i="150"/>
  <c r="O335" i="150"/>
  <c r="O336" i="150"/>
  <c r="O337" i="150"/>
  <c r="O338" i="150"/>
  <c r="O339" i="150"/>
  <c r="O340" i="150"/>
  <c r="O341" i="150"/>
  <c r="O342" i="150"/>
  <c r="O343" i="150"/>
  <c r="O344" i="150"/>
  <c r="O345" i="150"/>
  <c r="O346" i="150"/>
  <c r="O347" i="150"/>
  <c r="O348" i="150"/>
  <c r="O349" i="150"/>
  <c r="O350" i="150"/>
  <c r="O351" i="150"/>
  <c r="O352" i="150"/>
  <c r="O353" i="150"/>
  <c r="O354" i="150"/>
  <c r="O355" i="150"/>
  <c r="O356" i="150"/>
  <c r="O357" i="150"/>
  <c r="O359" i="150"/>
  <c r="O360" i="150"/>
  <c r="B46" i="149"/>
  <c r="G46" i="149"/>
  <c r="E46" i="149"/>
  <c r="H46" i="149"/>
  <c r="R3" i="149"/>
  <c r="O361" i="150"/>
  <c r="P358" i="150"/>
  <c r="H359" i="150"/>
  <c r="K359" i="150"/>
  <c r="L359" i="150"/>
  <c r="M359" i="150"/>
  <c r="N359" i="150"/>
  <c r="P359" i="150"/>
  <c r="H360" i="150"/>
  <c r="K360" i="150"/>
  <c r="L360" i="150"/>
  <c r="M360" i="150"/>
  <c r="N360" i="150"/>
  <c r="P360" i="150"/>
  <c r="H361" i="150"/>
  <c r="K361" i="150"/>
  <c r="L361" i="150"/>
  <c r="M361" i="150"/>
  <c r="N361" i="150"/>
  <c r="P361" i="150"/>
  <c r="F357" i="150"/>
  <c r="H357" i="150"/>
  <c r="K357" i="150"/>
  <c r="L357" i="150"/>
  <c r="M357" i="150"/>
  <c r="N357" i="150"/>
  <c r="P357" i="150"/>
  <c r="A358" i="150"/>
  <c r="A359" i="150"/>
  <c r="A360" i="150"/>
  <c r="A361" i="150"/>
  <c r="A357" i="150"/>
  <c r="I361" i="148"/>
  <c r="D361" i="148"/>
  <c r="J361" i="148"/>
  <c r="E361" i="148"/>
  <c r="F361" i="148"/>
  <c r="C361" i="148"/>
  <c r="I357" i="148"/>
  <c r="D357" i="148"/>
  <c r="J357" i="148"/>
  <c r="E357" i="148"/>
  <c r="F357" i="148"/>
  <c r="C357" i="148"/>
  <c r="I358" i="148"/>
  <c r="D358" i="148"/>
  <c r="J358" i="148"/>
  <c r="E358" i="148"/>
  <c r="F358" i="148"/>
  <c r="C358" i="148"/>
  <c r="I359" i="148"/>
  <c r="D359" i="148"/>
  <c r="J359" i="148"/>
  <c r="E359" i="148"/>
  <c r="F359" i="148"/>
  <c r="C359" i="148"/>
  <c r="I360" i="148"/>
  <c r="D360" i="148"/>
  <c r="J360" i="148"/>
  <c r="E360" i="148"/>
  <c r="F360" i="148"/>
  <c r="C360" i="148"/>
  <c r="I2" i="148"/>
  <c r="J2" i="148"/>
  <c r="D2" i="148"/>
  <c r="E2" i="148"/>
  <c r="C2" i="148"/>
  <c r="I3" i="148"/>
  <c r="J3" i="148"/>
  <c r="D3" i="148"/>
  <c r="E3" i="148"/>
  <c r="C3" i="148"/>
  <c r="I4" i="148"/>
  <c r="J4" i="148"/>
  <c r="D4" i="148"/>
  <c r="E4" i="148"/>
  <c r="C4" i="148"/>
  <c r="I5" i="148"/>
  <c r="J5" i="148"/>
  <c r="D5" i="148"/>
  <c r="E5" i="148"/>
  <c r="C5" i="148"/>
  <c r="I6" i="148"/>
  <c r="J6" i="148"/>
  <c r="D6" i="148"/>
  <c r="E6" i="148"/>
  <c r="C6" i="148"/>
  <c r="I7" i="148"/>
  <c r="J7" i="148"/>
  <c r="D7" i="148"/>
  <c r="E7" i="148"/>
  <c r="C7" i="148"/>
  <c r="I8" i="148"/>
  <c r="J8" i="148"/>
  <c r="D8" i="148"/>
  <c r="E8" i="148"/>
  <c r="C8" i="148"/>
  <c r="I9" i="148"/>
  <c r="J9" i="148"/>
  <c r="D9" i="148"/>
  <c r="E9" i="148"/>
  <c r="C9" i="148"/>
  <c r="I10" i="148"/>
  <c r="J10" i="148"/>
  <c r="D10" i="148"/>
  <c r="E10" i="148"/>
  <c r="C10" i="148"/>
  <c r="I11" i="148"/>
  <c r="J11" i="148"/>
  <c r="D11" i="148"/>
  <c r="E11" i="148"/>
  <c r="C11" i="148"/>
  <c r="I12" i="148"/>
  <c r="J12" i="148"/>
  <c r="D12" i="148"/>
  <c r="E12" i="148"/>
  <c r="C12" i="148"/>
  <c r="I13" i="148"/>
  <c r="J13" i="148"/>
  <c r="D13" i="148"/>
  <c r="E13" i="148"/>
  <c r="C13" i="148"/>
  <c r="I14" i="148"/>
  <c r="J14" i="148"/>
  <c r="D14" i="148"/>
  <c r="E14" i="148"/>
  <c r="C14" i="148"/>
  <c r="I15" i="148"/>
  <c r="J15" i="148"/>
  <c r="D15" i="148"/>
  <c r="E15" i="148"/>
  <c r="C15" i="148"/>
  <c r="I16" i="148"/>
  <c r="J16" i="148"/>
  <c r="D16" i="148"/>
  <c r="E16" i="148"/>
  <c r="C16" i="148"/>
  <c r="I17" i="148"/>
  <c r="J17" i="148"/>
  <c r="D17" i="148"/>
  <c r="E17" i="148"/>
  <c r="C17" i="148"/>
  <c r="I18" i="148"/>
  <c r="J18" i="148"/>
  <c r="D18" i="148"/>
  <c r="E18" i="148"/>
  <c r="C18" i="148"/>
  <c r="I19" i="148"/>
  <c r="J19" i="148"/>
  <c r="D19" i="148"/>
  <c r="E19" i="148"/>
  <c r="C19" i="148"/>
  <c r="I20" i="148"/>
  <c r="J20" i="148"/>
  <c r="D20" i="148"/>
  <c r="E20" i="148"/>
  <c r="C20" i="148"/>
  <c r="I21" i="148"/>
  <c r="J21" i="148"/>
  <c r="D21" i="148"/>
  <c r="E21" i="148"/>
  <c r="C21" i="148"/>
  <c r="I22" i="148"/>
  <c r="J22" i="148"/>
  <c r="D22" i="148"/>
  <c r="E22" i="148"/>
  <c r="C22" i="148"/>
  <c r="I23" i="148"/>
  <c r="J23" i="148"/>
  <c r="D23" i="148"/>
  <c r="E23" i="148"/>
  <c r="C23" i="148"/>
  <c r="I24" i="148"/>
  <c r="J24" i="148"/>
  <c r="D24" i="148"/>
  <c r="E24" i="148"/>
  <c r="C24" i="148"/>
  <c r="I25" i="148"/>
  <c r="J25" i="148"/>
  <c r="D25" i="148"/>
  <c r="E25" i="148"/>
  <c r="C25" i="148"/>
  <c r="I26" i="148"/>
  <c r="J26" i="148"/>
  <c r="D26" i="148"/>
  <c r="E26" i="148"/>
  <c r="C26" i="148"/>
  <c r="I27" i="148"/>
  <c r="J27" i="148"/>
  <c r="D27" i="148"/>
  <c r="E27" i="148"/>
  <c r="C27" i="148"/>
  <c r="I28" i="148"/>
  <c r="J28" i="148"/>
  <c r="D28" i="148"/>
  <c r="E28" i="148"/>
  <c r="C28" i="148"/>
  <c r="I29" i="148"/>
  <c r="J29" i="148"/>
  <c r="D29" i="148"/>
  <c r="E29" i="148"/>
  <c r="C29" i="148"/>
  <c r="I30" i="148"/>
  <c r="J30" i="148"/>
  <c r="D30" i="148"/>
  <c r="E30" i="148"/>
  <c r="C30" i="148"/>
  <c r="I31" i="148"/>
  <c r="J31" i="148"/>
  <c r="D31" i="148"/>
  <c r="E31" i="148"/>
  <c r="C31" i="148"/>
  <c r="I32" i="148"/>
  <c r="J32" i="148"/>
  <c r="D32" i="148"/>
  <c r="E32" i="148"/>
  <c r="C32" i="148"/>
  <c r="I33" i="148"/>
  <c r="J33" i="148"/>
  <c r="D33" i="148"/>
  <c r="E33" i="148"/>
  <c r="C33" i="148"/>
  <c r="I34" i="148"/>
  <c r="J34" i="148"/>
  <c r="D34" i="148"/>
  <c r="E34" i="148"/>
  <c r="C34" i="148"/>
  <c r="I35" i="148"/>
  <c r="J35" i="148"/>
  <c r="D35" i="148"/>
  <c r="E35" i="148"/>
  <c r="C35" i="148"/>
  <c r="I36" i="148"/>
  <c r="J36" i="148"/>
  <c r="D36" i="148"/>
  <c r="E36" i="148"/>
  <c r="C36" i="148"/>
  <c r="I37" i="148"/>
  <c r="J37" i="148"/>
  <c r="D37" i="148"/>
  <c r="E37" i="148"/>
  <c r="C37" i="148"/>
  <c r="I38" i="148"/>
  <c r="J38" i="148"/>
  <c r="D38" i="148"/>
  <c r="E38" i="148"/>
  <c r="C38" i="148"/>
  <c r="I39" i="148"/>
  <c r="J39" i="148"/>
  <c r="D39" i="148"/>
  <c r="E39" i="148"/>
  <c r="C39" i="148"/>
  <c r="I40" i="148"/>
  <c r="J40" i="148"/>
  <c r="D40" i="148"/>
  <c r="E40" i="148"/>
  <c r="C40" i="148"/>
  <c r="I41" i="148"/>
  <c r="J41" i="148"/>
  <c r="D41" i="148"/>
  <c r="E41" i="148"/>
  <c r="C41" i="148"/>
  <c r="I42" i="148"/>
  <c r="D42" i="148"/>
  <c r="J42" i="148"/>
  <c r="E42" i="148"/>
  <c r="C42" i="148"/>
  <c r="I43" i="148"/>
  <c r="D43" i="148"/>
  <c r="J43" i="148"/>
  <c r="E43" i="148"/>
  <c r="C43" i="148"/>
  <c r="I44" i="148"/>
  <c r="D44" i="148"/>
  <c r="J44" i="148"/>
  <c r="E44" i="148"/>
  <c r="C44" i="148"/>
  <c r="I45" i="148"/>
  <c r="D45" i="148"/>
  <c r="J45" i="148"/>
  <c r="E45" i="148"/>
  <c r="C45" i="148"/>
  <c r="I46" i="148"/>
  <c r="D46" i="148"/>
  <c r="J46" i="148"/>
  <c r="E46" i="148"/>
  <c r="C46" i="148"/>
  <c r="I47" i="148"/>
  <c r="D47" i="148"/>
  <c r="J47" i="148"/>
  <c r="E47" i="148"/>
  <c r="C47" i="148"/>
  <c r="I48" i="148"/>
  <c r="D48" i="148"/>
  <c r="J48" i="148"/>
  <c r="E48" i="148"/>
  <c r="C48" i="148"/>
  <c r="I49" i="148"/>
  <c r="D49" i="148"/>
  <c r="J49" i="148"/>
  <c r="E49" i="148"/>
  <c r="C49" i="148"/>
  <c r="I50" i="148"/>
  <c r="D50" i="148"/>
  <c r="J50" i="148"/>
  <c r="E50" i="148"/>
  <c r="C50" i="148"/>
  <c r="I51" i="148"/>
  <c r="D51" i="148"/>
  <c r="J51" i="148"/>
  <c r="E51" i="148"/>
  <c r="C51" i="148"/>
  <c r="I52" i="148"/>
  <c r="D52" i="148"/>
  <c r="J52" i="148"/>
  <c r="E52" i="148"/>
  <c r="C52" i="148"/>
  <c r="I53" i="148"/>
  <c r="D53" i="148"/>
  <c r="J53" i="148"/>
  <c r="E53" i="148"/>
  <c r="C53" i="148"/>
  <c r="I54" i="148"/>
  <c r="D54" i="148"/>
  <c r="J54" i="148"/>
  <c r="E54" i="148"/>
  <c r="C54" i="148"/>
  <c r="I55" i="148"/>
  <c r="D55" i="148"/>
  <c r="J55" i="148"/>
  <c r="E55" i="148"/>
  <c r="C55" i="148"/>
  <c r="I56" i="148"/>
  <c r="D56" i="148"/>
  <c r="J56" i="148"/>
  <c r="E56" i="148"/>
  <c r="C56" i="148"/>
  <c r="I57" i="148"/>
  <c r="D57" i="148"/>
  <c r="J57" i="148"/>
  <c r="E57" i="148"/>
  <c r="C57" i="148"/>
  <c r="I58" i="148"/>
  <c r="D58" i="148"/>
  <c r="J58" i="148"/>
  <c r="E58" i="148"/>
  <c r="C58" i="148"/>
  <c r="I59" i="148"/>
  <c r="D59" i="148"/>
  <c r="J59" i="148"/>
  <c r="E59" i="148"/>
  <c r="C59" i="148"/>
  <c r="I60" i="148"/>
  <c r="D60" i="148"/>
  <c r="J60" i="148"/>
  <c r="E60" i="148"/>
  <c r="C60" i="148"/>
  <c r="I61" i="148"/>
  <c r="D61" i="148"/>
  <c r="J61" i="148"/>
  <c r="E61" i="148"/>
  <c r="C61" i="148"/>
  <c r="I62" i="148"/>
  <c r="D62" i="148"/>
  <c r="J62" i="148"/>
  <c r="E62" i="148"/>
  <c r="C62" i="148"/>
  <c r="I63" i="148"/>
  <c r="D63" i="148"/>
  <c r="J63" i="148"/>
  <c r="E63" i="148"/>
  <c r="C63" i="148"/>
  <c r="I64" i="148"/>
  <c r="D64" i="148"/>
  <c r="J64" i="148"/>
  <c r="E64" i="148"/>
  <c r="C64" i="148"/>
  <c r="I65" i="148"/>
  <c r="D65" i="148"/>
  <c r="J65" i="148"/>
  <c r="E65" i="148"/>
  <c r="C65" i="148"/>
  <c r="I66" i="148"/>
  <c r="D66" i="148"/>
  <c r="J66" i="148"/>
  <c r="E66" i="148"/>
  <c r="C66" i="148"/>
  <c r="I67" i="148"/>
  <c r="D67" i="148"/>
  <c r="J67" i="148"/>
  <c r="E67" i="148"/>
  <c r="C67" i="148"/>
  <c r="I68" i="148"/>
  <c r="D68" i="148"/>
  <c r="J68" i="148"/>
  <c r="E68" i="148"/>
  <c r="C68" i="148"/>
  <c r="I69" i="148"/>
  <c r="D69" i="148"/>
  <c r="J69" i="148"/>
  <c r="E69" i="148"/>
  <c r="C69" i="148"/>
  <c r="I70" i="148"/>
  <c r="D70" i="148"/>
  <c r="J70" i="148"/>
  <c r="E70" i="148"/>
  <c r="C70" i="148"/>
  <c r="I71" i="148"/>
  <c r="D71" i="148"/>
  <c r="J71" i="148"/>
  <c r="E71" i="148"/>
  <c r="C71" i="148"/>
  <c r="I72" i="148"/>
  <c r="D72" i="148"/>
  <c r="J72" i="148"/>
  <c r="E72" i="148"/>
  <c r="C72" i="148"/>
  <c r="I73" i="148"/>
  <c r="D73" i="148"/>
  <c r="J73" i="148"/>
  <c r="E73" i="148"/>
  <c r="C73" i="148"/>
  <c r="I74" i="148"/>
  <c r="D74" i="148"/>
  <c r="J74" i="148"/>
  <c r="E74" i="148"/>
  <c r="C74" i="148"/>
  <c r="I75" i="148"/>
  <c r="D75" i="148"/>
  <c r="J75" i="148"/>
  <c r="E75" i="148"/>
  <c r="C75" i="148"/>
  <c r="I76" i="148"/>
  <c r="D76" i="148"/>
  <c r="J76" i="148"/>
  <c r="E76" i="148"/>
  <c r="C76" i="148"/>
  <c r="I77" i="148"/>
  <c r="D77" i="148"/>
  <c r="J77" i="148"/>
  <c r="E77" i="148"/>
  <c r="C77" i="148"/>
  <c r="I78" i="148"/>
  <c r="D78" i="148"/>
  <c r="J78" i="148"/>
  <c r="E78" i="148"/>
  <c r="C78" i="148"/>
  <c r="I79" i="148"/>
  <c r="D79" i="148"/>
  <c r="J79" i="148"/>
  <c r="E79" i="148"/>
  <c r="C79" i="148"/>
  <c r="I80" i="148"/>
  <c r="D80" i="148"/>
  <c r="J80" i="148"/>
  <c r="E80" i="148"/>
  <c r="C80" i="148"/>
  <c r="I81" i="148"/>
  <c r="D81" i="148"/>
  <c r="J81" i="148"/>
  <c r="E81" i="148"/>
  <c r="C81" i="148"/>
  <c r="I82" i="148"/>
  <c r="D82" i="148"/>
  <c r="J82" i="148"/>
  <c r="E82" i="148"/>
  <c r="C82" i="148"/>
  <c r="I83" i="148"/>
  <c r="D83" i="148"/>
  <c r="J83" i="148"/>
  <c r="E83" i="148"/>
  <c r="C83" i="148"/>
  <c r="I84" i="148"/>
  <c r="D84" i="148"/>
  <c r="J84" i="148"/>
  <c r="E84" i="148"/>
  <c r="C84" i="148"/>
  <c r="I85" i="148"/>
  <c r="D85" i="148"/>
  <c r="J85" i="148"/>
  <c r="E85" i="148"/>
  <c r="C85" i="148"/>
  <c r="I86" i="148"/>
  <c r="D86" i="148"/>
  <c r="J86" i="148"/>
  <c r="E86" i="148"/>
  <c r="C86" i="148"/>
  <c r="I87" i="148"/>
  <c r="D87" i="148"/>
  <c r="J87" i="148"/>
  <c r="E87" i="148"/>
  <c r="C87" i="148"/>
  <c r="I88" i="148"/>
  <c r="D88" i="148"/>
  <c r="J88" i="148"/>
  <c r="E88" i="148"/>
  <c r="C88" i="148"/>
  <c r="I89" i="148"/>
  <c r="D89" i="148"/>
  <c r="J89" i="148"/>
  <c r="E89" i="148"/>
  <c r="C89" i="148"/>
  <c r="I90" i="148"/>
  <c r="D90" i="148"/>
  <c r="J90" i="148"/>
  <c r="E90" i="148"/>
  <c r="C90" i="148"/>
  <c r="I91" i="148"/>
  <c r="D91" i="148"/>
  <c r="J91" i="148"/>
  <c r="E91" i="148"/>
  <c r="C91" i="148"/>
  <c r="I92" i="148"/>
  <c r="D92" i="148"/>
  <c r="J92" i="148"/>
  <c r="E92" i="148"/>
  <c r="C92" i="148"/>
  <c r="I93" i="148"/>
  <c r="D93" i="148"/>
  <c r="J93" i="148"/>
  <c r="E93" i="148"/>
  <c r="C93" i="148"/>
  <c r="I94" i="148"/>
  <c r="D94" i="148"/>
  <c r="J94" i="148"/>
  <c r="E94" i="148"/>
  <c r="C94" i="148"/>
  <c r="I95" i="148"/>
  <c r="D95" i="148"/>
  <c r="J95" i="148"/>
  <c r="E95" i="148"/>
  <c r="C95" i="148"/>
  <c r="I96" i="148"/>
  <c r="D96" i="148"/>
  <c r="J96" i="148"/>
  <c r="E96" i="148"/>
  <c r="C96" i="148"/>
  <c r="I97" i="148"/>
  <c r="D97" i="148"/>
  <c r="J97" i="148"/>
  <c r="E97" i="148"/>
  <c r="C97" i="148"/>
  <c r="I98" i="148"/>
  <c r="D98" i="148"/>
  <c r="J98" i="148"/>
  <c r="E98" i="148"/>
  <c r="C98" i="148"/>
  <c r="I99" i="148"/>
  <c r="D99" i="148"/>
  <c r="J99" i="148"/>
  <c r="E99" i="148"/>
  <c r="C99" i="148"/>
  <c r="I100" i="148"/>
  <c r="D100" i="148"/>
  <c r="J100" i="148"/>
  <c r="E100" i="148"/>
  <c r="C100" i="148"/>
  <c r="I101" i="148"/>
  <c r="D101" i="148"/>
  <c r="J101" i="148"/>
  <c r="E101" i="148"/>
  <c r="C101" i="148"/>
  <c r="I102" i="148"/>
  <c r="D102" i="148"/>
  <c r="J102" i="148"/>
  <c r="E102" i="148"/>
  <c r="C102" i="148"/>
  <c r="I103" i="148"/>
  <c r="D103" i="148"/>
  <c r="J103" i="148"/>
  <c r="E103" i="148"/>
  <c r="C103" i="148"/>
  <c r="I104" i="148"/>
  <c r="D104" i="148"/>
  <c r="J104" i="148"/>
  <c r="E104" i="148"/>
  <c r="C104" i="148"/>
  <c r="I105" i="148"/>
  <c r="D105" i="148"/>
  <c r="J105" i="148"/>
  <c r="E105" i="148"/>
  <c r="C105" i="148"/>
  <c r="I106" i="148"/>
  <c r="D106" i="148"/>
  <c r="J106" i="148"/>
  <c r="E106" i="148"/>
  <c r="C106" i="148"/>
  <c r="I107" i="148"/>
  <c r="D107" i="148"/>
  <c r="J107" i="148"/>
  <c r="E107" i="148"/>
  <c r="C107" i="148"/>
  <c r="I108" i="148"/>
  <c r="D108" i="148"/>
  <c r="J108" i="148"/>
  <c r="E108" i="148"/>
  <c r="C108" i="148"/>
  <c r="I109" i="148"/>
  <c r="D109" i="148"/>
  <c r="J109" i="148"/>
  <c r="E109" i="148"/>
  <c r="C109" i="148"/>
  <c r="I110" i="148"/>
  <c r="D110" i="148"/>
  <c r="J110" i="148"/>
  <c r="E110" i="148"/>
  <c r="C110" i="148"/>
  <c r="I111" i="148"/>
  <c r="D111" i="148"/>
  <c r="J111" i="148"/>
  <c r="E111" i="148"/>
  <c r="C111" i="148"/>
  <c r="I112" i="148"/>
  <c r="D112" i="148"/>
  <c r="J112" i="148"/>
  <c r="E112" i="148"/>
  <c r="C112" i="148"/>
  <c r="I113" i="148"/>
  <c r="D113" i="148"/>
  <c r="J113" i="148"/>
  <c r="E113" i="148"/>
  <c r="C113" i="148"/>
  <c r="I114" i="148"/>
  <c r="D114" i="148"/>
  <c r="J114" i="148"/>
  <c r="E114" i="148"/>
  <c r="C114" i="148"/>
  <c r="I115" i="148"/>
  <c r="D115" i="148"/>
  <c r="J115" i="148"/>
  <c r="E115" i="148"/>
  <c r="C115" i="148"/>
  <c r="I116" i="148"/>
  <c r="D116" i="148"/>
  <c r="J116" i="148"/>
  <c r="E116" i="148"/>
  <c r="C116" i="148"/>
  <c r="I117" i="148"/>
  <c r="D117" i="148"/>
  <c r="J117" i="148"/>
  <c r="E117" i="148"/>
  <c r="C117" i="148"/>
  <c r="I118" i="148"/>
  <c r="D118" i="148"/>
  <c r="J118" i="148"/>
  <c r="E118" i="148"/>
  <c r="C118" i="148"/>
  <c r="I119" i="148"/>
  <c r="D119" i="148"/>
  <c r="J119" i="148"/>
  <c r="E119" i="148"/>
  <c r="C119" i="148"/>
  <c r="I120" i="148"/>
  <c r="D120" i="148"/>
  <c r="J120" i="148"/>
  <c r="E120" i="148"/>
  <c r="C120" i="148"/>
  <c r="I121" i="148"/>
  <c r="D121" i="148"/>
  <c r="J121" i="148"/>
  <c r="E121" i="148"/>
  <c r="C121" i="148"/>
  <c r="I122" i="148"/>
  <c r="D122" i="148"/>
  <c r="J122" i="148"/>
  <c r="E122" i="148"/>
  <c r="C122" i="148"/>
  <c r="I123" i="148"/>
  <c r="D123" i="148"/>
  <c r="J123" i="148"/>
  <c r="E123" i="148"/>
  <c r="C123" i="148"/>
  <c r="I124" i="148"/>
  <c r="D124" i="148"/>
  <c r="J124" i="148"/>
  <c r="E124" i="148"/>
  <c r="C124" i="148"/>
  <c r="I125" i="148"/>
  <c r="D125" i="148"/>
  <c r="J125" i="148"/>
  <c r="E125" i="148"/>
  <c r="C125" i="148"/>
  <c r="I126" i="148"/>
  <c r="D126" i="148"/>
  <c r="J126" i="148"/>
  <c r="E126" i="148"/>
  <c r="C126" i="148"/>
  <c r="I127" i="148"/>
  <c r="D127" i="148"/>
  <c r="J127" i="148"/>
  <c r="E127" i="148"/>
  <c r="C127" i="148"/>
  <c r="I128" i="148"/>
  <c r="D128" i="148"/>
  <c r="J128" i="148"/>
  <c r="E128" i="148"/>
  <c r="C128" i="148"/>
  <c r="I129" i="148"/>
  <c r="D129" i="148"/>
  <c r="J129" i="148"/>
  <c r="E129" i="148"/>
  <c r="C129" i="148"/>
  <c r="I130" i="148"/>
  <c r="D130" i="148"/>
  <c r="J130" i="148"/>
  <c r="E130" i="148"/>
  <c r="C130" i="148"/>
  <c r="I131" i="148"/>
  <c r="D131" i="148"/>
  <c r="J131" i="148"/>
  <c r="E131" i="148"/>
  <c r="C131" i="148"/>
  <c r="I132" i="148"/>
  <c r="D132" i="148"/>
  <c r="J132" i="148"/>
  <c r="E132" i="148"/>
  <c r="C132" i="148"/>
  <c r="I133" i="148"/>
  <c r="D133" i="148"/>
  <c r="J133" i="148"/>
  <c r="E133" i="148"/>
  <c r="C133" i="148"/>
  <c r="I134" i="148"/>
  <c r="D134" i="148"/>
  <c r="J134" i="148"/>
  <c r="E134" i="148"/>
  <c r="C134" i="148"/>
  <c r="I135" i="148"/>
  <c r="D135" i="148"/>
  <c r="J135" i="148"/>
  <c r="E135" i="148"/>
  <c r="C135" i="148"/>
  <c r="I136" i="148"/>
  <c r="D136" i="148"/>
  <c r="J136" i="148"/>
  <c r="E136" i="148"/>
  <c r="C136" i="148"/>
  <c r="I137" i="148"/>
  <c r="D137" i="148"/>
  <c r="J137" i="148"/>
  <c r="E137" i="148"/>
  <c r="C137" i="148"/>
  <c r="I138" i="148"/>
  <c r="D138" i="148"/>
  <c r="J138" i="148"/>
  <c r="E138" i="148"/>
  <c r="C138" i="148"/>
  <c r="I139" i="148"/>
  <c r="D139" i="148"/>
  <c r="J139" i="148"/>
  <c r="E139" i="148"/>
  <c r="C139" i="148"/>
  <c r="I140" i="148"/>
  <c r="D140" i="148"/>
  <c r="J140" i="148"/>
  <c r="E140" i="148"/>
  <c r="C140" i="148"/>
  <c r="I141" i="148"/>
  <c r="D141" i="148"/>
  <c r="J141" i="148"/>
  <c r="E141" i="148"/>
  <c r="C141" i="148"/>
  <c r="I142" i="148"/>
  <c r="D142" i="148"/>
  <c r="J142" i="148"/>
  <c r="E142" i="148"/>
  <c r="C142" i="148"/>
  <c r="I143" i="148"/>
  <c r="D143" i="148"/>
  <c r="J143" i="148"/>
  <c r="E143" i="148"/>
  <c r="C143" i="148"/>
  <c r="I144" i="148"/>
  <c r="D144" i="148"/>
  <c r="J144" i="148"/>
  <c r="E144" i="148"/>
  <c r="C144" i="148"/>
  <c r="I145" i="148"/>
  <c r="D145" i="148"/>
  <c r="J145" i="148"/>
  <c r="E145" i="148"/>
  <c r="C145" i="148"/>
  <c r="I146" i="148"/>
  <c r="D146" i="148"/>
  <c r="J146" i="148"/>
  <c r="E146" i="148"/>
  <c r="C146" i="148"/>
  <c r="I147" i="148"/>
  <c r="D147" i="148"/>
  <c r="J147" i="148"/>
  <c r="E147" i="148"/>
  <c r="C147" i="148"/>
  <c r="I148" i="148"/>
  <c r="D148" i="148"/>
  <c r="J148" i="148"/>
  <c r="E148" i="148"/>
  <c r="C148" i="148"/>
  <c r="I149" i="148"/>
  <c r="D149" i="148"/>
  <c r="J149" i="148"/>
  <c r="E149" i="148"/>
  <c r="C149" i="148"/>
  <c r="I150" i="148"/>
  <c r="D150" i="148"/>
  <c r="J150" i="148"/>
  <c r="E150" i="148"/>
  <c r="C150" i="148"/>
  <c r="I151" i="148"/>
  <c r="D151" i="148"/>
  <c r="J151" i="148"/>
  <c r="E151" i="148"/>
  <c r="C151" i="148"/>
  <c r="I152" i="148"/>
  <c r="D152" i="148"/>
  <c r="J152" i="148"/>
  <c r="E152" i="148"/>
  <c r="C152" i="148"/>
  <c r="I153" i="148"/>
  <c r="D153" i="148"/>
  <c r="J153" i="148"/>
  <c r="E153" i="148"/>
  <c r="C153" i="148"/>
  <c r="I154" i="148"/>
  <c r="D154" i="148"/>
  <c r="J154" i="148"/>
  <c r="E154" i="148"/>
  <c r="C154" i="148"/>
  <c r="I155" i="148"/>
  <c r="D155" i="148"/>
  <c r="J155" i="148"/>
  <c r="E155" i="148"/>
  <c r="C155" i="148"/>
  <c r="I156" i="148"/>
  <c r="D156" i="148"/>
  <c r="J156" i="148"/>
  <c r="E156" i="148"/>
  <c r="C156" i="148"/>
  <c r="I157" i="148"/>
  <c r="D157" i="148"/>
  <c r="J157" i="148"/>
  <c r="E157" i="148"/>
  <c r="C157" i="148"/>
  <c r="I158" i="148"/>
  <c r="D158" i="148"/>
  <c r="J158" i="148"/>
  <c r="E158" i="148"/>
  <c r="C158" i="148"/>
  <c r="I159" i="148"/>
  <c r="D159" i="148"/>
  <c r="J159" i="148"/>
  <c r="E159" i="148"/>
  <c r="C159" i="148"/>
  <c r="I160" i="148"/>
  <c r="D160" i="148"/>
  <c r="J160" i="148"/>
  <c r="E160" i="148"/>
  <c r="C160" i="148"/>
  <c r="I161" i="148"/>
  <c r="D161" i="148"/>
  <c r="J161" i="148"/>
  <c r="E161" i="148"/>
  <c r="C161" i="148"/>
  <c r="I162" i="148"/>
  <c r="D162" i="148"/>
  <c r="J162" i="148"/>
  <c r="E162" i="148"/>
  <c r="C162" i="148"/>
  <c r="I163" i="148"/>
  <c r="D163" i="148"/>
  <c r="J163" i="148"/>
  <c r="E163" i="148"/>
  <c r="C163" i="148"/>
  <c r="I164" i="148"/>
  <c r="D164" i="148"/>
  <c r="J164" i="148"/>
  <c r="E164" i="148"/>
  <c r="C164" i="148"/>
  <c r="I165" i="148"/>
  <c r="D165" i="148"/>
  <c r="J165" i="148"/>
  <c r="E165" i="148"/>
  <c r="C165" i="148"/>
  <c r="I166" i="148"/>
  <c r="D166" i="148"/>
  <c r="J166" i="148"/>
  <c r="E166" i="148"/>
  <c r="C166" i="148"/>
  <c r="I167" i="148"/>
  <c r="D167" i="148"/>
  <c r="J167" i="148"/>
  <c r="E167" i="148"/>
  <c r="C167" i="148"/>
  <c r="I168" i="148"/>
  <c r="D168" i="148"/>
  <c r="J168" i="148"/>
  <c r="E168" i="148"/>
  <c r="C168" i="148"/>
  <c r="I169" i="148"/>
  <c r="D169" i="148"/>
  <c r="J169" i="148"/>
  <c r="E169" i="148"/>
  <c r="C169" i="148"/>
  <c r="I170" i="148"/>
  <c r="D170" i="148"/>
  <c r="J170" i="148"/>
  <c r="E170" i="148"/>
  <c r="C170" i="148"/>
  <c r="I171" i="148"/>
  <c r="D171" i="148"/>
  <c r="J171" i="148"/>
  <c r="E171" i="148"/>
  <c r="C171" i="148"/>
  <c r="I172" i="148"/>
  <c r="D172" i="148"/>
  <c r="J172" i="148"/>
  <c r="E172" i="148"/>
  <c r="C172" i="148"/>
  <c r="I173" i="148"/>
  <c r="D173" i="148"/>
  <c r="J173" i="148"/>
  <c r="E173" i="148"/>
  <c r="C173" i="148"/>
  <c r="I174" i="148"/>
  <c r="D174" i="148"/>
  <c r="J174" i="148"/>
  <c r="E174" i="148"/>
  <c r="C174" i="148"/>
  <c r="I175" i="148"/>
  <c r="D175" i="148"/>
  <c r="J175" i="148"/>
  <c r="E175" i="148"/>
  <c r="C175" i="148"/>
  <c r="I176" i="148"/>
  <c r="D176" i="148"/>
  <c r="J176" i="148"/>
  <c r="E176" i="148"/>
  <c r="C176" i="148"/>
  <c r="I177" i="148"/>
  <c r="D177" i="148"/>
  <c r="J177" i="148"/>
  <c r="E177" i="148"/>
  <c r="C177" i="148"/>
  <c r="I178" i="148"/>
  <c r="D178" i="148"/>
  <c r="J178" i="148"/>
  <c r="E178" i="148"/>
  <c r="C178" i="148"/>
  <c r="I179" i="148"/>
  <c r="D179" i="148"/>
  <c r="J179" i="148"/>
  <c r="E179" i="148"/>
  <c r="C179" i="148"/>
  <c r="I180" i="148"/>
  <c r="D180" i="148"/>
  <c r="J180" i="148"/>
  <c r="E180" i="148"/>
  <c r="C180" i="148"/>
  <c r="I181" i="148"/>
  <c r="D181" i="148"/>
  <c r="J181" i="148"/>
  <c r="E181" i="148"/>
  <c r="C181" i="148"/>
  <c r="I182" i="148"/>
  <c r="D182" i="148"/>
  <c r="J182" i="148"/>
  <c r="E182" i="148"/>
  <c r="C182" i="148"/>
  <c r="I183" i="148"/>
  <c r="D183" i="148"/>
  <c r="J183" i="148"/>
  <c r="E183" i="148"/>
  <c r="C183" i="148"/>
  <c r="I184" i="148"/>
  <c r="D184" i="148"/>
  <c r="J184" i="148"/>
  <c r="E184" i="148"/>
  <c r="C184" i="148"/>
  <c r="I185" i="148"/>
  <c r="D185" i="148"/>
  <c r="J185" i="148"/>
  <c r="E185" i="148"/>
  <c r="C185" i="148"/>
  <c r="I186" i="148"/>
  <c r="D186" i="148"/>
  <c r="J186" i="148"/>
  <c r="E186" i="148"/>
  <c r="C186" i="148"/>
  <c r="I187" i="148"/>
  <c r="D187" i="148"/>
  <c r="J187" i="148"/>
  <c r="E187" i="148"/>
  <c r="C187" i="148"/>
  <c r="I188" i="148"/>
  <c r="D188" i="148"/>
  <c r="J188" i="148"/>
  <c r="E188" i="148"/>
  <c r="C188" i="148"/>
  <c r="I189" i="148"/>
  <c r="D189" i="148"/>
  <c r="J189" i="148"/>
  <c r="E189" i="148"/>
  <c r="C189" i="148"/>
  <c r="I190" i="148"/>
  <c r="D190" i="148"/>
  <c r="J190" i="148"/>
  <c r="E190" i="148"/>
  <c r="C190" i="148"/>
  <c r="I191" i="148"/>
  <c r="D191" i="148"/>
  <c r="J191" i="148"/>
  <c r="E191" i="148"/>
  <c r="C191" i="148"/>
  <c r="I192" i="148"/>
  <c r="D192" i="148"/>
  <c r="J192" i="148"/>
  <c r="E192" i="148"/>
  <c r="C192" i="148"/>
  <c r="I193" i="148"/>
  <c r="D193" i="148"/>
  <c r="J193" i="148"/>
  <c r="E193" i="148"/>
  <c r="C193" i="148"/>
  <c r="I194" i="148"/>
  <c r="D194" i="148"/>
  <c r="J194" i="148"/>
  <c r="E194" i="148"/>
  <c r="C194" i="148"/>
  <c r="I195" i="148"/>
  <c r="D195" i="148"/>
  <c r="J195" i="148"/>
  <c r="E195" i="148"/>
  <c r="C195" i="148"/>
  <c r="I196" i="148"/>
  <c r="D196" i="148"/>
  <c r="J196" i="148"/>
  <c r="E196" i="148"/>
  <c r="C196" i="148"/>
  <c r="I197" i="148"/>
  <c r="D197" i="148"/>
  <c r="J197" i="148"/>
  <c r="E197" i="148"/>
  <c r="C197" i="148"/>
  <c r="I198" i="148"/>
  <c r="D198" i="148"/>
  <c r="J198" i="148"/>
  <c r="E198" i="148"/>
  <c r="C198" i="148"/>
  <c r="I199" i="148"/>
  <c r="D199" i="148"/>
  <c r="J199" i="148"/>
  <c r="E199" i="148"/>
  <c r="C199" i="148"/>
  <c r="I200" i="148"/>
  <c r="D200" i="148"/>
  <c r="J200" i="148"/>
  <c r="E200" i="148"/>
  <c r="C200" i="148"/>
  <c r="I201" i="148"/>
  <c r="D201" i="148"/>
  <c r="J201" i="148"/>
  <c r="E201" i="148"/>
  <c r="C201" i="148"/>
  <c r="I202" i="148"/>
  <c r="D202" i="148"/>
  <c r="J202" i="148"/>
  <c r="E202" i="148"/>
  <c r="C202" i="148"/>
  <c r="I203" i="148"/>
  <c r="D203" i="148"/>
  <c r="J203" i="148"/>
  <c r="E203" i="148"/>
  <c r="C203" i="148"/>
  <c r="I204" i="148"/>
  <c r="D204" i="148"/>
  <c r="J204" i="148"/>
  <c r="E204" i="148"/>
  <c r="C204" i="148"/>
  <c r="I205" i="148"/>
  <c r="D205" i="148"/>
  <c r="J205" i="148"/>
  <c r="E205" i="148"/>
  <c r="C205" i="148"/>
  <c r="I206" i="148"/>
  <c r="D206" i="148"/>
  <c r="J206" i="148"/>
  <c r="E206" i="148"/>
  <c r="C206" i="148"/>
  <c r="I207" i="148"/>
  <c r="D207" i="148"/>
  <c r="J207" i="148"/>
  <c r="E207" i="148"/>
  <c r="C207" i="148"/>
  <c r="I208" i="148"/>
  <c r="D208" i="148"/>
  <c r="J208" i="148"/>
  <c r="E208" i="148"/>
  <c r="C208" i="148"/>
  <c r="I209" i="148"/>
  <c r="D209" i="148"/>
  <c r="J209" i="148"/>
  <c r="E209" i="148"/>
  <c r="C209" i="148"/>
  <c r="I210" i="148"/>
  <c r="D210" i="148"/>
  <c r="J210" i="148"/>
  <c r="E210" i="148"/>
  <c r="C210" i="148"/>
  <c r="I211" i="148"/>
  <c r="D211" i="148"/>
  <c r="J211" i="148"/>
  <c r="E211" i="148"/>
  <c r="C211" i="148"/>
  <c r="I212" i="148"/>
  <c r="D212" i="148"/>
  <c r="J212" i="148"/>
  <c r="E212" i="148"/>
  <c r="C212" i="148"/>
  <c r="I213" i="148"/>
  <c r="D213" i="148"/>
  <c r="J213" i="148"/>
  <c r="E213" i="148"/>
  <c r="C213" i="148"/>
  <c r="I214" i="148"/>
  <c r="D214" i="148"/>
  <c r="J214" i="148"/>
  <c r="E214" i="148"/>
  <c r="C214" i="148"/>
  <c r="I215" i="148"/>
  <c r="J215" i="148"/>
  <c r="D215" i="148"/>
  <c r="E215" i="148"/>
  <c r="C215" i="148"/>
  <c r="I216" i="148"/>
  <c r="J216" i="148"/>
  <c r="D216" i="148"/>
  <c r="E216" i="148"/>
  <c r="C216" i="148"/>
  <c r="I217" i="148"/>
  <c r="J217" i="148"/>
  <c r="D217" i="148"/>
  <c r="E217" i="148"/>
  <c r="C217" i="148"/>
  <c r="I218" i="148"/>
  <c r="J218" i="148"/>
  <c r="D218" i="148"/>
  <c r="E218" i="148"/>
  <c r="C218" i="148"/>
  <c r="I219" i="148"/>
  <c r="J219" i="148"/>
  <c r="D219" i="148"/>
  <c r="E219" i="148"/>
  <c r="C219" i="148"/>
  <c r="I220" i="148"/>
  <c r="J220" i="148"/>
  <c r="D220" i="148"/>
  <c r="E220" i="148"/>
  <c r="C220" i="148"/>
  <c r="I221" i="148"/>
  <c r="D221" i="148"/>
  <c r="J221" i="148"/>
  <c r="E221" i="148"/>
  <c r="C221" i="148"/>
  <c r="I222" i="148"/>
  <c r="D222" i="148"/>
  <c r="J222" i="148"/>
  <c r="E222" i="148"/>
  <c r="C222" i="148"/>
  <c r="I223" i="148"/>
  <c r="D223" i="148"/>
  <c r="J223" i="148"/>
  <c r="E223" i="148"/>
  <c r="C223" i="148"/>
  <c r="I224" i="148"/>
  <c r="D224" i="148"/>
  <c r="J224" i="148"/>
  <c r="E224" i="148"/>
  <c r="C224" i="148"/>
  <c r="I225" i="148"/>
  <c r="D225" i="148"/>
  <c r="J225" i="148"/>
  <c r="E225" i="148"/>
  <c r="C225" i="148"/>
  <c r="I226" i="148"/>
  <c r="D226" i="148"/>
  <c r="J226" i="148"/>
  <c r="E226" i="148"/>
  <c r="C226" i="148"/>
  <c r="I227" i="148"/>
  <c r="D227" i="148"/>
  <c r="J227" i="148"/>
  <c r="E227" i="148"/>
  <c r="C227" i="148"/>
  <c r="I228" i="148"/>
  <c r="D228" i="148"/>
  <c r="J228" i="148"/>
  <c r="E228" i="148"/>
  <c r="C228" i="148"/>
  <c r="I229" i="148"/>
  <c r="D229" i="148"/>
  <c r="J229" i="148"/>
  <c r="E229" i="148"/>
  <c r="C229" i="148"/>
  <c r="I230" i="148"/>
  <c r="D230" i="148"/>
  <c r="J230" i="148"/>
  <c r="E230" i="148"/>
  <c r="C230" i="148"/>
  <c r="I231" i="148"/>
  <c r="D231" i="148"/>
  <c r="J231" i="148"/>
  <c r="E231" i="148"/>
  <c r="C231" i="148"/>
  <c r="I232" i="148"/>
  <c r="D232" i="148"/>
  <c r="J232" i="148"/>
  <c r="E232" i="148"/>
  <c r="C232" i="148"/>
  <c r="I233" i="148"/>
  <c r="D233" i="148"/>
  <c r="J233" i="148"/>
  <c r="E233" i="148"/>
  <c r="C233" i="148"/>
  <c r="I234" i="148"/>
  <c r="D234" i="148"/>
  <c r="J234" i="148"/>
  <c r="E234" i="148"/>
  <c r="C234" i="148"/>
  <c r="I235" i="148"/>
  <c r="D235" i="148"/>
  <c r="J235" i="148"/>
  <c r="E235" i="148"/>
  <c r="C235" i="148"/>
  <c r="I236" i="148"/>
  <c r="D236" i="148"/>
  <c r="J236" i="148"/>
  <c r="E236" i="148"/>
  <c r="C236" i="148"/>
  <c r="I237" i="148"/>
  <c r="D237" i="148"/>
  <c r="J237" i="148"/>
  <c r="E237" i="148"/>
  <c r="C237" i="148"/>
  <c r="I238" i="148"/>
  <c r="D238" i="148"/>
  <c r="J238" i="148"/>
  <c r="E238" i="148"/>
  <c r="C238" i="148"/>
  <c r="I239" i="148"/>
  <c r="D239" i="148"/>
  <c r="J239" i="148"/>
  <c r="E239" i="148"/>
  <c r="C239" i="148"/>
  <c r="I240" i="148"/>
  <c r="D240" i="148"/>
  <c r="J240" i="148"/>
  <c r="E240" i="148"/>
  <c r="C240" i="148"/>
  <c r="I241" i="148"/>
  <c r="D241" i="148"/>
  <c r="J241" i="148"/>
  <c r="E241" i="148"/>
  <c r="C241" i="148"/>
  <c r="I242" i="148"/>
  <c r="D242" i="148"/>
  <c r="J242" i="148"/>
  <c r="E242" i="148"/>
  <c r="C242" i="148"/>
  <c r="I243" i="148"/>
  <c r="D243" i="148"/>
  <c r="J243" i="148"/>
  <c r="E243" i="148"/>
  <c r="C243" i="148"/>
  <c r="I244" i="148"/>
  <c r="D244" i="148"/>
  <c r="J244" i="148"/>
  <c r="E244" i="148"/>
  <c r="C244" i="148"/>
  <c r="I245" i="148"/>
  <c r="D245" i="148"/>
  <c r="J245" i="148"/>
  <c r="E245" i="148"/>
  <c r="C245" i="148"/>
  <c r="I246" i="148"/>
  <c r="D246" i="148"/>
  <c r="J246" i="148"/>
  <c r="E246" i="148"/>
  <c r="C246" i="148"/>
  <c r="I247" i="148"/>
  <c r="D247" i="148"/>
  <c r="J247" i="148"/>
  <c r="E247" i="148"/>
  <c r="C247" i="148"/>
  <c r="I248" i="148"/>
  <c r="D248" i="148"/>
  <c r="J248" i="148"/>
  <c r="E248" i="148"/>
  <c r="C248" i="148"/>
  <c r="I249" i="148"/>
  <c r="D249" i="148"/>
  <c r="J249" i="148"/>
  <c r="E249" i="148"/>
  <c r="C249" i="148"/>
  <c r="I250" i="148"/>
  <c r="D250" i="148"/>
  <c r="J250" i="148"/>
  <c r="E250" i="148"/>
  <c r="C250" i="148"/>
  <c r="I251" i="148"/>
  <c r="D251" i="148"/>
  <c r="J251" i="148"/>
  <c r="E251" i="148"/>
  <c r="C251" i="148"/>
  <c r="I252" i="148"/>
  <c r="D252" i="148"/>
  <c r="J252" i="148"/>
  <c r="E252" i="148"/>
  <c r="C252" i="148"/>
  <c r="I253" i="148"/>
  <c r="D253" i="148"/>
  <c r="J253" i="148"/>
  <c r="E253" i="148"/>
  <c r="C253" i="148"/>
  <c r="I254" i="148"/>
  <c r="D254" i="148"/>
  <c r="J254" i="148"/>
  <c r="E254" i="148"/>
  <c r="C254" i="148"/>
  <c r="I255" i="148"/>
  <c r="D255" i="148"/>
  <c r="J255" i="148"/>
  <c r="E255" i="148"/>
  <c r="C255" i="148"/>
  <c r="I256" i="148"/>
  <c r="D256" i="148"/>
  <c r="J256" i="148"/>
  <c r="E256" i="148"/>
  <c r="C256" i="148"/>
  <c r="I257" i="148"/>
  <c r="D257" i="148"/>
  <c r="J257" i="148"/>
  <c r="E257" i="148"/>
  <c r="C257" i="148"/>
  <c r="I258" i="148"/>
  <c r="D258" i="148"/>
  <c r="J258" i="148"/>
  <c r="E258" i="148"/>
  <c r="C258" i="148"/>
  <c r="I259" i="148"/>
  <c r="D259" i="148"/>
  <c r="J259" i="148"/>
  <c r="E259" i="148"/>
  <c r="C259" i="148"/>
  <c r="I260" i="148"/>
  <c r="D260" i="148"/>
  <c r="J260" i="148"/>
  <c r="E260" i="148"/>
  <c r="C260" i="148"/>
  <c r="I261" i="148"/>
  <c r="D261" i="148"/>
  <c r="J261" i="148"/>
  <c r="E261" i="148"/>
  <c r="C261" i="148"/>
  <c r="I262" i="148"/>
  <c r="D262" i="148"/>
  <c r="J262" i="148"/>
  <c r="E262" i="148"/>
  <c r="C262" i="148"/>
  <c r="I263" i="148"/>
  <c r="D263" i="148"/>
  <c r="J263" i="148"/>
  <c r="E263" i="148"/>
  <c r="C263" i="148"/>
  <c r="I264" i="148"/>
  <c r="D264" i="148"/>
  <c r="J264" i="148"/>
  <c r="E264" i="148"/>
  <c r="C264" i="148"/>
  <c r="I265" i="148"/>
  <c r="D265" i="148"/>
  <c r="J265" i="148"/>
  <c r="E265" i="148"/>
  <c r="C265" i="148"/>
  <c r="I266" i="148"/>
  <c r="D266" i="148"/>
  <c r="J266" i="148"/>
  <c r="E266" i="148"/>
  <c r="C266" i="148"/>
  <c r="I267" i="148"/>
  <c r="D267" i="148"/>
  <c r="J267" i="148"/>
  <c r="E267" i="148"/>
  <c r="C267" i="148"/>
  <c r="I268" i="148"/>
  <c r="D268" i="148"/>
  <c r="J268" i="148"/>
  <c r="E268" i="148"/>
  <c r="C268" i="148"/>
  <c r="I269" i="148"/>
  <c r="D269" i="148"/>
  <c r="J269" i="148"/>
  <c r="E269" i="148"/>
  <c r="C269" i="148"/>
  <c r="I270" i="148"/>
  <c r="D270" i="148"/>
  <c r="J270" i="148"/>
  <c r="E270" i="148"/>
  <c r="C270" i="148"/>
  <c r="I271" i="148"/>
  <c r="D271" i="148"/>
  <c r="J271" i="148"/>
  <c r="E271" i="148"/>
  <c r="C271" i="148"/>
  <c r="I272" i="148"/>
  <c r="D272" i="148"/>
  <c r="J272" i="148"/>
  <c r="E272" i="148"/>
  <c r="C272" i="148"/>
  <c r="I273" i="148"/>
  <c r="D273" i="148"/>
  <c r="J273" i="148"/>
  <c r="E273" i="148"/>
  <c r="C273" i="148"/>
  <c r="I274" i="148"/>
  <c r="D274" i="148"/>
  <c r="J274" i="148"/>
  <c r="E274" i="148"/>
  <c r="C274" i="148"/>
  <c r="I275" i="148"/>
  <c r="D275" i="148"/>
  <c r="J275" i="148"/>
  <c r="E275" i="148"/>
  <c r="C275" i="148"/>
  <c r="I276" i="148"/>
  <c r="D276" i="148"/>
  <c r="J276" i="148"/>
  <c r="E276" i="148"/>
  <c r="C276" i="148"/>
  <c r="I277" i="148"/>
  <c r="D277" i="148"/>
  <c r="J277" i="148"/>
  <c r="E277" i="148"/>
  <c r="C277" i="148"/>
  <c r="I278" i="148"/>
  <c r="D278" i="148"/>
  <c r="J278" i="148"/>
  <c r="E278" i="148"/>
  <c r="C278" i="148"/>
  <c r="I279" i="148"/>
  <c r="D279" i="148"/>
  <c r="J279" i="148"/>
  <c r="E279" i="148"/>
  <c r="C279" i="148"/>
  <c r="I280" i="148"/>
  <c r="D280" i="148"/>
  <c r="J280" i="148"/>
  <c r="E280" i="148"/>
  <c r="C280" i="148"/>
  <c r="I281" i="148"/>
  <c r="D281" i="148"/>
  <c r="J281" i="148"/>
  <c r="E281" i="148"/>
  <c r="C281" i="148"/>
  <c r="I282" i="148"/>
  <c r="D282" i="148"/>
  <c r="J282" i="148"/>
  <c r="E282" i="148"/>
  <c r="C282" i="148"/>
  <c r="I283" i="148"/>
  <c r="D283" i="148"/>
  <c r="J283" i="148"/>
  <c r="E283" i="148"/>
  <c r="C283" i="148"/>
  <c r="I284" i="148"/>
  <c r="D284" i="148"/>
  <c r="J284" i="148"/>
  <c r="E284" i="148"/>
  <c r="C284" i="148"/>
  <c r="I285" i="148"/>
  <c r="D285" i="148"/>
  <c r="J285" i="148"/>
  <c r="E285" i="148"/>
  <c r="C285" i="148"/>
  <c r="I286" i="148"/>
  <c r="D286" i="148"/>
  <c r="J286" i="148"/>
  <c r="E286" i="148"/>
  <c r="C286" i="148"/>
  <c r="I287" i="148"/>
  <c r="D287" i="148"/>
  <c r="J287" i="148"/>
  <c r="E287" i="148"/>
  <c r="C287" i="148"/>
  <c r="I288" i="148"/>
  <c r="D288" i="148"/>
  <c r="J288" i="148"/>
  <c r="E288" i="148"/>
  <c r="C288" i="148"/>
  <c r="I289" i="148"/>
  <c r="D289" i="148"/>
  <c r="J289" i="148"/>
  <c r="E289" i="148"/>
  <c r="C289" i="148"/>
  <c r="I290" i="148"/>
  <c r="D290" i="148"/>
  <c r="J290" i="148"/>
  <c r="E290" i="148"/>
  <c r="C290" i="148"/>
  <c r="I291" i="148"/>
  <c r="D291" i="148"/>
  <c r="J291" i="148"/>
  <c r="E291" i="148"/>
  <c r="C291" i="148"/>
  <c r="I292" i="148"/>
  <c r="D292" i="148"/>
  <c r="J292" i="148"/>
  <c r="E292" i="148"/>
  <c r="C292" i="148"/>
  <c r="I293" i="148"/>
  <c r="D293" i="148"/>
  <c r="J293" i="148"/>
  <c r="E293" i="148"/>
  <c r="C293" i="148"/>
  <c r="I294" i="148"/>
  <c r="D294" i="148"/>
  <c r="J294" i="148"/>
  <c r="E294" i="148"/>
  <c r="C294" i="148"/>
  <c r="I295" i="148"/>
  <c r="D295" i="148"/>
  <c r="J295" i="148"/>
  <c r="E295" i="148"/>
  <c r="C295" i="148"/>
  <c r="I296" i="148"/>
  <c r="D296" i="148"/>
  <c r="J296" i="148"/>
  <c r="E296" i="148"/>
  <c r="C296" i="148"/>
  <c r="I297" i="148"/>
  <c r="D297" i="148"/>
  <c r="J297" i="148"/>
  <c r="E297" i="148"/>
  <c r="C297" i="148"/>
  <c r="I298" i="148"/>
  <c r="D298" i="148"/>
  <c r="J298" i="148"/>
  <c r="E298" i="148"/>
  <c r="C298" i="148"/>
  <c r="I299" i="148"/>
  <c r="D299" i="148"/>
  <c r="J299" i="148"/>
  <c r="E299" i="148"/>
  <c r="C299" i="148"/>
  <c r="I300" i="148"/>
  <c r="D300" i="148"/>
  <c r="J300" i="148"/>
  <c r="E300" i="148"/>
  <c r="C300" i="148"/>
  <c r="I301" i="148"/>
  <c r="D301" i="148"/>
  <c r="J301" i="148"/>
  <c r="E301" i="148"/>
  <c r="C301" i="148"/>
  <c r="I302" i="148"/>
  <c r="D302" i="148"/>
  <c r="J302" i="148"/>
  <c r="E302" i="148"/>
  <c r="C302" i="148"/>
  <c r="I303" i="148"/>
  <c r="D303" i="148"/>
  <c r="J303" i="148"/>
  <c r="E303" i="148"/>
  <c r="C303" i="148"/>
  <c r="I304" i="148"/>
  <c r="D304" i="148"/>
  <c r="J304" i="148"/>
  <c r="E304" i="148"/>
  <c r="C304" i="148"/>
  <c r="I305" i="148"/>
  <c r="D305" i="148"/>
  <c r="J305" i="148"/>
  <c r="E305" i="148"/>
  <c r="C305" i="148"/>
  <c r="I306" i="148"/>
  <c r="D306" i="148"/>
  <c r="J306" i="148"/>
  <c r="E306" i="148"/>
  <c r="C306" i="148"/>
  <c r="I307" i="148"/>
  <c r="D307" i="148"/>
  <c r="J307" i="148"/>
  <c r="E307" i="148"/>
  <c r="C307" i="148"/>
  <c r="I308" i="148"/>
  <c r="D308" i="148"/>
  <c r="J308" i="148"/>
  <c r="E308" i="148"/>
  <c r="C308" i="148"/>
  <c r="I309" i="148"/>
  <c r="D309" i="148"/>
  <c r="J309" i="148"/>
  <c r="E309" i="148"/>
  <c r="C309" i="148"/>
  <c r="I310" i="148"/>
  <c r="D310" i="148"/>
  <c r="J310" i="148"/>
  <c r="E310" i="148"/>
  <c r="C310" i="148"/>
  <c r="I311" i="148"/>
  <c r="D311" i="148"/>
  <c r="J311" i="148"/>
  <c r="E311" i="148"/>
  <c r="C311" i="148"/>
  <c r="I312" i="148"/>
  <c r="D312" i="148"/>
  <c r="J312" i="148"/>
  <c r="E312" i="148"/>
  <c r="C312" i="148"/>
  <c r="I313" i="148"/>
  <c r="D313" i="148"/>
  <c r="J313" i="148"/>
  <c r="E313" i="148"/>
  <c r="C313" i="148"/>
  <c r="I314" i="148"/>
  <c r="D314" i="148"/>
  <c r="J314" i="148"/>
  <c r="E314" i="148"/>
  <c r="C314" i="148"/>
  <c r="I315" i="148"/>
  <c r="D315" i="148"/>
  <c r="J315" i="148"/>
  <c r="E315" i="148"/>
  <c r="C315" i="148"/>
  <c r="I316" i="148"/>
  <c r="D316" i="148"/>
  <c r="J316" i="148"/>
  <c r="E316" i="148"/>
  <c r="C316" i="148"/>
  <c r="I317" i="148"/>
  <c r="D317" i="148"/>
  <c r="J317" i="148"/>
  <c r="E317" i="148"/>
  <c r="C317" i="148"/>
  <c r="I318" i="148"/>
  <c r="D318" i="148"/>
  <c r="J318" i="148"/>
  <c r="E318" i="148"/>
  <c r="C318" i="148"/>
  <c r="I319" i="148"/>
  <c r="D319" i="148"/>
  <c r="J319" i="148"/>
  <c r="E319" i="148"/>
  <c r="C319" i="148"/>
  <c r="I320" i="148"/>
  <c r="D320" i="148"/>
  <c r="J320" i="148"/>
  <c r="E320" i="148"/>
  <c r="C320" i="148"/>
  <c r="I321" i="148"/>
  <c r="D321" i="148"/>
  <c r="J321" i="148"/>
  <c r="E321" i="148"/>
  <c r="C321" i="148"/>
  <c r="I322" i="148"/>
  <c r="D322" i="148"/>
  <c r="J322" i="148"/>
  <c r="E322" i="148"/>
  <c r="C322" i="148"/>
  <c r="I323" i="148"/>
  <c r="D323" i="148"/>
  <c r="J323" i="148"/>
  <c r="E323" i="148"/>
  <c r="C323" i="148"/>
  <c r="I324" i="148"/>
  <c r="D324" i="148"/>
  <c r="J324" i="148"/>
  <c r="E324" i="148"/>
  <c r="C324" i="148"/>
  <c r="I325" i="148"/>
  <c r="D325" i="148"/>
  <c r="J325" i="148"/>
  <c r="E325" i="148"/>
  <c r="C325" i="148"/>
  <c r="I326" i="148"/>
  <c r="D326" i="148"/>
  <c r="J326" i="148"/>
  <c r="E326" i="148"/>
  <c r="C326" i="148"/>
  <c r="I327" i="148"/>
  <c r="D327" i="148"/>
  <c r="J327" i="148"/>
  <c r="E327" i="148"/>
  <c r="C327" i="148"/>
  <c r="I328" i="148"/>
  <c r="D328" i="148"/>
  <c r="J328" i="148"/>
  <c r="E328" i="148"/>
  <c r="C328" i="148"/>
  <c r="I329" i="148"/>
  <c r="D329" i="148"/>
  <c r="J329" i="148"/>
  <c r="E329" i="148"/>
  <c r="C329" i="148"/>
  <c r="I330" i="148"/>
  <c r="D330" i="148"/>
  <c r="J330" i="148"/>
  <c r="E330" i="148"/>
  <c r="C330" i="148"/>
  <c r="I331" i="148"/>
  <c r="D331" i="148"/>
  <c r="J331" i="148"/>
  <c r="E331" i="148"/>
  <c r="C331" i="148"/>
  <c r="I332" i="148"/>
  <c r="D332" i="148"/>
  <c r="J332" i="148"/>
  <c r="E332" i="148"/>
  <c r="C332" i="148"/>
  <c r="I333" i="148"/>
  <c r="D333" i="148"/>
  <c r="J333" i="148"/>
  <c r="E333" i="148"/>
  <c r="C333" i="148"/>
  <c r="I334" i="148"/>
  <c r="D334" i="148"/>
  <c r="J334" i="148"/>
  <c r="E334" i="148"/>
  <c r="C334" i="148"/>
  <c r="I335" i="148"/>
  <c r="D335" i="148"/>
  <c r="J335" i="148"/>
  <c r="E335" i="148"/>
  <c r="C335" i="148"/>
  <c r="I336" i="148"/>
  <c r="D336" i="148"/>
  <c r="J336" i="148"/>
  <c r="E336" i="148"/>
  <c r="C336" i="148"/>
  <c r="I337" i="148"/>
  <c r="D337" i="148"/>
  <c r="J337" i="148"/>
  <c r="E337" i="148"/>
  <c r="C337" i="148"/>
  <c r="I338" i="148"/>
  <c r="D338" i="148"/>
  <c r="J338" i="148"/>
  <c r="E338" i="148"/>
  <c r="C338" i="148"/>
  <c r="I339" i="148"/>
  <c r="D339" i="148"/>
  <c r="J339" i="148"/>
  <c r="E339" i="148"/>
  <c r="C339" i="148"/>
  <c r="I340" i="148"/>
  <c r="D340" i="148"/>
  <c r="J340" i="148"/>
  <c r="E340" i="148"/>
  <c r="C340" i="148"/>
  <c r="I341" i="148"/>
  <c r="D341" i="148"/>
  <c r="J341" i="148"/>
  <c r="E341" i="148"/>
  <c r="C341" i="148"/>
  <c r="I342" i="148"/>
  <c r="D342" i="148"/>
  <c r="J342" i="148"/>
  <c r="E342" i="148"/>
  <c r="C342" i="148"/>
  <c r="I343" i="148"/>
  <c r="D343" i="148"/>
  <c r="J343" i="148"/>
  <c r="E343" i="148"/>
  <c r="C343" i="148"/>
  <c r="I344" i="148"/>
  <c r="D344" i="148"/>
  <c r="J344" i="148"/>
  <c r="E344" i="148"/>
  <c r="C344" i="148"/>
  <c r="I345" i="148"/>
  <c r="D345" i="148"/>
  <c r="J345" i="148"/>
  <c r="E345" i="148"/>
  <c r="C345" i="148"/>
  <c r="I346" i="148"/>
  <c r="D346" i="148"/>
  <c r="J346" i="148"/>
  <c r="E346" i="148"/>
  <c r="C346" i="148"/>
  <c r="I347" i="148"/>
  <c r="D347" i="148"/>
  <c r="J347" i="148"/>
  <c r="E347" i="148"/>
  <c r="C347" i="148"/>
  <c r="I348" i="148"/>
  <c r="D348" i="148"/>
  <c r="J348" i="148"/>
  <c r="E348" i="148"/>
  <c r="C348" i="148"/>
  <c r="I349" i="148"/>
  <c r="D349" i="148"/>
  <c r="J349" i="148"/>
  <c r="E349" i="148"/>
  <c r="C349" i="148"/>
  <c r="I350" i="148"/>
  <c r="D350" i="148"/>
  <c r="J350" i="148"/>
  <c r="E350" i="148"/>
  <c r="C350" i="148"/>
  <c r="I351" i="148"/>
  <c r="D351" i="148"/>
  <c r="J351" i="148"/>
  <c r="E351" i="148"/>
  <c r="C351" i="148"/>
  <c r="I352" i="148"/>
  <c r="D352" i="148"/>
  <c r="J352" i="148"/>
  <c r="E352" i="148"/>
  <c r="C352" i="148"/>
  <c r="I353" i="148"/>
  <c r="D353" i="148"/>
  <c r="J353" i="148"/>
  <c r="E353" i="148"/>
  <c r="C353" i="148"/>
  <c r="I354" i="148"/>
  <c r="D354" i="148"/>
  <c r="J354" i="148"/>
  <c r="E354" i="148"/>
  <c r="C354" i="148"/>
  <c r="I355" i="148"/>
  <c r="D355" i="148"/>
  <c r="J355" i="148"/>
  <c r="E355" i="148"/>
  <c r="C355" i="148"/>
  <c r="I356" i="148"/>
  <c r="D356" i="148"/>
  <c r="J356" i="148"/>
  <c r="E356" i="148"/>
  <c r="C356" i="148"/>
  <c r="F5" i="147"/>
  <c r="F7" i="147"/>
  <c r="A51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C46" i="147"/>
  <c r="B46" i="147"/>
  <c r="G46" i="147"/>
  <c r="E46" i="147"/>
  <c r="H46" i="147"/>
  <c r="R3" i="147"/>
  <c r="O361" i="148"/>
  <c r="E7" i="147"/>
  <c r="E19" i="147"/>
  <c r="B19" i="147"/>
  <c r="E24" i="147"/>
  <c r="B24" i="147"/>
  <c r="B17" i="147"/>
  <c r="G17" i="147"/>
  <c r="E17" i="147"/>
  <c r="H17" i="147"/>
  <c r="O2" i="148"/>
  <c r="E20" i="147"/>
  <c r="B20" i="147"/>
  <c r="E22" i="147"/>
  <c r="E21" i="147"/>
  <c r="B21" i="147"/>
  <c r="E26" i="147"/>
  <c r="B26" i="147"/>
  <c r="E5" i="147"/>
  <c r="E28" i="147"/>
  <c r="B28" i="147"/>
  <c r="E29" i="147"/>
  <c r="B29" i="147"/>
  <c r="B23" i="147"/>
  <c r="B22" i="147"/>
  <c r="E25" i="147"/>
  <c r="B25" i="147"/>
  <c r="E27" i="147"/>
  <c r="B27" i="147"/>
  <c r="B18" i="147"/>
  <c r="G18" i="147"/>
  <c r="E18" i="147"/>
  <c r="H18" i="147"/>
  <c r="O3" i="148"/>
  <c r="O4" i="148"/>
  <c r="O5" i="148"/>
  <c r="F8" i="147"/>
  <c r="E8" i="147"/>
  <c r="E34" i="147"/>
  <c r="B34" i="147"/>
  <c r="E39" i="147"/>
  <c r="B39" i="147"/>
  <c r="B32" i="147"/>
  <c r="G32" i="147"/>
  <c r="E32" i="147"/>
  <c r="H32" i="147"/>
  <c r="O6" i="148"/>
  <c r="E35" i="147"/>
  <c r="B35" i="147"/>
  <c r="E37" i="147"/>
  <c r="E38" i="147"/>
  <c r="B38" i="147"/>
  <c r="B37" i="147"/>
  <c r="E40" i="147"/>
  <c r="B40" i="147"/>
  <c r="F6" i="147"/>
  <c r="E6" i="147"/>
  <c r="E42" i="147"/>
  <c r="B42" i="147"/>
  <c r="B33" i="147"/>
  <c r="G33" i="147"/>
  <c r="E33" i="147"/>
  <c r="H33" i="147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G25" i="147"/>
  <c r="H25" i="147"/>
  <c r="O43" i="148"/>
  <c r="G26" i="147"/>
  <c r="H26" i="147"/>
  <c r="O44" i="148"/>
  <c r="O45" i="148"/>
  <c r="O46" i="148"/>
  <c r="O47" i="148"/>
  <c r="G39" i="147"/>
  <c r="H39" i="147"/>
  <c r="O48" i="148"/>
  <c r="G40" i="147"/>
  <c r="H40" i="147"/>
  <c r="O49" i="148"/>
  <c r="E41" i="147"/>
  <c r="B41" i="147"/>
  <c r="G41" i="147"/>
  <c r="H41" i="147"/>
  <c r="O50" i="148"/>
  <c r="G34" i="147"/>
  <c r="H34" i="147"/>
  <c r="G19" i="147"/>
  <c r="H19" i="147"/>
  <c r="O51" i="148"/>
  <c r="G35" i="147"/>
  <c r="H35" i="147"/>
  <c r="G20" i="147"/>
  <c r="H20" i="147"/>
  <c r="O52" i="148"/>
  <c r="E43" i="147"/>
  <c r="B43" i="147"/>
  <c r="E44" i="147"/>
  <c r="B44" i="147"/>
  <c r="B36" i="147"/>
  <c r="G36" i="147"/>
  <c r="E36" i="147"/>
  <c r="H36" i="147"/>
  <c r="G21" i="147"/>
  <c r="H21" i="147"/>
  <c r="O53" i="148"/>
  <c r="O54" i="148"/>
  <c r="O55" i="148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G27" i="147"/>
  <c r="H27" i="147"/>
  <c r="O138" i="148"/>
  <c r="G28" i="147"/>
  <c r="H28" i="147"/>
  <c r="O139" i="148"/>
  <c r="O140" i="148"/>
  <c r="O141" i="148"/>
  <c r="G42" i="147"/>
  <c r="H42" i="147"/>
  <c r="O142" i="148"/>
  <c r="G43" i="147"/>
  <c r="H43" i="147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G23" i="147"/>
  <c r="E23" i="147"/>
  <c r="H23" i="147"/>
  <c r="O215" i="148"/>
  <c r="O216" i="148"/>
  <c r="G38" i="147"/>
  <c r="H38" i="147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O256" i="148"/>
  <c r="O257" i="148"/>
  <c r="O258" i="148"/>
  <c r="O259" i="148"/>
  <c r="O260" i="148"/>
  <c r="O261" i="148"/>
  <c r="G22" i="147"/>
  <c r="H22" i="147"/>
  <c r="O262" i="148"/>
  <c r="O263" i="148"/>
  <c r="O264" i="148"/>
  <c r="O265" i="148"/>
  <c r="G29" i="147"/>
  <c r="H29" i="147"/>
  <c r="G44" i="147"/>
  <c r="H44" i="147"/>
  <c r="O266" i="148"/>
  <c r="O267" i="148"/>
  <c r="O268" i="148"/>
  <c r="O269" i="148"/>
  <c r="G37" i="147"/>
  <c r="H37" i="147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O319" i="148"/>
  <c r="O320" i="148"/>
  <c r="O321" i="148"/>
  <c r="O322" i="148"/>
  <c r="O323" i="148"/>
  <c r="O324" i="148"/>
  <c r="O325" i="148"/>
  <c r="O326" i="148"/>
  <c r="O327" i="148"/>
  <c r="O328" i="148"/>
  <c r="O329" i="148"/>
  <c r="O330" i="148"/>
  <c r="O331" i="148"/>
  <c r="O332" i="148"/>
  <c r="O333" i="148"/>
  <c r="O334" i="148"/>
  <c r="O335" i="148"/>
  <c r="O336" i="148"/>
  <c r="O337" i="148"/>
  <c r="O338" i="148"/>
  <c r="O339" i="148"/>
  <c r="O340" i="148"/>
  <c r="O341" i="148"/>
  <c r="O342" i="148"/>
  <c r="O343" i="148"/>
  <c r="O344" i="148"/>
  <c r="O345" i="148"/>
  <c r="O346" i="148"/>
  <c r="O347" i="148"/>
  <c r="O348" i="148"/>
  <c r="O349" i="148"/>
  <c r="O350" i="148"/>
  <c r="O351" i="148"/>
  <c r="O352" i="148"/>
  <c r="O353" i="148"/>
  <c r="O354" i="148"/>
  <c r="O355" i="148"/>
  <c r="O356" i="148"/>
  <c r="O357" i="148"/>
  <c r="O358" i="148"/>
  <c r="O359" i="148"/>
  <c r="O360" i="148"/>
  <c r="P361" i="148"/>
  <c r="N361" i="148"/>
  <c r="M361" i="148"/>
  <c r="L361" i="148"/>
  <c r="K361" i="148"/>
  <c r="H361" i="148"/>
  <c r="P360" i="148"/>
  <c r="N360" i="148"/>
  <c r="M360" i="148"/>
  <c r="L360" i="148"/>
  <c r="K360" i="148"/>
  <c r="H360" i="148"/>
  <c r="P359" i="148"/>
  <c r="N359" i="148"/>
  <c r="M359" i="148"/>
  <c r="L359" i="148"/>
  <c r="K359" i="148"/>
  <c r="H359" i="148"/>
  <c r="P358" i="148"/>
  <c r="N358" i="148"/>
  <c r="M358" i="148"/>
  <c r="L358" i="148"/>
  <c r="K358" i="148"/>
  <c r="H358" i="148"/>
  <c r="P357" i="148"/>
  <c r="N357" i="148"/>
  <c r="M357" i="148"/>
  <c r="L357" i="148"/>
  <c r="K357" i="148"/>
  <c r="H357" i="148"/>
  <c r="A361" i="148"/>
  <c r="A360" i="148"/>
  <c r="A359" i="148"/>
  <c r="A358" i="148"/>
  <c r="A357" i="148"/>
  <c r="I357" i="82"/>
  <c r="D357" i="82"/>
  <c r="J357" i="82"/>
  <c r="E357" i="82"/>
  <c r="F357" i="82"/>
  <c r="C357" i="82"/>
  <c r="H357" i="82"/>
  <c r="K357" i="82"/>
  <c r="L357" i="82"/>
  <c r="M357" i="82"/>
  <c r="N357" i="82"/>
  <c r="A2" i="106"/>
  <c r="I358" i="82"/>
  <c r="D358" i="82"/>
  <c r="J358" i="82"/>
  <c r="E358" i="82"/>
  <c r="F358" i="82"/>
  <c r="C358" i="82"/>
  <c r="I359" i="82"/>
  <c r="D359" i="82"/>
  <c r="J359" i="82"/>
  <c r="E359" i="82"/>
  <c r="F359" i="82"/>
  <c r="C359" i="82"/>
  <c r="I360" i="82"/>
  <c r="D360" i="82"/>
  <c r="J360" i="82"/>
  <c r="E360" i="82"/>
  <c r="F360" i="82"/>
  <c r="C360" i="82"/>
  <c r="I361" i="82"/>
  <c r="D361" i="82"/>
  <c r="J361" i="82"/>
  <c r="E361" i="82"/>
  <c r="F361" i="82"/>
  <c r="C361" i="82"/>
  <c r="I2" i="82"/>
  <c r="J2" i="82"/>
  <c r="D2" i="82"/>
  <c r="E2" i="82"/>
  <c r="F2" i="82"/>
  <c r="C2" i="82"/>
  <c r="I3" i="82"/>
  <c r="J3" i="82"/>
  <c r="D3" i="82"/>
  <c r="E3" i="82"/>
  <c r="F3" i="82"/>
  <c r="C3" i="82"/>
  <c r="I4" i="82"/>
  <c r="J4" i="82"/>
  <c r="D4" i="82"/>
  <c r="E4" i="82"/>
  <c r="F4" i="82"/>
  <c r="C4" i="82"/>
  <c r="I5" i="82"/>
  <c r="J5" i="82"/>
  <c r="D5" i="82"/>
  <c r="E5" i="82"/>
  <c r="F5" i="82"/>
  <c r="C5" i="82"/>
  <c r="I6" i="82"/>
  <c r="J6" i="82"/>
  <c r="D6" i="82"/>
  <c r="E6" i="82"/>
  <c r="F6" i="82"/>
  <c r="C6" i="82"/>
  <c r="I7" i="82"/>
  <c r="J7" i="82"/>
  <c r="D7" i="82"/>
  <c r="E7" i="82"/>
  <c r="F7" i="82"/>
  <c r="C7" i="82"/>
  <c r="I8" i="82"/>
  <c r="J8" i="82"/>
  <c r="D8" i="82"/>
  <c r="E8" i="82"/>
  <c r="F8" i="82"/>
  <c r="C8" i="82"/>
  <c r="I9" i="82"/>
  <c r="J9" i="82"/>
  <c r="D9" i="82"/>
  <c r="E9" i="82"/>
  <c r="F9" i="82"/>
  <c r="C9" i="82"/>
  <c r="I10" i="82"/>
  <c r="J10" i="82"/>
  <c r="D10" i="82"/>
  <c r="E10" i="82"/>
  <c r="F10" i="82"/>
  <c r="C10" i="82"/>
  <c r="I11" i="82"/>
  <c r="J11" i="82"/>
  <c r="D11" i="82"/>
  <c r="E11" i="82"/>
  <c r="F11" i="82"/>
  <c r="C11" i="82"/>
  <c r="I12" i="82"/>
  <c r="J12" i="82"/>
  <c r="D12" i="82"/>
  <c r="E12" i="82"/>
  <c r="F12" i="82"/>
  <c r="C12" i="82"/>
  <c r="I13" i="82"/>
  <c r="J13" i="82"/>
  <c r="D13" i="82"/>
  <c r="E13" i="82"/>
  <c r="F13" i="82"/>
  <c r="C13" i="82"/>
  <c r="I14" i="82"/>
  <c r="J14" i="82"/>
  <c r="D14" i="82"/>
  <c r="E14" i="82"/>
  <c r="F14" i="82"/>
  <c r="C14" i="82"/>
  <c r="I15" i="82"/>
  <c r="J15" i="82"/>
  <c r="D15" i="82"/>
  <c r="E15" i="82"/>
  <c r="F15" i="82"/>
  <c r="C15" i="82"/>
  <c r="I16" i="82"/>
  <c r="J16" i="82"/>
  <c r="D16" i="82"/>
  <c r="E16" i="82"/>
  <c r="F16" i="82"/>
  <c r="C16" i="82"/>
  <c r="I17" i="82"/>
  <c r="J17" i="82"/>
  <c r="D17" i="82"/>
  <c r="E17" i="82"/>
  <c r="F17" i="82"/>
  <c r="C17" i="82"/>
  <c r="I18" i="82"/>
  <c r="J18" i="82"/>
  <c r="D18" i="82"/>
  <c r="E18" i="82"/>
  <c r="F18" i="82"/>
  <c r="C18" i="82"/>
  <c r="I19" i="82"/>
  <c r="J19" i="82"/>
  <c r="D19" i="82"/>
  <c r="E19" i="82"/>
  <c r="F19" i="82"/>
  <c r="C19" i="82"/>
  <c r="I20" i="82"/>
  <c r="J20" i="82"/>
  <c r="D20" i="82"/>
  <c r="E20" i="82"/>
  <c r="F20" i="82"/>
  <c r="C20" i="82"/>
  <c r="I21" i="82"/>
  <c r="J21" i="82"/>
  <c r="D21" i="82"/>
  <c r="E21" i="82"/>
  <c r="F21" i="82"/>
  <c r="C21" i="82"/>
  <c r="I22" i="82"/>
  <c r="J22" i="82"/>
  <c r="D22" i="82"/>
  <c r="E22" i="82"/>
  <c r="F22" i="82"/>
  <c r="C22" i="82"/>
  <c r="I23" i="82"/>
  <c r="J23" i="82"/>
  <c r="D23" i="82"/>
  <c r="E23" i="82"/>
  <c r="F23" i="82"/>
  <c r="C23" i="82"/>
  <c r="I24" i="82"/>
  <c r="J24" i="82"/>
  <c r="D24" i="82"/>
  <c r="E24" i="82"/>
  <c r="F24" i="82"/>
  <c r="C24" i="82"/>
  <c r="I25" i="82"/>
  <c r="J25" i="82"/>
  <c r="D25" i="82"/>
  <c r="E25" i="82"/>
  <c r="F25" i="82"/>
  <c r="C25" i="82"/>
  <c r="I26" i="82"/>
  <c r="J26" i="82"/>
  <c r="D26" i="82"/>
  <c r="E26" i="82"/>
  <c r="F26" i="82"/>
  <c r="C26" i="82"/>
  <c r="I27" i="82"/>
  <c r="J27" i="82"/>
  <c r="D27" i="82"/>
  <c r="E27" i="82"/>
  <c r="F27" i="82"/>
  <c r="C27" i="82"/>
  <c r="I28" i="82"/>
  <c r="J28" i="82"/>
  <c r="D28" i="82"/>
  <c r="E28" i="82"/>
  <c r="F28" i="82"/>
  <c r="C28" i="82"/>
  <c r="I29" i="82"/>
  <c r="J29" i="82"/>
  <c r="D29" i="82"/>
  <c r="E29" i="82"/>
  <c r="F29" i="82"/>
  <c r="C29" i="82"/>
  <c r="I30" i="82"/>
  <c r="J30" i="82"/>
  <c r="D30" i="82"/>
  <c r="E30" i="82"/>
  <c r="F30" i="82"/>
  <c r="C30" i="82"/>
  <c r="I31" i="82"/>
  <c r="J31" i="82"/>
  <c r="D31" i="82"/>
  <c r="E31" i="82"/>
  <c r="F31" i="82"/>
  <c r="C31" i="82"/>
  <c r="I32" i="82"/>
  <c r="J32" i="82"/>
  <c r="D32" i="82"/>
  <c r="E32" i="82"/>
  <c r="F32" i="82"/>
  <c r="C32" i="82"/>
  <c r="I33" i="82"/>
  <c r="J33" i="82"/>
  <c r="D33" i="82"/>
  <c r="E33" i="82"/>
  <c r="F33" i="82"/>
  <c r="C33" i="82"/>
  <c r="I34" i="82"/>
  <c r="J34" i="82"/>
  <c r="D34" i="82"/>
  <c r="E34" i="82"/>
  <c r="F34" i="82"/>
  <c r="C34" i="82"/>
  <c r="I35" i="82"/>
  <c r="J35" i="82"/>
  <c r="D35" i="82"/>
  <c r="E35" i="82"/>
  <c r="F35" i="82"/>
  <c r="C35" i="82"/>
  <c r="I36" i="82"/>
  <c r="J36" i="82"/>
  <c r="D36" i="82"/>
  <c r="E36" i="82"/>
  <c r="F36" i="82"/>
  <c r="C36" i="82"/>
  <c r="I37" i="82"/>
  <c r="J37" i="82"/>
  <c r="D37" i="82"/>
  <c r="E37" i="82"/>
  <c r="F37" i="82"/>
  <c r="C37" i="82"/>
  <c r="I38" i="82"/>
  <c r="J38" i="82"/>
  <c r="D38" i="82"/>
  <c r="E38" i="82"/>
  <c r="F38" i="82"/>
  <c r="C38" i="82"/>
  <c r="I39" i="82"/>
  <c r="J39" i="82"/>
  <c r="D39" i="82"/>
  <c r="E39" i="82"/>
  <c r="F39" i="82"/>
  <c r="C39" i="82"/>
  <c r="I40" i="82"/>
  <c r="J40" i="82"/>
  <c r="D40" i="82"/>
  <c r="E40" i="82"/>
  <c r="F40" i="82"/>
  <c r="C40" i="82"/>
  <c r="I41" i="82"/>
  <c r="J41" i="82"/>
  <c r="D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J215" i="82"/>
  <c r="D215" i="82"/>
  <c r="E215" i="82"/>
  <c r="F215" i="82"/>
  <c r="C215" i="82"/>
  <c r="I216" i="82"/>
  <c r="J216" i="82"/>
  <c r="D216" i="82"/>
  <c r="E216" i="82"/>
  <c r="F216" i="82"/>
  <c r="C216" i="82"/>
  <c r="I217" i="82"/>
  <c r="J217" i="82"/>
  <c r="D217" i="82"/>
  <c r="E217" i="82"/>
  <c r="F217" i="82"/>
  <c r="C217" i="82"/>
  <c r="I218" i="82"/>
  <c r="J218" i="82"/>
  <c r="D218" i="82"/>
  <c r="E218" i="82"/>
  <c r="F218" i="82"/>
  <c r="C218" i="82"/>
  <c r="I219" i="82"/>
  <c r="J219" i="82"/>
  <c r="D219" i="82"/>
  <c r="E219" i="82"/>
  <c r="F219" i="82"/>
  <c r="C219" i="82"/>
  <c r="I220" i="82"/>
  <c r="J220" i="82"/>
  <c r="D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I284" i="82"/>
  <c r="D284" i="82"/>
  <c r="J284" i="82"/>
  <c r="E284" i="82"/>
  <c r="F284" i="82"/>
  <c r="C284" i="82"/>
  <c r="I285" i="82"/>
  <c r="D285" i="82"/>
  <c r="J285" i="82"/>
  <c r="E285" i="82"/>
  <c r="F285" i="82"/>
  <c r="C285" i="82"/>
  <c r="I286" i="82"/>
  <c r="D286" i="82"/>
  <c r="J286" i="82"/>
  <c r="E286" i="82"/>
  <c r="F286" i="82"/>
  <c r="C286" i="82"/>
  <c r="I287" i="82"/>
  <c r="D287" i="82"/>
  <c r="J287" i="82"/>
  <c r="E287" i="82"/>
  <c r="F287" i="82"/>
  <c r="C287" i="82"/>
  <c r="I288" i="82"/>
  <c r="D288" i="82"/>
  <c r="J288" i="82"/>
  <c r="E288" i="82"/>
  <c r="F288" i="82"/>
  <c r="C288" i="82"/>
  <c r="I289" i="82"/>
  <c r="D289" i="82"/>
  <c r="J289" i="82"/>
  <c r="E289" i="82"/>
  <c r="F289" i="82"/>
  <c r="C289" i="82"/>
  <c r="I290" i="82"/>
  <c r="D290" i="82"/>
  <c r="J290" i="82"/>
  <c r="E290" i="82"/>
  <c r="F290" i="82"/>
  <c r="C290" i="82"/>
  <c r="I291" i="82"/>
  <c r="D291" i="82"/>
  <c r="J291" i="82"/>
  <c r="E291" i="82"/>
  <c r="F291" i="82"/>
  <c r="C291" i="82"/>
  <c r="I292" i="82"/>
  <c r="D292" i="82"/>
  <c r="J292" i="82"/>
  <c r="E292" i="82"/>
  <c r="F292" i="82"/>
  <c r="C292" i="82"/>
  <c r="I293" i="82"/>
  <c r="D293" i="82"/>
  <c r="J293" i="82"/>
  <c r="E293" i="82"/>
  <c r="F293" i="82"/>
  <c r="C293" i="82"/>
  <c r="I294" i="82"/>
  <c r="D294" i="82"/>
  <c r="J294" i="82"/>
  <c r="E294" i="82"/>
  <c r="F294" i="82"/>
  <c r="C294" i="82"/>
  <c r="I295" i="82"/>
  <c r="D295" i="82"/>
  <c r="J295" i="82"/>
  <c r="E295" i="82"/>
  <c r="F295" i="82"/>
  <c r="C295" i="82"/>
  <c r="I296" i="82"/>
  <c r="D296" i="82"/>
  <c r="J296" i="82"/>
  <c r="E296" i="82"/>
  <c r="F296" i="82"/>
  <c r="C296" i="82"/>
  <c r="I297" i="82"/>
  <c r="D297" i="82"/>
  <c r="J297" i="82"/>
  <c r="E297" i="82"/>
  <c r="F297" i="82"/>
  <c r="C297" i="82"/>
  <c r="I298" i="82"/>
  <c r="D298" i="82"/>
  <c r="J298" i="82"/>
  <c r="E298" i="82"/>
  <c r="F298" i="82"/>
  <c r="C298" i="82"/>
  <c r="I299" i="82"/>
  <c r="D299" i="82"/>
  <c r="J299" i="82"/>
  <c r="E299" i="82"/>
  <c r="F299" i="82"/>
  <c r="C299" i="82"/>
  <c r="I300" i="82"/>
  <c r="D300" i="82"/>
  <c r="J300" i="82"/>
  <c r="E300" i="82"/>
  <c r="F300" i="82"/>
  <c r="C300" i="82"/>
  <c r="I301" i="82"/>
  <c r="D301" i="82"/>
  <c r="J301" i="82"/>
  <c r="E301" i="82"/>
  <c r="F301" i="82"/>
  <c r="C301" i="82"/>
  <c r="I302" i="82"/>
  <c r="D302" i="82"/>
  <c r="J302" i="82"/>
  <c r="E302" i="82"/>
  <c r="F302" i="82"/>
  <c r="C302" i="82"/>
  <c r="I303" i="82"/>
  <c r="D303" i="82"/>
  <c r="J303" i="82"/>
  <c r="E303" i="82"/>
  <c r="F303" i="82"/>
  <c r="C303" i="82"/>
  <c r="I304" i="82"/>
  <c r="D304" i="82"/>
  <c r="J304" i="82"/>
  <c r="E304" i="82"/>
  <c r="F304" i="82"/>
  <c r="C304" i="82"/>
  <c r="I305" i="82"/>
  <c r="D305" i="82"/>
  <c r="J305" i="82"/>
  <c r="E305" i="82"/>
  <c r="F305" i="82"/>
  <c r="C305" i="82"/>
  <c r="I306" i="82"/>
  <c r="D306" i="82"/>
  <c r="J306" i="82"/>
  <c r="E306" i="82"/>
  <c r="F306" i="82"/>
  <c r="C306" i="82"/>
  <c r="I307" i="82"/>
  <c r="D307" i="82"/>
  <c r="J307" i="82"/>
  <c r="E307" i="82"/>
  <c r="F307" i="82"/>
  <c r="C307" i="82"/>
  <c r="I308" i="82"/>
  <c r="D308" i="82"/>
  <c r="J308" i="82"/>
  <c r="E308" i="82"/>
  <c r="F308" i="82"/>
  <c r="C308" i="82"/>
  <c r="I309" i="82"/>
  <c r="D309" i="82"/>
  <c r="J309" i="82"/>
  <c r="E309" i="82"/>
  <c r="F309" i="82"/>
  <c r="C309" i="82"/>
  <c r="I310" i="82"/>
  <c r="D310" i="82"/>
  <c r="J310" i="82"/>
  <c r="E310" i="82"/>
  <c r="F310" i="82"/>
  <c r="C310" i="82"/>
  <c r="I311" i="82"/>
  <c r="D311" i="82"/>
  <c r="J311" i="82"/>
  <c r="E311" i="82"/>
  <c r="F311" i="82"/>
  <c r="C311" i="82"/>
  <c r="I312" i="82"/>
  <c r="D312" i="82"/>
  <c r="J312" i="82"/>
  <c r="E312" i="82"/>
  <c r="F312" i="82"/>
  <c r="C312" i="82"/>
  <c r="I313" i="82"/>
  <c r="D313" i="82"/>
  <c r="J313" i="82"/>
  <c r="E313" i="82"/>
  <c r="F313" i="82"/>
  <c r="C313" i="82"/>
  <c r="I314" i="82"/>
  <c r="D314" i="82"/>
  <c r="J314" i="82"/>
  <c r="E314" i="82"/>
  <c r="F314" i="82"/>
  <c r="C314" i="82"/>
  <c r="I315" i="82"/>
  <c r="D315" i="82"/>
  <c r="J315" i="82"/>
  <c r="E315" i="82"/>
  <c r="F315" i="82"/>
  <c r="C315" i="82"/>
  <c r="I316" i="82"/>
  <c r="D316" i="82"/>
  <c r="J316" i="82"/>
  <c r="E316" i="82"/>
  <c r="F316" i="82"/>
  <c r="C316" i="82"/>
  <c r="I317" i="82"/>
  <c r="D317" i="82"/>
  <c r="J317" i="82"/>
  <c r="E317" i="82"/>
  <c r="F317" i="82"/>
  <c r="C317" i="82"/>
  <c r="I318" i="82"/>
  <c r="D318" i="82"/>
  <c r="J318" i="82"/>
  <c r="E318" i="82"/>
  <c r="F318" i="82"/>
  <c r="C318" i="82"/>
  <c r="I319" i="82"/>
  <c r="D319" i="82"/>
  <c r="J319" i="82"/>
  <c r="E319" i="82"/>
  <c r="F319" i="82"/>
  <c r="C319" i="82"/>
  <c r="I320" i="82"/>
  <c r="D320" i="82"/>
  <c r="J320" i="82"/>
  <c r="E320" i="82"/>
  <c r="F320" i="82"/>
  <c r="C320" i="82"/>
  <c r="I321" i="82"/>
  <c r="D321" i="82"/>
  <c r="J321" i="82"/>
  <c r="E321" i="82"/>
  <c r="F321" i="82"/>
  <c r="C321" i="82"/>
  <c r="I322" i="82"/>
  <c r="D322" i="82"/>
  <c r="J322" i="82"/>
  <c r="E322" i="82"/>
  <c r="F322" i="82"/>
  <c r="C322" i="82"/>
  <c r="I323" i="82"/>
  <c r="D323" i="82"/>
  <c r="J323" i="82"/>
  <c r="E323" i="82"/>
  <c r="F323" i="82"/>
  <c r="C323" i="82"/>
  <c r="I324" i="82"/>
  <c r="D324" i="82"/>
  <c r="J324" i="82"/>
  <c r="E324" i="82"/>
  <c r="F324" i="82"/>
  <c r="C324" i="82"/>
  <c r="I325" i="82"/>
  <c r="D325" i="82"/>
  <c r="J325" i="82"/>
  <c r="E325" i="82"/>
  <c r="F325" i="82"/>
  <c r="C325" i="82"/>
  <c r="I326" i="82"/>
  <c r="D326" i="82"/>
  <c r="J326" i="82"/>
  <c r="E326" i="82"/>
  <c r="F326" i="82"/>
  <c r="C326" i="82"/>
  <c r="I327" i="82"/>
  <c r="D327" i="82"/>
  <c r="J327" i="82"/>
  <c r="E327" i="82"/>
  <c r="F327" i="82"/>
  <c r="C327" i="82"/>
  <c r="I328" i="82"/>
  <c r="D328" i="82"/>
  <c r="J328" i="82"/>
  <c r="E328" i="82"/>
  <c r="F328" i="82"/>
  <c r="C328" i="82"/>
  <c r="I329" i="82"/>
  <c r="D329" i="82"/>
  <c r="J329" i="82"/>
  <c r="E329" i="82"/>
  <c r="F329" i="82"/>
  <c r="C329" i="82"/>
  <c r="I330" i="82"/>
  <c r="D330" i="82"/>
  <c r="J330" i="82"/>
  <c r="E330" i="82"/>
  <c r="F330" i="82"/>
  <c r="C330" i="82"/>
  <c r="I331" i="82"/>
  <c r="D331" i="82"/>
  <c r="J331" i="82"/>
  <c r="E331" i="82"/>
  <c r="F331" i="82"/>
  <c r="C331" i="82"/>
  <c r="I332" i="82"/>
  <c r="D332" i="82"/>
  <c r="J332" i="82"/>
  <c r="E332" i="82"/>
  <c r="F332" i="82"/>
  <c r="C332" i="82"/>
  <c r="I333" i="82"/>
  <c r="D333" i="82"/>
  <c r="J333" i="82"/>
  <c r="E333" i="82"/>
  <c r="F333" i="82"/>
  <c r="C333" i="82"/>
  <c r="I334" i="82"/>
  <c r="D334" i="82"/>
  <c r="J334" i="82"/>
  <c r="E334" i="82"/>
  <c r="F334" i="82"/>
  <c r="C334" i="82"/>
  <c r="I335" i="82"/>
  <c r="D335" i="82"/>
  <c r="J335" i="82"/>
  <c r="E335" i="82"/>
  <c r="F335" i="82"/>
  <c r="C335" i="82"/>
  <c r="I336" i="82"/>
  <c r="D336" i="82"/>
  <c r="J336" i="82"/>
  <c r="E336" i="82"/>
  <c r="F336" i="82"/>
  <c r="C336" i="82"/>
  <c r="I337" i="82"/>
  <c r="D337" i="82"/>
  <c r="J337" i="82"/>
  <c r="E337" i="82"/>
  <c r="F337" i="82"/>
  <c r="C337" i="82"/>
  <c r="I338" i="82"/>
  <c r="D338" i="82"/>
  <c r="J338" i="82"/>
  <c r="E338" i="82"/>
  <c r="F338" i="82"/>
  <c r="C338" i="82"/>
  <c r="I339" i="82"/>
  <c r="D339" i="82"/>
  <c r="J339" i="82"/>
  <c r="E339" i="82"/>
  <c r="F339" i="82"/>
  <c r="C339" i="82"/>
  <c r="I340" i="82"/>
  <c r="D340" i="82"/>
  <c r="J340" i="82"/>
  <c r="E340" i="82"/>
  <c r="F340" i="82"/>
  <c r="C340" i="82"/>
  <c r="I341" i="82"/>
  <c r="D341" i="82"/>
  <c r="J341" i="82"/>
  <c r="E341" i="82"/>
  <c r="F341" i="82"/>
  <c r="C341" i="82"/>
  <c r="I342" i="82"/>
  <c r="D342" i="82"/>
  <c r="J342" i="82"/>
  <c r="E342" i="82"/>
  <c r="F342" i="82"/>
  <c r="C342" i="82"/>
  <c r="I343" i="82"/>
  <c r="D343" i="82"/>
  <c r="J343" i="82"/>
  <c r="E343" i="82"/>
  <c r="F343" i="82"/>
  <c r="C343" i="82"/>
  <c r="I344" i="82"/>
  <c r="D344" i="82"/>
  <c r="J344" i="82"/>
  <c r="E344" i="82"/>
  <c r="F344" i="82"/>
  <c r="C344" i="82"/>
  <c r="I345" i="82"/>
  <c r="D345" i="82"/>
  <c r="J345" i="82"/>
  <c r="E345" i="82"/>
  <c r="F345" i="82"/>
  <c r="C345" i="82"/>
  <c r="I346" i="82"/>
  <c r="D346" i="82"/>
  <c r="J346" i="82"/>
  <c r="E346" i="82"/>
  <c r="F346" i="82"/>
  <c r="C346" i="82"/>
  <c r="I347" i="82"/>
  <c r="D347" i="82"/>
  <c r="J347" i="82"/>
  <c r="E347" i="82"/>
  <c r="F347" i="82"/>
  <c r="C347" i="82"/>
  <c r="I348" i="82"/>
  <c r="D348" i="82"/>
  <c r="J348" i="82"/>
  <c r="E348" i="82"/>
  <c r="F348" i="82"/>
  <c r="C348" i="82"/>
  <c r="I349" i="82"/>
  <c r="D349" i="82"/>
  <c r="J349" i="82"/>
  <c r="E349" i="82"/>
  <c r="F349" i="82"/>
  <c r="C349" i="82"/>
  <c r="I350" i="82"/>
  <c r="D350" i="82"/>
  <c r="J350" i="82"/>
  <c r="E350" i="82"/>
  <c r="F350" i="82"/>
  <c r="C350" i="82"/>
  <c r="I351" i="82"/>
  <c r="D351" i="82"/>
  <c r="J351" i="82"/>
  <c r="E351" i="82"/>
  <c r="F351" i="82"/>
  <c r="C351" i="82"/>
  <c r="I352" i="82"/>
  <c r="D352" i="82"/>
  <c r="J352" i="82"/>
  <c r="E352" i="82"/>
  <c r="F352" i="82"/>
  <c r="C352" i="82"/>
  <c r="I353" i="82"/>
  <c r="D353" i="82"/>
  <c r="J353" i="82"/>
  <c r="E353" i="82"/>
  <c r="F353" i="82"/>
  <c r="C353" i="82"/>
  <c r="I354" i="82"/>
  <c r="D354" i="82"/>
  <c r="J354" i="82"/>
  <c r="E354" i="82"/>
  <c r="F354" i="82"/>
  <c r="C354" i="82"/>
  <c r="I355" i="82"/>
  <c r="D355" i="82"/>
  <c r="J355" i="82"/>
  <c r="E355" i="82"/>
  <c r="F355" i="82"/>
  <c r="C355" i="82"/>
  <c r="I356" i="82"/>
  <c r="D356" i="82"/>
  <c r="J356" i="82"/>
  <c r="E356" i="82"/>
  <c r="F356" i="82"/>
  <c r="C356" i="82"/>
  <c r="F5" i="106"/>
  <c r="F7" i="106"/>
  <c r="A51" i="106"/>
  <c r="E7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1" i="106"/>
  <c r="B21" i="106"/>
  <c r="E26" i="106"/>
  <c r="B26" i="106"/>
  <c r="E5" i="106"/>
  <c r="E28" i="106"/>
  <c r="B28" i="106"/>
  <c r="E29" i="106"/>
  <c r="B29" i="106"/>
  <c r="B23" i="106"/>
  <c r="G23" i="106"/>
  <c r="E23" i="106"/>
  <c r="H23" i="106"/>
  <c r="O357" i="82"/>
  <c r="E19" i="106"/>
  <c r="B19" i="106"/>
  <c r="E24" i="106"/>
  <c r="B24" i="106"/>
  <c r="B17" i="106"/>
  <c r="G17" i="106"/>
  <c r="E17" i="106"/>
  <c r="H17" i="106"/>
  <c r="O2" i="82"/>
  <c r="E20" i="106"/>
  <c r="B20" i="106"/>
  <c r="E22" i="106"/>
  <c r="B22" i="106"/>
  <c r="E25" i="106"/>
  <c r="B25" i="106"/>
  <c r="E27" i="106"/>
  <c r="B27" i="106"/>
  <c r="B18" i="106"/>
  <c r="G18" i="106"/>
  <c r="E18" i="106"/>
  <c r="H18" i="106"/>
  <c r="O3" i="82"/>
  <c r="O4" i="82"/>
  <c r="O5" i="82"/>
  <c r="F8" i="106"/>
  <c r="E8" i="106"/>
  <c r="E34" i="106"/>
  <c r="B34" i="106"/>
  <c r="E39" i="106"/>
  <c r="B39" i="106"/>
  <c r="B32" i="106"/>
  <c r="G32" i="106"/>
  <c r="E32" i="106"/>
  <c r="H32" i="106"/>
  <c r="O6" i="82"/>
  <c r="E35" i="106"/>
  <c r="B35" i="106"/>
  <c r="E37" i="106"/>
  <c r="E38" i="106"/>
  <c r="C46" i="106"/>
  <c r="B38" i="106"/>
  <c r="B37" i="106"/>
  <c r="E40" i="106"/>
  <c r="B40" i="106"/>
  <c r="F6" i="106"/>
  <c r="E6" i="106"/>
  <c r="E42" i="106"/>
  <c r="B42" i="106"/>
  <c r="B33" i="106"/>
  <c r="G33" i="106"/>
  <c r="E33" i="106"/>
  <c r="H33" i="106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G39" i="106"/>
  <c r="H39" i="106"/>
  <c r="O48" i="82"/>
  <c r="G40" i="106"/>
  <c r="H40" i="106"/>
  <c r="O49" i="82"/>
  <c r="E41" i="106"/>
  <c r="B41" i="106"/>
  <c r="G41" i="106"/>
  <c r="H41" i="106"/>
  <c r="O50" i="82"/>
  <c r="G34" i="106"/>
  <c r="H34" i="106"/>
  <c r="G19" i="106"/>
  <c r="H19" i="106"/>
  <c r="O51" i="82"/>
  <c r="G35" i="106"/>
  <c r="H35" i="106"/>
  <c r="G20" i="106"/>
  <c r="H20" i="106"/>
  <c r="O52" i="82"/>
  <c r="E43" i="106"/>
  <c r="B43" i="106"/>
  <c r="E44" i="106"/>
  <c r="B44" i="106"/>
  <c r="B36" i="106"/>
  <c r="G36" i="106"/>
  <c r="E36" i="106"/>
  <c r="H36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G42" i="106"/>
  <c r="H42" i="106"/>
  <c r="O142" i="82"/>
  <c r="G43" i="106"/>
  <c r="H43" i="106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G38" i="106"/>
  <c r="H38" i="106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G22" i="106"/>
  <c r="H22" i="106"/>
  <c r="O262" i="82"/>
  <c r="O263" i="82"/>
  <c r="O264" i="82"/>
  <c r="O265" i="82"/>
  <c r="G29" i="106"/>
  <c r="H29" i="106"/>
  <c r="G44" i="106"/>
  <c r="H44" i="106"/>
  <c r="O266" i="82"/>
  <c r="O267" i="82"/>
  <c r="O268" i="82"/>
  <c r="O269" i="82"/>
  <c r="G37" i="106"/>
  <c r="H37" i="106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O341" i="82"/>
  <c r="O342" i="82"/>
  <c r="O343" i="82"/>
  <c r="O344" i="82"/>
  <c r="O345" i="82"/>
  <c r="O346" i="82"/>
  <c r="O347" i="82"/>
  <c r="O348" i="82"/>
  <c r="O349" i="82"/>
  <c r="O350" i="82"/>
  <c r="O351" i="82"/>
  <c r="O352" i="82"/>
  <c r="O353" i="82"/>
  <c r="O354" i="82"/>
  <c r="O355" i="82"/>
  <c r="O356" i="82"/>
  <c r="O358" i="82"/>
  <c r="O359" i="82"/>
  <c r="O360" i="82"/>
  <c r="R3" i="106"/>
  <c r="B46" i="106"/>
  <c r="G46" i="106"/>
  <c r="E46" i="106"/>
  <c r="H46" i="106"/>
  <c r="O361" i="82"/>
  <c r="P357" i="82"/>
  <c r="H358" i="82"/>
  <c r="K358" i="82"/>
  <c r="L358" i="82"/>
  <c r="M358" i="82"/>
  <c r="N358" i="82"/>
  <c r="P358" i="82"/>
  <c r="H359" i="82"/>
  <c r="K359" i="82"/>
  <c r="L359" i="82"/>
  <c r="M359" i="82"/>
  <c r="N359" i="82"/>
  <c r="P359" i="82"/>
  <c r="H360" i="82"/>
  <c r="K360" i="82"/>
  <c r="L360" i="82"/>
  <c r="M360" i="82"/>
  <c r="N360" i="82"/>
  <c r="P360" i="82"/>
  <c r="H356" i="82"/>
  <c r="K356" i="82"/>
  <c r="L356" i="82"/>
  <c r="M356" i="82"/>
  <c r="N356" i="82"/>
  <c r="P356" i="82"/>
  <c r="A360" i="82"/>
  <c r="A359" i="82"/>
  <c r="A358" i="82"/>
  <c r="A357" i="82"/>
  <c r="A356" i="82"/>
  <c r="F356" i="163"/>
  <c r="F356" i="154"/>
  <c r="F356" i="159"/>
  <c r="F356" i="150"/>
  <c r="F356" i="148"/>
  <c r="K2" i="82"/>
  <c r="B3" i="98"/>
  <c r="B2" i="98"/>
  <c r="K2" i="148"/>
  <c r="K3" i="148"/>
  <c r="K4" i="148"/>
  <c r="K5" i="148"/>
  <c r="K6" i="148"/>
  <c r="K7" i="148"/>
  <c r="K8" i="148"/>
  <c r="K9" i="148"/>
  <c r="K10" i="148"/>
  <c r="K11" i="148"/>
  <c r="K12" i="148"/>
  <c r="K13" i="148"/>
  <c r="K14" i="148"/>
  <c r="K15" i="148"/>
  <c r="K16" i="148"/>
  <c r="K17" i="148"/>
  <c r="K18" i="148"/>
  <c r="K19" i="148"/>
  <c r="K20" i="148"/>
  <c r="K21" i="148"/>
  <c r="K22" i="148"/>
  <c r="K23" i="148"/>
  <c r="K24" i="148"/>
  <c r="K25" i="148"/>
  <c r="K26" i="148"/>
  <c r="K27" i="148"/>
  <c r="K28" i="148"/>
  <c r="K29" i="148"/>
  <c r="K30" i="148"/>
  <c r="K31" i="148"/>
  <c r="K32" i="148"/>
  <c r="K33" i="148"/>
  <c r="K34" i="148"/>
  <c r="K35" i="148"/>
  <c r="K36" i="148"/>
  <c r="K37" i="148"/>
  <c r="K38" i="148"/>
  <c r="K39" i="148"/>
  <c r="K40" i="148"/>
  <c r="K41" i="148"/>
  <c r="K42" i="148"/>
  <c r="K43" i="148"/>
  <c r="K44" i="148"/>
  <c r="K45" i="148"/>
  <c r="K46" i="148"/>
  <c r="K47" i="148"/>
  <c r="K48" i="148"/>
  <c r="K49" i="148"/>
  <c r="K50" i="148"/>
  <c r="K51" i="148"/>
  <c r="K52" i="148"/>
  <c r="K53" i="148"/>
  <c r="K54" i="148"/>
  <c r="K55" i="148"/>
  <c r="K56" i="148"/>
  <c r="K57" i="148"/>
  <c r="K58" i="148"/>
  <c r="K59" i="148"/>
  <c r="K60" i="148"/>
  <c r="K61" i="148"/>
  <c r="K62" i="148"/>
  <c r="K63" i="148"/>
  <c r="K64" i="148"/>
  <c r="K65" i="148"/>
  <c r="K66" i="148"/>
  <c r="K67" i="148"/>
  <c r="K68" i="148"/>
  <c r="K69" i="148"/>
  <c r="K70" i="148"/>
  <c r="K71" i="148"/>
  <c r="K72" i="148"/>
  <c r="K73" i="148"/>
  <c r="K74" i="148"/>
  <c r="K75" i="148"/>
  <c r="K76" i="148"/>
  <c r="K77" i="148"/>
  <c r="K78" i="148"/>
  <c r="K79" i="148"/>
  <c r="K80" i="148"/>
  <c r="K81" i="148"/>
  <c r="K82" i="148"/>
  <c r="K83" i="148"/>
  <c r="K84" i="148"/>
  <c r="K85" i="148"/>
  <c r="K86" i="148"/>
  <c r="K87" i="148"/>
  <c r="K88" i="148"/>
  <c r="K89" i="148"/>
  <c r="K90" i="148"/>
  <c r="K91" i="148"/>
  <c r="K92" i="148"/>
  <c r="K93" i="148"/>
  <c r="K94" i="148"/>
  <c r="K95" i="148"/>
  <c r="K96" i="148"/>
  <c r="K97" i="148"/>
  <c r="K98" i="148"/>
  <c r="K99" i="148"/>
  <c r="K100" i="148"/>
  <c r="K101" i="148"/>
  <c r="K102" i="148"/>
  <c r="K103" i="148"/>
  <c r="K104" i="148"/>
  <c r="K105" i="148"/>
  <c r="K106" i="148"/>
  <c r="K107" i="148"/>
  <c r="K108" i="148"/>
  <c r="K109" i="148"/>
  <c r="K110" i="148"/>
  <c r="K111" i="148"/>
  <c r="K112" i="148"/>
  <c r="K113" i="148"/>
  <c r="K114" i="148"/>
  <c r="K115" i="148"/>
  <c r="K116" i="148"/>
  <c r="K117" i="148"/>
  <c r="K118" i="148"/>
  <c r="K119" i="148"/>
  <c r="K120" i="148"/>
  <c r="K121" i="148"/>
  <c r="K122" i="148"/>
  <c r="K123" i="148"/>
  <c r="K124" i="148"/>
  <c r="K125" i="148"/>
  <c r="K126" i="148"/>
  <c r="K127" i="148"/>
  <c r="K128" i="148"/>
  <c r="K129" i="148"/>
  <c r="K130" i="148"/>
  <c r="K131" i="148"/>
  <c r="K132" i="148"/>
  <c r="K133" i="148"/>
  <c r="K134" i="148"/>
  <c r="K135" i="148"/>
  <c r="K136" i="148"/>
  <c r="K137" i="148"/>
  <c r="K138" i="148"/>
  <c r="K139" i="148"/>
  <c r="K140" i="148"/>
  <c r="K141" i="148"/>
  <c r="K142" i="148"/>
  <c r="K143" i="148"/>
  <c r="K144" i="148"/>
  <c r="K145" i="148"/>
  <c r="K146" i="148"/>
  <c r="K147" i="148"/>
  <c r="K148" i="148"/>
  <c r="K149" i="148"/>
  <c r="K150" i="148"/>
  <c r="K151" i="148"/>
  <c r="K152" i="148"/>
  <c r="K153" i="148"/>
  <c r="K154" i="148"/>
  <c r="K155" i="148"/>
  <c r="K156" i="148"/>
  <c r="K157" i="148"/>
  <c r="K158" i="148"/>
  <c r="K159" i="148"/>
  <c r="K160" i="148"/>
  <c r="K161" i="148"/>
  <c r="K162" i="148"/>
  <c r="K163" i="148"/>
  <c r="K164" i="148"/>
  <c r="K165" i="148"/>
  <c r="K166" i="148"/>
  <c r="K167" i="148"/>
  <c r="K168" i="148"/>
  <c r="K169" i="148"/>
  <c r="K170" i="148"/>
  <c r="K171" i="148"/>
  <c r="K172" i="148"/>
  <c r="K173" i="148"/>
  <c r="K174" i="148"/>
  <c r="K175" i="148"/>
  <c r="K176" i="148"/>
  <c r="K177" i="148"/>
  <c r="K178" i="148"/>
  <c r="K179" i="148"/>
  <c r="K180" i="148"/>
  <c r="K181" i="148"/>
  <c r="K182" i="148"/>
  <c r="K183" i="148"/>
  <c r="K184" i="148"/>
  <c r="K185" i="148"/>
  <c r="K186" i="148"/>
  <c r="K187" i="148"/>
  <c r="K188" i="148"/>
  <c r="K189" i="148"/>
  <c r="K190" i="148"/>
  <c r="K191" i="148"/>
  <c r="K192" i="148"/>
  <c r="K193" i="148"/>
  <c r="K194" i="148"/>
  <c r="K195" i="148"/>
  <c r="K196" i="148"/>
  <c r="K197" i="148"/>
  <c r="K198" i="148"/>
  <c r="K199" i="148"/>
  <c r="K200" i="148"/>
  <c r="K201" i="148"/>
  <c r="K202" i="148"/>
  <c r="K203" i="148"/>
  <c r="K204" i="148"/>
  <c r="K205" i="148"/>
  <c r="K206" i="148"/>
  <c r="K207" i="148"/>
  <c r="K208" i="148"/>
  <c r="K209" i="148"/>
  <c r="K210" i="148"/>
  <c r="K211" i="148"/>
  <c r="K212" i="148"/>
  <c r="K213" i="148"/>
  <c r="K214" i="148"/>
  <c r="K215" i="148"/>
  <c r="K216" i="148"/>
  <c r="K217" i="148"/>
  <c r="K218" i="148"/>
  <c r="K219" i="148"/>
  <c r="K220" i="148"/>
  <c r="K221" i="148"/>
  <c r="K222" i="148"/>
  <c r="K223" i="148"/>
  <c r="K224" i="148"/>
  <c r="K225" i="148"/>
  <c r="K226" i="148"/>
  <c r="K227" i="148"/>
  <c r="K228" i="148"/>
  <c r="K229" i="148"/>
  <c r="K230" i="148"/>
  <c r="K231" i="148"/>
  <c r="K232" i="148"/>
  <c r="K233" i="148"/>
  <c r="K234" i="148"/>
  <c r="K235" i="148"/>
  <c r="K236" i="148"/>
  <c r="K237" i="148"/>
  <c r="K238" i="148"/>
  <c r="K239" i="148"/>
  <c r="K240" i="148"/>
  <c r="K241" i="148"/>
  <c r="K242" i="148"/>
  <c r="K243" i="148"/>
  <c r="K244" i="148"/>
  <c r="K245" i="148"/>
  <c r="K246" i="148"/>
  <c r="K247" i="148"/>
  <c r="K248" i="148"/>
  <c r="K249" i="148"/>
  <c r="K250" i="148"/>
  <c r="K251" i="148"/>
  <c r="K252" i="148"/>
  <c r="K253" i="148"/>
  <c r="K254" i="148"/>
  <c r="K255" i="148"/>
  <c r="K256" i="148"/>
  <c r="K257" i="148"/>
  <c r="K258" i="148"/>
  <c r="K259" i="148"/>
  <c r="K260" i="148"/>
  <c r="K261" i="148"/>
  <c r="K262" i="148"/>
  <c r="K263" i="148"/>
  <c r="K264" i="148"/>
  <c r="K265" i="148"/>
  <c r="K266" i="148"/>
  <c r="K267" i="148"/>
  <c r="K268" i="148"/>
  <c r="K269" i="148"/>
  <c r="K270" i="148"/>
  <c r="K271" i="148"/>
  <c r="K272" i="148"/>
  <c r="K273" i="148"/>
  <c r="K274" i="148"/>
  <c r="K275" i="148"/>
  <c r="K276" i="148"/>
  <c r="K277" i="148"/>
  <c r="K278" i="148"/>
  <c r="K279" i="148"/>
  <c r="K280" i="148"/>
  <c r="K281" i="148"/>
  <c r="K282" i="148"/>
  <c r="K283" i="148"/>
  <c r="K284" i="148"/>
  <c r="K285" i="148"/>
  <c r="K286" i="148"/>
  <c r="K287" i="148"/>
  <c r="K288" i="148"/>
  <c r="K289" i="148"/>
  <c r="K290" i="148"/>
  <c r="K291" i="148"/>
  <c r="K292" i="148"/>
  <c r="K293" i="148"/>
  <c r="K294" i="148"/>
  <c r="K295" i="148"/>
  <c r="K296" i="148"/>
  <c r="K297" i="148"/>
  <c r="K298" i="148"/>
  <c r="K299" i="148"/>
  <c r="K300" i="148"/>
  <c r="K301" i="148"/>
  <c r="K302" i="148"/>
  <c r="K303" i="148"/>
  <c r="K304" i="148"/>
  <c r="K305" i="148"/>
  <c r="K306" i="148"/>
  <c r="K307" i="148"/>
  <c r="K308" i="148"/>
  <c r="K309" i="148"/>
  <c r="K310" i="148"/>
  <c r="K311" i="148"/>
  <c r="K312" i="148"/>
  <c r="K313" i="148"/>
  <c r="K314" i="148"/>
  <c r="K315" i="148"/>
  <c r="K316" i="148"/>
  <c r="K317" i="148"/>
  <c r="K318" i="148"/>
  <c r="K319" i="148"/>
  <c r="K320" i="148"/>
  <c r="K321" i="148"/>
  <c r="K322" i="148"/>
  <c r="K323" i="148"/>
  <c r="K324" i="148"/>
  <c r="K325" i="148"/>
  <c r="K326" i="148"/>
  <c r="K327" i="148"/>
  <c r="K328" i="148"/>
  <c r="K329" i="148"/>
  <c r="K330" i="148"/>
  <c r="K331" i="148"/>
  <c r="K332" i="148"/>
  <c r="K333" i="148"/>
  <c r="K334" i="148"/>
  <c r="K335" i="148"/>
  <c r="K336" i="148"/>
  <c r="K337" i="148"/>
  <c r="K338" i="148"/>
  <c r="K339" i="148"/>
  <c r="K340" i="148"/>
  <c r="K341" i="148"/>
  <c r="K342" i="148"/>
  <c r="K343" i="148"/>
  <c r="K344" i="148"/>
  <c r="K345" i="148"/>
  <c r="K346" i="148"/>
  <c r="K347" i="148"/>
  <c r="K348" i="148"/>
  <c r="K349" i="148"/>
  <c r="K350" i="148"/>
  <c r="K2" i="150"/>
  <c r="K3" i="150"/>
  <c r="K4" i="150"/>
  <c r="K5" i="150"/>
  <c r="K6" i="150"/>
  <c r="K7" i="150"/>
  <c r="K8" i="150"/>
  <c r="K9" i="150"/>
  <c r="K10" i="150"/>
  <c r="K11" i="150"/>
  <c r="K12" i="150"/>
  <c r="K13" i="150"/>
  <c r="K14" i="150"/>
  <c r="K15" i="150"/>
  <c r="K16" i="150"/>
  <c r="K17" i="150"/>
  <c r="K18" i="150"/>
  <c r="K19" i="150"/>
  <c r="K20" i="150"/>
  <c r="K21" i="150"/>
  <c r="K22" i="150"/>
  <c r="K23" i="150"/>
  <c r="K24" i="150"/>
  <c r="K25" i="150"/>
  <c r="K26" i="150"/>
  <c r="K27" i="150"/>
  <c r="K28" i="150"/>
  <c r="K29" i="150"/>
  <c r="K30" i="150"/>
  <c r="K31" i="150"/>
  <c r="K32" i="150"/>
  <c r="K33" i="150"/>
  <c r="K34" i="150"/>
  <c r="K35" i="150"/>
  <c r="K36" i="150"/>
  <c r="K37" i="150"/>
  <c r="K38" i="150"/>
  <c r="K39" i="150"/>
  <c r="K40" i="150"/>
  <c r="K41" i="150"/>
  <c r="K42" i="150"/>
  <c r="K43" i="150"/>
  <c r="K44" i="150"/>
  <c r="K45" i="150"/>
  <c r="K46" i="150"/>
  <c r="K47" i="150"/>
  <c r="K48" i="150"/>
  <c r="K49" i="150"/>
  <c r="K50" i="150"/>
  <c r="K51" i="150"/>
  <c r="K52" i="150"/>
  <c r="K53" i="150"/>
  <c r="K54" i="150"/>
  <c r="K55" i="150"/>
  <c r="K56" i="150"/>
  <c r="K57" i="150"/>
  <c r="K58" i="150"/>
  <c r="K59" i="150"/>
  <c r="K60" i="150"/>
  <c r="K61" i="150"/>
  <c r="K62" i="150"/>
  <c r="K63" i="150"/>
  <c r="K64" i="150"/>
  <c r="K65" i="150"/>
  <c r="K66" i="150"/>
  <c r="K67" i="150"/>
  <c r="K68" i="150"/>
  <c r="K69" i="150"/>
  <c r="K70" i="150"/>
  <c r="K71" i="150"/>
  <c r="K72" i="150"/>
  <c r="K73" i="150"/>
  <c r="K74" i="150"/>
  <c r="K75" i="150"/>
  <c r="K76" i="150"/>
  <c r="K77" i="150"/>
  <c r="K78" i="150"/>
  <c r="K79" i="150"/>
  <c r="K80" i="150"/>
  <c r="K81" i="150"/>
  <c r="K82" i="150"/>
  <c r="K83" i="150"/>
  <c r="K84" i="150"/>
  <c r="K85" i="150"/>
  <c r="K86" i="150"/>
  <c r="K87" i="150"/>
  <c r="K88" i="150"/>
  <c r="K89" i="150"/>
  <c r="K90" i="150"/>
  <c r="K91" i="150"/>
  <c r="K92" i="150"/>
  <c r="K93" i="150"/>
  <c r="K94" i="150"/>
  <c r="K95" i="150"/>
  <c r="K96" i="150"/>
  <c r="K97" i="150"/>
  <c r="K98" i="150"/>
  <c r="K99" i="150"/>
  <c r="K100" i="150"/>
  <c r="K101" i="150"/>
  <c r="K102" i="150"/>
  <c r="K103" i="150"/>
  <c r="K104" i="150"/>
  <c r="K105" i="150"/>
  <c r="K106" i="150"/>
  <c r="K107" i="150"/>
  <c r="K108" i="150"/>
  <c r="K109" i="150"/>
  <c r="K110" i="150"/>
  <c r="K111" i="150"/>
  <c r="K112" i="150"/>
  <c r="K113" i="150"/>
  <c r="K114" i="150"/>
  <c r="K115" i="150"/>
  <c r="K116" i="150"/>
  <c r="K117" i="150"/>
  <c r="K118" i="150"/>
  <c r="K119" i="150"/>
  <c r="K120" i="150"/>
  <c r="K121" i="150"/>
  <c r="K122" i="150"/>
  <c r="K123" i="150"/>
  <c r="K124" i="150"/>
  <c r="K125" i="150"/>
  <c r="K126" i="150"/>
  <c r="K127" i="150"/>
  <c r="K128" i="150"/>
  <c r="K129" i="150"/>
  <c r="K130" i="150"/>
  <c r="K131" i="150"/>
  <c r="K132" i="150"/>
  <c r="K133" i="150"/>
  <c r="K134" i="150"/>
  <c r="K135" i="150"/>
  <c r="K136" i="150"/>
  <c r="K137" i="150"/>
  <c r="K138" i="150"/>
  <c r="K139" i="150"/>
  <c r="K140" i="150"/>
  <c r="K141" i="150"/>
  <c r="K142" i="150"/>
  <c r="K143" i="150"/>
  <c r="K144" i="150"/>
  <c r="K145" i="150"/>
  <c r="K146" i="150"/>
  <c r="K147" i="150"/>
  <c r="K148" i="150"/>
  <c r="K149" i="150"/>
  <c r="K150" i="150"/>
  <c r="K151" i="150"/>
  <c r="K152" i="150"/>
  <c r="K153" i="150"/>
  <c r="K154" i="150"/>
  <c r="K155" i="150"/>
  <c r="K156" i="150"/>
  <c r="K157" i="150"/>
  <c r="K158" i="150"/>
  <c r="K159" i="150"/>
  <c r="K160" i="150"/>
  <c r="K161" i="150"/>
  <c r="K162" i="150"/>
  <c r="K163" i="150"/>
  <c r="K164" i="150"/>
  <c r="K165" i="150"/>
  <c r="K166" i="150"/>
  <c r="K167" i="150"/>
  <c r="K168" i="150"/>
  <c r="K169" i="150"/>
  <c r="K170" i="150"/>
  <c r="K171" i="150"/>
  <c r="K172" i="150"/>
  <c r="K173" i="150"/>
  <c r="K174" i="150"/>
  <c r="K175" i="150"/>
  <c r="K176" i="150"/>
  <c r="K177" i="150"/>
  <c r="K178" i="150"/>
  <c r="K179" i="150"/>
  <c r="K180" i="150"/>
  <c r="K181" i="150"/>
  <c r="K182" i="150"/>
  <c r="K183" i="150"/>
  <c r="K184" i="150"/>
  <c r="K185" i="150"/>
  <c r="K186" i="150"/>
  <c r="K187" i="150"/>
  <c r="K188" i="150"/>
  <c r="K189" i="150"/>
  <c r="K190" i="150"/>
  <c r="K191" i="150"/>
  <c r="K192" i="150"/>
  <c r="K193" i="150"/>
  <c r="K194" i="150"/>
  <c r="K195" i="150"/>
  <c r="K196" i="150"/>
  <c r="K197" i="150"/>
  <c r="K198" i="150"/>
  <c r="K199" i="150"/>
  <c r="K200" i="150"/>
  <c r="K201" i="150"/>
  <c r="K202" i="150"/>
  <c r="K203" i="150"/>
  <c r="K204" i="150"/>
  <c r="K205" i="150"/>
  <c r="K206" i="150"/>
  <c r="K207" i="150"/>
  <c r="K208" i="150"/>
  <c r="K209" i="150"/>
  <c r="K210" i="150"/>
  <c r="K211" i="150"/>
  <c r="K212" i="150"/>
  <c r="K213" i="150"/>
  <c r="K214" i="150"/>
  <c r="K215" i="150"/>
  <c r="K216" i="150"/>
  <c r="K217" i="150"/>
  <c r="K218" i="150"/>
  <c r="K219" i="150"/>
  <c r="K220" i="150"/>
  <c r="K221" i="150"/>
  <c r="K222" i="150"/>
  <c r="K223" i="150"/>
  <c r="K224" i="150"/>
  <c r="K225" i="150"/>
  <c r="K226" i="150"/>
  <c r="K227" i="150"/>
  <c r="K228" i="150"/>
  <c r="K229" i="150"/>
  <c r="K230" i="150"/>
  <c r="K231" i="150"/>
  <c r="K232" i="150"/>
  <c r="K233" i="150"/>
  <c r="K234" i="150"/>
  <c r="K235" i="150"/>
  <c r="K236" i="150"/>
  <c r="K237" i="150"/>
  <c r="K238" i="150"/>
  <c r="K239" i="150"/>
  <c r="K240" i="150"/>
  <c r="K241" i="150"/>
  <c r="K242" i="150"/>
  <c r="K243" i="150"/>
  <c r="K244" i="150"/>
  <c r="K245" i="150"/>
  <c r="K246" i="150"/>
  <c r="K247" i="150"/>
  <c r="K248" i="150"/>
  <c r="K249" i="150"/>
  <c r="K250" i="150"/>
  <c r="K251" i="150"/>
  <c r="K252" i="150"/>
  <c r="K253" i="150"/>
  <c r="K254" i="150"/>
  <c r="K255" i="150"/>
  <c r="K256" i="150"/>
  <c r="K257" i="150"/>
  <c r="K258" i="150"/>
  <c r="K259" i="150"/>
  <c r="K260" i="150"/>
  <c r="K261" i="150"/>
  <c r="K262" i="150"/>
  <c r="K263" i="150"/>
  <c r="K264" i="150"/>
  <c r="K265" i="150"/>
  <c r="K266" i="150"/>
  <c r="K267" i="150"/>
  <c r="K268" i="150"/>
  <c r="K269" i="150"/>
  <c r="K270" i="150"/>
  <c r="K271" i="150"/>
  <c r="K272" i="150"/>
  <c r="K273" i="150"/>
  <c r="K274" i="150"/>
  <c r="K275" i="150"/>
  <c r="K276" i="150"/>
  <c r="K277" i="150"/>
  <c r="K278" i="150"/>
  <c r="K279" i="150"/>
  <c r="K280" i="150"/>
  <c r="K281" i="150"/>
  <c r="K282" i="150"/>
  <c r="K283" i="150"/>
  <c r="K284" i="150"/>
  <c r="K285" i="150"/>
  <c r="K286" i="150"/>
  <c r="K287" i="150"/>
  <c r="K288" i="150"/>
  <c r="K289" i="150"/>
  <c r="K290" i="150"/>
  <c r="K291" i="150"/>
  <c r="K292" i="150"/>
  <c r="K293" i="150"/>
  <c r="K294" i="150"/>
  <c r="K295" i="150"/>
  <c r="K296" i="150"/>
  <c r="K297" i="150"/>
  <c r="K298" i="150"/>
  <c r="K299" i="150"/>
  <c r="K300" i="150"/>
  <c r="K301" i="150"/>
  <c r="K302" i="150"/>
  <c r="K303" i="150"/>
  <c r="K304" i="150"/>
  <c r="K305" i="150"/>
  <c r="K306" i="150"/>
  <c r="K307" i="150"/>
  <c r="K308" i="150"/>
  <c r="K309" i="150"/>
  <c r="K310" i="150"/>
  <c r="K311" i="150"/>
  <c r="K312" i="150"/>
  <c r="K313" i="150"/>
  <c r="K314" i="150"/>
  <c r="K315" i="150"/>
  <c r="K316" i="150"/>
  <c r="K317" i="150"/>
  <c r="K318" i="150"/>
  <c r="K319" i="150"/>
  <c r="K320" i="150"/>
  <c r="K321" i="150"/>
  <c r="K322" i="150"/>
  <c r="K323" i="150"/>
  <c r="K324" i="150"/>
  <c r="K325" i="150"/>
  <c r="K326" i="150"/>
  <c r="K327" i="150"/>
  <c r="K328" i="150"/>
  <c r="K329" i="150"/>
  <c r="K330" i="150"/>
  <c r="K331" i="150"/>
  <c r="K332" i="150"/>
  <c r="K333" i="150"/>
  <c r="K334" i="150"/>
  <c r="K335" i="150"/>
  <c r="K336" i="150"/>
  <c r="K337" i="150"/>
  <c r="K338" i="150"/>
  <c r="K339" i="150"/>
  <c r="K340" i="150"/>
  <c r="K341" i="150"/>
  <c r="K342" i="150"/>
  <c r="K343" i="150"/>
  <c r="K344" i="150"/>
  <c r="K345" i="150"/>
  <c r="K346" i="150"/>
  <c r="K347" i="150"/>
  <c r="K348" i="150"/>
  <c r="K349" i="150"/>
  <c r="K350" i="150"/>
  <c r="K2" i="159"/>
  <c r="K3" i="159"/>
  <c r="K4" i="159"/>
  <c r="K5" i="159"/>
  <c r="K6" i="159"/>
  <c r="K7" i="159"/>
  <c r="K8" i="159"/>
  <c r="K9" i="159"/>
  <c r="K10" i="159"/>
  <c r="K11" i="159"/>
  <c r="K12" i="159"/>
  <c r="K13" i="159"/>
  <c r="K14" i="159"/>
  <c r="K15" i="159"/>
  <c r="K16" i="159"/>
  <c r="K17" i="159"/>
  <c r="K18" i="159"/>
  <c r="K19" i="159"/>
  <c r="K20" i="159"/>
  <c r="K21" i="159"/>
  <c r="K22" i="159"/>
  <c r="K23" i="159"/>
  <c r="K24" i="159"/>
  <c r="K25" i="159"/>
  <c r="K26" i="159"/>
  <c r="K27" i="159"/>
  <c r="K28" i="159"/>
  <c r="K29" i="159"/>
  <c r="K30" i="159"/>
  <c r="K31" i="159"/>
  <c r="K32" i="159"/>
  <c r="K33" i="159"/>
  <c r="K34" i="159"/>
  <c r="K35" i="159"/>
  <c r="K36" i="159"/>
  <c r="K37" i="159"/>
  <c r="K38" i="159"/>
  <c r="K39" i="159"/>
  <c r="K40" i="159"/>
  <c r="K41" i="159"/>
  <c r="K42" i="159"/>
  <c r="K43" i="159"/>
  <c r="K44" i="159"/>
  <c r="K45" i="159"/>
  <c r="K46" i="159"/>
  <c r="K47" i="159"/>
  <c r="K48" i="159"/>
  <c r="K49" i="159"/>
  <c r="K50" i="159"/>
  <c r="K51" i="159"/>
  <c r="K52" i="159"/>
  <c r="K53" i="159"/>
  <c r="K54" i="159"/>
  <c r="K55" i="159"/>
  <c r="K56" i="159"/>
  <c r="K57" i="159"/>
  <c r="K58" i="159"/>
  <c r="K59" i="159"/>
  <c r="K60" i="159"/>
  <c r="K61" i="159"/>
  <c r="K62" i="159"/>
  <c r="K63" i="159"/>
  <c r="K64" i="159"/>
  <c r="K65" i="159"/>
  <c r="K66" i="159"/>
  <c r="K67" i="159"/>
  <c r="K68" i="159"/>
  <c r="K69" i="159"/>
  <c r="K70" i="159"/>
  <c r="K71" i="159"/>
  <c r="K72" i="159"/>
  <c r="K73" i="159"/>
  <c r="K74" i="159"/>
  <c r="K75" i="159"/>
  <c r="K76" i="159"/>
  <c r="K77" i="159"/>
  <c r="K78" i="159"/>
  <c r="K79" i="159"/>
  <c r="K80" i="159"/>
  <c r="K81" i="159"/>
  <c r="K82" i="159"/>
  <c r="K83" i="159"/>
  <c r="K84" i="159"/>
  <c r="K85" i="159"/>
  <c r="K86" i="159"/>
  <c r="K87" i="159"/>
  <c r="K88" i="159"/>
  <c r="K89" i="159"/>
  <c r="K90" i="159"/>
  <c r="K91" i="159"/>
  <c r="K92" i="159"/>
  <c r="K93" i="159"/>
  <c r="K94" i="159"/>
  <c r="K95" i="159"/>
  <c r="K96" i="159"/>
  <c r="K97" i="159"/>
  <c r="K98" i="159"/>
  <c r="K99" i="159"/>
  <c r="K100" i="159"/>
  <c r="K101" i="159"/>
  <c r="K102" i="159"/>
  <c r="K103" i="159"/>
  <c r="K104" i="159"/>
  <c r="K105" i="159"/>
  <c r="K106" i="159"/>
  <c r="K107" i="159"/>
  <c r="K108" i="159"/>
  <c r="K109" i="159"/>
  <c r="K110" i="159"/>
  <c r="K111" i="159"/>
  <c r="K112" i="159"/>
  <c r="K113" i="159"/>
  <c r="K114" i="159"/>
  <c r="K115" i="159"/>
  <c r="K116" i="159"/>
  <c r="K117" i="159"/>
  <c r="K118" i="159"/>
  <c r="K119" i="159"/>
  <c r="K120" i="159"/>
  <c r="K121" i="159"/>
  <c r="K122" i="159"/>
  <c r="K123" i="159"/>
  <c r="K124" i="159"/>
  <c r="K125" i="159"/>
  <c r="K126" i="159"/>
  <c r="K127" i="159"/>
  <c r="K128" i="159"/>
  <c r="K129" i="159"/>
  <c r="K130" i="159"/>
  <c r="K131" i="159"/>
  <c r="K132" i="159"/>
  <c r="K133" i="159"/>
  <c r="K134" i="159"/>
  <c r="K135" i="159"/>
  <c r="K136" i="159"/>
  <c r="K137" i="159"/>
  <c r="K138" i="159"/>
  <c r="K139" i="159"/>
  <c r="K140" i="159"/>
  <c r="K141" i="159"/>
  <c r="K142" i="159"/>
  <c r="K143" i="159"/>
  <c r="K144" i="159"/>
  <c r="K145" i="159"/>
  <c r="K146" i="159"/>
  <c r="K147" i="159"/>
  <c r="K148" i="159"/>
  <c r="K149" i="159"/>
  <c r="K150" i="159"/>
  <c r="K151" i="159"/>
  <c r="K152" i="159"/>
  <c r="K153" i="159"/>
  <c r="K154" i="159"/>
  <c r="K155" i="159"/>
  <c r="K156" i="159"/>
  <c r="K157" i="159"/>
  <c r="K158" i="159"/>
  <c r="K159" i="159"/>
  <c r="K160" i="159"/>
  <c r="K161" i="159"/>
  <c r="K162" i="159"/>
  <c r="K163" i="159"/>
  <c r="K164" i="159"/>
  <c r="K165" i="159"/>
  <c r="K166" i="159"/>
  <c r="K167" i="159"/>
  <c r="K168" i="159"/>
  <c r="K169" i="159"/>
  <c r="K170" i="159"/>
  <c r="K171" i="159"/>
  <c r="K172" i="159"/>
  <c r="K173" i="159"/>
  <c r="K174" i="159"/>
  <c r="K175" i="159"/>
  <c r="K176" i="159"/>
  <c r="K177" i="159"/>
  <c r="K178" i="159"/>
  <c r="K179" i="159"/>
  <c r="K180" i="159"/>
  <c r="K181" i="159"/>
  <c r="K182" i="159"/>
  <c r="K183" i="159"/>
  <c r="K184" i="159"/>
  <c r="K185" i="159"/>
  <c r="K186" i="159"/>
  <c r="K187" i="159"/>
  <c r="K188" i="159"/>
  <c r="K189" i="159"/>
  <c r="K190" i="159"/>
  <c r="K191" i="159"/>
  <c r="K192" i="159"/>
  <c r="K193" i="159"/>
  <c r="K194" i="159"/>
  <c r="K195" i="159"/>
  <c r="K196" i="159"/>
  <c r="K197" i="159"/>
  <c r="K198" i="159"/>
  <c r="K199" i="159"/>
  <c r="K200" i="159"/>
  <c r="K201" i="159"/>
  <c r="K202" i="159"/>
  <c r="K203" i="159"/>
  <c r="K204" i="159"/>
  <c r="K205" i="159"/>
  <c r="K206" i="159"/>
  <c r="K207" i="159"/>
  <c r="K208" i="159"/>
  <c r="K209" i="159"/>
  <c r="K210" i="159"/>
  <c r="K211" i="159"/>
  <c r="K212" i="159"/>
  <c r="K213" i="159"/>
  <c r="K214" i="159"/>
  <c r="K215" i="159"/>
  <c r="K216" i="159"/>
  <c r="K217" i="159"/>
  <c r="K218" i="159"/>
  <c r="K219" i="159"/>
  <c r="K220" i="159"/>
  <c r="K221" i="159"/>
  <c r="K222" i="159"/>
  <c r="K223" i="159"/>
  <c r="K224" i="159"/>
  <c r="K225" i="159"/>
  <c r="K226" i="159"/>
  <c r="K227" i="159"/>
  <c r="K228" i="159"/>
  <c r="K229" i="159"/>
  <c r="K230" i="159"/>
  <c r="K231" i="159"/>
  <c r="K232" i="159"/>
  <c r="K233" i="159"/>
  <c r="K234" i="159"/>
  <c r="K235" i="159"/>
  <c r="K236" i="159"/>
  <c r="K237" i="159"/>
  <c r="K238" i="159"/>
  <c r="K239" i="159"/>
  <c r="K240" i="159"/>
  <c r="K241" i="159"/>
  <c r="K242" i="159"/>
  <c r="K243" i="159"/>
  <c r="K244" i="159"/>
  <c r="K245" i="159"/>
  <c r="K246" i="159"/>
  <c r="K247" i="159"/>
  <c r="K248" i="159"/>
  <c r="K249" i="159"/>
  <c r="K250" i="159"/>
  <c r="K251" i="159"/>
  <c r="K252" i="159"/>
  <c r="K253" i="159"/>
  <c r="K254" i="159"/>
  <c r="K255" i="159"/>
  <c r="K256" i="159"/>
  <c r="K257" i="159"/>
  <c r="K258" i="159"/>
  <c r="K259" i="159"/>
  <c r="K260" i="159"/>
  <c r="K261" i="159"/>
  <c r="K262" i="159"/>
  <c r="K263" i="159"/>
  <c r="K264" i="159"/>
  <c r="K265" i="159"/>
  <c r="K266" i="159"/>
  <c r="K267" i="159"/>
  <c r="K268" i="159"/>
  <c r="K269" i="159"/>
  <c r="K270" i="159"/>
  <c r="K271" i="159"/>
  <c r="K272" i="159"/>
  <c r="K273" i="159"/>
  <c r="K274" i="159"/>
  <c r="K275" i="159"/>
  <c r="K276" i="159"/>
  <c r="K277" i="159"/>
  <c r="K278" i="159"/>
  <c r="K279" i="159"/>
  <c r="K280" i="159"/>
  <c r="K281" i="159"/>
  <c r="K282" i="159"/>
  <c r="K283" i="159"/>
  <c r="K284" i="159"/>
  <c r="K285" i="159"/>
  <c r="K286" i="159"/>
  <c r="K287" i="159"/>
  <c r="K288" i="159"/>
  <c r="K289" i="159"/>
  <c r="K290" i="159"/>
  <c r="K291" i="159"/>
  <c r="K292" i="159"/>
  <c r="K293" i="159"/>
  <c r="K294" i="159"/>
  <c r="K295" i="159"/>
  <c r="K296" i="159"/>
  <c r="K297" i="159"/>
  <c r="K298" i="159"/>
  <c r="K299" i="159"/>
  <c r="K300" i="159"/>
  <c r="K301" i="159"/>
  <c r="K302" i="159"/>
  <c r="K303" i="159"/>
  <c r="K304" i="159"/>
  <c r="K305" i="159"/>
  <c r="K306" i="159"/>
  <c r="K307" i="159"/>
  <c r="K308" i="159"/>
  <c r="K309" i="159"/>
  <c r="K310" i="159"/>
  <c r="K311" i="159"/>
  <c r="K312" i="159"/>
  <c r="K313" i="159"/>
  <c r="K314" i="159"/>
  <c r="K315" i="159"/>
  <c r="K316" i="159"/>
  <c r="K317" i="159"/>
  <c r="K318" i="159"/>
  <c r="K319" i="159"/>
  <c r="K320" i="159"/>
  <c r="K321" i="159"/>
  <c r="K322" i="159"/>
  <c r="K323" i="159"/>
  <c r="K324" i="159"/>
  <c r="K325" i="159"/>
  <c r="K326" i="159"/>
  <c r="K327" i="159"/>
  <c r="K328" i="159"/>
  <c r="K329" i="159"/>
  <c r="K330" i="159"/>
  <c r="K331" i="159"/>
  <c r="K332" i="159"/>
  <c r="K333" i="159"/>
  <c r="K334" i="159"/>
  <c r="K335" i="159"/>
  <c r="K336" i="159"/>
  <c r="K337" i="159"/>
  <c r="K338" i="159"/>
  <c r="K339" i="159"/>
  <c r="K340" i="159"/>
  <c r="K341" i="159"/>
  <c r="K342" i="159"/>
  <c r="K343" i="159"/>
  <c r="K344" i="159"/>
  <c r="K345" i="159"/>
  <c r="K346" i="159"/>
  <c r="K347" i="159"/>
  <c r="K348" i="159"/>
  <c r="K349" i="159"/>
  <c r="K350" i="159"/>
  <c r="K2" i="154"/>
  <c r="K3" i="154"/>
  <c r="K4" i="154"/>
  <c r="K5" i="154"/>
  <c r="K6" i="154"/>
  <c r="K7" i="154"/>
  <c r="K8" i="154"/>
  <c r="K9" i="154"/>
  <c r="K10" i="154"/>
  <c r="K11" i="154"/>
  <c r="K12" i="154"/>
  <c r="K13" i="154"/>
  <c r="K14" i="154"/>
  <c r="K15" i="154"/>
  <c r="K16" i="154"/>
  <c r="K17" i="154"/>
  <c r="K18" i="154"/>
  <c r="K19" i="154"/>
  <c r="K20" i="154"/>
  <c r="K21" i="154"/>
  <c r="K22" i="154"/>
  <c r="K23" i="154"/>
  <c r="K24" i="154"/>
  <c r="K25" i="154"/>
  <c r="K26" i="154"/>
  <c r="K27" i="154"/>
  <c r="K28" i="154"/>
  <c r="K29" i="154"/>
  <c r="K30" i="154"/>
  <c r="K31" i="154"/>
  <c r="K32" i="154"/>
  <c r="K33" i="154"/>
  <c r="K34" i="154"/>
  <c r="K35" i="154"/>
  <c r="K36" i="154"/>
  <c r="K37" i="154"/>
  <c r="K38" i="154"/>
  <c r="K39" i="154"/>
  <c r="K40" i="154"/>
  <c r="K41" i="154"/>
  <c r="K42" i="154"/>
  <c r="K43" i="154"/>
  <c r="K44" i="154"/>
  <c r="K45" i="154"/>
  <c r="K46" i="154"/>
  <c r="K47" i="154"/>
  <c r="K48" i="154"/>
  <c r="K49" i="154"/>
  <c r="K50" i="154"/>
  <c r="K51" i="154"/>
  <c r="K52" i="154"/>
  <c r="K53" i="154"/>
  <c r="K54" i="154"/>
  <c r="K55" i="154"/>
  <c r="K56" i="154"/>
  <c r="K57" i="154"/>
  <c r="K58" i="154"/>
  <c r="K59" i="154"/>
  <c r="K60" i="154"/>
  <c r="K61" i="154"/>
  <c r="K62" i="154"/>
  <c r="K63" i="154"/>
  <c r="K64" i="154"/>
  <c r="K65" i="154"/>
  <c r="K66" i="154"/>
  <c r="K67" i="154"/>
  <c r="K68" i="154"/>
  <c r="K69" i="154"/>
  <c r="K70" i="154"/>
  <c r="K71" i="154"/>
  <c r="K72" i="154"/>
  <c r="K73" i="154"/>
  <c r="K74" i="154"/>
  <c r="K75" i="154"/>
  <c r="K76" i="154"/>
  <c r="K77" i="154"/>
  <c r="K78" i="154"/>
  <c r="K79" i="154"/>
  <c r="K80" i="154"/>
  <c r="K81" i="154"/>
  <c r="K82" i="154"/>
  <c r="K83" i="154"/>
  <c r="K84" i="154"/>
  <c r="K85" i="154"/>
  <c r="K86" i="154"/>
  <c r="K87" i="154"/>
  <c r="K88" i="154"/>
  <c r="K89" i="154"/>
  <c r="K90" i="154"/>
  <c r="K91" i="154"/>
  <c r="K92" i="154"/>
  <c r="K93" i="154"/>
  <c r="K94" i="154"/>
  <c r="K95" i="154"/>
  <c r="K96" i="154"/>
  <c r="K97" i="154"/>
  <c r="K98" i="154"/>
  <c r="K99" i="154"/>
  <c r="K100" i="154"/>
  <c r="K101" i="154"/>
  <c r="K102" i="154"/>
  <c r="K103" i="154"/>
  <c r="K104" i="154"/>
  <c r="K105" i="154"/>
  <c r="K106" i="154"/>
  <c r="K107" i="154"/>
  <c r="K108" i="154"/>
  <c r="K109" i="154"/>
  <c r="K110" i="154"/>
  <c r="K111" i="154"/>
  <c r="K112" i="154"/>
  <c r="K113" i="154"/>
  <c r="K114" i="154"/>
  <c r="K115" i="154"/>
  <c r="K116" i="154"/>
  <c r="K117" i="154"/>
  <c r="K118" i="154"/>
  <c r="K119" i="154"/>
  <c r="K120" i="154"/>
  <c r="K121" i="154"/>
  <c r="K122" i="154"/>
  <c r="K123" i="154"/>
  <c r="K124" i="154"/>
  <c r="K125" i="154"/>
  <c r="K126" i="154"/>
  <c r="K127" i="154"/>
  <c r="K128" i="154"/>
  <c r="K129" i="154"/>
  <c r="K130" i="154"/>
  <c r="K131" i="154"/>
  <c r="K132" i="154"/>
  <c r="K133" i="154"/>
  <c r="K134" i="154"/>
  <c r="K135" i="154"/>
  <c r="K136" i="154"/>
  <c r="K137" i="154"/>
  <c r="K138" i="154"/>
  <c r="K139" i="154"/>
  <c r="K140" i="154"/>
  <c r="K141" i="154"/>
  <c r="K142" i="154"/>
  <c r="K143" i="154"/>
  <c r="K144" i="154"/>
  <c r="K145" i="154"/>
  <c r="K146" i="154"/>
  <c r="K147" i="154"/>
  <c r="K148" i="154"/>
  <c r="K149" i="154"/>
  <c r="K150" i="154"/>
  <c r="K151" i="154"/>
  <c r="K152" i="154"/>
  <c r="K153" i="154"/>
  <c r="K154" i="154"/>
  <c r="K155" i="154"/>
  <c r="K156" i="154"/>
  <c r="K157" i="154"/>
  <c r="K158" i="154"/>
  <c r="K159" i="154"/>
  <c r="K160" i="154"/>
  <c r="K161" i="154"/>
  <c r="K162" i="154"/>
  <c r="K163" i="154"/>
  <c r="K164" i="154"/>
  <c r="K165" i="154"/>
  <c r="K166" i="154"/>
  <c r="K167" i="154"/>
  <c r="K168" i="154"/>
  <c r="K169" i="154"/>
  <c r="K170" i="154"/>
  <c r="K171" i="154"/>
  <c r="K172" i="154"/>
  <c r="K173" i="154"/>
  <c r="K174" i="154"/>
  <c r="K175" i="154"/>
  <c r="K176" i="154"/>
  <c r="K177" i="154"/>
  <c r="K178" i="154"/>
  <c r="K179" i="154"/>
  <c r="K180" i="154"/>
  <c r="K181" i="154"/>
  <c r="K182" i="154"/>
  <c r="K183" i="154"/>
  <c r="K184" i="154"/>
  <c r="K185" i="154"/>
  <c r="K186" i="154"/>
  <c r="K187" i="154"/>
  <c r="K188" i="154"/>
  <c r="K189" i="154"/>
  <c r="K190" i="154"/>
  <c r="K191" i="154"/>
  <c r="K192" i="154"/>
  <c r="K193" i="154"/>
  <c r="K194" i="154"/>
  <c r="K195" i="154"/>
  <c r="K196" i="154"/>
  <c r="K197" i="154"/>
  <c r="K198" i="154"/>
  <c r="K199" i="154"/>
  <c r="K200" i="154"/>
  <c r="K201" i="154"/>
  <c r="K202" i="154"/>
  <c r="K203" i="154"/>
  <c r="K204" i="154"/>
  <c r="K205" i="154"/>
  <c r="K206" i="154"/>
  <c r="K207" i="154"/>
  <c r="K208" i="154"/>
  <c r="K209" i="154"/>
  <c r="K210" i="154"/>
  <c r="K211" i="154"/>
  <c r="K212" i="154"/>
  <c r="K213" i="154"/>
  <c r="K214" i="154"/>
  <c r="K215" i="154"/>
  <c r="K216" i="154"/>
  <c r="K217" i="154"/>
  <c r="K218" i="154"/>
  <c r="K219" i="154"/>
  <c r="K220" i="154"/>
  <c r="K221" i="154"/>
  <c r="K222" i="154"/>
  <c r="K223" i="154"/>
  <c r="K224" i="154"/>
  <c r="K225" i="154"/>
  <c r="K226" i="154"/>
  <c r="K227" i="154"/>
  <c r="K228" i="154"/>
  <c r="K229" i="154"/>
  <c r="K230" i="154"/>
  <c r="K231" i="154"/>
  <c r="K232" i="154"/>
  <c r="K233" i="154"/>
  <c r="K234" i="154"/>
  <c r="K235" i="154"/>
  <c r="K236" i="154"/>
  <c r="K237" i="154"/>
  <c r="K238" i="154"/>
  <c r="K239" i="154"/>
  <c r="K240" i="154"/>
  <c r="K241" i="154"/>
  <c r="K242" i="154"/>
  <c r="K243" i="154"/>
  <c r="K244" i="154"/>
  <c r="K245" i="154"/>
  <c r="K246" i="154"/>
  <c r="K247" i="154"/>
  <c r="K248" i="154"/>
  <c r="K249" i="154"/>
  <c r="K250" i="154"/>
  <c r="K251" i="154"/>
  <c r="K252" i="154"/>
  <c r="K253" i="154"/>
  <c r="K254" i="154"/>
  <c r="K255" i="154"/>
  <c r="K256" i="154"/>
  <c r="K257" i="154"/>
  <c r="K258" i="154"/>
  <c r="K259" i="154"/>
  <c r="K260" i="154"/>
  <c r="K261" i="154"/>
  <c r="K262" i="154"/>
  <c r="K263" i="154"/>
  <c r="K264" i="154"/>
  <c r="K265" i="154"/>
  <c r="K266" i="154"/>
  <c r="K267" i="154"/>
  <c r="K268" i="154"/>
  <c r="K269" i="154"/>
  <c r="K270" i="154"/>
  <c r="K271" i="154"/>
  <c r="K272" i="154"/>
  <c r="K273" i="154"/>
  <c r="K274" i="154"/>
  <c r="K275" i="154"/>
  <c r="K276" i="154"/>
  <c r="K277" i="154"/>
  <c r="K278" i="154"/>
  <c r="K279" i="154"/>
  <c r="K280" i="154"/>
  <c r="K281" i="154"/>
  <c r="K282" i="154"/>
  <c r="K283" i="154"/>
  <c r="K284" i="154"/>
  <c r="K285" i="154"/>
  <c r="K286" i="154"/>
  <c r="K287" i="154"/>
  <c r="K288" i="154"/>
  <c r="K289" i="154"/>
  <c r="K290" i="154"/>
  <c r="K291" i="154"/>
  <c r="K292" i="154"/>
  <c r="K293" i="154"/>
  <c r="K294" i="154"/>
  <c r="K295" i="154"/>
  <c r="K296" i="154"/>
  <c r="K297" i="154"/>
  <c r="K298" i="154"/>
  <c r="K299" i="154"/>
  <c r="K300" i="154"/>
  <c r="K301" i="154"/>
  <c r="K302" i="154"/>
  <c r="K303" i="154"/>
  <c r="K304" i="154"/>
  <c r="K305" i="154"/>
  <c r="K306" i="154"/>
  <c r="K307" i="154"/>
  <c r="K308" i="154"/>
  <c r="K309" i="154"/>
  <c r="K310" i="154"/>
  <c r="K311" i="154"/>
  <c r="K312" i="154"/>
  <c r="K313" i="154"/>
  <c r="K314" i="154"/>
  <c r="K315" i="154"/>
  <c r="K316" i="154"/>
  <c r="K317" i="154"/>
  <c r="K318" i="154"/>
  <c r="K319" i="154"/>
  <c r="K320" i="154"/>
  <c r="K321" i="154"/>
  <c r="K322" i="154"/>
  <c r="K323" i="154"/>
  <c r="K324" i="154"/>
  <c r="K325" i="154"/>
  <c r="K326" i="154"/>
  <c r="K327" i="154"/>
  <c r="K328" i="154"/>
  <c r="K329" i="154"/>
  <c r="K330" i="154"/>
  <c r="K331" i="154"/>
  <c r="K332" i="154"/>
  <c r="K333" i="154"/>
  <c r="K334" i="154"/>
  <c r="K335" i="154"/>
  <c r="K336" i="154"/>
  <c r="K337" i="154"/>
  <c r="K338" i="154"/>
  <c r="K339" i="154"/>
  <c r="K340" i="154"/>
  <c r="K341" i="154"/>
  <c r="K342" i="154"/>
  <c r="K343" i="154"/>
  <c r="K344" i="154"/>
  <c r="K345" i="154"/>
  <c r="K346" i="154"/>
  <c r="K347" i="154"/>
  <c r="K348" i="154"/>
  <c r="K349" i="154"/>
  <c r="K350" i="154"/>
  <c r="K2" i="163"/>
  <c r="K3" i="163"/>
  <c r="K4" i="163"/>
  <c r="K5" i="163"/>
  <c r="K6" i="163"/>
  <c r="K7" i="163"/>
  <c r="K8" i="163"/>
  <c r="K9" i="163"/>
  <c r="K10" i="163"/>
  <c r="K11" i="163"/>
  <c r="K12" i="163"/>
  <c r="K13" i="163"/>
  <c r="K14" i="163"/>
  <c r="K15" i="163"/>
  <c r="K16" i="163"/>
  <c r="K17" i="163"/>
  <c r="K18" i="163"/>
  <c r="K19" i="163"/>
  <c r="K20" i="163"/>
  <c r="K21" i="163"/>
  <c r="K22" i="163"/>
  <c r="K23" i="163"/>
  <c r="K24" i="163"/>
  <c r="K25" i="163"/>
  <c r="K26" i="163"/>
  <c r="K27" i="163"/>
  <c r="K28" i="163"/>
  <c r="K29" i="163"/>
  <c r="K30" i="163"/>
  <c r="K31" i="163"/>
  <c r="K32" i="163"/>
  <c r="K33" i="163"/>
  <c r="K34" i="163"/>
  <c r="K35" i="163"/>
  <c r="K36" i="163"/>
  <c r="K37" i="163"/>
  <c r="K38" i="163"/>
  <c r="K39" i="163"/>
  <c r="K40" i="163"/>
  <c r="K41" i="163"/>
  <c r="K42" i="163"/>
  <c r="K43" i="163"/>
  <c r="K44" i="163"/>
  <c r="K45" i="163"/>
  <c r="K46" i="163"/>
  <c r="K47" i="163"/>
  <c r="K48" i="163"/>
  <c r="K49" i="163"/>
  <c r="K50" i="163"/>
  <c r="K51" i="163"/>
  <c r="K52" i="163"/>
  <c r="K53" i="163"/>
  <c r="K54" i="163"/>
  <c r="K55" i="163"/>
  <c r="K56" i="163"/>
  <c r="K57" i="163"/>
  <c r="K58" i="163"/>
  <c r="K59" i="163"/>
  <c r="K60" i="163"/>
  <c r="K61" i="163"/>
  <c r="K62" i="163"/>
  <c r="K63" i="163"/>
  <c r="K64" i="163"/>
  <c r="K65" i="163"/>
  <c r="K66" i="163"/>
  <c r="K67" i="163"/>
  <c r="K68" i="163"/>
  <c r="K69" i="163"/>
  <c r="K70" i="163"/>
  <c r="K71" i="163"/>
  <c r="K72" i="163"/>
  <c r="K73" i="163"/>
  <c r="K74" i="163"/>
  <c r="K75" i="163"/>
  <c r="K76" i="163"/>
  <c r="K77" i="163"/>
  <c r="K78" i="163"/>
  <c r="K79" i="163"/>
  <c r="K80" i="163"/>
  <c r="K81" i="163"/>
  <c r="K82" i="163"/>
  <c r="K83" i="163"/>
  <c r="K84" i="163"/>
  <c r="K85" i="163"/>
  <c r="K86" i="163"/>
  <c r="K87" i="163"/>
  <c r="K88" i="163"/>
  <c r="K89" i="163"/>
  <c r="K90" i="163"/>
  <c r="K91" i="163"/>
  <c r="K92" i="163"/>
  <c r="K93" i="163"/>
  <c r="K94" i="163"/>
  <c r="K95" i="163"/>
  <c r="K96" i="163"/>
  <c r="K97" i="163"/>
  <c r="K98" i="163"/>
  <c r="K99" i="163"/>
  <c r="K100" i="163"/>
  <c r="K101" i="163"/>
  <c r="K102" i="163"/>
  <c r="K103" i="163"/>
  <c r="K104" i="163"/>
  <c r="K105" i="163"/>
  <c r="K106" i="163"/>
  <c r="K107" i="163"/>
  <c r="K108" i="163"/>
  <c r="K109" i="163"/>
  <c r="K110" i="163"/>
  <c r="K111" i="163"/>
  <c r="K112" i="163"/>
  <c r="K113" i="163"/>
  <c r="K114" i="163"/>
  <c r="K115" i="163"/>
  <c r="K116" i="163"/>
  <c r="K117" i="163"/>
  <c r="K118" i="163"/>
  <c r="K119" i="163"/>
  <c r="K120" i="163"/>
  <c r="K121" i="163"/>
  <c r="K122" i="163"/>
  <c r="K123" i="163"/>
  <c r="K124" i="163"/>
  <c r="K125" i="163"/>
  <c r="K126" i="163"/>
  <c r="K127" i="163"/>
  <c r="K128" i="163"/>
  <c r="K129" i="163"/>
  <c r="K130" i="163"/>
  <c r="K131" i="163"/>
  <c r="K132" i="163"/>
  <c r="K133" i="163"/>
  <c r="K134" i="163"/>
  <c r="K135" i="163"/>
  <c r="K136" i="163"/>
  <c r="K137" i="163"/>
  <c r="K138" i="163"/>
  <c r="K139" i="163"/>
  <c r="K140" i="163"/>
  <c r="K141" i="163"/>
  <c r="K142" i="163"/>
  <c r="K143" i="163"/>
  <c r="K144" i="163"/>
  <c r="K145" i="163"/>
  <c r="K146" i="163"/>
  <c r="K147" i="163"/>
  <c r="K148" i="163"/>
  <c r="K149" i="163"/>
  <c r="K150" i="163"/>
  <c r="K151" i="163"/>
  <c r="K152" i="163"/>
  <c r="K153" i="163"/>
  <c r="K154" i="163"/>
  <c r="K155" i="163"/>
  <c r="K156" i="163"/>
  <c r="K157" i="163"/>
  <c r="K158" i="163"/>
  <c r="K159" i="163"/>
  <c r="K160" i="163"/>
  <c r="K161" i="163"/>
  <c r="K162" i="163"/>
  <c r="K163" i="163"/>
  <c r="K164" i="163"/>
  <c r="K165" i="163"/>
  <c r="K166" i="163"/>
  <c r="K167" i="163"/>
  <c r="K168" i="163"/>
  <c r="K169" i="163"/>
  <c r="K170" i="163"/>
  <c r="K171" i="163"/>
  <c r="K172" i="163"/>
  <c r="K173" i="163"/>
  <c r="K174" i="163"/>
  <c r="K175" i="163"/>
  <c r="K176" i="163"/>
  <c r="K177" i="163"/>
  <c r="K178" i="163"/>
  <c r="K179" i="163"/>
  <c r="K180" i="163"/>
  <c r="K181" i="163"/>
  <c r="K182" i="163"/>
  <c r="K183" i="163"/>
  <c r="K184" i="163"/>
  <c r="K185" i="163"/>
  <c r="K186" i="163"/>
  <c r="K187" i="163"/>
  <c r="K188" i="163"/>
  <c r="K189" i="163"/>
  <c r="K190" i="163"/>
  <c r="K191" i="163"/>
  <c r="K192" i="163"/>
  <c r="K193" i="163"/>
  <c r="K194" i="163"/>
  <c r="K195" i="163"/>
  <c r="K196" i="163"/>
  <c r="K197" i="163"/>
  <c r="K198" i="163"/>
  <c r="K199" i="163"/>
  <c r="K200" i="163"/>
  <c r="K201" i="163"/>
  <c r="K202" i="163"/>
  <c r="K203" i="163"/>
  <c r="K204" i="163"/>
  <c r="K205" i="163"/>
  <c r="K206" i="163"/>
  <c r="K207" i="163"/>
  <c r="K208" i="163"/>
  <c r="K209" i="163"/>
  <c r="K210" i="163"/>
  <c r="K211" i="163"/>
  <c r="K212" i="163"/>
  <c r="K213" i="163"/>
  <c r="K214" i="163"/>
  <c r="K215" i="163"/>
  <c r="K216" i="163"/>
  <c r="K217" i="163"/>
  <c r="K218" i="163"/>
  <c r="K219" i="163"/>
  <c r="K220" i="163"/>
  <c r="K221" i="163"/>
  <c r="K222" i="163"/>
  <c r="K223" i="163"/>
  <c r="K224" i="163"/>
  <c r="K225" i="163"/>
  <c r="K226" i="163"/>
  <c r="K227" i="163"/>
  <c r="K228" i="163"/>
  <c r="K229" i="163"/>
  <c r="K230" i="163"/>
  <c r="K231" i="163"/>
  <c r="K232" i="163"/>
  <c r="K233" i="163"/>
  <c r="K234" i="163"/>
  <c r="K235" i="163"/>
  <c r="K236" i="163"/>
  <c r="K237" i="163"/>
  <c r="K238" i="163"/>
  <c r="K239" i="163"/>
  <c r="K240" i="163"/>
  <c r="K241" i="163"/>
  <c r="K242" i="163"/>
  <c r="K243" i="163"/>
  <c r="K244" i="163"/>
  <c r="K245" i="163"/>
  <c r="K246" i="163"/>
  <c r="K247" i="163"/>
  <c r="K248" i="163"/>
  <c r="K249" i="163"/>
  <c r="K250" i="163"/>
  <c r="K251" i="163"/>
  <c r="K252" i="163"/>
  <c r="K253" i="163"/>
  <c r="K254" i="163"/>
  <c r="K255" i="163"/>
  <c r="K256" i="163"/>
  <c r="K257" i="163"/>
  <c r="K258" i="163"/>
  <c r="K259" i="163"/>
  <c r="K260" i="163"/>
  <c r="K261" i="163"/>
  <c r="K262" i="163"/>
  <c r="K263" i="163"/>
  <c r="K264" i="163"/>
  <c r="K265" i="163"/>
  <c r="K266" i="163"/>
  <c r="K267" i="163"/>
  <c r="K268" i="163"/>
  <c r="K269" i="163"/>
  <c r="K270" i="163"/>
  <c r="K271" i="163"/>
  <c r="K272" i="163"/>
  <c r="K273" i="163"/>
  <c r="K274" i="163"/>
  <c r="K275" i="163"/>
  <c r="K276" i="163"/>
  <c r="K277" i="163"/>
  <c r="K278" i="163"/>
  <c r="K279" i="163"/>
  <c r="K280" i="163"/>
  <c r="K281" i="163"/>
  <c r="K282" i="163"/>
  <c r="K283" i="163"/>
  <c r="K284" i="163"/>
  <c r="K285" i="163"/>
  <c r="K286" i="163"/>
  <c r="K287" i="163"/>
  <c r="K288" i="163"/>
  <c r="K289" i="163"/>
  <c r="K290" i="163"/>
  <c r="K291" i="163"/>
  <c r="K292" i="163"/>
  <c r="K293" i="163"/>
  <c r="K294" i="163"/>
  <c r="K295" i="163"/>
  <c r="K296" i="163"/>
  <c r="K297" i="163"/>
  <c r="K298" i="163"/>
  <c r="K299" i="163"/>
  <c r="K300" i="163"/>
  <c r="K301" i="163"/>
  <c r="K302" i="163"/>
  <c r="K303" i="163"/>
  <c r="K304" i="163"/>
  <c r="K305" i="163"/>
  <c r="K306" i="163"/>
  <c r="K307" i="163"/>
  <c r="K308" i="163"/>
  <c r="K309" i="163"/>
  <c r="K310" i="163"/>
  <c r="K311" i="163"/>
  <c r="K312" i="163"/>
  <c r="K313" i="163"/>
  <c r="K314" i="163"/>
  <c r="K315" i="163"/>
  <c r="K316" i="163"/>
  <c r="K317" i="163"/>
  <c r="K318" i="163"/>
  <c r="K319" i="163"/>
  <c r="K320" i="163"/>
  <c r="K321" i="163"/>
  <c r="K322" i="163"/>
  <c r="K323" i="163"/>
  <c r="K324" i="163"/>
  <c r="K325" i="163"/>
  <c r="K326" i="163"/>
  <c r="K327" i="163"/>
  <c r="K328" i="163"/>
  <c r="K329" i="163"/>
  <c r="K330" i="163"/>
  <c r="K331" i="163"/>
  <c r="K332" i="163"/>
  <c r="K333" i="163"/>
  <c r="K334" i="163"/>
  <c r="K335" i="163"/>
  <c r="K336" i="163"/>
  <c r="K337" i="163"/>
  <c r="K338" i="163"/>
  <c r="K339" i="163"/>
  <c r="K340" i="163"/>
  <c r="K341" i="163"/>
  <c r="K342" i="163"/>
  <c r="K343" i="163"/>
  <c r="K344" i="163"/>
  <c r="K345" i="163"/>
  <c r="K346" i="163"/>
  <c r="K347" i="163"/>
  <c r="K348" i="163"/>
  <c r="K349" i="163"/>
  <c r="K350" i="163"/>
  <c r="P356" i="163"/>
  <c r="H57" i="162"/>
  <c r="H57" i="149"/>
  <c r="H56" i="149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38" i="150"/>
  <c r="P139" i="150"/>
  <c r="P140" i="150"/>
  <c r="P141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P331" i="150"/>
  <c r="P332" i="150"/>
  <c r="P333" i="150"/>
  <c r="P334" i="150"/>
  <c r="P335" i="150"/>
  <c r="P336" i="150"/>
  <c r="P337" i="150"/>
  <c r="P338" i="150"/>
  <c r="P339" i="150"/>
  <c r="P340" i="150"/>
  <c r="P341" i="150"/>
  <c r="P342" i="150"/>
  <c r="P343" i="150"/>
  <c r="P344" i="150"/>
  <c r="P345" i="150"/>
  <c r="P346" i="150"/>
  <c r="P347" i="150"/>
  <c r="P348" i="150"/>
  <c r="P349" i="150"/>
  <c r="P350" i="150"/>
  <c r="P351" i="150"/>
  <c r="P352" i="150"/>
  <c r="P353" i="150"/>
  <c r="P354" i="150"/>
  <c r="P355" i="150"/>
  <c r="P356" i="150"/>
  <c r="F60" i="149"/>
  <c r="F57" i="149"/>
  <c r="G57" i="149"/>
  <c r="F56" i="149"/>
  <c r="G56" i="149"/>
  <c r="F57" i="153"/>
  <c r="G57" i="153"/>
  <c r="F56" i="162"/>
  <c r="G56" i="162"/>
  <c r="P4" i="157"/>
  <c r="N4" i="157"/>
  <c r="M4" i="157"/>
  <c r="L4" i="157"/>
  <c r="K4" i="157"/>
  <c r="J4" i="157"/>
  <c r="I4" i="157"/>
  <c r="H4" i="157"/>
  <c r="G4" i="157"/>
  <c r="F4" i="157"/>
  <c r="E4" i="157"/>
  <c r="D4" i="157"/>
  <c r="C4" i="157"/>
  <c r="A356" i="163"/>
  <c r="A355" i="163"/>
  <c r="A354" i="163"/>
  <c r="A353" i="163"/>
  <c r="A352" i="163"/>
  <c r="A351" i="163"/>
  <c r="A356" i="154"/>
  <c r="A355" i="154"/>
  <c r="A354" i="154"/>
  <c r="A353" i="154"/>
  <c r="A352" i="154"/>
  <c r="A351" i="154"/>
  <c r="A356" i="159"/>
  <c r="A355" i="159"/>
  <c r="A354" i="159"/>
  <c r="A353" i="159"/>
  <c r="A352" i="159"/>
  <c r="A351" i="159"/>
  <c r="A356" i="150"/>
  <c r="A355" i="150"/>
  <c r="A354" i="150"/>
  <c r="A353" i="150"/>
  <c r="A352" i="150"/>
  <c r="A351" i="150"/>
  <c r="A356" i="148"/>
  <c r="A355" i="148"/>
  <c r="A354" i="148"/>
  <c r="A353" i="148"/>
  <c r="A352" i="148"/>
  <c r="A351" i="148"/>
  <c r="F351" i="163"/>
  <c r="F352" i="163"/>
  <c r="F353" i="163"/>
  <c r="F354" i="163"/>
  <c r="F355" i="163"/>
  <c r="N356" i="163"/>
  <c r="M356" i="163"/>
  <c r="L356" i="163"/>
  <c r="K356" i="163"/>
  <c r="H356" i="163"/>
  <c r="P355" i="163"/>
  <c r="N355" i="163"/>
  <c r="M355" i="163"/>
  <c r="L355" i="163"/>
  <c r="K355" i="163"/>
  <c r="H355" i="163"/>
  <c r="P354" i="163"/>
  <c r="N354" i="163"/>
  <c r="M354" i="163"/>
  <c r="L354" i="163"/>
  <c r="K354" i="163"/>
  <c r="H354" i="163"/>
  <c r="P353" i="163"/>
  <c r="N353" i="163"/>
  <c r="M353" i="163"/>
  <c r="L353" i="163"/>
  <c r="K353" i="163"/>
  <c r="H353" i="163"/>
  <c r="P352" i="163"/>
  <c r="N352" i="163"/>
  <c r="M352" i="163"/>
  <c r="L352" i="163"/>
  <c r="K352" i="163"/>
  <c r="H352" i="163"/>
  <c r="P351" i="163"/>
  <c r="N351" i="163"/>
  <c r="M351" i="163"/>
  <c r="L351" i="163"/>
  <c r="K351" i="163"/>
  <c r="H351" i="163"/>
  <c r="F351" i="154"/>
  <c r="F352" i="154"/>
  <c r="F353" i="154"/>
  <c r="F354" i="154"/>
  <c r="F355" i="154"/>
  <c r="P356" i="154"/>
  <c r="N356" i="154"/>
  <c r="M356" i="154"/>
  <c r="L356" i="154"/>
  <c r="K356" i="154"/>
  <c r="H356" i="154"/>
  <c r="P355" i="154"/>
  <c r="N355" i="154"/>
  <c r="M355" i="154"/>
  <c r="L355" i="154"/>
  <c r="K355" i="154"/>
  <c r="H355" i="154"/>
  <c r="P354" i="154"/>
  <c r="N354" i="154"/>
  <c r="M354" i="154"/>
  <c r="L354" i="154"/>
  <c r="K354" i="154"/>
  <c r="H354" i="154"/>
  <c r="P353" i="154"/>
  <c r="N353" i="154"/>
  <c r="M353" i="154"/>
  <c r="L353" i="154"/>
  <c r="K353" i="154"/>
  <c r="H353" i="154"/>
  <c r="P352" i="154"/>
  <c r="N352" i="154"/>
  <c r="M352" i="154"/>
  <c r="L352" i="154"/>
  <c r="K352" i="154"/>
  <c r="H352" i="154"/>
  <c r="P351" i="154"/>
  <c r="N351" i="154"/>
  <c r="M351" i="154"/>
  <c r="L351" i="154"/>
  <c r="K351" i="154"/>
  <c r="H351" i="154"/>
  <c r="F351" i="159"/>
  <c r="F352" i="159"/>
  <c r="F353" i="159"/>
  <c r="F354" i="159"/>
  <c r="F355" i="159"/>
  <c r="P356" i="159"/>
  <c r="N356" i="159"/>
  <c r="M356" i="159"/>
  <c r="L356" i="159"/>
  <c r="K356" i="159"/>
  <c r="H356" i="159"/>
  <c r="P355" i="159"/>
  <c r="N355" i="159"/>
  <c r="M355" i="159"/>
  <c r="L355" i="159"/>
  <c r="K355" i="159"/>
  <c r="H355" i="159"/>
  <c r="P354" i="159"/>
  <c r="N354" i="159"/>
  <c r="M354" i="159"/>
  <c r="L354" i="159"/>
  <c r="K354" i="159"/>
  <c r="H354" i="159"/>
  <c r="P353" i="159"/>
  <c r="N353" i="159"/>
  <c r="M353" i="159"/>
  <c r="L353" i="159"/>
  <c r="K353" i="159"/>
  <c r="H353" i="159"/>
  <c r="P352" i="159"/>
  <c r="N352" i="159"/>
  <c r="M352" i="159"/>
  <c r="L352" i="159"/>
  <c r="K352" i="159"/>
  <c r="H352" i="159"/>
  <c r="P351" i="159"/>
  <c r="N351" i="159"/>
  <c r="M351" i="159"/>
  <c r="L351" i="159"/>
  <c r="K351" i="159"/>
  <c r="H351" i="159"/>
  <c r="F351" i="150"/>
  <c r="F352" i="150"/>
  <c r="F353" i="150"/>
  <c r="F354" i="150"/>
  <c r="F355" i="150"/>
  <c r="N356" i="150"/>
  <c r="M356" i="150"/>
  <c r="L356" i="150"/>
  <c r="K356" i="150"/>
  <c r="H356" i="150"/>
  <c r="N355" i="150"/>
  <c r="M355" i="150"/>
  <c r="L355" i="150"/>
  <c r="K355" i="150"/>
  <c r="H355" i="150"/>
  <c r="N354" i="150"/>
  <c r="M354" i="150"/>
  <c r="L354" i="150"/>
  <c r="K354" i="150"/>
  <c r="H354" i="150"/>
  <c r="N353" i="150"/>
  <c r="M353" i="150"/>
  <c r="L353" i="150"/>
  <c r="K353" i="150"/>
  <c r="H353" i="150"/>
  <c r="N352" i="150"/>
  <c r="M352" i="150"/>
  <c r="L352" i="150"/>
  <c r="K352" i="150"/>
  <c r="H352" i="150"/>
  <c r="N351" i="150"/>
  <c r="M351" i="150"/>
  <c r="L351" i="150"/>
  <c r="K351" i="150"/>
  <c r="H351" i="150"/>
  <c r="F351" i="148"/>
  <c r="F352" i="148"/>
  <c r="F353" i="148"/>
  <c r="F354" i="148"/>
  <c r="F355" i="148"/>
  <c r="P356" i="148"/>
  <c r="N356" i="148"/>
  <c r="M356" i="148"/>
  <c r="L356" i="148"/>
  <c r="K356" i="148"/>
  <c r="H356" i="148"/>
  <c r="P355" i="148"/>
  <c r="N355" i="148"/>
  <c r="M355" i="148"/>
  <c r="L355" i="148"/>
  <c r="K355" i="148"/>
  <c r="H355" i="148"/>
  <c r="P354" i="148"/>
  <c r="N354" i="148"/>
  <c r="M354" i="148"/>
  <c r="L354" i="148"/>
  <c r="K354" i="148"/>
  <c r="H354" i="148"/>
  <c r="P353" i="148"/>
  <c r="N353" i="148"/>
  <c r="M353" i="148"/>
  <c r="L353" i="148"/>
  <c r="K353" i="148"/>
  <c r="H353" i="148"/>
  <c r="P352" i="148"/>
  <c r="N352" i="148"/>
  <c r="M352" i="148"/>
  <c r="L352" i="148"/>
  <c r="K352" i="148"/>
  <c r="H352" i="148"/>
  <c r="P351" i="148"/>
  <c r="N351" i="148"/>
  <c r="M351" i="148"/>
  <c r="L351" i="148"/>
  <c r="K351" i="148"/>
  <c r="H351" i="148"/>
  <c r="G31" i="106"/>
  <c r="E31" i="106"/>
  <c r="H31" i="106"/>
  <c r="P355" i="82"/>
  <c r="N355" i="82"/>
  <c r="M355" i="82"/>
  <c r="L355" i="82"/>
  <c r="K355" i="82"/>
  <c r="H355" i="82"/>
  <c r="P354" i="82"/>
  <c r="N354" i="82"/>
  <c r="M354" i="82"/>
  <c r="L354" i="82"/>
  <c r="K354" i="82"/>
  <c r="H354" i="82"/>
  <c r="P353" i="82"/>
  <c r="N353" i="82"/>
  <c r="M353" i="82"/>
  <c r="L353" i="82"/>
  <c r="K353" i="82"/>
  <c r="H353" i="82"/>
  <c r="P352" i="82"/>
  <c r="N352" i="82"/>
  <c r="M352" i="82"/>
  <c r="L352" i="82"/>
  <c r="K352" i="82"/>
  <c r="H352" i="82"/>
  <c r="P351" i="82"/>
  <c r="N351" i="82"/>
  <c r="M351" i="82"/>
  <c r="L351" i="82"/>
  <c r="K351" i="82"/>
  <c r="H351" i="82"/>
  <c r="A355" i="82"/>
  <c r="A354" i="82"/>
  <c r="A353" i="82"/>
  <c r="A352" i="82"/>
  <c r="A351" i="82"/>
  <c r="P361" i="82"/>
  <c r="N361" i="82"/>
  <c r="M361" i="82"/>
  <c r="L361" i="82"/>
  <c r="K361" i="82"/>
  <c r="H361" i="82"/>
  <c r="A361" i="82"/>
  <c r="B11" i="162"/>
  <c r="F2" i="163"/>
  <c r="F3" i="163"/>
  <c r="F4" i="163"/>
  <c r="F5" i="163"/>
  <c r="F6" i="163"/>
  <c r="F7" i="163"/>
  <c r="F8" i="163"/>
  <c r="F9" i="163"/>
  <c r="F10" i="163"/>
  <c r="F11" i="163"/>
  <c r="F12" i="163"/>
  <c r="F13" i="163"/>
  <c r="F14" i="163"/>
  <c r="F15" i="163"/>
  <c r="F16" i="163"/>
  <c r="F17" i="163"/>
  <c r="F18" i="163"/>
  <c r="F19" i="163"/>
  <c r="F20" i="163"/>
  <c r="F21" i="163"/>
  <c r="F22" i="163"/>
  <c r="F23" i="163"/>
  <c r="F24" i="163"/>
  <c r="F25" i="163"/>
  <c r="F26" i="163"/>
  <c r="F27" i="163"/>
  <c r="F28" i="163"/>
  <c r="F29" i="163"/>
  <c r="F30" i="163"/>
  <c r="F31" i="163"/>
  <c r="F32" i="163"/>
  <c r="F33" i="163"/>
  <c r="F34" i="163"/>
  <c r="F35" i="163"/>
  <c r="F36" i="163"/>
  <c r="F37" i="163"/>
  <c r="F38" i="163"/>
  <c r="F39" i="163"/>
  <c r="F40" i="163"/>
  <c r="F41" i="163"/>
  <c r="F42" i="163"/>
  <c r="F43" i="163"/>
  <c r="F44" i="163"/>
  <c r="F45" i="163"/>
  <c r="F46" i="163"/>
  <c r="F47" i="163"/>
  <c r="F48" i="163"/>
  <c r="F49" i="163"/>
  <c r="F50" i="163"/>
  <c r="F51" i="163"/>
  <c r="F52" i="163"/>
  <c r="F53" i="163"/>
  <c r="F54" i="163"/>
  <c r="F55" i="163"/>
  <c r="F56" i="163"/>
  <c r="F57" i="163"/>
  <c r="F58" i="163"/>
  <c r="F59" i="163"/>
  <c r="F60" i="163"/>
  <c r="F61" i="163"/>
  <c r="F62" i="163"/>
  <c r="F63" i="163"/>
  <c r="F64" i="163"/>
  <c r="F65" i="163"/>
  <c r="F66" i="163"/>
  <c r="F67" i="163"/>
  <c r="F68" i="163"/>
  <c r="F69" i="163"/>
  <c r="F70" i="163"/>
  <c r="F71" i="163"/>
  <c r="F72" i="163"/>
  <c r="F73" i="163"/>
  <c r="F74" i="163"/>
  <c r="F75" i="163"/>
  <c r="F76" i="163"/>
  <c r="F77" i="163"/>
  <c r="F78" i="163"/>
  <c r="F79" i="163"/>
  <c r="F80" i="163"/>
  <c r="F81" i="163"/>
  <c r="F82" i="163"/>
  <c r="F83" i="163"/>
  <c r="F84" i="163"/>
  <c r="F85" i="163"/>
  <c r="F86" i="163"/>
  <c r="F87" i="163"/>
  <c r="F88" i="163"/>
  <c r="F89" i="163"/>
  <c r="F90" i="163"/>
  <c r="F91" i="163"/>
  <c r="F92" i="163"/>
  <c r="F93" i="163"/>
  <c r="F94" i="163"/>
  <c r="F95" i="163"/>
  <c r="F96" i="163"/>
  <c r="F97" i="163"/>
  <c r="F98" i="163"/>
  <c r="F99" i="163"/>
  <c r="F100" i="163"/>
  <c r="F101" i="163"/>
  <c r="F102" i="163"/>
  <c r="F103" i="163"/>
  <c r="F104" i="163"/>
  <c r="F105" i="163"/>
  <c r="F106" i="163"/>
  <c r="F107" i="163"/>
  <c r="F108" i="163"/>
  <c r="F109" i="163"/>
  <c r="F110" i="163"/>
  <c r="F111" i="163"/>
  <c r="F112" i="163"/>
  <c r="F113" i="163"/>
  <c r="F114" i="163"/>
  <c r="F115" i="163"/>
  <c r="F116" i="163"/>
  <c r="F117" i="163"/>
  <c r="F118" i="163"/>
  <c r="F119" i="163"/>
  <c r="F120" i="163"/>
  <c r="F121" i="163"/>
  <c r="F122" i="163"/>
  <c r="F123" i="163"/>
  <c r="F124" i="163"/>
  <c r="F125" i="163"/>
  <c r="F126" i="163"/>
  <c r="F127" i="163"/>
  <c r="F128" i="163"/>
  <c r="F129" i="163"/>
  <c r="F130" i="163"/>
  <c r="F131" i="163"/>
  <c r="F132" i="163"/>
  <c r="F133" i="163"/>
  <c r="F134" i="163"/>
  <c r="F135" i="163"/>
  <c r="F136" i="163"/>
  <c r="F137" i="163"/>
  <c r="F138" i="163"/>
  <c r="F139" i="163"/>
  <c r="F140" i="163"/>
  <c r="F141" i="163"/>
  <c r="F142" i="163"/>
  <c r="F143" i="163"/>
  <c r="F144" i="163"/>
  <c r="F145" i="163"/>
  <c r="F146" i="163"/>
  <c r="F147" i="163"/>
  <c r="F148" i="163"/>
  <c r="F149" i="163"/>
  <c r="F150" i="163"/>
  <c r="F151" i="163"/>
  <c r="F152" i="163"/>
  <c r="F153" i="163"/>
  <c r="F154" i="163"/>
  <c r="F155" i="163"/>
  <c r="F156" i="163"/>
  <c r="F157" i="163"/>
  <c r="F158" i="163"/>
  <c r="F159" i="163"/>
  <c r="F160" i="163"/>
  <c r="F161" i="163"/>
  <c r="F162" i="163"/>
  <c r="F163" i="163"/>
  <c r="F164" i="163"/>
  <c r="F165" i="163"/>
  <c r="F166" i="163"/>
  <c r="F167" i="163"/>
  <c r="F168" i="163"/>
  <c r="F169" i="163"/>
  <c r="F170" i="163"/>
  <c r="F171" i="163"/>
  <c r="F172" i="163"/>
  <c r="F173" i="163"/>
  <c r="F174" i="163"/>
  <c r="F175" i="163"/>
  <c r="F176" i="163"/>
  <c r="F177" i="163"/>
  <c r="F178" i="163"/>
  <c r="F179" i="163"/>
  <c r="F180" i="163"/>
  <c r="F181" i="163"/>
  <c r="F182" i="163"/>
  <c r="F183" i="163"/>
  <c r="F184" i="163"/>
  <c r="F185" i="163"/>
  <c r="F186" i="163"/>
  <c r="F187" i="163"/>
  <c r="F188" i="163"/>
  <c r="F189" i="163"/>
  <c r="F190" i="163"/>
  <c r="F191" i="163"/>
  <c r="F192" i="163"/>
  <c r="F193" i="163"/>
  <c r="F194" i="163"/>
  <c r="F195" i="163"/>
  <c r="F196" i="163"/>
  <c r="F197" i="163"/>
  <c r="F198" i="163"/>
  <c r="F199" i="163"/>
  <c r="F200" i="163"/>
  <c r="F201" i="163"/>
  <c r="F202" i="163"/>
  <c r="F203" i="163"/>
  <c r="F204" i="163"/>
  <c r="F205" i="163"/>
  <c r="F206" i="163"/>
  <c r="F207" i="163"/>
  <c r="F208" i="163"/>
  <c r="F209" i="163"/>
  <c r="F210" i="163"/>
  <c r="F211" i="163"/>
  <c r="F212" i="163"/>
  <c r="F213" i="163"/>
  <c r="F214" i="163"/>
  <c r="F215" i="163"/>
  <c r="F216" i="163"/>
  <c r="F217" i="163"/>
  <c r="F218" i="163"/>
  <c r="F219" i="163"/>
  <c r="F220" i="163"/>
  <c r="F221" i="163"/>
  <c r="F222" i="163"/>
  <c r="F223" i="163"/>
  <c r="F224" i="163"/>
  <c r="F225" i="163"/>
  <c r="F226" i="163"/>
  <c r="F227" i="163"/>
  <c r="F228" i="163"/>
  <c r="F229" i="163"/>
  <c r="F230" i="163"/>
  <c r="F231" i="163"/>
  <c r="F232" i="163"/>
  <c r="F233" i="163"/>
  <c r="F234" i="163"/>
  <c r="F235" i="163"/>
  <c r="F236" i="163"/>
  <c r="F237" i="163"/>
  <c r="F238" i="163"/>
  <c r="F239" i="163"/>
  <c r="F240" i="163"/>
  <c r="F241" i="163"/>
  <c r="F242" i="163"/>
  <c r="F243" i="163"/>
  <c r="F244" i="163"/>
  <c r="F245" i="163"/>
  <c r="F246" i="163"/>
  <c r="F247" i="163"/>
  <c r="F248" i="163"/>
  <c r="F249" i="163"/>
  <c r="F250" i="163"/>
  <c r="F251" i="163"/>
  <c r="F252" i="163"/>
  <c r="F253" i="163"/>
  <c r="F254" i="163"/>
  <c r="F255" i="163"/>
  <c r="F256" i="163"/>
  <c r="F257" i="163"/>
  <c r="F258" i="163"/>
  <c r="F259" i="163"/>
  <c r="F260" i="163"/>
  <c r="F261" i="163"/>
  <c r="F262" i="163"/>
  <c r="F263" i="163"/>
  <c r="F264" i="163"/>
  <c r="F265" i="163"/>
  <c r="F266" i="163"/>
  <c r="F267" i="163"/>
  <c r="F268" i="163"/>
  <c r="F269" i="163"/>
  <c r="F270" i="163"/>
  <c r="F271" i="163"/>
  <c r="F272" i="163"/>
  <c r="F273" i="163"/>
  <c r="F274" i="163"/>
  <c r="F275" i="163"/>
  <c r="F276" i="163"/>
  <c r="F277" i="163"/>
  <c r="F278" i="163"/>
  <c r="F279" i="163"/>
  <c r="F280" i="163"/>
  <c r="F281" i="163"/>
  <c r="F282" i="163"/>
  <c r="F283" i="163"/>
  <c r="F284" i="163"/>
  <c r="F285" i="163"/>
  <c r="F286" i="163"/>
  <c r="F287" i="163"/>
  <c r="F288" i="163"/>
  <c r="F289" i="163"/>
  <c r="F290" i="163"/>
  <c r="F291" i="163"/>
  <c r="F292" i="163"/>
  <c r="F293" i="163"/>
  <c r="F294" i="163"/>
  <c r="F295" i="163"/>
  <c r="F296" i="163"/>
  <c r="F297" i="163"/>
  <c r="F298" i="163"/>
  <c r="F299" i="163"/>
  <c r="F300" i="163"/>
  <c r="F301" i="163"/>
  <c r="F302" i="163"/>
  <c r="F303" i="163"/>
  <c r="F304" i="163"/>
  <c r="F305" i="163"/>
  <c r="F306" i="163"/>
  <c r="F307" i="163"/>
  <c r="F308" i="163"/>
  <c r="F309" i="163"/>
  <c r="F310" i="163"/>
  <c r="F311" i="163"/>
  <c r="F312" i="163"/>
  <c r="F313" i="163"/>
  <c r="F314" i="163"/>
  <c r="F315" i="163"/>
  <c r="F316" i="163"/>
  <c r="F317" i="163"/>
  <c r="F318" i="163"/>
  <c r="F319" i="163"/>
  <c r="F320" i="163"/>
  <c r="F321" i="163"/>
  <c r="F322" i="163"/>
  <c r="F323" i="163"/>
  <c r="F324" i="163"/>
  <c r="F325" i="163"/>
  <c r="F326" i="163"/>
  <c r="F327" i="163"/>
  <c r="F328" i="163"/>
  <c r="F329" i="163"/>
  <c r="F330" i="163"/>
  <c r="F331" i="163"/>
  <c r="F332" i="163"/>
  <c r="F333" i="163"/>
  <c r="F334" i="163"/>
  <c r="F335" i="163"/>
  <c r="F336" i="163"/>
  <c r="F337" i="163"/>
  <c r="F338" i="163"/>
  <c r="F339" i="163"/>
  <c r="F340" i="163"/>
  <c r="F341" i="163"/>
  <c r="F342" i="163"/>
  <c r="F343" i="163"/>
  <c r="F344" i="163"/>
  <c r="F345" i="163"/>
  <c r="F346" i="163"/>
  <c r="F347" i="163"/>
  <c r="F348" i="163"/>
  <c r="F349" i="163"/>
  <c r="F350" i="163"/>
  <c r="B11" i="106"/>
  <c r="B10" i="106"/>
  <c r="B11" i="147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F285" i="148"/>
  <c r="F286" i="148"/>
  <c r="F287" i="148"/>
  <c r="F288" i="148"/>
  <c r="F289" i="148"/>
  <c r="F290" i="148"/>
  <c r="F291" i="148"/>
  <c r="F292" i="148"/>
  <c r="F293" i="148"/>
  <c r="F294" i="148"/>
  <c r="F295" i="148"/>
  <c r="F296" i="148"/>
  <c r="F297" i="148"/>
  <c r="F298" i="148"/>
  <c r="F299" i="148"/>
  <c r="F300" i="148"/>
  <c r="F301" i="148"/>
  <c r="F302" i="148"/>
  <c r="F303" i="148"/>
  <c r="F304" i="148"/>
  <c r="F305" i="148"/>
  <c r="F306" i="148"/>
  <c r="F307" i="148"/>
  <c r="F308" i="148"/>
  <c r="F309" i="148"/>
  <c r="F310" i="148"/>
  <c r="F311" i="148"/>
  <c r="F312" i="148"/>
  <c r="F313" i="148"/>
  <c r="F314" i="148"/>
  <c r="F315" i="148"/>
  <c r="F316" i="148"/>
  <c r="F317" i="148"/>
  <c r="F318" i="148"/>
  <c r="F319" i="148"/>
  <c r="F320" i="148"/>
  <c r="F321" i="148"/>
  <c r="F322" i="148"/>
  <c r="F323" i="148"/>
  <c r="F324" i="148"/>
  <c r="F325" i="148"/>
  <c r="F326" i="148"/>
  <c r="F327" i="148"/>
  <c r="F328" i="148"/>
  <c r="F329" i="148"/>
  <c r="F330" i="148"/>
  <c r="F331" i="148"/>
  <c r="F332" i="148"/>
  <c r="F333" i="148"/>
  <c r="F334" i="148"/>
  <c r="F335" i="148"/>
  <c r="F336" i="148"/>
  <c r="F337" i="148"/>
  <c r="F338" i="148"/>
  <c r="F339" i="148"/>
  <c r="F340" i="148"/>
  <c r="F341" i="148"/>
  <c r="F342" i="148"/>
  <c r="F343" i="148"/>
  <c r="F344" i="148"/>
  <c r="F345" i="148"/>
  <c r="F346" i="148"/>
  <c r="F347" i="148"/>
  <c r="F348" i="148"/>
  <c r="F349" i="148"/>
  <c r="F350" i="148"/>
  <c r="B10" i="147"/>
  <c r="B11" i="149"/>
  <c r="F2" i="150"/>
  <c r="F3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9" i="150"/>
  <c r="F30" i="150"/>
  <c r="F31" i="150"/>
  <c r="F32" i="150"/>
  <c r="F33" i="150"/>
  <c r="F34" i="150"/>
  <c r="F35" i="150"/>
  <c r="F36" i="150"/>
  <c r="F37" i="150"/>
  <c r="F38" i="150"/>
  <c r="F39" i="150"/>
  <c r="F40" i="150"/>
  <c r="F41" i="150"/>
  <c r="F42" i="150"/>
  <c r="F43" i="150"/>
  <c r="F44" i="150"/>
  <c r="F45" i="150"/>
  <c r="F46" i="150"/>
  <c r="F47" i="150"/>
  <c r="F48" i="150"/>
  <c r="F49" i="150"/>
  <c r="F50" i="150"/>
  <c r="F51" i="150"/>
  <c r="F52" i="150"/>
  <c r="F53" i="150"/>
  <c r="F54" i="150"/>
  <c r="F55" i="150"/>
  <c r="F56" i="150"/>
  <c r="F57" i="150"/>
  <c r="F58" i="150"/>
  <c r="F59" i="150"/>
  <c r="F60" i="150"/>
  <c r="F61" i="150"/>
  <c r="F62" i="150"/>
  <c r="F63" i="150"/>
  <c r="F64" i="150"/>
  <c r="F65" i="150"/>
  <c r="F66" i="150"/>
  <c r="F67" i="150"/>
  <c r="F68" i="150"/>
  <c r="F69" i="150"/>
  <c r="F70" i="150"/>
  <c r="F71" i="150"/>
  <c r="F72" i="150"/>
  <c r="F73" i="150"/>
  <c r="F74" i="150"/>
  <c r="F75" i="150"/>
  <c r="F76" i="150"/>
  <c r="F77" i="150"/>
  <c r="F78" i="150"/>
  <c r="F79" i="150"/>
  <c r="F80" i="150"/>
  <c r="F81" i="150"/>
  <c r="F82" i="150"/>
  <c r="F83" i="150"/>
  <c r="F84" i="150"/>
  <c r="F85" i="150"/>
  <c r="F86" i="150"/>
  <c r="F87" i="150"/>
  <c r="F88" i="150"/>
  <c r="F89" i="150"/>
  <c r="F90" i="150"/>
  <c r="F91" i="150"/>
  <c r="F92" i="150"/>
  <c r="F93" i="150"/>
  <c r="F94" i="150"/>
  <c r="F95" i="150"/>
  <c r="F96" i="150"/>
  <c r="F97" i="150"/>
  <c r="F98" i="150"/>
  <c r="F99" i="150"/>
  <c r="F100" i="150"/>
  <c r="F101" i="150"/>
  <c r="F102" i="150"/>
  <c r="F103" i="150"/>
  <c r="F104" i="150"/>
  <c r="F105" i="150"/>
  <c r="F106" i="150"/>
  <c r="F107" i="150"/>
  <c r="F108" i="150"/>
  <c r="F109" i="150"/>
  <c r="F110" i="150"/>
  <c r="F111" i="150"/>
  <c r="F112" i="150"/>
  <c r="F113" i="150"/>
  <c r="F114" i="150"/>
  <c r="F115" i="150"/>
  <c r="F116" i="150"/>
  <c r="F117" i="150"/>
  <c r="F118" i="150"/>
  <c r="F119" i="150"/>
  <c r="F120" i="150"/>
  <c r="F121" i="150"/>
  <c r="F122" i="150"/>
  <c r="F123" i="150"/>
  <c r="F124" i="150"/>
  <c r="F125" i="150"/>
  <c r="F126" i="150"/>
  <c r="F127" i="150"/>
  <c r="F128" i="150"/>
  <c r="F129" i="150"/>
  <c r="F130" i="150"/>
  <c r="F131" i="150"/>
  <c r="F132" i="150"/>
  <c r="F133" i="150"/>
  <c r="F134" i="150"/>
  <c r="F135" i="150"/>
  <c r="F136" i="150"/>
  <c r="F137" i="150"/>
  <c r="F138" i="150"/>
  <c r="F139" i="150"/>
  <c r="F140" i="150"/>
  <c r="F141" i="150"/>
  <c r="F142" i="150"/>
  <c r="F143" i="150"/>
  <c r="F144" i="150"/>
  <c r="F145" i="150"/>
  <c r="F146" i="150"/>
  <c r="F147" i="150"/>
  <c r="F148" i="150"/>
  <c r="F149" i="150"/>
  <c r="F150" i="150"/>
  <c r="F151" i="150"/>
  <c r="F152" i="150"/>
  <c r="F153" i="150"/>
  <c r="F154" i="150"/>
  <c r="F155" i="150"/>
  <c r="F156" i="150"/>
  <c r="F157" i="150"/>
  <c r="F158" i="150"/>
  <c r="F159" i="150"/>
  <c r="F160" i="150"/>
  <c r="F161" i="150"/>
  <c r="F162" i="150"/>
  <c r="F163" i="150"/>
  <c r="F164" i="150"/>
  <c r="F165" i="150"/>
  <c r="F166" i="150"/>
  <c r="F167" i="150"/>
  <c r="F168" i="150"/>
  <c r="F169" i="150"/>
  <c r="F170" i="150"/>
  <c r="F171" i="150"/>
  <c r="F172" i="150"/>
  <c r="F173" i="150"/>
  <c r="F174" i="150"/>
  <c r="F175" i="150"/>
  <c r="F176" i="150"/>
  <c r="F177" i="150"/>
  <c r="F178" i="150"/>
  <c r="F179" i="150"/>
  <c r="F180" i="150"/>
  <c r="F181" i="150"/>
  <c r="F182" i="150"/>
  <c r="F183" i="150"/>
  <c r="F184" i="150"/>
  <c r="F185" i="150"/>
  <c r="F186" i="150"/>
  <c r="F187" i="150"/>
  <c r="F188" i="150"/>
  <c r="F189" i="150"/>
  <c r="F190" i="150"/>
  <c r="F191" i="150"/>
  <c r="F192" i="150"/>
  <c r="F193" i="150"/>
  <c r="F194" i="150"/>
  <c r="F195" i="150"/>
  <c r="F196" i="150"/>
  <c r="F197" i="150"/>
  <c r="F198" i="150"/>
  <c r="F199" i="150"/>
  <c r="F200" i="150"/>
  <c r="F201" i="150"/>
  <c r="F202" i="150"/>
  <c r="F203" i="150"/>
  <c r="F204" i="150"/>
  <c r="F205" i="150"/>
  <c r="F206" i="150"/>
  <c r="F207" i="150"/>
  <c r="F208" i="150"/>
  <c r="F209" i="150"/>
  <c r="F210" i="150"/>
  <c r="F211" i="150"/>
  <c r="F212" i="150"/>
  <c r="F213" i="150"/>
  <c r="F214" i="150"/>
  <c r="F215" i="150"/>
  <c r="F216" i="150"/>
  <c r="F217" i="150"/>
  <c r="F218" i="150"/>
  <c r="F219" i="150"/>
  <c r="F220" i="150"/>
  <c r="F221" i="150"/>
  <c r="F222" i="150"/>
  <c r="F223" i="150"/>
  <c r="F224" i="150"/>
  <c r="F225" i="150"/>
  <c r="F226" i="150"/>
  <c r="F227" i="150"/>
  <c r="F228" i="150"/>
  <c r="F229" i="150"/>
  <c r="F230" i="150"/>
  <c r="F231" i="150"/>
  <c r="F232" i="150"/>
  <c r="F233" i="150"/>
  <c r="F234" i="150"/>
  <c r="F235" i="150"/>
  <c r="F236" i="150"/>
  <c r="F237" i="150"/>
  <c r="F238" i="150"/>
  <c r="F239" i="150"/>
  <c r="F240" i="150"/>
  <c r="F241" i="150"/>
  <c r="F242" i="150"/>
  <c r="F243" i="150"/>
  <c r="F244" i="150"/>
  <c r="F245" i="150"/>
  <c r="F246" i="150"/>
  <c r="F247" i="150"/>
  <c r="F248" i="150"/>
  <c r="F249" i="150"/>
  <c r="F250" i="150"/>
  <c r="F251" i="150"/>
  <c r="F252" i="150"/>
  <c r="F253" i="150"/>
  <c r="F254" i="150"/>
  <c r="F255" i="150"/>
  <c r="F256" i="150"/>
  <c r="F257" i="150"/>
  <c r="F258" i="150"/>
  <c r="F259" i="150"/>
  <c r="F260" i="150"/>
  <c r="F261" i="150"/>
  <c r="F262" i="150"/>
  <c r="F263" i="150"/>
  <c r="F264" i="150"/>
  <c r="F265" i="150"/>
  <c r="F266" i="150"/>
  <c r="F267" i="150"/>
  <c r="F268" i="150"/>
  <c r="F269" i="150"/>
  <c r="F270" i="150"/>
  <c r="F271" i="150"/>
  <c r="F272" i="150"/>
  <c r="F273" i="150"/>
  <c r="F274" i="150"/>
  <c r="F275" i="150"/>
  <c r="F276" i="150"/>
  <c r="F277" i="150"/>
  <c r="F278" i="150"/>
  <c r="F279" i="150"/>
  <c r="F280" i="150"/>
  <c r="F281" i="150"/>
  <c r="F282" i="150"/>
  <c r="F283" i="150"/>
  <c r="F284" i="150"/>
  <c r="F285" i="150"/>
  <c r="F286" i="150"/>
  <c r="F287" i="150"/>
  <c r="F288" i="150"/>
  <c r="F289" i="150"/>
  <c r="F290" i="150"/>
  <c r="F291" i="150"/>
  <c r="F292" i="150"/>
  <c r="F293" i="150"/>
  <c r="F294" i="150"/>
  <c r="F295" i="150"/>
  <c r="F296" i="150"/>
  <c r="F297" i="150"/>
  <c r="F298" i="150"/>
  <c r="F299" i="150"/>
  <c r="F300" i="150"/>
  <c r="F301" i="150"/>
  <c r="F302" i="150"/>
  <c r="F303" i="150"/>
  <c r="F304" i="150"/>
  <c r="F305" i="150"/>
  <c r="F306" i="150"/>
  <c r="F307" i="150"/>
  <c r="F308" i="150"/>
  <c r="F309" i="150"/>
  <c r="F310" i="150"/>
  <c r="F311" i="150"/>
  <c r="F312" i="150"/>
  <c r="F313" i="150"/>
  <c r="F314" i="150"/>
  <c r="F315" i="150"/>
  <c r="F316" i="150"/>
  <c r="F317" i="150"/>
  <c r="F318" i="150"/>
  <c r="F319" i="150"/>
  <c r="F320" i="150"/>
  <c r="F321" i="150"/>
  <c r="F322" i="150"/>
  <c r="F323" i="150"/>
  <c r="F324" i="150"/>
  <c r="F325" i="150"/>
  <c r="F326" i="150"/>
  <c r="F327" i="150"/>
  <c r="F328" i="150"/>
  <c r="F329" i="150"/>
  <c r="F330" i="150"/>
  <c r="F331" i="150"/>
  <c r="F332" i="150"/>
  <c r="F333" i="150"/>
  <c r="F334" i="150"/>
  <c r="F335" i="150"/>
  <c r="F336" i="150"/>
  <c r="F337" i="150"/>
  <c r="F338" i="150"/>
  <c r="F339" i="150"/>
  <c r="F340" i="150"/>
  <c r="F341" i="150"/>
  <c r="F342" i="150"/>
  <c r="F343" i="150"/>
  <c r="F344" i="150"/>
  <c r="F345" i="150"/>
  <c r="F346" i="150"/>
  <c r="F347" i="150"/>
  <c r="F348" i="150"/>
  <c r="F349" i="150"/>
  <c r="F350" i="150"/>
  <c r="B10" i="149"/>
  <c r="B10" i="162"/>
  <c r="B11" i="153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B10" i="153"/>
  <c r="F2" i="159"/>
  <c r="F3" i="159"/>
  <c r="F4" i="159"/>
  <c r="F5" i="159"/>
  <c r="F6" i="159"/>
  <c r="F7" i="159"/>
  <c r="F8" i="159"/>
  <c r="F9" i="159"/>
  <c r="F10" i="159"/>
  <c r="F11" i="159"/>
  <c r="F12" i="159"/>
  <c r="F13" i="159"/>
  <c r="F14" i="159"/>
  <c r="F15" i="159"/>
  <c r="F16" i="159"/>
  <c r="F17" i="159"/>
  <c r="F18" i="159"/>
  <c r="F19" i="159"/>
  <c r="F20" i="159"/>
  <c r="F21" i="159"/>
  <c r="F22" i="159"/>
  <c r="F23" i="159"/>
  <c r="F24" i="159"/>
  <c r="F25" i="159"/>
  <c r="F26" i="159"/>
  <c r="F27" i="159"/>
  <c r="F28" i="159"/>
  <c r="F29" i="159"/>
  <c r="F30" i="159"/>
  <c r="F31" i="159"/>
  <c r="F32" i="159"/>
  <c r="F33" i="159"/>
  <c r="F34" i="159"/>
  <c r="F35" i="159"/>
  <c r="F36" i="159"/>
  <c r="F37" i="159"/>
  <c r="F38" i="159"/>
  <c r="F39" i="159"/>
  <c r="F40" i="159"/>
  <c r="F41" i="159"/>
  <c r="F42" i="159"/>
  <c r="F43" i="159"/>
  <c r="F44" i="159"/>
  <c r="F45" i="159"/>
  <c r="F46" i="159"/>
  <c r="F47" i="159"/>
  <c r="F48" i="159"/>
  <c r="F49" i="159"/>
  <c r="F50" i="159"/>
  <c r="F51" i="159"/>
  <c r="F52" i="159"/>
  <c r="F53" i="159"/>
  <c r="F54" i="159"/>
  <c r="F55" i="159"/>
  <c r="F56" i="159"/>
  <c r="F57" i="159"/>
  <c r="F58" i="159"/>
  <c r="F59" i="159"/>
  <c r="F60" i="159"/>
  <c r="F61" i="159"/>
  <c r="F62" i="159"/>
  <c r="F63" i="159"/>
  <c r="F64" i="159"/>
  <c r="F65" i="159"/>
  <c r="F66" i="159"/>
  <c r="F67" i="159"/>
  <c r="F68" i="159"/>
  <c r="F69" i="159"/>
  <c r="F70" i="159"/>
  <c r="F71" i="159"/>
  <c r="F72" i="159"/>
  <c r="F73" i="159"/>
  <c r="F74" i="159"/>
  <c r="F75" i="159"/>
  <c r="F76" i="159"/>
  <c r="F77" i="159"/>
  <c r="F78" i="159"/>
  <c r="F79" i="159"/>
  <c r="F80" i="159"/>
  <c r="F81" i="159"/>
  <c r="F82" i="159"/>
  <c r="F83" i="159"/>
  <c r="F84" i="159"/>
  <c r="F85" i="159"/>
  <c r="F86" i="159"/>
  <c r="F87" i="159"/>
  <c r="F88" i="159"/>
  <c r="F89" i="159"/>
  <c r="F90" i="159"/>
  <c r="F91" i="159"/>
  <c r="F92" i="159"/>
  <c r="F93" i="159"/>
  <c r="F94" i="159"/>
  <c r="F95" i="159"/>
  <c r="F96" i="159"/>
  <c r="F97" i="159"/>
  <c r="F98" i="159"/>
  <c r="F99" i="159"/>
  <c r="F100" i="159"/>
  <c r="F101" i="159"/>
  <c r="F102" i="159"/>
  <c r="F103" i="159"/>
  <c r="F104" i="159"/>
  <c r="F105" i="159"/>
  <c r="F106" i="159"/>
  <c r="F107" i="159"/>
  <c r="F108" i="159"/>
  <c r="F109" i="159"/>
  <c r="F110" i="159"/>
  <c r="F111" i="159"/>
  <c r="F112" i="159"/>
  <c r="F113" i="159"/>
  <c r="F114" i="159"/>
  <c r="F115" i="159"/>
  <c r="F116" i="159"/>
  <c r="F117" i="159"/>
  <c r="F118" i="159"/>
  <c r="F119" i="159"/>
  <c r="F120" i="159"/>
  <c r="F121" i="159"/>
  <c r="F122" i="159"/>
  <c r="F123" i="159"/>
  <c r="F124" i="159"/>
  <c r="F125" i="159"/>
  <c r="F126" i="159"/>
  <c r="F127" i="159"/>
  <c r="F128" i="159"/>
  <c r="F129" i="159"/>
  <c r="F130" i="159"/>
  <c r="F131" i="159"/>
  <c r="F132" i="159"/>
  <c r="F133" i="159"/>
  <c r="F134" i="159"/>
  <c r="F135" i="159"/>
  <c r="F136" i="159"/>
  <c r="F137" i="159"/>
  <c r="F138" i="159"/>
  <c r="F139" i="159"/>
  <c r="F140" i="159"/>
  <c r="F141" i="159"/>
  <c r="F142" i="159"/>
  <c r="F143" i="159"/>
  <c r="F144" i="159"/>
  <c r="F145" i="159"/>
  <c r="F146" i="159"/>
  <c r="F147" i="159"/>
  <c r="F148" i="159"/>
  <c r="F149" i="159"/>
  <c r="F150" i="159"/>
  <c r="F151" i="159"/>
  <c r="F152" i="159"/>
  <c r="F153" i="159"/>
  <c r="F154" i="159"/>
  <c r="F155" i="159"/>
  <c r="F156" i="159"/>
  <c r="F157" i="159"/>
  <c r="F158" i="159"/>
  <c r="F159" i="159"/>
  <c r="F160" i="159"/>
  <c r="F161" i="159"/>
  <c r="F162" i="159"/>
  <c r="F163" i="159"/>
  <c r="F164" i="159"/>
  <c r="F165" i="159"/>
  <c r="F166" i="159"/>
  <c r="F167" i="159"/>
  <c r="F168" i="159"/>
  <c r="F169" i="159"/>
  <c r="F170" i="159"/>
  <c r="F171" i="159"/>
  <c r="F172" i="159"/>
  <c r="F173" i="159"/>
  <c r="F174" i="159"/>
  <c r="F175" i="159"/>
  <c r="F176" i="159"/>
  <c r="F177" i="159"/>
  <c r="F178" i="159"/>
  <c r="F179" i="159"/>
  <c r="F180" i="159"/>
  <c r="F181" i="159"/>
  <c r="F182" i="159"/>
  <c r="F183" i="159"/>
  <c r="F184" i="159"/>
  <c r="F185" i="159"/>
  <c r="F186" i="159"/>
  <c r="F187" i="159"/>
  <c r="F188" i="159"/>
  <c r="F189" i="159"/>
  <c r="F190" i="159"/>
  <c r="F191" i="159"/>
  <c r="F192" i="159"/>
  <c r="F193" i="159"/>
  <c r="F194" i="159"/>
  <c r="F195" i="159"/>
  <c r="F196" i="159"/>
  <c r="F197" i="159"/>
  <c r="F198" i="159"/>
  <c r="F199" i="159"/>
  <c r="F200" i="159"/>
  <c r="F201" i="159"/>
  <c r="F202" i="159"/>
  <c r="F203" i="159"/>
  <c r="F204" i="159"/>
  <c r="F205" i="159"/>
  <c r="F206" i="159"/>
  <c r="F207" i="159"/>
  <c r="F208" i="159"/>
  <c r="F209" i="159"/>
  <c r="F210" i="159"/>
  <c r="F211" i="159"/>
  <c r="F212" i="159"/>
  <c r="F213" i="159"/>
  <c r="F214" i="159"/>
  <c r="F215" i="159"/>
  <c r="F216" i="159"/>
  <c r="F217" i="159"/>
  <c r="F218" i="159"/>
  <c r="F219" i="159"/>
  <c r="F220" i="159"/>
  <c r="F221" i="159"/>
  <c r="F222" i="159"/>
  <c r="F223" i="159"/>
  <c r="F224" i="159"/>
  <c r="F225" i="159"/>
  <c r="F226" i="159"/>
  <c r="F227" i="159"/>
  <c r="F228" i="159"/>
  <c r="F229" i="159"/>
  <c r="F230" i="159"/>
  <c r="F231" i="159"/>
  <c r="F232" i="159"/>
  <c r="F233" i="159"/>
  <c r="F234" i="159"/>
  <c r="F235" i="159"/>
  <c r="F236" i="159"/>
  <c r="F237" i="159"/>
  <c r="F238" i="159"/>
  <c r="F239" i="159"/>
  <c r="F240" i="159"/>
  <c r="F241" i="159"/>
  <c r="F242" i="159"/>
  <c r="F243" i="159"/>
  <c r="F244" i="159"/>
  <c r="F245" i="159"/>
  <c r="F246" i="159"/>
  <c r="F247" i="159"/>
  <c r="F248" i="159"/>
  <c r="F249" i="159"/>
  <c r="F250" i="159"/>
  <c r="F251" i="159"/>
  <c r="F252" i="159"/>
  <c r="F253" i="159"/>
  <c r="F254" i="159"/>
  <c r="F255" i="159"/>
  <c r="F256" i="159"/>
  <c r="F257" i="159"/>
  <c r="F258" i="159"/>
  <c r="F259" i="159"/>
  <c r="F260" i="159"/>
  <c r="F261" i="159"/>
  <c r="F262" i="159"/>
  <c r="F263" i="159"/>
  <c r="F264" i="159"/>
  <c r="F265" i="159"/>
  <c r="F266" i="159"/>
  <c r="F267" i="159"/>
  <c r="F268" i="159"/>
  <c r="F269" i="159"/>
  <c r="F270" i="159"/>
  <c r="F271" i="159"/>
  <c r="F272" i="159"/>
  <c r="F273" i="159"/>
  <c r="F274" i="159"/>
  <c r="F275" i="159"/>
  <c r="F276" i="159"/>
  <c r="F277" i="159"/>
  <c r="F278" i="159"/>
  <c r="F279" i="159"/>
  <c r="F280" i="159"/>
  <c r="F281" i="159"/>
  <c r="F282" i="159"/>
  <c r="F283" i="159"/>
  <c r="F284" i="159"/>
  <c r="F285" i="159"/>
  <c r="F286" i="159"/>
  <c r="F287" i="159"/>
  <c r="F288" i="159"/>
  <c r="F289" i="159"/>
  <c r="F290" i="159"/>
  <c r="F291" i="159"/>
  <c r="F292" i="159"/>
  <c r="F293" i="159"/>
  <c r="F294" i="159"/>
  <c r="F295" i="159"/>
  <c r="F296" i="159"/>
  <c r="F297" i="159"/>
  <c r="F298" i="159"/>
  <c r="F299" i="159"/>
  <c r="F300" i="159"/>
  <c r="F301" i="159"/>
  <c r="F302" i="159"/>
  <c r="F303" i="159"/>
  <c r="F304" i="159"/>
  <c r="F305" i="159"/>
  <c r="F306" i="159"/>
  <c r="F307" i="159"/>
  <c r="F308" i="159"/>
  <c r="F309" i="159"/>
  <c r="F310" i="159"/>
  <c r="F311" i="159"/>
  <c r="F312" i="159"/>
  <c r="F313" i="159"/>
  <c r="F314" i="159"/>
  <c r="F315" i="159"/>
  <c r="F316" i="159"/>
  <c r="F317" i="159"/>
  <c r="F318" i="159"/>
  <c r="F319" i="159"/>
  <c r="F320" i="159"/>
  <c r="F321" i="159"/>
  <c r="F322" i="159"/>
  <c r="F323" i="159"/>
  <c r="F324" i="159"/>
  <c r="F325" i="159"/>
  <c r="F326" i="159"/>
  <c r="F327" i="159"/>
  <c r="F328" i="159"/>
  <c r="F329" i="159"/>
  <c r="F330" i="159"/>
  <c r="F331" i="159"/>
  <c r="F332" i="159"/>
  <c r="F333" i="159"/>
  <c r="F334" i="159"/>
  <c r="F335" i="159"/>
  <c r="F336" i="159"/>
  <c r="F337" i="159"/>
  <c r="F338" i="159"/>
  <c r="F339" i="159"/>
  <c r="F340" i="159"/>
  <c r="F341" i="159"/>
  <c r="F342" i="159"/>
  <c r="F343" i="159"/>
  <c r="F344" i="159"/>
  <c r="F345" i="159"/>
  <c r="F346" i="159"/>
  <c r="F347" i="159"/>
  <c r="F348" i="159"/>
  <c r="F349" i="159"/>
  <c r="F350" i="159"/>
  <c r="B11" i="158"/>
  <c r="B10" i="158"/>
  <c r="A347" i="163"/>
  <c r="H347" i="163"/>
  <c r="L347" i="163"/>
  <c r="M347" i="163"/>
  <c r="N347" i="163"/>
  <c r="P347" i="163"/>
  <c r="A348" i="163"/>
  <c r="H348" i="163"/>
  <c r="L348" i="163"/>
  <c r="M348" i="163"/>
  <c r="N348" i="163"/>
  <c r="P348" i="163"/>
  <c r="A349" i="163"/>
  <c r="H349" i="163"/>
  <c r="L349" i="163"/>
  <c r="M349" i="163"/>
  <c r="N349" i="163"/>
  <c r="P349" i="163"/>
  <c r="A350" i="163"/>
  <c r="H350" i="163"/>
  <c r="L350" i="163"/>
  <c r="M350" i="163"/>
  <c r="N350" i="163"/>
  <c r="P350" i="163"/>
  <c r="C17" i="162"/>
  <c r="C18" i="162"/>
  <c r="C19" i="162"/>
  <c r="C20" i="162"/>
  <c r="C21" i="162"/>
  <c r="C22" i="162"/>
  <c r="C23" i="162"/>
  <c r="C24" i="162"/>
  <c r="C25" i="162"/>
  <c r="C26" i="162"/>
  <c r="C27" i="162"/>
  <c r="C28" i="162"/>
  <c r="C29" i="162"/>
  <c r="C30" i="162"/>
  <c r="C31" i="162"/>
  <c r="C32" i="162"/>
  <c r="C33" i="162"/>
  <c r="C34" i="162"/>
  <c r="C35" i="162"/>
  <c r="C36" i="162"/>
  <c r="C37" i="162"/>
  <c r="C38" i="162"/>
  <c r="C39" i="162"/>
  <c r="C40" i="162"/>
  <c r="C41" i="162"/>
  <c r="C42" i="162"/>
  <c r="C43" i="162"/>
  <c r="C44" i="162"/>
  <c r="C45" i="162"/>
  <c r="C47" i="162"/>
  <c r="A347" i="154"/>
  <c r="H347" i="154"/>
  <c r="L347" i="154"/>
  <c r="M347" i="154"/>
  <c r="N347" i="154"/>
  <c r="G31" i="153"/>
  <c r="E31" i="153"/>
  <c r="H31" i="153"/>
  <c r="P347" i="154"/>
  <c r="A348" i="154"/>
  <c r="H348" i="154"/>
  <c r="L348" i="154"/>
  <c r="M348" i="154"/>
  <c r="N348" i="154"/>
  <c r="P348" i="154"/>
  <c r="A349" i="154"/>
  <c r="H349" i="154"/>
  <c r="L349" i="154"/>
  <c r="M349" i="154"/>
  <c r="N349" i="154"/>
  <c r="P349" i="154"/>
  <c r="A350" i="154"/>
  <c r="H350" i="154"/>
  <c r="L350" i="154"/>
  <c r="M350" i="154"/>
  <c r="N350" i="154"/>
  <c r="P350" i="154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C33" i="153"/>
  <c r="C34" i="153"/>
  <c r="C35" i="153"/>
  <c r="C36" i="153"/>
  <c r="C37" i="153"/>
  <c r="C38" i="153"/>
  <c r="C39" i="153"/>
  <c r="C40" i="153"/>
  <c r="C41" i="153"/>
  <c r="C42" i="153"/>
  <c r="C43" i="153"/>
  <c r="C44" i="153"/>
  <c r="C45" i="153"/>
  <c r="C47" i="153"/>
  <c r="C17" i="158"/>
  <c r="C18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32" i="158"/>
  <c r="C33" i="158"/>
  <c r="C34" i="158"/>
  <c r="C35" i="158"/>
  <c r="C36" i="158"/>
  <c r="C37" i="158"/>
  <c r="C38" i="158"/>
  <c r="C39" i="158"/>
  <c r="C40" i="158"/>
  <c r="C41" i="158"/>
  <c r="C42" i="158"/>
  <c r="C43" i="158"/>
  <c r="C44" i="158"/>
  <c r="C45" i="158"/>
  <c r="C47" i="158"/>
  <c r="C17" i="149"/>
  <c r="C18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32" i="149"/>
  <c r="C33" i="149"/>
  <c r="C34" i="149"/>
  <c r="C35" i="149"/>
  <c r="C36" i="149"/>
  <c r="C37" i="149"/>
  <c r="C38" i="149"/>
  <c r="C39" i="149"/>
  <c r="C40" i="149"/>
  <c r="C41" i="149"/>
  <c r="C42" i="149"/>
  <c r="C43" i="149"/>
  <c r="C44" i="149"/>
  <c r="C45" i="149"/>
  <c r="C47" i="149"/>
  <c r="C17" i="147"/>
  <c r="C18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32" i="147"/>
  <c r="C33" i="147"/>
  <c r="C34" i="147"/>
  <c r="C35" i="147"/>
  <c r="C36" i="147"/>
  <c r="C37" i="147"/>
  <c r="C38" i="147"/>
  <c r="C39" i="147"/>
  <c r="C40" i="147"/>
  <c r="C41" i="147"/>
  <c r="C42" i="147"/>
  <c r="C43" i="147"/>
  <c r="C44" i="147"/>
  <c r="C45" i="147"/>
  <c r="C47" i="147"/>
  <c r="A347" i="159"/>
  <c r="H347" i="159"/>
  <c r="L347" i="159"/>
  <c r="M347" i="159"/>
  <c r="N347" i="159"/>
  <c r="P347" i="159"/>
  <c r="A348" i="159"/>
  <c r="H348" i="159"/>
  <c r="L348" i="159"/>
  <c r="M348" i="159"/>
  <c r="N348" i="159"/>
  <c r="P348" i="159"/>
  <c r="A349" i="159"/>
  <c r="H349" i="159"/>
  <c r="L349" i="159"/>
  <c r="M349" i="159"/>
  <c r="N349" i="159"/>
  <c r="P349" i="159"/>
  <c r="A350" i="159"/>
  <c r="H350" i="159"/>
  <c r="L350" i="159"/>
  <c r="M350" i="159"/>
  <c r="N350" i="159"/>
  <c r="P350" i="159"/>
  <c r="A347" i="150"/>
  <c r="H347" i="150"/>
  <c r="L347" i="150"/>
  <c r="M347" i="150"/>
  <c r="N347" i="150"/>
  <c r="A348" i="150"/>
  <c r="H348" i="150"/>
  <c r="L348" i="150"/>
  <c r="M348" i="150"/>
  <c r="N348" i="150"/>
  <c r="A349" i="150"/>
  <c r="H349" i="150"/>
  <c r="L349" i="150"/>
  <c r="M349" i="150"/>
  <c r="N349" i="150"/>
  <c r="A350" i="150"/>
  <c r="H350" i="150"/>
  <c r="L350" i="150"/>
  <c r="M350" i="150"/>
  <c r="N350" i="150"/>
  <c r="A347" i="148"/>
  <c r="H347" i="148"/>
  <c r="L347" i="148"/>
  <c r="M347" i="148"/>
  <c r="N347" i="148"/>
  <c r="G31" i="147"/>
  <c r="E31" i="147"/>
  <c r="H31" i="147"/>
  <c r="P347" i="148"/>
  <c r="A348" i="148"/>
  <c r="H348" i="148"/>
  <c r="L348" i="148"/>
  <c r="M348" i="148"/>
  <c r="N348" i="148"/>
  <c r="P348" i="148"/>
  <c r="A349" i="148"/>
  <c r="H349" i="148"/>
  <c r="L349" i="148"/>
  <c r="M349" i="148"/>
  <c r="N349" i="148"/>
  <c r="P349" i="148"/>
  <c r="A350" i="148"/>
  <c r="H350" i="148"/>
  <c r="L350" i="148"/>
  <c r="M350" i="148"/>
  <c r="N350" i="148"/>
  <c r="P350" i="148"/>
  <c r="K6" i="82"/>
  <c r="K7" i="82"/>
  <c r="K8" i="82"/>
  <c r="K9" i="82"/>
  <c r="K14" i="82"/>
  <c r="K15" i="82"/>
  <c r="K16" i="82"/>
  <c r="K17" i="82"/>
  <c r="K22" i="82"/>
  <c r="K23" i="82"/>
  <c r="K24" i="82"/>
  <c r="K25" i="82"/>
  <c r="K30" i="82"/>
  <c r="K31" i="82"/>
  <c r="K32" i="82"/>
  <c r="K33" i="82"/>
  <c r="K38" i="82"/>
  <c r="K39" i="82"/>
  <c r="K40" i="82"/>
  <c r="K41" i="82"/>
  <c r="K48" i="82"/>
  <c r="K49" i="82"/>
  <c r="K50" i="82"/>
  <c r="K51" i="82"/>
  <c r="K52" i="82"/>
  <c r="K53" i="82"/>
  <c r="K60" i="82"/>
  <c r="K61" i="82"/>
  <c r="K62" i="82"/>
  <c r="K63" i="82"/>
  <c r="K64" i="82"/>
  <c r="K65" i="82"/>
  <c r="K72" i="82"/>
  <c r="K73" i="82"/>
  <c r="K74" i="82"/>
  <c r="K75" i="82"/>
  <c r="K76" i="82"/>
  <c r="K77" i="82"/>
  <c r="K84" i="82"/>
  <c r="K85" i="82"/>
  <c r="K86" i="82"/>
  <c r="K87" i="82"/>
  <c r="K88" i="82"/>
  <c r="K89" i="82"/>
  <c r="K96" i="82"/>
  <c r="K97" i="82"/>
  <c r="K98" i="82"/>
  <c r="K99" i="82"/>
  <c r="K100" i="82"/>
  <c r="K101" i="82"/>
  <c r="K108" i="82"/>
  <c r="K109" i="82"/>
  <c r="K110" i="82"/>
  <c r="K111" i="82"/>
  <c r="K112" i="82"/>
  <c r="K113" i="82"/>
  <c r="K120" i="82"/>
  <c r="K121" i="82"/>
  <c r="K122" i="82"/>
  <c r="K123" i="82"/>
  <c r="K124" i="82"/>
  <c r="K125" i="82"/>
  <c r="K132" i="82"/>
  <c r="K133" i="82"/>
  <c r="K134" i="82"/>
  <c r="K135" i="82"/>
  <c r="K136" i="82"/>
  <c r="K137" i="82"/>
  <c r="K142" i="82"/>
  <c r="K143" i="82"/>
  <c r="K144" i="82"/>
  <c r="K145" i="82"/>
  <c r="K151" i="82"/>
  <c r="K152" i="82"/>
  <c r="K153" i="82"/>
  <c r="K154" i="82"/>
  <c r="K155" i="82"/>
  <c r="K161" i="82"/>
  <c r="K162" i="82"/>
  <c r="K163" i="82"/>
  <c r="K164" i="82"/>
  <c r="K165" i="82"/>
  <c r="K171" i="82"/>
  <c r="K172" i="82"/>
  <c r="K173" i="82"/>
  <c r="K174" i="82"/>
  <c r="K175" i="82"/>
  <c r="K181" i="82"/>
  <c r="K182" i="82"/>
  <c r="K183" i="82"/>
  <c r="K184" i="82"/>
  <c r="K185" i="82"/>
  <c r="K191" i="82"/>
  <c r="K192" i="82"/>
  <c r="K193" i="82"/>
  <c r="K194" i="82"/>
  <c r="K195" i="82"/>
  <c r="K201" i="82"/>
  <c r="K202" i="82"/>
  <c r="K203" i="82"/>
  <c r="K204" i="82"/>
  <c r="K205" i="82"/>
  <c r="K210" i="82"/>
  <c r="K211" i="82"/>
  <c r="K212" i="82"/>
  <c r="K213" i="82"/>
  <c r="K214" i="82"/>
  <c r="K217" i="82"/>
  <c r="K218" i="82"/>
  <c r="K219" i="82"/>
  <c r="K220" i="82"/>
  <c r="K226" i="82"/>
  <c r="K227" i="82"/>
  <c r="K228" i="82"/>
  <c r="K229" i="82"/>
  <c r="K230" i="82"/>
  <c r="K237" i="82"/>
  <c r="K238" i="82"/>
  <c r="K239" i="82"/>
  <c r="K240" i="82"/>
  <c r="K241" i="82"/>
  <c r="K246" i="82"/>
  <c r="K247" i="82"/>
  <c r="K248" i="82"/>
  <c r="K249" i="82"/>
  <c r="K250" i="82"/>
  <c r="K251" i="82"/>
  <c r="K258" i="82"/>
  <c r="K259" i="82"/>
  <c r="K260" i="82"/>
  <c r="K261" i="82"/>
  <c r="K266" i="82"/>
  <c r="K267" i="82"/>
  <c r="K270" i="82"/>
  <c r="K271" i="82"/>
  <c r="K272" i="82"/>
  <c r="K273" i="82"/>
  <c r="K278" i="82"/>
  <c r="K279" i="82"/>
  <c r="K280" i="82"/>
  <c r="K281" i="82"/>
  <c r="K282" i="82"/>
  <c r="K283" i="82"/>
  <c r="K286" i="82"/>
  <c r="K287" i="82"/>
  <c r="K288" i="82"/>
  <c r="K289" i="82"/>
  <c r="K294" i="82"/>
  <c r="K295" i="82"/>
  <c r="K299" i="82"/>
  <c r="K300" i="82"/>
  <c r="K303" i="82"/>
  <c r="K304" i="82"/>
  <c r="K305" i="82"/>
  <c r="K309" i="82"/>
  <c r="K310" i="82"/>
  <c r="K314" i="82"/>
  <c r="K315" i="82"/>
  <c r="K318" i="82"/>
  <c r="K319" i="82"/>
  <c r="K320" i="82"/>
  <c r="K323" i="82"/>
  <c r="K324" i="82"/>
  <c r="K325" i="82"/>
  <c r="K329" i="82"/>
  <c r="K330" i="82"/>
  <c r="K331" i="82"/>
  <c r="K332" i="82"/>
  <c r="K339" i="82"/>
  <c r="K340" i="82"/>
  <c r="K343" i="82"/>
  <c r="K344" i="82"/>
  <c r="K345" i="82"/>
  <c r="C17" i="106"/>
  <c r="C18" i="106"/>
  <c r="C19" i="106"/>
  <c r="C20" i="106"/>
  <c r="C21" i="106"/>
  <c r="C22" i="106"/>
  <c r="C23" i="106"/>
  <c r="C24" i="106"/>
  <c r="C25" i="106"/>
  <c r="C26" i="106"/>
  <c r="C27" i="106"/>
  <c r="C28" i="106"/>
  <c r="C29" i="106"/>
  <c r="C30" i="106"/>
  <c r="C31" i="106"/>
  <c r="C32" i="106"/>
  <c r="C33" i="106"/>
  <c r="C34" i="106"/>
  <c r="C35" i="106"/>
  <c r="C36" i="106"/>
  <c r="C37" i="106"/>
  <c r="C38" i="106"/>
  <c r="C39" i="106"/>
  <c r="C40" i="106"/>
  <c r="C41" i="106"/>
  <c r="C42" i="106"/>
  <c r="C43" i="106"/>
  <c r="C44" i="106"/>
  <c r="C45" i="106"/>
  <c r="C47" i="106"/>
  <c r="B47" i="106"/>
  <c r="A347" i="82"/>
  <c r="H347" i="82"/>
  <c r="K347" i="82"/>
  <c r="L347" i="82"/>
  <c r="M347" i="82"/>
  <c r="N347" i="82"/>
  <c r="P347" i="82"/>
  <c r="A348" i="82"/>
  <c r="H348" i="82"/>
  <c r="K348" i="82"/>
  <c r="L348" i="82"/>
  <c r="M348" i="82"/>
  <c r="N348" i="82"/>
  <c r="P348" i="82"/>
  <c r="A349" i="82"/>
  <c r="H349" i="82"/>
  <c r="K349" i="82"/>
  <c r="L349" i="82"/>
  <c r="M349" i="82"/>
  <c r="N349" i="82"/>
  <c r="P349" i="82"/>
  <c r="A350" i="82"/>
  <c r="H350" i="82"/>
  <c r="K350" i="82"/>
  <c r="L350" i="82"/>
  <c r="M350" i="82"/>
  <c r="N350" i="82"/>
  <c r="P350" i="82"/>
  <c r="E12" i="103"/>
  <c r="E11" i="103"/>
  <c r="E10" i="103"/>
  <c r="C9" i="103"/>
  <c r="E9" i="103"/>
  <c r="C8" i="103"/>
  <c r="E8" i="103"/>
  <c r="C7" i="103"/>
  <c r="E7" i="103"/>
  <c r="C6" i="103"/>
  <c r="E6" i="103"/>
  <c r="C5" i="103"/>
  <c r="E5" i="103"/>
  <c r="C3" i="103"/>
  <c r="E3" i="103"/>
  <c r="C2" i="103"/>
  <c r="E2" i="103"/>
  <c r="F57" i="162"/>
  <c r="G57" i="162"/>
  <c r="H342" i="163"/>
  <c r="L342" i="163"/>
  <c r="M342" i="163"/>
  <c r="N342" i="163"/>
  <c r="P342" i="163"/>
  <c r="H343" i="163"/>
  <c r="L343" i="163"/>
  <c r="M343" i="163"/>
  <c r="N343" i="163"/>
  <c r="P343" i="163"/>
  <c r="H344" i="163"/>
  <c r="L344" i="163"/>
  <c r="M344" i="163"/>
  <c r="N344" i="163"/>
  <c r="P344" i="163"/>
  <c r="H345" i="163"/>
  <c r="L345" i="163"/>
  <c r="M345" i="163"/>
  <c r="N345" i="163"/>
  <c r="P345" i="163"/>
  <c r="H346" i="163"/>
  <c r="L346" i="163"/>
  <c r="M346" i="163"/>
  <c r="N346" i="163"/>
  <c r="P346" i="163"/>
  <c r="A342" i="163"/>
  <c r="A343" i="163"/>
  <c r="A344" i="163"/>
  <c r="A345" i="163"/>
  <c r="A346" i="163"/>
  <c r="F56" i="153"/>
  <c r="G56" i="153"/>
  <c r="H342" i="154"/>
  <c r="L342" i="154"/>
  <c r="M342" i="154"/>
  <c r="N342" i="154"/>
  <c r="P342" i="154"/>
  <c r="H343" i="154"/>
  <c r="L343" i="154"/>
  <c r="M343" i="154"/>
  <c r="N343" i="154"/>
  <c r="P343" i="154"/>
  <c r="H344" i="154"/>
  <c r="L344" i="154"/>
  <c r="M344" i="154"/>
  <c r="N344" i="154"/>
  <c r="P344" i="154"/>
  <c r="H345" i="154"/>
  <c r="L345" i="154"/>
  <c r="M345" i="154"/>
  <c r="N345" i="154"/>
  <c r="P345" i="154"/>
  <c r="H346" i="154"/>
  <c r="L346" i="154"/>
  <c r="M346" i="154"/>
  <c r="N346" i="154"/>
  <c r="P346" i="154"/>
  <c r="A342" i="154"/>
  <c r="A343" i="154"/>
  <c r="A344" i="154"/>
  <c r="A345" i="154"/>
  <c r="A346" i="154"/>
  <c r="F57" i="158"/>
  <c r="G57" i="158"/>
  <c r="F56" i="158"/>
  <c r="G56" i="158"/>
  <c r="H342" i="159"/>
  <c r="L342" i="159"/>
  <c r="M342" i="159"/>
  <c r="N342" i="159"/>
  <c r="P342" i="159"/>
  <c r="H343" i="159"/>
  <c r="L343" i="159"/>
  <c r="M343" i="159"/>
  <c r="N343" i="159"/>
  <c r="P343" i="159"/>
  <c r="H344" i="159"/>
  <c r="L344" i="159"/>
  <c r="M344" i="159"/>
  <c r="N344" i="159"/>
  <c r="P344" i="159"/>
  <c r="H345" i="159"/>
  <c r="L345" i="159"/>
  <c r="M345" i="159"/>
  <c r="N345" i="159"/>
  <c r="P345" i="159"/>
  <c r="H346" i="159"/>
  <c r="L346" i="159"/>
  <c r="M346" i="159"/>
  <c r="N346" i="159"/>
  <c r="P346" i="159"/>
  <c r="A342" i="159"/>
  <c r="A343" i="159"/>
  <c r="A344" i="159"/>
  <c r="A345" i="159"/>
  <c r="A346" i="159"/>
  <c r="H342" i="150"/>
  <c r="L342" i="150"/>
  <c r="M342" i="150"/>
  <c r="N342" i="150"/>
  <c r="H343" i="150"/>
  <c r="L343" i="150"/>
  <c r="M343" i="150"/>
  <c r="N343" i="150"/>
  <c r="H344" i="150"/>
  <c r="L344" i="150"/>
  <c r="M344" i="150"/>
  <c r="N344" i="150"/>
  <c r="H345" i="150"/>
  <c r="L345" i="150"/>
  <c r="M345" i="150"/>
  <c r="N345" i="150"/>
  <c r="H346" i="150"/>
  <c r="L346" i="150"/>
  <c r="M346" i="150"/>
  <c r="N346" i="150"/>
  <c r="A342" i="150"/>
  <c r="A343" i="150"/>
  <c r="A344" i="150"/>
  <c r="A345" i="150"/>
  <c r="A346" i="150"/>
  <c r="F56" i="147"/>
  <c r="G56" i="147"/>
  <c r="A341" i="148"/>
  <c r="H341" i="148"/>
  <c r="L341" i="148"/>
  <c r="M341" i="148"/>
  <c r="N341" i="148"/>
  <c r="P341" i="148"/>
  <c r="A342" i="148"/>
  <c r="H342" i="148"/>
  <c r="L342" i="148"/>
  <c r="M342" i="148"/>
  <c r="N342" i="148"/>
  <c r="P342" i="148"/>
  <c r="A343" i="148"/>
  <c r="H343" i="148"/>
  <c r="L343" i="148"/>
  <c r="M343" i="148"/>
  <c r="N343" i="148"/>
  <c r="P343" i="148"/>
  <c r="A344" i="148"/>
  <c r="H344" i="148"/>
  <c r="L344" i="148"/>
  <c r="M344" i="148"/>
  <c r="N344" i="148"/>
  <c r="P344" i="148"/>
  <c r="A345" i="148"/>
  <c r="H345" i="148"/>
  <c r="L345" i="148"/>
  <c r="M345" i="148"/>
  <c r="N345" i="148"/>
  <c r="P345" i="148"/>
  <c r="F57" i="147"/>
  <c r="G57" i="147"/>
  <c r="A341" i="82"/>
  <c r="K341" i="82"/>
  <c r="H341" i="82"/>
  <c r="L341" i="82"/>
  <c r="M341" i="82"/>
  <c r="N341" i="82"/>
  <c r="K342" i="82"/>
  <c r="K3" i="82"/>
  <c r="K4" i="82"/>
  <c r="K5" i="82"/>
  <c r="K10" i="82"/>
  <c r="K11" i="82"/>
  <c r="K12" i="82"/>
  <c r="K13" i="82"/>
  <c r="K18" i="82"/>
  <c r="K19" i="82"/>
  <c r="K20" i="82"/>
  <c r="K21" i="82"/>
  <c r="K26" i="82"/>
  <c r="K27" i="82"/>
  <c r="K28" i="82"/>
  <c r="K29" i="82"/>
  <c r="K34" i="82"/>
  <c r="K35" i="82"/>
  <c r="K36" i="82"/>
  <c r="K37" i="82"/>
  <c r="K42" i="82"/>
  <c r="K43" i="82"/>
  <c r="K44" i="82"/>
  <c r="K45" i="82"/>
  <c r="K46" i="82"/>
  <c r="K47" i="82"/>
  <c r="K54" i="82"/>
  <c r="K55" i="82"/>
  <c r="K56" i="82"/>
  <c r="K57" i="82"/>
  <c r="K58" i="82"/>
  <c r="K59" i="82"/>
  <c r="K66" i="82"/>
  <c r="K67" i="82"/>
  <c r="K68" i="82"/>
  <c r="K69" i="82"/>
  <c r="K70" i="82"/>
  <c r="K71" i="82"/>
  <c r="K78" i="82"/>
  <c r="K79" i="82"/>
  <c r="K80" i="82"/>
  <c r="K81" i="82"/>
  <c r="K82" i="82"/>
  <c r="K83" i="82"/>
  <c r="K90" i="82"/>
  <c r="K91" i="82"/>
  <c r="K92" i="82"/>
  <c r="K93" i="82"/>
  <c r="K94" i="82"/>
  <c r="K95" i="82"/>
  <c r="K102" i="82"/>
  <c r="K103" i="82"/>
  <c r="K104" i="82"/>
  <c r="K105" i="82"/>
  <c r="K106" i="82"/>
  <c r="K107" i="82"/>
  <c r="K114" i="82"/>
  <c r="K115" i="82"/>
  <c r="K116" i="82"/>
  <c r="K117" i="82"/>
  <c r="K118" i="82"/>
  <c r="K119" i="82"/>
  <c r="K126" i="82"/>
  <c r="K127" i="82"/>
  <c r="K128" i="82"/>
  <c r="K129" i="82"/>
  <c r="K130" i="82"/>
  <c r="K131" i="82"/>
  <c r="K138" i="82"/>
  <c r="K139" i="82"/>
  <c r="K140" i="82"/>
  <c r="K141" i="82"/>
  <c r="K146" i="82"/>
  <c r="K147" i="82"/>
  <c r="K148" i="82"/>
  <c r="K149" i="82"/>
  <c r="K150" i="82"/>
  <c r="K156" i="82"/>
  <c r="K157" i="82"/>
  <c r="K158" i="82"/>
  <c r="K159" i="82"/>
  <c r="K160" i="82"/>
  <c r="K166" i="82"/>
  <c r="K167" i="82"/>
  <c r="K168" i="82"/>
  <c r="K169" i="82"/>
  <c r="K170" i="82"/>
  <c r="K176" i="82"/>
  <c r="K177" i="82"/>
  <c r="K178" i="82"/>
  <c r="K179" i="82"/>
  <c r="K180" i="82"/>
  <c r="K186" i="82"/>
  <c r="K187" i="82"/>
  <c r="K188" i="82"/>
  <c r="K189" i="82"/>
  <c r="K190" i="82"/>
  <c r="K196" i="82"/>
  <c r="K197" i="82"/>
  <c r="K198" i="82"/>
  <c r="K199" i="82"/>
  <c r="K200" i="82"/>
  <c r="K206" i="82"/>
  <c r="K207" i="82"/>
  <c r="K208" i="82"/>
  <c r="K209" i="82"/>
  <c r="K215" i="82"/>
  <c r="K216" i="82"/>
  <c r="K221" i="82"/>
  <c r="K222" i="82"/>
  <c r="K223" i="82"/>
  <c r="K224" i="82"/>
  <c r="K225" i="82"/>
  <c r="K231" i="82"/>
  <c r="K232" i="82"/>
  <c r="K233" i="82"/>
  <c r="K234" i="82"/>
  <c r="K235" i="82"/>
  <c r="K236" i="82"/>
  <c r="K242" i="82"/>
  <c r="K243" i="82"/>
  <c r="K244" i="82"/>
  <c r="K245" i="82"/>
  <c r="K252" i="82"/>
  <c r="K253" i="82"/>
  <c r="K254" i="82"/>
  <c r="K255" i="82"/>
  <c r="K256" i="82"/>
  <c r="K257" i="82"/>
  <c r="K262" i="82"/>
  <c r="K263" i="82"/>
  <c r="K264" i="82"/>
  <c r="K265" i="82"/>
  <c r="K268" i="82"/>
  <c r="K269" i="82"/>
  <c r="K274" i="82"/>
  <c r="K275" i="82"/>
  <c r="K276" i="82"/>
  <c r="K277" i="82"/>
  <c r="K284" i="82"/>
  <c r="K285" i="82"/>
  <c r="K290" i="82"/>
  <c r="K291" i="82"/>
  <c r="K292" i="82"/>
  <c r="K293" i="82"/>
  <c r="K296" i="82"/>
  <c r="K297" i="82"/>
  <c r="K298" i="82"/>
  <c r="K301" i="82"/>
  <c r="K302" i="82"/>
  <c r="K306" i="82"/>
  <c r="K307" i="82"/>
  <c r="K308" i="82"/>
  <c r="K311" i="82"/>
  <c r="K312" i="82"/>
  <c r="K313" i="82"/>
  <c r="K316" i="82"/>
  <c r="K317" i="82"/>
  <c r="K321" i="82"/>
  <c r="K322" i="82"/>
  <c r="K326" i="82"/>
  <c r="K327" i="82"/>
  <c r="K328" i="82"/>
  <c r="K333" i="82"/>
  <c r="K334" i="82"/>
  <c r="K335" i="82"/>
  <c r="K336" i="82"/>
  <c r="K337" i="82"/>
  <c r="K338" i="82"/>
  <c r="K346" i="82"/>
  <c r="P341" i="82"/>
  <c r="A342" i="82"/>
  <c r="H342" i="82"/>
  <c r="L342" i="82"/>
  <c r="M342" i="82"/>
  <c r="N342" i="82"/>
  <c r="P342" i="82"/>
  <c r="A343" i="82"/>
  <c r="H343" i="82"/>
  <c r="L343" i="82"/>
  <c r="M343" i="82"/>
  <c r="N343" i="82"/>
  <c r="P343" i="82"/>
  <c r="A344" i="82"/>
  <c r="H344" i="82"/>
  <c r="L344" i="82"/>
  <c r="M344" i="82"/>
  <c r="N344" i="82"/>
  <c r="P344" i="82"/>
  <c r="A345" i="82"/>
  <c r="H345" i="82"/>
  <c r="L345" i="82"/>
  <c r="M345" i="82"/>
  <c r="N345" i="82"/>
  <c r="P345" i="82"/>
  <c r="P138" i="82"/>
  <c r="P139" i="82"/>
  <c r="P140" i="82"/>
  <c r="P141" i="82"/>
  <c r="P2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7" i="82"/>
  <c r="P308" i="82"/>
  <c r="P309" i="82"/>
  <c r="P310" i="82"/>
  <c r="P311" i="82"/>
  <c r="P312" i="82"/>
  <c r="P313" i="82"/>
  <c r="P314" i="82"/>
  <c r="P315" i="82"/>
  <c r="P316" i="82"/>
  <c r="P317" i="82"/>
  <c r="P318" i="82"/>
  <c r="P319" i="82"/>
  <c r="P320" i="82"/>
  <c r="P321" i="82"/>
  <c r="P322" i="82"/>
  <c r="P323" i="82"/>
  <c r="P324" i="82"/>
  <c r="P325" i="82"/>
  <c r="P326" i="82"/>
  <c r="P327" i="82"/>
  <c r="P328" i="82"/>
  <c r="P329" i="82"/>
  <c r="P330" i="82"/>
  <c r="P331" i="82"/>
  <c r="P332" i="82"/>
  <c r="P333" i="82"/>
  <c r="P334" i="82"/>
  <c r="P335" i="82"/>
  <c r="P336" i="82"/>
  <c r="P337" i="82"/>
  <c r="P338" i="82"/>
  <c r="P339" i="82"/>
  <c r="P340" i="82"/>
  <c r="P346" i="82"/>
  <c r="F63" i="106"/>
  <c r="F64" i="106"/>
  <c r="F56" i="106"/>
  <c r="G56" i="106"/>
  <c r="F57" i="106"/>
  <c r="G57" i="106"/>
  <c r="M3" i="106"/>
  <c r="I3" i="157"/>
  <c r="D3" i="157"/>
  <c r="I2" i="157"/>
  <c r="D2" i="157"/>
  <c r="G31" i="162"/>
  <c r="E31" i="162"/>
  <c r="H31" i="162"/>
  <c r="P341" i="163"/>
  <c r="N341" i="163"/>
  <c r="M341" i="163"/>
  <c r="L341" i="163"/>
  <c r="H341" i="163"/>
  <c r="A341" i="163"/>
  <c r="P340" i="163"/>
  <c r="N340" i="163"/>
  <c r="M340" i="163"/>
  <c r="L340" i="163"/>
  <c r="H340" i="163"/>
  <c r="A340" i="163"/>
  <c r="P339" i="163"/>
  <c r="N339" i="163"/>
  <c r="M339" i="163"/>
  <c r="L339" i="163"/>
  <c r="H339" i="163"/>
  <c r="A339" i="163"/>
  <c r="P338" i="163"/>
  <c r="N338" i="163"/>
  <c r="M338" i="163"/>
  <c r="L338" i="163"/>
  <c r="H338" i="163"/>
  <c r="A338" i="163"/>
  <c r="P337" i="163"/>
  <c r="N337" i="163"/>
  <c r="M337" i="163"/>
  <c r="L337" i="163"/>
  <c r="H337" i="163"/>
  <c r="A337" i="163"/>
  <c r="P336" i="163"/>
  <c r="N336" i="163"/>
  <c r="M336" i="163"/>
  <c r="L336" i="163"/>
  <c r="H336" i="163"/>
  <c r="A336" i="163"/>
  <c r="P335" i="163"/>
  <c r="N335" i="163"/>
  <c r="M335" i="163"/>
  <c r="L335" i="163"/>
  <c r="H335" i="163"/>
  <c r="A335" i="163"/>
  <c r="P334" i="163"/>
  <c r="N334" i="163"/>
  <c r="M334" i="163"/>
  <c r="L334" i="163"/>
  <c r="H334" i="163"/>
  <c r="A334" i="163"/>
  <c r="P333" i="163"/>
  <c r="N333" i="163"/>
  <c r="M333" i="163"/>
  <c r="L333" i="163"/>
  <c r="H333" i="163"/>
  <c r="A333" i="163"/>
  <c r="P332" i="163"/>
  <c r="N332" i="163"/>
  <c r="M332" i="163"/>
  <c r="L332" i="163"/>
  <c r="H332" i="163"/>
  <c r="A332" i="163"/>
  <c r="P331" i="163"/>
  <c r="N331" i="163"/>
  <c r="M331" i="163"/>
  <c r="L331" i="163"/>
  <c r="H331" i="163"/>
  <c r="A331" i="163"/>
  <c r="P330" i="163"/>
  <c r="N330" i="163"/>
  <c r="M330" i="163"/>
  <c r="L330" i="163"/>
  <c r="H330" i="163"/>
  <c r="A330" i="163"/>
  <c r="P329" i="163"/>
  <c r="N329" i="163"/>
  <c r="M329" i="163"/>
  <c r="L329" i="163"/>
  <c r="H329" i="163"/>
  <c r="A329" i="163"/>
  <c r="P328" i="163"/>
  <c r="N328" i="163"/>
  <c r="M328" i="163"/>
  <c r="L328" i="163"/>
  <c r="H328" i="163"/>
  <c r="A328" i="163"/>
  <c r="P327" i="163"/>
  <c r="N327" i="163"/>
  <c r="M327" i="163"/>
  <c r="L327" i="163"/>
  <c r="H327" i="163"/>
  <c r="A327" i="163"/>
  <c r="P326" i="163"/>
  <c r="N326" i="163"/>
  <c r="M326" i="163"/>
  <c r="L326" i="163"/>
  <c r="H326" i="163"/>
  <c r="A326" i="163"/>
  <c r="P325" i="163"/>
  <c r="N325" i="163"/>
  <c r="M325" i="163"/>
  <c r="L325" i="163"/>
  <c r="H325" i="163"/>
  <c r="A325" i="163"/>
  <c r="P324" i="163"/>
  <c r="N324" i="163"/>
  <c r="M324" i="163"/>
  <c r="L324" i="163"/>
  <c r="H324" i="163"/>
  <c r="A324" i="163"/>
  <c r="P323" i="163"/>
  <c r="N323" i="163"/>
  <c r="M323" i="163"/>
  <c r="L323" i="163"/>
  <c r="H323" i="163"/>
  <c r="A323" i="163"/>
  <c r="P322" i="163"/>
  <c r="N322" i="163"/>
  <c r="M322" i="163"/>
  <c r="L322" i="163"/>
  <c r="H322" i="163"/>
  <c r="A322" i="163"/>
  <c r="P321" i="163"/>
  <c r="N321" i="163"/>
  <c r="M321" i="163"/>
  <c r="L321" i="163"/>
  <c r="H321" i="163"/>
  <c r="A321" i="163"/>
  <c r="P320" i="163"/>
  <c r="N320" i="163"/>
  <c r="M320" i="163"/>
  <c r="L320" i="163"/>
  <c r="H320" i="163"/>
  <c r="A320" i="163"/>
  <c r="P319" i="163"/>
  <c r="N319" i="163"/>
  <c r="M319" i="163"/>
  <c r="L319" i="163"/>
  <c r="H319" i="163"/>
  <c r="A319" i="163"/>
  <c r="P318" i="163"/>
  <c r="N318" i="163"/>
  <c r="M318" i="163"/>
  <c r="L318" i="163"/>
  <c r="H318" i="163"/>
  <c r="A318" i="163"/>
  <c r="P317" i="163"/>
  <c r="N317" i="163"/>
  <c r="M317" i="163"/>
  <c r="L317" i="163"/>
  <c r="H317" i="163"/>
  <c r="A317" i="163"/>
  <c r="P316" i="163"/>
  <c r="N316" i="163"/>
  <c r="M316" i="163"/>
  <c r="L316" i="163"/>
  <c r="H316" i="163"/>
  <c r="A316" i="163"/>
  <c r="P315" i="163"/>
  <c r="N315" i="163"/>
  <c r="M315" i="163"/>
  <c r="L315" i="163"/>
  <c r="H315" i="163"/>
  <c r="A315" i="163"/>
  <c r="P314" i="163"/>
  <c r="N314" i="163"/>
  <c r="M314" i="163"/>
  <c r="L314" i="163"/>
  <c r="H314" i="163"/>
  <c r="A314" i="163"/>
  <c r="P313" i="163"/>
  <c r="N313" i="163"/>
  <c r="M313" i="163"/>
  <c r="L313" i="163"/>
  <c r="H313" i="163"/>
  <c r="A313" i="163"/>
  <c r="P312" i="163"/>
  <c r="N312" i="163"/>
  <c r="M312" i="163"/>
  <c r="L312" i="163"/>
  <c r="H312" i="163"/>
  <c r="A312" i="163"/>
  <c r="P311" i="163"/>
  <c r="N311" i="163"/>
  <c r="M311" i="163"/>
  <c r="L311" i="163"/>
  <c r="H311" i="163"/>
  <c r="A311" i="163"/>
  <c r="P310" i="163"/>
  <c r="N310" i="163"/>
  <c r="M310" i="163"/>
  <c r="L310" i="163"/>
  <c r="H310" i="163"/>
  <c r="A310" i="163"/>
  <c r="P309" i="163"/>
  <c r="N309" i="163"/>
  <c r="M309" i="163"/>
  <c r="L309" i="163"/>
  <c r="H309" i="163"/>
  <c r="A309" i="163"/>
  <c r="P308" i="163"/>
  <c r="N308" i="163"/>
  <c r="M308" i="163"/>
  <c r="L308" i="163"/>
  <c r="H308" i="163"/>
  <c r="A308" i="163"/>
  <c r="P307" i="163"/>
  <c r="N307" i="163"/>
  <c r="M307" i="163"/>
  <c r="L307" i="163"/>
  <c r="H307" i="163"/>
  <c r="A307" i="163"/>
  <c r="P306" i="163"/>
  <c r="N306" i="163"/>
  <c r="M306" i="163"/>
  <c r="L306" i="163"/>
  <c r="H306" i="163"/>
  <c r="A306" i="163"/>
  <c r="P305" i="163"/>
  <c r="N305" i="163"/>
  <c r="M305" i="163"/>
  <c r="L305" i="163"/>
  <c r="H305" i="163"/>
  <c r="A305" i="163"/>
  <c r="P304" i="163"/>
  <c r="N304" i="163"/>
  <c r="M304" i="163"/>
  <c r="L304" i="163"/>
  <c r="H304" i="163"/>
  <c r="A304" i="163"/>
  <c r="P303" i="163"/>
  <c r="N303" i="163"/>
  <c r="M303" i="163"/>
  <c r="L303" i="163"/>
  <c r="H303" i="163"/>
  <c r="A303" i="163"/>
  <c r="P302" i="163"/>
  <c r="N302" i="163"/>
  <c r="M302" i="163"/>
  <c r="L302" i="163"/>
  <c r="H302" i="163"/>
  <c r="A302" i="163"/>
  <c r="P301" i="163"/>
  <c r="N301" i="163"/>
  <c r="M301" i="163"/>
  <c r="L301" i="163"/>
  <c r="H301" i="163"/>
  <c r="A301" i="163"/>
  <c r="P300" i="163"/>
  <c r="N300" i="163"/>
  <c r="M300" i="163"/>
  <c r="L300" i="163"/>
  <c r="H300" i="163"/>
  <c r="A300" i="163"/>
  <c r="P299" i="163"/>
  <c r="N299" i="163"/>
  <c r="M299" i="163"/>
  <c r="L299" i="163"/>
  <c r="H299" i="163"/>
  <c r="A299" i="163"/>
  <c r="P298" i="163"/>
  <c r="N298" i="163"/>
  <c r="M298" i="163"/>
  <c r="L298" i="163"/>
  <c r="H298" i="163"/>
  <c r="A298" i="163"/>
  <c r="P297" i="163"/>
  <c r="N297" i="163"/>
  <c r="M297" i="163"/>
  <c r="L297" i="163"/>
  <c r="H297" i="163"/>
  <c r="A297" i="163"/>
  <c r="P296" i="163"/>
  <c r="N296" i="163"/>
  <c r="M296" i="163"/>
  <c r="L296" i="163"/>
  <c r="H296" i="163"/>
  <c r="A296" i="163"/>
  <c r="P295" i="163"/>
  <c r="N295" i="163"/>
  <c r="M295" i="163"/>
  <c r="L295" i="163"/>
  <c r="H295" i="163"/>
  <c r="A295" i="163"/>
  <c r="P294" i="163"/>
  <c r="N294" i="163"/>
  <c r="M294" i="163"/>
  <c r="L294" i="163"/>
  <c r="H294" i="163"/>
  <c r="A294" i="163"/>
  <c r="P293" i="163"/>
  <c r="N293" i="163"/>
  <c r="M293" i="163"/>
  <c r="L293" i="163"/>
  <c r="H293" i="163"/>
  <c r="A293" i="163"/>
  <c r="P292" i="163"/>
  <c r="N292" i="163"/>
  <c r="M292" i="163"/>
  <c r="L292" i="163"/>
  <c r="H292" i="163"/>
  <c r="A292" i="163"/>
  <c r="P291" i="163"/>
  <c r="N291" i="163"/>
  <c r="M291" i="163"/>
  <c r="L291" i="163"/>
  <c r="H291" i="163"/>
  <c r="A291" i="163"/>
  <c r="P290" i="163"/>
  <c r="N290" i="163"/>
  <c r="M290" i="163"/>
  <c r="L290" i="163"/>
  <c r="H290" i="163"/>
  <c r="A290" i="163"/>
  <c r="P289" i="163"/>
  <c r="N289" i="163"/>
  <c r="M289" i="163"/>
  <c r="L289" i="163"/>
  <c r="H289" i="163"/>
  <c r="A289" i="163"/>
  <c r="P288" i="163"/>
  <c r="N288" i="163"/>
  <c r="M288" i="163"/>
  <c r="L288" i="163"/>
  <c r="H288" i="163"/>
  <c r="A288" i="163"/>
  <c r="P287" i="163"/>
  <c r="N287" i="163"/>
  <c r="M287" i="163"/>
  <c r="L287" i="163"/>
  <c r="H287" i="163"/>
  <c r="A287" i="163"/>
  <c r="P286" i="163"/>
  <c r="N286" i="163"/>
  <c r="M286" i="163"/>
  <c r="L286" i="163"/>
  <c r="H286" i="163"/>
  <c r="A286" i="163"/>
  <c r="P285" i="163"/>
  <c r="N285" i="163"/>
  <c r="M285" i="163"/>
  <c r="L285" i="163"/>
  <c r="H285" i="163"/>
  <c r="A285" i="163"/>
  <c r="P284" i="163"/>
  <c r="N284" i="163"/>
  <c r="M284" i="163"/>
  <c r="L284" i="163"/>
  <c r="H284" i="163"/>
  <c r="A284" i="163"/>
  <c r="P283" i="163"/>
  <c r="N283" i="163"/>
  <c r="M283" i="163"/>
  <c r="L283" i="163"/>
  <c r="H283" i="163"/>
  <c r="A283" i="163"/>
  <c r="P282" i="163"/>
  <c r="N282" i="163"/>
  <c r="M282" i="163"/>
  <c r="L282" i="163"/>
  <c r="H282" i="163"/>
  <c r="A282" i="163"/>
  <c r="P281" i="163"/>
  <c r="N281" i="163"/>
  <c r="M281" i="163"/>
  <c r="L281" i="163"/>
  <c r="H281" i="163"/>
  <c r="A281" i="163"/>
  <c r="P280" i="163"/>
  <c r="N280" i="163"/>
  <c r="M280" i="163"/>
  <c r="L280" i="163"/>
  <c r="H280" i="163"/>
  <c r="A280" i="163"/>
  <c r="P279" i="163"/>
  <c r="N279" i="163"/>
  <c r="M279" i="163"/>
  <c r="L279" i="163"/>
  <c r="H279" i="163"/>
  <c r="A279" i="163"/>
  <c r="P278" i="163"/>
  <c r="N278" i="163"/>
  <c r="M278" i="163"/>
  <c r="L278" i="163"/>
  <c r="H278" i="163"/>
  <c r="A278" i="163"/>
  <c r="P277" i="163"/>
  <c r="N277" i="163"/>
  <c r="M277" i="163"/>
  <c r="L277" i="163"/>
  <c r="H277" i="163"/>
  <c r="A277" i="163"/>
  <c r="P276" i="163"/>
  <c r="N276" i="163"/>
  <c r="M276" i="163"/>
  <c r="L276" i="163"/>
  <c r="H276" i="163"/>
  <c r="A276" i="163"/>
  <c r="P275" i="163"/>
  <c r="N275" i="163"/>
  <c r="M275" i="163"/>
  <c r="L275" i="163"/>
  <c r="H275" i="163"/>
  <c r="A275" i="163"/>
  <c r="P274" i="163"/>
  <c r="N274" i="163"/>
  <c r="M274" i="163"/>
  <c r="L274" i="163"/>
  <c r="H274" i="163"/>
  <c r="A274" i="163"/>
  <c r="P273" i="163"/>
  <c r="N273" i="163"/>
  <c r="M273" i="163"/>
  <c r="L273" i="163"/>
  <c r="H273" i="163"/>
  <c r="A273" i="163"/>
  <c r="P272" i="163"/>
  <c r="N272" i="163"/>
  <c r="M272" i="163"/>
  <c r="L272" i="163"/>
  <c r="H272" i="163"/>
  <c r="A272" i="163"/>
  <c r="P271" i="163"/>
  <c r="N271" i="163"/>
  <c r="M271" i="163"/>
  <c r="L271" i="163"/>
  <c r="H271" i="163"/>
  <c r="A271" i="163"/>
  <c r="P270" i="163"/>
  <c r="N270" i="163"/>
  <c r="M270" i="163"/>
  <c r="L270" i="163"/>
  <c r="H270" i="163"/>
  <c r="A270" i="163"/>
  <c r="P269" i="163"/>
  <c r="N269" i="163"/>
  <c r="M269" i="163"/>
  <c r="L269" i="163"/>
  <c r="H269" i="163"/>
  <c r="A269" i="163"/>
  <c r="P268" i="163"/>
  <c r="N268" i="163"/>
  <c r="M268" i="163"/>
  <c r="L268" i="163"/>
  <c r="H268" i="163"/>
  <c r="A268" i="163"/>
  <c r="P267" i="163"/>
  <c r="N267" i="163"/>
  <c r="M267" i="163"/>
  <c r="L267" i="163"/>
  <c r="H267" i="163"/>
  <c r="A267" i="163"/>
  <c r="P266" i="163"/>
  <c r="N266" i="163"/>
  <c r="M266" i="163"/>
  <c r="L266" i="163"/>
  <c r="H266" i="163"/>
  <c r="A266" i="163"/>
  <c r="P265" i="163"/>
  <c r="N265" i="163"/>
  <c r="M265" i="163"/>
  <c r="L265" i="163"/>
  <c r="H265" i="163"/>
  <c r="A265" i="163"/>
  <c r="P264" i="163"/>
  <c r="N264" i="163"/>
  <c r="M264" i="163"/>
  <c r="L264" i="163"/>
  <c r="H264" i="163"/>
  <c r="A264" i="163"/>
  <c r="P263" i="163"/>
  <c r="N263" i="163"/>
  <c r="M263" i="163"/>
  <c r="L263" i="163"/>
  <c r="H263" i="163"/>
  <c r="A263" i="163"/>
  <c r="P262" i="163"/>
  <c r="N262" i="163"/>
  <c r="M262" i="163"/>
  <c r="L262" i="163"/>
  <c r="H262" i="163"/>
  <c r="A262" i="163"/>
  <c r="P261" i="163"/>
  <c r="N261" i="163"/>
  <c r="M261" i="163"/>
  <c r="L261" i="163"/>
  <c r="H261" i="163"/>
  <c r="A261" i="163"/>
  <c r="P260" i="163"/>
  <c r="N260" i="163"/>
  <c r="M260" i="163"/>
  <c r="L260" i="163"/>
  <c r="H260" i="163"/>
  <c r="A260" i="163"/>
  <c r="P259" i="163"/>
  <c r="N259" i="163"/>
  <c r="M259" i="163"/>
  <c r="L259" i="163"/>
  <c r="H259" i="163"/>
  <c r="A259" i="163"/>
  <c r="P258" i="163"/>
  <c r="N258" i="163"/>
  <c r="M258" i="163"/>
  <c r="L258" i="163"/>
  <c r="H258" i="163"/>
  <c r="A258" i="163"/>
  <c r="P257" i="163"/>
  <c r="N257" i="163"/>
  <c r="M257" i="163"/>
  <c r="L257" i="163"/>
  <c r="H257" i="163"/>
  <c r="A257" i="163"/>
  <c r="P256" i="163"/>
  <c r="N256" i="163"/>
  <c r="M256" i="163"/>
  <c r="L256" i="163"/>
  <c r="H256" i="163"/>
  <c r="A256" i="163"/>
  <c r="P255" i="163"/>
  <c r="N255" i="163"/>
  <c r="M255" i="163"/>
  <c r="L255" i="163"/>
  <c r="H255" i="163"/>
  <c r="A255" i="163"/>
  <c r="P254" i="163"/>
  <c r="N254" i="163"/>
  <c r="M254" i="163"/>
  <c r="L254" i="163"/>
  <c r="H254" i="163"/>
  <c r="A254" i="163"/>
  <c r="P253" i="163"/>
  <c r="N253" i="163"/>
  <c r="M253" i="163"/>
  <c r="L253" i="163"/>
  <c r="H253" i="163"/>
  <c r="A253" i="163"/>
  <c r="P252" i="163"/>
  <c r="N252" i="163"/>
  <c r="M252" i="163"/>
  <c r="L252" i="163"/>
  <c r="H252" i="163"/>
  <c r="A252" i="163"/>
  <c r="P251" i="163"/>
  <c r="N251" i="163"/>
  <c r="M251" i="163"/>
  <c r="L251" i="163"/>
  <c r="H251" i="163"/>
  <c r="A251" i="163"/>
  <c r="P250" i="163"/>
  <c r="N250" i="163"/>
  <c r="M250" i="163"/>
  <c r="L250" i="163"/>
  <c r="H250" i="163"/>
  <c r="A250" i="163"/>
  <c r="P249" i="163"/>
  <c r="N249" i="163"/>
  <c r="M249" i="163"/>
  <c r="L249" i="163"/>
  <c r="H249" i="163"/>
  <c r="A249" i="163"/>
  <c r="P248" i="163"/>
  <c r="N248" i="163"/>
  <c r="M248" i="163"/>
  <c r="L248" i="163"/>
  <c r="H248" i="163"/>
  <c r="A248" i="163"/>
  <c r="P247" i="163"/>
  <c r="N247" i="163"/>
  <c r="M247" i="163"/>
  <c r="L247" i="163"/>
  <c r="H247" i="163"/>
  <c r="A247" i="163"/>
  <c r="P246" i="163"/>
  <c r="N246" i="163"/>
  <c r="M246" i="163"/>
  <c r="L246" i="163"/>
  <c r="H246" i="163"/>
  <c r="A246" i="163"/>
  <c r="P245" i="163"/>
  <c r="N245" i="163"/>
  <c r="M245" i="163"/>
  <c r="L245" i="163"/>
  <c r="H245" i="163"/>
  <c r="A245" i="163"/>
  <c r="P244" i="163"/>
  <c r="N244" i="163"/>
  <c r="M244" i="163"/>
  <c r="L244" i="163"/>
  <c r="H244" i="163"/>
  <c r="A244" i="163"/>
  <c r="P243" i="163"/>
  <c r="N243" i="163"/>
  <c r="M243" i="163"/>
  <c r="L243" i="163"/>
  <c r="H243" i="163"/>
  <c r="A243" i="163"/>
  <c r="P242" i="163"/>
  <c r="N242" i="163"/>
  <c r="M242" i="163"/>
  <c r="L242" i="163"/>
  <c r="H242" i="163"/>
  <c r="A242" i="163"/>
  <c r="P241" i="163"/>
  <c r="N241" i="163"/>
  <c r="M241" i="163"/>
  <c r="L241" i="163"/>
  <c r="H241" i="163"/>
  <c r="A241" i="163"/>
  <c r="P240" i="163"/>
  <c r="N240" i="163"/>
  <c r="M240" i="163"/>
  <c r="L240" i="163"/>
  <c r="H240" i="163"/>
  <c r="A240" i="163"/>
  <c r="P239" i="163"/>
  <c r="N239" i="163"/>
  <c r="M239" i="163"/>
  <c r="L239" i="163"/>
  <c r="H239" i="163"/>
  <c r="A239" i="163"/>
  <c r="P238" i="163"/>
  <c r="N238" i="163"/>
  <c r="M238" i="163"/>
  <c r="L238" i="163"/>
  <c r="H238" i="163"/>
  <c r="A238" i="163"/>
  <c r="P237" i="163"/>
  <c r="N237" i="163"/>
  <c r="M237" i="163"/>
  <c r="L237" i="163"/>
  <c r="H237" i="163"/>
  <c r="A237" i="163"/>
  <c r="P236" i="163"/>
  <c r="N236" i="163"/>
  <c r="M236" i="163"/>
  <c r="L236" i="163"/>
  <c r="H236" i="163"/>
  <c r="A236" i="163"/>
  <c r="P235" i="163"/>
  <c r="N235" i="163"/>
  <c r="M235" i="163"/>
  <c r="L235" i="163"/>
  <c r="H235" i="163"/>
  <c r="A235" i="163"/>
  <c r="P234" i="163"/>
  <c r="N234" i="163"/>
  <c r="M234" i="163"/>
  <c r="L234" i="163"/>
  <c r="H234" i="163"/>
  <c r="A234" i="163"/>
  <c r="P233" i="163"/>
  <c r="N233" i="163"/>
  <c r="M233" i="163"/>
  <c r="L233" i="163"/>
  <c r="H233" i="163"/>
  <c r="A233" i="163"/>
  <c r="P232" i="163"/>
  <c r="N232" i="163"/>
  <c r="M232" i="163"/>
  <c r="L232" i="163"/>
  <c r="H232" i="163"/>
  <c r="A232" i="163"/>
  <c r="P231" i="163"/>
  <c r="N231" i="163"/>
  <c r="M231" i="163"/>
  <c r="L231" i="163"/>
  <c r="H231" i="163"/>
  <c r="A231" i="163"/>
  <c r="P230" i="163"/>
  <c r="N230" i="163"/>
  <c r="M230" i="163"/>
  <c r="L230" i="163"/>
  <c r="H230" i="163"/>
  <c r="A230" i="163"/>
  <c r="P229" i="163"/>
  <c r="N229" i="163"/>
  <c r="M229" i="163"/>
  <c r="L229" i="163"/>
  <c r="H229" i="163"/>
  <c r="A229" i="163"/>
  <c r="P228" i="163"/>
  <c r="N228" i="163"/>
  <c r="M228" i="163"/>
  <c r="L228" i="163"/>
  <c r="H228" i="163"/>
  <c r="A228" i="163"/>
  <c r="P227" i="163"/>
  <c r="N227" i="163"/>
  <c r="M227" i="163"/>
  <c r="L227" i="163"/>
  <c r="H227" i="163"/>
  <c r="A227" i="163"/>
  <c r="P226" i="163"/>
  <c r="N226" i="163"/>
  <c r="M226" i="163"/>
  <c r="L226" i="163"/>
  <c r="H226" i="163"/>
  <c r="A226" i="163"/>
  <c r="P225" i="163"/>
  <c r="N225" i="163"/>
  <c r="M225" i="163"/>
  <c r="L225" i="163"/>
  <c r="H225" i="163"/>
  <c r="A225" i="163"/>
  <c r="P224" i="163"/>
  <c r="N224" i="163"/>
  <c r="M224" i="163"/>
  <c r="L224" i="163"/>
  <c r="H224" i="163"/>
  <c r="A224" i="163"/>
  <c r="P223" i="163"/>
  <c r="N223" i="163"/>
  <c r="M223" i="163"/>
  <c r="L223" i="163"/>
  <c r="H223" i="163"/>
  <c r="A223" i="163"/>
  <c r="P222" i="163"/>
  <c r="N222" i="163"/>
  <c r="M222" i="163"/>
  <c r="L222" i="163"/>
  <c r="H222" i="163"/>
  <c r="A222" i="163"/>
  <c r="P221" i="163"/>
  <c r="N221" i="163"/>
  <c r="M221" i="163"/>
  <c r="L221" i="163"/>
  <c r="H221" i="163"/>
  <c r="A221" i="163"/>
  <c r="P220" i="163"/>
  <c r="N220" i="163"/>
  <c r="M220" i="163"/>
  <c r="L220" i="163"/>
  <c r="H220" i="163"/>
  <c r="A220" i="163"/>
  <c r="P219" i="163"/>
  <c r="N219" i="163"/>
  <c r="M219" i="163"/>
  <c r="L219" i="163"/>
  <c r="H219" i="163"/>
  <c r="A219" i="163"/>
  <c r="P218" i="163"/>
  <c r="N218" i="163"/>
  <c r="M218" i="163"/>
  <c r="L218" i="163"/>
  <c r="H218" i="163"/>
  <c r="A218" i="163"/>
  <c r="P217" i="163"/>
  <c r="N217" i="163"/>
  <c r="M217" i="163"/>
  <c r="L217" i="163"/>
  <c r="H217" i="163"/>
  <c r="A217" i="163"/>
  <c r="P216" i="163"/>
  <c r="N216" i="163"/>
  <c r="M216" i="163"/>
  <c r="L216" i="163"/>
  <c r="H216" i="163"/>
  <c r="A216" i="163"/>
  <c r="P215" i="163"/>
  <c r="N215" i="163"/>
  <c r="M215" i="163"/>
  <c r="L215" i="163"/>
  <c r="H215" i="163"/>
  <c r="A215" i="163"/>
  <c r="P214" i="163"/>
  <c r="N214" i="163"/>
  <c r="M214" i="163"/>
  <c r="L214" i="163"/>
  <c r="H214" i="163"/>
  <c r="A214" i="163"/>
  <c r="P213" i="163"/>
  <c r="N213" i="163"/>
  <c r="M213" i="163"/>
  <c r="L213" i="163"/>
  <c r="H213" i="163"/>
  <c r="A213" i="163"/>
  <c r="P212" i="163"/>
  <c r="N212" i="163"/>
  <c r="M212" i="163"/>
  <c r="L212" i="163"/>
  <c r="H212" i="163"/>
  <c r="A212" i="163"/>
  <c r="P211" i="163"/>
  <c r="N211" i="163"/>
  <c r="M211" i="163"/>
  <c r="L211" i="163"/>
  <c r="H211" i="163"/>
  <c r="A211" i="163"/>
  <c r="P210" i="163"/>
  <c r="N210" i="163"/>
  <c r="M210" i="163"/>
  <c r="L210" i="163"/>
  <c r="H210" i="163"/>
  <c r="A210" i="163"/>
  <c r="P209" i="163"/>
  <c r="N209" i="163"/>
  <c r="M209" i="163"/>
  <c r="L209" i="163"/>
  <c r="H209" i="163"/>
  <c r="A209" i="163"/>
  <c r="P208" i="163"/>
  <c r="N208" i="163"/>
  <c r="M208" i="163"/>
  <c r="L208" i="163"/>
  <c r="H208" i="163"/>
  <c r="A208" i="163"/>
  <c r="P207" i="163"/>
  <c r="N207" i="163"/>
  <c r="M207" i="163"/>
  <c r="L207" i="163"/>
  <c r="H207" i="163"/>
  <c r="A207" i="163"/>
  <c r="P206" i="163"/>
  <c r="N206" i="163"/>
  <c r="M206" i="163"/>
  <c r="L206" i="163"/>
  <c r="H206" i="163"/>
  <c r="A206" i="163"/>
  <c r="P205" i="163"/>
  <c r="N205" i="163"/>
  <c r="M205" i="163"/>
  <c r="L205" i="163"/>
  <c r="H205" i="163"/>
  <c r="A205" i="163"/>
  <c r="P204" i="163"/>
  <c r="N204" i="163"/>
  <c r="M204" i="163"/>
  <c r="L204" i="163"/>
  <c r="H204" i="163"/>
  <c r="A204" i="163"/>
  <c r="P203" i="163"/>
  <c r="N203" i="163"/>
  <c r="M203" i="163"/>
  <c r="L203" i="163"/>
  <c r="H203" i="163"/>
  <c r="A203" i="163"/>
  <c r="P202" i="163"/>
  <c r="N202" i="163"/>
  <c r="M202" i="163"/>
  <c r="L202" i="163"/>
  <c r="H202" i="163"/>
  <c r="A202" i="163"/>
  <c r="P201" i="163"/>
  <c r="N201" i="163"/>
  <c r="M201" i="163"/>
  <c r="L201" i="163"/>
  <c r="H201" i="163"/>
  <c r="A201" i="163"/>
  <c r="P200" i="163"/>
  <c r="N200" i="163"/>
  <c r="M200" i="163"/>
  <c r="L200" i="163"/>
  <c r="H200" i="163"/>
  <c r="A200" i="163"/>
  <c r="P199" i="163"/>
  <c r="N199" i="163"/>
  <c r="M199" i="163"/>
  <c r="L199" i="163"/>
  <c r="H199" i="163"/>
  <c r="A199" i="163"/>
  <c r="P198" i="163"/>
  <c r="N198" i="163"/>
  <c r="M198" i="163"/>
  <c r="L198" i="163"/>
  <c r="H198" i="163"/>
  <c r="A198" i="163"/>
  <c r="P197" i="163"/>
  <c r="N197" i="163"/>
  <c r="M197" i="163"/>
  <c r="L197" i="163"/>
  <c r="H197" i="163"/>
  <c r="A197" i="163"/>
  <c r="P196" i="163"/>
  <c r="N196" i="163"/>
  <c r="M196" i="163"/>
  <c r="L196" i="163"/>
  <c r="H196" i="163"/>
  <c r="A196" i="163"/>
  <c r="P195" i="163"/>
  <c r="N195" i="163"/>
  <c r="M195" i="163"/>
  <c r="L195" i="163"/>
  <c r="H195" i="163"/>
  <c r="A195" i="163"/>
  <c r="P194" i="163"/>
  <c r="N194" i="163"/>
  <c r="M194" i="163"/>
  <c r="L194" i="163"/>
  <c r="H194" i="163"/>
  <c r="A194" i="163"/>
  <c r="P193" i="163"/>
  <c r="N193" i="163"/>
  <c r="M193" i="163"/>
  <c r="L193" i="163"/>
  <c r="H193" i="163"/>
  <c r="A193" i="163"/>
  <c r="P192" i="163"/>
  <c r="N192" i="163"/>
  <c r="M192" i="163"/>
  <c r="L192" i="163"/>
  <c r="H192" i="163"/>
  <c r="A192" i="163"/>
  <c r="P191" i="163"/>
  <c r="N191" i="163"/>
  <c r="M191" i="163"/>
  <c r="L191" i="163"/>
  <c r="H191" i="163"/>
  <c r="A191" i="163"/>
  <c r="P190" i="163"/>
  <c r="N190" i="163"/>
  <c r="M190" i="163"/>
  <c r="L190" i="163"/>
  <c r="H190" i="163"/>
  <c r="A190" i="163"/>
  <c r="P189" i="163"/>
  <c r="N189" i="163"/>
  <c r="M189" i="163"/>
  <c r="L189" i="163"/>
  <c r="H189" i="163"/>
  <c r="A189" i="163"/>
  <c r="P188" i="163"/>
  <c r="N188" i="163"/>
  <c r="M188" i="163"/>
  <c r="L188" i="163"/>
  <c r="H188" i="163"/>
  <c r="A188" i="163"/>
  <c r="P187" i="163"/>
  <c r="N187" i="163"/>
  <c r="M187" i="163"/>
  <c r="L187" i="163"/>
  <c r="H187" i="163"/>
  <c r="A187" i="163"/>
  <c r="P186" i="163"/>
  <c r="N186" i="163"/>
  <c r="M186" i="163"/>
  <c r="L186" i="163"/>
  <c r="H186" i="163"/>
  <c r="A186" i="163"/>
  <c r="P185" i="163"/>
  <c r="N185" i="163"/>
  <c r="M185" i="163"/>
  <c r="L185" i="163"/>
  <c r="H185" i="163"/>
  <c r="A185" i="163"/>
  <c r="P184" i="163"/>
  <c r="N184" i="163"/>
  <c r="M184" i="163"/>
  <c r="L184" i="163"/>
  <c r="H184" i="163"/>
  <c r="A184" i="163"/>
  <c r="P183" i="163"/>
  <c r="N183" i="163"/>
  <c r="M183" i="163"/>
  <c r="L183" i="163"/>
  <c r="H183" i="163"/>
  <c r="A183" i="163"/>
  <c r="P182" i="163"/>
  <c r="N182" i="163"/>
  <c r="M182" i="163"/>
  <c r="L182" i="163"/>
  <c r="H182" i="163"/>
  <c r="A182" i="163"/>
  <c r="P181" i="163"/>
  <c r="N181" i="163"/>
  <c r="M181" i="163"/>
  <c r="L181" i="163"/>
  <c r="H181" i="163"/>
  <c r="A181" i="163"/>
  <c r="P180" i="163"/>
  <c r="N180" i="163"/>
  <c r="M180" i="163"/>
  <c r="L180" i="163"/>
  <c r="H180" i="163"/>
  <c r="A180" i="163"/>
  <c r="P179" i="163"/>
  <c r="N179" i="163"/>
  <c r="M179" i="163"/>
  <c r="L179" i="163"/>
  <c r="H179" i="163"/>
  <c r="A179" i="163"/>
  <c r="P178" i="163"/>
  <c r="N178" i="163"/>
  <c r="M178" i="163"/>
  <c r="L178" i="163"/>
  <c r="H178" i="163"/>
  <c r="A178" i="163"/>
  <c r="P177" i="163"/>
  <c r="N177" i="163"/>
  <c r="M177" i="163"/>
  <c r="L177" i="163"/>
  <c r="H177" i="163"/>
  <c r="A177" i="163"/>
  <c r="P176" i="163"/>
  <c r="N176" i="163"/>
  <c r="M176" i="163"/>
  <c r="L176" i="163"/>
  <c r="H176" i="163"/>
  <c r="A176" i="163"/>
  <c r="P175" i="163"/>
  <c r="N175" i="163"/>
  <c r="M175" i="163"/>
  <c r="L175" i="163"/>
  <c r="H175" i="163"/>
  <c r="A175" i="163"/>
  <c r="P174" i="163"/>
  <c r="N174" i="163"/>
  <c r="M174" i="163"/>
  <c r="L174" i="163"/>
  <c r="H174" i="163"/>
  <c r="A174" i="163"/>
  <c r="P173" i="163"/>
  <c r="N173" i="163"/>
  <c r="M173" i="163"/>
  <c r="L173" i="163"/>
  <c r="H173" i="163"/>
  <c r="A173" i="163"/>
  <c r="P172" i="163"/>
  <c r="N172" i="163"/>
  <c r="M172" i="163"/>
  <c r="L172" i="163"/>
  <c r="H172" i="163"/>
  <c r="A172" i="163"/>
  <c r="P171" i="163"/>
  <c r="N171" i="163"/>
  <c r="M171" i="163"/>
  <c r="L171" i="163"/>
  <c r="H171" i="163"/>
  <c r="A171" i="163"/>
  <c r="P170" i="163"/>
  <c r="N170" i="163"/>
  <c r="M170" i="163"/>
  <c r="L170" i="163"/>
  <c r="H170" i="163"/>
  <c r="A170" i="163"/>
  <c r="P169" i="163"/>
  <c r="N169" i="163"/>
  <c r="M169" i="163"/>
  <c r="L169" i="163"/>
  <c r="H169" i="163"/>
  <c r="A169" i="163"/>
  <c r="P168" i="163"/>
  <c r="N168" i="163"/>
  <c r="M168" i="163"/>
  <c r="L168" i="163"/>
  <c r="H168" i="163"/>
  <c r="A168" i="163"/>
  <c r="P167" i="163"/>
  <c r="N167" i="163"/>
  <c r="M167" i="163"/>
  <c r="L167" i="163"/>
  <c r="H167" i="163"/>
  <c r="A167" i="163"/>
  <c r="P166" i="163"/>
  <c r="N166" i="163"/>
  <c r="M166" i="163"/>
  <c r="L166" i="163"/>
  <c r="H166" i="163"/>
  <c r="A166" i="163"/>
  <c r="P165" i="163"/>
  <c r="N165" i="163"/>
  <c r="M165" i="163"/>
  <c r="L165" i="163"/>
  <c r="H165" i="163"/>
  <c r="A165" i="163"/>
  <c r="P164" i="163"/>
  <c r="N164" i="163"/>
  <c r="M164" i="163"/>
  <c r="L164" i="163"/>
  <c r="H164" i="163"/>
  <c r="A164" i="163"/>
  <c r="P163" i="163"/>
  <c r="N163" i="163"/>
  <c r="M163" i="163"/>
  <c r="L163" i="163"/>
  <c r="H163" i="163"/>
  <c r="A163" i="163"/>
  <c r="P162" i="163"/>
  <c r="N162" i="163"/>
  <c r="M162" i="163"/>
  <c r="L162" i="163"/>
  <c r="H162" i="163"/>
  <c r="A162" i="163"/>
  <c r="P161" i="163"/>
  <c r="N161" i="163"/>
  <c r="M161" i="163"/>
  <c r="L161" i="163"/>
  <c r="H161" i="163"/>
  <c r="A161" i="163"/>
  <c r="P160" i="163"/>
  <c r="N160" i="163"/>
  <c r="M160" i="163"/>
  <c r="L160" i="163"/>
  <c r="H160" i="163"/>
  <c r="A160" i="163"/>
  <c r="P159" i="163"/>
  <c r="N159" i="163"/>
  <c r="M159" i="163"/>
  <c r="L159" i="163"/>
  <c r="H159" i="163"/>
  <c r="A159" i="163"/>
  <c r="P158" i="163"/>
  <c r="N158" i="163"/>
  <c r="M158" i="163"/>
  <c r="L158" i="163"/>
  <c r="H158" i="163"/>
  <c r="A158" i="163"/>
  <c r="P157" i="163"/>
  <c r="N157" i="163"/>
  <c r="M157" i="163"/>
  <c r="L157" i="163"/>
  <c r="H157" i="163"/>
  <c r="A157" i="163"/>
  <c r="P156" i="163"/>
  <c r="N156" i="163"/>
  <c r="M156" i="163"/>
  <c r="L156" i="163"/>
  <c r="H156" i="163"/>
  <c r="A156" i="163"/>
  <c r="P155" i="163"/>
  <c r="N155" i="163"/>
  <c r="M155" i="163"/>
  <c r="L155" i="163"/>
  <c r="H155" i="163"/>
  <c r="A155" i="163"/>
  <c r="P154" i="163"/>
  <c r="N154" i="163"/>
  <c r="M154" i="163"/>
  <c r="L154" i="163"/>
  <c r="H154" i="163"/>
  <c r="A154" i="163"/>
  <c r="P153" i="163"/>
  <c r="N153" i="163"/>
  <c r="M153" i="163"/>
  <c r="L153" i="163"/>
  <c r="H153" i="163"/>
  <c r="A153" i="163"/>
  <c r="P152" i="163"/>
  <c r="N152" i="163"/>
  <c r="M152" i="163"/>
  <c r="L152" i="163"/>
  <c r="H152" i="163"/>
  <c r="A152" i="163"/>
  <c r="P151" i="163"/>
  <c r="N151" i="163"/>
  <c r="M151" i="163"/>
  <c r="L151" i="163"/>
  <c r="H151" i="163"/>
  <c r="A151" i="163"/>
  <c r="P150" i="163"/>
  <c r="N150" i="163"/>
  <c r="M150" i="163"/>
  <c r="L150" i="163"/>
  <c r="H150" i="163"/>
  <c r="A150" i="163"/>
  <c r="P149" i="163"/>
  <c r="N149" i="163"/>
  <c r="M149" i="163"/>
  <c r="L149" i="163"/>
  <c r="H149" i="163"/>
  <c r="A149" i="163"/>
  <c r="P148" i="163"/>
  <c r="N148" i="163"/>
  <c r="M148" i="163"/>
  <c r="L148" i="163"/>
  <c r="H148" i="163"/>
  <c r="A148" i="163"/>
  <c r="P147" i="163"/>
  <c r="N147" i="163"/>
  <c r="M147" i="163"/>
  <c r="L147" i="163"/>
  <c r="H147" i="163"/>
  <c r="A147" i="163"/>
  <c r="P146" i="163"/>
  <c r="N146" i="163"/>
  <c r="M146" i="163"/>
  <c r="L146" i="163"/>
  <c r="H146" i="163"/>
  <c r="A146" i="163"/>
  <c r="P145" i="163"/>
  <c r="N145" i="163"/>
  <c r="M145" i="163"/>
  <c r="L145" i="163"/>
  <c r="H145" i="163"/>
  <c r="A145" i="163"/>
  <c r="P144" i="163"/>
  <c r="N144" i="163"/>
  <c r="M144" i="163"/>
  <c r="L144" i="163"/>
  <c r="H144" i="163"/>
  <c r="A144" i="163"/>
  <c r="P143" i="163"/>
  <c r="N143" i="163"/>
  <c r="M143" i="163"/>
  <c r="L143" i="163"/>
  <c r="H143" i="163"/>
  <c r="A143" i="163"/>
  <c r="P142" i="163"/>
  <c r="N142" i="163"/>
  <c r="M142" i="163"/>
  <c r="L142" i="163"/>
  <c r="H142" i="163"/>
  <c r="A142" i="163"/>
  <c r="P141" i="163"/>
  <c r="N141" i="163"/>
  <c r="M141" i="163"/>
  <c r="L141" i="163"/>
  <c r="H141" i="163"/>
  <c r="A141" i="163"/>
  <c r="P140" i="163"/>
  <c r="N140" i="163"/>
  <c r="M140" i="163"/>
  <c r="L140" i="163"/>
  <c r="H140" i="163"/>
  <c r="A140" i="163"/>
  <c r="P139" i="163"/>
  <c r="N139" i="163"/>
  <c r="M139" i="163"/>
  <c r="L139" i="163"/>
  <c r="H139" i="163"/>
  <c r="A139" i="163"/>
  <c r="P138" i="163"/>
  <c r="N138" i="163"/>
  <c r="M138" i="163"/>
  <c r="L138" i="163"/>
  <c r="H138" i="163"/>
  <c r="A138" i="163"/>
  <c r="P137" i="163"/>
  <c r="N137" i="163"/>
  <c r="M137" i="163"/>
  <c r="L137" i="163"/>
  <c r="H137" i="163"/>
  <c r="A137" i="163"/>
  <c r="P136" i="163"/>
  <c r="N136" i="163"/>
  <c r="M136" i="163"/>
  <c r="L136" i="163"/>
  <c r="H136" i="163"/>
  <c r="A136" i="163"/>
  <c r="P135" i="163"/>
  <c r="N135" i="163"/>
  <c r="M135" i="163"/>
  <c r="L135" i="163"/>
  <c r="H135" i="163"/>
  <c r="A135" i="163"/>
  <c r="P134" i="163"/>
  <c r="N134" i="163"/>
  <c r="M134" i="163"/>
  <c r="L134" i="163"/>
  <c r="H134" i="163"/>
  <c r="A134" i="163"/>
  <c r="P133" i="163"/>
  <c r="N133" i="163"/>
  <c r="M133" i="163"/>
  <c r="L133" i="163"/>
  <c r="H133" i="163"/>
  <c r="A133" i="163"/>
  <c r="P132" i="163"/>
  <c r="N132" i="163"/>
  <c r="M132" i="163"/>
  <c r="L132" i="163"/>
  <c r="H132" i="163"/>
  <c r="A132" i="163"/>
  <c r="P131" i="163"/>
  <c r="N131" i="163"/>
  <c r="M131" i="163"/>
  <c r="L131" i="163"/>
  <c r="H131" i="163"/>
  <c r="A131" i="163"/>
  <c r="P130" i="163"/>
  <c r="N130" i="163"/>
  <c r="M130" i="163"/>
  <c r="L130" i="163"/>
  <c r="H130" i="163"/>
  <c r="A130" i="163"/>
  <c r="P129" i="163"/>
  <c r="N129" i="163"/>
  <c r="M129" i="163"/>
  <c r="L129" i="163"/>
  <c r="H129" i="163"/>
  <c r="A129" i="163"/>
  <c r="P128" i="163"/>
  <c r="N128" i="163"/>
  <c r="M128" i="163"/>
  <c r="L128" i="163"/>
  <c r="H128" i="163"/>
  <c r="A128" i="163"/>
  <c r="P127" i="163"/>
  <c r="N127" i="163"/>
  <c r="M127" i="163"/>
  <c r="L127" i="163"/>
  <c r="H127" i="163"/>
  <c r="A127" i="163"/>
  <c r="P126" i="163"/>
  <c r="N126" i="163"/>
  <c r="M126" i="163"/>
  <c r="L126" i="163"/>
  <c r="H126" i="163"/>
  <c r="A126" i="163"/>
  <c r="P125" i="163"/>
  <c r="N125" i="163"/>
  <c r="M125" i="163"/>
  <c r="L125" i="163"/>
  <c r="H125" i="163"/>
  <c r="A125" i="163"/>
  <c r="P124" i="163"/>
  <c r="N124" i="163"/>
  <c r="M124" i="163"/>
  <c r="L124" i="163"/>
  <c r="H124" i="163"/>
  <c r="A124" i="163"/>
  <c r="P123" i="163"/>
  <c r="N123" i="163"/>
  <c r="M123" i="163"/>
  <c r="L123" i="163"/>
  <c r="H123" i="163"/>
  <c r="A123" i="163"/>
  <c r="P122" i="163"/>
  <c r="N122" i="163"/>
  <c r="M122" i="163"/>
  <c r="L122" i="163"/>
  <c r="H122" i="163"/>
  <c r="A122" i="163"/>
  <c r="P121" i="163"/>
  <c r="N121" i="163"/>
  <c r="M121" i="163"/>
  <c r="L121" i="163"/>
  <c r="H121" i="163"/>
  <c r="A121" i="163"/>
  <c r="P120" i="163"/>
  <c r="N120" i="163"/>
  <c r="M120" i="163"/>
  <c r="L120" i="163"/>
  <c r="H120" i="163"/>
  <c r="A120" i="163"/>
  <c r="P119" i="163"/>
  <c r="N119" i="163"/>
  <c r="M119" i="163"/>
  <c r="L119" i="163"/>
  <c r="H119" i="163"/>
  <c r="A119" i="163"/>
  <c r="P118" i="163"/>
  <c r="N118" i="163"/>
  <c r="M118" i="163"/>
  <c r="L118" i="163"/>
  <c r="H118" i="163"/>
  <c r="A118" i="163"/>
  <c r="P117" i="163"/>
  <c r="N117" i="163"/>
  <c r="M117" i="163"/>
  <c r="L117" i="163"/>
  <c r="H117" i="163"/>
  <c r="A117" i="163"/>
  <c r="P116" i="163"/>
  <c r="N116" i="163"/>
  <c r="M116" i="163"/>
  <c r="L116" i="163"/>
  <c r="H116" i="163"/>
  <c r="A116" i="163"/>
  <c r="P115" i="163"/>
  <c r="N115" i="163"/>
  <c r="M115" i="163"/>
  <c r="L115" i="163"/>
  <c r="H115" i="163"/>
  <c r="A115" i="163"/>
  <c r="P114" i="163"/>
  <c r="N114" i="163"/>
  <c r="M114" i="163"/>
  <c r="L114" i="163"/>
  <c r="H114" i="163"/>
  <c r="A114" i="163"/>
  <c r="P113" i="163"/>
  <c r="N113" i="163"/>
  <c r="M113" i="163"/>
  <c r="L113" i="163"/>
  <c r="H113" i="163"/>
  <c r="A113" i="163"/>
  <c r="P112" i="163"/>
  <c r="N112" i="163"/>
  <c r="M112" i="163"/>
  <c r="L112" i="163"/>
  <c r="H112" i="163"/>
  <c r="A112" i="163"/>
  <c r="P111" i="163"/>
  <c r="N111" i="163"/>
  <c r="M111" i="163"/>
  <c r="L111" i="163"/>
  <c r="H111" i="163"/>
  <c r="A111" i="163"/>
  <c r="P110" i="163"/>
  <c r="N110" i="163"/>
  <c r="M110" i="163"/>
  <c r="L110" i="163"/>
  <c r="H110" i="163"/>
  <c r="A110" i="163"/>
  <c r="P109" i="163"/>
  <c r="N109" i="163"/>
  <c r="M109" i="163"/>
  <c r="L109" i="163"/>
  <c r="H109" i="163"/>
  <c r="A109" i="163"/>
  <c r="P108" i="163"/>
  <c r="N108" i="163"/>
  <c r="M108" i="163"/>
  <c r="L108" i="163"/>
  <c r="H108" i="163"/>
  <c r="A108" i="163"/>
  <c r="P107" i="163"/>
  <c r="N107" i="163"/>
  <c r="M107" i="163"/>
  <c r="L107" i="163"/>
  <c r="H107" i="163"/>
  <c r="A107" i="163"/>
  <c r="P106" i="163"/>
  <c r="N106" i="163"/>
  <c r="M106" i="163"/>
  <c r="L106" i="163"/>
  <c r="H106" i="163"/>
  <c r="A106" i="163"/>
  <c r="P105" i="163"/>
  <c r="N105" i="163"/>
  <c r="M105" i="163"/>
  <c r="L105" i="163"/>
  <c r="H105" i="163"/>
  <c r="A105" i="163"/>
  <c r="P104" i="163"/>
  <c r="N104" i="163"/>
  <c r="M104" i="163"/>
  <c r="L104" i="163"/>
  <c r="H104" i="163"/>
  <c r="A104" i="163"/>
  <c r="P103" i="163"/>
  <c r="N103" i="163"/>
  <c r="M103" i="163"/>
  <c r="L103" i="163"/>
  <c r="H103" i="163"/>
  <c r="A103" i="163"/>
  <c r="P102" i="163"/>
  <c r="N102" i="163"/>
  <c r="M102" i="163"/>
  <c r="L102" i="163"/>
  <c r="H102" i="163"/>
  <c r="A102" i="163"/>
  <c r="P101" i="163"/>
  <c r="N101" i="163"/>
  <c r="M101" i="163"/>
  <c r="L101" i="163"/>
  <c r="H101" i="163"/>
  <c r="A101" i="163"/>
  <c r="P100" i="163"/>
  <c r="N100" i="163"/>
  <c r="M100" i="163"/>
  <c r="L100" i="163"/>
  <c r="H100" i="163"/>
  <c r="A100" i="163"/>
  <c r="P99" i="163"/>
  <c r="N99" i="163"/>
  <c r="M99" i="163"/>
  <c r="L99" i="163"/>
  <c r="H99" i="163"/>
  <c r="A99" i="163"/>
  <c r="P98" i="163"/>
  <c r="N98" i="163"/>
  <c r="M98" i="163"/>
  <c r="L98" i="163"/>
  <c r="H98" i="163"/>
  <c r="A98" i="163"/>
  <c r="P97" i="163"/>
  <c r="N97" i="163"/>
  <c r="M97" i="163"/>
  <c r="L97" i="163"/>
  <c r="H97" i="163"/>
  <c r="A97" i="163"/>
  <c r="P96" i="163"/>
  <c r="N96" i="163"/>
  <c r="M96" i="163"/>
  <c r="L96" i="163"/>
  <c r="H96" i="163"/>
  <c r="A96" i="163"/>
  <c r="P95" i="163"/>
  <c r="N95" i="163"/>
  <c r="M95" i="163"/>
  <c r="L95" i="163"/>
  <c r="H95" i="163"/>
  <c r="A95" i="163"/>
  <c r="P94" i="163"/>
  <c r="N94" i="163"/>
  <c r="M94" i="163"/>
  <c r="L94" i="163"/>
  <c r="H94" i="163"/>
  <c r="A94" i="163"/>
  <c r="P93" i="163"/>
  <c r="N93" i="163"/>
  <c r="M93" i="163"/>
  <c r="L93" i="163"/>
  <c r="H93" i="163"/>
  <c r="A93" i="163"/>
  <c r="P92" i="163"/>
  <c r="N92" i="163"/>
  <c r="M92" i="163"/>
  <c r="L92" i="163"/>
  <c r="H92" i="163"/>
  <c r="A92" i="163"/>
  <c r="P91" i="163"/>
  <c r="N91" i="163"/>
  <c r="M91" i="163"/>
  <c r="L91" i="163"/>
  <c r="H91" i="163"/>
  <c r="A91" i="163"/>
  <c r="P90" i="163"/>
  <c r="N90" i="163"/>
  <c r="M90" i="163"/>
  <c r="L90" i="163"/>
  <c r="H90" i="163"/>
  <c r="A90" i="163"/>
  <c r="P89" i="163"/>
  <c r="N89" i="163"/>
  <c r="M89" i="163"/>
  <c r="L89" i="163"/>
  <c r="H89" i="163"/>
  <c r="A89" i="163"/>
  <c r="P88" i="163"/>
  <c r="N88" i="163"/>
  <c r="M88" i="163"/>
  <c r="L88" i="163"/>
  <c r="H88" i="163"/>
  <c r="A88" i="163"/>
  <c r="P87" i="163"/>
  <c r="N87" i="163"/>
  <c r="M87" i="163"/>
  <c r="L87" i="163"/>
  <c r="H87" i="163"/>
  <c r="A87" i="163"/>
  <c r="P86" i="163"/>
  <c r="N86" i="163"/>
  <c r="M86" i="163"/>
  <c r="L86" i="163"/>
  <c r="H86" i="163"/>
  <c r="A86" i="163"/>
  <c r="P85" i="163"/>
  <c r="N85" i="163"/>
  <c r="M85" i="163"/>
  <c r="L85" i="163"/>
  <c r="H85" i="163"/>
  <c r="A85" i="163"/>
  <c r="P84" i="163"/>
  <c r="N84" i="163"/>
  <c r="M84" i="163"/>
  <c r="L84" i="163"/>
  <c r="H84" i="163"/>
  <c r="A84" i="163"/>
  <c r="P83" i="163"/>
  <c r="N83" i="163"/>
  <c r="M83" i="163"/>
  <c r="L83" i="163"/>
  <c r="H83" i="163"/>
  <c r="A83" i="163"/>
  <c r="P82" i="163"/>
  <c r="N82" i="163"/>
  <c r="M82" i="163"/>
  <c r="L82" i="163"/>
  <c r="H82" i="163"/>
  <c r="A82" i="163"/>
  <c r="P81" i="163"/>
  <c r="N81" i="163"/>
  <c r="M81" i="163"/>
  <c r="L81" i="163"/>
  <c r="H81" i="163"/>
  <c r="A81" i="163"/>
  <c r="P80" i="163"/>
  <c r="N80" i="163"/>
  <c r="M80" i="163"/>
  <c r="L80" i="163"/>
  <c r="H80" i="163"/>
  <c r="A80" i="163"/>
  <c r="P79" i="163"/>
  <c r="N79" i="163"/>
  <c r="M79" i="163"/>
  <c r="L79" i="163"/>
  <c r="H79" i="163"/>
  <c r="A79" i="163"/>
  <c r="P78" i="163"/>
  <c r="N78" i="163"/>
  <c r="M78" i="163"/>
  <c r="L78" i="163"/>
  <c r="H78" i="163"/>
  <c r="A78" i="163"/>
  <c r="P77" i="163"/>
  <c r="N77" i="163"/>
  <c r="M77" i="163"/>
  <c r="L77" i="163"/>
  <c r="H77" i="163"/>
  <c r="A77" i="163"/>
  <c r="P76" i="163"/>
  <c r="N76" i="163"/>
  <c r="M76" i="163"/>
  <c r="L76" i="163"/>
  <c r="H76" i="163"/>
  <c r="A76" i="163"/>
  <c r="P75" i="163"/>
  <c r="N75" i="163"/>
  <c r="M75" i="163"/>
  <c r="L75" i="163"/>
  <c r="H75" i="163"/>
  <c r="A75" i="163"/>
  <c r="P74" i="163"/>
  <c r="N74" i="163"/>
  <c r="M74" i="163"/>
  <c r="L74" i="163"/>
  <c r="H74" i="163"/>
  <c r="A74" i="163"/>
  <c r="P73" i="163"/>
  <c r="N73" i="163"/>
  <c r="M73" i="163"/>
  <c r="L73" i="163"/>
  <c r="H73" i="163"/>
  <c r="A73" i="163"/>
  <c r="P72" i="163"/>
  <c r="N72" i="163"/>
  <c r="M72" i="163"/>
  <c r="L72" i="163"/>
  <c r="H72" i="163"/>
  <c r="A72" i="163"/>
  <c r="P71" i="163"/>
  <c r="N71" i="163"/>
  <c r="M71" i="163"/>
  <c r="L71" i="163"/>
  <c r="H71" i="163"/>
  <c r="A71" i="163"/>
  <c r="P70" i="163"/>
  <c r="N70" i="163"/>
  <c r="M70" i="163"/>
  <c r="L70" i="163"/>
  <c r="H70" i="163"/>
  <c r="A70" i="163"/>
  <c r="P69" i="163"/>
  <c r="N69" i="163"/>
  <c r="M69" i="163"/>
  <c r="L69" i="163"/>
  <c r="H69" i="163"/>
  <c r="A69" i="163"/>
  <c r="P68" i="163"/>
  <c r="N68" i="163"/>
  <c r="M68" i="163"/>
  <c r="L68" i="163"/>
  <c r="H68" i="163"/>
  <c r="A68" i="163"/>
  <c r="P67" i="163"/>
  <c r="N67" i="163"/>
  <c r="M67" i="163"/>
  <c r="L67" i="163"/>
  <c r="H67" i="163"/>
  <c r="A67" i="163"/>
  <c r="P66" i="163"/>
  <c r="N66" i="163"/>
  <c r="M66" i="163"/>
  <c r="L66" i="163"/>
  <c r="H66" i="163"/>
  <c r="A66" i="163"/>
  <c r="P65" i="163"/>
  <c r="N65" i="163"/>
  <c r="M65" i="163"/>
  <c r="L65" i="163"/>
  <c r="H65" i="163"/>
  <c r="A65" i="163"/>
  <c r="P64" i="163"/>
  <c r="N64" i="163"/>
  <c r="M64" i="163"/>
  <c r="L64" i="163"/>
  <c r="H64" i="163"/>
  <c r="A64" i="163"/>
  <c r="P63" i="163"/>
  <c r="N63" i="163"/>
  <c r="M63" i="163"/>
  <c r="L63" i="163"/>
  <c r="H63" i="163"/>
  <c r="A63" i="163"/>
  <c r="P62" i="163"/>
  <c r="N62" i="163"/>
  <c r="M62" i="163"/>
  <c r="L62" i="163"/>
  <c r="H62" i="163"/>
  <c r="A62" i="163"/>
  <c r="P61" i="163"/>
  <c r="N61" i="163"/>
  <c r="M61" i="163"/>
  <c r="L61" i="163"/>
  <c r="H61" i="163"/>
  <c r="A61" i="163"/>
  <c r="P60" i="163"/>
  <c r="N60" i="163"/>
  <c r="M60" i="163"/>
  <c r="L60" i="163"/>
  <c r="H60" i="163"/>
  <c r="A60" i="163"/>
  <c r="P59" i="163"/>
  <c r="N59" i="163"/>
  <c r="M59" i="163"/>
  <c r="L59" i="163"/>
  <c r="H59" i="163"/>
  <c r="A59" i="163"/>
  <c r="P58" i="163"/>
  <c r="N58" i="163"/>
  <c r="M58" i="163"/>
  <c r="L58" i="163"/>
  <c r="H58" i="163"/>
  <c r="A58" i="163"/>
  <c r="P57" i="163"/>
  <c r="N57" i="163"/>
  <c r="M57" i="163"/>
  <c r="L57" i="163"/>
  <c r="H57" i="163"/>
  <c r="A57" i="163"/>
  <c r="P56" i="163"/>
  <c r="N56" i="163"/>
  <c r="M56" i="163"/>
  <c r="L56" i="163"/>
  <c r="H56" i="163"/>
  <c r="A56" i="163"/>
  <c r="P55" i="163"/>
  <c r="N55" i="163"/>
  <c r="M55" i="163"/>
  <c r="L55" i="163"/>
  <c r="H55" i="163"/>
  <c r="A55" i="163"/>
  <c r="P54" i="163"/>
  <c r="N54" i="163"/>
  <c r="M54" i="163"/>
  <c r="L54" i="163"/>
  <c r="H54" i="163"/>
  <c r="A54" i="163"/>
  <c r="P53" i="163"/>
  <c r="N53" i="163"/>
  <c r="M53" i="163"/>
  <c r="L53" i="163"/>
  <c r="H53" i="163"/>
  <c r="A53" i="163"/>
  <c r="P52" i="163"/>
  <c r="N52" i="163"/>
  <c r="M52" i="163"/>
  <c r="L52" i="163"/>
  <c r="H52" i="163"/>
  <c r="A52" i="163"/>
  <c r="P51" i="163"/>
  <c r="N51" i="163"/>
  <c r="M51" i="163"/>
  <c r="L51" i="163"/>
  <c r="H51" i="163"/>
  <c r="A51" i="163"/>
  <c r="P50" i="163"/>
  <c r="N50" i="163"/>
  <c r="M50" i="163"/>
  <c r="L50" i="163"/>
  <c r="H50" i="163"/>
  <c r="A50" i="163"/>
  <c r="P49" i="163"/>
  <c r="N49" i="163"/>
  <c r="M49" i="163"/>
  <c r="L49" i="163"/>
  <c r="H49" i="163"/>
  <c r="A49" i="163"/>
  <c r="P48" i="163"/>
  <c r="N48" i="163"/>
  <c r="M48" i="163"/>
  <c r="L48" i="163"/>
  <c r="H48" i="163"/>
  <c r="A48" i="163"/>
  <c r="P47" i="163"/>
  <c r="N47" i="163"/>
  <c r="M47" i="163"/>
  <c r="L47" i="163"/>
  <c r="H47" i="163"/>
  <c r="A47" i="163"/>
  <c r="P46" i="163"/>
  <c r="N46" i="163"/>
  <c r="M46" i="163"/>
  <c r="L46" i="163"/>
  <c r="H46" i="163"/>
  <c r="A46" i="163"/>
  <c r="P45" i="163"/>
  <c r="N45" i="163"/>
  <c r="M45" i="163"/>
  <c r="L45" i="163"/>
  <c r="H45" i="163"/>
  <c r="A45" i="163"/>
  <c r="P44" i="163"/>
  <c r="N44" i="163"/>
  <c r="M44" i="163"/>
  <c r="L44" i="163"/>
  <c r="H44" i="163"/>
  <c r="A44" i="163"/>
  <c r="P43" i="163"/>
  <c r="N43" i="163"/>
  <c r="M43" i="163"/>
  <c r="L43" i="163"/>
  <c r="H43" i="163"/>
  <c r="A43" i="163"/>
  <c r="P42" i="163"/>
  <c r="N42" i="163"/>
  <c r="M42" i="163"/>
  <c r="L42" i="163"/>
  <c r="H42" i="163"/>
  <c r="A42" i="163"/>
  <c r="P41" i="163"/>
  <c r="N41" i="163"/>
  <c r="M41" i="163"/>
  <c r="L41" i="163"/>
  <c r="H41" i="163"/>
  <c r="A41" i="163"/>
  <c r="P40" i="163"/>
  <c r="N40" i="163"/>
  <c r="M40" i="163"/>
  <c r="L40" i="163"/>
  <c r="H40" i="163"/>
  <c r="A40" i="163"/>
  <c r="P39" i="163"/>
  <c r="N39" i="163"/>
  <c r="M39" i="163"/>
  <c r="L39" i="163"/>
  <c r="H39" i="163"/>
  <c r="A39" i="163"/>
  <c r="P38" i="163"/>
  <c r="N38" i="163"/>
  <c r="M38" i="163"/>
  <c r="L38" i="163"/>
  <c r="H38" i="163"/>
  <c r="A38" i="163"/>
  <c r="P37" i="163"/>
  <c r="N37" i="163"/>
  <c r="M37" i="163"/>
  <c r="L37" i="163"/>
  <c r="H37" i="163"/>
  <c r="A37" i="163"/>
  <c r="P36" i="163"/>
  <c r="N36" i="163"/>
  <c r="M36" i="163"/>
  <c r="L36" i="163"/>
  <c r="H36" i="163"/>
  <c r="A36" i="163"/>
  <c r="P35" i="163"/>
  <c r="N35" i="163"/>
  <c r="M35" i="163"/>
  <c r="L35" i="163"/>
  <c r="H35" i="163"/>
  <c r="A35" i="163"/>
  <c r="P34" i="163"/>
  <c r="N34" i="163"/>
  <c r="M34" i="163"/>
  <c r="L34" i="163"/>
  <c r="H34" i="163"/>
  <c r="A34" i="163"/>
  <c r="P33" i="163"/>
  <c r="N33" i="163"/>
  <c r="M33" i="163"/>
  <c r="L33" i="163"/>
  <c r="H33" i="163"/>
  <c r="A33" i="163"/>
  <c r="P32" i="163"/>
  <c r="N32" i="163"/>
  <c r="M32" i="163"/>
  <c r="L32" i="163"/>
  <c r="H32" i="163"/>
  <c r="A32" i="163"/>
  <c r="P31" i="163"/>
  <c r="N31" i="163"/>
  <c r="M31" i="163"/>
  <c r="L31" i="163"/>
  <c r="H31" i="163"/>
  <c r="A31" i="163"/>
  <c r="P30" i="163"/>
  <c r="N30" i="163"/>
  <c r="M30" i="163"/>
  <c r="L30" i="163"/>
  <c r="H30" i="163"/>
  <c r="A30" i="163"/>
  <c r="P29" i="163"/>
  <c r="N29" i="163"/>
  <c r="M29" i="163"/>
  <c r="L29" i="163"/>
  <c r="H29" i="163"/>
  <c r="A29" i="163"/>
  <c r="P28" i="163"/>
  <c r="N28" i="163"/>
  <c r="M28" i="163"/>
  <c r="L28" i="163"/>
  <c r="H28" i="163"/>
  <c r="A28" i="163"/>
  <c r="P27" i="163"/>
  <c r="N27" i="163"/>
  <c r="M27" i="163"/>
  <c r="L27" i="163"/>
  <c r="H27" i="163"/>
  <c r="A27" i="163"/>
  <c r="P26" i="163"/>
  <c r="N26" i="163"/>
  <c r="M26" i="163"/>
  <c r="L26" i="163"/>
  <c r="H26" i="163"/>
  <c r="A26" i="163"/>
  <c r="P25" i="163"/>
  <c r="N25" i="163"/>
  <c r="M25" i="163"/>
  <c r="L25" i="163"/>
  <c r="H25" i="163"/>
  <c r="A25" i="163"/>
  <c r="P24" i="163"/>
  <c r="N24" i="163"/>
  <c r="M24" i="163"/>
  <c r="L24" i="163"/>
  <c r="H24" i="163"/>
  <c r="A24" i="163"/>
  <c r="P23" i="163"/>
  <c r="N23" i="163"/>
  <c r="M23" i="163"/>
  <c r="L23" i="163"/>
  <c r="H23" i="163"/>
  <c r="A23" i="163"/>
  <c r="P22" i="163"/>
  <c r="N22" i="163"/>
  <c r="M22" i="163"/>
  <c r="L22" i="163"/>
  <c r="H22" i="163"/>
  <c r="A22" i="163"/>
  <c r="P21" i="163"/>
  <c r="N21" i="163"/>
  <c r="M21" i="163"/>
  <c r="L21" i="163"/>
  <c r="H21" i="163"/>
  <c r="A21" i="163"/>
  <c r="P20" i="163"/>
  <c r="N20" i="163"/>
  <c r="M20" i="163"/>
  <c r="L20" i="163"/>
  <c r="H20" i="163"/>
  <c r="A20" i="163"/>
  <c r="P19" i="163"/>
  <c r="N19" i="163"/>
  <c r="M19" i="163"/>
  <c r="L19" i="163"/>
  <c r="H19" i="163"/>
  <c r="A19" i="163"/>
  <c r="P18" i="163"/>
  <c r="N18" i="163"/>
  <c r="M18" i="163"/>
  <c r="L18" i="163"/>
  <c r="H18" i="163"/>
  <c r="A18" i="163"/>
  <c r="P17" i="163"/>
  <c r="N17" i="163"/>
  <c r="M17" i="163"/>
  <c r="L17" i="163"/>
  <c r="H17" i="163"/>
  <c r="A17" i="163"/>
  <c r="P16" i="163"/>
  <c r="N16" i="163"/>
  <c r="M16" i="163"/>
  <c r="L16" i="163"/>
  <c r="H16" i="163"/>
  <c r="A16" i="163"/>
  <c r="P15" i="163"/>
  <c r="N15" i="163"/>
  <c r="M15" i="163"/>
  <c r="L15" i="163"/>
  <c r="H15" i="163"/>
  <c r="A15" i="163"/>
  <c r="P14" i="163"/>
  <c r="N14" i="163"/>
  <c r="M14" i="163"/>
  <c r="L14" i="163"/>
  <c r="H14" i="163"/>
  <c r="A14" i="163"/>
  <c r="P13" i="163"/>
  <c r="N13" i="163"/>
  <c r="M13" i="163"/>
  <c r="L13" i="163"/>
  <c r="H13" i="163"/>
  <c r="A13" i="163"/>
  <c r="P12" i="163"/>
  <c r="N12" i="163"/>
  <c r="M12" i="163"/>
  <c r="L12" i="163"/>
  <c r="H12" i="163"/>
  <c r="A12" i="163"/>
  <c r="P11" i="163"/>
  <c r="N11" i="163"/>
  <c r="M11" i="163"/>
  <c r="L11" i="163"/>
  <c r="H11" i="163"/>
  <c r="A11" i="163"/>
  <c r="P10" i="163"/>
  <c r="N10" i="163"/>
  <c r="M10" i="163"/>
  <c r="L10" i="163"/>
  <c r="H10" i="163"/>
  <c r="A10" i="163"/>
  <c r="P9" i="163"/>
  <c r="N9" i="163"/>
  <c r="M9" i="163"/>
  <c r="L9" i="163"/>
  <c r="H9" i="163"/>
  <c r="A9" i="163"/>
  <c r="P8" i="163"/>
  <c r="N8" i="163"/>
  <c r="M8" i="163"/>
  <c r="L8" i="163"/>
  <c r="H8" i="163"/>
  <c r="A8" i="163"/>
  <c r="P7" i="163"/>
  <c r="N7" i="163"/>
  <c r="M7" i="163"/>
  <c r="L7" i="163"/>
  <c r="H7" i="163"/>
  <c r="A7" i="163"/>
  <c r="P6" i="163"/>
  <c r="N6" i="163"/>
  <c r="M6" i="163"/>
  <c r="L6" i="163"/>
  <c r="H6" i="163"/>
  <c r="A6" i="163"/>
  <c r="P5" i="163"/>
  <c r="N5" i="163"/>
  <c r="M5" i="163"/>
  <c r="L5" i="163"/>
  <c r="H5" i="163"/>
  <c r="A5" i="163"/>
  <c r="P4" i="163"/>
  <c r="N4" i="163"/>
  <c r="M4" i="163"/>
  <c r="L4" i="163"/>
  <c r="H4" i="163"/>
  <c r="A4" i="163"/>
  <c r="P3" i="163"/>
  <c r="N3" i="163"/>
  <c r="M3" i="163"/>
  <c r="L3" i="163"/>
  <c r="H3" i="163"/>
  <c r="A3" i="163"/>
  <c r="P2" i="163"/>
  <c r="N2" i="163"/>
  <c r="M2" i="163"/>
  <c r="L2" i="163"/>
  <c r="H2" i="163"/>
  <c r="A2" i="163"/>
  <c r="F65" i="162"/>
  <c r="F64" i="162"/>
  <c r="F63" i="162"/>
  <c r="F62" i="162"/>
  <c r="B55" i="162"/>
  <c r="B56" i="162"/>
  <c r="B57" i="162"/>
  <c r="B58" i="162"/>
  <c r="B59" i="162"/>
  <c r="B60" i="162"/>
  <c r="B61" i="162"/>
  <c r="B62" i="162"/>
  <c r="C55" i="162"/>
  <c r="C56" i="162"/>
  <c r="C57" i="162"/>
  <c r="C58" i="162"/>
  <c r="C59" i="162"/>
  <c r="C60" i="162"/>
  <c r="C61" i="162"/>
  <c r="C62" i="162"/>
  <c r="F61" i="162"/>
  <c r="F60" i="162"/>
  <c r="H56" i="162"/>
  <c r="H55" i="162"/>
  <c r="F55" i="162"/>
  <c r="G55" i="162"/>
  <c r="B47" i="162"/>
  <c r="D47" i="162"/>
  <c r="I46" i="162"/>
  <c r="J46" i="162"/>
  <c r="F46" i="162"/>
  <c r="D46" i="162"/>
  <c r="G45" i="162"/>
  <c r="E45" i="162"/>
  <c r="H45" i="162"/>
  <c r="I45" i="162"/>
  <c r="J45" i="162"/>
  <c r="F45" i="162"/>
  <c r="D45" i="162"/>
  <c r="I44" i="162"/>
  <c r="J44" i="162"/>
  <c r="F44" i="162"/>
  <c r="D44" i="162"/>
  <c r="I43" i="162"/>
  <c r="J43" i="162"/>
  <c r="F43" i="162"/>
  <c r="D43" i="162"/>
  <c r="I42" i="162"/>
  <c r="J42" i="162"/>
  <c r="F42" i="162"/>
  <c r="D42" i="162"/>
  <c r="I41" i="162"/>
  <c r="J41" i="162"/>
  <c r="F41" i="162"/>
  <c r="D41" i="162"/>
  <c r="I40" i="162"/>
  <c r="J40" i="162"/>
  <c r="F40" i="162"/>
  <c r="D40" i="162"/>
  <c r="I39" i="162"/>
  <c r="J39" i="162"/>
  <c r="F39" i="162"/>
  <c r="D39" i="162"/>
  <c r="I38" i="162"/>
  <c r="J38" i="162"/>
  <c r="F38" i="162"/>
  <c r="D38" i="162"/>
  <c r="I37" i="162"/>
  <c r="J37" i="162"/>
  <c r="F37" i="162"/>
  <c r="D37" i="162"/>
  <c r="I36" i="162"/>
  <c r="J36" i="162"/>
  <c r="F36" i="162"/>
  <c r="D36" i="162"/>
  <c r="I35" i="162"/>
  <c r="J35" i="162"/>
  <c r="F35" i="162"/>
  <c r="D35" i="162"/>
  <c r="I34" i="162"/>
  <c r="J34" i="162"/>
  <c r="F34" i="162"/>
  <c r="D34" i="162"/>
  <c r="I33" i="162"/>
  <c r="J33" i="162"/>
  <c r="F33" i="162"/>
  <c r="D33" i="162"/>
  <c r="I32" i="162"/>
  <c r="J32" i="162"/>
  <c r="F32" i="162"/>
  <c r="D32" i="162"/>
  <c r="I31" i="162"/>
  <c r="J31" i="162"/>
  <c r="F31" i="162"/>
  <c r="D31" i="162"/>
  <c r="G30" i="162"/>
  <c r="E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D18" i="162"/>
  <c r="R17" i="162"/>
  <c r="P17" i="162"/>
  <c r="O17" i="162"/>
  <c r="M17" i="162"/>
  <c r="I17" i="162"/>
  <c r="J17" i="162"/>
  <c r="F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R5" i="162"/>
  <c r="P5" i="162"/>
  <c r="O5" i="162"/>
  <c r="M5" i="162"/>
  <c r="V4" i="162"/>
  <c r="R4" i="162"/>
  <c r="P4" i="162"/>
  <c r="O4" i="162"/>
  <c r="M4" i="162"/>
  <c r="V3" i="162"/>
  <c r="P3" i="162"/>
  <c r="O3" i="162"/>
  <c r="M3" i="162"/>
  <c r="V2" i="162"/>
  <c r="P138" i="148"/>
  <c r="P139" i="148"/>
  <c r="P140" i="148"/>
  <c r="P141" i="148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P319" i="148"/>
  <c r="P320" i="148"/>
  <c r="P321" i="148"/>
  <c r="P322" i="148"/>
  <c r="P323" i="148"/>
  <c r="P324" i="148"/>
  <c r="P325" i="148"/>
  <c r="P326" i="148"/>
  <c r="P327" i="148"/>
  <c r="P328" i="148"/>
  <c r="P329" i="148"/>
  <c r="P330" i="148"/>
  <c r="P331" i="148"/>
  <c r="P332" i="148"/>
  <c r="P333" i="148"/>
  <c r="P334" i="148"/>
  <c r="P335" i="148"/>
  <c r="P336" i="148"/>
  <c r="P337" i="148"/>
  <c r="P338" i="148"/>
  <c r="P339" i="148"/>
  <c r="P340" i="148"/>
  <c r="P346" i="148"/>
  <c r="F63" i="147"/>
  <c r="F64" i="147"/>
  <c r="G31" i="158"/>
  <c r="E31" i="158"/>
  <c r="H31" i="158"/>
  <c r="H341" i="154"/>
  <c r="L341" i="154"/>
  <c r="M341" i="154"/>
  <c r="N341" i="154"/>
  <c r="P341" i="154"/>
  <c r="A341" i="154"/>
  <c r="H341" i="159"/>
  <c r="L341" i="159"/>
  <c r="M341" i="159"/>
  <c r="N341" i="159"/>
  <c r="P341" i="159"/>
  <c r="A341" i="159"/>
  <c r="H341" i="150"/>
  <c r="L341" i="150"/>
  <c r="M341" i="150"/>
  <c r="N341" i="150"/>
  <c r="G31" i="149"/>
  <c r="E31" i="149"/>
  <c r="H31" i="149"/>
  <c r="A341" i="150"/>
  <c r="H346" i="148"/>
  <c r="L346" i="148"/>
  <c r="M346" i="148"/>
  <c r="N346" i="148"/>
  <c r="A346" i="148"/>
  <c r="H346" i="82"/>
  <c r="L346" i="82"/>
  <c r="M346" i="82"/>
  <c r="N346" i="82"/>
  <c r="A346" i="82"/>
  <c r="H331" i="154"/>
  <c r="L331" i="154"/>
  <c r="M331" i="154"/>
  <c r="N331" i="154"/>
  <c r="P331" i="154"/>
  <c r="H332" i="154"/>
  <c r="L332" i="154"/>
  <c r="M332" i="154"/>
  <c r="N332" i="154"/>
  <c r="P332" i="154"/>
  <c r="H333" i="154"/>
  <c r="L333" i="154"/>
  <c r="M333" i="154"/>
  <c r="N333" i="154"/>
  <c r="P333" i="154"/>
  <c r="H334" i="154"/>
  <c r="L334" i="154"/>
  <c r="M334" i="154"/>
  <c r="N334" i="154"/>
  <c r="P334" i="154"/>
  <c r="H335" i="154"/>
  <c r="L335" i="154"/>
  <c r="M335" i="154"/>
  <c r="N335" i="154"/>
  <c r="P335" i="154"/>
  <c r="H336" i="154"/>
  <c r="L336" i="154"/>
  <c r="M336" i="154"/>
  <c r="N336" i="154"/>
  <c r="P336" i="154"/>
  <c r="H337" i="154"/>
  <c r="L337" i="154"/>
  <c r="M337" i="154"/>
  <c r="N337" i="154"/>
  <c r="P337" i="154"/>
  <c r="H338" i="154"/>
  <c r="L338" i="154"/>
  <c r="M338" i="154"/>
  <c r="N338" i="154"/>
  <c r="P338" i="154"/>
  <c r="H339" i="154"/>
  <c r="L339" i="154"/>
  <c r="M339" i="154"/>
  <c r="N339" i="154"/>
  <c r="P339" i="154"/>
  <c r="H340" i="154"/>
  <c r="L340" i="154"/>
  <c r="M340" i="154"/>
  <c r="N340" i="154"/>
  <c r="P340" i="154"/>
  <c r="A332" i="154"/>
  <c r="A333" i="154"/>
  <c r="A334" i="154"/>
  <c r="A335" i="154"/>
  <c r="A336" i="154"/>
  <c r="A337" i="154"/>
  <c r="A338" i="154"/>
  <c r="A339" i="154"/>
  <c r="A340" i="154"/>
  <c r="H331" i="159"/>
  <c r="L331" i="159"/>
  <c r="M331" i="159"/>
  <c r="N331" i="159"/>
  <c r="P331" i="159"/>
  <c r="H332" i="159"/>
  <c r="L332" i="159"/>
  <c r="M332" i="159"/>
  <c r="N332" i="159"/>
  <c r="P332" i="159"/>
  <c r="H333" i="159"/>
  <c r="L333" i="159"/>
  <c r="M333" i="159"/>
  <c r="N333" i="159"/>
  <c r="P333" i="159"/>
  <c r="H334" i="159"/>
  <c r="L334" i="159"/>
  <c r="M334" i="159"/>
  <c r="N334" i="159"/>
  <c r="P334" i="159"/>
  <c r="H335" i="159"/>
  <c r="L335" i="159"/>
  <c r="M335" i="159"/>
  <c r="N335" i="159"/>
  <c r="P335" i="159"/>
  <c r="H336" i="159"/>
  <c r="L336" i="159"/>
  <c r="M336" i="159"/>
  <c r="N336" i="159"/>
  <c r="P336" i="159"/>
  <c r="H337" i="159"/>
  <c r="L337" i="159"/>
  <c r="M337" i="159"/>
  <c r="N337" i="159"/>
  <c r="P337" i="159"/>
  <c r="H338" i="159"/>
  <c r="L338" i="159"/>
  <c r="M338" i="159"/>
  <c r="N338" i="159"/>
  <c r="P338" i="159"/>
  <c r="H339" i="159"/>
  <c r="L339" i="159"/>
  <c r="M339" i="159"/>
  <c r="N339" i="159"/>
  <c r="P339" i="159"/>
  <c r="H340" i="159"/>
  <c r="L340" i="159"/>
  <c r="M340" i="159"/>
  <c r="N340" i="159"/>
  <c r="P340" i="159"/>
  <c r="A332" i="159"/>
  <c r="A333" i="159"/>
  <c r="A334" i="159"/>
  <c r="A335" i="159"/>
  <c r="A336" i="159"/>
  <c r="A337" i="159"/>
  <c r="A338" i="159"/>
  <c r="A339" i="159"/>
  <c r="A340" i="159"/>
  <c r="H331" i="150"/>
  <c r="L331" i="150"/>
  <c r="M331" i="150"/>
  <c r="N331" i="150"/>
  <c r="H332" i="150"/>
  <c r="L332" i="150"/>
  <c r="M332" i="150"/>
  <c r="N332" i="150"/>
  <c r="H333" i="150"/>
  <c r="L333" i="150"/>
  <c r="M333" i="150"/>
  <c r="N333" i="150"/>
  <c r="H334" i="150"/>
  <c r="L334" i="150"/>
  <c r="M334" i="150"/>
  <c r="N334" i="150"/>
  <c r="H335" i="150"/>
  <c r="L335" i="150"/>
  <c r="M335" i="150"/>
  <c r="N335" i="150"/>
  <c r="H336" i="150"/>
  <c r="L336" i="150"/>
  <c r="M336" i="150"/>
  <c r="N336" i="150"/>
  <c r="H337" i="150"/>
  <c r="L337" i="150"/>
  <c r="M337" i="150"/>
  <c r="N337" i="150"/>
  <c r="H338" i="150"/>
  <c r="L338" i="150"/>
  <c r="M338" i="150"/>
  <c r="N338" i="150"/>
  <c r="H339" i="150"/>
  <c r="L339" i="150"/>
  <c r="M339" i="150"/>
  <c r="N339" i="150"/>
  <c r="H340" i="150"/>
  <c r="L340" i="150"/>
  <c r="M340" i="150"/>
  <c r="N340" i="150"/>
  <c r="A332" i="150"/>
  <c r="A333" i="150"/>
  <c r="A334" i="150"/>
  <c r="A335" i="150"/>
  <c r="A336" i="150"/>
  <c r="A337" i="150"/>
  <c r="A338" i="150"/>
  <c r="A339" i="150"/>
  <c r="A340" i="150"/>
  <c r="H331" i="148"/>
  <c r="L331" i="148"/>
  <c r="M331" i="148"/>
  <c r="N331" i="148"/>
  <c r="H332" i="148"/>
  <c r="L332" i="148"/>
  <c r="M332" i="148"/>
  <c r="N332" i="148"/>
  <c r="H333" i="148"/>
  <c r="L333" i="148"/>
  <c r="M333" i="148"/>
  <c r="N333" i="148"/>
  <c r="H334" i="148"/>
  <c r="L334" i="148"/>
  <c r="M334" i="148"/>
  <c r="N334" i="148"/>
  <c r="H335" i="148"/>
  <c r="L335" i="148"/>
  <c r="M335" i="148"/>
  <c r="N335" i="148"/>
  <c r="H336" i="148"/>
  <c r="L336" i="148"/>
  <c r="M336" i="148"/>
  <c r="N336" i="148"/>
  <c r="H337" i="148"/>
  <c r="L337" i="148"/>
  <c r="M337" i="148"/>
  <c r="N337" i="148"/>
  <c r="H338" i="148"/>
  <c r="L338" i="148"/>
  <c r="M338" i="148"/>
  <c r="N338" i="148"/>
  <c r="H339" i="148"/>
  <c r="L339" i="148"/>
  <c r="M339" i="148"/>
  <c r="N339" i="148"/>
  <c r="H340" i="148"/>
  <c r="L340" i="148"/>
  <c r="M340" i="148"/>
  <c r="N340" i="148"/>
  <c r="A332" i="148"/>
  <c r="A333" i="148"/>
  <c r="A334" i="148"/>
  <c r="A335" i="148"/>
  <c r="A336" i="148"/>
  <c r="A337" i="148"/>
  <c r="A338" i="148"/>
  <c r="A339" i="148"/>
  <c r="A340" i="148"/>
  <c r="H332" i="82"/>
  <c r="L332" i="82"/>
  <c r="M332" i="82"/>
  <c r="N332" i="82"/>
  <c r="H333" i="82"/>
  <c r="L333" i="82"/>
  <c r="M333" i="82"/>
  <c r="N333" i="82"/>
  <c r="H334" i="82"/>
  <c r="L334" i="82"/>
  <c r="M334" i="82"/>
  <c r="N334" i="82"/>
  <c r="H335" i="82"/>
  <c r="L335" i="82"/>
  <c r="M335" i="82"/>
  <c r="N335" i="82"/>
  <c r="H336" i="82"/>
  <c r="L336" i="82"/>
  <c r="M336" i="82"/>
  <c r="N336" i="82"/>
  <c r="H337" i="82"/>
  <c r="L337" i="82"/>
  <c r="M337" i="82"/>
  <c r="N337" i="82"/>
  <c r="H338" i="82"/>
  <c r="L338" i="82"/>
  <c r="M338" i="82"/>
  <c r="N338" i="82"/>
  <c r="H339" i="82"/>
  <c r="L339" i="82"/>
  <c r="M339" i="82"/>
  <c r="N339" i="82"/>
  <c r="H340" i="82"/>
  <c r="L340" i="82"/>
  <c r="M340" i="82"/>
  <c r="N340" i="82"/>
  <c r="A332" i="82"/>
  <c r="A333" i="82"/>
  <c r="A334" i="82"/>
  <c r="A335" i="82"/>
  <c r="A336" i="82"/>
  <c r="A337" i="82"/>
  <c r="A338" i="82"/>
  <c r="A339" i="82"/>
  <c r="A340" i="82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F63" i="153"/>
  <c r="F64" i="153"/>
  <c r="H57" i="153"/>
  <c r="P138" i="159"/>
  <c r="P139" i="159"/>
  <c r="P140" i="159"/>
  <c r="P141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P320" i="159"/>
  <c r="P321" i="159"/>
  <c r="P322" i="159"/>
  <c r="P323" i="159"/>
  <c r="P324" i="159"/>
  <c r="P325" i="159"/>
  <c r="P326" i="159"/>
  <c r="P327" i="159"/>
  <c r="P328" i="159"/>
  <c r="P329" i="159"/>
  <c r="P330" i="159"/>
  <c r="F63" i="158"/>
  <c r="F64" i="158"/>
  <c r="H57" i="158"/>
  <c r="F63" i="149"/>
  <c r="F64" i="149"/>
  <c r="H325" i="82"/>
  <c r="L325" i="82"/>
  <c r="M325" i="82"/>
  <c r="N325" i="82"/>
  <c r="H326" i="82"/>
  <c r="L326" i="82"/>
  <c r="M326" i="82"/>
  <c r="N326" i="82"/>
  <c r="H327" i="82"/>
  <c r="L327" i="82"/>
  <c r="M327" i="82"/>
  <c r="N327" i="82"/>
  <c r="H328" i="82"/>
  <c r="L328" i="82"/>
  <c r="M328" i="82"/>
  <c r="N328" i="82"/>
  <c r="H329" i="82"/>
  <c r="L329" i="82"/>
  <c r="M329" i="82"/>
  <c r="N329" i="82"/>
  <c r="H330" i="82"/>
  <c r="L330" i="82"/>
  <c r="M330" i="82"/>
  <c r="N330" i="82"/>
  <c r="H331" i="82"/>
  <c r="L331" i="82"/>
  <c r="M331" i="82"/>
  <c r="N331" i="82"/>
  <c r="A325" i="82"/>
  <c r="A326" i="82"/>
  <c r="A327" i="82"/>
  <c r="A328" i="82"/>
  <c r="A329" i="82"/>
  <c r="A330" i="82"/>
  <c r="A331" i="82"/>
  <c r="H325" i="148"/>
  <c r="L325" i="148"/>
  <c r="M325" i="148"/>
  <c r="N325" i="148"/>
  <c r="H326" i="148"/>
  <c r="L326" i="148"/>
  <c r="M326" i="148"/>
  <c r="N326" i="148"/>
  <c r="H327" i="148"/>
  <c r="L327" i="148"/>
  <c r="M327" i="148"/>
  <c r="N327" i="148"/>
  <c r="H328" i="148"/>
  <c r="L328" i="148"/>
  <c r="M328" i="148"/>
  <c r="N328" i="148"/>
  <c r="H329" i="148"/>
  <c r="L329" i="148"/>
  <c r="M329" i="148"/>
  <c r="N329" i="148"/>
  <c r="H330" i="148"/>
  <c r="L330" i="148"/>
  <c r="M330" i="148"/>
  <c r="N330" i="148"/>
  <c r="A325" i="148"/>
  <c r="A326" i="148"/>
  <c r="A327" i="148"/>
  <c r="A328" i="148"/>
  <c r="A329" i="148"/>
  <c r="A330" i="148"/>
  <c r="A331" i="148"/>
  <c r="H325" i="150"/>
  <c r="L325" i="150"/>
  <c r="M325" i="150"/>
  <c r="N325" i="150"/>
  <c r="H326" i="150"/>
  <c r="L326" i="150"/>
  <c r="M326" i="150"/>
  <c r="N326" i="150"/>
  <c r="H327" i="150"/>
  <c r="L327" i="150"/>
  <c r="M327" i="150"/>
  <c r="N327" i="150"/>
  <c r="H328" i="150"/>
  <c r="L328" i="150"/>
  <c r="M328" i="150"/>
  <c r="N328" i="150"/>
  <c r="H329" i="150"/>
  <c r="L329" i="150"/>
  <c r="M329" i="150"/>
  <c r="N329" i="150"/>
  <c r="H330" i="150"/>
  <c r="L330" i="150"/>
  <c r="M330" i="150"/>
  <c r="N330" i="150"/>
  <c r="A325" i="150"/>
  <c r="A326" i="150"/>
  <c r="A327" i="150"/>
  <c r="A328" i="150"/>
  <c r="A329" i="150"/>
  <c r="A330" i="150"/>
  <c r="A331" i="150"/>
  <c r="H325" i="159"/>
  <c r="L325" i="159"/>
  <c r="M325" i="159"/>
  <c r="N325" i="159"/>
  <c r="H326" i="159"/>
  <c r="L326" i="159"/>
  <c r="M326" i="159"/>
  <c r="N326" i="159"/>
  <c r="H327" i="159"/>
  <c r="L327" i="159"/>
  <c r="M327" i="159"/>
  <c r="N327" i="159"/>
  <c r="H328" i="159"/>
  <c r="L328" i="159"/>
  <c r="M328" i="159"/>
  <c r="N328" i="159"/>
  <c r="H329" i="159"/>
  <c r="L329" i="159"/>
  <c r="M329" i="159"/>
  <c r="N329" i="159"/>
  <c r="H330" i="159"/>
  <c r="L330" i="159"/>
  <c r="M330" i="159"/>
  <c r="N330" i="159"/>
  <c r="A325" i="159"/>
  <c r="A326" i="159"/>
  <c r="A327" i="159"/>
  <c r="A328" i="159"/>
  <c r="A329" i="159"/>
  <c r="A330" i="159"/>
  <c r="A331" i="159"/>
  <c r="A331" i="154"/>
  <c r="H325" i="154"/>
  <c r="L325" i="154"/>
  <c r="M325" i="154"/>
  <c r="N325" i="154"/>
  <c r="H326" i="154"/>
  <c r="L326" i="154"/>
  <c r="M326" i="154"/>
  <c r="N326" i="154"/>
  <c r="H327" i="154"/>
  <c r="L327" i="154"/>
  <c r="M327" i="154"/>
  <c r="N327" i="154"/>
  <c r="H328" i="154"/>
  <c r="L328" i="154"/>
  <c r="M328" i="154"/>
  <c r="N328" i="154"/>
  <c r="H329" i="154"/>
  <c r="L329" i="154"/>
  <c r="M329" i="154"/>
  <c r="N329" i="154"/>
  <c r="H330" i="154"/>
  <c r="L330" i="154"/>
  <c r="M330" i="154"/>
  <c r="N330" i="154"/>
  <c r="A324" i="154"/>
  <c r="A325" i="154"/>
  <c r="A326" i="154"/>
  <c r="A327" i="154"/>
  <c r="A328" i="154"/>
  <c r="A329" i="154"/>
  <c r="A330" i="154"/>
  <c r="F55" i="106"/>
  <c r="G55" i="106"/>
  <c r="H56" i="153"/>
  <c r="H55" i="153"/>
  <c r="H56" i="158"/>
  <c r="H55" i="158"/>
  <c r="H55" i="149"/>
  <c r="H57" i="147"/>
  <c r="H56" i="147"/>
  <c r="H55" i="147"/>
  <c r="H57" i="106"/>
  <c r="H320" i="154"/>
  <c r="L320" i="154"/>
  <c r="M320" i="154"/>
  <c r="N320" i="154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H320" i="159"/>
  <c r="L320" i="159"/>
  <c r="M320" i="159"/>
  <c r="N320" i="159"/>
  <c r="H321" i="159"/>
  <c r="L321" i="159"/>
  <c r="M321" i="159"/>
  <c r="N321" i="159"/>
  <c r="H322" i="159"/>
  <c r="L322" i="159"/>
  <c r="M322" i="159"/>
  <c r="N322" i="159"/>
  <c r="H323" i="159"/>
  <c r="L323" i="159"/>
  <c r="M323" i="159"/>
  <c r="N323" i="159"/>
  <c r="H324" i="159"/>
  <c r="L324" i="159"/>
  <c r="M324" i="159"/>
  <c r="N324" i="159"/>
  <c r="A320" i="159"/>
  <c r="A321" i="159"/>
  <c r="A322" i="159"/>
  <c r="A323" i="159"/>
  <c r="A324" i="159"/>
  <c r="H320" i="150"/>
  <c r="L320" i="150"/>
  <c r="M320" i="150"/>
  <c r="N320" i="150"/>
  <c r="H321" i="150"/>
  <c r="L321" i="150"/>
  <c r="M321" i="150"/>
  <c r="N321" i="150"/>
  <c r="H322" i="150"/>
  <c r="L322" i="150"/>
  <c r="M322" i="150"/>
  <c r="N322" i="150"/>
  <c r="H323" i="150"/>
  <c r="L323" i="150"/>
  <c r="M323" i="150"/>
  <c r="N323" i="150"/>
  <c r="H324" i="150"/>
  <c r="L324" i="150"/>
  <c r="M324" i="150"/>
  <c r="N324" i="150"/>
  <c r="A320" i="150"/>
  <c r="A321" i="150"/>
  <c r="A322" i="150"/>
  <c r="A323" i="150"/>
  <c r="A324" i="150"/>
  <c r="H319" i="148"/>
  <c r="L319" i="148"/>
  <c r="M319" i="148"/>
  <c r="N319" i="148"/>
  <c r="H320" i="148"/>
  <c r="L320" i="148"/>
  <c r="M320" i="148"/>
  <c r="N320" i="148"/>
  <c r="H321" i="148"/>
  <c r="L321" i="148"/>
  <c r="M321" i="148"/>
  <c r="N321" i="148"/>
  <c r="H322" i="148"/>
  <c r="L322" i="148"/>
  <c r="M322" i="148"/>
  <c r="N322" i="148"/>
  <c r="H323" i="148"/>
  <c r="L323" i="148"/>
  <c r="M323" i="148"/>
  <c r="N323" i="148"/>
  <c r="H324" i="148"/>
  <c r="L324" i="148"/>
  <c r="M324" i="148"/>
  <c r="N324" i="148"/>
  <c r="A319" i="148"/>
  <c r="A320" i="148"/>
  <c r="A321" i="148"/>
  <c r="A322" i="148"/>
  <c r="A323" i="148"/>
  <c r="A324" i="148"/>
  <c r="H324" i="82"/>
  <c r="L324" i="82"/>
  <c r="M324" i="82"/>
  <c r="N324" i="82"/>
  <c r="A324" i="82"/>
  <c r="H319" i="82"/>
  <c r="L319" i="82"/>
  <c r="M319" i="82"/>
  <c r="N319" i="82"/>
  <c r="H320" i="82"/>
  <c r="L320" i="82"/>
  <c r="M320" i="82"/>
  <c r="N320" i="82"/>
  <c r="H321" i="82"/>
  <c r="L321" i="82"/>
  <c r="M321" i="82"/>
  <c r="N321" i="82"/>
  <c r="H322" i="82"/>
  <c r="L322" i="82"/>
  <c r="M322" i="82"/>
  <c r="N322" i="82"/>
  <c r="H323" i="82"/>
  <c r="L323" i="82"/>
  <c r="M323" i="82"/>
  <c r="N323" i="82"/>
  <c r="A319" i="82"/>
  <c r="A320" i="82"/>
  <c r="A321" i="82"/>
  <c r="A322" i="82"/>
  <c r="A323" i="82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1" i="154"/>
  <c r="A312" i="154"/>
  <c r="A313" i="154"/>
  <c r="A314" i="154"/>
  <c r="A315" i="154"/>
  <c r="A316" i="154"/>
  <c r="A317" i="154"/>
  <c r="A318" i="154"/>
  <c r="A319" i="154"/>
  <c r="F65" i="153"/>
  <c r="F65" i="158"/>
  <c r="H311" i="159"/>
  <c r="L311" i="159"/>
  <c r="M311" i="159"/>
  <c r="N311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H311" i="150"/>
  <c r="L311" i="150"/>
  <c r="M311" i="150"/>
  <c r="N311" i="150"/>
  <c r="H312" i="150"/>
  <c r="L312" i="150"/>
  <c r="M312" i="150"/>
  <c r="N312" i="150"/>
  <c r="H313" i="150"/>
  <c r="L313" i="150"/>
  <c r="M313" i="150"/>
  <c r="N313" i="150"/>
  <c r="H314" i="150"/>
  <c r="L314" i="150"/>
  <c r="M314" i="150"/>
  <c r="N314" i="150"/>
  <c r="H315" i="150"/>
  <c r="L315" i="150"/>
  <c r="M315" i="150"/>
  <c r="N315" i="150"/>
  <c r="H316" i="150"/>
  <c r="L316" i="150"/>
  <c r="M316" i="150"/>
  <c r="N316" i="150"/>
  <c r="H317" i="150"/>
  <c r="L317" i="150"/>
  <c r="M317" i="150"/>
  <c r="N317" i="150"/>
  <c r="H318" i="150"/>
  <c r="L318" i="150"/>
  <c r="M318" i="150"/>
  <c r="N318" i="150"/>
  <c r="H319" i="150"/>
  <c r="L319" i="150"/>
  <c r="M319" i="150"/>
  <c r="N319" i="150"/>
  <c r="A311" i="150"/>
  <c r="A312" i="150"/>
  <c r="A313" i="150"/>
  <c r="A314" i="150"/>
  <c r="A315" i="150"/>
  <c r="A316" i="150"/>
  <c r="A317" i="150"/>
  <c r="A318" i="150"/>
  <c r="A319" i="150"/>
  <c r="P3" i="157"/>
  <c r="K3" i="157"/>
  <c r="G3" i="157"/>
  <c r="K2" i="157"/>
  <c r="G2" i="157"/>
  <c r="H311" i="148"/>
  <c r="L311" i="148"/>
  <c r="M311" i="148"/>
  <c r="N311" i="148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A311" i="148"/>
  <c r="A312" i="148"/>
  <c r="A313" i="148"/>
  <c r="A314" i="148"/>
  <c r="A315" i="148"/>
  <c r="A316" i="148"/>
  <c r="A317" i="148"/>
  <c r="A318" i="148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E3" i="157"/>
  <c r="E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I46" i="158"/>
  <c r="J46" i="158"/>
  <c r="F46" i="158"/>
  <c r="D46" i="158"/>
  <c r="G45" i="158"/>
  <c r="E45" i="158"/>
  <c r="H45" i="158"/>
  <c r="I45" i="158"/>
  <c r="J45" i="158"/>
  <c r="F45" i="158"/>
  <c r="D45" i="158"/>
  <c r="I44" i="158"/>
  <c r="J44" i="158"/>
  <c r="F44" i="158"/>
  <c r="D44" i="158"/>
  <c r="I43" i="158"/>
  <c r="J43" i="158"/>
  <c r="F43" i="158"/>
  <c r="D43" i="158"/>
  <c r="I42" i="158"/>
  <c r="J42" i="158"/>
  <c r="F42" i="158"/>
  <c r="D42" i="158"/>
  <c r="I41" i="158"/>
  <c r="J41" i="158"/>
  <c r="F41" i="158"/>
  <c r="D41" i="158"/>
  <c r="I40" i="158"/>
  <c r="J40" i="158"/>
  <c r="F40" i="158"/>
  <c r="D40" i="158"/>
  <c r="I39" i="158"/>
  <c r="J39" i="158"/>
  <c r="F39" i="158"/>
  <c r="D39" i="158"/>
  <c r="I38" i="158"/>
  <c r="J38" i="158"/>
  <c r="F38" i="158"/>
  <c r="D38" i="158"/>
  <c r="I37" i="158"/>
  <c r="J37" i="158"/>
  <c r="F37" i="158"/>
  <c r="D37" i="158"/>
  <c r="I36" i="158"/>
  <c r="J36" i="158"/>
  <c r="F36" i="158"/>
  <c r="D36" i="158"/>
  <c r="I34" i="158"/>
  <c r="J34" i="158"/>
  <c r="F34" i="158"/>
  <c r="D34" i="158"/>
  <c r="I33" i="158"/>
  <c r="J33" i="158"/>
  <c r="F33" i="158"/>
  <c r="D33" i="158"/>
  <c r="I32" i="158"/>
  <c r="J32" i="158"/>
  <c r="F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D18" i="158"/>
  <c r="R17" i="158"/>
  <c r="P17" i="158"/>
  <c r="O17" i="158"/>
  <c r="M17" i="158"/>
  <c r="I17" i="158"/>
  <c r="J17" i="158"/>
  <c r="F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I46" i="153"/>
  <c r="J46" i="153"/>
  <c r="F46" i="153"/>
  <c r="D46" i="153"/>
  <c r="G45" i="153"/>
  <c r="E45" i="153"/>
  <c r="H45" i="153"/>
  <c r="I45" i="153"/>
  <c r="J45" i="153"/>
  <c r="F45" i="153"/>
  <c r="D45" i="153"/>
  <c r="I44" i="153"/>
  <c r="J44" i="153"/>
  <c r="F44" i="153"/>
  <c r="D44" i="153"/>
  <c r="I43" i="153"/>
  <c r="J43" i="153"/>
  <c r="F43" i="153"/>
  <c r="D43" i="153"/>
  <c r="I42" i="153"/>
  <c r="J42" i="153"/>
  <c r="F42" i="153"/>
  <c r="D42" i="153"/>
  <c r="I41" i="153"/>
  <c r="J41" i="153"/>
  <c r="F41" i="153"/>
  <c r="D41" i="153"/>
  <c r="I40" i="153"/>
  <c r="J40" i="153"/>
  <c r="F40" i="153"/>
  <c r="D40" i="153"/>
  <c r="I39" i="153"/>
  <c r="J39" i="153"/>
  <c r="F39" i="153"/>
  <c r="D39" i="153"/>
  <c r="I38" i="153"/>
  <c r="J38" i="153"/>
  <c r="F38" i="153"/>
  <c r="D38" i="153"/>
  <c r="I37" i="153"/>
  <c r="J37" i="153"/>
  <c r="F37" i="153"/>
  <c r="D37" i="153"/>
  <c r="I34" i="153"/>
  <c r="J34" i="153"/>
  <c r="F34" i="153"/>
  <c r="D34" i="153"/>
  <c r="I33" i="153"/>
  <c r="J33" i="153"/>
  <c r="F33" i="153"/>
  <c r="D33" i="153"/>
  <c r="I32" i="153"/>
  <c r="J32" i="153"/>
  <c r="F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D18" i="153"/>
  <c r="R17" i="153"/>
  <c r="P17" i="153"/>
  <c r="O17" i="153"/>
  <c r="M17" i="153"/>
  <c r="I17" i="153"/>
  <c r="J17" i="153"/>
  <c r="F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I46" i="149"/>
  <c r="J46" i="149"/>
  <c r="F46" i="149"/>
  <c r="D46" i="149"/>
  <c r="G45" i="149"/>
  <c r="E45" i="149"/>
  <c r="H45" i="149"/>
  <c r="I45" i="149"/>
  <c r="J45" i="149"/>
  <c r="F45" i="149"/>
  <c r="D45" i="149"/>
  <c r="I44" i="149"/>
  <c r="J44" i="149"/>
  <c r="F44" i="149"/>
  <c r="D44" i="149"/>
  <c r="I43" i="149"/>
  <c r="J43" i="149"/>
  <c r="F43" i="149"/>
  <c r="D43" i="149"/>
  <c r="I42" i="149"/>
  <c r="J42" i="149"/>
  <c r="F42" i="149"/>
  <c r="D42" i="149"/>
  <c r="I41" i="149"/>
  <c r="J41" i="149"/>
  <c r="F41" i="149"/>
  <c r="D41" i="149"/>
  <c r="I40" i="149"/>
  <c r="J40" i="149"/>
  <c r="F40" i="149"/>
  <c r="D40" i="149"/>
  <c r="I39" i="149"/>
  <c r="J39" i="149"/>
  <c r="F39" i="149"/>
  <c r="D39" i="149"/>
  <c r="I38" i="149"/>
  <c r="J38" i="149"/>
  <c r="F38" i="149"/>
  <c r="D38" i="149"/>
  <c r="I37" i="149"/>
  <c r="J37" i="149"/>
  <c r="F37" i="149"/>
  <c r="D37" i="149"/>
  <c r="I34" i="149"/>
  <c r="J34" i="149"/>
  <c r="F34" i="149"/>
  <c r="D34" i="149"/>
  <c r="I33" i="149"/>
  <c r="J33" i="149"/>
  <c r="F33" i="149"/>
  <c r="D33" i="149"/>
  <c r="I32" i="149"/>
  <c r="J32" i="149"/>
  <c r="F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D18" i="149"/>
  <c r="R17" i="149"/>
  <c r="P17" i="149"/>
  <c r="O17" i="149"/>
  <c r="M17" i="149"/>
  <c r="I17" i="149"/>
  <c r="J17" i="149"/>
  <c r="F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I46" i="147"/>
  <c r="J46" i="147"/>
  <c r="F46" i="147"/>
  <c r="D46" i="147"/>
  <c r="G45" i="147"/>
  <c r="E45" i="147"/>
  <c r="H45" i="147"/>
  <c r="I45" i="147"/>
  <c r="J45" i="147"/>
  <c r="F45" i="147"/>
  <c r="D45" i="147"/>
  <c r="I44" i="147"/>
  <c r="J44" i="147"/>
  <c r="F44" i="147"/>
  <c r="D44" i="147"/>
  <c r="I43" i="147"/>
  <c r="J43" i="147"/>
  <c r="F43" i="147"/>
  <c r="D43" i="147"/>
  <c r="I42" i="147"/>
  <c r="J42" i="147"/>
  <c r="F42" i="147"/>
  <c r="D42" i="147"/>
  <c r="I41" i="147"/>
  <c r="J41" i="147"/>
  <c r="F41" i="147"/>
  <c r="D41" i="147"/>
  <c r="I40" i="147"/>
  <c r="J40" i="147"/>
  <c r="F40" i="147"/>
  <c r="D40" i="147"/>
  <c r="I39" i="147"/>
  <c r="J39" i="147"/>
  <c r="F39" i="147"/>
  <c r="D39" i="147"/>
  <c r="I38" i="147"/>
  <c r="J38" i="147"/>
  <c r="F38" i="147"/>
  <c r="D38" i="147"/>
  <c r="I37" i="147"/>
  <c r="J37" i="147"/>
  <c r="F37" i="147"/>
  <c r="D37" i="147"/>
  <c r="I34" i="147"/>
  <c r="J34" i="147"/>
  <c r="F34" i="147"/>
  <c r="D34" i="147"/>
  <c r="I33" i="147"/>
  <c r="J33" i="147"/>
  <c r="F33" i="147"/>
  <c r="D33" i="147"/>
  <c r="I32" i="147"/>
  <c r="J32" i="147"/>
  <c r="F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D18" i="147"/>
  <c r="R17" i="147"/>
  <c r="P17" i="147"/>
  <c r="O17" i="147"/>
  <c r="M17" i="147"/>
  <c r="I17" i="147"/>
  <c r="J17" i="147"/>
  <c r="F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P3" i="147"/>
  <c r="O3" i="147"/>
  <c r="M3" i="147"/>
  <c r="V2" i="147"/>
  <c r="A284" i="82"/>
  <c r="H284" i="82"/>
  <c r="L284" i="82"/>
  <c r="M284" i="82"/>
  <c r="N284" i="82"/>
  <c r="E30" i="106"/>
  <c r="E45" i="106"/>
  <c r="I46" i="106"/>
  <c r="J46" i="106"/>
  <c r="F46" i="106"/>
  <c r="D46" i="106"/>
  <c r="G45" i="106"/>
  <c r="H45" i="106"/>
  <c r="I45" i="106"/>
  <c r="J45" i="106"/>
  <c r="F45" i="106"/>
  <c r="D45" i="106"/>
  <c r="I44" i="106"/>
  <c r="J44" i="106"/>
  <c r="F44" i="106"/>
  <c r="D44" i="106"/>
  <c r="I43" i="106"/>
  <c r="J43" i="106"/>
  <c r="F43" i="106"/>
  <c r="D43" i="106"/>
  <c r="I41" i="106"/>
  <c r="J41" i="106"/>
  <c r="F41" i="106"/>
  <c r="D41" i="106"/>
  <c r="I40" i="106"/>
  <c r="J40" i="106"/>
  <c r="F40" i="106"/>
  <c r="D40" i="106"/>
  <c r="I39" i="106"/>
  <c r="J39" i="106"/>
  <c r="F39" i="106"/>
  <c r="D39" i="106"/>
  <c r="I38" i="106"/>
  <c r="J38" i="106"/>
  <c r="F38" i="106"/>
  <c r="D38" i="106"/>
  <c r="I37" i="106"/>
  <c r="J37" i="106"/>
  <c r="F37" i="106"/>
  <c r="D37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4" i="106"/>
  <c r="D25" i="106"/>
  <c r="D26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22" i="106"/>
  <c r="F23" i="106"/>
  <c r="F24" i="106"/>
  <c r="F25" i="106"/>
  <c r="F26" i="106"/>
  <c r="F28" i="106"/>
  <c r="F29" i="106"/>
  <c r="F30" i="106"/>
  <c r="F31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8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M4" i="106"/>
  <c r="M12" i="106"/>
  <c r="M11" i="106"/>
  <c r="M10" i="106"/>
  <c r="M9" i="106"/>
  <c r="M8" i="106"/>
  <c r="M7" i="106"/>
  <c r="M6" i="106"/>
  <c r="M5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B47" i="153"/>
  <c r="D47" i="153"/>
  <c r="I36" i="153"/>
  <c r="J36" i="153"/>
  <c r="F36" i="153"/>
  <c r="D36" i="153"/>
  <c r="F35" i="153"/>
  <c r="D35" i="153"/>
  <c r="D35" i="106"/>
  <c r="F35" i="106"/>
  <c r="I35" i="106"/>
  <c r="J35" i="106"/>
  <c r="F27" i="106"/>
  <c r="D27" i="106"/>
  <c r="I27" i="106"/>
  <c r="J27" i="106"/>
  <c r="B57" i="106"/>
  <c r="D20" i="106"/>
  <c r="F20" i="106"/>
  <c r="I20" i="106"/>
  <c r="J20" i="106"/>
  <c r="B56" i="106"/>
  <c r="D42" i="106"/>
  <c r="F42" i="106"/>
  <c r="I42" i="106"/>
  <c r="J42" i="106"/>
  <c r="D35" i="147"/>
  <c r="F35" i="147"/>
  <c r="I35" i="147"/>
  <c r="J35" i="147"/>
  <c r="B56" i="147"/>
  <c r="I20" i="147"/>
  <c r="J20" i="147"/>
  <c r="F20" i="147"/>
  <c r="D20" i="147"/>
  <c r="D21" i="147"/>
  <c r="F21" i="147"/>
  <c r="I21" i="147"/>
  <c r="J21" i="147"/>
  <c r="D36" i="147"/>
  <c r="F36" i="147"/>
  <c r="I36" i="147"/>
  <c r="J36" i="147"/>
  <c r="B47" i="147"/>
  <c r="D47" i="147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5" i="147"/>
  <c r="P2" i="157"/>
  <c r="B59" i="106"/>
  <c r="I36" i="106"/>
  <c r="J36" i="106"/>
  <c r="F36" i="106"/>
  <c r="D36" i="106"/>
  <c r="I21" i="106"/>
  <c r="J21" i="106"/>
  <c r="F21" i="106"/>
  <c r="D21" i="106"/>
  <c r="D34" i="106"/>
  <c r="F34" i="106"/>
  <c r="I34" i="106"/>
  <c r="J34" i="106"/>
  <c r="F18" i="106"/>
  <c r="D17" i="106"/>
  <c r="D18" i="106"/>
  <c r="D19" i="106"/>
  <c r="F19" i="106"/>
  <c r="F17" i="106"/>
  <c r="I17" i="106"/>
  <c r="J17" i="106"/>
  <c r="I18" i="106"/>
  <c r="J18" i="106"/>
  <c r="I19" i="106"/>
  <c r="J19" i="106"/>
  <c r="B55" i="106"/>
  <c r="B62" i="106"/>
  <c r="C55" i="106"/>
  <c r="C56" i="106"/>
  <c r="C57" i="106"/>
  <c r="C58" i="106"/>
  <c r="C59" i="106"/>
  <c r="C60" i="106"/>
  <c r="C61" i="106"/>
  <c r="C62" i="106"/>
  <c r="H55" i="106"/>
  <c r="F33" i="106"/>
  <c r="I33" i="106"/>
  <c r="J33" i="106"/>
  <c r="D33" i="106"/>
  <c r="I32" i="106"/>
  <c r="J32" i="106"/>
  <c r="F32" i="106"/>
  <c r="D32" i="106"/>
  <c r="H56" i="106"/>
  <c r="F65" i="106"/>
  <c r="F61" i="106"/>
  <c r="F62" i="106"/>
  <c r="F60" i="106"/>
  <c r="D47" i="106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6" i="149"/>
  <c r="C57" i="149"/>
  <c r="C58" i="149"/>
  <c r="C59" i="149"/>
  <c r="C60" i="149"/>
  <c r="C61" i="149"/>
  <c r="C55" i="149"/>
  <c r="C62" i="149"/>
  <c r="B47" i="149"/>
  <c r="D47" i="149"/>
  <c r="I36" i="149"/>
  <c r="J36" i="149"/>
  <c r="F36" i="149"/>
  <c r="D36" i="149"/>
  <c r="F35" i="149"/>
  <c r="D35" i="149"/>
  <c r="I35" i="149"/>
  <c r="J35" i="149"/>
  <c r="F62" i="149"/>
  <c r="F61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9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<sst xmlns="http://schemas.openxmlformats.org/spreadsheetml/2006/main" count="1717" uniqueCount="303">
  <si>
    <t>character_id</t>
  </si>
  <si>
    <t>character_id</t>
    <phoneticPr fontId="13"/>
  </si>
  <si>
    <t>weight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</si>
  <si>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</si>
  <si>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</si>
  <si>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</si>
  <si>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</si>
  <si>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</si>
  <si>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</si>
  <si>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</si>
  <si>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</si>
  <si>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</si>
  <si>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</si>
  <si>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</si>
  <si>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</si>
  <si>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</si>
  <si>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</si>
  <si>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</si>
  <si>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</si>
  <si>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備考</t>
    <rPh sb="0" eb="2">
      <t>ビコウ</t>
    </rPh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</si>
  <si>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</si>
  <si>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</si>
  <si>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</si>
  <si>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</si>
  <si>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</si>
  <si>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</si>
  <si>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</si>
  <si>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</si>
  <si>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6"/>
  </si>
  <si>
    <t>識別子</t>
    <rPh sb="0" eb="3">
      <t>シキベツシ</t>
    </rPh>
    <phoneticPr fontId="46"/>
  </si>
  <si>
    <t>形式</t>
    <rPh sb="0" eb="2">
      <t>ケイシキ</t>
    </rPh>
    <phoneticPr fontId="46"/>
  </si>
  <si>
    <t>出力ファイル名</t>
    <rPh sb="0" eb="2">
      <t>シュツリョク</t>
    </rPh>
    <rPh sb="6" eb="7">
      <t>メイ</t>
    </rPh>
    <phoneticPr fontId="46"/>
  </si>
  <si>
    <t>入力シート名</t>
    <rPh sb="0" eb="2">
      <t>ニュウリョク</t>
    </rPh>
    <rPh sb="5" eb="6">
      <t>メイ</t>
    </rPh>
    <phoneticPr fontId="46"/>
  </si>
  <si>
    <t>出力データ</t>
    <rPh sb="0" eb="2">
      <t>シュツリョク</t>
    </rPh>
    <phoneticPr fontId="46"/>
  </si>
  <si>
    <t>出力flg</t>
    <rPh sb="0" eb="2">
      <t>シュツリョク</t>
    </rPh>
    <phoneticPr fontId="46"/>
  </si>
  <si>
    <t>color</t>
    <phoneticPr fontId="13"/>
  </si>
  <si>
    <t>レアリティ別確率</t>
    <rPh sb="5" eb="6">
      <t>ベツ</t>
    </rPh>
    <rPh sb="6" eb="8">
      <t>カクリツ</t>
    </rPh>
    <phoneticPr fontId="13"/>
  </si>
  <si>
    <t>ラベル別確率</t>
    <rPh sb="3" eb="4">
      <t>ベツ</t>
    </rPh>
    <rPh sb="4" eb="6">
      <t>カクリツ</t>
    </rPh>
    <phoneticPr fontId="13"/>
  </si>
  <si>
    <t>SSS</t>
    <phoneticPr fontId="13"/>
  </si>
  <si>
    <t>SS</t>
    <phoneticPr fontId="13"/>
  </si>
  <si>
    <t>ラベル*レアリティ標準確率</t>
    <rPh sb="9" eb="11">
      <t>ヒョウジュン</t>
    </rPh>
    <rPh sb="11" eb="13">
      <t>カクリツ</t>
    </rPh>
    <phoneticPr fontId="13"/>
  </si>
  <si>
    <t>性別</t>
    <rPh sb="0" eb="2">
      <t>セイベツ</t>
    </rPh>
    <phoneticPr fontId="13"/>
  </si>
  <si>
    <t>合計</t>
    <rPh sb="0" eb="2">
      <t>ゴウケイ</t>
    </rPh>
    <phoneticPr fontId="13"/>
  </si>
  <si>
    <t>グループ</t>
    <phoneticPr fontId="13"/>
  </si>
  <si>
    <t>ピックアップ確率</t>
    <rPh sb="6" eb="8">
      <t>カクリツ</t>
    </rPh>
    <phoneticPr fontId="13"/>
  </si>
  <si>
    <t>残り確率</t>
    <rPh sb="0" eb="1">
      <t>ノコ</t>
    </rPh>
    <rPh sb="2" eb="4">
      <t>カクリツ</t>
    </rPh>
    <phoneticPr fontId="13"/>
  </si>
  <si>
    <t>確率</t>
    <rPh sb="0" eb="2">
      <t>カクリツ</t>
    </rPh>
    <phoneticPr fontId="13"/>
  </si>
  <si>
    <t>所属グループ</t>
    <rPh sb="0" eb="2">
      <t>ショゾク</t>
    </rPh>
    <phoneticPr fontId="13"/>
  </si>
  <si>
    <t>名前</t>
    <rPh sb="0" eb="2">
      <t>ナマエ</t>
    </rPh>
    <phoneticPr fontId="13"/>
  </si>
  <si>
    <t>レアリティ</t>
    <phoneticPr fontId="13"/>
  </si>
  <si>
    <t>ラベル</t>
    <phoneticPr fontId="13"/>
  </si>
  <si>
    <t>R3</t>
    <phoneticPr fontId="13"/>
  </si>
  <si>
    <t>R4</t>
    <phoneticPr fontId="13"/>
  </si>
  <si>
    <t>R5</t>
    <phoneticPr fontId="13"/>
  </si>
  <si>
    <t>個別確率</t>
    <rPh sb="0" eb="4">
      <t>コベツカクリツ</t>
    </rPh>
    <phoneticPr fontId="13"/>
  </si>
  <si>
    <t>該当数(ピックアップ除く)</t>
    <rPh sb="0" eb="2">
      <t>ガイトウ</t>
    </rPh>
    <rPh sb="2" eb="3">
      <t>スウ</t>
    </rPh>
    <rPh sb="10" eb="11">
      <t>ノゾ</t>
    </rPh>
    <phoneticPr fontId="13"/>
  </si>
  <si>
    <t>個別weight</t>
    <rPh sb="0" eb="2">
      <t>コベツ</t>
    </rPh>
    <phoneticPr fontId="13"/>
  </si>
  <si>
    <t>グループweight</t>
    <phoneticPr fontId="13"/>
  </si>
  <si>
    <t>端数</t>
    <rPh sb="0" eb="2">
      <t>ハスウ</t>
    </rPh>
    <phoneticPr fontId="13"/>
  </si>
  <si>
    <t>確率</t>
    <rPh sb="0" eb="2">
      <t>カクリツ</t>
    </rPh>
    <phoneticPr fontId="13"/>
  </si>
  <si>
    <t>--検算用--</t>
    <rPh sb="3" eb="6">
      <t>ケンザンヨウ</t>
    </rPh>
    <phoneticPr fontId="13"/>
  </si>
  <si>
    <t>端数逆数</t>
    <rPh sb="0" eb="2">
      <t>ハスウ</t>
    </rPh>
    <rPh sb="2" eb="4">
      <t>ギャクスウ</t>
    </rPh>
    <phoneticPr fontId="13"/>
  </si>
  <si>
    <t>テーブルを増やしたい場合</t>
    <rPh sb="5" eb="6">
      <t>フ</t>
    </rPh>
    <rPh sb="10" eb="12">
      <t>バアイ</t>
    </rPh>
    <phoneticPr fontId="13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</si>
  <si>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3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</si>
  <si>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3"/>
  </si>
  <si>
    <t>３．outputシートで２で作ったtablesを指定する</t>
    <rPh sb="14" eb="15">
      <t>ツク</t>
    </rPh>
    <rPh sb="24" eb="26">
      <t>シテイ</t>
    </rPh>
    <phoneticPr fontId="13"/>
  </si>
  <si>
    <t>テーブルid</t>
    <phoneticPr fontId="13"/>
  </si>
  <si>
    <t>→ピックアップの確率は右のほうにいます</t>
    <rPh sb="8" eb="10">
      <t>カクリツ</t>
    </rPh>
    <rPh sb="11" eb="12">
      <t>ミギ</t>
    </rPh>
    <phoneticPr fontId="13"/>
  </si>
  <si>
    <t>table_no</t>
    <phoneticPr fontId="13"/>
  </si>
  <si>
    <t>skill_level</t>
  </si>
  <si>
    <t>level</t>
  </si>
  <si>
    <t>hp_plus</t>
    <phoneticPr fontId="46"/>
  </si>
  <si>
    <t>attack_plus</t>
    <phoneticPr fontId="46"/>
  </si>
  <si>
    <t>heal_plus</t>
    <phoneticPr fontId="46"/>
  </si>
  <si>
    <t>defense_plus</t>
    <phoneticPr fontId="46"/>
  </si>
  <si>
    <t>level</t>
    <phoneticPr fontId="46"/>
  </si>
  <si>
    <t>skill_level</t>
    <phoneticPr fontId="46"/>
  </si>
  <si>
    <t>bug</t>
    <phoneticPr fontId="46"/>
  </si>
  <si>
    <t>drop_label2</t>
    <phoneticPr fontId="13"/>
  </si>
  <si>
    <t>Premium</t>
    <phoneticPr fontId="13"/>
  </si>
  <si>
    <t>Premium3</t>
    <phoneticPr fontId="13"/>
  </si>
  <si>
    <t>Premium4</t>
    <phoneticPr fontId="13"/>
  </si>
  <si>
    <t>Premium5</t>
    <phoneticPr fontId="13"/>
  </si>
  <si>
    <t>グループ確率</t>
    <rPh sb="4" eb="6">
      <t>カクリツ</t>
    </rPh>
    <phoneticPr fontId="13"/>
  </si>
  <si>
    <t>レア度別確率</t>
    <rPh sb="2" eb="4">
      <t>ドベツ</t>
    </rPh>
    <rPh sb="4" eb="6">
      <t>カクリツ</t>
    </rPh>
    <phoneticPr fontId="13"/>
  </si>
  <si>
    <t>ラベル別確率</t>
    <rPh sb="3" eb="4">
      <t>ベツ</t>
    </rPh>
    <rPh sb="4" eb="6">
      <t>カクリツ</t>
    </rPh>
    <phoneticPr fontId="13"/>
  </si>
  <si>
    <t>color2</t>
    <phoneticPr fontId="13"/>
  </si>
  <si>
    <t>Premium3</t>
  </si>
  <si>
    <t>Premium4</t>
  </si>
  <si>
    <t>Premium5</t>
  </si>
  <si>
    <t>PremiumSS4</t>
    <phoneticPr fontId="13"/>
  </si>
  <si>
    <t>PremiumSS5</t>
    <phoneticPr fontId="13"/>
  </si>
  <si>
    <t>PremiumSSS5</t>
    <phoneticPr fontId="13"/>
  </si>
  <si>
    <t>PremiumSS4</t>
    <phoneticPr fontId="13"/>
  </si>
  <si>
    <t>PremiumSSS4</t>
    <phoneticPr fontId="13"/>
  </si>
  <si>
    <t>PremiumSS5</t>
    <phoneticPr fontId="13"/>
  </si>
  <si>
    <t>PremiumSSS5</t>
    <phoneticPr fontId="13"/>
  </si>
  <si>
    <t>ラベル確率で考えましょう</t>
    <rPh sb="6" eb="7">
      <t>カンガエマショウ</t>
    </rPh>
    <phoneticPr fontId="46"/>
  </si>
  <si>
    <t>ラベル</t>
    <phoneticPr fontId="46"/>
  </si>
  <si>
    <t>レアリティ</t>
    <phoneticPr fontId="46"/>
  </si>
  <si>
    <t>{W}</t>
    <phoneticPr fontId="46"/>
  </si>
  <si>
    <t>{N,S}</t>
    <phoneticPr fontId="46"/>
  </si>
  <si>
    <t>{N,S}R3less</t>
    <phoneticPr fontId="46"/>
  </si>
  <si>
    <t>{N,S}R6release</t>
    <phoneticPr fontId="46"/>
  </si>
  <si>
    <t>{SS}</t>
    <phoneticPr fontId="46"/>
  </si>
  <si>
    <t>{SS}R6only</t>
    <phoneticPr fontId="46"/>
  </si>
  <si>
    <t>小計</t>
    <rPh sb="0" eb="2">
      <t>ショウケイ</t>
    </rPh>
    <phoneticPr fontId="46"/>
  </si>
  <si>
    <t>A</t>
    <phoneticPr fontId="46"/>
  </si>
  <si>
    <t>C</t>
    <phoneticPr fontId="46"/>
  </si>
  <si>
    <t>H</t>
    <phoneticPr fontId="46"/>
  </si>
  <si>
    <t>B</t>
    <phoneticPr fontId="46"/>
  </si>
  <si>
    <t>D</t>
    <phoneticPr fontId="46"/>
  </si>
  <si>
    <t>F</t>
    <phoneticPr fontId="46"/>
  </si>
  <si>
    <t>I</t>
    <phoneticPr fontId="46"/>
  </si>
  <si>
    <t>K</t>
    <phoneticPr fontId="46"/>
  </si>
  <si>
    <t>E</t>
    <phoneticPr fontId="46"/>
  </si>
  <si>
    <t>G</t>
    <phoneticPr fontId="46"/>
  </si>
  <si>
    <t>J</t>
    <phoneticPr fontId="46"/>
  </si>
  <si>
    <t>L</t>
    <phoneticPr fontId="46"/>
  </si>
  <si>
    <t>M</t>
    <phoneticPr fontId="46"/>
  </si>
  <si>
    <t>→</t>
    <phoneticPr fontId="46"/>
  </si>
  <si>
    <t>1-SS率</t>
    <rPh sb="4" eb="5">
      <t>リツ</t>
    </rPh>
    <phoneticPr fontId="46"/>
  </si>
  <si>
    <t>SS率</t>
    <rPh sb="2" eb="3">
      <t>リツ</t>
    </rPh>
    <phoneticPr fontId="46"/>
  </si>
  <si>
    <t>考え方を変える</t>
    <rPh sb="0" eb="1">
      <t>カンガエカタ</t>
    </rPh>
    <rPh sb="4" eb="5">
      <t>カエル</t>
    </rPh>
    <phoneticPr fontId="46"/>
  </si>
  <si>
    <t>SS4%は確定事項</t>
    <rPh sb="5" eb="7">
      <t>カクテイ</t>
    </rPh>
    <rPh sb="7" eb="9">
      <t>ジコウ</t>
    </rPh>
    <phoneticPr fontId="46"/>
  </si>
  <si>
    <t>当たりは分配</t>
    <rPh sb="0" eb="1">
      <t>アタリ</t>
    </rPh>
    <rPh sb="4" eb="6">
      <t>ブンパイ</t>
    </rPh>
    <phoneticPr fontId="46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</si>
  <si>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6"/>
  </si>
  <si>
    <t>=</t>
    <phoneticPr fontId="46"/>
  </si>
  <si>
    <t>X*{SS R5only}</t>
    <phoneticPr fontId="46"/>
  </si>
  <si>
    <t>K</t>
    <phoneticPr fontId="46"/>
  </si>
  <si>
    <t>=</t>
    <phoneticPr fontId="46"/>
  </si>
  <si>
    <t>X*{SS}*(R3率+R4率)</t>
    <rPh sb="10" eb="11">
      <t>リツ</t>
    </rPh>
    <rPh sb="14" eb="15">
      <t>リツ</t>
    </rPh>
    <phoneticPr fontId="46"/>
  </si>
  <si>
    <t>L</t>
    <phoneticPr fontId="46"/>
  </si>
  <si>
    <t>X*{SS}*R5率</t>
    <rPh sb="9" eb="10">
      <t>リツ</t>
    </rPh>
    <phoneticPr fontId="46"/>
  </si>
  <si>
    <t>X*{R6release}*R3率</t>
    <rPh sb="16" eb="17">
      <t>リツ</t>
    </rPh>
    <phoneticPr fontId="46"/>
  </si>
  <si>
    <t>X*{R6release}*R4率</t>
    <rPh sb="16" eb="17">
      <t>リツ</t>
    </rPh>
    <phoneticPr fontId="46"/>
  </si>
  <si>
    <t>J</t>
    <phoneticPr fontId="46"/>
  </si>
  <si>
    <t>X*{R6release}*R5率</t>
    <rPh sb="16" eb="17">
      <t>リツ</t>
    </rPh>
    <phoneticPr fontId="46"/>
  </si>
  <si>
    <t>ハズレで確率を整える</t>
    <rPh sb="4" eb="6">
      <t>カクリツ</t>
    </rPh>
    <rPh sb="7" eb="8">
      <t>トトノエル</t>
    </rPh>
    <phoneticPr fontId="46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</si>
  <si>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6"/>
  </si>
  <si>
    <t>A + C</t>
    <phoneticPr fontId="46"/>
  </si>
  <si>
    <t>=</t>
    <phoneticPr fontId="46"/>
  </si>
  <si>
    <t>50%-H</t>
    <phoneticPr fontId="46"/>
  </si>
  <si>
    <t>①</t>
    <phoneticPr fontId="46"/>
  </si>
  <si>
    <t>B + D + F</t>
    <phoneticPr fontId="46"/>
  </si>
  <si>
    <t>45%-I-K</t>
    <phoneticPr fontId="46"/>
  </si>
  <si>
    <t>②</t>
    <phoneticPr fontId="46"/>
  </si>
  <si>
    <t>E+G</t>
    <phoneticPr fontId="46"/>
  </si>
  <si>
    <t>5%-J-L-M</t>
    <phoneticPr fontId="46"/>
  </si>
  <si>
    <t>③</t>
    <phoneticPr fontId="46"/>
  </si>
  <si>
    <t>A+B</t>
    <phoneticPr fontId="46"/>
  </si>
  <si>
    <t>Y*{W}</t>
    <phoneticPr fontId="46"/>
  </si>
  <si>
    <t>④</t>
    <phoneticPr fontId="46"/>
  </si>
  <si>
    <t>C+D+E</t>
    <phoneticPr fontId="46"/>
  </si>
  <si>
    <t>Y*{N,S}</t>
    <phoneticPr fontId="46"/>
  </si>
  <si>
    <t>⑤</t>
    <phoneticPr fontId="46"/>
  </si>
  <si>
    <t>F+G</t>
    <phoneticPr fontId="46"/>
  </si>
  <si>
    <t>Y*{N,S R3less}</t>
    <phoneticPr fontId="46"/>
  </si>
  <si>
    <t>⑥</t>
    <phoneticPr fontId="46"/>
  </si>
  <si>
    <t>A+B+C+D+E+F+G</t>
    <phoneticPr fontId="46"/>
  </si>
  <si>
    <t>⑦</t>
    <phoneticPr fontId="46"/>
  </si>
  <si>
    <t>←これは4,5,6で作れるのでダメだわ</t>
    <rPh sb="10" eb="11">
      <t>ツクレル</t>
    </rPh>
    <phoneticPr fontId="46"/>
  </si>
  <si>
    <t>E*R3率/R5率</t>
    <rPh sb="4" eb="5">
      <t>リツ</t>
    </rPh>
    <rPh sb="8" eb="9">
      <t>リツ</t>
    </rPh>
    <phoneticPr fontId="46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</si>
  <si>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6"/>
  </si>
  <si>
    <t>E*R4率/R5率</t>
    <rPh sb="4" eb="5">
      <t>リツ</t>
    </rPh>
    <rPh sb="8" eb="9">
      <t>リツ</t>
    </rPh>
    <phoneticPr fontId="46"/>
  </si>
  <si>
    <t>∴</t>
    <phoneticPr fontId="46"/>
  </si>
  <si>
    <t>E</t>
    <phoneticPr fontId="46"/>
  </si>
  <si>
    <t>Y*{N,S}*R5率</t>
    <rPh sb="10" eb="11">
      <t>リツ</t>
    </rPh>
    <phoneticPr fontId="46"/>
  </si>
  <si>
    <t>Y*{N,S}*R4率</t>
    <rPh sb="10" eb="11">
      <t>リツ</t>
    </rPh>
    <phoneticPr fontId="46"/>
  </si>
  <si>
    <t>Y*{N,S}*R3率</t>
    <rPh sb="10" eb="11">
      <t>リツ</t>
    </rPh>
    <phoneticPr fontId="46"/>
  </si>
  <si>
    <t>50%-H-C</t>
    <phoneticPr fontId="46"/>
  </si>
  <si>
    <t>Y*{W}-A</t>
    <phoneticPr fontId="46"/>
  </si>
  <si>
    <t>5%-J-L-M-E</t>
    <phoneticPr fontId="46"/>
  </si>
  <si>
    <t>Y*{N,S R3less} - G</t>
    <phoneticPr fontId="46"/>
  </si>
  <si>
    <t>R6境界前後</t>
    <rPh sb="2" eb="4">
      <t>キョウカイ</t>
    </rPh>
    <rPh sb="4" eb="6">
      <t>ゼンゴ</t>
    </rPh>
    <phoneticPr fontId="13"/>
  </si>
  <si>
    <t>R6事後開放N,S</t>
    <rPh sb="2" eb="6">
      <t>ジゴカイホウ</t>
    </rPh>
    <phoneticPr fontId="13"/>
  </si>
  <si>
    <t>PremiumW3</t>
    <phoneticPr fontId="13"/>
  </si>
  <si>
    <t>PremiumW4</t>
    <phoneticPr fontId="13"/>
  </si>
  <si>
    <t>ラベル確率</t>
    <rPh sb="3" eb="5">
      <t>カクリツ</t>
    </rPh>
    <phoneticPr fontId="13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</si>
  <si>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</si>
  <si>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</si>
  <si>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</si>
  <si>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</si>
  <si>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</si>
  <si>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3"/>
  </si>
  <si>
    <t>PremiumSS5R5only</t>
  </si>
  <si>
    <t>計算用中間データ</t>
    <rPh sb="0" eb="3">
      <t>ケイサンヨウ</t>
    </rPh>
    <rPh sb="3" eb="5">
      <t>チュウカン</t>
    </rPh>
    <phoneticPr fontId="13"/>
  </si>
  <si>
    <t>X</t>
    <phoneticPr fontId="13"/>
  </si>
  <si>
    <t>Y</t>
    <phoneticPr fontId="13"/>
  </si>
  <si>
    <t>対象数</t>
    <rPh sb="0" eb="3">
      <t>タイショウスウ</t>
    </rPh>
    <phoneticPr fontId="13"/>
  </si>
  <si>
    <t>PremiumW</t>
    <phoneticPr fontId="13"/>
  </si>
  <si>
    <t>PremiumN</t>
    <phoneticPr fontId="13"/>
  </si>
  <si>
    <t>PremiumS</t>
    <phoneticPr fontId="13"/>
  </si>
  <si>
    <t>PremiumSS</t>
    <phoneticPr fontId="13"/>
  </si>
  <si>
    <t>weight</t>
    <phoneticPr fontId="13"/>
  </si>
  <si>
    <t>←R6分はここから差し引く</t>
    <rPh sb="3" eb="4">
      <t>ブン</t>
    </rPh>
    <rPh sb="9" eb="10">
      <t>サシヒク</t>
    </rPh>
    <phoneticPr fontId="13"/>
  </si>
  <si>
    <t>除外確率</t>
    <rPh sb="0" eb="2">
      <t>ジョガイ</t>
    </rPh>
    <rPh sb="2" eb="4">
      <t>カクリツ</t>
    </rPh>
    <phoneticPr fontId="13"/>
  </si>
  <si>
    <t>除外数</t>
    <rPh sb="0" eb="3">
      <t>ジョガイスウ</t>
    </rPh>
    <phoneticPr fontId="13"/>
  </si>
  <si>
    <t>もうここは手で入れよう…</t>
    <rPh sb="5" eb="6">
      <t>テ</t>
    </rPh>
    <rPh sb="7" eb="8">
      <t>イレヨウ</t>
    </rPh>
    <phoneticPr fontId="13"/>
  </si>
  <si>
    <t>通常weight</t>
    <rPh sb="0" eb="2">
      <t>ツウジョウ</t>
    </rPh>
    <phoneticPr fontId="13"/>
  </si>
  <si>
    <t>A</t>
    <phoneticPr fontId="13"/>
  </si>
  <si>
    <t>B</t>
    <phoneticPr fontId="13"/>
  </si>
  <si>
    <t>PremiumW4</t>
    <phoneticPr fontId="13"/>
  </si>
  <si>
    <t>C</t>
    <phoneticPr fontId="13"/>
  </si>
  <si>
    <t>Premium3</t>
    <phoneticPr fontId="13"/>
  </si>
  <si>
    <t>D</t>
    <phoneticPr fontId="13"/>
  </si>
  <si>
    <t>Premium4</t>
    <phoneticPr fontId="13"/>
  </si>
  <si>
    <t>E</t>
    <phoneticPr fontId="13"/>
  </si>
  <si>
    <t>Premium5</t>
    <phoneticPr fontId="13"/>
  </si>
  <si>
    <t>F</t>
    <phoneticPr fontId="13"/>
  </si>
  <si>
    <t>Premium4R3less</t>
    <phoneticPr fontId="13"/>
  </si>
  <si>
    <t>G</t>
    <phoneticPr fontId="13"/>
  </si>
  <si>
    <t>Premium5R3less</t>
    <phoneticPr fontId="13"/>
  </si>
  <si>
    <t>H</t>
    <phoneticPr fontId="13"/>
  </si>
  <si>
    <t>I</t>
    <phoneticPr fontId="13"/>
  </si>
  <si>
    <t>J</t>
    <phoneticPr fontId="13"/>
  </si>
  <si>
    <t>K</t>
    <phoneticPr fontId="13"/>
  </si>
  <si>
    <t>Premium3R6release</t>
    <phoneticPr fontId="13"/>
  </si>
  <si>
    <t>Premium4R6release</t>
    <phoneticPr fontId="13"/>
  </si>
  <si>
    <t>Premium5R6release</t>
    <phoneticPr fontId="13"/>
  </si>
  <si>
    <t>PremiumSS4</t>
    <phoneticPr fontId="13"/>
  </si>
  <si>
    <t>PremiumSS5</t>
    <phoneticPr fontId="13"/>
  </si>
  <si>
    <t>L</t>
    <phoneticPr fontId="13"/>
  </si>
  <si>
    <t>M</t>
    <phoneticPr fontId="13"/>
  </si>
  <si>
    <t>PremiumSS5R5only</t>
    <phoneticPr fontId="13"/>
  </si>
  <si>
    <t>50% - H - C</t>
    <phoneticPr fontId="13"/>
  </si>
  <si>
    <t>Xcolor</t>
    <phoneticPr fontId="13"/>
  </si>
  <si>
    <t>Ycolor</t>
    <phoneticPr fontId="13"/>
  </si>
  <si>
    <t>Premium4color</t>
    <phoneticPr fontId="13"/>
  </si>
  <si>
    <t>PremiumW3color</t>
    <phoneticPr fontId="13"/>
  </si>
  <si>
    <t>PremiumW4color</t>
    <phoneticPr fontId="13"/>
  </si>
  <si>
    <t>Premium3color</t>
    <phoneticPr fontId="13"/>
  </si>
  <si>
    <t>Premium5color</t>
    <phoneticPr fontId="13"/>
  </si>
  <si>
    <t>Premium4R3lesscolor</t>
    <phoneticPr fontId="13"/>
  </si>
  <si>
    <t>Premium5R3lesscolor</t>
    <phoneticPr fontId="13"/>
  </si>
  <si>
    <t>Premium3R6releasecolor</t>
    <phoneticPr fontId="13"/>
  </si>
  <si>
    <t>Premium4R6releasecolor</t>
    <phoneticPr fontId="13"/>
  </si>
  <si>
    <t>Premium5R6releasecolor</t>
    <phoneticPr fontId="13"/>
  </si>
  <si>
    <t>PremiumSS4color</t>
    <phoneticPr fontId="13"/>
  </si>
  <si>
    <t>PremiumSS5color</t>
    <phoneticPr fontId="13"/>
  </si>
  <si>
    <t>PremiumSS5R5onlycolor</t>
    <phoneticPr fontId="13"/>
  </si>
  <si>
    <t>PremiumSSS4R3lesscolor</t>
    <phoneticPr fontId="13"/>
  </si>
  <si>
    <t>PremiumSSS5R3lesscolor</t>
    <phoneticPr fontId="13"/>
  </si>
  <si>
    <t>PremiumSSS4R3less</t>
    <phoneticPr fontId="13"/>
  </si>
  <si>
    <t>PremiumSSS5R3less</t>
    <phoneticPr fontId="13"/>
  </si>
  <si>
    <t>通常確率</t>
    <phoneticPr fontId="13"/>
  </si>
  <si>
    <t>通常確率</t>
    <phoneticPr fontId="13"/>
  </si>
  <si>
    <t>通常確率</t>
    <phoneticPr fontId="13"/>
  </si>
  <si>
    <t>PremiumSSS</t>
    <phoneticPr fontId="13"/>
  </si>
  <si>
    <t>PremiumSSw</t>
    <phoneticPr fontId="13"/>
  </si>
  <si>
    <t>PremiumSS5R5only</t>
    <phoneticPr fontId="13"/>
  </si>
  <si>
    <t>PremiumSSS</t>
    <phoneticPr fontId="13"/>
  </si>
  <si>
    <t>PremiumSSw</t>
    <phoneticPr fontId="13"/>
  </si>
  <si>
    <t>PremiumSSw</t>
    <phoneticPr fontId="13"/>
  </si>
  <si>
    <t>PremiumSSS</t>
    <phoneticPr fontId="13"/>
  </si>
  <si>
    <t>PremiumSSS</t>
    <phoneticPr fontId="13"/>
  </si>
  <si>
    <t>↓これが正しい</t>
    <phoneticPr fontId="13"/>
  </si>
  <si>
    <t>ja</t>
    <phoneticPr fontId="13"/>
  </si>
  <si>
    <t>ランキング対抗ガチャ特典</t>
    <phoneticPr fontId="13"/>
  </si>
  <si>
    <t>unit</t>
    <phoneticPr fontId="13"/>
  </si>
  <si>
    <t>秘術の果実 × 4</t>
    <phoneticPr fontId="13"/>
  </si>
  <si>
    <t>STEP5特典として
秘術の果実を4体プレゼント！</t>
    <phoneticPr fontId="13"/>
  </si>
  <si>
    <t>item</t>
    <phoneticPr fontId="13"/>
  </si>
  <si>
    <t>マスターキー × 3</t>
    <phoneticPr fontId="13"/>
  </si>
  <si>
    <t>STEP6特典として
マスターキーを3本プレゼント！</t>
    <phoneticPr fontId="13"/>
  </si>
  <si>
    <t>gacha_select_tables_</t>
    <phoneticPr fontId="13"/>
  </si>
  <si>
    <t>gacha_select_tables_</t>
    <phoneticPr fontId="13"/>
  </si>
  <si>
    <t>.tmp</t>
    <phoneticPr fontId="46"/>
  </si>
  <si>
    <t>.tmp</t>
    <phoneticPr fontId="46"/>
  </si>
  <si>
    <t>table_no</t>
    <phoneticPr fontId="13"/>
  </si>
  <si>
    <t>gacha_settle_tables_</t>
    <phoneticPr fontId="13"/>
  </si>
  <si>
    <t>.tmp</t>
    <phoneticPr fontId="46"/>
  </si>
  <si>
    <t>table_no</t>
    <phoneticPr fontId="13"/>
  </si>
  <si>
    <t>table_no</t>
    <phoneticPr fontId="13"/>
  </si>
  <si>
    <t>.tmp</t>
    <phoneticPr fontId="46"/>
  </si>
  <si>
    <t>table_no</t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</si>
  <si>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</si>
  <si>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gacha_bonus_tables</t>
    <phoneticPr fontId="46"/>
  </si>
  <si>
    <t>gacha_bonus_tables</t>
    <phoneticPr fontId="46"/>
  </si>
  <si>
    <t>bonus_table_no</t>
    <phoneticPr fontId="13"/>
  </si>
  <si>
    <t>gift_id</t>
    <phoneticPr fontId="13"/>
  </si>
  <si>
    <t>weight</t>
    <phoneticPr fontId="13"/>
  </si>
  <si>
    <t>gifts_tmp_</t>
    <phoneticPr fontId="13"/>
  </si>
  <si>
    <t>gift_type</t>
    <phoneticPr fontId="13"/>
  </si>
  <si>
    <t>gift_value</t>
    <phoneticPr fontId="13"/>
  </si>
  <si>
    <t>gift_count</t>
    <phoneticPr fontId="13"/>
  </si>
  <si>
    <t>gifts_i18n_</t>
    <phoneticPr fontId="13"/>
  </si>
  <si>
    <t>.tmp</t>
    <phoneticPr fontId="46"/>
  </si>
  <si>
    <t>gacha_bonus_tables</t>
    <phoneticPr fontId="46"/>
  </si>
  <si>
    <t>gift_id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</si>
  <si>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</si>
  <si>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</si>
  <si>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</si>
  <si>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</si>
  <si>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old</t>
    <phoneticPr fontId="13"/>
  </si>
  <si>
    <t>tables_596101</t>
  </si>
  <si>
    <t>tables_596103</t>
  </si>
  <si>
    <t>tables_settle_596104</t>
  </si>
  <si>
    <t>tables_596104</t>
  </si>
  <si>
    <t>tables_596105</t>
  </si>
  <si>
    <t>tables_596106</t>
  </si>
  <si>
    <t>tables_596100</t>
  </si>
  <si>
    <t>tables_settle_596103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</si>
</sst>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  <numFmt numFmtId="187" formatCode="0.0000000000000000_ "/>
    <numFmt numFmtId="188" formatCode="0.000_);[Red]\(0.000\)"/>
    <numFmt numFmtId="189" formatCode="0.00000_);[Red]\(0.00000\)"/>
    <numFmt numFmtId="190" formatCode="0.000000000_);[Red]\(0.000000000\)"/>
    <numFmt numFmtId="191" formatCode="0.000000000_ "/>
    <numFmt numFmtId="192" formatCode="0_);[Red]\(0\)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name val="Arial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72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3" fillId="5" borderId="2" applyNumberFormat="0" applyAlignment="0" applyProtection="0"/>
    <xf numFmtId="0" fontId="24" fillId="6" borderId="0" applyNumberFormat="0" applyBorder="0" applyAlignment="0" applyProtection="0"/>
    <xf numFmtId="0" fontId="25" fillId="7" borderId="3" applyNumberFormat="0" applyAlignment="0" applyProtection="0"/>
    <xf numFmtId="0" fontId="26" fillId="0" borderId="0" applyNumberFormat="0" applyFill="0" applyBorder="0" applyAlignment="0" applyProtection="0"/>
    <xf numFmtId="0" fontId="27" fillId="8" borderId="0" applyNumberFormat="0" applyBorder="0" applyAlignment="0" applyProtection="0"/>
    <xf numFmtId="0" fontId="28" fillId="9" borderId="4" applyNumberFormat="0" applyAlignment="0" applyProtection="0"/>
    <xf numFmtId="0" fontId="29" fillId="0" borderId="0" applyNumberFormat="0" applyFill="0" applyBorder="0" applyAlignment="0" applyProtection="0"/>
    <xf numFmtId="0" fontId="30" fillId="0" borderId="5" applyNumberFormat="0" applyFill="0" applyAlignment="0" applyProtection="0"/>
    <xf numFmtId="0" fontId="31" fillId="0" borderId="6" applyNumberFormat="0" applyFill="0" applyAlignment="0" applyProtection="0"/>
    <xf numFmtId="0" fontId="32" fillId="0" borderId="7" applyNumberFormat="0" applyFill="0" applyAlignment="0" applyProtection="0"/>
    <xf numFmtId="0" fontId="32" fillId="0" borderId="0" applyNumberFormat="0" applyFill="0" applyBorder="0" applyAlignment="0" applyProtection="0"/>
    <xf numFmtId="0" fontId="33" fillId="7" borderId="0" applyNumberFormat="0" applyBorder="0" applyAlignment="0" applyProtection="0"/>
    <xf numFmtId="0" fontId="33" fillId="6" borderId="0" applyNumberFormat="0" applyBorder="0" applyAlignment="0" applyProtection="0"/>
    <xf numFmtId="0" fontId="33" fillId="10" borderId="0" applyNumberFormat="0" applyBorder="0" applyAlignment="0" applyProtection="0"/>
    <xf numFmtId="0" fontId="33" fillId="7" borderId="0" applyNumberFormat="0" applyBorder="0" applyAlignment="0" applyProtection="0"/>
    <xf numFmtId="0" fontId="33" fillId="11" borderId="0" applyNumberFormat="0" applyBorder="0" applyAlignment="0" applyProtection="0"/>
    <xf numFmtId="0" fontId="33" fillId="5" borderId="0" applyNumberFormat="0" applyBorder="0" applyAlignment="0" applyProtection="0"/>
    <xf numFmtId="0" fontId="33" fillId="7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7" borderId="0" applyNumberFormat="0" applyBorder="0" applyAlignment="0" applyProtection="0"/>
    <xf numFmtId="0" fontId="33" fillId="13" borderId="0" applyNumberFormat="0" applyBorder="0" applyAlignment="0" applyProtection="0"/>
    <xf numFmtId="0" fontId="33" fillId="6" borderId="0" applyNumberFormat="0" applyBorder="0" applyAlignment="0" applyProtection="0"/>
    <xf numFmtId="0" fontId="34" fillId="14" borderId="0" applyNumberFormat="0" applyBorder="0" applyAlignment="0" applyProtection="0"/>
    <xf numFmtId="0" fontId="34" fillId="12" borderId="0" applyNumberFormat="0" applyBorder="0" applyAlignment="0" applyProtection="0"/>
    <xf numFmtId="0" fontId="34" fillId="10" borderId="0" applyNumberFormat="0" applyBorder="0" applyAlignment="0" applyProtection="0"/>
    <xf numFmtId="0" fontId="34" fillId="7" borderId="0" applyNumberFormat="0" applyBorder="0" applyAlignment="0" applyProtection="0"/>
    <xf numFmtId="0" fontId="34" fillId="14" borderId="0" applyNumberFormat="0" applyBorder="0" applyAlignment="0" applyProtection="0"/>
    <xf numFmtId="0" fontId="34" fillId="6" borderId="0" applyNumberFormat="0" applyBorder="0" applyAlignment="0" applyProtection="0"/>
    <xf numFmtId="0" fontId="26" fillId="0" borderId="0" applyNumberFormat="0" applyFill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0" borderId="0" applyNumberFormat="0" applyBorder="0" applyAlignment="0" applyProtection="0"/>
    <xf numFmtId="0" fontId="34" fillId="16" borderId="0" applyNumberFormat="0" applyBorder="0" applyAlignment="0" applyProtection="0"/>
    <xf numFmtId="0" fontId="34" fillId="14" borderId="0" applyNumberFormat="0" applyBorder="0" applyAlignment="0" applyProtection="0"/>
    <xf numFmtId="0" fontId="34" fillId="12" borderId="0" applyNumberFormat="0" applyBorder="0" applyAlignment="0" applyProtection="0"/>
    <xf numFmtId="0" fontId="35" fillId="17" borderId="0" applyNumberFormat="0" applyBorder="0" applyAlignment="0" applyProtection="0"/>
    <xf numFmtId="0" fontId="24" fillId="6" borderId="0" applyNumberFormat="0" applyBorder="0" applyAlignment="0" applyProtection="0"/>
    <xf numFmtId="0" fontId="36" fillId="0" borderId="8" applyNumberFormat="0" applyFill="0" applyAlignment="0" applyProtection="0"/>
    <xf numFmtId="0" fontId="37" fillId="7" borderId="9" applyNumberFormat="0" applyAlignment="0" applyProtection="0"/>
    <xf numFmtId="0" fontId="37" fillId="18" borderId="9" applyNumberFormat="0" applyAlignment="0" applyProtection="0"/>
    <xf numFmtId="0" fontId="25" fillId="6" borderId="3" applyNumberFormat="0" applyAlignment="0" applyProtection="0"/>
    <xf numFmtId="0" fontId="38" fillId="0" borderId="10" applyNumberFormat="0" applyFill="0" applyAlignment="0" applyProtection="0"/>
    <xf numFmtId="0" fontId="39" fillId="18" borderId="3" applyNumberFormat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2" fillId="19" borderId="0" applyNumberFormat="0" applyBorder="0" applyAlignment="0" applyProtection="0"/>
    <xf numFmtId="0" fontId="43" fillId="20" borderId="0" applyNumberFormat="0" applyBorder="0" applyAlignment="0" applyProtection="0"/>
    <xf numFmtId="0" fontId="11" fillId="0" borderId="0"/>
    <xf numFmtId="0" fontId="44" fillId="20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9" fillId="0" borderId="0"/>
    <xf numFmtId="0" fontId="47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8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9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7" fillId="0" borderId="0"/>
    <xf numFmtId="38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11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8" fillId="2" borderId="1" xfId="2" applyFont="1" applyFill="1" applyBorder="1" applyAlignment="1">
      <alignment horizontal="left" vertical="center"/>
    </xf>
    <xf numFmtId="0" fontId="45" fillId="21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1" fillId="2" borderId="1" xfId="19" applyFill="1" applyBorder="1"/>
    <xf numFmtId="0" fontId="10" fillId="2" borderId="1" xfId="19" applyFont="1" applyFill="1" applyBorder="1"/>
    <xf numFmtId="0" fontId="20" fillId="22" borderId="1" xfId="0" applyFont="1" applyFill="1" applyBorder="1"/>
    <xf numFmtId="0" fontId="45" fillId="23" borderId="1" xfId="0" applyFont="1" applyFill="1" applyBorder="1" applyAlignment="1">
      <alignment horizontal="center" vertical="center"/>
    </xf>
    <xf numFmtId="0" fontId="45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0" fillId="2" borderId="0" xfId="0" applyFill="1"/>
    <xf numFmtId="0" fontId="45" fillId="30" borderId="1" xfId="0" applyFont="1" applyFill="1" applyBorder="1" applyAlignment="1">
      <alignment horizontal="left" vertical="center"/>
    </xf>
    <xf numFmtId="0" fontId="18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17" fillId="25" borderId="1" xfId="0" applyFont="1" applyFill="1" applyBorder="1" applyAlignment="1">
      <alignment horizontal="right" vertical="center"/>
    </xf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49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45" fillId="0" borderId="1" xfId="0" applyFont="1" applyBorder="1" applyAlignment="1">
      <alignment vertical="center"/>
    </xf>
    <xf numFmtId="0" fontId="45" fillId="0" borderId="1" xfId="0" applyFont="1" applyBorder="1" applyAlignment="1">
      <alignment vertical="center" wrapText="1"/>
    </xf>
    <xf numFmtId="0" fontId="18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45" fillId="4" borderId="1" xfId="0" applyFont="1" applyFill="1" applyBorder="1" applyAlignment="1">
      <alignment vertical="center"/>
    </xf>
    <xf numFmtId="176" fontId="50" fillId="32" borderId="1" xfId="0" applyNumberFormat="1" applyFont="1" applyFill="1" applyBorder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0" fontId="18" fillId="0" borderId="17" xfId="2" applyFont="1" applyBorder="1" applyAlignment="1">
      <alignment vertical="center"/>
    </xf>
    <xf numFmtId="0" fontId="18" fillId="3" borderId="18" xfId="2" applyFont="1" applyFill="1" applyBorder="1" applyAlignment="1">
      <alignment vertical="center"/>
    </xf>
    <xf numFmtId="0" fontId="51" fillId="0" borderId="1" xfId="0" applyFont="1" applyBorder="1"/>
    <xf numFmtId="187" fontId="0" fillId="0" borderId="0" xfId="0" applyNumberFormat="1"/>
    <xf numFmtId="189" fontId="0" fillId="0" borderId="0" xfId="3575" applyNumberFormat="1" applyFont="1"/>
    <xf numFmtId="0" fontId="0" fillId="0" borderId="0" xfId="0" applyAlignment="1">
      <alignment horizontal="center"/>
    </xf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  <xf numFmtId="0" fontId="18" fillId="0" borderId="0" xfId="2" applyFont="1" applyBorder="1" applyAlignment="1">
      <alignment vertical="center"/>
    </xf>
    <xf numFmtId="0" fontId="19" fillId="25" borderId="1" xfId="0" applyFont="1" applyFill="1" applyBorder="1" applyAlignment="1">
      <alignment vertical="center"/>
    </xf>
    <xf numFmtId="192" fontId="18" fillId="4" borderId="1" xfId="3663" quotePrefix="1" applyNumberFormat="1" applyFont="1" applyFill="1" applyBorder="1" applyAlignment="1">
      <alignment vertical="center"/>
    </xf>
    <xf numFmtId="0" fontId="5" fillId="0" borderId="1" xfId="2978" applyFont="1" applyBorder="1"/>
    <xf numFmtId="0" fontId="5" fillId="4" borderId="1" xfId="2978" applyFont="1" applyFill="1" applyBorder="1"/>
    <xf numFmtId="0" fontId="5" fillId="2" borderId="1" xfId="19" applyFont="1" applyFill="1" applyBorder="1"/>
    <xf numFmtId="0" fontId="4" fillId="0" borderId="1" xfId="3036" applyFont="1" applyBorder="1"/>
    <xf numFmtId="0" fontId="18" fillId="0" borderId="0" xfId="2" applyFont="1" applyFill="1" applyAlignment="1">
      <alignment vertical="center"/>
    </xf>
    <xf numFmtId="176" fontId="0" fillId="0" borderId="0" xfId="0" applyNumberFormat="1"/>
    <xf numFmtId="0" fontId="3" fillId="4" borderId="1" xfId="2978" applyFont="1" applyFill="1" applyBorder="1"/>
    <xf numFmtId="0" fontId="18" fillId="0" borderId="1" xfId="2" applyFont="1" applyFill="1" applyBorder="1" applyAlignment="1">
      <alignment vertical="center"/>
    </xf>
    <xf numFmtId="0" fontId="18" fillId="4" borderId="0" xfId="2" applyFont="1" applyFill="1" applyAlignment="1">
      <alignment vertical="center"/>
    </xf>
    <xf numFmtId="0" fontId="45" fillId="0" borderId="12" xfId="0" applyFont="1" applyBorder="1" applyAlignment="1">
      <alignment vertical="center"/>
    </xf>
    <xf numFmtId="0" fontId="45" fillId="33" borderId="0" xfId="0" applyFont="1" applyFill="1" applyAlignment="1">
      <alignment vertical="center"/>
    </xf>
    <xf numFmtId="0" fontId="2" fillId="4" borderId="1" xfId="2978" applyFont="1" applyFill="1" applyBorder="1"/>
    <xf numFmtId="0" fontId="17" fillId="0" borderId="1" xfId="0" applyFont="1" applyFill="1" applyBorder="1" applyAlignment="1">
      <alignment horizontal="right" vertical="center"/>
    </xf>
  </cellXfs>
  <cellStyles count="367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externalLink" Target="externalLinks/externalLink1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1687</v>
          </cell>
          <cell r="B1564" t="str">
            <v>ja</v>
          </cell>
          <cell r="C1564" t="str">
            <v>ファルネーゼ</v>
          </cell>
          <cell r="H1564" t="str">
            <v>green</v>
          </cell>
          <cell r="I1564">
            <v>5</v>
          </cell>
          <cell r="J1564" t="str">
            <v>DropWizS</v>
          </cell>
          <cell r="K1564" t="str">
            <v>balance</v>
          </cell>
          <cell r="L1564" t="str">
            <v>バランスタイプ</v>
          </cell>
          <cell r="M1564" t="str">
            <v>human</v>
          </cell>
        </row>
        <row r="1565">
          <cell r="A1565">
            <v>1688</v>
          </cell>
          <cell r="B1565" t="str">
            <v>ja</v>
          </cell>
          <cell r="C1565" t="str">
            <v>ファルネーゼ・ロッソ</v>
          </cell>
          <cell r="H1565" t="str">
            <v>red</v>
          </cell>
          <cell r="I1565">
            <v>6</v>
          </cell>
          <cell r="J1565" t="str">
            <v>DropWizS</v>
          </cell>
          <cell r="K1565" t="str">
            <v>balance</v>
          </cell>
          <cell r="L1565" t="str">
            <v>バランスタイプ</v>
          </cell>
          <cell r="M1565" t="str">
            <v>human</v>
          </cell>
        </row>
        <row r="1566">
          <cell r="A1566">
            <v>1689</v>
          </cell>
          <cell r="B1566" t="str">
            <v>ja</v>
          </cell>
          <cell r="C1566" t="str">
            <v>ファルネーゼ・ヴェルデ</v>
          </cell>
          <cell r="H1566" t="str">
            <v>green</v>
          </cell>
          <cell r="I1566">
            <v>6</v>
          </cell>
          <cell r="J1566" t="str">
            <v>DropWizS</v>
          </cell>
          <cell r="K1566" t="str">
            <v>balance</v>
          </cell>
          <cell r="L1566" t="str">
            <v>バランスタイプ</v>
          </cell>
          <cell r="M1566" t="str">
            <v>human</v>
          </cell>
        </row>
        <row r="1567">
          <cell r="A1567">
            <v>1690</v>
          </cell>
          <cell r="B1567" t="str">
            <v>ja</v>
          </cell>
          <cell r="C1567" t="str">
            <v>ファルネーゼ・アズロ</v>
          </cell>
          <cell r="H1567" t="str">
            <v>blue</v>
          </cell>
          <cell r="I1567">
            <v>6</v>
          </cell>
          <cell r="J1567" t="str">
            <v>DropWizS</v>
          </cell>
          <cell r="K1567" t="str">
            <v>balance</v>
          </cell>
          <cell r="L1567" t="str">
            <v>バランスタイプ</v>
          </cell>
          <cell r="M1567" t="str">
            <v>human</v>
          </cell>
        </row>
        <row r="1568">
          <cell r="A1568">
            <v>1691</v>
          </cell>
          <cell r="B1568" t="str">
            <v>ja</v>
          </cell>
          <cell r="C1568" t="str">
            <v>ファルネーゼ・ジャロ</v>
          </cell>
          <cell r="H1568" t="str">
            <v>yellow</v>
          </cell>
          <cell r="I1568">
            <v>6</v>
          </cell>
          <cell r="J1568" t="str">
            <v>DropWizS</v>
          </cell>
          <cell r="K1568" t="str">
            <v>balance</v>
          </cell>
          <cell r="L1568" t="str">
            <v>バランスタイプ</v>
          </cell>
          <cell r="M1568" t="str">
            <v>human</v>
          </cell>
        </row>
        <row r="1569">
          <cell r="A1569">
            <v>5001</v>
          </cell>
          <cell r="B1569" t="str">
            <v>ja</v>
          </cell>
          <cell r="C1569" t="str">
            <v>ガルーダ</v>
          </cell>
          <cell r="D1569" t="str">
            <v>ノーマルクエスト</v>
          </cell>
          <cell r="E1569" t="str">
            <v>QoH</v>
          </cell>
          <cell r="F1569" t="str">
            <v>世界観</v>
          </cell>
          <cell r="G1569" t="str">
            <v>不明</v>
          </cell>
          <cell r="H1569" t="str">
            <v>red</v>
          </cell>
          <cell r="I1569">
            <v>5</v>
          </cell>
          <cell r="J1569" t="str">
            <v>PremiumSSw</v>
          </cell>
          <cell r="K1569" t="str">
            <v>attack</v>
          </cell>
          <cell r="L1569" t="str">
            <v>攻撃タイプ</v>
          </cell>
          <cell r="M1569" t="str">
            <v>god</v>
          </cell>
        </row>
        <row r="1570">
          <cell r="A1570">
            <v>5002</v>
          </cell>
          <cell r="B1570" t="str">
            <v>ja</v>
          </cell>
          <cell r="C1570" t="str">
            <v>光輝する美翼聖鳥 ガルーダ</v>
          </cell>
          <cell r="D1570" t="str">
            <v>ノーマルクエスト</v>
          </cell>
          <cell r="E1570" t="str">
            <v>アバター</v>
          </cell>
          <cell r="F1570" t="str">
            <v>世界観</v>
          </cell>
          <cell r="G1570" t="str">
            <v>男性</v>
          </cell>
          <cell r="H1570" t="str">
            <v>red</v>
          </cell>
          <cell r="I1570">
            <v>6</v>
          </cell>
          <cell r="J1570" t="str">
            <v>PremiumSSw</v>
          </cell>
          <cell r="K1570" t="str">
            <v>attack</v>
          </cell>
          <cell r="L1570" t="str">
            <v>攻撃タイプ</v>
          </cell>
          <cell r="M1570" t="str">
            <v>god</v>
          </cell>
        </row>
        <row r="1571">
          <cell r="A1571">
            <v>5003</v>
          </cell>
          <cell r="B1571" t="str">
            <v>ja</v>
          </cell>
          <cell r="C1571" t="str">
            <v>ナーガ</v>
          </cell>
          <cell r="D1571" t="str">
            <v>リンクガチャ:4神</v>
          </cell>
          <cell r="E1571" t="str">
            <v>守護神</v>
          </cell>
          <cell r="F1571" t="str">
            <v>格好いい</v>
          </cell>
          <cell r="G1571" t="str">
            <v>不明</v>
          </cell>
          <cell r="H1571" t="str">
            <v>green</v>
          </cell>
          <cell r="I1571">
            <v>5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animal</v>
          </cell>
        </row>
        <row r="1572">
          <cell r="A1572">
            <v>5004</v>
          </cell>
          <cell r="B1572" t="str">
            <v>ja</v>
          </cell>
          <cell r="C1572" t="str">
            <v>深淵翠緑 ナーガ</v>
          </cell>
          <cell r="D1572" t="str">
            <v>ノーマルクエスト</v>
          </cell>
          <cell r="E1572" t="str">
            <v>アバター</v>
          </cell>
          <cell r="F1572" t="str">
            <v>世界観</v>
          </cell>
          <cell r="G1572" t="str">
            <v>不明</v>
          </cell>
          <cell r="H1572" t="str">
            <v>green</v>
          </cell>
          <cell r="I1572">
            <v>6</v>
          </cell>
          <cell r="J1572" t="str">
            <v>DropWizS</v>
          </cell>
          <cell r="K1572" t="str">
            <v>technical</v>
          </cell>
          <cell r="L1572" t="str">
            <v>テクニカルタイプ</v>
          </cell>
          <cell r="M1572" t="str">
            <v>animal</v>
          </cell>
        </row>
        <row r="1573">
          <cell r="A1573">
            <v>5005</v>
          </cell>
          <cell r="B1573" t="str">
            <v>ja</v>
          </cell>
          <cell r="C1573" t="str">
            <v>カーミラ</v>
          </cell>
          <cell r="D1573" t="str">
            <v>ノーマルクエスト</v>
          </cell>
          <cell r="E1573" t="str">
            <v>QoH</v>
          </cell>
          <cell r="F1573" t="str">
            <v>世界観</v>
          </cell>
          <cell r="G1573" t="str">
            <v>不明</v>
          </cell>
          <cell r="H1573" t="str">
            <v>green</v>
          </cell>
          <cell r="I1573">
            <v>5</v>
          </cell>
          <cell r="J1573" t="str">
            <v>PremiumSSw</v>
          </cell>
          <cell r="K1573" t="str">
            <v>balance</v>
          </cell>
          <cell r="L1573" t="str">
            <v>バランスタイプ</v>
          </cell>
          <cell r="M1573" t="str">
            <v>demon</v>
          </cell>
        </row>
        <row r="1574">
          <cell r="A1574">
            <v>5006</v>
          </cell>
          <cell r="B1574" t="str">
            <v>ja</v>
          </cell>
          <cell r="C1574" t="str">
            <v>カーミラ★６</v>
          </cell>
          <cell r="D1574" t="str">
            <v>ノーマルクエスト</v>
          </cell>
          <cell r="E1574" t="str">
            <v>アバター</v>
          </cell>
          <cell r="F1574" t="str">
            <v>世界観</v>
          </cell>
          <cell r="G1574" t="str">
            <v>男性</v>
          </cell>
          <cell r="H1574" t="str">
            <v>green</v>
          </cell>
          <cell r="I1574">
            <v>6</v>
          </cell>
          <cell r="J1574" t="str">
            <v>PremiumSSw</v>
          </cell>
          <cell r="K1574" t="str">
            <v>balance</v>
          </cell>
          <cell r="L1574" t="str">
            <v>バランスタイプ</v>
          </cell>
          <cell r="M1574" t="str">
            <v>demon</v>
          </cell>
        </row>
        <row r="1575">
          <cell r="A1575">
            <v>5007</v>
          </cell>
          <cell r="B1575" t="str">
            <v>ja</v>
          </cell>
          <cell r="C1575" t="str">
            <v>ヘルシング</v>
          </cell>
          <cell r="D1575" t="str">
            <v>リンクガチャ:4神</v>
          </cell>
          <cell r="E1575" t="str">
            <v>守護神</v>
          </cell>
          <cell r="F1575" t="str">
            <v>格好いい</v>
          </cell>
          <cell r="G1575" t="str">
            <v>不明</v>
          </cell>
          <cell r="H1575" t="str">
            <v>yellow</v>
          </cell>
          <cell r="I1575">
            <v>5</v>
          </cell>
          <cell r="J1575" t="str">
            <v>DropWizS</v>
          </cell>
          <cell r="K1575" t="str">
            <v>technical</v>
          </cell>
          <cell r="L1575" t="str">
            <v>テクニカルタイプ</v>
          </cell>
          <cell r="M1575" t="str">
            <v>human</v>
          </cell>
        </row>
        <row r="1576">
          <cell r="A1576">
            <v>5008</v>
          </cell>
          <cell r="B1576" t="str">
            <v>ja</v>
          </cell>
          <cell r="C1576" t="str">
            <v>ヘルシング★６</v>
          </cell>
          <cell r="D1576" t="str">
            <v>ノーマルクエスト</v>
          </cell>
          <cell r="E1576" t="str">
            <v>アバター</v>
          </cell>
          <cell r="F1576" t="str">
            <v>世界観</v>
          </cell>
          <cell r="G1576" t="str">
            <v>不明</v>
          </cell>
          <cell r="H1576" t="str">
            <v>yellow</v>
          </cell>
          <cell r="I1576">
            <v>6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human</v>
          </cell>
        </row>
        <row r="1577">
          <cell r="A1577">
            <v>6001</v>
          </cell>
          <cell r="B1577" t="str">
            <v>ja</v>
          </cell>
          <cell r="C1577" t="str">
            <v>ジェリー</v>
          </cell>
          <cell r="D1577" t="str">
            <v>ノーマルクエスト</v>
          </cell>
          <cell r="E1577" t="str">
            <v>QoH</v>
          </cell>
          <cell r="F1577" t="str">
            <v>世界観</v>
          </cell>
          <cell r="G1577" t="str">
            <v>不明</v>
          </cell>
          <cell r="H1577" t="str">
            <v>red</v>
          </cell>
          <cell r="I1577">
            <v>1</v>
          </cell>
          <cell r="J1577" t="str">
            <v>Drop1T</v>
          </cell>
          <cell r="K1577" t="str">
            <v>ra</v>
          </cell>
          <cell r="L1577" t="str">
            <v>ラグランジュチャレンジ</v>
          </cell>
          <cell r="M1577" t="str">
            <v>unknown</v>
          </cell>
        </row>
        <row r="1578">
          <cell r="A1578">
            <v>6002</v>
          </cell>
          <cell r="B1578" t="str">
            <v>ja</v>
          </cell>
          <cell r="C1578" t="str">
            <v>ヨシタカ</v>
          </cell>
          <cell r="D1578" t="str">
            <v>ノーマルクエスト</v>
          </cell>
          <cell r="E1578" t="str">
            <v>アバター</v>
          </cell>
          <cell r="F1578" t="str">
            <v>世界観</v>
          </cell>
          <cell r="G1578" t="str">
            <v>男性</v>
          </cell>
          <cell r="H1578" t="str">
            <v>red</v>
          </cell>
          <cell r="I1578">
            <v>2</v>
          </cell>
          <cell r="J1578" t="str">
            <v>Drop1N</v>
          </cell>
          <cell r="K1578" t="str">
            <v>ra</v>
          </cell>
          <cell r="L1578" t="str">
            <v>ラグランジュチャレンジ</v>
          </cell>
          <cell r="M1578" t="str">
            <v>human</v>
          </cell>
        </row>
        <row r="1579">
          <cell r="A1579">
            <v>6003</v>
          </cell>
          <cell r="B1579" t="str">
            <v>ja</v>
          </cell>
          <cell r="C1579" t="str">
            <v>朱雀</v>
          </cell>
          <cell r="D1579" t="str">
            <v>リンクガチャ:4神</v>
          </cell>
          <cell r="E1579" t="str">
            <v>守護神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3</v>
          </cell>
          <cell r="J1579" t="str">
            <v>Drop2N</v>
          </cell>
          <cell r="K1579" t="str">
            <v>ra</v>
          </cell>
          <cell r="L1579" t="str">
            <v>ラグランジュチャレンジ</v>
          </cell>
          <cell r="M1579" t="str">
            <v>animal</v>
          </cell>
        </row>
        <row r="1580">
          <cell r="A1580">
            <v>6004</v>
          </cell>
          <cell r="B1580" t="str">
            <v>ja</v>
          </cell>
          <cell r="C1580" t="str">
            <v>ブレット</v>
          </cell>
          <cell r="D1580" t="str">
            <v>ノーマルクエスト</v>
          </cell>
          <cell r="E1580" t="str">
            <v>アバター</v>
          </cell>
          <cell r="F1580" t="str">
            <v>世界観</v>
          </cell>
          <cell r="G1580" t="str">
            <v>不明</v>
          </cell>
          <cell r="H1580" t="str">
            <v>red</v>
          </cell>
          <cell r="I1580">
            <v>1</v>
          </cell>
          <cell r="J1580" t="str">
            <v>Drop1W</v>
          </cell>
          <cell r="K1580" t="str">
            <v>ra</v>
          </cell>
          <cell r="L1580" t="str">
            <v>ラグランジュチャレンジ</v>
          </cell>
          <cell r="M1580" t="str">
            <v>animal</v>
          </cell>
        </row>
        <row r="1581">
          <cell r="A1581">
            <v>6005</v>
          </cell>
          <cell r="B1581" t="str">
            <v>ja</v>
          </cell>
          <cell r="C1581" t="str">
            <v>孤神 テティス</v>
          </cell>
          <cell r="D1581" t="str">
            <v>初期ガチャ</v>
          </cell>
          <cell r="E1581" t="str">
            <v>管理者</v>
          </cell>
          <cell r="F1581" t="str">
            <v>美しい</v>
          </cell>
          <cell r="G1581" t="str">
            <v>女性</v>
          </cell>
          <cell r="H1581" t="str">
            <v>blue</v>
          </cell>
          <cell r="I1581">
            <v>4</v>
          </cell>
          <cell r="J1581" t="str">
            <v>PremiumN</v>
          </cell>
          <cell r="K1581" t="str">
            <v>ra</v>
          </cell>
          <cell r="L1581" t="str">
            <v>ラグランジュチャレンジ</v>
          </cell>
          <cell r="M1581" t="str">
            <v>god</v>
          </cell>
        </row>
        <row r="1582">
          <cell r="A1582">
            <v>6006</v>
          </cell>
          <cell r="B1582" t="str">
            <v>ja</v>
          </cell>
          <cell r="C1582" t="str">
            <v>海底の孤高神 テティス</v>
          </cell>
          <cell r="D1582" t="str">
            <v>初期ガチャ</v>
          </cell>
          <cell r="E1582" t="str">
            <v>管理者</v>
          </cell>
          <cell r="F1582" t="str">
            <v>美しい</v>
          </cell>
          <cell r="G1582" t="str">
            <v>女性</v>
          </cell>
          <cell r="H1582" t="str">
            <v>blue</v>
          </cell>
          <cell r="I1582">
            <v>5</v>
          </cell>
          <cell r="J1582" t="str">
            <v>PremiumN</v>
          </cell>
          <cell r="K1582" t="str">
            <v>ra</v>
          </cell>
          <cell r="L1582" t="str">
            <v>ラグランジュチャレンジ</v>
          </cell>
          <cell r="M1582" t="str">
            <v>god</v>
          </cell>
        </row>
        <row r="1583">
          <cell r="A1583">
            <v>6007</v>
          </cell>
          <cell r="B1583" t="str">
            <v>ja</v>
          </cell>
          <cell r="C1583" t="str">
            <v>番犬 ケルベロス</v>
          </cell>
          <cell r="D1583" t="str">
            <v>初期ガチャ</v>
          </cell>
          <cell r="E1583" t="str">
            <v>破界者</v>
          </cell>
          <cell r="F1583" t="str">
            <v>可愛い</v>
          </cell>
          <cell r="G1583" t="str">
            <v>女性</v>
          </cell>
          <cell r="H1583" t="str">
            <v>red</v>
          </cell>
          <cell r="I1583">
            <v>4</v>
          </cell>
          <cell r="J1583" t="str">
            <v>PremiumN</v>
          </cell>
          <cell r="K1583" t="str">
            <v>ra</v>
          </cell>
          <cell r="L1583" t="str">
            <v>ラグランジュチャレンジ</v>
          </cell>
          <cell r="M1583" t="str">
            <v>animal</v>
          </cell>
        </row>
        <row r="1584">
          <cell r="A1584">
            <v>6008</v>
          </cell>
          <cell r="B1584" t="str">
            <v>ja</v>
          </cell>
          <cell r="C1584" t="str">
            <v>焔神 プロメテウス</v>
          </cell>
          <cell r="D1584" t="str">
            <v>初期ガチャ</v>
          </cell>
          <cell r="E1584" t="str">
            <v>管理者</v>
          </cell>
          <cell r="F1584" t="str">
            <v>格好いい</v>
          </cell>
          <cell r="G1584" t="str">
            <v>男性</v>
          </cell>
          <cell r="H1584" t="str">
            <v>red</v>
          </cell>
          <cell r="I1584">
            <v>4</v>
          </cell>
          <cell r="J1584" t="str">
            <v>PremiumN</v>
          </cell>
          <cell r="K1584" t="str">
            <v>ra</v>
          </cell>
          <cell r="L1584" t="str">
            <v>ラグランジュチャレンジ</v>
          </cell>
          <cell r="M1584" t="str">
            <v>god</v>
          </cell>
        </row>
        <row r="1585">
          <cell r="A1585">
            <v>6009</v>
          </cell>
          <cell r="B1585" t="str">
            <v>ja</v>
          </cell>
          <cell r="C1585" t="str">
            <v>超越自我 ラグランジュ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5</v>
          </cell>
          <cell r="J1585" t="str">
            <v>PremiumSSS</v>
          </cell>
          <cell r="K1585" t="str">
            <v>ra</v>
          </cell>
          <cell r="L1585" t="str">
            <v>ラグランジュチャレンジ</v>
          </cell>
          <cell r="M1585" t="str">
            <v>human</v>
          </cell>
        </row>
        <row r="1586">
          <cell r="A1586">
            <v>6010</v>
          </cell>
          <cell r="B1586" t="str">
            <v>ja</v>
          </cell>
          <cell r="C1586" t="str">
            <v>超越凌駕 ラグランジュ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red</v>
          </cell>
          <cell r="I1586">
            <v>6</v>
          </cell>
          <cell r="J1586" t="str">
            <v>PremiumSSS</v>
          </cell>
          <cell r="K1586" t="str">
            <v>ra</v>
          </cell>
          <cell r="L1586" t="str">
            <v>ラグランジュチャレンジ</v>
          </cell>
          <cell r="M1586" t="str">
            <v>human</v>
          </cell>
        </row>
        <row r="1587">
          <cell r="A1587">
            <v>6011</v>
          </cell>
          <cell r="B1587" t="str">
            <v>ja</v>
          </cell>
          <cell r="C1587" t="str">
            <v>パトドッグリーダー ポチ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2</v>
          </cell>
          <cell r="J1587" t="str">
            <v>Drop1T</v>
          </cell>
          <cell r="K1587" t="str">
            <v>ra002</v>
          </cell>
          <cell r="L1587" t="str">
            <v>ユークリッドチャレンジ</v>
          </cell>
          <cell r="M1587" t="str">
            <v>unknown</v>
          </cell>
        </row>
        <row r="1588">
          <cell r="A1588">
            <v>6012</v>
          </cell>
          <cell r="B1588" t="str">
            <v>ja</v>
          </cell>
          <cell r="C1588" t="str">
            <v>ミミ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yellow</v>
          </cell>
          <cell r="I1588">
            <v>1</v>
          </cell>
          <cell r="J1588" t="str">
            <v>Drop1W</v>
          </cell>
          <cell r="K1588" t="str">
            <v>ra002</v>
          </cell>
          <cell r="L1588" t="str">
            <v>ユークリッドチャレンジ</v>
          </cell>
          <cell r="M1588" t="str">
            <v>animal</v>
          </cell>
        </row>
        <row r="1589">
          <cell r="A1589">
            <v>6013</v>
          </cell>
          <cell r="B1589" t="str">
            <v>ja</v>
          </cell>
          <cell r="C1589" t="str">
            <v>護衛機人 スケアクロウ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blue</v>
          </cell>
          <cell r="I1589">
            <v>2</v>
          </cell>
          <cell r="J1589" t="str">
            <v>Drop1N</v>
          </cell>
          <cell r="K1589" t="str">
            <v>ra002</v>
          </cell>
          <cell r="L1589" t="str">
            <v>ユークリッドチャレンジ</v>
          </cell>
          <cell r="M1589" t="str">
            <v>machine</v>
          </cell>
        </row>
        <row r="1590">
          <cell r="A1590">
            <v>6014</v>
          </cell>
          <cell r="B1590" t="str">
            <v>ja</v>
          </cell>
          <cell r="C1590" t="str">
            <v>月下の人狼 ローレンス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blue</v>
          </cell>
          <cell r="I1590">
            <v>4</v>
          </cell>
          <cell r="J1590" t="str">
            <v>PremiumW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6015</v>
          </cell>
          <cell r="B1591" t="str">
            <v>ja</v>
          </cell>
          <cell r="C1591" t="str">
            <v>フレイヤ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PremiumSS</v>
          </cell>
          <cell r="K1591" t="str">
            <v>ra002</v>
          </cell>
          <cell r="L1591" t="str">
            <v>ユークリッドチャレンジ</v>
          </cell>
          <cell r="M1591" t="str">
            <v>animal</v>
          </cell>
        </row>
        <row r="1592">
          <cell r="A1592">
            <v>6016</v>
          </cell>
          <cell r="B1592" t="str">
            <v>ja</v>
          </cell>
          <cell r="C1592" t="str">
            <v>根原論理 ユークリッド</v>
          </cell>
          <cell r="D1592" t="str">
            <v>ガチャ:フィーバーフェス02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blue</v>
          </cell>
          <cell r="I1592">
            <v>5</v>
          </cell>
          <cell r="J1592" t="str">
            <v>PremiumSSS</v>
          </cell>
          <cell r="K1592" t="str">
            <v>ra002</v>
          </cell>
          <cell r="L1592" t="str">
            <v>ユークリッドチャレンジ</v>
          </cell>
          <cell r="M1592" t="str">
            <v>human</v>
          </cell>
        </row>
        <row r="1593">
          <cell r="A1593">
            <v>6017</v>
          </cell>
          <cell r="B1593" t="str">
            <v>ja</v>
          </cell>
          <cell r="C1593" t="str">
            <v>不朽の極論 ユークリッド</v>
          </cell>
          <cell r="D1593" t="str">
            <v>ガチャ:フィーバーフェス02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blue</v>
          </cell>
          <cell r="I1593">
            <v>6</v>
          </cell>
          <cell r="J1593" t="str">
            <v>PremiumSSS</v>
          </cell>
          <cell r="K1593" t="str">
            <v>ra002</v>
          </cell>
          <cell r="L1593" t="str">
            <v>ユークリッドチャレンジ</v>
          </cell>
          <cell r="M1593" t="str">
            <v>human</v>
          </cell>
        </row>
        <row r="1594">
          <cell r="A1594">
            <v>6018</v>
          </cell>
          <cell r="B1594" t="str">
            <v>ja</v>
          </cell>
          <cell r="C1594" t="str">
            <v>ハヅル</v>
          </cell>
          <cell r="D1594" t="str">
            <v>ガチャ:フィーバーフェス02</v>
          </cell>
          <cell r="E1594" t="str">
            <v>執行者</v>
          </cell>
          <cell r="F1594" t="str">
            <v>格好いい</v>
          </cell>
          <cell r="G1594" t="str">
            <v>男性</v>
          </cell>
          <cell r="H1594" t="str">
            <v>red</v>
          </cell>
          <cell r="I1594">
            <v>4</v>
          </cell>
          <cell r="J1594" t="str">
            <v>PremiumSS</v>
          </cell>
          <cell r="K1594" t="str">
            <v>ra002</v>
          </cell>
          <cell r="L1594" t="str">
            <v>ユークリッドチャレンジ</v>
          </cell>
          <cell r="M1594" t="str">
            <v>animal</v>
          </cell>
        </row>
        <row r="1595">
          <cell r="A1595">
            <v>6019</v>
          </cell>
          <cell r="B1595" t="str">
            <v>ja</v>
          </cell>
          <cell r="C1595" t="str">
            <v>天織羽鶴 ハヅル</v>
          </cell>
          <cell r="D1595" t="str">
            <v>ガチャ:フィーバーフェス02</v>
          </cell>
          <cell r="E1595" t="str">
            <v>執行者</v>
          </cell>
          <cell r="F1595" t="str">
            <v>格好いい</v>
          </cell>
          <cell r="G1595" t="str">
            <v>男性</v>
          </cell>
          <cell r="H1595" t="str">
            <v>red</v>
          </cell>
          <cell r="I1595">
            <v>5</v>
          </cell>
          <cell r="J1595" t="str">
            <v>PremiumSS</v>
          </cell>
          <cell r="K1595" t="str">
            <v>ra002</v>
          </cell>
          <cell r="L1595" t="str">
            <v>ユークリッドチャレンジ</v>
          </cell>
          <cell r="M1595" t="str">
            <v>animal</v>
          </cell>
        </row>
        <row r="1596">
          <cell r="A1596">
            <v>6020</v>
          </cell>
          <cell r="B1596" t="str">
            <v>ja</v>
          </cell>
          <cell r="C1596" t="str">
            <v>ミズチ</v>
          </cell>
          <cell r="D1596" t="str">
            <v>ガチャ:フィーバーフェス02</v>
          </cell>
          <cell r="E1596" t="str">
            <v>執行者</v>
          </cell>
          <cell r="F1596" t="str">
            <v>格好いい</v>
          </cell>
          <cell r="G1596" t="str">
            <v>男性</v>
          </cell>
          <cell r="H1596" t="str">
            <v>blue</v>
          </cell>
          <cell r="I1596">
            <v>4</v>
          </cell>
          <cell r="J1596" t="str">
            <v>PremiumS</v>
          </cell>
          <cell r="K1596" t="str">
            <v>ra002</v>
          </cell>
          <cell r="L1596" t="str">
            <v>ユークリッドチャレンジ</v>
          </cell>
          <cell r="M1596" t="str">
            <v>dragon</v>
          </cell>
        </row>
        <row r="1597">
          <cell r="A1597">
            <v>8001</v>
          </cell>
          <cell r="B1597" t="str">
            <v>ja</v>
          </cell>
          <cell r="C1597" t="str">
            <v>媽祖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女性</v>
          </cell>
          <cell r="H1597" t="str">
            <v>yellow</v>
          </cell>
          <cell r="I1597">
            <v>5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god</v>
          </cell>
        </row>
        <row r="1598">
          <cell r="A1598">
            <v>8002</v>
          </cell>
          <cell r="B1598" t="str">
            <v>ja</v>
          </cell>
          <cell r="C1598" t="str">
            <v>宣導する天海妃 媽祖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yellow</v>
          </cell>
          <cell r="I1598">
            <v>6</v>
          </cell>
          <cell r="J1598" t="str">
            <v>PremiumSS</v>
          </cell>
          <cell r="K1598" t="str">
            <v>attack</v>
          </cell>
          <cell r="L1598" t="str">
            <v>攻撃タイプ</v>
          </cell>
          <cell r="M1598" t="str">
            <v>god</v>
          </cell>
        </row>
        <row r="1599">
          <cell r="A1599">
            <v>8003</v>
          </cell>
          <cell r="B1599" t="str">
            <v>ja</v>
          </cell>
          <cell r="C1599" t="str">
            <v>蛟龍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blue</v>
          </cell>
          <cell r="I1599">
            <v>5</v>
          </cell>
          <cell r="J1599" t="str">
            <v>DropWizS</v>
          </cell>
          <cell r="K1599" t="str">
            <v>hp</v>
          </cell>
          <cell r="L1599" t="str">
            <v>体力タイプ</v>
          </cell>
          <cell r="M1599" t="str">
            <v>dragon</v>
          </cell>
        </row>
        <row r="1600">
          <cell r="A1600">
            <v>8004</v>
          </cell>
          <cell r="B1600" t="str">
            <v>ja</v>
          </cell>
          <cell r="C1600" t="str">
            <v>呼嵐の蒼棲龍 蛟龍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blue</v>
          </cell>
          <cell r="I1600">
            <v>6</v>
          </cell>
          <cell r="J1600" t="str">
            <v>DropWizS</v>
          </cell>
          <cell r="K1600" t="str">
            <v>hp</v>
          </cell>
          <cell r="L1600" t="str">
            <v>体力タイプ</v>
          </cell>
          <cell r="M1600" t="str">
            <v>dragon</v>
          </cell>
        </row>
        <row r="1601">
          <cell r="A1601">
            <v>8005</v>
          </cell>
          <cell r="B1601" t="str">
            <v>ja</v>
          </cell>
          <cell r="C1601" t="str">
            <v>三蔵法師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blue</v>
          </cell>
          <cell r="I1601">
            <v>5</v>
          </cell>
          <cell r="J1601" t="str">
            <v>PremiumSS</v>
          </cell>
          <cell r="K1601" t="str">
            <v>balance</v>
          </cell>
          <cell r="L1601" t="str">
            <v>バランスタイプ</v>
          </cell>
          <cell r="M1601" t="str">
            <v>human</v>
          </cell>
        </row>
        <row r="1602">
          <cell r="A1602">
            <v>8006</v>
          </cell>
          <cell r="B1602" t="str">
            <v>ja</v>
          </cell>
          <cell r="C1602" t="str">
            <v>慈戒の呪封使 三蔵法師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不明</v>
          </cell>
          <cell r="H1602" t="str">
            <v>blue</v>
          </cell>
          <cell r="I1602">
            <v>6</v>
          </cell>
          <cell r="J1602" t="str">
            <v>PremiumSS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</row>
        <row r="1603">
          <cell r="A1603">
            <v>8007</v>
          </cell>
          <cell r="B1603" t="str">
            <v>ja</v>
          </cell>
          <cell r="C1603" t="str">
            <v>孫悟空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不明</v>
          </cell>
          <cell r="H1603" t="str">
            <v>red</v>
          </cell>
          <cell r="I1603">
            <v>5</v>
          </cell>
          <cell r="J1603" t="str">
            <v>DropWizS</v>
          </cell>
          <cell r="K1603" t="str">
            <v>attack</v>
          </cell>
          <cell r="L1603" t="str">
            <v>攻撃タイプ</v>
          </cell>
          <cell r="M1603" t="str">
            <v>animal</v>
          </cell>
        </row>
        <row r="1604">
          <cell r="A1604">
            <v>8008</v>
          </cell>
          <cell r="B1604" t="str">
            <v>ja</v>
          </cell>
          <cell r="C1604" t="str">
            <v>花果の天猿仙人 孫悟空</v>
          </cell>
          <cell r="D1604" t="str">
            <v>イベント:ミクコラボ01</v>
          </cell>
          <cell r="E1604" t="str">
            <v>執行者</v>
          </cell>
          <cell r="F1604" t="str">
            <v>格好いい</v>
          </cell>
          <cell r="G1604" t="str">
            <v>不明</v>
          </cell>
          <cell r="H1604" t="str">
            <v>red</v>
          </cell>
          <cell r="I1604">
            <v>6</v>
          </cell>
          <cell r="J1604" t="str">
            <v>DropWizS</v>
          </cell>
          <cell r="K1604" t="str">
            <v>attack</v>
          </cell>
          <cell r="L1604" t="str">
            <v>攻撃タイプ</v>
          </cell>
          <cell r="M1604" t="str">
            <v>animal</v>
          </cell>
        </row>
        <row r="1605">
          <cell r="A1605">
            <v>8009</v>
          </cell>
          <cell r="B1605" t="str">
            <v>ja</v>
          </cell>
          <cell r="C1605" t="str">
            <v>西王娘娘</v>
          </cell>
          <cell r="D1605" t="str">
            <v>イベント:ミクコラボ01</v>
          </cell>
          <cell r="E1605" t="str">
            <v>執行者</v>
          </cell>
          <cell r="F1605" t="str">
            <v>格好いい</v>
          </cell>
          <cell r="G1605" t="str">
            <v>不明</v>
          </cell>
          <cell r="H1605" t="str">
            <v>green</v>
          </cell>
          <cell r="I1605">
            <v>5</v>
          </cell>
          <cell r="J1605" t="str">
            <v>PremiumSS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8010</v>
          </cell>
          <cell r="B1606" t="str">
            <v>ja</v>
          </cell>
          <cell r="C1606" t="str">
            <v>極楽瑶池の聖母 西王娘娘</v>
          </cell>
          <cell r="D1606" t="str">
            <v>イベント:ミクコラボ01</v>
          </cell>
          <cell r="E1606" t="str">
            <v>執行者</v>
          </cell>
          <cell r="F1606" t="str">
            <v>格好いい</v>
          </cell>
          <cell r="G1606" t="str">
            <v>不明</v>
          </cell>
          <cell r="H1606" t="str">
            <v>green</v>
          </cell>
          <cell r="I1606">
            <v>6</v>
          </cell>
          <cell r="J1606" t="str">
            <v>PremiumSS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8011</v>
          </cell>
          <cell r="B1607" t="str">
            <v>ja</v>
          </cell>
          <cell r="C1607" t="str">
            <v>月下老人</v>
          </cell>
          <cell r="D1607" t="str">
            <v>イベント:ミクコラボ01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yellow</v>
          </cell>
          <cell r="I1607">
            <v>5</v>
          </cell>
          <cell r="J1607" t="str">
            <v>DropWizS</v>
          </cell>
          <cell r="K1607" t="str">
            <v>balance</v>
          </cell>
          <cell r="L1607" t="str">
            <v>バランスタイプ</v>
          </cell>
          <cell r="M1607" t="str">
            <v>god</v>
          </cell>
        </row>
        <row r="1608">
          <cell r="A1608">
            <v>8012</v>
          </cell>
          <cell r="B1608" t="str">
            <v>ja</v>
          </cell>
          <cell r="C1608" t="str">
            <v>破戀斬る縁剣 月下老人</v>
          </cell>
          <cell r="D1608" t="str">
            <v>イベント:ミクコラボ01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yellow</v>
          </cell>
          <cell r="I1608">
            <v>6</v>
          </cell>
          <cell r="J1608" t="str">
            <v>DropWizS</v>
          </cell>
          <cell r="K1608" t="str">
            <v>balance</v>
          </cell>
          <cell r="L1608" t="str">
            <v>バランスタイプ</v>
          </cell>
          <cell r="M1608" t="str">
            <v>god</v>
          </cell>
        </row>
        <row r="1609">
          <cell r="A1609">
            <v>8013</v>
          </cell>
          <cell r="B1609" t="str">
            <v>ja</v>
          </cell>
          <cell r="C1609" t="str">
            <v>初音ミクV3</v>
          </cell>
          <cell r="D1609" t="str">
            <v>初音ミクV3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yellow</v>
          </cell>
          <cell r="I1609">
            <v>4</v>
          </cell>
          <cell r="J1609" t="str">
            <v>DropWizS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8014</v>
          </cell>
          <cell r="B1610" t="str">
            <v>ja</v>
          </cell>
          <cell r="C1610" t="str">
            <v>初音ミクV3</v>
          </cell>
          <cell r="D1610" t="str">
            <v>初音ミクV3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yellow</v>
          </cell>
          <cell r="I1610">
            <v>5</v>
          </cell>
          <cell r="J1610" t="str">
            <v>DropWizS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8015</v>
          </cell>
          <cell r="B1611" t="str">
            <v>ja</v>
          </cell>
          <cell r="C1611" t="str">
            <v>初音ミク・アペンド</v>
          </cell>
          <cell r="D1611" t="str">
            <v>初音ミク・アペンド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green</v>
          </cell>
          <cell r="I1611">
            <v>4</v>
          </cell>
          <cell r="J1611" t="str">
            <v>PremiumSSS</v>
          </cell>
          <cell r="K1611" t="str">
            <v>technical</v>
          </cell>
          <cell r="L1611" t="str">
            <v>テクニカルタイプ</v>
          </cell>
          <cell r="M1611" t="str">
            <v>unknown</v>
          </cell>
        </row>
        <row r="1612">
          <cell r="A1612">
            <v>8016</v>
          </cell>
          <cell r="B1612" t="str">
            <v>ja</v>
          </cell>
          <cell r="C1612" t="str">
            <v>初音ミク・アペンド</v>
          </cell>
          <cell r="D1612" t="str">
            <v>初音ミク・アペンド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green</v>
          </cell>
          <cell r="I1612">
            <v>5</v>
          </cell>
          <cell r="J1612" t="str">
            <v>PremiumSSS</v>
          </cell>
          <cell r="K1612" t="str">
            <v>technical</v>
          </cell>
          <cell r="L1612" t="str">
            <v>テクニカルタイプ</v>
          </cell>
          <cell r="M1612" t="str">
            <v>unknown</v>
          </cell>
        </row>
        <row r="1613">
          <cell r="A1613">
            <v>8017</v>
          </cell>
          <cell r="B1613" t="str">
            <v>ja</v>
          </cell>
          <cell r="C1613" t="str">
            <v>初音ミク</v>
          </cell>
          <cell r="D1613" t="str">
            <v>初音ミク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green</v>
          </cell>
          <cell r="I1613">
            <v>4</v>
          </cell>
          <cell r="J1613" t="str">
            <v>PremiumSSS</v>
          </cell>
          <cell r="K1613" t="str">
            <v>balance</v>
          </cell>
          <cell r="L1613" t="str">
            <v>バランスタイプ</v>
          </cell>
          <cell r="M1613" t="str">
            <v>unknown</v>
          </cell>
        </row>
        <row r="1614">
          <cell r="A1614">
            <v>8018</v>
          </cell>
          <cell r="B1614" t="str">
            <v>ja</v>
          </cell>
          <cell r="C1614" t="str">
            <v>初音ミク</v>
          </cell>
          <cell r="D1614" t="str">
            <v>初音ミク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green</v>
          </cell>
          <cell r="I1614">
            <v>5</v>
          </cell>
          <cell r="J1614" t="str">
            <v>PremiumSSS</v>
          </cell>
          <cell r="K1614" t="str">
            <v>balance</v>
          </cell>
          <cell r="L1614" t="str">
            <v>バランスタイプ</v>
          </cell>
          <cell r="M1614" t="str">
            <v>unknown</v>
          </cell>
        </row>
        <row r="1615">
          <cell r="A1615">
            <v>8019</v>
          </cell>
          <cell r="B1615" t="str">
            <v>ja</v>
          </cell>
          <cell r="C1615" t="str">
            <v>鏡音リン</v>
          </cell>
          <cell r="D1615" t="str">
            <v>鏡音リン</v>
          </cell>
          <cell r="E1615" t="str">
            <v>執行者</v>
          </cell>
          <cell r="F1615" t="str">
            <v>格好いい</v>
          </cell>
          <cell r="G1615" t="str">
            <v>男性</v>
          </cell>
          <cell r="H1615" t="str">
            <v>yellow</v>
          </cell>
          <cell r="I1615">
            <v>4</v>
          </cell>
          <cell r="J1615" t="str">
            <v>PremiumSS</v>
          </cell>
          <cell r="K1615" t="str">
            <v>balance</v>
          </cell>
          <cell r="L1615" t="str">
            <v>バランスタイプ</v>
          </cell>
          <cell r="M1615" t="str">
            <v>unknown</v>
          </cell>
        </row>
        <row r="1616">
          <cell r="A1616">
            <v>8020</v>
          </cell>
          <cell r="B1616" t="str">
            <v>ja</v>
          </cell>
          <cell r="C1616" t="str">
            <v>鏡音リン</v>
          </cell>
          <cell r="D1616" t="str">
            <v>鏡音リン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yellow</v>
          </cell>
          <cell r="I1616">
            <v>5</v>
          </cell>
          <cell r="J1616" t="str">
            <v>PremiumSS</v>
          </cell>
          <cell r="K1616" t="str">
            <v>balance</v>
          </cell>
          <cell r="L1616" t="str">
            <v>バランスタイプ</v>
          </cell>
          <cell r="M1616" t="str">
            <v>unknown</v>
          </cell>
        </row>
        <row r="1617">
          <cell r="A1617">
            <v>8021</v>
          </cell>
          <cell r="B1617" t="str">
            <v>ja</v>
          </cell>
          <cell r="C1617" t="str">
            <v>鏡音レン</v>
          </cell>
          <cell r="D1617" t="str">
            <v>鏡音レン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PremiumSS</v>
          </cell>
          <cell r="K1617" t="str">
            <v>heal</v>
          </cell>
          <cell r="L1617" t="str">
            <v>回復タイプ</v>
          </cell>
          <cell r="M1617" t="str">
            <v>unknown</v>
          </cell>
        </row>
        <row r="1618">
          <cell r="A1618">
            <v>8022</v>
          </cell>
          <cell r="B1618" t="str">
            <v>ja</v>
          </cell>
          <cell r="C1618" t="str">
            <v>鏡音レン</v>
          </cell>
          <cell r="D1618" t="str">
            <v>鏡音レン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PremiumSS</v>
          </cell>
          <cell r="K1618" t="str">
            <v>heal</v>
          </cell>
          <cell r="L1618" t="str">
            <v>回復タイプ</v>
          </cell>
          <cell r="M1618" t="str">
            <v>unknown</v>
          </cell>
        </row>
        <row r="1619">
          <cell r="A1619">
            <v>8023</v>
          </cell>
          <cell r="B1619" t="str">
            <v>ja</v>
          </cell>
          <cell r="C1619" t="str">
            <v>巡音ルカ</v>
          </cell>
          <cell r="D1619" t="str">
            <v>巡音ルカ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3</v>
          </cell>
          <cell r="J1619" t="str">
            <v>PremiumS</v>
          </cell>
          <cell r="K1619" t="str">
            <v>attack</v>
          </cell>
          <cell r="L1619" t="str">
            <v>攻撃タイプ</v>
          </cell>
          <cell r="M1619" t="str">
            <v>unknown</v>
          </cell>
        </row>
        <row r="1620">
          <cell r="A1620">
            <v>8024</v>
          </cell>
          <cell r="B1620" t="str">
            <v>ja</v>
          </cell>
          <cell r="C1620" t="str">
            <v>巡音ルカ</v>
          </cell>
          <cell r="D1620" t="str">
            <v>巡音ルカ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4</v>
          </cell>
          <cell r="J1620" t="str">
            <v>PremiumS</v>
          </cell>
          <cell r="K1620" t="str">
            <v>attack</v>
          </cell>
          <cell r="L1620" t="str">
            <v>攻撃タイプ</v>
          </cell>
          <cell r="M1620" t="str">
            <v>unknown</v>
          </cell>
        </row>
        <row r="1621">
          <cell r="A1621">
            <v>8025</v>
          </cell>
          <cell r="B1621" t="str">
            <v>ja</v>
          </cell>
          <cell r="C1621" t="str">
            <v>MEIKO</v>
          </cell>
          <cell r="D1621" t="str">
            <v>MEIKO</v>
          </cell>
          <cell r="E1621" t="str">
            <v>執行者</v>
          </cell>
          <cell r="F1621" t="str">
            <v>格好いい</v>
          </cell>
          <cell r="G1621" t="str">
            <v>男性</v>
          </cell>
          <cell r="H1621" t="str">
            <v>red</v>
          </cell>
          <cell r="I1621">
            <v>3</v>
          </cell>
          <cell r="J1621" t="str">
            <v>PremiumS</v>
          </cell>
          <cell r="K1621" t="str">
            <v>hp</v>
          </cell>
          <cell r="L1621" t="str">
            <v>体力タイプ</v>
          </cell>
          <cell r="M1621" t="str">
            <v>unknown</v>
          </cell>
        </row>
        <row r="1622">
          <cell r="A1622">
            <v>8026</v>
          </cell>
          <cell r="B1622" t="str">
            <v>ja</v>
          </cell>
          <cell r="C1622" t="str">
            <v>MEIKO</v>
          </cell>
          <cell r="D1622" t="str">
            <v>MEIKO</v>
          </cell>
          <cell r="E1622" t="str">
            <v>執行者</v>
          </cell>
          <cell r="F1622" t="str">
            <v>格好いい</v>
          </cell>
          <cell r="G1622" t="str">
            <v>男性</v>
          </cell>
          <cell r="H1622" t="str">
            <v>red</v>
          </cell>
          <cell r="I1622">
            <v>4</v>
          </cell>
          <cell r="J1622" t="str">
            <v>PremiumS</v>
          </cell>
          <cell r="K1622" t="str">
            <v>hp</v>
          </cell>
          <cell r="L1622" t="str">
            <v>体力タイプ</v>
          </cell>
          <cell r="M1622" t="str">
            <v>unknown</v>
          </cell>
        </row>
        <row r="1623">
          <cell r="A1623">
            <v>8027</v>
          </cell>
          <cell r="B1623" t="str">
            <v>ja</v>
          </cell>
          <cell r="C1623" t="str">
            <v>KAITO</v>
          </cell>
          <cell r="D1623" t="str">
            <v>KAITO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blue</v>
          </cell>
          <cell r="I1623">
            <v>3</v>
          </cell>
          <cell r="J1623" t="str">
            <v>PremiumS</v>
          </cell>
          <cell r="K1623" t="str">
            <v>technical</v>
          </cell>
          <cell r="L1623" t="str">
            <v>テクニカルタイプ</v>
          </cell>
          <cell r="M1623" t="str">
            <v>unknown</v>
          </cell>
        </row>
        <row r="1624">
          <cell r="A1624">
            <v>8028</v>
          </cell>
          <cell r="B1624" t="str">
            <v>ja</v>
          </cell>
          <cell r="C1624" t="str">
            <v>KAITO</v>
          </cell>
          <cell r="D1624" t="str">
            <v>KAITO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blue</v>
          </cell>
          <cell r="I1624">
            <v>4</v>
          </cell>
          <cell r="J1624" t="str">
            <v>PremiumS</v>
          </cell>
          <cell r="K1624" t="str">
            <v>technical</v>
          </cell>
          <cell r="L1624" t="str">
            <v>テクニカルタイプ</v>
          </cell>
          <cell r="M1624" t="str">
            <v>unknown</v>
          </cell>
        </row>
        <row r="1625">
          <cell r="A1625">
            <v>8029</v>
          </cell>
          <cell r="B1625" t="str">
            <v>ja</v>
          </cell>
          <cell r="C1625" t="str">
            <v>Expoミク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Drop2N</v>
          </cell>
          <cell r="K1625" t="str">
            <v>heal</v>
          </cell>
          <cell r="L1625" t="str">
            <v>回復タイプ</v>
          </cell>
          <cell r="M1625" t="str">
            <v>unknown</v>
          </cell>
        </row>
        <row r="1626">
          <cell r="A1626">
            <v>8030</v>
          </cell>
          <cell r="B1626" t="str">
            <v>ja</v>
          </cell>
          <cell r="C1626" t="str">
            <v>Expoミク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Drop2N</v>
          </cell>
          <cell r="K1626" t="str">
            <v>heal</v>
          </cell>
          <cell r="L1626" t="str">
            <v>回復タイプ</v>
          </cell>
          <cell r="M1626" t="str">
            <v>unknown</v>
          </cell>
        </row>
        <row r="1627">
          <cell r="A1627">
            <v>8031</v>
          </cell>
          <cell r="B1627" t="str">
            <v>ja</v>
          </cell>
          <cell r="C1627" t="str">
            <v>閻羅王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5</v>
          </cell>
          <cell r="J1627" t="str">
            <v>PremiumSS</v>
          </cell>
          <cell r="K1627" t="str">
            <v>balance</v>
          </cell>
          <cell r="L1627" t="str">
            <v>バランスタイプ</v>
          </cell>
          <cell r="M1627" t="str">
            <v>god</v>
          </cell>
        </row>
        <row r="1628">
          <cell r="A1628">
            <v>8032</v>
          </cell>
          <cell r="B1628" t="str">
            <v>ja</v>
          </cell>
          <cell r="C1628" t="str">
            <v>六道輪廻の絶獄 閻羅王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6</v>
          </cell>
          <cell r="J1628" t="str">
            <v>PremiumSS</v>
          </cell>
          <cell r="K1628" t="str">
            <v>balance</v>
          </cell>
          <cell r="L1628" t="str">
            <v>バランスタイプ</v>
          </cell>
          <cell r="M1628" t="str">
            <v>god</v>
          </cell>
        </row>
        <row r="1629">
          <cell r="A1629">
            <v>8033</v>
          </cell>
          <cell r="B1629" t="str">
            <v>ja</v>
          </cell>
          <cell r="C1629" t="str">
            <v>牛頭馬面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god</v>
          </cell>
        </row>
        <row r="1630">
          <cell r="A1630">
            <v>8034</v>
          </cell>
          <cell r="B1630" t="str">
            <v>ja</v>
          </cell>
          <cell r="C1630" t="str">
            <v>冥府狩る魂使 牛頭馬面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6</v>
          </cell>
          <cell r="J1630" t="str">
            <v>DropWizS</v>
          </cell>
          <cell r="K1630" t="str">
            <v>attack</v>
          </cell>
          <cell r="L1630" t="str">
            <v>攻撃タイプ</v>
          </cell>
          <cell r="M1630" t="str">
            <v>god</v>
          </cell>
        </row>
        <row r="1631">
          <cell r="A1631">
            <v>8035</v>
          </cell>
          <cell r="B1631" t="str">
            <v>ja</v>
          </cell>
          <cell r="C1631" t="str">
            <v>飛衛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blue</v>
          </cell>
          <cell r="I1631">
            <v>5</v>
          </cell>
          <cell r="J1631" t="str">
            <v>PremiumSS</v>
          </cell>
          <cell r="K1631" t="str">
            <v>heal</v>
          </cell>
          <cell r="L1631" t="str">
            <v>回復タイプ</v>
          </cell>
          <cell r="M1631" t="str">
            <v>human</v>
          </cell>
        </row>
        <row r="1632">
          <cell r="A1632">
            <v>8036</v>
          </cell>
          <cell r="B1632" t="str">
            <v>ja</v>
          </cell>
          <cell r="C1632" t="str">
            <v>レア６飛衛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6</v>
          </cell>
          <cell r="J1632" t="str">
            <v>PremiumSS</v>
          </cell>
          <cell r="K1632" t="str">
            <v>heal</v>
          </cell>
          <cell r="L1632" t="str">
            <v>回復タイプ</v>
          </cell>
          <cell r="M1632" t="str">
            <v>human</v>
          </cell>
        </row>
        <row r="1633">
          <cell r="A1633">
            <v>8037</v>
          </cell>
          <cell r="B1633" t="str">
            <v>ja</v>
          </cell>
          <cell r="C1633" t="str">
            <v>紀昌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red</v>
          </cell>
          <cell r="I1633">
            <v>5</v>
          </cell>
          <cell r="J1633" t="str">
            <v>DropWizS</v>
          </cell>
          <cell r="K1633" t="str">
            <v>attack</v>
          </cell>
          <cell r="L1633" t="str">
            <v>攻撃タイプ</v>
          </cell>
          <cell r="M1633" t="str">
            <v>human</v>
          </cell>
        </row>
        <row r="1634">
          <cell r="A1634">
            <v>8038</v>
          </cell>
          <cell r="B1634" t="str">
            <v>ja</v>
          </cell>
          <cell r="C1634" t="str">
            <v>レア６紀昌</v>
          </cell>
          <cell r="D1634" t="str">
            <v>Expoミク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red</v>
          </cell>
          <cell r="I1634">
            <v>6</v>
          </cell>
          <cell r="J1634" t="str">
            <v>DropWizS</v>
          </cell>
          <cell r="K1634" t="str">
            <v>attack</v>
          </cell>
          <cell r="L1634" t="str">
            <v>攻撃タイプ</v>
          </cell>
          <cell r="M1634" t="str">
            <v>human</v>
          </cell>
        </row>
        <row r="1635">
          <cell r="A1635">
            <v>8039</v>
          </cell>
          <cell r="B1635" t="str">
            <v>ja</v>
          </cell>
          <cell r="C1635" t="str">
            <v>何仙姑</v>
          </cell>
          <cell r="D1635" t="str">
            <v>Expoミク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PremiumSSw</v>
          </cell>
          <cell r="K1635" t="str">
            <v>hp</v>
          </cell>
          <cell r="L1635" t="str">
            <v>体力タイプ</v>
          </cell>
          <cell r="M1635" t="str">
            <v>god</v>
          </cell>
        </row>
        <row r="1636">
          <cell r="A1636">
            <v>8040</v>
          </cell>
          <cell r="B1636" t="str">
            <v>ja</v>
          </cell>
          <cell r="C1636" t="str">
            <v>荷咲く九天 何仙姑</v>
          </cell>
          <cell r="D1636" t="str">
            <v>Expoミク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6</v>
          </cell>
          <cell r="J1636" t="str">
            <v>PremiumSSw</v>
          </cell>
          <cell r="K1636" t="str">
            <v>hp</v>
          </cell>
          <cell r="L1636" t="str">
            <v>体力タイプ</v>
          </cell>
          <cell r="M1636" t="str">
            <v>god</v>
          </cell>
        </row>
        <row r="1637">
          <cell r="A1637">
            <v>8041</v>
          </cell>
          <cell r="B1637" t="str">
            <v>ja</v>
          </cell>
          <cell r="C1637" t="str">
            <v>藍采和</v>
          </cell>
          <cell r="D1637" t="str">
            <v>Expoミク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5</v>
          </cell>
          <cell r="J1637" t="str">
            <v>DropWizS</v>
          </cell>
          <cell r="K1637" t="str">
            <v>balance</v>
          </cell>
          <cell r="L1637" t="str">
            <v>バランスタイプ</v>
          </cell>
          <cell r="M1637" t="str">
            <v>god</v>
          </cell>
        </row>
        <row r="1638">
          <cell r="A1638">
            <v>8042</v>
          </cell>
          <cell r="B1638" t="str">
            <v>ja</v>
          </cell>
          <cell r="C1638" t="str">
            <v>天真浪漫 藍采和</v>
          </cell>
          <cell r="D1638" t="str">
            <v>Expoミク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6</v>
          </cell>
          <cell r="J1638" t="str">
            <v>DropWizS</v>
          </cell>
          <cell r="K1638" t="str">
            <v>balance</v>
          </cell>
          <cell r="L1638" t="str">
            <v>バランスタイプ</v>
          </cell>
          <cell r="M1638" t="str">
            <v>god</v>
          </cell>
        </row>
        <row r="1639">
          <cell r="A1639">
            <v>8043</v>
          </cell>
          <cell r="B1639" t="str">
            <v>ja</v>
          </cell>
          <cell r="C1639" t="str">
            <v>サンリオキャラ大集合+アザゼル</v>
          </cell>
          <cell r="D1639" t="str">
            <v>サンリオキャラ大集合+アザゼル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green</v>
          </cell>
          <cell r="I1639">
            <v>5</v>
          </cell>
          <cell r="J1639" t="str">
            <v>DropWizS</v>
          </cell>
          <cell r="K1639" t="str">
            <v>technical</v>
          </cell>
          <cell r="L1639" t="str">
            <v>テクニカルタイプ</v>
          </cell>
          <cell r="M1639" t="str">
            <v>ss</v>
          </cell>
        </row>
        <row r="1640">
          <cell r="A1640">
            <v>8044</v>
          </cell>
          <cell r="B1640" t="str">
            <v>ja</v>
          </cell>
          <cell r="C1640" t="str">
            <v>サンリオキャラ大集合+アザゼル</v>
          </cell>
          <cell r="D1640" t="str">
            <v>サンリオキャラ大集合+アザゼル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green</v>
          </cell>
          <cell r="I1640">
            <v>6</v>
          </cell>
          <cell r="J1640" t="str">
            <v>DropWizS</v>
          </cell>
          <cell r="K1640" t="str">
            <v>technical</v>
          </cell>
          <cell r="L1640" t="str">
            <v>テクニカルタイプ</v>
          </cell>
          <cell r="M1640" t="str">
            <v>ss</v>
          </cell>
        </row>
        <row r="1641">
          <cell r="A1641">
            <v>8045</v>
          </cell>
          <cell r="B1641" t="str">
            <v>ja</v>
          </cell>
          <cell r="C1641" t="str">
            <v>ニムダ_サンリオキャラ混じり</v>
          </cell>
          <cell r="D1641" t="str">
            <v>ニムダ_サンリオキャラ混じり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Drop2N</v>
          </cell>
          <cell r="K1641" t="str">
            <v>technical</v>
          </cell>
          <cell r="L1641" t="str">
            <v>テクニカルタイプ</v>
          </cell>
          <cell r="M1641" t="str">
            <v>ss</v>
          </cell>
        </row>
        <row r="1642">
          <cell r="A1642">
            <v>8046</v>
          </cell>
          <cell r="B1642" t="str">
            <v>ja</v>
          </cell>
          <cell r="C1642" t="str">
            <v>ニムダ_サンリオキャラ混じり</v>
          </cell>
          <cell r="D1642" t="str">
            <v>ニムダ_サンリオキャラ混じり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Drop2N</v>
          </cell>
          <cell r="K1642" t="str">
            <v>technical</v>
          </cell>
          <cell r="L1642" t="str">
            <v>テクニカルタイプ</v>
          </cell>
          <cell r="M1642" t="str">
            <v>ss</v>
          </cell>
        </row>
        <row r="1643">
          <cell r="A1643">
            <v>8047</v>
          </cell>
          <cell r="B1643" t="str">
            <v>ja</v>
          </cell>
          <cell r="C1643" t="str">
            <v>ハローキティ</v>
          </cell>
          <cell r="D1643" t="str">
            <v>ハローキティ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balance</v>
          </cell>
          <cell r="L1643" t="str">
            <v>バランスタイプ</v>
          </cell>
          <cell r="M1643" t="str">
            <v>ss</v>
          </cell>
        </row>
        <row r="1644">
          <cell r="A1644">
            <v>8048</v>
          </cell>
          <cell r="B1644" t="str">
            <v>ja</v>
          </cell>
          <cell r="C1644" t="str">
            <v>ハローキティ</v>
          </cell>
          <cell r="D1644" t="str">
            <v>ハローキティ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Drop2N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8049</v>
          </cell>
          <cell r="B1645" t="str">
            <v>ja</v>
          </cell>
          <cell r="C1645" t="str">
            <v>KIRIMIちゃん</v>
          </cell>
          <cell r="D1645" t="str">
            <v>KIRIMIちゃん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4</v>
          </cell>
          <cell r="J1645" t="str">
            <v>Drop2N</v>
          </cell>
          <cell r="K1645" t="str">
            <v>hp</v>
          </cell>
          <cell r="L1645" t="str">
            <v>体力タイプ</v>
          </cell>
          <cell r="M1645" t="str">
            <v>ss</v>
          </cell>
        </row>
        <row r="1646">
          <cell r="A1646">
            <v>8050</v>
          </cell>
          <cell r="B1646" t="str">
            <v>ja</v>
          </cell>
          <cell r="C1646" t="str">
            <v>KIRIMIちゃん</v>
          </cell>
          <cell r="D1646" t="str">
            <v>KIRIMIちゃん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5</v>
          </cell>
          <cell r="J1646" t="str">
            <v>Drop2N</v>
          </cell>
          <cell r="K1646" t="str">
            <v>hp</v>
          </cell>
          <cell r="L1646" t="str">
            <v>体力タイプ</v>
          </cell>
          <cell r="M1646" t="str">
            <v>ss</v>
          </cell>
        </row>
        <row r="1647">
          <cell r="A1647">
            <v>8051</v>
          </cell>
          <cell r="B1647" t="str">
            <v>ja</v>
          </cell>
          <cell r="C1647" t="str">
            <v>ハローキティのリボン</v>
          </cell>
          <cell r="D1647" t="str">
            <v>ハローキティのリボン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Drop2N</v>
          </cell>
          <cell r="K1647" t="str">
            <v>evolution</v>
          </cell>
          <cell r="L1647" t="str">
            <v>覚醒素材タイプ</v>
          </cell>
          <cell r="M1647" t="str">
            <v>ss</v>
          </cell>
        </row>
        <row r="1648">
          <cell r="A1648">
            <v>8052</v>
          </cell>
          <cell r="B1648" t="str">
            <v>ja</v>
          </cell>
          <cell r="C1648" t="str">
            <v>ママの作ったアップルパイ</v>
          </cell>
          <cell r="D1648" t="str">
            <v>ママの作ったアップルパイ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4</v>
          </cell>
          <cell r="J1648" t="str">
            <v>Drop2N</v>
          </cell>
          <cell r="K1648" t="str">
            <v>evolution</v>
          </cell>
          <cell r="L1648" t="str">
            <v>覚醒素材タイプ</v>
          </cell>
          <cell r="M1648" t="str">
            <v>ss</v>
          </cell>
        </row>
        <row r="1649">
          <cell r="A1649">
            <v>8053</v>
          </cell>
          <cell r="B1649" t="str">
            <v>ja</v>
          </cell>
          <cell r="C1649" t="str">
            <v>D.R.T.H__キティコスプレ</v>
          </cell>
          <cell r="D1649" t="str">
            <v>D.R.T.H__キティコスプレ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red</v>
          </cell>
          <cell r="I1649">
            <v>5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8054</v>
          </cell>
          <cell r="B1650" t="str">
            <v>ja</v>
          </cell>
          <cell r="C1650" t="str">
            <v>D.R.T.H__キティコスプレ</v>
          </cell>
          <cell r="D1650" t="str">
            <v>D.R.T.H__キティコスプレ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ss</v>
          </cell>
        </row>
        <row r="1651">
          <cell r="A1651">
            <v>8055</v>
          </cell>
          <cell r="B1651" t="str">
            <v>ja</v>
          </cell>
          <cell r="C1651" t="str">
            <v>マイメロディ</v>
          </cell>
          <cell r="D1651" t="str">
            <v>マイメロディ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4</v>
          </cell>
          <cell r="J1651" t="str">
            <v>PremiumS</v>
          </cell>
          <cell r="K1651" t="str">
            <v>attack</v>
          </cell>
          <cell r="L1651" t="str">
            <v>攻撃タイプ</v>
          </cell>
          <cell r="M1651" t="str">
            <v>ss</v>
          </cell>
        </row>
        <row r="1652">
          <cell r="A1652">
            <v>8056</v>
          </cell>
          <cell r="B1652" t="str">
            <v>ja</v>
          </cell>
          <cell r="C1652" t="str">
            <v>マイメロディ</v>
          </cell>
          <cell r="D1652" t="str">
            <v>マイメロディ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5</v>
          </cell>
          <cell r="J1652" t="str">
            <v>PremiumS</v>
          </cell>
          <cell r="K1652" t="str">
            <v>attack</v>
          </cell>
          <cell r="L1652" t="str">
            <v>攻撃タイプ</v>
          </cell>
          <cell r="M1652" t="str">
            <v>ss</v>
          </cell>
        </row>
        <row r="1653">
          <cell r="A1653">
            <v>8057</v>
          </cell>
          <cell r="B1653" t="str">
            <v>ja</v>
          </cell>
          <cell r="C1653" t="str">
            <v>ニーベルゲン_シナモロールコスプレ</v>
          </cell>
          <cell r="D1653" t="str">
            <v>ニーベルゲン_シナモロールコスプレ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8058</v>
          </cell>
          <cell r="B1654" t="str">
            <v>ja</v>
          </cell>
          <cell r="C1654" t="str">
            <v>ニーベルゲン_シナモロールコスプレ</v>
          </cell>
          <cell r="D1654" t="str">
            <v>ニーベルゲン_シナモロールコスプレ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green</v>
          </cell>
          <cell r="I1654">
            <v>5</v>
          </cell>
          <cell r="J1654" t="str">
            <v>PremiumS</v>
          </cell>
          <cell r="K1654" t="str">
            <v>balance</v>
          </cell>
          <cell r="L1654" t="str">
            <v>バランスタイプ</v>
          </cell>
          <cell r="M1654" t="str">
            <v>ss</v>
          </cell>
        </row>
        <row r="1655">
          <cell r="A1655">
            <v>8059</v>
          </cell>
          <cell r="B1655" t="str">
            <v>ja</v>
          </cell>
          <cell r="C1655" t="str">
            <v>カカシ_マイメロディコスプレ</v>
          </cell>
          <cell r="D1655" t="str">
            <v>カカシ_マイメロディコスプレ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</v>
          </cell>
          <cell r="K1655" t="str">
            <v>technical</v>
          </cell>
          <cell r="L1655" t="str">
            <v>テクニカルタイプ</v>
          </cell>
          <cell r="M1655" t="str">
            <v>ss</v>
          </cell>
        </row>
        <row r="1656">
          <cell r="A1656">
            <v>8060</v>
          </cell>
          <cell r="B1656" t="str">
            <v>ja</v>
          </cell>
          <cell r="C1656" t="str">
            <v>カカシ_マイメロディコスプレ</v>
          </cell>
          <cell r="D1656" t="str">
            <v>カカシ_マイメロディコスプレ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8061</v>
          </cell>
          <cell r="B1657" t="str">
            <v>ja</v>
          </cell>
          <cell r="C1657" t="str">
            <v>ケロケロけろっぴ</v>
          </cell>
          <cell r="D1657" t="str">
            <v>ケロケロけろっぴ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3</v>
          </cell>
          <cell r="J1657" t="str">
            <v>PremiumS</v>
          </cell>
          <cell r="K1657" t="str">
            <v>balance</v>
          </cell>
          <cell r="L1657" t="str">
            <v>バランスタイプ</v>
          </cell>
          <cell r="M1657" t="str">
            <v>ss</v>
          </cell>
        </row>
        <row r="1658">
          <cell r="A1658">
            <v>8062</v>
          </cell>
          <cell r="B1658" t="str">
            <v>ja</v>
          </cell>
          <cell r="C1658" t="str">
            <v>ケロケロけろっぴ</v>
          </cell>
          <cell r="D1658" t="str">
            <v>ケロケロけろっぴ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4</v>
          </cell>
          <cell r="J1658" t="str">
            <v>PremiumS</v>
          </cell>
          <cell r="K1658" t="str">
            <v>balance</v>
          </cell>
          <cell r="L1658" t="str">
            <v>バランスタイプ</v>
          </cell>
          <cell r="M1658" t="str">
            <v>ss</v>
          </cell>
        </row>
        <row r="1659">
          <cell r="A1659">
            <v>8063</v>
          </cell>
          <cell r="B1659" t="str">
            <v>ja</v>
          </cell>
          <cell r="C1659" t="str">
            <v>モルドレッド_ポムポムプリンコスプレ</v>
          </cell>
          <cell r="D1659" t="str">
            <v>モルドレッド_ポムポムプリンコスプレ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5</v>
          </cell>
          <cell r="J1659" t="str">
            <v>PremiumSS</v>
          </cell>
          <cell r="K1659" t="str">
            <v>heal</v>
          </cell>
          <cell r="L1659" t="str">
            <v>回復タイプ</v>
          </cell>
          <cell r="M1659" t="str">
            <v>ss</v>
          </cell>
        </row>
        <row r="1660">
          <cell r="A1660">
            <v>8064</v>
          </cell>
          <cell r="B1660" t="str">
            <v>ja</v>
          </cell>
          <cell r="C1660" t="str">
            <v>モルドレッド_ポムポムプリンコスプレ</v>
          </cell>
          <cell r="D1660" t="str">
            <v>モルドレッド_ポムポムプリンコスプレ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blue</v>
          </cell>
          <cell r="I1660">
            <v>6</v>
          </cell>
          <cell r="J1660" t="str">
            <v>PremiumSS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8065</v>
          </cell>
          <cell r="B1661" t="str">
            <v>ja</v>
          </cell>
          <cell r="C1661" t="str">
            <v>クロミ</v>
          </cell>
          <cell r="D1661" t="str">
            <v>クロミ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blue</v>
          </cell>
          <cell r="I1661">
            <v>3</v>
          </cell>
          <cell r="J1661" t="str">
            <v>PremiumS</v>
          </cell>
          <cell r="K1661" t="str">
            <v>technical</v>
          </cell>
          <cell r="L1661" t="str">
            <v>テクニカルタイプ</v>
          </cell>
          <cell r="M1661" t="str">
            <v>ss</v>
          </cell>
        </row>
        <row r="1662">
          <cell r="A1662">
            <v>8066</v>
          </cell>
          <cell r="B1662" t="str">
            <v>ja</v>
          </cell>
          <cell r="C1662" t="str">
            <v>クロミ</v>
          </cell>
          <cell r="D1662" t="str">
            <v>クロミ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blue</v>
          </cell>
          <cell r="I1662">
            <v>4</v>
          </cell>
          <cell r="J1662" t="str">
            <v>PremiumS</v>
          </cell>
          <cell r="K1662" t="str">
            <v>technical</v>
          </cell>
          <cell r="L1662" t="str">
            <v>テクニカルタイプ</v>
          </cell>
          <cell r="M1662" t="str">
            <v>ss</v>
          </cell>
        </row>
        <row r="1663">
          <cell r="A1663">
            <v>8067</v>
          </cell>
          <cell r="B1663" t="str">
            <v>ja</v>
          </cell>
          <cell r="C1663" t="str">
            <v>バッドばつ丸</v>
          </cell>
          <cell r="D1663" t="str">
            <v>バッドばつ丸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blue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ss</v>
          </cell>
        </row>
        <row r="1664">
          <cell r="A1664">
            <v>8068</v>
          </cell>
          <cell r="B1664" t="str">
            <v>ja</v>
          </cell>
          <cell r="C1664" t="str">
            <v>バッドばつ丸</v>
          </cell>
          <cell r="D1664" t="str">
            <v>バッドばつ丸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blue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ss</v>
          </cell>
        </row>
        <row r="1665">
          <cell r="A1665">
            <v>8069</v>
          </cell>
          <cell r="B1665" t="str">
            <v>ja</v>
          </cell>
          <cell r="C1665" t="str">
            <v>シナモロール</v>
          </cell>
          <cell r="D1665" t="str">
            <v>シナモロール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yellow</v>
          </cell>
          <cell r="I1665">
            <v>4</v>
          </cell>
          <cell r="J1665" t="str">
            <v>PremiumS</v>
          </cell>
          <cell r="K1665" t="str">
            <v>heal</v>
          </cell>
          <cell r="L1665" t="str">
            <v>回復タイプ</v>
          </cell>
          <cell r="M1665" t="str">
            <v>ss</v>
          </cell>
        </row>
        <row r="1666">
          <cell r="A1666">
            <v>8070</v>
          </cell>
          <cell r="B1666" t="str">
            <v>ja</v>
          </cell>
          <cell r="C1666" t="str">
            <v>シナモロール</v>
          </cell>
          <cell r="D1666" t="str">
            <v>シナモロール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5</v>
          </cell>
          <cell r="J1666" t="str">
            <v>PremiumS</v>
          </cell>
          <cell r="K1666" t="str">
            <v>heal</v>
          </cell>
          <cell r="L1666" t="str">
            <v>回復タイプ</v>
          </cell>
          <cell r="M1666" t="str">
            <v>ss</v>
          </cell>
        </row>
        <row r="1667">
          <cell r="A1667">
            <v>8071</v>
          </cell>
          <cell r="B1667" t="str">
            <v>ja</v>
          </cell>
          <cell r="C1667" t="str">
            <v>ポムポムプリン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yellow</v>
          </cell>
          <cell r="I1667">
            <v>3</v>
          </cell>
          <cell r="J1667" t="str">
            <v>PremiumS</v>
          </cell>
          <cell r="K1667" t="str">
            <v>hp</v>
          </cell>
          <cell r="L1667" t="str">
            <v>体力タイプ</v>
          </cell>
          <cell r="M1667" t="str">
            <v>ss</v>
          </cell>
        </row>
        <row r="1668">
          <cell r="A1668">
            <v>8072</v>
          </cell>
          <cell r="B1668" t="str">
            <v>ja</v>
          </cell>
          <cell r="C1668" t="str">
            <v>ポムポムプリン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yellow</v>
          </cell>
          <cell r="I1668">
            <v>4</v>
          </cell>
          <cell r="J1668" t="str">
            <v>PremiumS</v>
          </cell>
          <cell r="K1668" t="str">
            <v>hp</v>
          </cell>
          <cell r="L1668" t="str">
            <v>体力タイプ</v>
          </cell>
          <cell r="M1668" t="str">
            <v>ss</v>
          </cell>
        </row>
        <row r="1669">
          <cell r="A1669">
            <v>8073</v>
          </cell>
          <cell r="B1669" t="str">
            <v>ja</v>
          </cell>
          <cell r="C1669" t="str">
            <v>星海祈る天光妃 媽祖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8074</v>
          </cell>
          <cell r="B1670" t="str">
            <v>ja</v>
          </cell>
          <cell r="C1670" t="str">
            <v>海戀の絶龍姫 蛟龍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6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8075</v>
          </cell>
          <cell r="B1671" t="str">
            <v>ja</v>
          </cell>
          <cell r="C1671" t="str">
            <v>解脱天の知徳 三蔵法師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blue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</row>
        <row r="1672">
          <cell r="A1672">
            <v>8076</v>
          </cell>
          <cell r="B1672" t="str">
            <v>ja</v>
          </cell>
          <cell r="C1672" t="str">
            <v>天暴の斉天大聖 孫悟空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DropWizS</v>
          </cell>
          <cell r="K1672" t="str">
            <v>attack</v>
          </cell>
          <cell r="L1672" t="str">
            <v>攻撃タイプ</v>
          </cell>
          <cell r="M1672" t="str">
            <v>unknown</v>
          </cell>
        </row>
        <row r="1673">
          <cell r="A1673">
            <v>8077</v>
          </cell>
          <cell r="B1673" t="str">
            <v>ja</v>
          </cell>
          <cell r="C1673" t="str">
            <v>鄭成功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blue</v>
          </cell>
          <cell r="I1673">
            <v>5</v>
          </cell>
          <cell r="J1673" t="str">
            <v>PremiumSS</v>
          </cell>
          <cell r="K1673" t="str">
            <v>attack</v>
          </cell>
          <cell r="L1673" t="str">
            <v>攻撃タイプ</v>
          </cell>
          <cell r="M1673" t="str">
            <v>human</v>
          </cell>
        </row>
        <row r="1674">
          <cell r="A1674">
            <v>8078</v>
          </cell>
          <cell r="B1674" t="str">
            <v>ja</v>
          </cell>
          <cell r="C1674" t="str">
            <v>レア６鄭成功</v>
          </cell>
          <cell r="D1674" t="str">
            <v>ポムポムプリン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attack</v>
          </cell>
          <cell r="L1674" t="str">
            <v>攻撃タイプ</v>
          </cell>
          <cell r="M1674" t="str">
            <v>human</v>
          </cell>
        </row>
        <row r="1675">
          <cell r="A1675">
            <v>8079</v>
          </cell>
          <cell r="B1675" t="str">
            <v>ja</v>
          </cell>
          <cell r="C1675" t="str">
            <v>赤鬼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DropWizS</v>
          </cell>
          <cell r="K1675" t="str">
            <v>hp</v>
          </cell>
          <cell r="L1675" t="str">
            <v>体力タイプ</v>
          </cell>
          <cell r="M1675" t="str">
            <v>dragon</v>
          </cell>
        </row>
        <row r="1676">
          <cell r="A1676">
            <v>8080</v>
          </cell>
          <cell r="B1676" t="str">
            <v>ja</v>
          </cell>
          <cell r="C1676" t="str">
            <v>レア６赤鬼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DropWizS</v>
          </cell>
          <cell r="K1676" t="str">
            <v>hp</v>
          </cell>
          <cell r="L1676" t="str">
            <v>体力タイプ</v>
          </cell>
          <cell r="M1676" t="str">
            <v>dragon</v>
          </cell>
        </row>
        <row r="1677">
          <cell r="A1677">
            <v>8081</v>
          </cell>
          <cell r="B1677" t="str">
            <v>ja</v>
          </cell>
          <cell r="C1677" t="str">
            <v>関羽</v>
          </cell>
          <cell r="H1677" t="str">
            <v>green</v>
          </cell>
          <cell r="I1677">
            <v>5</v>
          </cell>
          <cell r="J1677" t="str">
            <v>PremiumSSS</v>
          </cell>
          <cell r="K1677" t="str">
            <v>balance</v>
          </cell>
          <cell r="L1677" t="str">
            <v>バランスタイプ</v>
          </cell>
          <cell r="M1677" t="str">
            <v>samurai</v>
          </cell>
        </row>
        <row r="1678">
          <cell r="A1678">
            <v>8082</v>
          </cell>
          <cell r="B1678" t="str">
            <v>ja</v>
          </cell>
          <cell r="C1678" t="str">
            <v>★６関羽</v>
          </cell>
          <cell r="H1678" t="str">
            <v>green</v>
          </cell>
          <cell r="I1678">
            <v>6</v>
          </cell>
          <cell r="J1678" t="str">
            <v>PremiumSSS</v>
          </cell>
          <cell r="K1678" t="str">
            <v>balance</v>
          </cell>
          <cell r="L1678" t="str">
            <v>バランスタイプ</v>
          </cell>
          <cell r="M1678" t="str">
            <v>samurai</v>
          </cell>
        </row>
        <row r="1679">
          <cell r="A1679">
            <v>8083</v>
          </cell>
          <cell r="B1679" t="str">
            <v>ja</v>
          </cell>
          <cell r="C1679" t="str">
            <v>曹操</v>
          </cell>
          <cell r="H1679" t="str">
            <v>yellow</v>
          </cell>
          <cell r="I1679">
            <v>5</v>
          </cell>
          <cell r="J1679" t="str">
            <v>DropWizSS</v>
          </cell>
          <cell r="K1679" t="str">
            <v>technical</v>
          </cell>
          <cell r="L1679" t="str">
            <v>テクニカルタイプ</v>
          </cell>
          <cell r="M1679" t="str">
            <v>samurai</v>
          </cell>
        </row>
        <row r="1680">
          <cell r="A1680">
            <v>8084</v>
          </cell>
          <cell r="B1680" t="str">
            <v>ja</v>
          </cell>
          <cell r="C1680" t="str">
            <v>★６曹操</v>
          </cell>
          <cell r="H1680" t="str">
            <v>yellow</v>
          </cell>
          <cell r="I1680">
            <v>6</v>
          </cell>
          <cell r="J1680" t="str">
            <v>DropWizSS</v>
          </cell>
          <cell r="K1680" t="str">
            <v>technical</v>
          </cell>
          <cell r="L1680" t="str">
            <v>テクニカルタイプ</v>
          </cell>
          <cell r="M1680" t="str">
            <v>samurai</v>
          </cell>
        </row>
        <row r="1681">
          <cell r="A1681">
            <v>8085</v>
          </cell>
          <cell r="B1681" t="str">
            <v>ja</v>
          </cell>
          <cell r="C1681" t="str">
            <v>九霊無上の聖母 西王娘娘</v>
          </cell>
          <cell r="H1681" t="str">
            <v>green</v>
          </cell>
          <cell r="I1681">
            <v>6</v>
          </cell>
          <cell r="J1681" t="str">
            <v>PremiumSS</v>
          </cell>
          <cell r="K1681" t="str">
            <v>attack</v>
          </cell>
          <cell r="L1681" t="str">
            <v>攻撃タイプ</v>
          </cell>
          <cell r="M1681" t="str">
            <v>god</v>
          </cell>
        </row>
        <row r="1682">
          <cell r="A1682">
            <v>8086</v>
          </cell>
          <cell r="B1682" t="str">
            <v>ja</v>
          </cell>
          <cell r="C1682" t="str">
            <v>砕縁の情滅剣 月下老人</v>
          </cell>
          <cell r="H1682" t="str">
            <v>yellow</v>
          </cell>
          <cell r="I1682">
            <v>6</v>
          </cell>
          <cell r="J1682" t="str">
            <v>DropWizS</v>
          </cell>
          <cell r="K1682" t="str">
            <v>attack</v>
          </cell>
          <cell r="L1682" t="str">
            <v>攻撃タイプ</v>
          </cell>
          <cell r="M1682" t="str">
            <v>god</v>
          </cell>
        </row>
        <row r="1683">
          <cell r="A1683">
            <v>8087</v>
          </cell>
          <cell r="B1683" t="str">
            <v>ja</v>
          </cell>
          <cell r="C1683" t="str">
            <v>財神</v>
          </cell>
          <cell r="H1683" t="str">
            <v>red</v>
          </cell>
          <cell r="I1683">
            <v>5</v>
          </cell>
          <cell r="J1683" t="str">
            <v>PremiumSSS</v>
          </cell>
          <cell r="K1683" t="str">
            <v>technical</v>
          </cell>
          <cell r="L1683" t="str">
            <v>テクニカルタイプ</v>
          </cell>
          <cell r="M1683" t="str">
            <v>god</v>
          </cell>
        </row>
        <row r="1684">
          <cell r="A1684">
            <v>8088</v>
          </cell>
          <cell r="B1684" t="str">
            <v>ja</v>
          </cell>
          <cell r="C1684" t="str">
            <v>★６財神</v>
          </cell>
          <cell r="H1684" t="str">
            <v>red</v>
          </cell>
          <cell r="I1684">
            <v>6</v>
          </cell>
          <cell r="J1684" t="str">
            <v>PremiumSSS</v>
          </cell>
          <cell r="K1684" t="str">
            <v>technical</v>
          </cell>
          <cell r="L1684" t="str">
            <v>テクニカルタイプ</v>
          </cell>
          <cell r="M1684" t="str">
            <v>god</v>
          </cell>
        </row>
        <row r="1685">
          <cell r="A1685">
            <v>8089</v>
          </cell>
          <cell r="B1685" t="str">
            <v>ja</v>
          </cell>
          <cell r="C1685" t="str">
            <v>年獣</v>
          </cell>
          <cell r="H1685" t="str">
            <v>green</v>
          </cell>
          <cell r="I1685">
            <v>5</v>
          </cell>
          <cell r="J1685" t="str">
            <v>DropWizS</v>
          </cell>
          <cell r="K1685" t="str">
            <v>attack</v>
          </cell>
          <cell r="L1685" t="str">
            <v>攻撃タイプ</v>
          </cell>
          <cell r="M1685" t="str">
            <v>animal</v>
          </cell>
        </row>
        <row r="1686">
          <cell r="A1686">
            <v>8090</v>
          </cell>
          <cell r="B1686" t="str">
            <v>ja</v>
          </cell>
          <cell r="C1686" t="str">
            <v>★６年獣</v>
          </cell>
          <cell r="H1686" t="str">
            <v>green</v>
          </cell>
          <cell r="I1686">
            <v>6</v>
          </cell>
          <cell r="J1686" t="str">
            <v>DropWizS</v>
          </cell>
          <cell r="K1686" t="str">
            <v>attack</v>
          </cell>
          <cell r="L1686" t="str">
            <v>攻撃タイプ</v>
          </cell>
          <cell r="M1686" t="str">
            <v>animal</v>
          </cell>
        </row>
        <row r="1687">
          <cell r="A1687">
            <v>8095</v>
          </cell>
          <cell r="B1687" t="str">
            <v>ja</v>
          </cell>
          <cell r="C1687" t="str">
            <v>バハムートダック赤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6</v>
          </cell>
          <cell r="J1687" t="str">
            <v>Material</v>
          </cell>
          <cell r="K1687" t="str">
            <v>exp</v>
          </cell>
          <cell r="L1687" t="str">
            <v>強化素材タイプ</v>
          </cell>
          <cell r="M1687" t="str">
            <v>unknown</v>
          </cell>
        </row>
        <row r="1688">
          <cell r="A1688">
            <v>8096</v>
          </cell>
          <cell r="B1688" t="str">
            <v>ja</v>
          </cell>
          <cell r="C1688" t="str">
            <v>バハムートダック緑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green</v>
          </cell>
          <cell r="I1688">
            <v>6</v>
          </cell>
          <cell r="J1688" t="str">
            <v>Material</v>
          </cell>
          <cell r="K1688" t="str">
            <v>exp</v>
          </cell>
          <cell r="L1688" t="str">
            <v>強化素材タイプ</v>
          </cell>
          <cell r="M1688" t="str">
            <v>unknown</v>
          </cell>
        </row>
        <row r="1689">
          <cell r="A1689">
            <v>8097</v>
          </cell>
          <cell r="B1689" t="str">
            <v>ja</v>
          </cell>
          <cell r="C1689" t="str">
            <v>バハムートダック青</v>
          </cell>
          <cell r="D1689" t="str">
            <v>ポムポムプリン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blue</v>
          </cell>
          <cell r="I1689">
            <v>6</v>
          </cell>
          <cell r="J1689" t="str">
            <v>Material</v>
          </cell>
          <cell r="K1689" t="str">
            <v>exp</v>
          </cell>
          <cell r="L1689" t="str">
            <v>強化素材タイプ</v>
          </cell>
          <cell r="M1689" t="str">
            <v>unknown</v>
          </cell>
        </row>
        <row r="1690">
          <cell r="A1690">
            <v>8098</v>
          </cell>
          <cell r="B1690" t="str">
            <v>ja</v>
          </cell>
          <cell r="C1690" t="str">
            <v>バハムートダック黄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yellow</v>
          </cell>
          <cell r="I1690">
            <v>6</v>
          </cell>
          <cell r="J1690" t="str">
            <v>Material</v>
          </cell>
          <cell r="K1690" t="str">
            <v>exp</v>
          </cell>
          <cell r="L1690" t="str">
            <v>強化素材タイプ</v>
          </cell>
          <cell r="M1690" t="str">
            <v>unknown</v>
          </cell>
        </row>
        <row r="1691">
          <cell r="A1691">
            <v>8099</v>
          </cell>
          <cell r="B1691" t="str">
            <v>ja</v>
          </cell>
          <cell r="C1691" t="str">
            <v>韓湘子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green</v>
          </cell>
          <cell r="I1691">
            <v>5</v>
          </cell>
          <cell r="J1691" t="str">
            <v>PremiumSSw</v>
          </cell>
          <cell r="K1691" t="str">
            <v>balance</v>
          </cell>
          <cell r="L1691" t="str">
            <v>バランスタイプ</v>
          </cell>
          <cell r="M1691" t="str">
            <v>god</v>
          </cell>
        </row>
        <row r="1692">
          <cell r="A1692">
            <v>8100</v>
          </cell>
          <cell r="B1692" t="str">
            <v>ja</v>
          </cell>
          <cell r="C1692" t="str">
            <v>韓湘子★６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6</v>
          </cell>
          <cell r="J1692" t="str">
            <v>PremiumSSw</v>
          </cell>
          <cell r="K1692" t="str">
            <v>balance</v>
          </cell>
          <cell r="L1692" t="str">
            <v>バランスタイプ</v>
          </cell>
          <cell r="M1692" t="str">
            <v>god</v>
          </cell>
        </row>
        <row r="1693">
          <cell r="A1693">
            <v>8101</v>
          </cell>
          <cell r="B1693" t="str">
            <v>ja</v>
          </cell>
          <cell r="C1693" t="str">
            <v>張果老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yellow</v>
          </cell>
          <cell r="I1693">
            <v>5</v>
          </cell>
          <cell r="J1693" t="str">
            <v>DropWizS</v>
          </cell>
          <cell r="K1693" t="str">
            <v>attack</v>
          </cell>
          <cell r="L1693" t="str">
            <v>攻撃タイプ</v>
          </cell>
          <cell r="M1693" t="str">
            <v>god</v>
          </cell>
        </row>
        <row r="1694">
          <cell r="A1694">
            <v>8102</v>
          </cell>
          <cell r="B1694" t="str">
            <v>ja</v>
          </cell>
          <cell r="C1694" t="str">
            <v>張果老★６</v>
          </cell>
          <cell r="D1694" t="str">
            <v>各属性相性良3・黄・R455</v>
          </cell>
          <cell r="E1694" t="str">
            <v>執行者</v>
          </cell>
          <cell r="F1694" t="str">
            <v>格好いい</v>
          </cell>
          <cell r="G1694" t="str">
            <v>男性</v>
          </cell>
          <cell r="H1694" t="str">
            <v>yellow</v>
          </cell>
          <cell r="I1694">
            <v>6</v>
          </cell>
          <cell r="J1694" t="str">
            <v>DropWizS</v>
          </cell>
          <cell r="K1694" t="str">
            <v>attack</v>
          </cell>
          <cell r="L1694" t="str">
            <v>攻撃タイプ</v>
          </cell>
          <cell r="M1694" t="str">
            <v>god</v>
          </cell>
        </row>
        <row r="1695">
          <cell r="A1695">
            <v>8103</v>
          </cell>
          <cell r="B1695" t="str">
            <v>ja</v>
          </cell>
          <cell r="C1695" t="str">
            <v>李鐵拐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5</v>
          </cell>
          <cell r="J1695" t="str">
            <v>PremiumSSw</v>
          </cell>
          <cell r="K1695" t="str">
            <v>technical</v>
          </cell>
          <cell r="L1695" t="str">
            <v>テクニカルタイプ</v>
          </cell>
          <cell r="M1695" t="str">
            <v>god</v>
          </cell>
        </row>
        <row r="1696">
          <cell r="A1696">
            <v>8104</v>
          </cell>
          <cell r="B1696" t="str">
            <v>ja</v>
          </cell>
          <cell r="C1696" t="str">
            <v>李鐵拐★６</v>
          </cell>
          <cell r="D1696" t="str">
            <v>各属性相性良3・黄・R455</v>
          </cell>
          <cell r="E1696" t="str">
            <v>執行者</v>
          </cell>
          <cell r="F1696" t="str">
            <v>格好いい</v>
          </cell>
          <cell r="G1696" t="str">
            <v>男性</v>
          </cell>
          <cell r="H1696" t="str">
            <v>red</v>
          </cell>
          <cell r="I1696">
            <v>6</v>
          </cell>
          <cell r="J1696" t="str">
            <v>PremiumSSw</v>
          </cell>
          <cell r="K1696" t="str">
            <v>technical</v>
          </cell>
          <cell r="L1696" t="str">
            <v>テクニカルタイプ</v>
          </cell>
          <cell r="M1696" t="str">
            <v>god</v>
          </cell>
        </row>
        <row r="1697">
          <cell r="A1697">
            <v>8105</v>
          </cell>
          <cell r="B1697" t="str">
            <v>ja</v>
          </cell>
          <cell r="C1697" t="str">
            <v>曹國舅</v>
          </cell>
          <cell r="D1697" t="str">
            <v>ポムポムプリン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hp</v>
          </cell>
          <cell r="L1697" t="str">
            <v>体力タイプ</v>
          </cell>
          <cell r="M1697" t="str">
            <v>god</v>
          </cell>
        </row>
        <row r="1698">
          <cell r="A1698">
            <v>8106</v>
          </cell>
          <cell r="B1698" t="str">
            <v>ja</v>
          </cell>
          <cell r="C1698" t="str">
            <v>曹國舅★６</v>
          </cell>
          <cell r="D1698" t="str">
            <v>各属性相性良3・黄・R455</v>
          </cell>
          <cell r="E1698" t="str">
            <v>執行者</v>
          </cell>
          <cell r="F1698" t="str">
            <v>格好いい</v>
          </cell>
          <cell r="G1698" t="str">
            <v>男性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hp</v>
          </cell>
          <cell r="L1698" t="str">
            <v>体力タイプ</v>
          </cell>
          <cell r="M1698" t="str">
            <v>god</v>
          </cell>
        </row>
        <row r="1699">
          <cell r="A1699">
            <v>8111</v>
          </cell>
          <cell r="B1699" t="str">
            <v>ja</v>
          </cell>
          <cell r="C1699" t="str">
            <v>福德正神</v>
          </cell>
          <cell r="H1699" t="str">
            <v>blue</v>
          </cell>
          <cell r="I1699">
            <v>5</v>
          </cell>
          <cell r="J1699" t="str">
            <v>Drop2N</v>
          </cell>
          <cell r="K1699" t="str">
            <v>heal</v>
          </cell>
          <cell r="L1699" t="str">
            <v>回復タイプ</v>
          </cell>
          <cell r="M1699" t="str">
            <v>god</v>
          </cell>
        </row>
        <row r="1700">
          <cell r="A1700">
            <v>8112</v>
          </cell>
          <cell r="B1700" t="str">
            <v>ja</v>
          </cell>
          <cell r="C1700" t="str">
            <v>福德正神★６</v>
          </cell>
          <cell r="H1700" t="str">
            <v>blue</v>
          </cell>
          <cell r="I1700">
            <v>6</v>
          </cell>
          <cell r="J1700" t="str">
            <v>Drop2N</v>
          </cell>
          <cell r="K1700" t="str">
            <v>heal</v>
          </cell>
          <cell r="L1700" t="str">
            <v>回復タイプ</v>
          </cell>
          <cell r="M1700" t="str">
            <v>god</v>
          </cell>
        </row>
        <row r="1701">
          <cell r="A1701">
            <v>8113</v>
          </cell>
          <cell r="B1701" t="str">
            <v>ja</v>
          </cell>
          <cell r="C1701" t="str">
            <v>孔子</v>
          </cell>
          <cell r="H1701" t="str">
            <v>yellow</v>
          </cell>
          <cell r="I1701">
            <v>5</v>
          </cell>
          <cell r="J1701" t="str">
            <v>PremiumSSS</v>
          </cell>
          <cell r="K1701" t="str">
            <v>attack</v>
          </cell>
          <cell r="L1701" t="str">
            <v>攻撃タイプ</v>
          </cell>
          <cell r="M1701" t="str">
            <v>academia</v>
          </cell>
        </row>
        <row r="1702">
          <cell r="A1702">
            <v>8114</v>
          </cell>
          <cell r="B1702" t="str">
            <v>ja</v>
          </cell>
          <cell r="C1702" t="str">
            <v>孔子★６</v>
          </cell>
          <cell r="H1702" t="str">
            <v>yellow</v>
          </cell>
          <cell r="I1702">
            <v>6</v>
          </cell>
          <cell r="J1702" t="str">
            <v>PremiumSSS</v>
          </cell>
          <cell r="K1702" t="str">
            <v>attack</v>
          </cell>
          <cell r="L1702" t="str">
            <v>攻撃タイプ</v>
          </cell>
          <cell r="M1702" t="str">
            <v>academia</v>
          </cell>
        </row>
        <row r="1703">
          <cell r="A1703">
            <v>8115</v>
          </cell>
          <cell r="B1703" t="str">
            <v>ja</v>
          </cell>
          <cell r="C1703" t="str">
            <v>贏政</v>
          </cell>
          <cell r="H1703" t="str">
            <v>blue</v>
          </cell>
          <cell r="I1703">
            <v>5</v>
          </cell>
          <cell r="J1703" t="str">
            <v>DropWizSS</v>
          </cell>
          <cell r="K1703" t="str">
            <v>attack</v>
          </cell>
          <cell r="L1703" t="str">
            <v>攻撃タイプ</v>
          </cell>
          <cell r="M1703" t="str">
            <v>human</v>
          </cell>
        </row>
        <row r="1704">
          <cell r="A1704">
            <v>8116</v>
          </cell>
          <cell r="B1704" t="str">
            <v>ja</v>
          </cell>
          <cell r="C1704" t="str">
            <v>贏政★６</v>
          </cell>
          <cell r="H1704" t="str">
            <v>blue</v>
          </cell>
          <cell r="I1704">
            <v>6</v>
          </cell>
          <cell r="J1704" t="str">
            <v>DropWizSS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8117</v>
          </cell>
          <cell r="B1705" t="str">
            <v>ja</v>
          </cell>
          <cell r="C1705" t="str">
            <v>白娘子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8118</v>
          </cell>
          <cell r="B1706" t="str">
            <v>ja</v>
          </cell>
          <cell r="C1706" t="str">
            <v>白娘子★６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8119</v>
          </cell>
          <cell r="B1707" t="str">
            <v>ja</v>
          </cell>
          <cell r="C1707" t="str">
            <v>小青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green</v>
          </cell>
          <cell r="I1707">
            <v>5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dragon</v>
          </cell>
        </row>
        <row r="1708">
          <cell r="A1708">
            <v>8120</v>
          </cell>
          <cell r="B1708" t="str">
            <v>ja</v>
          </cell>
          <cell r="C1708" t="str">
            <v>小青★６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6</v>
          </cell>
          <cell r="J1708" t="str">
            <v>PremiumSSw</v>
          </cell>
          <cell r="K1708" t="str">
            <v>attack</v>
          </cell>
          <cell r="L1708" t="str">
            <v>攻撃タイプ</v>
          </cell>
          <cell r="M1708" t="str">
            <v>dragon</v>
          </cell>
        </row>
        <row r="1709">
          <cell r="A1709">
            <v>8121</v>
          </cell>
          <cell r="B1709" t="str">
            <v>ja</v>
          </cell>
          <cell r="C1709" t="str">
            <v>法海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5</v>
          </cell>
          <cell r="J1709" t="str">
            <v>DropWizS</v>
          </cell>
          <cell r="K1709" t="str">
            <v>attack</v>
          </cell>
          <cell r="L1709" t="str">
            <v>攻撃タイプ</v>
          </cell>
          <cell r="M1709" t="str">
            <v>human</v>
          </cell>
        </row>
        <row r="1710">
          <cell r="A1710">
            <v>8122</v>
          </cell>
          <cell r="B1710" t="str">
            <v>ja</v>
          </cell>
          <cell r="C1710" t="str">
            <v>法海★６</v>
          </cell>
          <cell r="D1710" t="str">
            <v>各属性相性良3・黄・R455</v>
          </cell>
          <cell r="E1710" t="str">
            <v>執行者</v>
          </cell>
          <cell r="F1710" t="str">
            <v>格好いい</v>
          </cell>
          <cell r="G1710" t="str">
            <v>男性</v>
          </cell>
          <cell r="H1710" t="str">
            <v>yellow</v>
          </cell>
          <cell r="I1710">
            <v>6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human</v>
          </cell>
        </row>
        <row r="1711">
          <cell r="A1711">
            <v>8123</v>
          </cell>
          <cell r="B1711" t="str">
            <v>ja</v>
          </cell>
          <cell r="C1711" t="str">
            <v>哪吒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human</v>
          </cell>
        </row>
        <row r="1712">
          <cell r="A1712">
            <v>8124</v>
          </cell>
          <cell r="B1712" t="str">
            <v>ja</v>
          </cell>
          <cell r="C1712" t="str">
            <v>★6哪吒</v>
          </cell>
          <cell r="D1712" t="str">
            <v>各属性相性良3・黄・R455</v>
          </cell>
          <cell r="E1712" t="str">
            <v>執行者</v>
          </cell>
          <cell r="F1712" t="str">
            <v>格好いい</v>
          </cell>
          <cell r="G1712" t="str">
            <v>男性</v>
          </cell>
          <cell r="H1712" t="str">
            <v>yellow</v>
          </cell>
          <cell r="I1712">
            <v>6</v>
          </cell>
          <cell r="J1712" t="str">
            <v>DropWizS</v>
          </cell>
          <cell r="K1712" t="str">
            <v>attack</v>
          </cell>
          <cell r="L1712" t="str">
            <v>攻撃タイプ</v>
          </cell>
          <cell r="M1712" t="str">
            <v>human</v>
          </cell>
        </row>
        <row r="1713">
          <cell r="A1713">
            <v>8125</v>
          </cell>
          <cell r="B1713" t="str">
            <v>ja</v>
          </cell>
          <cell r="C1713" t="str">
            <v>東海龍王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yellow</v>
          </cell>
          <cell r="I1713">
            <v>6</v>
          </cell>
          <cell r="J1713" t="str">
            <v>DropWizS</v>
          </cell>
          <cell r="K1713" t="str">
            <v>attack</v>
          </cell>
          <cell r="L1713" t="str">
            <v>攻撃タイプ</v>
          </cell>
          <cell r="M1713" t="str">
            <v>human</v>
          </cell>
        </row>
        <row r="1714">
          <cell r="A1714">
            <v>8126</v>
          </cell>
          <cell r="B1714" t="str">
            <v>ja</v>
          </cell>
          <cell r="C1714" t="str">
            <v>★6東海龍王</v>
          </cell>
          <cell r="D1714" t="str">
            <v>各属性相性良3・黄・R455</v>
          </cell>
          <cell r="E1714" t="str">
            <v>執行者</v>
          </cell>
          <cell r="F1714" t="str">
            <v>格好いい</v>
          </cell>
          <cell r="G1714" t="str">
            <v>男性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attack</v>
          </cell>
          <cell r="L1714" t="str">
            <v>攻撃タイプ</v>
          </cell>
          <cell r="M1714" t="str">
            <v>human</v>
          </cell>
        </row>
        <row r="1715">
          <cell r="A1715">
            <v>8127</v>
          </cell>
          <cell r="B1715" t="str">
            <v>ja</v>
          </cell>
          <cell r="C1715" t="str">
            <v>鐵扇公主 ‧ 羅剎女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PremiumSSS</v>
          </cell>
          <cell r="K1715" t="str">
            <v>technical</v>
          </cell>
          <cell r="L1715" t="str">
            <v>テクニカルタイプ</v>
          </cell>
          <cell r="M1715" t="str">
            <v>demon</v>
          </cell>
        </row>
        <row r="1716">
          <cell r="A1716">
            <v>8128</v>
          </cell>
          <cell r="B1716" t="str">
            <v>ja</v>
          </cell>
          <cell r="C1716" t="str">
            <v>聖賢哲者 ‧ 唐三藏</v>
          </cell>
          <cell r="D1716" t="str">
            <v>各属性相性良3・黄・R455</v>
          </cell>
          <cell r="E1716" t="str">
            <v>執行者</v>
          </cell>
          <cell r="F1716" t="str">
            <v>格好いい</v>
          </cell>
          <cell r="G1716" t="str">
            <v>男性</v>
          </cell>
          <cell r="H1716" t="str">
            <v>green</v>
          </cell>
          <cell r="I1716">
            <v>6</v>
          </cell>
          <cell r="J1716" t="str">
            <v>PremiumSSS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8129</v>
          </cell>
          <cell r="B1717" t="str">
            <v>ja</v>
          </cell>
          <cell r="C1717" t="str">
            <v>放任孽魔 ‧ 撒旦</v>
          </cell>
          <cell r="D1717" t="str">
            <v>各属性相性良3・黄・R455</v>
          </cell>
          <cell r="E1717" t="str">
            <v>執行者</v>
          </cell>
          <cell r="F1717" t="str">
            <v>格好いい</v>
          </cell>
          <cell r="G1717" t="str">
            <v>男性</v>
          </cell>
          <cell r="H1717" t="str">
            <v>blue</v>
          </cell>
          <cell r="I1717">
            <v>6</v>
          </cell>
          <cell r="J1717" t="str">
            <v>PremiumSS</v>
          </cell>
          <cell r="K1717" t="str">
            <v>technical</v>
          </cell>
          <cell r="L1717" t="str">
            <v>テクニカルタイプ</v>
          </cell>
          <cell r="M1717" t="str">
            <v>demon</v>
          </cell>
        </row>
        <row r="1718">
          <cell r="A1718">
            <v>8130</v>
          </cell>
          <cell r="B1718" t="str">
            <v>ja</v>
          </cell>
          <cell r="C1718" t="str">
            <v>變臉火術 ‧ 切西亞</v>
          </cell>
          <cell r="D1718" t="str">
            <v>各属性相性良3・黄・R455</v>
          </cell>
          <cell r="E1718" t="str">
            <v>執行者</v>
          </cell>
          <cell r="F1718" t="str">
            <v>格好いい</v>
          </cell>
          <cell r="G1718" t="str">
            <v>男性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god</v>
          </cell>
        </row>
        <row r="1719">
          <cell r="A1719">
            <v>8131</v>
          </cell>
          <cell r="B1719" t="str">
            <v>ja</v>
          </cell>
          <cell r="C1719" t="str">
            <v>預知者之歷劫 ‧ 卡珊德拉</v>
          </cell>
          <cell r="D1719" t="str">
            <v>各属性相性良3・黄・R455</v>
          </cell>
          <cell r="E1719" t="str">
            <v>執行者</v>
          </cell>
          <cell r="F1719" t="str">
            <v>格好いい</v>
          </cell>
          <cell r="G1719" t="str">
            <v>男性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heal</v>
          </cell>
          <cell r="L1719" t="str">
            <v>回復タイプ</v>
          </cell>
          <cell r="M1719" t="str">
            <v>human</v>
          </cell>
        </row>
        <row r="1720">
          <cell r="A1720">
            <v>8132</v>
          </cell>
          <cell r="B1720" t="str">
            <v>ja</v>
          </cell>
          <cell r="C1720" t="str">
            <v>罪與責之承諾 ‧ 美狄亞</v>
          </cell>
          <cell r="D1720" t="str">
            <v>各属性相性良3・黄・R455</v>
          </cell>
          <cell r="E1720" t="str">
            <v>執行者</v>
          </cell>
          <cell r="F1720" t="str">
            <v>格好いい</v>
          </cell>
          <cell r="G1720" t="str">
            <v>男性</v>
          </cell>
          <cell r="H1720" t="str">
            <v>red</v>
          </cell>
          <cell r="I1720">
            <v>6</v>
          </cell>
          <cell r="J1720" t="str">
            <v>PremiumSS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8133</v>
          </cell>
          <cell r="B1721" t="str">
            <v>ja</v>
          </cell>
          <cell r="C1721" t="str">
            <v>大魔導士 ‧ 莫莉</v>
          </cell>
          <cell r="D1721" t="str">
            <v>各属性相性良3・黄・R455</v>
          </cell>
          <cell r="E1721" t="str">
            <v>執行者</v>
          </cell>
          <cell r="F1721" t="str">
            <v>格好いい</v>
          </cell>
          <cell r="G1721" t="str">
            <v>男性</v>
          </cell>
          <cell r="H1721" t="str">
            <v>blue</v>
          </cell>
          <cell r="I1721">
            <v>5</v>
          </cell>
          <cell r="J1721" t="str">
            <v>PremiumS</v>
          </cell>
          <cell r="K1721" t="str">
            <v>heal</v>
          </cell>
          <cell r="L1721" t="str">
            <v>回復タイプ</v>
          </cell>
          <cell r="M1721" t="str">
            <v>human</v>
          </cell>
        </row>
        <row r="1722">
          <cell r="A1722">
            <v>8134</v>
          </cell>
          <cell r="B1722" t="str">
            <v>ja</v>
          </cell>
          <cell r="C1722" t="str">
            <v>龍焰騎士 ‧ 肖恩</v>
          </cell>
          <cell r="D1722" t="str">
            <v>各属性相性良3・黄・R455</v>
          </cell>
          <cell r="E1722" t="str">
            <v>執行者</v>
          </cell>
          <cell r="F1722" t="str">
            <v>格好いい</v>
          </cell>
          <cell r="G1722" t="str">
            <v>男性</v>
          </cell>
          <cell r="H1722" t="str">
            <v>red</v>
          </cell>
          <cell r="I1722">
            <v>5</v>
          </cell>
          <cell r="J1722" t="str">
            <v>PremiumS</v>
          </cell>
          <cell r="K1722" t="str">
            <v>balance</v>
          </cell>
          <cell r="L1722" t="str">
            <v>バランスタイプ</v>
          </cell>
          <cell r="M1722" t="str">
            <v>human</v>
          </cell>
        </row>
        <row r="1723">
          <cell r="A1723">
            <v>8135</v>
          </cell>
          <cell r="B1723" t="str">
            <v>ja</v>
          </cell>
          <cell r="C1723" t="str">
            <v>混沌之翼 ‧ 路西法</v>
          </cell>
          <cell r="D1723" t="str">
            <v>各属性相性良3・黄・R455</v>
          </cell>
          <cell r="E1723" t="str">
            <v>執行者</v>
          </cell>
          <cell r="F1723" t="str">
            <v>格好いい</v>
          </cell>
          <cell r="G1723" t="str">
            <v>男性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attack</v>
          </cell>
          <cell r="L1723" t="str">
            <v>攻撃タイプ</v>
          </cell>
          <cell r="M1723" t="str">
            <v>god</v>
          </cell>
        </row>
        <row r="1724">
          <cell r="A1724">
            <v>8136</v>
          </cell>
          <cell r="B1724" t="str">
            <v>ja</v>
          </cell>
          <cell r="C1724" t="str">
            <v>混沌之翼 ‧ 路西法★6</v>
          </cell>
          <cell r="D1724" t="str">
            <v>各属性相性良3・黄・R455</v>
          </cell>
          <cell r="E1724" t="str">
            <v>執行者</v>
          </cell>
          <cell r="F1724" t="str">
            <v>格好いい</v>
          </cell>
          <cell r="G1724" t="str">
            <v>男性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attack</v>
          </cell>
          <cell r="L1724" t="str">
            <v>攻撃タイプ</v>
          </cell>
          <cell r="M1724" t="str">
            <v>god</v>
          </cell>
        </row>
        <row r="1725">
          <cell r="A1725">
            <v>8137</v>
          </cell>
          <cell r="B1725" t="str">
            <v>ja</v>
          </cell>
          <cell r="C1725" t="str">
            <v>黑巫術之疚惡 ‧ 喀耳刻</v>
          </cell>
          <cell r="D1725" t="str">
            <v>各属性相性良3・黄・R455</v>
          </cell>
          <cell r="E1725" t="str">
            <v>執行者</v>
          </cell>
          <cell r="F1725" t="str">
            <v>格好いい</v>
          </cell>
          <cell r="G1725" t="str">
            <v>男性</v>
          </cell>
          <cell r="H1725" t="str">
            <v>green</v>
          </cell>
          <cell r="I1725">
            <v>6</v>
          </cell>
          <cell r="J1725" t="str">
            <v>DropWizS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8138</v>
          </cell>
          <cell r="B1726" t="str">
            <v>ja</v>
          </cell>
          <cell r="C1726" t="str">
            <v>死靈魔導 ‧ 安多</v>
          </cell>
          <cell r="D1726" t="str">
            <v>各属性相性良3・黄・R455</v>
          </cell>
          <cell r="E1726" t="str">
            <v>執行者</v>
          </cell>
          <cell r="F1726" t="str">
            <v>格好いい</v>
          </cell>
          <cell r="G1726" t="str">
            <v>男性</v>
          </cell>
          <cell r="H1726" t="str">
            <v>red</v>
          </cell>
          <cell r="I1726">
            <v>5</v>
          </cell>
          <cell r="J1726" t="str">
            <v>Drop2N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9001</v>
          </cell>
          <cell r="B1727" t="str">
            <v>ja</v>
          </cell>
          <cell r="C1727" t="str">
            <v>春香</v>
          </cell>
          <cell r="D1727" t="str">
            <v>ポムポムプリン</v>
          </cell>
          <cell r="E1727" t="str">
            <v>執行者</v>
          </cell>
          <cell r="F1727" t="str">
            <v>格好いい</v>
          </cell>
          <cell r="G1727" t="str">
            <v>女性</v>
          </cell>
          <cell r="H1727" t="str">
            <v>red</v>
          </cell>
          <cell r="I1727">
            <v>5</v>
          </cell>
          <cell r="J1727" t="str">
            <v>PremiumSSw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9002</v>
          </cell>
          <cell r="B1728" t="str">
            <v>ja</v>
          </cell>
          <cell r="C1728" t="str">
            <v>春香★６</v>
          </cell>
          <cell r="D1728" t="str">
            <v>ポムポムプリン</v>
          </cell>
          <cell r="E1728" t="str">
            <v>執行者</v>
          </cell>
          <cell r="F1728" t="str">
            <v>格好いい</v>
          </cell>
          <cell r="G1728" t="str">
            <v>女性</v>
          </cell>
          <cell r="H1728" t="str">
            <v>red</v>
          </cell>
          <cell r="I1728">
            <v>6</v>
          </cell>
          <cell r="J1728" t="str">
            <v>PremiumSSw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9003</v>
          </cell>
          <cell r="B1729" t="str">
            <v>ja</v>
          </cell>
          <cell r="C1729" t="str">
            <v>夢龍</v>
          </cell>
          <cell r="D1729" t="str">
            <v>ポムポムプリン</v>
          </cell>
          <cell r="E1729" t="str">
            <v>執行者</v>
          </cell>
          <cell r="F1729" t="str">
            <v>格好いい</v>
          </cell>
          <cell r="G1729" t="str">
            <v>女性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dragon</v>
          </cell>
        </row>
        <row r="1730">
          <cell r="A1730">
            <v>9004</v>
          </cell>
          <cell r="B1730" t="str">
            <v>ja</v>
          </cell>
          <cell r="C1730" t="str">
            <v>夢龍★６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heal</v>
          </cell>
          <cell r="L1730" t="str">
            <v>回復タイプ</v>
          </cell>
          <cell r="M1730" t="str">
            <v>dragon</v>
          </cell>
        </row>
        <row r="1731">
          <cell r="A1731">
            <v>9005</v>
          </cell>
          <cell r="B1731" t="str">
            <v>ja</v>
          </cell>
          <cell r="C1731" t="str">
            <v>降臨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blue</v>
          </cell>
          <cell r="I1731">
            <v>5</v>
          </cell>
          <cell r="J1731" t="str">
            <v>PremiumSSw</v>
          </cell>
          <cell r="K1731" t="str">
            <v>hp</v>
          </cell>
          <cell r="L1731" t="str">
            <v>体力タイプ</v>
          </cell>
          <cell r="M1731" t="str">
            <v>demon</v>
          </cell>
        </row>
        <row r="1732">
          <cell r="A1732">
            <v>9006</v>
          </cell>
          <cell r="B1732" t="str">
            <v>ja</v>
          </cell>
          <cell r="C1732" t="str">
            <v>降臨★６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blue</v>
          </cell>
          <cell r="I1732">
            <v>6</v>
          </cell>
          <cell r="J1732" t="str">
            <v>PremiumSSw</v>
          </cell>
          <cell r="K1732" t="str">
            <v>hp</v>
          </cell>
          <cell r="L1732" t="str">
            <v>体力タイプ</v>
          </cell>
          <cell r="M1732" t="str">
            <v>demon</v>
          </cell>
        </row>
        <row r="1733">
          <cell r="A1733">
            <v>9007</v>
          </cell>
          <cell r="B1733" t="str">
            <v>ja</v>
          </cell>
          <cell r="C1733" t="str">
            <v>田禹治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red</v>
          </cell>
          <cell r="I1733">
            <v>5</v>
          </cell>
          <cell r="J1733" t="str">
            <v>DropWizS</v>
          </cell>
          <cell r="K1733" t="str">
            <v>technical</v>
          </cell>
          <cell r="L1733" t="str">
            <v>テクニカルタイプ</v>
          </cell>
          <cell r="M1733" t="str">
            <v>hero</v>
          </cell>
        </row>
        <row r="1734">
          <cell r="A1734">
            <v>9008</v>
          </cell>
          <cell r="B1734" t="str">
            <v>ja</v>
          </cell>
          <cell r="C1734" t="str">
            <v>田禹治★６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red</v>
          </cell>
          <cell r="I1734">
            <v>6</v>
          </cell>
          <cell r="J1734" t="str">
            <v>DropWizS</v>
          </cell>
          <cell r="K1734" t="str">
            <v>technical</v>
          </cell>
          <cell r="L1734" t="str">
            <v>テクニカルタイプ</v>
          </cell>
          <cell r="M1734" t="str">
            <v>hero</v>
          </cell>
        </row>
        <row r="1735">
          <cell r="A1735">
            <v>10001</v>
          </cell>
          <cell r="B1735" t="str">
            <v>ja</v>
          </cell>
          <cell r="C1735" t="str">
            <v>テストユニット01</v>
          </cell>
          <cell r="H1735" t="str">
            <v>yellow</v>
          </cell>
          <cell r="I1735">
            <v>6</v>
          </cell>
          <cell r="J1735" t="str">
            <v>DropWizS</v>
          </cell>
          <cell r="K1735" t="str">
            <v>heal</v>
          </cell>
          <cell r="L1735" t="str">
            <v>回復タイプ</v>
          </cell>
          <cell r="M1735" t="str">
            <v>human</v>
          </cell>
        </row>
        <row r="1736">
          <cell r="A1736">
            <v>10002</v>
          </cell>
          <cell r="B1736" t="str">
            <v>ja</v>
          </cell>
          <cell r="C1736" t="str">
            <v>テストユニット02</v>
          </cell>
          <cell r="H1736" t="str">
            <v>yellow</v>
          </cell>
          <cell r="I1736">
            <v>6</v>
          </cell>
          <cell r="J1736" t="str">
            <v>PremiumSS</v>
          </cell>
          <cell r="K1736" t="str">
            <v>technical</v>
          </cell>
          <cell r="L1736" t="str">
            <v>テクニカルタイプ</v>
          </cell>
          <cell r="M1736" t="str">
            <v>animal</v>
          </cell>
        </row>
        <row r="1737">
          <cell r="A1737">
            <v>10003</v>
          </cell>
          <cell r="B1737" t="str">
            <v>ja</v>
          </cell>
          <cell r="C1737" t="str">
            <v>テストユニット03</v>
          </cell>
          <cell r="H1737" t="str">
            <v>red</v>
          </cell>
          <cell r="I1737">
            <v>5</v>
          </cell>
          <cell r="J1737" t="str">
            <v>PremiumSSS</v>
          </cell>
          <cell r="K1737" t="str">
            <v>technical</v>
          </cell>
          <cell r="L1737" t="str">
            <v>テクニカルタイプ</v>
          </cell>
          <cell r="M1737" t="str">
            <v>academia</v>
          </cell>
        </row>
        <row r="1738">
          <cell r="A1738">
            <v>10004</v>
          </cell>
          <cell r="B1738" t="str">
            <v>ja</v>
          </cell>
          <cell r="C1738" t="str">
            <v>テストユニット04</v>
          </cell>
          <cell r="H1738" t="str">
            <v>red</v>
          </cell>
          <cell r="I1738">
            <v>6</v>
          </cell>
          <cell r="J1738" t="str">
            <v>PremiumSSS</v>
          </cell>
          <cell r="K1738" t="str">
            <v>technical</v>
          </cell>
          <cell r="L1738" t="str">
            <v>テクニカルタイプ</v>
          </cell>
          <cell r="M1738" t="str">
            <v>academia</v>
          </cell>
        </row>
        <row r="1739">
          <cell r="A1739">
            <v>10005</v>
          </cell>
          <cell r="B1739" t="str">
            <v>ja</v>
          </cell>
          <cell r="C1739" t="str">
            <v>テストユニット05</v>
          </cell>
          <cell r="H1739" t="str">
            <v>yellow</v>
          </cell>
          <cell r="I1739">
            <v>6</v>
          </cell>
          <cell r="J1739" t="str">
            <v>PremiumSS</v>
          </cell>
          <cell r="K1739" t="str">
            <v>technical</v>
          </cell>
          <cell r="L1739" t="str">
            <v>テクニカルタイプ</v>
          </cell>
          <cell r="M1739" t="str">
            <v>human</v>
          </cell>
        </row>
        <row r="1740">
          <cell r="A1740">
            <v>10006</v>
          </cell>
          <cell r="B1740" t="str">
            <v>ja</v>
          </cell>
          <cell r="C1740" t="str">
            <v>テストユニット06</v>
          </cell>
          <cell r="H1740" t="str">
            <v>yellow</v>
          </cell>
          <cell r="I1740">
            <v>6</v>
          </cell>
          <cell r="J1740" t="str">
            <v>PremiumSS</v>
          </cell>
          <cell r="K1740" t="str">
            <v>attack</v>
          </cell>
          <cell r="L1740" t="str">
            <v>攻撃タイプ</v>
          </cell>
          <cell r="M1740" t="str">
            <v>animal</v>
          </cell>
        </row>
        <row r="1741">
          <cell r="A1741">
            <v>10007</v>
          </cell>
          <cell r="B1741" t="str">
            <v>ja</v>
          </cell>
          <cell r="C1741" t="str">
            <v>テストユニット07</v>
          </cell>
          <cell r="H1741" t="str">
            <v>yellow</v>
          </cell>
          <cell r="I1741">
            <v>5</v>
          </cell>
          <cell r="J1741" t="str">
            <v>PremiumSSS</v>
          </cell>
          <cell r="K1741" t="str">
            <v>technical</v>
          </cell>
          <cell r="L1741" t="str">
            <v>テクニカルタイプ</v>
          </cell>
          <cell r="M1741" t="str">
            <v>machine</v>
          </cell>
        </row>
        <row r="1742">
          <cell r="A1742">
            <v>10008</v>
          </cell>
          <cell r="B1742" t="str">
            <v>ja</v>
          </cell>
          <cell r="C1742" t="str">
            <v>テストユニット08</v>
          </cell>
          <cell r="H1742" t="str">
            <v>yellow</v>
          </cell>
          <cell r="I1742">
            <v>6</v>
          </cell>
          <cell r="J1742" t="str">
            <v>PremiumSSS</v>
          </cell>
          <cell r="K1742" t="str">
            <v>technical</v>
          </cell>
          <cell r="L1742" t="str">
            <v>テクニカルタイプ</v>
          </cell>
          <cell r="M1742" t="str">
            <v>machine</v>
          </cell>
        </row>
        <row r="1743">
          <cell r="A1743">
            <v>10009</v>
          </cell>
          <cell r="B1743" t="str">
            <v>ja</v>
          </cell>
          <cell r="C1743" t="str">
            <v>青テスト01</v>
          </cell>
          <cell r="H1743" t="str">
            <v>blue</v>
          </cell>
          <cell r="I1743">
            <v>6</v>
          </cell>
          <cell r="J1743" t="str">
            <v>DropWizS</v>
          </cell>
          <cell r="K1743" t="str">
            <v>heal</v>
          </cell>
          <cell r="L1743" t="str">
            <v>回復タイプ</v>
          </cell>
          <cell r="M1743" t="str">
            <v>human</v>
          </cell>
        </row>
        <row r="1744">
          <cell r="A1744">
            <v>10010</v>
          </cell>
          <cell r="B1744" t="str">
            <v>ja</v>
          </cell>
          <cell r="C1744" t="str">
            <v>赤テスト01</v>
          </cell>
          <cell r="H1744" t="str">
            <v>red</v>
          </cell>
          <cell r="I1744">
            <v>6</v>
          </cell>
          <cell r="J1744" t="str">
            <v>PremiumSSS</v>
          </cell>
          <cell r="K1744" t="str">
            <v>technical</v>
          </cell>
          <cell r="L1744" t="str">
            <v>テクニカルタイプ</v>
          </cell>
          <cell r="M1744" t="str">
            <v>human</v>
          </cell>
        </row>
        <row r="1745">
          <cell r="A1745">
            <v>10011</v>
          </cell>
          <cell r="B1745" t="str">
            <v>ja</v>
          </cell>
          <cell r="C1745" t="str">
            <v>テストユニット11</v>
          </cell>
          <cell r="H1745" t="str">
            <v>yellow</v>
          </cell>
          <cell r="I1745">
            <v>5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human</v>
          </cell>
        </row>
        <row r="1746">
          <cell r="A1746">
            <v>10012</v>
          </cell>
          <cell r="B1746" t="str">
            <v>ja</v>
          </cell>
          <cell r="C1746" t="str">
            <v>テストユニット12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human</v>
          </cell>
        </row>
        <row r="1747">
          <cell r="A1747">
            <v>10013</v>
          </cell>
          <cell r="B1747" t="str">
            <v>ja</v>
          </cell>
          <cell r="C1747" t="str">
            <v>テストユニット13</v>
          </cell>
          <cell r="H1747" t="str">
            <v>yellow</v>
          </cell>
          <cell r="I1747">
            <v>5</v>
          </cell>
          <cell r="J1747" t="str">
            <v>PremiumSSw</v>
          </cell>
          <cell r="K1747" t="str">
            <v>hp</v>
          </cell>
          <cell r="L1747" t="str">
            <v>体力タイプ</v>
          </cell>
          <cell r="M1747" t="str">
            <v>dragon</v>
          </cell>
        </row>
        <row r="1748">
          <cell r="A1748">
            <v>10014</v>
          </cell>
          <cell r="B1748" t="str">
            <v>ja</v>
          </cell>
          <cell r="C1748" t="str">
            <v>テストユニット14</v>
          </cell>
          <cell r="H1748" t="str">
            <v>yellow</v>
          </cell>
          <cell r="I1748">
            <v>6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dragon</v>
          </cell>
        </row>
        <row r="1749">
          <cell r="A1749">
            <v>10015</v>
          </cell>
          <cell r="B1749" t="str">
            <v>ja</v>
          </cell>
          <cell r="C1749" t="str">
            <v>テストユニット15</v>
          </cell>
          <cell r="H1749" t="str">
            <v>green</v>
          </cell>
          <cell r="I1749">
            <v>5</v>
          </cell>
          <cell r="J1749" t="str">
            <v>DropWizS</v>
          </cell>
          <cell r="K1749" t="str">
            <v>heal</v>
          </cell>
          <cell r="L1749" t="str">
            <v>回復タイプ</v>
          </cell>
          <cell r="M1749" t="str">
            <v>human</v>
          </cell>
        </row>
        <row r="1750">
          <cell r="A1750">
            <v>10016</v>
          </cell>
          <cell r="B1750" t="str">
            <v>ja</v>
          </cell>
          <cell r="C1750" t="str">
            <v>テストユニット16</v>
          </cell>
          <cell r="H1750" t="str">
            <v>green</v>
          </cell>
          <cell r="I1750">
            <v>6</v>
          </cell>
          <cell r="J1750" t="str">
            <v>DropWizS</v>
          </cell>
          <cell r="K1750" t="str">
            <v>heal</v>
          </cell>
          <cell r="L1750" t="str">
            <v>回復タイプ</v>
          </cell>
          <cell r="M1750" t="str">
            <v>human</v>
          </cell>
        </row>
        <row r="1751">
          <cell r="A1751">
            <v>10017</v>
          </cell>
          <cell r="B1751" t="str">
            <v>ja</v>
          </cell>
          <cell r="C1751" t="str">
            <v>テストユニット17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10018</v>
          </cell>
          <cell r="B1752" t="str">
            <v>ja</v>
          </cell>
          <cell r="C1752" t="str">
            <v>テストユニット18</v>
          </cell>
          <cell r="H1752" t="str">
            <v>blue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10019</v>
          </cell>
          <cell r="B1753" t="str">
            <v>ja</v>
          </cell>
          <cell r="C1753" t="str">
            <v>テストユニット19</v>
          </cell>
          <cell r="H1753" t="str">
            <v>green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10020</v>
          </cell>
          <cell r="B1754" t="str">
            <v>ja</v>
          </cell>
          <cell r="C1754" t="str">
            <v>テストユニット20</v>
          </cell>
          <cell r="H1754" t="str">
            <v>yellow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10021</v>
          </cell>
          <cell r="B1755" t="str">
            <v>ja</v>
          </cell>
          <cell r="C1755" t="str">
            <v>テストユニット21</v>
          </cell>
          <cell r="H1755" t="str">
            <v>blue</v>
          </cell>
          <cell r="I1755">
            <v>5</v>
          </cell>
          <cell r="J1755" t="str">
            <v>PremiumSSw</v>
          </cell>
          <cell r="K1755" t="str">
            <v>hp</v>
          </cell>
          <cell r="L1755" t="str">
            <v>体力タイプ</v>
          </cell>
          <cell r="M1755" t="str">
            <v>demon</v>
          </cell>
        </row>
        <row r="1756">
          <cell r="A1756">
            <v>10022</v>
          </cell>
          <cell r="B1756" t="str">
            <v>ja</v>
          </cell>
          <cell r="C1756" t="str">
            <v>テストユニット22</v>
          </cell>
          <cell r="H1756" t="str">
            <v>blue</v>
          </cell>
          <cell r="I1756">
            <v>6</v>
          </cell>
          <cell r="J1756" t="str">
            <v>PremiumSSw</v>
          </cell>
          <cell r="K1756" t="str">
            <v>hp</v>
          </cell>
          <cell r="L1756" t="str">
            <v>体力タイプ</v>
          </cell>
          <cell r="M1756" t="str">
            <v>demon</v>
          </cell>
        </row>
        <row r="1757">
          <cell r="A1757">
            <v>10023</v>
          </cell>
          <cell r="B1757" t="str">
            <v>ja</v>
          </cell>
          <cell r="C1757" t="str">
            <v>テストユニット23</v>
          </cell>
          <cell r="H1757" t="str">
            <v>green</v>
          </cell>
          <cell r="I1757">
            <v>5</v>
          </cell>
          <cell r="J1757" t="str">
            <v>PremiumSSw</v>
          </cell>
          <cell r="K1757" t="str">
            <v>heal</v>
          </cell>
          <cell r="L1757" t="str">
            <v>回復タイプ</v>
          </cell>
          <cell r="M1757" t="str">
            <v>dragon</v>
          </cell>
        </row>
        <row r="1758">
          <cell r="A1758">
            <v>10024</v>
          </cell>
          <cell r="B1758" t="str">
            <v>ja</v>
          </cell>
          <cell r="C1758" t="str">
            <v>テストユニット24</v>
          </cell>
          <cell r="H1758" t="str">
            <v>green</v>
          </cell>
          <cell r="I1758">
            <v>6</v>
          </cell>
          <cell r="J1758" t="str">
            <v>PremiumSSw</v>
          </cell>
          <cell r="K1758" t="str">
            <v>hp</v>
          </cell>
          <cell r="L1758" t="str">
            <v>体力タイプ</v>
          </cell>
          <cell r="M1758" t="str">
            <v>dragon</v>
          </cell>
        </row>
        <row r="1759">
          <cell r="A1759">
            <v>10025</v>
          </cell>
          <cell r="B1759" t="str">
            <v>ja</v>
          </cell>
          <cell r="C1759" t="str">
            <v>テストユニット25</v>
          </cell>
          <cell r="H1759" t="str">
            <v>red</v>
          </cell>
          <cell r="I1759">
            <v>5</v>
          </cell>
          <cell r="J1759" t="str">
            <v>PremiumSSw</v>
          </cell>
          <cell r="K1759" t="str">
            <v>hp</v>
          </cell>
          <cell r="L1759" t="str">
            <v>体力タイプ</v>
          </cell>
          <cell r="M1759" t="str">
            <v>dragon</v>
          </cell>
        </row>
        <row r="1760">
          <cell r="A1760">
            <v>10026</v>
          </cell>
          <cell r="B1760" t="str">
            <v>ja</v>
          </cell>
          <cell r="C1760" t="str">
            <v>テストユニット26</v>
          </cell>
          <cell r="H1760" t="str">
            <v>red</v>
          </cell>
          <cell r="I1760">
            <v>6</v>
          </cell>
          <cell r="J1760" t="str">
            <v>PremiumSSw</v>
          </cell>
          <cell r="K1760" t="str">
            <v>hp</v>
          </cell>
          <cell r="L1760" t="str">
            <v>体力タイプ</v>
          </cell>
          <cell r="M1760" t="str">
            <v>dragon</v>
          </cell>
        </row>
        <row r="1761">
          <cell r="A1761">
            <v>10027</v>
          </cell>
          <cell r="B1761" t="str">
            <v>ja</v>
          </cell>
          <cell r="C1761" t="str">
            <v>テストユニット27</v>
          </cell>
          <cell r="H1761" t="str">
            <v>green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10028</v>
          </cell>
          <cell r="B1762" t="str">
            <v>ja</v>
          </cell>
          <cell r="C1762" t="str">
            <v>テストユニット28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10029</v>
          </cell>
          <cell r="B1763" t="str">
            <v>ja</v>
          </cell>
          <cell r="C1763" t="str">
            <v>テストユニット29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10030</v>
          </cell>
          <cell r="B1764" t="str">
            <v>ja</v>
          </cell>
          <cell r="C1764" t="str">
            <v>テストユニット30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10031</v>
          </cell>
          <cell r="B1765" t="str">
            <v>ja</v>
          </cell>
          <cell r="C1765" t="str">
            <v>テストユニット31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10032</v>
          </cell>
          <cell r="B1766" t="str">
            <v>ja</v>
          </cell>
          <cell r="C1766" t="str">
            <v>テストユニット32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10033</v>
          </cell>
          <cell r="B1767" t="str">
            <v>ja</v>
          </cell>
          <cell r="C1767" t="str">
            <v>テストユニット33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10034</v>
          </cell>
          <cell r="B1768" t="str">
            <v>ja</v>
          </cell>
          <cell r="C1768" t="str">
            <v>テストユニット34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10035</v>
          </cell>
          <cell r="B1769" t="str">
            <v>ja</v>
          </cell>
          <cell r="C1769" t="str">
            <v>テストユニット35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10036</v>
          </cell>
          <cell r="B1770" t="str">
            <v>ja</v>
          </cell>
          <cell r="C1770" t="str">
            <v>テストユニット36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10037</v>
          </cell>
          <cell r="B1771" t="str">
            <v>ja</v>
          </cell>
          <cell r="C1771" t="str">
            <v>テストユニット37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10038</v>
          </cell>
          <cell r="B1772" t="str">
            <v>ja</v>
          </cell>
          <cell r="C1772" t="str">
            <v>テストユニット38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10039</v>
          </cell>
          <cell r="B1773" t="str">
            <v>ja</v>
          </cell>
          <cell r="C1773" t="str">
            <v>テストユニット39</v>
          </cell>
          <cell r="H1773" t="str">
            <v>green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10040</v>
          </cell>
          <cell r="B1774" t="str">
            <v>ja</v>
          </cell>
          <cell r="C1774" t="str">
            <v>テストユニット40</v>
          </cell>
          <cell r="H1774" t="str">
            <v>yellow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10041</v>
          </cell>
          <cell r="B1775" t="str">
            <v>ja</v>
          </cell>
          <cell r="C1775" t="str">
            <v>テストユニット41</v>
          </cell>
          <cell r="H1775" t="str">
            <v>red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10042</v>
          </cell>
          <cell r="B1776" t="str">
            <v>ja</v>
          </cell>
          <cell r="C1776" t="str">
            <v>テストユニット42</v>
          </cell>
          <cell r="H1776" t="str">
            <v>blue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10043</v>
          </cell>
          <cell r="B1777" t="str">
            <v>ja</v>
          </cell>
          <cell r="C1777" t="str">
            <v>テストユニット43</v>
          </cell>
          <cell r="H1777" t="str">
            <v>green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10044</v>
          </cell>
          <cell r="B1778" t="str">
            <v>ja</v>
          </cell>
          <cell r="C1778" t="str">
            <v>テストユニット44</v>
          </cell>
          <cell r="H1778" t="str">
            <v>yellow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10045</v>
          </cell>
          <cell r="B1779" t="str">
            <v>ja</v>
          </cell>
          <cell r="C1779" t="str">
            <v>テストユニット45</v>
          </cell>
          <cell r="H1779" t="str">
            <v>red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10046</v>
          </cell>
          <cell r="B1780" t="str">
            <v>ja</v>
          </cell>
          <cell r="C1780" t="str">
            <v>テストユニット46</v>
          </cell>
          <cell r="H1780" t="str">
            <v>blue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10047</v>
          </cell>
          <cell r="B1781" t="str">
            <v>ja</v>
          </cell>
          <cell r="C1781" t="str">
            <v>テストユニット47</v>
          </cell>
          <cell r="H1781" t="str">
            <v>green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10048</v>
          </cell>
          <cell r="B1782" t="str">
            <v>ja</v>
          </cell>
          <cell r="C1782" t="str">
            <v>テストユニット48</v>
          </cell>
          <cell r="H1782" t="str">
            <v>yellow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10049</v>
          </cell>
          <cell r="B1783" t="str">
            <v>ja</v>
          </cell>
          <cell r="C1783" t="str">
            <v>テストユニット49</v>
          </cell>
          <cell r="H1783" t="str">
            <v>red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10050</v>
          </cell>
          <cell r="B1784" t="str">
            <v>ja</v>
          </cell>
          <cell r="C1784" t="str">
            <v>テストユニット50</v>
          </cell>
          <cell r="H1784" t="str">
            <v>blue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10051</v>
          </cell>
          <cell r="B1785" t="str">
            <v>ja</v>
          </cell>
          <cell r="C1785" t="str">
            <v>テストユニット51</v>
          </cell>
          <cell r="H1785" t="str">
            <v>green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10052</v>
          </cell>
          <cell r="B1786" t="str">
            <v>ja</v>
          </cell>
          <cell r="C1786" t="str">
            <v>テストユニット52</v>
          </cell>
          <cell r="H1786" t="str">
            <v>yellow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10053</v>
          </cell>
          <cell r="B1787" t="str">
            <v>ja</v>
          </cell>
          <cell r="C1787" t="str">
            <v>テストユニット53</v>
          </cell>
          <cell r="H1787" t="str">
            <v>red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10054</v>
          </cell>
          <cell r="B1788" t="str">
            <v>ja</v>
          </cell>
          <cell r="C1788" t="str">
            <v>テストユニット54</v>
          </cell>
          <cell r="H1788" t="str">
            <v>blue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10055</v>
          </cell>
          <cell r="B1789" t="str">
            <v>ja</v>
          </cell>
          <cell r="C1789" t="str">
            <v>テストユニット55</v>
          </cell>
          <cell r="H1789" t="str">
            <v>green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10056</v>
          </cell>
          <cell r="B1790" t="str">
            <v>ja</v>
          </cell>
          <cell r="C1790" t="str">
            <v>テストユニット56</v>
          </cell>
          <cell r="H1790" t="str">
            <v>yellow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10057</v>
          </cell>
          <cell r="B1791" t="str">
            <v>ja</v>
          </cell>
          <cell r="C1791" t="str">
            <v>テストユニット57</v>
          </cell>
          <cell r="H1791" t="str">
            <v>red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10058</v>
          </cell>
          <cell r="B1792" t="str">
            <v>ja</v>
          </cell>
          <cell r="C1792" t="str">
            <v>テストユニット58</v>
          </cell>
          <cell r="H1792" t="str">
            <v>blue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10059</v>
          </cell>
          <cell r="B1793" t="str">
            <v>ja</v>
          </cell>
          <cell r="C1793" t="str">
            <v>テストユニット59</v>
          </cell>
          <cell r="H1793" t="str">
            <v>green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10060</v>
          </cell>
          <cell r="B1794" t="str">
            <v>ja</v>
          </cell>
          <cell r="C1794" t="str">
            <v>テストユニット60</v>
          </cell>
          <cell r="H1794" t="str">
            <v>yellow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10061</v>
          </cell>
          <cell r="B1795" t="str">
            <v>ja</v>
          </cell>
          <cell r="C1795" t="str">
            <v>テストユニット61</v>
          </cell>
          <cell r="H1795" t="str">
            <v>red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10062</v>
          </cell>
          <cell r="B1796" t="str">
            <v>ja</v>
          </cell>
          <cell r="C1796" t="str">
            <v>テストユニット62</v>
          </cell>
          <cell r="H1796" t="str">
            <v>blue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10063</v>
          </cell>
          <cell r="B1797" t="str">
            <v>ja</v>
          </cell>
          <cell r="C1797" t="str">
            <v>テストユニット63</v>
          </cell>
          <cell r="H1797" t="str">
            <v>green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10064</v>
          </cell>
          <cell r="B1798" t="str">
            <v>ja</v>
          </cell>
          <cell r="C1798" t="str">
            <v>テストユニット64</v>
          </cell>
          <cell r="H1798" t="str">
            <v>yellow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10065</v>
          </cell>
          <cell r="B1799" t="str">
            <v>ja</v>
          </cell>
          <cell r="C1799" t="str">
            <v>テストユニット65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10066</v>
          </cell>
          <cell r="B1800" t="str">
            <v>ja</v>
          </cell>
          <cell r="C1800" t="str">
            <v>テストユニット66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10067</v>
          </cell>
          <cell r="B1801" t="str">
            <v>ja</v>
          </cell>
          <cell r="C1801" t="str">
            <v>テストユニット67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10068</v>
          </cell>
          <cell r="B1802" t="str">
            <v>ja</v>
          </cell>
          <cell r="C1802" t="str">
            <v>テストユニット68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10069</v>
          </cell>
          <cell r="B1803" t="str">
            <v>ja</v>
          </cell>
          <cell r="C1803" t="str">
            <v>テストユニット69</v>
          </cell>
          <cell r="H1803" t="str">
            <v>red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10070</v>
          </cell>
          <cell r="B1804" t="str">
            <v>ja</v>
          </cell>
          <cell r="C1804" t="str">
            <v>テストユニット70</v>
          </cell>
          <cell r="H1804" t="str">
            <v>blue</v>
          </cell>
          <cell r="I1804">
            <v>6</v>
          </cell>
          <cell r="J1804" t="str">
            <v>PremiumSSS</v>
          </cell>
          <cell r="K1804" t="str">
            <v>heal</v>
          </cell>
          <cell r="L1804" t="str">
            <v>回復タイプ</v>
          </cell>
          <cell r="M1804" t="str">
            <v>academia</v>
          </cell>
        </row>
        <row r="1805">
          <cell r="A1805">
            <v>10071</v>
          </cell>
          <cell r="B1805" t="str">
            <v>ja</v>
          </cell>
          <cell r="C1805" t="str">
            <v>テストユニット71</v>
          </cell>
          <cell r="H1805" t="str">
            <v>red</v>
          </cell>
          <cell r="I1805">
            <v>6</v>
          </cell>
          <cell r="J1805" t="str">
            <v>PremiumSSS</v>
          </cell>
          <cell r="K1805" t="str">
            <v>hp</v>
          </cell>
          <cell r="L1805" t="str">
            <v>体力タイプ</v>
          </cell>
          <cell r="M1805" t="str">
            <v>demon</v>
          </cell>
        </row>
        <row r="1806">
          <cell r="A1806">
            <v>10072</v>
          </cell>
          <cell r="B1806" t="str">
            <v>ja</v>
          </cell>
          <cell r="C1806" t="str">
            <v>テストユニット72</v>
          </cell>
          <cell r="H1806" t="str">
            <v>green</v>
          </cell>
          <cell r="I1806">
            <v>6</v>
          </cell>
          <cell r="J1806" t="str">
            <v>PremiumSSS</v>
          </cell>
          <cell r="K1806" t="str">
            <v>heal</v>
          </cell>
          <cell r="L1806" t="str">
            <v>回復タイプ</v>
          </cell>
          <cell r="M1806" t="str">
            <v>unknown</v>
          </cell>
        </row>
        <row r="1807">
          <cell r="A1807">
            <v>10073</v>
          </cell>
          <cell r="B1807" t="str">
            <v>ja</v>
          </cell>
          <cell r="C1807" t="str">
            <v>テストユニット73</v>
          </cell>
          <cell r="H1807" t="str">
            <v>green</v>
          </cell>
          <cell r="I1807">
            <v>6</v>
          </cell>
          <cell r="J1807" t="str">
            <v>PremiumSSS</v>
          </cell>
          <cell r="K1807" t="str">
            <v>attack</v>
          </cell>
          <cell r="L1807" t="str">
            <v>攻撃タイプ</v>
          </cell>
          <cell r="M1807" t="str">
            <v>samurai</v>
          </cell>
        </row>
        <row r="1808">
          <cell r="A1808">
            <v>10074</v>
          </cell>
          <cell r="B1808" t="str">
            <v>ja</v>
          </cell>
          <cell r="C1808" t="str">
            <v>テストユニット74</v>
          </cell>
          <cell r="H1808" t="str">
            <v>blue</v>
          </cell>
          <cell r="I1808">
            <v>6</v>
          </cell>
          <cell r="J1808" t="str">
            <v>PremiumSSS</v>
          </cell>
          <cell r="K1808" t="str">
            <v>balance</v>
          </cell>
          <cell r="L1808" t="str">
            <v>バランスタイプ</v>
          </cell>
          <cell r="M1808" t="str">
            <v>fantasy</v>
          </cell>
        </row>
        <row r="1809">
          <cell r="A1809">
            <v>10075</v>
          </cell>
          <cell r="B1809" t="str">
            <v>ja</v>
          </cell>
          <cell r="C1809" t="str">
            <v>テストユニット75</v>
          </cell>
          <cell r="H1809" t="str">
            <v>yellow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10076</v>
          </cell>
          <cell r="B1810" t="str">
            <v>ja</v>
          </cell>
          <cell r="C1810" t="str">
            <v>テストユニット76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10077</v>
          </cell>
          <cell r="B1811" t="str">
            <v>ja</v>
          </cell>
          <cell r="C1811" t="str">
            <v>テストユニット77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10078</v>
          </cell>
          <cell r="B1812" t="str">
            <v>ja</v>
          </cell>
          <cell r="C1812" t="str">
            <v>テストユニット78</v>
          </cell>
          <cell r="H1812" t="str">
            <v>red</v>
          </cell>
          <cell r="I1812">
            <v>6</v>
          </cell>
          <cell r="J1812" t="str">
            <v>PremiumSSS</v>
          </cell>
          <cell r="K1812" t="str">
            <v>attack</v>
          </cell>
          <cell r="L1812" t="str">
            <v>攻撃タイプ</v>
          </cell>
          <cell r="M1812" t="str">
            <v>human</v>
          </cell>
        </row>
        <row r="1813">
          <cell r="A1813">
            <v>10079</v>
          </cell>
          <cell r="B1813" t="str">
            <v>ja</v>
          </cell>
          <cell r="C1813" t="str">
            <v>テストユニット79</v>
          </cell>
          <cell r="H1813" t="str">
            <v>red</v>
          </cell>
          <cell r="I1813">
            <v>6</v>
          </cell>
          <cell r="J1813" t="str">
            <v>DropWizSS</v>
          </cell>
          <cell r="K1813" t="str">
            <v>hp</v>
          </cell>
          <cell r="L1813" t="str">
            <v>体力タイプ</v>
          </cell>
          <cell r="M1813" t="str">
            <v>hero</v>
          </cell>
        </row>
        <row r="1814">
          <cell r="A1814">
            <v>10080</v>
          </cell>
          <cell r="B1814" t="str">
            <v>ja</v>
          </cell>
          <cell r="C1814" t="str">
            <v>テストユニット80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10081</v>
          </cell>
          <cell r="B1815" t="str">
            <v>ja</v>
          </cell>
          <cell r="C1815" t="str">
            <v>テストユニット81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10082</v>
          </cell>
          <cell r="B1816" t="str">
            <v>ja</v>
          </cell>
          <cell r="C1816" t="str">
            <v>テストユニット82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10083</v>
          </cell>
          <cell r="B1817" t="str">
            <v>ja</v>
          </cell>
          <cell r="C1817" t="str">
            <v>テストユニット83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10084</v>
          </cell>
          <cell r="B1818" t="str">
            <v>ja</v>
          </cell>
          <cell r="C1818" t="str">
            <v>テストユニット84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10085</v>
          </cell>
          <cell r="B1819" t="str">
            <v>ja</v>
          </cell>
          <cell r="C1819" t="str">
            <v>テストユニット85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10086</v>
          </cell>
          <cell r="B1820" t="str">
            <v>ja</v>
          </cell>
          <cell r="C1820" t="str">
            <v>テストユニット86</v>
          </cell>
          <cell r="H1820" t="str">
            <v>blue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10087</v>
          </cell>
          <cell r="B1821" t="str">
            <v>ja</v>
          </cell>
          <cell r="C1821" t="str">
            <v>テストユニット87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10088</v>
          </cell>
          <cell r="B1822" t="str">
            <v>ja</v>
          </cell>
          <cell r="C1822" t="str">
            <v>テストユニット88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10089</v>
          </cell>
          <cell r="B1823" t="str">
            <v>ja</v>
          </cell>
          <cell r="C1823" t="str">
            <v>テストユニット89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10090</v>
          </cell>
          <cell r="B1824" t="str">
            <v>ja</v>
          </cell>
          <cell r="C1824" t="str">
            <v>テストユニット90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10101</v>
          </cell>
          <cell r="B1825" t="str">
            <v>ja</v>
          </cell>
          <cell r="C1825" t="str">
            <v>Usagi-kun</v>
          </cell>
          <cell r="H1825" t="str">
            <v>blue</v>
          </cell>
          <cell r="I1825">
            <v>6</v>
          </cell>
          <cell r="J1825" t="str">
            <v>DropWizS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10102</v>
          </cell>
          <cell r="B1826" t="str">
            <v>ja</v>
          </cell>
          <cell r="C1826" t="str">
            <v>ローズ</v>
          </cell>
          <cell r="D1826" t="str">
            <v>未定</v>
          </cell>
          <cell r="E1826" t="str">
            <v>執行者</v>
          </cell>
          <cell r="F1826" t="str">
            <v>格好いい</v>
          </cell>
          <cell r="G1826" t="str">
            <v>不明</v>
          </cell>
          <cell r="H1826" t="str">
            <v>red</v>
          </cell>
          <cell r="I1826">
            <v>3</v>
          </cell>
          <cell r="J1826" t="str">
            <v>DropWizSSS</v>
          </cell>
          <cell r="K1826" t="str">
            <v>attack</v>
          </cell>
          <cell r="L1826" t="str">
            <v>攻撃タイプ</v>
          </cell>
          <cell r="M1826" t="str">
            <v>queen</v>
          </cell>
        </row>
        <row r="1827">
          <cell r="A1827">
            <v>10103</v>
          </cell>
          <cell r="B1827" t="str">
            <v>ja</v>
          </cell>
          <cell r="C1827" t="str">
            <v>ローズ</v>
          </cell>
          <cell r="D1827" t="str">
            <v>未定</v>
          </cell>
          <cell r="E1827" t="str">
            <v>執行者</v>
          </cell>
          <cell r="F1827" t="str">
            <v>格好いい</v>
          </cell>
          <cell r="G1827" t="str">
            <v>不明</v>
          </cell>
          <cell r="H1827" t="str">
            <v>red</v>
          </cell>
          <cell r="I1827">
            <v>4</v>
          </cell>
          <cell r="J1827" t="str">
            <v>DropWizSSS</v>
          </cell>
          <cell r="K1827" t="str">
            <v>attack</v>
          </cell>
          <cell r="L1827" t="str">
            <v>攻撃タイプ</v>
          </cell>
          <cell r="M1827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125" zoomScaleNormal="75" zoomScalePageLayoutView="75" workbookViewId="0">
      <selection activeCell="C5" sqref="C3:C5"/>
    </sheetView>
  </sheetViews>
  <sheetFormatPr baseColWidth="12" defaultRowHeight="15" x14ac:dyDescent="0.15"/>
  <cols>
    <col min="1" max="1" width="45" style="55" customWidth="1"/>
    <col min="2" max="16384" width="13" style="55"/>
  </cols>
  <sheetData>
    <row r="1" spans="1:13" x14ac:dyDescent="0.15">
      <c r="A1" s="55" t="s">
        <v>97</v>
      </c>
      <c r="B1" s="55" t="s">
        <v>98</v>
      </c>
    </row>
    <row r="2" spans="1:13" x14ac:dyDescent="0.15">
      <c r="A2" s="55" t="s">
        <v>99</v>
      </c>
      <c r="B2" s="55" t="s">
        <v>100</v>
      </c>
      <c r="C2" s="55" t="s">
        <v>101</v>
      </c>
      <c r="D2" s="55" t="s">
        <v>102</v>
      </c>
      <c r="E2" s="55" t="s">
        <v>103</v>
      </c>
      <c r="F2" s="55" t="s">
        <v>104</v>
      </c>
      <c r="G2" s="55" t="s">
        <v>105</v>
      </c>
      <c r="H2" s="55" t="s">
        <v>106</v>
      </c>
    </row>
    <row r="3" spans="1:13" x14ac:dyDescent="0.15">
      <c r="A3" s="55">
        <v>3</v>
      </c>
      <c r="B3" s="56" t="s">
        <v>107</v>
      </c>
      <c r="C3" s="56" t="s">
        <v>108</v>
      </c>
      <c r="D3" s="55">
        <v>0</v>
      </c>
      <c r="E3" s="56" t="s">
        <v>109</v>
      </c>
      <c r="F3" s="55">
        <v>0</v>
      </c>
      <c r="G3" s="55">
        <v>0</v>
      </c>
      <c r="H3" s="57">
        <v>0.5</v>
      </c>
    </row>
    <row r="4" spans="1:13" x14ac:dyDescent="0.15">
      <c r="A4" s="55">
        <v>4</v>
      </c>
      <c r="B4" s="56" t="s">
        <v>110</v>
      </c>
      <c r="C4" s="56" t="s">
        <v>111</v>
      </c>
      <c r="D4" s="56" t="s">
        <v>112</v>
      </c>
      <c r="E4" s="56" t="s">
        <v>113</v>
      </c>
      <c r="F4" s="56" t="s">
        <v>114</v>
      </c>
      <c r="G4" s="55">
        <v>0</v>
      </c>
      <c r="H4" s="57">
        <v>0.45</v>
      </c>
    </row>
    <row r="5" spans="1:13" x14ac:dyDescent="0.15">
      <c r="A5" s="55">
        <v>5</v>
      </c>
      <c r="B5" s="58">
        <v>0</v>
      </c>
      <c r="C5" s="56" t="s">
        <v>115</v>
      </c>
      <c r="D5" s="56" t="s">
        <v>116</v>
      </c>
      <c r="E5" s="56" t="s">
        <v>117</v>
      </c>
      <c r="F5" s="56" t="s">
        <v>118</v>
      </c>
      <c r="G5" s="56" t="s">
        <v>119</v>
      </c>
      <c r="H5" s="57">
        <v>0.05</v>
      </c>
    </row>
    <row r="6" spans="1:13" x14ac:dyDescent="0.15">
      <c r="B6" s="57" t="s">
        <v>120</v>
      </c>
      <c r="C6" s="57" t="s">
        <v>120</v>
      </c>
      <c r="D6" s="57" t="s">
        <v>121</v>
      </c>
      <c r="E6" s="57" t="s">
        <v>120</v>
      </c>
      <c r="F6" s="57" t="s">
        <v>120</v>
      </c>
      <c r="G6" s="59" t="s">
        <v>122</v>
      </c>
      <c r="H6" s="57">
        <v>1</v>
      </c>
    </row>
    <row r="7" spans="1:13" x14ac:dyDescent="0.15">
      <c r="B7" s="57"/>
      <c r="C7" s="57"/>
      <c r="D7" s="57"/>
      <c r="E7" s="57"/>
      <c r="F7" s="57"/>
      <c r="G7" s="59"/>
      <c r="H7" s="57"/>
    </row>
    <row r="8" spans="1:13" x14ac:dyDescent="0.15">
      <c r="A8" s="55" t="s">
        <v>123</v>
      </c>
      <c r="B8" s="57"/>
      <c r="C8" s="57"/>
      <c r="D8" s="57"/>
      <c r="E8" s="57"/>
      <c r="F8" s="57"/>
      <c r="G8" s="59"/>
      <c r="H8" s="57"/>
    </row>
    <row r="9" spans="1:13" x14ac:dyDescent="0.15">
      <c r="A9" s="55" t="s">
        <v>124</v>
      </c>
      <c r="B9" s="57"/>
      <c r="C9" s="57"/>
      <c r="D9" s="57"/>
      <c r="E9" s="57"/>
      <c r="F9" s="57"/>
      <c r="G9" s="59"/>
      <c r="H9" s="57"/>
    </row>
    <row r="10" spans="1:13" x14ac:dyDescent="0.15">
      <c r="A10" s="55" t="s">
        <v>125</v>
      </c>
      <c r="B10" s="57"/>
      <c r="C10" s="57"/>
      <c r="D10" s="57"/>
      <c r="E10" s="57"/>
      <c r="F10" s="57"/>
      <c r="G10" s="59"/>
      <c r="H10" s="57"/>
    </row>
    <row r="11" spans="1:13" x14ac:dyDescent="0.15">
      <c r="A11" s="55" t="s">
        <v>126</v>
      </c>
      <c r="B11" s="57"/>
      <c r="C11" s="57"/>
      <c r="D11" s="57"/>
      <c r="E11" s="57"/>
      <c r="F11" s="57"/>
      <c r="G11" s="59"/>
      <c r="H11" s="57"/>
    </row>
    <row r="12" spans="1:13" x14ac:dyDescent="0.15">
      <c r="A12" s="55" t="s">
        <v>119</v>
      </c>
      <c r="B12" s="57" t="s">
        <v>127</v>
      </c>
      <c r="C12" s="57" t="s">
        <v>128</v>
      </c>
      <c r="D12" s="57"/>
      <c r="E12" s="57"/>
      <c r="F12" s="57"/>
      <c r="G12" s="59"/>
      <c r="H12" s="57"/>
    </row>
    <row r="13" spans="1:13" x14ac:dyDescent="0.15">
      <c r="A13" s="55" t="s">
        <v>129</v>
      </c>
      <c r="B13" s="55" t="s">
        <v>130</v>
      </c>
      <c r="C13" s="55" t="s">
        <v>131</v>
      </c>
    </row>
    <row r="14" spans="1:13" x14ac:dyDescent="0.15">
      <c r="A14" s="55" t="s">
        <v>132</v>
      </c>
      <c r="B14" s="55" t="s">
        <v>127</v>
      </c>
      <c r="C14" s="58" t="s">
        <v>133</v>
      </c>
      <c r="E14" s="58"/>
      <c r="F14" s="58"/>
      <c r="M14" s="57"/>
    </row>
    <row r="15" spans="1:13" x14ac:dyDescent="0.15">
      <c r="A15" s="55" t="s">
        <v>109</v>
      </c>
      <c r="B15" s="57" t="s">
        <v>127</v>
      </c>
      <c r="C15" s="57" t="s">
        <v>134</v>
      </c>
      <c r="H15" s="60"/>
      <c r="M15" s="57"/>
    </row>
    <row r="16" spans="1:13" x14ac:dyDescent="0.15">
      <c r="A16" s="55" t="s">
        <v>113</v>
      </c>
      <c r="B16" s="57" t="s">
        <v>127</v>
      </c>
      <c r="C16" s="57" t="s">
        <v>135</v>
      </c>
      <c r="M16" s="57"/>
    </row>
    <row r="17" spans="1:13" x14ac:dyDescent="0.15">
      <c r="A17" s="55" t="s">
        <v>136</v>
      </c>
      <c r="B17" s="57" t="s">
        <v>127</v>
      </c>
      <c r="C17" s="57" t="s">
        <v>137</v>
      </c>
      <c r="M17" s="57"/>
    </row>
    <row r="18" spans="1:13" x14ac:dyDescent="0.15">
      <c r="B18" s="57"/>
      <c r="C18" s="57"/>
    </row>
    <row r="19" spans="1:13" x14ac:dyDescent="0.15">
      <c r="A19" s="55" t="s">
        <v>138</v>
      </c>
    </row>
    <row r="20" spans="1:13" x14ac:dyDescent="0.15">
      <c r="A20" s="55" t="s">
        <v>139</v>
      </c>
      <c r="B20" s="57"/>
      <c r="C20" s="57"/>
    </row>
    <row r="21" spans="1:13" x14ac:dyDescent="0.15">
      <c r="A21" s="55" t="s">
        <v>140</v>
      </c>
      <c r="B21" s="57" t="s">
        <v>141</v>
      </c>
      <c r="C21" s="57" t="s">
        <v>142</v>
      </c>
      <c r="D21" s="55" t="s">
        <v>143</v>
      </c>
    </row>
    <row r="22" spans="1:13" x14ac:dyDescent="0.15">
      <c r="A22" s="55" t="s">
        <v>144</v>
      </c>
      <c r="B22" s="57" t="s">
        <v>127</v>
      </c>
      <c r="C22" s="57" t="s">
        <v>145</v>
      </c>
      <c r="D22" s="55" t="s">
        <v>146</v>
      </c>
    </row>
    <row r="23" spans="1:13" x14ac:dyDescent="0.15">
      <c r="A23" s="55" t="s">
        <v>147</v>
      </c>
      <c r="B23" s="57" t="s">
        <v>127</v>
      </c>
      <c r="C23" s="55" t="s">
        <v>148</v>
      </c>
      <c r="D23" s="55" t="s">
        <v>149</v>
      </c>
    </row>
    <row r="24" spans="1:13" x14ac:dyDescent="0.15">
      <c r="A24" s="55" t="s">
        <v>150</v>
      </c>
      <c r="B24" s="57" t="s">
        <v>127</v>
      </c>
      <c r="C24" s="57" t="s">
        <v>151</v>
      </c>
      <c r="D24" s="55" t="s">
        <v>152</v>
      </c>
    </row>
    <row r="25" spans="1:13" x14ac:dyDescent="0.15">
      <c r="A25" s="55" t="s">
        <v>153</v>
      </c>
      <c r="B25" s="57" t="s">
        <v>127</v>
      </c>
      <c r="C25" s="57" t="s">
        <v>154</v>
      </c>
      <c r="D25" s="55" t="s">
        <v>155</v>
      </c>
    </row>
    <row r="26" spans="1:13" x14ac:dyDescent="0.15">
      <c r="A26" s="55" t="s">
        <v>156</v>
      </c>
      <c r="B26" s="57" t="s">
        <v>127</v>
      </c>
      <c r="C26" s="57" t="s">
        <v>157</v>
      </c>
      <c r="D26" s="55" t="s">
        <v>158</v>
      </c>
    </row>
    <row r="27" spans="1:13" x14ac:dyDescent="0.15">
      <c r="A27" s="55" t="s">
        <v>159</v>
      </c>
      <c r="B27" s="57" t="s">
        <v>127</v>
      </c>
      <c r="C27" s="57" t="s">
        <v>121</v>
      </c>
      <c r="D27" s="55" t="s">
        <v>160</v>
      </c>
      <c r="E27" s="55" t="s">
        <v>161</v>
      </c>
    </row>
    <row r="28" spans="1:13" x14ac:dyDescent="0.15">
      <c r="A28" s="55" t="s">
        <v>108</v>
      </c>
      <c r="B28" s="57" t="s">
        <v>127</v>
      </c>
      <c r="C28" s="57" t="s">
        <v>162</v>
      </c>
      <c r="E28" s="55" t="s">
        <v>163</v>
      </c>
    </row>
    <row r="29" spans="1:13" x14ac:dyDescent="0.15">
      <c r="A29" s="55" t="s">
        <v>111</v>
      </c>
      <c r="B29" s="57" t="s">
        <v>127</v>
      </c>
      <c r="C29" s="57" t="s">
        <v>164</v>
      </c>
    </row>
    <row r="30" spans="1:13" x14ac:dyDescent="0.15">
      <c r="B30" s="57"/>
    </row>
    <row r="31" spans="1:13" x14ac:dyDescent="0.15">
      <c r="A31" s="55" t="s">
        <v>165</v>
      </c>
    </row>
    <row r="32" spans="1:13" x14ac:dyDescent="0.15">
      <c r="A32" s="55" t="s">
        <v>166</v>
      </c>
      <c r="B32" s="57" t="s">
        <v>127</v>
      </c>
      <c r="C32" s="57" t="s">
        <v>167</v>
      </c>
    </row>
    <row r="33" spans="1:13" x14ac:dyDescent="0.15">
      <c r="A33" s="55" t="s">
        <v>111</v>
      </c>
      <c r="B33" s="57" t="s">
        <v>127</v>
      </c>
      <c r="C33" s="57" t="s">
        <v>168</v>
      </c>
    </row>
    <row r="34" spans="1:13" x14ac:dyDescent="0.15">
      <c r="A34" s="55" t="s">
        <v>108</v>
      </c>
      <c r="B34" s="57" t="s">
        <v>127</v>
      </c>
      <c r="C34" s="57" t="s">
        <v>169</v>
      </c>
    </row>
    <row r="35" spans="1:13" x14ac:dyDescent="0.15">
      <c r="A35" s="55" t="s">
        <v>107</v>
      </c>
      <c r="B35" s="57" t="s">
        <v>127</v>
      </c>
      <c r="C35" s="57" t="s">
        <v>170</v>
      </c>
    </row>
    <row r="36" spans="1:13" x14ac:dyDescent="0.15">
      <c r="A36" s="55" t="s">
        <v>110</v>
      </c>
      <c r="B36" s="57" t="s">
        <v>127</v>
      </c>
      <c r="C36" s="57" t="s">
        <v>171</v>
      </c>
    </row>
    <row r="37" spans="1:13" x14ac:dyDescent="0.15">
      <c r="A37" s="55" t="s">
        <v>116</v>
      </c>
      <c r="B37" s="57" t="s">
        <v>127</v>
      </c>
      <c r="C37" s="57" t="s">
        <v>172</v>
      </c>
    </row>
    <row r="38" spans="1:13" x14ac:dyDescent="0.15">
      <c r="A38" s="55" t="s">
        <v>112</v>
      </c>
      <c r="B38" s="57" t="s">
        <v>127</v>
      </c>
      <c r="C38" s="57" t="s">
        <v>173</v>
      </c>
    </row>
    <row r="40" spans="1:13" x14ac:dyDescent="0.15">
      <c r="J40" s="73" t="s">
        <v>200</v>
      </c>
      <c r="K40" s="73" t="s">
        <v>176</v>
      </c>
      <c r="M40" s="73" t="s">
        <v>225</v>
      </c>
    </row>
    <row r="41" spans="1:13" x14ac:dyDescent="0.15">
      <c r="J41" s="73" t="s">
        <v>201</v>
      </c>
      <c r="K41" s="73" t="s">
        <v>202</v>
      </c>
      <c r="M41" s="57" t="s">
        <v>171</v>
      </c>
    </row>
    <row r="42" spans="1:13" x14ac:dyDescent="0.15">
      <c r="J42" s="73" t="s">
        <v>203</v>
      </c>
      <c r="K42" s="73" t="s">
        <v>204</v>
      </c>
    </row>
    <row r="43" spans="1:13" x14ac:dyDescent="0.15">
      <c r="J43" s="73" t="s">
        <v>205</v>
      </c>
      <c r="K43" s="73" t="s">
        <v>206</v>
      </c>
    </row>
    <row r="44" spans="1:13" x14ac:dyDescent="0.15">
      <c r="J44" s="73" t="s">
        <v>207</v>
      </c>
      <c r="K44" s="73" t="s">
        <v>208</v>
      </c>
    </row>
    <row r="45" spans="1:13" x14ac:dyDescent="0.15">
      <c r="J45" s="73" t="s">
        <v>209</v>
      </c>
      <c r="K45" s="73" t="s">
        <v>210</v>
      </c>
    </row>
    <row r="46" spans="1:13" x14ac:dyDescent="0.15">
      <c r="J46" s="73" t="s">
        <v>211</v>
      </c>
      <c r="K46" s="73" t="s">
        <v>212</v>
      </c>
    </row>
    <row r="47" spans="1:13" x14ac:dyDescent="0.15">
      <c r="J47" s="73" t="s">
        <v>213</v>
      </c>
      <c r="K47" s="73" t="s">
        <v>217</v>
      </c>
    </row>
    <row r="48" spans="1:13" x14ac:dyDescent="0.15">
      <c r="J48" s="73" t="s">
        <v>214</v>
      </c>
      <c r="K48" s="73" t="s">
        <v>218</v>
      </c>
    </row>
    <row r="49" spans="10:11" x14ac:dyDescent="0.15">
      <c r="J49" s="73" t="s">
        <v>215</v>
      </c>
      <c r="K49" s="73" t="s">
        <v>219</v>
      </c>
    </row>
    <row r="50" spans="10:11" x14ac:dyDescent="0.15">
      <c r="J50" s="73" t="s">
        <v>216</v>
      </c>
      <c r="K50" s="73" t="s">
        <v>220</v>
      </c>
    </row>
    <row r="51" spans="10:11" x14ac:dyDescent="0.15">
      <c r="J51" s="73" t="s">
        <v>222</v>
      </c>
      <c r="K51" s="73" t="s">
        <v>221</v>
      </c>
    </row>
    <row r="52" spans="10:11" x14ac:dyDescent="0.15">
      <c r="J52" s="73" t="s">
        <v>223</v>
      </c>
      <c r="K52" s="73" t="s">
        <v>224</v>
      </c>
    </row>
    <row r="53" spans="10:11" x14ac:dyDescent="0.15">
      <c r="J53" s="73"/>
    </row>
  </sheetData>
  <phoneticPr fontId="13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62</v>
      </c>
    </row>
    <row r="2" spans="1:1" x14ac:dyDescent="0.15">
      <c r="A2" t="s">
        <v>63</v>
      </c>
    </row>
    <row r="3" spans="1:1" x14ac:dyDescent="0.15">
      <c r="A3" t="s">
        <v>64</v>
      </c>
    </row>
    <row r="4" spans="1:1" x14ac:dyDescent="0.15">
      <c r="A4" t="s">
        <v>65</v>
      </c>
    </row>
  </sheetData>
  <phoneticPr fontId="1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2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33.19921875" style="18" bestFit="1" customWidth="1"/>
    <col min="6" max="6" width="22.19921875" style="18" bestFit="1" customWidth="1"/>
    <col min="7" max="16384" width="13" style="18"/>
  </cols>
  <sheetData>
    <row r="1" spans="1:21" x14ac:dyDescent="0.15">
      <c r="A1" s="23" t="s">
        <v>34</v>
      </c>
      <c r="B1" s="16" t="s">
        <v>28</v>
      </c>
      <c r="C1" s="16" t="s">
        <v>29</v>
      </c>
      <c r="D1" s="16" t="s">
        <v>30</v>
      </c>
      <c r="E1" s="16" t="s">
        <v>31</v>
      </c>
      <c r="F1" s="16" t="s">
        <v>32</v>
      </c>
      <c r="G1" s="16" t="s">
        <v>33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1" t="s">
        <v>294</v>
      </c>
      <c r="B2" s="98" t="s">
        <v>266</v>
      </c>
      <c r="C2" s="99" t="str">
        <f t="shared" ref="C2:C9" si="0">RIGHT(F2,6)</f>
        <v>596101</v>
      </c>
      <c r="D2" s="19" t="s">
        <v>268</v>
      </c>
      <c r="E2" s="17" t="str">
        <f t="shared" ref="E2:E12" si="1">B2&amp;C2&amp;D2</f>
        <v>gacha_select_tables_596101.tmp</v>
      </c>
      <c r="F2" s="104" t="s">
        <v>295</v>
      </c>
      <c r="G2" s="100" t="s">
        <v>269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101" t="s">
        <v>294</v>
      </c>
      <c r="B3" s="98" t="s">
        <v>266</v>
      </c>
      <c r="C3" s="99" t="str">
        <f t="shared" si="0"/>
        <v>596103</v>
      </c>
      <c r="D3" s="19" t="s">
        <v>268</v>
      </c>
      <c r="E3" s="17" t="str">
        <f t="shared" si="1"/>
        <v>gacha_select_tables_596103.tmp</v>
      </c>
      <c r="F3" s="104" t="s">
        <v>296</v>
      </c>
      <c r="G3" s="100" t="s">
        <v>269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101" t="s">
        <v>294</v>
      </c>
      <c r="B4" s="98" t="s">
        <v>270</v>
      </c>
      <c r="C4" s="99" t="str">
        <f t="shared" ref="C4" si="2">RIGHT(F4,6)</f>
        <v>596103</v>
      </c>
      <c r="D4" s="19" t="s">
        <v>267</v>
      </c>
      <c r="E4" s="17" t="str">
        <f t="shared" ref="E4" si="3">B4&amp;C4&amp;D4</f>
        <v>gacha_settle_tables_596103.tmp</v>
      </c>
      <c r="F4" s="109" t="s">
        <v>302</v>
      </c>
      <c r="G4" s="100" t="s">
        <v>272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101" t="s">
        <v>294</v>
      </c>
      <c r="B5" s="98" t="s">
        <v>270</v>
      </c>
      <c r="C5" s="99" t="str">
        <f t="shared" si="0"/>
        <v>596104</v>
      </c>
      <c r="D5" s="19" t="s">
        <v>271</v>
      </c>
      <c r="E5" s="17" t="str">
        <f t="shared" si="1"/>
        <v>gacha_settle_tables_596104.tmp</v>
      </c>
      <c r="F5" s="104" t="s">
        <v>297</v>
      </c>
      <c r="G5" s="100" t="s">
        <v>272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101" t="s">
        <v>294</v>
      </c>
      <c r="B6" s="98" t="s">
        <v>265</v>
      </c>
      <c r="C6" s="99" t="str">
        <f t="shared" si="0"/>
        <v>596104</v>
      </c>
      <c r="D6" s="19" t="s">
        <v>267</v>
      </c>
      <c r="E6" s="17" t="str">
        <f t="shared" si="1"/>
        <v>gacha_select_tables_596104.tmp</v>
      </c>
      <c r="F6" s="104" t="s">
        <v>298</v>
      </c>
      <c r="G6" s="100" t="s">
        <v>273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101" t="s">
        <v>294</v>
      </c>
      <c r="B7" s="98" t="s">
        <v>265</v>
      </c>
      <c r="C7" s="99" t="str">
        <f t="shared" si="0"/>
        <v>596105</v>
      </c>
      <c r="D7" s="19" t="s">
        <v>267</v>
      </c>
      <c r="E7" s="17" t="str">
        <f t="shared" si="1"/>
        <v>gacha_select_tables_596105.tmp</v>
      </c>
      <c r="F7" s="104" t="s">
        <v>299</v>
      </c>
      <c r="G7" s="100" t="s">
        <v>273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101" t="s">
        <v>294</v>
      </c>
      <c r="B8" s="98" t="s">
        <v>265</v>
      </c>
      <c r="C8" s="99" t="str">
        <f t="shared" si="0"/>
        <v>596106</v>
      </c>
      <c r="D8" s="19" t="s">
        <v>267</v>
      </c>
      <c r="E8" s="17" t="str">
        <f t="shared" si="1"/>
        <v>gacha_select_tables_596106.tmp</v>
      </c>
      <c r="F8" s="104" t="s">
        <v>300</v>
      </c>
      <c r="G8" s="100" t="s">
        <v>273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101" t="s">
        <v>294</v>
      </c>
      <c r="B9" s="98" t="s">
        <v>265</v>
      </c>
      <c r="C9" s="99" t="str">
        <f t="shared" si="0"/>
        <v>596100</v>
      </c>
      <c r="D9" s="19" t="s">
        <v>274</v>
      </c>
      <c r="E9" s="17" t="str">
        <f t="shared" si="1"/>
        <v>gacha_select_tables_596100.tmp</v>
      </c>
      <c r="F9" s="104" t="s">
        <v>301</v>
      </c>
      <c r="G9" s="100" t="s">
        <v>275</v>
      </c>
      <c r="H9" s="21" t="s">
        <v>0</v>
      </c>
      <c r="I9" s="21" t="s">
        <v>3</v>
      </c>
      <c r="J9" s="21" t="s">
        <v>4</v>
      </c>
      <c r="K9" s="21" t="s">
        <v>5</v>
      </c>
      <c r="L9" s="21" t="s">
        <v>6</v>
      </c>
      <c r="M9" s="21" t="s">
        <v>7</v>
      </c>
      <c r="N9" s="21" t="s">
        <v>8</v>
      </c>
      <c r="O9" s="21" t="s">
        <v>9</v>
      </c>
    </row>
    <row r="10" spans="1:21" x14ac:dyDescent="0.15">
      <c r="A10" s="101" t="s">
        <v>294</v>
      </c>
      <c r="B10" s="98" t="s">
        <v>276</v>
      </c>
      <c r="C10" s="98">
        <v>596</v>
      </c>
      <c r="D10" s="19" t="s">
        <v>274</v>
      </c>
      <c r="E10" s="17" t="str">
        <f t="shared" si="1"/>
        <v>gacha_bonus_tables_596.tmp</v>
      </c>
      <c r="F10" s="19" t="s">
        <v>278</v>
      </c>
      <c r="G10" s="100" t="s">
        <v>279</v>
      </c>
      <c r="H10" s="100" t="s">
        <v>280</v>
      </c>
      <c r="I10" s="100" t="s">
        <v>281</v>
      </c>
      <c r="J10" s="20"/>
      <c r="K10" s="20"/>
      <c r="L10" s="20"/>
      <c r="M10" s="20"/>
      <c r="N10" s="20"/>
      <c r="O10" s="20"/>
    </row>
    <row r="11" spans="1:21" x14ac:dyDescent="0.15">
      <c r="A11" s="101" t="s">
        <v>294</v>
      </c>
      <c r="B11" s="19" t="s">
        <v>282</v>
      </c>
      <c r="C11" s="98">
        <v>596</v>
      </c>
      <c r="D11" s="19" t="s">
        <v>267</v>
      </c>
      <c r="E11" s="17" t="str">
        <f t="shared" si="1"/>
        <v>gifts_tmp_596.tmp</v>
      </c>
      <c r="F11" s="19" t="s">
        <v>277</v>
      </c>
      <c r="G11" s="100" t="s">
        <v>280</v>
      </c>
      <c r="H11" s="100" t="s">
        <v>283</v>
      </c>
      <c r="I11" s="100" t="s">
        <v>284</v>
      </c>
      <c r="J11" s="100" t="s">
        <v>284</v>
      </c>
      <c r="K11" s="100" t="s">
        <v>284</v>
      </c>
      <c r="L11" s="100" t="s">
        <v>285</v>
      </c>
      <c r="M11" s="100" t="s">
        <v>285</v>
      </c>
      <c r="N11" s="100" t="s">
        <v>285</v>
      </c>
      <c r="O11" s="43" t="s">
        <v>7</v>
      </c>
      <c r="P11" s="43" t="s">
        <v>9</v>
      </c>
      <c r="Q11" s="43" t="s">
        <v>6</v>
      </c>
      <c r="R11" s="43" t="s">
        <v>69</v>
      </c>
      <c r="S11" s="43" t="s">
        <v>8</v>
      </c>
      <c r="T11" s="43" t="s">
        <v>70</v>
      </c>
      <c r="U11" s="43" t="s">
        <v>5</v>
      </c>
    </row>
    <row r="12" spans="1:21" x14ac:dyDescent="0.15">
      <c r="A12" s="101" t="s">
        <v>294</v>
      </c>
      <c r="B12" s="19" t="s">
        <v>286</v>
      </c>
      <c r="C12" s="98">
        <v>596</v>
      </c>
      <c r="D12" s="19" t="s">
        <v>287</v>
      </c>
      <c r="E12" s="17" t="str">
        <f t="shared" si="1"/>
        <v>gifts_i18n_596.tmp</v>
      </c>
      <c r="F12" s="19" t="s">
        <v>288</v>
      </c>
      <c r="G12" s="100" t="s">
        <v>289</v>
      </c>
      <c r="H12" s="100" t="s">
        <v>290</v>
      </c>
      <c r="I12" s="100" t="s">
        <v>291</v>
      </c>
      <c r="J12" s="100" t="s">
        <v>292</v>
      </c>
      <c r="K12" s="100" t="s">
        <v>293</v>
      </c>
      <c r="L12" s="100"/>
      <c r="M12" s="100"/>
      <c r="N12" s="100"/>
      <c r="O12" s="19"/>
    </row>
  </sheetData>
  <phoneticPr fontId="1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topLeftCell="A15"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2.796875" bestFit="1" customWidth="1"/>
    <col min="6" max="6" width="21.796875" bestFit="1" customWidth="1"/>
    <col min="7" max="7" width="20.796875" bestFit="1" customWidth="1"/>
    <col min="8" max="8" width="19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596101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8">
        <v>1393</v>
      </c>
      <c r="M3" s="31" t="str">
        <f>VLOOKUP(L3,[1]characters!$A:$C,3,FALSE)</f>
        <v>ライプニッツ</v>
      </c>
      <c r="N3" s="54">
        <v>4.0000000000000001E-3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VLOOKUP(L3,tables_596101!B:C,2,FALSE)</f>
        <v>PremiumSSS5R3lesscolor</v>
      </c>
      <c r="R3" s="53">
        <f t="shared" ref="R3:R20" si="1">N3*A$51</f>
        <v>21888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VLOOKUP(L4,tables_596101!B:C,2,FALSE)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0.4</v>
      </c>
      <c r="D5" t="s">
        <v>187</v>
      </c>
      <c r="E5" s="37">
        <f>(B11-H5)*0.4/(F5-I5)</f>
        <v>3.5087719298245622E-4</v>
      </c>
      <c r="F5">
        <f>(COUNTIF(tables_596101!C:C,input_596101!A28)+COUNTIF(tables_596101!C:C,input_596101!A29))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VLOOKUP(L5,tables_596101!B:C,2,FALSE)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0.5</v>
      </c>
      <c r="D6" t="s">
        <v>226</v>
      </c>
      <c r="E6" s="68">
        <f>(B11-H5)*0.6/(F6-I5)</f>
        <v>1.6666666666666666E-3</v>
      </c>
      <c r="F6">
        <f>(COUNTIF(tables_596101!C:C,input_596101!A43)+COUNTIF(tables_596101!C:C,input_596101!A44))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VLOOKUP(L6,tables_596101!B:C,2,FALSE)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5.2555555555555558E-3</v>
      </c>
      <c r="F7">
        <f>(COUNTIF(tables_596101!C:C,input_596101!A25)+COUNTIF(tables_596101!C:C,input_596101!A18)+COUNTIF(tables_596101!C:C,input_596101!A20)+COUNTIF(tables_596101!C:C,input_596101!A22))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VLOOKUP(L7,tables_596101!B:C,2,FALSE)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2.2703999999999998E-2</v>
      </c>
      <c r="F8">
        <f>(COUNTIF(tables_596101!C:C,input_596101!A40)+COUNTIF(tables_596101!C:C,input_596101!A33)+COUNTIF(tables_596101!C:C,input_596101!A35)+COUNTIF(tables_596101!C:C,input_596101!A37))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VLOOKUP(L8,tables_596101!B:C,2,FALSE)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VLOOKUP(L9,tables_596101!B:C,2,FALSE)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0.94599999999999995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VLOOKUP(L10,tables_596101!B:C,2,FALSE)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VLOOKUP(L11,tables_596101!B:C,2,FALSE)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4.0000000000000001E-3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VLOOKUP(L12,tables_596101!B:C,2,FALSE)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VLOOKUP(L13,tables_596101!B:C,2,FALSE)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VLOOKUP(L14,tables_596101!B:C,2,FALSE)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VLOOKUP(L15,tables_596101!B:C,2,FALSE)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VLOOKUP(L16,tables_596101!B:C,2,FALSE)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7.380888888888891E-2</v>
      </c>
      <c r="C17" s="75">
        <f t="shared" ref="C17:C45" si="2">SUMIF(Q:Q,A17,N:N)</f>
        <v>0</v>
      </c>
      <c r="D17" s="66">
        <f t="shared" ref="D17:D26" si="3">B17-C17</f>
        <v>7.380888888888891E-2</v>
      </c>
      <c r="E17">
        <f>COUNTIF(tables_596101!C:C,input_596101!A17)-COUNTIF(Q:Q,A17)</f>
        <v>15</v>
      </c>
      <c r="F17" s="37">
        <f>IFERROR(B17/E17,0)</f>
        <v>4.9205925925925936E-3</v>
      </c>
      <c r="G17">
        <f t="shared" ref="G17:G46" si="4">A$51*B17</f>
        <v>403882.24000000011</v>
      </c>
      <c r="H17">
        <f t="shared" ref="H17:H26" si="5">IFERROR(ROUND(G17/E17,5),0)</f>
        <v>26925.482670000001</v>
      </c>
      <c r="I17">
        <f t="shared" ref="I17:I31" si="6">MOD(H17,1)</f>
        <v>0.48267000000123517</v>
      </c>
      <c r="J17">
        <f t="shared" ref="J17:J26" si="7">IFERROR(1/I17,1)</f>
        <v>2.0718088963420991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VLOOKUP(L17,tables_596101!B:C,2,FALSE)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6.6244444444444606E-3</v>
      </c>
      <c r="C18" s="75">
        <f t="shared" si="2"/>
        <v>0</v>
      </c>
      <c r="D18" s="66">
        <f t="shared" si="3"/>
        <v>6.6244444444444606E-3</v>
      </c>
      <c r="E18">
        <f>COUNTIF(tables_596101!C:C,input_596101!A18)-COUNTIF(Q:Q,A18)</f>
        <v>15</v>
      </c>
      <c r="F18" s="37">
        <f>IFERROR(B18/E18,0)</f>
        <v>4.4162962962963068E-4</v>
      </c>
      <c r="G18">
        <f t="shared" si="4"/>
        <v>36248.960000000086</v>
      </c>
      <c r="H18">
        <f t="shared" si="5"/>
        <v>2416.5973300000001</v>
      </c>
      <c r="I18">
        <f t="shared" si="6"/>
        <v>0.59733000000005632</v>
      </c>
      <c r="J18">
        <f t="shared" si="7"/>
        <v>1.6741164850248702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VLOOKUP(L18,tables_596101!B:C,2,FALSE)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7.9884444444444452E-2</v>
      </c>
      <c r="C19" s="75">
        <f t="shared" si="2"/>
        <v>0</v>
      </c>
      <c r="D19" s="66">
        <f t="shared" si="3"/>
        <v>7.9884444444444452E-2</v>
      </c>
      <c r="E19">
        <f>COUNTIF(tables_596101!C:C,input_596101!A19)-COUNTIF(Q:Q,A19)</f>
        <v>38</v>
      </c>
      <c r="F19" s="37">
        <f t="shared" ref="F19:F31" si="8">IFERROR(B19/E19,0)</f>
        <v>2.1022222222222223E-3</v>
      </c>
      <c r="G19">
        <f t="shared" si="4"/>
        <v>437127.68000000005</v>
      </c>
      <c r="H19">
        <f t="shared" si="5"/>
        <v>11503.36</v>
      </c>
      <c r="I19">
        <f t="shared" si="6"/>
        <v>0.36000000000058208</v>
      </c>
      <c r="J19">
        <f t="shared" si="7"/>
        <v>2.7777777777732866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VLOOKUP(L19,tables_596101!B:C,2,FALSE)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9.9855555555555559E-2</v>
      </c>
      <c r="C20" s="75">
        <f t="shared" si="2"/>
        <v>0</v>
      </c>
      <c r="D20" s="66">
        <f t="shared" si="3"/>
        <v>9.9855555555555559E-2</v>
      </c>
      <c r="E20">
        <f>COUNTIF(tables_596101!C:C,input_596101!A20)-COUNTIF(Q:Q,A20)</f>
        <v>38</v>
      </c>
      <c r="F20" s="37">
        <f t="shared" si="8"/>
        <v>2.6277777777777779E-3</v>
      </c>
      <c r="G20">
        <f t="shared" si="4"/>
        <v>546409.6</v>
      </c>
      <c r="H20">
        <f t="shared" si="5"/>
        <v>14379.2</v>
      </c>
      <c r="I20">
        <f t="shared" si="6"/>
        <v>0.2000000000007276</v>
      </c>
      <c r="J20">
        <f t="shared" si="7"/>
        <v>4.9999999999818101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VLOOKUP(L20,tables_596101!B:C,2,FALSE)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1.9971111111111113E-2</v>
      </c>
      <c r="C21" s="75">
        <f t="shared" si="2"/>
        <v>0</v>
      </c>
      <c r="D21" s="66">
        <f t="shared" si="3"/>
        <v>1.9971111111111113E-2</v>
      </c>
      <c r="E21">
        <f>COUNTIF(tables_596101!C:C,input_596101!A21)-COUNTIF(Q:Q,A21)</f>
        <v>38</v>
      </c>
      <c r="F21" s="37">
        <f t="shared" si="8"/>
        <v>5.2555555555555558E-4</v>
      </c>
      <c r="G21">
        <f t="shared" si="4"/>
        <v>109281.92000000001</v>
      </c>
      <c r="H21">
        <f t="shared" si="5"/>
        <v>2875.84</v>
      </c>
      <c r="I21">
        <f t="shared" si="6"/>
        <v>0.84000000000014552</v>
      </c>
      <c r="J21">
        <f t="shared" si="7"/>
        <v>1.1904761904759842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7.8689298245614034E-2</v>
      </c>
      <c r="C22" s="75">
        <f t="shared" si="2"/>
        <v>0</v>
      </c>
      <c r="D22" s="66">
        <f t="shared" si="3"/>
        <v>7.8689298245614034E-2</v>
      </c>
      <c r="E22">
        <f>COUNTIF(tables_596101!C:C,input_596101!A22)-COUNTIF(Q:Q,A22)</f>
        <v>16</v>
      </c>
      <c r="F22" s="37">
        <f t="shared" si="8"/>
        <v>4.9180811403508771E-3</v>
      </c>
      <c r="G22">
        <f t="shared" si="4"/>
        <v>430587.83999999997</v>
      </c>
      <c r="H22">
        <f t="shared" si="5"/>
        <v>26911.74</v>
      </c>
      <c r="I22">
        <f t="shared" si="6"/>
        <v>0.74000000000160071</v>
      </c>
      <c r="J22">
        <f t="shared" si="7"/>
        <v>1.3513513513484283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5.3995906432748597E-3</v>
      </c>
      <c r="C23" s="75">
        <f t="shared" si="2"/>
        <v>0</v>
      </c>
      <c r="D23" s="66">
        <f t="shared" si="3"/>
        <v>5.3995906432748597E-3</v>
      </c>
      <c r="E23">
        <f>COUNTIF(tables_596101!C:C,input_596101!A23)-COUNTIF(Q:Q,A23)</f>
        <v>20</v>
      </c>
      <c r="F23" s="37">
        <f t="shared" si="8"/>
        <v>2.6997953216374297E-4</v>
      </c>
      <c r="G23">
        <f t="shared" si="4"/>
        <v>29546.560000000034</v>
      </c>
      <c r="H23">
        <f t="shared" si="5"/>
        <v>1477.328</v>
      </c>
      <c r="I23">
        <f t="shared" si="6"/>
        <v>0.32799999999997453</v>
      </c>
      <c r="J23">
        <f t="shared" si="7"/>
        <v>3.0487804878051148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6.3066666666666679E-3</v>
      </c>
      <c r="C24" s="75">
        <f t="shared" si="2"/>
        <v>0</v>
      </c>
      <c r="D24" s="66">
        <f t="shared" si="3"/>
        <v>6.3066666666666679E-3</v>
      </c>
      <c r="E24">
        <f>COUNTIF(tables_596101!C:C,input_596101!A24)-COUNTIF(Q:Q,A24)</f>
        <v>3</v>
      </c>
      <c r="F24" s="37">
        <f t="shared" si="8"/>
        <v>2.1022222222222228E-3</v>
      </c>
      <c r="G24">
        <f t="shared" si="4"/>
        <v>34510.080000000009</v>
      </c>
      <c r="H24">
        <f t="shared" si="5"/>
        <v>11503.36</v>
      </c>
      <c r="I24">
        <f t="shared" si="6"/>
        <v>0.36000000000058208</v>
      </c>
      <c r="J24">
        <f t="shared" si="7"/>
        <v>2.7777777777732866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7.8833333333333342E-3</v>
      </c>
      <c r="C25" s="75">
        <f t="shared" si="2"/>
        <v>0</v>
      </c>
      <c r="D25" s="66">
        <f t="shared" si="3"/>
        <v>7.8833333333333342E-3</v>
      </c>
      <c r="E25">
        <f>COUNTIF(tables_596101!C:C,input_596101!A25)-COUNTIF(Q:Q,A25)</f>
        <v>3</v>
      </c>
      <c r="F25" s="37">
        <f t="shared" si="8"/>
        <v>2.6277777777777779E-3</v>
      </c>
      <c r="G25">
        <f t="shared" si="4"/>
        <v>43137.600000000006</v>
      </c>
      <c r="H25">
        <f t="shared" si="5"/>
        <v>14379.2</v>
      </c>
      <c r="I25">
        <f t="shared" si="6"/>
        <v>0.2000000000007276</v>
      </c>
      <c r="J25">
        <f t="shared" si="7"/>
        <v>4.9999999999818101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49" t="s">
        <v>181</v>
      </c>
      <c r="B26" s="48">
        <f>E$7*B$7*E26</f>
        <v>1.5766666666666668E-3</v>
      </c>
      <c r="C26" s="75">
        <f t="shared" si="2"/>
        <v>0</v>
      </c>
      <c r="D26" s="66">
        <f t="shared" si="3"/>
        <v>1.5766666666666668E-3</v>
      </c>
      <c r="E26">
        <f>COUNTIF(tables_596101!C:C,input_596101!A26)-COUNTIF(Q:Q,A26)</f>
        <v>3</v>
      </c>
      <c r="F26" s="37">
        <f t="shared" si="8"/>
        <v>5.2555555555555558E-4</v>
      </c>
      <c r="G26">
        <f t="shared" si="4"/>
        <v>8627.52</v>
      </c>
      <c r="H26">
        <f t="shared" si="5"/>
        <v>2875.84</v>
      </c>
      <c r="I26">
        <f t="shared" si="6"/>
        <v>0.84000000000014552</v>
      </c>
      <c r="J26">
        <f t="shared" si="7"/>
        <v>1.1904761904759842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49" t="s">
        <v>90</v>
      </c>
      <c r="B27" s="48">
        <f>E$5*E27*(B$5+B$6)</f>
        <v>6.9473684210526335E-3</v>
      </c>
      <c r="C27" s="75">
        <f t="shared" si="2"/>
        <v>0</v>
      </c>
      <c r="D27" s="66">
        <f t="shared" ref="D27:D29" si="9">B27-C27</f>
        <v>6.9473684210526335E-3</v>
      </c>
      <c r="E27">
        <f>COUNTIF(tables_596101!C:C,input_596101!A27)-COUNTIF(Q:Q,A27)</f>
        <v>22</v>
      </c>
      <c r="F27" s="37">
        <f>IFERROR(B27/E27,0)</f>
        <v>3.1578947368421064E-4</v>
      </c>
      <c r="G27">
        <f t="shared" si="4"/>
        <v>38016.000000000007</v>
      </c>
      <c r="H27">
        <f t="shared" ref="H27:H29" si="10">IFERROR(ROUND(G27/E27,5),0)</f>
        <v>1728</v>
      </c>
      <c r="I27">
        <f t="shared" si="6"/>
        <v>0</v>
      </c>
      <c r="J27">
        <f t="shared" ref="J27:J29" si="11">IFERROR(1/I27,1)</f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49" t="s">
        <v>91</v>
      </c>
      <c r="B28" s="48">
        <f>E$5*E28*B$7</f>
        <v>7.7192982456140372E-4</v>
      </c>
      <c r="C28" s="75">
        <f t="shared" si="2"/>
        <v>0</v>
      </c>
      <c r="D28" s="66">
        <f t="shared" si="9"/>
        <v>7.7192982456140372E-4</v>
      </c>
      <c r="E28">
        <f>COUNTIF(tables_596101!C:C,input_596101!A28)-COUNTIF(Q:Q,A28)</f>
        <v>22</v>
      </c>
      <c r="F28" s="37">
        <f t="shared" si="8"/>
        <v>3.5087719298245625E-5</v>
      </c>
      <c r="G28">
        <f t="shared" si="4"/>
        <v>4224.0000000000009</v>
      </c>
      <c r="H28">
        <f t="shared" si="10"/>
        <v>192</v>
      </c>
      <c r="I28">
        <f t="shared" si="6"/>
        <v>0</v>
      </c>
      <c r="J28">
        <f t="shared" si="11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49" t="s">
        <v>250</v>
      </c>
      <c r="B29" s="48">
        <f>E$5*E29</f>
        <v>1.2280701754385968E-2</v>
      </c>
      <c r="C29" s="75">
        <f t="shared" si="2"/>
        <v>0</v>
      </c>
      <c r="D29" s="66">
        <f t="shared" si="9"/>
        <v>1.2280701754385968E-2</v>
      </c>
      <c r="E29">
        <f>COUNTIF(tables_596101!C:C,input_596101!A29)-COUNTIF(Q:Q,A29)</f>
        <v>35</v>
      </c>
      <c r="F29" s="37">
        <f t="shared" si="8"/>
        <v>3.5087719298245622E-4</v>
      </c>
      <c r="G29">
        <f t="shared" si="4"/>
        <v>67200.000000000015</v>
      </c>
      <c r="H29">
        <f t="shared" si="10"/>
        <v>1920</v>
      </c>
      <c r="I29">
        <f t="shared" si="6"/>
        <v>0</v>
      </c>
      <c r="J29">
        <f t="shared" si="11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49" t="s">
        <v>243</v>
      </c>
      <c r="B30" s="48">
        <v>0</v>
      </c>
      <c r="C30" s="75">
        <f t="shared" si="2"/>
        <v>0</v>
      </c>
      <c r="D30" s="66">
        <f t="shared" ref="D30:D44" si="12">B30-C30</f>
        <v>0</v>
      </c>
      <c r="E30">
        <f>COUNTIF(tables_596101!C:C,input_596101!A30)-COUNTIF(Q:Q,A30)</f>
        <v>0</v>
      </c>
      <c r="F30" s="37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49" t="s">
        <v>244</v>
      </c>
      <c r="B31" s="48">
        <v>0</v>
      </c>
      <c r="C31" s="75">
        <f t="shared" si="2"/>
        <v>0</v>
      </c>
      <c r="D31" s="66">
        <f t="shared" si="12"/>
        <v>0</v>
      </c>
      <c r="E31">
        <f>COUNTIF(tables_596101!C:C,input_596101!A31)-COUNTIF(Q:Q,A31)</f>
        <v>0</v>
      </c>
      <c r="F31" s="37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49" t="s">
        <v>229</v>
      </c>
      <c r="B32" s="79">
        <f>B$5*0.6-B34-B39</f>
        <v>0.10377600000000001</v>
      </c>
      <c r="C32" s="75">
        <f t="shared" si="2"/>
        <v>0</v>
      </c>
      <c r="D32" s="66">
        <f t="shared" si="12"/>
        <v>0.10377600000000001</v>
      </c>
      <c r="E32">
        <f>COUNTIF(tables_596101!C:C,input_596101!A32)-COUNTIF(Q:Q,A32)</f>
        <v>5</v>
      </c>
      <c r="F32" s="37">
        <f>IFERROR(B32/E32,0)</f>
        <v>2.0755200000000001E-2</v>
      </c>
      <c r="G32">
        <f t="shared" si="4"/>
        <v>567862.272</v>
      </c>
      <c r="H32">
        <f t="shared" si="13"/>
        <v>113572.4544</v>
      </c>
      <c r="I32">
        <f t="shared" ref="I32:I46" si="15">MOD(H32,1)</f>
        <v>0.45440000000235159</v>
      </c>
      <c r="J32">
        <f t="shared" si="14"/>
        <v>2.2007042253407239</v>
      </c>
      <c r="M32" s="31"/>
      <c r="N32" s="54"/>
      <c r="O32" s="31"/>
      <c r="P32" s="31"/>
      <c r="Q32" s="31"/>
      <c r="R32" s="53"/>
    </row>
    <row r="33" spans="1:18" x14ac:dyDescent="0.15">
      <c r="A33" s="49" t="s">
        <v>230</v>
      </c>
      <c r="B33" s="48">
        <f>B6*0.6-SUM(B35,B37,B40,B42,B45)</f>
        <v>2.1092800000000023E-2</v>
      </c>
      <c r="C33" s="75">
        <f t="shared" si="2"/>
        <v>0</v>
      </c>
      <c r="D33" s="66">
        <f t="shared" si="12"/>
        <v>2.1092800000000023E-2</v>
      </c>
      <c r="E33">
        <f>COUNTIF(tables_596101!C:C,input_596101!A33)-COUNTIF(Q:Q,A33)</f>
        <v>5</v>
      </c>
      <c r="F33" s="37">
        <f>IFERROR(B33/E33,0)</f>
        <v>4.2185600000000049E-3</v>
      </c>
      <c r="G33">
        <f t="shared" si="4"/>
        <v>115419.80160000012</v>
      </c>
      <c r="H33">
        <f t="shared" si="13"/>
        <v>23083.960319999998</v>
      </c>
      <c r="I33">
        <f t="shared" si="15"/>
        <v>0.96031999999831896</v>
      </c>
      <c r="J33">
        <f t="shared" si="14"/>
        <v>1.0413195601484406</v>
      </c>
      <c r="M33" s="31"/>
      <c r="N33" s="54"/>
      <c r="O33" s="31"/>
      <c r="P33" s="31"/>
      <c r="Q33" s="31"/>
      <c r="R33" s="53"/>
    </row>
    <row r="34" spans="1:18" x14ac:dyDescent="0.15">
      <c r="A34" s="49" t="s">
        <v>231</v>
      </c>
      <c r="B34" s="72">
        <f>E$8*E34*B$5</f>
        <v>0.12714239999999999</v>
      </c>
      <c r="C34" s="75">
        <f t="shared" si="2"/>
        <v>0</v>
      </c>
      <c r="D34" s="66">
        <f t="shared" si="12"/>
        <v>0.12714239999999999</v>
      </c>
      <c r="E34">
        <f>COUNTIF(tables_596101!C:C,input_596101!A34)-COUNTIF(Q:Q,A34)</f>
        <v>14</v>
      </c>
      <c r="F34" s="37">
        <f t="shared" ref="F34:F41" si="16">IFERROR(B34/E34,0)</f>
        <v>9.0815999999999987E-3</v>
      </c>
      <c r="G34">
        <f t="shared" si="4"/>
        <v>695723.21279999998</v>
      </c>
      <c r="H34">
        <f t="shared" si="13"/>
        <v>49694.515200000002</v>
      </c>
      <c r="I34">
        <f t="shared" si="15"/>
        <v>0.51520000000164146</v>
      </c>
      <c r="J34">
        <f t="shared" si="14"/>
        <v>1.9409937888136917</v>
      </c>
      <c r="M34" s="31"/>
      <c r="N34" s="54"/>
      <c r="O34" s="31"/>
      <c r="P34" s="31"/>
      <c r="Q34" s="31"/>
      <c r="R34" s="53"/>
    </row>
    <row r="35" spans="1:18" x14ac:dyDescent="0.15">
      <c r="A35" s="49" t="s">
        <v>228</v>
      </c>
      <c r="B35" s="48">
        <f>E$8*E35*B$6</f>
        <v>0.15892799999999999</v>
      </c>
      <c r="C35" s="75">
        <f t="shared" si="2"/>
        <v>0</v>
      </c>
      <c r="D35" s="66">
        <f t="shared" si="12"/>
        <v>0.15892799999999999</v>
      </c>
      <c r="E35">
        <f>COUNTIF(tables_596101!C:C,input_596101!A35)-COUNTIF(Q:Q,A35)</f>
        <v>14</v>
      </c>
      <c r="F35" s="37">
        <f t="shared" si="16"/>
        <v>1.1351999999999999E-2</v>
      </c>
      <c r="G35">
        <f t="shared" si="4"/>
        <v>869654.01599999995</v>
      </c>
      <c r="H35">
        <f t="shared" si="13"/>
        <v>62118.144</v>
      </c>
      <c r="I35">
        <f t="shared" si="15"/>
        <v>0.14400000000023283</v>
      </c>
      <c r="J35">
        <f t="shared" si="14"/>
        <v>6.9444444444332163</v>
      </c>
      <c r="M35" s="31"/>
      <c r="N35" s="54"/>
      <c r="O35" s="31"/>
      <c r="P35" s="31"/>
      <c r="Q35" s="31"/>
      <c r="R35" s="53"/>
    </row>
    <row r="36" spans="1:18" x14ac:dyDescent="0.15">
      <c r="A36" s="49" t="s">
        <v>232</v>
      </c>
      <c r="B36" s="48">
        <f>B7*0.6-SUM(B38,B41,B43,B44,C46)</f>
        <v>1.8836800000000001E-2</v>
      </c>
      <c r="C36" s="75">
        <f t="shared" si="2"/>
        <v>0</v>
      </c>
      <c r="D36" s="66">
        <f t="shared" si="12"/>
        <v>1.8836800000000001E-2</v>
      </c>
      <c r="E36">
        <f>COUNTIF(tables_596101!C:C,input_596101!A36)-COUNTIF(Q:Q,A36)</f>
        <v>14</v>
      </c>
      <c r="F36" s="37">
        <f t="shared" si="16"/>
        <v>1.3454857142857143E-3</v>
      </c>
      <c r="G36">
        <f t="shared" si="4"/>
        <v>103074.96960000001</v>
      </c>
      <c r="H36">
        <f t="shared" si="13"/>
        <v>7362.4978300000002</v>
      </c>
      <c r="I36">
        <f t="shared" si="15"/>
        <v>0.49783000000024913</v>
      </c>
      <c r="J36">
        <f t="shared" si="14"/>
        <v>2.0087178354046555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49" t="s">
        <v>233</v>
      </c>
      <c r="B37" s="67">
        <f>E$8*E37-B38</f>
        <v>9.9627199999999999E-2</v>
      </c>
      <c r="C37" s="75">
        <f t="shared" si="2"/>
        <v>0</v>
      </c>
      <c r="D37" s="66">
        <f t="shared" si="12"/>
        <v>9.9627199999999999E-2</v>
      </c>
      <c r="E37">
        <f>COUNTIF(tables_596101!C:C,input_596101!A37)-COUNTIF(Q:Q,A37)</f>
        <v>5</v>
      </c>
      <c r="F37" s="37">
        <f t="shared" si="16"/>
        <v>1.9925439999999999E-2</v>
      </c>
      <c r="G37">
        <f t="shared" si="4"/>
        <v>545160.03839999996</v>
      </c>
      <c r="H37">
        <f t="shared" si="13"/>
        <v>109032.00768</v>
      </c>
      <c r="I37">
        <f t="shared" si="15"/>
        <v>7.6799999951617792E-3</v>
      </c>
      <c r="J37">
        <f t="shared" si="14"/>
        <v>130.20833341536155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49" t="s">
        <v>234</v>
      </c>
      <c r="B38" s="61">
        <f>(E38*E8*B7)-C46/2</f>
        <v>1.3892799999999999E-2</v>
      </c>
      <c r="C38" s="75">
        <f t="shared" si="2"/>
        <v>0</v>
      </c>
      <c r="D38" s="66">
        <f t="shared" si="12"/>
        <v>1.3892799999999999E-2</v>
      </c>
      <c r="E38">
        <f>COUNTIF(tables_596101!C:C,input_596101!A38)-COUNTIF(Q:Q,A38)</f>
        <v>7</v>
      </c>
      <c r="F38" s="37">
        <f t="shared" si="16"/>
        <v>1.9846857142857143E-3</v>
      </c>
      <c r="G38">
        <f t="shared" si="4"/>
        <v>76021.401599999997</v>
      </c>
      <c r="H38">
        <f t="shared" si="13"/>
        <v>10860.20023</v>
      </c>
      <c r="I38">
        <f t="shared" si="15"/>
        <v>0.20023000000037428</v>
      </c>
      <c r="J38">
        <f t="shared" si="14"/>
        <v>4.9942566048950248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49" t="s">
        <v>235</v>
      </c>
      <c r="B39" s="48">
        <f>E$8*E39*B$5</f>
        <v>9.0816000000000004E-3</v>
      </c>
      <c r="C39" s="75">
        <f t="shared" si="2"/>
        <v>0</v>
      </c>
      <c r="D39" s="66">
        <f t="shared" si="12"/>
        <v>9.0816000000000004E-3</v>
      </c>
      <c r="E39">
        <f>COUNTIF(tables_596101!C:C,input_596101!A39)-COUNTIF(Q:Q,A39)</f>
        <v>1</v>
      </c>
      <c r="F39" s="37">
        <f t="shared" si="16"/>
        <v>9.0816000000000004E-3</v>
      </c>
      <c r="G39">
        <f t="shared" si="4"/>
        <v>49694.515200000002</v>
      </c>
      <c r="H39">
        <f t="shared" si="13"/>
        <v>49694.515200000002</v>
      </c>
      <c r="I39">
        <f t="shared" si="15"/>
        <v>0.51520000000164146</v>
      </c>
      <c r="J39">
        <f t="shared" si="14"/>
        <v>1.9409937888136917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49" t="s">
        <v>236</v>
      </c>
      <c r="B40" s="48">
        <f>E$8*B$6*E40</f>
        <v>1.1351999999999999E-2</v>
      </c>
      <c r="C40" s="75">
        <f t="shared" si="2"/>
        <v>0</v>
      </c>
      <c r="D40" s="66">
        <f t="shared" si="12"/>
        <v>1.1351999999999999E-2</v>
      </c>
      <c r="E40">
        <f>COUNTIF(tables_596101!C:C,input_596101!A40)-COUNTIF(Q:Q,A40)</f>
        <v>1</v>
      </c>
      <c r="F40" s="37">
        <f t="shared" si="16"/>
        <v>1.1351999999999999E-2</v>
      </c>
      <c r="G40">
        <f t="shared" si="4"/>
        <v>62118.143999999993</v>
      </c>
      <c r="H40">
        <f t="shared" si="13"/>
        <v>62118.144</v>
      </c>
      <c r="I40">
        <f t="shared" si="15"/>
        <v>0.14400000000023283</v>
      </c>
      <c r="J40">
        <f t="shared" si="14"/>
        <v>6.9444444444332163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49" t="s">
        <v>237</v>
      </c>
      <c r="B41" s="48">
        <f>E$8*B$7*E41</f>
        <v>2.2704000000000001E-3</v>
      </c>
      <c r="C41" s="75">
        <f t="shared" si="2"/>
        <v>0</v>
      </c>
      <c r="D41" s="66">
        <f t="shared" si="12"/>
        <v>2.2704000000000001E-3</v>
      </c>
      <c r="E41">
        <f>COUNTIF(tables_596101!C:C,input_596101!A41)-COUNTIF(Q:Q,A41)</f>
        <v>1</v>
      </c>
      <c r="F41" s="37">
        <f t="shared" si="16"/>
        <v>2.2704000000000001E-3</v>
      </c>
      <c r="G41">
        <f t="shared" si="4"/>
        <v>12423.6288</v>
      </c>
      <c r="H41">
        <f t="shared" si="13"/>
        <v>12423.6288</v>
      </c>
      <c r="I41">
        <f t="shared" si="15"/>
        <v>0.62880000000041036</v>
      </c>
      <c r="J41">
        <f t="shared" si="14"/>
        <v>1.5903307888030334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49" t="s">
        <v>238</v>
      </c>
      <c r="B42" s="48">
        <f>E$6*E42*(B$5+B$6)</f>
        <v>8.9999999999999993E-3</v>
      </c>
      <c r="C42" s="75">
        <f t="shared" si="2"/>
        <v>0</v>
      </c>
      <c r="D42" s="66">
        <f t="shared" si="12"/>
        <v>8.9999999999999993E-3</v>
      </c>
      <c r="E42">
        <f>COUNTIF(tables_596101!C:C,input_596101!A42)-COUNTIF(Q:Q,A42)</f>
        <v>6</v>
      </c>
      <c r="F42" s="37">
        <f>IFERROR(B42/E42,0)</f>
        <v>1.4999999999999998E-3</v>
      </c>
      <c r="G42">
        <f t="shared" si="4"/>
        <v>49247.999999999993</v>
      </c>
      <c r="H42">
        <f t="shared" si="13"/>
        <v>8208</v>
      </c>
      <c r="I42">
        <f t="shared" si="15"/>
        <v>0</v>
      </c>
      <c r="J42">
        <f t="shared" si="14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49" t="s">
        <v>239</v>
      </c>
      <c r="B43" s="48">
        <f>E$6*E43*B$7</f>
        <v>9.999999999999998E-4</v>
      </c>
      <c r="C43" s="75">
        <f t="shared" si="2"/>
        <v>0</v>
      </c>
      <c r="D43" s="66">
        <f t="shared" si="12"/>
        <v>9.999999999999998E-4</v>
      </c>
      <c r="E43">
        <f>COUNTIF(tables_596101!C:C,input_596101!A43)-COUNTIF(Q:Q,A43)</f>
        <v>6</v>
      </c>
      <c r="F43" s="37">
        <f t="shared" ref="F43:F46" si="17">IFERROR(B43/E43,0)</f>
        <v>1.6666666666666663E-4</v>
      </c>
      <c r="G43">
        <f t="shared" si="4"/>
        <v>5471.9999999999991</v>
      </c>
      <c r="H43">
        <f t="shared" si="13"/>
        <v>912</v>
      </c>
      <c r="I43">
        <f t="shared" si="15"/>
        <v>0</v>
      </c>
      <c r="J43">
        <f t="shared" si="14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49" t="s">
        <v>240</v>
      </c>
      <c r="B44" s="48">
        <f>E$6*E44</f>
        <v>1.9999999999999997E-2</v>
      </c>
      <c r="C44" s="75">
        <f t="shared" si="2"/>
        <v>0</v>
      </c>
      <c r="D44" s="66">
        <f t="shared" si="12"/>
        <v>1.9999999999999997E-2</v>
      </c>
      <c r="E44">
        <f>COUNTIF(tables_596101!C:C,input_596101!A44)-COUNTIF(Q:Q,A44)</f>
        <v>12</v>
      </c>
      <c r="F44" s="37">
        <f t="shared" si="17"/>
        <v>1.6666666666666663E-3</v>
      </c>
      <c r="G44">
        <f t="shared" si="4"/>
        <v>109439.99999999999</v>
      </c>
      <c r="H44">
        <f t="shared" si="13"/>
        <v>9120</v>
      </c>
      <c r="I44">
        <f t="shared" si="15"/>
        <v>0</v>
      </c>
      <c r="J44">
        <f t="shared" si="14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49" t="s">
        <v>241</v>
      </c>
      <c r="B45" s="48">
        <v>0</v>
      </c>
      <c r="C45" s="75">
        <f t="shared" si="2"/>
        <v>0</v>
      </c>
      <c r="D45" s="66">
        <f t="shared" ref="D45:D46" si="18">B45-C45</f>
        <v>0</v>
      </c>
      <c r="E45">
        <f>COUNTIF(tables_596101!C:C,input_596101!A45)-COUNTIF(Q:Q,A45)</f>
        <v>0</v>
      </c>
      <c r="F45" s="37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4.0000000000000001E-3</v>
      </c>
      <c r="C46" s="75">
        <f>SUMIF(Q:Q,A46,N:N)</f>
        <v>4.0000000000000001E-3</v>
      </c>
      <c r="D46" s="66">
        <f t="shared" si="18"/>
        <v>0</v>
      </c>
      <c r="E46">
        <f>COUNTIF(tables_596101!C:C,input_596101!A46)-COUNTIF(Q:Q,A46)</f>
        <v>0</v>
      </c>
      <c r="F46" s="37">
        <f t="shared" si="17"/>
        <v>0</v>
      </c>
      <c r="G46">
        <f t="shared" si="4"/>
        <v>21888</v>
      </c>
      <c r="H46">
        <f t="shared" si="19"/>
        <v>0</v>
      </c>
      <c r="I46">
        <f t="shared" si="15"/>
        <v>0</v>
      </c>
      <c r="J46">
        <f t="shared" si="20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1.0000000000000002</v>
      </c>
      <c r="C47" s="35">
        <f>SUM(C17:C46)</f>
        <v>4.0000000000000001E-3</v>
      </c>
      <c r="D47" s="36">
        <f t="shared" ref="D47" si="21">B47-C47</f>
        <v>0.99600000000000022</v>
      </c>
      <c r="L47" s="49"/>
      <c r="M47" s="49"/>
      <c r="N47" s="49"/>
      <c r="O47" s="49"/>
      <c r="P47" s="49"/>
      <c r="Q47" s="49"/>
      <c r="R47" s="51"/>
    </row>
    <row r="48" spans="1:18" x14ac:dyDescent="0.15">
      <c r="E48" s="83"/>
      <c r="F48" s="91"/>
      <c r="G48" s="93"/>
    </row>
    <row r="49" spans="1:8" x14ac:dyDescent="0.15">
      <c r="C49" s="78"/>
      <c r="E49" s="83"/>
      <c r="F49" s="83"/>
      <c r="G49" s="94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89"/>
    </row>
    <row r="51" spans="1:8" x14ac:dyDescent="0.15">
      <c r="A51" s="26">
        <f>LCM(F5-I5,F7-I6)*1000*2*2</f>
        <v>5472000</v>
      </c>
      <c r="C51" s="78"/>
      <c r="D51" s="80"/>
      <c r="E51" s="83"/>
      <c r="F51" s="83"/>
      <c r="G51" s="88"/>
      <c r="H51" s="89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194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SUMIF(tables_596101!C:C,input_596101!A55,tables_596101!O:O)</f>
        <v>437127.67999999964</v>
      </c>
      <c r="C55" s="46">
        <f t="shared" ref="C55:C61" ca="1" si="22">B55/B$62</f>
        <v>0.38511443279786617</v>
      </c>
      <c r="E55">
        <v>3</v>
      </c>
      <c r="F55">
        <f ca="1">SUMIF(tables_596101!J:J,input_596101!E55,tables_596101!O:O)</f>
        <v>2188800.0000500036</v>
      </c>
      <c r="G55" s="81">
        <f ca="1">F55/A51</f>
        <v>0.4000000000091381</v>
      </c>
      <c r="H55" s="47">
        <f>B17+B19+B24+B32+B34+B39</f>
        <v>0.4</v>
      </c>
    </row>
    <row r="56" spans="1:8" x14ac:dyDescent="0.15">
      <c r="A56" s="27" t="s">
        <v>88</v>
      </c>
      <c r="B56">
        <f ca="1">SUMIF(tables_596101!C:C,input_596101!A56,tables_596101!O:O)</f>
        <v>546409.60000000021</v>
      </c>
      <c r="C56" s="46">
        <f t="shared" ca="1" si="22"/>
        <v>0.48139304099733332</v>
      </c>
      <c r="E56">
        <v>4</v>
      </c>
      <c r="F56">
        <f ca="1">SUMIF(tables_596101!J:J,input_596101!E56,tables_596101!O:O)</f>
        <v>2735999.999950001</v>
      </c>
      <c r="G56" s="81">
        <f ca="1">F56/A51</f>
        <v>0.49999999999086275</v>
      </c>
      <c r="H56" s="47">
        <f>B18+B20+B22+B25+B27+B30+B33+B35+B37+B40+B42+B45</f>
        <v>0.5</v>
      </c>
    </row>
    <row r="57" spans="1:8" x14ac:dyDescent="0.15">
      <c r="A57" s="27" t="s">
        <v>93</v>
      </c>
      <c r="B57">
        <f ca="1">SUMIF(tables_596101!C:C,input_596101!A57,tables_596101!O:O)</f>
        <v>38016</v>
      </c>
      <c r="C57" s="46">
        <f t="shared" ca="1" si="22"/>
        <v>3.3492526204800602E-2</v>
      </c>
      <c r="E57">
        <v>5</v>
      </c>
      <c r="F57">
        <f ca="1">SUMIF(tables_596101!J:J,input_596101!E57,tables_596101!O:O)</f>
        <v>547200.00002999976</v>
      </c>
      <c r="G57" s="81">
        <f ca="1">F57/A51</f>
        <v>0.10000000000548241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SUMIF(tables_596101!C:C,input_596101!A58,tables_596101!O:O)</f>
        <v>0</v>
      </c>
      <c r="C58" s="46">
        <f t="shared" ca="1" si="22"/>
        <v>0</v>
      </c>
      <c r="F58" s="47"/>
    </row>
    <row r="59" spans="1:8" x14ac:dyDescent="0.15">
      <c r="A59" s="27" t="s">
        <v>89</v>
      </c>
      <c r="B59">
        <f ca="1">SUMIF(tables_596101!C:C,input_596101!A59,tables_596101!O:O)</f>
        <v>109281.91999999991</v>
      </c>
      <c r="C59" s="46">
        <f t="shared" ca="1" si="22"/>
        <v>9.6278608199466542E-2</v>
      </c>
      <c r="E59" t="s">
        <v>85</v>
      </c>
      <c r="F59" s="47"/>
    </row>
    <row r="60" spans="1:8" x14ac:dyDescent="0.15">
      <c r="A60" s="27" t="s">
        <v>95</v>
      </c>
      <c r="B60">
        <f ca="1">SUMIF(tables_596101!C:C,input_596101!A60,tables_596101!O:O)</f>
        <v>4224</v>
      </c>
      <c r="C60" s="46">
        <f t="shared" ca="1" si="22"/>
        <v>3.7213918005334005E-3</v>
      </c>
      <c r="E60" t="s">
        <v>190</v>
      </c>
      <c r="F60" s="103">
        <f ca="1">SUMIF(tables_596101!I:I,input_596101!E60,tables_596101!P:P)</f>
        <v>0.21035142288992897</v>
      </c>
    </row>
    <row r="61" spans="1:8" x14ac:dyDescent="0.15">
      <c r="A61" s="27" t="s">
        <v>96</v>
      </c>
      <c r="B61">
        <f>SUMIF(tables_596101!C:C,input_596101!A61,tables_596101!O:O)</f>
        <v>0</v>
      </c>
      <c r="C61" s="46">
        <f t="shared" ca="1" si="22"/>
        <v>0</v>
      </c>
      <c r="E61" t="s">
        <v>191</v>
      </c>
      <c r="F61" s="103">
        <f ca="1">SUMIF(tables_596101!I:I,input_596101!E61,tables_596101!P:P)</f>
        <v>0.1886536761904864</v>
      </c>
    </row>
    <row r="62" spans="1:8" x14ac:dyDescent="0.15">
      <c r="A62" s="33" t="s">
        <v>42</v>
      </c>
      <c r="B62">
        <f ca="1">SUM(B55:B61)</f>
        <v>1135059.1999999997</v>
      </c>
      <c r="C62" s="47">
        <f ca="1">SUM(C55:C61)</f>
        <v>1</v>
      </c>
      <c r="E62" t="s">
        <v>192</v>
      </c>
      <c r="F62" s="103">
        <f ca="1">SUMIF(tables_596101!I:I,input_596101!E62,tables_596101!P:P)</f>
        <v>0.5469949009198819</v>
      </c>
    </row>
    <row r="63" spans="1:8" x14ac:dyDescent="0.15">
      <c r="E63" t="s">
        <v>193</v>
      </c>
      <c r="F63" s="103">
        <f ca="1">SUMIF(tables_596101!I:I,input_596101!E63,tables_596101!P:P)</f>
        <v>4.2543859648889633E-2</v>
      </c>
      <c r="G63" s="84"/>
    </row>
    <row r="64" spans="1:8" x14ac:dyDescent="0.15">
      <c r="E64" t="s">
        <v>249</v>
      </c>
      <c r="F64" s="103">
        <f ca="1">SUMIF(tables_596101!I:I,input_596101!E64,tables_596101!P:P)</f>
        <v>7.4561403508363218E-3</v>
      </c>
    </row>
    <row r="65" spans="5:6" x14ac:dyDescent="0.15">
      <c r="E65" t="s">
        <v>248</v>
      </c>
      <c r="F65" s="103">
        <f ca="1">SUMIF(tables_596101!I:I,input_596101!E65,tables_596101!P:P)</f>
        <v>3.999999999978074E-3</v>
      </c>
    </row>
  </sheetData>
  <phoneticPr fontId="13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61"/>
  <sheetViews>
    <sheetView showGridLines="0" workbookViewId="0">
      <pane ySplit="1" topLeftCell="A341" activePane="bottomLeft" state="frozen"/>
      <selection activeCell="H10" sqref="H10"/>
      <selection pane="bottomLeft" activeCell="G1" sqref="G1:G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20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27</v>
      </c>
      <c r="P1" s="3" t="s">
        <v>59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input_596101!A$2</f>
        <v>596101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IFERROR(VLOOKUP(B2,input_596101!L:R,7,FALSE),VLOOKUP(tables_596101!C2,input_596101!A:H,8,FALSE))</f>
        <v>26925.482670000001</v>
      </c>
      <c r="P2" s="40">
        <f t="shared" ref="P2:P65" ca="1" si="1">O2/SUM(O:O)</f>
        <v>4.9205925931747824E-3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input_596101!A$2</f>
        <v>596101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IFERROR(VLOOKUP(B3,input_596101!L:R,7,FALSE),VLOOKUP(tables_596101!C3,input_596101!A:H,8,FALSE))</f>
        <v>2416.5973300000001</v>
      </c>
      <c r="P3" s="40">
        <f t="shared" ca="1" si="1"/>
        <v>4.4162962901804704E-4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input_596101!A$2</f>
        <v>596101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IFERROR(VLOOKUP(B4,input_596101!L:R,7,FALSE),VLOOKUP(tables_596101!C4,input_596101!A:H,8,FALSE))</f>
        <v>26925.482670000001</v>
      </c>
      <c r="P4" s="40">
        <f t="shared" ca="1" si="1"/>
        <v>4.9205925931747824E-3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input_596101!A$2</f>
        <v>596101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IFERROR(VLOOKUP(B5,input_596101!L:R,7,FALSE),VLOOKUP(tables_596101!C5,input_596101!A:H,8,FALSE))</f>
        <v>2416.5973300000001</v>
      </c>
      <c r="P5" s="40">
        <f t="shared" ca="1" si="1"/>
        <v>4.4162962901804704E-4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input_596101!A$2</f>
        <v>596101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IFERROR(VLOOKUP(B6,input_596101!L:R,7,FALSE),VLOOKUP(tables_596101!C6,input_596101!A:H,8,FALSE))</f>
        <v>113572.4544</v>
      </c>
      <c r="P6" s="40">
        <f t="shared" ca="1" si="1"/>
        <v>2.0755199999886228E-2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input_596101!A$2</f>
        <v>596101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IFERROR(VLOOKUP(B7,input_596101!L:R,7,FALSE),VLOOKUP(tables_596101!C7,input_596101!A:H,8,FALSE))</f>
        <v>23083.960319999998</v>
      </c>
      <c r="P7" s="40">
        <f t="shared" ca="1" si="1"/>
        <v>4.2185599999768758E-3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input_596101!A$2</f>
        <v>596101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IFERROR(VLOOKUP(B8,input_596101!L:R,7,FALSE),VLOOKUP(tables_596101!C8,input_596101!A:H,8,FALSE))</f>
        <v>26925.482670000001</v>
      </c>
      <c r="P8" s="40">
        <f t="shared" ca="1" si="1"/>
        <v>4.9205925931747824E-3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input_596101!A$2</f>
        <v>596101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IFERROR(VLOOKUP(B9,input_596101!L:R,7,FALSE),VLOOKUP(tables_596101!C9,input_596101!A:H,8,FALSE))</f>
        <v>2416.5973300000001</v>
      </c>
      <c r="P9" s="40">
        <f t="shared" ca="1" si="1"/>
        <v>4.4162962901804704E-4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input_596101!A$2</f>
        <v>596101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IFERROR(VLOOKUP(B10,input_596101!L:R,7,FALSE),VLOOKUP(tables_596101!C10,input_596101!A:H,8,FALSE))</f>
        <v>26925.482670000001</v>
      </c>
      <c r="P10" s="40">
        <f t="shared" ca="1" si="1"/>
        <v>4.9205925931747824E-3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input_596101!A$2</f>
        <v>596101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IFERROR(VLOOKUP(B11,input_596101!L:R,7,FALSE),VLOOKUP(tables_596101!C11,input_596101!A:H,8,FALSE))</f>
        <v>2416.5973300000001</v>
      </c>
      <c r="P11" s="40">
        <f t="shared" ca="1" si="1"/>
        <v>4.4162962901804704E-4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input_596101!A$2</f>
        <v>596101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IFERROR(VLOOKUP(B12,input_596101!L:R,7,FALSE),VLOOKUP(tables_596101!C12,input_596101!A:H,8,FALSE))</f>
        <v>26925.482670000001</v>
      </c>
      <c r="P12" s="40">
        <f t="shared" ca="1" si="1"/>
        <v>4.9205925931747824E-3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input_596101!A$2</f>
        <v>596101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IFERROR(VLOOKUP(B13,input_596101!L:R,7,FALSE),VLOOKUP(tables_596101!C13,input_596101!A:H,8,FALSE))</f>
        <v>2416.5973300000001</v>
      </c>
      <c r="P13" s="40">
        <f t="shared" ca="1" si="1"/>
        <v>4.4162962901804704E-4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input_596101!A$2</f>
        <v>596101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IFERROR(VLOOKUP(B14,input_596101!L:R,7,FALSE),VLOOKUP(tables_596101!C14,input_596101!A:H,8,FALSE))</f>
        <v>113572.4544</v>
      </c>
      <c r="P14" s="40">
        <f t="shared" ca="1" si="1"/>
        <v>2.0755199999886228E-2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input_596101!A$2</f>
        <v>596101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IFERROR(VLOOKUP(B15,input_596101!L:R,7,FALSE),VLOOKUP(tables_596101!C15,input_596101!A:H,8,FALSE))</f>
        <v>23083.960319999998</v>
      </c>
      <c r="P15" s="40">
        <f t="shared" ca="1" si="1"/>
        <v>4.2185599999768758E-3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input_596101!A$2</f>
        <v>596101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IFERROR(VLOOKUP(B16,input_596101!L:R,7,FALSE),VLOOKUP(tables_596101!C16,input_596101!A:H,8,FALSE))</f>
        <v>26925.482670000001</v>
      </c>
      <c r="P16" s="40">
        <f t="shared" ca="1" si="1"/>
        <v>4.9205925931747824E-3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input_596101!A$2</f>
        <v>596101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IFERROR(VLOOKUP(B17,input_596101!L:R,7,FALSE),VLOOKUP(tables_596101!C17,input_596101!A:H,8,FALSE))</f>
        <v>2416.5973300000001</v>
      </c>
      <c r="P17" s="40">
        <f t="shared" ca="1" si="1"/>
        <v>4.4162962901804704E-4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input_596101!A$2</f>
        <v>596101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IFERROR(VLOOKUP(B18,input_596101!L:R,7,FALSE),VLOOKUP(tables_596101!C18,input_596101!A:H,8,FALSE))</f>
        <v>26925.482670000001</v>
      </c>
      <c r="P18" s="40">
        <f t="shared" ca="1" si="1"/>
        <v>4.9205925931747824E-3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input_596101!A$2</f>
        <v>596101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IFERROR(VLOOKUP(B19,input_596101!L:R,7,FALSE),VLOOKUP(tables_596101!C19,input_596101!A:H,8,FALSE))</f>
        <v>2416.5973300000001</v>
      </c>
      <c r="P19" s="40">
        <f t="shared" ca="1" si="1"/>
        <v>4.4162962901804704E-4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input_596101!A$2</f>
        <v>596101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IFERROR(VLOOKUP(B20,input_596101!L:R,7,FALSE),VLOOKUP(tables_596101!C20,input_596101!A:H,8,FALSE))</f>
        <v>26925.482670000001</v>
      </c>
      <c r="P20" s="40">
        <f t="shared" ca="1" si="1"/>
        <v>4.9205925931747824E-3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input_596101!A$2</f>
        <v>596101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IFERROR(VLOOKUP(B21,input_596101!L:R,7,FALSE),VLOOKUP(tables_596101!C21,input_596101!A:H,8,FALSE))</f>
        <v>2416.5973300000001</v>
      </c>
      <c r="P21" s="40">
        <f t="shared" ca="1" si="1"/>
        <v>4.4162962901804704E-4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input_596101!A$2</f>
        <v>596101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IFERROR(VLOOKUP(B22,input_596101!L:R,7,FALSE),VLOOKUP(tables_596101!C22,input_596101!A:H,8,FALSE))</f>
        <v>113572.4544</v>
      </c>
      <c r="P22" s="40">
        <f t="shared" ca="1" si="1"/>
        <v>2.0755199999886228E-2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input_596101!A$2</f>
        <v>596101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IFERROR(VLOOKUP(B23,input_596101!L:R,7,FALSE),VLOOKUP(tables_596101!C23,input_596101!A:H,8,FALSE))</f>
        <v>23083.960319999998</v>
      </c>
      <c r="P23" s="40">
        <f t="shared" ca="1" si="1"/>
        <v>4.2185599999768758E-3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input_596101!A$2</f>
        <v>596101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IFERROR(VLOOKUP(B24,input_596101!L:R,7,FALSE),VLOOKUP(tables_596101!C24,input_596101!A:H,8,FALSE))</f>
        <v>26925.482670000001</v>
      </c>
      <c r="P24" s="40">
        <f t="shared" ca="1" si="1"/>
        <v>4.9205925931747824E-3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input_596101!A$2</f>
        <v>596101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IFERROR(VLOOKUP(B25,input_596101!L:R,7,FALSE),VLOOKUP(tables_596101!C25,input_596101!A:H,8,FALSE))</f>
        <v>2416.5973300000001</v>
      </c>
      <c r="P25" s="40">
        <f t="shared" ca="1" si="1"/>
        <v>4.4162962901804704E-4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input_596101!A$2</f>
        <v>596101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IFERROR(VLOOKUP(B26,input_596101!L:R,7,FALSE),VLOOKUP(tables_596101!C26,input_596101!A:H,8,FALSE))</f>
        <v>26925.482670000001</v>
      </c>
      <c r="P26" s="40">
        <f t="shared" ca="1" si="1"/>
        <v>4.9205925931747824E-3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input_596101!A$2</f>
        <v>596101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IFERROR(VLOOKUP(B27,input_596101!L:R,7,FALSE),VLOOKUP(tables_596101!C27,input_596101!A:H,8,FALSE))</f>
        <v>2416.5973300000001</v>
      </c>
      <c r="P27" s="40">
        <f t="shared" ca="1" si="1"/>
        <v>4.4162962901804704E-4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input_596101!A$2</f>
        <v>596101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IFERROR(VLOOKUP(B28,input_596101!L:R,7,FALSE),VLOOKUP(tables_596101!C28,input_596101!A:H,8,FALSE))</f>
        <v>26925.482670000001</v>
      </c>
      <c r="P28" s="40">
        <f t="shared" ca="1" si="1"/>
        <v>4.9205925931747824E-3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input_596101!A$2</f>
        <v>596101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IFERROR(VLOOKUP(B29,input_596101!L:R,7,FALSE),VLOOKUP(tables_596101!C29,input_596101!A:H,8,FALSE))</f>
        <v>2416.5973300000001</v>
      </c>
      <c r="P29" s="40">
        <f t="shared" ca="1" si="1"/>
        <v>4.4162962901804704E-4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input_596101!A$2</f>
        <v>596101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IFERROR(VLOOKUP(B30,input_596101!L:R,7,FALSE),VLOOKUP(tables_596101!C30,input_596101!A:H,8,FALSE))</f>
        <v>113572.4544</v>
      </c>
      <c r="P30" s="40">
        <f t="shared" ca="1" si="1"/>
        <v>2.0755199999886228E-2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input_596101!A$2</f>
        <v>596101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IFERROR(VLOOKUP(B31,input_596101!L:R,7,FALSE),VLOOKUP(tables_596101!C31,input_596101!A:H,8,FALSE))</f>
        <v>23083.960319999998</v>
      </c>
      <c r="P31" s="40">
        <f t="shared" ca="1" si="1"/>
        <v>4.2185599999768758E-3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input_596101!A$2</f>
        <v>596101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IFERROR(VLOOKUP(B32,input_596101!L:R,7,FALSE),VLOOKUP(tables_596101!C32,input_596101!A:H,8,FALSE))</f>
        <v>26925.482670000001</v>
      </c>
      <c r="P32" s="40">
        <f t="shared" ca="1" si="1"/>
        <v>4.9205925931747824E-3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input_596101!A$2</f>
        <v>596101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IFERROR(VLOOKUP(B33,input_596101!L:R,7,FALSE),VLOOKUP(tables_596101!C33,input_596101!A:H,8,FALSE))</f>
        <v>2416.5973300000001</v>
      </c>
      <c r="P33" s="40">
        <f t="shared" ca="1" si="1"/>
        <v>4.4162962901804704E-4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input_596101!A$2</f>
        <v>596101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IFERROR(VLOOKUP(B34,input_596101!L:R,7,FALSE),VLOOKUP(tables_596101!C34,input_596101!A:H,8,FALSE))</f>
        <v>26925.482670000001</v>
      </c>
      <c r="P34" s="40">
        <f t="shared" ca="1" si="1"/>
        <v>4.9205925931747824E-3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input_596101!A$2</f>
        <v>596101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IFERROR(VLOOKUP(B35,input_596101!L:R,7,FALSE),VLOOKUP(tables_596101!C35,input_596101!A:H,8,FALSE))</f>
        <v>2416.5973300000001</v>
      </c>
      <c r="P35" s="40">
        <f t="shared" ca="1" si="1"/>
        <v>4.4162962901804704E-4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input_596101!A$2</f>
        <v>596101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IFERROR(VLOOKUP(B36,input_596101!L:R,7,FALSE),VLOOKUP(tables_596101!C36,input_596101!A:H,8,FALSE))</f>
        <v>26925.482670000001</v>
      </c>
      <c r="P36" s="40">
        <f t="shared" ca="1" si="1"/>
        <v>4.9205925931747824E-3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input_596101!A$2</f>
        <v>596101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IFERROR(VLOOKUP(B37,input_596101!L:R,7,FALSE),VLOOKUP(tables_596101!C37,input_596101!A:H,8,FALSE))</f>
        <v>2416.5973300000001</v>
      </c>
      <c r="P37" s="40">
        <f t="shared" ca="1" si="1"/>
        <v>4.4162962901804704E-4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input_596101!A$2</f>
        <v>596101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IFERROR(VLOOKUP(B38,input_596101!L:R,7,FALSE),VLOOKUP(tables_596101!C38,input_596101!A:H,8,FALSE))</f>
        <v>113572.4544</v>
      </c>
      <c r="P38" s="40">
        <f t="shared" ca="1" si="1"/>
        <v>2.0755199999886228E-2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input_596101!A$2</f>
        <v>596101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IFERROR(VLOOKUP(B39,input_596101!L:R,7,FALSE),VLOOKUP(tables_596101!C39,input_596101!A:H,8,FALSE))</f>
        <v>23083.960319999998</v>
      </c>
      <c r="P39" s="40">
        <f t="shared" ca="1" si="1"/>
        <v>4.2185599999768758E-3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input_596101!A$2</f>
        <v>596101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IFERROR(VLOOKUP(B40,input_596101!L:R,7,FALSE),VLOOKUP(tables_596101!C40,input_596101!A:H,8,FALSE))</f>
        <v>26925.482670000001</v>
      </c>
      <c r="P40" s="40">
        <f t="shared" ca="1" si="1"/>
        <v>4.9205925931747824E-3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input_596101!A$2</f>
        <v>596101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IFERROR(VLOOKUP(B41,input_596101!L:R,7,FALSE),VLOOKUP(tables_596101!C41,input_596101!A:H,8,FALSE))</f>
        <v>2416.5973300000001</v>
      </c>
      <c r="P41" s="40">
        <f t="shared" ca="1" si="1"/>
        <v>4.4162962901804704E-4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input_596101!A$2</f>
        <v>596101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IFERROR(VLOOKUP(B42,input_596101!L:R,7,FALSE),VLOOKUP(tables_596101!C42,input_596101!A:H,8,FALSE))</f>
        <v>11503.36</v>
      </c>
      <c r="P42" s="40">
        <f t="shared" ca="1" si="1"/>
        <v>2.102222222210699E-3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input_596101!A$2</f>
        <v>596101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IFERROR(VLOOKUP(B43,input_596101!L:R,7,FALSE),VLOOKUP(tables_596101!C43,input_596101!A:H,8,FALSE))</f>
        <v>14379.2</v>
      </c>
      <c r="P43" s="40">
        <f t="shared" ca="1" si="1"/>
        <v>2.6277777777633736E-3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input_596101!A$2</f>
        <v>596101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IFERROR(VLOOKUP(B44,input_596101!L:R,7,FALSE),VLOOKUP(tables_596101!C44,input_596101!A:H,8,FALSE))</f>
        <v>2875.84</v>
      </c>
      <c r="P44" s="40">
        <f t="shared" ca="1" si="1"/>
        <v>5.2555555555267475E-4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input_596101!A$2</f>
        <v>596101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IFERROR(VLOOKUP(B45,input_596101!L:R,7,FALSE),VLOOKUP(tables_596101!C45,input_596101!A:H,8,FALSE))</f>
        <v>11503.36</v>
      </c>
      <c r="P45" s="40">
        <f t="shared" ca="1" si="1"/>
        <v>2.102222222210699E-3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input_596101!A$2</f>
        <v>596101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IFERROR(VLOOKUP(B46,input_596101!L:R,7,FALSE),VLOOKUP(tables_596101!C46,input_596101!A:H,8,FALSE))</f>
        <v>14379.2</v>
      </c>
      <c r="P46" s="40">
        <f t="shared" ca="1" si="1"/>
        <v>2.6277777777633736E-3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input_596101!A$2</f>
        <v>596101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IFERROR(VLOOKUP(B47,input_596101!L:R,7,FALSE),VLOOKUP(tables_596101!C47,input_596101!A:H,8,FALSE))</f>
        <v>2875.84</v>
      </c>
      <c r="P47" s="40">
        <f t="shared" ca="1" si="1"/>
        <v>5.2555555555267475E-4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input_596101!A$2</f>
        <v>596101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IFERROR(VLOOKUP(B48,input_596101!L:R,7,FALSE),VLOOKUP(tables_596101!C48,input_596101!A:H,8,FALSE))</f>
        <v>49694.515200000002</v>
      </c>
      <c r="P48" s="40">
        <f t="shared" ca="1" si="1"/>
        <v>9.0815999999502191E-3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input_596101!A$2</f>
        <v>596101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IFERROR(VLOOKUP(B49,input_596101!L:R,7,FALSE),VLOOKUP(tables_596101!C49,input_596101!A:H,8,FALSE))</f>
        <v>62118.144</v>
      </c>
      <c r="P49" s="40">
        <f t="shared" ca="1" si="1"/>
        <v>1.1351999999937773E-2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input_596101!A$2</f>
        <v>596101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IFERROR(VLOOKUP(B50,input_596101!L:R,7,FALSE),VLOOKUP(tables_596101!C50,input_596101!A:H,8,FALSE))</f>
        <v>12423.6288</v>
      </c>
      <c r="P50" s="40">
        <f t="shared" ca="1" si="1"/>
        <v>2.2703999999875548E-3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input_596101!A$2</f>
        <v>596101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IFERROR(VLOOKUP(B51,input_596101!L:R,7,FALSE),VLOOKUP(tables_596101!C51,input_596101!A:H,8,FALSE))</f>
        <v>11503.36</v>
      </c>
      <c r="P51" s="40">
        <f t="shared" ca="1" si="1"/>
        <v>2.102222222210699E-3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input_596101!A$2</f>
        <v>596101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IFERROR(VLOOKUP(B52,input_596101!L:R,7,FALSE),VLOOKUP(tables_596101!C52,input_596101!A:H,8,FALSE))</f>
        <v>14379.2</v>
      </c>
      <c r="P52" s="40">
        <f t="shared" ca="1" si="1"/>
        <v>2.6277777777633736E-3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input_596101!A$2</f>
        <v>596101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IFERROR(VLOOKUP(B53,input_596101!L:R,7,FALSE),VLOOKUP(tables_596101!C53,input_596101!A:H,8,FALSE))</f>
        <v>2875.84</v>
      </c>
      <c r="P53" s="40">
        <f t="shared" ca="1" si="1"/>
        <v>5.2555555555267475E-4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input_596101!A$2</f>
        <v>596101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IFERROR(VLOOKUP(B54,input_596101!L:R,7,FALSE),VLOOKUP(tables_596101!C54,input_596101!A:H,8,FALSE))</f>
        <v>11503.36</v>
      </c>
      <c r="P54" s="40">
        <f t="shared" ca="1" si="1"/>
        <v>2.102222222210699E-3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input_596101!A$2</f>
        <v>596101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IFERROR(VLOOKUP(B55,input_596101!L:R,7,FALSE),VLOOKUP(tables_596101!C55,input_596101!A:H,8,FALSE))</f>
        <v>14379.2</v>
      </c>
      <c r="P55" s="40">
        <f t="shared" ca="1" si="1"/>
        <v>2.6277777777633736E-3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input_596101!A$2</f>
        <v>596101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IFERROR(VLOOKUP(B56,input_596101!L:R,7,FALSE),VLOOKUP(tables_596101!C56,input_596101!A:H,8,FALSE))</f>
        <v>2875.84</v>
      </c>
      <c r="P56" s="40">
        <f t="shared" ca="1" si="1"/>
        <v>5.2555555555267475E-4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input_596101!A$2</f>
        <v>596101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IFERROR(VLOOKUP(B57,input_596101!L:R,7,FALSE),VLOOKUP(tables_596101!C57,input_596101!A:H,8,FALSE))</f>
        <v>11503.36</v>
      </c>
      <c r="P57" s="40">
        <f t="shared" ca="1" si="1"/>
        <v>2.102222222210699E-3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input_596101!A$2</f>
        <v>596101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IFERROR(VLOOKUP(B58,input_596101!L:R,7,FALSE),VLOOKUP(tables_596101!C58,input_596101!A:H,8,FALSE))</f>
        <v>14379.2</v>
      </c>
      <c r="P58" s="40">
        <f t="shared" ca="1" si="1"/>
        <v>2.6277777777633736E-3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input_596101!A$2</f>
        <v>596101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IFERROR(VLOOKUP(B59,input_596101!L:R,7,FALSE),VLOOKUP(tables_596101!C59,input_596101!A:H,8,FALSE))</f>
        <v>2875.84</v>
      </c>
      <c r="P59" s="40">
        <f t="shared" ca="1" si="1"/>
        <v>5.2555555555267475E-4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input_596101!A$2</f>
        <v>596101</v>
      </c>
      <c r="B60" s="6">
        <v>184</v>
      </c>
      <c r="C60" s="7" t="str">
        <f t="shared" si="0"/>
        <v>Premium3color</v>
      </c>
      <c r="D60" s="7" t="str">
        <f>IF(OR(I60="PremiumSS",I60="PremiumSSw"),"PremiumSS",IF(I60="PremiumSSS",I60,IF(I60="PremiumW",IF(J60=5,"premium",I60),"Premium")))</f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IFERROR(VLOOKUP(B60,input_596101!L:R,7,FALSE),VLOOKUP(tables_596101!C60,input_596101!A:H,8,FALSE))</f>
        <v>49694.515200000002</v>
      </c>
      <c r="P60" s="40">
        <f t="shared" ca="1" si="1"/>
        <v>9.0815999999502191E-3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input_596101!A$2</f>
        <v>596101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IFERROR(VLOOKUP(B61,input_596101!L:R,7,FALSE),VLOOKUP(tables_596101!C61,input_596101!A:H,8,FALSE))</f>
        <v>62118.144</v>
      </c>
      <c r="P61" s="40">
        <f t="shared" ca="1" si="1"/>
        <v>1.1351999999937773E-2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input_596101!A$2</f>
        <v>596101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IFERROR(VLOOKUP(B62,input_596101!L:R,7,FALSE),VLOOKUP(tables_596101!C62,input_596101!A:H,8,FALSE))</f>
        <v>7362.4978300000002</v>
      </c>
      <c r="P62" s="40">
        <f t="shared" ca="1" si="1"/>
        <v>1.3454857145394083E-3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input_596101!A$2</f>
        <v>596101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IFERROR(VLOOKUP(B63,input_596101!L:R,7,FALSE),VLOOKUP(tables_596101!C63,input_596101!A:H,8,FALSE))</f>
        <v>11503.36</v>
      </c>
      <c r="P63" s="40">
        <f t="shared" ca="1" si="1"/>
        <v>2.102222222210699E-3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input_596101!A$2</f>
        <v>596101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IFERROR(VLOOKUP(B64,input_596101!L:R,7,FALSE),VLOOKUP(tables_596101!C64,input_596101!A:H,8,FALSE))</f>
        <v>14379.2</v>
      </c>
      <c r="P64" s="40">
        <f t="shared" ca="1" si="1"/>
        <v>2.6277777777633736E-3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input_596101!A$2</f>
        <v>596101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IFERROR(VLOOKUP(B65,input_596101!L:R,7,FALSE),VLOOKUP(tables_596101!C65,input_596101!A:H,8,FALSE))</f>
        <v>2875.84</v>
      </c>
      <c r="P65" s="40">
        <f t="shared" ca="1" si="1"/>
        <v>5.2555555555267475E-4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input_596101!A$2</f>
        <v>596101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IFERROR(VLOOKUP(B66,input_596101!L:R,7,FALSE),VLOOKUP(tables_596101!C66,input_596101!A:H,8,FALSE))</f>
        <v>11503.36</v>
      </c>
      <c r="P66" s="40">
        <f t="shared" ref="P66:P129" ca="1" si="4">O66/SUM(O:O)</f>
        <v>2.102222222210699E-3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input_596101!A$2</f>
        <v>596101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IFERROR(VLOOKUP(B67,input_596101!L:R,7,FALSE),VLOOKUP(tables_596101!C67,input_596101!A:H,8,FALSE))</f>
        <v>14379.2</v>
      </c>
      <c r="P67" s="40">
        <f t="shared" ca="1" si="4"/>
        <v>2.6277777777633736E-3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input_596101!A$2</f>
        <v>596101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IFERROR(VLOOKUP(B68,input_596101!L:R,7,FALSE),VLOOKUP(tables_596101!C68,input_596101!A:H,8,FALSE))</f>
        <v>2875.84</v>
      </c>
      <c r="P68" s="40">
        <f t="shared" ca="1" si="4"/>
        <v>5.2555555555267475E-4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input_596101!A$2</f>
        <v>596101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IFERROR(VLOOKUP(B69,input_596101!L:R,7,FALSE),VLOOKUP(tables_596101!C69,input_596101!A:H,8,FALSE))</f>
        <v>11503.36</v>
      </c>
      <c r="P69" s="40">
        <f t="shared" ca="1" si="4"/>
        <v>2.102222222210699E-3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input_596101!A$2</f>
        <v>596101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IFERROR(VLOOKUP(B70,input_596101!L:R,7,FALSE),VLOOKUP(tables_596101!C70,input_596101!A:H,8,FALSE))</f>
        <v>14379.2</v>
      </c>
      <c r="P70" s="40">
        <f t="shared" ca="1" si="4"/>
        <v>2.6277777777633736E-3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input_596101!A$2</f>
        <v>596101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IFERROR(VLOOKUP(B71,input_596101!L:R,7,FALSE),VLOOKUP(tables_596101!C71,input_596101!A:H,8,FALSE))</f>
        <v>2875.84</v>
      </c>
      <c r="P71" s="40">
        <f t="shared" ca="1" si="4"/>
        <v>5.2555555555267475E-4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input_596101!A$2</f>
        <v>596101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IFERROR(VLOOKUP(B72,input_596101!L:R,7,FALSE),VLOOKUP(tables_596101!C72,input_596101!A:H,8,FALSE))</f>
        <v>11503.36</v>
      </c>
      <c r="P72" s="40">
        <f t="shared" ca="1" si="4"/>
        <v>2.102222222210699E-3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input_596101!A$2</f>
        <v>596101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IFERROR(VLOOKUP(B73,input_596101!L:R,7,FALSE),VLOOKUP(tables_596101!C73,input_596101!A:H,8,FALSE))</f>
        <v>14379.2</v>
      </c>
      <c r="P73" s="40">
        <f t="shared" ca="1" si="4"/>
        <v>2.6277777777633736E-3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input_596101!A$2</f>
        <v>596101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IFERROR(VLOOKUP(B74,input_596101!L:R,7,FALSE),VLOOKUP(tables_596101!C74,input_596101!A:H,8,FALSE))</f>
        <v>2875.84</v>
      </c>
      <c r="P74" s="40">
        <f t="shared" ca="1" si="4"/>
        <v>5.2555555555267475E-4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input_596101!A$2</f>
        <v>596101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IFERROR(VLOOKUP(B75,input_596101!L:R,7,FALSE),VLOOKUP(tables_596101!C75,input_596101!A:H,8,FALSE))</f>
        <v>49694.515200000002</v>
      </c>
      <c r="P75" s="40">
        <f t="shared" ca="1" si="4"/>
        <v>9.0815999999502191E-3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input_596101!A$2</f>
        <v>596101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IFERROR(VLOOKUP(B76,input_596101!L:R,7,FALSE),VLOOKUP(tables_596101!C76,input_596101!A:H,8,FALSE))</f>
        <v>62118.144</v>
      </c>
      <c r="P76" s="40">
        <f t="shared" ca="1" si="4"/>
        <v>1.1351999999937773E-2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input_596101!A$2</f>
        <v>596101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IFERROR(VLOOKUP(B77,input_596101!L:R,7,FALSE),VLOOKUP(tables_596101!C77,input_596101!A:H,8,FALSE))</f>
        <v>7362.4978300000002</v>
      </c>
      <c r="P77" s="40">
        <f t="shared" ca="1" si="4"/>
        <v>1.3454857145394083E-3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input_596101!A$2</f>
        <v>596101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IFERROR(VLOOKUP(B78,input_596101!L:R,7,FALSE),VLOOKUP(tables_596101!C78,input_596101!A:H,8,FALSE))</f>
        <v>11503.36</v>
      </c>
      <c r="P78" s="40">
        <f t="shared" ca="1" si="4"/>
        <v>2.102222222210699E-3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input_596101!A$2</f>
        <v>596101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IFERROR(VLOOKUP(B79,input_596101!L:R,7,FALSE),VLOOKUP(tables_596101!C79,input_596101!A:H,8,FALSE))</f>
        <v>14379.2</v>
      </c>
      <c r="P79" s="40">
        <f t="shared" ca="1" si="4"/>
        <v>2.6277777777633736E-3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input_596101!A$2</f>
        <v>596101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IFERROR(VLOOKUP(B80,input_596101!L:R,7,FALSE),VLOOKUP(tables_596101!C80,input_596101!A:H,8,FALSE))</f>
        <v>2875.84</v>
      </c>
      <c r="P80" s="40">
        <f t="shared" ca="1" si="4"/>
        <v>5.2555555555267475E-4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input_596101!A$2</f>
        <v>596101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IFERROR(VLOOKUP(B81,input_596101!L:R,7,FALSE),VLOOKUP(tables_596101!C81,input_596101!A:H,8,FALSE))</f>
        <v>11503.36</v>
      </c>
      <c r="P81" s="40">
        <f t="shared" ca="1" si="4"/>
        <v>2.102222222210699E-3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input_596101!A$2</f>
        <v>596101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IFERROR(VLOOKUP(B82,input_596101!L:R,7,FALSE),VLOOKUP(tables_596101!C82,input_596101!A:H,8,FALSE))</f>
        <v>14379.2</v>
      </c>
      <c r="P82" s="40">
        <f t="shared" ca="1" si="4"/>
        <v>2.6277777777633736E-3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input_596101!A$2</f>
        <v>596101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IFERROR(VLOOKUP(B83,input_596101!L:R,7,FALSE),VLOOKUP(tables_596101!C83,input_596101!A:H,8,FALSE))</f>
        <v>2875.84</v>
      </c>
      <c r="P83" s="40">
        <f t="shared" ca="1" si="4"/>
        <v>5.2555555555267475E-4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input_596101!A$2</f>
        <v>596101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IFERROR(VLOOKUP(B84,input_596101!L:R,7,FALSE),VLOOKUP(tables_596101!C84,input_596101!A:H,8,FALSE))</f>
        <v>49694.515200000002</v>
      </c>
      <c r="P84" s="40">
        <f t="shared" ca="1" si="4"/>
        <v>9.0815999999502191E-3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input_596101!A$2</f>
        <v>596101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IFERROR(VLOOKUP(B85,input_596101!L:R,7,FALSE),VLOOKUP(tables_596101!C85,input_596101!A:H,8,FALSE))</f>
        <v>62118.144</v>
      </c>
      <c r="P85" s="40">
        <f t="shared" ca="1" si="4"/>
        <v>1.1351999999937773E-2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input_596101!A$2</f>
        <v>596101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IFERROR(VLOOKUP(B86,input_596101!L:R,7,FALSE),VLOOKUP(tables_596101!C86,input_596101!A:H,8,FALSE))</f>
        <v>7362.4978300000002</v>
      </c>
      <c r="P86" s="40">
        <f t="shared" ca="1" si="4"/>
        <v>1.3454857145394083E-3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input_596101!A$2</f>
        <v>596101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IFERROR(VLOOKUP(B87,input_596101!L:R,7,FALSE),VLOOKUP(tables_596101!C87,input_596101!A:H,8,FALSE))</f>
        <v>11503.36</v>
      </c>
      <c r="P87" s="40">
        <f t="shared" ca="1" si="4"/>
        <v>2.102222222210699E-3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input_596101!A$2</f>
        <v>596101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IFERROR(VLOOKUP(B88,input_596101!L:R,7,FALSE),VLOOKUP(tables_596101!C88,input_596101!A:H,8,FALSE))</f>
        <v>14379.2</v>
      </c>
      <c r="P88" s="40">
        <f t="shared" ca="1" si="4"/>
        <v>2.6277777777633736E-3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input_596101!A$2</f>
        <v>596101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IFERROR(VLOOKUP(B89,input_596101!L:R,7,FALSE),VLOOKUP(tables_596101!C89,input_596101!A:H,8,FALSE))</f>
        <v>2875.84</v>
      </c>
      <c r="P89" s="40">
        <f t="shared" ca="1" si="4"/>
        <v>5.2555555555267475E-4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input_596101!A$2</f>
        <v>596101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IFERROR(VLOOKUP(B90,input_596101!L:R,7,FALSE),VLOOKUP(tables_596101!C90,input_596101!A:H,8,FALSE))</f>
        <v>11503.36</v>
      </c>
      <c r="P90" s="40">
        <f t="shared" ca="1" si="4"/>
        <v>2.102222222210699E-3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input_596101!A$2</f>
        <v>596101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IFERROR(VLOOKUP(B91,input_596101!L:R,7,FALSE),VLOOKUP(tables_596101!C91,input_596101!A:H,8,FALSE))</f>
        <v>14379.2</v>
      </c>
      <c r="P91" s="40">
        <f t="shared" ca="1" si="4"/>
        <v>2.6277777777633736E-3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input_596101!A$2</f>
        <v>596101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IFERROR(VLOOKUP(B92,input_596101!L:R,7,FALSE),VLOOKUP(tables_596101!C92,input_596101!A:H,8,FALSE))</f>
        <v>2875.84</v>
      </c>
      <c r="P92" s="40">
        <f t="shared" ca="1" si="4"/>
        <v>5.2555555555267475E-4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input_596101!A$2</f>
        <v>596101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IFERROR(VLOOKUP(B93,input_596101!L:R,7,FALSE),VLOOKUP(tables_596101!C93,input_596101!A:H,8,FALSE))</f>
        <v>11503.36</v>
      </c>
      <c r="P93" s="40">
        <f t="shared" ca="1" si="4"/>
        <v>2.102222222210699E-3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input_596101!A$2</f>
        <v>596101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IFERROR(VLOOKUP(B94,input_596101!L:R,7,FALSE),VLOOKUP(tables_596101!C94,input_596101!A:H,8,FALSE))</f>
        <v>14379.2</v>
      </c>
      <c r="P94" s="40">
        <f t="shared" ca="1" si="4"/>
        <v>2.6277777777633736E-3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input_596101!A$2</f>
        <v>596101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IFERROR(VLOOKUP(B95,input_596101!L:R,7,FALSE),VLOOKUP(tables_596101!C95,input_596101!A:H,8,FALSE))</f>
        <v>2875.84</v>
      </c>
      <c r="P95" s="40">
        <f t="shared" ca="1" si="4"/>
        <v>5.2555555555267475E-4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input_596101!A$2</f>
        <v>596101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IFERROR(VLOOKUP(B96,input_596101!L:R,7,FALSE),VLOOKUP(tables_596101!C96,input_596101!A:H,8,FALSE))</f>
        <v>49694.515200000002</v>
      </c>
      <c r="P96" s="40">
        <f t="shared" ca="1" si="4"/>
        <v>9.0815999999502191E-3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input_596101!A$2</f>
        <v>596101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IFERROR(VLOOKUP(B97,input_596101!L:R,7,FALSE),VLOOKUP(tables_596101!C97,input_596101!A:H,8,FALSE))</f>
        <v>62118.144</v>
      </c>
      <c r="P97" s="40">
        <f t="shared" ca="1" si="4"/>
        <v>1.1351999999937773E-2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input_596101!A$2</f>
        <v>596101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IFERROR(VLOOKUP(B98,input_596101!L:R,7,FALSE),VLOOKUP(tables_596101!C98,input_596101!A:H,8,FALSE))</f>
        <v>7362.4978300000002</v>
      </c>
      <c r="P98" s="40">
        <f t="shared" ca="1" si="4"/>
        <v>1.3454857145394083E-3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input_596101!A$2</f>
        <v>596101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IFERROR(VLOOKUP(B99,input_596101!L:R,7,FALSE),VLOOKUP(tables_596101!C99,input_596101!A:H,8,FALSE))</f>
        <v>11503.36</v>
      </c>
      <c r="P99" s="40">
        <f t="shared" ca="1" si="4"/>
        <v>2.102222222210699E-3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input_596101!A$2</f>
        <v>596101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IFERROR(VLOOKUP(B100,input_596101!L:R,7,FALSE),VLOOKUP(tables_596101!C100,input_596101!A:H,8,FALSE))</f>
        <v>14379.2</v>
      </c>
      <c r="P100" s="40">
        <f t="shared" ca="1" si="4"/>
        <v>2.6277777777633736E-3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input_596101!A$2</f>
        <v>596101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IFERROR(VLOOKUP(B101,input_596101!L:R,7,FALSE),VLOOKUP(tables_596101!C101,input_596101!A:H,8,FALSE))</f>
        <v>2875.84</v>
      </c>
      <c r="P101" s="40">
        <f t="shared" ca="1" si="4"/>
        <v>5.2555555555267475E-4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input_596101!A$2</f>
        <v>596101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IFERROR(VLOOKUP(B102,input_596101!L:R,7,FALSE),VLOOKUP(tables_596101!C102,input_596101!A:H,8,FALSE))</f>
        <v>11503.36</v>
      </c>
      <c r="P102" s="40">
        <f t="shared" ca="1" si="4"/>
        <v>2.102222222210699E-3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input_596101!A$2</f>
        <v>596101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IFERROR(VLOOKUP(B103,input_596101!L:R,7,FALSE),VLOOKUP(tables_596101!C103,input_596101!A:H,8,FALSE))</f>
        <v>14379.2</v>
      </c>
      <c r="P103" s="40">
        <f t="shared" ca="1" si="4"/>
        <v>2.6277777777633736E-3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input_596101!A$2</f>
        <v>596101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IFERROR(VLOOKUP(B104,input_596101!L:R,7,FALSE),VLOOKUP(tables_596101!C104,input_596101!A:H,8,FALSE))</f>
        <v>2875.84</v>
      </c>
      <c r="P104" s="40">
        <f t="shared" ca="1" si="4"/>
        <v>5.2555555555267475E-4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input_596101!A$2</f>
        <v>596101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IFERROR(VLOOKUP(B105,input_596101!L:R,7,FALSE),VLOOKUP(tables_596101!C105,input_596101!A:H,8,FALSE))</f>
        <v>11503.36</v>
      </c>
      <c r="P105" s="40">
        <f t="shared" ca="1" si="4"/>
        <v>2.102222222210699E-3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input_596101!A$2</f>
        <v>596101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IFERROR(VLOOKUP(B106,input_596101!L:R,7,FALSE),VLOOKUP(tables_596101!C106,input_596101!A:H,8,FALSE))</f>
        <v>14379.2</v>
      </c>
      <c r="P106" s="40">
        <f t="shared" ca="1" si="4"/>
        <v>2.6277777777633736E-3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input_596101!A$2</f>
        <v>596101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IFERROR(VLOOKUP(B107,input_596101!L:R,7,FALSE),VLOOKUP(tables_596101!C107,input_596101!A:H,8,FALSE))</f>
        <v>2875.84</v>
      </c>
      <c r="P107" s="40">
        <f t="shared" ca="1" si="4"/>
        <v>5.2555555555267475E-4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input_596101!A$2</f>
        <v>596101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IFERROR(VLOOKUP(B108,input_596101!L:R,7,FALSE),VLOOKUP(tables_596101!C108,input_596101!A:H,8,FALSE))</f>
        <v>49694.515200000002</v>
      </c>
      <c r="P108" s="40">
        <f t="shared" ca="1" si="4"/>
        <v>9.0815999999502191E-3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input_596101!A$2</f>
        <v>596101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IFERROR(VLOOKUP(B109,input_596101!L:R,7,FALSE),VLOOKUP(tables_596101!C109,input_596101!A:H,8,FALSE))</f>
        <v>62118.144</v>
      </c>
      <c r="P109" s="40">
        <f t="shared" ca="1" si="4"/>
        <v>1.1351999999937773E-2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input_596101!A$2</f>
        <v>596101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IFERROR(VLOOKUP(B110,input_596101!L:R,7,FALSE),VLOOKUP(tables_596101!C110,input_596101!A:H,8,FALSE))</f>
        <v>7362.4978300000002</v>
      </c>
      <c r="P110" s="40">
        <f t="shared" ca="1" si="4"/>
        <v>1.3454857145394083E-3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input_596101!A$2</f>
        <v>596101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IFERROR(VLOOKUP(B111,input_596101!L:R,7,FALSE),VLOOKUP(tables_596101!C111,input_596101!A:H,8,FALSE))</f>
        <v>11503.36</v>
      </c>
      <c r="P111" s="40">
        <f t="shared" ca="1" si="4"/>
        <v>2.102222222210699E-3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input_596101!A$2</f>
        <v>596101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IFERROR(VLOOKUP(B112,input_596101!L:R,7,FALSE),VLOOKUP(tables_596101!C112,input_596101!A:H,8,FALSE))</f>
        <v>14379.2</v>
      </c>
      <c r="P112" s="40">
        <f t="shared" ca="1" si="4"/>
        <v>2.6277777777633736E-3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input_596101!A$2</f>
        <v>596101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IFERROR(VLOOKUP(B113,input_596101!L:R,7,FALSE),VLOOKUP(tables_596101!C113,input_596101!A:H,8,FALSE))</f>
        <v>2875.84</v>
      </c>
      <c r="P113" s="40">
        <f t="shared" ca="1" si="4"/>
        <v>5.2555555555267475E-4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input_596101!A$2</f>
        <v>596101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IFERROR(VLOOKUP(B114,input_596101!L:R,7,FALSE),VLOOKUP(tables_596101!C114,input_596101!A:H,8,FALSE))</f>
        <v>11503.36</v>
      </c>
      <c r="P114" s="40">
        <f t="shared" ca="1" si="4"/>
        <v>2.102222222210699E-3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input_596101!A$2</f>
        <v>596101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IFERROR(VLOOKUP(B115,input_596101!L:R,7,FALSE),VLOOKUP(tables_596101!C115,input_596101!A:H,8,FALSE))</f>
        <v>14379.2</v>
      </c>
      <c r="P115" s="40">
        <f t="shared" ca="1" si="4"/>
        <v>2.6277777777633736E-3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input_596101!A$2</f>
        <v>596101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IFERROR(VLOOKUP(B116,input_596101!L:R,7,FALSE),VLOOKUP(tables_596101!C116,input_596101!A:H,8,FALSE))</f>
        <v>2875.84</v>
      </c>
      <c r="P116" s="40">
        <f t="shared" ca="1" si="4"/>
        <v>5.2555555555267475E-4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input_596101!A$2</f>
        <v>596101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IFERROR(VLOOKUP(B117,input_596101!L:R,7,FALSE),VLOOKUP(tables_596101!C117,input_596101!A:H,8,FALSE))</f>
        <v>11503.36</v>
      </c>
      <c r="P117" s="40">
        <f t="shared" ca="1" si="4"/>
        <v>2.102222222210699E-3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input_596101!A$2</f>
        <v>596101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IFERROR(VLOOKUP(B118,input_596101!L:R,7,FALSE),VLOOKUP(tables_596101!C118,input_596101!A:H,8,FALSE))</f>
        <v>14379.2</v>
      </c>
      <c r="P118" s="40">
        <f t="shared" ca="1" si="4"/>
        <v>2.6277777777633736E-3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input_596101!A$2</f>
        <v>596101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IFERROR(VLOOKUP(B119,input_596101!L:R,7,FALSE),VLOOKUP(tables_596101!C119,input_596101!A:H,8,FALSE))</f>
        <v>2875.84</v>
      </c>
      <c r="P119" s="40">
        <f t="shared" ca="1" si="4"/>
        <v>5.2555555555267475E-4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input_596101!A$2</f>
        <v>596101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IFERROR(VLOOKUP(B120,input_596101!L:R,7,FALSE),VLOOKUP(tables_596101!C120,input_596101!A:H,8,FALSE))</f>
        <v>49694.515200000002</v>
      </c>
      <c r="P120" s="40">
        <f t="shared" ca="1" si="4"/>
        <v>9.0815999999502191E-3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input_596101!A$2</f>
        <v>596101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IFERROR(VLOOKUP(B121,input_596101!L:R,7,FALSE),VLOOKUP(tables_596101!C121,input_596101!A:H,8,FALSE))</f>
        <v>62118.144</v>
      </c>
      <c r="P121" s="40">
        <f t="shared" ca="1" si="4"/>
        <v>1.1351999999937773E-2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input_596101!A$2</f>
        <v>596101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IFERROR(VLOOKUP(B122,input_596101!L:R,7,FALSE),VLOOKUP(tables_596101!C122,input_596101!A:H,8,FALSE))</f>
        <v>7362.4978300000002</v>
      </c>
      <c r="P122" s="40">
        <f t="shared" ca="1" si="4"/>
        <v>1.3454857145394083E-3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input_596101!A$2</f>
        <v>596101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IFERROR(VLOOKUP(B123,input_596101!L:R,7,FALSE),VLOOKUP(tables_596101!C123,input_596101!A:H,8,FALSE))</f>
        <v>11503.36</v>
      </c>
      <c r="P123" s="40">
        <f t="shared" ca="1" si="4"/>
        <v>2.102222222210699E-3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input_596101!A$2</f>
        <v>596101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IFERROR(VLOOKUP(B124,input_596101!L:R,7,FALSE),VLOOKUP(tables_596101!C124,input_596101!A:H,8,FALSE))</f>
        <v>14379.2</v>
      </c>
      <c r="P124" s="40">
        <f t="shared" ca="1" si="4"/>
        <v>2.6277777777633736E-3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input_596101!A$2</f>
        <v>596101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IFERROR(VLOOKUP(B125,input_596101!L:R,7,FALSE),VLOOKUP(tables_596101!C125,input_596101!A:H,8,FALSE))</f>
        <v>2875.84</v>
      </c>
      <c r="P125" s="40">
        <f t="shared" ca="1" si="4"/>
        <v>5.2555555555267475E-4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input_596101!A$2</f>
        <v>596101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IFERROR(VLOOKUP(B126,input_596101!L:R,7,FALSE),VLOOKUP(tables_596101!C126,input_596101!A:H,8,FALSE))</f>
        <v>11503.36</v>
      </c>
      <c r="P126" s="40">
        <f t="shared" ca="1" si="4"/>
        <v>2.102222222210699E-3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input_596101!A$2</f>
        <v>596101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IFERROR(VLOOKUP(B127,input_596101!L:R,7,FALSE),VLOOKUP(tables_596101!C127,input_596101!A:H,8,FALSE))</f>
        <v>14379.2</v>
      </c>
      <c r="P127" s="40">
        <f t="shared" ca="1" si="4"/>
        <v>2.6277777777633736E-3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input_596101!A$2</f>
        <v>596101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IFERROR(VLOOKUP(B128,input_596101!L:R,7,FALSE),VLOOKUP(tables_596101!C128,input_596101!A:H,8,FALSE))</f>
        <v>2875.84</v>
      </c>
      <c r="P128" s="40">
        <f t="shared" ca="1" si="4"/>
        <v>5.2555555555267475E-4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input_596101!A$2</f>
        <v>596101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IFERROR(VLOOKUP(B129,input_596101!L:R,7,FALSE),VLOOKUP(tables_596101!C129,input_596101!A:H,8,FALSE))</f>
        <v>11503.36</v>
      </c>
      <c r="P129" s="40">
        <f t="shared" ca="1" si="4"/>
        <v>2.102222222210699E-3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input_596101!A$2</f>
        <v>596101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IFERROR(VLOOKUP(B130,input_596101!L:R,7,FALSE),VLOOKUP(tables_596101!C130,input_596101!A:H,8,FALSE))</f>
        <v>14379.2</v>
      </c>
      <c r="P130" s="40">
        <f t="shared" ref="P130:P193" ca="1" si="7">O130/SUM(O:O)</f>
        <v>2.6277777777633736E-3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input_596101!A$2</f>
        <v>596101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IFERROR(VLOOKUP(B131,input_596101!L:R,7,FALSE),VLOOKUP(tables_596101!C131,input_596101!A:H,8,FALSE))</f>
        <v>2875.84</v>
      </c>
      <c r="P131" s="40">
        <f t="shared" ca="1" si="7"/>
        <v>5.2555555555267475E-4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input_596101!A$2</f>
        <v>596101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IFERROR(VLOOKUP(B132,input_596101!L:R,7,FALSE),VLOOKUP(tables_596101!C132,input_596101!A:H,8,FALSE))</f>
        <v>49694.515200000002</v>
      </c>
      <c r="P132" s="40">
        <f t="shared" ca="1" si="7"/>
        <v>9.0815999999502191E-3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input_596101!A$2</f>
        <v>596101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IFERROR(VLOOKUP(B133,input_596101!L:R,7,FALSE),VLOOKUP(tables_596101!C133,input_596101!A:H,8,FALSE))</f>
        <v>62118.144</v>
      </c>
      <c r="P133" s="40">
        <f t="shared" ca="1" si="7"/>
        <v>1.1351999999937773E-2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input_596101!A$2</f>
        <v>596101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IFERROR(VLOOKUP(B134,input_596101!L:R,7,FALSE),VLOOKUP(tables_596101!C134,input_596101!A:H,8,FALSE))</f>
        <v>7362.4978300000002</v>
      </c>
      <c r="P134" s="40">
        <f t="shared" ca="1" si="7"/>
        <v>1.3454857145394083E-3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input_596101!A$2</f>
        <v>596101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IFERROR(VLOOKUP(B135,input_596101!L:R,7,FALSE),VLOOKUP(tables_596101!C135,input_596101!A:H,8,FALSE))</f>
        <v>11503.36</v>
      </c>
      <c r="P135" s="40">
        <f t="shared" ca="1" si="7"/>
        <v>2.102222222210699E-3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input_596101!A$2</f>
        <v>596101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IFERROR(VLOOKUP(B136,input_596101!L:R,7,FALSE),VLOOKUP(tables_596101!C136,input_596101!A:H,8,FALSE))</f>
        <v>14379.2</v>
      </c>
      <c r="P136" s="40">
        <f t="shared" ca="1" si="7"/>
        <v>2.6277777777633736E-3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input_596101!A$2</f>
        <v>596101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IFERROR(VLOOKUP(B137,input_596101!L:R,7,FALSE),VLOOKUP(tables_596101!C137,input_596101!A:H,8,FALSE))</f>
        <v>2875.84</v>
      </c>
      <c r="P137" s="40">
        <f t="shared" ca="1" si="7"/>
        <v>5.2555555555267475E-4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input_596101!A$2</f>
        <v>596101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IFERROR(VLOOKUP(B138,input_596101!L:R,7,FALSE),VLOOKUP(tables_596101!C138,input_596101!A:H,8,FALSE))</f>
        <v>1728</v>
      </c>
      <c r="P138" s="40">
        <f t="shared" ca="1" si="7"/>
        <v>3.1578947368247949E-4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input_596101!A$2</f>
        <v>596101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IFERROR(VLOOKUP(B139,input_596101!L:R,7,FALSE),VLOOKUP(tables_596101!C139,input_596101!A:H,8,FALSE))</f>
        <v>192</v>
      </c>
      <c r="P139" s="40">
        <f t="shared" ca="1" si="7"/>
        <v>3.5087719298053281E-5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input_596101!A$2</f>
        <v>596101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IFERROR(VLOOKUP(B140,input_596101!L:R,7,FALSE),VLOOKUP(tables_596101!C140,input_596101!A:H,8,FALSE))</f>
        <v>1728</v>
      </c>
      <c r="P140" s="40">
        <f t="shared" ca="1" si="7"/>
        <v>3.1578947368247949E-4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input_596101!A$2</f>
        <v>596101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IFERROR(VLOOKUP(B141,input_596101!L:R,7,FALSE),VLOOKUP(tables_596101!C141,input_596101!A:H,8,FALSE))</f>
        <v>192</v>
      </c>
      <c r="P141" s="40">
        <f t="shared" ca="1" si="7"/>
        <v>3.5087719298053281E-5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input_596101!A$2</f>
        <v>596101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IFERROR(VLOOKUP(B142,input_596101!L:R,7,FALSE),VLOOKUP(tables_596101!C142,input_596101!A:H,8,FALSE))</f>
        <v>8208</v>
      </c>
      <c r="P142" s="40">
        <f t="shared" ca="1" si="7"/>
        <v>1.4999999999917777E-3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input_596101!A$2</f>
        <v>596101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IFERROR(VLOOKUP(B143,input_596101!L:R,7,FALSE),VLOOKUP(tables_596101!C143,input_596101!A:H,8,FALSE))</f>
        <v>912</v>
      </c>
      <c r="P143" s="40">
        <f t="shared" ca="1" si="7"/>
        <v>1.6666666666575309E-4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input_596101!A$2</f>
        <v>596101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IFERROR(VLOOKUP(B144,input_596101!L:R,7,FALSE),VLOOKUP(tables_596101!C144,input_596101!A:H,8,FALSE))</f>
        <v>1728</v>
      </c>
      <c r="P144" s="40">
        <f t="shared" ca="1" si="7"/>
        <v>3.1578947368247949E-4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input_596101!A$2</f>
        <v>596101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IFERROR(VLOOKUP(B145,input_596101!L:R,7,FALSE),VLOOKUP(tables_596101!C145,input_596101!A:H,8,FALSE))</f>
        <v>192</v>
      </c>
      <c r="P145" s="40">
        <f t="shared" ca="1" si="7"/>
        <v>3.5087719298053281E-5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input_596101!A$2</f>
        <v>596101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IFERROR(VLOOKUP(B146,input_596101!L:R,7,FALSE),VLOOKUP(tables_596101!C146,input_596101!A:H,8,FALSE))</f>
        <v>11503.36</v>
      </c>
      <c r="P146" s="40">
        <f t="shared" ca="1" si="7"/>
        <v>2.102222222210699E-3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input_596101!A$2</f>
        <v>596101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IFERROR(VLOOKUP(B147,input_596101!L:R,7,FALSE),VLOOKUP(tables_596101!C147,input_596101!A:H,8,FALSE))</f>
        <v>14379.2</v>
      </c>
      <c r="P147" s="40">
        <f t="shared" ca="1" si="7"/>
        <v>2.6277777777633736E-3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input_596101!A$2</f>
        <v>596101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IFERROR(VLOOKUP(B148,input_596101!L:R,7,FALSE),VLOOKUP(tables_596101!C148,input_596101!A:H,8,FALSE))</f>
        <v>2875.84</v>
      </c>
      <c r="P148" s="40">
        <f t="shared" ca="1" si="7"/>
        <v>5.2555555555267475E-4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input_596101!A$2</f>
        <v>596101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IFERROR(VLOOKUP(B149,input_596101!L:R,7,FALSE),VLOOKUP(tables_596101!C149,input_596101!A:H,8,FALSE))</f>
        <v>1728</v>
      </c>
      <c r="P149" s="40">
        <f t="shared" ca="1" si="7"/>
        <v>3.1578947368247949E-4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input_596101!A$2</f>
        <v>596101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IFERROR(VLOOKUP(B150,input_596101!L:R,7,FALSE),VLOOKUP(tables_596101!C150,input_596101!A:H,8,FALSE))</f>
        <v>192</v>
      </c>
      <c r="P150" s="40">
        <f t="shared" ca="1" si="7"/>
        <v>3.5087719298053281E-5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input_596101!A$2</f>
        <v>596101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IFERROR(VLOOKUP(B151,input_596101!L:R,7,FALSE),VLOOKUP(tables_596101!C151,input_596101!A:H,8,FALSE))</f>
        <v>8208</v>
      </c>
      <c r="P151" s="40">
        <f t="shared" ca="1" si="7"/>
        <v>1.4999999999917777E-3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input_596101!A$2</f>
        <v>596101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IFERROR(VLOOKUP(B152,input_596101!L:R,7,FALSE),VLOOKUP(tables_596101!C152,input_596101!A:H,8,FALSE))</f>
        <v>912</v>
      </c>
      <c r="P152" s="40">
        <f t="shared" ca="1" si="7"/>
        <v>1.6666666666575309E-4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input_596101!A$2</f>
        <v>596101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IFERROR(VLOOKUP(B153,input_596101!L:R,7,FALSE),VLOOKUP(tables_596101!C153,input_596101!A:H,8,FALSE))</f>
        <v>11503.36</v>
      </c>
      <c r="P153" s="40">
        <f t="shared" ca="1" si="7"/>
        <v>2.102222222210699E-3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input_596101!A$2</f>
        <v>596101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IFERROR(VLOOKUP(B154,input_596101!L:R,7,FALSE),VLOOKUP(tables_596101!C154,input_596101!A:H,8,FALSE))</f>
        <v>14379.2</v>
      </c>
      <c r="P154" s="40">
        <f t="shared" ca="1" si="7"/>
        <v>2.6277777777633736E-3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input_596101!A$2</f>
        <v>596101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IFERROR(VLOOKUP(B155,input_596101!L:R,7,FALSE),VLOOKUP(tables_596101!C155,input_596101!A:H,8,FALSE))</f>
        <v>2875.84</v>
      </c>
      <c r="P155" s="40">
        <f t="shared" ca="1" si="7"/>
        <v>5.2555555555267475E-4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input_596101!A$2</f>
        <v>596101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IFERROR(VLOOKUP(B156,input_596101!L:R,7,FALSE),VLOOKUP(tables_596101!C156,input_596101!A:H,8,FALSE))</f>
        <v>1728</v>
      </c>
      <c r="P156" s="40">
        <f t="shared" ca="1" si="7"/>
        <v>3.1578947368247949E-4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input_596101!A$2</f>
        <v>596101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IFERROR(VLOOKUP(B157,input_596101!L:R,7,FALSE),VLOOKUP(tables_596101!C157,input_596101!A:H,8,FALSE))</f>
        <v>192</v>
      </c>
      <c r="P157" s="40">
        <f t="shared" ca="1" si="7"/>
        <v>3.5087719298053281E-5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input_596101!A$2</f>
        <v>596101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IFERROR(VLOOKUP(B158,input_596101!L:R,7,FALSE),VLOOKUP(tables_596101!C158,input_596101!A:H,8,FALSE))</f>
        <v>11503.36</v>
      </c>
      <c r="P158" s="40">
        <f t="shared" ca="1" si="7"/>
        <v>2.102222222210699E-3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input_596101!A$2</f>
        <v>596101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IFERROR(VLOOKUP(B159,input_596101!L:R,7,FALSE),VLOOKUP(tables_596101!C159,input_596101!A:H,8,FALSE))</f>
        <v>14379.2</v>
      </c>
      <c r="P159" s="40">
        <f t="shared" ca="1" si="7"/>
        <v>2.6277777777633736E-3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input_596101!A$2</f>
        <v>596101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IFERROR(VLOOKUP(B160,input_596101!L:R,7,FALSE),VLOOKUP(tables_596101!C160,input_596101!A:H,8,FALSE))</f>
        <v>2875.84</v>
      </c>
      <c r="P160" s="40">
        <f t="shared" ca="1" si="7"/>
        <v>5.2555555555267475E-4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input_596101!A$2</f>
        <v>596101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IFERROR(VLOOKUP(B161,input_596101!L:R,7,FALSE),VLOOKUP(tables_596101!C161,input_596101!A:H,8,FALSE))</f>
        <v>49694.515200000002</v>
      </c>
      <c r="P161" s="40">
        <f t="shared" ca="1" si="7"/>
        <v>9.0815999999502191E-3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input_596101!A$2</f>
        <v>596101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IFERROR(VLOOKUP(B162,input_596101!L:R,7,FALSE),VLOOKUP(tables_596101!C162,input_596101!A:H,8,FALSE))</f>
        <v>62118.144</v>
      </c>
      <c r="P162" s="40">
        <f t="shared" ca="1" si="7"/>
        <v>1.1351999999937773E-2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input_596101!A$2</f>
        <v>596101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IFERROR(VLOOKUP(B163,input_596101!L:R,7,FALSE),VLOOKUP(tables_596101!C163,input_596101!A:H,8,FALSE))</f>
        <v>7362.4978300000002</v>
      </c>
      <c r="P163" s="40">
        <f t="shared" ca="1" si="7"/>
        <v>1.3454857145394083E-3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input_596101!A$2</f>
        <v>596101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IFERROR(VLOOKUP(B164,input_596101!L:R,7,FALSE),VLOOKUP(tables_596101!C164,input_596101!A:H,8,FALSE))</f>
        <v>1728</v>
      </c>
      <c r="P164" s="40">
        <f t="shared" ca="1" si="7"/>
        <v>3.1578947368247949E-4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input_596101!A$2</f>
        <v>596101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IFERROR(VLOOKUP(B165,input_596101!L:R,7,FALSE),VLOOKUP(tables_596101!C165,input_596101!A:H,8,FALSE))</f>
        <v>192</v>
      </c>
      <c r="P165" s="40">
        <f t="shared" ca="1" si="7"/>
        <v>3.5087719298053281E-5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input_596101!A$2</f>
        <v>596101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IFERROR(VLOOKUP(B166,input_596101!L:R,7,FALSE),VLOOKUP(tables_596101!C166,input_596101!A:H,8,FALSE))</f>
        <v>11503.36</v>
      </c>
      <c r="P166" s="40">
        <f t="shared" ca="1" si="7"/>
        <v>2.102222222210699E-3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input_596101!A$2</f>
        <v>596101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IFERROR(VLOOKUP(B167,input_596101!L:R,7,FALSE),VLOOKUP(tables_596101!C167,input_596101!A:H,8,FALSE))</f>
        <v>14379.2</v>
      </c>
      <c r="P167" s="40">
        <f t="shared" ca="1" si="7"/>
        <v>2.6277777777633736E-3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input_596101!A$2</f>
        <v>596101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IFERROR(VLOOKUP(B168,input_596101!L:R,7,FALSE),VLOOKUP(tables_596101!C168,input_596101!A:H,8,FALSE))</f>
        <v>2875.84</v>
      </c>
      <c r="P168" s="40">
        <f t="shared" ca="1" si="7"/>
        <v>5.2555555555267475E-4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input_596101!A$2</f>
        <v>596101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IFERROR(VLOOKUP(B169,input_596101!L:R,7,FALSE),VLOOKUP(tables_596101!C169,input_596101!A:H,8,FALSE))</f>
        <v>1728</v>
      </c>
      <c r="P169" s="40">
        <f t="shared" ca="1" si="7"/>
        <v>3.1578947368247949E-4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input_596101!A$2</f>
        <v>596101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IFERROR(VLOOKUP(B170,input_596101!L:R,7,FALSE),VLOOKUP(tables_596101!C170,input_596101!A:H,8,FALSE))</f>
        <v>192</v>
      </c>
      <c r="P170" s="40">
        <f t="shared" ca="1" si="7"/>
        <v>3.5087719298053281E-5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input_596101!A$2</f>
        <v>596101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IFERROR(VLOOKUP(B171,input_596101!L:R,7,FALSE),VLOOKUP(tables_596101!C171,input_596101!A:H,8,FALSE))</f>
        <v>49694.515200000002</v>
      </c>
      <c r="P171" s="40">
        <f t="shared" ca="1" si="7"/>
        <v>9.0815999999502191E-3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input_596101!A$2</f>
        <v>596101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IFERROR(VLOOKUP(B172,input_596101!L:R,7,FALSE),VLOOKUP(tables_596101!C172,input_596101!A:H,8,FALSE))</f>
        <v>62118.144</v>
      </c>
      <c r="P172" s="40">
        <f t="shared" ca="1" si="7"/>
        <v>1.1351999999937773E-2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input_596101!A$2</f>
        <v>596101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IFERROR(VLOOKUP(B173,input_596101!L:R,7,FALSE),VLOOKUP(tables_596101!C173,input_596101!A:H,8,FALSE))</f>
        <v>7362.4978300000002</v>
      </c>
      <c r="P173" s="40">
        <f t="shared" ca="1" si="7"/>
        <v>1.3454857145394083E-3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input_596101!A$2</f>
        <v>596101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IFERROR(VLOOKUP(B174,input_596101!L:R,7,FALSE),VLOOKUP(tables_596101!C174,input_596101!A:H,8,FALSE))</f>
        <v>1728</v>
      </c>
      <c r="P174" s="40">
        <f t="shared" ca="1" si="7"/>
        <v>3.1578947368247949E-4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input_596101!A$2</f>
        <v>596101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IFERROR(VLOOKUP(B175,input_596101!L:R,7,FALSE),VLOOKUP(tables_596101!C175,input_596101!A:H,8,FALSE))</f>
        <v>192</v>
      </c>
      <c r="P175" s="40">
        <f t="shared" ca="1" si="7"/>
        <v>3.5087719298053281E-5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input_596101!A$2</f>
        <v>596101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IFERROR(VLOOKUP(B176,input_596101!L:R,7,FALSE),VLOOKUP(tables_596101!C176,input_596101!A:H,8,FALSE))</f>
        <v>1728</v>
      </c>
      <c r="P176" s="40">
        <f t="shared" ca="1" si="7"/>
        <v>3.1578947368247949E-4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input_596101!A$2</f>
        <v>596101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IFERROR(VLOOKUP(B177,input_596101!L:R,7,FALSE),VLOOKUP(tables_596101!C177,input_596101!A:H,8,FALSE))</f>
        <v>192</v>
      </c>
      <c r="P177" s="40">
        <f t="shared" ca="1" si="7"/>
        <v>3.5087719298053281E-5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input_596101!A$2</f>
        <v>596101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IFERROR(VLOOKUP(B178,input_596101!L:R,7,FALSE),VLOOKUP(tables_596101!C178,input_596101!A:H,8,FALSE))</f>
        <v>11503.36</v>
      </c>
      <c r="P178" s="40">
        <f t="shared" ca="1" si="7"/>
        <v>2.102222222210699E-3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input_596101!A$2</f>
        <v>596101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IFERROR(VLOOKUP(B179,input_596101!L:R,7,FALSE),VLOOKUP(tables_596101!C179,input_596101!A:H,8,FALSE))</f>
        <v>14379.2</v>
      </c>
      <c r="P179" s="40">
        <f t="shared" ca="1" si="7"/>
        <v>2.6277777777633736E-3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input_596101!A$2</f>
        <v>596101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IFERROR(VLOOKUP(B180,input_596101!L:R,7,FALSE),VLOOKUP(tables_596101!C180,input_596101!A:H,8,FALSE))</f>
        <v>2875.84</v>
      </c>
      <c r="P180" s="40">
        <f t="shared" ca="1" si="7"/>
        <v>5.2555555555267475E-4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input_596101!A$2</f>
        <v>596101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IFERROR(VLOOKUP(B181,input_596101!L:R,7,FALSE),VLOOKUP(tables_596101!C181,input_596101!A:H,8,FALSE))</f>
        <v>49694.515200000002</v>
      </c>
      <c r="P181" s="40">
        <f t="shared" ca="1" si="7"/>
        <v>9.0815999999502191E-3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input_596101!A$2</f>
        <v>596101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IFERROR(VLOOKUP(B182,input_596101!L:R,7,FALSE),VLOOKUP(tables_596101!C182,input_596101!A:H,8,FALSE))</f>
        <v>62118.144</v>
      </c>
      <c r="P182" s="40">
        <f t="shared" ca="1" si="7"/>
        <v>1.1351999999937773E-2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input_596101!A$2</f>
        <v>596101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IFERROR(VLOOKUP(B183,input_596101!L:R,7,FALSE),VLOOKUP(tables_596101!C183,input_596101!A:H,8,FALSE))</f>
        <v>7362.4978300000002</v>
      </c>
      <c r="P183" s="40">
        <f t="shared" ca="1" si="7"/>
        <v>1.3454857145394083E-3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input_596101!A$2</f>
        <v>596101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IFERROR(VLOOKUP(B184,input_596101!L:R,7,FALSE),VLOOKUP(tables_596101!C184,input_596101!A:H,8,FALSE))</f>
        <v>1728</v>
      </c>
      <c r="P184" s="40">
        <f t="shared" ca="1" si="7"/>
        <v>3.1578947368247949E-4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input_596101!A$2</f>
        <v>596101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IFERROR(VLOOKUP(B185,input_596101!L:R,7,FALSE),VLOOKUP(tables_596101!C185,input_596101!A:H,8,FALSE))</f>
        <v>192</v>
      </c>
      <c r="P185" s="40">
        <f t="shared" ca="1" si="7"/>
        <v>3.5087719298053281E-5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input_596101!A$2</f>
        <v>596101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IFERROR(VLOOKUP(B186,input_596101!L:R,7,FALSE),VLOOKUP(tables_596101!C186,input_596101!A:H,8,FALSE))</f>
        <v>11503.36</v>
      </c>
      <c r="P186" s="40">
        <f t="shared" ca="1" si="7"/>
        <v>2.102222222210699E-3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input_596101!A$2</f>
        <v>596101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IFERROR(VLOOKUP(B187,input_596101!L:R,7,FALSE),VLOOKUP(tables_596101!C187,input_596101!A:H,8,FALSE))</f>
        <v>14379.2</v>
      </c>
      <c r="P187" s="40">
        <f t="shared" ca="1" si="7"/>
        <v>2.6277777777633736E-3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input_596101!A$2</f>
        <v>596101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IFERROR(VLOOKUP(B188,input_596101!L:R,7,FALSE),VLOOKUP(tables_596101!C188,input_596101!A:H,8,FALSE))</f>
        <v>2875.84</v>
      </c>
      <c r="P188" s="40">
        <f t="shared" ca="1" si="7"/>
        <v>5.2555555555267475E-4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input_596101!A$2</f>
        <v>596101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IFERROR(VLOOKUP(B189,input_596101!L:R,7,FALSE),VLOOKUP(tables_596101!C189,input_596101!A:H,8,FALSE))</f>
        <v>1728</v>
      </c>
      <c r="P189" s="40">
        <f t="shared" ca="1" si="7"/>
        <v>3.1578947368247949E-4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input_596101!A$2</f>
        <v>596101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IFERROR(VLOOKUP(B190,input_596101!L:R,7,FALSE),VLOOKUP(tables_596101!C190,input_596101!A:H,8,FALSE))</f>
        <v>192</v>
      </c>
      <c r="P190" s="40">
        <f t="shared" ca="1" si="7"/>
        <v>3.5087719298053281E-5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input_596101!A$2</f>
        <v>596101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IFERROR(VLOOKUP(B191,input_596101!L:R,7,FALSE),VLOOKUP(tables_596101!C191,input_596101!A:H,8,FALSE))</f>
        <v>8208</v>
      </c>
      <c r="P191" s="40">
        <f t="shared" ca="1" si="7"/>
        <v>1.4999999999917777E-3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input_596101!A$2</f>
        <v>596101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IFERROR(VLOOKUP(B192,input_596101!L:R,7,FALSE),VLOOKUP(tables_596101!C192,input_596101!A:H,8,FALSE))</f>
        <v>912</v>
      </c>
      <c r="P192" s="40">
        <f t="shared" ca="1" si="7"/>
        <v>1.6666666666575309E-4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input_596101!A$2</f>
        <v>596101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IFERROR(VLOOKUP(B193,input_596101!L:R,7,FALSE),VLOOKUP(tables_596101!C193,input_596101!A:H,8,FALSE))</f>
        <v>11503.36</v>
      </c>
      <c r="P193" s="40">
        <f t="shared" ca="1" si="7"/>
        <v>2.102222222210699E-3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input_596101!A$2</f>
        <v>596101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IFERROR(VLOOKUP(B194,input_596101!L:R,7,FALSE),VLOOKUP(tables_596101!C194,input_596101!A:H,8,FALSE))</f>
        <v>14379.2</v>
      </c>
      <c r="P194" s="40">
        <f t="shared" ref="P194:P257" ca="1" si="10">O194/SUM(O:O)</f>
        <v>2.6277777777633736E-3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input_596101!A$2</f>
        <v>596101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IFERROR(VLOOKUP(B195,input_596101!L:R,7,FALSE),VLOOKUP(tables_596101!C195,input_596101!A:H,8,FALSE))</f>
        <v>2875.84</v>
      </c>
      <c r="P195" s="40">
        <f t="shared" ca="1" si="10"/>
        <v>5.2555555555267475E-4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input_596101!A$2</f>
        <v>596101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IFERROR(VLOOKUP(B196,input_596101!L:R,7,FALSE),VLOOKUP(tables_596101!C196,input_596101!A:H,8,FALSE))</f>
        <v>1728</v>
      </c>
      <c r="P196" s="40">
        <f t="shared" ca="1" si="10"/>
        <v>3.1578947368247949E-4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input_596101!A$2</f>
        <v>596101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IFERROR(VLOOKUP(B197,input_596101!L:R,7,FALSE),VLOOKUP(tables_596101!C197,input_596101!A:H,8,FALSE))</f>
        <v>192</v>
      </c>
      <c r="P197" s="40">
        <f t="shared" ca="1" si="10"/>
        <v>3.5087719298053281E-5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input_596101!A$2</f>
        <v>596101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IFERROR(VLOOKUP(B198,input_596101!L:R,7,FALSE),VLOOKUP(tables_596101!C198,input_596101!A:H,8,FALSE))</f>
        <v>11503.36</v>
      </c>
      <c r="P198" s="40">
        <f t="shared" ca="1" si="10"/>
        <v>2.102222222210699E-3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input_596101!A$2</f>
        <v>596101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IFERROR(VLOOKUP(B199,input_596101!L:R,7,FALSE),VLOOKUP(tables_596101!C199,input_596101!A:H,8,FALSE))</f>
        <v>14379.2</v>
      </c>
      <c r="P199" s="40">
        <f t="shared" ca="1" si="10"/>
        <v>2.6277777777633736E-3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input_596101!A$2</f>
        <v>596101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IFERROR(VLOOKUP(B200,input_596101!L:R,7,FALSE),VLOOKUP(tables_596101!C200,input_596101!A:H,8,FALSE))</f>
        <v>2875.84</v>
      </c>
      <c r="P200" s="40">
        <f t="shared" ca="1" si="10"/>
        <v>5.2555555555267475E-4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input_596101!A$2</f>
        <v>596101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IFERROR(VLOOKUP(B201,input_596101!L:R,7,FALSE),VLOOKUP(tables_596101!C201,input_596101!A:H,8,FALSE))</f>
        <v>8208</v>
      </c>
      <c r="P201" s="40">
        <f t="shared" ca="1" si="10"/>
        <v>1.4999999999917777E-3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input_596101!A$2</f>
        <v>596101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IFERROR(VLOOKUP(B202,input_596101!L:R,7,FALSE),VLOOKUP(tables_596101!C202,input_596101!A:H,8,FALSE))</f>
        <v>912</v>
      </c>
      <c r="P202" s="40">
        <f t="shared" ca="1" si="10"/>
        <v>1.6666666666575309E-4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input_596101!A$2</f>
        <v>596101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IFERROR(VLOOKUP(B203,input_596101!L:R,7,FALSE),VLOOKUP(tables_596101!C203,input_596101!A:H,8,FALSE))</f>
        <v>11503.36</v>
      </c>
      <c r="P203" s="40">
        <f t="shared" ca="1" si="10"/>
        <v>2.102222222210699E-3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input_596101!A$2</f>
        <v>596101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IFERROR(VLOOKUP(B204,input_596101!L:R,7,FALSE),VLOOKUP(tables_596101!C204,input_596101!A:H,8,FALSE))</f>
        <v>14379.2</v>
      </c>
      <c r="P204" s="40">
        <f t="shared" ca="1" si="10"/>
        <v>2.6277777777633736E-3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input_596101!A$2</f>
        <v>596101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IFERROR(VLOOKUP(B205,input_596101!L:R,7,FALSE),VLOOKUP(tables_596101!C205,input_596101!A:H,8,FALSE))</f>
        <v>2875.84</v>
      </c>
      <c r="P205" s="40">
        <f t="shared" ca="1" si="10"/>
        <v>5.2555555555267475E-4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input_596101!A$2</f>
        <v>596101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IFERROR(VLOOKUP(B206,input_596101!L:R,7,FALSE),VLOOKUP(tables_596101!C206,input_596101!A:H,8,FALSE))</f>
        <v>1728</v>
      </c>
      <c r="P206" s="40">
        <f t="shared" ca="1" si="10"/>
        <v>3.1578947368247949E-4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input_596101!A$2</f>
        <v>596101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IFERROR(VLOOKUP(B207,input_596101!L:R,7,FALSE),VLOOKUP(tables_596101!C207,input_596101!A:H,8,FALSE))</f>
        <v>192</v>
      </c>
      <c r="P207" s="40">
        <f t="shared" ca="1" si="10"/>
        <v>3.5087719298053281E-5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input_596101!A$2</f>
        <v>596101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IFERROR(VLOOKUP(B208,input_596101!L:R,7,FALSE),VLOOKUP(tables_596101!C208,input_596101!A:H,8,FALSE))</f>
        <v>1728</v>
      </c>
      <c r="P208" s="40">
        <f t="shared" ca="1" si="10"/>
        <v>3.1578947368247949E-4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input_596101!A$2</f>
        <v>596101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IFERROR(VLOOKUP(B209,input_596101!L:R,7,FALSE),VLOOKUP(tables_596101!C209,input_596101!A:H,8,FALSE))</f>
        <v>192</v>
      </c>
      <c r="P209" s="40">
        <f t="shared" ca="1" si="10"/>
        <v>3.5087719298053281E-5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input_596101!A$2</f>
        <v>596101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IFERROR(VLOOKUP(B210,input_596101!L:R,7,FALSE),VLOOKUP(tables_596101!C210,input_596101!A:H,8,FALSE))</f>
        <v>49694.515200000002</v>
      </c>
      <c r="P210" s="40">
        <f t="shared" ca="1" si="10"/>
        <v>9.0815999999502191E-3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input_596101!A$2</f>
        <v>596101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IFERROR(VLOOKUP(B211,input_596101!L:R,7,FALSE),VLOOKUP(tables_596101!C211,input_596101!A:H,8,FALSE))</f>
        <v>62118.144</v>
      </c>
      <c r="P211" s="40">
        <f t="shared" ca="1" si="10"/>
        <v>1.1351999999937773E-2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input_596101!A$2</f>
        <v>596101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IFERROR(VLOOKUP(B212,input_596101!L:R,7,FALSE),VLOOKUP(tables_596101!C212,input_596101!A:H,8,FALSE))</f>
        <v>7362.4978300000002</v>
      </c>
      <c r="P212" s="40">
        <f t="shared" ca="1" si="10"/>
        <v>1.3454857145394083E-3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input_596101!A$2</f>
        <v>596101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IFERROR(VLOOKUP(B213,input_596101!L:R,7,FALSE),VLOOKUP(tables_596101!C213,input_596101!A:H,8,FALSE))</f>
        <v>1728</v>
      </c>
      <c r="P213" s="40">
        <f t="shared" ca="1" si="10"/>
        <v>3.1578947368247949E-4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input_596101!A$2</f>
        <v>596101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IFERROR(VLOOKUP(B214,input_596101!L:R,7,FALSE),VLOOKUP(tables_596101!C214,input_596101!A:H,8,FALSE))</f>
        <v>192</v>
      </c>
      <c r="P214" s="40">
        <f t="shared" ca="1" si="10"/>
        <v>3.5087719298053281E-5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input_596101!A$2</f>
        <v>596101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IFERROR(VLOOKUP(B215,input_596101!L:R,7,FALSE),VLOOKUP(tables_596101!C215,input_596101!A:H,8,FALSE))</f>
        <v>1477.328</v>
      </c>
      <c r="P215" s="40">
        <f t="shared" ca="1" si="10"/>
        <v>2.6997953216226277E-4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input_596101!A$2</f>
        <v>596101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IFERROR(VLOOKUP(B216,input_596101!L:R,7,FALSE),VLOOKUP(tables_596101!C216,input_596101!A:H,8,FALSE))</f>
        <v>1477.328</v>
      </c>
      <c r="P216" s="40">
        <f t="shared" ca="1" si="10"/>
        <v>2.6997953216226277E-4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input_596101!A$2</f>
        <v>596101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IFERROR(VLOOKUP(B217,input_596101!L:R,7,FALSE),VLOOKUP(tables_596101!C217,input_596101!A:H,8,FALSE))</f>
        <v>10860.20023</v>
      </c>
      <c r="P217" s="40">
        <f t="shared" ca="1" si="10"/>
        <v>1.9846857145359043E-3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input_596101!A$2</f>
        <v>596101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IFERROR(VLOOKUP(B218,input_596101!L:R,7,FALSE),VLOOKUP(tables_596101!C218,input_596101!A:H,8,FALSE))</f>
        <v>1477.328</v>
      </c>
      <c r="P218" s="40">
        <f t="shared" ca="1" si="10"/>
        <v>2.6997953216226277E-4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input_596101!A$2</f>
        <v>596101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IFERROR(VLOOKUP(B219,input_596101!L:R,7,FALSE),VLOOKUP(tables_596101!C219,input_596101!A:H,8,FALSE))</f>
        <v>10860.20023</v>
      </c>
      <c r="P219" s="40">
        <f t="shared" ca="1" si="10"/>
        <v>1.9846857145359043E-3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input_596101!A$2</f>
        <v>596101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IFERROR(VLOOKUP(B220,input_596101!L:R,7,FALSE),VLOOKUP(tables_596101!C220,input_596101!A:H,8,FALSE))</f>
        <v>1477.328</v>
      </c>
      <c r="P220" s="40">
        <f t="shared" ca="1" si="10"/>
        <v>2.6997953216226277E-4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input_596101!A$2</f>
        <v>596101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IFERROR(VLOOKUP(B221,input_596101!L:R,7,FALSE),VLOOKUP(tables_596101!C221,input_596101!A:H,8,FALSE))</f>
        <v>1728</v>
      </c>
      <c r="P221" s="40">
        <f t="shared" ca="1" si="10"/>
        <v>3.1578947368247949E-4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input_596101!A$2</f>
        <v>596101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IFERROR(VLOOKUP(B222,input_596101!L:R,7,FALSE),VLOOKUP(tables_596101!C222,input_596101!A:H,8,FALSE))</f>
        <v>192</v>
      </c>
      <c r="P222" s="40">
        <f t="shared" ca="1" si="10"/>
        <v>3.5087719298053281E-5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input_596101!A$2</f>
        <v>596101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IFERROR(VLOOKUP(B223,input_596101!L:R,7,FALSE),VLOOKUP(tables_596101!C223,input_596101!A:H,8,FALSE))</f>
        <v>11503.36</v>
      </c>
      <c r="P223" s="40">
        <f t="shared" ca="1" si="10"/>
        <v>2.102222222210699E-3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input_596101!A$2</f>
        <v>596101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IFERROR(VLOOKUP(B224,input_596101!L:R,7,FALSE),VLOOKUP(tables_596101!C224,input_596101!A:H,8,FALSE))</f>
        <v>14379.2</v>
      </c>
      <c r="P224" s="40">
        <f t="shared" ca="1" si="10"/>
        <v>2.6277777777633736E-3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input_596101!A$2</f>
        <v>596101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IFERROR(VLOOKUP(B225,input_596101!L:R,7,FALSE),VLOOKUP(tables_596101!C225,input_596101!A:H,8,FALSE))</f>
        <v>2875.84</v>
      </c>
      <c r="P225" s="40">
        <f t="shared" ca="1" si="10"/>
        <v>5.2555555555267475E-4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input_596101!A$2</f>
        <v>596101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IFERROR(VLOOKUP(B226,input_596101!L:R,7,FALSE),VLOOKUP(tables_596101!C226,input_596101!A:H,8,FALSE))</f>
        <v>49694.515200000002</v>
      </c>
      <c r="P226" s="40">
        <f t="shared" ca="1" si="10"/>
        <v>9.0815999999502191E-3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input_596101!A$2</f>
        <v>596101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IFERROR(VLOOKUP(B227,input_596101!L:R,7,FALSE),VLOOKUP(tables_596101!C227,input_596101!A:H,8,FALSE))</f>
        <v>62118.144</v>
      </c>
      <c r="P227" s="40">
        <f t="shared" ca="1" si="10"/>
        <v>1.1351999999937773E-2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input_596101!A$2</f>
        <v>596101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IFERROR(VLOOKUP(B228,input_596101!L:R,7,FALSE),VLOOKUP(tables_596101!C228,input_596101!A:H,8,FALSE))</f>
        <v>7362.4978300000002</v>
      </c>
      <c r="P228" s="40">
        <f t="shared" ca="1" si="10"/>
        <v>1.3454857145394083E-3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input_596101!A$2</f>
        <v>596101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IFERROR(VLOOKUP(B229,input_596101!L:R,7,FALSE),VLOOKUP(tables_596101!C229,input_596101!A:H,8,FALSE))</f>
        <v>1728</v>
      </c>
      <c r="P229" s="40">
        <f t="shared" ca="1" si="10"/>
        <v>3.1578947368247949E-4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input_596101!A$2</f>
        <v>596101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IFERROR(VLOOKUP(B230,input_596101!L:R,7,FALSE),VLOOKUP(tables_596101!C230,input_596101!A:H,8,FALSE))</f>
        <v>192</v>
      </c>
      <c r="P230" s="40">
        <f t="shared" ca="1" si="10"/>
        <v>3.5087719298053281E-5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input_596101!A$2</f>
        <v>596101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IFERROR(VLOOKUP(B231,input_596101!L:R,7,FALSE),VLOOKUP(tables_596101!C231,input_596101!A:H,8,FALSE))</f>
        <v>11503.36</v>
      </c>
      <c r="P231" s="40">
        <f t="shared" ca="1" si="10"/>
        <v>2.102222222210699E-3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input_596101!A$2</f>
        <v>596101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IFERROR(VLOOKUP(B232,input_596101!L:R,7,FALSE),VLOOKUP(tables_596101!C232,input_596101!A:H,8,FALSE))</f>
        <v>14379.2</v>
      </c>
      <c r="P232" s="40">
        <f t="shared" ca="1" si="10"/>
        <v>2.6277777777633736E-3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input_596101!A$2</f>
        <v>596101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IFERROR(VLOOKUP(B233,input_596101!L:R,7,FALSE),VLOOKUP(tables_596101!C233,input_596101!A:H,8,FALSE))</f>
        <v>2875.84</v>
      </c>
      <c r="P233" s="40">
        <f t="shared" ca="1" si="10"/>
        <v>5.2555555555267475E-4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input_596101!A$2</f>
        <v>596101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IFERROR(VLOOKUP(B234,input_596101!L:R,7,FALSE),VLOOKUP(tables_596101!C234,input_596101!A:H,8,FALSE))</f>
        <v>11503.36</v>
      </c>
      <c r="P234" s="40">
        <f t="shared" ca="1" si="10"/>
        <v>2.102222222210699E-3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input_596101!A$2</f>
        <v>596101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IFERROR(VLOOKUP(B235,input_596101!L:R,7,FALSE),VLOOKUP(tables_596101!C235,input_596101!A:H,8,FALSE))</f>
        <v>14379.2</v>
      </c>
      <c r="P235" s="40">
        <f t="shared" ca="1" si="10"/>
        <v>2.6277777777633736E-3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input_596101!A$2</f>
        <v>596101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IFERROR(VLOOKUP(B236,input_596101!L:R,7,FALSE),VLOOKUP(tables_596101!C236,input_596101!A:H,8,FALSE))</f>
        <v>2875.84</v>
      </c>
      <c r="P236" s="40">
        <f t="shared" ca="1" si="10"/>
        <v>5.2555555555267475E-4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input_596101!A$2</f>
        <v>596101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IFERROR(VLOOKUP(B237,input_596101!L:R,7,FALSE),VLOOKUP(tables_596101!C237,input_596101!A:H,8,FALSE))</f>
        <v>8208</v>
      </c>
      <c r="P237" s="40">
        <f t="shared" ca="1" si="10"/>
        <v>1.4999999999917777E-3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input_596101!A$2</f>
        <v>596101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IFERROR(VLOOKUP(B238,input_596101!L:R,7,FALSE),VLOOKUP(tables_596101!C238,input_596101!A:H,8,FALSE))</f>
        <v>912</v>
      </c>
      <c r="P238" s="40">
        <f t="shared" ca="1" si="10"/>
        <v>1.6666666666575309E-4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input_596101!A$2</f>
        <v>596101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IFERROR(VLOOKUP(B239,input_596101!L:R,7,FALSE),VLOOKUP(tables_596101!C239,input_596101!A:H,8,FALSE))</f>
        <v>11503.36</v>
      </c>
      <c r="P239" s="40">
        <f t="shared" ca="1" si="10"/>
        <v>2.102222222210699E-3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input_596101!A$2</f>
        <v>596101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IFERROR(VLOOKUP(B240,input_596101!L:R,7,FALSE),VLOOKUP(tables_596101!C240,input_596101!A:H,8,FALSE))</f>
        <v>14379.2</v>
      </c>
      <c r="P240" s="40">
        <f t="shared" ca="1" si="10"/>
        <v>2.6277777777633736E-3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input_596101!A$2</f>
        <v>596101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IFERROR(VLOOKUP(B241,input_596101!L:R,7,FALSE),VLOOKUP(tables_596101!C241,input_596101!A:H,8,FALSE))</f>
        <v>2875.84</v>
      </c>
      <c r="P241" s="40">
        <f t="shared" ca="1" si="10"/>
        <v>5.2555555555267475E-4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input_596101!A$2</f>
        <v>596101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IFERROR(VLOOKUP(B242,input_596101!L:R,7,FALSE),VLOOKUP(tables_596101!C242,input_596101!A:H,8,FALSE))</f>
        <v>1728</v>
      </c>
      <c r="P242" s="40">
        <f t="shared" ca="1" si="10"/>
        <v>3.1578947368247949E-4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input_596101!A$2</f>
        <v>596101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IFERROR(VLOOKUP(B243,input_596101!L:R,7,FALSE),VLOOKUP(tables_596101!C243,input_596101!A:H,8,FALSE))</f>
        <v>192</v>
      </c>
      <c r="P243" s="40">
        <f t="shared" ca="1" si="10"/>
        <v>3.5087719298053281E-5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input_596101!A$2</f>
        <v>596101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IFERROR(VLOOKUP(B244,input_596101!L:R,7,FALSE),VLOOKUP(tables_596101!C244,input_596101!A:H,8,FALSE))</f>
        <v>1728</v>
      </c>
      <c r="P244" s="40">
        <f t="shared" ca="1" si="10"/>
        <v>3.1578947368247949E-4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input_596101!A$2</f>
        <v>596101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IFERROR(VLOOKUP(B245,input_596101!L:R,7,FALSE),VLOOKUP(tables_596101!C245,input_596101!A:H,8,FALSE))</f>
        <v>192</v>
      </c>
      <c r="P245" s="40">
        <f t="shared" ca="1" si="10"/>
        <v>3.5087719298053281E-5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input_596101!A$2</f>
        <v>596101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IFERROR(VLOOKUP(B246,input_596101!L:R,7,FALSE),VLOOKUP(tables_596101!C246,input_596101!A:H,8,FALSE))</f>
        <v>49694.515200000002</v>
      </c>
      <c r="P246" s="40">
        <f t="shared" ca="1" si="10"/>
        <v>9.0815999999502191E-3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input_596101!A$2</f>
        <v>596101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IFERROR(VLOOKUP(B247,input_596101!L:R,7,FALSE),VLOOKUP(tables_596101!C247,input_596101!A:H,8,FALSE))</f>
        <v>62118.144</v>
      </c>
      <c r="P247" s="40">
        <f t="shared" ca="1" si="10"/>
        <v>1.1351999999937773E-2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input_596101!A$2</f>
        <v>596101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IFERROR(VLOOKUP(B248,input_596101!L:R,7,FALSE),VLOOKUP(tables_596101!C248,input_596101!A:H,8,FALSE))</f>
        <v>7362.4978300000002</v>
      </c>
      <c r="P248" s="40">
        <f t="shared" ca="1" si="10"/>
        <v>1.3454857145394083E-3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input_596101!A$2</f>
        <v>596101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IFERROR(VLOOKUP(B249,input_596101!L:R,7,FALSE),VLOOKUP(tables_596101!C249,input_596101!A:H,8,FALSE))</f>
        <v>11503.36</v>
      </c>
      <c r="P249" s="40">
        <f t="shared" ca="1" si="10"/>
        <v>2.102222222210699E-3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input_596101!A$2</f>
        <v>596101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IFERROR(VLOOKUP(B250,input_596101!L:R,7,FALSE),VLOOKUP(tables_596101!C250,input_596101!A:H,8,FALSE))</f>
        <v>14379.2</v>
      </c>
      <c r="P250" s="40">
        <f t="shared" ca="1" si="10"/>
        <v>2.6277777777633736E-3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input_596101!A$2</f>
        <v>596101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IFERROR(VLOOKUP(B251,input_596101!L:R,7,FALSE),VLOOKUP(tables_596101!C251,input_596101!A:H,8,FALSE))</f>
        <v>2875.84</v>
      </c>
      <c r="P251" s="40">
        <f t="shared" ca="1" si="10"/>
        <v>5.2555555555267475E-4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input_596101!A$2</f>
        <v>596101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IFERROR(VLOOKUP(B252,input_596101!L:R,7,FALSE),VLOOKUP(tables_596101!C252,input_596101!A:H,8,FALSE))</f>
        <v>11503.36</v>
      </c>
      <c r="P252" s="40">
        <f t="shared" ca="1" si="10"/>
        <v>2.102222222210699E-3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input_596101!A$2</f>
        <v>596101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IFERROR(VLOOKUP(B253,input_596101!L:R,7,FALSE),VLOOKUP(tables_596101!C253,input_596101!A:H,8,FALSE))</f>
        <v>14379.2</v>
      </c>
      <c r="P253" s="40">
        <f t="shared" ca="1" si="10"/>
        <v>2.6277777777633736E-3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input_596101!A$2</f>
        <v>596101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IFERROR(VLOOKUP(B254,input_596101!L:R,7,FALSE),VLOOKUP(tables_596101!C254,input_596101!A:H,8,FALSE))</f>
        <v>2875.84</v>
      </c>
      <c r="P254" s="40">
        <f t="shared" ca="1" si="10"/>
        <v>5.2555555555267475E-4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input_596101!A$2</f>
        <v>596101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IFERROR(VLOOKUP(B255,input_596101!L:R,7,FALSE),VLOOKUP(tables_596101!C255,input_596101!A:H,8,FALSE))</f>
        <v>11503.36</v>
      </c>
      <c r="P255" s="40">
        <f t="shared" ca="1" si="10"/>
        <v>2.102222222210699E-3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input_596101!A$2</f>
        <v>596101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IFERROR(VLOOKUP(B256,input_596101!L:R,7,FALSE),VLOOKUP(tables_596101!C256,input_596101!A:H,8,FALSE))</f>
        <v>14379.2</v>
      </c>
      <c r="P256" s="40">
        <f t="shared" ca="1" si="10"/>
        <v>2.6277777777633736E-3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input_596101!A$2</f>
        <v>596101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IFERROR(VLOOKUP(B257,input_596101!L:R,7,FALSE),VLOOKUP(tables_596101!C257,input_596101!A:H,8,FALSE))</f>
        <v>2875.84</v>
      </c>
      <c r="P257" s="40">
        <f t="shared" ca="1" si="10"/>
        <v>5.2555555555267475E-4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input_596101!A$2</f>
        <v>596101</v>
      </c>
      <c r="B258" s="52">
        <v>674</v>
      </c>
      <c r="C258" s="7" t="str">
        <f t="shared" ref="C258:C321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IFERROR(VLOOKUP(B258,input_596101!L:R,7,FALSE),VLOOKUP(tables_596101!C258,input_596101!A:H,8,FALSE))</f>
        <v>8208</v>
      </c>
      <c r="P258" s="40">
        <f t="shared" ref="P258:P321" ca="1" si="13">O258/SUM(O:O)</f>
        <v>1.4999999999917777E-3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input_596101!A$2</f>
        <v>596101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IFERROR(VLOOKUP(B259,input_596101!L:R,7,FALSE),VLOOKUP(tables_596101!C259,input_596101!A:H,8,FALSE))</f>
        <v>912</v>
      </c>
      <c r="P259" s="40">
        <f t="shared" ca="1" si="13"/>
        <v>1.6666666666575309E-4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input_596101!A$2</f>
        <v>596101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IFERROR(VLOOKUP(B260,input_596101!L:R,7,FALSE),VLOOKUP(tables_596101!C260,input_596101!A:H,8,FALSE))</f>
        <v>1728</v>
      </c>
      <c r="P260" s="40">
        <f t="shared" ca="1" si="13"/>
        <v>3.1578947368247949E-4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input_596101!A$2</f>
        <v>596101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IFERROR(VLOOKUP(B261,input_596101!L:R,7,FALSE),VLOOKUP(tables_596101!C261,input_596101!A:H,8,FALSE))</f>
        <v>192</v>
      </c>
      <c r="P261" s="40">
        <f t="shared" ca="1" si="13"/>
        <v>3.5087719298053281E-5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input_596101!A$2</f>
        <v>596101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IFERROR(VLOOKUP(B262,input_596101!L:R,7,FALSE),VLOOKUP(tables_596101!C262,input_596101!A:H,8,FALSE))</f>
        <v>26911.74</v>
      </c>
      <c r="P262" s="40">
        <f t="shared" ca="1" si="13"/>
        <v>4.9180811403239186E-3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input_596101!A$2</f>
        <v>596101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IFERROR(VLOOKUP(B263,input_596101!L:R,7,FALSE),VLOOKUP(tables_596101!C263,input_596101!A:H,8,FALSE))</f>
        <v>1477.328</v>
      </c>
      <c r="P263" s="40">
        <f t="shared" ca="1" si="13"/>
        <v>2.6997953216226277E-4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input_596101!A$2</f>
        <v>596101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IFERROR(VLOOKUP(B264,input_596101!L:R,7,FALSE),VLOOKUP(tables_596101!C264,input_596101!A:H,8,FALSE))</f>
        <v>26911.74</v>
      </c>
      <c r="P264" s="40">
        <f t="shared" ca="1" si="13"/>
        <v>4.9180811403239186E-3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input_596101!A$2</f>
        <v>596101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IFERROR(VLOOKUP(B265,input_596101!L:R,7,FALSE),VLOOKUP(tables_596101!C265,input_596101!A:H,8,FALSE))</f>
        <v>1477.328</v>
      </c>
      <c r="P265" s="40">
        <f t="shared" ca="1" si="13"/>
        <v>2.6997953216226277E-4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input_596101!A$2</f>
        <v>596101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IFERROR(VLOOKUP(B266,input_596101!L:R,7,FALSE),VLOOKUP(tables_596101!C266,input_596101!A:H,8,FALSE))</f>
        <v>9120</v>
      </c>
      <c r="P266" s="40">
        <f t="shared" ca="1" si="13"/>
        <v>1.6666666666575306E-3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input_596101!A$2</f>
        <v>596101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IFERROR(VLOOKUP(B267,input_596101!L:R,7,FALSE),VLOOKUP(tables_596101!C267,input_596101!A:H,8,FALSE))</f>
        <v>1920</v>
      </c>
      <c r="P267" s="40">
        <f t="shared" ca="1" si="13"/>
        <v>3.5087719298053279E-4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input_596101!A$2</f>
        <v>596101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IFERROR(VLOOKUP(B268,input_596101!L:R,7,FALSE),VLOOKUP(tables_596101!C268,input_596101!A:H,8,FALSE))</f>
        <v>1920</v>
      </c>
      <c r="P268" s="40">
        <f t="shared" ca="1" si="13"/>
        <v>3.5087719298053279E-4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input_596101!A$2</f>
        <v>596101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IFERROR(VLOOKUP(B269,input_596101!L:R,7,FALSE),VLOOKUP(tables_596101!C269,input_596101!A:H,8,FALSE))</f>
        <v>1920</v>
      </c>
      <c r="P269" s="40">
        <f t="shared" ca="1" si="13"/>
        <v>3.5087719298053279E-4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input_596101!A$2</f>
        <v>596101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IFERROR(VLOOKUP(B270,input_596101!L:R,7,FALSE),VLOOKUP(tables_596101!C270,input_596101!A:H,8,FALSE))</f>
        <v>109032.00768</v>
      </c>
      <c r="P270" s="40">
        <f t="shared" ca="1" si="13"/>
        <v>1.9925439999890777E-2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input_596101!A$2</f>
        <v>596101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IFERROR(VLOOKUP(B271,input_596101!L:R,7,FALSE),VLOOKUP(tables_596101!C271,input_596101!A:H,8,FALSE))</f>
        <v>10860.20023</v>
      </c>
      <c r="P271" s="40">
        <f t="shared" ca="1" si="13"/>
        <v>1.9846857145359043E-3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input_596101!A$2</f>
        <v>596101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IFERROR(VLOOKUP(B272,input_596101!L:R,7,FALSE),VLOOKUP(tables_596101!C272,input_596101!A:H,8,FALSE))</f>
        <v>26911.74</v>
      </c>
      <c r="P272" s="40">
        <f t="shared" ca="1" si="13"/>
        <v>4.9180811403239186E-3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input_596101!A$2</f>
        <v>596101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IFERROR(VLOOKUP(B273,input_596101!L:R,7,FALSE),VLOOKUP(tables_596101!C273,input_596101!A:H,8,FALSE))</f>
        <v>1477.328</v>
      </c>
      <c r="P273" s="40">
        <f t="shared" ca="1" si="13"/>
        <v>2.6997953216226277E-4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input_596101!A$2</f>
        <v>596101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IFERROR(VLOOKUP(B274,input_596101!L:R,7,FALSE),VLOOKUP(tables_596101!C274,input_596101!A:H,8,FALSE))</f>
        <v>1728</v>
      </c>
      <c r="P274" s="40">
        <f t="shared" ca="1" si="13"/>
        <v>3.1578947368247949E-4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input_596101!A$2</f>
        <v>596101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IFERROR(VLOOKUP(B275,input_596101!L:R,7,FALSE),VLOOKUP(tables_596101!C275,input_596101!A:H,8,FALSE))</f>
        <v>192</v>
      </c>
      <c r="P275" s="40">
        <f t="shared" ca="1" si="13"/>
        <v>3.5087719298053281E-5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input_596101!A$2</f>
        <v>596101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IFERROR(VLOOKUP(B276,input_596101!L:R,7,FALSE),VLOOKUP(tables_596101!C276,input_596101!A:H,8,FALSE))</f>
        <v>1728</v>
      </c>
      <c r="P276" s="40">
        <f t="shared" ca="1" si="13"/>
        <v>3.1578947368247949E-4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input_596101!A$2</f>
        <v>596101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IFERROR(VLOOKUP(B277,input_596101!L:R,7,FALSE),VLOOKUP(tables_596101!C277,input_596101!A:H,8,FALSE))</f>
        <v>192</v>
      </c>
      <c r="P277" s="40">
        <f t="shared" ca="1" si="13"/>
        <v>3.5087719298053281E-5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input_596101!A$2</f>
        <v>596101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IFERROR(VLOOKUP(B278,input_596101!L:R,7,FALSE),VLOOKUP(tables_596101!C278,input_596101!A:H,8,FALSE))</f>
        <v>49694.515200000002</v>
      </c>
      <c r="P278" s="40">
        <f t="shared" ca="1" si="13"/>
        <v>9.0815999999502191E-3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input_596101!A$2</f>
        <v>596101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IFERROR(VLOOKUP(B279,input_596101!L:R,7,FALSE),VLOOKUP(tables_596101!C279,input_596101!A:H,8,FALSE))</f>
        <v>62118.144</v>
      </c>
      <c r="P279" s="40">
        <f t="shared" ca="1" si="13"/>
        <v>1.1351999999937773E-2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input_596101!A$2</f>
        <v>596101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IFERROR(VLOOKUP(B280,input_596101!L:R,7,FALSE),VLOOKUP(tables_596101!C280,input_596101!A:H,8,FALSE))</f>
        <v>7362.4978300000002</v>
      </c>
      <c r="P280" s="40">
        <f t="shared" ca="1" si="13"/>
        <v>1.3454857145394083E-3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input_596101!A$2</f>
        <v>596101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IFERROR(VLOOKUP(B281,input_596101!L:R,7,FALSE),VLOOKUP(tables_596101!C281,input_596101!A:H,8,FALSE))</f>
        <v>11503.36</v>
      </c>
      <c r="P281" s="40">
        <f t="shared" ca="1" si="13"/>
        <v>2.102222222210699E-3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input_596101!A$2</f>
        <v>596101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IFERROR(VLOOKUP(B282,input_596101!L:R,7,FALSE),VLOOKUP(tables_596101!C282,input_596101!A:H,8,FALSE))</f>
        <v>14379.2</v>
      </c>
      <c r="P282" s="40">
        <f t="shared" ca="1" si="13"/>
        <v>2.6277777777633736E-3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input_596101!A$2</f>
        <v>596101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IFERROR(VLOOKUP(B283,input_596101!L:R,7,FALSE),VLOOKUP(tables_596101!C283,input_596101!A:H,8,FALSE))</f>
        <v>2875.84</v>
      </c>
      <c r="P283" s="40">
        <f t="shared" ca="1" si="13"/>
        <v>5.2555555555267475E-4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input_596101!A$2</f>
        <v>596101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IFERROR(VLOOKUP(B284,input_596101!L:R,7,FALSE),VLOOKUP(tables_596101!C284,input_596101!A:H,8,FALSE))</f>
        <v>1920</v>
      </c>
      <c r="P284" s="40">
        <f t="shared" ca="1" si="13"/>
        <v>3.5087719298053279E-4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input_596101!A$2</f>
        <v>596101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IFERROR(VLOOKUP(B285,input_596101!L:R,7,FALSE),VLOOKUP(tables_596101!C285,input_596101!A:H,8,FALSE))</f>
        <v>1920</v>
      </c>
      <c r="P285" s="40">
        <f t="shared" ca="1" si="13"/>
        <v>3.5087719298053279E-4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input_596101!A$2</f>
        <v>596101</v>
      </c>
      <c r="B286" s="5">
        <v>852</v>
      </c>
      <c r="C286" s="7" t="str">
        <f t="shared" si="12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IFERROR(VLOOKUP(B286,input_596101!L:R,7,FALSE),VLOOKUP(tables_596101!C286,input_596101!A:H,8,FALSE))</f>
        <v>109032.00768</v>
      </c>
      <c r="P286" s="40">
        <f t="shared" ca="1" si="13"/>
        <v>1.9925439999890777E-2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input_596101!A$2</f>
        <v>596101</v>
      </c>
      <c r="B287" s="5">
        <v>853</v>
      </c>
      <c r="C287" s="7" t="str">
        <f t="shared" si="12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IFERROR(VLOOKUP(B287,input_596101!L:R,7,FALSE),VLOOKUP(tables_596101!C287,input_596101!A:H,8,FALSE))</f>
        <v>10860.20023</v>
      </c>
      <c r="P287" s="40">
        <f t="shared" ca="1" si="13"/>
        <v>1.9846857145359043E-3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input_596101!A$2</f>
        <v>596101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IFERROR(VLOOKUP(B288,input_596101!L:R,7,FALSE),VLOOKUP(tables_596101!C288,input_596101!A:H,8,FALSE))</f>
        <v>26911.74</v>
      </c>
      <c r="P288" s="40">
        <f t="shared" ca="1" si="13"/>
        <v>4.9180811403239186E-3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input_596101!A$2</f>
        <v>596101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IFERROR(VLOOKUP(B289,input_596101!L:R,7,FALSE),VLOOKUP(tables_596101!C289,input_596101!A:H,8,FALSE))</f>
        <v>1477.328</v>
      </c>
      <c r="P289" s="40">
        <f t="shared" ca="1" si="13"/>
        <v>2.6997953216226277E-4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input_596101!A$2</f>
        <v>596101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IFERROR(VLOOKUP(B290,input_596101!L:R,7,FALSE),VLOOKUP(tables_596101!C290,input_596101!A:H,8,FALSE))</f>
        <v>26911.74</v>
      </c>
      <c r="P290" s="40">
        <f t="shared" ca="1" si="13"/>
        <v>4.9180811403239186E-3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input_596101!A$2</f>
        <v>596101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IFERROR(VLOOKUP(B291,input_596101!L:R,7,FALSE),VLOOKUP(tables_596101!C291,input_596101!A:H,8,FALSE))</f>
        <v>1477.328</v>
      </c>
      <c r="P291" s="40">
        <f t="shared" ca="1" si="13"/>
        <v>2.6997953216226277E-4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input_596101!A$2</f>
        <v>596101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IFERROR(VLOOKUP(B292,input_596101!L:R,7,FALSE),VLOOKUP(tables_596101!C292,input_596101!A:H,8,FALSE))</f>
        <v>26911.74</v>
      </c>
      <c r="P292" s="40">
        <f t="shared" ca="1" si="13"/>
        <v>4.9180811403239186E-3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input_596101!A$2</f>
        <v>596101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IFERROR(VLOOKUP(B293,input_596101!L:R,7,FALSE),VLOOKUP(tables_596101!C293,input_596101!A:H,8,FALSE))</f>
        <v>1477.328</v>
      </c>
      <c r="P293" s="40">
        <f t="shared" ca="1" si="13"/>
        <v>2.6997953216226277E-4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input_596101!A$2</f>
        <v>596101</v>
      </c>
      <c r="B294" s="5">
        <v>866</v>
      </c>
      <c r="C294" s="7" t="str">
        <f t="shared" si="12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IFERROR(VLOOKUP(B294,input_596101!L:R,7,FALSE),VLOOKUP(tables_596101!C294,input_596101!A:H,8,FALSE))</f>
        <v>9120</v>
      </c>
      <c r="P294" s="40">
        <f t="shared" ca="1" si="13"/>
        <v>1.6666666666575306E-3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input_596101!A$2</f>
        <v>596101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IFERROR(VLOOKUP(B295,input_596101!L:R,7,FALSE),VLOOKUP(tables_596101!C295,input_596101!A:H,8,FALSE))</f>
        <v>1920</v>
      </c>
      <c r="P295" s="40">
        <f t="shared" ca="1" si="13"/>
        <v>3.5087719298053279E-4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input_596101!A$2</f>
        <v>596101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IFERROR(VLOOKUP(B296,input_596101!L:R,7,FALSE),VLOOKUP(tables_596101!C296,input_596101!A:H,8,FALSE))</f>
        <v>1920</v>
      </c>
      <c r="P296" s="40">
        <f t="shared" ca="1" si="13"/>
        <v>3.5087719298053279E-4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input_596101!A$2</f>
        <v>596101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IFERROR(VLOOKUP(B297,input_596101!L:R,7,FALSE),VLOOKUP(tables_596101!C297,input_596101!A:H,8,FALSE))</f>
        <v>26911.74</v>
      </c>
      <c r="P297" s="40">
        <f t="shared" ca="1" si="13"/>
        <v>4.9180811403239186E-3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input_596101!A$2</f>
        <v>596101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IFERROR(VLOOKUP(B298,input_596101!L:R,7,FALSE),VLOOKUP(tables_596101!C298,input_596101!A:H,8,FALSE))</f>
        <v>1477.328</v>
      </c>
      <c r="P298" s="40">
        <f t="shared" ca="1" si="13"/>
        <v>2.6997953216226277E-4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input_596101!A$2</f>
        <v>596101</v>
      </c>
      <c r="B299" s="5">
        <v>941</v>
      </c>
      <c r="C299" s="7" t="str">
        <f t="shared" si="12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IFERROR(VLOOKUP(B299,input_596101!L:R,7,FALSE),VLOOKUP(tables_596101!C299,input_596101!A:H,8,FALSE))</f>
        <v>9120</v>
      </c>
      <c r="P299" s="40">
        <f t="shared" ca="1" si="13"/>
        <v>1.6666666666575306E-3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input_596101!A$2</f>
        <v>596101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IFERROR(VLOOKUP(B300,input_596101!L:R,7,FALSE),VLOOKUP(tables_596101!C300,input_596101!A:H,8,FALSE))</f>
        <v>1920</v>
      </c>
      <c r="P300" s="40">
        <f t="shared" ca="1" si="13"/>
        <v>3.5087719298053279E-4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input_596101!A$2</f>
        <v>596101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IFERROR(VLOOKUP(B301,input_596101!L:R,7,FALSE),VLOOKUP(tables_596101!C301,input_596101!A:H,8,FALSE))</f>
        <v>1920</v>
      </c>
      <c r="P301" s="40">
        <f t="shared" ca="1" si="13"/>
        <v>3.5087719298053279E-4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input_596101!A$2</f>
        <v>596101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IFERROR(VLOOKUP(B302,input_596101!L:R,7,FALSE),VLOOKUP(tables_596101!C302,input_596101!A:H,8,FALSE))</f>
        <v>1920</v>
      </c>
      <c r="P302" s="40">
        <f t="shared" ca="1" si="13"/>
        <v>3.5087719298053279E-4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input_596101!A$2</f>
        <v>596101</v>
      </c>
      <c r="B303" s="5">
        <v>1016</v>
      </c>
      <c r="C303" s="7" t="str">
        <f t="shared" si="12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IFERROR(VLOOKUP(B303,input_596101!L:R,7,FALSE),VLOOKUP(tables_596101!C303,input_596101!A:H,8,FALSE))</f>
        <v>109032.00768</v>
      </c>
      <c r="P303" s="40">
        <f t="shared" ca="1" si="13"/>
        <v>1.9925439999890777E-2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input_596101!A$2</f>
        <v>596101</v>
      </c>
      <c r="B304" s="5">
        <v>1017</v>
      </c>
      <c r="C304" s="7" t="str">
        <f t="shared" si="12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IFERROR(VLOOKUP(B304,input_596101!L:R,7,FALSE),VLOOKUP(tables_596101!C304,input_596101!A:H,8,FALSE))</f>
        <v>10860.20023</v>
      </c>
      <c r="P304" s="40">
        <f t="shared" ca="1" si="13"/>
        <v>1.9846857145359043E-3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input_596101!A$2</f>
        <v>596101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IFERROR(VLOOKUP(B305,input_596101!L:R,7,FALSE),VLOOKUP(tables_596101!C305,input_596101!A:H,8,FALSE))</f>
        <v>1920</v>
      </c>
      <c r="P305" s="40">
        <f t="shared" ca="1" si="13"/>
        <v>3.5087719298053279E-4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input_596101!A$2</f>
        <v>596101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IFERROR(VLOOKUP(B306,input_596101!L:R,7,FALSE),VLOOKUP(tables_596101!C306,input_596101!A:H,8,FALSE))</f>
        <v>26911.74</v>
      </c>
      <c r="P306" s="40">
        <f t="shared" ca="1" si="13"/>
        <v>4.9180811403239186E-3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input_596101!A$2</f>
        <v>596101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IFERROR(VLOOKUP(B307,input_596101!L:R,7,FALSE),VLOOKUP(tables_596101!C307,input_596101!A:H,8,FALSE))</f>
        <v>1477.328</v>
      </c>
      <c r="P307" s="40">
        <f t="shared" ca="1" si="13"/>
        <v>2.6997953216226277E-4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input_596101!A$2</f>
        <v>596101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IFERROR(VLOOKUP(B308,input_596101!L:R,7,FALSE),VLOOKUP(tables_596101!C308,input_596101!A:H,8,FALSE))</f>
        <v>1920</v>
      </c>
      <c r="P308" s="40">
        <f t="shared" ca="1" si="13"/>
        <v>3.5087719298053279E-4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input_596101!A$2</f>
        <v>596101</v>
      </c>
      <c r="B309" s="5">
        <v>1031</v>
      </c>
      <c r="C309" s="7" t="str">
        <f t="shared" si="12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IFERROR(VLOOKUP(B309,input_596101!L:R,7,FALSE),VLOOKUP(tables_596101!C309,input_596101!A:H,8,FALSE))</f>
        <v>9120</v>
      </c>
      <c r="P309" s="40">
        <f t="shared" ca="1" si="13"/>
        <v>1.6666666666575306E-3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input_596101!A$2</f>
        <v>596101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IFERROR(VLOOKUP(B310,input_596101!L:R,7,FALSE),VLOOKUP(tables_596101!C310,input_596101!A:H,8,FALSE))</f>
        <v>1920</v>
      </c>
      <c r="P310" s="40">
        <f t="shared" ca="1" si="13"/>
        <v>3.5087719298053279E-4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input_596101!A$2</f>
        <v>596101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IFERROR(VLOOKUP(B311,input_596101!L:R,7,FALSE),VLOOKUP(tables_596101!C311,input_596101!A:H,8,FALSE))</f>
        <v>26911.74</v>
      </c>
      <c r="P311" s="40">
        <f t="shared" ca="1" si="13"/>
        <v>4.9180811403239186E-3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input_596101!A$2</f>
        <v>596101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IFERROR(VLOOKUP(B312,input_596101!L:R,7,FALSE),VLOOKUP(tables_596101!C312,input_596101!A:H,8,FALSE))</f>
        <v>1477.328</v>
      </c>
      <c r="P312" s="40">
        <f t="shared" ca="1" si="13"/>
        <v>2.6997953216226277E-4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input_596101!A$2</f>
        <v>596101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IFERROR(VLOOKUP(B313,input_596101!L:R,7,FALSE),VLOOKUP(tables_596101!C313,input_596101!A:H,8,FALSE))</f>
        <v>1920</v>
      </c>
      <c r="P313" s="40">
        <f t="shared" ca="1" si="13"/>
        <v>3.5087719298053279E-4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input_596101!A$2</f>
        <v>596101</v>
      </c>
      <c r="B314" s="5">
        <v>1072</v>
      </c>
      <c r="C314" s="7" t="str">
        <f t="shared" si="12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IFERROR(VLOOKUP(B314,input_596101!L:R,7,FALSE),VLOOKUP(tables_596101!C314,input_596101!A:H,8,FALSE))</f>
        <v>9120</v>
      </c>
      <c r="P314" s="40">
        <f t="shared" ca="1" si="13"/>
        <v>1.6666666666575306E-3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input_596101!A$2</f>
        <v>596101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IFERROR(VLOOKUP(B315,input_596101!L:R,7,FALSE),VLOOKUP(tables_596101!C315,input_596101!A:H,8,FALSE))</f>
        <v>1920</v>
      </c>
      <c r="P315" s="40">
        <f t="shared" ca="1" si="13"/>
        <v>3.5087719298053279E-4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input_596101!A$2</f>
        <v>596101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IFERROR(VLOOKUP(B316,input_596101!L:R,7,FALSE),VLOOKUP(tables_596101!C316,input_596101!A:H,8,FALSE))</f>
        <v>1920</v>
      </c>
      <c r="P316" s="40">
        <f t="shared" ca="1" si="13"/>
        <v>3.5087719298053279E-4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input_596101!A$2</f>
        <v>596101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IFERROR(VLOOKUP(B317,input_596101!L:R,7,FALSE),VLOOKUP(tables_596101!C317,input_596101!A:H,8,FALSE))</f>
        <v>1920</v>
      </c>
      <c r="P317" s="40">
        <f t="shared" ca="1" si="13"/>
        <v>3.5087719298053279E-4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input_596101!A$2</f>
        <v>596101</v>
      </c>
      <c r="B318" s="5">
        <v>1104</v>
      </c>
      <c r="C318" s="7" t="str">
        <f t="shared" si="12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IFERROR(VLOOKUP(B318,input_596101!L:R,7,FALSE),VLOOKUP(tables_596101!C318,input_596101!A:H,8,FALSE))</f>
        <v>109032.00768</v>
      </c>
      <c r="P318" s="40">
        <f t="shared" ca="1" si="13"/>
        <v>1.9925439999890777E-2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input_596101!A$2</f>
        <v>596101</v>
      </c>
      <c r="B319" s="5">
        <v>1105</v>
      </c>
      <c r="C319" s="7" t="str">
        <f t="shared" si="12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IFERROR(VLOOKUP(B319,input_596101!L:R,7,FALSE),VLOOKUP(tables_596101!C319,input_596101!A:H,8,FALSE))</f>
        <v>10860.20023</v>
      </c>
      <c r="P319" s="40">
        <f t="shared" ca="1" si="13"/>
        <v>1.9846857145359043E-3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input_596101!A$2</f>
        <v>596101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IFERROR(VLOOKUP(B320,input_596101!L:R,7,FALSE),VLOOKUP(tables_596101!C320,input_596101!A:H,8,FALSE))</f>
        <v>1920</v>
      </c>
      <c r="P320" s="40">
        <f t="shared" ca="1" si="13"/>
        <v>3.5087719298053279E-4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input_596101!A$2</f>
        <v>596101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IFERROR(VLOOKUP(B321,input_596101!L:R,7,FALSE),VLOOKUP(tables_596101!C321,input_596101!A:H,8,FALSE))</f>
        <v>1920</v>
      </c>
      <c r="P321" s="40">
        <f t="shared" ca="1" si="13"/>
        <v>3.5087719298053279E-4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input_596101!A$2</f>
        <v>596101</v>
      </c>
      <c r="B322" s="5">
        <v>1139</v>
      </c>
      <c r="C322" s="7" t="str">
        <f t="shared" ref="C322:C324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IFERROR(VLOOKUP(B322,input_596101!L:R,7,FALSE),VLOOKUP(tables_596101!C322,input_596101!A:H,8,FALSE))</f>
        <v>1920</v>
      </c>
      <c r="P322" s="40">
        <f t="shared" ref="P322:P356" ca="1" si="16">O322/SUM(O:O)</f>
        <v>3.5087719298053279E-4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input_596101!A$2</f>
        <v>596101</v>
      </c>
      <c r="B323" s="5">
        <v>1141</v>
      </c>
      <c r="C323" s="7" t="str">
        <f t="shared" si="15"/>
        <v>PremiumSS5R5onlycolor</v>
      </c>
      <c r="D323" s="7" t="str">
        <f t="shared" ref="D323:D324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IFERROR(VLOOKUP(B323,input_596101!L:R,7,FALSE),VLOOKUP(tables_596101!C323,input_596101!A:H,8,FALSE))</f>
        <v>9120</v>
      </c>
      <c r="P323" s="40">
        <f t="shared" ca="1" si="16"/>
        <v>1.6666666666575306E-3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input_596101!A$2</f>
        <v>596101</v>
      </c>
      <c r="B324" s="2">
        <v>1143</v>
      </c>
      <c r="C324" s="86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IFERROR(VLOOKUP(B324,input_596101!L:R,7,FALSE),VLOOKUP(tables_596101!C324,input_596101!A:H,8,FALSE))</f>
        <v>26911.74</v>
      </c>
      <c r="P324" s="40">
        <f t="shared" ca="1" si="16"/>
        <v>4.9180811403239186E-3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input_596101!A$2</f>
        <v>596101</v>
      </c>
      <c r="B325" s="2">
        <v>1144</v>
      </c>
      <c r="C325" s="86" t="str">
        <f t="shared" ref="C325:C331" si="18">D325&amp;J325&amp;E325&amp;F325&amp;G325</f>
        <v>Premium5R3less</v>
      </c>
      <c r="D325" s="7" t="str">
        <f t="shared" ref="D325:D331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IFERROR(VLOOKUP(B325,input_596101!L:R,7,FALSE),VLOOKUP(tables_596101!C325,input_596101!A:H,8,FALSE))</f>
        <v>1477.328</v>
      </c>
      <c r="P325" s="40">
        <f t="shared" ca="1" si="16"/>
        <v>2.6997953216226277E-4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input_596101!A$2</f>
        <v>596101</v>
      </c>
      <c r="B326" s="2">
        <v>1151</v>
      </c>
      <c r="C326" s="86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IFERROR(VLOOKUP(B326,input_596101!L:R,7,FALSE),VLOOKUP(tables_596101!C326,input_596101!A:H,8,FALSE))</f>
        <v>26911.74</v>
      </c>
      <c r="P326" s="40">
        <f t="shared" ca="1" si="16"/>
        <v>4.9180811403239186E-3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input_596101!A$2</f>
        <v>596101</v>
      </c>
      <c r="B327" s="2">
        <v>1152</v>
      </c>
      <c r="C327" s="86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IFERROR(VLOOKUP(B327,input_596101!L:R,7,FALSE),VLOOKUP(tables_596101!C327,input_596101!A:H,8,FALSE))</f>
        <v>1477.328</v>
      </c>
      <c r="P327" s="40">
        <f t="shared" ca="1" si="16"/>
        <v>2.6997953216226277E-4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input_596101!A$2</f>
        <v>596101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IFERROR(VLOOKUP(B328,input_596101!L:R,7,FALSE),VLOOKUP(tables_596101!C328,input_596101!A:H,8,FALSE))</f>
        <v>1920</v>
      </c>
      <c r="P328" s="40">
        <f t="shared" ca="1" si="16"/>
        <v>3.5087719298053279E-4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input_596101!A$2</f>
        <v>596101</v>
      </c>
      <c r="B329" s="2">
        <v>1155</v>
      </c>
      <c r="C329" s="86" t="str">
        <f t="shared" si="18"/>
        <v>PremiumSS5R5onlycolor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IFERROR(VLOOKUP(B329,input_596101!L:R,7,FALSE),VLOOKUP(tables_596101!C329,input_596101!A:H,8,FALSE))</f>
        <v>9120</v>
      </c>
      <c r="P329" s="40">
        <f t="shared" ca="1" si="16"/>
        <v>1.6666666666575306E-3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input_596101!A$2</f>
        <v>596101</v>
      </c>
      <c r="B330" s="2">
        <v>1157</v>
      </c>
      <c r="C330" s="86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IFERROR(VLOOKUP(B330,input_596101!L:R,7,FALSE),VLOOKUP(tables_596101!C330,input_596101!A:H,8,FALSE))</f>
        <v>1920</v>
      </c>
      <c r="P330" s="40">
        <f t="shared" ca="1" si="16"/>
        <v>3.5087719298053279E-4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input_596101!A$2</f>
        <v>596101</v>
      </c>
      <c r="B331" s="52">
        <v>1214</v>
      </c>
      <c r="C331" s="86" t="str">
        <f t="shared" si="18"/>
        <v>PremiumSS5R5only</v>
      </c>
      <c r="D331" s="7" t="str">
        <f t="shared" si="19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IFERROR(VLOOKUP(B331,input_596101!L:R,7,FALSE),VLOOKUP(tables_596101!C331,input_596101!A:H,8,FALSE))</f>
        <v>1920</v>
      </c>
      <c r="P331" s="40">
        <f t="shared" ca="1" si="16"/>
        <v>3.5087719298053279E-4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input_596101!A$2</f>
        <v>596101</v>
      </c>
      <c r="B332" s="52">
        <v>1212</v>
      </c>
      <c r="C332" s="86" t="str">
        <f t="shared" ref="C332:C340" si="20">D332&amp;J332&amp;E332&amp;F332&amp;G332</f>
        <v>PremiumSS5R5onlycolor</v>
      </c>
      <c r="D332" s="7" t="str">
        <f t="shared" ref="D332:D340" si="21">IF(OR(I332="PremiumSS",I332="PremiumSSw"),"PremiumSS",IF(I332="PremiumSSS",I332,IF(I332="PremiumW",IF(J332=5,"premium",I332),"Premium")))</f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IFERROR(VLOOKUP(B332,input_596101!L:R,7,FALSE),VLOOKUP(tables_596101!C332,input_596101!A:H,8,FALSE))</f>
        <v>9120</v>
      </c>
      <c r="P332" s="40">
        <f t="shared" ca="1" si="16"/>
        <v>1.6666666666575306E-3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input_596101!A$2</f>
        <v>596101</v>
      </c>
      <c r="B333" s="52">
        <v>1208</v>
      </c>
      <c r="C333" s="86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IFERROR(VLOOKUP(B333,input_596101!L:R,7,FALSE),VLOOKUP(tables_596101!C333,input_596101!A:H,8,FALSE))</f>
        <v>1920</v>
      </c>
      <c r="P333" s="40">
        <f t="shared" ca="1" si="16"/>
        <v>3.5087719298053279E-4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input_596101!A$2</f>
        <v>596101</v>
      </c>
      <c r="B334" s="96">
        <v>1210</v>
      </c>
      <c r="C334" s="86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IFERROR(VLOOKUP(B334,input_596101!L:R,7,FALSE),VLOOKUP(tables_596101!C334,input_596101!A:H,8,FALSE))</f>
        <v>26911.74</v>
      </c>
      <c r="P334" s="40">
        <f t="shared" ca="1" si="16"/>
        <v>4.9180811403239186E-3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input_596101!A$2</f>
        <v>596101</v>
      </c>
      <c r="B335" s="52">
        <v>1211</v>
      </c>
      <c r="C335" s="86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IFERROR(VLOOKUP(B335,input_596101!L:R,7,FALSE),VLOOKUP(tables_596101!C335,input_596101!A:H,8,FALSE))</f>
        <v>1477.328</v>
      </c>
      <c r="P335" s="40">
        <f t="shared" ca="1" si="16"/>
        <v>2.6997953216226277E-4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input_596101!A$2</f>
        <v>596101</v>
      </c>
      <c r="B336" s="2">
        <v>1224</v>
      </c>
      <c r="C336" s="86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IFERROR(VLOOKUP(B336,input_596101!L:R,7,FALSE),VLOOKUP(tables_596101!C336,input_596101!A:H,8,FALSE))</f>
        <v>26911.74</v>
      </c>
      <c r="P336" s="40">
        <f t="shared" ca="1" si="16"/>
        <v>4.9180811403239186E-3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input_596101!A$2</f>
        <v>596101</v>
      </c>
      <c r="B337" s="2">
        <v>1225</v>
      </c>
      <c r="C337" s="86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IFERROR(VLOOKUP(B337,input_596101!L:R,7,FALSE),VLOOKUP(tables_596101!C337,input_596101!A:H,8,FALSE))</f>
        <v>1477.328</v>
      </c>
      <c r="P337" s="40">
        <f t="shared" ca="1" si="16"/>
        <v>2.6997953216226277E-4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input_596101!A$2</f>
        <v>596101</v>
      </c>
      <c r="B338" s="2">
        <v>1226</v>
      </c>
      <c r="C338" s="86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IFERROR(VLOOKUP(B338,input_596101!L:R,7,FALSE),VLOOKUP(tables_596101!C338,input_596101!A:H,8,FALSE))</f>
        <v>1920</v>
      </c>
      <c r="P338" s="40">
        <f t="shared" ca="1" si="16"/>
        <v>3.5087719298053279E-4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input_596101!A$2</f>
        <v>596101</v>
      </c>
      <c r="B339" s="2">
        <v>1228</v>
      </c>
      <c r="C339" s="86" t="str">
        <f t="shared" si="20"/>
        <v>PremiumSS5R5onlycolor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IFERROR(VLOOKUP(B339,input_596101!L:R,7,FALSE),VLOOKUP(tables_596101!C339,input_596101!A:H,8,FALSE))</f>
        <v>9120</v>
      </c>
      <c r="P339" s="40">
        <f t="shared" ca="1" si="16"/>
        <v>1.6666666666575306E-3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input_596101!A$2</f>
        <v>596101</v>
      </c>
      <c r="B340" s="2">
        <v>1230</v>
      </c>
      <c r="C340" s="86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IFERROR(VLOOKUP(B340,input_596101!L:R,7,FALSE),VLOOKUP(tables_596101!C340,input_596101!A:H,8,FALSE))</f>
        <v>1920</v>
      </c>
      <c r="P340" s="40">
        <f t="shared" ca="1" si="16"/>
        <v>3.5087719298053279E-4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input_596101!A$2</f>
        <v>596101</v>
      </c>
      <c r="B341" s="2">
        <v>1244</v>
      </c>
      <c r="C341" s="86" t="str">
        <f t="shared" ref="C341:C345" si="22">D341&amp;J341&amp;E341&amp;F341&amp;G341</f>
        <v>PremiumSS5R5only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IFERROR(VLOOKUP(B341,input_596101!L:R,7,FALSE),VLOOKUP(tables_596101!C341,input_596101!A:H,8,FALSE))</f>
        <v>1920</v>
      </c>
      <c r="P341" s="40">
        <f t="shared" ca="1" si="16"/>
        <v>3.5087719298053279E-4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input_596101!A$2</f>
        <v>596101</v>
      </c>
      <c r="B342" s="2">
        <v>1246</v>
      </c>
      <c r="C342" s="86" t="str">
        <f t="shared" si="22"/>
        <v>PremiumSS5R5only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IFERROR(VLOOKUP(B342,input_596101!L:R,7,FALSE),VLOOKUP(tables_596101!C342,input_596101!A:H,8,FALSE))</f>
        <v>1920</v>
      </c>
      <c r="P342" s="40">
        <f t="shared" ca="1" si="16"/>
        <v>3.5087719298053279E-4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input_596101!A$2</f>
        <v>596101</v>
      </c>
      <c r="B343" s="2">
        <v>1248</v>
      </c>
      <c r="C343" s="86" t="str">
        <f t="shared" si="22"/>
        <v>Premium4R3lesscolor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IFERROR(VLOOKUP(B343,input_596101!L:R,7,FALSE),VLOOKUP(tables_596101!C343,input_596101!A:H,8,FALSE))</f>
        <v>109032.00768</v>
      </c>
      <c r="P343" s="40">
        <f t="shared" ca="1" si="16"/>
        <v>1.9925439999890777E-2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input_596101!A$2</f>
        <v>596101</v>
      </c>
      <c r="B344" s="2">
        <v>1249</v>
      </c>
      <c r="C344" s="86" t="str">
        <f t="shared" si="22"/>
        <v>Premium5R3lesscolor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IFERROR(VLOOKUP(B344,input_596101!L:R,7,FALSE),VLOOKUP(tables_596101!C344,input_596101!A:H,8,FALSE))</f>
        <v>10860.20023</v>
      </c>
      <c r="P344" s="40">
        <f t="shared" ca="1" si="16"/>
        <v>1.9846857145359043E-3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input_596101!A$2</f>
        <v>596101</v>
      </c>
      <c r="B345" s="2">
        <v>1250</v>
      </c>
      <c r="C345" s="86" t="str">
        <f t="shared" si="22"/>
        <v>PremiumSS5R5only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IFERROR(VLOOKUP(B345,input_596101!L:R,7,FALSE),VLOOKUP(tables_596101!C345,input_596101!A:H,8,FALSE))</f>
        <v>1920</v>
      </c>
      <c r="P345" s="40">
        <f t="shared" ca="1" si="16"/>
        <v>3.5087719298053279E-4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input_596101!A$2</f>
        <v>596101</v>
      </c>
      <c r="B346" s="1">
        <v>1260</v>
      </c>
      <c r="C346" s="86" t="str">
        <f t="shared" ref="C346" si="24">D346&amp;J346&amp;E346&amp;F346&amp;G346</f>
        <v>PremiumSS5R5only</v>
      </c>
      <c r="D346" s="7" t="str">
        <f t="shared" ref="D346" si="2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IFERROR(VLOOKUP(B346,input_596101!L:R,7,FALSE),VLOOKUP(tables_596101!C346,input_596101!A:H,8,FALSE))</f>
        <v>1920</v>
      </c>
      <c r="P346" s="40">
        <f t="shared" ca="1" si="16"/>
        <v>3.5087719298053279E-4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input_596101!A$2</f>
        <v>596101</v>
      </c>
      <c r="B347" s="1">
        <v>1262</v>
      </c>
      <c r="C347" s="86" t="str">
        <f t="shared" ref="C347:C350" si="26">D347&amp;J347&amp;E347&amp;F347&amp;G347</f>
        <v>PremiumSS5R5only</v>
      </c>
      <c r="D347" s="7" t="str">
        <f t="shared" ref="D347:D350" si="2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IFERROR(VLOOKUP(B347,input_596101!L:R,7,FALSE),VLOOKUP(tables_596101!C347,input_596101!A:H,8,FALSE))</f>
        <v>1920</v>
      </c>
      <c r="P347" s="40">
        <f t="shared" ca="1" si="16"/>
        <v>3.5087719298053279E-4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input_596101!A$2</f>
        <v>596101</v>
      </c>
      <c r="B348" s="1">
        <v>1264</v>
      </c>
      <c r="C348" s="86" t="str">
        <f t="shared" si="26"/>
        <v>PremiumSS5R5onlycolor</v>
      </c>
      <c r="D348" s="7" t="str">
        <f t="shared" si="2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IFERROR(VLOOKUP(B348,input_596101!L:R,7,FALSE),VLOOKUP(tables_596101!C348,input_596101!A:H,8,FALSE))</f>
        <v>9120</v>
      </c>
      <c r="P348" s="40">
        <f t="shared" ca="1" si="16"/>
        <v>1.6666666666575306E-3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input_596101!A$2</f>
        <v>596101</v>
      </c>
      <c r="B349" s="1">
        <v>1266</v>
      </c>
      <c r="C349" s="86" t="str">
        <f t="shared" si="26"/>
        <v>Premium4R3less</v>
      </c>
      <c r="D349" s="7" t="str">
        <f t="shared" si="2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IFERROR(VLOOKUP(B349,input_596101!L:R,7,FALSE),VLOOKUP(tables_596101!C349,input_596101!A:H,8,FALSE))</f>
        <v>26911.74</v>
      </c>
      <c r="P349" s="40">
        <f t="shared" ca="1" si="16"/>
        <v>4.9180811403239186E-3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input_596101!A$2</f>
        <v>596101</v>
      </c>
      <c r="B350" s="1">
        <v>1267</v>
      </c>
      <c r="C350" s="86" t="str">
        <f t="shared" si="26"/>
        <v>Premium5R3less</v>
      </c>
      <c r="D350" s="7" t="str">
        <f t="shared" si="2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IFERROR(VLOOKUP(B350,input_596101!L:R,7,FALSE),VLOOKUP(tables_596101!C350,input_596101!A:H,8,FALSE))</f>
        <v>1477.328</v>
      </c>
      <c r="P350" s="40">
        <f t="shared" ca="1" si="16"/>
        <v>2.6997953216226277E-4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input_596101!A$2</f>
        <v>596101</v>
      </c>
      <c r="B351" s="102">
        <v>1332</v>
      </c>
      <c r="C351" s="86" t="str">
        <f t="shared" ref="C351:C355" si="28">D351&amp;J351&amp;E351&amp;F351&amp;G351</f>
        <v>PremiumSS5R5only</v>
      </c>
      <c r="D351" s="7" t="str">
        <f t="shared" ref="D351:D355" si="2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IFERROR(VLOOKUP(B351,input_596101!L:R,7,FALSE),VLOOKUP(tables_596101!C351,input_596101!A:H,8,FALSE))</f>
        <v>1920</v>
      </c>
      <c r="P351" s="40">
        <f t="shared" ca="1" si="16"/>
        <v>3.5087719298053279E-4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input_596101!A$2</f>
        <v>596101</v>
      </c>
      <c r="B352" s="102">
        <v>1336</v>
      </c>
      <c r="C352" s="86" t="str">
        <f t="shared" si="28"/>
        <v>PremiumSS5R5onlycolor</v>
      </c>
      <c r="D352" s="7" t="str">
        <f t="shared" si="2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IFERROR(VLOOKUP(B352,input_596101!L:R,7,FALSE),VLOOKUP(tables_596101!C352,input_596101!A:H,8,FALSE))</f>
        <v>9120</v>
      </c>
      <c r="P352" s="40">
        <f t="shared" ca="1" si="16"/>
        <v>1.6666666666575306E-3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input_596101!A$2</f>
        <v>596101</v>
      </c>
      <c r="B353" s="102">
        <v>1338</v>
      </c>
      <c r="C353" s="86" t="str">
        <f t="shared" si="28"/>
        <v>PremiumSS5R5only</v>
      </c>
      <c r="D353" s="7" t="str">
        <f t="shared" si="2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IFERROR(VLOOKUP(B353,input_596101!L:R,7,FALSE),VLOOKUP(tables_596101!C353,input_596101!A:H,8,FALSE))</f>
        <v>1920</v>
      </c>
      <c r="P353" s="40">
        <f t="shared" ca="1" si="16"/>
        <v>3.5087719298053279E-4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input_596101!A$2</f>
        <v>596101</v>
      </c>
      <c r="B354" s="102">
        <v>1334</v>
      </c>
      <c r="C354" s="86" t="str">
        <f t="shared" si="28"/>
        <v>Premium4R3less</v>
      </c>
      <c r="D354" s="7" t="str">
        <f t="shared" si="2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IFERROR(VLOOKUP(B354,input_596101!L:R,7,FALSE),VLOOKUP(tables_596101!C354,input_596101!A:H,8,FALSE))</f>
        <v>26911.74</v>
      </c>
      <c r="P354" s="40">
        <f t="shared" ca="1" si="16"/>
        <v>4.9180811403239186E-3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input_596101!A$2</f>
        <v>596101</v>
      </c>
      <c r="B355" s="102">
        <v>1335</v>
      </c>
      <c r="C355" s="86" t="str">
        <f t="shared" si="28"/>
        <v>Premium5R3less</v>
      </c>
      <c r="D355" s="7" t="str">
        <f t="shared" si="2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IFERROR(VLOOKUP(B355,input_596101!L:R,7,FALSE),VLOOKUP(tables_596101!C355,input_596101!A:H,8,FALSE))</f>
        <v>1477.328</v>
      </c>
      <c r="P355" s="40">
        <f t="shared" ca="1" si="16"/>
        <v>2.6997953216226277E-4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input_596101!A$2</f>
        <v>596101</v>
      </c>
      <c r="B356" s="105">
        <v>1381</v>
      </c>
      <c r="C356" s="86" t="str">
        <f t="shared" ref="C356" si="30">D356&amp;J356&amp;E356&amp;F356&amp;G356</f>
        <v>Premium4R3less</v>
      </c>
      <c r="D356" s="7" t="str">
        <f t="shared" ref="D356" si="31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IFERROR(VLOOKUP(B356,input_596101!L:R,7,FALSE),VLOOKUP(tables_596101!C356,input_596101!A:H,8,FALSE))</f>
        <v>26911.74</v>
      </c>
      <c r="P356" s="40">
        <f t="shared" ca="1" si="16"/>
        <v>4.9180811403239186E-3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input_596101!A$2</f>
        <v>596101</v>
      </c>
      <c r="B357" s="105">
        <v>1382</v>
      </c>
      <c r="C357" s="86" t="str">
        <f t="shared" ref="C357:C360" si="32">D357&amp;J357&amp;E357&amp;F357&amp;G357</f>
        <v>Premium5R3less</v>
      </c>
      <c r="D357" s="7" t="str">
        <f t="shared" ref="D357:D360" si="3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IFERROR(VLOOKUP(B357,input_596101!L:R,7,FALSE),VLOOKUP(tables_596101!C357,input_596101!A:H,8,FALSE))</f>
        <v>1477.328</v>
      </c>
      <c r="P357" s="40">
        <f t="shared" ref="P357:P360" ca="1" si="34">O357/SUM(O:O)</f>
        <v>2.6997953216226277E-4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input_596101!A$2</f>
        <v>596101</v>
      </c>
      <c r="B358" s="105">
        <v>1383</v>
      </c>
      <c r="C358" s="86" t="str">
        <f t="shared" si="32"/>
        <v>PremiumSS5R5only</v>
      </c>
      <c r="D358" s="7" t="str">
        <f t="shared" si="3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IFERROR(VLOOKUP(B358,input_596101!L:R,7,FALSE),VLOOKUP(tables_596101!C358,input_596101!A:H,8,FALSE))</f>
        <v>1920</v>
      </c>
      <c r="P358" s="40">
        <f t="shared" ca="1" si="34"/>
        <v>3.5087719298053279E-4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input_596101!A$2</f>
        <v>596101</v>
      </c>
      <c r="B359" s="105">
        <v>1385</v>
      </c>
      <c r="C359" s="86" t="str">
        <f t="shared" si="32"/>
        <v>PremiumSS5R5onlycolor</v>
      </c>
      <c r="D359" s="7" t="str">
        <f t="shared" si="3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IFERROR(VLOOKUP(B359,input_596101!L:R,7,FALSE),VLOOKUP(tables_596101!C359,input_596101!A:H,8,FALSE))</f>
        <v>9120</v>
      </c>
      <c r="P359" s="40">
        <f t="shared" ca="1" si="34"/>
        <v>1.6666666666575306E-3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input_596101!A$2</f>
        <v>596101</v>
      </c>
      <c r="B360" s="105">
        <v>1387</v>
      </c>
      <c r="C360" s="86" t="str">
        <f t="shared" si="32"/>
        <v>PremiumSS5R5only</v>
      </c>
      <c r="D360" s="7" t="str">
        <f t="shared" si="3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IFERROR(VLOOKUP(B360,input_596101!L:R,7,FALSE),VLOOKUP(tables_596101!C360,input_596101!A:H,8,FALSE))</f>
        <v>1920</v>
      </c>
      <c r="P360" s="40">
        <f t="shared" ca="1" si="34"/>
        <v>3.5087719298053279E-4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input_596101!A$2</f>
        <v>596101</v>
      </c>
      <c r="B361" s="106">
        <v>1393</v>
      </c>
      <c r="C361" s="86" t="str">
        <f t="shared" ref="C361" si="35">D361&amp;J361&amp;E361&amp;F361&amp;G361</f>
        <v>PremiumSSS5R3lesscolor</v>
      </c>
      <c r="D361" s="7" t="str">
        <f t="shared" ref="D361" si="36">IF(OR(I361="PremiumSS",I361="PremiumSSw"),"PremiumSS",IF(I361="PremiumSSS",I361,IF(I361="PremiumW",IF(J361=5,"premium",I361),"Premium")))</f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ライプニッツ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hp</v>
      </c>
      <c r="M361" s="7" t="str">
        <f>VLOOKUP(B361,[1]characters!$A:$M,13,FALSE)</f>
        <v>academia</v>
      </c>
      <c r="N361" s="7">
        <f>VLOOKUP(B361,[1]characters!$A:$G,7,FALSE)</f>
        <v>0</v>
      </c>
      <c r="O361" s="39">
        <f>IFERROR(VLOOKUP(B361,input_596101!L:R,7,FALSE),VLOOKUP(tables_596101!C361,input_596101!A:H,8,FALSE))</f>
        <v>21888</v>
      </c>
      <c r="P361" s="40">
        <f ca="1">O361/SUM(O:O)</f>
        <v>3.999999999978074E-3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361"/>
  <sortState ref="A2:Y189">
    <sortCondition ref="A2:A189"/>
  </sortState>
  <phoneticPr fontId="1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topLeftCell="A20" zoomScale="110" zoomScaleNormal="110" zoomScalePageLayoutView="110"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596103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8">
        <v>1393</v>
      </c>
      <c r="M3" s="31" t="str">
        <f>VLOOKUP(L3,[1]characters!$A:$C,3,FALSE)</f>
        <v>ライプニッツ</v>
      </c>
      <c r="N3" s="54">
        <v>6.0000000000000001E-3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VLOOKUP(L3,tables_596103!B:C,2,FALSE)</f>
        <v>PremiumSSS5R3lesscolor</v>
      </c>
      <c r="R3" s="53">
        <f t="shared" ref="R3:R20" si="1">N3*A$51</f>
        <v>32832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VLOOKUP(L4,tables_596103!B:C,2,FALSE)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3.5087719298245622E-4</v>
      </c>
      <c r="F5">
        <f>(COUNTIF(tables_596103!C:C,input_596103!A28)+COUNTIF(tables_596103!C:C,input_596103!A29))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VLOOKUP(L5,tables_596103!B:C,2,FALSE)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(COUNTIF(tables_596103!C:C,input_596103!A43)+COUNTIF(tables_596103!C:C,input_596103!A44))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VLOOKUP(L6,tables_596103!B:C,2,FALSE)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5.2444444444444439E-3</v>
      </c>
      <c r="F7">
        <f>(COUNTIF(tables_596103!C:C,input_596103!A25)+COUNTIF(tables_596103!C:C,input_596103!A18)+COUNTIF(tables_596103!C:C,input_596103!A20)+COUNTIF(tables_596103!C:C,input_596103!A22))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VLOOKUP(L7,tables_596103!B:C,2,FALSE)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2.2655999999999996E-2</v>
      </c>
      <c r="F8">
        <f>(COUNTIF(tables_596103!C:C,input_596103!A40)+COUNTIF(tables_596103!C:C,input_596103!A33)+COUNTIF(tables_596103!C:C,input_596103!A35)+COUNTIF(tables_596103!C:C,input_596103!A37))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VLOOKUP(L8,tables_596103!B:C,2,FALSE)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VLOOKUP(L9,tables_596103!B:C,2,FALSE)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0.94399999999999995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VLOOKUP(L10,tables_596103!B:C,2,FALSE)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VLOOKUP(L11,tables_596103!B:C,2,FALSE)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6.0000000000000001E-3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VLOOKUP(L12,tables_596103!B:C,2,FALSE)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VLOOKUP(L13,tables_596103!B:C,2,FALSE)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VLOOKUP(L14,tables_596103!B:C,2,FALSE)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VLOOKUP(L15,tables_596103!B:C,2,FALSE)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VLOOKUP(L16,tables_596103!B:C,2,FALSE)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5" si="2">SUMIF(Q:Q,A17,N:N)</f>
        <v>0</v>
      </c>
      <c r="D17" s="66">
        <f t="shared" ref="D17:D47" si="3">B17-C17</f>
        <v>0</v>
      </c>
      <c r="E17">
        <f>COUNTIF(tables_596103!C:C,input_596103!A17)-COUNTIF(Q:Q,A17)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VLOOKUP(L17,tables_596103!B:C,2,FALSE)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8.1066666666666676E-2</v>
      </c>
      <c r="C18" s="75">
        <f t="shared" si="2"/>
        <v>0</v>
      </c>
      <c r="D18" s="66">
        <f t="shared" si="3"/>
        <v>8.1066666666666676E-2</v>
      </c>
      <c r="E18">
        <f>COUNTIF(tables_596103!C:C,input_596103!A18)-COUNTIF(Q:Q,A18)</f>
        <v>15</v>
      </c>
      <c r="F18" s="37">
        <f>IFERROR(B18/E18,0)</f>
        <v>5.4044444444444452E-3</v>
      </c>
      <c r="G18">
        <f t="shared" si="4"/>
        <v>443596.80000000005</v>
      </c>
      <c r="H18">
        <f t="shared" si="5"/>
        <v>29573.119999999999</v>
      </c>
      <c r="I18">
        <f t="shared" si="6"/>
        <v>0.11999999999898137</v>
      </c>
      <c r="J18">
        <f t="shared" si="7"/>
        <v>8.333333333404072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VLOOKUP(L18,tables_596103!B:C,2,FALSE)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COUNTIF(tables_596103!C:C,input_596103!A19)-COUNTIF(Q:Q,A19)</f>
        <v>38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VLOOKUP(L19,tables_596103!B:C,2,FALSE)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0.17935999999999999</v>
      </c>
      <c r="C20" s="75">
        <f t="shared" si="2"/>
        <v>0</v>
      </c>
      <c r="D20" s="66">
        <f t="shared" si="3"/>
        <v>0.17935999999999999</v>
      </c>
      <c r="E20">
        <f>COUNTIF(tables_596103!C:C,input_596103!A20)-COUNTIF(Q:Q,A20)</f>
        <v>38</v>
      </c>
      <c r="F20" s="37">
        <f t="shared" si="8"/>
        <v>4.7199999999999994E-3</v>
      </c>
      <c r="G20">
        <f t="shared" si="4"/>
        <v>981457.91999999993</v>
      </c>
      <c r="H20">
        <f t="shared" si="5"/>
        <v>25827.84</v>
      </c>
      <c r="I20">
        <f t="shared" si="6"/>
        <v>0.84000000000014552</v>
      </c>
      <c r="J20">
        <f t="shared" si="7"/>
        <v>1.1904761904759842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VLOOKUP(L20,tables_596103!B:C,2,FALSE)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1.9928888888888888E-2</v>
      </c>
      <c r="C21" s="75">
        <f t="shared" si="2"/>
        <v>0</v>
      </c>
      <c r="D21" s="66">
        <f t="shared" si="3"/>
        <v>1.9928888888888888E-2</v>
      </c>
      <c r="E21">
        <f>COUNTIF(tables_596103!C:C,input_596103!A21)-COUNTIF(Q:Q,A21)</f>
        <v>38</v>
      </c>
      <c r="F21" s="37">
        <f t="shared" si="8"/>
        <v>5.2444444444444446E-4</v>
      </c>
      <c r="G21">
        <f t="shared" si="4"/>
        <v>109050.87999999999</v>
      </c>
      <c r="H21">
        <f t="shared" si="5"/>
        <v>2869.76</v>
      </c>
      <c r="I21">
        <f t="shared" si="6"/>
        <v>0.76000000000021828</v>
      </c>
      <c r="J21">
        <f t="shared" si="7"/>
        <v>1.3157894736838327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7.8465964912280695E-2</v>
      </c>
      <c r="C22" s="75">
        <f t="shared" si="2"/>
        <v>0</v>
      </c>
      <c r="D22" s="66">
        <f t="shared" si="3"/>
        <v>7.8465964912280695E-2</v>
      </c>
      <c r="E22">
        <f>COUNTIF(tables_596103!C:C,input_596103!A22)-COUNTIF(Q:Q,A22)</f>
        <v>16</v>
      </c>
      <c r="F22" s="37">
        <f t="shared" si="8"/>
        <v>4.9041228070175434E-3</v>
      </c>
      <c r="G22">
        <f t="shared" si="4"/>
        <v>429365.75999999995</v>
      </c>
      <c r="H22">
        <f t="shared" si="5"/>
        <v>26835.360000000001</v>
      </c>
      <c r="I22">
        <f t="shared" si="6"/>
        <v>0.36000000000058208</v>
      </c>
      <c r="J22">
        <f t="shared" si="7"/>
        <v>2.7777777777732866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5.4451461988304153E-3</v>
      </c>
      <c r="C23" s="75">
        <f t="shared" si="2"/>
        <v>0</v>
      </c>
      <c r="D23" s="66">
        <f t="shared" si="3"/>
        <v>5.4451461988304153E-3</v>
      </c>
      <c r="E23">
        <f>COUNTIF(tables_596103!C:C,input_596103!A23)-COUNTIF(Q:Q,A23)</f>
        <v>20</v>
      </c>
      <c r="F23" s="37">
        <f t="shared" si="8"/>
        <v>2.7225730994152078E-4</v>
      </c>
      <c r="G23">
        <f t="shared" si="4"/>
        <v>29795.840000000033</v>
      </c>
      <c r="H23">
        <f t="shared" si="5"/>
        <v>1489.7919999999999</v>
      </c>
      <c r="I23">
        <f t="shared" si="6"/>
        <v>0.79199999999991633</v>
      </c>
      <c r="J23">
        <f t="shared" si="7"/>
        <v>1.262626262626396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COUNTIF(tables_596103!C:C,input_596103!A24)-COUNTIF(Q:Q,A24)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1.4159999999999999E-2</v>
      </c>
      <c r="C25" s="75">
        <f t="shared" si="2"/>
        <v>0</v>
      </c>
      <c r="D25" s="66">
        <f t="shared" si="3"/>
        <v>1.4159999999999999E-2</v>
      </c>
      <c r="E25">
        <f>COUNTIF(tables_596103!C:C,input_596103!A25)-COUNTIF(Q:Q,A25)</f>
        <v>3</v>
      </c>
      <c r="F25" s="37">
        <f t="shared" si="8"/>
        <v>4.7199999999999994E-3</v>
      </c>
      <c r="G25">
        <f t="shared" si="4"/>
        <v>77483.51999999999</v>
      </c>
      <c r="H25">
        <f t="shared" si="5"/>
        <v>25827.84</v>
      </c>
      <c r="I25">
        <f t="shared" si="6"/>
        <v>0.84000000000014552</v>
      </c>
      <c r="J25">
        <f t="shared" si="7"/>
        <v>1.1904761904759842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1.5733333333333333E-3</v>
      </c>
      <c r="C26" s="75">
        <f t="shared" si="2"/>
        <v>0</v>
      </c>
      <c r="D26" s="66">
        <f t="shared" si="3"/>
        <v>1.5733333333333333E-3</v>
      </c>
      <c r="E26">
        <f>COUNTIF(tables_596103!C:C,input_596103!A26)-COUNTIF(Q:Q,A26)</f>
        <v>3</v>
      </c>
      <c r="F26" s="37">
        <f t="shared" si="8"/>
        <v>5.2444444444444446E-4</v>
      </c>
      <c r="G26">
        <f t="shared" si="4"/>
        <v>8609.2799999999988</v>
      </c>
      <c r="H26">
        <f t="shared" si="5"/>
        <v>2869.76</v>
      </c>
      <c r="I26">
        <f t="shared" si="6"/>
        <v>0.76000000000021828</v>
      </c>
      <c r="J26">
        <f t="shared" si="7"/>
        <v>1.3157894736838327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6.9473684210526335E-3</v>
      </c>
      <c r="C27" s="75">
        <f t="shared" si="2"/>
        <v>0</v>
      </c>
      <c r="D27" s="66">
        <f t="shared" si="3"/>
        <v>6.9473684210526335E-3</v>
      </c>
      <c r="E27">
        <f>COUNTIF(tables_596103!C:C,input_596103!A27)-COUNTIF(Q:Q,A27)</f>
        <v>22</v>
      </c>
      <c r="F27" s="37">
        <f>IFERROR(B27/E27,0)</f>
        <v>3.1578947368421064E-4</v>
      </c>
      <c r="G27">
        <f t="shared" si="4"/>
        <v>38016.000000000007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7.7192982456140372E-4</v>
      </c>
      <c r="C28" s="75">
        <f t="shared" si="2"/>
        <v>0</v>
      </c>
      <c r="D28" s="66">
        <f t="shared" si="3"/>
        <v>7.7192982456140372E-4</v>
      </c>
      <c r="E28">
        <f>COUNTIF(tables_596103!C:C,input_596103!A28)-COUNTIF(Q:Q,A28)</f>
        <v>22</v>
      </c>
      <c r="F28" s="37">
        <f t="shared" si="8"/>
        <v>3.5087719298245625E-5</v>
      </c>
      <c r="G28">
        <f t="shared" si="4"/>
        <v>4224.0000000000009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1.2280701754385968E-2</v>
      </c>
      <c r="C29" s="75">
        <f t="shared" si="2"/>
        <v>0</v>
      </c>
      <c r="D29" s="66">
        <f t="shared" si="3"/>
        <v>1.2280701754385968E-2</v>
      </c>
      <c r="E29">
        <f>COUNTIF(tables_596103!C:C,input_596103!A29)-COUNTIF(Q:Q,A29)</f>
        <v>35</v>
      </c>
      <c r="F29" s="37">
        <f t="shared" si="8"/>
        <v>3.5087719298245622E-4</v>
      </c>
      <c r="G29">
        <f t="shared" si="4"/>
        <v>67200.000000000015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COUNTIF(tables_596103!C:C,input_596103!A30)-COUNTIF(Q:Q,A30)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COUNTIF(tables_596103!C:C,input_596103!A31)-COUNTIF(Q:Q,A31)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COUNTIF(tables_596103!C:C,input_596103!A32)-COUNTIF(Q:Q,A32)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0.12472320000000015</v>
      </c>
      <c r="C33" s="75">
        <f t="shared" si="2"/>
        <v>0</v>
      </c>
      <c r="D33" s="66">
        <f t="shared" si="3"/>
        <v>0.12472320000000015</v>
      </c>
      <c r="E33">
        <f>COUNTIF(tables_596103!C:C,input_596103!A33)-COUNTIF(Q:Q,A33)</f>
        <v>5</v>
      </c>
      <c r="F33" s="37">
        <f>IFERROR(B33/E33,0)</f>
        <v>2.4944640000000028E-2</v>
      </c>
      <c r="G33">
        <f t="shared" si="4"/>
        <v>682485.35040000081</v>
      </c>
      <c r="H33">
        <f t="shared" si="5"/>
        <v>136497.07008</v>
      </c>
      <c r="I33">
        <f t="shared" si="6"/>
        <v>7.0080000004963949E-2</v>
      </c>
      <c r="J33">
        <f t="shared" si="7"/>
        <v>14.269406391683324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COUNTIF(tables_596103!C:C,input_596103!A34)-COUNTIF(Q:Q,A34)</f>
        <v>14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0.28546559999999993</v>
      </c>
      <c r="C35" s="75">
        <f t="shared" si="2"/>
        <v>0</v>
      </c>
      <c r="D35" s="66">
        <f t="shared" si="3"/>
        <v>0.28546559999999993</v>
      </c>
      <c r="E35">
        <f>COUNTIF(tables_596103!C:C,input_596103!A35)-COUNTIF(Q:Q,A35)</f>
        <v>14</v>
      </c>
      <c r="F35" s="37">
        <f t="shared" si="9"/>
        <v>2.0390399999999996E-2</v>
      </c>
      <c r="G35">
        <f t="shared" si="4"/>
        <v>1562067.7631999997</v>
      </c>
      <c r="H35">
        <f t="shared" si="5"/>
        <v>111576.26880000001</v>
      </c>
      <c r="I35">
        <f t="shared" si="6"/>
        <v>0.26880000000528526</v>
      </c>
      <c r="J35">
        <f t="shared" si="7"/>
        <v>3.7202380951649463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1.7875200000000001E-2</v>
      </c>
      <c r="C36" s="75">
        <f t="shared" si="2"/>
        <v>0</v>
      </c>
      <c r="D36" s="66">
        <f t="shared" si="3"/>
        <v>1.7875200000000001E-2</v>
      </c>
      <c r="E36">
        <f>COUNTIF(tables_596103!C:C,input_596103!A36)-COUNTIF(Q:Q,A36)</f>
        <v>14</v>
      </c>
      <c r="F36" s="37">
        <f t="shared" si="9"/>
        <v>1.2768E-3</v>
      </c>
      <c r="G36">
        <f t="shared" si="4"/>
        <v>97813.094400000002</v>
      </c>
      <c r="H36">
        <f t="shared" si="5"/>
        <v>6986.6495999999997</v>
      </c>
      <c r="I36">
        <f t="shared" si="6"/>
        <v>0.64959999999973661</v>
      </c>
      <c r="J36">
        <f t="shared" si="7"/>
        <v>1.539408866995698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0.10042079999999998</v>
      </c>
      <c r="C37" s="75">
        <f t="shared" si="2"/>
        <v>0</v>
      </c>
      <c r="D37" s="66">
        <f t="shared" si="3"/>
        <v>0.10042079999999998</v>
      </c>
      <c r="E37">
        <f>COUNTIF(tables_596103!C:C,input_596103!A37)-COUNTIF(Q:Q,A37)</f>
        <v>5</v>
      </c>
      <c r="F37" s="37">
        <f t="shared" si="9"/>
        <v>2.0084159999999997E-2</v>
      </c>
      <c r="G37">
        <f t="shared" si="4"/>
        <v>549502.61759999988</v>
      </c>
      <c r="H37">
        <f t="shared" si="5"/>
        <v>109900.52352</v>
      </c>
      <c r="I37">
        <f t="shared" si="6"/>
        <v>0.52352000000246335</v>
      </c>
      <c r="J37">
        <f t="shared" si="7"/>
        <v>1.9101466992575158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1.2859199999999998E-2</v>
      </c>
      <c r="C38" s="75">
        <f t="shared" si="2"/>
        <v>0</v>
      </c>
      <c r="D38" s="66">
        <f t="shared" si="3"/>
        <v>1.2859199999999998E-2</v>
      </c>
      <c r="E38">
        <f>COUNTIF(tables_596103!C:C,input_596103!A38)-COUNTIF(Q:Q,A38)</f>
        <v>7</v>
      </c>
      <c r="F38" s="37">
        <f t="shared" si="9"/>
        <v>1.837028571428571E-3</v>
      </c>
      <c r="G38">
        <f t="shared" si="4"/>
        <v>70365.542399999991</v>
      </c>
      <c r="H38">
        <f t="shared" si="5"/>
        <v>10052.22034</v>
      </c>
      <c r="I38">
        <f t="shared" si="6"/>
        <v>0.22033999999985099</v>
      </c>
      <c r="J38">
        <f t="shared" si="7"/>
        <v>4.5384405918157222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COUNTIF(tables_596103!C:C,input_596103!A39)-COUNTIF(Q:Q,A39)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2.0390399999999996E-2</v>
      </c>
      <c r="C40" s="75">
        <f t="shared" si="2"/>
        <v>0</v>
      </c>
      <c r="D40" s="66">
        <f t="shared" si="3"/>
        <v>2.0390399999999996E-2</v>
      </c>
      <c r="E40">
        <f>COUNTIF(tables_596103!C:C,input_596103!A40)-COUNTIF(Q:Q,A40)</f>
        <v>1</v>
      </c>
      <c r="F40" s="37">
        <f t="shared" si="9"/>
        <v>2.0390399999999996E-2</v>
      </c>
      <c r="G40">
        <f t="shared" si="4"/>
        <v>111576.26879999998</v>
      </c>
      <c r="H40">
        <f t="shared" si="5"/>
        <v>111576.26880000001</v>
      </c>
      <c r="I40">
        <f t="shared" si="6"/>
        <v>0.26880000000528526</v>
      </c>
      <c r="J40">
        <f t="shared" si="7"/>
        <v>3.7202380951649463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2.2655999999999996E-3</v>
      </c>
      <c r="C41" s="75">
        <f t="shared" si="2"/>
        <v>0</v>
      </c>
      <c r="D41" s="66">
        <f t="shared" si="3"/>
        <v>2.2655999999999996E-3</v>
      </c>
      <c r="E41">
        <f>COUNTIF(tables_596103!C:C,input_596103!A41)-COUNTIF(Q:Q,A41)</f>
        <v>1</v>
      </c>
      <c r="F41" s="37">
        <f t="shared" si="9"/>
        <v>2.2655999999999996E-3</v>
      </c>
      <c r="G41">
        <f t="shared" si="4"/>
        <v>12397.363199999998</v>
      </c>
      <c r="H41">
        <f t="shared" si="5"/>
        <v>12397.3632</v>
      </c>
      <c r="I41">
        <f t="shared" si="6"/>
        <v>0.36319999999977881</v>
      </c>
      <c r="J41">
        <f t="shared" si="7"/>
        <v>2.753303964759386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8.9999999999999993E-3</v>
      </c>
      <c r="C42" s="75">
        <f t="shared" si="2"/>
        <v>0</v>
      </c>
      <c r="D42" s="66">
        <f t="shared" si="3"/>
        <v>8.9999999999999993E-3</v>
      </c>
      <c r="E42">
        <f>COUNTIF(tables_596103!C:C,input_596103!A42)-COUNTIF(Q:Q,A42)</f>
        <v>6</v>
      </c>
      <c r="F42" s="37">
        <f>IFERROR(B42/E42,0)</f>
        <v>1.4999999999999998E-3</v>
      </c>
      <c r="G42">
        <f t="shared" si="4"/>
        <v>49247.999999999993</v>
      </c>
      <c r="H42">
        <f t="shared" si="5"/>
        <v>8208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9.999999999999998E-4</v>
      </c>
      <c r="C43" s="75">
        <f t="shared" si="2"/>
        <v>0</v>
      </c>
      <c r="D43" s="66">
        <f t="shared" si="3"/>
        <v>9.999999999999998E-4</v>
      </c>
      <c r="E43">
        <f>COUNTIF(tables_596103!C:C,input_596103!A43)-COUNTIF(Q:Q,A43)</f>
        <v>6</v>
      </c>
      <c r="F43" s="37">
        <f t="shared" ref="F43:F46" si="10">IFERROR(B43/E43,0)</f>
        <v>1.6666666666666663E-4</v>
      </c>
      <c r="G43">
        <f t="shared" si="4"/>
        <v>5471.9999999999991</v>
      </c>
      <c r="H43">
        <f t="shared" si="5"/>
        <v>912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1.9999999999999997E-2</v>
      </c>
      <c r="C44" s="75">
        <f t="shared" si="2"/>
        <v>0</v>
      </c>
      <c r="D44" s="66">
        <f t="shared" si="3"/>
        <v>1.9999999999999997E-2</v>
      </c>
      <c r="E44">
        <f>COUNTIF(tables_596103!C:C,input_596103!A44)-COUNTIF(Q:Q,A44)</f>
        <v>12</v>
      </c>
      <c r="F44" s="37">
        <f t="shared" si="10"/>
        <v>1.6666666666666663E-3</v>
      </c>
      <c r="G44">
        <f t="shared" si="4"/>
        <v>109439.99999999999</v>
      </c>
      <c r="H44">
        <f t="shared" si="5"/>
        <v>9120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COUNTIF(tables_596103!C:C,input_596103!A45)-COUNTIF(Q:Q,A45)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6.0000000000000001E-3</v>
      </c>
      <c r="C46" s="75">
        <f>SUMIF(Q:Q,A46,N:N)</f>
        <v>6.0000000000000001E-3</v>
      </c>
      <c r="D46" s="66">
        <f t="shared" si="3"/>
        <v>0</v>
      </c>
      <c r="E46">
        <f>COUNTIF(tables_596103!C:C,input_596103!A46)-COUNTIF(Q:Q,A46)</f>
        <v>0</v>
      </c>
      <c r="F46" s="37">
        <f t="shared" si="10"/>
        <v>0</v>
      </c>
      <c r="G46">
        <f t="shared" si="4"/>
        <v>32832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6.0000000000000001E-3</v>
      </c>
      <c r="D47" s="36">
        <f t="shared" si="3"/>
        <v>0.99399999999999999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</row>
    <row r="51" spans="1:8" x14ac:dyDescent="0.15">
      <c r="A51" s="26">
        <f>LCM(F5-I5,F7-I6)*1000*2*2</f>
        <v>5472000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SUMIF(tables_596103!C:C,input_596103!A55,tables_596103!O:O)</f>
        <v>0</v>
      </c>
      <c r="C55" s="46">
        <f t="shared" ref="C55:C61" ca="1" si="11">B55/B$62</f>
        <v>0</v>
      </c>
      <c r="E55">
        <v>3</v>
      </c>
      <c r="F55">
        <f ca="1">SUMIF(tables_596103!J:J,input_596103!E55,tables_596103!O:O)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SUMIF(tables_596103!C:C,input_596103!A56,tables_596103!O:O)</f>
        <v>981457.91999999969</v>
      </c>
      <c r="C56" s="46">
        <f t="shared" ca="1" si="11"/>
        <v>0.86643916109202679</v>
      </c>
      <c r="E56">
        <v>4</v>
      </c>
      <c r="F56">
        <f ca="1">SUMIF(tables_596103!J:J,input_596103!E56,tables_596103!O:O)</f>
        <v>4924800.0000000037</v>
      </c>
      <c r="G56">
        <f ca="1">F56/A51</f>
        <v>0.90000000000000069</v>
      </c>
      <c r="H56" s="47">
        <f>B18+B20+B22+B25+B27+B30+B33+B35+B37+B40+B42+B45</f>
        <v>0.90000000000000013</v>
      </c>
    </row>
    <row r="57" spans="1:8" x14ac:dyDescent="0.15">
      <c r="A57" s="27" t="s">
        <v>90</v>
      </c>
      <c r="B57">
        <f ca="1">SUMIF(tables_596103!C:C,input_596103!A57,tables_596103!O:O)</f>
        <v>38016</v>
      </c>
      <c r="C57" s="46">
        <f t="shared" ca="1" si="11"/>
        <v>3.3560838907973255E-2</v>
      </c>
      <c r="E57">
        <v>5</v>
      </c>
      <c r="F57">
        <f ca="1">SUMIF(tables_596103!J:J,input_596103!E57,tables_596103!O:O)</f>
        <v>547199.99998000031</v>
      </c>
      <c r="G57">
        <f ca="1">F57/A51</f>
        <v>9.9999999996345082E-2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SUMIF(tables_596103!C:C,input_596103!A58,tables_596103!O:O)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SUMIF(tables_596103!C:C,input_596103!A59,tables_596103!O:O)</f>
        <v>109050.87999999995</v>
      </c>
      <c r="C59" s="46">
        <f t="shared" ca="1" si="11"/>
        <v>9.6271017899114075E-2</v>
      </c>
      <c r="E59" t="s">
        <v>37</v>
      </c>
      <c r="F59" s="47"/>
    </row>
    <row r="60" spans="1:8" x14ac:dyDescent="0.15">
      <c r="A60" s="27" t="s">
        <v>91</v>
      </c>
      <c r="B60">
        <f ca="1">SUMIF(tables_596103!C:C,input_596103!A60,tables_596103!O:O)</f>
        <v>4224</v>
      </c>
      <c r="C60" s="46">
        <f t="shared" ca="1" si="11"/>
        <v>3.7289821008859173E-3</v>
      </c>
      <c r="E60" t="s">
        <v>190</v>
      </c>
      <c r="F60" s="47">
        <f ca="1">SUMIF(tables_596103!I:I,input_596103!E60,tables_596103!P:P)</f>
        <v>0.21055295304901506</v>
      </c>
    </row>
    <row r="61" spans="1:8" x14ac:dyDescent="0.15">
      <c r="A61" s="27" t="s">
        <v>92</v>
      </c>
      <c r="B61">
        <f>SUMIF(tables_596103!C:C,input_596103!A61,tables_596103!O:O)</f>
        <v>0</v>
      </c>
      <c r="C61" s="46">
        <f t="shared" ca="1" si="11"/>
        <v>0</v>
      </c>
      <c r="E61" t="s">
        <v>191</v>
      </c>
      <c r="F61" s="47">
        <f ca="1">SUMIF(tables_596103!I:I,input_596103!E61,tables_596103!P:P)</f>
        <v>0.18799146666735359</v>
      </c>
    </row>
    <row r="62" spans="1:8" x14ac:dyDescent="0.15">
      <c r="A62" s="33" t="s">
        <v>42</v>
      </c>
      <c r="B62">
        <f ca="1">SUM(B55:B61)</f>
        <v>1132748.7999999996</v>
      </c>
      <c r="C62" s="47">
        <f ca="1">SUM(C55:C61)</f>
        <v>1</v>
      </c>
      <c r="E62" t="s">
        <v>192</v>
      </c>
      <c r="F62" s="47">
        <f ca="1">SUMIF(tables_596103!I:I,input_596103!E62,tables_596103!P:P)</f>
        <v>0.54545558028342611</v>
      </c>
    </row>
    <row r="63" spans="1:8" x14ac:dyDescent="0.15">
      <c r="E63" t="s">
        <v>193</v>
      </c>
      <c r="F63" s="103">
        <f ca="1">SUMIF(tables_596103!I:I,input_596103!E63,tables_596103!P:P)</f>
        <v>4.2543859649278301E-2</v>
      </c>
      <c r="G63" s="84"/>
    </row>
    <row r="64" spans="1:8" x14ac:dyDescent="0.15">
      <c r="E64" t="s">
        <v>252</v>
      </c>
      <c r="F64" s="103">
        <f ca="1">SUMIF(tables_596103!I:I,input_596103!E64,tables_596103!P:P)</f>
        <v>7.45614035090444E-3</v>
      </c>
    </row>
    <row r="65" spans="5:6" x14ac:dyDescent="0.15">
      <c r="E65" t="s">
        <v>251</v>
      </c>
      <c r="F65" s="103">
        <f ca="1">SUMIF(tables_596103!I:I,input_596103!E65,tables_596103!P:P)</f>
        <v>6.0000000000219253E-3</v>
      </c>
    </row>
  </sheetData>
  <phoneticPr fontId="13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61"/>
  <sheetViews>
    <sheetView showGridLines="0" workbookViewId="0">
      <pane ySplit="1" topLeftCell="A345" activePane="bottomLeft" state="frozen"/>
      <selection activeCell="L296" sqref="L296"/>
      <selection pane="bottomLeft" activeCell="G1" sqref="G1:G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input_596103!A$2</f>
        <v>596103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IFERROR(VLOOKUP(B2,input_596103!L:R,7,FALSE),VLOOKUP(tables_596103!C2,input_596103!A:H,8,FALSE))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input_596103!A$2</f>
        <v>596103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IFERROR(VLOOKUP(B3,input_596103!L:R,7,FALSE),VLOOKUP(tables_596103!C3,input_596103!A:H,8,FALSE))</f>
        <v>29573.119999999999</v>
      </c>
      <c r="P3" s="40">
        <f t="shared" ca="1" si="1"/>
        <v>5.4044444444641933E-3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input_596103!A$2</f>
        <v>596103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IFERROR(VLOOKUP(B4,input_596103!L:R,7,FALSE),VLOOKUP(tables_596103!C4,input_596103!A:H,8,FALSE))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input_596103!A$2</f>
        <v>596103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IFERROR(VLOOKUP(B5,input_596103!L:R,7,FALSE),VLOOKUP(tables_596103!C5,input_596103!A:H,8,FALSE))</f>
        <v>29573.119999999999</v>
      </c>
      <c r="P5" s="40">
        <f t="shared" ca="1" si="1"/>
        <v>5.4044444444641933E-3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input_596103!A$2</f>
        <v>596103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IFERROR(VLOOKUP(B6,input_596103!L:R,7,FALSE),VLOOKUP(tables_596103!C6,input_596103!A:H,8,FALSE))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input_596103!A$2</f>
        <v>596103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IFERROR(VLOOKUP(B7,input_596103!L:R,7,FALSE),VLOOKUP(tables_596103!C7,input_596103!A:H,8,FALSE))</f>
        <v>136497.07008</v>
      </c>
      <c r="P7" s="40">
        <f t="shared" ca="1" si="1"/>
        <v>2.4944640000091153E-2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input_596103!A$2</f>
        <v>596103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IFERROR(VLOOKUP(B8,input_596103!L:R,7,FALSE),VLOOKUP(tables_596103!C8,input_596103!A:H,8,FALSE))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input_596103!A$2</f>
        <v>596103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IFERROR(VLOOKUP(B9,input_596103!L:R,7,FALSE),VLOOKUP(tables_596103!C9,input_596103!A:H,8,FALSE))</f>
        <v>29573.119999999999</v>
      </c>
      <c r="P9" s="40">
        <f t="shared" ca="1" si="1"/>
        <v>5.4044444444641933E-3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input_596103!A$2</f>
        <v>596103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IFERROR(VLOOKUP(B10,input_596103!L:R,7,FALSE),VLOOKUP(tables_596103!C10,input_596103!A:H,8,FALSE))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input_596103!A$2</f>
        <v>596103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IFERROR(VLOOKUP(B11,input_596103!L:R,7,FALSE),VLOOKUP(tables_596103!C11,input_596103!A:H,8,FALSE))</f>
        <v>29573.119999999999</v>
      </c>
      <c r="P11" s="40">
        <f t="shared" ca="1" si="1"/>
        <v>5.4044444444641933E-3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input_596103!A$2</f>
        <v>596103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IFERROR(VLOOKUP(B12,input_596103!L:R,7,FALSE),VLOOKUP(tables_596103!C12,input_596103!A:H,8,FALSE))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input_596103!A$2</f>
        <v>596103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IFERROR(VLOOKUP(B13,input_596103!L:R,7,FALSE),VLOOKUP(tables_596103!C13,input_596103!A:H,8,FALSE))</f>
        <v>29573.119999999999</v>
      </c>
      <c r="P13" s="40">
        <f t="shared" ca="1" si="1"/>
        <v>5.4044444444641933E-3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input_596103!A$2</f>
        <v>596103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IFERROR(VLOOKUP(B14,input_596103!L:R,7,FALSE),VLOOKUP(tables_596103!C14,input_596103!A:H,8,FALSE))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input_596103!A$2</f>
        <v>596103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IFERROR(VLOOKUP(B15,input_596103!L:R,7,FALSE),VLOOKUP(tables_596103!C15,input_596103!A:H,8,FALSE))</f>
        <v>136497.07008</v>
      </c>
      <c r="P15" s="40">
        <f t="shared" ca="1" si="1"/>
        <v>2.4944640000091153E-2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input_596103!A$2</f>
        <v>596103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IFERROR(VLOOKUP(B16,input_596103!L:R,7,FALSE),VLOOKUP(tables_596103!C16,input_596103!A:H,8,FALSE))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input_596103!A$2</f>
        <v>596103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IFERROR(VLOOKUP(B17,input_596103!L:R,7,FALSE),VLOOKUP(tables_596103!C17,input_596103!A:H,8,FALSE))</f>
        <v>29573.119999999999</v>
      </c>
      <c r="P17" s="40">
        <f t="shared" ca="1" si="1"/>
        <v>5.4044444444641933E-3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input_596103!A$2</f>
        <v>596103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IFERROR(VLOOKUP(B18,input_596103!L:R,7,FALSE),VLOOKUP(tables_596103!C18,input_596103!A:H,8,FALSE))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input_596103!A$2</f>
        <v>596103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IFERROR(VLOOKUP(B19,input_596103!L:R,7,FALSE),VLOOKUP(tables_596103!C19,input_596103!A:H,8,FALSE))</f>
        <v>29573.119999999999</v>
      </c>
      <c r="P19" s="40">
        <f t="shared" ca="1" si="1"/>
        <v>5.4044444444641933E-3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input_596103!A$2</f>
        <v>596103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IFERROR(VLOOKUP(B20,input_596103!L:R,7,FALSE),VLOOKUP(tables_596103!C20,input_596103!A:H,8,FALSE))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input_596103!A$2</f>
        <v>596103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IFERROR(VLOOKUP(B21,input_596103!L:R,7,FALSE),VLOOKUP(tables_596103!C21,input_596103!A:H,8,FALSE))</f>
        <v>29573.119999999999</v>
      </c>
      <c r="P21" s="40">
        <f t="shared" ca="1" si="1"/>
        <v>5.4044444444641933E-3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input_596103!A$2</f>
        <v>596103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IFERROR(VLOOKUP(B22,input_596103!L:R,7,FALSE),VLOOKUP(tables_596103!C22,input_596103!A:H,8,FALSE))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input_596103!A$2</f>
        <v>596103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IFERROR(VLOOKUP(B23,input_596103!L:R,7,FALSE),VLOOKUP(tables_596103!C23,input_596103!A:H,8,FALSE))</f>
        <v>136497.07008</v>
      </c>
      <c r="P23" s="40">
        <f t="shared" ca="1" si="1"/>
        <v>2.4944640000091153E-2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input_596103!A$2</f>
        <v>596103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IFERROR(VLOOKUP(B24,input_596103!L:R,7,FALSE),VLOOKUP(tables_596103!C24,input_596103!A:H,8,FALSE))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input_596103!A$2</f>
        <v>596103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IFERROR(VLOOKUP(B25,input_596103!L:R,7,FALSE),VLOOKUP(tables_596103!C25,input_596103!A:H,8,FALSE))</f>
        <v>29573.119999999999</v>
      </c>
      <c r="P25" s="40">
        <f t="shared" ca="1" si="1"/>
        <v>5.4044444444641933E-3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input_596103!A$2</f>
        <v>596103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IFERROR(VLOOKUP(B26,input_596103!L:R,7,FALSE),VLOOKUP(tables_596103!C26,input_596103!A:H,8,FALSE))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input_596103!A$2</f>
        <v>596103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IFERROR(VLOOKUP(B27,input_596103!L:R,7,FALSE),VLOOKUP(tables_596103!C27,input_596103!A:H,8,FALSE))</f>
        <v>29573.119999999999</v>
      </c>
      <c r="P27" s="40">
        <f t="shared" ca="1" si="1"/>
        <v>5.4044444444641933E-3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input_596103!A$2</f>
        <v>596103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IFERROR(VLOOKUP(B28,input_596103!L:R,7,FALSE),VLOOKUP(tables_596103!C28,input_596103!A:H,8,FALSE))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input_596103!A$2</f>
        <v>596103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IFERROR(VLOOKUP(B29,input_596103!L:R,7,FALSE),VLOOKUP(tables_596103!C29,input_596103!A:H,8,FALSE))</f>
        <v>29573.119999999999</v>
      </c>
      <c r="P29" s="40">
        <f t="shared" ca="1" si="1"/>
        <v>5.4044444444641933E-3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input_596103!A$2</f>
        <v>596103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IFERROR(VLOOKUP(B30,input_596103!L:R,7,FALSE),VLOOKUP(tables_596103!C30,input_596103!A:H,8,FALSE))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input_596103!A$2</f>
        <v>596103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IFERROR(VLOOKUP(B31,input_596103!L:R,7,FALSE),VLOOKUP(tables_596103!C31,input_596103!A:H,8,FALSE))</f>
        <v>136497.07008</v>
      </c>
      <c r="P31" s="40">
        <f t="shared" ca="1" si="1"/>
        <v>2.4944640000091153E-2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input_596103!A$2</f>
        <v>596103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IFERROR(VLOOKUP(B32,input_596103!L:R,7,FALSE),VLOOKUP(tables_596103!C32,input_596103!A:H,8,FALSE))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input_596103!A$2</f>
        <v>596103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IFERROR(VLOOKUP(B33,input_596103!L:R,7,FALSE),VLOOKUP(tables_596103!C33,input_596103!A:H,8,FALSE))</f>
        <v>29573.119999999999</v>
      </c>
      <c r="P33" s="40">
        <f t="shared" ca="1" si="1"/>
        <v>5.4044444444641933E-3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input_596103!A$2</f>
        <v>596103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IFERROR(VLOOKUP(B34,input_596103!L:R,7,FALSE),VLOOKUP(tables_596103!C34,input_596103!A:H,8,FALSE))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input_596103!A$2</f>
        <v>596103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IFERROR(VLOOKUP(B35,input_596103!L:R,7,FALSE),VLOOKUP(tables_596103!C35,input_596103!A:H,8,FALSE))</f>
        <v>29573.119999999999</v>
      </c>
      <c r="P35" s="40">
        <f t="shared" ca="1" si="1"/>
        <v>5.4044444444641933E-3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input_596103!A$2</f>
        <v>596103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IFERROR(VLOOKUP(B36,input_596103!L:R,7,FALSE),VLOOKUP(tables_596103!C36,input_596103!A:H,8,FALSE))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input_596103!A$2</f>
        <v>596103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IFERROR(VLOOKUP(B37,input_596103!L:R,7,FALSE),VLOOKUP(tables_596103!C37,input_596103!A:H,8,FALSE))</f>
        <v>29573.119999999999</v>
      </c>
      <c r="P37" s="40">
        <f t="shared" ca="1" si="1"/>
        <v>5.4044444444641933E-3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input_596103!A$2</f>
        <v>596103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IFERROR(VLOOKUP(B38,input_596103!L:R,7,FALSE),VLOOKUP(tables_596103!C38,input_596103!A:H,8,FALSE))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input_596103!A$2</f>
        <v>596103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IFERROR(VLOOKUP(B39,input_596103!L:R,7,FALSE),VLOOKUP(tables_596103!C39,input_596103!A:H,8,FALSE))</f>
        <v>136497.07008</v>
      </c>
      <c r="P39" s="40">
        <f t="shared" ca="1" si="1"/>
        <v>2.4944640000091153E-2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input_596103!A$2</f>
        <v>596103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IFERROR(VLOOKUP(B40,input_596103!L:R,7,FALSE),VLOOKUP(tables_596103!C40,input_596103!A:H,8,FALSE))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input_596103!A$2</f>
        <v>596103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IFERROR(VLOOKUP(B41,input_596103!L:R,7,FALSE),VLOOKUP(tables_596103!C41,input_596103!A:H,8,FALSE))</f>
        <v>29573.119999999999</v>
      </c>
      <c r="P41" s="40">
        <f t="shared" ca="1" si="1"/>
        <v>5.4044444444641933E-3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input_596103!A$2</f>
        <v>596103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IFERROR(VLOOKUP(B42,input_596103!L:R,7,FALSE),VLOOKUP(tables_596103!C42,input_596103!A:H,8,FALSE))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input_596103!A$2</f>
        <v>596103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IFERROR(VLOOKUP(B43,input_596103!L:R,7,FALSE),VLOOKUP(tables_596103!C43,input_596103!A:H,8,FALSE))</f>
        <v>25827.84</v>
      </c>
      <c r="P43" s="40">
        <f t="shared" ca="1" si="1"/>
        <v>4.7200000000172477E-3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input_596103!A$2</f>
        <v>596103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IFERROR(VLOOKUP(B44,input_596103!L:R,7,FALSE),VLOOKUP(tables_596103!C44,input_596103!A:H,8,FALSE))</f>
        <v>2869.76</v>
      </c>
      <c r="P44" s="40">
        <f t="shared" ca="1" si="1"/>
        <v>5.2444444444636089E-4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input_596103!A$2</f>
        <v>596103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IFERROR(VLOOKUP(B45,input_596103!L:R,7,FALSE),VLOOKUP(tables_596103!C45,input_596103!A:H,8,FALSE))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input_596103!A$2</f>
        <v>596103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IFERROR(VLOOKUP(B46,input_596103!L:R,7,FALSE),VLOOKUP(tables_596103!C46,input_596103!A:H,8,FALSE))</f>
        <v>25827.84</v>
      </c>
      <c r="P46" s="40">
        <f t="shared" ca="1" si="1"/>
        <v>4.7200000000172477E-3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input_596103!A$2</f>
        <v>596103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IFERROR(VLOOKUP(B47,input_596103!L:R,7,FALSE),VLOOKUP(tables_596103!C47,input_596103!A:H,8,FALSE))</f>
        <v>2869.76</v>
      </c>
      <c r="P47" s="40">
        <f t="shared" ca="1" si="1"/>
        <v>5.2444444444636089E-4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input_596103!A$2</f>
        <v>596103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IFERROR(VLOOKUP(B48,input_596103!L:R,7,FALSE),VLOOKUP(tables_596103!C48,input_596103!A:H,8,FALSE))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input_596103!A$2</f>
        <v>596103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IFERROR(VLOOKUP(B49,input_596103!L:R,7,FALSE),VLOOKUP(tables_596103!C49,input_596103!A:H,8,FALSE))</f>
        <v>111576.26880000001</v>
      </c>
      <c r="P49" s="40">
        <f t="shared" ca="1" si="1"/>
        <v>2.0390400000074509E-2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input_596103!A$2</f>
        <v>596103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IFERROR(VLOOKUP(B50,input_596103!L:R,7,FALSE),VLOOKUP(tables_596103!C50,input_596103!A:H,8,FALSE))</f>
        <v>12397.3632</v>
      </c>
      <c r="P50" s="40">
        <f t="shared" ca="1" si="1"/>
        <v>2.265600000008279E-3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input_596103!A$2</f>
        <v>596103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IFERROR(VLOOKUP(B51,input_596103!L:R,7,FALSE),VLOOKUP(tables_596103!C51,input_596103!A:H,8,FALSE))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input_596103!A$2</f>
        <v>596103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IFERROR(VLOOKUP(B52,input_596103!L:R,7,FALSE),VLOOKUP(tables_596103!C52,input_596103!A:H,8,FALSE))</f>
        <v>25827.84</v>
      </c>
      <c r="P52" s="40">
        <f t="shared" ca="1" si="1"/>
        <v>4.7200000000172477E-3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input_596103!A$2</f>
        <v>596103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IFERROR(VLOOKUP(B53,input_596103!L:R,7,FALSE),VLOOKUP(tables_596103!C53,input_596103!A:H,8,FALSE))</f>
        <v>2869.76</v>
      </c>
      <c r="P53" s="40">
        <f t="shared" ca="1" si="1"/>
        <v>5.2444444444636089E-4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input_596103!A$2</f>
        <v>596103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IFERROR(VLOOKUP(B54,input_596103!L:R,7,FALSE),VLOOKUP(tables_596103!C54,input_596103!A:H,8,FALSE))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input_596103!A$2</f>
        <v>596103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IFERROR(VLOOKUP(B55,input_596103!L:R,7,FALSE),VLOOKUP(tables_596103!C55,input_596103!A:H,8,FALSE))</f>
        <v>25827.84</v>
      </c>
      <c r="P55" s="40">
        <f t="shared" ca="1" si="1"/>
        <v>4.7200000000172477E-3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input_596103!A$2</f>
        <v>596103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IFERROR(VLOOKUP(B56,input_596103!L:R,7,FALSE),VLOOKUP(tables_596103!C56,input_596103!A:H,8,FALSE))</f>
        <v>2869.76</v>
      </c>
      <c r="P56" s="40">
        <f t="shared" ca="1" si="1"/>
        <v>5.2444444444636089E-4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input_596103!A$2</f>
        <v>596103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IFERROR(VLOOKUP(B57,input_596103!L:R,7,FALSE),VLOOKUP(tables_596103!C57,input_596103!A:H,8,FALSE))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input_596103!A$2</f>
        <v>596103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IFERROR(VLOOKUP(B58,input_596103!L:R,7,FALSE),VLOOKUP(tables_596103!C58,input_596103!A:H,8,FALSE))</f>
        <v>25827.84</v>
      </c>
      <c r="P58" s="40">
        <f t="shared" ca="1" si="1"/>
        <v>4.7200000000172477E-3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input_596103!A$2</f>
        <v>596103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IFERROR(VLOOKUP(B59,input_596103!L:R,7,FALSE),VLOOKUP(tables_596103!C59,input_596103!A:H,8,FALSE))</f>
        <v>2869.76</v>
      </c>
      <c r="P59" s="40">
        <f t="shared" ca="1" si="1"/>
        <v>5.2444444444636089E-4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input_596103!A$2</f>
        <v>596103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IFERROR(VLOOKUP(B60,input_596103!L:R,7,FALSE),VLOOKUP(tables_596103!C60,input_596103!A:H,8,FALSE))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input_596103!A$2</f>
        <v>596103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IFERROR(VLOOKUP(B61,input_596103!L:R,7,FALSE),VLOOKUP(tables_596103!C61,input_596103!A:H,8,FALSE))</f>
        <v>111576.26880000001</v>
      </c>
      <c r="P61" s="40">
        <f t="shared" ca="1" si="1"/>
        <v>2.0390400000074509E-2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input_596103!A$2</f>
        <v>596103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IFERROR(VLOOKUP(B62,input_596103!L:R,7,FALSE),VLOOKUP(tables_596103!C62,input_596103!A:H,8,FALSE))</f>
        <v>6986.6495999999997</v>
      </c>
      <c r="P62" s="40">
        <f t="shared" ca="1" si="1"/>
        <v>1.2768000000046656E-3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input_596103!A$2</f>
        <v>596103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IFERROR(VLOOKUP(B63,input_596103!L:R,7,FALSE),VLOOKUP(tables_596103!C63,input_596103!A:H,8,FALSE))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input_596103!A$2</f>
        <v>596103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IFERROR(VLOOKUP(B64,input_596103!L:R,7,FALSE),VLOOKUP(tables_596103!C64,input_596103!A:H,8,FALSE))</f>
        <v>25827.84</v>
      </c>
      <c r="P64" s="40">
        <f t="shared" ca="1" si="1"/>
        <v>4.7200000000172477E-3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input_596103!A$2</f>
        <v>596103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IFERROR(VLOOKUP(B65,input_596103!L:R,7,FALSE),VLOOKUP(tables_596103!C65,input_596103!A:H,8,FALSE))</f>
        <v>2869.76</v>
      </c>
      <c r="P65" s="40">
        <f t="shared" ca="1" si="1"/>
        <v>5.2444444444636089E-4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input_596103!A$2</f>
        <v>596103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IFERROR(VLOOKUP(B66,input_596103!L:R,7,FALSE),VLOOKUP(tables_596103!C66,input_596103!A:H,8,FALSE))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input_596103!A$2</f>
        <v>596103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IFERROR(VLOOKUP(B67,input_596103!L:R,7,FALSE),VLOOKUP(tables_596103!C67,input_596103!A:H,8,FALSE))</f>
        <v>25827.84</v>
      </c>
      <c r="P67" s="40">
        <f t="shared" ca="1" si="4"/>
        <v>4.7200000000172477E-3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input_596103!A$2</f>
        <v>596103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IFERROR(VLOOKUP(B68,input_596103!L:R,7,FALSE),VLOOKUP(tables_596103!C68,input_596103!A:H,8,FALSE))</f>
        <v>2869.76</v>
      </c>
      <c r="P68" s="40">
        <f t="shared" ca="1" si="4"/>
        <v>5.2444444444636089E-4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input_596103!A$2</f>
        <v>596103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IFERROR(VLOOKUP(B69,input_596103!L:R,7,FALSE),VLOOKUP(tables_596103!C69,input_596103!A:H,8,FALSE))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input_596103!A$2</f>
        <v>596103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IFERROR(VLOOKUP(B70,input_596103!L:R,7,FALSE),VLOOKUP(tables_596103!C70,input_596103!A:H,8,FALSE))</f>
        <v>25827.84</v>
      </c>
      <c r="P70" s="40">
        <f t="shared" ca="1" si="4"/>
        <v>4.7200000000172477E-3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input_596103!A$2</f>
        <v>596103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IFERROR(VLOOKUP(B71,input_596103!L:R,7,FALSE),VLOOKUP(tables_596103!C71,input_596103!A:H,8,FALSE))</f>
        <v>2869.76</v>
      </c>
      <c r="P71" s="40">
        <f t="shared" ca="1" si="4"/>
        <v>5.2444444444636089E-4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input_596103!A$2</f>
        <v>596103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IFERROR(VLOOKUP(B72,input_596103!L:R,7,FALSE),VLOOKUP(tables_596103!C72,input_596103!A:H,8,FALSE))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input_596103!A$2</f>
        <v>596103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IFERROR(VLOOKUP(B73,input_596103!L:R,7,FALSE),VLOOKUP(tables_596103!C73,input_596103!A:H,8,FALSE))</f>
        <v>25827.84</v>
      </c>
      <c r="P73" s="40">
        <f t="shared" ca="1" si="4"/>
        <v>4.7200000000172477E-3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input_596103!A$2</f>
        <v>596103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IFERROR(VLOOKUP(B74,input_596103!L:R,7,FALSE),VLOOKUP(tables_596103!C74,input_596103!A:H,8,FALSE))</f>
        <v>2869.76</v>
      </c>
      <c r="P74" s="40">
        <f t="shared" ca="1" si="4"/>
        <v>5.2444444444636089E-4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input_596103!A$2</f>
        <v>596103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IFERROR(VLOOKUP(B75,input_596103!L:R,7,FALSE),VLOOKUP(tables_596103!C75,input_596103!A:H,8,FALSE))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input_596103!A$2</f>
        <v>596103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IFERROR(VLOOKUP(B76,input_596103!L:R,7,FALSE),VLOOKUP(tables_596103!C76,input_596103!A:H,8,FALSE))</f>
        <v>111576.26880000001</v>
      </c>
      <c r="P76" s="40">
        <f t="shared" ca="1" si="4"/>
        <v>2.0390400000074509E-2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input_596103!A$2</f>
        <v>596103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IFERROR(VLOOKUP(B77,input_596103!L:R,7,FALSE),VLOOKUP(tables_596103!C77,input_596103!A:H,8,FALSE))</f>
        <v>6986.6495999999997</v>
      </c>
      <c r="P77" s="40">
        <f t="shared" ca="1" si="4"/>
        <v>1.2768000000046656E-3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input_596103!A$2</f>
        <v>596103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IFERROR(VLOOKUP(B78,input_596103!L:R,7,FALSE),VLOOKUP(tables_596103!C78,input_596103!A:H,8,FALSE))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input_596103!A$2</f>
        <v>596103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IFERROR(VLOOKUP(B79,input_596103!L:R,7,FALSE),VLOOKUP(tables_596103!C79,input_596103!A:H,8,FALSE))</f>
        <v>25827.84</v>
      </c>
      <c r="P79" s="40">
        <f t="shared" ca="1" si="4"/>
        <v>4.7200000000172477E-3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input_596103!A$2</f>
        <v>596103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IFERROR(VLOOKUP(B80,input_596103!L:R,7,FALSE),VLOOKUP(tables_596103!C80,input_596103!A:H,8,FALSE))</f>
        <v>2869.76</v>
      </c>
      <c r="P80" s="40">
        <f t="shared" ca="1" si="4"/>
        <v>5.2444444444636089E-4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input_596103!A$2</f>
        <v>596103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IFERROR(VLOOKUP(B81,input_596103!L:R,7,FALSE),VLOOKUP(tables_596103!C81,input_596103!A:H,8,FALSE))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input_596103!A$2</f>
        <v>596103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IFERROR(VLOOKUP(B82,input_596103!L:R,7,FALSE),VLOOKUP(tables_596103!C82,input_596103!A:H,8,FALSE))</f>
        <v>25827.84</v>
      </c>
      <c r="P82" s="40">
        <f t="shared" ca="1" si="4"/>
        <v>4.7200000000172477E-3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input_596103!A$2</f>
        <v>596103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IFERROR(VLOOKUP(B83,input_596103!L:R,7,FALSE),VLOOKUP(tables_596103!C83,input_596103!A:H,8,FALSE))</f>
        <v>2869.76</v>
      </c>
      <c r="P83" s="40">
        <f t="shared" ca="1" si="4"/>
        <v>5.2444444444636089E-4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input_596103!A$2</f>
        <v>596103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IFERROR(VLOOKUP(B84,input_596103!L:R,7,FALSE),VLOOKUP(tables_596103!C84,input_596103!A:H,8,FALSE))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input_596103!A$2</f>
        <v>596103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IFERROR(VLOOKUP(B85,input_596103!L:R,7,FALSE),VLOOKUP(tables_596103!C85,input_596103!A:H,8,FALSE))</f>
        <v>111576.26880000001</v>
      </c>
      <c r="P85" s="40">
        <f t="shared" ca="1" si="4"/>
        <v>2.0390400000074509E-2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input_596103!A$2</f>
        <v>596103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IFERROR(VLOOKUP(B86,input_596103!L:R,7,FALSE),VLOOKUP(tables_596103!C86,input_596103!A:H,8,FALSE))</f>
        <v>6986.6495999999997</v>
      </c>
      <c r="P86" s="40">
        <f t="shared" ca="1" si="4"/>
        <v>1.2768000000046656E-3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input_596103!A$2</f>
        <v>596103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IFERROR(VLOOKUP(B87,input_596103!L:R,7,FALSE),VLOOKUP(tables_596103!C87,input_596103!A:H,8,FALSE))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input_596103!A$2</f>
        <v>596103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IFERROR(VLOOKUP(B88,input_596103!L:R,7,FALSE),VLOOKUP(tables_596103!C88,input_596103!A:H,8,FALSE))</f>
        <v>25827.84</v>
      </c>
      <c r="P88" s="40">
        <f t="shared" ca="1" si="4"/>
        <v>4.7200000000172477E-3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input_596103!A$2</f>
        <v>596103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IFERROR(VLOOKUP(B89,input_596103!L:R,7,FALSE),VLOOKUP(tables_596103!C89,input_596103!A:H,8,FALSE))</f>
        <v>2869.76</v>
      </c>
      <c r="P89" s="40">
        <f t="shared" ca="1" si="4"/>
        <v>5.2444444444636089E-4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input_596103!A$2</f>
        <v>596103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IFERROR(VLOOKUP(B90,input_596103!L:R,7,FALSE),VLOOKUP(tables_596103!C90,input_596103!A:H,8,FALSE))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input_596103!A$2</f>
        <v>596103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IFERROR(VLOOKUP(B91,input_596103!L:R,7,FALSE),VLOOKUP(tables_596103!C91,input_596103!A:H,8,FALSE))</f>
        <v>25827.84</v>
      </c>
      <c r="P91" s="40">
        <f t="shared" ca="1" si="4"/>
        <v>4.7200000000172477E-3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input_596103!A$2</f>
        <v>596103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IFERROR(VLOOKUP(B92,input_596103!L:R,7,FALSE),VLOOKUP(tables_596103!C92,input_596103!A:H,8,FALSE))</f>
        <v>2869.76</v>
      </c>
      <c r="P92" s="40">
        <f t="shared" ca="1" si="4"/>
        <v>5.2444444444636089E-4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input_596103!A$2</f>
        <v>596103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IFERROR(VLOOKUP(B93,input_596103!L:R,7,FALSE),VLOOKUP(tables_596103!C93,input_596103!A:H,8,FALSE))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input_596103!A$2</f>
        <v>596103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IFERROR(VLOOKUP(B94,input_596103!L:R,7,FALSE),VLOOKUP(tables_596103!C94,input_596103!A:H,8,FALSE))</f>
        <v>25827.84</v>
      </c>
      <c r="P94" s="40">
        <f t="shared" ca="1" si="4"/>
        <v>4.7200000000172477E-3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input_596103!A$2</f>
        <v>596103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IFERROR(VLOOKUP(B95,input_596103!L:R,7,FALSE),VLOOKUP(tables_596103!C95,input_596103!A:H,8,FALSE))</f>
        <v>2869.76</v>
      </c>
      <c r="P95" s="40">
        <f t="shared" ca="1" si="4"/>
        <v>5.2444444444636089E-4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input_596103!A$2</f>
        <v>596103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IFERROR(VLOOKUP(B96,input_596103!L:R,7,FALSE),VLOOKUP(tables_596103!C96,input_596103!A:H,8,FALSE))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input_596103!A$2</f>
        <v>596103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IFERROR(VLOOKUP(B97,input_596103!L:R,7,FALSE),VLOOKUP(tables_596103!C97,input_596103!A:H,8,FALSE))</f>
        <v>111576.26880000001</v>
      </c>
      <c r="P97" s="40">
        <f t="shared" ca="1" si="4"/>
        <v>2.0390400000074509E-2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input_596103!A$2</f>
        <v>596103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IFERROR(VLOOKUP(B98,input_596103!L:R,7,FALSE),VLOOKUP(tables_596103!C98,input_596103!A:H,8,FALSE))</f>
        <v>6986.6495999999997</v>
      </c>
      <c r="P98" s="40">
        <f t="shared" ca="1" si="4"/>
        <v>1.2768000000046656E-3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input_596103!A$2</f>
        <v>596103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IFERROR(VLOOKUP(B99,input_596103!L:R,7,FALSE),VLOOKUP(tables_596103!C99,input_596103!A:H,8,FALSE))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input_596103!A$2</f>
        <v>596103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IFERROR(VLOOKUP(B100,input_596103!L:R,7,FALSE),VLOOKUP(tables_596103!C100,input_596103!A:H,8,FALSE))</f>
        <v>25827.84</v>
      </c>
      <c r="P100" s="40">
        <f t="shared" ca="1" si="4"/>
        <v>4.7200000000172477E-3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input_596103!A$2</f>
        <v>596103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IFERROR(VLOOKUP(B101,input_596103!L:R,7,FALSE),VLOOKUP(tables_596103!C101,input_596103!A:H,8,FALSE))</f>
        <v>2869.76</v>
      </c>
      <c r="P101" s="40">
        <f t="shared" ca="1" si="4"/>
        <v>5.2444444444636089E-4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input_596103!A$2</f>
        <v>596103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IFERROR(VLOOKUP(B102,input_596103!L:R,7,FALSE),VLOOKUP(tables_596103!C102,input_596103!A:H,8,FALSE))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input_596103!A$2</f>
        <v>596103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IFERROR(VLOOKUP(B103,input_596103!L:R,7,FALSE),VLOOKUP(tables_596103!C103,input_596103!A:H,8,FALSE))</f>
        <v>25827.84</v>
      </c>
      <c r="P103" s="40">
        <f t="shared" ca="1" si="4"/>
        <v>4.7200000000172477E-3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input_596103!A$2</f>
        <v>596103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IFERROR(VLOOKUP(B104,input_596103!L:R,7,FALSE),VLOOKUP(tables_596103!C104,input_596103!A:H,8,FALSE))</f>
        <v>2869.76</v>
      </c>
      <c r="P104" s="40">
        <f t="shared" ca="1" si="4"/>
        <v>5.2444444444636089E-4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input_596103!A$2</f>
        <v>596103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IFERROR(VLOOKUP(B105,input_596103!L:R,7,FALSE),VLOOKUP(tables_596103!C105,input_596103!A:H,8,FALSE))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input_596103!A$2</f>
        <v>596103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IFERROR(VLOOKUP(B106,input_596103!L:R,7,FALSE),VLOOKUP(tables_596103!C106,input_596103!A:H,8,FALSE))</f>
        <v>25827.84</v>
      </c>
      <c r="P106" s="40">
        <f t="shared" ca="1" si="4"/>
        <v>4.7200000000172477E-3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input_596103!A$2</f>
        <v>596103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IFERROR(VLOOKUP(B107,input_596103!L:R,7,FALSE),VLOOKUP(tables_596103!C107,input_596103!A:H,8,FALSE))</f>
        <v>2869.76</v>
      </c>
      <c r="P107" s="40">
        <f t="shared" ca="1" si="4"/>
        <v>5.2444444444636089E-4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input_596103!A$2</f>
        <v>596103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IFERROR(VLOOKUP(B108,input_596103!L:R,7,FALSE),VLOOKUP(tables_596103!C108,input_596103!A:H,8,FALSE))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input_596103!A$2</f>
        <v>596103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IFERROR(VLOOKUP(B109,input_596103!L:R,7,FALSE),VLOOKUP(tables_596103!C109,input_596103!A:H,8,FALSE))</f>
        <v>111576.26880000001</v>
      </c>
      <c r="P109" s="40">
        <f t="shared" ca="1" si="4"/>
        <v>2.0390400000074509E-2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input_596103!A$2</f>
        <v>596103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IFERROR(VLOOKUP(B110,input_596103!L:R,7,FALSE),VLOOKUP(tables_596103!C110,input_596103!A:H,8,FALSE))</f>
        <v>6986.6495999999997</v>
      </c>
      <c r="P110" s="40">
        <f t="shared" ca="1" si="4"/>
        <v>1.2768000000046656E-3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input_596103!A$2</f>
        <v>596103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IFERROR(VLOOKUP(B111,input_596103!L:R,7,FALSE),VLOOKUP(tables_596103!C111,input_596103!A:H,8,FALSE))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input_596103!A$2</f>
        <v>596103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IFERROR(VLOOKUP(B112,input_596103!L:R,7,FALSE),VLOOKUP(tables_596103!C112,input_596103!A:H,8,FALSE))</f>
        <v>25827.84</v>
      </c>
      <c r="P112" s="40">
        <f t="shared" ca="1" si="4"/>
        <v>4.7200000000172477E-3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input_596103!A$2</f>
        <v>596103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IFERROR(VLOOKUP(B113,input_596103!L:R,7,FALSE),VLOOKUP(tables_596103!C113,input_596103!A:H,8,FALSE))</f>
        <v>2869.76</v>
      </c>
      <c r="P113" s="40">
        <f t="shared" ca="1" si="4"/>
        <v>5.2444444444636089E-4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input_596103!A$2</f>
        <v>596103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IFERROR(VLOOKUP(B114,input_596103!L:R,7,FALSE),VLOOKUP(tables_596103!C114,input_596103!A:H,8,FALSE))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input_596103!A$2</f>
        <v>596103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IFERROR(VLOOKUP(B115,input_596103!L:R,7,FALSE),VLOOKUP(tables_596103!C115,input_596103!A:H,8,FALSE))</f>
        <v>25827.84</v>
      </c>
      <c r="P115" s="40">
        <f t="shared" ca="1" si="4"/>
        <v>4.7200000000172477E-3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input_596103!A$2</f>
        <v>596103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IFERROR(VLOOKUP(B116,input_596103!L:R,7,FALSE),VLOOKUP(tables_596103!C116,input_596103!A:H,8,FALSE))</f>
        <v>2869.76</v>
      </c>
      <c r="P116" s="40">
        <f t="shared" ca="1" si="4"/>
        <v>5.2444444444636089E-4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input_596103!A$2</f>
        <v>596103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IFERROR(VLOOKUP(B117,input_596103!L:R,7,FALSE),VLOOKUP(tables_596103!C117,input_596103!A:H,8,FALSE))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input_596103!A$2</f>
        <v>596103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IFERROR(VLOOKUP(B118,input_596103!L:R,7,FALSE),VLOOKUP(tables_596103!C118,input_596103!A:H,8,FALSE))</f>
        <v>25827.84</v>
      </c>
      <c r="P118" s="40">
        <f t="shared" ca="1" si="4"/>
        <v>4.7200000000172477E-3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input_596103!A$2</f>
        <v>596103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IFERROR(VLOOKUP(B119,input_596103!L:R,7,FALSE),VLOOKUP(tables_596103!C119,input_596103!A:H,8,FALSE))</f>
        <v>2869.76</v>
      </c>
      <c r="P119" s="40">
        <f t="shared" ca="1" si="4"/>
        <v>5.2444444444636089E-4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input_596103!A$2</f>
        <v>596103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IFERROR(VLOOKUP(B120,input_596103!L:R,7,FALSE),VLOOKUP(tables_596103!C120,input_596103!A:H,8,FALSE))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input_596103!A$2</f>
        <v>596103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IFERROR(VLOOKUP(B121,input_596103!L:R,7,FALSE),VLOOKUP(tables_596103!C121,input_596103!A:H,8,FALSE))</f>
        <v>111576.26880000001</v>
      </c>
      <c r="P121" s="40">
        <f t="shared" ca="1" si="4"/>
        <v>2.0390400000074509E-2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input_596103!A$2</f>
        <v>596103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IFERROR(VLOOKUP(B122,input_596103!L:R,7,FALSE),VLOOKUP(tables_596103!C122,input_596103!A:H,8,FALSE))</f>
        <v>6986.6495999999997</v>
      </c>
      <c r="P122" s="40">
        <f t="shared" ca="1" si="4"/>
        <v>1.2768000000046656E-3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input_596103!A$2</f>
        <v>596103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IFERROR(VLOOKUP(B123,input_596103!L:R,7,FALSE),VLOOKUP(tables_596103!C123,input_596103!A:H,8,FALSE))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input_596103!A$2</f>
        <v>596103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IFERROR(VLOOKUP(B124,input_596103!L:R,7,FALSE),VLOOKUP(tables_596103!C124,input_596103!A:H,8,FALSE))</f>
        <v>25827.84</v>
      </c>
      <c r="P124" s="40">
        <f t="shared" ca="1" si="4"/>
        <v>4.7200000000172477E-3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input_596103!A$2</f>
        <v>596103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IFERROR(VLOOKUP(B125,input_596103!L:R,7,FALSE),VLOOKUP(tables_596103!C125,input_596103!A:H,8,FALSE))</f>
        <v>2869.76</v>
      </c>
      <c r="P125" s="40">
        <f t="shared" ca="1" si="4"/>
        <v>5.2444444444636089E-4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input_596103!A$2</f>
        <v>596103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IFERROR(VLOOKUP(B126,input_596103!L:R,7,FALSE),VLOOKUP(tables_596103!C126,input_596103!A:H,8,FALSE))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input_596103!A$2</f>
        <v>596103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IFERROR(VLOOKUP(B127,input_596103!L:R,7,FALSE),VLOOKUP(tables_596103!C127,input_596103!A:H,8,FALSE))</f>
        <v>25827.84</v>
      </c>
      <c r="P127" s="40">
        <f t="shared" ca="1" si="4"/>
        <v>4.7200000000172477E-3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input_596103!A$2</f>
        <v>596103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IFERROR(VLOOKUP(B128,input_596103!L:R,7,FALSE),VLOOKUP(tables_596103!C128,input_596103!A:H,8,FALSE))</f>
        <v>2869.76</v>
      </c>
      <c r="P128" s="40">
        <f t="shared" ca="1" si="4"/>
        <v>5.2444444444636089E-4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input_596103!A$2</f>
        <v>596103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IFERROR(VLOOKUP(B129,input_596103!L:R,7,FALSE),VLOOKUP(tables_596103!C129,input_596103!A:H,8,FALSE))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input_596103!A$2</f>
        <v>596103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IFERROR(VLOOKUP(B130,input_596103!L:R,7,FALSE),VLOOKUP(tables_596103!C130,input_596103!A:H,8,FALSE))</f>
        <v>25827.84</v>
      </c>
      <c r="P130" s="40">
        <f t="shared" ref="P130:P193" ca="1" si="7">O130/SUM(O:O)</f>
        <v>4.7200000000172477E-3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input_596103!A$2</f>
        <v>596103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IFERROR(VLOOKUP(B131,input_596103!L:R,7,FALSE),VLOOKUP(tables_596103!C131,input_596103!A:H,8,FALSE))</f>
        <v>2869.76</v>
      </c>
      <c r="P131" s="40">
        <f t="shared" ca="1" si="7"/>
        <v>5.2444444444636089E-4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input_596103!A$2</f>
        <v>596103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IFERROR(VLOOKUP(B132,input_596103!L:R,7,FALSE),VLOOKUP(tables_596103!C132,input_596103!A:H,8,FALSE))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input_596103!A$2</f>
        <v>596103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IFERROR(VLOOKUP(B133,input_596103!L:R,7,FALSE),VLOOKUP(tables_596103!C133,input_596103!A:H,8,FALSE))</f>
        <v>111576.26880000001</v>
      </c>
      <c r="P133" s="40">
        <f t="shared" ca="1" si="7"/>
        <v>2.0390400000074509E-2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input_596103!A$2</f>
        <v>596103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IFERROR(VLOOKUP(B134,input_596103!L:R,7,FALSE),VLOOKUP(tables_596103!C134,input_596103!A:H,8,FALSE))</f>
        <v>6986.6495999999997</v>
      </c>
      <c r="P134" s="40">
        <f t="shared" ca="1" si="7"/>
        <v>1.2768000000046656E-3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input_596103!A$2</f>
        <v>596103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IFERROR(VLOOKUP(B135,input_596103!L:R,7,FALSE),VLOOKUP(tables_596103!C135,input_596103!A:H,8,FALSE))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input_596103!A$2</f>
        <v>596103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IFERROR(VLOOKUP(B136,input_596103!L:R,7,FALSE),VLOOKUP(tables_596103!C136,input_596103!A:H,8,FALSE))</f>
        <v>25827.84</v>
      </c>
      <c r="P136" s="40">
        <f t="shared" ca="1" si="7"/>
        <v>4.7200000000172477E-3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input_596103!A$2</f>
        <v>596103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IFERROR(VLOOKUP(B137,input_596103!L:R,7,FALSE),VLOOKUP(tables_596103!C137,input_596103!A:H,8,FALSE))</f>
        <v>2869.76</v>
      </c>
      <c r="P137" s="40">
        <f t="shared" ca="1" si="7"/>
        <v>5.2444444444636089E-4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input_596103!A$2</f>
        <v>596103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IFERROR(VLOOKUP(B138,input_596103!L:R,7,FALSE),VLOOKUP(tables_596103!C138,input_596103!A:H,8,FALSE))</f>
        <v>1728</v>
      </c>
      <c r="P138" s="40">
        <f t="shared" ca="1" si="7"/>
        <v>3.1578947368536445E-4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input_596103!A$2</f>
        <v>596103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IFERROR(VLOOKUP(B139,input_596103!L:R,7,FALSE),VLOOKUP(tables_596103!C139,input_596103!A:H,8,FALSE))</f>
        <v>192</v>
      </c>
      <c r="P139" s="40">
        <f t="shared" ca="1" si="7"/>
        <v>3.5087719298373832E-5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input_596103!A$2</f>
        <v>596103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IFERROR(VLOOKUP(B140,input_596103!L:R,7,FALSE),VLOOKUP(tables_596103!C140,input_596103!A:H,8,FALSE))</f>
        <v>1728</v>
      </c>
      <c r="P140" s="40">
        <f t="shared" ca="1" si="7"/>
        <v>3.1578947368536445E-4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input_596103!A$2</f>
        <v>596103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IFERROR(VLOOKUP(B141,input_596103!L:R,7,FALSE),VLOOKUP(tables_596103!C141,input_596103!A:H,8,FALSE))</f>
        <v>192</v>
      </c>
      <c r="P141" s="40">
        <f t="shared" ca="1" si="7"/>
        <v>3.5087719298373832E-5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input_596103!A$2</f>
        <v>596103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IFERROR(VLOOKUP(B142,input_596103!L:R,7,FALSE),VLOOKUP(tables_596103!C142,input_596103!A:H,8,FALSE))</f>
        <v>8208</v>
      </c>
      <c r="P142" s="40">
        <f t="shared" ca="1" si="7"/>
        <v>1.5000000000054813E-3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input_596103!A$2</f>
        <v>596103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IFERROR(VLOOKUP(B143,input_596103!L:R,7,FALSE),VLOOKUP(tables_596103!C143,input_596103!A:H,8,FALSE))</f>
        <v>912</v>
      </c>
      <c r="P143" s="40">
        <f t="shared" ca="1" si="7"/>
        <v>1.6666666666727568E-4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input_596103!A$2</f>
        <v>596103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IFERROR(VLOOKUP(B144,input_596103!L:R,7,FALSE),VLOOKUP(tables_596103!C144,input_596103!A:H,8,FALSE))</f>
        <v>1728</v>
      </c>
      <c r="P144" s="40">
        <f t="shared" ca="1" si="7"/>
        <v>3.1578947368536445E-4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input_596103!A$2</f>
        <v>596103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IFERROR(VLOOKUP(B145,input_596103!L:R,7,FALSE),VLOOKUP(tables_596103!C145,input_596103!A:H,8,FALSE))</f>
        <v>192</v>
      </c>
      <c r="P145" s="40">
        <f t="shared" ca="1" si="7"/>
        <v>3.5087719298373832E-5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input_596103!A$2</f>
        <v>596103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IFERROR(VLOOKUP(B146,input_596103!L:R,7,FALSE),VLOOKUP(tables_596103!C146,input_596103!A:H,8,FALSE))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input_596103!A$2</f>
        <v>596103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IFERROR(VLOOKUP(B147,input_596103!L:R,7,FALSE),VLOOKUP(tables_596103!C147,input_596103!A:H,8,FALSE))</f>
        <v>25827.84</v>
      </c>
      <c r="P147" s="40">
        <f t="shared" ca="1" si="7"/>
        <v>4.7200000000172477E-3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input_596103!A$2</f>
        <v>596103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IFERROR(VLOOKUP(B148,input_596103!L:R,7,FALSE),VLOOKUP(tables_596103!C148,input_596103!A:H,8,FALSE))</f>
        <v>2869.76</v>
      </c>
      <c r="P148" s="40">
        <f t="shared" ca="1" si="7"/>
        <v>5.2444444444636089E-4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input_596103!A$2</f>
        <v>596103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IFERROR(VLOOKUP(B149,input_596103!L:R,7,FALSE),VLOOKUP(tables_596103!C149,input_596103!A:H,8,FALSE))</f>
        <v>1728</v>
      </c>
      <c r="P149" s="40">
        <f t="shared" ca="1" si="7"/>
        <v>3.1578947368536445E-4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input_596103!A$2</f>
        <v>596103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IFERROR(VLOOKUP(B150,input_596103!L:R,7,FALSE),VLOOKUP(tables_596103!C150,input_596103!A:H,8,FALSE))</f>
        <v>192</v>
      </c>
      <c r="P150" s="40">
        <f t="shared" ca="1" si="7"/>
        <v>3.5087719298373832E-5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input_596103!A$2</f>
        <v>596103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IFERROR(VLOOKUP(B151,input_596103!L:R,7,FALSE),VLOOKUP(tables_596103!C151,input_596103!A:H,8,FALSE))</f>
        <v>8208</v>
      </c>
      <c r="P151" s="40">
        <f t="shared" ca="1" si="7"/>
        <v>1.5000000000054813E-3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input_596103!A$2</f>
        <v>596103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IFERROR(VLOOKUP(B152,input_596103!L:R,7,FALSE),VLOOKUP(tables_596103!C152,input_596103!A:H,8,FALSE))</f>
        <v>912</v>
      </c>
      <c r="P152" s="40">
        <f t="shared" ca="1" si="7"/>
        <v>1.6666666666727568E-4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input_596103!A$2</f>
        <v>596103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IFERROR(VLOOKUP(B153,input_596103!L:R,7,FALSE),VLOOKUP(tables_596103!C153,input_596103!A:H,8,FALSE))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input_596103!A$2</f>
        <v>596103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IFERROR(VLOOKUP(B154,input_596103!L:R,7,FALSE),VLOOKUP(tables_596103!C154,input_596103!A:H,8,FALSE))</f>
        <v>25827.84</v>
      </c>
      <c r="P154" s="40">
        <f t="shared" ca="1" si="7"/>
        <v>4.7200000000172477E-3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input_596103!A$2</f>
        <v>596103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IFERROR(VLOOKUP(B155,input_596103!L:R,7,FALSE),VLOOKUP(tables_596103!C155,input_596103!A:H,8,FALSE))</f>
        <v>2869.76</v>
      </c>
      <c r="P155" s="40">
        <f t="shared" ca="1" si="7"/>
        <v>5.2444444444636089E-4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input_596103!A$2</f>
        <v>596103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IFERROR(VLOOKUP(B156,input_596103!L:R,7,FALSE),VLOOKUP(tables_596103!C156,input_596103!A:H,8,FALSE))</f>
        <v>1728</v>
      </c>
      <c r="P156" s="40">
        <f t="shared" ca="1" si="7"/>
        <v>3.1578947368536445E-4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input_596103!A$2</f>
        <v>596103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IFERROR(VLOOKUP(B157,input_596103!L:R,7,FALSE),VLOOKUP(tables_596103!C157,input_596103!A:H,8,FALSE))</f>
        <v>192</v>
      </c>
      <c r="P157" s="40">
        <f t="shared" ca="1" si="7"/>
        <v>3.5087719298373832E-5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input_596103!A$2</f>
        <v>596103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IFERROR(VLOOKUP(B158,input_596103!L:R,7,FALSE),VLOOKUP(tables_596103!C158,input_596103!A:H,8,FALSE))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input_596103!A$2</f>
        <v>596103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IFERROR(VLOOKUP(B159,input_596103!L:R,7,FALSE),VLOOKUP(tables_596103!C159,input_596103!A:H,8,FALSE))</f>
        <v>25827.84</v>
      </c>
      <c r="P159" s="40">
        <f t="shared" ca="1" si="7"/>
        <v>4.7200000000172477E-3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input_596103!A$2</f>
        <v>596103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IFERROR(VLOOKUP(B160,input_596103!L:R,7,FALSE),VLOOKUP(tables_596103!C160,input_596103!A:H,8,FALSE))</f>
        <v>2869.76</v>
      </c>
      <c r="P160" s="40">
        <f t="shared" ca="1" si="7"/>
        <v>5.2444444444636089E-4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input_596103!A$2</f>
        <v>596103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IFERROR(VLOOKUP(B161,input_596103!L:R,7,FALSE),VLOOKUP(tables_596103!C161,input_596103!A:H,8,FALSE))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input_596103!A$2</f>
        <v>596103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IFERROR(VLOOKUP(B162,input_596103!L:R,7,FALSE),VLOOKUP(tables_596103!C162,input_596103!A:H,8,FALSE))</f>
        <v>111576.26880000001</v>
      </c>
      <c r="P162" s="40">
        <f t="shared" ca="1" si="7"/>
        <v>2.0390400000074509E-2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input_596103!A$2</f>
        <v>596103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IFERROR(VLOOKUP(B163,input_596103!L:R,7,FALSE),VLOOKUP(tables_596103!C163,input_596103!A:H,8,FALSE))</f>
        <v>6986.6495999999997</v>
      </c>
      <c r="P163" s="40">
        <f t="shared" ca="1" si="7"/>
        <v>1.2768000000046656E-3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input_596103!A$2</f>
        <v>596103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IFERROR(VLOOKUP(B164,input_596103!L:R,7,FALSE),VLOOKUP(tables_596103!C164,input_596103!A:H,8,FALSE))</f>
        <v>1728</v>
      </c>
      <c r="P164" s="40">
        <f t="shared" ca="1" si="7"/>
        <v>3.1578947368536445E-4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input_596103!A$2</f>
        <v>596103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IFERROR(VLOOKUP(B165,input_596103!L:R,7,FALSE),VLOOKUP(tables_596103!C165,input_596103!A:H,8,FALSE))</f>
        <v>192</v>
      </c>
      <c r="P165" s="40">
        <f t="shared" ca="1" si="7"/>
        <v>3.5087719298373832E-5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input_596103!A$2</f>
        <v>596103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IFERROR(VLOOKUP(B166,input_596103!L:R,7,FALSE),VLOOKUP(tables_596103!C166,input_596103!A:H,8,FALSE))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input_596103!A$2</f>
        <v>596103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IFERROR(VLOOKUP(B167,input_596103!L:R,7,FALSE),VLOOKUP(tables_596103!C167,input_596103!A:H,8,FALSE))</f>
        <v>25827.84</v>
      </c>
      <c r="P167" s="40">
        <f t="shared" ca="1" si="7"/>
        <v>4.7200000000172477E-3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input_596103!A$2</f>
        <v>596103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IFERROR(VLOOKUP(B168,input_596103!L:R,7,FALSE),VLOOKUP(tables_596103!C168,input_596103!A:H,8,FALSE))</f>
        <v>2869.76</v>
      </c>
      <c r="P168" s="40">
        <f t="shared" ca="1" si="7"/>
        <v>5.2444444444636089E-4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input_596103!A$2</f>
        <v>596103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IFERROR(VLOOKUP(B169,input_596103!L:R,7,FALSE),VLOOKUP(tables_596103!C169,input_596103!A:H,8,FALSE))</f>
        <v>1728</v>
      </c>
      <c r="P169" s="40">
        <f t="shared" ca="1" si="7"/>
        <v>3.1578947368536445E-4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input_596103!A$2</f>
        <v>596103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IFERROR(VLOOKUP(B170,input_596103!L:R,7,FALSE),VLOOKUP(tables_596103!C170,input_596103!A:H,8,FALSE))</f>
        <v>192</v>
      </c>
      <c r="P170" s="40">
        <f t="shared" ca="1" si="7"/>
        <v>3.5087719298373832E-5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input_596103!A$2</f>
        <v>596103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IFERROR(VLOOKUP(B171,input_596103!L:R,7,FALSE),VLOOKUP(tables_596103!C171,input_596103!A:H,8,FALSE))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input_596103!A$2</f>
        <v>596103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IFERROR(VLOOKUP(B172,input_596103!L:R,7,FALSE),VLOOKUP(tables_596103!C172,input_596103!A:H,8,FALSE))</f>
        <v>111576.26880000001</v>
      </c>
      <c r="P172" s="40">
        <f t="shared" ca="1" si="7"/>
        <v>2.0390400000074509E-2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input_596103!A$2</f>
        <v>596103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IFERROR(VLOOKUP(B173,input_596103!L:R,7,FALSE),VLOOKUP(tables_596103!C173,input_596103!A:H,8,FALSE))</f>
        <v>6986.6495999999997</v>
      </c>
      <c r="P173" s="40">
        <f t="shared" ca="1" si="7"/>
        <v>1.2768000000046656E-3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input_596103!A$2</f>
        <v>596103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IFERROR(VLOOKUP(B174,input_596103!L:R,7,FALSE),VLOOKUP(tables_596103!C174,input_596103!A:H,8,FALSE))</f>
        <v>1728</v>
      </c>
      <c r="P174" s="40">
        <f t="shared" ca="1" si="7"/>
        <v>3.1578947368536445E-4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input_596103!A$2</f>
        <v>596103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IFERROR(VLOOKUP(B175,input_596103!L:R,7,FALSE),VLOOKUP(tables_596103!C175,input_596103!A:H,8,FALSE))</f>
        <v>192</v>
      </c>
      <c r="P175" s="40">
        <f t="shared" ca="1" si="7"/>
        <v>3.5087719298373832E-5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input_596103!A$2</f>
        <v>596103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IFERROR(VLOOKUP(B176,input_596103!L:R,7,FALSE),VLOOKUP(tables_596103!C176,input_596103!A:H,8,FALSE))</f>
        <v>1728</v>
      </c>
      <c r="P176" s="40">
        <f t="shared" ca="1" si="7"/>
        <v>3.1578947368536445E-4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input_596103!A$2</f>
        <v>596103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IFERROR(VLOOKUP(B177,input_596103!L:R,7,FALSE),VLOOKUP(tables_596103!C177,input_596103!A:H,8,FALSE))</f>
        <v>192</v>
      </c>
      <c r="P177" s="40">
        <f t="shared" ca="1" si="7"/>
        <v>3.5087719298373832E-5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input_596103!A$2</f>
        <v>596103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IFERROR(VLOOKUP(B178,input_596103!L:R,7,FALSE),VLOOKUP(tables_596103!C178,input_596103!A:H,8,FALSE))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input_596103!A$2</f>
        <v>596103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IFERROR(VLOOKUP(B179,input_596103!L:R,7,FALSE),VLOOKUP(tables_596103!C179,input_596103!A:H,8,FALSE))</f>
        <v>25827.84</v>
      </c>
      <c r="P179" s="40">
        <f t="shared" ca="1" si="7"/>
        <v>4.7200000000172477E-3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input_596103!A$2</f>
        <v>596103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IFERROR(VLOOKUP(B180,input_596103!L:R,7,FALSE),VLOOKUP(tables_596103!C180,input_596103!A:H,8,FALSE))</f>
        <v>2869.76</v>
      </c>
      <c r="P180" s="40">
        <f t="shared" ca="1" si="7"/>
        <v>5.2444444444636089E-4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input_596103!A$2</f>
        <v>596103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IFERROR(VLOOKUP(B181,input_596103!L:R,7,FALSE),VLOOKUP(tables_596103!C181,input_596103!A:H,8,FALSE))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input_596103!A$2</f>
        <v>596103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IFERROR(VLOOKUP(B182,input_596103!L:R,7,FALSE),VLOOKUP(tables_596103!C182,input_596103!A:H,8,FALSE))</f>
        <v>111576.26880000001</v>
      </c>
      <c r="P182" s="40">
        <f t="shared" ca="1" si="7"/>
        <v>2.0390400000074509E-2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input_596103!A$2</f>
        <v>596103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IFERROR(VLOOKUP(B183,input_596103!L:R,7,FALSE),VLOOKUP(tables_596103!C183,input_596103!A:H,8,FALSE))</f>
        <v>6986.6495999999997</v>
      </c>
      <c r="P183" s="40">
        <f t="shared" ca="1" si="7"/>
        <v>1.2768000000046656E-3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input_596103!A$2</f>
        <v>596103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IFERROR(VLOOKUP(B184,input_596103!L:R,7,FALSE),VLOOKUP(tables_596103!C184,input_596103!A:H,8,FALSE))</f>
        <v>1728</v>
      </c>
      <c r="P184" s="40">
        <f t="shared" ca="1" si="7"/>
        <v>3.1578947368536445E-4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input_596103!A$2</f>
        <v>596103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IFERROR(VLOOKUP(B185,input_596103!L:R,7,FALSE),VLOOKUP(tables_596103!C185,input_596103!A:H,8,FALSE))</f>
        <v>192</v>
      </c>
      <c r="P185" s="40">
        <f t="shared" ca="1" si="7"/>
        <v>3.5087719298373832E-5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input_596103!A$2</f>
        <v>596103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IFERROR(VLOOKUP(B186,input_596103!L:R,7,FALSE),VLOOKUP(tables_596103!C186,input_596103!A:H,8,FALSE))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input_596103!A$2</f>
        <v>596103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IFERROR(VLOOKUP(B187,input_596103!L:R,7,FALSE),VLOOKUP(tables_596103!C187,input_596103!A:H,8,FALSE))</f>
        <v>25827.84</v>
      </c>
      <c r="P187" s="40">
        <f t="shared" ca="1" si="7"/>
        <v>4.7200000000172477E-3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input_596103!A$2</f>
        <v>596103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IFERROR(VLOOKUP(B188,input_596103!L:R,7,FALSE),VLOOKUP(tables_596103!C188,input_596103!A:H,8,FALSE))</f>
        <v>2869.76</v>
      </c>
      <c r="P188" s="40">
        <f t="shared" ca="1" si="7"/>
        <v>5.2444444444636089E-4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input_596103!A$2</f>
        <v>596103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IFERROR(VLOOKUP(B189,input_596103!L:R,7,FALSE),VLOOKUP(tables_596103!C189,input_596103!A:H,8,FALSE))</f>
        <v>1728</v>
      </c>
      <c r="P189" s="40">
        <f t="shared" ca="1" si="7"/>
        <v>3.1578947368536445E-4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input_596103!A$2</f>
        <v>596103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IFERROR(VLOOKUP(B190,input_596103!L:R,7,FALSE),VLOOKUP(tables_596103!C190,input_596103!A:H,8,FALSE))</f>
        <v>192</v>
      </c>
      <c r="P190" s="40">
        <f t="shared" ca="1" si="7"/>
        <v>3.5087719298373832E-5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input_596103!A$2</f>
        <v>596103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IFERROR(VLOOKUP(B191,input_596103!L:R,7,FALSE),VLOOKUP(tables_596103!C191,input_596103!A:H,8,FALSE))</f>
        <v>8208</v>
      </c>
      <c r="P191" s="40">
        <f t="shared" ca="1" si="7"/>
        <v>1.5000000000054813E-3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input_596103!A$2</f>
        <v>596103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IFERROR(VLOOKUP(B192,input_596103!L:R,7,FALSE),VLOOKUP(tables_596103!C192,input_596103!A:H,8,FALSE))</f>
        <v>912</v>
      </c>
      <c r="P192" s="40">
        <f t="shared" ca="1" si="7"/>
        <v>1.6666666666727568E-4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input_596103!A$2</f>
        <v>596103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IFERROR(VLOOKUP(B193,input_596103!L:R,7,FALSE),VLOOKUP(tables_596103!C193,input_596103!A:H,8,FALSE))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input_596103!A$2</f>
        <v>596103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IFERROR(VLOOKUP(B194,input_596103!L:R,7,FALSE),VLOOKUP(tables_596103!C194,input_596103!A:H,8,FALSE))</f>
        <v>25827.84</v>
      </c>
      <c r="P194" s="40">
        <f t="shared" ref="P194:P257" ca="1" si="10">O194/SUM(O:O)</f>
        <v>4.7200000000172477E-3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input_596103!A$2</f>
        <v>596103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IFERROR(VLOOKUP(B195,input_596103!L:R,7,FALSE),VLOOKUP(tables_596103!C195,input_596103!A:H,8,FALSE))</f>
        <v>2869.76</v>
      </c>
      <c r="P195" s="40">
        <f t="shared" ca="1" si="10"/>
        <v>5.2444444444636089E-4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input_596103!A$2</f>
        <v>596103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IFERROR(VLOOKUP(B196,input_596103!L:R,7,FALSE),VLOOKUP(tables_596103!C196,input_596103!A:H,8,FALSE))</f>
        <v>1728</v>
      </c>
      <c r="P196" s="40">
        <f t="shared" ca="1" si="10"/>
        <v>3.1578947368536445E-4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input_596103!A$2</f>
        <v>596103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IFERROR(VLOOKUP(B197,input_596103!L:R,7,FALSE),VLOOKUP(tables_596103!C197,input_596103!A:H,8,FALSE))</f>
        <v>192</v>
      </c>
      <c r="P197" s="40">
        <f t="shared" ca="1" si="10"/>
        <v>3.5087719298373832E-5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input_596103!A$2</f>
        <v>596103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IFERROR(VLOOKUP(B198,input_596103!L:R,7,FALSE),VLOOKUP(tables_596103!C198,input_596103!A:H,8,FALSE))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input_596103!A$2</f>
        <v>596103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IFERROR(VLOOKUP(B199,input_596103!L:R,7,FALSE),VLOOKUP(tables_596103!C199,input_596103!A:H,8,FALSE))</f>
        <v>25827.84</v>
      </c>
      <c r="P199" s="40">
        <f t="shared" ca="1" si="10"/>
        <v>4.7200000000172477E-3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input_596103!A$2</f>
        <v>596103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IFERROR(VLOOKUP(B200,input_596103!L:R,7,FALSE),VLOOKUP(tables_596103!C200,input_596103!A:H,8,FALSE))</f>
        <v>2869.76</v>
      </c>
      <c r="P200" s="40">
        <f t="shared" ca="1" si="10"/>
        <v>5.2444444444636089E-4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input_596103!A$2</f>
        <v>596103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IFERROR(VLOOKUP(B201,input_596103!L:R,7,FALSE),VLOOKUP(tables_596103!C201,input_596103!A:H,8,FALSE))</f>
        <v>8208</v>
      </c>
      <c r="P201" s="40">
        <f t="shared" ca="1" si="10"/>
        <v>1.5000000000054813E-3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input_596103!A$2</f>
        <v>596103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IFERROR(VLOOKUP(B202,input_596103!L:R,7,FALSE),VLOOKUP(tables_596103!C202,input_596103!A:H,8,FALSE))</f>
        <v>912</v>
      </c>
      <c r="P202" s="40">
        <f t="shared" ca="1" si="10"/>
        <v>1.6666666666727568E-4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input_596103!A$2</f>
        <v>596103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IFERROR(VLOOKUP(B203,input_596103!L:R,7,FALSE),VLOOKUP(tables_596103!C203,input_596103!A:H,8,FALSE))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input_596103!A$2</f>
        <v>596103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IFERROR(VLOOKUP(B204,input_596103!L:R,7,FALSE),VLOOKUP(tables_596103!C204,input_596103!A:H,8,FALSE))</f>
        <v>25827.84</v>
      </c>
      <c r="P204" s="40">
        <f t="shared" ca="1" si="10"/>
        <v>4.7200000000172477E-3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input_596103!A$2</f>
        <v>596103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IFERROR(VLOOKUP(B205,input_596103!L:R,7,FALSE),VLOOKUP(tables_596103!C205,input_596103!A:H,8,FALSE))</f>
        <v>2869.76</v>
      </c>
      <c r="P205" s="40">
        <f t="shared" ca="1" si="10"/>
        <v>5.2444444444636089E-4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input_596103!A$2</f>
        <v>596103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IFERROR(VLOOKUP(B206,input_596103!L:R,7,FALSE),VLOOKUP(tables_596103!C206,input_596103!A:H,8,FALSE))</f>
        <v>1728</v>
      </c>
      <c r="P206" s="40">
        <f t="shared" ca="1" si="10"/>
        <v>3.1578947368536445E-4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input_596103!A$2</f>
        <v>596103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IFERROR(VLOOKUP(B207,input_596103!L:R,7,FALSE),VLOOKUP(tables_596103!C207,input_596103!A:H,8,FALSE))</f>
        <v>192</v>
      </c>
      <c r="P207" s="40">
        <f t="shared" ca="1" si="10"/>
        <v>3.5087719298373832E-5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input_596103!A$2</f>
        <v>596103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IFERROR(VLOOKUP(B208,input_596103!L:R,7,FALSE),VLOOKUP(tables_596103!C208,input_596103!A:H,8,FALSE))</f>
        <v>1728</v>
      </c>
      <c r="P208" s="40">
        <f t="shared" ca="1" si="10"/>
        <v>3.1578947368536445E-4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input_596103!A$2</f>
        <v>596103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IFERROR(VLOOKUP(B209,input_596103!L:R,7,FALSE),VLOOKUP(tables_596103!C209,input_596103!A:H,8,FALSE))</f>
        <v>192</v>
      </c>
      <c r="P209" s="40">
        <f t="shared" ca="1" si="10"/>
        <v>3.5087719298373832E-5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input_596103!A$2</f>
        <v>596103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IFERROR(VLOOKUP(B210,input_596103!L:R,7,FALSE),VLOOKUP(tables_596103!C210,input_596103!A:H,8,FALSE))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input_596103!A$2</f>
        <v>596103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IFERROR(VLOOKUP(B211,input_596103!L:R,7,FALSE),VLOOKUP(tables_596103!C211,input_596103!A:H,8,FALSE))</f>
        <v>111576.26880000001</v>
      </c>
      <c r="P211" s="40">
        <f t="shared" ca="1" si="10"/>
        <v>2.0390400000074509E-2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input_596103!A$2</f>
        <v>596103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IFERROR(VLOOKUP(B212,input_596103!L:R,7,FALSE),VLOOKUP(tables_596103!C212,input_596103!A:H,8,FALSE))</f>
        <v>6986.6495999999997</v>
      </c>
      <c r="P212" s="40">
        <f t="shared" ca="1" si="10"/>
        <v>1.2768000000046656E-3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input_596103!A$2</f>
        <v>596103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IFERROR(VLOOKUP(B213,input_596103!L:R,7,FALSE),VLOOKUP(tables_596103!C213,input_596103!A:H,8,FALSE))</f>
        <v>1728</v>
      </c>
      <c r="P213" s="40">
        <f t="shared" ca="1" si="10"/>
        <v>3.1578947368536445E-4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input_596103!A$2</f>
        <v>596103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IFERROR(VLOOKUP(B214,input_596103!L:R,7,FALSE),VLOOKUP(tables_596103!C214,input_596103!A:H,8,FALSE))</f>
        <v>192</v>
      </c>
      <c r="P214" s="40">
        <f t="shared" ca="1" si="10"/>
        <v>3.5087719298373832E-5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input_596103!A$2</f>
        <v>596103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IFERROR(VLOOKUP(B215,input_596103!L:R,7,FALSE),VLOOKUP(tables_596103!C215,input_596103!A:H,8,FALSE))</f>
        <v>1489.7919999999999</v>
      </c>
      <c r="P215" s="40">
        <f t="shared" ca="1" si="10"/>
        <v>2.7225730994251532E-4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input_596103!A$2</f>
        <v>596103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IFERROR(VLOOKUP(B216,input_596103!L:R,7,FALSE),VLOOKUP(tables_596103!C216,input_596103!A:H,8,FALSE))</f>
        <v>1489.7919999999999</v>
      </c>
      <c r="P216" s="40">
        <f t="shared" ca="1" si="10"/>
        <v>2.7225730994251532E-4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input_596103!A$2</f>
        <v>596103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IFERROR(VLOOKUP(B217,input_596103!L:R,7,FALSE),VLOOKUP(tables_596103!C217,input_596103!A:H,8,FALSE))</f>
        <v>10052.22034</v>
      </c>
      <c r="P217" s="40">
        <f t="shared" ca="1" si="10"/>
        <v>1.8370285709131454E-3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input_596103!A$2</f>
        <v>596103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IFERROR(VLOOKUP(B218,input_596103!L:R,7,FALSE),VLOOKUP(tables_596103!C218,input_596103!A:H,8,FALSE))</f>
        <v>1489.7919999999999</v>
      </c>
      <c r="P218" s="40">
        <f t="shared" ca="1" si="10"/>
        <v>2.7225730994251532E-4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input_596103!A$2</f>
        <v>596103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IFERROR(VLOOKUP(B219,input_596103!L:R,7,FALSE),VLOOKUP(tables_596103!C219,input_596103!A:H,8,FALSE))</f>
        <v>10052.22034</v>
      </c>
      <c r="P219" s="40">
        <f t="shared" ca="1" si="10"/>
        <v>1.8370285709131454E-3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input_596103!A$2</f>
        <v>596103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IFERROR(VLOOKUP(B220,input_596103!L:R,7,FALSE),VLOOKUP(tables_596103!C220,input_596103!A:H,8,FALSE))</f>
        <v>1489.7919999999999</v>
      </c>
      <c r="P220" s="40">
        <f t="shared" ca="1" si="10"/>
        <v>2.7225730994251532E-4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input_596103!A$2</f>
        <v>596103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IFERROR(VLOOKUP(B221,input_596103!L:R,7,FALSE),VLOOKUP(tables_596103!C221,input_596103!A:H,8,FALSE))</f>
        <v>1728</v>
      </c>
      <c r="P221" s="40">
        <f t="shared" ca="1" si="10"/>
        <v>3.1578947368536445E-4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input_596103!A$2</f>
        <v>596103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IFERROR(VLOOKUP(B222,input_596103!L:R,7,FALSE),VLOOKUP(tables_596103!C222,input_596103!A:H,8,FALSE))</f>
        <v>192</v>
      </c>
      <c r="P222" s="40">
        <f t="shared" ca="1" si="10"/>
        <v>3.5087719298373832E-5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input_596103!A$2</f>
        <v>596103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IFERROR(VLOOKUP(B223,input_596103!L:R,7,FALSE),VLOOKUP(tables_596103!C223,input_596103!A:H,8,FALSE))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input_596103!A$2</f>
        <v>596103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IFERROR(VLOOKUP(B224,input_596103!L:R,7,FALSE),VLOOKUP(tables_596103!C224,input_596103!A:H,8,FALSE))</f>
        <v>25827.84</v>
      </c>
      <c r="P224" s="40">
        <f t="shared" ca="1" si="10"/>
        <v>4.7200000000172477E-3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input_596103!A$2</f>
        <v>596103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IFERROR(VLOOKUP(B225,input_596103!L:R,7,FALSE),VLOOKUP(tables_596103!C225,input_596103!A:H,8,FALSE))</f>
        <v>2869.76</v>
      </c>
      <c r="P225" s="40">
        <f t="shared" ca="1" si="10"/>
        <v>5.2444444444636089E-4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input_596103!A$2</f>
        <v>596103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IFERROR(VLOOKUP(B226,input_596103!L:R,7,FALSE),VLOOKUP(tables_596103!C226,input_596103!A:H,8,FALSE))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input_596103!A$2</f>
        <v>596103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IFERROR(VLOOKUP(B227,input_596103!L:R,7,FALSE),VLOOKUP(tables_596103!C227,input_596103!A:H,8,FALSE))</f>
        <v>111576.26880000001</v>
      </c>
      <c r="P227" s="40">
        <f t="shared" ca="1" si="10"/>
        <v>2.0390400000074509E-2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input_596103!A$2</f>
        <v>596103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IFERROR(VLOOKUP(B228,input_596103!L:R,7,FALSE),VLOOKUP(tables_596103!C228,input_596103!A:H,8,FALSE))</f>
        <v>6986.6495999999997</v>
      </c>
      <c r="P228" s="40">
        <f t="shared" ca="1" si="10"/>
        <v>1.2768000000046656E-3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input_596103!A$2</f>
        <v>596103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IFERROR(VLOOKUP(B229,input_596103!L:R,7,FALSE),VLOOKUP(tables_596103!C229,input_596103!A:H,8,FALSE))</f>
        <v>1728</v>
      </c>
      <c r="P229" s="40">
        <f t="shared" ca="1" si="10"/>
        <v>3.1578947368536445E-4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input_596103!A$2</f>
        <v>596103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IFERROR(VLOOKUP(B230,input_596103!L:R,7,FALSE),VLOOKUP(tables_596103!C230,input_596103!A:H,8,FALSE))</f>
        <v>192</v>
      </c>
      <c r="P230" s="40">
        <f t="shared" ca="1" si="10"/>
        <v>3.5087719298373832E-5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input_596103!A$2</f>
        <v>596103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IFERROR(VLOOKUP(B231,input_596103!L:R,7,FALSE),VLOOKUP(tables_596103!C231,input_596103!A:H,8,FALSE))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input_596103!A$2</f>
        <v>596103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IFERROR(VLOOKUP(B232,input_596103!L:R,7,FALSE),VLOOKUP(tables_596103!C232,input_596103!A:H,8,FALSE))</f>
        <v>25827.84</v>
      </c>
      <c r="P232" s="40">
        <f t="shared" ca="1" si="10"/>
        <v>4.7200000000172477E-3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input_596103!A$2</f>
        <v>596103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IFERROR(VLOOKUP(B233,input_596103!L:R,7,FALSE),VLOOKUP(tables_596103!C233,input_596103!A:H,8,FALSE))</f>
        <v>2869.76</v>
      </c>
      <c r="P233" s="40">
        <f t="shared" ca="1" si="10"/>
        <v>5.2444444444636089E-4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input_596103!A$2</f>
        <v>596103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IFERROR(VLOOKUP(B234,input_596103!L:R,7,FALSE),VLOOKUP(tables_596103!C234,input_596103!A:H,8,FALSE))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input_596103!A$2</f>
        <v>596103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IFERROR(VLOOKUP(B235,input_596103!L:R,7,FALSE),VLOOKUP(tables_596103!C235,input_596103!A:H,8,FALSE))</f>
        <v>25827.84</v>
      </c>
      <c r="P235" s="40">
        <f t="shared" ca="1" si="10"/>
        <v>4.7200000000172477E-3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input_596103!A$2</f>
        <v>596103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IFERROR(VLOOKUP(B236,input_596103!L:R,7,FALSE),VLOOKUP(tables_596103!C236,input_596103!A:H,8,FALSE))</f>
        <v>2869.76</v>
      </c>
      <c r="P236" s="40">
        <f t="shared" ca="1" si="10"/>
        <v>5.2444444444636089E-4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input_596103!A$2</f>
        <v>596103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IFERROR(VLOOKUP(B237,input_596103!L:R,7,FALSE),VLOOKUP(tables_596103!C237,input_596103!A:H,8,FALSE))</f>
        <v>8208</v>
      </c>
      <c r="P237" s="40">
        <f t="shared" ca="1" si="10"/>
        <v>1.5000000000054813E-3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input_596103!A$2</f>
        <v>596103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IFERROR(VLOOKUP(B238,input_596103!L:R,7,FALSE),VLOOKUP(tables_596103!C238,input_596103!A:H,8,FALSE))</f>
        <v>912</v>
      </c>
      <c r="P238" s="40">
        <f t="shared" ca="1" si="10"/>
        <v>1.6666666666727568E-4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input_596103!A$2</f>
        <v>596103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IFERROR(VLOOKUP(B239,input_596103!L:R,7,FALSE),VLOOKUP(tables_596103!C239,input_596103!A:H,8,FALSE))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input_596103!A$2</f>
        <v>596103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IFERROR(VLOOKUP(B240,input_596103!L:R,7,FALSE),VLOOKUP(tables_596103!C240,input_596103!A:H,8,FALSE))</f>
        <v>25827.84</v>
      </c>
      <c r="P240" s="40">
        <f t="shared" ca="1" si="10"/>
        <v>4.7200000000172477E-3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input_596103!A$2</f>
        <v>596103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IFERROR(VLOOKUP(B241,input_596103!L:R,7,FALSE),VLOOKUP(tables_596103!C241,input_596103!A:H,8,FALSE))</f>
        <v>2869.76</v>
      </c>
      <c r="P241" s="40">
        <f t="shared" ca="1" si="10"/>
        <v>5.2444444444636089E-4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input_596103!A$2</f>
        <v>596103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IFERROR(VLOOKUP(B242,input_596103!L:R,7,FALSE),VLOOKUP(tables_596103!C242,input_596103!A:H,8,FALSE))</f>
        <v>1728</v>
      </c>
      <c r="P242" s="40">
        <f t="shared" ca="1" si="10"/>
        <v>3.1578947368536445E-4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input_596103!A$2</f>
        <v>596103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IFERROR(VLOOKUP(B243,input_596103!L:R,7,FALSE),VLOOKUP(tables_596103!C243,input_596103!A:H,8,FALSE))</f>
        <v>192</v>
      </c>
      <c r="P243" s="40">
        <f t="shared" ca="1" si="10"/>
        <v>3.5087719298373832E-5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input_596103!A$2</f>
        <v>596103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IFERROR(VLOOKUP(B244,input_596103!L:R,7,FALSE),VLOOKUP(tables_596103!C244,input_596103!A:H,8,FALSE))</f>
        <v>1728</v>
      </c>
      <c r="P244" s="40">
        <f t="shared" ca="1" si="10"/>
        <v>3.1578947368536445E-4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input_596103!A$2</f>
        <v>596103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IFERROR(VLOOKUP(B245,input_596103!L:R,7,FALSE),VLOOKUP(tables_596103!C245,input_596103!A:H,8,FALSE))</f>
        <v>192</v>
      </c>
      <c r="P245" s="40">
        <f t="shared" ca="1" si="10"/>
        <v>3.5087719298373832E-5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input_596103!A$2</f>
        <v>596103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IFERROR(VLOOKUP(B246,input_596103!L:R,7,FALSE),VLOOKUP(tables_596103!C246,input_596103!A:H,8,FALSE))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input_596103!A$2</f>
        <v>596103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IFERROR(VLOOKUP(B247,input_596103!L:R,7,FALSE),VLOOKUP(tables_596103!C247,input_596103!A:H,8,FALSE))</f>
        <v>111576.26880000001</v>
      </c>
      <c r="P247" s="40">
        <f t="shared" ca="1" si="10"/>
        <v>2.0390400000074509E-2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input_596103!A$2</f>
        <v>596103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IFERROR(VLOOKUP(B248,input_596103!L:R,7,FALSE),VLOOKUP(tables_596103!C248,input_596103!A:H,8,FALSE))</f>
        <v>6986.6495999999997</v>
      </c>
      <c r="P248" s="40">
        <f t="shared" ca="1" si="10"/>
        <v>1.2768000000046656E-3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input_596103!A$2</f>
        <v>596103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IFERROR(VLOOKUP(B249,input_596103!L:R,7,FALSE),VLOOKUP(tables_596103!C249,input_596103!A:H,8,FALSE))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input_596103!A$2</f>
        <v>596103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IFERROR(VLOOKUP(B250,input_596103!L:R,7,FALSE),VLOOKUP(tables_596103!C250,input_596103!A:H,8,FALSE))</f>
        <v>25827.84</v>
      </c>
      <c r="P250" s="40">
        <f t="shared" ca="1" si="10"/>
        <v>4.7200000000172477E-3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input_596103!A$2</f>
        <v>596103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IFERROR(VLOOKUP(B251,input_596103!L:R,7,FALSE),VLOOKUP(tables_596103!C251,input_596103!A:H,8,FALSE))</f>
        <v>2869.76</v>
      </c>
      <c r="P251" s="40">
        <f t="shared" ca="1" si="10"/>
        <v>5.2444444444636089E-4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input_596103!A$2</f>
        <v>596103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IFERROR(VLOOKUP(B252,input_596103!L:R,7,FALSE),VLOOKUP(tables_596103!C252,input_596103!A:H,8,FALSE))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input_596103!A$2</f>
        <v>596103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IFERROR(VLOOKUP(B253,input_596103!L:R,7,FALSE),VLOOKUP(tables_596103!C253,input_596103!A:H,8,FALSE))</f>
        <v>25827.84</v>
      </c>
      <c r="P253" s="40">
        <f t="shared" ca="1" si="10"/>
        <v>4.7200000000172477E-3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input_596103!A$2</f>
        <v>596103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IFERROR(VLOOKUP(B254,input_596103!L:R,7,FALSE),VLOOKUP(tables_596103!C254,input_596103!A:H,8,FALSE))</f>
        <v>2869.76</v>
      </c>
      <c r="P254" s="40">
        <f t="shared" ca="1" si="10"/>
        <v>5.2444444444636089E-4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input_596103!A$2</f>
        <v>596103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IFERROR(VLOOKUP(B255,input_596103!L:R,7,FALSE),VLOOKUP(tables_596103!C255,input_596103!A:H,8,FALSE))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input_596103!A$2</f>
        <v>596103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IFERROR(VLOOKUP(B256,input_596103!L:R,7,FALSE),VLOOKUP(tables_596103!C256,input_596103!A:H,8,FALSE))</f>
        <v>25827.84</v>
      </c>
      <c r="P256" s="40">
        <f t="shared" ca="1" si="10"/>
        <v>4.7200000000172477E-3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input_596103!A$2</f>
        <v>596103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IFERROR(VLOOKUP(B257,input_596103!L:R,7,FALSE),VLOOKUP(tables_596103!C257,input_596103!A:H,8,FALSE))</f>
        <v>2869.76</v>
      </c>
      <c r="P257" s="40">
        <f t="shared" ca="1" si="10"/>
        <v>5.2444444444636089E-4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input_596103!A$2</f>
        <v>596103</v>
      </c>
      <c r="B258" s="52">
        <v>674</v>
      </c>
      <c r="C258" s="7" t="str">
        <f t="shared" ref="C258:C321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IFERROR(VLOOKUP(B258,input_596103!L:R,7,FALSE),VLOOKUP(tables_596103!C258,input_596103!A:H,8,FALSE))</f>
        <v>8208</v>
      </c>
      <c r="P258" s="40">
        <f t="shared" ref="P258:P321" ca="1" si="13">O258/SUM(O:O)</f>
        <v>1.5000000000054813E-3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input_596103!A$2</f>
        <v>596103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IFERROR(VLOOKUP(B259,input_596103!L:R,7,FALSE),VLOOKUP(tables_596103!C259,input_596103!A:H,8,FALSE))</f>
        <v>912</v>
      </c>
      <c r="P259" s="40">
        <f t="shared" ca="1" si="13"/>
        <v>1.6666666666727568E-4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input_596103!A$2</f>
        <v>596103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IFERROR(VLOOKUP(B260,input_596103!L:R,7,FALSE),VLOOKUP(tables_596103!C260,input_596103!A:H,8,FALSE))</f>
        <v>1728</v>
      </c>
      <c r="P260" s="40">
        <f t="shared" ca="1" si="13"/>
        <v>3.1578947368536445E-4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input_596103!A$2</f>
        <v>596103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IFERROR(VLOOKUP(B261,input_596103!L:R,7,FALSE),VLOOKUP(tables_596103!C261,input_596103!A:H,8,FALSE))</f>
        <v>192</v>
      </c>
      <c r="P261" s="40">
        <f t="shared" ca="1" si="13"/>
        <v>3.5087719298373832E-5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input_596103!A$2</f>
        <v>596103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IFERROR(VLOOKUP(B262,input_596103!L:R,7,FALSE),VLOOKUP(tables_596103!C262,input_596103!A:H,8,FALSE))</f>
        <v>26835.360000000001</v>
      </c>
      <c r="P262" s="40">
        <f t="shared" ca="1" si="13"/>
        <v>4.904122807035464E-3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input_596103!A$2</f>
        <v>596103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IFERROR(VLOOKUP(B263,input_596103!L:R,7,FALSE),VLOOKUP(tables_596103!C263,input_596103!A:H,8,FALSE))</f>
        <v>1489.7919999999999</v>
      </c>
      <c r="P263" s="40">
        <f t="shared" ca="1" si="13"/>
        <v>2.7225730994251532E-4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input_596103!A$2</f>
        <v>596103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IFERROR(VLOOKUP(B264,input_596103!L:R,7,FALSE),VLOOKUP(tables_596103!C264,input_596103!A:H,8,FALSE))</f>
        <v>26835.360000000001</v>
      </c>
      <c r="P264" s="40">
        <f t="shared" ca="1" si="13"/>
        <v>4.904122807035464E-3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input_596103!A$2</f>
        <v>596103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IFERROR(VLOOKUP(B265,input_596103!L:R,7,FALSE),VLOOKUP(tables_596103!C265,input_596103!A:H,8,FALSE))</f>
        <v>1489.7919999999999</v>
      </c>
      <c r="P265" s="40">
        <f t="shared" ca="1" si="13"/>
        <v>2.7225730994251532E-4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input_596103!A$2</f>
        <v>596103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IFERROR(VLOOKUP(B266,input_596103!L:R,7,FALSE),VLOOKUP(tables_596103!C266,input_596103!A:H,8,FALSE))</f>
        <v>9120</v>
      </c>
      <c r="P266" s="40">
        <f t="shared" ca="1" si="13"/>
        <v>1.666666666672757E-3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input_596103!A$2</f>
        <v>596103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IFERROR(VLOOKUP(B267,input_596103!L:R,7,FALSE),VLOOKUP(tables_596103!C267,input_596103!A:H,8,FALSE))</f>
        <v>1920</v>
      </c>
      <c r="P267" s="40">
        <f t="shared" ca="1" si="13"/>
        <v>3.5087719298373829E-4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input_596103!A$2</f>
        <v>596103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IFERROR(VLOOKUP(B268,input_596103!L:R,7,FALSE),VLOOKUP(tables_596103!C268,input_596103!A:H,8,FALSE))</f>
        <v>1920</v>
      </c>
      <c r="P268" s="40">
        <f t="shared" ca="1" si="13"/>
        <v>3.5087719298373829E-4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input_596103!A$2</f>
        <v>596103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IFERROR(VLOOKUP(B269,input_596103!L:R,7,FALSE),VLOOKUP(tables_596103!C269,input_596103!A:H,8,FALSE))</f>
        <v>1920</v>
      </c>
      <c r="P269" s="40">
        <f t="shared" ca="1" si="13"/>
        <v>3.5087719298373829E-4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input_596103!A$2</f>
        <v>596103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IFERROR(VLOOKUP(B270,input_596103!L:R,7,FALSE),VLOOKUP(tables_596103!C270,input_596103!A:H,8,FALSE))</f>
        <v>109900.52352</v>
      </c>
      <c r="P270" s="40">
        <f t="shared" ca="1" si="13"/>
        <v>2.0084160000073389E-2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input_596103!A$2</f>
        <v>596103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IFERROR(VLOOKUP(B271,input_596103!L:R,7,FALSE),VLOOKUP(tables_596103!C271,input_596103!A:H,8,FALSE))</f>
        <v>10052.22034</v>
      </c>
      <c r="P271" s="40">
        <f t="shared" ca="1" si="13"/>
        <v>1.8370285709131454E-3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input_596103!A$2</f>
        <v>596103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IFERROR(VLOOKUP(B272,input_596103!L:R,7,FALSE),VLOOKUP(tables_596103!C272,input_596103!A:H,8,FALSE))</f>
        <v>26835.360000000001</v>
      </c>
      <c r="P272" s="40">
        <f t="shared" ca="1" si="13"/>
        <v>4.904122807035464E-3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input_596103!A$2</f>
        <v>596103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IFERROR(VLOOKUP(B273,input_596103!L:R,7,FALSE),VLOOKUP(tables_596103!C273,input_596103!A:H,8,FALSE))</f>
        <v>1489.7919999999999</v>
      </c>
      <c r="P273" s="40">
        <f t="shared" ca="1" si="13"/>
        <v>2.7225730994251532E-4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input_596103!A$2</f>
        <v>596103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IFERROR(VLOOKUP(B274,input_596103!L:R,7,FALSE),VLOOKUP(tables_596103!C274,input_596103!A:H,8,FALSE))</f>
        <v>1728</v>
      </c>
      <c r="P274" s="40">
        <f t="shared" ca="1" si="13"/>
        <v>3.1578947368536445E-4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input_596103!A$2</f>
        <v>596103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IFERROR(VLOOKUP(B275,input_596103!L:R,7,FALSE),VLOOKUP(tables_596103!C275,input_596103!A:H,8,FALSE))</f>
        <v>192</v>
      </c>
      <c r="P275" s="40">
        <f t="shared" ca="1" si="13"/>
        <v>3.5087719298373832E-5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input_596103!A$2</f>
        <v>596103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IFERROR(VLOOKUP(B276,input_596103!L:R,7,FALSE),VLOOKUP(tables_596103!C276,input_596103!A:H,8,FALSE))</f>
        <v>1728</v>
      </c>
      <c r="P276" s="40">
        <f t="shared" ca="1" si="13"/>
        <v>3.1578947368536445E-4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input_596103!A$2</f>
        <v>596103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IFERROR(VLOOKUP(B277,input_596103!L:R,7,FALSE),VLOOKUP(tables_596103!C277,input_596103!A:H,8,FALSE))</f>
        <v>192</v>
      </c>
      <c r="P277" s="40">
        <f t="shared" ca="1" si="13"/>
        <v>3.5087719298373832E-5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input_596103!A$2</f>
        <v>596103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IFERROR(VLOOKUP(B278,input_596103!L:R,7,FALSE),VLOOKUP(tables_596103!C278,input_596103!A:H,8,FALSE))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input_596103!A$2</f>
        <v>596103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IFERROR(VLOOKUP(B279,input_596103!L:R,7,FALSE),VLOOKUP(tables_596103!C279,input_596103!A:H,8,FALSE))</f>
        <v>111576.26880000001</v>
      </c>
      <c r="P279" s="40">
        <f t="shared" ca="1" si="13"/>
        <v>2.0390400000074509E-2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input_596103!A$2</f>
        <v>596103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IFERROR(VLOOKUP(B280,input_596103!L:R,7,FALSE),VLOOKUP(tables_596103!C280,input_596103!A:H,8,FALSE))</f>
        <v>6986.6495999999997</v>
      </c>
      <c r="P280" s="40">
        <f t="shared" ca="1" si="13"/>
        <v>1.2768000000046656E-3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input_596103!A$2</f>
        <v>596103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IFERROR(VLOOKUP(B281,input_596103!L:R,7,FALSE),VLOOKUP(tables_596103!C281,input_596103!A:H,8,FALSE))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input_596103!A$2</f>
        <v>596103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IFERROR(VLOOKUP(B282,input_596103!L:R,7,FALSE),VLOOKUP(tables_596103!C282,input_596103!A:H,8,FALSE))</f>
        <v>25827.84</v>
      </c>
      <c r="P282" s="40">
        <f t="shared" ca="1" si="13"/>
        <v>4.7200000000172477E-3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input_596103!A$2</f>
        <v>596103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IFERROR(VLOOKUP(B283,input_596103!L:R,7,FALSE),VLOOKUP(tables_596103!C283,input_596103!A:H,8,FALSE))</f>
        <v>2869.76</v>
      </c>
      <c r="P283" s="40">
        <f t="shared" ca="1" si="13"/>
        <v>5.2444444444636089E-4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input_596103!A$2</f>
        <v>596103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IFERROR(VLOOKUP(B284,input_596103!L:R,7,FALSE),VLOOKUP(tables_596103!C284,input_596103!A:H,8,FALSE))</f>
        <v>1920</v>
      </c>
      <c r="P284" s="40">
        <f t="shared" ca="1" si="13"/>
        <v>3.5087719298373829E-4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input_596103!A$2</f>
        <v>596103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IFERROR(VLOOKUP(B285,input_596103!L:R,7,FALSE),VLOOKUP(tables_596103!C285,input_596103!A:H,8,FALSE))</f>
        <v>1920</v>
      </c>
      <c r="P285" s="40">
        <f t="shared" ca="1" si="13"/>
        <v>3.5087719298373829E-4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input_596103!A$2</f>
        <v>596103</v>
      </c>
      <c r="B286" s="5">
        <v>852</v>
      </c>
      <c r="C286" s="7" t="str">
        <f t="shared" si="12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IFERROR(VLOOKUP(B286,input_596103!L:R,7,FALSE),VLOOKUP(tables_596103!C286,input_596103!A:H,8,FALSE))</f>
        <v>109900.52352</v>
      </c>
      <c r="P286" s="40">
        <f t="shared" ca="1" si="13"/>
        <v>2.0084160000073389E-2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input_596103!A$2</f>
        <v>596103</v>
      </c>
      <c r="B287" s="5">
        <v>853</v>
      </c>
      <c r="C287" s="7" t="str">
        <f t="shared" si="12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IFERROR(VLOOKUP(B287,input_596103!L:R,7,FALSE),VLOOKUP(tables_596103!C287,input_596103!A:H,8,FALSE))</f>
        <v>10052.22034</v>
      </c>
      <c r="P287" s="40">
        <f t="shared" ca="1" si="13"/>
        <v>1.8370285709131454E-3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input_596103!A$2</f>
        <v>596103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IFERROR(VLOOKUP(B288,input_596103!L:R,7,FALSE),VLOOKUP(tables_596103!C288,input_596103!A:H,8,FALSE))</f>
        <v>26835.360000000001</v>
      </c>
      <c r="P288" s="40">
        <f t="shared" ca="1" si="13"/>
        <v>4.904122807035464E-3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input_596103!A$2</f>
        <v>596103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IFERROR(VLOOKUP(B289,input_596103!L:R,7,FALSE),VLOOKUP(tables_596103!C289,input_596103!A:H,8,FALSE))</f>
        <v>1489.7919999999999</v>
      </c>
      <c r="P289" s="40">
        <f t="shared" ca="1" si="13"/>
        <v>2.7225730994251532E-4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input_596103!A$2</f>
        <v>596103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IFERROR(VLOOKUP(B290,input_596103!L:R,7,FALSE),VLOOKUP(tables_596103!C290,input_596103!A:H,8,FALSE))</f>
        <v>26835.360000000001</v>
      </c>
      <c r="P290" s="40">
        <f t="shared" ca="1" si="13"/>
        <v>4.904122807035464E-3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input_596103!A$2</f>
        <v>596103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IFERROR(VLOOKUP(B291,input_596103!L:R,7,FALSE),VLOOKUP(tables_596103!C291,input_596103!A:H,8,FALSE))</f>
        <v>1489.7919999999999</v>
      </c>
      <c r="P291" s="40">
        <f t="shared" ca="1" si="13"/>
        <v>2.7225730994251532E-4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input_596103!A$2</f>
        <v>596103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IFERROR(VLOOKUP(B292,input_596103!L:R,7,FALSE),VLOOKUP(tables_596103!C292,input_596103!A:H,8,FALSE))</f>
        <v>26835.360000000001</v>
      </c>
      <c r="P292" s="40">
        <f t="shared" ca="1" si="13"/>
        <v>4.904122807035464E-3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input_596103!A$2</f>
        <v>596103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IFERROR(VLOOKUP(B293,input_596103!L:R,7,FALSE),VLOOKUP(tables_596103!C293,input_596103!A:H,8,FALSE))</f>
        <v>1489.7919999999999</v>
      </c>
      <c r="P293" s="40">
        <f t="shared" ca="1" si="13"/>
        <v>2.7225730994251532E-4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input_596103!A$2</f>
        <v>596103</v>
      </c>
      <c r="B294" s="5">
        <v>866</v>
      </c>
      <c r="C294" s="7" t="str">
        <f t="shared" si="12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IFERROR(VLOOKUP(B294,input_596103!L:R,7,FALSE),VLOOKUP(tables_596103!C294,input_596103!A:H,8,FALSE))</f>
        <v>9120</v>
      </c>
      <c r="P294" s="40">
        <f t="shared" ca="1" si="13"/>
        <v>1.666666666672757E-3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input_596103!A$2</f>
        <v>596103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IFERROR(VLOOKUP(B295,input_596103!L:R,7,FALSE),VLOOKUP(tables_596103!C295,input_596103!A:H,8,FALSE))</f>
        <v>1920</v>
      </c>
      <c r="P295" s="40">
        <f t="shared" ca="1" si="13"/>
        <v>3.5087719298373829E-4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input_596103!A$2</f>
        <v>596103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IFERROR(VLOOKUP(B296,input_596103!L:R,7,FALSE),VLOOKUP(tables_596103!C296,input_596103!A:H,8,FALSE))</f>
        <v>1920</v>
      </c>
      <c r="P296" s="40">
        <f t="shared" ca="1" si="13"/>
        <v>3.5087719298373829E-4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input_596103!A$2</f>
        <v>596103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IFERROR(VLOOKUP(B297,input_596103!L:R,7,FALSE),VLOOKUP(tables_596103!C297,input_596103!A:H,8,FALSE))</f>
        <v>26835.360000000001</v>
      </c>
      <c r="P297" s="40">
        <f t="shared" ca="1" si="13"/>
        <v>4.904122807035464E-3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input_596103!A$2</f>
        <v>596103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IFERROR(VLOOKUP(B298,input_596103!L:R,7,FALSE),VLOOKUP(tables_596103!C298,input_596103!A:H,8,FALSE))</f>
        <v>1489.7919999999999</v>
      </c>
      <c r="P298" s="40">
        <f t="shared" ca="1" si="13"/>
        <v>2.7225730994251532E-4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input_596103!A$2</f>
        <v>596103</v>
      </c>
      <c r="B299" s="5">
        <v>941</v>
      </c>
      <c r="C299" s="7" t="str">
        <f t="shared" si="12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IFERROR(VLOOKUP(B299,input_596103!L:R,7,FALSE),VLOOKUP(tables_596103!C299,input_596103!A:H,8,FALSE))</f>
        <v>9120</v>
      </c>
      <c r="P299" s="40">
        <f t="shared" ca="1" si="13"/>
        <v>1.666666666672757E-3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input_596103!A$2</f>
        <v>596103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IFERROR(VLOOKUP(B300,input_596103!L:R,7,FALSE),VLOOKUP(tables_596103!C300,input_596103!A:H,8,FALSE))</f>
        <v>1920</v>
      </c>
      <c r="P300" s="40">
        <f t="shared" ca="1" si="13"/>
        <v>3.5087719298373829E-4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input_596103!A$2</f>
        <v>596103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IFERROR(VLOOKUP(B301,input_596103!L:R,7,FALSE),VLOOKUP(tables_596103!C301,input_596103!A:H,8,FALSE))</f>
        <v>1920</v>
      </c>
      <c r="P301" s="40">
        <f t="shared" ca="1" si="13"/>
        <v>3.5087719298373829E-4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input_596103!A$2</f>
        <v>596103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IFERROR(VLOOKUP(B302,input_596103!L:R,7,FALSE),VLOOKUP(tables_596103!C302,input_596103!A:H,8,FALSE))</f>
        <v>1920</v>
      </c>
      <c r="P302" s="40">
        <f t="shared" ca="1" si="13"/>
        <v>3.5087719298373829E-4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input_596103!A$2</f>
        <v>596103</v>
      </c>
      <c r="B303" s="5">
        <v>1016</v>
      </c>
      <c r="C303" s="7" t="str">
        <f t="shared" si="12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IFERROR(VLOOKUP(B303,input_596103!L:R,7,FALSE),VLOOKUP(tables_596103!C303,input_596103!A:H,8,FALSE))</f>
        <v>109900.52352</v>
      </c>
      <c r="P303" s="40">
        <f t="shared" ca="1" si="13"/>
        <v>2.0084160000073389E-2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input_596103!A$2</f>
        <v>596103</v>
      </c>
      <c r="B304" s="5">
        <v>1017</v>
      </c>
      <c r="C304" s="7" t="str">
        <f t="shared" si="12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IFERROR(VLOOKUP(B304,input_596103!L:R,7,FALSE),VLOOKUP(tables_596103!C304,input_596103!A:H,8,FALSE))</f>
        <v>10052.22034</v>
      </c>
      <c r="P304" s="40">
        <f t="shared" ca="1" si="13"/>
        <v>1.8370285709131454E-3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input_596103!A$2</f>
        <v>596103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IFERROR(VLOOKUP(B305,input_596103!L:R,7,FALSE),VLOOKUP(tables_596103!C305,input_596103!A:H,8,FALSE))</f>
        <v>1920</v>
      </c>
      <c r="P305" s="40">
        <f t="shared" ca="1" si="13"/>
        <v>3.5087719298373829E-4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input_596103!A$2</f>
        <v>596103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IFERROR(VLOOKUP(B306,input_596103!L:R,7,FALSE),VLOOKUP(tables_596103!C306,input_596103!A:H,8,FALSE))</f>
        <v>26835.360000000001</v>
      </c>
      <c r="P306" s="40">
        <f t="shared" ca="1" si="13"/>
        <v>4.904122807035464E-3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input_596103!A$2</f>
        <v>596103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IFERROR(VLOOKUP(B307,input_596103!L:R,7,FALSE),VLOOKUP(tables_596103!C307,input_596103!A:H,8,FALSE))</f>
        <v>1489.7919999999999</v>
      </c>
      <c r="P307" s="40">
        <f t="shared" ca="1" si="13"/>
        <v>2.7225730994251532E-4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input_596103!A$2</f>
        <v>596103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IFERROR(VLOOKUP(B308,input_596103!L:R,7,FALSE),VLOOKUP(tables_596103!C308,input_596103!A:H,8,FALSE))</f>
        <v>1920</v>
      </c>
      <c r="P308" s="40">
        <f t="shared" ca="1" si="13"/>
        <v>3.5087719298373829E-4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input_596103!A$2</f>
        <v>596103</v>
      </c>
      <c r="B309" s="5">
        <v>1031</v>
      </c>
      <c r="C309" s="7" t="str">
        <f t="shared" si="12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IFERROR(VLOOKUP(B309,input_596103!L:R,7,FALSE),VLOOKUP(tables_596103!C309,input_596103!A:H,8,FALSE))</f>
        <v>9120</v>
      </c>
      <c r="P309" s="40">
        <f t="shared" ca="1" si="13"/>
        <v>1.666666666672757E-3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input_596103!A$2</f>
        <v>596103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IFERROR(VLOOKUP(B310,input_596103!L:R,7,FALSE),VLOOKUP(tables_596103!C310,input_596103!A:H,8,FALSE))</f>
        <v>1920</v>
      </c>
      <c r="P310" s="40">
        <f t="shared" ca="1" si="13"/>
        <v>3.5087719298373829E-4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input_596103!A$2</f>
        <v>596103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IFERROR(VLOOKUP(B311,input_596103!L:R,7,FALSE),VLOOKUP(tables_596103!C311,input_596103!A:H,8,FALSE))</f>
        <v>26835.360000000001</v>
      </c>
      <c r="P311" s="40">
        <f t="shared" ca="1" si="13"/>
        <v>4.904122807035464E-3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input_596103!A$2</f>
        <v>596103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IFERROR(VLOOKUP(B312,input_596103!L:R,7,FALSE),VLOOKUP(tables_596103!C312,input_596103!A:H,8,FALSE))</f>
        <v>1489.7919999999999</v>
      </c>
      <c r="P312" s="40">
        <f t="shared" ca="1" si="13"/>
        <v>2.7225730994251532E-4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input_596103!A$2</f>
        <v>596103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IFERROR(VLOOKUP(B313,input_596103!L:R,7,FALSE),VLOOKUP(tables_596103!C313,input_596103!A:H,8,FALSE))</f>
        <v>1920</v>
      </c>
      <c r="P313" s="40">
        <f t="shared" ca="1" si="13"/>
        <v>3.5087719298373829E-4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input_596103!A$2</f>
        <v>596103</v>
      </c>
      <c r="B314" s="5">
        <v>1072</v>
      </c>
      <c r="C314" s="7" t="str">
        <f t="shared" si="12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IFERROR(VLOOKUP(B314,input_596103!L:R,7,FALSE),VLOOKUP(tables_596103!C314,input_596103!A:H,8,FALSE))</f>
        <v>9120</v>
      </c>
      <c r="P314" s="40">
        <f t="shared" ca="1" si="13"/>
        <v>1.666666666672757E-3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input_596103!A$2</f>
        <v>596103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IFERROR(VLOOKUP(B315,input_596103!L:R,7,FALSE),VLOOKUP(tables_596103!C315,input_596103!A:H,8,FALSE))</f>
        <v>1920</v>
      </c>
      <c r="P315" s="40">
        <f t="shared" ca="1" si="13"/>
        <v>3.5087719298373829E-4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input_596103!A$2</f>
        <v>596103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IFERROR(VLOOKUP(B316,input_596103!L:R,7,FALSE),VLOOKUP(tables_596103!C316,input_596103!A:H,8,FALSE))</f>
        <v>1920</v>
      </c>
      <c r="P316" s="40">
        <f t="shared" ca="1" si="13"/>
        <v>3.5087719298373829E-4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input_596103!A$2</f>
        <v>596103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IFERROR(VLOOKUP(B317,input_596103!L:R,7,FALSE),VLOOKUP(tables_596103!C317,input_596103!A:H,8,FALSE))</f>
        <v>1920</v>
      </c>
      <c r="P317" s="40">
        <f t="shared" ca="1" si="13"/>
        <v>3.5087719298373829E-4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input_596103!A$2</f>
        <v>596103</v>
      </c>
      <c r="B318" s="5">
        <v>1104</v>
      </c>
      <c r="C318" s="7" t="str">
        <f t="shared" si="12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IFERROR(VLOOKUP(B318,input_596103!L:R,7,FALSE),VLOOKUP(tables_596103!C318,input_596103!A:H,8,FALSE))</f>
        <v>109900.52352</v>
      </c>
      <c r="P318" s="40">
        <f t="shared" ca="1" si="13"/>
        <v>2.0084160000073389E-2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input_596103!A$2</f>
        <v>596103</v>
      </c>
      <c r="B319" s="5">
        <v>1105</v>
      </c>
      <c r="C319" s="7" t="str">
        <f t="shared" si="12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IFERROR(VLOOKUP(B319,input_596103!L:R,7,FALSE),VLOOKUP(tables_596103!C319,input_596103!A:H,8,FALSE))</f>
        <v>10052.22034</v>
      </c>
      <c r="P319" s="40">
        <f t="shared" ca="1" si="13"/>
        <v>1.8370285709131454E-3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input_596103!A$2</f>
        <v>596103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IFERROR(VLOOKUP(B320,input_596103!L:R,7,FALSE),VLOOKUP(tables_596103!C320,input_596103!A:H,8,FALSE))</f>
        <v>1920</v>
      </c>
      <c r="P320" s="40">
        <f t="shared" ca="1" si="13"/>
        <v>3.5087719298373829E-4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input_596103!A$2</f>
        <v>596103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IFERROR(VLOOKUP(B321,input_596103!L:R,7,FALSE),VLOOKUP(tables_596103!C321,input_596103!A:H,8,FALSE))</f>
        <v>1920</v>
      </c>
      <c r="P321" s="40">
        <f t="shared" ca="1" si="13"/>
        <v>3.5087719298373829E-4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input_596103!A$2</f>
        <v>596103</v>
      </c>
      <c r="B322" s="5">
        <v>1139</v>
      </c>
      <c r="C322" s="7" t="str">
        <f t="shared" ref="C322:C324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IFERROR(VLOOKUP(B322,input_596103!L:R,7,FALSE),VLOOKUP(tables_596103!C322,input_596103!A:H,8,FALSE))</f>
        <v>1920</v>
      </c>
      <c r="P322" s="40">
        <f t="shared" ref="P322:P340" ca="1" si="16">O322/SUM(O:O)</f>
        <v>3.5087719298373829E-4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input_596103!A$2</f>
        <v>596103</v>
      </c>
      <c r="B323" s="5">
        <v>1141</v>
      </c>
      <c r="C323" s="7" t="str">
        <f t="shared" si="15"/>
        <v>PremiumSS5R5onlycolor</v>
      </c>
      <c r="D323" s="7" t="str">
        <f t="shared" ref="D323:D324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IFERROR(VLOOKUP(B323,input_596103!L:R,7,FALSE),VLOOKUP(tables_596103!C323,input_596103!A:H,8,FALSE))</f>
        <v>9120</v>
      </c>
      <c r="P323" s="40">
        <f t="shared" ca="1" si="16"/>
        <v>1.666666666672757E-3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input_596103!A$2</f>
        <v>596103</v>
      </c>
      <c r="B324" s="2">
        <v>1143</v>
      </c>
      <c r="C324" s="86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IFERROR(VLOOKUP(B324,input_596103!L:R,7,FALSE),VLOOKUP(tables_596103!C324,input_596103!A:H,8,FALSE))</f>
        <v>26835.360000000001</v>
      </c>
      <c r="P324" s="40">
        <f t="shared" ca="1" si="16"/>
        <v>4.904122807035464E-3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input_596103!A$2</f>
        <v>596103</v>
      </c>
      <c r="B325" s="2">
        <v>1144</v>
      </c>
      <c r="C325" s="86" t="str">
        <f t="shared" ref="C325:C330" si="18">D325&amp;J325&amp;E325&amp;F325&amp;G325</f>
        <v>Premium5R3less</v>
      </c>
      <c r="D325" s="7" t="str">
        <f t="shared" ref="D325:D330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IFERROR(VLOOKUP(B325,input_596103!L:R,7,FALSE),VLOOKUP(tables_596103!C325,input_596103!A:H,8,FALSE))</f>
        <v>1489.7919999999999</v>
      </c>
      <c r="P325" s="40">
        <f t="shared" ca="1" si="16"/>
        <v>2.7225730994251532E-4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input_596103!A$2</f>
        <v>596103</v>
      </c>
      <c r="B326" s="2">
        <v>1151</v>
      </c>
      <c r="C326" s="86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IFERROR(VLOOKUP(B326,input_596103!L:R,7,FALSE),VLOOKUP(tables_596103!C326,input_596103!A:H,8,FALSE))</f>
        <v>26835.360000000001</v>
      </c>
      <c r="P326" s="40">
        <f t="shared" ca="1" si="16"/>
        <v>4.904122807035464E-3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input_596103!A$2</f>
        <v>596103</v>
      </c>
      <c r="B327" s="2">
        <v>1152</v>
      </c>
      <c r="C327" s="86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IFERROR(VLOOKUP(B327,input_596103!L:R,7,FALSE),VLOOKUP(tables_596103!C327,input_596103!A:H,8,FALSE))</f>
        <v>1489.7919999999999</v>
      </c>
      <c r="P327" s="40">
        <f t="shared" ca="1" si="16"/>
        <v>2.7225730994251532E-4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input_596103!A$2</f>
        <v>596103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IFERROR(VLOOKUP(B328,input_596103!L:R,7,FALSE),VLOOKUP(tables_596103!C328,input_596103!A:H,8,FALSE))</f>
        <v>1920</v>
      </c>
      <c r="P328" s="40">
        <f t="shared" ca="1" si="16"/>
        <v>3.5087719298373829E-4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input_596103!A$2</f>
        <v>596103</v>
      </c>
      <c r="B329" s="2">
        <v>1155</v>
      </c>
      <c r="C329" s="86" t="str">
        <f t="shared" si="18"/>
        <v>PremiumSS5R5onlycolor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IFERROR(VLOOKUP(B329,input_596103!L:R,7,FALSE),VLOOKUP(tables_596103!C329,input_596103!A:H,8,FALSE))</f>
        <v>9120</v>
      </c>
      <c r="P329" s="40">
        <f t="shared" ca="1" si="16"/>
        <v>1.666666666672757E-3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input_596103!A$2</f>
        <v>596103</v>
      </c>
      <c r="B330" s="2">
        <v>1157</v>
      </c>
      <c r="C330" s="86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IFERROR(VLOOKUP(B330,input_596103!L:R,7,FALSE),VLOOKUP(tables_596103!C330,input_596103!A:H,8,FALSE))</f>
        <v>1920</v>
      </c>
      <c r="P330" s="40">
        <f t="shared" ca="1" si="16"/>
        <v>3.5087719298373829E-4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input_596103!A$2</f>
        <v>596103</v>
      </c>
      <c r="B331" s="52">
        <v>1214</v>
      </c>
      <c r="C331" s="86" t="str">
        <f t="shared" ref="C331:C340" si="20">D331&amp;J331&amp;E331&amp;F331&amp;G331</f>
        <v>PremiumSS5R5only</v>
      </c>
      <c r="D331" s="7" t="str">
        <f t="shared" ref="D331:D340" si="21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IFERROR(VLOOKUP(B331,input_596103!L:R,7,FALSE),VLOOKUP(tables_596103!C331,input_596103!A:H,8,FALSE))</f>
        <v>1920</v>
      </c>
      <c r="P331" s="40">
        <f t="shared" ca="1" si="16"/>
        <v>3.5087719298373829E-4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input_596103!A$2</f>
        <v>596103</v>
      </c>
      <c r="B332" s="52">
        <v>1212</v>
      </c>
      <c r="C332" s="86" t="str">
        <f t="shared" si="20"/>
        <v>PremiumSS5R5onlycolor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IFERROR(VLOOKUP(B332,input_596103!L:R,7,FALSE),VLOOKUP(tables_596103!C332,input_596103!A:H,8,FALSE))</f>
        <v>9120</v>
      </c>
      <c r="P332" s="40">
        <f t="shared" ca="1" si="16"/>
        <v>1.666666666672757E-3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input_596103!A$2</f>
        <v>596103</v>
      </c>
      <c r="B333" s="52">
        <v>1208</v>
      </c>
      <c r="C333" s="86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IFERROR(VLOOKUP(B333,input_596103!L:R,7,FALSE),VLOOKUP(tables_596103!C333,input_596103!A:H,8,FALSE))</f>
        <v>1920</v>
      </c>
      <c r="P333" s="40">
        <f t="shared" ca="1" si="16"/>
        <v>3.5087719298373829E-4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input_596103!A$2</f>
        <v>596103</v>
      </c>
      <c r="B334" s="96">
        <v>1210</v>
      </c>
      <c r="C334" s="86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IFERROR(VLOOKUP(B334,input_596103!L:R,7,FALSE),VLOOKUP(tables_596103!C334,input_596103!A:H,8,FALSE))</f>
        <v>26835.360000000001</v>
      </c>
      <c r="P334" s="40">
        <f t="shared" ca="1" si="16"/>
        <v>4.904122807035464E-3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input_596103!A$2</f>
        <v>596103</v>
      </c>
      <c r="B335" s="52">
        <v>1211</v>
      </c>
      <c r="C335" s="86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IFERROR(VLOOKUP(B335,input_596103!L:R,7,FALSE),VLOOKUP(tables_596103!C335,input_596103!A:H,8,FALSE))</f>
        <v>1489.7919999999999</v>
      </c>
      <c r="P335" s="40">
        <f t="shared" ca="1" si="16"/>
        <v>2.7225730994251532E-4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input_596103!A$2</f>
        <v>596103</v>
      </c>
      <c r="B336" s="2">
        <v>1224</v>
      </c>
      <c r="C336" s="86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IFERROR(VLOOKUP(B336,input_596103!L:R,7,FALSE),VLOOKUP(tables_596103!C336,input_596103!A:H,8,FALSE))</f>
        <v>26835.360000000001</v>
      </c>
      <c r="P336" s="40">
        <f t="shared" ca="1" si="16"/>
        <v>4.904122807035464E-3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input_596103!A$2</f>
        <v>596103</v>
      </c>
      <c r="B337" s="2">
        <v>1225</v>
      </c>
      <c r="C337" s="86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IFERROR(VLOOKUP(B337,input_596103!L:R,7,FALSE),VLOOKUP(tables_596103!C337,input_596103!A:H,8,FALSE))</f>
        <v>1489.7919999999999</v>
      </c>
      <c r="P337" s="40">
        <f t="shared" ca="1" si="16"/>
        <v>2.7225730994251532E-4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input_596103!A$2</f>
        <v>596103</v>
      </c>
      <c r="B338" s="2">
        <v>1226</v>
      </c>
      <c r="C338" s="86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IFERROR(VLOOKUP(B338,input_596103!L:R,7,FALSE),VLOOKUP(tables_596103!C338,input_596103!A:H,8,FALSE))</f>
        <v>1920</v>
      </c>
      <c r="P338" s="40">
        <f t="shared" ca="1" si="16"/>
        <v>3.5087719298373829E-4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input_596103!A$2</f>
        <v>596103</v>
      </c>
      <c r="B339" s="2">
        <v>1228</v>
      </c>
      <c r="C339" s="86" t="str">
        <f t="shared" si="20"/>
        <v>PremiumSS5R5onlycolor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IFERROR(VLOOKUP(B339,input_596103!L:R,7,FALSE),VLOOKUP(tables_596103!C339,input_596103!A:H,8,FALSE))</f>
        <v>9120</v>
      </c>
      <c r="P339" s="40">
        <f t="shared" ca="1" si="16"/>
        <v>1.666666666672757E-3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input_596103!A$2</f>
        <v>596103</v>
      </c>
      <c r="B340" s="2">
        <v>1230</v>
      </c>
      <c r="C340" s="86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IFERROR(VLOOKUP(B340,input_596103!L:R,7,FALSE),VLOOKUP(tables_596103!C340,input_596103!A:H,8,FALSE))</f>
        <v>1920</v>
      </c>
      <c r="P340" s="40">
        <f t="shared" ca="1" si="16"/>
        <v>3.5087719298373829E-4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input_596103!A$2</f>
        <v>596103</v>
      </c>
      <c r="B341" s="2">
        <v>1244</v>
      </c>
      <c r="C341" s="86" t="str">
        <f t="shared" ref="C341:C345" si="22">D341&amp;J341&amp;E341&amp;F341&amp;G341</f>
        <v>PremiumSS5R5only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IFERROR(VLOOKUP(B341,input_596103!L:R,7,FALSE),VLOOKUP(tables_596103!C341,input_596103!A:H,8,FALSE))</f>
        <v>1920</v>
      </c>
      <c r="P341" s="40">
        <f t="shared" ref="P341:P345" ca="1" si="24">O341/SUM(O:O)</f>
        <v>3.5087719298373829E-4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input_596103!A$2</f>
        <v>596103</v>
      </c>
      <c r="B342" s="2">
        <v>1246</v>
      </c>
      <c r="C342" s="86" t="str">
        <f t="shared" si="22"/>
        <v>PremiumSS5R5only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IFERROR(VLOOKUP(B342,input_596103!L:R,7,FALSE),VLOOKUP(tables_596103!C342,input_596103!A:H,8,FALSE))</f>
        <v>1920</v>
      </c>
      <c r="P342" s="40">
        <f t="shared" ca="1" si="24"/>
        <v>3.5087719298373829E-4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input_596103!A$2</f>
        <v>596103</v>
      </c>
      <c r="B343" s="2">
        <v>1248</v>
      </c>
      <c r="C343" s="86" t="str">
        <f t="shared" si="22"/>
        <v>Premium4R3lesscolor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IFERROR(VLOOKUP(B343,input_596103!L:R,7,FALSE),VLOOKUP(tables_596103!C343,input_596103!A:H,8,FALSE))</f>
        <v>109900.52352</v>
      </c>
      <c r="P343" s="40">
        <f t="shared" ca="1" si="24"/>
        <v>2.0084160000073389E-2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input_596103!A$2</f>
        <v>596103</v>
      </c>
      <c r="B344" s="2">
        <v>1249</v>
      </c>
      <c r="C344" s="86" t="str">
        <f t="shared" si="22"/>
        <v>Premium5R3lesscolor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IFERROR(VLOOKUP(B344,input_596103!L:R,7,FALSE),VLOOKUP(tables_596103!C344,input_596103!A:H,8,FALSE))</f>
        <v>10052.22034</v>
      </c>
      <c r="P344" s="40">
        <f t="shared" ca="1" si="24"/>
        <v>1.8370285709131454E-3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input_596103!A$2</f>
        <v>596103</v>
      </c>
      <c r="B345" s="2">
        <v>1250</v>
      </c>
      <c r="C345" s="86" t="str">
        <f t="shared" si="22"/>
        <v>PremiumSS5R5only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IFERROR(VLOOKUP(B345,input_596103!L:R,7,FALSE),VLOOKUP(tables_596103!C345,input_596103!A:H,8,FALSE))</f>
        <v>1920</v>
      </c>
      <c r="P345" s="40">
        <f t="shared" ca="1" si="24"/>
        <v>3.5087719298373829E-4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input_596103!A$2</f>
        <v>596103</v>
      </c>
      <c r="B346" s="1">
        <v>1260</v>
      </c>
      <c r="C346" s="86" t="str">
        <f t="shared" ref="C346" si="25">D346&amp;J346&amp;E346&amp;F346&amp;G346</f>
        <v>PremiumSS5R5only</v>
      </c>
      <c r="D346" s="7" t="str">
        <f t="shared" ref="D346" si="2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IFERROR(VLOOKUP(B346,input_596103!L:R,7,FALSE),VLOOKUP(tables_596103!C346,input_596103!A:H,8,FALSE))</f>
        <v>1920</v>
      </c>
      <c r="P346" s="40">
        <f ca="1">O346/SUM(O:O)</f>
        <v>3.5087719298373829E-4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input_596103!A$2</f>
        <v>596103</v>
      </c>
      <c r="B347" s="1">
        <v>1262</v>
      </c>
      <c r="C347" s="86" t="str">
        <f t="shared" ref="C347:C356" si="27">D347&amp;J347&amp;E347&amp;F347&amp;G347</f>
        <v>PremiumSS5R5only</v>
      </c>
      <c r="D347" s="7" t="str">
        <f t="shared" ref="D347:D356" si="28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IFERROR(VLOOKUP(B347,input_596103!L:R,7,FALSE),VLOOKUP(tables_596103!C347,input_596103!A:H,8,FALSE))</f>
        <v>1920</v>
      </c>
      <c r="P347" s="40">
        <f t="shared" ref="P347:P350" ca="1" si="29">O347/SUM(O:O)</f>
        <v>3.5087719298373829E-4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input_596103!A$2</f>
        <v>596103</v>
      </c>
      <c r="B348" s="1">
        <v>1264</v>
      </c>
      <c r="C348" s="86" t="str">
        <f t="shared" si="27"/>
        <v>PremiumSS5R5onlycolor</v>
      </c>
      <c r="D348" s="7" t="str">
        <f t="shared" si="28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IFERROR(VLOOKUP(B348,input_596103!L:R,7,FALSE),VLOOKUP(tables_596103!C348,input_596103!A:H,8,FALSE))</f>
        <v>9120</v>
      </c>
      <c r="P348" s="40">
        <f t="shared" ca="1" si="29"/>
        <v>1.666666666672757E-3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input_596103!A$2</f>
        <v>596103</v>
      </c>
      <c r="B349" s="1">
        <v>1266</v>
      </c>
      <c r="C349" s="86" t="str">
        <f t="shared" si="27"/>
        <v>Premium4R3less</v>
      </c>
      <c r="D349" s="7" t="str">
        <f t="shared" si="2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IFERROR(VLOOKUP(B349,input_596103!L:R,7,FALSE),VLOOKUP(tables_596103!C349,input_596103!A:H,8,FALSE))</f>
        <v>26835.360000000001</v>
      </c>
      <c r="P349" s="40">
        <f t="shared" ca="1" si="29"/>
        <v>4.904122807035464E-3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input_596103!A$2</f>
        <v>596103</v>
      </c>
      <c r="B350" s="1">
        <v>1267</v>
      </c>
      <c r="C350" s="86" t="str">
        <f t="shared" si="27"/>
        <v>Premium5R3less</v>
      </c>
      <c r="D350" s="7" t="str">
        <f t="shared" si="2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IFERROR(VLOOKUP(B350,input_596103!L:R,7,FALSE),VLOOKUP(tables_596103!C350,input_596103!A:H,8,FALSE))</f>
        <v>1489.7919999999999</v>
      </c>
      <c r="P350" s="40">
        <f t="shared" ca="1" si="29"/>
        <v>2.7225730994251532E-4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input_596103!A$2</f>
        <v>596103</v>
      </c>
      <c r="B351" s="102">
        <v>1332</v>
      </c>
      <c r="C351" s="86" t="str">
        <f t="shared" si="27"/>
        <v>PremiumSS5R5only</v>
      </c>
      <c r="D351" s="7" t="str">
        <f t="shared" si="2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IFERROR(VLOOKUP(B351,input_596103!L:R,7,FALSE),VLOOKUP(tables_596103!C351,input_596103!A:H,8,FALSE))</f>
        <v>1920</v>
      </c>
      <c r="P351" s="40">
        <f t="shared" ref="P351:P356" ca="1" si="30">O351/SUM(O:O)</f>
        <v>3.5087719298373829E-4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input_596103!A$2</f>
        <v>596103</v>
      </c>
      <c r="B352" s="102">
        <v>1336</v>
      </c>
      <c r="C352" s="86" t="str">
        <f t="shared" si="27"/>
        <v>PremiumSS5R5onlycolor</v>
      </c>
      <c r="D352" s="7" t="str">
        <f t="shared" si="2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IFERROR(VLOOKUP(B352,input_596103!L:R,7,FALSE),VLOOKUP(tables_596103!C352,input_596103!A:H,8,FALSE))</f>
        <v>9120</v>
      </c>
      <c r="P352" s="40">
        <f t="shared" ca="1" si="30"/>
        <v>1.666666666672757E-3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input_596103!A$2</f>
        <v>596103</v>
      </c>
      <c r="B353" s="102">
        <v>1338</v>
      </c>
      <c r="C353" s="86" t="str">
        <f t="shared" si="27"/>
        <v>PremiumSS5R5only</v>
      </c>
      <c r="D353" s="7" t="str">
        <f t="shared" si="2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IFERROR(VLOOKUP(B353,input_596103!L:R,7,FALSE),VLOOKUP(tables_596103!C353,input_596103!A:H,8,FALSE))</f>
        <v>1920</v>
      </c>
      <c r="P353" s="40">
        <f t="shared" ca="1" si="30"/>
        <v>3.5087719298373829E-4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input_596103!A$2</f>
        <v>596103</v>
      </c>
      <c r="B354" s="102">
        <v>1334</v>
      </c>
      <c r="C354" s="86" t="str">
        <f t="shared" si="27"/>
        <v>Premium4R3less</v>
      </c>
      <c r="D354" s="7" t="str">
        <f t="shared" si="2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IFERROR(VLOOKUP(B354,input_596103!L:R,7,FALSE),VLOOKUP(tables_596103!C354,input_596103!A:H,8,FALSE))</f>
        <v>26835.360000000001</v>
      </c>
      <c r="P354" s="40">
        <f t="shared" ca="1" si="30"/>
        <v>4.904122807035464E-3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input_596103!A$2</f>
        <v>596103</v>
      </c>
      <c r="B355" s="102">
        <v>1335</v>
      </c>
      <c r="C355" s="86" t="str">
        <f t="shared" si="27"/>
        <v>Premium5R3less</v>
      </c>
      <c r="D355" s="7" t="str">
        <f t="shared" si="2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IFERROR(VLOOKUP(B355,input_596103!L:R,7,FALSE),VLOOKUP(tables_596103!C355,input_596103!A:H,8,FALSE))</f>
        <v>1489.7919999999999</v>
      </c>
      <c r="P355" s="40">
        <f t="shared" ca="1" si="30"/>
        <v>2.7225730994251532E-4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input_596103!A$2</f>
        <v>596103</v>
      </c>
      <c r="B356" s="105">
        <v>1381</v>
      </c>
      <c r="C356" s="86" t="str">
        <f t="shared" si="27"/>
        <v>Premium4R3less</v>
      </c>
      <c r="D356" s="7" t="str">
        <f t="shared" si="28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IFERROR(VLOOKUP(B356,input_596103!L:R,7,FALSE),VLOOKUP(tables_596103!C356,input_596103!A:H,8,FALSE))</f>
        <v>26835.360000000001</v>
      </c>
      <c r="P356" s="40">
        <f t="shared" ca="1" si="30"/>
        <v>4.904122807035464E-3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input_596103!A$2</f>
        <v>596103</v>
      </c>
      <c r="B357" s="105">
        <v>1382</v>
      </c>
      <c r="C357" s="86" t="str">
        <f t="shared" ref="C357:C361" si="31">D357&amp;J357&amp;E357&amp;F357&amp;G357</f>
        <v>Premium5R3less</v>
      </c>
      <c r="D357" s="7" t="str">
        <f t="shared" ref="D357:D361" si="32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IFERROR(VLOOKUP(B357,input_596103!L:R,7,FALSE),VLOOKUP(tables_596103!C357,input_596103!A:H,8,FALSE))</f>
        <v>1489.7919999999999</v>
      </c>
      <c r="P357" s="40">
        <f t="shared" ref="P357:P361" ca="1" si="33">O357/SUM(O:O)</f>
        <v>2.7225730994251532E-4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input_596103!A$2</f>
        <v>596103</v>
      </c>
      <c r="B358" s="105">
        <v>1383</v>
      </c>
      <c r="C358" s="86" t="str">
        <f t="shared" si="31"/>
        <v>PremiumSS5R5only</v>
      </c>
      <c r="D358" s="7" t="str">
        <f t="shared" si="32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IFERROR(VLOOKUP(B358,input_596103!L:R,7,FALSE),VLOOKUP(tables_596103!C358,input_596103!A:H,8,FALSE))</f>
        <v>1920</v>
      </c>
      <c r="P358" s="40">
        <f t="shared" ca="1" si="33"/>
        <v>3.5087719298373829E-4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input_596103!A$2</f>
        <v>596103</v>
      </c>
      <c r="B359" s="105">
        <v>1385</v>
      </c>
      <c r="C359" s="86" t="str">
        <f t="shared" si="31"/>
        <v>PremiumSS5R5onlycolor</v>
      </c>
      <c r="D359" s="7" t="str">
        <f t="shared" si="32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IFERROR(VLOOKUP(B359,input_596103!L:R,7,FALSE),VLOOKUP(tables_596103!C359,input_596103!A:H,8,FALSE))</f>
        <v>9120</v>
      </c>
      <c r="P359" s="40">
        <f t="shared" ca="1" si="33"/>
        <v>1.666666666672757E-3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input_596103!A$2</f>
        <v>596103</v>
      </c>
      <c r="B360" s="105">
        <v>1387</v>
      </c>
      <c r="C360" s="86" t="str">
        <f t="shared" si="31"/>
        <v>PremiumSS5R5only</v>
      </c>
      <c r="D360" s="7" t="str">
        <f t="shared" si="32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IFERROR(VLOOKUP(B360,input_596103!L:R,7,FALSE),VLOOKUP(tables_596103!C360,input_596103!A:H,8,FALSE))</f>
        <v>1920</v>
      </c>
      <c r="P360" s="40">
        <f t="shared" ca="1" si="33"/>
        <v>3.5087719298373829E-4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input_596103!A$2</f>
        <v>596103</v>
      </c>
      <c r="B361" s="106">
        <v>1393</v>
      </c>
      <c r="C361" s="86" t="str">
        <f t="shared" si="31"/>
        <v>PremiumSSS5R3lesscolor</v>
      </c>
      <c r="D361" s="7" t="str">
        <f t="shared" si="32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ライプニッツ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hp</v>
      </c>
      <c r="M361" s="7" t="str">
        <f>VLOOKUP(B361,[1]characters!$A:$M,13,FALSE)</f>
        <v>academia</v>
      </c>
      <c r="N361" s="7">
        <f>VLOOKUP(B361,[1]characters!$A:$G,7,FALSE)</f>
        <v>0</v>
      </c>
      <c r="O361" s="39">
        <f>IFERROR(VLOOKUP(B361,input_596103!L:R,7,FALSE),VLOOKUP(tables_596103!C361,input_596103!A:H,8,FALSE))</f>
        <v>32832</v>
      </c>
      <c r="P361" s="40">
        <f t="shared" ca="1" si="33"/>
        <v>6.0000000000219253E-3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300"/>
  <phoneticPr fontId="13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V16"/>
  <sheetViews>
    <sheetView showGridLines="0" tabSelected="1" zoomScale="92" zoomScaleNormal="75" zoomScalePageLayoutView="75" workbookViewId="0">
      <pane ySplit="1" topLeftCell="A2" activePane="bottomLeft" state="frozen"/>
      <selection activeCell="H44" sqref="H4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30.199218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input_596103!A$2</f>
        <v>596103</v>
      </c>
      <c r="B2" s="110">
        <v>733</v>
      </c>
      <c r="C2" s="7" t="str">
        <f t="shared" ref="C2:C14" si="0">D2&amp;J2&amp;E2&amp;F2&amp;G2</f>
        <v>PremiumSS6R5only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39">
        <v>10</v>
      </c>
      <c r="P2" s="40">
        <f>O2/SUM(O:O)</f>
        <v>6.6666666666666666E-2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input_596103!A$2</f>
        <v>596103</v>
      </c>
      <c r="B3" s="105">
        <v>809</v>
      </c>
      <c r="C3" s="7" t="str">
        <f t="shared" si="0"/>
        <v>PremiumSS6R5onlycolor</v>
      </c>
      <c r="D3" s="7" t="str">
        <f t="shared" ref="D3:D14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 t="s">
        <v>35</v>
      </c>
      <c r="H3" s="7" t="str">
        <f>VLOOKUP(B3,[1]characters!$A:$C,3,FALSE)</f>
        <v>天然理心の激凛 沖田総司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男性</v>
      </c>
      <c r="O3" s="39">
        <v>10</v>
      </c>
      <c r="P3" s="40">
        <f>O3/SUM(O:O)</f>
        <v>6.6666666666666666E-2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input_596103!A$2</f>
        <v>596103</v>
      </c>
      <c r="B4" s="105">
        <v>819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讐命の我突 モルドレッド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blue</v>
      </c>
      <c r="L4" s="7" t="str">
        <f>VLOOKUP(B4,[1]characters!$A:$K,11,FALSE)</f>
        <v>technical</v>
      </c>
      <c r="M4" s="7" t="str">
        <f>VLOOKUP(B4,[1]characters!$A:$M,13,FALSE)</f>
        <v>human</v>
      </c>
      <c r="N4" s="7" t="str">
        <f>VLOOKUP(B4,[1]characters!$A:$G,7,FALSE)</f>
        <v>男性</v>
      </c>
      <c r="O4" s="39">
        <v>10</v>
      </c>
      <c r="P4" s="40">
        <f>O4/SUM(O:O)</f>
        <v>6.6666666666666666E-2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input_596103!A$2</f>
        <v>596103</v>
      </c>
      <c r="B5" s="105">
        <v>825</v>
      </c>
      <c r="C5" s="7" t="str">
        <f t="shared" si="0"/>
        <v>PremiumSS6R5onlycolor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 t="s">
        <v>35</v>
      </c>
      <c r="H5" s="7" t="str">
        <f>VLOOKUP(B5,[1]characters!$A:$C,3,FALSE)</f>
        <v>彩愛なる豊穣妃神 フレイヤ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blue</v>
      </c>
      <c r="L5" s="7" t="str">
        <f>VLOOKUP(B5,[1]characters!$A:$K,11,FALSE)</f>
        <v>heal</v>
      </c>
      <c r="M5" s="7" t="str">
        <f>VLOOKUP(B5,[1]characters!$A:$M,13,FALSE)</f>
        <v>animal</v>
      </c>
      <c r="N5" s="7" t="str">
        <f>VLOOKUP(B5,[1]characters!$A:$G,7,FALSE)</f>
        <v>男性</v>
      </c>
      <c r="O5" s="39">
        <v>10</v>
      </c>
      <c r="P5" s="40">
        <f>O5/SUM(O:O)</f>
        <v>6.6666666666666666E-2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s="12" customFormat="1" ht="21" customHeight="1" thickBot="1" x14ac:dyDescent="0.2">
      <c r="A6" s="2" t="str">
        <f ca="1">input_596103!A$2</f>
        <v>596103</v>
      </c>
      <c r="B6" s="105">
        <v>835</v>
      </c>
      <c r="C6" s="7" t="str">
        <f t="shared" si="0"/>
        <v>PremiumSS6R5only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流奏の鳳楽神 サラスヴァティ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男性</v>
      </c>
      <c r="O6" s="39">
        <v>10</v>
      </c>
      <c r="P6" s="40">
        <f>O6/SUM(O:O)</f>
        <v>6.6666666666666666E-2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input_596103!A$2</f>
        <v>596103</v>
      </c>
      <c r="B7" s="105">
        <v>867</v>
      </c>
      <c r="C7" s="7" t="str">
        <f t="shared" si="0"/>
        <v>PremiumSS6R5only</v>
      </c>
      <c r="D7" s="7" t="str">
        <f t="shared" si="1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華麗なる作戦 白雪姫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39">
        <v>10</v>
      </c>
      <c r="P7" s="40">
        <f>O7/SUM(O:O)</f>
        <v>6.6666666666666666E-2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input_596103!A$2</f>
        <v>596103</v>
      </c>
      <c r="B8" s="105">
        <v>942</v>
      </c>
      <c r="C8" s="7" t="str">
        <f t="shared" si="0"/>
        <v>PremiumSS6R5only</v>
      </c>
      <c r="D8" s="7" t="str">
        <f t="shared" si="1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華戯たる傲妃 アントワネット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blue</v>
      </c>
      <c r="L8" s="7" t="str">
        <f>VLOOKUP(B8,[1]characters!$A:$K,11,FALSE)</f>
        <v>technical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v>10</v>
      </c>
      <c r="P8" s="40">
        <f>O8/SUM(O:O)</f>
        <v>6.6666666666666666E-2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input_596103!A$2</f>
        <v>596103</v>
      </c>
      <c r="B9" s="105">
        <v>964</v>
      </c>
      <c r="C9" s="7" t="str">
        <f t="shared" si="0"/>
        <v>PremiumSS6R5only</v>
      </c>
      <c r="D9" s="7" t="str">
        <f t="shared" si="1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海破雨散の海龍 リヴァイアサン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男性</v>
      </c>
      <c r="O9" s="39">
        <v>10</v>
      </c>
      <c r="P9" s="40">
        <f>O9/SUM(O:O)</f>
        <v>6.6666666666666666E-2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input_596103!A$2</f>
        <v>596103</v>
      </c>
      <c r="B10" s="105">
        <v>968</v>
      </c>
      <c r="C10" s="7" t="str">
        <f t="shared" si="0"/>
        <v>PremiumSS6R5only</v>
      </c>
      <c r="D10" s="7" t="str">
        <f t="shared" si="1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夢謀の愚幻者 フール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blue</v>
      </c>
      <c r="L10" s="7" t="str">
        <f>VLOOKUP(B10,[1]characters!$A:$K,11,FALSE)</f>
        <v>technical</v>
      </c>
      <c r="M10" s="7" t="str">
        <f>VLOOKUP(B10,[1]characters!$A:$M,13,FALSE)</f>
        <v>god</v>
      </c>
      <c r="N10" s="7" t="str">
        <f>VLOOKUP(B10,[1]characters!$A:$G,7,FALSE)</f>
        <v>男性</v>
      </c>
      <c r="O10" s="39">
        <v>10</v>
      </c>
      <c r="P10" s="40">
        <f>O10/SUM(O:O)</f>
        <v>6.6666666666666666E-2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input_596103!A$2</f>
        <v>596103</v>
      </c>
      <c r="B11" s="105">
        <v>1032</v>
      </c>
      <c r="C11" s="7" t="str">
        <f t="shared" si="0"/>
        <v>PremiumSS6R5only</v>
      </c>
      <c r="D11" s="7" t="str">
        <f t="shared" si="1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彩気煥発の創作人 紫式部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39">
        <v>10</v>
      </c>
      <c r="P11" s="40">
        <f>O11/SUM(O:O)</f>
        <v>6.6666666666666666E-2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input_596103!A$2</f>
        <v>596103</v>
      </c>
      <c r="B12" s="105">
        <v>1142</v>
      </c>
      <c r="C12" s="7" t="str">
        <f t="shared" si="0"/>
        <v>PremiumSS6R5only</v>
      </c>
      <c r="D12" s="7" t="str">
        <f t="shared" si="1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蒼明な機鋼士 月英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blue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不明</v>
      </c>
      <c r="O12" s="39">
        <v>10</v>
      </c>
      <c r="P12" s="40">
        <f>O12/SUM(O:O)</f>
        <v>6.6666666666666666E-2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input_596103!A$2</f>
        <v>596103</v>
      </c>
      <c r="B13" s="105">
        <v>1156</v>
      </c>
      <c r="C13" s="7" t="str">
        <f t="shared" si="0"/>
        <v>PremiumSS6R5only</v>
      </c>
      <c r="D13" s="7" t="str">
        <f t="shared" si="1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麗逆の武操神 ドゥルガー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god</v>
      </c>
      <c r="N13" s="7" t="str">
        <f>VLOOKUP(B13,[1]characters!$A:$G,7,FALSE)</f>
        <v>不明</v>
      </c>
      <c r="O13" s="39">
        <v>10</v>
      </c>
      <c r="P13" s="40">
        <f>O13/SUM(O:O)</f>
        <v>6.6666666666666666E-2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input_596103!A$2</f>
        <v>596103</v>
      </c>
      <c r="B14" s="110">
        <v>1213</v>
      </c>
      <c r="C14" s="7" t="str">
        <f t="shared" si="0"/>
        <v>PremiumSS6R5onlycolor</v>
      </c>
      <c r="D14" s="7" t="str">
        <f t="shared" si="1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能洪の永地神 クロノス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technical</v>
      </c>
      <c r="M14" s="7" t="str">
        <f>VLOOKUP(B14,[1]characters!$A:$M,13,FALSE)</f>
        <v>god</v>
      </c>
      <c r="N14" s="7">
        <f>VLOOKUP(B14,[1]characters!$A:$G,7,FALSE)</f>
        <v>0</v>
      </c>
      <c r="O14" s="39">
        <v>10</v>
      </c>
      <c r="P14" s="40">
        <f>O14/SUM(O:O)</f>
        <v>6.6666666666666666E-2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input_596103!A$2</f>
        <v>596103</v>
      </c>
      <c r="B15" s="110">
        <v>1265</v>
      </c>
      <c r="C15" s="7" t="str">
        <f t="shared" ref="C15:C16" si="2">D15&amp;J15&amp;E15&amp;F15&amp;G15</f>
        <v>PremiumSS6R5only</v>
      </c>
      <c r="D15" s="7" t="str">
        <f t="shared" ref="D15:D16" si="3">IF(OR(I15="PremiumSS",I15="PremiumSSw"),"PremiumSS",IF(I15="PremiumSSS",I15,IF(I15="PremiumW",IF(J15=5,"premium",I15),"Premium")))</f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静観する世限者 ウルズ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blue</v>
      </c>
      <c r="L15" s="7" t="str">
        <f>VLOOKUP(B15,[1]characters!$A:$K,11,FALSE)</f>
        <v>heal</v>
      </c>
      <c r="M15" s="7" t="str">
        <f>VLOOKUP(B15,[1]characters!$A:$M,13,FALSE)</f>
        <v>god</v>
      </c>
      <c r="N15" s="7">
        <f>VLOOKUP(B15,[1]characters!$A:$G,7,FALSE)</f>
        <v>0</v>
      </c>
      <c r="O15" s="39">
        <v>10</v>
      </c>
      <c r="P15" s="40">
        <f>O15/SUM(O:O)</f>
        <v>6.6666666666666666E-2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input_596103!A$2</f>
        <v>596103</v>
      </c>
      <c r="B16" s="105">
        <v>1337</v>
      </c>
      <c r="C16" s="7" t="str">
        <f t="shared" si="2"/>
        <v>PremiumSS6R5only</v>
      </c>
      <c r="D16" s="7" t="str">
        <f t="shared" si="3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成命の綜父神 イザナギ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>
        <f>VLOOKUP(B16,[1]characters!$A:$G,7,FALSE)</f>
        <v>0</v>
      </c>
      <c r="O16" s="39">
        <v>10</v>
      </c>
      <c r="P16" s="40">
        <f>O16/SUM(O:O)</f>
        <v>6.6666666666666666E-2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</sheetData>
  <autoFilter ref="A1:V16"/>
  <phoneticPr fontId="13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topLeftCell="A11"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596104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8">
        <v>1393</v>
      </c>
      <c r="M3" s="31" t="str">
        <f>VLOOKUP(L3,[1]characters!$A:$C,3,FALSE)</f>
        <v>ライプニッツ</v>
      </c>
      <c r="N3" s="54">
        <v>1.2E-2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VLOOKUP(L3,tables_596104!B:C,2,FALSE)</f>
        <v>PremiumSSS5R3lesscolor</v>
      </c>
      <c r="R3" s="53">
        <f t="shared" ref="R3:R20" si="1">N3*A$51</f>
        <v>65664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VLOOKUP(L4,tables_596104!B:C,2,FALSE)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3.5087719298245622E-4</v>
      </c>
      <c r="F5">
        <f>(COUNTIF(tables_596104!C:C,input_596104!A28)+COUNTIF(tables_596104!C:C,input_596104!A29))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VLOOKUP(L5,tables_596104!B:C,2,FALSE)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(COUNTIF(tables_596104!C:C,input_596104!A43)+COUNTIF(tables_596104!C:C,input_596104!A44))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VLOOKUP(L6,tables_596104!B:C,2,FALSE)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5.2111111111111108E-3</v>
      </c>
      <c r="F7">
        <f>(COUNTIF(tables_596104!C:C,input_596104!A26)+COUNTIF(tables_596104!C:C,input_596104!A18)+COUNTIF(tables_596104!C:C,input_596104!A20)+COUNTIF(tables_596104!C:C,input_596104!A22))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VLOOKUP(L7,tables_596104!B:C,2,FALSE)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2.2511999999999997E-2</v>
      </c>
      <c r="F8">
        <f>(COUNTIF(tables_596104!C:C,input_596104!A40)+COUNTIF(tables_596104!C:C,input_596104!A33)+COUNTIF(tables_596104!C:C,input_596104!A35)+COUNTIF(tables_596104!C:C,input_596104!A37))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VLOOKUP(L8,tables_596104!B:C,2,FALSE)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VLOOKUP(L9,tables_596104!B:C,2,FALSE)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0.93799999999999994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VLOOKUP(L10,tables_596104!B:C,2,FALSE)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VLOOKUP(L11,tables_596104!B:C,2,FALSE)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1.2E-2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VLOOKUP(L12,tables_596104!B:C,2,FALSE)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VLOOKUP(L13,tables_596104!B:C,2,FALSE)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VLOOKUP(L14,tables_596104!B:C,2,FALSE)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VLOOKUP(L15,tables_596104!B:C,2,FALSE)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VLOOKUP(L16,tables_596104!B:C,2,FALSE)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6" si="2">SUMIF(Q:Q,A17,N:N)</f>
        <v>0</v>
      </c>
      <c r="D17" s="66">
        <f t="shared" ref="D17:D47" si="3">B17-C17</f>
        <v>0</v>
      </c>
      <c r="E17">
        <f>COUNTIF(tables_596104!C:C,input_596104!A17)-COUNTIF(Q:Q,A17)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VLOOKUP(L17,tables_596104!B:C,2,FALSE)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8.2966666666666744E-2</v>
      </c>
      <c r="C18" s="75">
        <f t="shared" si="2"/>
        <v>0</v>
      </c>
      <c r="D18" s="66">
        <f t="shared" si="3"/>
        <v>8.2966666666666744E-2</v>
      </c>
      <c r="E18">
        <f>COUNTIF(tables_596104!C:C,input_596104!A18)-COUNTIF(Q:Q,A18)</f>
        <v>15</v>
      </c>
      <c r="F18" s="37">
        <f>IFERROR(B18/E18,0)</f>
        <v>5.531111111111116E-3</v>
      </c>
      <c r="G18">
        <f t="shared" si="4"/>
        <v>453993.60000000044</v>
      </c>
      <c r="H18">
        <f t="shared" si="5"/>
        <v>30266.240000000002</v>
      </c>
      <c r="I18">
        <f t="shared" si="6"/>
        <v>0.24000000000160071</v>
      </c>
      <c r="J18">
        <f t="shared" si="7"/>
        <v>4.1666666666388767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VLOOKUP(L18,tables_596104!B:C,2,FALSE)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COUNTIF(tables_596104!C:C,input_596104!A19)-COUNTIF(Q:Q,A19)</f>
        <v>38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VLOOKUP(L19,tables_596104!B:C,2,FALSE)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0.17821999999999999</v>
      </c>
      <c r="C20" s="75">
        <f t="shared" si="2"/>
        <v>0</v>
      </c>
      <c r="D20" s="66">
        <f t="shared" si="3"/>
        <v>0.17821999999999999</v>
      </c>
      <c r="E20">
        <f>COUNTIF(tables_596104!C:C,input_596104!A20)-COUNTIF(Q:Q,A20)</f>
        <v>38</v>
      </c>
      <c r="F20" s="37">
        <f t="shared" si="8"/>
        <v>4.6899999999999997E-3</v>
      </c>
      <c r="G20">
        <f t="shared" si="4"/>
        <v>975219.84</v>
      </c>
      <c r="H20">
        <f t="shared" si="5"/>
        <v>25663.68</v>
      </c>
      <c r="I20">
        <f t="shared" si="6"/>
        <v>0.68000000000029104</v>
      </c>
      <c r="J20">
        <f t="shared" si="7"/>
        <v>1.4705882352934883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VLOOKUP(L20,tables_596104!B:C,2,FALSE)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1.9802222222222221E-2</v>
      </c>
      <c r="C21" s="75">
        <f t="shared" si="2"/>
        <v>0</v>
      </c>
      <c r="D21" s="66">
        <f t="shared" si="3"/>
        <v>1.9802222222222221E-2</v>
      </c>
      <c r="E21">
        <f>COUNTIF(tables_596104!C:C,input_596104!A21)-COUNTIF(Q:Q,A21)</f>
        <v>38</v>
      </c>
      <c r="F21" s="37">
        <f t="shared" si="8"/>
        <v>5.2111111111111108E-4</v>
      </c>
      <c r="G21">
        <f t="shared" si="4"/>
        <v>108357.75999999999</v>
      </c>
      <c r="H21">
        <f t="shared" si="5"/>
        <v>2851.52</v>
      </c>
      <c r="I21">
        <f t="shared" si="6"/>
        <v>0.51999999999998181</v>
      </c>
      <c r="J21">
        <f t="shared" si="7"/>
        <v>1.9230769230769904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7.7795964912280691E-2</v>
      </c>
      <c r="C22" s="75">
        <f t="shared" si="2"/>
        <v>0</v>
      </c>
      <c r="D22" s="66">
        <f t="shared" si="3"/>
        <v>7.7795964912280691E-2</v>
      </c>
      <c r="E22">
        <f>COUNTIF(tables_596104!C:C,input_596104!A22)-COUNTIF(Q:Q,A22)</f>
        <v>16</v>
      </c>
      <c r="F22" s="37">
        <f t="shared" si="8"/>
        <v>4.8622478070175432E-3</v>
      </c>
      <c r="G22">
        <f t="shared" si="4"/>
        <v>425699.51999999996</v>
      </c>
      <c r="H22">
        <f t="shared" si="5"/>
        <v>26606.22</v>
      </c>
      <c r="I22">
        <f t="shared" si="6"/>
        <v>0.22000000000116415</v>
      </c>
      <c r="J22">
        <f t="shared" si="7"/>
        <v>4.5454545454304931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5.5818128654970822E-3</v>
      </c>
      <c r="C23" s="75">
        <f t="shared" si="2"/>
        <v>0</v>
      </c>
      <c r="D23" s="66">
        <f t="shared" si="3"/>
        <v>5.5818128654970822E-3</v>
      </c>
      <c r="E23">
        <f>COUNTIF(tables_596104!C:C,input_596104!A23)-COUNTIF(Q:Q,A23)</f>
        <v>20</v>
      </c>
      <c r="F23" s="37">
        <f t="shared" si="8"/>
        <v>2.7909064327485413E-4</v>
      </c>
      <c r="G23">
        <f t="shared" si="4"/>
        <v>30543.680000000033</v>
      </c>
      <c r="H23">
        <f t="shared" si="5"/>
        <v>1527.184</v>
      </c>
      <c r="I23">
        <f t="shared" si="6"/>
        <v>0.18399999999996908</v>
      </c>
      <c r="J23">
        <f t="shared" si="7"/>
        <v>5.4347826086965654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COUNTIF(tables_596104!C:C,input_596104!A24)-COUNTIF(Q:Q,A24)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1.4069999999999999E-2</v>
      </c>
      <c r="C25" s="75">
        <f t="shared" si="2"/>
        <v>0</v>
      </c>
      <c r="D25" s="66">
        <f t="shared" si="3"/>
        <v>1.4069999999999999E-2</v>
      </c>
      <c r="E25">
        <f>COUNTIF(tables_596104!C:C,input_596104!A25)-COUNTIF(Q:Q,A25)</f>
        <v>3</v>
      </c>
      <c r="F25" s="37">
        <f t="shared" si="8"/>
        <v>4.6899999999999997E-3</v>
      </c>
      <c r="G25">
        <f t="shared" si="4"/>
        <v>76991.039999999994</v>
      </c>
      <c r="H25">
        <f t="shared" si="5"/>
        <v>25663.68</v>
      </c>
      <c r="I25">
        <f t="shared" si="6"/>
        <v>0.68000000000029104</v>
      </c>
      <c r="J25">
        <f t="shared" si="7"/>
        <v>1.4705882352934883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1.5633333333333332E-3</v>
      </c>
      <c r="C26" s="75">
        <f t="shared" si="2"/>
        <v>0</v>
      </c>
      <c r="D26" s="66">
        <f t="shared" si="3"/>
        <v>1.5633333333333332E-3</v>
      </c>
      <c r="E26">
        <f>COUNTIF(tables_596104!C:C,input_596104!A26)-COUNTIF(Q:Q,A26)</f>
        <v>3</v>
      </c>
      <c r="F26" s="37">
        <f t="shared" si="8"/>
        <v>5.2111111111111108E-4</v>
      </c>
      <c r="G26">
        <f t="shared" si="4"/>
        <v>8554.56</v>
      </c>
      <c r="H26">
        <f t="shared" si="5"/>
        <v>2851.52</v>
      </c>
      <c r="I26">
        <f t="shared" si="6"/>
        <v>0.51999999999998181</v>
      </c>
      <c r="J26">
        <f t="shared" si="7"/>
        <v>1.9230769230769904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6.9473684210526335E-3</v>
      </c>
      <c r="C27" s="75">
        <f t="shared" si="2"/>
        <v>0</v>
      </c>
      <c r="D27" s="66">
        <f t="shared" si="3"/>
        <v>6.9473684210526335E-3</v>
      </c>
      <c r="E27">
        <f>COUNTIF(tables_596104!C:C,input_596104!A27)-COUNTIF(Q:Q,A27)</f>
        <v>22</v>
      </c>
      <c r="F27" s="37">
        <f>IFERROR(B27/E27,0)</f>
        <v>3.1578947368421064E-4</v>
      </c>
      <c r="G27">
        <f t="shared" si="4"/>
        <v>38016.000000000007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7.7192982456140372E-4</v>
      </c>
      <c r="C28" s="75">
        <f t="shared" si="2"/>
        <v>0</v>
      </c>
      <c r="D28" s="66">
        <f t="shared" si="3"/>
        <v>7.7192982456140372E-4</v>
      </c>
      <c r="E28">
        <f>COUNTIF(tables_596104!C:C,input_596104!A28)-COUNTIF(Q:Q,A28)</f>
        <v>22</v>
      </c>
      <c r="F28" s="37">
        <f t="shared" si="8"/>
        <v>3.5087719298245625E-5</v>
      </c>
      <c r="G28">
        <f t="shared" si="4"/>
        <v>4224.0000000000009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1.2280701754385968E-2</v>
      </c>
      <c r="C29" s="75">
        <f t="shared" si="2"/>
        <v>0</v>
      </c>
      <c r="D29" s="66">
        <f t="shared" si="3"/>
        <v>1.2280701754385968E-2</v>
      </c>
      <c r="E29">
        <f>COUNTIF(tables_596104!C:C,input_596104!A29)-COUNTIF(Q:Q,A29)</f>
        <v>35</v>
      </c>
      <c r="F29" s="37">
        <f t="shared" si="8"/>
        <v>3.5087719298245622E-4</v>
      </c>
      <c r="G29">
        <f t="shared" si="4"/>
        <v>67200.000000000015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COUNTIF(tables_596104!C:C,input_596104!A30)-COUNTIF(Q:Q,A30)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COUNTIF(tables_596104!C:C,input_596104!A31)-COUNTIF(Q:Q,A31)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COUNTIF(tables_596104!C:C,input_596104!A32)-COUNTIF(Q:Q,A32)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0.12428640000000007</v>
      </c>
      <c r="C33" s="75">
        <f t="shared" si="2"/>
        <v>0</v>
      </c>
      <c r="D33" s="66">
        <f t="shared" si="3"/>
        <v>0.12428640000000007</v>
      </c>
      <c r="E33">
        <f>COUNTIF(tables_596104!C:C,input_596104!A33)-COUNTIF(Q:Q,A33)</f>
        <v>5</v>
      </c>
      <c r="F33" s="37">
        <f>IFERROR(B33/E33,0)</f>
        <v>2.4857280000000016E-2</v>
      </c>
      <c r="G33">
        <f t="shared" si="4"/>
        <v>680095.18080000044</v>
      </c>
      <c r="H33">
        <f t="shared" si="5"/>
        <v>136019.03615999999</v>
      </c>
      <c r="I33">
        <f t="shared" si="6"/>
        <v>3.615999998874031E-2</v>
      </c>
      <c r="J33">
        <f t="shared" si="7"/>
        <v>27.654867265248484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COUNTIF(tables_596104!C:C,input_596104!A34)-COUNTIF(Q:Q,A34)</f>
        <v>14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0.28365119999999994</v>
      </c>
      <c r="C35" s="75">
        <f t="shared" si="2"/>
        <v>0</v>
      </c>
      <c r="D35" s="66">
        <f t="shared" si="3"/>
        <v>0.28365119999999994</v>
      </c>
      <c r="E35">
        <f>COUNTIF(tables_596104!C:C,input_596104!A35)-COUNTIF(Q:Q,A35)</f>
        <v>14</v>
      </c>
      <c r="F35" s="37">
        <f t="shared" si="9"/>
        <v>2.0260799999999995E-2</v>
      </c>
      <c r="G35">
        <f t="shared" si="4"/>
        <v>1552139.3663999997</v>
      </c>
      <c r="H35">
        <f t="shared" si="5"/>
        <v>110867.09759999999</v>
      </c>
      <c r="I35">
        <f t="shared" si="6"/>
        <v>9.759999999369029E-2</v>
      </c>
      <c r="J35">
        <f t="shared" si="7"/>
        <v>10.245901640006647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1.4990400000000001E-2</v>
      </c>
      <c r="C36" s="75">
        <f t="shared" si="2"/>
        <v>0</v>
      </c>
      <c r="D36" s="66">
        <f t="shared" si="3"/>
        <v>1.4990400000000001E-2</v>
      </c>
      <c r="E36">
        <f>COUNTIF(tables_596104!C:C,input_596104!A36)-COUNTIF(Q:Q,A36)</f>
        <v>14</v>
      </c>
      <c r="F36" s="37">
        <f t="shared" si="9"/>
        <v>1.0707428571428573E-3</v>
      </c>
      <c r="G36">
        <f t="shared" si="4"/>
        <v>82027.468800000002</v>
      </c>
      <c r="H36">
        <f t="shared" si="5"/>
        <v>5859.10491</v>
      </c>
      <c r="I36">
        <f t="shared" si="6"/>
        <v>0.10491000000001804</v>
      </c>
      <c r="J36">
        <f t="shared" si="7"/>
        <v>9.5319797922012004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0.10280159999999999</v>
      </c>
      <c r="C37" s="75">
        <f t="shared" si="2"/>
        <v>0</v>
      </c>
      <c r="D37" s="66">
        <f t="shared" si="3"/>
        <v>0.10280159999999999</v>
      </c>
      <c r="E37">
        <f>COUNTIF(tables_596104!C:C,input_596104!A37)-COUNTIF(Q:Q,A37)</f>
        <v>5</v>
      </c>
      <c r="F37" s="37">
        <f t="shared" si="9"/>
        <v>2.056032E-2</v>
      </c>
      <c r="G37">
        <f t="shared" si="4"/>
        <v>562530.35519999999</v>
      </c>
      <c r="H37">
        <f t="shared" si="5"/>
        <v>112506.07104</v>
      </c>
      <c r="I37">
        <f t="shared" si="6"/>
        <v>7.1039999995264225E-2</v>
      </c>
      <c r="J37">
        <f t="shared" si="7"/>
        <v>14.07657657751497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9.7583999999999987E-3</v>
      </c>
      <c r="C38" s="75">
        <f t="shared" si="2"/>
        <v>0</v>
      </c>
      <c r="D38" s="66">
        <f t="shared" si="3"/>
        <v>9.7583999999999987E-3</v>
      </c>
      <c r="E38">
        <f>COUNTIF(tables_596104!C:C,input_596104!A38)-COUNTIF(Q:Q,A38)</f>
        <v>7</v>
      </c>
      <c r="F38" s="37">
        <f t="shared" si="9"/>
        <v>1.3940571428571428E-3</v>
      </c>
      <c r="G38">
        <f t="shared" si="4"/>
        <v>53397.964799999994</v>
      </c>
      <c r="H38">
        <f t="shared" si="5"/>
        <v>7628.2806899999996</v>
      </c>
      <c r="I38">
        <f t="shared" si="6"/>
        <v>0.28068999999959487</v>
      </c>
      <c r="J38">
        <f t="shared" si="7"/>
        <v>3.5626491859398031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COUNTIF(tables_596104!C:C,input_596104!A39)-COUNTIF(Q:Q,A39)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2.0260799999999999E-2</v>
      </c>
      <c r="C40" s="75">
        <f t="shared" si="2"/>
        <v>0</v>
      </c>
      <c r="D40" s="66">
        <f t="shared" si="3"/>
        <v>2.0260799999999999E-2</v>
      </c>
      <c r="E40">
        <f>COUNTIF(tables_596104!C:C,input_596104!A40)-COUNTIF(Q:Q,A40)</f>
        <v>1</v>
      </c>
      <c r="F40" s="37">
        <f t="shared" si="9"/>
        <v>2.0260799999999999E-2</v>
      </c>
      <c r="G40">
        <f t="shared" si="4"/>
        <v>110867.09759999999</v>
      </c>
      <c r="H40">
        <f t="shared" si="5"/>
        <v>110867.09759999999</v>
      </c>
      <c r="I40">
        <f t="shared" si="6"/>
        <v>9.759999999369029E-2</v>
      </c>
      <c r="J40">
        <f t="shared" si="7"/>
        <v>10.245901640006647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2.2511999999999996E-3</v>
      </c>
      <c r="C41" s="75">
        <f t="shared" si="2"/>
        <v>0</v>
      </c>
      <c r="D41" s="66">
        <f t="shared" si="3"/>
        <v>2.2511999999999996E-3</v>
      </c>
      <c r="E41">
        <f>COUNTIF(tables_596104!C:C,input_596104!A41)-COUNTIF(Q:Q,A41)</f>
        <v>1</v>
      </c>
      <c r="F41" s="37">
        <f t="shared" si="9"/>
        <v>2.2511999999999996E-3</v>
      </c>
      <c r="G41">
        <f t="shared" si="4"/>
        <v>12318.566399999998</v>
      </c>
      <c r="H41">
        <f t="shared" si="5"/>
        <v>12318.5664</v>
      </c>
      <c r="I41">
        <f t="shared" si="6"/>
        <v>0.56639999999970314</v>
      </c>
      <c r="J41">
        <f t="shared" si="7"/>
        <v>1.7655367231647672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8.9999999999999993E-3</v>
      </c>
      <c r="C42" s="75">
        <f t="shared" si="2"/>
        <v>0</v>
      </c>
      <c r="D42" s="66">
        <f t="shared" si="3"/>
        <v>8.9999999999999993E-3</v>
      </c>
      <c r="E42">
        <f>COUNTIF(tables_596104!C:C,input_596104!A42)-COUNTIF(Q:Q,A42)</f>
        <v>6</v>
      </c>
      <c r="F42" s="37">
        <f>IFERROR(B42/E42,0)</f>
        <v>1.4999999999999998E-3</v>
      </c>
      <c r="G42">
        <f t="shared" si="4"/>
        <v>49247.999999999993</v>
      </c>
      <c r="H42">
        <f t="shared" si="5"/>
        <v>8208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9.999999999999998E-4</v>
      </c>
      <c r="C43" s="75">
        <f t="shared" si="2"/>
        <v>0</v>
      </c>
      <c r="D43" s="66">
        <f t="shared" si="3"/>
        <v>9.999999999999998E-4</v>
      </c>
      <c r="E43">
        <f>COUNTIF(tables_596104!C:C,input_596104!A43)-COUNTIF(Q:Q,A43)</f>
        <v>6</v>
      </c>
      <c r="F43" s="37">
        <f t="shared" ref="F43:F46" si="10">IFERROR(B43/E43,0)</f>
        <v>1.6666666666666663E-4</v>
      </c>
      <c r="G43">
        <f t="shared" si="4"/>
        <v>5471.9999999999991</v>
      </c>
      <c r="H43">
        <f t="shared" si="5"/>
        <v>912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1.9999999999999997E-2</v>
      </c>
      <c r="C44" s="75">
        <f t="shared" si="2"/>
        <v>0</v>
      </c>
      <c r="D44" s="66">
        <f t="shared" si="3"/>
        <v>1.9999999999999997E-2</v>
      </c>
      <c r="E44">
        <f>COUNTIF(tables_596104!C:C,input_596104!A44)-COUNTIF(Q:Q,A44)</f>
        <v>12</v>
      </c>
      <c r="F44" s="37">
        <f t="shared" si="10"/>
        <v>1.6666666666666663E-3</v>
      </c>
      <c r="G44">
        <f t="shared" si="4"/>
        <v>109439.99999999999</v>
      </c>
      <c r="H44">
        <f t="shared" si="5"/>
        <v>9120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COUNTIF(tables_596104!C:C,input_596104!A45)-COUNTIF(Q:Q,A45)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1.2E-2</v>
      </c>
      <c r="C46" s="75">
        <f t="shared" si="2"/>
        <v>1.2E-2</v>
      </c>
      <c r="D46" s="66">
        <f t="shared" si="3"/>
        <v>0</v>
      </c>
      <c r="E46">
        <f>COUNTIF(tables_596104!C:C,input_596104!A46)-COUNTIF(Q:Q,A46)</f>
        <v>0</v>
      </c>
      <c r="F46" s="37">
        <f t="shared" si="10"/>
        <v>0</v>
      </c>
      <c r="G46">
        <f t="shared" si="4"/>
        <v>65664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1.2E-2</v>
      </c>
      <c r="D47" s="36">
        <f t="shared" si="3"/>
        <v>0.98799999999999999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5472000</v>
      </c>
      <c r="H51" s="68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SUMIF(tables_596104!C:C,input_596104!A55,tables_596104!O:O)</f>
        <v>0</v>
      </c>
      <c r="C55" s="46">
        <f t="shared" ref="C55:C61" ca="1" si="11">B55/B$62</f>
        <v>0</v>
      </c>
      <c r="E55">
        <v>3</v>
      </c>
      <c r="F55">
        <f ca="1">SUMIF(tables_596104!J:J,input_596104!E55,tables_596104!O:O)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SUMIF(tables_596104!C:C,input_596104!A56,tables_596104!O:O)</f>
        <v>975219.84000000078</v>
      </c>
      <c r="C56" s="46">
        <f t="shared" ca="1" si="11"/>
        <v>0.86623254068865163</v>
      </c>
      <c r="E56">
        <v>4</v>
      </c>
      <c r="F56">
        <f ca="1">SUMIF(tables_596104!J:J,input_596104!E56,tables_596104!O:O)</f>
        <v>4924799.9999999991</v>
      </c>
      <c r="G56">
        <f ca="1">F56/A51</f>
        <v>0.8999999999999998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SUMIF(tables_596104!C:C,input_596104!A57,tables_596104!O:O)</f>
        <v>38016</v>
      </c>
      <c r="C57" s="46">
        <f t="shared" ca="1" si="11"/>
        <v>3.3767459311348461E-2</v>
      </c>
      <c r="E57">
        <v>5</v>
      </c>
      <c r="F57">
        <f ca="1">SUMIF(tables_596104!J:J,input_596104!E57,tables_596104!O:O)</f>
        <v>547199.99997</v>
      </c>
      <c r="G57">
        <f ca="1">F57/A51</f>
        <v>9.9999999994517544E-2</v>
      </c>
      <c r="H57" s="47">
        <f>B21+B23+B26+B28+B29+B31+B36+B38+B41+B43+B44+B46</f>
        <v>9.9999999999999992E-2</v>
      </c>
    </row>
    <row r="58" spans="1:8" x14ac:dyDescent="0.15">
      <c r="A58" s="27" t="s">
        <v>94</v>
      </c>
      <c r="B58">
        <f>SUMIF(tables_596104!C:C,input_596104!A58,tables_596104!O:O)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SUMIF(tables_596104!C:C,input_596104!A59,tables_596104!O:O)</f>
        <v>108357.76000000002</v>
      </c>
      <c r="C59" s="46">
        <f t="shared" ca="1" si="11"/>
        <v>9.6248060076516789E-2</v>
      </c>
      <c r="E59" t="s">
        <v>37</v>
      </c>
      <c r="F59" s="47"/>
    </row>
    <row r="60" spans="1:8" x14ac:dyDescent="0.15">
      <c r="A60" s="27" t="s">
        <v>91</v>
      </c>
      <c r="B60">
        <f ca="1">SUMIF(tables_596104!C:C,input_596104!A60,tables_596104!O:O)</f>
        <v>4224</v>
      </c>
      <c r="C60" s="46">
        <f t="shared" ca="1" si="11"/>
        <v>3.751939923483162E-3</v>
      </c>
      <c r="E60" t="s">
        <v>190</v>
      </c>
      <c r="F60" s="47">
        <f ca="1">SUMIF(tables_596104!I:I,input_596104!E60,tables_596104!P:P)</f>
        <v>0.21115754352820418</v>
      </c>
    </row>
    <row r="61" spans="1:8" x14ac:dyDescent="0.15">
      <c r="A61" s="27" t="s">
        <v>92</v>
      </c>
      <c r="B61">
        <f>SUMIF(tables_596104!C:C,input_596104!A61,tables_596104!O:O)</f>
        <v>0</v>
      </c>
      <c r="C61" s="46">
        <f t="shared" ca="1" si="11"/>
        <v>0</v>
      </c>
      <c r="E61" t="s">
        <v>191</v>
      </c>
      <c r="F61" s="47">
        <f ca="1">SUMIF(tables_596104!I:I,input_596104!E61,tables_596104!P:P)</f>
        <v>0.18600483809312476</v>
      </c>
    </row>
    <row r="62" spans="1:8" x14ac:dyDescent="0.15">
      <c r="A62" s="33" t="s">
        <v>42</v>
      </c>
      <c r="B62">
        <f ca="1">SUM(B55:B61)</f>
        <v>1125817.6000000008</v>
      </c>
      <c r="C62" s="47">
        <f ca="1">SUM(C55:C61)</f>
        <v>1</v>
      </c>
      <c r="E62" t="s">
        <v>192</v>
      </c>
      <c r="F62" s="47">
        <f ca="1">SUMIF(tables_596104!I:I,input_596104!E62,tables_596104!P:P)</f>
        <v>0.54083761837832944</v>
      </c>
    </row>
    <row r="63" spans="1:8" x14ac:dyDescent="0.15">
      <c r="E63" t="s">
        <v>193</v>
      </c>
      <c r="F63" s="103">
        <f ca="1">SUMIF(tables_596104!I:I,input_596104!E63,tables_596104!P:P)</f>
        <v>4.2543859649355954E-2</v>
      </c>
      <c r="G63" s="84"/>
    </row>
    <row r="64" spans="1:8" x14ac:dyDescent="0.15">
      <c r="E64" t="s">
        <v>253</v>
      </c>
      <c r="F64" s="103">
        <f ca="1">SUMIF(tables_596104!I:I,input_596104!E64,tables_596104!P:P)</f>
        <v>7.456140350918062E-3</v>
      </c>
    </row>
    <row r="65" spans="5:6" x14ac:dyDescent="0.15">
      <c r="E65" t="s">
        <v>251</v>
      </c>
      <c r="F65" s="103">
        <f ca="1">SUMIF(tables_596104!I:I,input_596104!E65,tables_596104!P:P)</f>
        <v>1.2000000000065772E-2</v>
      </c>
    </row>
  </sheetData>
  <phoneticPr fontId="13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61"/>
  <sheetViews>
    <sheetView showGridLines="0" zoomScale="92" zoomScaleNormal="75" zoomScalePageLayoutView="75" workbookViewId="0">
      <pane ySplit="1" topLeftCell="A326" activePane="bottomLeft" state="frozen"/>
      <selection activeCell="H44" sqref="H44"/>
      <selection pane="bottomLeft" activeCell="G1" sqref="G1:G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input_596104!A$2</f>
        <v>596104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IFERROR(VLOOKUP(B2,input_596104!L:R,7,FALSE),VLOOKUP(tables_596104!C2,input_596104!A:H,8,FALSE))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input_596104!A$2</f>
        <v>596104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IFERROR(VLOOKUP(B3,input_596104!L:R,7,FALSE),VLOOKUP(tables_596104!C3,input_596104!A:H,8,FALSE))</f>
        <v>30266.240000000002</v>
      </c>
      <c r="P3" s="40">
        <f t="shared" ca="1" si="1"/>
        <v>5.5311111111414277E-3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input_596104!A$2</f>
        <v>596104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IFERROR(VLOOKUP(B4,input_596104!L:R,7,FALSE),VLOOKUP(tables_596104!C4,input_596104!A:H,8,FALSE))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input_596104!A$2</f>
        <v>596104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IFERROR(VLOOKUP(B5,input_596104!L:R,7,FALSE),VLOOKUP(tables_596104!C5,input_596104!A:H,8,FALSE))</f>
        <v>30266.240000000002</v>
      </c>
      <c r="P5" s="40">
        <f t="shared" ca="1" si="1"/>
        <v>5.5311111111414277E-3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input_596104!A$2</f>
        <v>596104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IFERROR(VLOOKUP(B6,input_596104!L:R,7,FALSE),VLOOKUP(tables_596104!C6,input_596104!A:H,8,FALSE))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input_596104!A$2</f>
        <v>596104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IFERROR(VLOOKUP(B7,input_596104!L:R,7,FALSE),VLOOKUP(tables_596104!C7,input_596104!A:H,8,FALSE))</f>
        <v>136019.03615999999</v>
      </c>
      <c r="P7" s="40">
        <f t="shared" ca="1" si="1"/>
        <v>2.4857280000136241E-2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input_596104!A$2</f>
        <v>596104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IFERROR(VLOOKUP(B8,input_596104!L:R,7,FALSE),VLOOKUP(tables_596104!C8,input_596104!A:H,8,FALSE))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input_596104!A$2</f>
        <v>596104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IFERROR(VLOOKUP(B9,input_596104!L:R,7,FALSE),VLOOKUP(tables_596104!C9,input_596104!A:H,8,FALSE))</f>
        <v>30266.240000000002</v>
      </c>
      <c r="P9" s="40">
        <f t="shared" ca="1" si="1"/>
        <v>5.5311111111414277E-3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input_596104!A$2</f>
        <v>596104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IFERROR(VLOOKUP(B10,input_596104!L:R,7,FALSE),VLOOKUP(tables_596104!C10,input_596104!A:H,8,FALSE))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input_596104!A$2</f>
        <v>596104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IFERROR(VLOOKUP(B11,input_596104!L:R,7,FALSE),VLOOKUP(tables_596104!C11,input_596104!A:H,8,FALSE))</f>
        <v>30266.240000000002</v>
      </c>
      <c r="P11" s="40">
        <f t="shared" ca="1" si="1"/>
        <v>5.5311111111414277E-3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input_596104!A$2</f>
        <v>596104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IFERROR(VLOOKUP(B12,input_596104!L:R,7,FALSE),VLOOKUP(tables_596104!C12,input_596104!A:H,8,FALSE))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input_596104!A$2</f>
        <v>596104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IFERROR(VLOOKUP(B13,input_596104!L:R,7,FALSE),VLOOKUP(tables_596104!C13,input_596104!A:H,8,FALSE))</f>
        <v>30266.240000000002</v>
      </c>
      <c r="P13" s="40">
        <f t="shared" ca="1" si="1"/>
        <v>5.5311111111414277E-3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input_596104!A$2</f>
        <v>596104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IFERROR(VLOOKUP(B14,input_596104!L:R,7,FALSE),VLOOKUP(tables_596104!C14,input_596104!A:H,8,FALSE))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input_596104!A$2</f>
        <v>596104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IFERROR(VLOOKUP(B15,input_596104!L:R,7,FALSE),VLOOKUP(tables_596104!C15,input_596104!A:H,8,FALSE))</f>
        <v>136019.03615999999</v>
      </c>
      <c r="P15" s="40">
        <f t="shared" ca="1" si="1"/>
        <v>2.4857280000136241E-2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input_596104!A$2</f>
        <v>596104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IFERROR(VLOOKUP(B16,input_596104!L:R,7,FALSE),VLOOKUP(tables_596104!C16,input_596104!A:H,8,FALSE))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input_596104!A$2</f>
        <v>596104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IFERROR(VLOOKUP(B17,input_596104!L:R,7,FALSE),VLOOKUP(tables_596104!C17,input_596104!A:H,8,FALSE))</f>
        <v>30266.240000000002</v>
      </c>
      <c r="P17" s="40">
        <f t="shared" ca="1" si="1"/>
        <v>5.5311111111414277E-3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input_596104!A$2</f>
        <v>596104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IFERROR(VLOOKUP(B18,input_596104!L:R,7,FALSE),VLOOKUP(tables_596104!C18,input_596104!A:H,8,FALSE))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input_596104!A$2</f>
        <v>596104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IFERROR(VLOOKUP(B19,input_596104!L:R,7,FALSE),VLOOKUP(tables_596104!C19,input_596104!A:H,8,FALSE))</f>
        <v>30266.240000000002</v>
      </c>
      <c r="P19" s="40">
        <f t="shared" ca="1" si="1"/>
        <v>5.5311111111414277E-3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input_596104!A$2</f>
        <v>596104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IFERROR(VLOOKUP(B20,input_596104!L:R,7,FALSE),VLOOKUP(tables_596104!C20,input_596104!A:H,8,FALSE))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input_596104!A$2</f>
        <v>596104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IFERROR(VLOOKUP(B21,input_596104!L:R,7,FALSE),VLOOKUP(tables_596104!C21,input_596104!A:H,8,FALSE))</f>
        <v>30266.240000000002</v>
      </c>
      <c r="P21" s="40">
        <f t="shared" ca="1" si="1"/>
        <v>5.5311111111414277E-3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input_596104!A$2</f>
        <v>596104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IFERROR(VLOOKUP(B22,input_596104!L:R,7,FALSE),VLOOKUP(tables_596104!C22,input_596104!A:H,8,FALSE))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input_596104!A$2</f>
        <v>596104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IFERROR(VLOOKUP(B23,input_596104!L:R,7,FALSE),VLOOKUP(tables_596104!C23,input_596104!A:H,8,FALSE))</f>
        <v>136019.03615999999</v>
      </c>
      <c r="P23" s="40">
        <f t="shared" ca="1" si="1"/>
        <v>2.4857280000136241E-2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input_596104!A$2</f>
        <v>596104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IFERROR(VLOOKUP(B24,input_596104!L:R,7,FALSE),VLOOKUP(tables_596104!C24,input_596104!A:H,8,FALSE))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input_596104!A$2</f>
        <v>596104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IFERROR(VLOOKUP(B25,input_596104!L:R,7,FALSE),VLOOKUP(tables_596104!C25,input_596104!A:H,8,FALSE))</f>
        <v>30266.240000000002</v>
      </c>
      <c r="P25" s="40">
        <f t="shared" ca="1" si="1"/>
        <v>5.5311111111414277E-3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input_596104!A$2</f>
        <v>596104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IFERROR(VLOOKUP(B26,input_596104!L:R,7,FALSE),VLOOKUP(tables_596104!C26,input_596104!A:H,8,FALSE))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input_596104!A$2</f>
        <v>596104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IFERROR(VLOOKUP(B27,input_596104!L:R,7,FALSE),VLOOKUP(tables_596104!C27,input_596104!A:H,8,FALSE))</f>
        <v>30266.240000000002</v>
      </c>
      <c r="P27" s="40">
        <f t="shared" ca="1" si="1"/>
        <v>5.5311111111414277E-3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input_596104!A$2</f>
        <v>596104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IFERROR(VLOOKUP(B28,input_596104!L:R,7,FALSE),VLOOKUP(tables_596104!C28,input_596104!A:H,8,FALSE))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input_596104!A$2</f>
        <v>596104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IFERROR(VLOOKUP(B29,input_596104!L:R,7,FALSE),VLOOKUP(tables_596104!C29,input_596104!A:H,8,FALSE))</f>
        <v>30266.240000000002</v>
      </c>
      <c r="P29" s="40">
        <f t="shared" ca="1" si="1"/>
        <v>5.5311111111414277E-3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input_596104!A$2</f>
        <v>596104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IFERROR(VLOOKUP(B30,input_596104!L:R,7,FALSE),VLOOKUP(tables_596104!C30,input_596104!A:H,8,FALSE))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input_596104!A$2</f>
        <v>596104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IFERROR(VLOOKUP(B31,input_596104!L:R,7,FALSE),VLOOKUP(tables_596104!C31,input_596104!A:H,8,FALSE))</f>
        <v>136019.03615999999</v>
      </c>
      <c r="P31" s="40">
        <f t="shared" ca="1" si="1"/>
        <v>2.4857280000136241E-2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input_596104!A$2</f>
        <v>596104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IFERROR(VLOOKUP(B32,input_596104!L:R,7,FALSE),VLOOKUP(tables_596104!C32,input_596104!A:H,8,FALSE))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input_596104!A$2</f>
        <v>596104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IFERROR(VLOOKUP(B33,input_596104!L:R,7,FALSE),VLOOKUP(tables_596104!C33,input_596104!A:H,8,FALSE))</f>
        <v>30266.240000000002</v>
      </c>
      <c r="P33" s="40">
        <f t="shared" ca="1" si="1"/>
        <v>5.5311111111414277E-3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input_596104!A$2</f>
        <v>596104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IFERROR(VLOOKUP(B34,input_596104!L:R,7,FALSE),VLOOKUP(tables_596104!C34,input_596104!A:H,8,FALSE))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input_596104!A$2</f>
        <v>596104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IFERROR(VLOOKUP(B35,input_596104!L:R,7,FALSE),VLOOKUP(tables_596104!C35,input_596104!A:H,8,FALSE))</f>
        <v>30266.240000000002</v>
      </c>
      <c r="P35" s="40">
        <f t="shared" ca="1" si="1"/>
        <v>5.5311111111414277E-3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input_596104!A$2</f>
        <v>596104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IFERROR(VLOOKUP(B36,input_596104!L:R,7,FALSE),VLOOKUP(tables_596104!C36,input_596104!A:H,8,FALSE))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input_596104!A$2</f>
        <v>596104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IFERROR(VLOOKUP(B37,input_596104!L:R,7,FALSE),VLOOKUP(tables_596104!C37,input_596104!A:H,8,FALSE))</f>
        <v>30266.240000000002</v>
      </c>
      <c r="P37" s="40">
        <f t="shared" ca="1" si="1"/>
        <v>5.5311111111414277E-3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input_596104!A$2</f>
        <v>596104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IFERROR(VLOOKUP(B38,input_596104!L:R,7,FALSE),VLOOKUP(tables_596104!C38,input_596104!A:H,8,FALSE))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input_596104!A$2</f>
        <v>596104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IFERROR(VLOOKUP(B39,input_596104!L:R,7,FALSE),VLOOKUP(tables_596104!C39,input_596104!A:H,8,FALSE))</f>
        <v>136019.03615999999</v>
      </c>
      <c r="P39" s="40">
        <f t="shared" ca="1" si="1"/>
        <v>2.4857280000136241E-2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input_596104!A$2</f>
        <v>596104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IFERROR(VLOOKUP(B40,input_596104!L:R,7,FALSE),VLOOKUP(tables_596104!C40,input_596104!A:H,8,FALSE))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input_596104!A$2</f>
        <v>596104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IFERROR(VLOOKUP(B41,input_596104!L:R,7,FALSE),VLOOKUP(tables_596104!C41,input_596104!A:H,8,FALSE))</f>
        <v>30266.240000000002</v>
      </c>
      <c r="P41" s="40">
        <f t="shared" ca="1" si="1"/>
        <v>5.5311111111414277E-3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input_596104!A$2</f>
        <v>596104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IFERROR(VLOOKUP(B42,input_596104!L:R,7,FALSE),VLOOKUP(tables_596104!C42,input_596104!A:H,8,FALSE))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input_596104!A$2</f>
        <v>596104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IFERROR(VLOOKUP(B43,input_596104!L:R,7,FALSE),VLOOKUP(tables_596104!C43,input_596104!A:H,8,FALSE))</f>
        <v>25663.68</v>
      </c>
      <c r="P43" s="40">
        <f t="shared" ca="1" si="1"/>
        <v>4.6900000000257066E-3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input_596104!A$2</f>
        <v>596104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IFERROR(VLOOKUP(B44,input_596104!L:R,7,FALSE),VLOOKUP(tables_596104!C44,input_596104!A:H,8,FALSE))</f>
        <v>2851.52</v>
      </c>
      <c r="P44" s="40">
        <f t="shared" ca="1" si="1"/>
        <v>5.211111111139673E-4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input_596104!A$2</f>
        <v>596104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IFERROR(VLOOKUP(B45,input_596104!L:R,7,FALSE),VLOOKUP(tables_596104!C45,input_596104!A:H,8,FALSE))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input_596104!A$2</f>
        <v>596104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IFERROR(VLOOKUP(B46,input_596104!L:R,7,FALSE),VLOOKUP(tables_596104!C46,input_596104!A:H,8,FALSE))</f>
        <v>25663.68</v>
      </c>
      <c r="P46" s="40">
        <f t="shared" ca="1" si="1"/>
        <v>4.6900000000257066E-3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input_596104!A$2</f>
        <v>596104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IFERROR(VLOOKUP(B47,input_596104!L:R,7,FALSE),VLOOKUP(tables_596104!C47,input_596104!A:H,8,FALSE))</f>
        <v>2851.52</v>
      </c>
      <c r="P47" s="40">
        <f t="shared" ca="1" si="1"/>
        <v>5.211111111139673E-4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input_596104!A$2</f>
        <v>596104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IFERROR(VLOOKUP(B48,input_596104!L:R,7,FALSE),VLOOKUP(tables_596104!C48,input_596104!A:H,8,FALSE))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input_596104!A$2</f>
        <v>596104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IFERROR(VLOOKUP(B49,input_596104!L:R,7,FALSE),VLOOKUP(tables_596104!C49,input_596104!A:H,8,FALSE))</f>
        <v>110867.09759999999</v>
      </c>
      <c r="P49" s="40">
        <f t="shared" ca="1" si="1"/>
        <v>2.0260800000111049E-2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input_596104!A$2</f>
        <v>596104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IFERROR(VLOOKUP(B50,input_596104!L:R,7,FALSE),VLOOKUP(tables_596104!C50,input_596104!A:H,8,FALSE))</f>
        <v>12318.5664</v>
      </c>
      <c r="P50" s="40">
        <f t="shared" ca="1" si="1"/>
        <v>2.2512000000123387E-3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input_596104!A$2</f>
        <v>596104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IFERROR(VLOOKUP(B51,input_596104!L:R,7,FALSE),VLOOKUP(tables_596104!C51,input_596104!A:H,8,FALSE))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input_596104!A$2</f>
        <v>596104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IFERROR(VLOOKUP(B52,input_596104!L:R,7,FALSE),VLOOKUP(tables_596104!C52,input_596104!A:H,8,FALSE))</f>
        <v>25663.68</v>
      </c>
      <c r="P52" s="40">
        <f t="shared" ca="1" si="1"/>
        <v>4.6900000000257066E-3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input_596104!A$2</f>
        <v>596104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IFERROR(VLOOKUP(B53,input_596104!L:R,7,FALSE),VLOOKUP(tables_596104!C53,input_596104!A:H,8,FALSE))</f>
        <v>2851.52</v>
      </c>
      <c r="P53" s="40">
        <f t="shared" ca="1" si="1"/>
        <v>5.211111111139673E-4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input_596104!A$2</f>
        <v>596104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IFERROR(VLOOKUP(B54,input_596104!L:R,7,FALSE),VLOOKUP(tables_596104!C54,input_596104!A:H,8,FALSE))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input_596104!A$2</f>
        <v>596104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IFERROR(VLOOKUP(B55,input_596104!L:R,7,FALSE),VLOOKUP(tables_596104!C55,input_596104!A:H,8,FALSE))</f>
        <v>25663.68</v>
      </c>
      <c r="P55" s="40">
        <f t="shared" ca="1" si="1"/>
        <v>4.6900000000257066E-3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input_596104!A$2</f>
        <v>596104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IFERROR(VLOOKUP(B56,input_596104!L:R,7,FALSE),VLOOKUP(tables_596104!C56,input_596104!A:H,8,FALSE))</f>
        <v>2851.52</v>
      </c>
      <c r="P56" s="40">
        <f t="shared" ca="1" si="1"/>
        <v>5.211111111139673E-4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input_596104!A$2</f>
        <v>596104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IFERROR(VLOOKUP(B57,input_596104!L:R,7,FALSE),VLOOKUP(tables_596104!C57,input_596104!A:H,8,FALSE))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input_596104!A$2</f>
        <v>596104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IFERROR(VLOOKUP(B58,input_596104!L:R,7,FALSE),VLOOKUP(tables_596104!C58,input_596104!A:H,8,FALSE))</f>
        <v>25663.68</v>
      </c>
      <c r="P58" s="40">
        <f t="shared" ca="1" si="1"/>
        <v>4.6900000000257066E-3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input_596104!A$2</f>
        <v>596104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IFERROR(VLOOKUP(B59,input_596104!L:R,7,FALSE),VLOOKUP(tables_596104!C59,input_596104!A:H,8,FALSE))</f>
        <v>2851.52</v>
      </c>
      <c r="P59" s="40">
        <f t="shared" ca="1" si="1"/>
        <v>5.211111111139673E-4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input_596104!A$2</f>
        <v>596104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IFERROR(VLOOKUP(B60,input_596104!L:R,7,FALSE),VLOOKUP(tables_596104!C60,input_596104!A:H,8,FALSE))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input_596104!A$2</f>
        <v>596104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IFERROR(VLOOKUP(B61,input_596104!L:R,7,FALSE),VLOOKUP(tables_596104!C61,input_596104!A:H,8,FALSE))</f>
        <v>110867.09759999999</v>
      </c>
      <c r="P61" s="40">
        <f t="shared" ca="1" si="1"/>
        <v>2.0260800000111049E-2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input_596104!A$2</f>
        <v>596104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IFERROR(VLOOKUP(B62,input_596104!L:R,7,FALSE),VLOOKUP(tables_596104!C62,input_596104!A:H,8,FALSE))</f>
        <v>5859.10491</v>
      </c>
      <c r="P62" s="40">
        <f t="shared" ca="1" si="1"/>
        <v>1.070742856365518E-3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input_596104!A$2</f>
        <v>596104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IFERROR(VLOOKUP(B63,input_596104!L:R,7,FALSE),VLOOKUP(tables_596104!C63,input_596104!A:H,8,FALSE))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input_596104!A$2</f>
        <v>596104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IFERROR(VLOOKUP(B64,input_596104!L:R,7,FALSE),VLOOKUP(tables_596104!C64,input_596104!A:H,8,FALSE))</f>
        <v>25663.68</v>
      </c>
      <c r="P64" s="40">
        <f t="shared" ca="1" si="1"/>
        <v>4.6900000000257066E-3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input_596104!A$2</f>
        <v>596104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IFERROR(VLOOKUP(B65,input_596104!L:R,7,FALSE),VLOOKUP(tables_596104!C65,input_596104!A:H,8,FALSE))</f>
        <v>2851.52</v>
      </c>
      <c r="P65" s="40">
        <f t="shared" ca="1" si="1"/>
        <v>5.211111111139673E-4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input_596104!A$2</f>
        <v>596104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IFERROR(VLOOKUP(B66,input_596104!L:R,7,FALSE),VLOOKUP(tables_596104!C66,input_596104!A:H,8,FALSE))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input_596104!A$2</f>
        <v>596104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IFERROR(VLOOKUP(B67,input_596104!L:R,7,FALSE),VLOOKUP(tables_596104!C67,input_596104!A:H,8,FALSE))</f>
        <v>25663.68</v>
      </c>
      <c r="P67" s="40">
        <f t="shared" ca="1" si="4"/>
        <v>4.6900000000257066E-3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input_596104!A$2</f>
        <v>596104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IFERROR(VLOOKUP(B68,input_596104!L:R,7,FALSE),VLOOKUP(tables_596104!C68,input_596104!A:H,8,FALSE))</f>
        <v>2851.52</v>
      </c>
      <c r="P68" s="40">
        <f t="shared" ca="1" si="4"/>
        <v>5.211111111139673E-4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input_596104!A$2</f>
        <v>596104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IFERROR(VLOOKUP(B69,input_596104!L:R,7,FALSE),VLOOKUP(tables_596104!C69,input_596104!A:H,8,FALSE))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input_596104!A$2</f>
        <v>596104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IFERROR(VLOOKUP(B70,input_596104!L:R,7,FALSE),VLOOKUP(tables_596104!C70,input_596104!A:H,8,FALSE))</f>
        <v>25663.68</v>
      </c>
      <c r="P70" s="40">
        <f t="shared" ca="1" si="4"/>
        <v>4.6900000000257066E-3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input_596104!A$2</f>
        <v>596104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IFERROR(VLOOKUP(B71,input_596104!L:R,7,FALSE),VLOOKUP(tables_596104!C71,input_596104!A:H,8,FALSE))</f>
        <v>2851.52</v>
      </c>
      <c r="P71" s="40">
        <f t="shared" ca="1" si="4"/>
        <v>5.211111111139673E-4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input_596104!A$2</f>
        <v>596104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IFERROR(VLOOKUP(B72,input_596104!L:R,7,FALSE),VLOOKUP(tables_596104!C72,input_596104!A:H,8,FALSE))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input_596104!A$2</f>
        <v>596104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IFERROR(VLOOKUP(B73,input_596104!L:R,7,FALSE),VLOOKUP(tables_596104!C73,input_596104!A:H,8,FALSE))</f>
        <v>25663.68</v>
      </c>
      <c r="P73" s="40">
        <f t="shared" ca="1" si="4"/>
        <v>4.6900000000257066E-3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input_596104!A$2</f>
        <v>596104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IFERROR(VLOOKUP(B74,input_596104!L:R,7,FALSE),VLOOKUP(tables_596104!C74,input_596104!A:H,8,FALSE))</f>
        <v>2851.52</v>
      </c>
      <c r="P74" s="40">
        <f t="shared" ca="1" si="4"/>
        <v>5.211111111139673E-4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input_596104!A$2</f>
        <v>596104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IFERROR(VLOOKUP(B75,input_596104!L:R,7,FALSE),VLOOKUP(tables_596104!C75,input_596104!A:H,8,FALSE))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input_596104!A$2</f>
        <v>596104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IFERROR(VLOOKUP(B76,input_596104!L:R,7,FALSE),VLOOKUP(tables_596104!C76,input_596104!A:H,8,FALSE))</f>
        <v>110867.09759999999</v>
      </c>
      <c r="P76" s="40">
        <f t="shared" ca="1" si="4"/>
        <v>2.0260800000111049E-2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input_596104!A$2</f>
        <v>596104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IFERROR(VLOOKUP(B77,input_596104!L:R,7,FALSE),VLOOKUP(tables_596104!C77,input_596104!A:H,8,FALSE))</f>
        <v>5859.10491</v>
      </c>
      <c r="P77" s="40">
        <f t="shared" ca="1" si="4"/>
        <v>1.070742856365518E-3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input_596104!A$2</f>
        <v>596104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IFERROR(VLOOKUP(B78,input_596104!L:R,7,FALSE),VLOOKUP(tables_596104!C78,input_596104!A:H,8,FALSE))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input_596104!A$2</f>
        <v>596104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IFERROR(VLOOKUP(B79,input_596104!L:R,7,FALSE),VLOOKUP(tables_596104!C79,input_596104!A:H,8,FALSE))</f>
        <v>25663.68</v>
      </c>
      <c r="P79" s="40">
        <f t="shared" ca="1" si="4"/>
        <v>4.6900000000257066E-3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input_596104!A$2</f>
        <v>596104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IFERROR(VLOOKUP(B80,input_596104!L:R,7,FALSE),VLOOKUP(tables_596104!C80,input_596104!A:H,8,FALSE))</f>
        <v>2851.52</v>
      </c>
      <c r="P80" s="40">
        <f t="shared" ca="1" si="4"/>
        <v>5.211111111139673E-4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input_596104!A$2</f>
        <v>596104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IFERROR(VLOOKUP(B81,input_596104!L:R,7,FALSE),VLOOKUP(tables_596104!C81,input_596104!A:H,8,FALSE))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input_596104!A$2</f>
        <v>596104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IFERROR(VLOOKUP(B82,input_596104!L:R,7,FALSE),VLOOKUP(tables_596104!C82,input_596104!A:H,8,FALSE))</f>
        <v>25663.68</v>
      </c>
      <c r="P82" s="40">
        <f t="shared" ca="1" si="4"/>
        <v>4.6900000000257066E-3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input_596104!A$2</f>
        <v>596104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IFERROR(VLOOKUP(B83,input_596104!L:R,7,FALSE),VLOOKUP(tables_596104!C83,input_596104!A:H,8,FALSE))</f>
        <v>2851.52</v>
      </c>
      <c r="P83" s="40">
        <f t="shared" ca="1" si="4"/>
        <v>5.211111111139673E-4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input_596104!A$2</f>
        <v>596104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IFERROR(VLOOKUP(B84,input_596104!L:R,7,FALSE),VLOOKUP(tables_596104!C84,input_596104!A:H,8,FALSE))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input_596104!A$2</f>
        <v>596104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IFERROR(VLOOKUP(B85,input_596104!L:R,7,FALSE),VLOOKUP(tables_596104!C85,input_596104!A:H,8,FALSE))</f>
        <v>110867.09759999999</v>
      </c>
      <c r="P85" s="40">
        <f t="shared" ca="1" si="4"/>
        <v>2.0260800000111049E-2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input_596104!A$2</f>
        <v>596104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IFERROR(VLOOKUP(B86,input_596104!L:R,7,FALSE),VLOOKUP(tables_596104!C86,input_596104!A:H,8,FALSE))</f>
        <v>5859.10491</v>
      </c>
      <c r="P86" s="40">
        <f t="shared" ca="1" si="4"/>
        <v>1.070742856365518E-3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input_596104!A$2</f>
        <v>596104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IFERROR(VLOOKUP(B87,input_596104!L:R,7,FALSE),VLOOKUP(tables_596104!C87,input_596104!A:H,8,FALSE))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input_596104!A$2</f>
        <v>596104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IFERROR(VLOOKUP(B88,input_596104!L:R,7,FALSE),VLOOKUP(tables_596104!C88,input_596104!A:H,8,FALSE))</f>
        <v>25663.68</v>
      </c>
      <c r="P88" s="40">
        <f t="shared" ca="1" si="4"/>
        <v>4.6900000000257066E-3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input_596104!A$2</f>
        <v>596104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IFERROR(VLOOKUP(B89,input_596104!L:R,7,FALSE),VLOOKUP(tables_596104!C89,input_596104!A:H,8,FALSE))</f>
        <v>2851.52</v>
      </c>
      <c r="P89" s="40">
        <f t="shared" ca="1" si="4"/>
        <v>5.211111111139673E-4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input_596104!A$2</f>
        <v>596104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IFERROR(VLOOKUP(B90,input_596104!L:R,7,FALSE),VLOOKUP(tables_596104!C90,input_596104!A:H,8,FALSE))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input_596104!A$2</f>
        <v>596104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IFERROR(VLOOKUP(B91,input_596104!L:R,7,FALSE),VLOOKUP(tables_596104!C91,input_596104!A:H,8,FALSE))</f>
        <v>25663.68</v>
      </c>
      <c r="P91" s="40">
        <f t="shared" ca="1" si="4"/>
        <v>4.6900000000257066E-3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input_596104!A$2</f>
        <v>596104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IFERROR(VLOOKUP(B92,input_596104!L:R,7,FALSE),VLOOKUP(tables_596104!C92,input_596104!A:H,8,FALSE))</f>
        <v>2851.52</v>
      </c>
      <c r="P92" s="40">
        <f t="shared" ca="1" si="4"/>
        <v>5.211111111139673E-4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input_596104!A$2</f>
        <v>596104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IFERROR(VLOOKUP(B93,input_596104!L:R,7,FALSE),VLOOKUP(tables_596104!C93,input_596104!A:H,8,FALSE))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input_596104!A$2</f>
        <v>596104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IFERROR(VLOOKUP(B94,input_596104!L:R,7,FALSE),VLOOKUP(tables_596104!C94,input_596104!A:H,8,FALSE))</f>
        <v>25663.68</v>
      </c>
      <c r="P94" s="40">
        <f t="shared" ca="1" si="4"/>
        <v>4.6900000000257066E-3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input_596104!A$2</f>
        <v>596104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IFERROR(VLOOKUP(B95,input_596104!L:R,7,FALSE),VLOOKUP(tables_596104!C95,input_596104!A:H,8,FALSE))</f>
        <v>2851.52</v>
      </c>
      <c r="P95" s="40">
        <f t="shared" ca="1" si="4"/>
        <v>5.211111111139673E-4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input_596104!A$2</f>
        <v>596104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IFERROR(VLOOKUP(B96,input_596104!L:R,7,FALSE),VLOOKUP(tables_596104!C96,input_596104!A:H,8,FALSE))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input_596104!A$2</f>
        <v>596104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IFERROR(VLOOKUP(B97,input_596104!L:R,7,FALSE),VLOOKUP(tables_596104!C97,input_596104!A:H,8,FALSE))</f>
        <v>110867.09759999999</v>
      </c>
      <c r="P97" s="40">
        <f t="shared" ca="1" si="4"/>
        <v>2.0260800000111049E-2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input_596104!A$2</f>
        <v>596104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IFERROR(VLOOKUP(B98,input_596104!L:R,7,FALSE),VLOOKUP(tables_596104!C98,input_596104!A:H,8,FALSE))</f>
        <v>5859.10491</v>
      </c>
      <c r="P98" s="40">
        <f t="shared" ca="1" si="4"/>
        <v>1.070742856365518E-3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input_596104!A$2</f>
        <v>596104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IFERROR(VLOOKUP(B99,input_596104!L:R,7,FALSE),VLOOKUP(tables_596104!C99,input_596104!A:H,8,FALSE))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input_596104!A$2</f>
        <v>596104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IFERROR(VLOOKUP(B100,input_596104!L:R,7,FALSE),VLOOKUP(tables_596104!C100,input_596104!A:H,8,FALSE))</f>
        <v>25663.68</v>
      </c>
      <c r="P100" s="40">
        <f t="shared" ca="1" si="4"/>
        <v>4.6900000000257066E-3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input_596104!A$2</f>
        <v>596104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IFERROR(VLOOKUP(B101,input_596104!L:R,7,FALSE),VLOOKUP(tables_596104!C101,input_596104!A:H,8,FALSE))</f>
        <v>2851.52</v>
      </c>
      <c r="P101" s="40">
        <f t="shared" ca="1" si="4"/>
        <v>5.211111111139673E-4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input_596104!A$2</f>
        <v>596104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IFERROR(VLOOKUP(B102,input_596104!L:R,7,FALSE),VLOOKUP(tables_596104!C102,input_596104!A:H,8,FALSE))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input_596104!A$2</f>
        <v>596104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IFERROR(VLOOKUP(B103,input_596104!L:R,7,FALSE),VLOOKUP(tables_596104!C103,input_596104!A:H,8,FALSE))</f>
        <v>25663.68</v>
      </c>
      <c r="P103" s="40">
        <f t="shared" ca="1" si="4"/>
        <v>4.6900000000257066E-3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input_596104!A$2</f>
        <v>596104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IFERROR(VLOOKUP(B104,input_596104!L:R,7,FALSE),VLOOKUP(tables_596104!C104,input_596104!A:H,8,FALSE))</f>
        <v>2851.52</v>
      </c>
      <c r="P104" s="40">
        <f t="shared" ca="1" si="4"/>
        <v>5.211111111139673E-4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input_596104!A$2</f>
        <v>596104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IFERROR(VLOOKUP(B105,input_596104!L:R,7,FALSE),VLOOKUP(tables_596104!C105,input_596104!A:H,8,FALSE))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input_596104!A$2</f>
        <v>596104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IFERROR(VLOOKUP(B106,input_596104!L:R,7,FALSE),VLOOKUP(tables_596104!C106,input_596104!A:H,8,FALSE))</f>
        <v>25663.68</v>
      </c>
      <c r="P106" s="40">
        <f t="shared" ca="1" si="4"/>
        <v>4.6900000000257066E-3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input_596104!A$2</f>
        <v>596104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IFERROR(VLOOKUP(B107,input_596104!L:R,7,FALSE),VLOOKUP(tables_596104!C107,input_596104!A:H,8,FALSE))</f>
        <v>2851.52</v>
      </c>
      <c r="P107" s="40">
        <f t="shared" ca="1" si="4"/>
        <v>5.211111111139673E-4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input_596104!A$2</f>
        <v>596104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IFERROR(VLOOKUP(B108,input_596104!L:R,7,FALSE),VLOOKUP(tables_596104!C108,input_596104!A:H,8,FALSE))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input_596104!A$2</f>
        <v>596104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IFERROR(VLOOKUP(B109,input_596104!L:R,7,FALSE),VLOOKUP(tables_596104!C109,input_596104!A:H,8,FALSE))</f>
        <v>110867.09759999999</v>
      </c>
      <c r="P109" s="40">
        <f t="shared" ca="1" si="4"/>
        <v>2.0260800000111049E-2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input_596104!A$2</f>
        <v>596104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IFERROR(VLOOKUP(B110,input_596104!L:R,7,FALSE),VLOOKUP(tables_596104!C110,input_596104!A:H,8,FALSE))</f>
        <v>5859.10491</v>
      </c>
      <c r="P110" s="40">
        <f t="shared" ca="1" si="4"/>
        <v>1.070742856365518E-3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input_596104!A$2</f>
        <v>596104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IFERROR(VLOOKUP(B111,input_596104!L:R,7,FALSE),VLOOKUP(tables_596104!C111,input_596104!A:H,8,FALSE))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input_596104!A$2</f>
        <v>596104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IFERROR(VLOOKUP(B112,input_596104!L:R,7,FALSE),VLOOKUP(tables_596104!C112,input_596104!A:H,8,FALSE))</f>
        <v>25663.68</v>
      </c>
      <c r="P112" s="40">
        <f t="shared" ca="1" si="4"/>
        <v>4.6900000000257066E-3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input_596104!A$2</f>
        <v>596104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IFERROR(VLOOKUP(B113,input_596104!L:R,7,FALSE),VLOOKUP(tables_596104!C113,input_596104!A:H,8,FALSE))</f>
        <v>2851.52</v>
      </c>
      <c r="P113" s="40">
        <f t="shared" ca="1" si="4"/>
        <v>5.211111111139673E-4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input_596104!A$2</f>
        <v>596104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IFERROR(VLOOKUP(B114,input_596104!L:R,7,FALSE),VLOOKUP(tables_596104!C114,input_596104!A:H,8,FALSE))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input_596104!A$2</f>
        <v>596104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IFERROR(VLOOKUP(B115,input_596104!L:R,7,FALSE),VLOOKUP(tables_596104!C115,input_596104!A:H,8,FALSE))</f>
        <v>25663.68</v>
      </c>
      <c r="P115" s="40">
        <f t="shared" ca="1" si="4"/>
        <v>4.6900000000257066E-3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input_596104!A$2</f>
        <v>596104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IFERROR(VLOOKUP(B116,input_596104!L:R,7,FALSE),VLOOKUP(tables_596104!C116,input_596104!A:H,8,FALSE))</f>
        <v>2851.52</v>
      </c>
      <c r="P116" s="40">
        <f t="shared" ca="1" si="4"/>
        <v>5.211111111139673E-4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input_596104!A$2</f>
        <v>596104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IFERROR(VLOOKUP(B117,input_596104!L:R,7,FALSE),VLOOKUP(tables_596104!C117,input_596104!A:H,8,FALSE))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input_596104!A$2</f>
        <v>596104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IFERROR(VLOOKUP(B118,input_596104!L:R,7,FALSE),VLOOKUP(tables_596104!C118,input_596104!A:H,8,FALSE))</f>
        <v>25663.68</v>
      </c>
      <c r="P118" s="40">
        <f t="shared" ca="1" si="4"/>
        <v>4.6900000000257066E-3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input_596104!A$2</f>
        <v>596104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IFERROR(VLOOKUP(B119,input_596104!L:R,7,FALSE),VLOOKUP(tables_596104!C119,input_596104!A:H,8,FALSE))</f>
        <v>2851.52</v>
      </c>
      <c r="P119" s="40">
        <f t="shared" ca="1" si="4"/>
        <v>5.211111111139673E-4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input_596104!A$2</f>
        <v>596104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IFERROR(VLOOKUP(B120,input_596104!L:R,7,FALSE),VLOOKUP(tables_596104!C120,input_596104!A:H,8,FALSE))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input_596104!A$2</f>
        <v>596104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IFERROR(VLOOKUP(B121,input_596104!L:R,7,FALSE),VLOOKUP(tables_596104!C121,input_596104!A:H,8,FALSE))</f>
        <v>110867.09759999999</v>
      </c>
      <c r="P121" s="40">
        <f t="shared" ca="1" si="4"/>
        <v>2.0260800000111049E-2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input_596104!A$2</f>
        <v>596104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IFERROR(VLOOKUP(B122,input_596104!L:R,7,FALSE),VLOOKUP(tables_596104!C122,input_596104!A:H,8,FALSE))</f>
        <v>5859.10491</v>
      </c>
      <c r="P122" s="40">
        <f t="shared" ca="1" si="4"/>
        <v>1.070742856365518E-3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input_596104!A$2</f>
        <v>596104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IFERROR(VLOOKUP(B123,input_596104!L:R,7,FALSE),VLOOKUP(tables_596104!C123,input_596104!A:H,8,FALSE))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input_596104!A$2</f>
        <v>596104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IFERROR(VLOOKUP(B124,input_596104!L:R,7,FALSE),VLOOKUP(tables_596104!C124,input_596104!A:H,8,FALSE))</f>
        <v>25663.68</v>
      </c>
      <c r="P124" s="40">
        <f t="shared" ca="1" si="4"/>
        <v>4.6900000000257066E-3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input_596104!A$2</f>
        <v>596104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IFERROR(VLOOKUP(B125,input_596104!L:R,7,FALSE),VLOOKUP(tables_596104!C125,input_596104!A:H,8,FALSE))</f>
        <v>2851.52</v>
      </c>
      <c r="P125" s="40">
        <f t="shared" ca="1" si="4"/>
        <v>5.211111111139673E-4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input_596104!A$2</f>
        <v>596104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IFERROR(VLOOKUP(B126,input_596104!L:R,7,FALSE),VLOOKUP(tables_596104!C126,input_596104!A:H,8,FALSE))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input_596104!A$2</f>
        <v>596104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IFERROR(VLOOKUP(B127,input_596104!L:R,7,FALSE),VLOOKUP(tables_596104!C127,input_596104!A:H,8,FALSE))</f>
        <v>25663.68</v>
      </c>
      <c r="P127" s="40">
        <f t="shared" ca="1" si="4"/>
        <v>4.6900000000257066E-3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input_596104!A$2</f>
        <v>596104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IFERROR(VLOOKUP(B128,input_596104!L:R,7,FALSE),VLOOKUP(tables_596104!C128,input_596104!A:H,8,FALSE))</f>
        <v>2851.52</v>
      </c>
      <c r="P128" s="40">
        <f t="shared" ca="1" si="4"/>
        <v>5.211111111139673E-4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input_596104!A$2</f>
        <v>596104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IFERROR(VLOOKUP(B129,input_596104!L:R,7,FALSE),VLOOKUP(tables_596104!C129,input_596104!A:H,8,FALSE))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input_596104!A$2</f>
        <v>596104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IFERROR(VLOOKUP(B130,input_596104!L:R,7,FALSE),VLOOKUP(tables_596104!C130,input_596104!A:H,8,FALSE))</f>
        <v>25663.68</v>
      </c>
      <c r="P130" s="40">
        <f t="shared" ref="P130:P193" ca="1" si="7">O130/SUM(O:O)</f>
        <v>4.6900000000257066E-3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input_596104!A$2</f>
        <v>596104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IFERROR(VLOOKUP(B131,input_596104!L:R,7,FALSE),VLOOKUP(tables_596104!C131,input_596104!A:H,8,FALSE))</f>
        <v>2851.52</v>
      </c>
      <c r="P131" s="40">
        <f t="shared" ca="1" si="7"/>
        <v>5.211111111139673E-4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input_596104!A$2</f>
        <v>596104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IFERROR(VLOOKUP(B132,input_596104!L:R,7,FALSE),VLOOKUP(tables_596104!C132,input_596104!A:H,8,FALSE))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input_596104!A$2</f>
        <v>596104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IFERROR(VLOOKUP(B133,input_596104!L:R,7,FALSE),VLOOKUP(tables_596104!C133,input_596104!A:H,8,FALSE))</f>
        <v>110867.09759999999</v>
      </c>
      <c r="P133" s="40">
        <f t="shared" ca="1" si="7"/>
        <v>2.0260800000111049E-2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input_596104!A$2</f>
        <v>596104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IFERROR(VLOOKUP(B134,input_596104!L:R,7,FALSE),VLOOKUP(tables_596104!C134,input_596104!A:H,8,FALSE))</f>
        <v>5859.10491</v>
      </c>
      <c r="P134" s="40">
        <f t="shared" ca="1" si="7"/>
        <v>1.070742856365518E-3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input_596104!A$2</f>
        <v>596104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IFERROR(VLOOKUP(B135,input_596104!L:R,7,FALSE),VLOOKUP(tables_596104!C135,input_596104!A:H,8,FALSE))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input_596104!A$2</f>
        <v>596104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IFERROR(VLOOKUP(B136,input_596104!L:R,7,FALSE),VLOOKUP(tables_596104!C136,input_596104!A:H,8,FALSE))</f>
        <v>25663.68</v>
      </c>
      <c r="P136" s="40">
        <f t="shared" ca="1" si="7"/>
        <v>4.6900000000257066E-3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input_596104!A$2</f>
        <v>596104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IFERROR(VLOOKUP(B137,input_596104!L:R,7,FALSE),VLOOKUP(tables_596104!C137,input_596104!A:H,8,FALSE))</f>
        <v>2851.52</v>
      </c>
      <c r="P137" s="40">
        <f t="shared" ca="1" si="7"/>
        <v>5.211111111139673E-4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input_596104!A$2</f>
        <v>596104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IFERROR(VLOOKUP(B138,input_596104!L:R,7,FALSE),VLOOKUP(tables_596104!C138,input_596104!A:H,8,FALSE))</f>
        <v>1728</v>
      </c>
      <c r="P138" s="40">
        <f t="shared" ca="1" si="7"/>
        <v>3.157894736859414E-4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input_596104!A$2</f>
        <v>596104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IFERROR(VLOOKUP(B139,input_596104!L:R,7,FALSE),VLOOKUP(tables_596104!C139,input_596104!A:H,8,FALSE))</f>
        <v>192</v>
      </c>
      <c r="P139" s="40">
        <f t="shared" ca="1" si="7"/>
        <v>3.5087719298437929E-5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input_596104!A$2</f>
        <v>596104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IFERROR(VLOOKUP(B140,input_596104!L:R,7,FALSE),VLOOKUP(tables_596104!C140,input_596104!A:H,8,FALSE))</f>
        <v>1728</v>
      </c>
      <c r="P140" s="40">
        <f t="shared" ca="1" si="7"/>
        <v>3.157894736859414E-4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input_596104!A$2</f>
        <v>596104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IFERROR(VLOOKUP(B141,input_596104!L:R,7,FALSE),VLOOKUP(tables_596104!C141,input_596104!A:H,8,FALSE))</f>
        <v>192</v>
      </c>
      <c r="P141" s="40">
        <f t="shared" ca="1" si="7"/>
        <v>3.5087719298437929E-5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input_596104!A$2</f>
        <v>596104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IFERROR(VLOOKUP(B142,input_596104!L:R,7,FALSE),VLOOKUP(tables_596104!C142,input_596104!A:H,8,FALSE))</f>
        <v>8208</v>
      </c>
      <c r="P142" s="40">
        <f t="shared" ca="1" si="7"/>
        <v>1.5000000000082215E-3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input_596104!A$2</f>
        <v>596104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IFERROR(VLOOKUP(B143,input_596104!L:R,7,FALSE),VLOOKUP(tables_596104!C143,input_596104!A:H,8,FALSE))</f>
        <v>912</v>
      </c>
      <c r="P143" s="40">
        <f t="shared" ca="1" si="7"/>
        <v>1.6666666666758018E-4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input_596104!A$2</f>
        <v>596104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IFERROR(VLOOKUP(B144,input_596104!L:R,7,FALSE),VLOOKUP(tables_596104!C144,input_596104!A:H,8,FALSE))</f>
        <v>1728</v>
      </c>
      <c r="P144" s="40">
        <f t="shared" ca="1" si="7"/>
        <v>3.157894736859414E-4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input_596104!A$2</f>
        <v>596104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IFERROR(VLOOKUP(B145,input_596104!L:R,7,FALSE),VLOOKUP(tables_596104!C145,input_596104!A:H,8,FALSE))</f>
        <v>192</v>
      </c>
      <c r="P145" s="40">
        <f t="shared" ca="1" si="7"/>
        <v>3.5087719298437929E-5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input_596104!A$2</f>
        <v>596104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IFERROR(VLOOKUP(B146,input_596104!L:R,7,FALSE),VLOOKUP(tables_596104!C146,input_596104!A:H,8,FALSE))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input_596104!A$2</f>
        <v>596104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IFERROR(VLOOKUP(B147,input_596104!L:R,7,FALSE),VLOOKUP(tables_596104!C147,input_596104!A:H,8,FALSE))</f>
        <v>25663.68</v>
      </c>
      <c r="P147" s="40">
        <f t="shared" ca="1" si="7"/>
        <v>4.6900000000257066E-3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input_596104!A$2</f>
        <v>596104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IFERROR(VLOOKUP(B148,input_596104!L:R,7,FALSE),VLOOKUP(tables_596104!C148,input_596104!A:H,8,FALSE))</f>
        <v>2851.52</v>
      </c>
      <c r="P148" s="40">
        <f t="shared" ca="1" si="7"/>
        <v>5.211111111139673E-4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input_596104!A$2</f>
        <v>596104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IFERROR(VLOOKUP(B149,input_596104!L:R,7,FALSE),VLOOKUP(tables_596104!C149,input_596104!A:H,8,FALSE))</f>
        <v>1728</v>
      </c>
      <c r="P149" s="40">
        <f t="shared" ca="1" si="7"/>
        <v>3.157894736859414E-4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input_596104!A$2</f>
        <v>596104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IFERROR(VLOOKUP(B150,input_596104!L:R,7,FALSE),VLOOKUP(tables_596104!C150,input_596104!A:H,8,FALSE))</f>
        <v>192</v>
      </c>
      <c r="P150" s="40">
        <f t="shared" ca="1" si="7"/>
        <v>3.5087719298437929E-5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input_596104!A$2</f>
        <v>596104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IFERROR(VLOOKUP(B151,input_596104!L:R,7,FALSE),VLOOKUP(tables_596104!C151,input_596104!A:H,8,FALSE))</f>
        <v>8208</v>
      </c>
      <c r="P151" s="40">
        <f t="shared" ca="1" si="7"/>
        <v>1.5000000000082215E-3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input_596104!A$2</f>
        <v>596104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IFERROR(VLOOKUP(B152,input_596104!L:R,7,FALSE),VLOOKUP(tables_596104!C152,input_596104!A:H,8,FALSE))</f>
        <v>912</v>
      </c>
      <c r="P152" s="40">
        <f t="shared" ca="1" si="7"/>
        <v>1.6666666666758018E-4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input_596104!A$2</f>
        <v>596104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IFERROR(VLOOKUP(B153,input_596104!L:R,7,FALSE),VLOOKUP(tables_596104!C153,input_596104!A:H,8,FALSE))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input_596104!A$2</f>
        <v>596104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IFERROR(VLOOKUP(B154,input_596104!L:R,7,FALSE),VLOOKUP(tables_596104!C154,input_596104!A:H,8,FALSE))</f>
        <v>25663.68</v>
      </c>
      <c r="P154" s="40">
        <f t="shared" ca="1" si="7"/>
        <v>4.6900000000257066E-3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input_596104!A$2</f>
        <v>596104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IFERROR(VLOOKUP(B155,input_596104!L:R,7,FALSE),VLOOKUP(tables_596104!C155,input_596104!A:H,8,FALSE))</f>
        <v>2851.52</v>
      </c>
      <c r="P155" s="40">
        <f t="shared" ca="1" si="7"/>
        <v>5.211111111139673E-4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input_596104!A$2</f>
        <v>596104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IFERROR(VLOOKUP(B156,input_596104!L:R,7,FALSE),VLOOKUP(tables_596104!C156,input_596104!A:H,8,FALSE))</f>
        <v>1728</v>
      </c>
      <c r="P156" s="40">
        <f t="shared" ca="1" si="7"/>
        <v>3.157894736859414E-4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input_596104!A$2</f>
        <v>596104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IFERROR(VLOOKUP(B157,input_596104!L:R,7,FALSE),VLOOKUP(tables_596104!C157,input_596104!A:H,8,FALSE))</f>
        <v>192</v>
      </c>
      <c r="P157" s="40">
        <f t="shared" ca="1" si="7"/>
        <v>3.5087719298437929E-5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input_596104!A$2</f>
        <v>596104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IFERROR(VLOOKUP(B158,input_596104!L:R,7,FALSE),VLOOKUP(tables_596104!C158,input_596104!A:H,8,FALSE))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input_596104!A$2</f>
        <v>596104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IFERROR(VLOOKUP(B159,input_596104!L:R,7,FALSE),VLOOKUP(tables_596104!C159,input_596104!A:H,8,FALSE))</f>
        <v>25663.68</v>
      </c>
      <c r="P159" s="40">
        <f t="shared" ca="1" si="7"/>
        <v>4.6900000000257066E-3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input_596104!A$2</f>
        <v>596104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IFERROR(VLOOKUP(B160,input_596104!L:R,7,FALSE),VLOOKUP(tables_596104!C160,input_596104!A:H,8,FALSE))</f>
        <v>2851.52</v>
      </c>
      <c r="P160" s="40">
        <f t="shared" ca="1" si="7"/>
        <v>5.211111111139673E-4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input_596104!A$2</f>
        <v>596104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IFERROR(VLOOKUP(B161,input_596104!L:R,7,FALSE),VLOOKUP(tables_596104!C161,input_596104!A:H,8,FALSE))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input_596104!A$2</f>
        <v>596104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IFERROR(VLOOKUP(B162,input_596104!L:R,7,FALSE),VLOOKUP(tables_596104!C162,input_596104!A:H,8,FALSE))</f>
        <v>110867.09759999999</v>
      </c>
      <c r="P162" s="40">
        <f t="shared" ca="1" si="7"/>
        <v>2.0260800000111049E-2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input_596104!A$2</f>
        <v>596104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IFERROR(VLOOKUP(B163,input_596104!L:R,7,FALSE),VLOOKUP(tables_596104!C163,input_596104!A:H,8,FALSE))</f>
        <v>5859.10491</v>
      </c>
      <c r="P163" s="40">
        <f t="shared" ca="1" si="7"/>
        <v>1.070742856365518E-3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input_596104!A$2</f>
        <v>596104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IFERROR(VLOOKUP(B164,input_596104!L:R,7,FALSE),VLOOKUP(tables_596104!C164,input_596104!A:H,8,FALSE))</f>
        <v>1728</v>
      </c>
      <c r="P164" s="40">
        <f t="shared" ca="1" si="7"/>
        <v>3.157894736859414E-4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input_596104!A$2</f>
        <v>596104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IFERROR(VLOOKUP(B165,input_596104!L:R,7,FALSE),VLOOKUP(tables_596104!C165,input_596104!A:H,8,FALSE))</f>
        <v>192</v>
      </c>
      <c r="P165" s="40">
        <f t="shared" ca="1" si="7"/>
        <v>3.5087719298437929E-5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input_596104!A$2</f>
        <v>596104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IFERROR(VLOOKUP(B166,input_596104!L:R,7,FALSE),VLOOKUP(tables_596104!C166,input_596104!A:H,8,FALSE))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input_596104!A$2</f>
        <v>596104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IFERROR(VLOOKUP(B167,input_596104!L:R,7,FALSE),VLOOKUP(tables_596104!C167,input_596104!A:H,8,FALSE))</f>
        <v>25663.68</v>
      </c>
      <c r="P167" s="40">
        <f t="shared" ca="1" si="7"/>
        <v>4.6900000000257066E-3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input_596104!A$2</f>
        <v>596104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IFERROR(VLOOKUP(B168,input_596104!L:R,7,FALSE),VLOOKUP(tables_596104!C168,input_596104!A:H,8,FALSE))</f>
        <v>2851.52</v>
      </c>
      <c r="P168" s="40">
        <f t="shared" ca="1" si="7"/>
        <v>5.211111111139673E-4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input_596104!A$2</f>
        <v>596104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IFERROR(VLOOKUP(B169,input_596104!L:R,7,FALSE),VLOOKUP(tables_596104!C169,input_596104!A:H,8,FALSE))</f>
        <v>1728</v>
      </c>
      <c r="P169" s="40">
        <f t="shared" ca="1" si="7"/>
        <v>3.157894736859414E-4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input_596104!A$2</f>
        <v>596104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IFERROR(VLOOKUP(B170,input_596104!L:R,7,FALSE),VLOOKUP(tables_596104!C170,input_596104!A:H,8,FALSE))</f>
        <v>192</v>
      </c>
      <c r="P170" s="40">
        <f t="shared" ca="1" si="7"/>
        <v>3.5087719298437929E-5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input_596104!A$2</f>
        <v>596104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IFERROR(VLOOKUP(B171,input_596104!L:R,7,FALSE),VLOOKUP(tables_596104!C171,input_596104!A:H,8,FALSE))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input_596104!A$2</f>
        <v>596104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IFERROR(VLOOKUP(B172,input_596104!L:R,7,FALSE),VLOOKUP(tables_596104!C172,input_596104!A:H,8,FALSE))</f>
        <v>110867.09759999999</v>
      </c>
      <c r="P172" s="40">
        <f t="shared" ca="1" si="7"/>
        <v>2.0260800000111049E-2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input_596104!A$2</f>
        <v>596104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IFERROR(VLOOKUP(B173,input_596104!L:R,7,FALSE),VLOOKUP(tables_596104!C173,input_596104!A:H,8,FALSE))</f>
        <v>5859.10491</v>
      </c>
      <c r="P173" s="40">
        <f t="shared" ca="1" si="7"/>
        <v>1.070742856365518E-3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input_596104!A$2</f>
        <v>596104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IFERROR(VLOOKUP(B174,input_596104!L:R,7,FALSE),VLOOKUP(tables_596104!C174,input_596104!A:H,8,FALSE))</f>
        <v>1728</v>
      </c>
      <c r="P174" s="40">
        <f t="shared" ca="1" si="7"/>
        <v>3.157894736859414E-4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input_596104!A$2</f>
        <v>596104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IFERROR(VLOOKUP(B175,input_596104!L:R,7,FALSE),VLOOKUP(tables_596104!C175,input_596104!A:H,8,FALSE))</f>
        <v>192</v>
      </c>
      <c r="P175" s="40">
        <f t="shared" ca="1" si="7"/>
        <v>3.5087719298437929E-5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input_596104!A$2</f>
        <v>596104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IFERROR(VLOOKUP(B176,input_596104!L:R,7,FALSE),VLOOKUP(tables_596104!C176,input_596104!A:H,8,FALSE))</f>
        <v>1728</v>
      </c>
      <c r="P176" s="40">
        <f t="shared" ca="1" si="7"/>
        <v>3.157894736859414E-4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input_596104!A$2</f>
        <v>596104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IFERROR(VLOOKUP(B177,input_596104!L:R,7,FALSE),VLOOKUP(tables_596104!C177,input_596104!A:H,8,FALSE))</f>
        <v>192</v>
      </c>
      <c r="P177" s="40">
        <f t="shared" ca="1" si="7"/>
        <v>3.5087719298437929E-5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input_596104!A$2</f>
        <v>596104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IFERROR(VLOOKUP(B178,input_596104!L:R,7,FALSE),VLOOKUP(tables_596104!C178,input_596104!A:H,8,FALSE))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input_596104!A$2</f>
        <v>596104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IFERROR(VLOOKUP(B179,input_596104!L:R,7,FALSE),VLOOKUP(tables_596104!C179,input_596104!A:H,8,FALSE))</f>
        <v>25663.68</v>
      </c>
      <c r="P179" s="40">
        <f t="shared" ca="1" si="7"/>
        <v>4.6900000000257066E-3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input_596104!A$2</f>
        <v>596104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IFERROR(VLOOKUP(B180,input_596104!L:R,7,FALSE),VLOOKUP(tables_596104!C180,input_596104!A:H,8,FALSE))</f>
        <v>2851.52</v>
      </c>
      <c r="P180" s="40">
        <f t="shared" ca="1" si="7"/>
        <v>5.211111111139673E-4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input_596104!A$2</f>
        <v>596104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IFERROR(VLOOKUP(B181,input_596104!L:R,7,FALSE),VLOOKUP(tables_596104!C181,input_596104!A:H,8,FALSE))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input_596104!A$2</f>
        <v>596104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IFERROR(VLOOKUP(B182,input_596104!L:R,7,FALSE),VLOOKUP(tables_596104!C182,input_596104!A:H,8,FALSE))</f>
        <v>110867.09759999999</v>
      </c>
      <c r="P182" s="40">
        <f t="shared" ca="1" si="7"/>
        <v>2.0260800000111049E-2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input_596104!A$2</f>
        <v>596104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IFERROR(VLOOKUP(B183,input_596104!L:R,7,FALSE),VLOOKUP(tables_596104!C183,input_596104!A:H,8,FALSE))</f>
        <v>5859.10491</v>
      </c>
      <c r="P183" s="40">
        <f t="shared" ca="1" si="7"/>
        <v>1.070742856365518E-3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input_596104!A$2</f>
        <v>596104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IFERROR(VLOOKUP(B184,input_596104!L:R,7,FALSE),VLOOKUP(tables_596104!C184,input_596104!A:H,8,FALSE))</f>
        <v>1728</v>
      </c>
      <c r="P184" s="40">
        <f t="shared" ca="1" si="7"/>
        <v>3.157894736859414E-4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input_596104!A$2</f>
        <v>596104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IFERROR(VLOOKUP(B185,input_596104!L:R,7,FALSE),VLOOKUP(tables_596104!C185,input_596104!A:H,8,FALSE))</f>
        <v>192</v>
      </c>
      <c r="P185" s="40">
        <f t="shared" ca="1" si="7"/>
        <v>3.5087719298437929E-5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input_596104!A$2</f>
        <v>596104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IFERROR(VLOOKUP(B186,input_596104!L:R,7,FALSE),VLOOKUP(tables_596104!C186,input_596104!A:H,8,FALSE))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input_596104!A$2</f>
        <v>596104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IFERROR(VLOOKUP(B187,input_596104!L:R,7,FALSE),VLOOKUP(tables_596104!C187,input_596104!A:H,8,FALSE))</f>
        <v>25663.68</v>
      </c>
      <c r="P187" s="40">
        <f t="shared" ca="1" si="7"/>
        <v>4.6900000000257066E-3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input_596104!A$2</f>
        <v>596104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IFERROR(VLOOKUP(B188,input_596104!L:R,7,FALSE),VLOOKUP(tables_596104!C188,input_596104!A:H,8,FALSE))</f>
        <v>2851.52</v>
      </c>
      <c r="P188" s="40">
        <f t="shared" ca="1" si="7"/>
        <v>5.211111111139673E-4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input_596104!A$2</f>
        <v>596104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IFERROR(VLOOKUP(B189,input_596104!L:R,7,FALSE),VLOOKUP(tables_596104!C189,input_596104!A:H,8,FALSE))</f>
        <v>1728</v>
      </c>
      <c r="P189" s="40">
        <f t="shared" ca="1" si="7"/>
        <v>3.157894736859414E-4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input_596104!A$2</f>
        <v>596104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IFERROR(VLOOKUP(B190,input_596104!L:R,7,FALSE),VLOOKUP(tables_596104!C190,input_596104!A:H,8,FALSE))</f>
        <v>192</v>
      </c>
      <c r="P190" s="40">
        <f t="shared" ca="1" si="7"/>
        <v>3.5087719298437929E-5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input_596104!A$2</f>
        <v>596104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IFERROR(VLOOKUP(B191,input_596104!L:R,7,FALSE),VLOOKUP(tables_596104!C191,input_596104!A:H,8,FALSE))</f>
        <v>8208</v>
      </c>
      <c r="P191" s="40">
        <f t="shared" ca="1" si="7"/>
        <v>1.5000000000082215E-3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input_596104!A$2</f>
        <v>596104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IFERROR(VLOOKUP(B192,input_596104!L:R,7,FALSE),VLOOKUP(tables_596104!C192,input_596104!A:H,8,FALSE))</f>
        <v>912</v>
      </c>
      <c r="P192" s="40">
        <f t="shared" ca="1" si="7"/>
        <v>1.6666666666758018E-4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input_596104!A$2</f>
        <v>596104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IFERROR(VLOOKUP(B193,input_596104!L:R,7,FALSE),VLOOKUP(tables_596104!C193,input_596104!A:H,8,FALSE))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input_596104!A$2</f>
        <v>596104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IFERROR(VLOOKUP(B194,input_596104!L:R,7,FALSE),VLOOKUP(tables_596104!C194,input_596104!A:H,8,FALSE))</f>
        <v>25663.68</v>
      </c>
      <c r="P194" s="40">
        <f t="shared" ref="P194:P257" ca="1" si="10">O194/SUM(O:O)</f>
        <v>4.6900000000257066E-3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input_596104!A$2</f>
        <v>596104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IFERROR(VLOOKUP(B195,input_596104!L:R,7,FALSE),VLOOKUP(tables_596104!C195,input_596104!A:H,8,FALSE))</f>
        <v>2851.52</v>
      </c>
      <c r="P195" s="40">
        <f t="shared" ca="1" si="10"/>
        <v>5.211111111139673E-4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input_596104!A$2</f>
        <v>596104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IFERROR(VLOOKUP(B196,input_596104!L:R,7,FALSE),VLOOKUP(tables_596104!C196,input_596104!A:H,8,FALSE))</f>
        <v>1728</v>
      </c>
      <c r="P196" s="40">
        <f t="shared" ca="1" si="10"/>
        <v>3.157894736859414E-4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input_596104!A$2</f>
        <v>596104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IFERROR(VLOOKUP(B197,input_596104!L:R,7,FALSE),VLOOKUP(tables_596104!C197,input_596104!A:H,8,FALSE))</f>
        <v>192</v>
      </c>
      <c r="P197" s="40">
        <f t="shared" ca="1" si="10"/>
        <v>3.5087719298437929E-5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input_596104!A$2</f>
        <v>596104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IFERROR(VLOOKUP(B198,input_596104!L:R,7,FALSE),VLOOKUP(tables_596104!C198,input_596104!A:H,8,FALSE))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input_596104!A$2</f>
        <v>596104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IFERROR(VLOOKUP(B199,input_596104!L:R,7,FALSE),VLOOKUP(tables_596104!C199,input_596104!A:H,8,FALSE))</f>
        <v>25663.68</v>
      </c>
      <c r="P199" s="40">
        <f t="shared" ca="1" si="10"/>
        <v>4.6900000000257066E-3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input_596104!A$2</f>
        <v>596104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IFERROR(VLOOKUP(B200,input_596104!L:R,7,FALSE),VLOOKUP(tables_596104!C200,input_596104!A:H,8,FALSE))</f>
        <v>2851.52</v>
      </c>
      <c r="P200" s="40">
        <f t="shared" ca="1" si="10"/>
        <v>5.211111111139673E-4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input_596104!A$2</f>
        <v>596104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IFERROR(VLOOKUP(B201,input_596104!L:R,7,FALSE),VLOOKUP(tables_596104!C201,input_596104!A:H,8,FALSE))</f>
        <v>8208</v>
      </c>
      <c r="P201" s="40">
        <f t="shared" ca="1" si="10"/>
        <v>1.5000000000082215E-3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input_596104!A$2</f>
        <v>596104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IFERROR(VLOOKUP(B202,input_596104!L:R,7,FALSE),VLOOKUP(tables_596104!C202,input_596104!A:H,8,FALSE))</f>
        <v>912</v>
      </c>
      <c r="P202" s="40">
        <f t="shared" ca="1" si="10"/>
        <v>1.6666666666758018E-4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input_596104!A$2</f>
        <v>596104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IFERROR(VLOOKUP(B203,input_596104!L:R,7,FALSE),VLOOKUP(tables_596104!C203,input_596104!A:H,8,FALSE))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input_596104!A$2</f>
        <v>596104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IFERROR(VLOOKUP(B204,input_596104!L:R,7,FALSE),VLOOKUP(tables_596104!C204,input_596104!A:H,8,FALSE))</f>
        <v>25663.68</v>
      </c>
      <c r="P204" s="40">
        <f t="shared" ca="1" si="10"/>
        <v>4.6900000000257066E-3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input_596104!A$2</f>
        <v>596104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IFERROR(VLOOKUP(B205,input_596104!L:R,7,FALSE),VLOOKUP(tables_596104!C205,input_596104!A:H,8,FALSE))</f>
        <v>2851.52</v>
      </c>
      <c r="P205" s="40">
        <f t="shared" ca="1" si="10"/>
        <v>5.211111111139673E-4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input_596104!A$2</f>
        <v>596104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IFERROR(VLOOKUP(B206,input_596104!L:R,7,FALSE),VLOOKUP(tables_596104!C206,input_596104!A:H,8,FALSE))</f>
        <v>1728</v>
      </c>
      <c r="P206" s="40">
        <f t="shared" ca="1" si="10"/>
        <v>3.157894736859414E-4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input_596104!A$2</f>
        <v>596104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IFERROR(VLOOKUP(B207,input_596104!L:R,7,FALSE),VLOOKUP(tables_596104!C207,input_596104!A:H,8,FALSE))</f>
        <v>192</v>
      </c>
      <c r="P207" s="40">
        <f t="shared" ca="1" si="10"/>
        <v>3.5087719298437929E-5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input_596104!A$2</f>
        <v>596104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IFERROR(VLOOKUP(B208,input_596104!L:R,7,FALSE),VLOOKUP(tables_596104!C208,input_596104!A:H,8,FALSE))</f>
        <v>1728</v>
      </c>
      <c r="P208" s="40">
        <f t="shared" ca="1" si="10"/>
        <v>3.157894736859414E-4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input_596104!A$2</f>
        <v>596104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IFERROR(VLOOKUP(B209,input_596104!L:R,7,FALSE),VLOOKUP(tables_596104!C209,input_596104!A:H,8,FALSE))</f>
        <v>192</v>
      </c>
      <c r="P209" s="40">
        <f t="shared" ca="1" si="10"/>
        <v>3.5087719298437929E-5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input_596104!A$2</f>
        <v>596104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IFERROR(VLOOKUP(B210,input_596104!L:R,7,FALSE),VLOOKUP(tables_596104!C210,input_596104!A:H,8,FALSE))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input_596104!A$2</f>
        <v>596104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IFERROR(VLOOKUP(B211,input_596104!L:R,7,FALSE),VLOOKUP(tables_596104!C211,input_596104!A:H,8,FALSE))</f>
        <v>110867.09759999999</v>
      </c>
      <c r="P211" s="40">
        <f t="shared" ca="1" si="10"/>
        <v>2.0260800000111049E-2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input_596104!A$2</f>
        <v>596104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IFERROR(VLOOKUP(B212,input_596104!L:R,7,FALSE),VLOOKUP(tables_596104!C212,input_596104!A:H,8,FALSE))</f>
        <v>5859.10491</v>
      </c>
      <c r="P212" s="40">
        <f t="shared" ca="1" si="10"/>
        <v>1.070742856365518E-3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input_596104!A$2</f>
        <v>596104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IFERROR(VLOOKUP(B213,input_596104!L:R,7,FALSE),VLOOKUP(tables_596104!C213,input_596104!A:H,8,FALSE))</f>
        <v>1728</v>
      </c>
      <c r="P213" s="40">
        <f t="shared" ca="1" si="10"/>
        <v>3.157894736859414E-4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input_596104!A$2</f>
        <v>596104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IFERROR(VLOOKUP(B214,input_596104!L:R,7,FALSE),VLOOKUP(tables_596104!C214,input_596104!A:H,8,FALSE))</f>
        <v>192</v>
      </c>
      <c r="P214" s="40">
        <f t="shared" ca="1" si="10"/>
        <v>3.5087719298437929E-5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input_596104!A$2</f>
        <v>596104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IFERROR(VLOOKUP(B215,input_596104!L:R,7,FALSE),VLOOKUP(tables_596104!C215,input_596104!A:H,8,FALSE))</f>
        <v>1527.184</v>
      </c>
      <c r="P215" s="40">
        <f t="shared" ca="1" si="10"/>
        <v>2.7909064327638351E-4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input_596104!A$2</f>
        <v>596104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IFERROR(VLOOKUP(B216,input_596104!L:R,7,FALSE),VLOOKUP(tables_596104!C216,input_596104!A:H,8,FALSE))</f>
        <v>1527.184</v>
      </c>
      <c r="P216" s="40">
        <f t="shared" ca="1" si="10"/>
        <v>2.7909064327638351E-4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input_596104!A$2</f>
        <v>596104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IFERROR(VLOOKUP(B217,input_596104!L:R,7,FALSE),VLOOKUP(tables_596104!C217,input_596104!A:H,8,FALSE))</f>
        <v>7628.2806899999996</v>
      </c>
      <c r="P217" s="40">
        <f t="shared" ca="1" si="10"/>
        <v>1.3940571436479917E-3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input_596104!A$2</f>
        <v>596104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IFERROR(VLOOKUP(B218,input_596104!L:R,7,FALSE),VLOOKUP(tables_596104!C218,input_596104!A:H,8,FALSE))</f>
        <v>1527.184</v>
      </c>
      <c r="P218" s="40">
        <f t="shared" ca="1" si="10"/>
        <v>2.7909064327638351E-4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input_596104!A$2</f>
        <v>596104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IFERROR(VLOOKUP(B219,input_596104!L:R,7,FALSE),VLOOKUP(tables_596104!C219,input_596104!A:H,8,FALSE))</f>
        <v>7628.2806899999996</v>
      </c>
      <c r="P219" s="40">
        <f t="shared" ca="1" si="10"/>
        <v>1.3940571436479917E-3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input_596104!A$2</f>
        <v>596104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IFERROR(VLOOKUP(B220,input_596104!L:R,7,FALSE),VLOOKUP(tables_596104!C220,input_596104!A:H,8,FALSE))</f>
        <v>1527.184</v>
      </c>
      <c r="P220" s="40">
        <f t="shared" ca="1" si="10"/>
        <v>2.7909064327638351E-4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input_596104!A$2</f>
        <v>596104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IFERROR(VLOOKUP(B221,input_596104!L:R,7,FALSE),VLOOKUP(tables_596104!C221,input_596104!A:H,8,FALSE))</f>
        <v>1728</v>
      </c>
      <c r="P221" s="40">
        <f t="shared" ca="1" si="10"/>
        <v>3.157894736859414E-4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input_596104!A$2</f>
        <v>596104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IFERROR(VLOOKUP(B222,input_596104!L:R,7,FALSE),VLOOKUP(tables_596104!C222,input_596104!A:H,8,FALSE))</f>
        <v>192</v>
      </c>
      <c r="P222" s="40">
        <f t="shared" ca="1" si="10"/>
        <v>3.5087719298437929E-5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input_596104!A$2</f>
        <v>596104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IFERROR(VLOOKUP(B223,input_596104!L:R,7,FALSE),VLOOKUP(tables_596104!C223,input_596104!A:H,8,FALSE))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input_596104!A$2</f>
        <v>596104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IFERROR(VLOOKUP(B224,input_596104!L:R,7,FALSE),VLOOKUP(tables_596104!C224,input_596104!A:H,8,FALSE))</f>
        <v>25663.68</v>
      </c>
      <c r="P224" s="40">
        <f t="shared" ca="1" si="10"/>
        <v>4.6900000000257066E-3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input_596104!A$2</f>
        <v>596104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IFERROR(VLOOKUP(B225,input_596104!L:R,7,FALSE),VLOOKUP(tables_596104!C225,input_596104!A:H,8,FALSE))</f>
        <v>2851.52</v>
      </c>
      <c r="P225" s="40">
        <f t="shared" ca="1" si="10"/>
        <v>5.211111111139673E-4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input_596104!A$2</f>
        <v>596104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IFERROR(VLOOKUP(B226,input_596104!L:R,7,FALSE),VLOOKUP(tables_596104!C226,input_596104!A:H,8,FALSE))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input_596104!A$2</f>
        <v>596104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IFERROR(VLOOKUP(B227,input_596104!L:R,7,FALSE),VLOOKUP(tables_596104!C227,input_596104!A:H,8,FALSE))</f>
        <v>110867.09759999999</v>
      </c>
      <c r="P227" s="40">
        <f t="shared" ca="1" si="10"/>
        <v>2.0260800000111049E-2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input_596104!A$2</f>
        <v>596104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IFERROR(VLOOKUP(B228,input_596104!L:R,7,FALSE),VLOOKUP(tables_596104!C228,input_596104!A:H,8,FALSE))</f>
        <v>5859.10491</v>
      </c>
      <c r="P228" s="40">
        <f t="shared" ca="1" si="10"/>
        <v>1.070742856365518E-3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input_596104!A$2</f>
        <v>596104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IFERROR(VLOOKUP(B229,input_596104!L:R,7,FALSE),VLOOKUP(tables_596104!C229,input_596104!A:H,8,FALSE))</f>
        <v>1728</v>
      </c>
      <c r="P229" s="40">
        <f t="shared" ca="1" si="10"/>
        <v>3.157894736859414E-4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input_596104!A$2</f>
        <v>596104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IFERROR(VLOOKUP(B230,input_596104!L:R,7,FALSE),VLOOKUP(tables_596104!C230,input_596104!A:H,8,FALSE))</f>
        <v>192</v>
      </c>
      <c r="P230" s="40">
        <f t="shared" ca="1" si="10"/>
        <v>3.5087719298437929E-5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input_596104!A$2</f>
        <v>596104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IFERROR(VLOOKUP(B231,input_596104!L:R,7,FALSE),VLOOKUP(tables_596104!C231,input_596104!A:H,8,FALSE))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input_596104!A$2</f>
        <v>596104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IFERROR(VLOOKUP(B232,input_596104!L:R,7,FALSE),VLOOKUP(tables_596104!C232,input_596104!A:H,8,FALSE))</f>
        <v>25663.68</v>
      </c>
      <c r="P232" s="40">
        <f t="shared" ca="1" si="10"/>
        <v>4.6900000000257066E-3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input_596104!A$2</f>
        <v>596104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IFERROR(VLOOKUP(B233,input_596104!L:R,7,FALSE),VLOOKUP(tables_596104!C233,input_596104!A:H,8,FALSE))</f>
        <v>2851.52</v>
      </c>
      <c r="P233" s="40">
        <f t="shared" ca="1" si="10"/>
        <v>5.211111111139673E-4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input_596104!A$2</f>
        <v>596104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IFERROR(VLOOKUP(B234,input_596104!L:R,7,FALSE),VLOOKUP(tables_596104!C234,input_596104!A:H,8,FALSE))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input_596104!A$2</f>
        <v>596104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IFERROR(VLOOKUP(B235,input_596104!L:R,7,FALSE),VLOOKUP(tables_596104!C235,input_596104!A:H,8,FALSE))</f>
        <v>25663.68</v>
      </c>
      <c r="P235" s="40">
        <f t="shared" ca="1" si="10"/>
        <v>4.6900000000257066E-3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input_596104!A$2</f>
        <v>596104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IFERROR(VLOOKUP(B236,input_596104!L:R,7,FALSE),VLOOKUP(tables_596104!C236,input_596104!A:H,8,FALSE))</f>
        <v>2851.52</v>
      </c>
      <c r="P236" s="40">
        <f t="shared" ca="1" si="10"/>
        <v>5.211111111139673E-4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input_596104!A$2</f>
        <v>596104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IFERROR(VLOOKUP(B237,input_596104!L:R,7,FALSE),VLOOKUP(tables_596104!C237,input_596104!A:H,8,FALSE))</f>
        <v>8208</v>
      </c>
      <c r="P237" s="40">
        <f t="shared" ca="1" si="10"/>
        <v>1.5000000000082215E-3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input_596104!A$2</f>
        <v>596104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IFERROR(VLOOKUP(B238,input_596104!L:R,7,FALSE),VLOOKUP(tables_596104!C238,input_596104!A:H,8,FALSE))</f>
        <v>912</v>
      </c>
      <c r="P238" s="40">
        <f t="shared" ca="1" si="10"/>
        <v>1.6666666666758018E-4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input_596104!A$2</f>
        <v>596104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IFERROR(VLOOKUP(B239,input_596104!L:R,7,FALSE),VLOOKUP(tables_596104!C239,input_596104!A:H,8,FALSE))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input_596104!A$2</f>
        <v>596104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IFERROR(VLOOKUP(B240,input_596104!L:R,7,FALSE),VLOOKUP(tables_596104!C240,input_596104!A:H,8,FALSE))</f>
        <v>25663.68</v>
      </c>
      <c r="P240" s="40">
        <f t="shared" ca="1" si="10"/>
        <v>4.6900000000257066E-3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input_596104!A$2</f>
        <v>596104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IFERROR(VLOOKUP(B241,input_596104!L:R,7,FALSE),VLOOKUP(tables_596104!C241,input_596104!A:H,8,FALSE))</f>
        <v>2851.52</v>
      </c>
      <c r="P241" s="40">
        <f t="shared" ca="1" si="10"/>
        <v>5.211111111139673E-4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input_596104!A$2</f>
        <v>596104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IFERROR(VLOOKUP(B242,input_596104!L:R,7,FALSE),VLOOKUP(tables_596104!C242,input_596104!A:H,8,FALSE))</f>
        <v>1728</v>
      </c>
      <c r="P242" s="40">
        <f t="shared" ca="1" si="10"/>
        <v>3.157894736859414E-4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input_596104!A$2</f>
        <v>596104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IFERROR(VLOOKUP(B243,input_596104!L:R,7,FALSE),VLOOKUP(tables_596104!C243,input_596104!A:H,8,FALSE))</f>
        <v>192</v>
      </c>
      <c r="P243" s="40">
        <f t="shared" ca="1" si="10"/>
        <v>3.5087719298437929E-5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input_596104!A$2</f>
        <v>596104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IFERROR(VLOOKUP(B244,input_596104!L:R,7,FALSE),VLOOKUP(tables_596104!C244,input_596104!A:H,8,FALSE))</f>
        <v>1728</v>
      </c>
      <c r="P244" s="40">
        <f t="shared" ca="1" si="10"/>
        <v>3.157894736859414E-4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input_596104!A$2</f>
        <v>596104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IFERROR(VLOOKUP(B245,input_596104!L:R,7,FALSE),VLOOKUP(tables_596104!C245,input_596104!A:H,8,FALSE))</f>
        <v>192</v>
      </c>
      <c r="P245" s="40">
        <f t="shared" ca="1" si="10"/>
        <v>3.5087719298437929E-5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input_596104!A$2</f>
        <v>596104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IFERROR(VLOOKUP(B246,input_596104!L:R,7,FALSE),VLOOKUP(tables_596104!C246,input_596104!A:H,8,FALSE))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input_596104!A$2</f>
        <v>596104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IFERROR(VLOOKUP(B247,input_596104!L:R,7,FALSE),VLOOKUP(tables_596104!C247,input_596104!A:H,8,FALSE))</f>
        <v>110867.09759999999</v>
      </c>
      <c r="P247" s="40">
        <f t="shared" ca="1" si="10"/>
        <v>2.0260800000111049E-2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input_596104!A$2</f>
        <v>596104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IFERROR(VLOOKUP(B248,input_596104!L:R,7,FALSE),VLOOKUP(tables_596104!C248,input_596104!A:H,8,FALSE))</f>
        <v>5859.10491</v>
      </c>
      <c r="P248" s="40">
        <f t="shared" ca="1" si="10"/>
        <v>1.070742856365518E-3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input_596104!A$2</f>
        <v>596104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IFERROR(VLOOKUP(B249,input_596104!L:R,7,FALSE),VLOOKUP(tables_596104!C249,input_596104!A:H,8,FALSE))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input_596104!A$2</f>
        <v>596104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IFERROR(VLOOKUP(B250,input_596104!L:R,7,FALSE),VLOOKUP(tables_596104!C250,input_596104!A:H,8,FALSE))</f>
        <v>25663.68</v>
      </c>
      <c r="P250" s="40">
        <f t="shared" ca="1" si="10"/>
        <v>4.6900000000257066E-3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input_596104!A$2</f>
        <v>596104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IFERROR(VLOOKUP(B251,input_596104!L:R,7,FALSE),VLOOKUP(tables_596104!C251,input_596104!A:H,8,FALSE))</f>
        <v>2851.52</v>
      </c>
      <c r="P251" s="40">
        <f t="shared" ca="1" si="10"/>
        <v>5.211111111139673E-4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input_596104!A$2</f>
        <v>596104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IFERROR(VLOOKUP(B252,input_596104!L:R,7,FALSE),VLOOKUP(tables_596104!C252,input_596104!A:H,8,FALSE))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input_596104!A$2</f>
        <v>596104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IFERROR(VLOOKUP(B253,input_596104!L:R,7,FALSE),VLOOKUP(tables_596104!C253,input_596104!A:H,8,FALSE))</f>
        <v>25663.68</v>
      </c>
      <c r="P253" s="40">
        <f t="shared" ca="1" si="10"/>
        <v>4.6900000000257066E-3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input_596104!A$2</f>
        <v>596104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IFERROR(VLOOKUP(B254,input_596104!L:R,7,FALSE),VLOOKUP(tables_596104!C254,input_596104!A:H,8,FALSE))</f>
        <v>2851.52</v>
      </c>
      <c r="P254" s="40">
        <f t="shared" ca="1" si="10"/>
        <v>5.211111111139673E-4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input_596104!A$2</f>
        <v>596104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IFERROR(VLOOKUP(B255,input_596104!L:R,7,FALSE),VLOOKUP(tables_596104!C255,input_596104!A:H,8,FALSE))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input_596104!A$2</f>
        <v>596104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IFERROR(VLOOKUP(B256,input_596104!L:R,7,FALSE),VLOOKUP(tables_596104!C256,input_596104!A:H,8,FALSE))</f>
        <v>25663.68</v>
      </c>
      <c r="P256" s="40">
        <f t="shared" ca="1" si="10"/>
        <v>4.6900000000257066E-3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input_596104!A$2</f>
        <v>596104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IFERROR(VLOOKUP(B257,input_596104!L:R,7,FALSE),VLOOKUP(tables_596104!C257,input_596104!A:H,8,FALSE))</f>
        <v>2851.52</v>
      </c>
      <c r="P257" s="40">
        <f t="shared" ca="1" si="10"/>
        <v>5.211111111139673E-4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input_596104!A$2</f>
        <v>596104</v>
      </c>
      <c r="B258" s="52">
        <v>674</v>
      </c>
      <c r="C258" s="7" t="str">
        <f t="shared" ref="C258:C321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IFERROR(VLOOKUP(B258,input_596104!L:R,7,FALSE),VLOOKUP(tables_596104!C258,input_596104!A:H,8,FALSE))</f>
        <v>8208</v>
      </c>
      <c r="P258" s="40">
        <f t="shared" ref="P258:P305" ca="1" si="13">O258/SUM(O:O)</f>
        <v>1.5000000000082215E-3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input_596104!A$2</f>
        <v>596104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IFERROR(VLOOKUP(B259,input_596104!L:R,7,FALSE),VLOOKUP(tables_596104!C259,input_596104!A:H,8,FALSE))</f>
        <v>912</v>
      </c>
      <c r="P259" s="40">
        <f t="shared" ca="1" si="13"/>
        <v>1.6666666666758018E-4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input_596104!A$2</f>
        <v>596104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IFERROR(VLOOKUP(B260,input_596104!L:R,7,FALSE),VLOOKUP(tables_596104!C260,input_596104!A:H,8,FALSE))</f>
        <v>1728</v>
      </c>
      <c r="P260" s="40">
        <f t="shared" ca="1" si="13"/>
        <v>3.157894736859414E-4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input_596104!A$2</f>
        <v>596104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IFERROR(VLOOKUP(B261,input_596104!L:R,7,FALSE),VLOOKUP(tables_596104!C261,input_596104!A:H,8,FALSE))</f>
        <v>192</v>
      </c>
      <c r="P261" s="40">
        <f t="shared" ca="1" si="13"/>
        <v>3.5087719298437929E-5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input_596104!A$2</f>
        <v>596104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IFERROR(VLOOKUP(B262,input_596104!L:R,7,FALSE),VLOOKUP(tables_596104!C262,input_596104!A:H,8,FALSE))</f>
        <v>26606.22</v>
      </c>
      <c r="P262" s="40">
        <f t="shared" ca="1" si="13"/>
        <v>4.8622478070441946E-3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input_596104!A$2</f>
        <v>596104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IFERROR(VLOOKUP(B263,input_596104!L:R,7,FALSE),VLOOKUP(tables_596104!C263,input_596104!A:H,8,FALSE))</f>
        <v>1527.184</v>
      </c>
      <c r="P263" s="40">
        <f t="shared" ca="1" si="13"/>
        <v>2.7909064327638351E-4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input_596104!A$2</f>
        <v>596104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IFERROR(VLOOKUP(B264,input_596104!L:R,7,FALSE),VLOOKUP(tables_596104!C264,input_596104!A:H,8,FALSE))</f>
        <v>26606.22</v>
      </c>
      <c r="P264" s="40">
        <f t="shared" ca="1" si="13"/>
        <v>4.8622478070441946E-3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input_596104!A$2</f>
        <v>596104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IFERROR(VLOOKUP(B265,input_596104!L:R,7,FALSE),VLOOKUP(tables_596104!C265,input_596104!A:H,8,FALSE))</f>
        <v>1527.184</v>
      </c>
      <c r="P265" s="40">
        <f t="shared" ca="1" si="13"/>
        <v>2.7909064327638351E-4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input_596104!A$2</f>
        <v>596104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IFERROR(VLOOKUP(B266,input_596104!L:R,7,FALSE),VLOOKUP(tables_596104!C266,input_596104!A:H,8,FALSE))</f>
        <v>9120</v>
      </c>
      <c r="P266" s="40">
        <f t="shared" ca="1" si="13"/>
        <v>1.6666666666758018E-3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input_596104!A$2</f>
        <v>596104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IFERROR(VLOOKUP(B267,input_596104!L:R,7,FALSE),VLOOKUP(tables_596104!C267,input_596104!A:H,8,FALSE))</f>
        <v>1920</v>
      </c>
      <c r="P267" s="40">
        <f t="shared" ca="1" si="13"/>
        <v>3.5087719298437933E-4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input_596104!A$2</f>
        <v>596104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IFERROR(VLOOKUP(B268,input_596104!L:R,7,FALSE),VLOOKUP(tables_596104!C268,input_596104!A:H,8,FALSE))</f>
        <v>1920</v>
      </c>
      <c r="P268" s="40">
        <f t="shared" ca="1" si="13"/>
        <v>3.5087719298437933E-4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input_596104!A$2</f>
        <v>596104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IFERROR(VLOOKUP(B269,input_596104!L:R,7,FALSE),VLOOKUP(tables_596104!C269,input_596104!A:H,8,FALSE))</f>
        <v>1920</v>
      </c>
      <c r="P269" s="40">
        <f t="shared" ca="1" si="13"/>
        <v>3.5087719298437933E-4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input_596104!A$2</f>
        <v>596104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IFERROR(VLOOKUP(B270,input_596104!L:R,7,FALSE),VLOOKUP(tables_596104!C270,input_596104!A:H,8,FALSE))</f>
        <v>112506.07104</v>
      </c>
      <c r="P270" s="40">
        <f t="shared" ca="1" si="13"/>
        <v>2.0560320000112691E-2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input_596104!A$2</f>
        <v>596104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IFERROR(VLOOKUP(B271,input_596104!L:R,7,FALSE),VLOOKUP(tables_596104!C271,input_596104!A:H,8,FALSE))</f>
        <v>7628.2806899999996</v>
      </c>
      <c r="P271" s="40">
        <f t="shared" ca="1" si="13"/>
        <v>1.3940571436479917E-3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input_596104!A$2</f>
        <v>596104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IFERROR(VLOOKUP(B272,input_596104!L:R,7,FALSE),VLOOKUP(tables_596104!C272,input_596104!A:H,8,FALSE))</f>
        <v>26606.22</v>
      </c>
      <c r="P272" s="40">
        <f t="shared" ca="1" si="13"/>
        <v>4.8622478070441946E-3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input_596104!A$2</f>
        <v>596104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IFERROR(VLOOKUP(B273,input_596104!L:R,7,FALSE),VLOOKUP(tables_596104!C273,input_596104!A:H,8,FALSE))</f>
        <v>1527.184</v>
      </c>
      <c r="P273" s="40">
        <f t="shared" ca="1" si="13"/>
        <v>2.7909064327638351E-4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input_596104!A$2</f>
        <v>596104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IFERROR(VLOOKUP(B274,input_596104!L:R,7,FALSE),VLOOKUP(tables_596104!C274,input_596104!A:H,8,FALSE))</f>
        <v>1728</v>
      </c>
      <c r="P274" s="40">
        <f t="shared" ca="1" si="13"/>
        <v>3.157894736859414E-4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input_596104!A$2</f>
        <v>596104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IFERROR(VLOOKUP(B275,input_596104!L:R,7,FALSE),VLOOKUP(tables_596104!C275,input_596104!A:H,8,FALSE))</f>
        <v>192</v>
      </c>
      <c r="P275" s="40">
        <f t="shared" ca="1" si="13"/>
        <v>3.5087719298437929E-5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input_596104!A$2</f>
        <v>596104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IFERROR(VLOOKUP(B276,input_596104!L:R,7,FALSE),VLOOKUP(tables_596104!C276,input_596104!A:H,8,FALSE))</f>
        <v>1728</v>
      </c>
      <c r="P276" s="40">
        <f t="shared" ca="1" si="13"/>
        <v>3.157894736859414E-4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input_596104!A$2</f>
        <v>596104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IFERROR(VLOOKUP(B277,input_596104!L:R,7,FALSE),VLOOKUP(tables_596104!C277,input_596104!A:H,8,FALSE))</f>
        <v>192</v>
      </c>
      <c r="P277" s="40">
        <f t="shared" ca="1" si="13"/>
        <v>3.5087719298437929E-5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input_596104!A$2</f>
        <v>596104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IFERROR(VLOOKUP(B278,input_596104!L:R,7,FALSE),VLOOKUP(tables_596104!C278,input_596104!A:H,8,FALSE))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input_596104!A$2</f>
        <v>596104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IFERROR(VLOOKUP(B279,input_596104!L:R,7,FALSE),VLOOKUP(tables_596104!C279,input_596104!A:H,8,FALSE))</f>
        <v>110867.09759999999</v>
      </c>
      <c r="P279" s="40">
        <f t="shared" ca="1" si="13"/>
        <v>2.0260800000111049E-2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input_596104!A$2</f>
        <v>596104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IFERROR(VLOOKUP(B280,input_596104!L:R,7,FALSE),VLOOKUP(tables_596104!C280,input_596104!A:H,8,FALSE))</f>
        <v>5859.10491</v>
      </c>
      <c r="P280" s="40">
        <f t="shared" ca="1" si="13"/>
        <v>1.070742856365518E-3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input_596104!A$2</f>
        <v>596104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IFERROR(VLOOKUP(B281,input_596104!L:R,7,FALSE),VLOOKUP(tables_596104!C281,input_596104!A:H,8,FALSE))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input_596104!A$2</f>
        <v>596104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IFERROR(VLOOKUP(B282,input_596104!L:R,7,FALSE),VLOOKUP(tables_596104!C282,input_596104!A:H,8,FALSE))</f>
        <v>25663.68</v>
      </c>
      <c r="P282" s="40">
        <f t="shared" ca="1" si="13"/>
        <v>4.6900000000257066E-3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input_596104!A$2</f>
        <v>596104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IFERROR(VLOOKUP(B283,input_596104!L:R,7,FALSE),VLOOKUP(tables_596104!C283,input_596104!A:H,8,FALSE))</f>
        <v>2851.52</v>
      </c>
      <c r="P283" s="40">
        <f t="shared" ca="1" si="13"/>
        <v>5.211111111139673E-4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input_596104!A$2</f>
        <v>596104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IFERROR(VLOOKUP(B284,input_596104!L:R,7,FALSE),VLOOKUP(tables_596104!C284,input_596104!A:H,8,FALSE))</f>
        <v>1920</v>
      </c>
      <c r="P284" s="40">
        <f t="shared" ca="1" si="13"/>
        <v>3.5087719298437933E-4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input_596104!A$2</f>
        <v>596104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IFERROR(VLOOKUP(B285,input_596104!L:R,7,FALSE),VLOOKUP(tables_596104!C285,input_596104!A:H,8,FALSE))</f>
        <v>1920</v>
      </c>
      <c r="P285" s="40">
        <f t="shared" ca="1" si="13"/>
        <v>3.5087719298437933E-4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input_596104!A$2</f>
        <v>596104</v>
      </c>
      <c r="B286" s="5">
        <v>852</v>
      </c>
      <c r="C286" s="7" t="str">
        <f t="shared" si="12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IFERROR(VLOOKUP(B286,input_596104!L:R,7,FALSE),VLOOKUP(tables_596104!C286,input_596104!A:H,8,FALSE))</f>
        <v>112506.07104</v>
      </c>
      <c r="P286" s="40">
        <f t="shared" ca="1" si="13"/>
        <v>2.0560320000112691E-2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input_596104!A$2</f>
        <v>596104</v>
      </c>
      <c r="B287" s="5">
        <v>853</v>
      </c>
      <c r="C287" s="7" t="str">
        <f t="shared" si="12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IFERROR(VLOOKUP(B287,input_596104!L:R,7,FALSE),VLOOKUP(tables_596104!C287,input_596104!A:H,8,FALSE))</f>
        <v>7628.2806899999996</v>
      </c>
      <c r="P287" s="40">
        <f t="shared" ca="1" si="13"/>
        <v>1.3940571436479917E-3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input_596104!A$2</f>
        <v>596104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IFERROR(VLOOKUP(B288,input_596104!L:R,7,FALSE),VLOOKUP(tables_596104!C288,input_596104!A:H,8,FALSE))</f>
        <v>26606.22</v>
      </c>
      <c r="P288" s="40">
        <f t="shared" ca="1" si="13"/>
        <v>4.8622478070441946E-3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input_596104!A$2</f>
        <v>596104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IFERROR(VLOOKUP(B289,input_596104!L:R,7,FALSE),VLOOKUP(tables_596104!C289,input_596104!A:H,8,FALSE))</f>
        <v>1527.184</v>
      </c>
      <c r="P289" s="40">
        <f t="shared" ca="1" si="13"/>
        <v>2.7909064327638351E-4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input_596104!A$2</f>
        <v>596104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IFERROR(VLOOKUP(B290,input_596104!L:R,7,FALSE),VLOOKUP(tables_596104!C290,input_596104!A:H,8,FALSE))</f>
        <v>26606.22</v>
      </c>
      <c r="P290" s="40">
        <f t="shared" ca="1" si="13"/>
        <v>4.8622478070441946E-3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input_596104!A$2</f>
        <v>596104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IFERROR(VLOOKUP(B291,input_596104!L:R,7,FALSE),VLOOKUP(tables_596104!C291,input_596104!A:H,8,FALSE))</f>
        <v>1527.184</v>
      </c>
      <c r="P291" s="40">
        <f t="shared" ca="1" si="13"/>
        <v>2.7909064327638351E-4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input_596104!A$2</f>
        <v>596104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IFERROR(VLOOKUP(B292,input_596104!L:R,7,FALSE),VLOOKUP(tables_596104!C292,input_596104!A:H,8,FALSE))</f>
        <v>26606.22</v>
      </c>
      <c r="P292" s="40">
        <f t="shared" ca="1" si="13"/>
        <v>4.8622478070441946E-3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input_596104!A$2</f>
        <v>596104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IFERROR(VLOOKUP(B293,input_596104!L:R,7,FALSE),VLOOKUP(tables_596104!C293,input_596104!A:H,8,FALSE))</f>
        <v>1527.184</v>
      </c>
      <c r="P293" s="40">
        <f t="shared" ca="1" si="13"/>
        <v>2.7909064327638351E-4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input_596104!A$2</f>
        <v>596104</v>
      </c>
      <c r="B294" s="5">
        <v>866</v>
      </c>
      <c r="C294" s="7" t="str">
        <f t="shared" si="12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IFERROR(VLOOKUP(B294,input_596104!L:R,7,FALSE),VLOOKUP(tables_596104!C294,input_596104!A:H,8,FALSE))</f>
        <v>9120</v>
      </c>
      <c r="P294" s="40">
        <f t="shared" ca="1" si="13"/>
        <v>1.6666666666758018E-3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input_596104!A$2</f>
        <v>596104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IFERROR(VLOOKUP(B295,input_596104!L:R,7,FALSE),VLOOKUP(tables_596104!C295,input_596104!A:H,8,FALSE))</f>
        <v>1920</v>
      </c>
      <c r="P295" s="40">
        <f t="shared" ca="1" si="13"/>
        <v>3.5087719298437933E-4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input_596104!A$2</f>
        <v>596104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IFERROR(VLOOKUP(B296,input_596104!L:R,7,FALSE),VLOOKUP(tables_596104!C296,input_596104!A:H,8,FALSE))</f>
        <v>1920</v>
      </c>
      <c r="P296" s="40">
        <f t="shared" ca="1" si="13"/>
        <v>3.5087719298437933E-4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input_596104!A$2</f>
        <v>596104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IFERROR(VLOOKUP(B297,input_596104!L:R,7,FALSE),VLOOKUP(tables_596104!C297,input_596104!A:H,8,FALSE))</f>
        <v>26606.22</v>
      </c>
      <c r="P297" s="40">
        <f t="shared" ca="1" si="13"/>
        <v>4.8622478070441946E-3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input_596104!A$2</f>
        <v>596104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IFERROR(VLOOKUP(B298,input_596104!L:R,7,FALSE),VLOOKUP(tables_596104!C298,input_596104!A:H,8,FALSE))</f>
        <v>1527.184</v>
      </c>
      <c r="P298" s="40">
        <f t="shared" ca="1" si="13"/>
        <v>2.7909064327638351E-4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input_596104!A$2</f>
        <v>596104</v>
      </c>
      <c r="B299" s="5">
        <v>941</v>
      </c>
      <c r="C299" s="7" t="str">
        <f t="shared" si="12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IFERROR(VLOOKUP(B299,input_596104!L:R,7,FALSE),VLOOKUP(tables_596104!C299,input_596104!A:H,8,FALSE))</f>
        <v>9120</v>
      </c>
      <c r="P299" s="40">
        <f t="shared" ca="1" si="13"/>
        <v>1.6666666666758018E-3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input_596104!A$2</f>
        <v>596104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IFERROR(VLOOKUP(B300,input_596104!L:R,7,FALSE),VLOOKUP(tables_596104!C300,input_596104!A:H,8,FALSE))</f>
        <v>1920</v>
      </c>
      <c r="P300" s="40">
        <f t="shared" ca="1" si="13"/>
        <v>3.5087719298437933E-4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input_596104!A$2</f>
        <v>596104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IFERROR(VLOOKUP(B301,input_596104!L:R,7,FALSE),VLOOKUP(tables_596104!C301,input_596104!A:H,8,FALSE))</f>
        <v>1920</v>
      </c>
      <c r="P301" s="40">
        <f t="shared" ca="1" si="13"/>
        <v>3.5087719298437933E-4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input_596104!A$2</f>
        <v>596104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IFERROR(VLOOKUP(B302,input_596104!L:R,7,FALSE),VLOOKUP(tables_596104!C302,input_596104!A:H,8,FALSE))</f>
        <v>1920</v>
      </c>
      <c r="P302" s="40">
        <f t="shared" ca="1" si="13"/>
        <v>3.5087719298437933E-4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input_596104!A$2</f>
        <v>596104</v>
      </c>
      <c r="B303" s="5">
        <v>1016</v>
      </c>
      <c r="C303" s="7" t="str">
        <f t="shared" si="12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IFERROR(VLOOKUP(B303,input_596104!L:R,7,FALSE),VLOOKUP(tables_596104!C303,input_596104!A:H,8,FALSE))</f>
        <v>112506.07104</v>
      </c>
      <c r="P303" s="40">
        <f t="shared" ca="1" si="13"/>
        <v>2.0560320000112691E-2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input_596104!A$2</f>
        <v>596104</v>
      </c>
      <c r="B304" s="5">
        <v>1017</v>
      </c>
      <c r="C304" s="7" t="str">
        <f t="shared" si="12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IFERROR(VLOOKUP(B304,input_596104!L:R,7,FALSE),VLOOKUP(tables_596104!C304,input_596104!A:H,8,FALSE))</f>
        <v>7628.2806899999996</v>
      </c>
      <c r="P304" s="40">
        <f t="shared" ca="1" si="13"/>
        <v>1.3940571436479917E-3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input_596104!A$2</f>
        <v>596104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IFERROR(VLOOKUP(B305,input_596104!L:R,7,FALSE),VLOOKUP(tables_596104!C305,input_596104!A:H,8,FALSE))</f>
        <v>1920</v>
      </c>
      <c r="P305" s="40">
        <f t="shared" ca="1" si="13"/>
        <v>3.5087719298437933E-4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input_596104!A$2</f>
        <v>596104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IFERROR(VLOOKUP(B306,input_596104!L:R,7,FALSE),VLOOKUP(tables_596104!C306,input_596104!A:H,8,FALSE))</f>
        <v>26606.22</v>
      </c>
      <c r="P306" s="40">
        <f t="shared" ref="P306:P310" ca="1" si="15">O306/SUM(O:O)</f>
        <v>4.8622478070441946E-3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input_596104!A$2</f>
        <v>596104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IFERROR(VLOOKUP(B307,input_596104!L:R,7,FALSE),VLOOKUP(tables_596104!C307,input_596104!A:H,8,FALSE))</f>
        <v>1527.184</v>
      </c>
      <c r="P307" s="40">
        <f t="shared" ca="1" si="15"/>
        <v>2.7909064327638351E-4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input_596104!A$2</f>
        <v>596104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IFERROR(VLOOKUP(B308,input_596104!L:R,7,FALSE),VLOOKUP(tables_596104!C308,input_596104!A:H,8,FALSE))</f>
        <v>1920</v>
      </c>
      <c r="P308" s="40">
        <f t="shared" ca="1" si="15"/>
        <v>3.5087719298437933E-4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input_596104!A$2</f>
        <v>596104</v>
      </c>
      <c r="B309" s="5">
        <v>1031</v>
      </c>
      <c r="C309" s="7" t="str">
        <f t="shared" si="12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IFERROR(VLOOKUP(B309,input_596104!L:R,7,FALSE),VLOOKUP(tables_596104!C309,input_596104!A:H,8,FALSE))</f>
        <v>9120</v>
      </c>
      <c r="P309" s="40">
        <f t="shared" ca="1" si="15"/>
        <v>1.6666666666758018E-3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input_596104!A$2</f>
        <v>596104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IFERROR(VLOOKUP(B310,input_596104!L:R,7,FALSE),VLOOKUP(tables_596104!C310,input_596104!A:H,8,FALSE))</f>
        <v>1920</v>
      </c>
      <c r="P310" s="40">
        <f t="shared" ca="1" si="15"/>
        <v>3.5087719298437933E-4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input_596104!A$2</f>
        <v>596104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IFERROR(VLOOKUP(B311,input_596104!L:R,7,FALSE),VLOOKUP(tables_596104!C311,input_596104!A:H,8,FALSE))</f>
        <v>26606.22</v>
      </c>
      <c r="P311" s="40">
        <f t="shared" ref="P311:P319" ca="1" si="16">O311/SUM(O:O)</f>
        <v>4.8622478070441946E-3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input_596104!A$2</f>
        <v>596104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IFERROR(VLOOKUP(B312,input_596104!L:R,7,FALSE),VLOOKUP(tables_596104!C312,input_596104!A:H,8,FALSE))</f>
        <v>1527.184</v>
      </c>
      <c r="P312" s="40">
        <f t="shared" ca="1" si="16"/>
        <v>2.7909064327638351E-4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input_596104!A$2</f>
        <v>596104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IFERROR(VLOOKUP(B313,input_596104!L:R,7,FALSE),VLOOKUP(tables_596104!C313,input_596104!A:H,8,FALSE))</f>
        <v>1920</v>
      </c>
      <c r="P313" s="40">
        <f t="shared" ca="1" si="16"/>
        <v>3.5087719298437933E-4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input_596104!A$2</f>
        <v>596104</v>
      </c>
      <c r="B314" s="5">
        <v>1072</v>
      </c>
      <c r="C314" s="7" t="str">
        <f t="shared" si="12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IFERROR(VLOOKUP(B314,input_596104!L:R,7,FALSE),VLOOKUP(tables_596104!C314,input_596104!A:H,8,FALSE))</f>
        <v>9120</v>
      </c>
      <c r="P314" s="40">
        <f t="shared" ca="1" si="16"/>
        <v>1.6666666666758018E-3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input_596104!A$2</f>
        <v>596104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IFERROR(VLOOKUP(B315,input_596104!L:R,7,FALSE),VLOOKUP(tables_596104!C315,input_596104!A:H,8,FALSE))</f>
        <v>1920</v>
      </c>
      <c r="P315" s="40">
        <f t="shared" ca="1" si="16"/>
        <v>3.5087719298437933E-4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input_596104!A$2</f>
        <v>596104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IFERROR(VLOOKUP(B316,input_596104!L:R,7,FALSE),VLOOKUP(tables_596104!C316,input_596104!A:H,8,FALSE))</f>
        <v>1920</v>
      </c>
      <c r="P316" s="40">
        <f t="shared" ca="1" si="16"/>
        <v>3.5087719298437933E-4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input_596104!A$2</f>
        <v>596104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IFERROR(VLOOKUP(B317,input_596104!L:R,7,FALSE),VLOOKUP(tables_596104!C317,input_596104!A:H,8,FALSE))</f>
        <v>1920</v>
      </c>
      <c r="P317" s="40">
        <f t="shared" ca="1" si="16"/>
        <v>3.5087719298437933E-4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input_596104!A$2</f>
        <v>596104</v>
      </c>
      <c r="B318" s="5">
        <v>1104</v>
      </c>
      <c r="C318" s="7" t="str">
        <f t="shared" si="12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IFERROR(VLOOKUP(B318,input_596104!L:R,7,FALSE),VLOOKUP(tables_596104!C318,input_596104!A:H,8,FALSE))</f>
        <v>112506.07104</v>
      </c>
      <c r="P318" s="40">
        <f t="shared" ca="1" si="16"/>
        <v>2.0560320000112691E-2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input_596104!A$2</f>
        <v>596104</v>
      </c>
      <c r="B319" s="5">
        <v>1105</v>
      </c>
      <c r="C319" s="7" t="str">
        <f t="shared" si="12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IFERROR(VLOOKUP(B319,input_596104!L:R,7,FALSE),VLOOKUP(tables_596104!C319,input_596104!A:H,8,FALSE))</f>
        <v>7628.2806899999996</v>
      </c>
      <c r="P319" s="40">
        <f t="shared" ca="1" si="16"/>
        <v>1.3940571436479917E-3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input_596104!A$2</f>
        <v>596104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IFERROR(VLOOKUP(B320,input_596104!L:R,7,FALSE),VLOOKUP(tables_596104!C320,input_596104!A:H,8,FALSE))</f>
        <v>1920</v>
      </c>
      <c r="P320" s="40">
        <f t="shared" ref="P320:P324" ca="1" si="17">O320/SUM(O:O)</f>
        <v>3.5087719298437933E-4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input_596104!A$2</f>
        <v>596104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IFERROR(VLOOKUP(B321,input_596104!L:R,7,FALSE),VLOOKUP(tables_596104!C321,input_596104!A:H,8,FALSE))</f>
        <v>1920</v>
      </c>
      <c r="P321" s="40">
        <f t="shared" ca="1" si="17"/>
        <v>3.5087719298437933E-4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input_596104!A$2</f>
        <v>596104</v>
      </c>
      <c r="B322" s="5">
        <v>1139</v>
      </c>
      <c r="C322" s="7" t="str">
        <f t="shared" ref="C322:C330" si="18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IFERROR(VLOOKUP(B322,input_596104!L:R,7,FALSE),VLOOKUP(tables_596104!C322,input_596104!A:H,8,FALSE))</f>
        <v>1920</v>
      </c>
      <c r="P322" s="40">
        <f t="shared" ca="1" si="17"/>
        <v>3.5087719298437933E-4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input_596104!A$2</f>
        <v>596104</v>
      </c>
      <c r="B323" s="5">
        <v>1141</v>
      </c>
      <c r="C323" s="7" t="str">
        <f t="shared" si="18"/>
        <v>PremiumSS5R5onlycolor</v>
      </c>
      <c r="D323" s="7" t="str">
        <f t="shared" ref="D323:D330" si="1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IFERROR(VLOOKUP(B323,input_596104!L:R,7,FALSE),VLOOKUP(tables_596104!C323,input_596104!A:H,8,FALSE))</f>
        <v>9120</v>
      </c>
      <c r="P323" s="40">
        <f t="shared" ca="1" si="17"/>
        <v>1.6666666666758018E-3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input_596104!A$2</f>
        <v>596104</v>
      </c>
      <c r="B324" s="2">
        <v>1143</v>
      </c>
      <c r="C324" s="86" t="str">
        <f t="shared" si="18"/>
        <v>Premium4R3less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IFERROR(VLOOKUP(B324,input_596104!L:R,7,FALSE),VLOOKUP(tables_596104!C324,input_596104!A:H,8,FALSE))</f>
        <v>26606.22</v>
      </c>
      <c r="P324" s="40">
        <f t="shared" ca="1" si="17"/>
        <v>4.8622478070441946E-3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input_596104!A$2</f>
        <v>596104</v>
      </c>
      <c r="B325" s="2">
        <v>1144</v>
      </c>
      <c r="C325" s="86" t="str">
        <f t="shared" si="18"/>
        <v>Premium5R3less</v>
      </c>
      <c r="D325" s="7" t="str">
        <f t="shared" si="1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IFERROR(VLOOKUP(B325,input_596104!L:R,7,FALSE),VLOOKUP(tables_596104!C325,input_596104!A:H,8,FALSE))</f>
        <v>1527.184</v>
      </c>
      <c r="P325" s="40">
        <f t="shared" ref="P325:P330" ca="1" si="20">O325/SUM(O:O)</f>
        <v>2.7909064327638351E-4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input_596104!A$2</f>
        <v>596104</v>
      </c>
      <c r="B326" s="2">
        <v>1151</v>
      </c>
      <c r="C326" s="86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IFERROR(VLOOKUP(B326,input_596104!L:R,7,FALSE),VLOOKUP(tables_596104!C326,input_596104!A:H,8,FALSE))</f>
        <v>26606.22</v>
      </c>
      <c r="P326" s="40">
        <f t="shared" ca="1" si="20"/>
        <v>4.8622478070441946E-3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input_596104!A$2</f>
        <v>596104</v>
      </c>
      <c r="B327" s="2">
        <v>1152</v>
      </c>
      <c r="C327" s="86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IFERROR(VLOOKUP(B327,input_596104!L:R,7,FALSE),VLOOKUP(tables_596104!C327,input_596104!A:H,8,FALSE))</f>
        <v>1527.184</v>
      </c>
      <c r="P327" s="40">
        <f t="shared" ca="1" si="20"/>
        <v>2.7909064327638351E-4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input_596104!A$2</f>
        <v>596104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IFERROR(VLOOKUP(B328,input_596104!L:R,7,FALSE),VLOOKUP(tables_596104!C328,input_596104!A:H,8,FALSE))</f>
        <v>1920</v>
      </c>
      <c r="P328" s="40">
        <f t="shared" ca="1" si="20"/>
        <v>3.5087719298437933E-4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input_596104!A$2</f>
        <v>596104</v>
      </c>
      <c r="B329" s="2">
        <v>1155</v>
      </c>
      <c r="C329" s="86" t="str">
        <f t="shared" si="18"/>
        <v>PremiumSS5R5onlycolor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IFERROR(VLOOKUP(B329,input_596104!L:R,7,FALSE),VLOOKUP(tables_596104!C329,input_596104!A:H,8,FALSE))</f>
        <v>9120</v>
      </c>
      <c r="P329" s="40">
        <f t="shared" ca="1" si="20"/>
        <v>1.6666666666758018E-3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input_596104!A$2</f>
        <v>596104</v>
      </c>
      <c r="B330" s="2">
        <v>1157</v>
      </c>
      <c r="C330" s="86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IFERROR(VLOOKUP(B330,input_596104!L:R,7,FALSE),VLOOKUP(tables_596104!C330,input_596104!A:H,8,FALSE))</f>
        <v>1920</v>
      </c>
      <c r="P330" s="40">
        <f t="shared" ca="1" si="20"/>
        <v>3.5087719298437933E-4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input_596104!A$2</f>
        <v>596104</v>
      </c>
      <c r="B331" s="52">
        <v>1214</v>
      </c>
      <c r="C331" s="86" t="str">
        <f t="shared" ref="C331:C340" si="21">D331&amp;J331&amp;E331&amp;F331&amp;G331</f>
        <v>PremiumSS5R5only</v>
      </c>
      <c r="D331" s="7" t="str">
        <f t="shared" ref="D331:D340" si="22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IFERROR(VLOOKUP(B331,input_596104!L:R,7,FALSE),VLOOKUP(tables_596104!C331,input_596104!A:H,8,FALSE))</f>
        <v>1920</v>
      </c>
      <c r="P331" s="40">
        <f t="shared" ref="P331:P340" ca="1" si="23">O331/SUM(O:O)</f>
        <v>3.5087719298437933E-4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input_596104!A$2</f>
        <v>596104</v>
      </c>
      <c r="B332" s="52">
        <v>1212</v>
      </c>
      <c r="C332" s="86" t="str">
        <f t="shared" si="21"/>
        <v>PremiumSS5R5onlycolor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IFERROR(VLOOKUP(B332,input_596104!L:R,7,FALSE),VLOOKUP(tables_596104!C332,input_596104!A:H,8,FALSE))</f>
        <v>9120</v>
      </c>
      <c r="P332" s="40">
        <f t="shared" ca="1" si="23"/>
        <v>1.6666666666758018E-3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input_596104!A$2</f>
        <v>596104</v>
      </c>
      <c r="B333" s="52">
        <v>1208</v>
      </c>
      <c r="C333" s="86" t="str">
        <f t="shared" si="21"/>
        <v>PremiumSS5R5only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IFERROR(VLOOKUP(B333,input_596104!L:R,7,FALSE),VLOOKUP(tables_596104!C333,input_596104!A:H,8,FALSE))</f>
        <v>1920</v>
      </c>
      <c r="P333" s="40">
        <f t="shared" ca="1" si="23"/>
        <v>3.5087719298437933E-4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input_596104!A$2</f>
        <v>596104</v>
      </c>
      <c r="B334" s="96">
        <v>1210</v>
      </c>
      <c r="C334" s="86" t="str">
        <f t="shared" si="21"/>
        <v>Premium4R3less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IFERROR(VLOOKUP(B334,input_596104!L:R,7,FALSE),VLOOKUP(tables_596104!C334,input_596104!A:H,8,FALSE))</f>
        <v>26606.22</v>
      </c>
      <c r="P334" s="40">
        <f t="shared" ca="1" si="23"/>
        <v>4.8622478070441946E-3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input_596104!A$2</f>
        <v>596104</v>
      </c>
      <c r="B335" s="52">
        <v>1211</v>
      </c>
      <c r="C335" s="86" t="str">
        <f t="shared" si="21"/>
        <v>Premium5R3less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IFERROR(VLOOKUP(B335,input_596104!L:R,7,FALSE),VLOOKUP(tables_596104!C335,input_596104!A:H,8,FALSE))</f>
        <v>1527.184</v>
      </c>
      <c r="P335" s="40">
        <f t="shared" ca="1" si="23"/>
        <v>2.7909064327638351E-4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input_596104!A$2</f>
        <v>596104</v>
      </c>
      <c r="B336" s="2">
        <v>1224</v>
      </c>
      <c r="C336" s="86" t="str">
        <f t="shared" si="21"/>
        <v>Premium4R3less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IFERROR(VLOOKUP(B336,input_596104!L:R,7,FALSE),VLOOKUP(tables_596104!C336,input_596104!A:H,8,FALSE))</f>
        <v>26606.22</v>
      </c>
      <c r="P336" s="40">
        <f t="shared" ca="1" si="23"/>
        <v>4.8622478070441946E-3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input_596104!A$2</f>
        <v>596104</v>
      </c>
      <c r="B337" s="2">
        <v>1225</v>
      </c>
      <c r="C337" s="86" t="str">
        <f t="shared" si="21"/>
        <v>Premium5R3less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IFERROR(VLOOKUP(B337,input_596104!L:R,7,FALSE),VLOOKUP(tables_596104!C337,input_596104!A:H,8,FALSE))</f>
        <v>1527.184</v>
      </c>
      <c r="P337" s="40">
        <f t="shared" ca="1" si="23"/>
        <v>2.7909064327638351E-4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input_596104!A$2</f>
        <v>596104</v>
      </c>
      <c r="B338" s="2">
        <v>1226</v>
      </c>
      <c r="C338" s="86" t="str">
        <f t="shared" si="21"/>
        <v>PremiumSS5R5only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IFERROR(VLOOKUP(B338,input_596104!L:R,7,FALSE),VLOOKUP(tables_596104!C338,input_596104!A:H,8,FALSE))</f>
        <v>1920</v>
      </c>
      <c r="P338" s="40">
        <f t="shared" ca="1" si="23"/>
        <v>3.5087719298437933E-4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input_596104!A$2</f>
        <v>596104</v>
      </c>
      <c r="B339" s="2">
        <v>1228</v>
      </c>
      <c r="C339" s="86" t="str">
        <f t="shared" si="21"/>
        <v>PremiumSS5R5onlycolor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IFERROR(VLOOKUP(B339,input_596104!L:R,7,FALSE),VLOOKUP(tables_596104!C339,input_596104!A:H,8,FALSE))</f>
        <v>9120</v>
      </c>
      <c r="P339" s="40">
        <f t="shared" ca="1" si="23"/>
        <v>1.6666666666758018E-3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input_596104!A$2</f>
        <v>596104</v>
      </c>
      <c r="B340" s="2">
        <v>1230</v>
      </c>
      <c r="C340" s="86" t="str">
        <f t="shared" si="21"/>
        <v>PremiumSS5R5only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IFERROR(VLOOKUP(B340,input_596104!L:R,7,FALSE),VLOOKUP(tables_596104!C340,input_596104!A:H,8,FALSE))</f>
        <v>1920</v>
      </c>
      <c r="P340" s="40">
        <f t="shared" ca="1" si="23"/>
        <v>3.5087719298437933E-4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input_596104!A$2</f>
        <v>596104</v>
      </c>
      <c r="B341" s="2">
        <v>1244</v>
      </c>
      <c r="C341" s="86" t="str">
        <f t="shared" ref="C341" si="24">D341&amp;J341&amp;E341&amp;F341&amp;G341</f>
        <v>PremiumSS5R5only</v>
      </c>
      <c r="D341" s="7" t="str">
        <f t="shared" ref="D341" si="25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IFERROR(VLOOKUP(B341,input_596104!L:R,7,FALSE),VLOOKUP(tables_596104!C341,input_596104!A:H,8,FALSE))</f>
        <v>1920</v>
      </c>
      <c r="P341" s="40">
        <f t="shared" ref="P341" ca="1" si="26">O341/SUM(O:O)</f>
        <v>3.5087719298437933E-4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input_596104!A$2</f>
        <v>596104</v>
      </c>
      <c r="B342" s="2">
        <v>1246</v>
      </c>
      <c r="C342" s="86" t="str">
        <f t="shared" ref="C342:C346" si="27">D342&amp;J342&amp;E342&amp;F342&amp;G342</f>
        <v>PremiumSS5R5only</v>
      </c>
      <c r="D342" s="7" t="str">
        <f t="shared" ref="D342:D346" si="28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IFERROR(VLOOKUP(B342,input_596104!L:R,7,FALSE),VLOOKUP(tables_596104!C342,input_596104!A:H,8,FALSE))</f>
        <v>1920</v>
      </c>
      <c r="P342" s="40">
        <f t="shared" ref="P342:P346" ca="1" si="29">O342/SUM(O:O)</f>
        <v>3.5087719298437933E-4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input_596104!A$2</f>
        <v>596104</v>
      </c>
      <c r="B343" s="2">
        <v>1248</v>
      </c>
      <c r="C343" s="86" t="str">
        <f t="shared" si="27"/>
        <v>Premium4R3lesscolor</v>
      </c>
      <c r="D343" s="7" t="str">
        <f t="shared" si="28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IFERROR(VLOOKUP(B343,input_596104!L:R,7,FALSE),VLOOKUP(tables_596104!C343,input_596104!A:H,8,FALSE))</f>
        <v>112506.07104</v>
      </c>
      <c r="P343" s="40">
        <f t="shared" ca="1" si="29"/>
        <v>2.0560320000112691E-2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input_596104!A$2</f>
        <v>596104</v>
      </c>
      <c r="B344" s="2">
        <v>1249</v>
      </c>
      <c r="C344" s="86" t="str">
        <f t="shared" si="27"/>
        <v>Premium5R3lesscolor</v>
      </c>
      <c r="D344" s="7" t="str">
        <f t="shared" si="28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IFERROR(VLOOKUP(B344,input_596104!L:R,7,FALSE),VLOOKUP(tables_596104!C344,input_596104!A:H,8,FALSE))</f>
        <v>7628.2806899999996</v>
      </c>
      <c r="P344" s="40">
        <f t="shared" ca="1" si="29"/>
        <v>1.3940571436479917E-3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input_596104!A$2</f>
        <v>596104</v>
      </c>
      <c r="B345" s="2">
        <v>1250</v>
      </c>
      <c r="C345" s="86" t="str">
        <f t="shared" si="27"/>
        <v>PremiumSS5R5only</v>
      </c>
      <c r="D345" s="7" t="str">
        <f t="shared" si="28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IFERROR(VLOOKUP(B345,input_596104!L:R,7,FALSE),VLOOKUP(tables_596104!C345,input_596104!A:H,8,FALSE))</f>
        <v>1920</v>
      </c>
      <c r="P345" s="40">
        <f t="shared" ca="1" si="29"/>
        <v>3.5087719298437933E-4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input_596104!A$2</f>
        <v>596104</v>
      </c>
      <c r="B346" s="1">
        <v>1260</v>
      </c>
      <c r="C346" s="86" t="str">
        <f t="shared" si="27"/>
        <v>PremiumSS5R5only</v>
      </c>
      <c r="D346" s="7" t="str">
        <f t="shared" si="28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IFERROR(VLOOKUP(B346,input_596104!L:R,7,FALSE),VLOOKUP(tables_596104!C346,input_596104!A:H,8,FALSE))</f>
        <v>1920</v>
      </c>
      <c r="P346" s="40">
        <f t="shared" ca="1" si="29"/>
        <v>3.5087719298437933E-4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input_596104!A$2</f>
        <v>596104</v>
      </c>
      <c r="B347" s="1">
        <v>1262</v>
      </c>
      <c r="C347" s="86" t="str">
        <f t="shared" ref="C347:C356" si="30">D347&amp;J347&amp;E347&amp;F347&amp;G347</f>
        <v>PremiumSS5R5only</v>
      </c>
      <c r="D347" s="7" t="str">
        <f t="shared" ref="D347:D356" si="31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IFERROR(VLOOKUP(B347,input_596104!L:R,7,FALSE),VLOOKUP(tables_596104!C347,input_596104!A:H,8,FALSE))</f>
        <v>1920</v>
      </c>
      <c r="P347" s="40">
        <f t="shared" ref="P347:P350" ca="1" si="32">O347/SUM(O:O)</f>
        <v>3.5087719298437933E-4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input_596104!A$2</f>
        <v>596104</v>
      </c>
      <c r="B348" s="1">
        <v>1264</v>
      </c>
      <c r="C348" s="86" t="str">
        <f t="shared" si="30"/>
        <v>PremiumSS5R5onlycolor</v>
      </c>
      <c r="D348" s="7" t="str">
        <f t="shared" si="3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IFERROR(VLOOKUP(B348,input_596104!L:R,7,FALSE),VLOOKUP(tables_596104!C348,input_596104!A:H,8,FALSE))</f>
        <v>9120</v>
      </c>
      <c r="P348" s="40">
        <f t="shared" ca="1" si="32"/>
        <v>1.6666666666758018E-3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input_596104!A$2</f>
        <v>596104</v>
      </c>
      <c r="B349" s="1">
        <v>1266</v>
      </c>
      <c r="C349" s="86" t="str">
        <f t="shared" si="30"/>
        <v>Premium4R3less</v>
      </c>
      <c r="D349" s="7" t="str">
        <f t="shared" si="3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IFERROR(VLOOKUP(B349,input_596104!L:R,7,FALSE),VLOOKUP(tables_596104!C349,input_596104!A:H,8,FALSE))</f>
        <v>26606.22</v>
      </c>
      <c r="P349" s="40">
        <f t="shared" ca="1" si="32"/>
        <v>4.8622478070441946E-3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input_596104!A$2</f>
        <v>596104</v>
      </c>
      <c r="B350" s="1">
        <v>1267</v>
      </c>
      <c r="C350" s="86" t="str">
        <f t="shared" si="30"/>
        <v>Premium5R3less</v>
      </c>
      <c r="D350" s="7" t="str">
        <f t="shared" si="3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IFERROR(VLOOKUP(B350,input_596104!L:R,7,FALSE),VLOOKUP(tables_596104!C350,input_596104!A:H,8,FALSE))</f>
        <v>1527.184</v>
      </c>
      <c r="P350" s="40">
        <f t="shared" ca="1" si="32"/>
        <v>2.7909064327638351E-4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input_596104!A$2</f>
        <v>596104</v>
      </c>
      <c r="B351" s="102">
        <v>1332</v>
      </c>
      <c r="C351" s="86" t="str">
        <f t="shared" si="30"/>
        <v>PremiumSS5R5only</v>
      </c>
      <c r="D351" s="7" t="str">
        <f t="shared" si="3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IFERROR(VLOOKUP(B351,input_596104!L:R,7,FALSE),VLOOKUP(tables_596104!C351,input_596104!A:H,8,FALSE))</f>
        <v>1920</v>
      </c>
      <c r="P351" s="40">
        <f t="shared" ref="P351:P356" ca="1" si="33">O351/SUM(O:O)</f>
        <v>3.5087719298437933E-4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input_596104!A$2</f>
        <v>596104</v>
      </c>
      <c r="B352" s="102">
        <v>1336</v>
      </c>
      <c r="C352" s="86" t="str">
        <f t="shared" si="30"/>
        <v>PremiumSS5R5onlycolor</v>
      </c>
      <c r="D352" s="7" t="str">
        <f t="shared" si="3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IFERROR(VLOOKUP(B352,input_596104!L:R,7,FALSE),VLOOKUP(tables_596104!C352,input_596104!A:H,8,FALSE))</f>
        <v>9120</v>
      </c>
      <c r="P352" s="40">
        <f t="shared" ca="1" si="33"/>
        <v>1.6666666666758018E-3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input_596104!A$2</f>
        <v>596104</v>
      </c>
      <c r="B353" s="102">
        <v>1338</v>
      </c>
      <c r="C353" s="86" t="str">
        <f t="shared" si="30"/>
        <v>PremiumSS5R5only</v>
      </c>
      <c r="D353" s="7" t="str">
        <f t="shared" si="3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IFERROR(VLOOKUP(B353,input_596104!L:R,7,FALSE),VLOOKUP(tables_596104!C353,input_596104!A:H,8,FALSE))</f>
        <v>1920</v>
      </c>
      <c r="P353" s="40">
        <f t="shared" ca="1" si="33"/>
        <v>3.5087719298437933E-4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input_596104!A$2</f>
        <v>596104</v>
      </c>
      <c r="B354" s="102">
        <v>1334</v>
      </c>
      <c r="C354" s="86" t="str">
        <f t="shared" si="30"/>
        <v>Premium4R3less</v>
      </c>
      <c r="D354" s="7" t="str">
        <f t="shared" si="3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IFERROR(VLOOKUP(B354,input_596104!L:R,7,FALSE),VLOOKUP(tables_596104!C354,input_596104!A:H,8,FALSE))</f>
        <v>26606.22</v>
      </c>
      <c r="P354" s="40">
        <f t="shared" ca="1" si="33"/>
        <v>4.8622478070441946E-3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input_596104!A$2</f>
        <v>596104</v>
      </c>
      <c r="B355" s="102">
        <v>1335</v>
      </c>
      <c r="C355" s="86" t="str">
        <f t="shared" si="30"/>
        <v>Premium5R3less</v>
      </c>
      <c r="D355" s="7" t="str">
        <f t="shared" si="3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IFERROR(VLOOKUP(B355,input_596104!L:R,7,FALSE),VLOOKUP(tables_596104!C355,input_596104!A:H,8,FALSE))</f>
        <v>1527.184</v>
      </c>
      <c r="P355" s="40">
        <f t="shared" ca="1" si="33"/>
        <v>2.7909064327638351E-4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input_596104!A$2</f>
        <v>596104</v>
      </c>
      <c r="B356" s="105">
        <v>1381</v>
      </c>
      <c r="C356" s="86" t="str">
        <f t="shared" si="30"/>
        <v>Premium4R3less</v>
      </c>
      <c r="D356" s="7" t="str">
        <f t="shared" si="31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IFERROR(VLOOKUP(B356,input_596104!L:R,7,FALSE),VLOOKUP(tables_596104!C356,input_596104!A:H,8,FALSE))</f>
        <v>26606.22</v>
      </c>
      <c r="P356" s="40">
        <f t="shared" ca="1" si="33"/>
        <v>4.8622478070441946E-3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input_596104!A$2</f>
        <v>596104</v>
      </c>
      <c r="B357" s="105">
        <v>1382</v>
      </c>
      <c r="C357" s="86" t="str">
        <f t="shared" ref="C357" si="34">D357&amp;J357&amp;E357&amp;F357&amp;G357</f>
        <v>Premium5R3less</v>
      </c>
      <c r="D357" s="7" t="str">
        <f t="shared" ref="D357" si="35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IFERROR(VLOOKUP(B357,input_596104!L:R,7,FALSE),VLOOKUP(tables_596104!C357,input_596104!A:H,8,FALSE))</f>
        <v>1527.184</v>
      </c>
      <c r="P357" s="40">
        <f t="shared" ref="P357" ca="1" si="36">O357/SUM(O:O)</f>
        <v>2.7909064327638351E-4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input_596104!A$2</f>
        <v>596104</v>
      </c>
      <c r="B358" s="105">
        <v>1383</v>
      </c>
      <c r="C358" s="86" t="str">
        <f t="shared" ref="C358:C361" si="37">D358&amp;J358&amp;E358&amp;F358&amp;G358</f>
        <v>PremiumSS5R5only</v>
      </c>
      <c r="D358" s="7" t="str">
        <f t="shared" ref="D358:D361" si="38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IFERROR(VLOOKUP(B358,input_596104!L:R,7,FALSE),VLOOKUP(tables_596104!C358,input_596104!A:H,8,FALSE))</f>
        <v>1920</v>
      </c>
      <c r="P358" s="40">
        <f t="shared" ref="P358:P361" ca="1" si="39">O358/SUM(O:O)</f>
        <v>3.5087719298437933E-4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input_596104!A$2</f>
        <v>596104</v>
      </c>
      <c r="B359" s="105">
        <v>1385</v>
      </c>
      <c r="C359" s="86" t="str">
        <f t="shared" si="37"/>
        <v>PremiumSS5R5onlycolor</v>
      </c>
      <c r="D359" s="7" t="str">
        <f t="shared" si="38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IFERROR(VLOOKUP(B359,input_596104!L:R,7,FALSE),VLOOKUP(tables_596104!C359,input_596104!A:H,8,FALSE))</f>
        <v>9120</v>
      </c>
      <c r="P359" s="40">
        <f t="shared" ca="1" si="39"/>
        <v>1.6666666666758018E-3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input_596104!A$2</f>
        <v>596104</v>
      </c>
      <c r="B360" s="105">
        <v>1387</v>
      </c>
      <c r="C360" s="86" t="str">
        <f t="shared" si="37"/>
        <v>PremiumSS5R5only</v>
      </c>
      <c r="D360" s="7" t="str">
        <f t="shared" si="38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IFERROR(VLOOKUP(B360,input_596104!L:R,7,FALSE),VLOOKUP(tables_596104!C360,input_596104!A:H,8,FALSE))</f>
        <v>1920</v>
      </c>
      <c r="P360" s="40">
        <f t="shared" ca="1" si="39"/>
        <v>3.5087719298437933E-4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input_596104!A$2</f>
        <v>596104</v>
      </c>
      <c r="B361" s="106">
        <v>1393</v>
      </c>
      <c r="C361" s="86" t="str">
        <f t="shared" si="37"/>
        <v>PremiumSSS5R3lesscolor</v>
      </c>
      <c r="D361" s="7" t="str">
        <f t="shared" si="38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ライプニッツ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hp</v>
      </c>
      <c r="M361" s="7" t="str">
        <f>VLOOKUP(B361,[1]characters!$A:$M,13,FALSE)</f>
        <v>academia</v>
      </c>
      <c r="N361" s="7">
        <f>VLOOKUP(B361,[1]characters!$A:$G,7,FALSE)</f>
        <v>0</v>
      </c>
      <c r="O361" s="39">
        <f>IFERROR(VLOOKUP(B361,input_596104!L:R,7,FALSE),VLOOKUP(tables_596104!C361,input_596104!A:H,8,FALSE))</f>
        <v>65664</v>
      </c>
      <c r="P361" s="40">
        <f t="shared" ca="1" si="39"/>
        <v>1.2000000000065772E-2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294"/>
  <phoneticPr fontId="13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9"/>
  <sheetViews>
    <sheetView showGridLines="0" zoomScale="90" zoomScaleNormal="90" zoomScalePageLayoutView="90" workbookViewId="0">
      <pane ySplit="1" topLeftCell="A2" activePane="bottomLeft" state="frozen"/>
      <selection activeCell="L296" sqref="L296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85">
        <v>596104</v>
      </c>
      <c r="B2" s="87">
        <v>733</v>
      </c>
      <c r="C2" s="86" t="str">
        <f t="shared" ref="C2:C3" si="0">D2&amp;J2&amp;E2&amp;F2&amp;G2</f>
        <v>PremiumSS6R5only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39">
        <v>10</v>
      </c>
      <c r="P2" s="40">
        <f>O2/SUM(O:O)</f>
        <v>0.33333333333333331</v>
      </c>
      <c r="Q2" s="76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85">
        <f>$A$2</f>
        <v>596104</v>
      </c>
      <c r="B3" s="87">
        <v>968</v>
      </c>
      <c r="C3" s="86" t="str">
        <f t="shared" si="0"/>
        <v>PremiumSS6R5only</v>
      </c>
      <c r="D3" s="7" t="str">
        <f t="shared" ref="D3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 t="str">
        <f t="shared" ref="G3" si="2">IF(K3="yellow","color","")</f>
        <v/>
      </c>
      <c r="H3" s="7" t="str">
        <f>VLOOKUP(B3,[1]characters!$A:$C,3,FALSE)</f>
        <v>夢謀の愚幻者 フール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blue</v>
      </c>
      <c r="L3" s="7" t="str">
        <f>VLOOKUP(B3,[1]characters!$A:$K,11,FALSE)</f>
        <v>technical</v>
      </c>
      <c r="M3" s="7" t="str">
        <f>VLOOKUP(B3,[1]characters!$A:$M,13,FALSE)</f>
        <v>god</v>
      </c>
      <c r="N3" s="7" t="str">
        <f>VLOOKUP(B3,[1]characters!$A:$G,7,FALSE)</f>
        <v>男性</v>
      </c>
      <c r="O3" s="39">
        <v>10</v>
      </c>
      <c r="P3" s="40">
        <f>O3/SUM(O:O)</f>
        <v>0.33333333333333331</v>
      </c>
      <c r="Q3" s="76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85">
        <f>$A$2</f>
        <v>596104</v>
      </c>
      <c r="B4" s="87">
        <v>1213</v>
      </c>
      <c r="C4" s="86" t="str">
        <f t="shared" ref="C4" si="3">D4&amp;J4&amp;E4&amp;F4&amp;G4</f>
        <v>PremiumSS6R5only</v>
      </c>
      <c r="D4" s="7" t="str">
        <f t="shared" ref="D4" si="4">IF(OR(I4="PremiumSS",I4="PremiumSSw"),"PremiumSS",IF(I4="PremiumSSS",I4,IF(I4="PremiumW",IF(J4=5,"premium",I4),"Premium")))</f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 t="str">
        <f t="shared" ref="G4" si="5">IF(K4="yellow","color","")</f>
        <v/>
      </c>
      <c r="H4" s="7" t="str">
        <f>VLOOKUP(B4,[1]characters!$A:$C,3,FALSE)</f>
        <v>能洪の永地神 クロノス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blue</v>
      </c>
      <c r="L4" s="7" t="str">
        <f>VLOOKUP(B4,[1]characters!$A:$K,11,FALSE)</f>
        <v>technical</v>
      </c>
      <c r="M4" s="7" t="str">
        <f>VLOOKUP(B4,[1]characters!$A:$M,13,FALSE)</f>
        <v>god</v>
      </c>
      <c r="N4" s="7">
        <f>VLOOKUP(B4,[1]characters!$A:$G,7,FALSE)</f>
        <v>0</v>
      </c>
      <c r="O4" s="39">
        <v>10</v>
      </c>
      <c r="P4" s="40">
        <f>O4/SUM(O:O)</f>
        <v>0.33333333333333331</v>
      </c>
      <c r="Q4" s="76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95"/>
      <c r="B5"/>
    </row>
    <row r="6" spans="1:22" ht="21" customHeight="1" x14ac:dyDescent="0.15">
      <c r="A6" s="95"/>
      <c r="B6"/>
    </row>
    <row r="7" spans="1:22" ht="21" customHeight="1" x14ac:dyDescent="0.15">
      <c r="A7" s="95"/>
      <c r="B7" s="95"/>
    </row>
    <row r="8" spans="1:22" ht="21" customHeight="1" x14ac:dyDescent="0.15">
      <c r="A8" s="95"/>
      <c r="B8" s="95"/>
    </row>
    <row r="9" spans="1:22" ht="21" customHeight="1" x14ac:dyDescent="0.15">
      <c r="A9" s="95"/>
      <c r="B9" s="95"/>
    </row>
    <row r="10" spans="1:22" ht="21" customHeight="1" x14ac:dyDescent="0.15">
      <c r="A10" s="95"/>
      <c r="B10" s="95"/>
    </row>
    <row r="11" spans="1:22" ht="21" customHeight="1" x14ac:dyDescent="0.15">
      <c r="A11" s="95"/>
      <c r="B11" s="95"/>
    </row>
    <row r="12" spans="1:22" ht="21" customHeight="1" x14ac:dyDescent="0.15">
      <c r="A12" s="95"/>
      <c r="B12" s="95"/>
    </row>
    <row r="13" spans="1:22" ht="21" customHeight="1" x14ac:dyDescent="0.15">
      <c r="A13" s="95"/>
      <c r="B13" s="95"/>
    </row>
    <row r="14" spans="1:22" ht="21" customHeight="1" x14ac:dyDescent="0.15">
      <c r="A14" s="95"/>
      <c r="B14" s="95"/>
    </row>
    <row r="15" spans="1:22" ht="21" customHeight="1" x14ac:dyDescent="0.15">
      <c r="A15" s="95"/>
      <c r="B15" s="95"/>
    </row>
    <row r="16" spans="1:22" ht="21" customHeight="1" x14ac:dyDescent="0.15">
      <c r="A16" s="95"/>
      <c r="B16" s="95"/>
    </row>
    <row r="17" spans="1:2" ht="21" customHeight="1" x14ac:dyDescent="0.15">
      <c r="A17" s="95"/>
      <c r="B17" s="95"/>
    </row>
    <row r="18" spans="1:2" ht="21" customHeight="1" x14ac:dyDescent="0.15">
      <c r="A18" s="95"/>
      <c r="B18" s="95"/>
    </row>
    <row r="19" spans="1:2" ht="21" customHeight="1" x14ac:dyDescent="0.15">
      <c r="A19" s="95"/>
      <c r="B19" s="95"/>
    </row>
    <row r="20" spans="1:2" ht="21" customHeight="1" x14ac:dyDescent="0.15">
      <c r="A20" s="95"/>
      <c r="B20" s="95"/>
    </row>
    <row r="21" spans="1:2" ht="21" customHeight="1" x14ac:dyDescent="0.15">
      <c r="A21" s="95"/>
      <c r="B21" s="95"/>
    </row>
    <row r="22" spans="1:2" ht="21" customHeight="1" x14ac:dyDescent="0.15">
      <c r="A22" s="95"/>
      <c r="B22" s="95"/>
    </row>
    <row r="23" spans="1:2" ht="21" customHeight="1" x14ac:dyDescent="0.15">
      <c r="A23" s="95"/>
      <c r="B23" s="95"/>
    </row>
    <row r="24" spans="1:2" ht="21" customHeight="1" x14ac:dyDescent="0.15">
      <c r="A24" s="95"/>
      <c r="B24" s="95"/>
    </row>
    <row r="25" spans="1:2" ht="21" customHeight="1" x14ac:dyDescent="0.15">
      <c r="A25" s="95"/>
      <c r="B25" s="95"/>
    </row>
    <row r="26" spans="1:2" ht="21" customHeight="1" x14ac:dyDescent="0.15">
      <c r="A26" s="95"/>
      <c r="B26" s="95"/>
    </row>
    <row r="27" spans="1:2" ht="21" customHeight="1" x14ac:dyDescent="0.15">
      <c r="A27" s="95"/>
      <c r="B27" s="95"/>
    </row>
    <row r="28" spans="1:2" ht="21" customHeight="1" x14ac:dyDescent="0.15">
      <c r="A28" s="95"/>
      <c r="B28" s="95"/>
    </row>
    <row r="29" spans="1:2" ht="21" customHeight="1" x14ac:dyDescent="0.15">
      <c r="A29" s="95"/>
      <c r="B29" s="95"/>
    </row>
    <row r="30" spans="1:2" ht="21" customHeight="1" x14ac:dyDescent="0.15">
      <c r="A30" s="95"/>
      <c r="B30" s="95"/>
    </row>
    <row r="31" spans="1:2" ht="21" customHeight="1" x14ac:dyDescent="0.15">
      <c r="A31" s="95"/>
      <c r="B31" s="95"/>
    </row>
    <row r="32" spans="1:2" ht="21" customHeight="1" x14ac:dyDescent="0.15">
      <c r="A32" s="95"/>
      <c r="B32" s="95"/>
    </row>
    <row r="33" spans="1:2" ht="21" customHeight="1" x14ac:dyDescent="0.15">
      <c r="A33" s="95"/>
      <c r="B33" s="95"/>
    </row>
    <row r="34" spans="1:2" ht="21" customHeight="1" x14ac:dyDescent="0.15">
      <c r="A34" s="95"/>
      <c r="B34" s="95"/>
    </row>
    <row r="35" spans="1:2" ht="21" customHeight="1" x14ac:dyDescent="0.15">
      <c r="A35" s="95"/>
      <c r="B35" s="95"/>
    </row>
    <row r="36" spans="1:2" ht="21" customHeight="1" x14ac:dyDescent="0.15">
      <c r="A36" s="95"/>
      <c r="B36" s="95"/>
    </row>
    <row r="37" spans="1:2" ht="21" customHeight="1" x14ac:dyDescent="0.15">
      <c r="A37" s="95"/>
      <c r="B37" s="95"/>
    </row>
    <row r="38" spans="1:2" ht="21" customHeight="1" x14ac:dyDescent="0.15">
      <c r="A38" s="95"/>
      <c r="B38" s="95"/>
    </row>
    <row r="39" spans="1:2" ht="21" customHeight="1" x14ac:dyDescent="0.15">
      <c r="A39" s="95"/>
      <c r="B39" s="95"/>
    </row>
  </sheetData>
  <autoFilter ref="A1:V3"/>
  <sortState ref="A2:V114">
    <sortCondition ref="G2"/>
  </sortState>
  <phoneticPr fontId="13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topLeftCell="A8" workbookViewId="0">
      <selection activeCell="B32" sqref="B32:B4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596105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8">
        <v>1393</v>
      </c>
      <c r="M3" s="31" t="str">
        <f>VLOOKUP(L3,[1]characters!$A:$C,3,FALSE)</f>
        <v>ライプニッツ</v>
      </c>
      <c r="N3" s="54">
        <v>1.6E-2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VLOOKUP(L3,tables_596105!B:C,2,FALSE)</f>
        <v>PremiumSSS5R3lesscolor</v>
      </c>
      <c r="R3" s="53">
        <f t="shared" ref="R3:R20" si="1">N3*A$51</f>
        <v>87552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VLOOKUP(L4,tables_596105!B:C,2,FALSE)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3.5087719298245622E-4</v>
      </c>
      <c r="F5">
        <f>(COUNTIF(tables_596105!C:C,input_596105!A28)+COUNTIF(tables_596105!C:C,input_596105!A29))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VLOOKUP(L5,tables_596105!B:C,2,FALSE)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(COUNTIF(tables_596105!C:C,input_596105!A43)+COUNTIF(tables_596105!C:C,input_596105!A44))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VLOOKUP(L6,tables_596105!B:C,2,FALSE)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5.1888888888888887E-3</v>
      </c>
      <c r="F7">
        <f>(COUNTIF(tables_596105!C:C,input_596105!A26)+COUNTIF(tables_596105!C:C,input_596105!A18)+COUNTIF(tables_596105!C:C,input_596105!A20)+COUNTIF(tables_596105!C:C,input_596105!A22))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VLOOKUP(L7,tables_596105!B:C,2,FALSE)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2.2415999999999995E-2</v>
      </c>
      <c r="F8">
        <f>(COUNTIF(tables_596105!C:C,input_596105!A40)+COUNTIF(tables_596105!C:C,input_596105!A33)+COUNTIF(tables_596105!C:C,input_596105!A35)+COUNTIF(tables_596105!C:C,input_596105!A37))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VLOOKUP(L8,tables_596105!B:C,2,FALSE)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VLOOKUP(L9,tables_596105!B:C,2,FALSE)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0.93399999999999994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VLOOKUP(L10,tables_596105!B:C,2,FALSE)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VLOOKUP(L11,tables_596105!B:C,2,FALSE)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1.6E-2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VLOOKUP(L12,tables_596105!B:C,2,FALSE)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VLOOKUP(L13,tables_596105!B:C,2,FALSE)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VLOOKUP(L14,tables_596105!B:C,2,FALSE)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VLOOKUP(L15,tables_596105!B:C,2,FALSE)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VLOOKUP(L16,tables_596105!B:C,2,FALSE)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>SUMIF(Q:Q,A17,N:N)</f>
        <v>0</v>
      </c>
      <c r="D17" s="66">
        <f t="shared" ref="D17:D47" si="2">B17-C17</f>
        <v>0</v>
      </c>
      <c r="E17">
        <f>COUNTIF(tables_596105!C:C,input_596105!A17)-COUNTIF(Q:Q,A17)</f>
        <v>15</v>
      </c>
      <c r="F17" s="37">
        <f>IFERROR(B17/E17,0)</f>
        <v>0</v>
      </c>
      <c r="G17">
        <f t="shared" ref="G17:G46" si="3">A$51*B17</f>
        <v>0</v>
      </c>
      <c r="H17">
        <f t="shared" ref="H17:H46" si="4">IFERROR(ROUND(G17/E17,5),0)</f>
        <v>0</v>
      </c>
      <c r="I17">
        <f t="shared" ref="I17:I46" si="5">MOD(H17,1)</f>
        <v>0</v>
      </c>
      <c r="J17">
        <f t="shared" ref="J17:J46" si="6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VLOOKUP(L17,tables_596105!B:C,2,FALSE)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8.4233333333333327E-2</v>
      </c>
      <c r="C18" s="75">
        <f t="shared" ref="C18:C46" si="7">SUMIF(Q:Q,A18,N:N)</f>
        <v>0</v>
      </c>
      <c r="D18" s="66">
        <f t="shared" si="2"/>
        <v>8.4233333333333327E-2</v>
      </c>
      <c r="E18">
        <f>COUNTIF(tables_596105!C:C,input_596105!A18)-COUNTIF(Q:Q,A18)</f>
        <v>15</v>
      </c>
      <c r="F18" s="37">
        <f>IFERROR(B18/E18,0)</f>
        <v>5.6155555555555551E-3</v>
      </c>
      <c r="G18">
        <f t="shared" si="3"/>
        <v>460924.8</v>
      </c>
      <c r="H18">
        <f t="shared" si="4"/>
        <v>30728.32</v>
      </c>
      <c r="I18">
        <f t="shared" si="5"/>
        <v>0.31999999999970896</v>
      </c>
      <c r="J18">
        <f t="shared" si="6"/>
        <v>3.1250000000028422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VLOOKUP(L18,tables_596105!B:C,2,FALSE)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7"/>
        <v>0</v>
      </c>
      <c r="D19" s="66">
        <f t="shared" si="2"/>
        <v>0</v>
      </c>
      <c r="E19">
        <f>COUNTIF(tables_596105!C:C,input_596105!A19)-COUNTIF(Q:Q,A19)</f>
        <v>38</v>
      </c>
      <c r="F19" s="37">
        <f t="shared" ref="F19:F31" si="8">IFERROR(B19/E19,0)</f>
        <v>0</v>
      </c>
      <c r="G19">
        <f t="shared" si="3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VLOOKUP(L19,tables_596105!B:C,2,FALSE)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0.17746000000000001</v>
      </c>
      <c r="C20" s="75">
        <f t="shared" si="7"/>
        <v>0</v>
      </c>
      <c r="D20" s="66">
        <f t="shared" si="2"/>
        <v>0.17746000000000001</v>
      </c>
      <c r="E20">
        <f>COUNTIF(tables_596105!C:C,input_596105!A20)-COUNTIF(Q:Q,A20)</f>
        <v>38</v>
      </c>
      <c r="F20" s="37">
        <f t="shared" si="8"/>
        <v>4.6700000000000005E-3</v>
      </c>
      <c r="G20">
        <f t="shared" si="3"/>
        <v>971061.12</v>
      </c>
      <c r="H20">
        <f t="shared" si="4"/>
        <v>25554.240000000002</v>
      </c>
      <c r="I20">
        <f t="shared" si="5"/>
        <v>0.24000000000160071</v>
      </c>
      <c r="J20">
        <f t="shared" si="6"/>
        <v>4.1666666666388767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VLOOKUP(L20,tables_596105!B:C,2,FALSE)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1.9717777777777779E-2</v>
      </c>
      <c r="C21" s="75">
        <f t="shared" si="7"/>
        <v>0</v>
      </c>
      <c r="D21" s="66">
        <f t="shared" si="2"/>
        <v>1.9717777777777779E-2</v>
      </c>
      <c r="E21">
        <f>COUNTIF(tables_596105!C:C,input_596105!A21)-COUNTIF(Q:Q,A21)</f>
        <v>38</v>
      </c>
      <c r="F21" s="37">
        <f t="shared" si="8"/>
        <v>5.1888888888888894E-4</v>
      </c>
      <c r="G21">
        <f t="shared" si="3"/>
        <v>107895.68000000001</v>
      </c>
      <c r="H21">
        <f t="shared" si="4"/>
        <v>2839.36</v>
      </c>
      <c r="I21">
        <f t="shared" si="5"/>
        <v>0.36000000000012733</v>
      </c>
      <c r="J21">
        <f t="shared" si="6"/>
        <v>2.7777777777767954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7.7349298245614026E-2</v>
      </c>
      <c r="C22" s="75">
        <f t="shared" si="7"/>
        <v>0</v>
      </c>
      <c r="D22" s="66">
        <f t="shared" si="2"/>
        <v>7.7349298245614026E-2</v>
      </c>
      <c r="E22">
        <f>COUNTIF(tables_596105!C:C,input_596105!A22)-COUNTIF(Q:Q,A22)</f>
        <v>16</v>
      </c>
      <c r="F22" s="37">
        <f t="shared" si="8"/>
        <v>4.8343311403508766E-3</v>
      </c>
      <c r="G22">
        <f t="shared" si="3"/>
        <v>423255.35999999993</v>
      </c>
      <c r="H22">
        <f t="shared" si="4"/>
        <v>26453.46</v>
      </c>
      <c r="I22">
        <f t="shared" si="5"/>
        <v>0.45999999999912689</v>
      </c>
      <c r="J22">
        <f t="shared" si="6"/>
        <v>2.1739130434823872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5.6729239766081935E-3</v>
      </c>
      <c r="C23" s="75">
        <f t="shared" si="7"/>
        <v>0</v>
      </c>
      <c r="D23" s="66">
        <f t="shared" si="2"/>
        <v>5.6729239766081935E-3</v>
      </c>
      <c r="E23">
        <f>COUNTIF(tables_596105!C:C,input_596105!A23)-COUNTIF(Q:Q,A23)</f>
        <v>20</v>
      </c>
      <c r="F23" s="37">
        <f t="shared" si="8"/>
        <v>2.8364619883040968E-4</v>
      </c>
      <c r="G23">
        <f t="shared" si="3"/>
        <v>31042.240000000034</v>
      </c>
      <c r="H23">
        <f t="shared" si="4"/>
        <v>1552.1120000000001</v>
      </c>
      <c r="I23">
        <f t="shared" si="5"/>
        <v>0.11200000000008004</v>
      </c>
      <c r="J23">
        <f t="shared" si="6"/>
        <v>8.9285714285650482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7"/>
        <v>0</v>
      </c>
      <c r="D24" s="66">
        <f t="shared" si="2"/>
        <v>0</v>
      </c>
      <c r="E24">
        <f>COUNTIF(tables_596105!C:C,input_596105!A24)-COUNTIF(Q:Q,A24)</f>
        <v>3</v>
      </c>
      <c r="F24" s="37">
        <f t="shared" si="8"/>
        <v>0</v>
      </c>
      <c r="G24">
        <f t="shared" si="3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1.4009999999999998E-2</v>
      </c>
      <c r="C25" s="75">
        <f t="shared" si="7"/>
        <v>0</v>
      </c>
      <c r="D25" s="66">
        <f t="shared" si="2"/>
        <v>1.4009999999999998E-2</v>
      </c>
      <c r="E25">
        <f>COUNTIF(tables_596105!C:C,input_596105!A25)-COUNTIF(Q:Q,A25)</f>
        <v>3</v>
      </c>
      <c r="F25" s="37">
        <f t="shared" si="8"/>
        <v>4.6699999999999997E-3</v>
      </c>
      <c r="G25">
        <f t="shared" si="3"/>
        <v>76662.719999999987</v>
      </c>
      <c r="H25">
        <f t="shared" si="4"/>
        <v>25554.240000000002</v>
      </c>
      <c r="I25">
        <f t="shared" si="5"/>
        <v>0.24000000000160071</v>
      </c>
      <c r="J25">
        <f t="shared" si="6"/>
        <v>4.1666666666388767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1.5566666666666667E-3</v>
      </c>
      <c r="C26" s="75">
        <f t="shared" si="7"/>
        <v>0</v>
      </c>
      <c r="D26" s="66">
        <f t="shared" si="2"/>
        <v>1.5566666666666667E-3</v>
      </c>
      <c r="E26">
        <f>COUNTIF(tables_596105!C:C,input_596105!A26)-COUNTIF(Q:Q,A26)</f>
        <v>3</v>
      </c>
      <c r="F26" s="37">
        <f t="shared" si="8"/>
        <v>5.1888888888888894E-4</v>
      </c>
      <c r="G26">
        <f t="shared" si="3"/>
        <v>8518.08</v>
      </c>
      <c r="H26">
        <f t="shared" si="4"/>
        <v>2839.36</v>
      </c>
      <c r="I26">
        <f t="shared" si="5"/>
        <v>0.36000000000012733</v>
      </c>
      <c r="J26">
        <f t="shared" si="6"/>
        <v>2.7777777777767954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6.9473684210526335E-3</v>
      </c>
      <c r="C27" s="75">
        <f t="shared" si="7"/>
        <v>0</v>
      </c>
      <c r="D27" s="66">
        <f t="shared" si="2"/>
        <v>6.9473684210526335E-3</v>
      </c>
      <c r="E27">
        <f>COUNTIF(tables_596105!C:C,input_596105!A27)-COUNTIF(Q:Q,A27)</f>
        <v>22</v>
      </c>
      <c r="F27" s="37">
        <f>IFERROR(B27/E27,0)</f>
        <v>3.1578947368421064E-4</v>
      </c>
      <c r="G27">
        <f t="shared" si="3"/>
        <v>38016.000000000007</v>
      </c>
      <c r="H27">
        <f t="shared" si="4"/>
        <v>1728</v>
      </c>
      <c r="I27">
        <f t="shared" si="5"/>
        <v>0</v>
      </c>
      <c r="J27">
        <f t="shared" si="6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7.7192982456140372E-4</v>
      </c>
      <c r="C28" s="75">
        <f t="shared" si="7"/>
        <v>0</v>
      </c>
      <c r="D28" s="66">
        <f t="shared" si="2"/>
        <v>7.7192982456140372E-4</v>
      </c>
      <c r="E28">
        <f>COUNTIF(tables_596105!C:C,input_596105!A28)-COUNTIF(Q:Q,A28)</f>
        <v>22</v>
      </c>
      <c r="F28" s="37">
        <f t="shared" si="8"/>
        <v>3.5087719298245625E-5</v>
      </c>
      <c r="G28">
        <f t="shared" si="3"/>
        <v>4224.0000000000009</v>
      </c>
      <c r="H28">
        <f t="shared" si="4"/>
        <v>192</v>
      </c>
      <c r="I28">
        <f t="shared" si="5"/>
        <v>0</v>
      </c>
      <c r="J28">
        <f t="shared" si="6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1.2280701754385968E-2</v>
      </c>
      <c r="C29" s="75">
        <f t="shared" si="7"/>
        <v>0</v>
      </c>
      <c r="D29" s="66">
        <f t="shared" si="2"/>
        <v>1.2280701754385968E-2</v>
      </c>
      <c r="E29">
        <f>COUNTIF(tables_596105!C:C,input_596105!A29)-COUNTIF(Q:Q,A29)</f>
        <v>35</v>
      </c>
      <c r="F29" s="37">
        <f t="shared" si="8"/>
        <v>3.5087719298245622E-4</v>
      </c>
      <c r="G29">
        <f t="shared" si="3"/>
        <v>67200.000000000015</v>
      </c>
      <c r="H29">
        <f t="shared" si="4"/>
        <v>1920</v>
      </c>
      <c r="I29">
        <f t="shared" si="5"/>
        <v>0</v>
      </c>
      <c r="J29">
        <f t="shared" si="6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7"/>
        <v>0</v>
      </c>
      <c r="D30" s="66">
        <f t="shared" si="2"/>
        <v>0</v>
      </c>
      <c r="E30">
        <f>COUNTIF(tables_596105!C:C,input_596105!A30)-COUNTIF(Q:Q,A30)</f>
        <v>0</v>
      </c>
      <c r="F30" s="37">
        <f t="shared" si="8"/>
        <v>0</v>
      </c>
      <c r="G30">
        <f t="shared" si="3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7"/>
        <v>0</v>
      </c>
      <c r="D31" s="66">
        <f t="shared" si="2"/>
        <v>0</v>
      </c>
      <c r="E31">
        <f>COUNTIF(tables_596105!C:C,input_596105!A31)-COUNTIF(Q:Q,A31)</f>
        <v>0</v>
      </c>
      <c r="F31" s="37">
        <f t="shared" si="8"/>
        <v>0</v>
      </c>
      <c r="G31">
        <f t="shared" si="3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7"/>
        <v>0</v>
      </c>
      <c r="D32" s="66">
        <f t="shared" si="2"/>
        <v>0</v>
      </c>
      <c r="E32">
        <f>COUNTIF(tables_596105!C:C,input_596105!A32)-COUNTIF(Q:Q,A32)</f>
        <v>5</v>
      </c>
      <c r="F32" s="37">
        <f>IFERROR(B32/E32,0)</f>
        <v>0</v>
      </c>
      <c r="G32">
        <f t="shared" si="3"/>
        <v>0</v>
      </c>
      <c r="H32">
        <f t="shared" si="4"/>
        <v>0</v>
      </c>
      <c r="I32">
        <f t="shared" si="5"/>
        <v>0</v>
      </c>
      <c r="J32">
        <f t="shared" si="6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0.12399520000000014</v>
      </c>
      <c r="C33" s="75">
        <f t="shared" si="7"/>
        <v>0</v>
      </c>
      <c r="D33" s="66">
        <f t="shared" si="2"/>
        <v>0.12399520000000014</v>
      </c>
      <c r="E33">
        <f>COUNTIF(tables_596105!C:C,input_596105!A33)-COUNTIF(Q:Q,A33)</f>
        <v>5</v>
      </c>
      <c r="F33" s="37">
        <f>IFERROR(B33/E33,0)</f>
        <v>2.4799040000000029E-2</v>
      </c>
      <c r="G33">
        <f t="shared" si="3"/>
        <v>678501.73440000077</v>
      </c>
      <c r="H33">
        <f t="shared" si="4"/>
        <v>135700.34688</v>
      </c>
      <c r="I33">
        <f t="shared" si="5"/>
        <v>0.3468799999973271</v>
      </c>
      <c r="J33">
        <f t="shared" si="6"/>
        <v>2.8828413284354979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7"/>
        <v>0</v>
      </c>
      <c r="D34" s="66">
        <f t="shared" si="2"/>
        <v>0</v>
      </c>
      <c r="E34">
        <f>COUNTIF(tables_596105!C:C,input_596105!A34)-COUNTIF(Q:Q,A34)</f>
        <v>14</v>
      </c>
      <c r="F34" s="37">
        <f t="shared" ref="F34:F41" si="9">IFERROR(B34/E34,0)</f>
        <v>0</v>
      </c>
      <c r="G34">
        <f t="shared" si="3"/>
        <v>0</v>
      </c>
      <c r="H34">
        <f t="shared" si="4"/>
        <v>0</v>
      </c>
      <c r="I34">
        <f t="shared" si="5"/>
        <v>0</v>
      </c>
      <c r="J34">
        <f t="shared" si="6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0.28244159999999996</v>
      </c>
      <c r="C35" s="75">
        <f t="shared" si="7"/>
        <v>0</v>
      </c>
      <c r="D35" s="66">
        <f t="shared" si="2"/>
        <v>0.28244159999999996</v>
      </c>
      <c r="E35">
        <f>COUNTIF(tables_596105!C:C,input_596105!A35)-COUNTIF(Q:Q,A35)</f>
        <v>14</v>
      </c>
      <c r="F35" s="37">
        <f t="shared" si="9"/>
        <v>2.0174399999999999E-2</v>
      </c>
      <c r="G35">
        <f t="shared" si="3"/>
        <v>1545520.4351999997</v>
      </c>
      <c r="H35">
        <f t="shared" si="4"/>
        <v>110394.3168</v>
      </c>
      <c r="I35">
        <f t="shared" si="5"/>
        <v>0.31680000000051223</v>
      </c>
      <c r="J35">
        <f t="shared" si="6"/>
        <v>3.1565656565605527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1.3067200000000001E-2</v>
      </c>
      <c r="C36" s="75">
        <f t="shared" si="7"/>
        <v>0</v>
      </c>
      <c r="D36" s="66">
        <f t="shared" si="2"/>
        <v>1.3067200000000001E-2</v>
      </c>
      <c r="E36">
        <f>COUNTIF(tables_596105!C:C,input_596105!A36)-COUNTIF(Q:Q,A36)</f>
        <v>14</v>
      </c>
      <c r="F36" s="37">
        <f t="shared" si="9"/>
        <v>9.3337142857142868E-4</v>
      </c>
      <c r="G36">
        <f t="shared" si="3"/>
        <v>71503.718400000012</v>
      </c>
      <c r="H36">
        <f t="shared" si="4"/>
        <v>5107.4084599999996</v>
      </c>
      <c r="I36">
        <f t="shared" si="5"/>
        <v>0.40845999999964988</v>
      </c>
      <c r="J36">
        <f t="shared" si="6"/>
        <v>2.4482201439574429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0.10438879999999998</v>
      </c>
      <c r="C37" s="75">
        <f t="shared" si="7"/>
        <v>0</v>
      </c>
      <c r="D37" s="66">
        <f t="shared" si="2"/>
        <v>0.10438879999999998</v>
      </c>
      <c r="E37">
        <f>COUNTIF(tables_596105!C:C,input_596105!A37)-COUNTIF(Q:Q,A37)</f>
        <v>5</v>
      </c>
      <c r="F37" s="37">
        <f t="shared" si="9"/>
        <v>2.0877759999999995E-2</v>
      </c>
      <c r="G37">
        <f t="shared" si="3"/>
        <v>571215.51359999983</v>
      </c>
      <c r="H37">
        <f t="shared" si="4"/>
        <v>114243.10272</v>
      </c>
      <c r="I37">
        <f t="shared" si="5"/>
        <v>0.10271999999531545</v>
      </c>
      <c r="J37">
        <f t="shared" si="6"/>
        <v>9.7352024926558123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7.6911999999999987E-3</v>
      </c>
      <c r="C38" s="75">
        <f t="shared" si="7"/>
        <v>0</v>
      </c>
      <c r="D38" s="66">
        <f t="shared" si="2"/>
        <v>7.6911999999999987E-3</v>
      </c>
      <c r="E38">
        <f>COUNTIF(tables_596105!C:C,input_596105!A38)-COUNTIF(Q:Q,A38)</f>
        <v>7</v>
      </c>
      <c r="F38" s="37">
        <f t="shared" si="9"/>
        <v>1.0987428571428569E-3</v>
      </c>
      <c r="G38">
        <f t="shared" si="3"/>
        <v>42086.246399999996</v>
      </c>
      <c r="H38">
        <f t="shared" si="4"/>
        <v>6012.3209100000004</v>
      </c>
      <c r="I38">
        <f t="shared" si="5"/>
        <v>0.32091000000036729</v>
      </c>
      <c r="J38">
        <f t="shared" si="6"/>
        <v>3.1161384811905379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7"/>
        <v>0</v>
      </c>
      <c r="D39" s="66">
        <f t="shared" si="2"/>
        <v>0</v>
      </c>
      <c r="E39">
        <f>COUNTIF(tables_596105!C:C,input_596105!A39)-COUNTIF(Q:Q,A39)</f>
        <v>1</v>
      </c>
      <c r="F39" s="37">
        <f t="shared" si="9"/>
        <v>0</v>
      </c>
      <c r="G39">
        <f t="shared" si="3"/>
        <v>0</v>
      </c>
      <c r="H39">
        <f t="shared" si="4"/>
        <v>0</v>
      </c>
      <c r="I39">
        <f t="shared" si="5"/>
        <v>0</v>
      </c>
      <c r="J39">
        <f t="shared" si="6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2.0174399999999995E-2</v>
      </c>
      <c r="C40" s="75">
        <f t="shared" si="7"/>
        <v>0</v>
      </c>
      <c r="D40" s="66">
        <f t="shared" si="2"/>
        <v>2.0174399999999995E-2</v>
      </c>
      <c r="E40">
        <f>COUNTIF(tables_596105!C:C,input_596105!A40)-COUNTIF(Q:Q,A40)</f>
        <v>1</v>
      </c>
      <c r="F40" s="37">
        <f t="shared" si="9"/>
        <v>2.0174399999999995E-2</v>
      </c>
      <c r="G40">
        <f t="shared" si="3"/>
        <v>110394.31679999997</v>
      </c>
      <c r="H40">
        <f t="shared" si="4"/>
        <v>110394.3168</v>
      </c>
      <c r="I40">
        <f t="shared" si="5"/>
        <v>0.31680000000051223</v>
      </c>
      <c r="J40">
        <f t="shared" si="6"/>
        <v>3.1565656565605527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2.2415999999999994E-3</v>
      </c>
      <c r="C41" s="75">
        <f t="shared" si="7"/>
        <v>0</v>
      </c>
      <c r="D41" s="66">
        <f t="shared" si="2"/>
        <v>2.2415999999999994E-3</v>
      </c>
      <c r="E41">
        <f>COUNTIF(tables_596105!C:C,input_596105!A41)-COUNTIF(Q:Q,A41)</f>
        <v>1</v>
      </c>
      <c r="F41" s="37">
        <f t="shared" si="9"/>
        <v>2.2415999999999994E-3</v>
      </c>
      <c r="G41">
        <f t="shared" si="3"/>
        <v>12266.035199999997</v>
      </c>
      <c r="H41">
        <f t="shared" si="4"/>
        <v>12266.0352</v>
      </c>
      <c r="I41">
        <f t="shared" si="5"/>
        <v>3.5200000000259024E-2</v>
      </c>
      <c r="J41">
        <f t="shared" si="6"/>
        <v>28.409090908881858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8.9999999999999993E-3</v>
      </c>
      <c r="C42" s="75">
        <f t="shared" si="7"/>
        <v>0</v>
      </c>
      <c r="D42" s="66">
        <f t="shared" si="2"/>
        <v>8.9999999999999993E-3</v>
      </c>
      <c r="E42">
        <f>COUNTIF(tables_596105!C:C,input_596105!A42)-COUNTIF(Q:Q,A42)</f>
        <v>6</v>
      </c>
      <c r="F42" s="37">
        <f>IFERROR(B42/E42,0)</f>
        <v>1.4999999999999998E-3</v>
      </c>
      <c r="G42">
        <f t="shared" si="3"/>
        <v>49247.999999999993</v>
      </c>
      <c r="H42">
        <f t="shared" si="4"/>
        <v>8208</v>
      </c>
      <c r="I42">
        <f t="shared" si="5"/>
        <v>0</v>
      </c>
      <c r="J42">
        <f t="shared" si="6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9.999999999999998E-4</v>
      </c>
      <c r="C43" s="75">
        <f t="shared" si="7"/>
        <v>0</v>
      </c>
      <c r="D43" s="66">
        <f t="shared" si="2"/>
        <v>9.999999999999998E-4</v>
      </c>
      <c r="E43">
        <f>COUNTIF(tables_596105!C:C,input_596105!A43)-COUNTIF(Q:Q,A43)</f>
        <v>6</v>
      </c>
      <c r="F43" s="37">
        <f t="shared" ref="F43:F46" si="10">IFERROR(B43/E43,0)</f>
        <v>1.6666666666666663E-4</v>
      </c>
      <c r="G43">
        <f t="shared" si="3"/>
        <v>5471.9999999999991</v>
      </c>
      <c r="H43">
        <f t="shared" si="4"/>
        <v>912</v>
      </c>
      <c r="I43">
        <f t="shared" si="5"/>
        <v>0</v>
      </c>
      <c r="J43">
        <f t="shared" si="6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1.9999999999999997E-2</v>
      </c>
      <c r="C44" s="75">
        <f t="shared" si="7"/>
        <v>0</v>
      </c>
      <c r="D44" s="66">
        <f t="shared" si="2"/>
        <v>1.9999999999999997E-2</v>
      </c>
      <c r="E44">
        <f>COUNTIF(tables_596105!C:C,input_596105!A44)-COUNTIF(Q:Q,A44)</f>
        <v>12</v>
      </c>
      <c r="F44" s="37">
        <f t="shared" si="10"/>
        <v>1.6666666666666663E-3</v>
      </c>
      <c r="G44">
        <f t="shared" si="3"/>
        <v>109439.99999999999</v>
      </c>
      <c r="H44">
        <f t="shared" si="4"/>
        <v>9120</v>
      </c>
      <c r="I44">
        <f t="shared" si="5"/>
        <v>0</v>
      </c>
      <c r="J44">
        <f t="shared" si="6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7"/>
        <v>0</v>
      </c>
      <c r="D45" s="66">
        <f t="shared" si="2"/>
        <v>0</v>
      </c>
      <c r="E45">
        <f>COUNTIF(tables_596105!C:C,input_596105!A45)-COUNTIF(Q:Q,A45)</f>
        <v>0</v>
      </c>
      <c r="F45" s="37">
        <f t="shared" si="10"/>
        <v>0</v>
      </c>
      <c r="G45">
        <f t="shared" si="3"/>
        <v>0</v>
      </c>
      <c r="H45">
        <f t="shared" si="4"/>
        <v>0</v>
      </c>
      <c r="I45">
        <f t="shared" si="5"/>
        <v>0</v>
      </c>
      <c r="J45">
        <f t="shared" si="6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1.6E-2</v>
      </c>
      <c r="C46" s="75">
        <f t="shared" si="7"/>
        <v>1.6E-2</v>
      </c>
      <c r="D46" s="66">
        <f t="shared" si="2"/>
        <v>0</v>
      </c>
      <c r="E46">
        <f>COUNTIF(tables_596105!C:C,input_596105!A46)-COUNTIF(Q:Q,A46)</f>
        <v>0</v>
      </c>
      <c r="F46" s="37">
        <f t="shared" si="10"/>
        <v>0</v>
      </c>
      <c r="G46">
        <f t="shared" si="3"/>
        <v>87552</v>
      </c>
      <c r="H46">
        <f t="shared" si="4"/>
        <v>0</v>
      </c>
      <c r="I46">
        <f t="shared" si="5"/>
        <v>0</v>
      </c>
      <c r="J46">
        <f t="shared" si="6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1.6E-2</v>
      </c>
      <c r="D47" s="36">
        <f t="shared" si="2"/>
        <v>0.98399999999999999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5472000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SUMIF(tables_596105!C:C,input_596105!A55,tables_596105!O:O)</f>
        <v>0</v>
      </c>
      <c r="C55" s="46">
        <f t="shared" ref="C55:C61" ca="1" si="11">B55/B$62</f>
        <v>0</v>
      </c>
      <c r="E55">
        <v>3</v>
      </c>
      <c r="F55">
        <f ca="1">SUMIF(tables_596105!J:J,input_596105!E55,tables_596105!O:O)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SUMIF(tables_596105!C:C,input_596105!A56,tables_596105!O:O)</f>
        <v>971061.11999999976</v>
      </c>
      <c r="C56" s="46">
        <f t="shared" ca="1" si="11"/>
        <v>0.86609337450838242</v>
      </c>
      <c r="E56">
        <v>4</v>
      </c>
      <c r="F56">
        <f ca="1">SUMIF(tables_596105!J:J,input_596105!E56,tables_596105!O:O)</f>
        <v>4924800.0000000056</v>
      </c>
      <c r="G56">
        <f ca="1">F56/A51</f>
        <v>0.90000000000000102</v>
      </c>
      <c r="H56" s="47">
        <f>B18+B20+B22+B25+B27+B30+B33+B35+B37+B40+B42+B45</f>
        <v>0.90000000000000013</v>
      </c>
    </row>
    <row r="57" spans="1:8" x14ac:dyDescent="0.15">
      <c r="A57" s="27" t="s">
        <v>90</v>
      </c>
      <c r="B57">
        <f ca="1">SUMIF(tables_596105!C:C,input_596105!A57,tables_596105!O:O)</f>
        <v>38016</v>
      </c>
      <c r="C57" s="46">
        <f t="shared" ca="1" si="11"/>
        <v>3.3906625491617534E-2</v>
      </c>
      <c r="E57">
        <v>5</v>
      </c>
      <c r="F57">
        <f ca="1">SUMIF(tables_596105!J:J,input_596105!E57,tables_596105!O:O)</f>
        <v>547200.00001000019</v>
      </c>
      <c r="G57">
        <f ca="1">F57/A51</f>
        <v>0.10000000000182752</v>
      </c>
      <c r="H57" s="47">
        <f>B21+B23+B26+B28+B29+B31+B36+B38+B41+B43+B44+B46</f>
        <v>9.9999999999999992E-2</v>
      </c>
    </row>
    <row r="58" spans="1:8" x14ac:dyDescent="0.15">
      <c r="A58" s="27" t="s">
        <v>94</v>
      </c>
      <c r="B58">
        <f>SUMIF(tables_596105!C:C,input_596105!A58,tables_596105!O:O)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SUMIF(tables_596105!C:C,input_596105!A59,tables_596105!O:O)</f>
        <v>107895.68000000001</v>
      </c>
      <c r="C59" s="46">
        <f t="shared" ca="1" si="11"/>
        <v>9.6232597167598077E-2</v>
      </c>
      <c r="E59" t="s">
        <v>37</v>
      </c>
      <c r="F59" s="47"/>
    </row>
    <row r="60" spans="1:8" x14ac:dyDescent="0.15">
      <c r="A60" s="27" t="s">
        <v>91</v>
      </c>
      <c r="B60">
        <f ca="1">SUMIF(tables_596105!C:C,input_596105!A60,tables_596105!O:O)</f>
        <v>4224</v>
      </c>
      <c r="C60" s="46">
        <f t="shared" ca="1" si="11"/>
        <v>3.7674028324019481E-3</v>
      </c>
      <c r="E60" t="s">
        <v>190</v>
      </c>
      <c r="F60" s="47">
        <f ca="1">SUMIF(tables_596105!I:I,input_596105!E60,tables_596105!P:P)</f>
        <v>0.2115606038409876</v>
      </c>
    </row>
    <row r="61" spans="1:8" x14ac:dyDescent="0.15">
      <c r="A61" s="27" t="s">
        <v>92</v>
      </c>
      <c r="B61">
        <f>SUMIF(tables_596105!C:C,input_596105!A61,tables_596105!O:O)</f>
        <v>0</v>
      </c>
      <c r="C61" s="46">
        <f t="shared" ca="1" si="11"/>
        <v>0</v>
      </c>
      <c r="E61" t="s">
        <v>191</v>
      </c>
      <c r="F61" s="47">
        <f ca="1">SUMIF(tables_596105!I:I,input_596105!E61,tables_596105!P:P)</f>
        <v>0.18468041904936994</v>
      </c>
    </row>
    <row r="62" spans="1:8" x14ac:dyDescent="0.15">
      <c r="A62" s="33" t="s">
        <v>42</v>
      </c>
      <c r="B62">
        <f ca="1">SUM(B55:B61)</f>
        <v>1121196.7999999998</v>
      </c>
      <c r="C62" s="47">
        <f ca="1">SUM(C55:C61)</f>
        <v>1</v>
      </c>
      <c r="E62" t="s">
        <v>192</v>
      </c>
      <c r="F62" s="47">
        <f ca="1">SUMIF(tables_596105!I:I,input_596105!E62,tables_596105!P:P)</f>
        <v>0.53775897710976239</v>
      </c>
    </row>
    <row r="63" spans="1:8" x14ac:dyDescent="0.15">
      <c r="E63" t="s">
        <v>193</v>
      </c>
      <c r="F63" s="103">
        <f ca="1">SUMIF(tables_596105!I:I,input_596105!E63,tables_596105!P:P)</f>
        <v>4.2543859649045043E-2</v>
      </c>
      <c r="G63" s="84"/>
    </row>
    <row r="64" spans="1:8" x14ac:dyDescent="0.15">
      <c r="E64" t="s">
        <v>253</v>
      </c>
      <c r="F64" s="103">
        <f ca="1">SUMIF(tables_596105!I:I,input_596105!E64,tables_596105!P:P)</f>
        <v>7.4561403508635639E-3</v>
      </c>
    </row>
    <row r="65" spans="5:6" x14ac:dyDescent="0.15">
      <c r="E65" t="s">
        <v>254</v>
      </c>
      <c r="F65" s="103">
        <f ca="1">SUMIF(tables_596105!I:I,input_596105!E65,tables_596105!P:P)</f>
        <v>1.5999999999970753E-2</v>
      </c>
    </row>
  </sheetData>
  <phoneticPr fontId="13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61"/>
  <sheetViews>
    <sheetView showGridLines="0" zoomScaleNormal="75" zoomScalePageLayoutView="75" workbookViewId="0">
      <pane ySplit="1" topLeftCell="A331" activePane="bottomLeft" state="frozen"/>
      <selection activeCell="U32" sqref="U32"/>
      <selection pane="bottomLeft" activeCell="G1" sqref="G1:G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input_596105!A$2</f>
        <v>596105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IFERROR(VLOOKUP(B2,input_596105!L:R,7,FALSE),VLOOKUP(tables_596105!C2,input_596105!A:H,8,FALSE))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input_596105!A$2</f>
        <v>596105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IFERROR(VLOOKUP(B3,input_596105!L:R,7,FALSE),VLOOKUP(tables_596105!C3,input_596105!A:H,8,FALSE))</f>
        <v>30728.32</v>
      </c>
      <c r="P3" s="40">
        <f t="shared" ca="1" si="1"/>
        <v>5.6155555555452907E-3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input_596105!A$2</f>
        <v>596105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IFERROR(VLOOKUP(B4,input_596105!L:R,7,FALSE),VLOOKUP(tables_596105!C4,input_596105!A:H,8,FALSE))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input_596105!A$2</f>
        <v>596105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IFERROR(VLOOKUP(B5,input_596105!L:R,7,FALSE),VLOOKUP(tables_596105!C5,input_596105!A:H,8,FALSE))</f>
        <v>30728.32</v>
      </c>
      <c r="P5" s="40">
        <f t="shared" ca="1" si="1"/>
        <v>5.6155555555452907E-3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input_596105!A$2</f>
        <v>596105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IFERROR(VLOOKUP(B6,input_596105!L:R,7,FALSE),VLOOKUP(tables_596105!C6,input_596105!A:H,8,FALSE))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input_596105!A$2</f>
        <v>596105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IFERROR(VLOOKUP(B7,input_596105!L:R,7,FALSE),VLOOKUP(tables_596105!C7,input_596105!A:H,8,FALSE))</f>
        <v>135700.34688</v>
      </c>
      <c r="P7" s="40">
        <f t="shared" ca="1" si="1"/>
        <v>2.479903999995467E-2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input_596105!A$2</f>
        <v>596105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IFERROR(VLOOKUP(B8,input_596105!L:R,7,FALSE),VLOOKUP(tables_596105!C8,input_596105!A:H,8,FALSE))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input_596105!A$2</f>
        <v>596105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IFERROR(VLOOKUP(B9,input_596105!L:R,7,FALSE),VLOOKUP(tables_596105!C9,input_596105!A:H,8,FALSE))</f>
        <v>30728.32</v>
      </c>
      <c r="P9" s="40">
        <f t="shared" ca="1" si="1"/>
        <v>5.6155555555452907E-3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input_596105!A$2</f>
        <v>596105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IFERROR(VLOOKUP(B10,input_596105!L:R,7,FALSE),VLOOKUP(tables_596105!C10,input_596105!A:H,8,FALSE))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input_596105!A$2</f>
        <v>596105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IFERROR(VLOOKUP(B11,input_596105!L:R,7,FALSE),VLOOKUP(tables_596105!C11,input_596105!A:H,8,FALSE))</f>
        <v>30728.32</v>
      </c>
      <c r="P11" s="40">
        <f t="shared" ca="1" si="1"/>
        <v>5.6155555555452907E-3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input_596105!A$2</f>
        <v>596105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IFERROR(VLOOKUP(B12,input_596105!L:R,7,FALSE),VLOOKUP(tables_596105!C12,input_596105!A:H,8,FALSE))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input_596105!A$2</f>
        <v>596105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IFERROR(VLOOKUP(B13,input_596105!L:R,7,FALSE),VLOOKUP(tables_596105!C13,input_596105!A:H,8,FALSE))</f>
        <v>30728.32</v>
      </c>
      <c r="P13" s="40">
        <f t="shared" ca="1" si="1"/>
        <v>5.6155555555452907E-3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input_596105!A$2</f>
        <v>596105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IFERROR(VLOOKUP(B14,input_596105!L:R,7,FALSE),VLOOKUP(tables_596105!C14,input_596105!A:H,8,FALSE))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input_596105!A$2</f>
        <v>596105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IFERROR(VLOOKUP(B15,input_596105!L:R,7,FALSE),VLOOKUP(tables_596105!C15,input_596105!A:H,8,FALSE))</f>
        <v>135700.34688</v>
      </c>
      <c r="P15" s="40">
        <f t="shared" ca="1" si="1"/>
        <v>2.479903999995467E-2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input_596105!A$2</f>
        <v>596105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IFERROR(VLOOKUP(B16,input_596105!L:R,7,FALSE),VLOOKUP(tables_596105!C16,input_596105!A:H,8,FALSE))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input_596105!A$2</f>
        <v>596105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IFERROR(VLOOKUP(B17,input_596105!L:R,7,FALSE),VLOOKUP(tables_596105!C17,input_596105!A:H,8,FALSE))</f>
        <v>30728.32</v>
      </c>
      <c r="P17" s="40">
        <f t="shared" ca="1" si="1"/>
        <v>5.6155555555452907E-3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input_596105!A$2</f>
        <v>596105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IFERROR(VLOOKUP(B18,input_596105!L:R,7,FALSE),VLOOKUP(tables_596105!C18,input_596105!A:H,8,FALSE))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input_596105!A$2</f>
        <v>596105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IFERROR(VLOOKUP(B19,input_596105!L:R,7,FALSE),VLOOKUP(tables_596105!C19,input_596105!A:H,8,FALSE))</f>
        <v>30728.32</v>
      </c>
      <c r="P19" s="40">
        <f t="shared" ca="1" si="1"/>
        <v>5.6155555555452907E-3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input_596105!A$2</f>
        <v>596105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IFERROR(VLOOKUP(B20,input_596105!L:R,7,FALSE),VLOOKUP(tables_596105!C20,input_596105!A:H,8,FALSE))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input_596105!A$2</f>
        <v>596105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IFERROR(VLOOKUP(B21,input_596105!L:R,7,FALSE),VLOOKUP(tables_596105!C21,input_596105!A:H,8,FALSE))</f>
        <v>30728.32</v>
      </c>
      <c r="P21" s="40">
        <f t="shared" ca="1" si="1"/>
        <v>5.6155555555452907E-3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input_596105!A$2</f>
        <v>596105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IFERROR(VLOOKUP(B22,input_596105!L:R,7,FALSE),VLOOKUP(tables_596105!C22,input_596105!A:H,8,FALSE))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input_596105!A$2</f>
        <v>596105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IFERROR(VLOOKUP(B23,input_596105!L:R,7,FALSE),VLOOKUP(tables_596105!C23,input_596105!A:H,8,FALSE))</f>
        <v>135700.34688</v>
      </c>
      <c r="P23" s="40">
        <f t="shared" ca="1" si="1"/>
        <v>2.479903999995467E-2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input_596105!A$2</f>
        <v>596105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IFERROR(VLOOKUP(B24,input_596105!L:R,7,FALSE),VLOOKUP(tables_596105!C24,input_596105!A:H,8,FALSE))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input_596105!A$2</f>
        <v>596105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IFERROR(VLOOKUP(B25,input_596105!L:R,7,FALSE),VLOOKUP(tables_596105!C25,input_596105!A:H,8,FALSE))</f>
        <v>30728.32</v>
      </c>
      <c r="P25" s="40">
        <f t="shared" ca="1" si="1"/>
        <v>5.6155555555452907E-3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input_596105!A$2</f>
        <v>596105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IFERROR(VLOOKUP(B26,input_596105!L:R,7,FALSE),VLOOKUP(tables_596105!C26,input_596105!A:H,8,FALSE))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input_596105!A$2</f>
        <v>596105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IFERROR(VLOOKUP(B27,input_596105!L:R,7,FALSE),VLOOKUP(tables_596105!C27,input_596105!A:H,8,FALSE))</f>
        <v>30728.32</v>
      </c>
      <c r="P27" s="40">
        <f t="shared" ca="1" si="1"/>
        <v>5.6155555555452907E-3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input_596105!A$2</f>
        <v>596105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IFERROR(VLOOKUP(B28,input_596105!L:R,7,FALSE),VLOOKUP(tables_596105!C28,input_596105!A:H,8,FALSE))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input_596105!A$2</f>
        <v>596105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IFERROR(VLOOKUP(B29,input_596105!L:R,7,FALSE),VLOOKUP(tables_596105!C29,input_596105!A:H,8,FALSE))</f>
        <v>30728.32</v>
      </c>
      <c r="P29" s="40">
        <f t="shared" ca="1" si="1"/>
        <v>5.6155555555452907E-3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input_596105!A$2</f>
        <v>596105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IFERROR(VLOOKUP(B30,input_596105!L:R,7,FALSE),VLOOKUP(tables_596105!C30,input_596105!A:H,8,FALSE))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input_596105!A$2</f>
        <v>596105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IFERROR(VLOOKUP(B31,input_596105!L:R,7,FALSE),VLOOKUP(tables_596105!C31,input_596105!A:H,8,FALSE))</f>
        <v>135700.34688</v>
      </c>
      <c r="P31" s="40">
        <f t="shared" ca="1" si="1"/>
        <v>2.479903999995467E-2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input_596105!A$2</f>
        <v>596105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IFERROR(VLOOKUP(B32,input_596105!L:R,7,FALSE),VLOOKUP(tables_596105!C32,input_596105!A:H,8,FALSE))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input_596105!A$2</f>
        <v>596105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IFERROR(VLOOKUP(B33,input_596105!L:R,7,FALSE),VLOOKUP(tables_596105!C33,input_596105!A:H,8,FALSE))</f>
        <v>30728.32</v>
      </c>
      <c r="P33" s="40">
        <f t="shared" ca="1" si="1"/>
        <v>5.6155555555452907E-3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input_596105!A$2</f>
        <v>596105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IFERROR(VLOOKUP(B34,input_596105!L:R,7,FALSE),VLOOKUP(tables_596105!C34,input_596105!A:H,8,FALSE))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input_596105!A$2</f>
        <v>596105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IFERROR(VLOOKUP(B35,input_596105!L:R,7,FALSE),VLOOKUP(tables_596105!C35,input_596105!A:H,8,FALSE))</f>
        <v>30728.32</v>
      </c>
      <c r="P35" s="40">
        <f t="shared" ca="1" si="1"/>
        <v>5.6155555555452907E-3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input_596105!A$2</f>
        <v>596105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IFERROR(VLOOKUP(B36,input_596105!L:R,7,FALSE),VLOOKUP(tables_596105!C36,input_596105!A:H,8,FALSE))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input_596105!A$2</f>
        <v>596105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IFERROR(VLOOKUP(B37,input_596105!L:R,7,FALSE),VLOOKUP(tables_596105!C37,input_596105!A:H,8,FALSE))</f>
        <v>30728.32</v>
      </c>
      <c r="P37" s="40">
        <f t="shared" ca="1" si="1"/>
        <v>5.6155555555452907E-3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input_596105!A$2</f>
        <v>596105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IFERROR(VLOOKUP(B38,input_596105!L:R,7,FALSE),VLOOKUP(tables_596105!C38,input_596105!A:H,8,FALSE))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input_596105!A$2</f>
        <v>596105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IFERROR(VLOOKUP(B39,input_596105!L:R,7,FALSE),VLOOKUP(tables_596105!C39,input_596105!A:H,8,FALSE))</f>
        <v>135700.34688</v>
      </c>
      <c r="P39" s="40">
        <f t="shared" ca="1" si="1"/>
        <v>2.479903999995467E-2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input_596105!A$2</f>
        <v>596105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IFERROR(VLOOKUP(B40,input_596105!L:R,7,FALSE),VLOOKUP(tables_596105!C40,input_596105!A:H,8,FALSE))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input_596105!A$2</f>
        <v>596105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IFERROR(VLOOKUP(B41,input_596105!L:R,7,FALSE),VLOOKUP(tables_596105!C41,input_596105!A:H,8,FALSE))</f>
        <v>30728.32</v>
      </c>
      <c r="P41" s="40">
        <f t="shared" ca="1" si="1"/>
        <v>5.6155555555452907E-3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input_596105!A$2</f>
        <v>596105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IFERROR(VLOOKUP(B42,input_596105!L:R,7,FALSE),VLOOKUP(tables_596105!C42,input_596105!A:H,8,FALSE))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input_596105!A$2</f>
        <v>596105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IFERROR(VLOOKUP(B43,input_596105!L:R,7,FALSE),VLOOKUP(tables_596105!C43,input_596105!A:H,8,FALSE))</f>
        <v>25554.240000000002</v>
      </c>
      <c r="P43" s="40">
        <f t="shared" ca="1" si="1"/>
        <v>4.669999999991464E-3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input_596105!A$2</f>
        <v>596105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IFERROR(VLOOKUP(B44,input_596105!L:R,7,FALSE),VLOOKUP(tables_596105!C44,input_596105!A:H,8,FALSE))</f>
        <v>2839.36</v>
      </c>
      <c r="P44" s="40">
        <f t="shared" ca="1" si="1"/>
        <v>5.1888888888794037E-4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input_596105!A$2</f>
        <v>596105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IFERROR(VLOOKUP(B45,input_596105!L:R,7,FALSE),VLOOKUP(tables_596105!C45,input_596105!A:H,8,FALSE))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input_596105!A$2</f>
        <v>596105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IFERROR(VLOOKUP(B46,input_596105!L:R,7,FALSE),VLOOKUP(tables_596105!C46,input_596105!A:H,8,FALSE))</f>
        <v>25554.240000000002</v>
      </c>
      <c r="P46" s="40">
        <f t="shared" ca="1" si="1"/>
        <v>4.669999999991464E-3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input_596105!A$2</f>
        <v>596105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IFERROR(VLOOKUP(B47,input_596105!L:R,7,FALSE),VLOOKUP(tables_596105!C47,input_596105!A:H,8,FALSE))</f>
        <v>2839.36</v>
      </c>
      <c r="P47" s="40">
        <f t="shared" ca="1" si="1"/>
        <v>5.1888888888794037E-4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input_596105!A$2</f>
        <v>596105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IFERROR(VLOOKUP(B48,input_596105!L:R,7,FALSE),VLOOKUP(tables_596105!C48,input_596105!A:H,8,FALSE))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input_596105!A$2</f>
        <v>596105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IFERROR(VLOOKUP(B49,input_596105!L:R,7,FALSE),VLOOKUP(tables_596105!C49,input_596105!A:H,8,FALSE))</f>
        <v>110394.3168</v>
      </c>
      <c r="P49" s="40">
        <f t="shared" ca="1" si="1"/>
        <v>2.0174399999963122E-2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input_596105!A$2</f>
        <v>596105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IFERROR(VLOOKUP(B50,input_596105!L:R,7,FALSE),VLOOKUP(tables_596105!C50,input_596105!A:H,8,FALSE))</f>
        <v>12266.0352</v>
      </c>
      <c r="P50" s="40">
        <f t="shared" ca="1" si="1"/>
        <v>2.2415999999959024E-3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input_596105!A$2</f>
        <v>596105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IFERROR(VLOOKUP(B51,input_596105!L:R,7,FALSE),VLOOKUP(tables_596105!C51,input_596105!A:H,8,FALSE))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input_596105!A$2</f>
        <v>596105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IFERROR(VLOOKUP(B52,input_596105!L:R,7,FALSE),VLOOKUP(tables_596105!C52,input_596105!A:H,8,FALSE))</f>
        <v>25554.240000000002</v>
      </c>
      <c r="P52" s="40">
        <f t="shared" ca="1" si="1"/>
        <v>4.669999999991464E-3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input_596105!A$2</f>
        <v>596105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IFERROR(VLOOKUP(B53,input_596105!L:R,7,FALSE),VLOOKUP(tables_596105!C53,input_596105!A:H,8,FALSE))</f>
        <v>2839.36</v>
      </c>
      <c r="P53" s="40">
        <f t="shared" ca="1" si="1"/>
        <v>5.1888888888794037E-4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input_596105!A$2</f>
        <v>596105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IFERROR(VLOOKUP(B54,input_596105!L:R,7,FALSE),VLOOKUP(tables_596105!C54,input_596105!A:H,8,FALSE))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input_596105!A$2</f>
        <v>596105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IFERROR(VLOOKUP(B55,input_596105!L:R,7,FALSE),VLOOKUP(tables_596105!C55,input_596105!A:H,8,FALSE))</f>
        <v>25554.240000000002</v>
      </c>
      <c r="P55" s="40">
        <f t="shared" ca="1" si="1"/>
        <v>4.669999999991464E-3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input_596105!A$2</f>
        <v>596105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IFERROR(VLOOKUP(B56,input_596105!L:R,7,FALSE),VLOOKUP(tables_596105!C56,input_596105!A:H,8,FALSE))</f>
        <v>2839.36</v>
      </c>
      <c r="P56" s="40">
        <f t="shared" ca="1" si="1"/>
        <v>5.1888888888794037E-4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input_596105!A$2</f>
        <v>596105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IFERROR(VLOOKUP(B57,input_596105!L:R,7,FALSE),VLOOKUP(tables_596105!C57,input_596105!A:H,8,FALSE))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input_596105!A$2</f>
        <v>596105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IFERROR(VLOOKUP(B58,input_596105!L:R,7,FALSE),VLOOKUP(tables_596105!C58,input_596105!A:H,8,FALSE))</f>
        <v>25554.240000000002</v>
      </c>
      <c r="P58" s="40">
        <f t="shared" ca="1" si="1"/>
        <v>4.669999999991464E-3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input_596105!A$2</f>
        <v>596105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IFERROR(VLOOKUP(B59,input_596105!L:R,7,FALSE),VLOOKUP(tables_596105!C59,input_596105!A:H,8,FALSE))</f>
        <v>2839.36</v>
      </c>
      <c r="P59" s="40">
        <f t="shared" ca="1" si="1"/>
        <v>5.1888888888794037E-4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input_596105!A$2</f>
        <v>596105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IFERROR(VLOOKUP(B60,input_596105!L:R,7,FALSE),VLOOKUP(tables_596105!C60,input_596105!A:H,8,FALSE))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input_596105!A$2</f>
        <v>596105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IFERROR(VLOOKUP(B61,input_596105!L:R,7,FALSE),VLOOKUP(tables_596105!C61,input_596105!A:H,8,FALSE))</f>
        <v>110394.3168</v>
      </c>
      <c r="P61" s="40">
        <f t="shared" ca="1" si="1"/>
        <v>2.0174399999963122E-2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input_596105!A$2</f>
        <v>596105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IFERROR(VLOOKUP(B62,input_596105!L:R,7,FALSE),VLOOKUP(tables_596105!C62,input_596105!A:H,8,FALSE))</f>
        <v>5107.4084599999996</v>
      </c>
      <c r="P62" s="40">
        <f t="shared" ca="1" si="1"/>
        <v>9.3337142909186101E-4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input_596105!A$2</f>
        <v>596105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IFERROR(VLOOKUP(B63,input_596105!L:R,7,FALSE),VLOOKUP(tables_596105!C63,input_596105!A:H,8,FALSE))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input_596105!A$2</f>
        <v>596105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IFERROR(VLOOKUP(B64,input_596105!L:R,7,FALSE),VLOOKUP(tables_596105!C64,input_596105!A:H,8,FALSE))</f>
        <v>25554.240000000002</v>
      </c>
      <c r="P64" s="40">
        <f t="shared" ca="1" si="1"/>
        <v>4.669999999991464E-3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input_596105!A$2</f>
        <v>596105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IFERROR(VLOOKUP(B65,input_596105!L:R,7,FALSE),VLOOKUP(tables_596105!C65,input_596105!A:H,8,FALSE))</f>
        <v>2839.36</v>
      </c>
      <c r="P65" s="40">
        <f t="shared" ca="1" si="1"/>
        <v>5.1888888888794037E-4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input_596105!A$2</f>
        <v>596105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IFERROR(VLOOKUP(B66,input_596105!L:R,7,FALSE),VLOOKUP(tables_596105!C66,input_596105!A:H,8,FALSE))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input_596105!A$2</f>
        <v>596105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IFERROR(VLOOKUP(B67,input_596105!L:R,7,FALSE),VLOOKUP(tables_596105!C67,input_596105!A:H,8,FALSE))</f>
        <v>25554.240000000002</v>
      </c>
      <c r="P67" s="40">
        <f t="shared" ca="1" si="4"/>
        <v>4.669999999991464E-3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input_596105!A$2</f>
        <v>596105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IFERROR(VLOOKUP(B68,input_596105!L:R,7,FALSE),VLOOKUP(tables_596105!C68,input_596105!A:H,8,FALSE))</f>
        <v>2839.36</v>
      </c>
      <c r="P68" s="40">
        <f t="shared" ca="1" si="4"/>
        <v>5.1888888888794037E-4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input_596105!A$2</f>
        <v>596105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IFERROR(VLOOKUP(B69,input_596105!L:R,7,FALSE),VLOOKUP(tables_596105!C69,input_596105!A:H,8,FALSE))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input_596105!A$2</f>
        <v>596105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IFERROR(VLOOKUP(B70,input_596105!L:R,7,FALSE),VLOOKUP(tables_596105!C70,input_596105!A:H,8,FALSE))</f>
        <v>25554.240000000002</v>
      </c>
      <c r="P70" s="40">
        <f t="shared" ca="1" si="4"/>
        <v>4.669999999991464E-3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input_596105!A$2</f>
        <v>596105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IFERROR(VLOOKUP(B71,input_596105!L:R,7,FALSE),VLOOKUP(tables_596105!C71,input_596105!A:H,8,FALSE))</f>
        <v>2839.36</v>
      </c>
      <c r="P71" s="40">
        <f t="shared" ca="1" si="4"/>
        <v>5.1888888888794037E-4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input_596105!A$2</f>
        <v>596105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IFERROR(VLOOKUP(B72,input_596105!L:R,7,FALSE),VLOOKUP(tables_596105!C72,input_596105!A:H,8,FALSE))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input_596105!A$2</f>
        <v>596105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IFERROR(VLOOKUP(B73,input_596105!L:R,7,FALSE),VLOOKUP(tables_596105!C73,input_596105!A:H,8,FALSE))</f>
        <v>25554.240000000002</v>
      </c>
      <c r="P73" s="40">
        <f t="shared" ca="1" si="4"/>
        <v>4.669999999991464E-3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input_596105!A$2</f>
        <v>596105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IFERROR(VLOOKUP(B74,input_596105!L:R,7,FALSE),VLOOKUP(tables_596105!C74,input_596105!A:H,8,FALSE))</f>
        <v>2839.36</v>
      </c>
      <c r="P74" s="40">
        <f t="shared" ca="1" si="4"/>
        <v>5.1888888888794037E-4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input_596105!A$2</f>
        <v>596105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IFERROR(VLOOKUP(B75,input_596105!L:R,7,FALSE),VLOOKUP(tables_596105!C75,input_596105!A:H,8,FALSE))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input_596105!A$2</f>
        <v>596105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IFERROR(VLOOKUP(B76,input_596105!L:R,7,FALSE),VLOOKUP(tables_596105!C76,input_596105!A:H,8,FALSE))</f>
        <v>110394.3168</v>
      </c>
      <c r="P76" s="40">
        <f t="shared" ca="1" si="4"/>
        <v>2.0174399999963122E-2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input_596105!A$2</f>
        <v>596105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IFERROR(VLOOKUP(B77,input_596105!L:R,7,FALSE),VLOOKUP(tables_596105!C77,input_596105!A:H,8,FALSE))</f>
        <v>5107.4084599999996</v>
      </c>
      <c r="P77" s="40">
        <f t="shared" ca="1" si="4"/>
        <v>9.3337142909186101E-4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input_596105!A$2</f>
        <v>596105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IFERROR(VLOOKUP(B78,input_596105!L:R,7,FALSE),VLOOKUP(tables_596105!C78,input_596105!A:H,8,FALSE))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input_596105!A$2</f>
        <v>596105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IFERROR(VLOOKUP(B79,input_596105!L:R,7,FALSE),VLOOKUP(tables_596105!C79,input_596105!A:H,8,FALSE))</f>
        <v>25554.240000000002</v>
      </c>
      <c r="P79" s="40">
        <f t="shared" ca="1" si="4"/>
        <v>4.669999999991464E-3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input_596105!A$2</f>
        <v>596105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IFERROR(VLOOKUP(B80,input_596105!L:R,7,FALSE),VLOOKUP(tables_596105!C80,input_596105!A:H,8,FALSE))</f>
        <v>2839.36</v>
      </c>
      <c r="P80" s="40">
        <f t="shared" ca="1" si="4"/>
        <v>5.1888888888794037E-4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input_596105!A$2</f>
        <v>596105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IFERROR(VLOOKUP(B81,input_596105!L:R,7,FALSE),VLOOKUP(tables_596105!C81,input_596105!A:H,8,FALSE))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input_596105!A$2</f>
        <v>596105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IFERROR(VLOOKUP(B82,input_596105!L:R,7,FALSE),VLOOKUP(tables_596105!C82,input_596105!A:H,8,FALSE))</f>
        <v>25554.240000000002</v>
      </c>
      <c r="P82" s="40">
        <f t="shared" ca="1" si="4"/>
        <v>4.669999999991464E-3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input_596105!A$2</f>
        <v>596105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IFERROR(VLOOKUP(B83,input_596105!L:R,7,FALSE),VLOOKUP(tables_596105!C83,input_596105!A:H,8,FALSE))</f>
        <v>2839.36</v>
      </c>
      <c r="P83" s="40">
        <f t="shared" ca="1" si="4"/>
        <v>5.1888888888794037E-4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input_596105!A$2</f>
        <v>596105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IFERROR(VLOOKUP(B84,input_596105!L:R,7,FALSE),VLOOKUP(tables_596105!C84,input_596105!A:H,8,FALSE))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input_596105!A$2</f>
        <v>596105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IFERROR(VLOOKUP(B85,input_596105!L:R,7,FALSE),VLOOKUP(tables_596105!C85,input_596105!A:H,8,FALSE))</f>
        <v>110394.3168</v>
      </c>
      <c r="P85" s="40">
        <f t="shared" ca="1" si="4"/>
        <v>2.0174399999963122E-2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input_596105!A$2</f>
        <v>596105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IFERROR(VLOOKUP(B86,input_596105!L:R,7,FALSE),VLOOKUP(tables_596105!C86,input_596105!A:H,8,FALSE))</f>
        <v>5107.4084599999996</v>
      </c>
      <c r="P86" s="40">
        <f t="shared" ca="1" si="4"/>
        <v>9.3337142909186101E-4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input_596105!A$2</f>
        <v>596105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IFERROR(VLOOKUP(B87,input_596105!L:R,7,FALSE),VLOOKUP(tables_596105!C87,input_596105!A:H,8,FALSE))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input_596105!A$2</f>
        <v>596105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IFERROR(VLOOKUP(B88,input_596105!L:R,7,FALSE),VLOOKUP(tables_596105!C88,input_596105!A:H,8,FALSE))</f>
        <v>25554.240000000002</v>
      </c>
      <c r="P88" s="40">
        <f t="shared" ca="1" si="4"/>
        <v>4.669999999991464E-3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input_596105!A$2</f>
        <v>596105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IFERROR(VLOOKUP(B89,input_596105!L:R,7,FALSE),VLOOKUP(tables_596105!C89,input_596105!A:H,8,FALSE))</f>
        <v>2839.36</v>
      </c>
      <c r="P89" s="40">
        <f t="shared" ca="1" si="4"/>
        <v>5.1888888888794037E-4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input_596105!A$2</f>
        <v>596105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IFERROR(VLOOKUP(B90,input_596105!L:R,7,FALSE),VLOOKUP(tables_596105!C90,input_596105!A:H,8,FALSE))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input_596105!A$2</f>
        <v>596105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IFERROR(VLOOKUP(B91,input_596105!L:R,7,FALSE),VLOOKUP(tables_596105!C91,input_596105!A:H,8,FALSE))</f>
        <v>25554.240000000002</v>
      </c>
      <c r="P91" s="40">
        <f t="shared" ca="1" si="4"/>
        <v>4.669999999991464E-3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input_596105!A$2</f>
        <v>596105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IFERROR(VLOOKUP(B92,input_596105!L:R,7,FALSE),VLOOKUP(tables_596105!C92,input_596105!A:H,8,FALSE))</f>
        <v>2839.36</v>
      </c>
      <c r="P92" s="40">
        <f t="shared" ca="1" si="4"/>
        <v>5.1888888888794037E-4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input_596105!A$2</f>
        <v>596105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IFERROR(VLOOKUP(B93,input_596105!L:R,7,FALSE),VLOOKUP(tables_596105!C93,input_596105!A:H,8,FALSE))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input_596105!A$2</f>
        <v>596105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IFERROR(VLOOKUP(B94,input_596105!L:R,7,FALSE),VLOOKUP(tables_596105!C94,input_596105!A:H,8,FALSE))</f>
        <v>25554.240000000002</v>
      </c>
      <c r="P94" s="40">
        <f t="shared" ca="1" si="4"/>
        <v>4.669999999991464E-3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input_596105!A$2</f>
        <v>596105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IFERROR(VLOOKUP(B95,input_596105!L:R,7,FALSE),VLOOKUP(tables_596105!C95,input_596105!A:H,8,FALSE))</f>
        <v>2839.36</v>
      </c>
      <c r="P95" s="40">
        <f t="shared" ca="1" si="4"/>
        <v>5.1888888888794037E-4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input_596105!A$2</f>
        <v>596105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IFERROR(VLOOKUP(B96,input_596105!L:R,7,FALSE),VLOOKUP(tables_596105!C96,input_596105!A:H,8,FALSE))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input_596105!A$2</f>
        <v>596105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IFERROR(VLOOKUP(B97,input_596105!L:R,7,FALSE),VLOOKUP(tables_596105!C97,input_596105!A:H,8,FALSE))</f>
        <v>110394.3168</v>
      </c>
      <c r="P97" s="40">
        <f t="shared" ca="1" si="4"/>
        <v>2.0174399999963122E-2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input_596105!A$2</f>
        <v>596105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IFERROR(VLOOKUP(B98,input_596105!L:R,7,FALSE),VLOOKUP(tables_596105!C98,input_596105!A:H,8,FALSE))</f>
        <v>5107.4084599999996</v>
      </c>
      <c r="P98" s="40">
        <f t="shared" ca="1" si="4"/>
        <v>9.3337142909186101E-4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input_596105!A$2</f>
        <v>596105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IFERROR(VLOOKUP(B99,input_596105!L:R,7,FALSE),VLOOKUP(tables_596105!C99,input_596105!A:H,8,FALSE))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input_596105!A$2</f>
        <v>596105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IFERROR(VLOOKUP(B100,input_596105!L:R,7,FALSE),VLOOKUP(tables_596105!C100,input_596105!A:H,8,FALSE))</f>
        <v>25554.240000000002</v>
      </c>
      <c r="P100" s="40">
        <f t="shared" ca="1" si="4"/>
        <v>4.669999999991464E-3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input_596105!A$2</f>
        <v>596105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IFERROR(VLOOKUP(B101,input_596105!L:R,7,FALSE),VLOOKUP(tables_596105!C101,input_596105!A:H,8,FALSE))</f>
        <v>2839.36</v>
      </c>
      <c r="P101" s="40">
        <f t="shared" ca="1" si="4"/>
        <v>5.1888888888794037E-4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input_596105!A$2</f>
        <v>596105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IFERROR(VLOOKUP(B102,input_596105!L:R,7,FALSE),VLOOKUP(tables_596105!C102,input_596105!A:H,8,FALSE))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input_596105!A$2</f>
        <v>596105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IFERROR(VLOOKUP(B103,input_596105!L:R,7,FALSE),VLOOKUP(tables_596105!C103,input_596105!A:H,8,FALSE))</f>
        <v>25554.240000000002</v>
      </c>
      <c r="P103" s="40">
        <f t="shared" ca="1" si="4"/>
        <v>4.669999999991464E-3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input_596105!A$2</f>
        <v>596105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IFERROR(VLOOKUP(B104,input_596105!L:R,7,FALSE),VLOOKUP(tables_596105!C104,input_596105!A:H,8,FALSE))</f>
        <v>2839.36</v>
      </c>
      <c r="P104" s="40">
        <f t="shared" ca="1" si="4"/>
        <v>5.1888888888794037E-4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input_596105!A$2</f>
        <v>596105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IFERROR(VLOOKUP(B105,input_596105!L:R,7,FALSE),VLOOKUP(tables_596105!C105,input_596105!A:H,8,FALSE))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input_596105!A$2</f>
        <v>596105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IFERROR(VLOOKUP(B106,input_596105!L:R,7,FALSE),VLOOKUP(tables_596105!C106,input_596105!A:H,8,FALSE))</f>
        <v>25554.240000000002</v>
      </c>
      <c r="P106" s="40">
        <f t="shared" ca="1" si="4"/>
        <v>4.669999999991464E-3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input_596105!A$2</f>
        <v>596105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IFERROR(VLOOKUP(B107,input_596105!L:R,7,FALSE),VLOOKUP(tables_596105!C107,input_596105!A:H,8,FALSE))</f>
        <v>2839.36</v>
      </c>
      <c r="P107" s="40">
        <f t="shared" ca="1" si="4"/>
        <v>5.1888888888794037E-4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input_596105!A$2</f>
        <v>596105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IFERROR(VLOOKUP(B108,input_596105!L:R,7,FALSE),VLOOKUP(tables_596105!C108,input_596105!A:H,8,FALSE))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input_596105!A$2</f>
        <v>596105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IFERROR(VLOOKUP(B109,input_596105!L:R,7,FALSE),VLOOKUP(tables_596105!C109,input_596105!A:H,8,FALSE))</f>
        <v>110394.3168</v>
      </c>
      <c r="P109" s="40">
        <f t="shared" ca="1" si="4"/>
        <v>2.0174399999963122E-2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input_596105!A$2</f>
        <v>596105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IFERROR(VLOOKUP(B110,input_596105!L:R,7,FALSE),VLOOKUP(tables_596105!C110,input_596105!A:H,8,FALSE))</f>
        <v>5107.4084599999996</v>
      </c>
      <c r="P110" s="40">
        <f t="shared" ca="1" si="4"/>
        <v>9.3337142909186101E-4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input_596105!A$2</f>
        <v>596105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IFERROR(VLOOKUP(B111,input_596105!L:R,7,FALSE),VLOOKUP(tables_596105!C111,input_596105!A:H,8,FALSE))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input_596105!A$2</f>
        <v>596105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IFERROR(VLOOKUP(B112,input_596105!L:R,7,FALSE),VLOOKUP(tables_596105!C112,input_596105!A:H,8,FALSE))</f>
        <v>25554.240000000002</v>
      </c>
      <c r="P112" s="40">
        <f t="shared" ca="1" si="4"/>
        <v>4.669999999991464E-3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input_596105!A$2</f>
        <v>596105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IFERROR(VLOOKUP(B113,input_596105!L:R,7,FALSE),VLOOKUP(tables_596105!C113,input_596105!A:H,8,FALSE))</f>
        <v>2839.36</v>
      </c>
      <c r="P113" s="40">
        <f t="shared" ca="1" si="4"/>
        <v>5.1888888888794037E-4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input_596105!A$2</f>
        <v>596105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IFERROR(VLOOKUP(B114,input_596105!L:R,7,FALSE),VLOOKUP(tables_596105!C114,input_596105!A:H,8,FALSE))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input_596105!A$2</f>
        <v>596105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IFERROR(VLOOKUP(B115,input_596105!L:R,7,FALSE),VLOOKUP(tables_596105!C115,input_596105!A:H,8,FALSE))</f>
        <v>25554.240000000002</v>
      </c>
      <c r="P115" s="40">
        <f t="shared" ca="1" si="4"/>
        <v>4.669999999991464E-3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input_596105!A$2</f>
        <v>596105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IFERROR(VLOOKUP(B116,input_596105!L:R,7,FALSE),VLOOKUP(tables_596105!C116,input_596105!A:H,8,FALSE))</f>
        <v>2839.36</v>
      </c>
      <c r="P116" s="40">
        <f t="shared" ca="1" si="4"/>
        <v>5.1888888888794037E-4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input_596105!A$2</f>
        <v>596105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IFERROR(VLOOKUP(B117,input_596105!L:R,7,FALSE),VLOOKUP(tables_596105!C117,input_596105!A:H,8,FALSE))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input_596105!A$2</f>
        <v>596105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IFERROR(VLOOKUP(B118,input_596105!L:R,7,FALSE),VLOOKUP(tables_596105!C118,input_596105!A:H,8,FALSE))</f>
        <v>25554.240000000002</v>
      </c>
      <c r="P118" s="40">
        <f t="shared" ca="1" si="4"/>
        <v>4.669999999991464E-3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input_596105!A$2</f>
        <v>596105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IFERROR(VLOOKUP(B119,input_596105!L:R,7,FALSE),VLOOKUP(tables_596105!C119,input_596105!A:H,8,FALSE))</f>
        <v>2839.36</v>
      </c>
      <c r="P119" s="40">
        <f t="shared" ca="1" si="4"/>
        <v>5.1888888888794037E-4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input_596105!A$2</f>
        <v>596105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IFERROR(VLOOKUP(B120,input_596105!L:R,7,FALSE),VLOOKUP(tables_596105!C120,input_596105!A:H,8,FALSE))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input_596105!A$2</f>
        <v>596105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IFERROR(VLOOKUP(B121,input_596105!L:R,7,FALSE),VLOOKUP(tables_596105!C121,input_596105!A:H,8,FALSE))</f>
        <v>110394.3168</v>
      </c>
      <c r="P121" s="40">
        <f t="shared" ca="1" si="4"/>
        <v>2.0174399999963122E-2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input_596105!A$2</f>
        <v>596105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IFERROR(VLOOKUP(B122,input_596105!L:R,7,FALSE),VLOOKUP(tables_596105!C122,input_596105!A:H,8,FALSE))</f>
        <v>5107.4084599999996</v>
      </c>
      <c r="P122" s="40">
        <f t="shared" ca="1" si="4"/>
        <v>9.3337142909186101E-4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input_596105!A$2</f>
        <v>596105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IFERROR(VLOOKUP(B123,input_596105!L:R,7,FALSE),VLOOKUP(tables_596105!C123,input_596105!A:H,8,FALSE))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input_596105!A$2</f>
        <v>596105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IFERROR(VLOOKUP(B124,input_596105!L:R,7,FALSE),VLOOKUP(tables_596105!C124,input_596105!A:H,8,FALSE))</f>
        <v>25554.240000000002</v>
      </c>
      <c r="P124" s="40">
        <f t="shared" ca="1" si="4"/>
        <v>4.669999999991464E-3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input_596105!A$2</f>
        <v>596105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IFERROR(VLOOKUP(B125,input_596105!L:R,7,FALSE),VLOOKUP(tables_596105!C125,input_596105!A:H,8,FALSE))</f>
        <v>2839.36</v>
      </c>
      <c r="P125" s="40">
        <f t="shared" ca="1" si="4"/>
        <v>5.1888888888794037E-4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input_596105!A$2</f>
        <v>596105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IFERROR(VLOOKUP(B126,input_596105!L:R,7,FALSE),VLOOKUP(tables_596105!C126,input_596105!A:H,8,FALSE))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input_596105!A$2</f>
        <v>596105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IFERROR(VLOOKUP(B127,input_596105!L:R,7,FALSE),VLOOKUP(tables_596105!C127,input_596105!A:H,8,FALSE))</f>
        <v>25554.240000000002</v>
      </c>
      <c r="P127" s="40">
        <f t="shared" ca="1" si="4"/>
        <v>4.669999999991464E-3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input_596105!A$2</f>
        <v>596105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IFERROR(VLOOKUP(B128,input_596105!L:R,7,FALSE),VLOOKUP(tables_596105!C128,input_596105!A:H,8,FALSE))</f>
        <v>2839.36</v>
      </c>
      <c r="P128" s="40">
        <f t="shared" ca="1" si="4"/>
        <v>5.1888888888794037E-4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input_596105!A$2</f>
        <v>596105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IFERROR(VLOOKUP(B129,input_596105!L:R,7,FALSE),VLOOKUP(tables_596105!C129,input_596105!A:H,8,FALSE))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input_596105!A$2</f>
        <v>596105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IFERROR(VLOOKUP(B130,input_596105!L:R,7,FALSE),VLOOKUP(tables_596105!C130,input_596105!A:H,8,FALSE))</f>
        <v>25554.240000000002</v>
      </c>
      <c r="P130" s="40">
        <f t="shared" ref="P130:P193" ca="1" si="7">O130/SUM(O:O)</f>
        <v>4.669999999991464E-3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input_596105!A$2</f>
        <v>596105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IFERROR(VLOOKUP(B131,input_596105!L:R,7,FALSE),VLOOKUP(tables_596105!C131,input_596105!A:H,8,FALSE))</f>
        <v>2839.36</v>
      </c>
      <c r="P131" s="40">
        <f t="shared" ca="1" si="7"/>
        <v>5.1888888888794037E-4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input_596105!A$2</f>
        <v>596105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IFERROR(VLOOKUP(B132,input_596105!L:R,7,FALSE),VLOOKUP(tables_596105!C132,input_596105!A:H,8,FALSE))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input_596105!A$2</f>
        <v>596105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IFERROR(VLOOKUP(B133,input_596105!L:R,7,FALSE),VLOOKUP(tables_596105!C133,input_596105!A:H,8,FALSE))</f>
        <v>110394.3168</v>
      </c>
      <c r="P133" s="40">
        <f t="shared" ca="1" si="7"/>
        <v>2.0174399999963122E-2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input_596105!A$2</f>
        <v>596105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IFERROR(VLOOKUP(B134,input_596105!L:R,7,FALSE),VLOOKUP(tables_596105!C134,input_596105!A:H,8,FALSE))</f>
        <v>5107.4084599999996</v>
      </c>
      <c r="P134" s="40">
        <f t="shared" ca="1" si="7"/>
        <v>9.3337142909186101E-4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input_596105!A$2</f>
        <v>596105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IFERROR(VLOOKUP(B135,input_596105!L:R,7,FALSE),VLOOKUP(tables_596105!C135,input_596105!A:H,8,FALSE))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input_596105!A$2</f>
        <v>596105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IFERROR(VLOOKUP(B136,input_596105!L:R,7,FALSE),VLOOKUP(tables_596105!C136,input_596105!A:H,8,FALSE))</f>
        <v>25554.240000000002</v>
      </c>
      <c r="P136" s="40">
        <f t="shared" ca="1" si="7"/>
        <v>4.669999999991464E-3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input_596105!A$2</f>
        <v>596105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IFERROR(VLOOKUP(B137,input_596105!L:R,7,FALSE),VLOOKUP(tables_596105!C137,input_596105!A:H,8,FALSE))</f>
        <v>2839.36</v>
      </c>
      <c r="P137" s="40">
        <f t="shared" ca="1" si="7"/>
        <v>5.1888888888794037E-4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input_596105!A$2</f>
        <v>596105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IFERROR(VLOOKUP(B138,input_596105!L:R,7,FALSE),VLOOKUP(tables_596105!C138,input_596105!A:H,8,FALSE))</f>
        <v>1728</v>
      </c>
      <c r="P138" s="40">
        <f t="shared" ca="1" si="7"/>
        <v>3.157894736836333E-4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input_596105!A$2</f>
        <v>596105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IFERROR(VLOOKUP(B139,input_596105!L:R,7,FALSE),VLOOKUP(tables_596105!C139,input_596105!A:H,8,FALSE))</f>
        <v>192</v>
      </c>
      <c r="P139" s="40">
        <f t="shared" ca="1" si="7"/>
        <v>3.5087719298181474E-5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input_596105!A$2</f>
        <v>596105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IFERROR(VLOOKUP(B140,input_596105!L:R,7,FALSE),VLOOKUP(tables_596105!C140,input_596105!A:H,8,FALSE))</f>
        <v>1728</v>
      </c>
      <c r="P140" s="40">
        <f t="shared" ca="1" si="7"/>
        <v>3.157894736836333E-4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input_596105!A$2</f>
        <v>596105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IFERROR(VLOOKUP(B141,input_596105!L:R,7,FALSE),VLOOKUP(tables_596105!C141,input_596105!A:H,8,FALSE))</f>
        <v>192</v>
      </c>
      <c r="P141" s="40">
        <f t="shared" ca="1" si="7"/>
        <v>3.5087719298181474E-5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input_596105!A$2</f>
        <v>596105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IFERROR(VLOOKUP(B142,input_596105!L:R,7,FALSE),VLOOKUP(tables_596105!C142,input_596105!A:H,8,FALSE))</f>
        <v>8208</v>
      </c>
      <c r="P142" s="40">
        <f t="shared" ca="1" si="7"/>
        <v>1.4999999999972581E-3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input_596105!A$2</f>
        <v>596105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IFERROR(VLOOKUP(B143,input_596105!L:R,7,FALSE),VLOOKUP(tables_596105!C143,input_596105!A:H,8,FALSE))</f>
        <v>912</v>
      </c>
      <c r="P143" s="40">
        <f t="shared" ca="1" si="7"/>
        <v>1.66666666666362E-4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input_596105!A$2</f>
        <v>596105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IFERROR(VLOOKUP(B144,input_596105!L:R,7,FALSE),VLOOKUP(tables_596105!C144,input_596105!A:H,8,FALSE))</f>
        <v>1728</v>
      </c>
      <c r="P144" s="40">
        <f t="shared" ca="1" si="7"/>
        <v>3.157894736836333E-4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input_596105!A$2</f>
        <v>596105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IFERROR(VLOOKUP(B145,input_596105!L:R,7,FALSE),VLOOKUP(tables_596105!C145,input_596105!A:H,8,FALSE))</f>
        <v>192</v>
      </c>
      <c r="P145" s="40">
        <f t="shared" ca="1" si="7"/>
        <v>3.5087719298181474E-5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input_596105!A$2</f>
        <v>596105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IFERROR(VLOOKUP(B146,input_596105!L:R,7,FALSE),VLOOKUP(tables_596105!C146,input_596105!A:H,8,FALSE))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input_596105!A$2</f>
        <v>596105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IFERROR(VLOOKUP(B147,input_596105!L:R,7,FALSE),VLOOKUP(tables_596105!C147,input_596105!A:H,8,FALSE))</f>
        <v>25554.240000000002</v>
      </c>
      <c r="P147" s="40">
        <f t="shared" ca="1" si="7"/>
        <v>4.669999999991464E-3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input_596105!A$2</f>
        <v>596105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IFERROR(VLOOKUP(B148,input_596105!L:R,7,FALSE),VLOOKUP(tables_596105!C148,input_596105!A:H,8,FALSE))</f>
        <v>2839.36</v>
      </c>
      <c r="P148" s="40">
        <f t="shared" ca="1" si="7"/>
        <v>5.1888888888794037E-4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input_596105!A$2</f>
        <v>596105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IFERROR(VLOOKUP(B149,input_596105!L:R,7,FALSE),VLOOKUP(tables_596105!C149,input_596105!A:H,8,FALSE))</f>
        <v>1728</v>
      </c>
      <c r="P149" s="40">
        <f t="shared" ca="1" si="7"/>
        <v>3.157894736836333E-4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input_596105!A$2</f>
        <v>596105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IFERROR(VLOOKUP(B150,input_596105!L:R,7,FALSE),VLOOKUP(tables_596105!C150,input_596105!A:H,8,FALSE))</f>
        <v>192</v>
      </c>
      <c r="P150" s="40">
        <f t="shared" ca="1" si="7"/>
        <v>3.5087719298181474E-5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input_596105!A$2</f>
        <v>596105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IFERROR(VLOOKUP(B151,input_596105!L:R,7,FALSE),VLOOKUP(tables_596105!C151,input_596105!A:H,8,FALSE))</f>
        <v>8208</v>
      </c>
      <c r="P151" s="40">
        <f t="shared" ca="1" si="7"/>
        <v>1.4999999999972581E-3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input_596105!A$2</f>
        <v>596105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IFERROR(VLOOKUP(B152,input_596105!L:R,7,FALSE),VLOOKUP(tables_596105!C152,input_596105!A:H,8,FALSE))</f>
        <v>912</v>
      </c>
      <c r="P152" s="40">
        <f t="shared" ca="1" si="7"/>
        <v>1.66666666666362E-4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input_596105!A$2</f>
        <v>596105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IFERROR(VLOOKUP(B153,input_596105!L:R,7,FALSE),VLOOKUP(tables_596105!C153,input_596105!A:H,8,FALSE))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input_596105!A$2</f>
        <v>596105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IFERROR(VLOOKUP(B154,input_596105!L:R,7,FALSE),VLOOKUP(tables_596105!C154,input_596105!A:H,8,FALSE))</f>
        <v>25554.240000000002</v>
      </c>
      <c r="P154" s="40">
        <f t="shared" ca="1" si="7"/>
        <v>4.669999999991464E-3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input_596105!A$2</f>
        <v>596105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IFERROR(VLOOKUP(B155,input_596105!L:R,7,FALSE),VLOOKUP(tables_596105!C155,input_596105!A:H,8,FALSE))</f>
        <v>2839.36</v>
      </c>
      <c r="P155" s="40">
        <f t="shared" ca="1" si="7"/>
        <v>5.1888888888794037E-4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input_596105!A$2</f>
        <v>596105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IFERROR(VLOOKUP(B156,input_596105!L:R,7,FALSE),VLOOKUP(tables_596105!C156,input_596105!A:H,8,FALSE))</f>
        <v>1728</v>
      </c>
      <c r="P156" s="40">
        <f t="shared" ca="1" si="7"/>
        <v>3.157894736836333E-4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input_596105!A$2</f>
        <v>596105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IFERROR(VLOOKUP(B157,input_596105!L:R,7,FALSE),VLOOKUP(tables_596105!C157,input_596105!A:H,8,FALSE))</f>
        <v>192</v>
      </c>
      <c r="P157" s="40">
        <f t="shared" ca="1" si="7"/>
        <v>3.5087719298181474E-5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input_596105!A$2</f>
        <v>596105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IFERROR(VLOOKUP(B158,input_596105!L:R,7,FALSE),VLOOKUP(tables_596105!C158,input_596105!A:H,8,FALSE))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input_596105!A$2</f>
        <v>596105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IFERROR(VLOOKUP(B159,input_596105!L:R,7,FALSE),VLOOKUP(tables_596105!C159,input_596105!A:H,8,FALSE))</f>
        <v>25554.240000000002</v>
      </c>
      <c r="P159" s="40">
        <f t="shared" ca="1" si="7"/>
        <v>4.669999999991464E-3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input_596105!A$2</f>
        <v>596105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IFERROR(VLOOKUP(B160,input_596105!L:R,7,FALSE),VLOOKUP(tables_596105!C160,input_596105!A:H,8,FALSE))</f>
        <v>2839.36</v>
      </c>
      <c r="P160" s="40">
        <f t="shared" ca="1" si="7"/>
        <v>5.1888888888794037E-4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input_596105!A$2</f>
        <v>596105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IFERROR(VLOOKUP(B161,input_596105!L:R,7,FALSE),VLOOKUP(tables_596105!C161,input_596105!A:H,8,FALSE))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input_596105!A$2</f>
        <v>596105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IFERROR(VLOOKUP(B162,input_596105!L:R,7,FALSE),VLOOKUP(tables_596105!C162,input_596105!A:H,8,FALSE))</f>
        <v>110394.3168</v>
      </c>
      <c r="P162" s="40">
        <f t="shared" ca="1" si="7"/>
        <v>2.0174399999963122E-2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input_596105!A$2</f>
        <v>596105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IFERROR(VLOOKUP(B163,input_596105!L:R,7,FALSE),VLOOKUP(tables_596105!C163,input_596105!A:H,8,FALSE))</f>
        <v>5107.4084599999996</v>
      </c>
      <c r="P163" s="40">
        <f t="shared" ca="1" si="7"/>
        <v>9.3337142909186101E-4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input_596105!A$2</f>
        <v>596105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IFERROR(VLOOKUP(B164,input_596105!L:R,7,FALSE),VLOOKUP(tables_596105!C164,input_596105!A:H,8,FALSE))</f>
        <v>1728</v>
      </c>
      <c r="P164" s="40">
        <f t="shared" ca="1" si="7"/>
        <v>3.157894736836333E-4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input_596105!A$2</f>
        <v>596105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IFERROR(VLOOKUP(B165,input_596105!L:R,7,FALSE),VLOOKUP(tables_596105!C165,input_596105!A:H,8,FALSE))</f>
        <v>192</v>
      </c>
      <c r="P165" s="40">
        <f t="shared" ca="1" si="7"/>
        <v>3.5087719298181474E-5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input_596105!A$2</f>
        <v>596105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IFERROR(VLOOKUP(B166,input_596105!L:R,7,FALSE),VLOOKUP(tables_596105!C166,input_596105!A:H,8,FALSE))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input_596105!A$2</f>
        <v>596105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IFERROR(VLOOKUP(B167,input_596105!L:R,7,FALSE),VLOOKUP(tables_596105!C167,input_596105!A:H,8,FALSE))</f>
        <v>25554.240000000002</v>
      </c>
      <c r="P167" s="40">
        <f t="shared" ca="1" si="7"/>
        <v>4.669999999991464E-3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input_596105!A$2</f>
        <v>596105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IFERROR(VLOOKUP(B168,input_596105!L:R,7,FALSE),VLOOKUP(tables_596105!C168,input_596105!A:H,8,FALSE))</f>
        <v>2839.36</v>
      </c>
      <c r="P168" s="40">
        <f t="shared" ca="1" si="7"/>
        <v>5.1888888888794037E-4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input_596105!A$2</f>
        <v>596105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IFERROR(VLOOKUP(B169,input_596105!L:R,7,FALSE),VLOOKUP(tables_596105!C169,input_596105!A:H,8,FALSE))</f>
        <v>1728</v>
      </c>
      <c r="P169" s="40">
        <f t="shared" ca="1" si="7"/>
        <v>3.157894736836333E-4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input_596105!A$2</f>
        <v>596105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IFERROR(VLOOKUP(B170,input_596105!L:R,7,FALSE),VLOOKUP(tables_596105!C170,input_596105!A:H,8,FALSE))</f>
        <v>192</v>
      </c>
      <c r="P170" s="40">
        <f t="shared" ca="1" si="7"/>
        <v>3.5087719298181474E-5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input_596105!A$2</f>
        <v>596105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IFERROR(VLOOKUP(B171,input_596105!L:R,7,FALSE),VLOOKUP(tables_596105!C171,input_596105!A:H,8,FALSE))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input_596105!A$2</f>
        <v>596105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IFERROR(VLOOKUP(B172,input_596105!L:R,7,FALSE),VLOOKUP(tables_596105!C172,input_596105!A:H,8,FALSE))</f>
        <v>110394.3168</v>
      </c>
      <c r="P172" s="40">
        <f t="shared" ca="1" si="7"/>
        <v>2.0174399999963122E-2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input_596105!A$2</f>
        <v>596105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IFERROR(VLOOKUP(B173,input_596105!L:R,7,FALSE),VLOOKUP(tables_596105!C173,input_596105!A:H,8,FALSE))</f>
        <v>5107.4084599999996</v>
      </c>
      <c r="P173" s="40">
        <f t="shared" ca="1" si="7"/>
        <v>9.3337142909186101E-4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input_596105!A$2</f>
        <v>596105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IFERROR(VLOOKUP(B174,input_596105!L:R,7,FALSE),VLOOKUP(tables_596105!C174,input_596105!A:H,8,FALSE))</f>
        <v>1728</v>
      </c>
      <c r="P174" s="40">
        <f t="shared" ca="1" si="7"/>
        <v>3.157894736836333E-4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input_596105!A$2</f>
        <v>596105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IFERROR(VLOOKUP(B175,input_596105!L:R,7,FALSE),VLOOKUP(tables_596105!C175,input_596105!A:H,8,FALSE))</f>
        <v>192</v>
      </c>
      <c r="P175" s="40">
        <f t="shared" ca="1" si="7"/>
        <v>3.5087719298181474E-5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input_596105!A$2</f>
        <v>596105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IFERROR(VLOOKUP(B176,input_596105!L:R,7,FALSE),VLOOKUP(tables_596105!C176,input_596105!A:H,8,FALSE))</f>
        <v>1728</v>
      </c>
      <c r="P176" s="40">
        <f t="shared" ca="1" si="7"/>
        <v>3.157894736836333E-4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input_596105!A$2</f>
        <v>596105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IFERROR(VLOOKUP(B177,input_596105!L:R,7,FALSE),VLOOKUP(tables_596105!C177,input_596105!A:H,8,FALSE))</f>
        <v>192</v>
      </c>
      <c r="P177" s="40">
        <f t="shared" ca="1" si="7"/>
        <v>3.5087719298181474E-5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input_596105!A$2</f>
        <v>596105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IFERROR(VLOOKUP(B178,input_596105!L:R,7,FALSE),VLOOKUP(tables_596105!C178,input_596105!A:H,8,FALSE))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input_596105!A$2</f>
        <v>596105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IFERROR(VLOOKUP(B179,input_596105!L:R,7,FALSE),VLOOKUP(tables_596105!C179,input_596105!A:H,8,FALSE))</f>
        <v>25554.240000000002</v>
      </c>
      <c r="P179" s="40">
        <f t="shared" ca="1" si="7"/>
        <v>4.669999999991464E-3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input_596105!A$2</f>
        <v>596105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IFERROR(VLOOKUP(B180,input_596105!L:R,7,FALSE),VLOOKUP(tables_596105!C180,input_596105!A:H,8,FALSE))</f>
        <v>2839.36</v>
      </c>
      <c r="P180" s="40">
        <f t="shared" ca="1" si="7"/>
        <v>5.1888888888794037E-4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input_596105!A$2</f>
        <v>596105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IFERROR(VLOOKUP(B181,input_596105!L:R,7,FALSE),VLOOKUP(tables_596105!C181,input_596105!A:H,8,FALSE))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input_596105!A$2</f>
        <v>596105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IFERROR(VLOOKUP(B182,input_596105!L:R,7,FALSE),VLOOKUP(tables_596105!C182,input_596105!A:H,8,FALSE))</f>
        <v>110394.3168</v>
      </c>
      <c r="P182" s="40">
        <f t="shared" ca="1" si="7"/>
        <v>2.0174399999963122E-2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input_596105!A$2</f>
        <v>596105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IFERROR(VLOOKUP(B183,input_596105!L:R,7,FALSE),VLOOKUP(tables_596105!C183,input_596105!A:H,8,FALSE))</f>
        <v>5107.4084599999996</v>
      </c>
      <c r="P183" s="40">
        <f t="shared" ca="1" si="7"/>
        <v>9.3337142909186101E-4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input_596105!A$2</f>
        <v>596105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IFERROR(VLOOKUP(B184,input_596105!L:R,7,FALSE),VLOOKUP(tables_596105!C184,input_596105!A:H,8,FALSE))</f>
        <v>1728</v>
      </c>
      <c r="P184" s="40">
        <f t="shared" ca="1" si="7"/>
        <v>3.157894736836333E-4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input_596105!A$2</f>
        <v>596105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IFERROR(VLOOKUP(B185,input_596105!L:R,7,FALSE),VLOOKUP(tables_596105!C185,input_596105!A:H,8,FALSE))</f>
        <v>192</v>
      </c>
      <c r="P185" s="40">
        <f t="shared" ca="1" si="7"/>
        <v>3.5087719298181474E-5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input_596105!A$2</f>
        <v>596105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IFERROR(VLOOKUP(B186,input_596105!L:R,7,FALSE),VLOOKUP(tables_596105!C186,input_596105!A:H,8,FALSE))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input_596105!A$2</f>
        <v>596105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IFERROR(VLOOKUP(B187,input_596105!L:R,7,FALSE),VLOOKUP(tables_596105!C187,input_596105!A:H,8,FALSE))</f>
        <v>25554.240000000002</v>
      </c>
      <c r="P187" s="40">
        <f t="shared" ca="1" si="7"/>
        <v>4.669999999991464E-3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input_596105!A$2</f>
        <v>596105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IFERROR(VLOOKUP(B188,input_596105!L:R,7,FALSE),VLOOKUP(tables_596105!C188,input_596105!A:H,8,FALSE))</f>
        <v>2839.36</v>
      </c>
      <c r="P188" s="40">
        <f t="shared" ca="1" si="7"/>
        <v>5.1888888888794037E-4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input_596105!A$2</f>
        <v>596105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IFERROR(VLOOKUP(B189,input_596105!L:R,7,FALSE),VLOOKUP(tables_596105!C189,input_596105!A:H,8,FALSE))</f>
        <v>1728</v>
      </c>
      <c r="P189" s="40">
        <f t="shared" ca="1" si="7"/>
        <v>3.157894736836333E-4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input_596105!A$2</f>
        <v>596105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IFERROR(VLOOKUP(B190,input_596105!L:R,7,FALSE),VLOOKUP(tables_596105!C190,input_596105!A:H,8,FALSE))</f>
        <v>192</v>
      </c>
      <c r="P190" s="40">
        <f t="shared" ca="1" si="7"/>
        <v>3.5087719298181474E-5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input_596105!A$2</f>
        <v>596105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IFERROR(VLOOKUP(B191,input_596105!L:R,7,FALSE),VLOOKUP(tables_596105!C191,input_596105!A:H,8,FALSE))</f>
        <v>8208</v>
      </c>
      <c r="P191" s="40">
        <f t="shared" ca="1" si="7"/>
        <v>1.4999999999972581E-3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input_596105!A$2</f>
        <v>596105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IFERROR(VLOOKUP(B192,input_596105!L:R,7,FALSE),VLOOKUP(tables_596105!C192,input_596105!A:H,8,FALSE))</f>
        <v>912</v>
      </c>
      <c r="P192" s="40">
        <f t="shared" ca="1" si="7"/>
        <v>1.66666666666362E-4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input_596105!A$2</f>
        <v>596105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IFERROR(VLOOKUP(B193,input_596105!L:R,7,FALSE),VLOOKUP(tables_596105!C193,input_596105!A:H,8,FALSE))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input_596105!A$2</f>
        <v>596105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IFERROR(VLOOKUP(B194,input_596105!L:R,7,FALSE),VLOOKUP(tables_596105!C194,input_596105!A:H,8,FALSE))</f>
        <v>25554.240000000002</v>
      </c>
      <c r="P194" s="40">
        <f t="shared" ref="P194:P257" ca="1" si="10">O194/SUM(O:O)</f>
        <v>4.669999999991464E-3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input_596105!A$2</f>
        <v>596105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IFERROR(VLOOKUP(B195,input_596105!L:R,7,FALSE),VLOOKUP(tables_596105!C195,input_596105!A:H,8,FALSE))</f>
        <v>2839.36</v>
      </c>
      <c r="P195" s="40">
        <f t="shared" ca="1" si="10"/>
        <v>5.1888888888794037E-4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input_596105!A$2</f>
        <v>596105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IFERROR(VLOOKUP(B196,input_596105!L:R,7,FALSE),VLOOKUP(tables_596105!C196,input_596105!A:H,8,FALSE))</f>
        <v>1728</v>
      </c>
      <c r="P196" s="40">
        <f t="shared" ca="1" si="10"/>
        <v>3.157894736836333E-4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input_596105!A$2</f>
        <v>596105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IFERROR(VLOOKUP(B197,input_596105!L:R,7,FALSE),VLOOKUP(tables_596105!C197,input_596105!A:H,8,FALSE))</f>
        <v>192</v>
      </c>
      <c r="P197" s="40">
        <f t="shared" ca="1" si="10"/>
        <v>3.5087719298181474E-5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input_596105!A$2</f>
        <v>596105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IFERROR(VLOOKUP(B198,input_596105!L:R,7,FALSE),VLOOKUP(tables_596105!C198,input_596105!A:H,8,FALSE))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input_596105!A$2</f>
        <v>596105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IFERROR(VLOOKUP(B199,input_596105!L:R,7,FALSE),VLOOKUP(tables_596105!C199,input_596105!A:H,8,FALSE))</f>
        <v>25554.240000000002</v>
      </c>
      <c r="P199" s="40">
        <f t="shared" ca="1" si="10"/>
        <v>4.669999999991464E-3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input_596105!A$2</f>
        <v>596105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IFERROR(VLOOKUP(B200,input_596105!L:R,7,FALSE),VLOOKUP(tables_596105!C200,input_596105!A:H,8,FALSE))</f>
        <v>2839.36</v>
      </c>
      <c r="P200" s="40">
        <f t="shared" ca="1" si="10"/>
        <v>5.1888888888794037E-4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input_596105!A$2</f>
        <v>596105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IFERROR(VLOOKUP(B201,input_596105!L:R,7,FALSE),VLOOKUP(tables_596105!C201,input_596105!A:H,8,FALSE))</f>
        <v>8208</v>
      </c>
      <c r="P201" s="40">
        <f t="shared" ca="1" si="10"/>
        <v>1.4999999999972581E-3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input_596105!A$2</f>
        <v>596105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IFERROR(VLOOKUP(B202,input_596105!L:R,7,FALSE),VLOOKUP(tables_596105!C202,input_596105!A:H,8,FALSE))</f>
        <v>912</v>
      </c>
      <c r="P202" s="40">
        <f t="shared" ca="1" si="10"/>
        <v>1.66666666666362E-4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input_596105!A$2</f>
        <v>596105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IFERROR(VLOOKUP(B203,input_596105!L:R,7,FALSE),VLOOKUP(tables_596105!C203,input_596105!A:H,8,FALSE))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input_596105!A$2</f>
        <v>596105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IFERROR(VLOOKUP(B204,input_596105!L:R,7,FALSE),VLOOKUP(tables_596105!C204,input_596105!A:H,8,FALSE))</f>
        <v>25554.240000000002</v>
      </c>
      <c r="P204" s="40">
        <f t="shared" ca="1" si="10"/>
        <v>4.669999999991464E-3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input_596105!A$2</f>
        <v>596105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IFERROR(VLOOKUP(B205,input_596105!L:R,7,FALSE),VLOOKUP(tables_596105!C205,input_596105!A:H,8,FALSE))</f>
        <v>2839.36</v>
      </c>
      <c r="P205" s="40">
        <f t="shared" ca="1" si="10"/>
        <v>5.1888888888794037E-4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input_596105!A$2</f>
        <v>596105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IFERROR(VLOOKUP(B206,input_596105!L:R,7,FALSE),VLOOKUP(tables_596105!C206,input_596105!A:H,8,FALSE))</f>
        <v>1728</v>
      </c>
      <c r="P206" s="40">
        <f t="shared" ca="1" si="10"/>
        <v>3.157894736836333E-4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input_596105!A$2</f>
        <v>596105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IFERROR(VLOOKUP(B207,input_596105!L:R,7,FALSE),VLOOKUP(tables_596105!C207,input_596105!A:H,8,FALSE))</f>
        <v>192</v>
      </c>
      <c r="P207" s="40">
        <f t="shared" ca="1" si="10"/>
        <v>3.5087719298181474E-5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input_596105!A$2</f>
        <v>596105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IFERROR(VLOOKUP(B208,input_596105!L:R,7,FALSE),VLOOKUP(tables_596105!C208,input_596105!A:H,8,FALSE))</f>
        <v>1728</v>
      </c>
      <c r="P208" s="40">
        <f t="shared" ca="1" si="10"/>
        <v>3.157894736836333E-4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input_596105!A$2</f>
        <v>596105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IFERROR(VLOOKUP(B209,input_596105!L:R,7,FALSE),VLOOKUP(tables_596105!C209,input_596105!A:H,8,FALSE))</f>
        <v>192</v>
      </c>
      <c r="P209" s="40">
        <f t="shared" ca="1" si="10"/>
        <v>3.5087719298181474E-5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input_596105!A$2</f>
        <v>596105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IFERROR(VLOOKUP(B210,input_596105!L:R,7,FALSE),VLOOKUP(tables_596105!C210,input_596105!A:H,8,FALSE))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input_596105!A$2</f>
        <v>596105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IFERROR(VLOOKUP(B211,input_596105!L:R,7,FALSE),VLOOKUP(tables_596105!C211,input_596105!A:H,8,FALSE))</f>
        <v>110394.3168</v>
      </c>
      <c r="P211" s="40">
        <f t="shared" ca="1" si="10"/>
        <v>2.0174399999963122E-2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input_596105!A$2</f>
        <v>596105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IFERROR(VLOOKUP(B212,input_596105!L:R,7,FALSE),VLOOKUP(tables_596105!C212,input_596105!A:H,8,FALSE))</f>
        <v>5107.4084599999996</v>
      </c>
      <c r="P212" s="40">
        <f t="shared" ca="1" si="10"/>
        <v>9.3337142909186101E-4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input_596105!A$2</f>
        <v>596105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IFERROR(VLOOKUP(B213,input_596105!L:R,7,FALSE),VLOOKUP(tables_596105!C213,input_596105!A:H,8,FALSE))</f>
        <v>1728</v>
      </c>
      <c r="P213" s="40">
        <f t="shared" ca="1" si="10"/>
        <v>3.157894736836333E-4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input_596105!A$2</f>
        <v>596105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IFERROR(VLOOKUP(B214,input_596105!L:R,7,FALSE),VLOOKUP(tables_596105!C214,input_596105!A:H,8,FALSE))</f>
        <v>192</v>
      </c>
      <c r="P214" s="40">
        <f t="shared" ca="1" si="10"/>
        <v>3.5087719298181474E-5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input_596105!A$2</f>
        <v>596105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IFERROR(VLOOKUP(B215,input_596105!L:R,7,FALSE),VLOOKUP(tables_596105!C215,input_596105!A:H,8,FALSE))</f>
        <v>1552.1120000000001</v>
      </c>
      <c r="P215" s="40">
        <f t="shared" ca="1" si="10"/>
        <v>2.8364619882989089E-4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input_596105!A$2</f>
        <v>596105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IFERROR(VLOOKUP(B216,input_596105!L:R,7,FALSE),VLOOKUP(tables_596105!C216,input_596105!A:H,8,FALSE))</f>
        <v>1552.1120000000001</v>
      </c>
      <c r="P216" s="40">
        <f t="shared" ca="1" si="10"/>
        <v>2.8364619882989089E-4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input_596105!A$2</f>
        <v>596105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IFERROR(VLOOKUP(B217,input_596105!L:R,7,FALSE),VLOOKUP(tables_596105!C217,input_596105!A:H,8,FALSE))</f>
        <v>6012.3209100000004</v>
      </c>
      <c r="P217" s="40">
        <f t="shared" ca="1" si="10"/>
        <v>1.0987428563576408E-3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input_596105!A$2</f>
        <v>596105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IFERROR(VLOOKUP(B218,input_596105!L:R,7,FALSE),VLOOKUP(tables_596105!C218,input_596105!A:H,8,FALSE))</f>
        <v>1552.1120000000001</v>
      </c>
      <c r="P218" s="40">
        <f t="shared" ca="1" si="10"/>
        <v>2.8364619882989089E-4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input_596105!A$2</f>
        <v>596105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IFERROR(VLOOKUP(B219,input_596105!L:R,7,FALSE),VLOOKUP(tables_596105!C219,input_596105!A:H,8,FALSE))</f>
        <v>6012.3209100000004</v>
      </c>
      <c r="P219" s="40">
        <f t="shared" ca="1" si="10"/>
        <v>1.0987428563576408E-3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input_596105!A$2</f>
        <v>596105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IFERROR(VLOOKUP(B220,input_596105!L:R,7,FALSE),VLOOKUP(tables_596105!C220,input_596105!A:H,8,FALSE))</f>
        <v>1552.1120000000001</v>
      </c>
      <c r="P220" s="40">
        <f t="shared" ca="1" si="10"/>
        <v>2.8364619882989089E-4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input_596105!A$2</f>
        <v>596105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IFERROR(VLOOKUP(B221,input_596105!L:R,7,FALSE),VLOOKUP(tables_596105!C221,input_596105!A:H,8,FALSE))</f>
        <v>1728</v>
      </c>
      <c r="P221" s="40">
        <f t="shared" ca="1" si="10"/>
        <v>3.157894736836333E-4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input_596105!A$2</f>
        <v>596105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IFERROR(VLOOKUP(B222,input_596105!L:R,7,FALSE),VLOOKUP(tables_596105!C222,input_596105!A:H,8,FALSE))</f>
        <v>192</v>
      </c>
      <c r="P222" s="40">
        <f t="shared" ca="1" si="10"/>
        <v>3.5087719298181474E-5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input_596105!A$2</f>
        <v>596105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IFERROR(VLOOKUP(B223,input_596105!L:R,7,FALSE),VLOOKUP(tables_596105!C223,input_596105!A:H,8,FALSE))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input_596105!A$2</f>
        <v>596105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IFERROR(VLOOKUP(B224,input_596105!L:R,7,FALSE),VLOOKUP(tables_596105!C224,input_596105!A:H,8,FALSE))</f>
        <v>25554.240000000002</v>
      </c>
      <c r="P224" s="40">
        <f t="shared" ca="1" si="10"/>
        <v>4.669999999991464E-3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input_596105!A$2</f>
        <v>596105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IFERROR(VLOOKUP(B225,input_596105!L:R,7,FALSE),VLOOKUP(tables_596105!C225,input_596105!A:H,8,FALSE))</f>
        <v>2839.36</v>
      </c>
      <c r="P225" s="40">
        <f t="shared" ca="1" si="10"/>
        <v>5.1888888888794037E-4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input_596105!A$2</f>
        <v>596105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IFERROR(VLOOKUP(B226,input_596105!L:R,7,FALSE),VLOOKUP(tables_596105!C226,input_596105!A:H,8,FALSE))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input_596105!A$2</f>
        <v>596105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IFERROR(VLOOKUP(B227,input_596105!L:R,7,FALSE),VLOOKUP(tables_596105!C227,input_596105!A:H,8,FALSE))</f>
        <v>110394.3168</v>
      </c>
      <c r="P227" s="40">
        <f t="shared" ca="1" si="10"/>
        <v>2.0174399999963122E-2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input_596105!A$2</f>
        <v>596105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IFERROR(VLOOKUP(B228,input_596105!L:R,7,FALSE),VLOOKUP(tables_596105!C228,input_596105!A:H,8,FALSE))</f>
        <v>5107.4084599999996</v>
      </c>
      <c r="P228" s="40">
        <f t="shared" ca="1" si="10"/>
        <v>9.3337142909186101E-4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input_596105!A$2</f>
        <v>596105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IFERROR(VLOOKUP(B229,input_596105!L:R,7,FALSE),VLOOKUP(tables_596105!C229,input_596105!A:H,8,FALSE))</f>
        <v>1728</v>
      </c>
      <c r="P229" s="40">
        <f t="shared" ca="1" si="10"/>
        <v>3.157894736836333E-4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input_596105!A$2</f>
        <v>596105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IFERROR(VLOOKUP(B230,input_596105!L:R,7,FALSE),VLOOKUP(tables_596105!C230,input_596105!A:H,8,FALSE))</f>
        <v>192</v>
      </c>
      <c r="P230" s="40">
        <f t="shared" ca="1" si="10"/>
        <v>3.5087719298181474E-5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input_596105!A$2</f>
        <v>596105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IFERROR(VLOOKUP(B231,input_596105!L:R,7,FALSE),VLOOKUP(tables_596105!C231,input_596105!A:H,8,FALSE))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input_596105!A$2</f>
        <v>596105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IFERROR(VLOOKUP(B232,input_596105!L:R,7,FALSE),VLOOKUP(tables_596105!C232,input_596105!A:H,8,FALSE))</f>
        <v>25554.240000000002</v>
      </c>
      <c r="P232" s="40">
        <f t="shared" ca="1" si="10"/>
        <v>4.669999999991464E-3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input_596105!A$2</f>
        <v>596105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IFERROR(VLOOKUP(B233,input_596105!L:R,7,FALSE),VLOOKUP(tables_596105!C233,input_596105!A:H,8,FALSE))</f>
        <v>2839.36</v>
      </c>
      <c r="P233" s="40">
        <f t="shared" ca="1" si="10"/>
        <v>5.1888888888794037E-4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input_596105!A$2</f>
        <v>596105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IFERROR(VLOOKUP(B234,input_596105!L:R,7,FALSE),VLOOKUP(tables_596105!C234,input_596105!A:H,8,FALSE))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input_596105!A$2</f>
        <v>596105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IFERROR(VLOOKUP(B235,input_596105!L:R,7,FALSE),VLOOKUP(tables_596105!C235,input_596105!A:H,8,FALSE))</f>
        <v>25554.240000000002</v>
      </c>
      <c r="P235" s="40">
        <f t="shared" ca="1" si="10"/>
        <v>4.669999999991464E-3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input_596105!A$2</f>
        <v>596105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IFERROR(VLOOKUP(B236,input_596105!L:R,7,FALSE),VLOOKUP(tables_596105!C236,input_596105!A:H,8,FALSE))</f>
        <v>2839.36</v>
      </c>
      <c r="P236" s="40">
        <f t="shared" ca="1" si="10"/>
        <v>5.1888888888794037E-4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input_596105!A$2</f>
        <v>596105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IFERROR(VLOOKUP(B237,input_596105!L:R,7,FALSE),VLOOKUP(tables_596105!C237,input_596105!A:H,8,FALSE))</f>
        <v>8208</v>
      </c>
      <c r="P237" s="40">
        <f t="shared" ca="1" si="10"/>
        <v>1.4999999999972581E-3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input_596105!A$2</f>
        <v>596105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IFERROR(VLOOKUP(B238,input_596105!L:R,7,FALSE),VLOOKUP(tables_596105!C238,input_596105!A:H,8,FALSE))</f>
        <v>912</v>
      </c>
      <c r="P238" s="40">
        <f t="shared" ca="1" si="10"/>
        <v>1.66666666666362E-4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input_596105!A$2</f>
        <v>596105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IFERROR(VLOOKUP(B239,input_596105!L:R,7,FALSE),VLOOKUP(tables_596105!C239,input_596105!A:H,8,FALSE))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input_596105!A$2</f>
        <v>596105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IFERROR(VLOOKUP(B240,input_596105!L:R,7,FALSE),VLOOKUP(tables_596105!C240,input_596105!A:H,8,FALSE))</f>
        <v>25554.240000000002</v>
      </c>
      <c r="P240" s="40">
        <f t="shared" ca="1" si="10"/>
        <v>4.669999999991464E-3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input_596105!A$2</f>
        <v>596105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IFERROR(VLOOKUP(B241,input_596105!L:R,7,FALSE),VLOOKUP(tables_596105!C241,input_596105!A:H,8,FALSE))</f>
        <v>2839.36</v>
      </c>
      <c r="P241" s="40">
        <f t="shared" ca="1" si="10"/>
        <v>5.1888888888794037E-4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input_596105!A$2</f>
        <v>596105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IFERROR(VLOOKUP(B242,input_596105!L:R,7,FALSE),VLOOKUP(tables_596105!C242,input_596105!A:H,8,FALSE))</f>
        <v>1728</v>
      </c>
      <c r="P242" s="40">
        <f t="shared" ca="1" si="10"/>
        <v>3.157894736836333E-4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input_596105!A$2</f>
        <v>596105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IFERROR(VLOOKUP(B243,input_596105!L:R,7,FALSE),VLOOKUP(tables_596105!C243,input_596105!A:H,8,FALSE))</f>
        <v>192</v>
      </c>
      <c r="P243" s="40">
        <f t="shared" ca="1" si="10"/>
        <v>3.5087719298181474E-5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input_596105!A$2</f>
        <v>596105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IFERROR(VLOOKUP(B244,input_596105!L:R,7,FALSE),VLOOKUP(tables_596105!C244,input_596105!A:H,8,FALSE))</f>
        <v>1728</v>
      </c>
      <c r="P244" s="40">
        <f t="shared" ca="1" si="10"/>
        <v>3.157894736836333E-4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input_596105!A$2</f>
        <v>596105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IFERROR(VLOOKUP(B245,input_596105!L:R,7,FALSE),VLOOKUP(tables_596105!C245,input_596105!A:H,8,FALSE))</f>
        <v>192</v>
      </c>
      <c r="P245" s="40">
        <f t="shared" ca="1" si="10"/>
        <v>3.5087719298181474E-5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input_596105!A$2</f>
        <v>596105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IFERROR(VLOOKUP(B246,input_596105!L:R,7,FALSE),VLOOKUP(tables_596105!C246,input_596105!A:H,8,FALSE))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input_596105!A$2</f>
        <v>596105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IFERROR(VLOOKUP(B247,input_596105!L:R,7,FALSE),VLOOKUP(tables_596105!C247,input_596105!A:H,8,FALSE))</f>
        <v>110394.3168</v>
      </c>
      <c r="P247" s="40">
        <f t="shared" ca="1" si="10"/>
        <v>2.0174399999963122E-2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input_596105!A$2</f>
        <v>596105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IFERROR(VLOOKUP(B248,input_596105!L:R,7,FALSE),VLOOKUP(tables_596105!C248,input_596105!A:H,8,FALSE))</f>
        <v>5107.4084599999996</v>
      </c>
      <c r="P248" s="40">
        <f t="shared" ca="1" si="10"/>
        <v>9.3337142909186101E-4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input_596105!A$2</f>
        <v>596105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IFERROR(VLOOKUP(B249,input_596105!L:R,7,FALSE),VLOOKUP(tables_596105!C249,input_596105!A:H,8,FALSE))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input_596105!A$2</f>
        <v>596105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IFERROR(VLOOKUP(B250,input_596105!L:R,7,FALSE),VLOOKUP(tables_596105!C250,input_596105!A:H,8,FALSE))</f>
        <v>25554.240000000002</v>
      </c>
      <c r="P250" s="40">
        <f t="shared" ca="1" si="10"/>
        <v>4.669999999991464E-3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input_596105!A$2</f>
        <v>596105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IFERROR(VLOOKUP(B251,input_596105!L:R,7,FALSE),VLOOKUP(tables_596105!C251,input_596105!A:H,8,FALSE))</f>
        <v>2839.36</v>
      </c>
      <c r="P251" s="40">
        <f t="shared" ca="1" si="10"/>
        <v>5.1888888888794037E-4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input_596105!A$2</f>
        <v>596105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IFERROR(VLOOKUP(B252,input_596105!L:R,7,FALSE),VLOOKUP(tables_596105!C252,input_596105!A:H,8,FALSE))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input_596105!A$2</f>
        <v>596105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IFERROR(VLOOKUP(B253,input_596105!L:R,7,FALSE),VLOOKUP(tables_596105!C253,input_596105!A:H,8,FALSE))</f>
        <v>25554.240000000002</v>
      </c>
      <c r="P253" s="40">
        <f t="shared" ca="1" si="10"/>
        <v>4.669999999991464E-3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input_596105!A$2</f>
        <v>596105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IFERROR(VLOOKUP(B254,input_596105!L:R,7,FALSE),VLOOKUP(tables_596105!C254,input_596105!A:H,8,FALSE))</f>
        <v>2839.36</v>
      </c>
      <c r="P254" s="40">
        <f t="shared" ca="1" si="10"/>
        <v>5.1888888888794037E-4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input_596105!A$2</f>
        <v>596105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IFERROR(VLOOKUP(B255,input_596105!L:R,7,FALSE),VLOOKUP(tables_596105!C255,input_596105!A:H,8,FALSE))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input_596105!A$2</f>
        <v>596105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IFERROR(VLOOKUP(B256,input_596105!L:R,7,FALSE),VLOOKUP(tables_596105!C256,input_596105!A:H,8,FALSE))</f>
        <v>25554.240000000002</v>
      </c>
      <c r="P256" s="40">
        <f t="shared" ca="1" si="10"/>
        <v>4.669999999991464E-3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input_596105!A$2</f>
        <v>596105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IFERROR(VLOOKUP(B257,input_596105!L:R,7,FALSE),VLOOKUP(tables_596105!C257,input_596105!A:H,8,FALSE))</f>
        <v>2839.36</v>
      </c>
      <c r="P257" s="40">
        <f t="shared" ca="1" si="10"/>
        <v>5.1888888888794037E-4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input_596105!A$2</f>
        <v>596105</v>
      </c>
      <c r="B258" s="52">
        <v>674</v>
      </c>
      <c r="C258" s="7" t="str">
        <f t="shared" ref="C258:C321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IFERROR(VLOOKUP(B258,input_596105!L:R,7,FALSE),VLOOKUP(tables_596105!C258,input_596105!A:H,8,FALSE))</f>
        <v>8208</v>
      </c>
      <c r="P258" s="40">
        <f t="shared" ref="P258:P305" ca="1" si="13">O258/SUM(O:O)</f>
        <v>1.4999999999972581E-3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input_596105!A$2</f>
        <v>596105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IFERROR(VLOOKUP(B259,input_596105!L:R,7,FALSE),VLOOKUP(tables_596105!C259,input_596105!A:H,8,FALSE))</f>
        <v>912</v>
      </c>
      <c r="P259" s="40">
        <f t="shared" ca="1" si="13"/>
        <v>1.66666666666362E-4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input_596105!A$2</f>
        <v>596105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IFERROR(VLOOKUP(B260,input_596105!L:R,7,FALSE),VLOOKUP(tables_596105!C260,input_596105!A:H,8,FALSE))</f>
        <v>1728</v>
      </c>
      <c r="P260" s="40">
        <f t="shared" ca="1" si="13"/>
        <v>3.157894736836333E-4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input_596105!A$2</f>
        <v>596105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IFERROR(VLOOKUP(B261,input_596105!L:R,7,FALSE),VLOOKUP(tables_596105!C261,input_596105!A:H,8,FALSE))</f>
        <v>192</v>
      </c>
      <c r="P261" s="40">
        <f t="shared" ca="1" si="13"/>
        <v>3.5087719298181474E-5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input_596105!A$2</f>
        <v>596105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IFERROR(VLOOKUP(B262,input_596105!L:R,7,FALSE),VLOOKUP(tables_596105!C262,input_596105!A:H,8,FALSE))</f>
        <v>26453.46</v>
      </c>
      <c r="P262" s="40">
        <f t="shared" ca="1" si="13"/>
        <v>4.8343311403420399E-3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input_596105!A$2</f>
        <v>596105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IFERROR(VLOOKUP(B263,input_596105!L:R,7,FALSE),VLOOKUP(tables_596105!C263,input_596105!A:H,8,FALSE))</f>
        <v>1552.1120000000001</v>
      </c>
      <c r="P263" s="40">
        <f t="shared" ca="1" si="13"/>
        <v>2.8364619882989089E-4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input_596105!A$2</f>
        <v>596105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IFERROR(VLOOKUP(B264,input_596105!L:R,7,FALSE),VLOOKUP(tables_596105!C264,input_596105!A:H,8,FALSE))</f>
        <v>26453.46</v>
      </c>
      <c r="P264" s="40">
        <f t="shared" ca="1" si="13"/>
        <v>4.8343311403420399E-3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input_596105!A$2</f>
        <v>596105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IFERROR(VLOOKUP(B265,input_596105!L:R,7,FALSE),VLOOKUP(tables_596105!C265,input_596105!A:H,8,FALSE))</f>
        <v>1552.1120000000001</v>
      </c>
      <c r="P265" s="40">
        <f t="shared" ca="1" si="13"/>
        <v>2.8364619882989089E-4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input_596105!A$2</f>
        <v>596105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IFERROR(VLOOKUP(B266,input_596105!L:R,7,FALSE),VLOOKUP(tables_596105!C266,input_596105!A:H,8,FALSE))</f>
        <v>9120</v>
      </c>
      <c r="P266" s="40">
        <f t="shared" ca="1" si="13"/>
        <v>1.6666666666636202E-3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input_596105!A$2</f>
        <v>596105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IFERROR(VLOOKUP(B267,input_596105!L:R,7,FALSE),VLOOKUP(tables_596105!C267,input_596105!A:H,8,FALSE))</f>
        <v>1920</v>
      </c>
      <c r="P267" s="40">
        <f t="shared" ca="1" si="13"/>
        <v>3.5087719298181475E-4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input_596105!A$2</f>
        <v>596105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IFERROR(VLOOKUP(B268,input_596105!L:R,7,FALSE),VLOOKUP(tables_596105!C268,input_596105!A:H,8,FALSE))</f>
        <v>1920</v>
      </c>
      <c r="P268" s="40">
        <f t="shared" ca="1" si="13"/>
        <v>3.5087719298181475E-4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input_596105!A$2</f>
        <v>596105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IFERROR(VLOOKUP(B269,input_596105!L:R,7,FALSE),VLOOKUP(tables_596105!C269,input_596105!A:H,8,FALSE))</f>
        <v>1920</v>
      </c>
      <c r="P269" s="40">
        <f t="shared" ca="1" si="13"/>
        <v>3.5087719298181475E-4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input_596105!A$2</f>
        <v>596105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IFERROR(VLOOKUP(B270,input_596105!L:R,7,FALSE),VLOOKUP(tables_596105!C270,input_596105!A:H,8,FALSE))</f>
        <v>114243.10272</v>
      </c>
      <c r="P270" s="40">
        <f t="shared" ca="1" si="13"/>
        <v>2.0877759999961835E-2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input_596105!A$2</f>
        <v>596105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IFERROR(VLOOKUP(B271,input_596105!L:R,7,FALSE),VLOOKUP(tables_596105!C271,input_596105!A:H,8,FALSE))</f>
        <v>6012.3209100000004</v>
      </c>
      <c r="P271" s="40">
        <f t="shared" ca="1" si="13"/>
        <v>1.0987428563576408E-3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input_596105!A$2</f>
        <v>596105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IFERROR(VLOOKUP(B272,input_596105!L:R,7,FALSE),VLOOKUP(tables_596105!C272,input_596105!A:H,8,FALSE))</f>
        <v>26453.46</v>
      </c>
      <c r="P272" s="40">
        <f t="shared" ca="1" si="13"/>
        <v>4.8343311403420399E-3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input_596105!A$2</f>
        <v>596105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IFERROR(VLOOKUP(B273,input_596105!L:R,7,FALSE),VLOOKUP(tables_596105!C273,input_596105!A:H,8,FALSE))</f>
        <v>1552.1120000000001</v>
      </c>
      <c r="P273" s="40">
        <f t="shared" ca="1" si="13"/>
        <v>2.8364619882989089E-4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input_596105!A$2</f>
        <v>596105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IFERROR(VLOOKUP(B274,input_596105!L:R,7,FALSE),VLOOKUP(tables_596105!C274,input_596105!A:H,8,FALSE))</f>
        <v>1728</v>
      </c>
      <c r="P274" s="40">
        <f t="shared" ca="1" si="13"/>
        <v>3.157894736836333E-4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input_596105!A$2</f>
        <v>596105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IFERROR(VLOOKUP(B275,input_596105!L:R,7,FALSE),VLOOKUP(tables_596105!C275,input_596105!A:H,8,FALSE))</f>
        <v>192</v>
      </c>
      <c r="P275" s="40">
        <f t="shared" ca="1" si="13"/>
        <v>3.5087719298181474E-5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input_596105!A$2</f>
        <v>596105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IFERROR(VLOOKUP(B276,input_596105!L:R,7,FALSE),VLOOKUP(tables_596105!C276,input_596105!A:H,8,FALSE))</f>
        <v>1728</v>
      </c>
      <c r="P276" s="40">
        <f t="shared" ca="1" si="13"/>
        <v>3.157894736836333E-4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input_596105!A$2</f>
        <v>596105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IFERROR(VLOOKUP(B277,input_596105!L:R,7,FALSE),VLOOKUP(tables_596105!C277,input_596105!A:H,8,FALSE))</f>
        <v>192</v>
      </c>
      <c r="P277" s="40">
        <f t="shared" ca="1" si="13"/>
        <v>3.5087719298181474E-5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input_596105!A$2</f>
        <v>596105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IFERROR(VLOOKUP(B278,input_596105!L:R,7,FALSE),VLOOKUP(tables_596105!C278,input_596105!A:H,8,FALSE))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input_596105!A$2</f>
        <v>596105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IFERROR(VLOOKUP(B279,input_596105!L:R,7,FALSE),VLOOKUP(tables_596105!C279,input_596105!A:H,8,FALSE))</f>
        <v>110394.3168</v>
      </c>
      <c r="P279" s="40">
        <f t="shared" ca="1" si="13"/>
        <v>2.0174399999963122E-2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input_596105!A$2</f>
        <v>596105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IFERROR(VLOOKUP(B280,input_596105!L:R,7,FALSE),VLOOKUP(tables_596105!C280,input_596105!A:H,8,FALSE))</f>
        <v>5107.4084599999996</v>
      </c>
      <c r="P280" s="40">
        <f t="shared" ca="1" si="13"/>
        <v>9.3337142909186101E-4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input_596105!A$2</f>
        <v>596105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IFERROR(VLOOKUP(B281,input_596105!L:R,7,FALSE),VLOOKUP(tables_596105!C281,input_596105!A:H,8,FALSE))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input_596105!A$2</f>
        <v>596105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IFERROR(VLOOKUP(B282,input_596105!L:R,7,FALSE),VLOOKUP(tables_596105!C282,input_596105!A:H,8,FALSE))</f>
        <v>25554.240000000002</v>
      </c>
      <c r="P282" s="40">
        <f t="shared" ca="1" si="13"/>
        <v>4.669999999991464E-3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input_596105!A$2</f>
        <v>596105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IFERROR(VLOOKUP(B283,input_596105!L:R,7,FALSE),VLOOKUP(tables_596105!C283,input_596105!A:H,8,FALSE))</f>
        <v>2839.36</v>
      </c>
      <c r="P283" s="40">
        <f t="shared" ca="1" si="13"/>
        <v>5.1888888888794037E-4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input_596105!A$2</f>
        <v>596105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IFERROR(VLOOKUP(B284,input_596105!L:R,7,FALSE),VLOOKUP(tables_596105!C284,input_596105!A:H,8,FALSE))</f>
        <v>1920</v>
      </c>
      <c r="P284" s="40">
        <f t="shared" ca="1" si="13"/>
        <v>3.5087719298181475E-4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input_596105!A$2</f>
        <v>596105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IFERROR(VLOOKUP(B285,input_596105!L:R,7,FALSE),VLOOKUP(tables_596105!C285,input_596105!A:H,8,FALSE))</f>
        <v>1920</v>
      </c>
      <c r="P285" s="40">
        <f t="shared" ca="1" si="13"/>
        <v>3.5087719298181475E-4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input_596105!A$2</f>
        <v>596105</v>
      </c>
      <c r="B286" s="5">
        <v>852</v>
      </c>
      <c r="C286" s="7" t="str">
        <f t="shared" si="12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IFERROR(VLOOKUP(B286,input_596105!L:R,7,FALSE),VLOOKUP(tables_596105!C286,input_596105!A:H,8,FALSE))</f>
        <v>114243.10272</v>
      </c>
      <c r="P286" s="40">
        <f t="shared" ca="1" si="13"/>
        <v>2.0877759999961835E-2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input_596105!A$2</f>
        <v>596105</v>
      </c>
      <c r="B287" s="5">
        <v>853</v>
      </c>
      <c r="C287" s="7" t="str">
        <f t="shared" si="12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IFERROR(VLOOKUP(B287,input_596105!L:R,7,FALSE),VLOOKUP(tables_596105!C287,input_596105!A:H,8,FALSE))</f>
        <v>6012.3209100000004</v>
      </c>
      <c r="P287" s="40">
        <f t="shared" ca="1" si="13"/>
        <v>1.0987428563576408E-3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input_596105!A$2</f>
        <v>596105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IFERROR(VLOOKUP(B288,input_596105!L:R,7,FALSE),VLOOKUP(tables_596105!C288,input_596105!A:H,8,FALSE))</f>
        <v>26453.46</v>
      </c>
      <c r="P288" s="40">
        <f t="shared" ca="1" si="13"/>
        <v>4.8343311403420399E-3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input_596105!A$2</f>
        <v>596105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IFERROR(VLOOKUP(B289,input_596105!L:R,7,FALSE),VLOOKUP(tables_596105!C289,input_596105!A:H,8,FALSE))</f>
        <v>1552.1120000000001</v>
      </c>
      <c r="P289" s="40">
        <f t="shared" ca="1" si="13"/>
        <v>2.8364619882989089E-4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input_596105!A$2</f>
        <v>596105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IFERROR(VLOOKUP(B290,input_596105!L:R,7,FALSE),VLOOKUP(tables_596105!C290,input_596105!A:H,8,FALSE))</f>
        <v>26453.46</v>
      </c>
      <c r="P290" s="40">
        <f t="shared" ca="1" si="13"/>
        <v>4.8343311403420399E-3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input_596105!A$2</f>
        <v>596105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IFERROR(VLOOKUP(B291,input_596105!L:R,7,FALSE),VLOOKUP(tables_596105!C291,input_596105!A:H,8,FALSE))</f>
        <v>1552.1120000000001</v>
      </c>
      <c r="P291" s="40">
        <f t="shared" ca="1" si="13"/>
        <v>2.8364619882989089E-4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input_596105!A$2</f>
        <v>596105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IFERROR(VLOOKUP(B292,input_596105!L:R,7,FALSE),VLOOKUP(tables_596105!C292,input_596105!A:H,8,FALSE))</f>
        <v>26453.46</v>
      </c>
      <c r="P292" s="40">
        <f t="shared" ca="1" si="13"/>
        <v>4.8343311403420399E-3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input_596105!A$2</f>
        <v>596105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IFERROR(VLOOKUP(B293,input_596105!L:R,7,FALSE),VLOOKUP(tables_596105!C293,input_596105!A:H,8,FALSE))</f>
        <v>1552.1120000000001</v>
      </c>
      <c r="P293" s="40">
        <f t="shared" ca="1" si="13"/>
        <v>2.8364619882989089E-4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input_596105!A$2</f>
        <v>596105</v>
      </c>
      <c r="B294" s="5">
        <v>866</v>
      </c>
      <c r="C294" s="7" t="str">
        <f t="shared" si="12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IFERROR(VLOOKUP(B294,input_596105!L:R,7,FALSE),VLOOKUP(tables_596105!C294,input_596105!A:H,8,FALSE))</f>
        <v>9120</v>
      </c>
      <c r="P294" s="40">
        <f t="shared" ca="1" si="13"/>
        <v>1.6666666666636202E-3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input_596105!A$2</f>
        <v>596105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IFERROR(VLOOKUP(B295,input_596105!L:R,7,FALSE),VLOOKUP(tables_596105!C295,input_596105!A:H,8,FALSE))</f>
        <v>1920</v>
      </c>
      <c r="P295" s="40">
        <f t="shared" ca="1" si="13"/>
        <v>3.5087719298181475E-4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input_596105!A$2</f>
        <v>596105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IFERROR(VLOOKUP(B296,input_596105!L:R,7,FALSE),VLOOKUP(tables_596105!C296,input_596105!A:H,8,FALSE))</f>
        <v>1920</v>
      </c>
      <c r="P296" s="40">
        <f t="shared" ca="1" si="13"/>
        <v>3.5087719298181475E-4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input_596105!A$2</f>
        <v>596105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IFERROR(VLOOKUP(B297,input_596105!L:R,7,FALSE),VLOOKUP(tables_596105!C297,input_596105!A:H,8,FALSE))</f>
        <v>26453.46</v>
      </c>
      <c r="P297" s="40">
        <f t="shared" ca="1" si="13"/>
        <v>4.8343311403420399E-3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input_596105!A$2</f>
        <v>596105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IFERROR(VLOOKUP(B298,input_596105!L:R,7,FALSE),VLOOKUP(tables_596105!C298,input_596105!A:H,8,FALSE))</f>
        <v>1552.1120000000001</v>
      </c>
      <c r="P298" s="40">
        <f t="shared" ca="1" si="13"/>
        <v>2.8364619882989089E-4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input_596105!A$2</f>
        <v>596105</v>
      </c>
      <c r="B299" s="5">
        <v>941</v>
      </c>
      <c r="C299" s="7" t="str">
        <f t="shared" si="12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IFERROR(VLOOKUP(B299,input_596105!L:R,7,FALSE),VLOOKUP(tables_596105!C299,input_596105!A:H,8,FALSE))</f>
        <v>9120</v>
      </c>
      <c r="P299" s="40">
        <f t="shared" ca="1" si="13"/>
        <v>1.6666666666636202E-3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input_596105!A$2</f>
        <v>596105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IFERROR(VLOOKUP(B300,input_596105!L:R,7,FALSE),VLOOKUP(tables_596105!C300,input_596105!A:H,8,FALSE))</f>
        <v>1920</v>
      </c>
      <c r="P300" s="40">
        <f t="shared" ca="1" si="13"/>
        <v>3.5087719298181475E-4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input_596105!A$2</f>
        <v>596105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IFERROR(VLOOKUP(B301,input_596105!L:R,7,FALSE),VLOOKUP(tables_596105!C301,input_596105!A:H,8,FALSE))</f>
        <v>1920</v>
      </c>
      <c r="P301" s="40">
        <f t="shared" ca="1" si="13"/>
        <v>3.5087719298181475E-4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input_596105!A$2</f>
        <v>596105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IFERROR(VLOOKUP(B302,input_596105!L:R,7,FALSE),VLOOKUP(tables_596105!C302,input_596105!A:H,8,FALSE))</f>
        <v>1920</v>
      </c>
      <c r="P302" s="40">
        <f t="shared" ca="1" si="13"/>
        <v>3.5087719298181475E-4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input_596105!A$2</f>
        <v>596105</v>
      </c>
      <c r="B303" s="5">
        <v>1016</v>
      </c>
      <c r="C303" s="7" t="str">
        <f t="shared" si="12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IFERROR(VLOOKUP(B303,input_596105!L:R,7,FALSE),VLOOKUP(tables_596105!C303,input_596105!A:H,8,FALSE))</f>
        <v>114243.10272</v>
      </c>
      <c r="P303" s="40">
        <f t="shared" ca="1" si="13"/>
        <v>2.0877759999961835E-2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input_596105!A$2</f>
        <v>596105</v>
      </c>
      <c r="B304" s="5">
        <v>1017</v>
      </c>
      <c r="C304" s="7" t="str">
        <f t="shared" si="12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IFERROR(VLOOKUP(B304,input_596105!L:R,7,FALSE),VLOOKUP(tables_596105!C304,input_596105!A:H,8,FALSE))</f>
        <v>6012.3209100000004</v>
      </c>
      <c r="P304" s="40">
        <f t="shared" ca="1" si="13"/>
        <v>1.0987428563576408E-3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input_596105!A$2</f>
        <v>596105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IFERROR(VLOOKUP(B305,input_596105!L:R,7,FALSE),VLOOKUP(tables_596105!C305,input_596105!A:H,8,FALSE))</f>
        <v>1920</v>
      </c>
      <c r="P305" s="40">
        <f t="shared" ca="1" si="13"/>
        <v>3.5087719298181475E-4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input_596105!A$2</f>
        <v>596105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IFERROR(VLOOKUP(B306,input_596105!L:R,7,FALSE),VLOOKUP(tables_596105!C306,input_596105!A:H,8,FALSE))</f>
        <v>26453.46</v>
      </c>
      <c r="P306" s="40">
        <f t="shared" ref="P306:P310" ca="1" si="15">O306/SUM(O:O)</f>
        <v>4.8343311403420399E-3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input_596105!A$2</f>
        <v>596105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IFERROR(VLOOKUP(B307,input_596105!L:R,7,FALSE),VLOOKUP(tables_596105!C307,input_596105!A:H,8,FALSE))</f>
        <v>1552.1120000000001</v>
      </c>
      <c r="P307" s="40">
        <f t="shared" ca="1" si="15"/>
        <v>2.8364619882989089E-4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input_596105!A$2</f>
        <v>596105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IFERROR(VLOOKUP(B308,input_596105!L:R,7,FALSE),VLOOKUP(tables_596105!C308,input_596105!A:H,8,FALSE))</f>
        <v>1920</v>
      </c>
      <c r="P308" s="40">
        <f t="shared" ca="1" si="15"/>
        <v>3.5087719298181475E-4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input_596105!A$2</f>
        <v>596105</v>
      </c>
      <c r="B309" s="5">
        <v>1031</v>
      </c>
      <c r="C309" s="7" t="str">
        <f t="shared" si="12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IFERROR(VLOOKUP(B309,input_596105!L:R,7,FALSE),VLOOKUP(tables_596105!C309,input_596105!A:H,8,FALSE))</f>
        <v>9120</v>
      </c>
      <c r="P309" s="40">
        <f t="shared" ca="1" si="15"/>
        <v>1.6666666666636202E-3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input_596105!A$2</f>
        <v>596105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IFERROR(VLOOKUP(B310,input_596105!L:R,7,FALSE),VLOOKUP(tables_596105!C310,input_596105!A:H,8,FALSE))</f>
        <v>1920</v>
      </c>
      <c r="P310" s="40">
        <f t="shared" ca="1" si="15"/>
        <v>3.5087719298181475E-4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input_596105!A$2</f>
        <v>596105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IFERROR(VLOOKUP(B311,input_596105!L:R,7,FALSE),VLOOKUP(tables_596105!C311,input_596105!A:H,8,FALSE))</f>
        <v>26453.46</v>
      </c>
      <c r="P311" s="40">
        <f t="shared" ref="P311:P319" ca="1" si="16">O311/SUM(O:O)</f>
        <v>4.8343311403420399E-3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input_596105!A$2</f>
        <v>596105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IFERROR(VLOOKUP(B312,input_596105!L:R,7,FALSE),VLOOKUP(tables_596105!C312,input_596105!A:H,8,FALSE))</f>
        <v>1552.1120000000001</v>
      </c>
      <c r="P312" s="40">
        <f t="shared" ca="1" si="16"/>
        <v>2.8364619882989089E-4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input_596105!A$2</f>
        <v>596105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IFERROR(VLOOKUP(B313,input_596105!L:R,7,FALSE),VLOOKUP(tables_596105!C313,input_596105!A:H,8,FALSE))</f>
        <v>1920</v>
      </c>
      <c r="P313" s="40">
        <f t="shared" ca="1" si="16"/>
        <v>3.5087719298181475E-4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input_596105!A$2</f>
        <v>596105</v>
      </c>
      <c r="B314" s="5">
        <v>1072</v>
      </c>
      <c r="C314" s="7" t="str">
        <f t="shared" si="12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IFERROR(VLOOKUP(B314,input_596105!L:R,7,FALSE),VLOOKUP(tables_596105!C314,input_596105!A:H,8,FALSE))</f>
        <v>9120</v>
      </c>
      <c r="P314" s="40">
        <f t="shared" ca="1" si="16"/>
        <v>1.6666666666636202E-3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input_596105!A$2</f>
        <v>596105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IFERROR(VLOOKUP(B315,input_596105!L:R,7,FALSE),VLOOKUP(tables_596105!C315,input_596105!A:H,8,FALSE))</f>
        <v>1920</v>
      </c>
      <c r="P315" s="40">
        <f t="shared" ca="1" si="16"/>
        <v>3.5087719298181475E-4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input_596105!A$2</f>
        <v>596105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IFERROR(VLOOKUP(B316,input_596105!L:R,7,FALSE),VLOOKUP(tables_596105!C316,input_596105!A:H,8,FALSE))</f>
        <v>1920</v>
      </c>
      <c r="P316" s="40">
        <f t="shared" ca="1" si="16"/>
        <v>3.5087719298181475E-4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input_596105!A$2</f>
        <v>596105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IFERROR(VLOOKUP(B317,input_596105!L:R,7,FALSE),VLOOKUP(tables_596105!C317,input_596105!A:H,8,FALSE))</f>
        <v>1920</v>
      </c>
      <c r="P317" s="40">
        <f t="shared" ca="1" si="16"/>
        <v>3.5087719298181475E-4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input_596105!A$2</f>
        <v>596105</v>
      </c>
      <c r="B318" s="5">
        <v>1104</v>
      </c>
      <c r="C318" s="7" t="str">
        <f t="shared" si="12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IFERROR(VLOOKUP(B318,input_596105!L:R,7,FALSE),VLOOKUP(tables_596105!C318,input_596105!A:H,8,FALSE))</f>
        <v>114243.10272</v>
      </c>
      <c r="P318" s="40">
        <f t="shared" ca="1" si="16"/>
        <v>2.0877759999961835E-2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input_596105!A$2</f>
        <v>596105</v>
      </c>
      <c r="B319" s="5">
        <v>1105</v>
      </c>
      <c r="C319" s="7" t="str">
        <f t="shared" si="12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IFERROR(VLOOKUP(B319,input_596105!L:R,7,FALSE),VLOOKUP(tables_596105!C319,input_596105!A:H,8,FALSE))</f>
        <v>6012.3209100000004</v>
      </c>
      <c r="P319" s="40">
        <f t="shared" ca="1" si="16"/>
        <v>1.0987428563576408E-3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input_596105!A$2</f>
        <v>596105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IFERROR(VLOOKUP(B320,input_596105!L:R,7,FALSE),VLOOKUP(tables_596105!C320,input_596105!A:H,8,FALSE))</f>
        <v>1920</v>
      </c>
      <c r="P320" s="40">
        <f t="shared" ref="P320:P324" ca="1" si="17">O320/SUM(O:O)</f>
        <v>3.5087719298181475E-4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input_596105!A$2</f>
        <v>596105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IFERROR(VLOOKUP(B321,input_596105!L:R,7,FALSE),VLOOKUP(tables_596105!C321,input_596105!A:H,8,FALSE))</f>
        <v>1920</v>
      </c>
      <c r="P321" s="40">
        <f t="shared" ca="1" si="17"/>
        <v>3.5087719298181475E-4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input_596105!A$2</f>
        <v>596105</v>
      </c>
      <c r="B322" s="5">
        <v>1139</v>
      </c>
      <c r="C322" s="7" t="str">
        <f t="shared" ref="C322:C324" si="18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IFERROR(VLOOKUP(B322,input_596105!L:R,7,FALSE),VLOOKUP(tables_596105!C322,input_596105!A:H,8,FALSE))</f>
        <v>1920</v>
      </c>
      <c r="P322" s="40">
        <f t="shared" ca="1" si="17"/>
        <v>3.5087719298181475E-4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input_596105!A$2</f>
        <v>596105</v>
      </c>
      <c r="B323" s="5">
        <v>1141</v>
      </c>
      <c r="C323" s="7" t="str">
        <f t="shared" si="18"/>
        <v>PremiumSS5R5onlycolor</v>
      </c>
      <c r="D323" s="7" t="str">
        <f t="shared" ref="D323:D324" si="1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IFERROR(VLOOKUP(B323,input_596105!L:R,7,FALSE),VLOOKUP(tables_596105!C323,input_596105!A:H,8,FALSE))</f>
        <v>9120</v>
      </c>
      <c r="P323" s="40">
        <f t="shared" ca="1" si="17"/>
        <v>1.6666666666636202E-3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input_596105!A$2</f>
        <v>596105</v>
      </c>
      <c r="B324" s="2">
        <v>1143</v>
      </c>
      <c r="C324" s="7" t="str">
        <f t="shared" si="18"/>
        <v>Premium4R3less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IFERROR(VLOOKUP(B324,input_596105!L:R,7,FALSE),VLOOKUP(tables_596105!C324,input_596105!A:H,8,FALSE))</f>
        <v>26453.46</v>
      </c>
      <c r="P324" s="40">
        <f t="shared" ca="1" si="17"/>
        <v>4.8343311403420399E-3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input_596105!A$2</f>
        <v>596105</v>
      </c>
      <c r="B325" s="2">
        <v>1144</v>
      </c>
      <c r="C325" s="7" t="str">
        <f t="shared" ref="C325:C330" si="20">D325&amp;J325&amp;E325&amp;F325&amp;G325</f>
        <v>Premium5R3less</v>
      </c>
      <c r="D325" s="7" t="str">
        <f t="shared" ref="D325:D330" si="21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IFERROR(VLOOKUP(B325,input_596105!L:R,7,FALSE),VLOOKUP(tables_596105!C325,input_596105!A:H,8,FALSE))</f>
        <v>1552.1120000000001</v>
      </c>
      <c r="P325" s="40">
        <f t="shared" ref="P325:P330" ca="1" si="22">O325/SUM(O:O)</f>
        <v>2.8364619882989089E-4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input_596105!A$2</f>
        <v>596105</v>
      </c>
      <c r="B326" s="2">
        <v>1151</v>
      </c>
      <c r="C326" s="7" t="str">
        <f t="shared" si="20"/>
        <v>Premium4R3less</v>
      </c>
      <c r="D326" s="7" t="str">
        <f t="shared" si="2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IFERROR(VLOOKUP(B326,input_596105!L:R,7,FALSE),VLOOKUP(tables_596105!C326,input_596105!A:H,8,FALSE))</f>
        <v>26453.46</v>
      </c>
      <c r="P326" s="40">
        <f t="shared" ca="1" si="22"/>
        <v>4.8343311403420399E-3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input_596105!A$2</f>
        <v>596105</v>
      </c>
      <c r="B327" s="2">
        <v>1152</v>
      </c>
      <c r="C327" s="7" t="str">
        <f t="shared" si="20"/>
        <v>Premium5R3less</v>
      </c>
      <c r="D327" s="7" t="str">
        <f t="shared" si="2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IFERROR(VLOOKUP(B327,input_596105!L:R,7,FALSE),VLOOKUP(tables_596105!C327,input_596105!A:H,8,FALSE))</f>
        <v>1552.1120000000001</v>
      </c>
      <c r="P327" s="40">
        <f t="shared" ca="1" si="22"/>
        <v>2.8364619882989089E-4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input_596105!A$2</f>
        <v>596105</v>
      </c>
      <c r="B328" s="2">
        <v>1153</v>
      </c>
      <c r="C328" s="7" t="str">
        <f t="shared" si="20"/>
        <v>PremiumSS5R5only</v>
      </c>
      <c r="D328" s="7" t="str">
        <f t="shared" si="2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IFERROR(VLOOKUP(B328,input_596105!L:R,7,FALSE),VLOOKUP(tables_596105!C328,input_596105!A:H,8,FALSE))</f>
        <v>1920</v>
      </c>
      <c r="P328" s="40">
        <f t="shared" ca="1" si="22"/>
        <v>3.5087719298181475E-4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input_596105!A$2</f>
        <v>596105</v>
      </c>
      <c r="B329" s="2">
        <v>1155</v>
      </c>
      <c r="C329" s="7" t="str">
        <f t="shared" si="20"/>
        <v>PremiumSS5R5onlycolor</v>
      </c>
      <c r="D329" s="7" t="str">
        <f t="shared" si="2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IFERROR(VLOOKUP(B329,input_596105!L:R,7,FALSE),VLOOKUP(tables_596105!C329,input_596105!A:H,8,FALSE))</f>
        <v>9120</v>
      </c>
      <c r="P329" s="40">
        <f t="shared" ca="1" si="22"/>
        <v>1.6666666666636202E-3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input_596105!A$2</f>
        <v>596105</v>
      </c>
      <c r="B330" s="2">
        <v>1157</v>
      </c>
      <c r="C330" s="7" t="str">
        <f t="shared" si="20"/>
        <v>PremiumSS5R5only</v>
      </c>
      <c r="D330" s="7" t="str">
        <f t="shared" si="2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IFERROR(VLOOKUP(B330,input_596105!L:R,7,FALSE),VLOOKUP(tables_596105!C330,input_596105!A:H,8,FALSE))</f>
        <v>1920</v>
      </c>
      <c r="P330" s="40">
        <f t="shared" ca="1" si="22"/>
        <v>3.5087719298181475E-4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input_596105!A$2</f>
        <v>596105</v>
      </c>
      <c r="B331" s="52">
        <v>1214</v>
      </c>
      <c r="C331" s="7" t="str">
        <f t="shared" ref="C331:C340" si="23">D331&amp;J331&amp;E331&amp;F331&amp;G331</f>
        <v>PremiumSS5R5only</v>
      </c>
      <c r="D331" s="7" t="str">
        <f t="shared" ref="D331:D340" si="2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IFERROR(VLOOKUP(B331,input_596105!L:R,7,FALSE),VLOOKUP(tables_596105!C331,input_596105!A:H,8,FALSE))</f>
        <v>1920</v>
      </c>
      <c r="P331" s="40">
        <f t="shared" ref="P331:P340" ca="1" si="25">O331/SUM(O:O)</f>
        <v>3.5087719298181475E-4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input_596105!A$2</f>
        <v>596105</v>
      </c>
      <c r="B332" s="52">
        <v>1212</v>
      </c>
      <c r="C332" s="7" t="str">
        <f t="shared" si="23"/>
        <v>PremiumSS5R5onlycolor</v>
      </c>
      <c r="D332" s="7" t="str">
        <f t="shared" si="2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IFERROR(VLOOKUP(B332,input_596105!L:R,7,FALSE),VLOOKUP(tables_596105!C332,input_596105!A:H,8,FALSE))</f>
        <v>9120</v>
      </c>
      <c r="P332" s="40">
        <f t="shared" ca="1" si="25"/>
        <v>1.6666666666636202E-3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input_596105!A$2</f>
        <v>596105</v>
      </c>
      <c r="B333" s="52">
        <v>1208</v>
      </c>
      <c r="C333" s="7" t="str">
        <f t="shared" si="23"/>
        <v>PremiumSS5R5only</v>
      </c>
      <c r="D333" s="7" t="str">
        <f t="shared" si="2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IFERROR(VLOOKUP(B333,input_596105!L:R,7,FALSE),VLOOKUP(tables_596105!C333,input_596105!A:H,8,FALSE))</f>
        <v>1920</v>
      </c>
      <c r="P333" s="40">
        <f t="shared" ca="1" si="25"/>
        <v>3.5087719298181475E-4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input_596105!A$2</f>
        <v>596105</v>
      </c>
      <c r="B334" s="96">
        <v>1210</v>
      </c>
      <c r="C334" s="7" t="str">
        <f t="shared" si="23"/>
        <v>Premium4R3less</v>
      </c>
      <c r="D334" s="7" t="str">
        <f t="shared" si="2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IFERROR(VLOOKUP(B334,input_596105!L:R,7,FALSE),VLOOKUP(tables_596105!C334,input_596105!A:H,8,FALSE))</f>
        <v>26453.46</v>
      </c>
      <c r="P334" s="40">
        <f t="shared" ca="1" si="25"/>
        <v>4.8343311403420399E-3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input_596105!A$2</f>
        <v>596105</v>
      </c>
      <c r="B335" s="52">
        <v>1211</v>
      </c>
      <c r="C335" s="7" t="str">
        <f t="shared" si="23"/>
        <v>Premium5R3less</v>
      </c>
      <c r="D335" s="7" t="str">
        <f t="shared" si="2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IFERROR(VLOOKUP(B335,input_596105!L:R,7,FALSE),VLOOKUP(tables_596105!C335,input_596105!A:H,8,FALSE))</f>
        <v>1552.1120000000001</v>
      </c>
      <c r="P335" s="40">
        <f t="shared" ca="1" si="25"/>
        <v>2.8364619882989089E-4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input_596105!A$2</f>
        <v>596105</v>
      </c>
      <c r="B336" s="2">
        <v>1224</v>
      </c>
      <c r="C336" s="7" t="str">
        <f t="shared" si="23"/>
        <v>Premium4R3less</v>
      </c>
      <c r="D336" s="7" t="str">
        <f t="shared" si="24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IFERROR(VLOOKUP(B336,input_596105!L:R,7,FALSE),VLOOKUP(tables_596105!C336,input_596105!A:H,8,FALSE))</f>
        <v>26453.46</v>
      </c>
      <c r="P336" s="40">
        <f t="shared" ca="1" si="25"/>
        <v>4.8343311403420399E-3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input_596105!A$2</f>
        <v>596105</v>
      </c>
      <c r="B337" s="2">
        <v>1225</v>
      </c>
      <c r="C337" s="7" t="str">
        <f t="shared" si="23"/>
        <v>Premium5R3less</v>
      </c>
      <c r="D337" s="7" t="str">
        <f t="shared" si="24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IFERROR(VLOOKUP(B337,input_596105!L:R,7,FALSE),VLOOKUP(tables_596105!C337,input_596105!A:H,8,FALSE))</f>
        <v>1552.1120000000001</v>
      </c>
      <c r="P337" s="40">
        <f t="shared" ca="1" si="25"/>
        <v>2.8364619882989089E-4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input_596105!A$2</f>
        <v>596105</v>
      </c>
      <c r="B338" s="2">
        <v>1226</v>
      </c>
      <c r="C338" s="7" t="str">
        <f t="shared" si="23"/>
        <v>PremiumSS5R5only</v>
      </c>
      <c r="D338" s="7" t="str">
        <f t="shared" si="24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IFERROR(VLOOKUP(B338,input_596105!L:R,7,FALSE),VLOOKUP(tables_596105!C338,input_596105!A:H,8,FALSE))</f>
        <v>1920</v>
      </c>
      <c r="P338" s="40">
        <f t="shared" ca="1" si="25"/>
        <v>3.5087719298181475E-4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input_596105!A$2</f>
        <v>596105</v>
      </c>
      <c r="B339" s="2">
        <v>1228</v>
      </c>
      <c r="C339" s="7" t="str">
        <f t="shared" si="23"/>
        <v>PremiumSS5R5onlycolor</v>
      </c>
      <c r="D339" s="7" t="str">
        <f t="shared" si="24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IFERROR(VLOOKUP(B339,input_596105!L:R,7,FALSE),VLOOKUP(tables_596105!C339,input_596105!A:H,8,FALSE))</f>
        <v>9120</v>
      </c>
      <c r="P339" s="40">
        <f t="shared" ca="1" si="25"/>
        <v>1.6666666666636202E-3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input_596105!A$2</f>
        <v>596105</v>
      </c>
      <c r="B340" s="2">
        <v>1230</v>
      </c>
      <c r="C340" s="7" t="str">
        <f t="shared" si="23"/>
        <v>PremiumSS5R5only</v>
      </c>
      <c r="D340" s="7" t="str">
        <f t="shared" si="24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IFERROR(VLOOKUP(B340,input_596105!L:R,7,FALSE),VLOOKUP(tables_596105!C340,input_596105!A:H,8,FALSE))</f>
        <v>1920</v>
      </c>
      <c r="P340" s="40">
        <f t="shared" ca="1" si="25"/>
        <v>3.5087719298181475E-4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input_596105!A$2</f>
        <v>596105</v>
      </c>
      <c r="B341" s="2">
        <v>1244</v>
      </c>
      <c r="C341" s="7" t="str">
        <f t="shared" ref="C341" si="26">D341&amp;J341&amp;E341&amp;F341&amp;G341</f>
        <v>PremiumSS5R5only</v>
      </c>
      <c r="D341" s="7" t="str">
        <f t="shared" ref="D341" si="27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IFERROR(VLOOKUP(B341,input_596105!L:R,7,FALSE),VLOOKUP(tables_596105!C341,input_596105!A:H,8,FALSE))</f>
        <v>1920</v>
      </c>
      <c r="P341" s="40">
        <f t="shared" ref="P341" ca="1" si="28">O341/SUM(O:O)</f>
        <v>3.5087719298181475E-4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input_596105!A$2</f>
        <v>596105</v>
      </c>
      <c r="B342" s="2">
        <v>1246</v>
      </c>
      <c r="C342" s="7" t="str">
        <f t="shared" ref="C342:C346" si="29">D342&amp;J342&amp;E342&amp;F342&amp;G342</f>
        <v>PremiumSS5R5only</v>
      </c>
      <c r="D342" s="7" t="str">
        <f t="shared" ref="D342:D346" si="30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IFERROR(VLOOKUP(B342,input_596105!L:R,7,FALSE),VLOOKUP(tables_596105!C342,input_596105!A:H,8,FALSE))</f>
        <v>1920</v>
      </c>
      <c r="P342" s="40">
        <f t="shared" ref="P342:P346" ca="1" si="31">O342/SUM(O:O)</f>
        <v>3.5087719298181475E-4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input_596105!A$2</f>
        <v>596105</v>
      </c>
      <c r="B343" s="2">
        <v>1248</v>
      </c>
      <c r="C343" s="7" t="str">
        <f t="shared" si="29"/>
        <v>Premium4R3lesscolor</v>
      </c>
      <c r="D343" s="7" t="str">
        <f t="shared" si="30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IFERROR(VLOOKUP(B343,input_596105!L:R,7,FALSE),VLOOKUP(tables_596105!C343,input_596105!A:H,8,FALSE))</f>
        <v>114243.10272</v>
      </c>
      <c r="P343" s="40">
        <f t="shared" ca="1" si="31"/>
        <v>2.0877759999961835E-2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input_596105!A$2</f>
        <v>596105</v>
      </c>
      <c r="B344" s="2">
        <v>1249</v>
      </c>
      <c r="C344" s="7" t="str">
        <f t="shared" si="29"/>
        <v>Premium5R3lesscolor</v>
      </c>
      <c r="D344" s="7" t="str">
        <f t="shared" si="30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IFERROR(VLOOKUP(B344,input_596105!L:R,7,FALSE),VLOOKUP(tables_596105!C344,input_596105!A:H,8,FALSE))</f>
        <v>6012.3209100000004</v>
      </c>
      <c r="P344" s="40">
        <f t="shared" ca="1" si="31"/>
        <v>1.0987428563576408E-3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input_596105!A$2</f>
        <v>596105</v>
      </c>
      <c r="B345" s="2">
        <v>1250</v>
      </c>
      <c r="C345" s="7" t="str">
        <f t="shared" si="29"/>
        <v>PremiumSS5R5only</v>
      </c>
      <c r="D345" s="7" t="str">
        <f t="shared" si="30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IFERROR(VLOOKUP(B345,input_596105!L:R,7,FALSE),VLOOKUP(tables_596105!C345,input_596105!A:H,8,FALSE))</f>
        <v>1920</v>
      </c>
      <c r="P345" s="40">
        <f t="shared" ca="1" si="31"/>
        <v>3.5087719298181475E-4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input_596105!A$2</f>
        <v>596105</v>
      </c>
      <c r="B346" s="1">
        <v>1260</v>
      </c>
      <c r="C346" s="7" t="str">
        <f t="shared" si="29"/>
        <v>PremiumSS5R5only</v>
      </c>
      <c r="D346" s="7" t="str">
        <f t="shared" si="30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IFERROR(VLOOKUP(B346,input_596105!L:R,7,FALSE),VLOOKUP(tables_596105!C346,input_596105!A:H,8,FALSE))</f>
        <v>1920</v>
      </c>
      <c r="P346" s="40">
        <f t="shared" ca="1" si="31"/>
        <v>3.5087719298181475E-4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input_596105!A$2</f>
        <v>596105</v>
      </c>
      <c r="B347" s="1">
        <v>1262</v>
      </c>
      <c r="C347" s="7" t="str">
        <f t="shared" ref="C347:C356" si="32">D347&amp;J347&amp;E347&amp;F347&amp;G347</f>
        <v>PremiumSS5R5only</v>
      </c>
      <c r="D347" s="7" t="str">
        <f t="shared" ref="D347:D356" si="33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IFERROR(VLOOKUP(B347,input_596105!L:R,7,FALSE),VLOOKUP(tables_596105!C347,input_596105!A:H,8,FALSE))</f>
        <v>1920</v>
      </c>
      <c r="P347" s="40">
        <f t="shared" ref="P347:P350" ca="1" si="34">O347/SUM(O:O)</f>
        <v>3.5087719298181475E-4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input_596105!A$2</f>
        <v>596105</v>
      </c>
      <c r="B348" s="1">
        <v>1264</v>
      </c>
      <c r="C348" s="7" t="str">
        <f t="shared" si="32"/>
        <v>PremiumSS5R5onlycolor</v>
      </c>
      <c r="D348" s="7" t="str">
        <f t="shared" si="33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IFERROR(VLOOKUP(B348,input_596105!L:R,7,FALSE),VLOOKUP(tables_596105!C348,input_596105!A:H,8,FALSE))</f>
        <v>9120</v>
      </c>
      <c r="P348" s="40">
        <f t="shared" ca="1" si="34"/>
        <v>1.6666666666636202E-3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input_596105!A$2</f>
        <v>596105</v>
      </c>
      <c r="B349" s="1">
        <v>1266</v>
      </c>
      <c r="C349" s="7" t="str">
        <f t="shared" si="32"/>
        <v>Premium4R3less</v>
      </c>
      <c r="D349" s="7" t="str">
        <f t="shared" si="33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IFERROR(VLOOKUP(B349,input_596105!L:R,7,FALSE),VLOOKUP(tables_596105!C349,input_596105!A:H,8,FALSE))</f>
        <v>26453.46</v>
      </c>
      <c r="P349" s="40">
        <f t="shared" ca="1" si="34"/>
        <v>4.8343311403420399E-3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input_596105!A$2</f>
        <v>596105</v>
      </c>
      <c r="B350" s="1">
        <v>1267</v>
      </c>
      <c r="C350" s="7" t="str">
        <f t="shared" si="32"/>
        <v>Premium5R3less</v>
      </c>
      <c r="D350" s="7" t="str">
        <f t="shared" si="3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IFERROR(VLOOKUP(B350,input_596105!L:R,7,FALSE),VLOOKUP(tables_596105!C350,input_596105!A:H,8,FALSE))</f>
        <v>1552.1120000000001</v>
      </c>
      <c r="P350" s="40">
        <f t="shared" ca="1" si="34"/>
        <v>2.8364619882989089E-4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input_596105!A$2</f>
        <v>596105</v>
      </c>
      <c r="B351" s="102">
        <v>1332</v>
      </c>
      <c r="C351" s="86" t="str">
        <f t="shared" si="32"/>
        <v>PremiumSS5R5only</v>
      </c>
      <c r="D351" s="7" t="str">
        <f t="shared" si="33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IFERROR(VLOOKUP(B351,input_596105!L:R,7,FALSE),VLOOKUP(tables_596105!C351,input_596105!A:H,8,FALSE))</f>
        <v>1920</v>
      </c>
      <c r="P351" s="40">
        <f t="shared" ref="P351:P356" ca="1" si="35">O351/SUM(O:O)</f>
        <v>3.5087719298181475E-4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input_596105!A$2</f>
        <v>596105</v>
      </c>
      <c r="B352" s="102">
        <v>1336</v>
      </c>
      <c r="C352" s="86" t="str">
        <f t="shared" si="32"/>
        <v>PremiumSS5R5onlycolor</v>
      </c>
      <c r="D352" s="7" t="str">
        <f t="shared" si="33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IFERROR(VLOOKUP(B352,input_596105!L:R,7,FALSE),VLOOKUP(tables_596105!C352,input_596105!A:H,8,FALSE))</f>
        <v>9120</v>
      </c>
      <c r="P352" s="40">
        <f t="shared" ca="1" si="35"/>
        <v>1.6666666666636202E-3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input_596105!A$2</f>
        <v>596105</v>
      </c>
      <c r="B353" s="102">
        <v>1338</v>
      </c>
      <c r="C353" s="86" t="str">
        <f t="shared" si="32"/>
        <v>PremiumSS5R5only</v>
      </c>
      <c r="D353" s="7" t="str">
        <f t="shared" si="33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IFERROR(VLOOKUP(B353,input_596105!L:R,7,FALSE),VLOOKUP(tables_596105!C353,input_596105!A:H,8,FALSE))</f>
        <v>1920</v>
      </c>
      <c r="P353" s="40">
        <f t="shared" ca="1" si="35"/>
        <v>3.5087719298181475E-4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input_596105!A$2</f>
        <v>596105</v>
      </c>
      <c r="B354" s="102">
        <v>1334</v>
      </c>
      <c r="C354" s="86" t="str">
        <f t="shared" si="32"/>
        <v>Premium4R3less</v>
      </c>
      <c r="D354" s="7" t="str">
        <f t="shared" si="3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IFERROR(VLOOKUP(B354,input_596105!L:R,7,FALSE),VLOOKUP(tables_596105!C354,input_596105!A:H,8,FALSE))</f>
        <v>26453.46</v>
      </c>
      <c r="P354" s="40">
        <f t="shared" ca="1" si="35"/>
        <v>4.8343311403420399E-3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input_596105!A$2</f>
        <v>596105</v>
      </c>
      <c r="B355" s="102">
        <v>1335</v>
      </c>
      <c r="C355" s="86" t="str">
        <f t="shared" si="32"/>
        <v>Premium5R3less</v>
      </c>
      <c r="D355" s="7" t="str">
        <f t="shared" si="3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IFERROR(VLOOKUP(B355,input_596105!L:R,7,FALSE),VLOOKUP(tables_596105!C355,input_596105!A:H,8,FALSE))</f>
        <v>1552.1120000000001</v>
      </c>
      <c r="P355" s="40">
        <f t="shared" ca="1" si="35"/>
        <v>2.8364619882989089E-4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input_596105!A$2</f>
        <v>596105</v>
      </c>
      <c r="B356" s="69">
        <v>1381</v>
      </c>
      <c r="C356" s="86" t="str">
        <f t="shared" si="32"/>
        <v>Premium4R3less</v>
      </c>
      <c r="D356" s="7" t="str">
        <f t="shared" si="33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IFERROR(VLOOKUP(B356,input_596105!L:R,7,FALSE),VLOOKUP(tables_596105!C356,input_596105!A:H,8,FALSE))</f>
        <v>26453.46</v>
      </c>
      <c r="P356" s="40">
        <f t="shared" ca="1" si="35"/>
        <v>4.8343311403420399E-3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input_596105!A$2</f>
        <v>596105</v>
      </c>
      <c r="B357" s="107">
        <v>1382</v>
      </c>
      <c r="C357" s="86" t="str">
        <f t="shared" ref="C357" si="36">D357&amp;J357&amp;E357&amp;F357&amp;G357</f>
        <v>Premium5R3less</v>
      </c>
      <c r="D357" s="7" t="str">
        <f t="shared" ref="D357" si="37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IFERROR(VLOOKUP(B357,input_596105!L:R,7,FALSE),VLOOKUP(tables_596105!C357,input_596105!A:H,8,FALSE))</f>
        <v>1552.1120000000001</v>
      </c>
      <c r="P357" s="40">
        <f t="shared" ref="P357" ca="1" si="38">O357/SUM(O:O)</f>
        <v>2.8364619882989089E-4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input_596105!A$2</f>
        <v>596105</v>
      </c>
      <c r="B358" s="107">
        <v>1383</v>
      </c>
      <c r="C358" s="86" t="str">
        <f t="shared" ref="C358:C361" si="39">D358&amp;J358&amp;E358&amp;F358&amp;G358</f>
        <v>PremiumSS5R5only</v>
      </c>
      <c r="D358" s="7" t="str">
        <f t="shared" ref="D358:D361" si="40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IFERROR(VLOOKUP(B358,input_596105!L:R,7,FALSE),VLOOKUP(tables_596105!C358,input_596105!A:H,8,FALSE))</f>
        <v>1920</v>
      </c>
      <c r="P358" s="40">
        <f t="shared" ref="P358:P361" ca="1" si="41">O358/SUM(O:O)</f>
        <v>3.5087719298181475E-4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input_596105!A$2</f>
        <v>596105</v>
      </c>
      <c r="B359" s="107">
        <v>1385</v>
      </c>
      <c r="C359" s="86" t="str">
        <f t="shared" si="39"/>
        <v>PremiumSS5R5onlycolor</v>
      </c>
      <c r="D359" s="7" t="str">
        <f t="shared" si="40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IFERROR(VLOOKUP(B359,input_596105!L:R,7,FALSE),VLOOKUP(tables_596105!C359,input_596105!A:H,8,FALSE))</f>
        <v>9120</v>
      </c>
      <c r="P359" s="40">
        <f t="shared" ca="1" si="41"/>
        <v>1.6666666666636202E-3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input_596105!A$2</f>
        <v>596105</v>
      </c>
      <c r="B360" s="107">
        <v>1387</v>
      </c>
      <c r="C360" s="86" t="str">
        <f t="shared" si="39"/>
        <v>PremiumSS5R5only</v>
      </c>
      <c r="D360" s="7" t="str">
        <f t="shared" si="40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IFERROR(VLOOKUP(B360,input_596105!L:R,7,FALSE),VLOOKUP(tables_596105!C360,input_596105!A:H,8,FALSE))</f>
        <v>1920</v>
      </c>
      <c r="P360" s="40">
        <f t="shared" ca="1" si="41"/>
        <v>3.5087719298181475E-4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input_596105!A$2</f>
        <v>596105</v>
      </c>
      <c r="B361" s="108">
        <v>1393</v>
      </c>
      <c r="C361" s="86" t="str">
        <f t="shared" si="39"/>
        <v>PremiumSSS5R3lesscolor</v>
      </c>
      <c r="D361" s="7" t="str">
        <f t="shared" si="40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ライプニッツ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hp</v>
      </c>
      <c r="M361" s="7" t="str">
        <f>VLOOKUP(B361,[1]characters!$A:$M,13,FALSE)</f>
        <v>academia</v>
      </c>
      <c r="N361" s="7">
        <f>VLOOKUP(B361,[1]characters!$A:$G,7,FALSE)</f>
        <v>0</v>
      </c>
      <c r="O361" s="39">
        <f>IFERROR(VLOOKUP(B361,input_596105!L:R,7,FALSE),VLOOKUP(tables_596105!C361,input_596105!A:H,8,FALSE))</f>
        <v>87552</v>
      </c>
      <c r="P361" s="40">
        <f t="shared" ca="1" si="41"/>
        <v>1.5999999999970753E-2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300"/>
  <phoneticPr fontId="13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topLeftCell="A12"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596106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8">
        <v>1393</v>
      </c>
      <c r="M3" s="31" t="str">
        <f>VLOOKUP(L3,[1]characters!$A:$C,3,FALSE)</f>
        <v>ライプニッツ</v>
      </c>
      <c r="N3" s="54">
        <v>0.02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VLOOKUP(L3,tables_596106!B:C,2,FALSE)</f>
        <v>PremiumSSS5R3lesscolor</v>
      </c>
      <c r="R3" s="53">
        <f t="shared" ref="R3:R20" si="1">N3*A$51</f>
        <v>109440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VLOOKUP(L4,tables_596106!B:C,2,FALSE)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3.5087719298245622E-4</v>
      </c>
      <c r="F5">
        <f>(COUNTIF(tables_596106!C:C,input_596106!A28)+COUNTIF(tables_596106!C:C,input_596106!A29))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VLOOKUP(L5,tables_596106!B:C,2,FALSE)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(COUNTIF(tables_596106!C:C,input_596106!A43)+COUNTIF(tables_596106!C:C,input_596106!A44))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VLOOKUP(L6,tables_596106!B:C,2,FALSE)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5.1666666666666666E-3</v>
      </c>
      <c r="F7">
        <f>(COUNTIF(tables_596106!C:C,input_596106!A25)+COUNTIF(tables_596106!C:C,input_596106!A18)+COUNTIF(tables_596106!C:C,input_596106!A20)+COUNTIF(tables_596106!C:C,input_596106!A22))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VLOOKUP(L7,tables_596106!B:C,2,FALSE)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2.2319999999999996E-2</v>
      </c>
      <c r="F8">
        <f>(COUNTIF(tables_596106!C:C,input_596106!A40)+COUNTIF(tables_596106!C:C,input_596106!A33)+COUNTIF(tables_596106!C:C,input_596106!A35)+COUNTIF(tables_596106!C:C,input_596106!A37))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VLOOKUP(L8,tables_596106!B:C,2,FALSE)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VLOOKUP(L9,tables_596106!B:C,2,FALSE)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0.92999999999999994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VLOOKUP(L10,tables_596106!B:C,2,FALSE)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247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VLOOKUP(L11,tables_596106!B:C,2,FALSE)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0.02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VLOOKUP(L12,tables_596106!B:C,2,FALSE)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VLOOKUP(L13,tables_596106!B:C,2,FALSE)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VLOOKUP(L14,tables_596106!B:C,2,FALSE)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VLOOKUP(L15,tables_596106!B:C,2,FALSE)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VLOOKUP(L16,tables_596106!B:C,2,FALSE)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6" si="2">SUMIF(Q:Q,A17,N:N)</f>
        <v>0</v>
      </c>
      <c r="D17" s="66">
        <f t="shared" ref="D17:D47" si="3">B17-C17</f>
        <v>0</v>
      </c>
      <c r="E17">
        <f>COUNTIF(tables_596106!C:C,input_596106!A17)-COUNTIF(Q:Q,A17)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VLOOKUP(L17,tables_596106!B:C,2,FALSE)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8.550000000000002E-2</v>
      </c>
      <c r="C18" s="75">
        <f t="shared" si="2"/>
        <v>0</v>
      </c>
      <c r="D18" s="66">
        <f t="shared" si="3"/>
        <v>8.550000000000002E-2</v>
      </c>
      <c r="E18">
        <f>COUNTIF(tables_596106!C:C,input_596106!A18)-COUNTIF(Q:Q,A18)</f>
        <v>15</v>
      </c>
      <c r="F18" s="37">
        <f>IFERROR(B18/E18,0)</f>
        <v>5.7000000000000011E-3</v>
      </c>
      <c r="G18">
        <f t="shared" si="4"/>
        <v>467856.00000000012</v>
      </c>
      <c r="H18">
        <f t="shared" si="5"/>
        <v>31190.400000000001</v>
      </c>
      <c r="I18">
        <f t="shared" si="6"/>
        <v>0.40000000000145519</v>
      </c>
      <c r="J18">
        <f t="shared" si="7"/>
        <v>2.4999999999909051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VLOOKUP(L18,tables_596106!B:C,2,FALSE)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COUNTIF(tables_596106!C:C,input_596106!A19)-COUNTIF(Q:Q,A19)</f>
        <v>38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VLOOKUP(L19,tables_596106!B:C,2,FALSE)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0.1767</v>
      </c>
      <c r="C20" s="75">
        <f t="shared" si="2"/>
        <v>0</v>
      </c>
      <c r="D20" s="66">
        <f t="shared" si="3"/>
        <v>0.1767</v>
      </c>
      <c r="E20">
        <f>COUNTIF(tables_596106!C:C,input_596106!A20)-COUNTIF(Q:Q,A20)</f>
        <v>38</v>
      </c>
      <c r="F20" s="37">
        <f t="shared" si="8"/>
        <v>4.6499999999999996E-3</v>
      </c>
      <c r="G20">
        <f t="shared" si="4"/>
        <v>966902.4</v>
      </c>
      <c r="H20">
        <f t="shared" si="5"/>
        <v>25444.799999999999</v>
      </c>
      <c r="I20">
        <f t="shared" si="6"/>
        <v>0.7999999999992724</v>
      </c>
      <c r="J20">
        <f t="shared" si="7"/>
        <v>1.2500000000011369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VLOOKUP(L20,tables_596106!B:C,2,FALSE)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1.9633333333333336E-2</v>
      </c>
      <c r="C21" s="75">
        <f t="shared" si="2"/>
        <v>0</v>
      </c>
      <c r="D21" s="66">
        <f t="shared" si="3"/>
        <v>1.9633333333333336E-2</v>
      </c>
      <c r="E21">
        <f>COUNTIF(tables_596106!C:C,input_596106!A21)-COUNTIF(Q:Q,A21)</f>
        <v>38</v>
      </c>
      <c r="F21" s="37">
        <f t="shared" si="8"/>
        <v>5.1666666666666668E-4</v>
      </c>
      <c r="G21">
        <f t="shared" si="4"/>
        <v>107433.60000000002</v>
      </c>
      <c r="H21">
        <f t="shared" si="5"/>
        <v>2827.2</v>
      </c>
      <c r="I21">
        <f t="shared" si="6"/>
        <v>0.1999999999998181</v>
      </c>
      <c r="J21">
        <f t="shared" si="7"/>
        <v>5.0000000000045475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7.6902631578947361E-2</v>
      </c>
      <c r="C22" s="75">
        <f t="shared" si="2"/>
        <v>0</v>
      </c>
      <c r="D22" s="66">
        <f t="shared" si="3"/>
        <v>7.6902631578947361E-2</v>
      </c>
      <c r="E22">
        <f>COUNTIF(tables_596106!C:C,input_596106!A22)-COUNTIF(Q:Q,A22)</f>
        <v>16</v>
      </c>
      <c r="F22" s="37">
        <f t="shared" si="8"/>
        <v>4.8064144736842101E-3</v>
      </c>
      <c r="G22">
        <f t="shared" si="4"/>
        <v>420811.19999999995</v>
      </c>
      <c r="H22">
        <f t="shared" si="5"/>
        <v>26300.7</v>
      </c>
      <c r="I22">
        <f t="shared" si="6"/>
        <v>0.7000000000007276</v>
      </c>
      <c r="J22">
        <f t="shared" si="7"/>
        <v>1.4285714285699438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5.7640350877193047E-3</v>
      </c>
      <c r="C23" s="75">
        <f t="shared" si="2"/>
        <v>0</v>
      </c>
      <c r="D23" s="66">
        <f t="shared" si="3"/>
        <v>5.7640350877193047E-3</v>
      </c>
      <c r="E23">
        <f>COUNTIF(tables_596106!C:C,input_596106!A23)-COUNTIF(Q:Q,A23)</f>
        <v>20</v>
      </c>
      <c r="F23" s="37">
        <f t="shared" si="8"/>
        <v>2.8820175438596524E-4</v>
      </c>
      <c r="G23">
        <f t="shared" si="4"/>
        <v>31540.800000000036</v>
      </c>
      <c r="H23">
        <f t="shared" si="5"/>
        <v>1577.04</v>
      </c>
      <c r="I23">
        <f t="shared" si="6"/>
        <v>3.999999999996362E-2</v>
      </c>
      <c r="J23">
        <f t="shared" si="7"/>
        <v>25.000000000022737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COUNTIF(tables_596106!C:C,input_596106!A24)-COUNTIF(Q:Q,A24)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1.3950000000000001E-2</v>
      </c>
      <c r="C25" s="75">
        <f t="shared" si="2"/>
        <v>0</v>
      </c>
      <c r="D25" s="66">
        <f t="shared" si="3"/>
        <v>1.3950000000000001E-2</v>
      </c>
      <c r="E25">
        <f>COUNTIF(tables_596106!C:C,input_596106!A25)-COUNTIF(Q:Q,A25)</f>
        <v>3</v>
      </c>
      <c r="F25" s="37">
        <f t="shared" si="8"/>
        <v>4.6500000000000005E-3</v>
      </c>
      <c r="G25">
        <f t="shared" si="4"/>
        <v>76334.400000000009</v>
      </c>
      <c r="H25">
        <f t="shared" si="5"/>
        <v>25444.799999999999</v>
      </c>
      <c r="I25">
        <f t="shared" si="6"/>
        <v>0.7999999999992724</v>
      </c>
      <c r="J25">
        <f t="shared" si="7"/>
        <v>1.2500000000011369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1.5500000000000002E-3</v>
      </c>
      <c r="C26" s="75">
        <f t="shared" si="2"/>
        <v>0</v>
      </c>
      <c r="D26" s="66">
        <f t="shared" si="3"/>
        <v>1.5500000000000002E-3</v>
      </c>
      <c r="E26">
        <f>COUNTIF(tables_596106!C:C,input_596106!A26)-COUNTIF(Q:Q,A26)</f>
        <v>3</v>
      </c>
      <c r="F26" s="37">
        <f t="shared" si="8"/>
        <v>5.1666666666666668E-4</v>
      </c>
      <c r="G26">
        <f t="shared" si="4"/>
        <v>8481.6</v>
      </c>
      <c r="H26">
        <f t="shared" si="5"/>
        <v>2827.2</v>
      </c>
      <c r="I26">
        <f t="shared" si="6"/>
        <v>0.1999999999998181</v>
      </c>
      <c r="J26">
        <f t="shared" si="7"/>
        <v>5.0000000000045475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6.9473684210526335E-3</v>
      </c>
      <c r="C27" s="75">
        <f t="shared" si="2"/>
        <v>0</v>
      </c>
      <c r="D27" s="66">
        <f t="shared" si="3"/>
        <v>6.9473684210526335E-3</v>
      </c>
      <c r="E27">
        <f>COUNTIF(tables_596106!C:C,input_596106!A27)-COUNTIF(Q:Q,A27)</f>
        <v>22</v>
      </c>
      <c r="F27" s="37">
        <f>IFERROR(B27/E27,0)</f>
        <v>3.1578947368421064E-4</v>
      </c>
      <c r="G27">
        <f t="shared" si="4"/>
        <v>38016.000000000007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7.7192982456140372E-4</v>
      </c>
      <c r="C28" s="75">
        <f t="shared" si="2"/>
        <v>0</v>
      </c>
      <c r="D28" s="66">
        <f t="shared" si="3"/>
        <v>7.7192982456140372E-4</v>
      </c>
      <c r="E28">
        <f>COUNTIF(tables_596106!C:C,input_596106!A28)-COUNTIF(Q:Q,A28)</f>
        <v>22</v>
      </c>
      <c r="F28" s="37">
        <f t="shared" si="8"/>
        <v>3.5087719298245625E-5</v>
      </c>
      <c r="G28">
        <f t="shared" si="4"/>
        <v>4224.0000000000009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1.2280701754385968E-2</v>
      </c>
      <c r="C29" s="75">
        <f t="shared" si="2"/>
        <v>0</v>
      </c>
      <c r="D29" s="66">
        <f t="shared" si="3"/>
        <v>1.2280701754385968E-2</v>
      </c>
      <c r="E29">
        <f>COUNTIF(tables_596106!C:C,input_596106!A29)-COUNTIF(Q:Q,A29)</f>
        <v>35</v>
      </c>
      <c r="F29" s="37">
        <f t="shared" si="8"/>
        <v>3.5087719298245622E-4</v>
      </c>
      <c r="G29">
        <f t="shared" si="4"/>
        <v>67200.000000000015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COUNTIF(tables_596106!C:C,input_596106!A30)-COUNTIF(Q:Q,A30)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COUNTIF(tables_596106!C:C,input_596106!A31)-COUNTIF(Q:Q,A31)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COUNTIF(tables_596106!C:C,input_596106!A32)-COUNTIF(Q:Q,A32)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0.12370400000000015</v>
      </c>
      <c r="C33" s="75">
        <f t="shared" si="2"/>
        <v>0</v>
      </c>
      <c r="D33" s="66">
        <f t="shared" si="3"/>
        <v>0.12370400000000015</v>
      </c>
      <c r="E33">
        <f>COUNTIF(tables_596106!C:C,input_596106!A33)-COUNTIF(Q:Q,A33)</f>
        <v>5</v>
      </c>
      <c r="F33" s="37">
        <f>IFERROR(B33/E33,0)</f>
        <v>2.4740800000000028E-2</v>
      </c>
      <c r="G33">
        <f t="shared" si="4"/>
        <v>676908.28800000076</v>
      </c>
      <c r="H33">
        <f t="shared" si="5"/>
        <v>135381.65760000001</v>
      </c>
      <c r="I33">
        <f t="shared" si="6"/>
        <v>0.6576000000059139</v>
      </c>
      <c r="J33">
        <f t="shared" si="7"/>
        <v>1.520681265193137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COUNTIF(tables_596106!C:C,input_596106!A34)-COUNTIF(Q:Q,A34)</f>
        <v>14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0.28123199999999993</v>
      </c>
      <c r="C35" s="75">
        <f t="shared" si="2"/>
        <v>0</v>
      </c>
      <c r="D35" s="66">
        <f t="shared" si="3"/>
        <v>0.28123199999999993</v>
      </c>
      <c r="E35">
        <f>COUNTIF(tables_596106!C:C,input_596106!A35)-COUNTIF(Q:Q,A35)</f>
        <v>14</v>
      </c>
      <c r="F35" s="37">
        <f t="shared" si="9"/>
        <v>2.0087999999999995E-2</v>
      </c>
      <c r="G35">
        <f t="shared" si="4"/>
        <v>1538901.5039999995</v>
      </c>
      <c r="H35">
        <f t="shared" si="5"/>
        <v>109921.53599999999</v>
      </c>
      <c r="I35">
        <f t="shared" si="6"/>
        <v>0.53599999999278225</v>
      </c>
      <c r="J35">
        <f t="shared" si="7"/>
        <v>1.8656716418161678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1.1144000000000001E-2</v>
      </c>
      <c r="C36" s="75">
        <f t="shared" si="2"/>
        <v>0</v>
      </c>
      <c r="D36" s="66">
        <f t="shared" si="3"/>
        <v>1.1144000000000001E-2</v>
      </c>
      <c r="E36">
        <f>COUNTIF(tables_596106!C:C,input_596106!A36)-COUNTIF(Q:Q,A36)</f>
        <v>14</v>
      </c>
      <c r="F36" s="37">
        <f t="shared" si="9"/>
        <v>7.9600000000000005E-4</v>
      </c>
      <c r="G36">
        <f t="shared" si="4"/>
        <v>60979.968000000008</v>
      </c>
      <c r="H36">
        <f t="shared" si="5"/>
        <v>4355.7120000000004</v>
      </c>
      <c r="I36">
        <f t="shared" si="6"/>
        <v>0.71200000000044383</v>
      </c>
      <c r="J36">
        <f t="shared" si="7"/>
        <v>1.4044943820215965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0.10597599999999999</v>
      </c>
      <c r="C37" s="75">
        <f t="shared" si="2"/>
        <v>0</v>
      </c>
      <c r="D37" s="66">
        <f t="shared" si="3"/>
        <v>0.10597599999999999</v>
      </c>
      <c r="E37">
        <f>COUNTIF(tables_596106!C:C,input_596106!A37)-COUNTIF(Q:Q,A37)</f>
        <v>5</v>
      </c>
      <c r="F37" s="37">
        <f t="shared" si="9"/>
        <v>2.1195199999999997E-2</v>
      </c>
      <c r="G37">
        <f t="shared" si="4"/>
        <v>579900.6719999999</v>
      </c>
      <c r="H37">
        <f t="shared" si="5"/>
        <v>115980.1344</v>
      </c>
      <c r="I37">
        <f t="shared" si="6"/>
        <v>0.13439999999536667</v>
      </c>
      <c r="J37">
        <f t="shared" si="7"/>
        <v>7.4404761907326948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5.6239999999999971E-3</v>
      </c>
      <c r="C38" s="75">
        <f t="shared" si="2"/>
        <v>0</v>
      </c>
      <c r="D38" s="66">
        <f t="shared" si="3"/>
        <v>5.6239999999999971E-3</v>
      </c>
      <c r="E38">
        <f>COUNTIF(tables_596106!C:C,input_596106!A38)-COUNTIF(Q:Q,A38)</f>
        <v>7</v>
      </c>
      <c r="F38" s="37">
        <f t="shared" si="9"/>
        <v>8.0342857142857104E-4</v>
      </c>
      <c r="G38">
        <f t="shared" si="4"/>
        <v>30774.527999999984</v>
      </c>
      <c r="H38">
        <f t="shared" si="5"/>
        <v>4396.36114</v>
      </c>
      <c r="I38">
        <f t="shared" si="6"/>
        <v>0.36113999999997759</v>
      </c>
      <c r="J38">
        <f t="shared" si="7"/>
        <v>2.769009248491062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COUNTIF(tables_596106!C:C,input_596106!A39)-COUNTIF(Q:Q,A39)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2.0087999999999998E-2</v>
      </c>
      <c r="C40" s="75">
        <f t="shared" si="2"/>
        <v>0</v>
      </c>
      <c r="D40" s="66">
        <f t="shared" si="3"/>
        <v>2.0087999999999998E-2</v>
      </c>
      <c r="E40">
        <f>COUNTIF(tables_596106!C:C,input_596106!A40)-COUNTIF(Q:Q,A40)</f>
        <v>1</v>
      </c>
      <c r="F40" s="37">
        <f t="shared" si="9"/>
        <v>2.0087999999999998E-2</v>
      </c>
      <c r="G40">
        <f t="shared" si="4"/>
        <v>109921.53599999999</v>
      </c>
      <c r="H40">
        <f t="shared" si="5"/>
        <v>109921.53599999999</v>
      </c>
      <c r="I40">
        <f t="shared" si="6"/>
        <v>0.53599999999278225</v>
      </c>
      <c r="J40">
        <f t="shared" si="7"/>
        <v>1.8656716418161678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2.2319999999999996E-3</v>
      </c>
      <c r="C41" s="75">
        <f t="shared" si="2"/>
        <v>0</v>
      </c>
      <c r="D41" s="66">
        <f t="shared" si="3"/>
        <v>2.2319999999999996E-3</v>
      </c>
      <c r="E41">
        <f>COUNTIF(tables_596106!C:C,input_596106!A41)-COUNTIF(Q:Q,A41)</f>
        <v>1</v>
      </c>
      <c r="F41" s="37">
        <f t="shared" si="9"/>
        <v>2.2319999999999996E-3</v>
      </c>
      <c r="G41">
        <f t="shared" si="4"/>
        <v>12213.503999999997</v>
      </c>
      <c r="H41">
        <f t="shared" si="5"/>
        <v>12213.504000000001</v>
      </c>
      <c r="I41">
        <f t="shared" si="6"/>
        <v>0.50400000000081491</v>
      </c>
      <c r="J41">
        <f t="shared" si="7"/>
        <v>1.9841269841237761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8.9999999999999993E-3</v>
      </c>
      <c r="C42" s="75">
        <f t="shared" si="2"/>
        <v>0</v>
      </c>
      <c r="D42" s="66">
        <f t="shared" si="3"/>
        <v>8.9999999999999993E-3</v>
      </c>
      <c r="E42">
        <f>COUNTIF(tables_596106!C:C,input_596106!A42)-COUNTIF(Q:Q,A42)</f>
        <v>6</v>
      </c>
      <c r="F42" s="37">
        <f>IFERROR(B42/E42,0)</f>
        <v>1.4999999999999998E-3</v>
      </c>
      <c r="G42">
        <f t="shared" si="4"/>
        <v>49247.999999999993</v>
      </c>
      <c r="H42">
        <f t="shared" si="5"/>
        <v>8208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9.999999999999998E-4</v>
      </c>
      <c r="C43" s="75">
        <f t="shared" si="2"/>
        <v>0</v>
      </c>
      <c r="D43" s="66">
        <f t="shared" si="3"/>
        <v>9.999999999999998E-4</v>
      </c>
      <c r="E43">
        <f>COUNTIF(tables_596106!C:C,input_596106!A43)-COUNTIF(Q:Q,A43)</f>
        <v>6</v>
      </c>
      <c r="F43" s="37">
        <f t="shared" ref="F43:F46" si="10">IFERROR(B43/E43,0)</f>
        <v>1.6666666666666663E-4</v>
      </c>
      <c r="G43">
        <f t="shared" si="4"/>
        <v>5471.9999999999991</v>
      </c>
      <c r="H43">
        <f t="shared" si="5"/>
        <v>912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1.9999999999999997E-2</v>
      </c>
      <c r="C44" s="75">
        <f t="shared" si="2"/>
        <v>0</v>
      </c>
      <c r="D44" s="66">
        <f t="shared" si="3"/>
        <v>1.9999999999999997E-2</v>
      </c>
      <c r="E44">
        <f>COUNTIF(tables_596106!C:C,input_596106!A44)-COUNTIF(Q:Q,A44)</f>
        <v>12</v>
      </c>
      <c r="F44" s="37">
        <f t="shared" si="10"/>
        <v>1.6666666666666663E-3</v>
      </c>
      <c r="G44">
        <f t="shared" si="4"/>
        <v>109439.99999999999</v>
      </c>
      <c r="H44">
        <f t="shared" si="5"/>
        <v>9120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COUNTIF(tables_596106!C:C,input_596106!A45)-COUNTIF(Q:Q,A45)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0.02</v>
      </c>
      <c r="C46" s="75">
        <f t="shared" si="2"/>
        <v>0.02</v>
      </c>
      <c r="D46" s="66">
        <f t="shared" si="3"/>
        <v>0</v>
      </c>
      <c r="E46">
        <f>COUNTIF(tables_596106!C:C,input_596106!A46)-COUNTIF(Q:Q,A46)</f>
        <v>0</v>
      </c>
      <c r="F46" s="37">
        <f t="shared" si="10"/>
        <v>0</v>
      </c>
      <c r="G46">
        <f t="shared" si="4"/>
        <v>109440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0.02</v>
      </c>
      <c r="D47" s="36">
        <f t="shared" si="3"/>
        <v>0.98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5472000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SUMIF(tables_596106!C:C,input_596106!A55,tables_596106!O:O)</f>
        <v>0</v>
      </c>
      <c r="C55" s="46">
        <f t="shared" ref="C55:C61" ca="1" si="11">B55/B$62</f>
        <v>0</v>
      </c>
      <c r="E55">
        <v>3</v>
      </c>
      <c r="F55">
        <f ca="1">SUMIF(tables_596106!J:J,input_596106!E55,tables_596106!O:O)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SUMIF(tables_596106!C:C,input_596106!A56,tables_596106!O:O)</f>
        <v>966902.40000000061</v>
      </c>
      <c r="C56" s="46">
        <f t="shared" ca="1" si="11"/>
        <v>0.86595305648697463</v>
      </c>
      <c r="E56">
        <v>4</v>
      </c>
      <c r="F56">
        <f ca="1">SUMIF(tables_596106!J:J,input_596106!E56,tables_596106!O:O)</f>
        <v>4924799.9999999972</v>
      </c>
      <c r="G56">
        <f ca="1">F56/A51</f>
        <v>0.89999999999999947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SUMIF(tables_596106!C:C,input_596106!A57,tables_596106!O:O)</f>
        <v>38016</v>
      </c>
      <c r="C57" s="46">
        <f t="shared" ca="1" si="11"/>
        <v>3.4046943513025521E-2</v>
      </c>
      <c r="E57">
        <v>5</v>
      </c>
      <c r="F57">
        <f ca="1">SUMIF(tables_596106!J:J,input_596106!E57,tables_596106!O:O)</f>
        <v>547199.99997999985</v>
      </c>
      <c r="G57">
        <f ca="1">F57/A51</f>
        <v>9.9999999996344999E-2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SUMIF(tables_596106!C:C,input_596106!A58,tables_596106!O:O)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SUMIF(tables_596106!C:C,input_596106!A59,tables_596106!O:O)</f>
        <v>107433.59999999993</v>
      </c>
      <c r="C59" s="46">
        <f t="shared" ca="1" si="11"/>
        <v>9.6217006276330397E-2</v>
      </c>
      <c r="E59" t="s">
        <v>37</v>
      </c>
      <c r="F59" s="47"/>
    </row>
    <row r="60" spans="1:8" x14ac:dyDescent="0.15">
      <c r="A60" s="27" t="s">
        <v>91</v>
      </c>
      <c r="B60">
        <f ca="1">SUMIF(tables_596106!C:C,input_596106!A60,tables_596106!O:O)</f>
        <v>4224</v>
      </c>
      <c r="C60" s="46">
        <f t="shared" ca="1" si="11"/>
        <v>3.7829937236695025E-3</v>
      </c>
      <c r="E60" t="s">
        <v>190</v>
      </c>
      <c r="F60" s="47">
        <f ca="1">SUMIF(tables_596106!I:I,input_596106!E60,tables_596106!P:P)</f>
        <v>0.2119636641601314</v>
      </c>
    </row>
    <row r="61" spans="1:8" x14ac:dyDescent="0.15">
      <c r="A61" s="27" t="s">
        <v>92</v>
      </c>
      <c r="B61">
        <f>SUMIF(tables_596106!C:C,input_596106!A61,tables_596106!O:O)</f>
        <v>0</v>
      </c>
      <c r="C61" s="46">
        <f t="shared" ca="1" si="11"/>
        <v>0</v>
      </c>
      <c r="E61" t="s">
        <v>191</v>
      </c>
      <c r="F61" s="47">
        <f ca="1">SUMIF(tables_596106!I:I,input_596106!E61,tables_596106!P:P)</f>
        <v>0.18335600000067015</v>
      </c>
    </row>
    <row r="62" spans="1:8" x14ac:dyDescent="0.15">
      <c r="A62" s="33" t="s">
        <v>42</v>
      </c>
      <c r="B62">
        <f ca="1">SUM(B55:B61)</f>
        <v>1116576.0000000005</v>
      </c>
      <c r="C62" s="47">
        <f ca="1">SUM(C55:C61)</f>
        <v>1</v>
      </c>
      <c r="E62" t="s">
        <v>192</v>
      </c>
      <c r="F62" s="47">
        <f ca="1">SUMIF(tables_596106!I:I,input_596106!E62,tables_596106!P:P)</f>
        <v>0.5346803358389427</v>
      </c>
    </row>
    <row r="63" spans="1:8" x14ac:dyDescent="0.15">
      <c r="E63" t="s">
        <v>193</v>
      </c>
      <c r="F63" s="103">
        <f ca="1">SUMIF(tables_596106!I:I,input_596106!E63,tables_596106!P:P)</f>
        <v>4.2543859649278336E-2</v>
      </c>
      <c r="G63" s="84"/>
    </row>
    <row r="64" spans="1:8" x14ac:dyDescent="0.15">
      <c r="E64" t="s">
        <v>253</v>
      </c>
      <c r="F64" s="103">
        <f ca="1">SUMIF(tables_596106!I:I,input_596106!E64,tables_596106!P:P)</f>
        <v>7.4561403509044452E-3</v>
      </c>
    </row>
    <row r="65" spans="5:6" x14ac:dyDescent="0.15">
      <c r="E65" t="s">
        <v>255</v>
      </c>
      <c r="F65" s="103">
        <f ca="1">SUMIF(tables_596106!I:I,input_596106!E65,tables_596106!P:P)</f>
        <v>2.0000000000073102E-2</v>
      </c>
    </row>
  </sheetData>
  <phoneticPr fontId="13"/>
  <pageMargins left="0.7" right="0.7" top="0.75" bottom="0.75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1"/>
  <sheetViews>
    <sheetView showGridLines="0" zoomScaleNormal="70" zoomScalePageLayoutView="70" workbookViewId="0">
      <pane ySplit="1" topLeftCell="A327" activePane="bottomLeft" state="frozen"/>
      <selection activeCell="B13" sqref="B13"/>
      <selection pane="bottomLeft" activeCell="G1" sqref="G1:G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input_596106!A$2</f>
        <v>596106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IFERROR(VLOOKUP(B2,input_596106!L:R,7,FALSE),VLOOKUP(tables_596106!C2,input_596106!A:H,8,FALSE))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input_596106!A$2</f>
        <v>596106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IFERROR(VLOOKUP(B3,input_596106!L:R,7,FALSE),VLOOKUP(tables_596106!C3,input_596106!A:H,8,FALSE))</f>
        <v>31190.400000000001</v>
      </c>
      <c r="P3" s="40">
        <f t="shared" ca="1" si="1"/>
        <v>5.7000000000208334E-3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input_596106!A$2</f>
        <v>596106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IFERROR(VLOOKUP(B4,input_596106!L:R,7,FALSE),VLOOKUP(tables_596106!C4,input_596106!A:H,8,FALSE))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input_596106!A$2</f>
        <v>596106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IFERROR(VLOOKUP(B5,input_596106!L:R,7,FALSE),VLOOKUP(tables_596106!C5,input_596106!A:H,8,FALSE))</f>
        <v>31190.400000000001</v>
      </c>
      <c r="P5" s="40">
        <f t="shared" ca="1" si="1"/>
        <v>5.7000000000208334E-3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input_596106!A$2</f>
        <v>596106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IFERROR(VLOOKUP(B6,input_596106!L:R,7,FALSE),VLOOKUP(tables_596106!C6,input_596106!A:H,8,FALSE))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input_596106!A$2</f>
        <v>596106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IFERROR(VLOOKUP(B7,input_596106!L:R,7,FALSE),VLOOKUP(tables_596106!C7,input_596106!A:H,8,FALSE))</f>
        <v>135381.65760000001</v>
      </c>
      <c r="P7" s="40">
        <f t="shared" ca="1" si="1"/>
        <v>2.4740800000090428E-2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input_596106!A$2</f>
        <v>596106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IFERROR(VLOOKUP(B8,input_596106!L:R,7,FALSE),VLOOKUP(tables_596106!C8,input_596106!A:H,8,FALSE))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input_596106!A$2</f>
        <v>596106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IFERROR(VLOOKUP(B9,input_596106!L:R,7,FALSE),VLOOKUP(tables_596106!C9,input_596106!A:H,8,FALSE))</f>
        <v>31190.400000000001</v>
      </c>
      <c r="P9" s="40">
        <f t="shared" ca="1" si="1"/>
        <v>5.7000000000208334E-3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input_596106!A$2</f>
        <v>596106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IFERROR(VLOOKUP(B10,input_596106!L:R,7,FALSE),VLOOKUP(tables_596106!C10,input_596106!A:H,8,FALSE))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input_596106!A$2</f>
        <v>596106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IFERROR(VLOOKUP(B11,input_596106!L:R,7,FALSE),VLOOKUP(tables_596106!C11,input_596106!A:H,8,FALSE))</f>
        <v>31190.400000000001</v>
      </c>
      <c r="P11" s="40">
        <f t="shared" ca="1" si="1"/>
        <v>5.7000000000208334E-3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input_596106!A$2</f>
        <v>596106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IFERROR(VLOOKUP(B12,input_596106!L:R,7,FALSE),VLOOKUP(tables_596106!C12,input_596106!A:H,8,FALSE))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input_596106!A$2</f>
        <v>596106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IFERROR(VLOOKUP(B13,input_596106!L:R,7,FALSE),VLOOKUP(tables_596106!C13,input_596106!A:H,8,FALSE))</f>
        <v>31190.400000000001</v>
      </c>
      <c r="P13" s="40">
        <f t="shared" ca="1" si="1"/>
        <v>5.7000000000208334E-3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input_596106!A$2</f>
        <v>596106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IFERROR(VLOOKUP(B14,input_596106!L:R,7,FALSE),VLOOKUP(tables_596106!C14,input_596106!A:H,8,FALSE))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input_596106!A$2</f>
        <v>596106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IFERROR(VLOOKUP(B15,input_596106!L:R,7,FALSE),VLOOKUP(tables_596106!C15,input_596106!A:H,8,FALSE))</f>
        <v>135381.65760000001</v>
      </c>
      <c r="P15" s="40">
        <f t="shared" ca="1" si="1"/>
        <v>2.4740800000090428E-2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input_596106!A$2</f>
        <v>596106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IFERROR(VLOOKUP(B16,input_596106!L:R,7,FALSE),VLOOKUP(tables_596106!C16,input_596106!A:H,8,FALSE))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input_596106!A$2</f>
        <v>596106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IFERROR(VLOOKUP(B17,input_596106!L:R,7,FALSE),VLOOKUP(tables_596106!C17,input_596106!A:H,8,FALSE))</f>
        <v>31190.400000000001</v>
      </c>
      <c r="P17" s="40">
        <f t="shared" ca="1" si="1"/>
        <v>5.7000000000208334E-3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input_596106!A$2</f>
        <v>596106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IFERROR(VLOOKUP(B18,input_596106!L:R,7,FALSE),VLOOKUP(tables_596106!C18,input_596106!A:H,8,FALSE))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input_596106!A$2</f>
        <v>596106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IFERROR(VLOOKUP(B19,input_596106!L:R,7,FALSE),VLOOKUP(tables_596106!C19,input_596106!A:H,8,FALSE))</f>
        <v>31190.400000000001</v>
      </c>
      <c r="P19" s="40">
        <f t="shared" ca="1" si="1"/>
        <v>5.7000000000208334E-3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input_596106!A$2</f>
        <v>596106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IFERROR(VLOOKUP(B20,input_596106!L:R,7,FALSE),VLOOKUP(tables_596106!C20,input_596106!A:H,8,FALSE))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input_596106!A$2</f>
        <v>596106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IFERROR(VLOOKUP(B21,input_596106!L:R,7,FALSE),VLOOKUP(tables_596106!C21,input_596106!A:H,8,FALSE))</f>
        <v>31190.400000000001</v>
      </c>
      <c r="P21" s="40">
        <f t="shared" ca="1" si="1"/>
        <v>5.7000000000208334E-3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input_596106!A$2</f>
        <v>596106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IFERROR(VLOOKUP(B22,input_596106!L:R,7,FALSE),VLOOKUP(tables_596106!C22,input_596106!A:H,8,FALSE))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input_596106!A$2</f>
        <v>596106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IFERROR(VLOOKUP(B23,input_596106!L:R,7,FALSE),VLOOKUP(tables_596106!C23,input_596106!A:H,8,FALSE))</f>
        <v>135381.65760000001</v>
      </c>
      <c r="P23" s="40">
        <f t="shared" ca="1" si="1"/>
        <v>2.4740800000090428E-2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input_596106!A$2</f>
        <v>596106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IFERROR(VLOOKUP(B24,input_596106!L:R,7,FALSE),VLOOKUP(tables_596106!C24,input_596106!A:H,8,FALSE))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input_596106!A$2</f>
        <v>596106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IFERROR(VLOOKUP(B25,input_596106!L:R,7,FALSE),VLOOKUP(tables_596106!C25,input_596106!A:H,8,FALSE))</f>
        <v>31190.400000000001</v>
      </c>
      <c r="P25" s="40">
        <f t="shared" ca="1" si="1"/>
        <v>5.7000000000208334E-3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input_596106!A$2</f>
        <v>596106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IFERROR(VLOOKUP(B26,input_596106!L:R,7,FALSE),VLOOKUP(tables_596106!C26,input_596106!A:H,8,FALSE))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input_596106!A$2</f>
        <v>596106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IFERROR(VLOOKUP(B27,input_596106!L:R,7,FALSE),VLOOKUP(tables_596106!C27,input_596106!A:H,8,FALSE))</f>
        <v>31190.400000000001</v>
      </c>
      <c r="P27" s="40">
        <f t="shared" ca="1" si="1"/>
        <v>5.7000000000208334E-3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input_596106!A$2</f>
        <v>596106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IFERROR(VLOOKUP(B28,input_596106!L:R,7,FALSE),VLOOKUP(tables_596106!C28,input_596106!A:H,8,FALSE))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input_596106!A$2</f>
        <v>596106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IFERROR(VLOOKUP(B29,input_596106!L:R,7,FALSE),VLOOKUP(tables_596106!C29,input_596106!A:H,8,FALSE))</f>
        <v>31190.400000000001</v>
      </c>
      <c r="P29" s="40">
        <f t="shared" ca="1" si="1"/>
        <v>5.7000000000208334E-3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input_596106!A$2</f>
        <v>596106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IFERROR(VLOOKUP(B30,input_596106!L:R,7,FALSE),VLOOKUP(tables_596106!C30,input_596106!A:H,8,FALSE))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input_596106!A$2</f>
        <v>596106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IFERROR(VLOOKUP(B31,input_596106!L:R,7,FALSE),VLOOKUP(tables_596106!C31,input_596106!A:H,8,FALSE))</f>
        <v>135381.65760000001</v>
      </c>
      <c r="P31" s="40">
        <f t="shared" ca="1" si="1"/>
        <v>2.4740800000090428E-2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input_596106!A$2</f>
        <v>596106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IFERROR(VLOOKUP(B32,input_596106!L:R,7,FALSE),VLOOKUP(tables_596106!C32,input_596106!A:H,8,FALSE))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input_596106!A$2</f>
        <v>596106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IFERROR(VLOOKUP(B33,input_596106!L:R,7,FALSE),VLOOKUP(tables_596106!C33,input_596106!A:H,8,FALSE))</f>
        <v>31190.400000000001</v>
      </c>
      <c r="P33" s="40">
        <f t="shared" ca="1" si="1"/>
        <v>5.7000000000208334E-3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input_596106!A$2</f>
        <v>596106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IFERROR(VLOOKUP(B34,input_596106!L:R,7,FALSE),VLOOKUP(tables_596106!C34,input_596106!A:H,8,FALSE))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input_596106!A$2</f>
        <v>596106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IFERROR(VLOOKUP(B35,input_596106!L:R,7,FALSE),VLOOKUP(tables_596106!C35,input_596106!A:H,8,FALSE))</f>
        <v>31190.400000000001</v>
      </c>
      <c r="P35" s="40">
        <f t="shared" ca="1" si="1"/>
        <v>5.7000000000208334E-3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input_596106!A$2</f>
        <v>596106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IFERROR(VLOOKUP(B36,input_596106!L:R,7,FALSE),VLOOKUP(tables_596106!C36,input_596106!A:H,8,FALSE))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input_596106!A$2</f>
        <v>596106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IFERROR(VLOOKUP(B37,input_596106!L:R,7,FALSE),VLOOKUP(tables_596106!C37,input_596106!A:H,8,FALSE))</f>
        <v>31190.400000000001</v>
      </c>
      <c r="P37" s="40">
        <f t="shared" ca="1" si="1"/>
        <v>5.7000000000208334E-3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input_596106!A$2</f>
        <v>596106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IFERROR(VLOOKUP(B38,input_596106!L:R,7,FALSE),VLOOKUP(tables_596106!C38,input_596106!A:H,8,FALSE))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input_596106!A$2</f>
        <v>596106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IFERROR(VLOOKUP(B39,input_596106!L:R,7,FALSE),VLOOKUP(tables_596106!C39,input_596106!A:H,8,FALSE))</f>
        <v>135381.65760000001</v>
      </c>
      <c r="P39" s="40">
        <f t="shared" ca="1" si="1"/>
        <v>2.4740800000090428E-2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input_596106!A$2</f>
        <v>596106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IFERROR(VLOOKUP(B40,input_596106!L:R,7,FALSE),VLOOKUP(tables_596106!C40,input_596106!A:H,8,FALSE))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input_596106!A$2</f>
        <v>596106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IFERROR(VLOOKUP(B41,input_596106!L:R,7,FALSE),VLOOKUP(tables_596106!C41,input_596106!A:H,8,FALSE))</f>
        <v>31190.400000000001</v>
      </c>
      <c r="P41" s="40">
        <f t="shared" ca="1" si="1"/>
        <v>5.7000000000208334E-3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input_596106!A$2</f>
        <v>596106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IFERROR(VLOOKUP(B42,input_596106!L:R,7,FALSE),VLOOKUP(tables_596106!C42,input_596106!A:H,8,FALSE))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input_596106!A$2</f>
        <v>596106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IFERROR(VLOOKUP(B43,input_596106!L:R,7,FALSE),VLOOKUP(tables_596106!C43,input_596106!A:H,8,FALSE))</f>
        <v>25444.799999999999</v>
      </c>
      <c r="P43" s="40">
        <f t="shared" ca="1" si="1"/>
        <v>4.6500000000169956E-3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input_596106!A$2</f>
        <v>596106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IFERROR(VLOOKUP(B44,input_596106!L:R,7,FALSE),VLOOKUP(tables_596106!C44,input_596106!A:H,8,FALSE))</f>
        <v>2827.2</v>
      </c>
      <c r="P44" s="40">
        <f t="shared" ca="1" si="1"/>
        <v>5.1666666666855504E-4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input_596106!A$2</f>
        <v>596106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IFERROR(VLOOKUP(B45,input_596106!L:R,7,FALSE),VLOOKUP(tables_596106!C45,input_596106!A:H,8,FALSE))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input_596106!A$2</f>
        <v>596106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IFERROR(VLOOKUP(B46,input_596106!L:R,7,FALSE),VLOOKUP(tables_596106!C46,input_596106!A:H,8,FALSE))</f>
        <v>25444.799999999999</v>
      </c>
      <c r="P46" s="40">
        <f t="shared" ca="1" si="1"/>
        <v>4.6500000000169956E-3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input_596106!A$2</f>
        <v>596106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IFERROR(VLOOKUP(B47,input_596106!L:R,7,FALSE),VLOOKUP(tables_596106!C47,input_596106!A:H,8,FALSE))</f>
        <v>2827.2</v>
      </c>
      <c r="P47" s="40">
        <f t="shared" ca="1" si="1"/>
        <v>5.1666666666855504E-4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input_596106!A$2</f>
        <v>596106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IFERROR(VLOOKUP(B48,input_596106!L:R,7,FALSE),VLOOKUP(tables_596106!C48,input_596106!A:H,8,FALSE))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input_596106!A$2</f>
        <v>596106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IFERROR(VLOOKUP(B49,input_596106!L:R,7,FALSE),VLOOKUP(tables_596106!C49,input_596106!A:H,8,FALSE))</f>
        <v>109921.53599999999</v>
      </c>
      <c r="P49" s="40">
        <f t="shared" ca="1" si="1"/>
        <v>2.0088000000073419E-2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input_596106!A$2</f>
        <v>596106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IFERROR(VLOOKUP(B50,input_596106!L:R,7,FALSE),VLOOKUP(tables_596106!C50,input_596106!A:H,8,FALSE))</f>
        <v>12213.504000000001</v>
      </c>
      <c r="P50" s="40">
        <f t="shared" ca="1" si="1"/>
        <v>2.232000000008158E-3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input_596106!A$2</f>
        <v>596106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IFERROR(VLOOKUP(B51,input_596106!L:R,7,FALSE),VLOOKUP(tables_596106!C51,input_596106!A:H,8,FALSE))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input_596106!A$2</f>
        <v>596106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IFERROR(VLOOKUP(B52,input_596106!L:R,7,FALSE),VLOOKUP(tables_596106!C52,input_596106!A:H,8,FALSE))</f>
        <v>25444.799999999999</v>
      </c>
      <c r="P52" s="40">
        <f t="shared" ca="1" si="1"/>
        <v>4.6500000000169956E-3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input_596106!A$2</f>
        <v>596106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IFERROR(VLOOKUP(B53,input_596106!L:R,7,FALSE),VLOOKUP(tables_596106!C53,input_596106!A:H,8,FALSE))</f>
        <v>2827.2</v>
      </c>
      <c r="P53" s="40">
        <f t="shared" ca="1" si="1"/>
        <v>5.1666666666855504E-4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input_596106!A$2</f>
        <v>596106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IFERROR(VLOOKUP(B54,input_596106!L:R,7,FALSE),VLOOKUP(tables_596106!C54,input_596106!A:H,8,FALSE))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input_596106!A$2</f>
        <v>596106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IFERROR(VLOOKUP(B55,input_596106!L:R,7,FALSE),VLOOKUP(tables_596106!C55,input_596106!A:H,8,FALSE))</f>
        <v>25444.799999999999</v>
      </c>
      <c r="P55" s="40">
        <f t="shared" ca="1" si="1"/>
        <v>4.6500000000169956E-3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input_596106!A$2</f>
        <v>596106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IFERROR(VLOOKUP(B56,input_596106!L:R,7,FALSE),VLOOKUP(tables_596106!C56,input_596106!A:H,8,FALSE))</f>
        <v>2827.2</v>
      </c>
      <c r="P56" s="40">
        <f t="shared" ca="1" si="1"/>
        <v>5.1666666666855504E-4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input_596106!A$2</f>
        <v>596106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IFERROR(VLOOKUP(B57,input_596106!L:R,7,FALSE),VLOOKUP(tables_596106!C57,input_596106!A:H,8,FALSE))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input_596106!A$2</f>
        <v>596106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IFERROR(VLOOKUP(B58,input_596106!L:R,7,FALSE),VLOOKUP(tables_596106!C58,input_596106!A:H,8,FALSE))</f>
        <v>25444.799999999999</v>
      </c>
      <c r="P58" s="40">
        <f t="shared" ca="1" si="1"/>
        <v>4.6500000000169956E-3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input_596106!A$2</f>
        <v>596106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IFERROR(VLOOKUP(B59,input_596106!L:R,7,FALSE),VLOOKUP(tables_596106!C59,input_596106!A:H,8,FALSE))</f>
        <v>2827.2</v>
      </c>
      <c r="P59" s="40">
        <f t="shared" ca="1" si="1"/>
        <v>5.1666666666855504E-4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input_596106!A$2</f>
        <v>596106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IFERROR(VLOOKUP(B60,input_596106!L:R,7,FALSE),VLOOKUP(tables_596106!C60,input_596106!A:H,8,FALSE))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input_596106!A$2</f>
        <v>596106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IFERROR(VLOOKUP(B61,input_596106!L:R,7,FALSE),VLOOKUP(tables_596106!C61,input_596106!A:H,8,FALSE))</f>
        <v>109921.53599999999</v>
      </c>
      <c r="P61" s="40">
        <f t="shared" ca="1" si="1"/>
        <v>2.0088000000073419E-2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input_596106!A$2</f>
        <v>596106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IFERROR(VLOOKUP(B62,input_596106!L:R,7,FALSE),VLOOKUP(tables_596106!C62,input_596106!A:H,8,FALSE))</f>
        <v>4355.7120000000004</v>
      </c>
      <c r="P62" s="40">
        <f t="shared" ca="1" si="1"/>
        <v>7.9600000000290951E-4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input_596106!A$2</f>
        <v>596106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IFERROR(VLOOKUP(B63,input_596106!L:R,7,FALSE),VLOOKUP(tables_596106!C63,input_596106!A:H,8,FALSE))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input_596106!A$2</f>
        <v>596106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IFERROR(VLOOKUP(B64,input_596106!L:R,7,FALSE),VLOOKUP(tables_596106!C64,input_596106!A:H,8,FALSE))</f>
        <v>25444.799999999999</v>
      </c>
      <c r="P64" s="40">
        <f t="shared" ca="1" si="1"/>
        <v>4.6500000000169956E-3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input_596106!A$2</f>
        <v>596106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IFERROR(VLOOKUP(B65,input_596106!L:R,7,FALSE),VLOOKUP(tables_596106!C65,input_596106!A:H,8,FALSE))</f>
        <v>2827.2</v>
      </c>
      <c r="P65" s="40">
        <f t="shared" ca="1" si="1"/>
        <v>5.1666666666855504E-4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input_596106!A$2</f>
        <v>596106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IFERROR(VLOOKUP(B66,input_596106!L:R,7,FALSE),VLOOKUP(tables_596106!C66,input_596106!A:H,8,FALSE))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input_596106!A$2</f>
        <v>596106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IFERROR(VLOOKUP(B67,input_596106!L:R,7,FALSE),VLOOKUP(tables_596106!C67,input_596106!A:H,8,FALSE))</f>
        <v>25444.799999999999</v>
      </c>
      <c r="P67" s="40">
        <f t="shared" ca="1" si="4"/>
        <v>4.6500000000169956E-3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input_596106!A$2</f>
        <v>596106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IFERROR(VLOOKUP(B68,input_596106!L:R,7,FALSE),VLOOKUP(tables_596106!C68,input_596106!A:H,8,FALSE))</f>
        <v>2827.2</v>
      </c>
      <c r="P68" s="40">
        <f t="shared" ca="1" si="4"/>
        <v>5.1666666666855504E-4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input_596106!A$2</f>
        <v>596106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IFERROR(VLOOKUP(B69,input_596106!L:R,7,FALSE),VLOOKUP(tables_596106!C69,input_596106!A:H,8,FALSE))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input_596106!A$2</f>
        <v>596106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IFERROR(VLOOKUP(B70,input_596106!L:R,7,FALSE),VLOOKUP(tables_596106!C70,input_596106!A:H,8,FALSE))</f>
        <v>25444.799999999999</v>
      </c>
      <c r="P70" s="40">
        <f t="shared" ca="1" si="4"/>
        <v>4.6500000000169956E-3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input_596106!A$2</f>
        <v>596106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IFERROR(VLOOKUP(B71,input_596106!L:R,7,FALSE),VLOOKUP(tables_596106!C71,input_596106!A:H,8,FALSE))</f>
        <v>2827.2</v>
      </c>
      <c r="P71" s="40">
        <f t="shared" ca="1" si="4"/>
        <v>5.1666666666855504E-4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input_596106!A$2</f>
        <v>596106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IFERROR(VLOOKUP(B72,input_596106!L:R,7,FALSE),VLOOKUP(tables_596106!C72,input_596106!A:H,8,FALSE))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input_596106!A$2</f>
        <v>596106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IFERROR(VLOOKUP(B73,input_596106!L:R,7,FALSE),VLOOKUP(tables_596106!C73,input_596106!A:H,8,FALSE))</f>
        <v>25444.799999999999</v>
      </c>
      <c r="P73" s="40">
        <f t="shared" ca="1" si="4"/>
        <v>4.6500000000169956E-3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input_596106!A$2</f>
        <v>596106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IFERROR(VLOOKUP(B74,input_596106!L:R,7,FALSE),VLOOKUP(tables_596106!C74,input_596106!A:H,8,FALSE))</f>
        <v>2827.2</v>
      </c>
      <c r="P74" s="40">
        <f t="shared" ca="1" si="4"/>
        <v>5.1666666666855504E-4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input_596106!A$2</f>
        <v>596106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IFERROR(VLOOKUP(B75,input_596106!L:R,7,FALSE),VLOOKUP(tables_596106!C75,input_596106!A:H,8,FALSE))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input_596106!A$2</f>
        <v>596106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IFERROR(VLOOKUP(B76,input_596106!L:R,7,FALSE),VLOOKUP(tables_596106!C76,input_596106!A:H,8,FALSE))</f>
        <v>109921.53599999999</v>
      </c>
      <c r="P76" s="40">
        <f t="shared" ca="1" si="4"/>
        <v>2.0088000000073419E-2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input_596106!A$2</f>
        <v>596106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IFERROR(VLOOKUP(B77,input_596106!L:R,7,FALSE),VLOOKUP(tables_596106!C77,input_596106!A:H,8,FALSE))</f>
        <v>4355.7120000000004</v>
      </c>
      <c r="P77" s="40">
        <f t="shared" ca="1" si="4"/>
        <v>7.9600000000290951E-4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input_596106!A$2</f>
        <v>596106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IFERROR(VLOOKUP(B78,input_596106!L:R,7,FALSE),VLOOKUP(tables_596106!C78,input_596106!A:H,8,FALSE))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input_596106!A$2</f>
        <v>596106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IFERROR(VLOOKUP(B79,input_596106!L:R,7,FALSE),VLOOKUP(tables_596106!C79,input_596106!A:H,8,FALSE))</f>
        <v>25444.799999999999</v>
      </c>
      <c r="P79" s="40">
        <f t="shared" ca="1" si="4"/>
        <v>4.6500000000169956E-3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input_596106!A$2</f>
        <v>596106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IFERROR(VLOOKUP(B80,input_596106!L:R,7,FALSE),VLOOKUP(tables_596106!C80,input_596106!A:H,8,FALSE))</f>
        <v>2827.2</v>
      </c>
      <c r="P80" s="40">
        <f t="shared" ca="1" si="4"/>
        <v>5.1666666666855504E-4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input_596106!A$2</f>
        <v>596106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IFERROR(VLOOKUP(B81,input_596106!L:R,7,FALSE),VLOOKUP(tables_596106!C81,input_596106!A:H,8,FALSE))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input_596106!A$2</f>
        <v>596106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IFERROR(VLOOKUP(B82,input_596106!L:R,7,FALSE),VLOOKUP(tables_596106!C82,input_596106!A:H,8,FALSE))</f>
        <v>25444.799999999999</v>
      </c>
      <c r="P82" s="40">
        <f t="shared" ca="1" si="4"/>
        <v>4.6500000000169956E-3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input_596106!A$2</f>
        <v>596106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IFERROR(VLOOKUP(B83,input_596106!L:R,7,FALSE),VLOOKUP(tables_596106!C83,input_596106!A:H,8,FALSE))</f>
        <v>2827.2</v>
      </c>
      <c r="P83" s="40">
        <f t="shared" ca="1" si="4"/>
        <v>5.1666666666855504E-4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input_596106!A$2</f>
        <v>596106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IFERROR(VLOOKUP(B84,input_596106!L:R,7,FALSE),VLOOKUP(tables_596106!C84,input_596106!A:H,8,FALSE))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input_596106!A$2</f>
        <v>596106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IFERROR(VLOOKUP(B85,input_596106!L:R,7,FALSE),VLOOKUP(tables_596106!C85,input_596106!A:H,8,FALSE))</f>
        <v>109921.53599999999</v>
      </c>
      <c r="P85" s="40">
        <f t="shared" ca="1" si="4"/>
        <v>2.0088000000073419E-2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input_596106!A$2</f>
        <v>596106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IFERROR(VLOOKUP(B86,input_596106!L:R,7,FALSE),VLOOKUP(tables_596106!C86,input_596106!A:H,8,FALSE))</f>
        <v>4355.7120000000004</v>
      </c>
      <c r="P86" s="40">
        <f t="shared" ca="1" si="4"/>
        <v>7.9600000000290951E-4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input_596106!A$2</f>
        <v>596106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IFERROR(VLOOKUP(B87,input_596106!L:R,7,FALSE),VLOOKUP(tables_596106!C87,input_596106!A:H,8,FALSE))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input_596106!A$2</f>
        <v>596106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IFERROR(VLOOKUP(B88,input_596106!L:R,7,FALSE),VLOOKUP(tables_596106!C88,input_596106!A:H,8,FALSE))</f>
        <v>25444.799999999999</v>
      </c>
      <c r="P88" s="40">
        <f t="shared" ca="1" si="4"/>
        <v>4.6500000000169956E-3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input_596106!A$2</f>
        <v>596106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IFERROR(VLOOKUP(B89,input_596106!L:R,7,FALSE),VLOOKUP(tables_596106!C89,input_596106!A:H,8,FALSE))</f>
        <v>2827.2</v>
      </c>
      <c r="P89" s="40">
        <f t="shared" ca="1" si="4"/>
        <v>5.1666666666855504E-4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input_596106!A$2</f>
        <v>596106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IFERROR(VLOOKUP(B90,input_596106!L:R,7,FALSE),VLOOKUP(tables_596106!C90,input_596106!A:H,8,FALSE))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input_596106!A$2</f>
        <v>596106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IFERROR(VLOOKUP(B91,input_596106!L:R,7,FALSE),VLOOKUP(tables_596106!C91,input_596106!A:H,8,FALSE))</f>
        <v>25444.799999999999</v>
      </c>
      <c r="P91" s="40">
        <f t="shared" ca="1" si="4"/>
        <v>4.6500000000169956E-3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input_596106!A$2</f>
        <v>596106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IFERROR(VLOOKUP(B92,input_596106!L:R,7,FALSE),VLOOKUP(tables_596106!C92,input_596106!A:H,8,FALSE))</f>
        <v>2827.2</v>
      </c>
      <c r="P92" s="40">
        <f t="shared" ca="1" si="4"/>
        <v>5.1666666666855504E-4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input_596106!A$2</f>
        <v>596106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IFERROR(VLOOKUP(B93,input_596106!L:R,7,FALSE),VLOOKUP(tables_596106!C93,input_596106!A:H,8,FALSE))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input_596106!A$2</f>
        <v>596106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IFERROR(VLOOKUP(B94,input_596106!L:R,7,FALSE),VLOOKUP(tables_596106!C94,input_596106!A:H,8,FALSE))</f>
        <v>25444.799999999999</v>
      </c>
      <c r="P94" s="40">
        <f t="shared" ca="1" si="4"/>
        <v>4.6500000000169956E-3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input_596106!A$2</f>
        <v>596106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IFERROR(VLOOKUP(B95,input_596106!L:R,7,FALSE),VLOOKUP(tables_596106!C95,input_596106!A:H,8,FALSE))</f>
        <v>2827.2</v>
      </c>
      <c r="P95" s="40">
        <f t="shared" ca="1" si="4"/>
        <v>5.1666666666855504E-4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input_596106!A$2</f>
        <v>596106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IFERROR(VLOOKUP(B96,input_596106!L:R,7,FALSE),VLOOKUP(tables_596106!C96,input_596106!A:H,8,FALSE))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input_596106!A$2</f>
        <v>596106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IFERROR(VLOOKUP(B97,input_596106!L:R,7,FALSE),VLOOKUP(tables_596106!C97,input_596106!A:H,8,FALSE))</f>
        <v>109921.53599999999</v>
      </c>
      <c r="P97" s="40">
        <f t="shared" ca="1" si="4"/>
        <v>2.0088000000073419E-2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input_596106!A$2</f>
        <v>596106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IFERROR(VLOOKUP(B98,input_596106!L:R,7,FALSE),VLOOKUP(tables_596106!C98,input_596106!A:H,8,FALSE))</f>
        <v>4355.7120000000004</v>
      </c>
      <c r="P98" s="40">
        <f t="shared" ca="1" si="4"/>
        <v>7.9600000000290951E-4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input_596106!A$2</f>
        <v>596106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IFERROR(VLOOKUP(B99,input_596106!L:R,7,FALSE),VLOOKUP(tables_596106!C99,input_596106!A:H,8,FALSE))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input_596106!A$2</f>
        <v>596106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IFERROR(VLOOKUP(B100,input_596106!L:R,7,FALSE),VLOOKUP(tables_596106!C100,input_596106!A:H,8,FALSE))</f>
        <v>25444.799999999999</v>
      </c>
      <c r="P100" s="40">
        <f t="shared" ca="1" si="4"/>
        <v>4.6500000000169956E-3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input_596106!A$2</f>
        <v>596106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IFERROR(VLOOKUP(B101,input_596106!L:R,7,FALSE),VLOOKUP(tables_596106!C101,input_596106!A:H,8,FALSE))</f>
        <v>2827.2</v>
      </c>
      <c r="P101" s="40">
        <f t="shared" ca="1" si="4"/>
        <v>5.1666666666855504E-4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input_596106!A$2</f>
        <v>596106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IFERROR(VLOOKUP(B102,input_596106!L:R,7,FALSE),VLOOKUP(tables_596106!C102,input_596106!A:H,8,FALSE))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input_596106!A$2</f>
        <v>596106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IFERROR(VLOOKUP(B103,input_596106!L:R,7,FALSE),VLOOKUP(tables_596106!C103,input_596106!A:H,8,FALSE))</f>
        <v>25444.799999999999</v>
      </c>
      <c r="P103" s="40">
        <f t="shared" ca="1" si="4"/>
        <v>4.6500000000169956E-3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input_596106!A$2</f>
        <v>596106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IFERROR(VLOOKUP(B104,input_596106!L:R,7,FALSE),VLOOKUP(tables_596106!C104,input_596106!A:H,8,FALSE))</f>
        <v>2827.2</v>
      </c>
      <c r="P104" s="40">
        <f t="shared" ca="1" si="4"/>
        <v>5.1666666666855504E-4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input_596106!A$2</f>
        <v>596106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IFERROR(VLOOKUP(B105,input_596106!L:R,7,FALSE),VLOOKUP(tables_596106!C105,input_596106!A:H,8,FALSE))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input_596106!A$2</f>
        <v>596106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IFERROR(VLOOKUP(B106,input_596106!L:R,7,FALSE),VLOOKUP(tables_596106!C106,input_596106!A:H,8,FALSE))</f>
        <v>25444.799999999999</v>
      </c>
      <c r="P106" s="40">
        <f t="shared" ca="1" si="4"/>
        <v>4.6500000000169956E-3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input_596106!A$2</f>
        <v>596106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IFERROR(VLOOKUP(B107,input_596106!L:R,7,FALSE),VLOOKUP(tables_596106!C107,input_596106!A:H,8,FALSE))</f>
        <v>2827.2</v>
      </c>
      <c r="P107" s="40">
        <f t="shared" ca="1" si="4"/>
        <v>5.1666666666855504E-4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input_596106!A$2</f>
        <v>596106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IFERROR(VLOOKUP(B108,input_596106!L:R,7,FALSE),VLOOKUP(tables_596106!C108,input_596106!A:H,8,FALSE))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input_596106!A$2</f>
        <v>596106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IFERROR(VLOOKUP(B109,input_596106!L:R,7,FALSE),VLOOKUP(tables_596106!C109,input_596106!A:H,8,FALSE))</f>
        <v>109921.53599999999</v>
      </c>
      <c r="P109" s="40">
        <f t="shared" ca="1" si="4"/>
        <v>2.0088000000073419E-2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input_596106!A$2</f>
        <v>596106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IFERROR(VLOOKUP(B110,input_596106!L:R,7,FALSE),VLOOKUP(tables_596106!C110,input_596106!A:H,8,FALSE))</f>
        <v>4355.7120000000004</v>
      </c>
      <c r="P110" s="40">
        <f t="shared" ca="1" si="4"/>
        <v>7.9600000000290951E-4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input_596106!A$2</f>
        <v>596106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IFERROR(VLOOKUP(B111,input_596106!L:R,7,FALSE),VLOOKUP(tables_596106!C111,input_596106!A:H,8,FALSE))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input_596106!A$2</f>
        <v>596106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IFERROR(VLOOKUP(B112,input_596106!L:R,7,FALSE),VLOOKUP(tables_596106!C112,input_596106!A:H,8,FALSE))</f>
        <v>25444.799999999999</v>
      </c>
      <c r="P112" s="40">
        <f t="shared" ca="1" si="4"/>
        <v>4.6500000000169956E-3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input_596106!A$2</f>
        <v>596106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IFERROR(VLOOKUP(B113,input_596106!L:R,7,FALSE),VLOOKUP(tables_596106!C113,input_596106!A:H,8,FALSE))</f>
        <v>2827.2</v>
      </c>
      <c r="P113" s="40">
        <f t="shared" ca="1" si="4"/>
        <v>5.1666666666855504E-4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input_596106!A$2</f>
        <v>596106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IFERROR(VLOOKUP(B114,input_596106!L:R,7,FALSE),VLOOKUP(tables_596106!C114,input_596106!A:H,8,FALSE))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input_596106!A$2</f>
        <v>596106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IFERROR(VLOOKUP(B115,input_596106!L:R,7,FALSE),VLOOKUP(tables_596106!C115,input_596106!A:H,8,FALSE))</f>
        <v>25444.799999999999</v>
      </c>
      <c r="P115" s="40">
        <f t="shared" ca="1" si="4"/>
        <v>4.6500000000169956E-3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input_596106!A$2</f>
        <v>596106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IFERROR(VLOOKUP(B116,input_596106!L:R,7,FALSE),VLOOKUP(tables_596106!C116,input_596106!A:H,8,FALSE))</f>
        <v>2827.2</v>
      </c>
      <c r="P116" s="40">
        <f t="shared" ca="1" si="4"/>
        <v>5.1666666666855504E-4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input_596106!A$2</f>
        <v>596106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IFERROR(VLOOKUP(B117,input_596106!L:R,7,FALSE),VLOOKUP(tables_596106!C117,input_596106!A:H,8,FALSE))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input_596106!A$2</f>
        <v>596106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IFERROR(VLOOKUP(B118,input_596106!L:R,7,FALSE),VLOOKUP(tables_596106!C118,input_596106!A:H,8,FALSE))</f>
        <v>25444.799999999999</v>
      </c>
      <c r="P118" s="40">
        <f t="shared" ca="1" si="4"/>
        <v>4.6500000000169956E-3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input_596106!A$2</f>
        <v>596106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IFERROR(VLOOKUP(B119,input_596106!L:R,7,FALSE),VLOOKUP(tables_596106!C119,input_596106!A:H,8,FALSE))</f>
        <v>2827.2</v>
      </c>
      <c r="P119" s="40">
        <f t="shared" ca="1" si="4"/>
        <v>5.1666666666855504E-4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input_596106!A$2</f>
        <v>596106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IFERROR(VLOOKUP(B120,input_596106!L:R,7,FALSE),VLOOKUP(tables_596106!C120,input_596106!A:H,8,FALSE))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input_596106!A$2</f>
        <v>596106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IFERROR(VLOOKUP(B121,input_596106!L:R,7,FALSE),VLOOKUP(tables_596106!C121,input_596106!A:H,8,FALSE))</f>
        <v>109921.53599999999</v>
      </c>
      <c r="P121" s="40">
        <f t="shared" ca="1" si="4"/>
        <v>2.0088000000073419E-2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input_596106!A$2</f>
        <v>596106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IFERROR(VLOOKUP(B122,input_596106!L:R,7,FALSE),VLOOKUP(tables_596106!C122,input_596106!A:H,8,FALSE))</f>
        <v>4355.7120000000004</v>
      </c>
      <c r="P122" s="40">
        <f t="shared" ca="1" si="4"/>
        <v>7.9600000000290951E-4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input_596106!A$2</f>
        <v>596106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IFERROR(VLOOKUP(B123,input_596106!L:R,7,FALSE),VLOOKUP(tables_596106!C123,input_596106!A:H,8,FALSE))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input_596106!A$2</f>
        <v>596106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IFERROR(VLOOKUP(B124,input_596106!L:R,7,FALSE),VLOOKUP(tables_596106!C124,input_596106!A:H,8,FALSE))</f>
        <v>25444.799999999999</v>
      </c>
      <c r="P124" s="40">
        <f t="shared" ca="1" si="4"/>
        <v>4.6500000000169956E-3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input_596106!A$2</f>
        <v>596106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IFERROR(VLOOKUP(B125,input_596106!L:R,7,FALSE),VLOOKUP(tables_596106!C125,input_596106!A:H,8,FALSE))</f>
        <v>2827.2</v>
      </c>
      <c r="P125" s="40">
        <f t="shared" ca="1" si="4"/>
        <v>5.1666666666855504E-4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input_596106!A$2</f>
        <v>596106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IFERROR(VLOOKUP(B126,input_596106!L:R,7,FALSE),VLOOKUP(tables_596106!C126,input_596106!A:H,8,FALSE))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input_596106!A$2</f>
        <v>596106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IFERROR(VLOOKUP(B127,input_596106!L:R,7,FALSE),VLOOKUP(tables_596106!C127,input_596106!A:H,8,FALSE))</f>
        <v>25444.799999999999</v>
      </c>
      <c r="P127" s="40">
        <f t="shared" ca="1" si="4"/>
        <v>4.6500000000169956E-3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input_596106!A$2</f>
        <v>596106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IFERROR(VLOOKUP(B128,input_596106!L:R,7,FALSE),VLOOKUP(tables_596106!C128,input_596106!A:H,8,FALSE))</f>
        <v>2827.2</v>
      </c>
      <c r="P128" s="40">
        <f t="shared" ca="1" si="4"/>
        <v>5.1666666666855504E-4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input_596106!A$2</f>
        <v>596106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IFERROR(VLOOKUP(B129,input_596106!L:R,7,FALSE),VLOOKUP(tables_596106!C129,input_596106!A:H,8,FALSE))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input_596106!A$2</f>
        <v>596106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IFERROR(VLOOKUP(B130,input_596106!L:R,7,FALSE),VLOOKUP(tables_596106!C130,input_596106!A:H,8,FALSE))</f>
        <v>25444.799999999999</v>
      </c>
      <c r="P130" s="40">
        <f t="shared" ref="P130:P193" ca="1" si="7">O130/SUM(O:O)</f>
        <v>4.6500000000169956E-3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input_596106!A$2</f>
        <v>596106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IFERROR(VLOOKUP(B131,input_596106!L:R,7,FALSE),VLOOKUP(tables_596106!C131,input_596106!A:H,8,FALSE))</f>
        <v>2827.2</v>
      </c>
      <c r="P131" s="40">
        <f t="shared" ca="1" si="7"/>
        <v>5.1666666666855504E-4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input_596106!A$2</f>
        <v>596106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IFERROR(VLOOKUP(B132,input_596106!L:R,7,FALSE),VLOOKUP(tables_596106!C132,input_596106!A:H,8,FALSE))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input_596106!A$2</f>
        <v>596106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IFERROR(VLOOKUP(B133,input_596106!L:R,7,FALSE),VLOOKUP(tables_596106!C133,input_596106!A:H,8,FALSE))</f>
        <v>109921.53599999999</v>
      </c>
      <c r="P133" s="40">
        <f t="shared" ca="1" si="7"/>
        <v>2.0088000000073419E-2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input_596106!A$2</f>
        <v>596106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IFERROR(VLOOKUP(B134,input_596106!L:R,7,FALSE),VLOOKUP(tables_596106!C134,input_596106!A:H,8,FALSE))</f>
        <v>4355.7120000000004</v>
      </c>
      <c r="P134" s="40">
        <f t="shared" ca="1" si="7"/>
        <v>7.9600000000290951E-4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input_596106!A$2</f>
        <v>596106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IFERROR(VLOOKUP(B135,input_596106!L:R,7,FALSE),VLOOKUP(tables_596106!C135,input_596106!A:H,8,FALSE))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input_596106!A$2</f>
        <v>596106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IFERROR(VLOOKUP(B136,input_596106!L:R,7,FALSE),VLOOKUP(tables_596106!C136,input_596106!A:H,8,FALSE))</f>
        <v>25444.799999999999</v>
      </c>
      <c r="P136" s="40">
        <f t="shared" ca="1" si="7"/>
        <v>4.6500000000169956E-3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input_596106!A$2</f>
        <v>596106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IFERROR(VLOOKUP(B137,input_596106!L:R,7,FALSE),VLOOKUP(tables_596106!C137,input_596106!A:H,8,FALSE))</f>
        <v>2827.2</v>
      </c>
      <c r="P137" s="40">
        <f t="shared" ca="1" si="7"/>
        <v>5.1666666666855504E-4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input_596106!A$2</f>
        <v>596106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IFERROR(VLOOKUP(B138,input_596106!L:R,7,FALSE),VLOOKUP(tables_596106!C138,input_596106!A:H,8,FALSE))</f>
        <v>1728</v>
      </c>
      <c r="P138" s="40">
        <f t="shared" ca="1" si="7"/>
        <v>3.1578947368536472E-4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input_596106!A$2</f>
        <v>596106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IFERROR(VLOOKUP(B139,input_596106!L:R,7,FALSE),VLOOKUP(tables_596106!C139,input_596106!A:H,8,FALSE))</f>
        <v>192</v>
      </c>
      <c r="P139" s="40">
        <f t="shared" ca="1" si="7"/>
        <v>3.5087719298373859E-5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input_596106!A$2</f>
        <v>596106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IFERROR(VLOOKUP(B140,input_596106!L:R,7,FALSE),VLOOKUP(tables_596106!C140,input_596106!A:H,8,FALSE))</f>
        <v>1728</v>
      </c>
      <c r="P140" s="40">
        <f t="shared" ca="1" si="7"/>
        <v>3.1578947368536472E-4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input_596106!A$2</f>
        <v>596106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IFERROR(VLOOKUP(B141,input_596106!L:R,7,FALSE),VLOOKUP(tables_596106!C141,input_596106!A:H,8,FALSE))</f>
        <v>192</v>
      </c>
      <c r="P141" s="40">
        <f t="shared" ca="1" si="7"/>
        <v>3.5087719298373859E-5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input_596106!A$2</f>
        <v>596106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IFERROR(VLOOKUP(B142,input_596106!L:R,7,FALSE),VLOOKUP(tables_596106!C142,input_596106!A:H,8,FALSE))</f>
        <v>8208</v>
      </c>
      <c r="P142" s="40">
        <f t="shared" ca="1" si="7"/>
        <v>1.5000000000054824E-3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input_596106!A$2</f>
        <v>596106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IFERROR(VLOOKUP(B143,input_596106!L:R,7,FALSE),VLOOKUP(tables_596106!C143,input_596106!A:H,8,FALSE))</f>
        <v>912</v>
      </c>
      <c r="P143" s="40">
        <f t="shared" ca="1" si="7"/>
        <v>1.6666666666727582E-4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input_596106!A$2</f>
        <v>596106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IFERROR(VLOOKUP(B144,input_596106!L:R,7,FALSE),VLOOKUP(tables_596106!C144,input_596106!A:H,8,FALSE))</f>
        <v>1728</v>
      </c>
      <c r="P144" s="40">
        <f t="shared" ca="1" si="7"/>
        <v>3.1578947368536472E-4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input_596106!A$2</f>
        <v>596106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IFERROR(VLOOKUP(B145,input_596106!L:R,7,FALSE),VLOOKUP(tables_596106!C145,input_596106!A:H,8,FALSE))</f>
        <v>192</v>
      </c>
      <c r="P145" s="40">
        <f t="shared" ca="1" si="7"/>
        <v>3.5087719298373859E-5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input_596106!A$2</f>
        <v>596106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IFERROR(VLOOKUP(B146,input_596106!L:R,7,FALSE),VLOOKUP(tables_596106!C146,input_596106!A:H,8,FALSE))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input_596106!A$2</f>
        <v>596106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IFERROR(VLOOKUP(B147,input_596106!L:R,7,FALSE),VLOOKUP(tables_596106!C147,input_596106!A:H,8,FALSE))</f>
        <v>25444.799999999999</v>
      </c>
      <c r="P147" s="40">
        <f t="shared" ca="1" si="7"/>
        <v>4.6500000000169956E-3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input_596106!A$2</f>
        <v>596106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IFERROR(VLOOKUP(B148,input_596106!L:R,7,FALSE),VLOOKUP(tables_596106!C148,input_596106!A:H,8,FALSE))</f>
        <v>2827.2</v>
      </c>
      <c r="P148" s="40">
        <f t="shared" ca="1" si="7"/>
        <v>5.1666666666855504E-4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input_596106!A$2</f>
        <v>596106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IFERROR(VLOOKUP(B149,input_596106!L:R,7,FALSE),VLOOKUP(tables_596106!C149,input_596106!A:H,8,FALSE))</f>
        <v>1728</v>
      </c>
      <c r="P149" s="40">
        <f t="shared" ca="1" si="7"/>
        <v>3.1578947368536472E-4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input_596106!A$2</f>
        <v>596106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IFERROR(VLOOKUP(B150,input_596106!L:R,7,FALSE),VLOOKUP(tables_596106!C150,input_596106!A:H,8,FALSE))</f>
        <v>192</v>
      </c>
      <c r="P150" s="40">
        <f t="shared" ca="1" si="7"/>
        <v>3.5087719298373859E-5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input_596106!A$2</f>
        <v>596106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IFERROR(VLOOKUP(B151,input_596106!L:R,7,FALSE),VLOOKUP(tables_596106!C151,input_596106!A:H,8,FALSE))</f>
        <v>8208</v>
      </c>
      <c r="P151" s="40">
        <f t="shared" ca="1" si="7"/>
        <v>1.5000000000054824E-3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input_596106!A$2</f>
        <v>596106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IFERROR(VLOOKUP(B152,input_596106!L:R,7,FALSE),VLOOKUP(tables_596106!C152,input_596106!A:H,8,FALSE))</f>
        <v>912</v>
      </c>
      <c r="P152" s="40">
        <f t="shared" ca="1" si="7"/>
        <v>1.6666666666727582E-4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input_596106!A$2</f>
        <v>596106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IFERROR(VLOOKUP(B153,input_596106!L:R,7,FALSE),VLOOKUP(tables_596106!C153,input_596106!A:H,8,FALSE))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input_596106!A$2</f>
        <v>596106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IFERROR(VLOOKUP(B154,input_596106!L:R,7,FALSE),VLOOKUP(tables_596106!C154,input_596106!A:H,8,FALSE))</f>
        <v>25444.799999999999</v>
      </c>
      <c r="P154" s="40">
        <f t="shared" ca="1" si="7"/>
        <v>4.6500000000169956E-3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input_596106!A$2</f>
        <v>596106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IFERROR(VLOOKUP(B155,input_596106!L:R,7,FALSE),VLOOKUP(tables_596106!C155,input_596106!A:H,8,FALSE))</f>
        <v>2827.2</v>
      </c>
      <c r="P155" s="40">
        <f t="shared" ca="1" si="7"/>
        <v>5.1666666666855504E-4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input_596106!A$2</f>
        <v>596106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IFERROR(VLOOKUP(B156,input_596106!L:R,7,FALSE),VLOOKUP(tables_596106!C156,input_596106!A:H,8,FALSE))</f>
        <v>1728</v>
      </c>
      <c r="P156" s="40">
        <f t="shared" ca="1" si="7"/>
        <v>3.1578947368536472E-4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input_596106!A$2</f>
        <v>596106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IFERROR(VLOOKUP(B157,input_596106!L:R,7,FALSE),VLOOKUP(tables_596106!C157,input_596106!A:H,8,FALSE))</f>
        <v>192</v>
      </c>
      <c r="P157" s="40">
        <f t="shared" ca="1" si="7"/>
        <v>3.5087719298373859E-5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input_596106!A$2</f>
        <v>596106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IFERROR(VLOOKUP(B158,input_596106!L:R,7,FALSE),VLOOKUP(tables_596106!C158,input_596106!A:H,8,FALSE))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input_596106!A$2</f>
        <v>596106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IFERROR(VLOOKUP(B159,input_596106!L:R,7,FALSE),VLOOKUP(tables_596106!C159,input_596106!A:H,8,FALSE))</f>
        <v>25444.799999999999</v>
      </c>
      <c r="P159" s="40">
        <f t="shared" ca="1" si="7"/>
        <v>4.6500000000169956E-3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input_596106!A$2</f>
        <v>596106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IFERROR(VLOOKUP(B160,input_596106!L:R,7,FALSE),VLOOKUP(tables_596106!C160,input_596106!A:H,8,FALSE))</f>
        <v>2827.2</v>
      </c>
      <c r="P160" s="40">
        <f t="shared" ca="1" si="7"/>
        <v>5.1666666666855504E-4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input_596106!A$2</f>
        <v>596106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IFERROR(VLOOKUP(B161,input_596106!L:R,7,FALSE),VLOOKUP(tables_596106!C161,input_596106!A:H,8,FALSE))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input_596106!A$2</f>
        <v>596106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IFERROR(VLOOKUP(B162,input_596106!L:R,7,FALSE),VLOOKUP(tables_596106!C162,input_596106!A:H,8,FALSE))</f>
        <v>109921.53599999999</v>
      </c>
      <c r="P162" s="40">
        <f t="shared" ca="1" si="7"/>
        <v>2.0088000000073419E-2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input_596106!A$2</f>
        <v>596106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IFERROR(VLOOKUP(B163,input_596106!L:R,7,FALSE),VLOOKUP(tables_596106!C163,input_596106!A:H,8,FALSE))</f>
        <v>4355.7120000000004</v>
      </c>
      <c r="P163" s="40">
        <f t="shared" ca="1" si="7"/>
        <v>7.9600000000290951E-4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input_596106!A$2</f>
        <v>596106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IFERROR(VLOOKUP(B164,input_596106!L:R,7,FALSE),VLOOKUP(tables_596106!C164,input_596106!A:H,8,FALSE))</f>
        <v>1728</v>
      </c>
      <c r="P164" s="40">
        <f t="shared" ca="1" si="7"/>
        <v>3.1578947368536472E-4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input_596106!A$2</f>
        <v>596106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IFERROR(VLOOKUP(B165,input_596106!L:R,7,FALSE),VLOOKUP(tables_596106!C165,input_596106!A:H,8,FALSE))</f>
        <v>192</v>
      </c>
      <c r="P165" s="40">
        <f t="shared" ca="1" si="7"/>
        <v>3.5087719298373859E-5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input_596106!A$2</f>
        <v>596106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IFERROR(VLOOKUP(B166,input_596106!L:R,7,FALSE),VLOOKUP(tables_596106!C166,input_596106!A:H,8,FALSE))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input_596106!A$2</f>
        <v>596106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IFERROR(VLOOKUP(B167,input_596106!L:R,7,FALSE),VLOOKUP(tables_596106!C167,input_596106!A:H,8,FALSE))</f>
        <v>25444.799999999999</v>
      </c>
      <c r="P167" s="40">
        <f t="shared" ca="1" si="7"/>
        <v>4.6500000000169956E-3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input_596106!A$2</f>
        <v>596106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IFERROR(VLOOKUP(B168,input_596106!L:R,7,FALSE),VLOOKUP(tables_596106!C168,input_596106!A:H,8,FALSE))</f>
        <v>2827.2</v>
      </c>
      <c r="P168" s="40">
        <f t="shared" ca="1" si="7"/>
        <v>5.1666666666855504E-4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input_596106!A$2</f>
        <v>596106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IFERROR(VLOOKUP(B169,input_596106!L:R,7,FALSE),VLOOKUP(tables_596106!C169,input_596106!A:H,8,FALSE))</f>
        <v>1728</v>
      </c>
      <c r="P169" s="40">
        <f t="shared" ca="1" si="7"/>
        <v>3.1578947368536472E-4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input_596106!A$2</f>
        <v>596106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IFERROR(VLOOKUP(B170,input_596106!L:R,7,FALSE),VLOOKUP(tables_596106!C170,input_596106!A:H,8,FALSE))</f>
        <v>192</v>
      </c>
      <c r="P170" s="40">
        <f t="shared" ca="1" si="7"/>
        <v>3.5087719298373859E-5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input_596106!A$2</f>
        <v>596106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IFERROR(VLOOKUP(B171,input_596106!L:R,7,FALSE),VLOOKUP(tables_596106!C171,input_596106!A:H,8,FALSE))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input_596106!A$2</f>
        <v>596106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IFERROR(VLOOKUP(B172,input_596106!L:R,7,FALSE),VLOOKUP(tables_596106!C172,input_596106!A:H,8,FALSE))</f>
        <v>109921.53599999999</v>
      </c>
      <c r="P172" s="40">
        <f t="shared" ca="1" si="7"/>
        <v>2.0088000000073419E-2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input_596106!A$2</f>
        <v>596106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IFERROR(VLOOKUP(B173,input_596106!L:R,7,FALSE),VLOOKUP(tables_596106!C173,input_596106!A:H,8,FALSE))</f>
        <v>4355.7120000000004</v>
      </c>
      <c r="P173" s="40">
        <f t="shared" ca="1" si="7"/>
        <v>7.9600000000290951E-4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input_596106!A$2</f>
        <v>596106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IFERROR(VLOOKUP(B174,input_596106!L:R,7,FALSE),VLOOKUP(tables_596106!C174,input_596106!A:H,8,FALSE))</f>
        <v>1728</v>
      </c>
      <c r="P174" s="40">
        <f t="shared" ca="1" si="7"/>
        <v>3.1578947368536472E-4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input_596106!A$2</f>
        <v>596106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IFERROR(VLOOKUP(B175,input_596106!L:R,7,FALSE),VLOOKUP(tables_596106!C175,input_596106!A:H,8,FALSE))</f>
        <v>192</v>
      </c>
      <c r="P175" s="40">
        <f t="shared" ca="1" si="7"/>
        <v>3.5087719298373859E-5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input_596106!A$2</f>
        <v>596106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IFERROR(VLOOKUP(B176,input_596106!L:R,7,FALSE),VLOOKUP(tables_596106!C176,input_596106!A:H,8,FALSE))</f>
        <v>1728</v>
      </c>
      <c r="P176" s="40">
        <f t="shared" ca="1" si="7"/>
        <v>3.1578947368536472E-4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input_596106!A$2</f>
        <v>596106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IFERROR(VLOOKUP(B177,input_596106!L:R,7,FALSE),VLOOKUP(tables_596106!C177,input_596106!A:H,8,FALSE))</f>
        <v>192</v>
      </c>
      <c r="P177" s="40">
        <f t="shared" ca="1" si="7"/>
        <v>3.5087719298373859E-5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input_596106!A$2</f>
        <v>596106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IFERROR(VLOOKUP(B178,input_596106!L:R,7,FALSE),VLOOKUP(tables_596106!C178,input_596106!A:H,8,FALSE))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input_596106!A$2</f>
        <v>596106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IFERROR(VLOOKUP(B179,input_596106!L:R,7,FALSE),VLOOKUP(tables_596106!C179,input_596106!A:H,8,FALSE))</f>
        <v>25444.799999999999</v>
      </c>
      <c r="P179" s="40">
        <f t="shared" ca="1" si="7"/>
        <v>4.6500000000169956E-3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input_596106!A$2</f>
        <v>596106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IFERROR(VLOOKUP(B180,input_596106!L:R,7,FALSE),VLOOKUP(tables_596106!C180,input_596106!A:H,8,FALSE))</f>
        <v>2827.2</v>
      </c>
      <c r="P180" s="40">
        <f t="shared" ca="1" si="7"/>
        <v>5.1666666666855504E-4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input_596106!A$2</f>
        <v>596106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IFERROR(VLOOKUP(B181,input_596106!L:R,7,FALSE),VLOOKUP(tables_596106!C181,input_596106!A:H,8,FALSE))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input_596106!A$2</f>
        <v>596106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IFERROR(VLOOKUP(B182,input_596106!L:R,7,FALSE),VLOOKUP(tables_596106!C182,input_596106!A:H,8,FALSE))</f>
        <v>109921.53599999999</v>
      </c>
      <c r="P182" s="40">
        <f t="shared" ca="1" si="7"/>
        <v>2.0088000000073419E-2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input_596106!A$2</f>
        <v>596106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IFERROR(VLOOKUP(B183,input_596106!L:R,7,FALSE),VLOOKUP(tables_596106!C183,input_596106!A:H,8,FALSE))</f>
        <v>4355.7120000000004</v>
      </c>
      <c r="P183" s="40">
        <f t="shared" ca="1" si="7"/>
        <v>7.9600000000290951E-4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input_596106!A$2</f>
        <v>596106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IFERROR(VLOOKUP(B184,input_596106!L:R,7,FALSE),VLOOKUP(tables_596106!C184,input_596106!A:H,8,FALSE))</f>
        <v>1728</v>
      </c>
      <c r="P184" s="40">
        <f t="shared" ca="1" si="7"/>
        <v>3.1578947368536472E-4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input_596106!A$2</f>
        <v>596106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IFERROR(VLOOKUP(B185,input_596106!L:R,7,FALSE),VLOOKUP(tables_596106!C185,input_596106!A:H,8,FALSE))</f>
        <v>192</v>
      </c>
      <c r="P185" s="40">
        <f t="shared" ca="1" si="7"/>
        <v>3.5087719298373859E-5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input_596106!A$2</f>
        <v>596106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IFERROR(VLOOKUP(B186,input_596106!L:R,7,FALSE),VLOOKUP(tables_596106!C186,input_596106!A:H,8,FALSE))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input_596106!A$2</f>
        <v>596106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IFERROR(VLOOKUP(B187,input_596106!L:R,7,FALSE),VLOOKUP(tables_596106!C187,input_596106!A:H,8,FALSE))</f>
        <v>25444.799999999999</v>
      </c>
      <c r="P187" s="40">
        <f t="shared" ca="1" si="7"/>
        <v>4.6500000000169956E-3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input_596106!A$2</f>
        <v>596106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IFERROR(VLOOKUP(B188,input_596106!L:R,7,FALSE),VLOOKUP(tables_596106!C188,input_596106!A:H,8,FALSE))</f>
        <v>2827.2</v>
      </c>
      <c r="P188" s="40">
        <f t="shared" ca="1" si="7"/>
        <v>5.1666666666855504E-4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input_596106!A$2</f>
        <v>596106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IFERROR(VLOOKUP(B189,input_596106!L:R,7,FALSE),VLOOKUP(tables_596106!C189,input_596106!A:H,8,FALSE))</f>
        <v>1728</v>
      </c>
      <c r="P189" s="40">
        <f t="shared" ca="1" si="7"/>
        <v>3.1578947368536472E-4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input_596106!A$2</f>
        <v>596106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IFERROR(VLOOKUP(B190,input_596106!L:R,7,FALSE),VLOOKUP(tables_596106!C190,input_596106!A:H,8,FALSE))</f>
        <v>192</v>
      </c>
      <c r="P190" s="40">
        <f t="shared" ca="1" si="7"/>
        <v>3.5087719298373859E-5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input_596106!A$2</f>
        <v>596106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IFERROR(VLOOKUP(B191,input_596106!L:R,7,FALSE),VLOOKUP(tables_596106!C191,input_596106!A:H,8,FALSE))</f>
        <v>8208</v>
      </c>
      <c r="P191" s="40">
        <f t="shared" ca="1" si="7"/>
        <v>1.5000000000054824E-3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input_596106!A$2</f>
        <v>596106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IFERROR(VLOOKUP(B192,input_596106!L:R,7,FALSE),VLOOKUP(tables_596106!C192,input_596106!A:H,8,FALSE))</f>
        <v>912</v>
      </c>
      <c r="P192" s="40">
        <f t="shared" ca="1" si="7"/>
        <v>1.6666666666727582E-4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input_596106!A$2</f>
        <v>596106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IFERROR(VLOOKUP(B193,input_596106!L:R,7,FALSE),VLOOKUP(tables_596106!C193,input_596106!A:H,8,FALSE))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input_596106!A$2</f>
        <v>596106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IFERROR(VLOOKUP(B194,input_596106!L:R,7,FALSE),VLOOKUP(tables_596106!C194,input_596106!A:H,8,FALSE))</f>
        <v>25444.799999999999</v>
      </c>
      <c r="P194" s="40">
        <f t="shared" ref="P194:P257" ca="1" si="10">O194/SUM(O:O)</f>
        <v>4.6500000000169956E-3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input_596106!A$2</f>
        <v>596106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IFERROR(VLOOKUP(B195,input_596106!L:R,7,FALSE),VLOOKUP(tables_596106!C195,input_596106!A:H,8,FALSE))</f>
        <v>2827.2</v>
      </c>
      <c r="P195" s="40">
        <f t="shared" ca="1" si="10"/>
        <v>5.1666666666855504E-4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input_596106!A$2</f>
        <v>596106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IFERROR(VLOOKUP(B196,input_596106!L:R,7,FALSE),VLOOKUP(tables_596106!C196,input_596106!A:H,8,FALSE))</f>
        <v>1728</v>
      </c>
      <c r="P196" s="40">
        <f t="shared" ca="1" si="10"/>
        <v>3.1578947368536472E-4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input_596106!A$2</f>
        <v>596106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IFERROR(VLOOKUP(B197,input_596106!L:R,7,FALSE),VLOOKUP(tables_596106!C197,input_596106!A:H,8,FALSE))</f>
        <v>192</v>
      </c>
      <c r="P197" s="40">
        <f t="shared" ca="1" si="10"/>
        <v>3.5087719298373859E-5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input_596106!A$2</f>
        <v>596106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IFERROR(VLOOKUP(B198,input_596106!L:R,7,FALSE),VLOOKUP(tables_596106!C198,input_596106!A:H,8,FALSE))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input_596106!A$2</f>
        <v>596106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IFERROR(VLOOKUP(B199,input_596106!L:R,7,FALSE),VLOOKUP(tables_596106!C199,input_596106!A:H,8,FALSE))</f>
        <v>25444.799999999999</v>
      </c>
      <c r="P199" s="40">
        <f t="shared" ca="1" si="10"/>
        <v>4.6500000000169956E-3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input_596106!A$2</f>
        <v>596106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IFERROR(VLOOKUP(B200,input_596106!L:R,7,FALSE),VLOOKUP(tables_596106!C200,input_596106!A:H,8,FALSE))</f>
        <v>2827.2</v>
      </c>
      <c r="P200" s="40">
        <f t="shared" ca="1" si="10"/>
        <v>5.1666666666855504E-4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input_596106!A$2</f>
        <v>596106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IFERROR(VLOOKUP(B201,input_596106!L:R,7,FALSE),VLOOKUP(tables_596106!C201,input_596106!A:H,8,FALSE))</f>
        <v>8208</v>
      </c>
      <c r="P201" s="40">
        <f t="shared" ca="1" si="10"/>
        <v>1.5000000000054824E-3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input_596106!A$2</f>
        <v>596106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IFERROR(VLOOKUP(B202,input_596106!L:R,7,FALSE),VLOOKUP(tables_596106!C202,input_596106!A:H,8,FALSE))</f>
        <v>912</v>
      </c>
      <c r="P202" s="40">
        <f t="shared" ca="1" si="10"/>
        <v>1.6666666666727582E-4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input_596106!A$2</f>
        <v>596106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IFERROR(VLOOKUP(B203,input_596106!L:R,7,FALSE),VLOOKUP(tables_596106!C203,input_596106!A:H,8,FALSE))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input_596106!A$2</f>
        <v>596106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IFERROR(VLOOKUP(B204,input_596106!L:R,7,FALSE),VLOOKUP(tables_596106!C204,input_596106!A:H,8,FALSE))</f>
        <v>25444.799999999999</v>
      </c>
      <c r="P204" s="40">
        <f t="shared" ca="1" si="10"/>
        <v>4.6500000000169956E-3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input_596106!A$2</f>
        <v>596106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IFERROR(VLOOKUP(B205,input_596106!L:R,7,FALSE),VLOOKUP(tables_596106!C205,input_596106!A:H,8,FALSE))</f>
        <v>2827.2</v>
      </c>
      <c r="P205" s="40">
        <f t="shared" ca="1" si="10"/>
        <v>5.1666666666855504E-4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input_596106!A$2</f>
        <v>596106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IFERROR(VLOOKUP(B206,input_596106!L:R,7,FALSE),VLOOKUP(tables_596106!C206,input_596106!A:H,8,FALSE))</f>
        <v>1728</v>
      </c>
      <c r="P206" s="40">
        <f t="shared" ca="1" si="10"/>
        <v>3.1578947368536472E-4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input_596106!A$2</f>
        <v>596106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IFERROR(VLOOKUP(B207,input_596106!L:R,7,FALSE),VLOOKUP(tables_596106!C207,input_596106!A:H,8,FALSE))</f>
        <v>192</v>
      </c>
      <c r="P207" s="40">
        <f t="shared" ca="1" si="10"/>
        <v>3.5087719298373859E-5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input_596106!A$2</f>
        <v>596106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IFERROR(VLOOKUP(B208,input_596106!L:R,7,FALSE),VLOOKUP(tables_596106!C208,input_596106!A:H,8,FALSE))</f>
        <v>1728</v>
      </c>
      <c r="P208" s="40">
        <f t="shared" ca="1" si="10"/>
        <v>3.1578947368536472E-4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input_596106!A$2</f>
        <v>596106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IFERROR(VLOOKUP(B209,input_596106!L:R,7,FALSE),VLOOKUP(tables_596106!C209,input_596106!A:H,8,FALSE))</f>
        <v>192</v>
      </c>
      <c r="P209" s="40">
        <f t="shared" ca="1" si="10"/>
        <v>3.5087719298373859E-5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input_596106!A$2</f>
        <v>596106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IFERROR(VLOOKUP(B210,input_596106!L:R,7,FALSE),VLOOKUP(tables_596106!C210,input_596106!A:H,8,FALSE))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input_596106!A$2</f>
        <v>596106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IFERROR(VLOOKUP(B211,input_596106!L:R,7,FALSE),VLOOKUP(tables_596106!C211,input_596106!A:H,8,FALSE))</f>
        <v>109921.53599999999</v>
      </c>
      <c r="P211" s="40">
        <f t="shared" ca="1" si="10"/>
        <v>2.0088000000073419E-2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input_596106!A$2</f>
        <v>596106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IFERROR(VLOOKUP(B212,input_596106!L:R,7,FALSE),VLOOKUP(tables_596106!C212,input_596106!A:H,8,FALSE))</f>
        <v>4355.7120000000004</v>
      </c>
      <c r="P212" s="40">
        <f t="shared" ca="1" si="10"/>
        <v>7.9600000000290951E-4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input_596106!A$2</f>
        <v>596106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IFERROR(VLOOKUP(B213,input_596106!L:R,7,FALSE),VLOOKUP(tables_596106!C213,input_596106!A:H,8,FALSE))</f>
        <v>1728</v>
      </c>
      <c r="P213" s="40">
        <f t="shared" ca="1" si="10"/>
        <v>3.1578947368536472E-4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input_596106!A$2</f>
        <v>596106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IFERROR(VLOOKUP(B214,input_596106!L:R,7,FALSE),VLOOKUP(tables_596106!C214,input_596106!A:H,8,FALSE))</f>
        <v>192</v>
      </c>
      <c r="P214" s="40">
        <f t="shared" ca="1" si="10"/>
        <v>3.5087719298373859E-5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input_596106!A$2</f>
        <v>596106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IFERROR(VLOOKUP(B215,input_596106!L:R,7,FALSE),VLOOKUP(tables_596106!C215,input_596106!A:H,8,FALSE))</f>
        <v>1577.04</v>
      </c>
      <c r="P215" s="40">
        <f t="shared" ca="1" si="10"/>
        <v>2.8820175438701827E-4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input_596106!A$2</f>
        <v>596106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IFERROR(VLOOKUP(B216,input_596106!L:R,7,FALSE),VLOOKUP(tables_596106!C216,input_596106!A:H,8,FALSE))</f>
        <v>1577.04</v>
      </c>
      <c r="P216" s="40">
        <f t="shared" ca="1" si="10"/>
        <v>2.8820175438701827E-4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input_596106!A$2</f>
        <v>596106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IFERROR(VLOOKUP(B217,input_596106!L:R,7,FALSE),VLOOKUP(tables_596106!C217,input_596106!A:H,8,FALSE))</f>
        <v>4396.36114</v>
      </c>
      <c r="P217" s="40">
        <f t="shared" ca="1" si="10"/>
        <v>8.0342857090936928E-4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input_596106!A$2</f>
        <v>596106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IFERROR(VLOOKUP(B218,input_596106!L:R,7,FALSE),VLOOKUP(tables_596106!C218,input_596106!A:H,8,FALSE))</f>
        <v>1577.04</v>
      </c>
      <c r="P218" s="40">
        <f t="shared" ca="1" si="10"/>
        <v>2.8820175438701827E-4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input_596106!A$2</f>
        <v>596106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IFERROR(VLOOKUP(B219,input_596106!L:R,7,FALSE),VLOOKUP(tables_596106!C219,input_596106!A:H,8,FALSE))</f>
        <v>4396.36114</v>
      </c>
      <c r="P219" s="40">
        <f t="shared" ca="1" si="10"/>
        <v>8.0342857090936928E-4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input_596106!A$2</f>
        <v>596106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IFERROR(VLOOKUP(B220,input_596106!L:R,7,FALSE),VLOOKUP(tables_596106!C220,input_596106!A:H,8,FALSE))</f>
        <v>1577.04</v>
      </c>
      <c r="P220" s="40">
        <f t="shared" ca="1" si="10"/>
        <v>2.8820175438701827E-4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input_596106!A$2</f>
        <v>596106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IFERROR(VLOOKUP(B221,input_596106!L:R,7,FALSE),VLOOKUP(tables_596106!C221,input_596106!A:H,8,FALSE))</f>
        <v>1728</v>
      </c>
      <c r="P221" s="40">
        <f t="shared" ca="1" si="10"/>
        <v>3.1578947368536472E-4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input_596106!A$2</f>
        <v>596106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IFERROR(VLOOKUP(B222,input_596106!L:R,7,FALSE),VLOOKUP(tables_596106!C222,input_596106!A:H,8,FALSE))</f>
        <v>192</v>
      </c>
      <c r="P222" s="40">
        <f t="shared" ca="1" si="10"/>
        <v>3.5087719298373859E-5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input_596106!A$2</f>
        <v>596106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IFERROR(VLOOKUP(B223,input_596106!L:R,7,FALSE),VLOOKUP(tables_596106!C223,input_596106!A:H,8,FALSE))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input_596106!A$2</f>
        <v>596106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IFERROR(VLOOKUP(B224,input_596106!L:R,7,FALSE),VLOOKUP(tables_596106!C224,input_596106!A:H,8,FALSE))</f>
        <v>25444.799999999999</v>
      </c>
      <c r="P224" s="40">
        <f t="shared" ca="1" si="10"/>
        <v>4.6500000000169956E-3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input_596106!A$2</f>
        <v>596106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IFERROR(VLOOKUP(B225,input_596106!L:R,7,FALSE),VLOOKUP(tables_596106!C225,input_596106!A:H,8,FALSE))</f>
        <v>2827.2</v>
      </c>
      <c r="P225" s="40">
        <f t="shared" ca="1" si="10"/>
        <v>5.1666666666855504E-4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input_596106!A$2</f>
        <v>596106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IFERROR(VLOOKUP(B226,input_596106!L:R,7,FALSE),VLOOKUP(tables_596106!C226,input_596106!A:H,8,FALSE))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input_596106!A$2</f>
        <v>596106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IFERROR(VLOOKUP(B227,input_596106!L:R,7,FALSE),VLOOKUP(tables_596106!C227,input_596106!A:H,8,FALSE))</f>
        <v>109921.53599999999</v>
      </c>
      <c r="P227" s="40">
        <f t="shared" ca="1" si="10"/>
        <v>2.0088000000073419E-2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input_596106!A$2</f>
        <v>596106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IFERROR(VLOOKUP(B228,input_596106!L:R,7,FALSE),VLOOKUP(tables_596106!C228,input_596106!A:H,8,FALSE))</f>
        <v>4355.7120000000004</v>
      </c>
      <c r="P228" s="40">
        <f t="shared" ca="1" si="10"/>
        <v>7.9600000000290951E-4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input_596106!A$2</f>
        <v>596106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IFERROR(VLOOKUP(B229,input_596106!L:R,7,FALSE),VLOOKUP(tables_596106!C229,input_596106!A:H,8,FALSE))</f>
        <v>1728</v>
      </c>
      <c r="P229" s="40">
        <f t="shared" ca="1" si="10"/>
        <v>3.1578947368536472E-4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input_596106!A$2</f>
        <v>596106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IFERROR(VLOOKUP(B230,input_596106!L:R,7,FALSE),VLOOKUP(tables_596106!C230,input_596106!A:H,8,FALSE))</f>
        <v>192</v>
      </c>
      <c r="P230" s="40">
        <f t="shared" ca="1" si="10"/>
        <v>3.5087719298373859E-5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input_596106!A$2</f>
        <v>596106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IFERROR(VLOOKUP(B231,input_596106!L:R,7,FALSE),VLOOKUP(tables_596106!C231,input_596106!A:H,8,FALSE))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input_596106!A$2</f>
        <v>596106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IFERROR(VLOOKUP(B232,input_596106!L:R,7,FALSE),VLOOKUP(tables_596106!C232,input_596106!A:H,8,FALSE))</f>
        <v>25444.799999999999</v>
      </c>
      <c r="P232" s="40">
        <f t="shared" ca="1" si="10"/>
        <v>4.6500000000169956E-3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input_596106!A$2</f>
        <v>596106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IFERROR(VLOOKUP(B233,input_596106!L:R,7,FALSE),VLOOKUP(tables_596106!C233,input_596106!A:H,8,FALSE))</f>
        <v>2827.2</v>
      </c>
      <c r="P233" s="40">
        <f t="shared" ca="1" si="10"/>
        <v>5.1666666666855504E-4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input_596106!A$2</f>
        <v>596106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IFERROR(VLOOKUP(B234,input_596106!L:R,7,FALSE),VLOOKUP(tables_596106!C234,input_596106!A:H,8,FALSE))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input_596106!A$2</f>
        <v>596106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IFERROR(VLOOKUP(B235,input_596106!L:R,7,FALSE),VLOOKUP(tables_596106!C235,input_596106!A:H,8,FALSE))</f>
        <v>25444.799999999999</v>
      </c>
      <c r="P235" s="40">
        <f t="shared" ca="1" si="10"/>
        <v>4.6500000000169956E-3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input_596106!A$2</f>
        <v>596106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IFERROR(VLOOKUP(B236,input_596106!L:R,7,FALSE),VLOOKUP(tables_596106!C236,input_596106!A:H,8,FALSE))</f>
        <v>2827.2</v>
      </c>
      <c r="P236" s="40">
        <f t="shared" ca="1" si="10"/>
        <v>5.1666666666855504E-4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input_596106!A$2</f>
        <v>596106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IFERROR(VLOOKUP(B237,input_596106!L:R,7,FALSE),VLOOKUP(tables_596106!C237,input_596106!A:H,8,FALSE))</f>
        <v>8208</v>
      </c>
      <c r="P237" s="40">
        <f t="shared" ca="1" si="10"/>
        <v>1.5000000000054824E-3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input_596106!A$2</f>
        <v>596106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IFERROR(VLOOKUP(B238,input_596106!L:R,7,FALSE),VLOOKUP(tables_596106!C238,input_596106!A:H,8,FALSE))</f>
        <v>912</v>
      </c>
      <c r="P238" s="40">
        <f t="shared" ca="1" si="10"/>
        <v>1.6666666666727582E-4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input_596106!A$2</f>
        <v>596106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IFERROR(VLOOKUP(B239,input_596106!L:R,7,FALSE),VLOOKUP(tables_596106!C239,input_596106!A:H,8,FALSE))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input_596106!A$2</f>
        <v>596106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IFERROR(VLOOKUP(B240,input_596106!L:R,7,FALSE),VLOOKUP(tables_596106!C240,input_596106!A:H,8,FALSE))</f>
        <v>25444.799999999999</v>
      </c>
      <c r="P240" s="40">
        <f t="shared" ca="1" si="10"/>
        <v>4.6500000000169956E-3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input_596106!A$2</f>
        <v>596106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IFERROR(VLOOKUP(B241,input_596106!L:R,7,FALSE),VLOOKUP(tables_596106!C241,input_596106!A:H,8,FALSE))</f>
        <v>2827.2</v>
      </c>
      <c r="P241" s="40">
        <f t="shared" ca="1" si="10"/>
        <v>5.1666666666855504E-4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input_596106!A$2</f>
        <v>596106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IFERROR(VLOOKUP(B242,input_596106!L:R,7,FALSE),VLOOKUP(tables_596106!C242,input_596106!A:H,8,FALSE))</f>
        <v>1728</v>
      </c>
      <c r="P242" s="40">
        <f t="shared" ca="1" si="10"/>
        <v>3.1578947368536472E-4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input_596106!A$2</f>
        <v>596106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IFERROR(VLOOKUP(B243,input_596106!L:R,7,FALSE),VLOOKUP(tables_596106!C243,input_596106!A:H,8,FALSE))</f>
        <v>192</v>
      </c>
      <c r="P243" s="40">
        <f t="shared" ca="1" si="10"/>
        <v>3.5087719298373859E-5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input_596106!A$2</f>
        <v>596106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IFERROR(VLOOKUP(B244,input_596106!L:R,7,FALSE),VLOOKUP(tables_596106!C244,input_596106!A:H,8,FALSE))</f>
        <v>1728</v>
      </c>
      <c r="P244" s="40">
        <f t="shared" ca="1" si="10"/>
        <v>3.1578947368536472E-4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input_596106!A$2</f>
        <v>596106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IFERROR(VLOOKUP(B245,input_596106!L:R,7,FALSE),VLOOKUP(tables_596106!C245,input_596106!A:H,8,FALSE))</f>
        <v>192</v>
      </c>
      <c r="P245" s="40">
        <f t="shared" ca="1" si="10"/>
        <v>3.5087719298373859E-5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input_596106!A$2</f>
        <v>596106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IFERROR(VLOOKUP(B246,input_596106!L:R,7,FALSE),VLOOKUP(tables_596106!C246,input_596106!A:H,8,FALSE))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input_596106!A$2</f>
        <v>596106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IFERROR(VLOOKUP(B247,input_596106!L:R,7,FALSE),VLOOKUP(tables_596106!C247,input_596106!A:H,8,FALSE))</f>
        <v>109921.53599999999</v>
      </c>
      <c r="P247" s="40">
        <f t="shared" ca="1" si="10"/>
        <v>2.0088000000073419E-2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input_596106!A$2</f>
        <v>596106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IFERROR(VLOOKUP(B248,input_596106!L:R,7,FALSE),VLOOKUP(tables_596106!C248,input_596106!A:H,8,FALSE))</f>
        <v>4355.7120000000004</v>
      </c>
      <c r="P248" s="40">
        <f t="shared" ca="1" si="10"/>
        <v>7.9600000000290951E-4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input_596106!A$2</f>
        <v>596106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IFERROR(VLOOKUP(B249,input_596106!L:R,7,FALSE),VLOOKUP(tables_596106!C249,input_596106!A:H,8,FALSE))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input_596106!A$2</f>
        <v>596106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IFERROR(VLOOKUP(B250,input_596106!L:R,7,FALSE),VLOOKUP(tables_596106!C250,input_596106!A:H,8,FALSE))</f>
        <v>25444.799999999999</v>
      </c>
      <c r="P250" s="40">
        <f t="shared" ca="1" si="10"/>
        <v>4.6500000000169956E-3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input_596106!A$2</f>
        <v>596106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IFERROR(VLOOKUP(B251,input_596106!L:R,7,FALSE),VLOOKUP(tables_596106!C251,input_596106!A:H,8,FALSE))</f>
        <v>2827.2</v>
      </c>
      <c r="P251" s="40">
        <f t="shared" ca="1" si="10"/>
        <v>5.1666666666855504E-4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input_596106!A$2</f>
        <v>596106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IFERROR(VLOOKUP(B252,input_596106!L:R,7,FALSE),VLOOKUP(tables_596106!C252,input_596106!A:H,8,FALSE))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input_596106!A$2</f>
        <v>596106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IFERROR(VLOOKUP(B253,input_596106!L:R,7,FALSE),VLOOKUP(tables_596106!C253,input_596106!A:H,8,FALSE))</f>
        <v>25444.799999999999</v>
      </c>
      <c r="P253" s="40">
        <f t="shared" ca="1" si="10"/>
        <v>4.6500000000169956E-3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input_596106!A$2</f>
        <v>596106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IFERROR(VLOOKUP(B254,input_596106!L:R,7,FALSE),VLOOKUP(tables_596106!C254,input_596106!A:H,8,FALSE))</f>
        <v>2827.2</v>
      </c>
      <c r="P254" s="40">
        <f t="shared" ca="1" si="10"/>
        <v>5.1666666666855504E-4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input_596106!A$2</f>
        <v>596106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IFERROR(VLOOKUP(B255,input_596106!L:R,7,FALSE),VLOOKUP(tables_596106!C255,input_596106!A:H,8,FALSE))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input_596106!A$2</f>
        <v>596106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IFERROR(VLOOKUP(B256,input_596106!L:R,7,FALSE),VLOOKUP(tables_596106!C256,input_596106!A:H,8,FALSE))</f>
        <v>25444.799999999999</v>
      </c>
      <c r="P256" s="40">
        <f t="shared" ca="1" si="10"/>
        <v>4.6500000000169956E-3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input_596106!A$2</f>
        <v>596106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IFERROR(VLOOKUP(B257,input_596106!L:R,7,FALSE),VLOOKUP(tables_596106!C257,input_596106!A:H,8,FALSE))</f>
        <v>2827.2</v>
      </c>
      <c r="P257" s="40">
        <f t="shared" ca="1" si="10"/>
        <v>5.1666666666855504E-4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input_596106!A$2</f>
        <v>596106</v>
      </c>
      <c r="B258" s="52">
        <v>674</v>
      </c>
      <c r="C258" s="7" t="str">
        <f t="shared" ref="C258:C284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IFERROR(VLOOKUP(B258,input_596106!L:R,7,FALSE),VLOOKUP(tables_596106!C258,input_596106!A:H,8,FALSE))</f>
        <v>8208</v>
      </c>
      <c r="P258" s="40">
        <f t="shared" ref="P258:P305" ca="1" si="13">O258/SUM(O:O)</f>
        <v>1.5000000000054824E-3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input_596106!A$2</f>
        <v>596106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IFERROR(VLOOKUP(B259,input_596106!L:R,7,FALSE),VLOOKUP(tables_596106!C259,input_596106!A:H,8,FALSE))</f>
        <v>912</v>
      </c>
      <c r="P259" s="40">
        <f t="shared" ca="1" si="13"/>
        <v>1.6666666666727582E-4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input_596106!A$2</f>
        <v>596106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IFERROR(VLOOKUP(B260,input_596106!L:R,7,FALSE),VLOOKUP(tables_596106!C260,input_596106!A:H,8,FALSE))</f>
        <v>1728</v>
      </c>
      <c r="P260" s="40">
        <f t="shared" ca="1" si="13"/>
        <v>3.1578947368536472E-4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input_596106!A$2</f>
        <v>596106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IFERROR(VLOOKUP(B261,input_596106!L:R,7,FALSE),VLOOKUP(tables_596106!C261,input_596106!A:H,8,FALSE))</f>
        <v>192</v>
      </c>
      <c r="P261" s="40">
        <f t="shared" ca="1" si="13"/>
        <v>3.5087719298373859E-5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input_596106!A$2</f>
        <v>596106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IFERROR(VLOOKUP(B262,input_596106!L:R,7,FALSE),VLOOKUP(tables_596106!C262,input_596106!A:H,8,FALSE))</f>
        <v>26300.7</v>
      </c>
      <c r="P262" s="40">
        <f t="shared" ca="1" si="13"/>
        <v>4.8064144737017785E-3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input_596106!A$2</f>
        <v>596106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IFERROR(VLOOKUP(B263,input_596106!L:R,7,FALSE),VLOOKUP(tables_596106!C263,input_596106!A:H,8,FALSE))</f>
        <v>1577.04</v>
      </c>
      <c r="P263" s="40">
        <f t="shared" ca="1" si="13"/>
        <v>2.8820175438701827E-4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input_596106!A$2</f>
        <v>596106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IFERROR(VLOOKUP(B264,input_596106!L:R,7,FALSE),VLOOKUP(tables_596106!C264,input_596106!A:H,8,FALSE))</f>
        <v>26300.7</v>
      </c>
      <c r="P264" s="40">
        <f t="shared" ca="1" si="13"/>
        <v>4.8064144737017785E-3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input_596106!A$2</f>
        <v>596106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IFERROR(VLOOKUP(B265,input_596106!L:R,7,FALSE),VLOOKUP(tables_596106!C265,input_596106!A:H,8,FALSE))</f>
        <v>1577.04</v>
      </c>
      <c r="P265" s="40">
        <f t="shared" ca="1" si="13"/>
        <v>2.8820175438701827E-4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input_596106!A$2</f>
        <v>596106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IFERROR(VLOOKUP(B266,input_596106!L:R,7,FALSE),VLOOKUP(tables_596106!C266,input_596106!A:H,8,FALSE))</f>
        <v>9120</v>
      </c>
      <c r="P266" s="40">
        <f t="shared" ca="1" si="13"/>
        <v>1.6666666666727583E-3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input_596106!A$2</f>
        <v>596106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IFERROR(VLOOKUP(B267,input_596106!L:R,7,FALSE),VLOOKUP(tables_596106!C267,input_596106!A:H,8,FALSE))</f>
        <v>1920</v>
      </c>
      <c r="P267" s="40">
        <f t="shared" ca="1" si="13"/>
        <v>3.5087719298373862E-4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input_596106!A$2</f>
        <v>596106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IFERROR(VLOOKUP(B268,input_596106!L:R,7,FALSE),VLOOKUP(tables_596106!C268,input_596106!A:H,8,FALSE))</f>
        <v>1920</v>
      </c>
      <c r="P268" s="40">
        <f t="shared" ca="1" si="13"/>
        <v>3.5087719298373862E-4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input_596106!A$2</f>
        <v>596106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IFERROR(VLOOKUP(B269,input_596106!L:R,7,FALSE),VLOOKUP(tables_596106!C269,input_596106!A:H,8,FALSE))</f>
        <v>1920</v>
      </c>
      <c r="P269" s="40">
        <f t="shared" ca="1" si="13"/>
        <v>3.5087719298373862E-4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input_596106!A$2</f>
        <v>596106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IFERROR(VLOOKUP(B270,input_596106!L:R,7,FALSE),VLOOKUP(tables_596106!C270,input_596106!A:H,8,FALSE))</f>
        <v>115980.1344</v>
      </c>
      <c r="P270" s="40">
        <f t="shared" ca="1" si="13"/>
        <v>2.1195200000077467E-2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input_596106!A$2</f>
        <v>596106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IFERROR(VLOOKUP(B271,input_596106!L:R,7,FALSE),VLOOKUP(tables_596106!C271,input_596106!A:H,8,FALSE))</f>
        <v>4396.36114</v>
      </c>
      <c r="P271" s="40">
        <f t="shared" ca="1" si="13"/>
        <v>8.0342857090936928E-4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input_596106!A$2</f>
        <v>596106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IFERROR(VLOOKUP(B272,input_596106!L:R,7,FALSE),VLOOKUP(tables_596106!C272,input_596106!A:H,8,FALSE))</f>
        <v>26300.7</v>
      </c>
      <c r="P272" s="40">
        <f t="shared" ca="1" si="13"/>
        <v>4.8064144737017785E-3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input_596106!A$2</f>
        <v>596106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IFERROR(VLOOKUP(B273,input_596106!L:R,7,FALSE),VLOOKUP(tables_596106!C273,input_596106!A:H,8,FALSE))</f>
        <v>1577.04</v>
      </c>
      <c r="P273" s="40">
        <f t="shared" ca="1" si="13"/>
        <v>2.8820175438701827E-4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input_596106!A$2</f>
        <v>596106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IFERROR(VLOOKUP(B274,input_596106!L:R,7,FALSE),VLOOKUP(tables_596106!C274,input_596106!A:H,8,FALSE))</f>
        <v>1728</v>
      </c>
      <c r="P274" s="40">
        <f t="shared" ca="1" si="13"/>
        <v>3.1578947368536472E-4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input_596106!A$2</f>
        <v>596106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IFERROR(VLOOKUP(B275,input_596106!L:R,7,FALSE),VLOOKUP(tables_596106!C275,input_596106!A:H,8,FALSE))</f>
        <v>192</v>
      </c>
      <c r="P275" s="40">
        <f t="shared" ca="1" si="13"/>
        <v>3.5087719298373859E-5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input_596106!A$2</f>
        <v>596106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IFERROR(VLOOKUP(B276,input_596106!L:R,7,FALSE),VLOOKUP(tables_596106!C276,input_596106!A:H,8,FALSE))</f>
        <v>1728</v>
      </c>
      <c r="P276" s="40">
        <f t="shared" ca="1" si="13"/>
        <v>3.1578947368536472E-4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input_596106!A$2</f>
        <v>596106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IFERROR(VLOOKUP(B277,input_596106!L:R,7,FALSE),VLOOKUP(tables_596106!C277,input_596106!A:H,8,FALSE))</f>
        <v>192</v>
      </c>
      <c r="P277" s="40">
        <f t="shared" ca="1" si="13"/>
        <v>3.5087719298373859E-5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input_596106!A$2</f>
        <v>596106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IFERROR(VLOOKUP(B278,input_596106!L:R,7,FALSE),VLOOKUP(tables_596106!C278,input_596106!A:H,8,FALSE))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input_596106!A$2</f>
        <v>596106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IFERROR(VLOOKUP(B279,input_596106!L:R,7,FALSE),VLOOKUP(tables_596106!C279,input_596106!A:H,8,FALSE))</f>
        <v>109921.53599999999</v>
      </c>
      <c r="P279" s="40">
        <f t="shared" ca="1" si="13"/>
        <v>2.0088000000073419E-2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input_596106!A$2</f>
        <v>596106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IFERROR(VLOOKUP(B280,input_596106!L:R,7,FALSE),VLOOKUP(tables_596106!C280,input_596106!A:H,8,FALSE))</f>
        <v>4355.7120000000004</v>
      </c>
      <c r="P280" s="40">
        <f t="shared" ca="1" si="13"/>
        <v>7.9600000000290951E-4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input_596106!A$2</f>
        <v>596106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IFERROR(VLOOKUP(B281,input_596106!L:R,7,FALSE),VLOOKUP(tables_596106!C281,input_596106!A:H,8,FALSE))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input_596106!A$2</f>
        <v>596106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IFERROR(VLOOKUP(B282,input_596106!L:R,7,FALSE),VLOOKUP(tables_596106!C282,input_596106!A:H,8,FALSE))</f>
        <v>25444.799999999999</v>
      </c>
      <c r="P282" s="40">
        <f t="shared" ca="1" si="13"/>
        <v>4.6500000000169956E-3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input_596106!A$2</f>
        <v>596106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IFERROR(VLOOKUP(B283,input_596106!L:R,7,FALSE),VLOOKUP(tables_596106!C283,input_596106!A:H,8,FALSE))</f>
        <v>2827.2</v>
      </c>
      <c r="P283" s="40">
        <f t="shared" ca="1" si="13"/>
        <v>5.1666666666855504E-4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input_596106!A$2</f>
        <v>596106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IFERROR(VLOOKUP(B284,input_596106!L:R,7,FALSE),VLOOKUP(tables_596106!C284,input_596106!A:H,8,FALSE))</f>
        <v>1920</v>
      </c>
      <c r="P284" s="40">
        <f t="shared" ca="1" si="13"/>
        <v>3.5087719298373862E-4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input_596106!A$2</f>
        <v>596106</v>
      </c>
      <c r="B285" s="5">
        <v>850</v>
      </c>
      <c r="C285" s="7" t="str">
        <f t="shared" ref="C285:C290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IFERROR(VLOOKUP(B285,input_596106!L:R,7,FALSE),VLOOKUP(tables_596106!C285,input_596106!A:H,8,FALSE))</f>
        <v>1920</v>
      </c>
      <c r="P285" s="40">
        <f t="shared" ca="1" si="13"/>
        <v>3.5087719298373862E-4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input_596106!A$2</f>
        <v>596106</v>
      </c>
      <c r="B286" s="5">
        <v>852</v>
      </c>
      <c r="C286" s="7" t="str">
        <f t="shared" si="15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IFERROR(VLOOKUP(B286,input_596106!L:R,7,FALSE),VLOOKUP(tables_596106!C286,input_596106!A:H,8,FALSE))</f>
        <v>115980.1344</v>
      </c>
      <c r="P286" s="40">
        <f t="shared" ca="1" si="13"/>
        <v>2.1195200000077467E-2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input_596106!A$2</f>
        <v>596106</v>
      </c>
      <c r="B287" s="5">
        <v>853</v>
      </c>
      <c r="C287" s="7" t="str">
        <f t="shared" si="15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IFERROR(VLOOKUP(B287,input_596106!L:R,7,FALSE),VLOOKUP(tables_596106!C287,input_596106!A:H,8,FALSE))</f>
        <v>4396.36114</v>
      </c>
      <c r="P287" s="40">
        <f t="shared" ca="1" si="13"/>
        <v>8.0342857090936928E-4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input_596106!A$2</f>
        <v>596106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IFERROR(VLOOKUP(B288,input_596106!L:R,7,FALSE),VLOOKUP(tables_596106!C288,input_596106!A:H,8,FALSE))</f>
        <v>26300.7</v>
      </c>
      <c r="P288" s="40">
        <f t="shared" ca="1" si="13"/>
        <v>4.8064144737017785E-3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input_596106!A$2</f>
        <v>596106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IFERROR(VLOOKUP(B289,input_596106!L:R,7,FALSE),VLOOKUP(tables_596106!C289,input_596106!A:H,8,FALSE))</f>
        <v>1577.04</v>
      </c>
      <c r="P289" s="40">
        <f t="shared" ca="1" si="13"/>
        <v>2.8820175438701827E-4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input_596106!A$2</f>
        <v>596106</v>
      </c>
      <c r="B290" s="5">
        <v>862</v>
      </c>
      <c r="C290" s="7" t="str">
        <f t="shared" si="15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IFERROR(VLOOKUP(B290,input_596106!L:R,7,FALSE),VLOOKUP(tables_596106!C290,input_596106!A:H,8,FALSE))</f>
        <v>26300.7</v>
      </c>
      <c r="P290" s="40">
        <f t="shared" ca="1" si="13"/>
        <v>4.8064144737017785E-3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input_596106!A$2</f>
        <v>596106</v>
      </c>
      <c r="B291" s="5">
        <v>863</v>
      </c>
      <c r="C291" s="7" t="str">
        <f t="shared" ref="C291:C300" si="16">D291&amp;J291&amp;E291&amp;F291&amp;G291</f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IFERROR(VLOOKUP(B291,input_596106!L:R,7,FALSE),VLOOKUP(tables_596106!C291,input_596106!A:H,8,FALSE))</f>
        <v>1577.04</v>
      </c>
      <c r="P291" s="40">
        <f t="shared" ca="1" si="13"/>
        <v>2.8820175438701827E-4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input_596106!A$2</f>
        <v>596106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IFERROR(VLOOKUP(B292,input_596106!L:R,7,FALSE),VLOOKUP(tables_596106!C292,input_596106!A:H,8,FALSE))</f>
        <v>26300.7</v>
      </c>
      <c r="P292" s="40">
        <f t="shared" ca="1" si="13"/>
        <v>4.8064144737017785E-3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input_596106!A$2</f>
        <v>596106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IFERROR(VLOOKUP(B293,input_596106!L:R,7,FALSE),VLOOKUP(tables_596106!C293,input_596106!A:H,8,FALSE))</f>
        <v>1577.04</v>
      </c>
      <c r="P293" s="40">
        <f t="shared" ca="1" si="13"/>
        <v>2.8820175438701827E-4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input_596106!A$2</f>
        <v>596106</v>
      </c>
      <c r="B294" s="5">
        <v>866</v>
      </c>
      <c r="C294" s="7" t="str">
        <f t="shared" si="16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IFERROR(VLOOKUP(B294,input_596106!L:R,7,FALSE),VLOOKUP(tables_596106!C294,input_596106!A:H,8,FALSE))</f>
        <v>9120</v>
      </c>
      <c r="P294" s="40">
        <f t="shared" ca="1" si="13"/>
        <v>1.6666666666727583E-3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input_596106!A$2</f>
        <v>596106</v>
      </c>
      <c r="B295" s="5">
        <v>868</v>
      </c>
      <c r="C295" s="7" t="str">
        <f t="shared" si="16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IFERROR(VLOOKUP(B295,input_596106!L:R,7,FALSE),VLOOKUP(tables_596106!C295,input_596106!A:H,8,FALSE))</f>
        <v>1920</v>
      </c>
      <c r="P295" s="40">
        <f t="shared" ca="1" si="13"/>
        <v>3.5087719298373862E-4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input_596106!A$2</f>
        <v>596106</v>
      </c>
      <c r="B296" s="5">
        <v>937</v>
      </c>
      <c r="C296" s="7" t="str">
        <f t="shared" si="16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IFERROR(VLOOKUP(B296,input_596106!L:R,7,FALSE),VLOOKUP(tables_596106!C296,input_596106!A:H,8,FALSE))</f>
        <v>1920</v>
      </c>
      <c r="P296" s="40">
        <f t="shared" ca="1" si="13"/>
        <v>3.5087719298373862E-4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input_596106!A$2</f>
        <v>596106</v>
      </c>
      <c r="B297" s="5">
        <v>939</v>
      </c>
      <c r="C297" s="7" t="str">
        <f t="shared" si="16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IFERROR(VLOOKUP(B297,input_596106!L:R,7,FALSE),VLOOKUP(tables_596106!C297,input_596106!A:H,8,FALSE))</f>
        <v>26300.7</v>
      </c>
      <c r="P297" s="40">
        <f t="shared" ca="1" si="13"/>
        <v>4.8064144737017785E-3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input_596106!A$2</f>
        <v>596106</v>
      </c>
      <c r="B298" s="5">
        <v>940</v>
      </c>
      <c r="C298" s="7" t="str">
        <f t="shared" si="16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IFERROR(VLOOKUP(B298,input_596106!L:R,7,FALSE),VLOOKUP(tables_596106!C298,input_596106!A:H,8,FALSE))</f>
        <v>1577.04</v>
      </c>
      <c r="P298" s="40">
        <f t="shared" ca="1" si="13"/>
        <v>2.8820175438701827E-4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input_596106!A$2</f>
        <v>596106</v>
      </c>
      <c r="B299" s="5">
        <v>941</v>
      </c>
      <c r="C299" s="7" t="str">
        <f t="shared" si="16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IFERROR(VLOOKUP(B299,input_596106!L:R,7,FALSE),VLOOKUP(tables_596106!C299,input_596106!A:H,8,FALSE))</f>
        <v>9120</v>
      </c>
      <c r="P299" s="40">
        <f t="shared" ca="1" si="13"/>
        <v>1.6666666666727583E-3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input_596106!A$2</f>
        <v>596106</v>
      </c>
      <c r="B300" s="5">
        <v>943</v>
      </c>
      <c r="C300" s="7" t="str">
        <f t="shared" si="16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IFERROR(VLOOKUP(B300,input_596106!L:R,7,FALSE),VLOOKUP(tables_596106!C300,input_596106!A:H,8,FALSE))</f>
        <v>1920</v>
      </c>
      <c r="P300" s="40">
        <f t="shared" ca="1" si="13"/>
        <v>3.5087719298373862E-4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input_596106!A$2</f>
        <v>596106</v>
      </c>
      <c r="B301" s="5">
        <v>1012</v>
      </c>
      <c r="C301" s="7" t="str">
        <f t="shared" ref="C301:C305" si="17">D301&amp;J301&amp;E301&amp;F301&amp;G301</f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IFERROR(VLOOKUP(B301,input_596106!L:R,7,FALSE),VLOOKUP(tables_596106!C301,input_596106!A:H,8,FALSE))</f>
        <v>1920</v>
      </c>
      <c r="P301" s="40">
        <f t="shared" ca="1" si="13"/>
        <v>3.5087719298373862E-4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input_596106!A$2</f>
        <v>596106</v>
      </c>
      <c r="B302" s="5">
        <v>1014</v>
      </c>
      <c r="C302" s="7" t="str">
        <f t="shared" si="17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IFERROR(VLOOKUP(B302,input_596106!L:R,7,FALSE),VLOOKUP(tables_596106!C302,input_596106!A:H,8,FALSE))</f>
        <v>1920</v>
      </c>
      <c r="P302" s="40">
        <f t="shared" ca="1" si="13"/>
        <v>3.5087719298373862E-4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input_596106!A$2</f>
        <v>596106</v>
      </c>
      <c r="B303" s="5">
        <v>1016</v>
      </c>
      <c r="C303" s="7" t="str">
        <f t="shared" si="17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IFERROR(VLOOKUP(B303,input_596106!L:R,7,FALSE),VLOOKUP(tables_596106!C303,input_596106!A:H,8,FALSE))</f>
        <v>115980.1344</v>
      </c>
      <c r="P303" s="40">
        <f t="shared" ca="1" si="13"/>
        <v>2.1195200000077467E-2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input_596106!A$2</f>
        <v>596106</v>
      </c>
      <c r="B304" s="5">
        <v>1017</v>
      </c>
      <c r="C304" s="7" t="str">
        <f t="shared" si="17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IFERROR(VLOOKUP(B304,input_596106!L:R,7,FALSE),VLOOKUP(tables_596106!C304,input_596106!A:H,8,FALSE))</f>
        <v>4396.36114</v>
      </c>
      <c r="P304" s="40">
        <f t="shared" ca="1" si="13"/>
        <v>8.0342857090936928E-4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input_596106!A$2</f>
        <v>596106</v>
      </c>
      <c r="B305" s="5">
        <v>1018</v>
      </c>
      <c r="C305" s="7" t="str">
        <f t="shared" si="17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IFERROR(VLOOKUP(B305,input_596106!L:R,7,FALSE),VLOOKUP(tables_596106!C305,input_596106!A:H,8,FALSE))</f>
        <v>1920</v>
      </c>
      <c r="P305" s="40">
        <f t="shared" ca="1" si="13"/>
        <v>3.5087719298373862E-4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input_596106!A$2</f>
        <v>596106</v>
      </c>
      <c r="B306" s="5">
        <v>1026</v>
      </c>
      <c r="C306" s="7" t="str">
        <f t="shared" ref="C306:C310" si="18">D306&amp;J306&amp;E306&amp;F306&amp;G306</f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IFERROR(VLOOKUP(B306,input_596106!L:R,7,FALSE),VLOOKUP(tables_596106!C306,input_596106!A:H,8,FALSE))</f>
        <v>26300.7</v>
      </c>
      <c r="P306" s="40">
        <f t="shared" ref="P306:P310" ca="1" si="19">O306/SUM(O:O)</f>
        <v>4.8064144737017785E-3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input_596106!A$2</f>
        <v>596106</v>
      </c>
      <c r="B307" s="5">
        <v>1027</v>
      </c>
      <c r="C307" s="7" t="str">
        <f t="shared" si="18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IFERROR(VLOOKUP(B307,input_596106!L:R,7,FALSE),VLOOKUP(tables_596106!C307,input_596106!A:H,8,FALSE))</f>
        <v>1577.04</v>
      </c>
      <c r="P307" s="40">
        <f t="shared" ca="1" si="19"/>
        <v>2.8820175438701827E-4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input_596106!A$2</f>
        <v>596106</v>
      </c>
      <c r="B308" s="5">
        <v>1028</v>
      </c>
      <c r="C308" s="7" t="str">
        <f t="shared" si="18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IFERROR(VLOOKUP(B308,input_596106!L:R,7,FALSE),VLOOKUP(tables_596106!C308,input_596106!A:H,8,FALSE))</f>
        <v>1920</v>
      </c>
      <c r="P308" s="40">
        <f t="shared" ca="1" si="19"/>
        <v>3.5087719298373862E-4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input_596106!A$2</f>
        <v>596106</v>
      </c>
      <c r="B309" s="5">
        <v>1031</v>
      </c>
      <c r="C309" s="7" t="str">
        <f t="shared" si="18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IFERROR(VLOOKUP(B309,input_596106!L:R,7,FALSE),VLOOKUP(tables_596106!C309,input_596106!A:H,8,FALSE))</f>
        <v>9120</v>
      </c>
      <c r="P309" s="40">
        <f t="shared" ca="1" si="19"/>
        <v>1.6666666666727583E-3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input_596106!A$2</f>
        <v>596106</v>
      </c>
      <c r="B310" s="5">
        <v>1033</v>
      </c>
      <c r="C310" s="7" t="str">
        <f t="shared" si="18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IFERROR(VLOOKUP(B310,input_596106!L:R,7,FALSE),VLOOKUP(tables_596106!C310,input_596106!A:H,8,FALSE))</f>
        <v>1920</v>
      </c>
      <c r="P310" s="40">
        <f t="shared" ca="1" si="19"/>
        <v>3.5087719298373862E-4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input_596106!A$2</f>
        <v>596106</v>
      </c>
      <c r="B311" s="5">
        <v>1067</v>
      </c>
      <c r="C311" s="7" t="str">
        <f t="shared" ref="C311:C319" si="20">D311&amp;J311&amp;E311&amp;F311&amp;G311</f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IFERROR(VLOOKUP(B311,input_596106!L:R,7,FALSE),VLOOKUP(tables_596106!C311,input_596106!A:H,8,FALSE))</f>
        <v>26300.7</v>
      </c>
      <c r="P311" s="40">
        <f t="shared" ref="P311:P319" ca="1" si="21">O311/SUM(O:O)</f>
        <v>4.8064144737017785E-3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input_596106!A$2</f>
        <v>596106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IFERROR(VLOOKUP(B312,input_596106!L:R,7,FALSE),VLOOKUP(tables_596106!C312,input_596106!A:H,8,FALSE))</f>
        <v>1577.04</v>
      </c>
      <c r="P312" s="40">
        <f t="shared" ca="1" si="21"/>
        <v>2.8820175438701827E-4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input_596106!A$2</f>
        <v>596106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IFERROR(VLOOKUP(B313,input_596106!L:R,7,FALSE),VLOOKUP(tables_596106!C313,input_596106!A:H,8,FALSE))</f>
        <v>1920</v>
      </c>
      <c r="P313" s="40">
        <f t="shared" ca="1" si="21"/>
        <v>3.5087719298373862E-4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input_596106!A$2</f>
        <v>596106</v>
      </c>
      <c r="B314" s="5">
        <v>1072</v>
      </c>
      <c r="C314" s="7" t="str">
        <f t="shared" si="20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IFERROR(VLOOKUP(B314,input_596106!L:R,7,FALSE),VLOOKUP(tables_596106!C314,input_596106!A:H,8,FALSE))</f>
        <v>9120</v>
      </c>
      <c r="P314" s="40">
        <f t="shared" ca="1" si="21"/>
        <v>1.6666666666727583E-3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input_596106!A$2</f>
        <v>596106</v>
      </c>
      <c r="B315" s="5">
        <v>1074</v>
      </c>
      <c r="C315" s="7" t="str">
        <f t="shared" si="20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IFERROR(VLOOKUP(B315,input_596106!L:R,7,FALSE),VLOOKUP(tables_596106!C315,input_596106!A:H,8,FALSE))</f>
        <v>1920</v>
      </c>
      <c r="P315" s="40">
        <f t="shared" ca="1" si="21"/>
        <v>3.5087719298373862E-4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input_596106!A$2</f>
        <v>596106</v>
      </c>
      <c r="B316" s="5">
        <v>1100</v>
      </c>
      <c r="C316" s="7" t="str">
        <f t="shared" si="20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IFERROR(VLOOKUP(B316,input_596106!L:R,7,FALSE),VLOOKUP(tables_596106!C316,input_596106!A:H,8,FALSE))</f>
        <v>1920</v>
      </c>
      <c r="P316" s="40">
        <f t="shared" ca="1" si="21"/>
        <v>3.5087719298373862E-4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input_596106!A$2</f>
        <v>596106</v>
      </c>
      <c r="B317" s="5">
        <v>1102</v>
      </c>
      <c r="C317" s="7" t="str">
        <f t="shared" si="20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IFERROR(VLOOKUP(B317,input_596106!L:R,7,FALSE),VLOOKUP(tables_596106!C317,input_596106!A:H,8,FALSE))</f>
        <v>1920</v>
      </c>
      <c r="P317" s="40">
        <f t="shared" ca="1" si="21"/>
        <v>3.5087719298373862E-4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input_596106!A$2</f>
        <v>596106</v>
      </c>
      <c r="B318" s="5">
        <v>1104</v>
      </c>
      <c r="C318" s="7" t="str">
        <f t="shared" si="20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IFERROR(VLOOKUP(B318,input_596106!L:R,7,FALSE),VLOOKUP(tables_596106!C318,input_596106!A:H,8,FALSE))</f>
        <v>115980.1344</v>
      </c>
      <c r="P318" s="40">
        <f t="shared" ca="1" si="21"/>
        <v>2.1195200000077467E-2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input_596106!A$2</f>
        <v>596106</v>
      </c>
      <c r="B319" s="5">
        <v>1105</v>
      </c>
      <c r="C319" s="7" t="str">
        <f t="shared" si="20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IFERROR(VLOOKUP(B319,input_596106!L:R,7,FALSE),VLOOKUP(tables_596106!C319,input_596106!A:H,8,FALSE))</f>
        <v>4396.36114</v>
      </c>
      <c r="P319" s="40">
        <f t="shared" ca="1" si="21"/>
        <v>8.0342857090936928E-4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input_596106!A$2</f>
        <v>596106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IFERROR(VLOOKUP(B320,input_596106!L:R,7,FALSE),VLOOKUP(tables_596106!C320,input_596106!A:H,8,FALSE))</f>
        <v>1920</v>
      </c>
      <c r="P320" s="40">
        <f t="shared" ref="P320:P324" ca="1" si="23">O320/SUM(O:O)</f>
        <v>3.5087719298373862E-4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input_596106!A$2</f>
        <v>596106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IFERROR(VLOOKUP(B321,input_596106!L:R,7,FALSE),VLOOKUP(tables_596106!C321,input_596106!A:H,8,FALSE))</f>
        <v>1920</v>
      </c>
      <c r="P321" s="40">
        <f t="shared" ca="1" si="23"/>
        <v>3.5087719298373862E-4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input_596106!A$2</f>
        <v>596106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IFERROR(VLOOKUP(B322,input_596106!L:R,7,FALSE),VLOOKUP(tables_596106!C322,input_596106!A:H,8,FALSE))</f>
        <v>1920</v>
      </c>
      <c r="P322" s="40">
        <f t="shared" ca="1" si="23"/>
        <v>3.5087719298373862E-4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input_596106!A$2</f>
        <v>596106</v>
      </c>
      <c r="B323" s="5">
        <v>1141</v>
      </c>
      <c r="C323" s="7" t="str">
        <f t="shared" si="22"/>
        <v>PremiumSS5R5onlycolor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IFERROR(VLOOKUP(B323,input_596106!L:R,7,FALSE),VLOOKUP(tables_596106!C323,input_596106!A:H,8,FALSE))</f>
        <v>9120</v>
      </c>
      <c r="P323" s="40">
        <f t="shared" ca="1" si="23"/>
        <v>1.6666666666727583E-3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input_596106!A$2</f>
        <v>596106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IFERROR(VLOOKUP(B324,input_596106!L:R,7,FALSE),VLOOKUP(tables_596106!C324,input_596106!A:H,8,FALSE))</f>
        <v>26300.7</v>
      </c>
      <c r="P324" s="40">
        <f t="shared" ca="1" si="23"/>
        <v>4.8064144737017785E-3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input_596106!A$2</f>
        <v>596106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IFERROR(VLOOKUP(B325,input_596106!L:R,7,FALSE),VLOOKUP(tables_596106!C325,input_596106!A:H,8,FALSE))</f>
        <v>1577.04</v>
      </c>
      <c r="P325" s="40">
        <f t="shared" ref="P325:P330" ca="1" si="26">O325/SUM(O:O)</f>
        <v>2.8820175438701827E-4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input_596106!A$2</f>
        <v>596106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IFERROR(VLOOKUP(B326,input_596106!L:R,7,FALSE),VLOOKUP(tables_596106!C326,input_596106!A:H,8,FALSE))</f>
        <v>26300.7</v>
      </c>
      <c r="P326" s="40">
        <f t="shared" ca="1" si="26"/>
        <v>4.8064144737017785E-3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input_596106!A$2</f>
        <v>596106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IFERROR(VLOOKUP(B327,input_596106!L:R,7,FALSE),VLOOKUP(tables_596106!C327,input_596106!A:H,8,FALSE))</f>
        <v>1577.04</v>
      </c>
      <c r="P327" s="40">
        <f t="shared" ca="1" si="26"/>
        <v>2.8820175438701827E-4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input_596106!A$2</f>
        <v>596106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IFERROR(VLOOKUP(B328,input_596106!L:R,7,FALSE),VLOOKUP(tables_596106!C328,input_596106!A:H,8,FALSE))</f>
        <v>1920</v>
      </c>
      <c r="P328" s="40">
        <f t="shared" ca="1" si="26"/>
        <v>3.5087719298373862E-4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input_596106!A$2</f>
        <v>596106</v>
      </c>
      <c r="B329" s="2">
        <v>1155</v>
      </c>
      <c r="C329" s="7" t="str">
        <f t="shared" si="25"/>
        <v>PremiumSS5R5onlycolor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IFERROR(VLOOKUP(B329,input_596106!L:R,7,FALSE),VLOOKUP(tables_596106!C329,input_596106!A:H,8,FALSE))</f>
        <v>9120</v>
      </c>
      <c r="P329" s="40">
        <f t="shared" ca="1" si="26"/>
        <v>1.6666666666727583E-3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input_596106!A$2</f>
        <v>596106</v>
      </c>
      <c r="B330" s="2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IFERROR(VLOOKUP(B330,input_596106!L:R,7,FALSE),VLOOKUP(tables_596106!C330,input_596106!A:H,8,FALSE))</f>
        <v>1920</v>
      </c>
      <c r="P330" s="40">
        <f t="shared" ca="1" si="26"/>
        <v>3.5087719298373862E-4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input_596106!A$2</f>
        <v>596106</v>
      </c>
      <c r="B331" s="52">
        <v>1214</v>
      </c>
      <c r="C331" s="7" t="str">
        <f t="shared" ref="C331:C340" si="27">D331&amp;J331&amp;E331&amp;F331&amp;G331</f>
        <v>PremiumSS5R5only</v>
      </c>
      <c r="D331" s="7" t="str">
        <f t="shared" ref="D331:D340" si="28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IFERROR(VLOOKUP(B331,input_596106!L:R,7,FALSE),VLOOKUP(tables_596106!C331,input_596106!A:H,8,FALSE))</f>
        <v>1920</v>
      </c>
      <c r="P331" s="40">
        <f t="shared" ref="P331:P340" ca="1" si="29">O331/SUM(O:O)</f>
        <v>3.5087719298373862E-4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input_596106!A$2</f>
        <v>596106</v>
      </c>
      <c r="B332" s="52">
        <v>1212</v>
      </c>
      <c r="C332" s="7" t="str">
        <f t="shared" si="27"/>
        <v>PremiumSS5R5onlycolor</v>
      </c>
      <c r="D332" s="7" t="str">
        <f t="shared" si="2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IFERROR(VLOOKUP(B332,input_596106!L:R,7,FALSE),VLOOKUP(tables_596106!C332,input_596106!A:H,8,FALSE))</f>
        <v>9120</v>
      </c>
      <c r="P332" s="40">
        <f t="shared" ca="1" si="29"/>
        <v>1.6666666666727583E-3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input_596106!A$2</f>
        <v>596106</v>
      </c>
      <c r="B333" s="52">
        <v>1208</v>
      </c>
      <c r="C333" s="7" t="str">
        <f t="shared" si="27"/>
        <v>PremiumSS5R5only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IFERROR(VLOOKUP(B333,input_596106!L:R,7,FALSE),VLOOKUP(tables_596106!C333,input_596106!A:H,8,FALSE))</f>
        <v>1920</v>
      </c>
      <c r="P333" s="40">
        <f t="shared" ca="1" si="29"/>
        <v>3.5087719298373862E-4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input_596106!A$2</f>
        <v>596106</v>
      </c>
      <c r="B334" s="96">
        <v>1210</v>
      </c>
      <c r="C334" s="7" t="str">
        <f t="shared" si="27"/>
        <v>Premium4R3less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IFERROR(VLOOKUP(B334,input_596106!L:R,7,FALSE),VLOOKUP(tables_596106!C334,input_596106!A:H,8,FALSE))</f>
        <v>26300.7</v>
      </c>
      <c r="P334" s="40">
        <f t="shared" ca="1" si="29"/>
        <v>4.8064144737017785E-3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input_596106!A$2</f>
        <v>596106</v>
      </c>
      <c r="B335" s="52">
        <v>1211</v>
      </c>
      <c r="C335" s="7" t="str">
        <f t="shared" si="27"/>
        <v>Premium5R3less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IFERROR(VLOOKUP(B335,input_596106!L:R,7,FALSE),VLOOKUP(tables_596106!C335,input_596106!A:H,8,FALSE))</f>
        <v>1577.04</v>
      </c>
      <c r="P335" s="40">
        <f t="shared" ca="1" si="29"/>
        <v>2.8820175438701827E-4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input_596106!A$2</f>
        <v>596106</v>
      </c>
      <c r="B336" s="2">
        <v>1224</v>
      </c>
      <c r="C336" s="7" t="str">
        <f t="shared" si="27"/>
        <v>Premium4R3less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IFERROR(VLOOKUP(B336,input_596106!L:R,7,FALSE),VLOOKUP(tables_596106!C336,input_596106!A:H,8,FALSE))</f>
        <v>26300.7</v>
      </c>
      <c r="P336" s="40">
        <f t="shared" ca="1" si="29"/>
        <v>4.8064144737017785E-3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input_596106!A$2</f>
        <v>596106</v>
      </c>
      <c r="B337" s="2">
        <v>1225</v>
      </c>
      <c r="C337" s="7" t="str">
        <f t="shared" si="27"/>
        <v>Premium5R3less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IFERROR(VLOOKUP(B337,input_596106!L:R,7,FALSE),VLOOKUP(tables_596106!C337,input_596106!A:H,8,FALSE))</f>
        <v>1577.04</v>
      </c>
      <c r="P337" s="40">
        <f t="shared" ca="1" si="29"/>
        <v>2.8820175438701827E-4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input_596106!A$2</f>
        <v>596106</v>
      </c>
      <c r="B338" s="2">
        <v>1226</v>
      </c>
      <c r="C338" s="7" t="str">
        <f t="shared" si="27"/>
        <v>PremiumSS5R5only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IFERROR(VLOOKUP(B338,input_596106!L:R,7,FALSE),VLOOKUP(tables_596106!C338,input_596106!A:H,8,FALSE))</f>
        <v>1920</v>
      </c>
      <c r="P338" s="40">
        <f t="shared" ca="1" si="29"/>
        <v>3.5087719298373862E-4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input_596106!A$2</f>
        <v>596106</v>
      </c>
      <c r="B339" s="2">
        <v>1228</v>
      </c>
      <c r="C339" s="7" t="str">
        <f t="shared" si="27"/>
        <v>PremiumSS5R5onlycolor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IFERROR(VLOOKUP(B339,input_596106!L:R,7,FALSE),VLOOKUP(tables_596106!C339,input_596106!A:H,8,FALSE))</f>
        <v>9120</v>
      </c>
      <c r="P339" s="40">
        <f t="shared" ca="1" si="29"/>
        <v>1.6666666666727583E-3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input_596106!A$2</f>
        <v>596106</v>
      </c>
      <c r="B340" s="2">
        <v>1230</v>
      </c>
      <c r="C340" s="7" t="str">
        <f t="shared" si="27"/>
        <v>PremiumSS5R5only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IFERROR(VLOOKUP(B340,input_596106!L:R,7,FALSE),VLOOKUP(tables_596106!C340,input_596106!A:H,8,FALSE))</f>
        <v>1920</v>
      </c>
      <c r="P340" s="40">
        <f t="shared" ca="1" si="29"/>
        <v>3.5087719298373862E-4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input_596106!A$2</f>
        <v>596106</v>
      </c>
      <c r="B341" s="2">
        <v>1244</v>
      </c>
      <c r="C341" s="7" t="str">
        <f t="shared" ref="C341" si="30">D341&amp;J341&amp;E341&amp;F341&amp;G341</f>
        <v>PremiumSS5R5only</v>
      </c>
      <c r="D341" s="7" t="str">
        <f t="shared" ref="D341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IFERROR(VLOOKUP(B341,input_596106!L:R,7,FALSE),VLOOKUP(tables_596106!C341,input_596106!A:H,8,FALSE))</f>
        <v>1920</v>
      </c>
      <c r="P341" s="40">
        <f t="shared" ref="P341" ca="1" si="32">O341/SUM(O:O)</f>
        <v>3.5087719298373862E-4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input_596106!A$2</f>
        <v>596106</v>
      </c>
      <c r="B342" s="2">
        <v>1246</v>
      </c>
      <c r="C342" s="7" t="str">
        <f t="shared" ref="C342:C346" si="33">D342&amp;J342&amp;E342&amp;F342&amp;G342</f>
        <v>PremiumSS5R5only</v>
      </c>
      <c r="D342" s="7" t="str">
        <f t="shared" ref="D342:D346" si="34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IFERROR(VLOOKUP(B342,input_596106!L:R,7,FALSE),VLOOKUP(tables_596106!C342,input_596106!A:H,8,FALSE))</f>
        <v>1920</v>
      </c>
      <c r="P342" s="40">
        <f t="shared" ref="P342:P346" ca="1" si="35">O342/SUM(O:O)</f>
        <v>3.5087719298373862E-4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input_596106!A$2</f>
        <v>596106</v>
      </c>
      <c r="B343" s="2">
        <v>1248</v>
      </c>
      <c r="C343" s="7" t="str">
        <f t="shared" si="33"/>
        <v>Premium4R3lesscolor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IFERROR(VLOOKUP(B343,input_596106!L:R,7,FALSE),VLOOKUP(tables_596106!C343,input_596106!A:H,8,FALSE))</f>
        <v>115980.1344</v>
      </c>
      <c r="P343" s="40">
        <f t="shared" ca="1" si="35"/>
        <v>2.1195200000077467E-2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input_596106!A$2</f>
        <v>596106</v>
      </c>
      <c r="B344" s="2">
        <v>1249</v>
      </c>
      <c r="C344" s="7" t="str">
        <f t="shared" si="33"/>
        <v>Premium5R3lesscolor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IFERROR(VLOOKUP(B344,input_596106!L:R,7,FALSE),VLOOKUP(tables_596106!C344,input_596106!A:H,8,FALSE))</f>
        <v>4396.36114</v>
      </c>
      <c r="P344" s="40">
        <f t="shared" ca="1" si="35"/>
        <v>8.0342857090936928E-4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input_596106!A$2</f>
        <v>596106</v>
      </c>
      <c r="B345" s="2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IFERROR(VLOOKUP(B345,input_596106!L:R,7,FALSE),VLOOKUP(tables_596106!C345,input_596106!A:H,8,FALSE))</f>
        <v>1920</v>
      </c>
      <c r="P345" s="40">
        <f t="shared" ca="1" si="35"/>
        <v>3.5087719298373862E-4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input_596106!A$2</f>
        <v>596106</v>
      </c>
      <c r="B346" s="1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IFERROR(VLOOKUP(B346,input_596106!L:R,7,FALSE),VLOOKUP(tables_596106!C346,input_596106!A:H,8,FALSE))</f>
        <v>1920</v>
      </c>
      <c r="P346" s="40">
        <f t="shared" ca="1" si="35"/>
        <v>3.5087719298373862E-4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input_596106!A$2</f>
        <v>596106</v>
      </c>
      <c r="B347" s="1">
        <v>1262</v>
      </c>
      <c r="C347" s="7" t="str">
        <f t="shared" ref="C347:C356" si="36">D347&amp;J347&amp;E347&amp;F347&amp;G347</f>
        <v>PremiumSS5R5only</v>
      </c>
      <c r="D347" s="7" t="str">
        <f t="shared" ref="D347:D356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IFERROR(VLOOKUP(B347,input_596106!L:R,7,FALSE),VLOOKUP(tables_596106!C347,input_596106!A:H,8,FALSE))</f>
        <v>1920</v>
      </c>
      <c r="P347" s="40">
        <f t="shared" ref="P347:P350" ca="1" si="38">O347/SUM(O:O)</f>
        <v>3.5087719298373862E-4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input_596106!A$2</f>
        <v>596106</v>
      </c>
      <c r="B348" s="1">
        <v>1264</v>
      </c>
      <c r="C348" s="7" t="str">
        <f t="shared" si="36"/>
        <v>PremiumSS5R5onlycolor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IFERROR(VLOOKUP(B348,input_596106!L:R,7,FALSE),VLOOKUP(tables_596106!C348,input_596106!A:H,8,FALSE))</f>
        <v>9120</v>
      </c>
      <c r="P348" s="40">
        <f t="shared" ca="1" si="38"/>
        <v>1.6666666666727583E-3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input_596106!A$2</f>
        <v>596106</v>
      </c>
      <c r="B349" s="1">
        <v>1266</v>
      </c>
      <c r="C349" s="7" t="str">
        <f t="shared" si="36"/>
        <v>Premium4R3less</v>
      </c>
      <c r="D349" s="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IFERROR(VLOOKUP(B349,input_596106!L:R,7,FALSE),VLOOKUP(tables_596106!C349,input_596106!A:H,8,FALSE))</f>
        <v>26300.7</v>
      </c>
      <c r="P349" s="40">
        <f t="shared" ca="1" si="38"/>
        <v>4.8064144737017785E-3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input_596106!A$2</f>
        <v>596106</v>
      </c>
      <c r="B350" s="1">
        <v>1267</v>
      </c>
      <c r="C350" s="7" t="str">
        <f t="shared" si="36"/>
        <v>Premium5R3less</v>
      </c>
      <c r="D350" s="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IFERROR(VLOOKUP(B350,input_596106!L:R,7,FALSE),VLOOKUP(tables_596106!C350,input_596106!A:H,8,FALSE))</f>
        <v>1577.04</v>
      </c>
      <c r="P350" s="40">
        <f t="shared" ca="1" si="38"/>
        <v>2.8820175438701827E-4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input_596106!A$2</f>
        <v>596106</v>
      </c>
      <c r="B351" s="102">
        <v>1332</v>
      </c>
      <c r="C351" s="86" t="str">
        <f t="shared" si="36"/>
        <v>PremiumSS5R5only</v>
      </c>
      <c r="D351" s="7" t="str">
        <f t="shared" si="3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IFERROR(VLOOKUP(B351,input_596106!L:R,7,FALSE),VLOOKUP(tables_596106!C351,input_596106!A:H,8,FALSE))</f>
        <v>1920</v>
      </c>
      <c r="P351" s="40">
        <f t="shared" ref="P351:P356" ca="1" si="39">O351/SUM(O:O)</f>
        <v>3.5087719298373862E-4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input_596106!A$2</f>
        <v>596106</v>
      </c>
      <c r="B352" s="102">
        <v>1336</v>
      </c>
      <c r="C352" s="86" t="str">
        <f t="shared" si="36"/>
        <v>PremiumSS5R5onlycolor</v>
      </c>
      <c r="D352" s="7" t="str">
        <f t="shared" si="37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IFERROR(VLOOKUP(B352,input_596106!L:R,7,FALSE),VLOOKUP(tables_596106!C352,input_596106!A:H,8,FALSE))</f>
        <v>9120</v>
      </c>
      <c r="P352" s="40">
        <f t="shared" ca="1" si="39"/>
        <v>1.6666666666727583E-3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input_596106!A$2</f>
        <v>596106</v>
      </c>
      <c r="B353" s="102">
        <v>1338</v>
      </c>
      <c r="C353" s="86" t="str">
        <f t="shared" si="36"/>
        <v>PremiumSS5R5only</v>
      </c>
      <c r="D353" s="7" t="str">
        <f t="shared" si="37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IFERROR(VLOOKUP(B353,input_596106!L:R,7,FALSE),VLOOKUP(tables_596106!C353,input_596106!A:H,8,FALSE))</f>
        <v>1920</v>
      </c>
      <c r="P353" s="40">
        <f t="shared" ca="1" si="39"/>
        <v>3.5087719298373862E-4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input_596106!A$2</f>
        <v>596106</v>
      </c>
      <c r="B354" s="102">
        <v>1334</v>
      </c>
      <c r="C354" s="86" t="str">
        <f t="shared" si="36"/>
        <v>Premium4R3less</v>
      </c>
      <c r="D354" s="7" t="str">
        <f t="shared" si="37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IFERROR(VLOOKUP(B354,input_596106!L:R,7,FALSE),VLOOKUP(tables_596106!C354,input_596106!A:H,8,FALSE))</f>
        <v>26300.7</v>
      </c>
      <c r="P354" s="40">
        <f t="shared" ca="1" si="39"/>
        <v>4.8064144737017785E-3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input_596106!A$2</f>
        <v>596106</v>
      </c>
      <c r="B355" s="102">
        <v>1335</v>
      </c>
      <c r="C355" s="86" t="str">
        <f t="shared" si="36"/>
        <v>Premium5R3less</v>
      </c>
      <c r="D355" s="7" t="str">
        <f t="shared" si="37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IFERROR(VLOOKUP(B355,input_596106!L:R,7,FALSE),VLOOKUP(tables_596106!C355,input_596106!A:H,8,FALSE))</f>
        <v>1577.04</v>
      </c>
      <c r="P355" s="40">
        <f t="shared" ca="1" si="39"/>
        <v>2.8820175438701827E-4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input_596106!A$2</f>
        <v>596106</v>
      </c>
      <c r="B356" s="69">
        <v>1381</v>
      </c>
      <c r="C356" s="86" t="str">
        <f t="shared" si="36"/>
        <v>Premium4R3less</v>
      </c>
      <c r="D356" s="7" t="str">
        <f t="shared" si="37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IFERROR(VLOOKUP(B356,input_596106!L:R,7,FALSE),VLOOKUP(tables_596106!C356,input_596106!A:H,8,FALSE))</f>
        <v>26300.7</v>
      </c>
      <c r="P356" s="40">
        <f t="shared" ca="1" si="39"/>
        <v>4.8064144737017785E-3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input_596106!A$2</f>
        <v>596106</v>
      </c>
      <c r="B357" s="107">
        <v>1382</v>
      </c>
      <c r="C357" s="86" t="str">
        <f t="shared" ref="C357" si="40">D357&amp;J357&amp;E357&amp;F357&amp;G357</f>
        <v>Premium5R3less</v>
      </c>
      <c r="D357" s="7" t="str">
        <f t="shared" ref="D357" si="41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IFERROR(VLOOKUP(B357,input_596106!L:R,7,FALSE),VLOOKUP(tables_596106!C357,input_596106!A:H,8,FALSE))</f>
        <v>1577.04</v>
      </c>
      <c r="P357" s="40">
        <f t="shared" ref="P357" ca="1" si="42">O357/SUM(O:O)</f>
        <v>2.8820175438701827E-4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input_596106!A$2</f>
        <v>596106</v>
      </c>
      <c r="B358" s="107">
        <v>1383</v>
      </c>
      <c r="C358" s="86" t="str">
        <f t="shared" ref="C358:C361" si="43">D358&amp;J358&amp;E358&amp;F358&amp;G358</f>
        <v>PremiumSS5R5only</v>
      </c>
      <c r="D358" s="7" t="str">
        <f t="shared" ref="D358:D361" si="44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IFERROR(VLOOKUP(B358,input_596106!L:R,7,FALSE),VLOOKUP(tables_596106!C358,input_596106!A:H,8,FALSE))</f>
        <v>1920</v>
      </c>
      <c r="P358" s="40">
        <f t="shared" ref="P358:P361" ca="1" si="45">O358/SUM(O:O)</f>
        <v>3.5087719298373862E-4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input_596106!A$2</f>
        <v>596106</v>
      </c>
      <c r="B359" s="107">
        <v>1385</v>
      </c>
      <c r="C359" s="86" t="str">
        <f t="shared" si="43"/>
        <v>PremiumSS5R5onlycolor</v>
      </c>
      <c r="D359" s="7" t="str">
        <f t="shared" si="44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IFERROR(VLOOKUP(B359,input_596106!L:R,7,FALSE),VLOOKUP(tables_596106!C359,input_596106!A:H,8,FALSE))</f>
        <v>9120</v>
      </c>
      <c r="P359" s="40">
        <f t="shared" ca="1" si="45"/>
        <v>1.6666666666727583E-3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input_596106!A$2</f>
        <v>596106</v>
      </c>
      <c r="B360" s="107">
        <v>1387</v>
      </c>
      <c r="C360" s="86" t="str">
        <f t="shared" si="43"/>
        <v>PremiumSS5R5only</v>
      </c>
      <c r="D360" s="7" t="str">
        <f t="shared" si="44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IFERROR(VLOOKUP(B360,input_596106!L:R,7,FALSE),VLOOKUP(tables_596106!C360,input_596106!A:H,8,FALSE))</f>
        <v>1920</v>
      </c>
      <c r="P360" s="40">
        <f t="shared" ca="1" si="45"/>
        <v>3.5087719298373862E-4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input_596106!A$2</f>
        <v>596106</v>
      </c>
      <c r="B361" s="108">
        <v>1393</v>
      </c>
      <c r="C361" s="86" t="str">
        <f t="shared" si="43"/>
        <v>PremiumSSS5R3lesscolor</v>
      </c>
      <c r="D361" s="7" t="str">
        <f t="shared" si="44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ライプニッツ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hp</v>
      </c>
      <c r="M361" s="7" t="str">
        <f>VLOOKUP(B361,[1]characters!$A:$M,13,FALSE)</f>
        <v>academia</v>
      </c>
      <c r="N361" s="7">
        <f>VLOOKUP(B361,[1]characters!$A:$G,7,FALSE)</f>
        <v>0</v>
      </c>
      <c r="O361" s="39">
        <f>IFERROR(VLOOKUP(B361,input_596106!L:R,7,FALSE),VLOOKUP(tables_596106!C361,input_596106!A:H,8,FALSE))</f>
        <v>109440</v>
      </c>
      <c r="P361" s="40">
        <f t="shared" ca="1" si="45"/>
        <v>2.0000000000073102E-2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300"/>
  <phoneticPr fontId="13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65"/>
  <sheetViews>
    <sheetView topLeftCell="A27"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596100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8">
        <v>1393</v>
      </c>
      <c r="M3" s="31" t="str">
        <f>VLOOKUP(L3,[1]characters!$A:$C,3,FALSE)</f>
        <v>ライプニッツ</v>
      </c>
      <c r="N3" s="54">
        <v>2.4E-2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VLOOKUP(L3,tables_596100!B:C,2,FALSE)</f>
        <v>PremiumSSS5R3lesscolor</v>
      </c>
      <c r="R3" s="53">
        <f t="shared" ref="R3:R20" si="1">N3*A$51</f>
        <v>131328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VLOOKUP(L4,tables_596100!B:C,2,FALSE)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3.5087719298245622E-4</v>
      </c>
      <c r="F5">
        <f>(COUNTIF(tables_596100!C:C,input_596100!A28)+COUNTIF(tables_596100!C:C,input_596100!A29))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VLOOKUP(L5,tables_596100!B:C,2,FALSE)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(COUNTIF(tables_596100!C:C,input_596100!A43)+COUNTIF(tables_596100!C:C,input_596100!A44))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VLOOKUP(L6,tables_596100!B:C,2,FALSE)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5.1444444444444445E-3</v>
      </c>
      <c r="F7">
        <f>(COUNTIF(tables_596100!C:C,input_596100!A25)+COUNTIF(tables_596100!C:C,input_596100!A18)+COUNTIF(tables_596100!C:C,input_596100!A20)+COUNTIF(tables_596100!C:C,input_596100!A22))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VLOOKUP(L7,tables_596100!B:C,2,FALSE)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2.2224000000000001E-2</v>
      </c>
      <c r="F8">
        <f>(COUNTIF(tables_596100!C:C,input_596100!A40)+COUNTIF(tables_596100!C:C,input_596100!A33)+COUNTIF(tables_596100!C:C,input_596100!A35)+COUNTIF(tables_596100!C:C,input_596100!A37))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VLOOKUP(L8,tables_596100!B:C,2,FALSE)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VLOOKUP(L9,tables_596100!B:C,2,FALSE)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0.92599999999999993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VLOOKUP(L10,tables_596100!B:C,2,FALSE)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VLOOKUP(L11,tables_596100!B:C,2,FALSE)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2.4E-2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VLOOKUP(L12,tables_596100!B:C,2,FALSE)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VLOOKUP(L13,tables_596100!B:C,2,FALSE)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VLOOKUP(L14,tables_596100!B:C,2,FALSE)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VLOOKUP(L15,tables_596100!B:C,2,FALSE)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VLOOKUP(L16,tables_596100!B:C,2,FALSE)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5" si="2">SUMIF(Q:Q,A17,N:N)</f>
        <v>0</v>
      </c>
      <c r="D17" s="66">
        <f t="shared" ref="D17:D47" si="3">B17-C17</f>
        <v>0</v>
      </c>
      <c r="E17">
        <f>COUNTIF(tables_596100!C:C,input_596100!A17)-COUNTIF(Q:Q,A17)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VLOOKUP(L17,tables_596100!B:C,2,FALSE)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8.6766666666666714E-2</v>
      </c>
      <c r="C18" s="75">
        <f t="shared" si="2"/>
        <v>0</v>
      </c>
      <c r="D18" s="66">
        <f t="shared" si="3"/>
        <v>8.6766666666666714E-2</v>
      </c>
      <c r="E18">
        <f>COUNTIF(tables_596100!C:C,input_596100!A18)-COUNTIF(Q:Q,A18)</f>
        <v>15</v>
      </c>
      <c r="F18" s="37">
        <f>IFERROR(B18/E18,0)</f>
        <v>5.784444444444448E-3</v>
      </c>
      <c r="G18">
        <f t="shared" si="4"/>
        <v>474787.20000000024</v>
      </c>
      <c r="H18">
        <f t="shared" si="5"/>
        <v>31652.48</v>
      </c>
      <c r="I18">
        <f t="shared" si="6"/>
        <v>0.47999999999956344</v>
      </c>
      <c r="J18">
        <f t="shared" si="7"/>
        <v>2.083333333335228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VLOOKUP(L18,tables_596100!B:C,2,FALSE)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COUNTIF(tables_596100!C:C,input_596100!A19)-COUNTIF(Q:Q,A19)</f>
        <v>38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VLOOKUP(L19,tables_596100!B:C,2,FALSE)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0.17593999999999999</v>
      </c>
      <c r="C20" s="75">
        <f t="shared" si="2"/>
        <v>0</v>
      </c>
      <c r="D20" s="66">
        <f t="shared" si="3"/>
        <v>0.17593999999999999</v>
      </c>
      <c r="E20">
        <f>COUNTIF(tables_596100!C:C,input_596100!A20)-COUNTIF(Q:Q,A20)</f>
        <v>38</v>
      </c>
      <c r="F20" s="37">
        <f t="shared" si="8"/>
        <v>4.6299999999999996E-3</v>
      </c>
      <c r="G20">
        <f t="shared" si="4"/>
        <v>962743.67999999993</v>
      </c>
      <c r="H20">
        <f t="shared" si="5"/>
        <v>25335.360000000001</v>
      </c>
      <c r="I20">
        <f t="shared" si="6"/>
        <v>0.36000000000058208</v>
      </c>
      <c r="J20">
        <f t="shared" si="7"/>
        <v>2.7777777777732866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VLOOKUP(L20,tables_596100!B:C,2,FALSE)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1.954888888888889E-2</v>
      </c>
      <c r="C21" s="75">
        <f t="shared" si="2"/>
        <v>0</v>
      </c>
      <c r="D21" s="66">
        <f t="shared" si="3"/>
        <v>1.954888888888889E-2</v>
      </c>
      <c r="E21">
        <f>COUNTIF(tables_596100!C:C,input_596100!A21)-COUNTIF(Q:Q,A21)</f>
        <v>38</v>
      </c>
      <c r="F21" s="37">
        <f t="shared" si="8"/>
        <v>5.1444444444444443E-4</v>
      </c>
      <c r="G21">
        <f t="shared" si="4"/>
        <v>106971.52</v>
      </c>
      <c r="H21">
        <f t="shared" si="5"/>
        <v>2815.04</v>
      </c>
      <c r="I21">
        <f t="shared" si="6"/>
        <v>3.999999999996362E-2</v>
      </c>
      <c r="J21">
        <f t="shared" si="7"/>
        <v>25.000000000022737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7.6455964912280697E-2</v>
      </c>
      <c r="C22" s="75">
        <f t="shared" si="2"/>
        <v>0</v>
      </c>
      <c r="D22" s="66">
        <f t="shared" si="3"/>
        <v>7.6455964912280697E-2</v>
      </c>
      <c r="E22">
        <f>COUNTIF(tables_596100!C:C,input_596100!A22)-COUNTIF(Q:Q,A22)</f>
        <v>16</v>
      </c>
      <c r="F22" s="37">
        <f t="shared" si="8"/>
        <v>4.7784978070175435E-3</v>
      </c>
      <c r="G22">
        <f t="shared" si="4"/>
        <v>418367.04</v>
      </c>
      <c r="H22">
        <f t="shared" si="5"/>
        <v>26147.94</v>
      </c>
      <c r="I22">
        <f t="shared" si="6"/>
        <v>0.93999999999869033</v>
      </c>
      <c r="J22">
        <f t="shared" si="7"/>
        <v>1.0638297872355247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5.855146198830416E-3</v>
      </c>
      <c r="C23" s="75">
        <f t="shared" si="2"/>
        <v>0</v>
      </c>
      <c r="D23" s="66">
        <f t="shared" si="3"/>
        <v>5.855146198830416E-3</v>
      </c>
      <c r="E23">
        <f>COUNTIF(tables_596100!C:C,input_596100!A23)-COUNTIF(Q:Q,A23)</f>
        <v>20</v>
      </c>
      <c r="F23" s="37">
        <f t="shared" si="8"/>
        <v>2.9275730994152079E-4</v>
      </c>
      <c r="G23">
        <f t="shared" si="4"/>
        <v>32039.360000000037</v>
      </c>
      <c r="H23">
        <f t="shared" si="5"/>
        <v>1601.9680000000001</v>
      </c>
      <c r="I23">
        <f t="shared" si="6"/>
        <v>0.96800000000007458</v>
      </c>
      <c r="J23">
        <f t="shared" si="7"/>
        <v>1.0330578512395898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COUNTIF(tables_596100!C:C,input_596100!A24)-COUNTIF(Q:Q,A24)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1.3890000000000001E-2</v>
      </c>
      <c r="C25" s="75">
        <f t="shared" si="2"/>
        <v>0</v>
      </c>
      <c r="D25" s="66">
        <f t="shared" si="3"/>
        <v>1.3890000000000001E-2</v>
      </c>
      <c r="E25">
        <f>COUNTIF(tables_596100!C:C,input_596100!A25)-COUNTIF(Q:Q,A25)</f>
        <v>3</v>
      </c>
      <c r="F25" s="37">
        <f t="shared" si="8"/>
        <v>4.6300000000000004E-3</v>
      </c>
      <c r="G25">
        <f t="shared" si="4"/>
        <v>76006.080000000002</v>
      </c>
      <c r="H25">
        <f t="shared" si="5"/>
        <v>25335.360000000001</v>
      </c>
      <c r="I25">
        <f t="shared" si="6"/>
        <v>0.36000000000058208</v>
      </c>
      <c r="J25">
        <f t="shared" si="7"/>
        <v>2.7777777777732866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1.5433333333333332E-3</v>
      </c>
      <c r="C26" s="75">
        <f t="shared" si="2"/>
        <v>0</v>
      </c>
      <c r="D26" s="66">
        <f t="shared" si="3"/>
        <v>1.5433333333333332E-3</v>
      </c>
      <c r="E26">
        <f>COUNTIF(tables_596100!C:C,input_596100!A26)-COUNTIF(Q:Q,A26)</f>
        <v>3</v>
      </c>
      <c r="F26" s="37">
        <f t="shared" si="8"/>
        <v>5.1444444444444443E-4</v>
      </c>
      <c r="G26">
        <f t="shared" si="4"/>
        <v>8445.119999999999</v>
      </c>
      <c r="H26">
        <f t="shared" si="5"/>
        <v>2815.04</v>
      </c>
      <c r="I26">
        <f t="shared" si="6"/>
        <v>3.999999999996362E-2</v>
      </c>
      <c r="J26">
        <f t="shared" si="7"/>
        <v>25.000000000022737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6.9473684210526335E-3</v>
      </c>
      <c r="C27" s="75">
        <f t="shared" si="2"/>
        <v>0</v>
      </c>
      <c r="D27" s="66">
        <f t="shared" si="3"/>
        <v>6.9473684210526335E-3</v>
      </c>
      <c r="E27">
        <f>COUNTIF(tables_596100!C:C,input_596100!A27)-COUNTIF(Q:Q,A27)</f>
        <v>22</v>
      </c>
      <c r="F27" s="37">
        <f>IFERROR(B27/E27,0)</f>
        <v>3.1578947368421064E-4</v>
      </c>
      <c r="G27">
        <f t="shared" si="4"/>
        <v>38016.000000000007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7.7192982456140372E-4</v>
      </c>
      <c r="C28" s="75">
        <f t="shared" si="2"/>
        <v>0</v>
      </c>
      <c r="D28" s="66">
        <f t="shared" si="3"/>
        <v>7.7192982456140372E-4</v>
      </c>
      <c r="E28">
        <f>COUNTIF(tables_596100!C:C,input_596100!A28)-COUNTIF(Q:Q,A28)</f>
        <v>22</v>
      </c>
      <c r="F28" s="37">
        <f t="shared" si="8"/>
        <v>3.5087719298245625E-5</v>
      </c>
      <c r="G28">
        <f t="shared" si="4"/>
        <v>4224.0000000000009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1.2280701754385968E-2</v>
      </c>
      <c r="C29" s="75">
        <f t="shared" si="2"/>
        <v>0</v>
      </c>
      <c r="D29" s="66">
        <f t="shared" si="3"/>
        <v>1.2280701754385968E-2</v>
      </c>
      <c r="E29">
        <f>COUNTIF(tables_596100!C:C,input_596100!A29)-COUNTIF(Q:Q,A29)</f>
        <v>35</v>
      </c>
      <c r="F29" s="37">
        <f t="shared" si="8"/>
        <v>3.5087719298245622E-4</v>
      </c>
      <c r="G29">
        <f t="shared" si="4"/>
        <v>67200.000000000015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COUNTIF(tables_596100!C:C,input_596100!A30)-COUNTIF(Q:Q,A30)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COUNTIF(tables_596100!C:C,input_596100!A31)-COUNTIF(Q:Q,A31)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COUNTIF(tables_596100!C:C,input_596100!A32)-COUNTIF(Q:Q,A32)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0.12341280000000004</v>
      </c>
      <c r="C33" s="75">
        <f t="shared" si="2"/>
        <v>0</v>
      </c>
      <c r="D33" s="66">
        <f t="shared" si="3"/>
        <v>0.12341280000000004</v>
      </c>
      <c r="E33">
        <f>COUNTIF(tables_596100!C:C,input_596100!A33)-COUNTIF(Q:Q,A33)</f>
        <v>5</v>
      </c>
      <c r="F33" s="37">
        <f>IFERROR(B33/E33,0)</f>
        <v>2.468256000000001E-2</v>
      </c>
      <c r="G33">
        <f t="shared" si="4"/>
        <v>675314.84160000028</v>
      </c>
      <c r="H33">
        <f t="shared" si="5"/>
        <v>135062.96832000001</v>
      </c>
      <c r="I33">
        <f t="shared" si="6"/>
        <v>0.96832000001450069</v>
      </c>
      <c r="J33">
        <f t="shared" si="7"/>
        <v>1.0327164573539995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COUNTIF(tables_596100!C:C,input_596100!A34)-COUNTIF(Q:Q,A34)</f>
        <v>14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0.2800224</v>
      </c>
      <c r="C35" s="75">
        <f t="shared" si="2"/>
        <v>0</v>
      </c>
      <c r="D35" s="66">
        <f t="shared" si="3"/>
        <v>0.2800224</v>
      </c>
      <c r="E35">
        <f>COUNTIF(tables_596100!C:C,input_596100!A35)-COUNTIF(Q:Q,A35)</f>
        <v>14</v>
      </c>
      <c r="F35" s="37">
        <f t="shared" si="9"/>
        <v>2.0001600000000001E-2</v>
      </c>
      <c r="G35">
        <f t="shared" si="4"/>
        <v>1532282.5728</v>
      </c>
      <c r="H35">
        <f t="shared" si="5"/>
        <v>109448.7552</v>
      </c>
      <c r="I35">
        <f t="shared" si="6"/>
        <v>0.75519999999960419</v>
      </c>
      <c r="J35">
        <f t="shared" si="7"/>
        <v>1.3241525423735754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9.2208000000000012E-3</v>
      </c>
      <c r="C36" s="75">
        <f t="shared" si="2"/>
        <v>0</v>
      </c>
      <c r="D36" s="66">
        <f t="shared" si="3"/>
        <v>9.2208000000000012E-3</v>
      </c>
      <c r="E36">
        <f>COUNTIF(tables_596100!C:C,input_596100!A36)-COUNTIF(Q:Q,A36)</f>
        <v>14</v>
      </c>
      <c r="F36" s="37">
        <f t="shared" si="9"/>
        <v>6.5862857142857153E-4</v>
      </c>
      <c r="G36">
        <f t="shared" si="4"/>
        <v>50456.217600000004</v>
      </c>
      <c r="H36">
        <f t="shared" si="5"/>
        <v>3604.0155399999999</v>
      </c>
      <c r="I36">
        <f t="shared" si="6"/>
        <v>1.5539999999873544E-2</v>
      </c>
      <c r="J36">
        <f t="shared" si="7"/>
        <v>64.350064350587999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0.1075632</v>
      </c>
      <c r="C37" s="75">
        <f t="shared" si="2"/>
        <v>0</v>
      </c>
      <c r="D37" s="66">
        <f t="shared" si="3"/>
        <v>0.1075632</v>
      </c>
      <c r="E37">
        <f>COUNTIF(tables_596100!C:C,input_596100!A37)-COUNTIF(Q:Q,A37)</f>
        <v>5</v>
      </c>
      <c r="F37" s="37">
        <f t="shared" si="9"/>
        <v>2.151264E-2</v>
      </c>
      <c r="G37">
        <f t="shared" si="4"/>
        <v>588585.83039999998</v>
      </c>
      <c r="H37">
        <f t="shared" si="5"/>
        <v>117717.16608</v>
      </c>
      <c r="I37">
        <f t="shared" si="6"/>
        <v>0.16607999999541789</v>
      </c>
      <c r="J37">
        <f t="shared" si="7"/>
        <v>6.021194605175757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3.5568000000000023E-3</v>
      </c>
      <c r="C38" s="75">
        <f t="shared" si="2"/>
        <v>0</v>
      </c>
      <c r="D38" s="66">
        <f t="shared" si="3"/>
        <v>3.5568000000000023E-3</v>
      </c>
      <c r="E38">
        <f>COUNTIF(tables_596100!C:C,input_596100!A38)-COUNTIF(Q:Q,A38)</f>
        <v>7</v>
      </c>
      <c r="F38" s="37">
        <f t="shared" si="9"/>
        <v>5.0811428571428605E-4</v>
      </c>
      <c r="G38">
        <f t="shared" si="4"/>
        <v>19462.809600000011</v>
      </c>
      <c r="H38">
        <f t="shared" si="5"/>
        <v>2780.40137</v>
      </c>
      <c r="I38">
        <f t="shared" si="6"/>
        <v>0.40137000000004264</v>
      </c>
      <c r="J38">
        <f t="shared" si="7"/>
        <v>2.4914667264616033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COUNTIF(tables_596100!C:C,input_596100!A39)-COUNTIF(Q:Q,A39)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2.0001600000000001E-2</v>
      </c>
      <c r="C40" s="75">
        <f t="shared" si="2"/>
        <v>0</v>
      </c>
      <c r="D40" s="66">
        <f t="shared" si="3"/>
        <v>2.0001600000000001E-2</v>
      </c>
      <c r="E40">
        <f>COUNTIF(tables_596100!C:C,input_596100!A40)-COUNTIF(Q:Q,A40)</f>
        <v>1</v>
      </c>
      <c r="F40" s="37">
        <f t="shared" si="9"/>
        <v>2.0001600000000001E-2</v>
      </c>
      <c r="G40">
        <f t="shared" si="4"/>
        <v>109448.75520000001</v>
      </c>
      <c r="H40">
        <f t="shared" si="5"/>
        <v>109448.7552</v>
      </c>
      <c r="I40">
        <f t="shared" si="6"/>
        <v>0.75519999999960419</v>
      </c>
      <c r="J40">
        <f t="shared" si="7"/>
        <v>1.3241525423735754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2.2224000000000002E-3</v>
      </c>
      <c r="C41" s="75">
        <f t="shared" si="2"/>
        <v>0</v>
      </c>
      <c r="D41" s="66">
        <f t="shared" si="3"/>
        <v>2.2224000000000002E-3</v>
      </c>
      <c r="E41">
        <f>COUNTIF(tables_596100!C:C,input_596100!A41)-COUNTIF(Q:Q,A41)</f>
        <v>1</v>
      </c>
      <c r="F41" s="37">
        <f t="shared" si="9"/>
        <v>2.2224000000000002E-3</v>
      </c>
      <c r="G41">
        <f t="shared" si="4"/>
        <v>12160.972800000001</v>
      </c>
      <c r="H41">
        <f t="shared" si="5"/>
        <v>12160.9728</v>
      </c>
      <c r="I41">
        <f t="shared" si="6"/>
        <v>0.9727999999995518</v>
      </c>
      <c r="J41">
        <f t="shared" si="7"/>
        <v>1.027960526316263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8.9999999999999993E-3</v>
      </c>
      <c r="C42" s="75">
        <f t="shared" si="2"/>
        <v>0</v>
      </c>
      <c r="D42" s="66">
        <f t="shared" si="3"/>
        <v>8.9999999999999993E-3</v>
      </c>
      <c r="E42">
        <f>COUNTIF(tables_596100!C:C,input_596100!A42)-COUNTIF(Q:Q,A42)</f>
        <v>6</v>
      </c>
      <c r="F42" s="37">
        <f>IFERROR(B42/E42,0)</f>
        <v>1.4999999999999998E-3</v>
      </c>
      <c r="G42">
        <f t="shared" si="4"/>
        <v>49247.999999999993</v>
      </c>
      <c r="H42">
        <f t="shared" si="5"/>
        <v>8208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9.999999999999998E-4</v>
      </c>
      <c r="C43" s="75">
        <f t="shared" si="2"/>
        <v>0</v>
      </c>
      <c r="D43" s="66">
        <f t="shared" si="3"/>
        <v>9.999999999999998E-4</v>
      </c>
      <c r="E43">
        <f>COUNTIF(tables_596100!C:C,input_596100!A43)-COUNTIF(Q:Q,A43)</f>
        <v>6</v>
      </c>
      <c r="F43" s="37">
        <f t="shared" ref="F43:F46" si="10">IFERROR(B43/E43,0)</f>
        <v>1.6666666666666663E-4</v>
      </c>
      <c r="G43">
        <f t="shared" si="4"/>
        <v>5471.9999999999991</v>
      </c>
      <c r="H43">
        <f t="shared" si="5"/>
        <v>912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1.9999999999999997E-2</v>
      </c>
      <c r="C44" s="75">
        <f t="shared" si="2"/>
        <v>0</v>
      </c>
      <c r="D44" s="66">
        <f t="shared" si="3"/>
        <v>1.9999999999999997E-2</v>
      </c>
      <c r="E44">
        <f>COUNTIF(tables_596100!C:C,input_596100!A44)-COUNTIF(Q:Q,A44)</f>
        <v>12</v>
      </c>
      <c r="F44" s="37">
        <f t="shared" si="10"/>
        <v>1.6666666666666663E-3</v>
      </c>
      <c r="G44">
        <f t="shared" si="4"/>
        <v>109439.99999999999</v>
      </c>
      <c r="H44">
        <f t="shared" si="5"/>
        <v>9120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COUNTIF(tables_596100!C:C,input_596100!A45)-COUNTIF(Q:Q,A45)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2.4E-2</v>
      </c>
      <c r="C46" s="75">
        <f>SUMIF(Q:Q,A46,N:N)</f>
        <v>2.4E-2</v>
      </c>
      <c r="D46" s="66">
        <f t="shared" si="3"/>
        <v>0</v>
      </c>
      <c r="E46">
        <f>COUNTIF(tables_596100!C:C,input_596100!A46)-COUNTIF(Q:Q,A46)</f>
        <v>0</v>
      </c>
      <c r="F46" s="37">
        <f t="shared" si="10"/>
        <v>0</v>
      </c>
      <c r="G46">
        <f t="shared" si="4"/>
        <v>131328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2.4E-2</v>
      </c>
      <c r="D47" s="36">
        <f t="shared" si="3"/>
        <v>0.97599999999999998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5472000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SUMIF(tables_596100!C:C,input_596100!A55,tables_596100!O:O)</f>
        <v>0</v>
      </c>
      <c r="C55" s="46">
        <f t="shared" ref="C55:C61" ca="1" si="11">B55/B$62</f>
        <v>0</v>
      </c>
      <c r="E55">
        <v>3</v>
      </c>
      <c r="F55">
        <f ca="1">SUMIF(tables_596100!J:J,input_596100!E55,tables_596100!O:O)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SUMIF(tables_596100!C:C,input_596100!A56,tables_596100!O:O)</f>
        <v>962743.67999999959</v>
      </c>
      <c r="C56" s="46">
        <f t="shared" ca="1" si="11"/>
        <v>0.86581157226478189</v>
      </c>
      <c r="E56">
        <v>4</v>
      </c>
      <c r="F56">
        <f ca="1">SUMIF(tables_596100!J:J,input_596100!E56,tables_596100!O:O)</f>
        <v>4924800.0000000028</v>
      </c>
      <c r="G56">
        <f ca="1">F56/A51</f>
        <v>0.90000000000000047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SUMIF(tables_596100!C:C,input_596100!A57,tables_596100!O:O)</f>
        <v>38016</v>
      </c>
      <c r="C57" s="46">
        <f t="shared" ca="1" si="11"/>
        <v>3.4188427735218123E-2</v>
      </c>
      <c r="E57">
        <v>5</v>
      </c>
      <c r="F57">
        <f ca="1">SUMIF(tables_596100!J:J,input_596100!E57,tables_596100!O:O)</f>
        <v>547199.99994999974</v>
      </c>
      <c r="G57">
        <f ca="1">F57/A51</f>
        <v>9.9999999990862523E-2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SUMIF(tables_596100!C:C,input_596100!A58,tables_596100!O:O)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SUMIF(tables_596100!C:C,input_596100!A59,tables_596100!O:O)</f>
        <v>106971.51999999992</v>
      </c>
      <c r="C59" s="46">
        <f t="shared" ca="1" si="11"/>
        <v>9.6201285807197959E-2</v>
      </c>
      <c r="E59" t="s">
        <v>37</v>
      </c>
      <c r="F59" s="47"/>
    </row>
    <row r="60" spans="1:8" x14ac:dyDescent="0.15">
      <c r="A60" s="27" t="s">
        <v>91</v>
      </c>
      <c r="B60">
        <f ca="1">SUMIF(tables_596100!C:C,input_596100!A60,tables_596100!O:O)</f>
        <v>4224</v>
      </c>
      <c r="C60" s="46">
        <f t="shared" ca="1" si="11"/>
        <v>3.7987141928020138E-3</v>
      </c>
      <c r="E60" t="s">
        <v>190</v>
      </c>
      <c r="F60" s="47">
        <f ca="1">SUMIF(tables_596100!I:I,input_596100!E60,tables_596100!P:P)</f>
        <v>0.21236672447927937</v>
      </c>
    </row>
    <row r="61" spans="1:8" x14ac:dyDescent="0.15">
      <c r="A61" s="27" t="s">
        <v>92</v>
      </c>
      <c r="B61">
        <f>SUMIF(tables_596100!C:C,input_596100!A61,tables_596100!O:O)</f>
        <v>0</v>
      </c>
      <c r="C61" s="46">
        <f t="shared" ca="1" si="11"/>
        <v>0</v>
      </c>
      <c r="E61" t="s">
        <v>191</v>
      </c>
      <c r="F61" s="47">
        <f ca="1">SUMIF(tables_596100!I:I,input_596100!E61,tables_596100!P:P)</f>
        <v>0.1820315809519554</v>
      </c>
    </row>
    <row r="62" spans="1:8" x14ac:dyDescent="0.15">
      <c r="A62" s="33" t="s">
        <v>42</v>
      </c>
      <c r="B62">
        <f ca="1">SUM(B55:B61)</f>
        <v>1111955.1999999995</v>
      </c>
      <c r="C62" s="47">
        <f ca="1">SUM(C55:C61)</f>
        <v>1</v>
      </c>
      <c r="E62" t="s">
        <v>192</v>
      </c>
      <c r="F62" s="47">
        <f ca="1">SUMIF(tables_596100!I:I,input_596100!E62,tables_596100!P:P)</f>
        <v>0.53160169456808781</v>
      </c>
    </row>
    <row r="63" spans="1:8" x14ac:dyDescent="0.15">
      <c r="E63" t="s">
        <v>193</v>
      </c>
      <c r="F63" s="103">
        <f ca="1">SUMIF(tables_596100!I:I,input_596100!E63,tables_596100!P:P)</f>
        <v>4.254385964951149E-2</v>
      </c>
      <c r="G63" s="84"/>
    </row>
    <row r="64" spans="1:8" x14ac:dyDescent="0.15">
      <c r="E64" t="s">
        <v>253</v>
      </c>
      <c r="F64" s="103">
        <f ca="1">SUMIF(tables_596100!I:I,input_596100!E64,tables_596100!P:P)</f>
        <v>7.456140350945311E-3</v>
      </c>
    </row>
    <row r="65" spans="5:6" x14ac:dyDescent="0.15">
      <c r="E65" t="s">
        <v>255</v>
      </c>
      <c r="F65" s="103">
        <f ca="1">SUMIF(tables_596100!I:I,input_596100!E65,tables_596100!P:P)</f>
        <v>2.4000000000219263E-2</v>
      </c>
    </row>
  </sheetData>
  <phoneticPr fontId="13"/>
  <pageMargins left="0.7" right="0.7" top="0.75" bottom="0.75" header="0.3" footer="0.3"/>
  <pageSetup paperSize="9"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61"/>
  <sheetViews>
    <sheetView showGridLines="0" zoomScaleNormal="70" zoomScalePageLayoutView="70" workbookViewId="0">
      <pane ySplit="1" topLeftCell="A341" activePane="bottomLeft" state="frozen"/>
      <selection activeCell="B13" sqref="B13"/>
      <selection pane="bottomLeft" activeCell="G1" sqref="G1:G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input_596100!A$2</f>
        <v>596100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IFERROR(VLOOKUP(B2,input_596100!L:R,7,FALSE),VLOOKUP(tables_596100!C2,input_596100!A:H,8,FALSE))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input_596100!A$2</f>
        <v>596100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IFERROR(VLOOKUP(B3,input_596100!L:R,7,FALSE),VLOOKUP(tables_596100!C3,input_596100!A:H,8,FALSE))</f>
        <v>31652.48</v>
      </c>
      <c r="P3" s="40">
        <f t="shared" ca="1" si="1"/>
        <v>5.7844444444972902E-3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input_596100!A$2</f>
        <v>596100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IFERROR(VLOOKUP(B4,input_596100!L:R,7,FALSE),VLOOKUP(tables_596100!C4,input_596100!A:H,8,FALSE))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input_596100!A$2</f>
        <v>596100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IFERROR(VLOOKUP(B5,input_596100!L:R,7,FALSE),VLOOKUP(tables_596100!C5,input_596100!A:H,8,FALSE))</f>
        <v>31652.48</v>
      </c>
      <c r="P5" s="40">
        <f t="shared" ca="1" si="1"/>
        <v>5.7844444444972902E-3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input_596100!A$2</f>
        <v>596100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IFERROR(VLOOKUP(B6,input_596100!L:R,7,FALSE),VLOOKUP(tables_596100!C6,input_596100!A:H,8,FALSE))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input_596100!A$2</f>
        <v>596100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IFERROR(VLOOKUP(B7,input_596100!L:R,7,FALSE),VLOOKUP(tables_596100!C7,input_596100!A:H,8,FALSE))</f>
        <v>135062.96832000001</v>
      </c>
      <c r="P7" s="40">
        <f t="shared" ca="1" si="1"/>
        <v>2.4682560000225499E-2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input_596100!A$2</f>
        <v>596100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IFERROR(VLOOKUP(B8,input_596100!L:R,7,FALSE),VLOOKUP(tables_596100!C8,input_596100!A:H,8,FALSE))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input_596100!A$2</f>
        <v>596100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IFERROR(VLOOKUP(B9,input_596100!L:R,7,FALSE),VLOOKUP(tables_596100!C9,input_596100!A:H,8,FALSE))</f>
        <v>31652.48</v>
      </c>
      <c r="P9" s="40">
        <f t="shared" ca="1" si="1"/>
        <v>5.7844444444972902E-3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input_596100!A$2</f>
        <v>596100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IFERROR(VLOOKUP(B10,input_596100!L:R,7,FALSE),VLOOKUP(tables_596100!C10,input_596100!A:H,8,FALSE))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input_596100!A$2</f>
        <v>596100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IFERROR(VLOOKUP(B11,input_596100!L:R,7,FALSE),VLOOKUP(tables_596100!C11,input_596100!A:H,8,FALSE))</f>
        <v>31652.48</v>
      </c>
      <c r="P11" s="40">
        <f t="shared" ca="1" si="1"/>
        <v>5.7844444444972902E-3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input_596100!A$2</f>
        <v>596100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IFERROR(VLOOKUP(B12,input_596100!L:R,7,FALSE),VLOOKUP(tables_596100!C12,input_596100!A:H,8,FALSE))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input_596100!A$2</f>
        <v>596100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IFERROR(VLOOKUP(B13,input_596100!L:R,7,FALSE),VLOOKUP(tables_596100!C13,input_596100!A:H,8,FALSE))</f>
        <v>31652.48</v>
      </c>
      <c r="P13" s="40">
        <f t="shared" ca="1" si="1"/>
        <v>5.7844444444972902E-3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input_596100!A$2</f>
        <v>596100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IFERROR(VLOOKUP(B14,input_596100!L:R,7,FALSE),VLOOKUP(tables_596100!C14,input_596100!A:H,8,FALSE))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input_596100!A$2</f>
        <v>596100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IFERROR(VLOOKUP(B15,input_596100!L:R,7,FALSE),VLOOKUP(tables_596100!C15,input_596100!A:H,8,FALSE))</f>
        <v>135062.96832000001</v>
      </c>
      <c r="P15" s="40">
        <f t="shared" ca="1" si="1"/>
        <v>2.4682560000225499E-2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input_596100!A$2</f>
        <v>596100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IFERROR(VLOOKUP(B16,input_596100!L:R,7,FALSE),VLOOKUP(tables_596100!C16,input_596100!A:H,8,FALSE))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input_596100!A$2</f>
        <v>596100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IFERROR(VLOOKUP(B17,input_596100!L:R,7,FALSE),VLOOKUP(tables_596100!C17,input_596100!A:H,8,FALSE))</f>
        <v>31652.48</v>
      </c>
      <c r="P17" s="40">
        <f t="shared" ca="1" si="1"/>
        <v>5.7844444444972902E-3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input_596100!A$2</f>
        <v>596100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IFERROR(VLOOKUP(B18,input_596100!L:R,7,FALSE),VLOOKUP(tables_596100!C18,input_596100!A:H,8,FALSE))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input_596100!A$2</f>
        <v>596100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IFERROR(VLOOKUP(B19,input_596100!L:R,7,FALSE),VLOOKUP(tables_596100!C19,input_596100!A:H,8,FALSE))</f>
        <v>31652.48</v>
      </c>
      <c r="P19" s="40">
        <f t="shared" ca="1" si="1"/>
        <v>5.7844444444972902E-3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input_596100!A$2</f>
        <v>596100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IFERROR(VLOOKUP(B20,input_596100!L:R,7,FALSE),VLOOKUP(tables_596100!C20,input_596100!A:H,8,FALSE))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input_596100!A$2</f>
        <v>596100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IFERROR(VLOOKUP(B21,input_596100!L:R,7,FALSE),VLOOKUP(tables_596100!C21,input_596100!A:H,8,FALSE))</f>
        <v>31652.48</v>
      </c>
      <c r="P21" s="40">
        <f t="shared" ca="1" si="1"/>
        <v>5.7844444444972902E-3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input_596100!A$2</f>
        <v>596100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IFERROR(VLOOKUP(B22,input_596100!L:R,7,FALSE),VLOOKUP(tables_596100!C22,input_596100!A:H,8,FALSE))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input_596100!A$2</f>
        <v>596100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IFERROR(VLOOKUP(B23,input_596100!L:R,7,FALSE),VLOOKUP(tables_596100!C23,input_596100!A:H,8,FALSE))</f>
        <v>135062.96832000001</v>
      </c>
      <c r="P23" s="40">
        <f t="shared" ca="1" si="1"/>
        <v>2.4682560000225499E-2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input_596100!A$2</f>
        <v>596100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IFERROR(VLOOKUP(B24,input_596100!L:R,7,FALSE),VLOOKUP(tables_596100!C24,input_596100!A:H,8,FALSE))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input_596100!A$2</f>
        <v>596100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IFERROR(VLOOKUP(B25,input_596100!L:R,7,FALSE),VLOOKUP(tables_596100!C25,input_596100!A:H,8,FALSE))</f>
        <v>31652.48</v>
      </c>
      <c r="P25" s="40">
        <f t="shared" ca="1" si="1"/>
        <v>5.7844444444972902E-3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input_596100!A$2</f>
        <v>596100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IFERROR(VLOOKUP(B26,input_596100!L:R,7,FALSE),VLOOKUP(tables_596100!C26,input_596100!A:H,8,FALSE))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input_596100!A$2</f>
        <v>596100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IFERROR(VLOOKUP(B27,input_596100!L:R,7,FALSE),VLOOKUP(tables_596100!C27,input_596100!A:H,8,FALSE))</f>
        <v>31652.48</v>
      </c>
      <c r="P27" s="40">
        <f t="shared" ca="1" si="1"/>
        <v>5.7844444444972902E-3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input_596100!A$2</f>
        <v>596100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IFERROR(VLOOKUP(B28,input_596100!L:R,7,FALSE),VLOOKUP(tables_596100!C28,input_596100!A:H,8,FALSE))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input_596100!A$2</f>
        <v>596100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IFERROR(VLOOKUP(B29,input_596100!L:R,7,FALSE),VLOOKUP(tables_596100!C29,input_596100!A:H,8,FALSE))</f>
        <v>31652.48</v>
      </c>
      <c r="P29" s="40">
        <f t="shared" ca="1" si="1"/>
        <v>5.7844444444972902E-3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input_596100!A$2</f>
        <v>596100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IFERROR(VLOOKUP(B30,input_596100!L:R,7,FALSE),VLOOKUP(tables_596100!C30,input_596100!A:H,8,FALSE))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input_596100!A$2</f>
        <v>596100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IFERROR(VLOOKUP(B31,input_596100!L:R,7,FALSE),VLOOKUP(tables_596100!C31,input_596100!A:H,8,FALSE))</f>
        <v>135062.96832000001</v>
      </c>
      <c r="P31" s="40">
        <f t="shared" ca="1" si="1"/>
        <v>2.4682560000225499E-2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input_596100!A$2</f>
        <v>596100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IFERROR(VLOOKUP(B32,input_596100!L:R,7,FALSE),VLOOKUP(tables_596100!C32,input_596100!A:H,8,FALSE))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input_596100!A$2</f>
        <v>596100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IFERROR(VLOOKUP(B33,input_596100!L:R,7,FALSE),VLOOKUP(tables_596100!C33,input_596100!A:H,8,FALSE))</f>
        <v>31652.48</v>
      </c>
      <c r="P33" s="40">
        <f t="shared" ca="1" si="1"/>
        <v>5.7844444444972902E-3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input_596100!A$2</f>
        <v>596100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IFERROR(VLOOKUP(B34,input_596100!L:R,7,FALSE),VLOOKUP(tables_596100!C34,input_596100!A:H,8,FALSE))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input_596100!A$2</f>
        <v>596100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IFERROR(VLOOKUP(B35,input_596100!L:R,7,FALSE),VLOOKUP(tables_596100!C35,input_596100!A:H,8,FALSE))</f>
        <v>31652.48</v>
      </c>
      <c r="P35" s="40">
        <f t="shared" ca="1" si="1"/>
        <v>5.7844444444972902E-3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input_596100!A$2</f>
        <v>596100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IFERROR(VLOOKUP(B36,input_596100!L:R,7,FALSE),VLOOKUP(tables_596100!C36,input_596100!A:H,8,FALSE))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input_596100!A$2</f>
        <v>596100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IFERROR(VLOOKUP(B37,input_596100!L:R,7,FALSE),VLOOKUP(tables_596100!C37,input_596100!A:H,8,FALSE))</f>
        <v>31652.48</v>
      </c>
      <c r="P37" s="40">
        <f t="shared" ca="1" si="1"/>
        <v>5.7844444444972902E-3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input_596100!A$2</f>
        <v>596100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IFERROR(VLOOKUP(B38,input_596100!L:R,7,FALSE),VLOOKUP(tables_596100!C38,input_596100!A:H,8,FALSE))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input_596100!A$2</f>
        <v>596100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IFERROR(VLOOKUP(B39,input_596100!L:R,7,FALSE),VLOOKUP(tables_596100!C39,input_596100!A:H,8,FALSE))</f>
        <v>135062.96832000001</v>
      </c>
      <c r="P39" s="40">
        <f t="shared" ca="1" si="1"/>
        <v>2.4682560000225499E-2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input_596100!A$2</f>
        <v>596100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IFERROR(VLOOKUP(B40,input_596100!L:R,7,FALSE),VLOOKUP(tables_596100!C40,input_596100!A:H,8,FALSE))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input_596100!A$2</f>
        <v>596100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IFERROR(VLOOKUP(B41,input_596100!L:R,7,FALSE),VLOOKUP(tables_596100!C41,input_596100!A:H,8,FALSE))</f>
        <v>31652.48</v>
      </c>
      <c r="P41" s="40">
        <f t="shared" ca="1" si="1"/>
        <v>5.7844444444972902E-3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input_596100!A$2</f>
        <v>596100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IFERROR(VLOOKUP(B42,input_596100!L:R,7,FALSE),VLOOKUP(tables_596100!C42,input_596100!A:H,8,FALSE))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input_596100!A$2</f>
        <v>596100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IFERROR(VLOOKUP(B43,input_596100!L:R,7,FALSE),VLOOKUP(tables_596100!C43,input_596100!A:H,8,FALSE))</f>
        <v>25335.360000000001</v>
      </c>
      <c r="P43" s="40">
        <f t="shared" ca="1" si="1"/>
        <v>4.6300000000422991E-3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input_596100!A$2</f>
        <v>596100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IFERROR(VLOOKUP(B44,input_596100!L:R,7,FALSE),VLOOKUP(tables_596100!C44,input_596100!A:H,8,FALSE))</f>
        <v>2815.04</v>
      </c>
      <c r="P44" s="40">
        <f t="shared" ca="1" si="1"/>
        <v>5.1444444444914434E-4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input_596100!A$2</f>
        <v>596100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IFERROR(VLOOKUP(B45,input_596100!L:R,7,FALSE),VLOOKUP(tables_596100!C45,input_596100!A:H,8,FALSE))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input_596100!A$2</f>
        <v>596100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IFERROR(VLOOKUP(B46,input_596100!L:R,7,FALSE),VLOOKUP(tables_596100!C46,input_596100!A:H,8,FALSE))</f>
        <v>25335.360000000001</v>
      </c>
      <c r="P46" s="40">
        <f t="shared" ca="1" si="1"/>
        <v>4.6300000000422991E-3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input_596100!A$2</f>
        <v>596100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IFERROR(VLOOKUP(B47,input_596100!L:R,7,FALSE),VLOOKUP(tables_596100!C47,input_596100!A:H,8,FALSE))</f>
        <v>2815.04</v>
      </c>
      <c r="P47" s="40">
        <f t="shared" ca="1" si="1"/>
        <v>5.1444444444914434E-4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input_596100!A$2</f>
        <v>596100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IFERROR(VLOOKUP(B48,input_596100!L:R,7,FALSE),VLOOKUP(tables_596100!C48,input_596100!A:H,8,FALSE))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input_596100!A$2</f>
        <v>596100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IFERROR(VLOOKUP(B49,input_596100!L:R,7,FALSE),VLOOKUP(tables_596100!C49,input_596100!A:H,8,FALSE))</f>
        <v>109448.7552</v>
      </c>
      <c r="P49" s="40">
        <f t="shared" ca="1" si="1"/>
        <v>2.0001600000182734E-2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input_596100!A$2</f>
        <v>596100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IFERROR(VLOOKUP(B50,input_596100!L:R,7,FALSE),VLOOKUP(tables_596100!C50,input_596100!A:H,8,FALSE))</f>
        <v>12160.9728</v>
      </c>
      <c r="P50" s="40">
        <f t="shared" ca="1" si="1"/>
        <v>2.2224000000203034E-3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input_596100!A$2</f>
        <v>596100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IFERROR(VLOOKUP(B51,input_596100!L:R,7,FALSE),VLOOKUP(tables_596100!C51,input_596100!A:H,8,FALSE))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input_596100!A$2</f>
        <v>596100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IFERROR(VLOOKUP(B52,input_596100!L:R,7,FALSE),VLOOKUP(tables_596100!C52,input_596100!A:H,8,FALSE))</f>
        <v>25335.360000000001</v>
      </c>
      <c r="P52" s="40">
        <f t="shared" ca="1" si="1"/>
        <v>4.6300000000422991E-3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input_596100!A$2</f>
        <v>596100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IFERROR(VLOOKUP(B53,input_596100!L:R,7,FALSE),VLOOKUP(tables_596100!C53,input_596100!A:H,8,FALSE))</f>
        <v>2815.04</v>
      </c>
      <c r="P53" s="40">
        <f t="shared" ca="1" si="1"/>
        <v>5.1444444444914434E-4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input_596100!A$2</f>
        <v>596100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IFERROR(VLOOKUP(B54,input_596100!L:R,7,FALSE),VLOOKUP(tables_596100!C54,input_596100!A:H,8,FALSE))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input_596100!A$2</f>
        <v>596100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IFERROR(VLOOKUP(B55,input_596100!L:R,7,FALSE),VLOOKUP(tables_596100!C55,input_596100!A:H,8,FALSE))</f>
        <v>25335.360000000001</v>
      </c>
      <c r="P55" s="40">
        <f t="shared" ca="1" si="1"/>
        <v>4.6300000000422991E-3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input_596100!A$2</f>
        <v>596100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IFERROR(VLOOKUP(B56,input_596100!L:R,7,FALSE),VLOOKUP(tables_596100!C56,input_596100!A:H,8,FALSE))</f>
        <v>2815.04</v>
      </c>
      <c r="P56" s="40">
        <f t="shared" ca="1" si="1"/>
        <v>5.1444444444914434E-4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input_596100!A$2</f>
        <v>596100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IFERROR(VLOOKUP(B57,input_596100!L:R,7,FALSE),VLOOKUP(tables_596100!C57,input_596100!A:H,8,FALSE))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input_596100!A$2</f>
        <v>596100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IFERROR(VLOOKUP(B58,input_596100!L:R,7,FALSE),VLOOKUP(tables_596100!C58,input_596100!A:H,8,FALSE))</f>
        <v>25335.360000000001</v>
      </c>
      <c r="P58" s="40">
        <f t="shared" ca="1" si="1"/>
        <v>4.6300000000422991E-3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input_596100!A$2</f>
        <v>596100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IFERROR(VLOOKUP(B59,input_596100!L:R,7,FALSE),VLOOKUP(tables_596100!C59,input_596100!A:H,8,FALSE))</f>
        <v>2815.04</v>
      </c>
      <c r="P59" s="40">
        <f t="shared" ca="1" si="1"/>
        <v>5.1444444444914434E-4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input_596100!A$2</f>
        <v>596100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IFERROR(VLOOKUP(B60,input_596100!L:R,7,FALSE),VLOOKUP(tables_596100!C60,input_596100!A:H,8,FALSE))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input_596100!A$2</f>
        <v>596100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IFERROR(VLOOKUP(B61,input_596100!L:R,7,FALSE),VLOOKUP(tables_596100!C61,input_596100!A:H,8,FALSE))</f>
        <v>109448.7552</v>
      </c>
      <c r="P61" s="40">
        <f t="shared" ca="1" si="1"/>
        <v>2.0001600000182734E-2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input_596100!A$2</f>
        <v>596100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IFERROR(VLOOKUP(B62,input_596100!L:R,7,FALSE),VLOOKUP(tables_596100!C62,input_596100!A:H,8,FALSE))</f>
        <v>3604.0155399999999</v>
      </c>
      <c r="P62" s="40">
        <f t="shared" ca="1" si="1"/>
        <v>6.5862857091244988E-4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input_596100!A$2</f>
        <v>596100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IFERROR(VLOOKUP(B63,input_596100!L:R,7,FALSE),VLOOKUP(tables_596100!C63,input_596100!A:H,8,FALSE))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input_596100!A$2</f>
        <v>596100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IFERROR(VLOOKUP(B64,input_596100!L:R,7,FALSE),VLOOKUP(tables_596100!C64,input_596100!A:H,8,FALSE))</f>
        <v>25335.360000000001</v>
      </c>
      <c r="P64" s="40">
        <f t="shared" ca="1" si="1"/>
        <v>4.6300000000422991E-3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input_596100!A$2</f>
        <v>596100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IFERROR(VLOOKUP(B65,input_596100!L:R,7,FALSE),VLOOKUP(tables_596100!C65,input_596100!A:H,8,FALSE))</f>
        <v>2815.04</v>
      </c>
      <c r="P65" s="40">
        <f t="shared" ca="1" si="1"/>
        <v>5.1444444444914434E-4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input_596100!A$2</f>
        <v>596100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IFERROR(VLOOKUP(B66,input_596100!L:R,7,FALSE),VLOOKUP(tables_596100!C66,input_596100!A:H,8,FALSE))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input_596100!A$2</f>
        <v>596100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IFERROR(VLOOKUP(B67,input_596100!L:R,7,FALSE),VLOOKUP(tables_596100!C67,input_596100!A:H,8,FALSE))</f>
        <v>25335.360000000001</v>
      </c>
      <c r="P67" s="40">
        <f t="shared" ca="1" si="4"/>
        <v>4.6300000000422991E-3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input_596100!A$2</f>
        <v>596100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IFERROR(VLOOKUP(B68,input_596100!L:R,7,FALSE),VLOOKUP(tables_596100!C68,input_596100!A:H,8,FALSE))</f>
        <v>2815.04</v>
      </c>
      <c r="P68" s="40">
        <f t="shared" ca="1" si="4"/>
        <v>5.1444444444914434E-4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input_596100!A$2</f>
        <v>596100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IFERROR(VLOOKUP(B69,input_596100!L:R,7,FALSE),VLOOKUP(tables_596100!C69,input_596100!A:H,8,FALSE))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input_596100!A$2</f>
        <v>596100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IFERROR(VLOOKUP(B70,input_596100!L:R,7,FALSE),VLOOKUP(tables_596100!C70,input_596100!A:H,8,FALSE))</f>
        <v>25335.360000000001</v>
      </c>
      <c r="P70" s="40">
        <f t="shared" ca="1" si="4"/>
        <v>4.6300000000422991E-3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input_596100!A$2</f>
        <v>596100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IFERROR(VLOOKUP(B71,input_596100!L:R,7,FALSE),VLOOKUP(tables_596100!C71,input_596100!A:H,8,FALSE))</f>
        <v>2815.04</v>
      </c>
      <c r="P71" s="40">
        <f t="shared" ca="1" si="4"/>
        <v>5.1444444444914434E-4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input_596100!A$2</f>
        <v>596100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IFERROR(VLOOKUP(B72,input_596100!L:R,7,FALSE),VLOOKUP(tables_596100!C72,input_596100!A:H,8,FALSE))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input_596100!A$2</f>
        <v>596100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IFERROR(VLOOKUP(B73,input_596100!L:R,7,FALSE),VLOOKUP(tables_596100!C73,input_596100!A:H,8,FALSE))</f>
        <v>25335.360000000001</v>
      </c>
      <c r="P73" s="40">
        <f t="shared" ca="1" si="4"/>
        <v>4.6300000000422991E-3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input_596100!A$2</f>
        <v>596100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IFERROR(VLOOKUP(B74,input_596100!L:R,7,FALSE),VLOOKUP(tables_596100!C74,input_596100!A:H,8,FALSE))</f>
        <v>2815.04</v>
      </c>
      <c r="P74" s="40">
        <f t="shared" ca="1" si="4"/>
        <v>5.1444444444914434E-4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input_596100!A$2</f>
        <v>596100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IFERROR(VLOOKUP(B75,input_596100!L:R,7,FALSE),VLOOKUP(tables_596100!C75,input_596100!A:H,8,FALSE))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input_596100!A$2</f>
        <v>596100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IFERROR(VLOOKUP(B76,input_596100!L:R,7,FALSE),VLOOKUP(tables_596100!C76,input_596100!A:H,8,FALSE))</f>
        <v>109448.7552</v>
      </c>
      <c r="P76" s="40">
        <f t="shared" ca="1" si="4"/>
        <v>2.0001600000182734E-2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input_596100!A$2</f>
        <v>596100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IFERROR(VLOOKUP(B77,input_596100!L:R,7,FALSE),VLOOKUP(tables_596100!C77,input_596100!A:H,8,FALSE))</f>
        <v>3604.0155399999999</v>
      </c>
      <c r="P77" s="40">
        <f t="shared" ca="1" si="4"/>
        <v>6.5862857091244988E-4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input_596100!A$2</f>
        <v>596100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IFERROR(VLOOKUP(B78,input_596100!L:R,7,FALSE),VLOOKUP(tables_596100!C78,input_596100!A:H,8,FALSE))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input_596100!A$2</f>
        <v>596100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IFERROR(VLOOKUP(B79,input_596100!L:R,7,FALSE),VLOOKUP(tables_596100!C79,input_596100!A:H,8,FALSE))</f>
        <v>25335.360000000001</v>
      </c>
      <c r="P79" s="40">
        <f t="shared" ca="1" si="4"/>
        <v>4.6300000000422991E-3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input_596100!A$2</f>
        <v>596100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IFERROR(VLOOKUP(B80,input_596100!L:R,7,FALSE),VLOOKUP(tables_596100!C80,input_596100!A:H,8,FALSE))</f>
        <v>2815.04</v>
      </c>
      <c r="P80" s="40">
        <f t="shared" ca="1" si="4"/>
        <v>5.1444444444914434E-4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input_596100!A$2</f>
        <v>596100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IFERROR(VLOOKUP(B81,input_596100!L:R,7,FALSE),VLOOKUP(tables_596100!C81,input_596100!A:H,8,FALSE))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input_596100!A$2</f>
        <v>596100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IFERROR(VLOOKUP(B82,input_596100!L:R,7,FALSE),VLOOKUP(tables_596100!C82,input_596100!A:H,8,FALSE))</f>
        <v>25335.360000000001</v>
      </c>
      <c r="P82" s="40">
        <f t="shared" ca="1" si="4"/>
        <v>4.6300000000422991E-3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input_596100!A$2</f>
        <v>596100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IFERROR(VLOOKUP(B83,input_596100!L:R,7,FALSE),VLOOKUP(tables_596100!C83,input_596100!A:H,8,FALSE))</f>
        <v>2815.04</v>
      </c>
      <c r="P83" s="40">
        <f t="shared" ca="1" si="4"/>
        <v>5.1444444444914434E-4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input_596100!A$2</f>
        <v>596100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IFERROR(VLOOKUP(B84,input_596100!L:R,7,FALSE),VLOOKUP(tables_596100!C84,input_596100!A:H,8,FALSE))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input_596100!A$2</f>
        <v>596100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IFERROR(VLOOKUP(B85,input_596100!L:R,7,FALSE),VLOOKUP(tables_596100!C85,input_596100!A:H,8,FALSE))</f>
        <v>109448.7552</v>
      </c>
      <c r="P85" s="40">
        <f t="shared" ca="1" si="4"/>
        <v>2.0001600000182734E-2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input_596100!A$2</f>
        <v>596100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IFERROR(VLOOKUP(B86,input_596100!L:R,7,FALSE),VLOOKUP(tables_596100!C86,input_596100!A:H,8,FALSE))</f>
        <v>3604.0155399999999</v>
      </c>
      <c r="P86" s="40">
        <f t="shared" ca="1" si="4"/>
        <v>6.5862857091244988E-4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input_596100!A$2</f>
        <v>596100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IFERROR(VLOOKUP(B87,input_596100!L:R,7,FALSE),VLOOKUP(tables_596100!C87,input_596100!A:H,8,FALSE))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input_596100!A$2</f>
        <v>596100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IFERROR(VLOOKUP(B88,input_596100!L:R,7,FALSE),VLOOKUP(tables_596100!C88,input_596100!A:H,8,FALSE))</f>
        <v>25335.360000000001</v>
      </c>
      <c r="P88" s="40">
        <f t="shared" ca="1" si="4"/>
        <v>4.6300000000422991E-3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input_596100!A$2</f>
        <v>596100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IFERROR(VLOOKUP(B89,input_596100!L:R,7,FALSE),VLOOKUP(tables_596100!C89,input_596100!A:H,8,FALSE))</f>
        <v>2815.04</v>
      </c>
      <c r="P89" s="40">
        <f t="shared" ca="1" si="4"/>
        <v>5.1444444444914434E-4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input_596100!A$2</f>
        <v>596100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IFERROR(VLOOKUP(B90,input_596100!L:R,7,FALSE),VLOOKUP(tables_596100!C90,input_596100!A:H,8,FALSE))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input_596100!A$2</f>
        <v>596100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IFERROR(VLOOKUP(B91,input_596100!L:R,7,FALSE),VLOOKUP(tables_596100!C91,input_596100!A:H,8,FALSE))</f>
        <v>25335.360000000001</v>
      </c>
      <c r="P91" s="40">
        <f t="shared" ca="1" si="4"/>
        <v>4.6300000000422991E-3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input_596100!A$2</f>
        <v>596100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IFERROR(VLOOKUP(B92,input_596100!L:R,7,FALSE),VLOOKUP(tables_596100!C92,input_596100!A:H,8,FALSE))</f>
        <v>2815.04</v>
      </c>
      <c r="P92" s="40">
        <f t="shared" ca="1" si="4"/>
        <v>5.1444444444914434E-4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input_596100!A$2</f>
        <v>596100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IFERROR(VLOOKUP(B93,input_596100!L:R,7,FALSE),VLOOKUP(tables_596100!C93,input_596100!A:H,8,FALSE))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input_596100!A$2</f>
        <v>596100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IFERROR(VLOOKUP(B94,input_596100!L:R,7,FALSE),VLOOKUP(tables_596100!C94,input_596100!A:H,8,FALSE))</f>
        <v>25335.360000000001</v>
      </c>
      <c r="P94" s="40">
        <f t="shared" ca="1" si="4"/>
        <v>4.6300000000422991E-3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input_596100!A$2</f>
        <v>596100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IFERROR(VLOOKUP(B95,input_596100!L:R,7,FALSE),VLOOKUP(tables_596100!C95,input_596100!A:H,8,FALSE))</f>
        <v>2815.04</v>
      </c>
      <c r="P95" s="40">
        <f t="shared" ca="1" si="4"/>
        <v>5.1444444444914434E-4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input_596100!A$2</f>
        <v>596100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IFERROR(VLOOKUP(B96,input_596100!L:R,7,FALSE),VLOOKUP(tables_596100!C96,input_596100!A:H,8,FALSE))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input_596100!A$2</f>
        <v>596100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IFERROR(VLOOKUP(B97,input_596100!L:R,7,FALSE),VLOOKUP(tables_596100!C97,input_596100!A:H,8,FALSE))</f>
        <v>109448.7552</v>
      </c>
      <c r="P97" s="40">
        <f t="shared" ca="1" si="4"/>
        <v>2.0001600000182734E-2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input_596100!A$2</f>
        <v>596100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IFERROR(VLOOKUP(B98,input_596100!L:R,7,FALSE),VLOOKUP(tables_596100!C98,input_596100!A:H,8,FALSE))</f>
        <v>3604.0155399999999</v>
      </c>
      <c r="P98" s="40">
        <f t="shared" ca="1" si="4"/>
        <v>6.5862857091244988E-4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input_596100!A$2</f>
        <v>596100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IFERROR(VLOOKUP(B99,input_596100!L:R,7,FALSE),VLOOKUP(tables_596100!C99,input_596100!A:H,8,FALSE))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input_596100!A$2</f>
        <v>596100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IFERROR(VLOOKUP(B100,input_596100!L:R,7,FALSE),VLOOKUP(tables_596100!C100,input_596100!A:H,8,FALSE))</f>
        <v>25335.360000000001</v>
      </c>
      <c r="P100" s="40">
        <f t="shared" ca="1" si="4"/>
        <v>4.6300000000422991E-3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input_596100!A$2</f>
        <v>596100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IFERROR(VLOOKUP(B101,input_596100!L:R,7,FALSE),VLOOKUP(tables_596100!C101,input_596100!A:H,8,FALSE))</f>
        <v>2815.04</v>
      </c>
      <c r="P101" s="40">
        <f t="shared" ca="1" si="4"/>
        <v>5.1444444444914434E-4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input_596100!A$2</f>
        <v>596100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IFERROR(VLOOKUP(B102,input_596100!L:R,7,FALSE),VLOOKUP(tables_596100!C102,input_596100!A:H,8,FALSE))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input_596100!A$2</f>
        <v>596100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IFERROR(VLOOKUP(B103,input_596100!L:R,7,FALSE),VLOOKUP(tables_596100!C103,input_596100!A:H,8,FALSE))</f>
        <v>25335.360000000001</v>
      </c>
      <c r="P103" s="40">
        <f t="shared" ca="1" si="4"/>
        <v>4.6300000000422991E-3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input_596100!A$2</f>
        <v>596100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IFERROR(VLOOKUP(B104,input_596100!L:R,7,FALSE),VLOOKUP(tables_596100!C104,input_596100!A:H,8,FALSE))</f>
        <v>2815.04</v>
      </c>
      <c r="P104" s="40">
        <f t="shared" ca="1" si="4"/>
        <v>5.1444444444914434E-4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input_596100!A$2</f>
        <v>596100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IFERROR(VLOOKUP(B105,input_596100!L:R,7,FALSE),VLOOKUP(tables_596100!C105,input_596100!A:H,8,FALSE))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input_596100!A$2</f>
        <v>596100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IFERROR(VLOOKUP(B106,input_596100!L:R,7,FALSE),VLOOKUP(tables_596100!C106,input_596100!A:H,8,FALSE))</f>
        <v>25335.360000000001</v>
      </c>
      <c r="P106" s="40">
        <f t="shared" ca="1" si="4"/>
        <v>4.6300000000422991E-3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input_596100!A$2</f>
        <v>596100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IFERROR(VLOOKUP(B107,input_596100!L:R,7,FALSE),VLOOKUP(tables_596100!C107,input_596100!A:H,8,FALSE))</f>
        <v>2815.04</v>
      </c>
      <c r="P107" s="40">
        <f t="shared" ca="1" si="4"/>
        <v>5.1444444444914434E-4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input_596100!A$2</f>
        <v>596100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IFERROR(VLOOKUP(B108,input_596100!L:R,7,FALSE),VLOOKUP(tables_596100!C108,input_596100!A:H,8,FALSE))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input_596100!A$2</f>
        <v>596100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IFERROR(VLOOKUP(B109,input_596100!L:R,7,FALSE),VLOOKUP(tables_596100!C109,input_596100!A:H,8,FALSE))</f>
        <v>109448.7552</v>
      </c>
      <c r="P109" s="40">
        <f t="shared" ca="1" si="4"/>
        <v>2.0001600000182734E-2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input_596100!A$2</f>
        <v>596100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IFERROR(VLOOKUP(B110,input_596100!L:R,7,FALSE),VLOOKUP(tables_596100!C110,input_596100!A:H,8,FALSE))</f>
        <v>3604.0155399999999</v>
      </c>
      <c r="P110" s="40">
        <f t="shared" ca="1" si="4"/>
        <v>6.5862857091244988E-4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input_596100!A$2</f>
        <v>596100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IFERROR(VLOOKUP(B111,input_596100!L:R,7,FALSE),VLOOKUP(tables_596100!C111,input_596100!A:H,8,FALSE))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input_596100!A$2</f>
        <v>596100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IFERROR(VLOOKUP(B112,input_596100!L:R,7,FALSE),VLOOKUP(tables_596100!C112,input_596100!A:H,8,FALSE))</f>
        <v>25335.360000000001</v>
      </c>
      <c r="P112" s="40">
        <f t="shared" ca="1" si="4"/>
        <v>4.6300000000422991E-3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input_596100!A$2</f>
        <v>596100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IFERROR(VLOOKUP(B113,input_596100!L:R,7,FALSE),VLOOKUP(tables_596100!C113,input_596100!A:H,8,FALSE))</f>
        <v>2815.04</v>
      </c>
      <c r="P113" s="40">
        <f t="shared" ca="1" si="4"/>
        <v>5.1444444444914434E-4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input_596100!A$2</f>
        <v>596100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IFERROR(VLOOKUP(B114,input_596100!L:R,7,FALSE),VLOOKUP(tables_596100!C114,input_596100!A:H,8,FALSE))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input_596100!A$2</f>
        <v>596100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IFERROR(VLOOKUP(B115,input_596100!L:R,7,FALSE),VLOOKUP(tables_596100!C115,input_596100!A:H,8,FALSE))</f>
        <v>25335.360000000001</v>
      </c>
      <c r="P115" s="40">
        <f t="shared" ca="1" si="4"/>
        <v>4.6300000000422991E-3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input_596100!A$2</f>
        <v>596100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IFERROR(VLOOKUP(B116,input_596100!L:R,7,FALSE),VLOOKUP(tables_596100!C116,input_596100!A:H,8,FALSE))</f>
        <v>2815.04</v>
      </c>
      <c r="P116" s="40">
        <f t="shared" ca="1" si="4"/>
        <v>5.1444444444914434E-4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input_596100!A$2</f>
        <v>596100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IFERROR(VLOOKUP(B117,input_596100!L:R,7,FALSE),VLOOKUP(tables_596100!C117,input_596100!A:H,8,FALSE))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input_596100!A$2</f>
        <v>596100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IFERROR(VLOOKUP(B118,input_596100!L:R,7,FALSE),VLOOKUP(tables_596100!C118,input_596100!A:H,8,FALSE))</f>
        <v>25335.360000000001</v>
      </c>
      <c r="P118" s="40">
        <f t="shared" ca="1" si="4"/>
        <v>4.6300000000422991E-3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input_596100!A$2</f>
        <v>596100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IFERROR(VLOOKUP(B119,input_596100!L:R,7,FALSE),VLOOKUP(tables_596100!C119,input_596100!A:H,8,FALSE))</f>
        <v>2815.04</v>
      </c>
      <c r="P119" s="40">
        <f t="shared" ca="1" si="4"/>
        <v>5.1444444444914434E-4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input_596100!A$2</f>
        <v>596100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IFERROR(VLOOKUP(B120,input_596100!L:R,7,FALSE),VLOOKUP(tables_596100!C120,input_596100!A:H,8,FALSE))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input_596100!A$2</f>
        <v>596100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IFERROR(VLOOKUP(B121,input_596100!L:R,7,FALSE),VLOOKUP(tables_596100!C121,input_596100!A:H,8,FALSE))</f>
        <v>109448.7552</v>
      </c>
      <c r="P121" s="40">
        <f t="shared" ca="1" si="4"/>
        <v>2.0001600000182734E-2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input_596100!A$2</f>
        <v>596100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IFERROR(VLOOKUP(B122,input_596100!L:R,7,FALSE),VLOOKUP(tables_596100!C122,input_596100!A:H,8,FALSE))</f>
        <v>3604.0155399999999</v>
      </c>
      <c r="P122" s="40">
        <f t="shared" ca="1" si="4"/>
        <v>6.5862857091244988E-4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input_596100!A$2</f>
        <v>596100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IFERROR(VLOOKUP(B123,input_596100!L:R,7,FALSE),VLOOKUP(tables_596100!C123,input_596100!A:H,8,FALSE))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input_596100!A$2</f>
        <v>596100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IFERROR(VLOOKUP(B124,input_596100!L:R,7,FALSE),VLOOKUP(tables_596100!C124,input_596100!A:H,8,FALSE))</f>
        <v>25335.360000000001</v>
      </c>
      <c r="P124" s="40">
        <f t="shared" ca="1" si="4"/>
        <v>4.6300000000422991E-3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input_596100!A$2</f>
        <v>596100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IFERROR(VLOOKUP(B125,input_596100!L:R,7,FALSE),VLOOKUP(tables_596100!C125,input_596100!A:H,8,FALSE))</f>
        <v>2815.04</v>
      </c>
      <c r="P125" s="40">
        <f t="shared" ca="1" si="4"/>
        <v>5.1444444444914434E-4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input_596100!A$2</f>
        <v>596100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IFERROR(VLOOKUP(B126,input_596100!L:R,7,FALSE),VLOOKUP(tables_596100!C126,input_596100!A:H,8,FALSE))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input_596100!A$2</f>
        <v>596100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IFERROR(VLOOKUP(B127,input_596100!L:R,7,FALSE),VLOOKUP(tables_596100!C127,input_596100!A:H,8,FALSE))</f>
        <v>25335.360000000001</v>
      </c>
      <c r="P127" s="40">
        <f t="shared" ca="1" si="4"/>
        <v>4.6300000000422991E-3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input_596100!A$2</f>
        <v>596100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IFERROR(VLOOKUP(B128,input_596100!L:R,7,FALSE),VLOOKUP(tables_596100!C128,input_596100!A:H,8,FALSE))</f>
        <v>2815.04</v>
      </c>
      <c r="P128" s="40">
        <f t="shared" ca="1" si="4"/>
        <v>5.1444444444914434E-4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input_596100!A$2</f>
        <v>596100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IFERROR(VLOOKUP(B129,input_596100!L:R,7,FALSE),VLOOKUP(tables_596100!C129,input_596100!A:H,8,FALSE))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input_596100!A$2</f>
        <v>596100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IFERROR(VLOOKUP(B130,input_596100!L:R,7,FALSE),VLOOKUP(tables_596100!C130,input_596100!A:H,8,FALSE))</f>
        <v>25335.360000000001</v>
      </c>
      <c r="P130" s="40">
        <f t="shared" ref="P130:P193" ca="1" si="7">O130/SUM(O:O)</f>
        <v>4.6300000000422991E-3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input_596100!A$2</f>
        <v>596100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IFERROR(VLOOKUP(B131,input_596100!L:R,7,FALSE),VLOOKUP(tables_596100!C131,input_596100!A:H,8,FALSE))</f>
        <v>2815.04</v>
      </c>
      <c r="P131" s="40">
        <f t="shared" ca="1" si="7"/>
        <v>5.1444444444914434E-4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input_596100!A$2</f>
        <v>596100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IFERROR(VLOOKUP(B132,input_596100!L:R,7,FALSE),VLOOKUP(tables_596100!C132,input_596100!A:H,8,FALSE))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input_596100!A$2</f>
        <v>596100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IFERROR(VLOOKUP(B133,input_596100!L:R,7,FALSE),VLOOKUP(tables_596100!C133,input_596100!A:H,8,FALSE))</f>
        <v>109448.7552</v>
      </c>
      <c r="P133" s="40">
        <f t="shared" ca="1" si="7"/>
        <v>2.0001600000182734E-2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input_596100!A$2</f>
        <v>596100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IFERROR(VLOOKUP(B134,input_596100!L:R,7,FALSE),VLOOKUP(tables_596100!C134,input_596100!A:H,8,FALSE))</f>
        <v>3604.0155399999999</v>
      </c>
      <c r="P134" s="40">
        <f t="shared" ca="1" si="7"/>
        <v>6.5862857091244988E-4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input_596100!A$2</f>
        <v>596100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IFERROR(VLOOKUP(B135,input_596100!L:R,7,FALSE),VLOOKUP(tables_596100!C135,input_596100!A:H,8,FALSE))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input_596100!A$2</f>
        <v>596100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IFERROR(VLOOKUP(B136,input_596100!L:R,7,FALSE),VLOOKUP(tables_596100!C136,input_596100!A:H,8,FALSE))</f>
        <v>25335.360000000001</v>
      </c>
      <c r="P136" s="40">
        <f t="shared" ca="1" si="7"/>
        <v>4.6300000000422991E-3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input_596100!A$2</f>
        <v>596100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IFERROR(VLOOKUP(B137,input_596100!L:R,7,FALSE),VLOOKUP(tables_596100!C137,input_596100!A:H,8,FALSE))</f>
        <v>2815.04</v>
      </c>
      <c r="P137" s="40">
        <f t="shared" ca="1" si="7"/>
        <v>5.1444444444914434E-4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input_596100!A$2</f>
        <v>596100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IFERROR(VLOOKUP(B138,input_596100!L:R,7,FALSE),VLOOKUP(tables_596100!C138,input_596100!A:H,8,FALSE))</f>
        <v>1728</v>
      </c>
      <c r="P138" s="40">
        <f t="shared" ca="1" si="7"/>
        <v>3.1578947368709554E-4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input_596100!A$2</f>
        <v>596100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IFERROR(VLOOKUP(B139,input_596100!L:R,7,FALSE),VLOOKUP(tables_596100!C139,input_596100!A:H,8,FALSE))</f>
        <v>192</v>
      </c>
      <c r="P139" s="40">
        <f t="shared" ca="1" si="7"/>
        <v>3.5087719298566169E-5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input_596100!A$2</f>
        <v>596100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IFERROR(VLOOKUP(B140,input_596100!L:R,7,FALSE),VLOOKUP(tables_596100!C140,input_596100!A:H,8,FALSE))</f>
        <v>1728</v>
      </c>
      <c r="P140" s="40">
        <f t="shared" ca="1" si="7"/>
        <v>3.1578947368709554E-4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input_596100!A$2</f>
        <v>596100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IFERROR(VLOOKUP(B141,input_596100!L:R,7,FALSE),VLOOKUP(tables_596100!C141,input_596100!A:H,8,FALSE))</f>
        <v>192</v>
      </c>
      <c r="P141" s="40">
        <f t="shared" ca="1" si="7"/>
        <v>3.5087719298566169E-5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input_596100!A$2</f>
        <v>596100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IFERROR(VLOOKUP(B142,input_596100!L:R,7,FALSE),VLOOKUP(tables_596100!C142,input_596100!A:H,8,FALSE))</f>
        <v>8208</v>
      </c>
      <c r="P142" s="40">
        <f t="shared" ca="1" si="7"/>
        <v>1.5000000000137039E-3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input_596100!A$2</f>
        <v>596100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IFERROR(VLOOKUP(B143,input_596100!L:R,7,FALSE),VLOOKUP(tables_596100!C143,input_596100!A:H,8,FALSE))</f>
        <v>912</v>
      </c>
      <c r="P143" s="40">
        <f t="shared" ca="1" si="7"/>
        <v>1.6666666666818931E-4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input_596100!A$2</f>
        <v>596100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IFERROR(VLOOKUP(B144,input_596100!L:R,7,FALSE),VLOOKUP(tables_596100!C144,input_596100!A:H,8,FALSE))</f>
        <v>1728</v>
      </c>
      <c r="P144" s="40">
        <f t="shared" ca="1" si="7"/>
        <v>3.1578947368709554E-4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input_596100!A$2</f>
        <v>596100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IFERROR(VLOOKUP(B145,input_596100!L:R,7,FALSE),VLOOKUP(tables_596100!C145,input_596100!A:H,8,FALSE))</f>
        <v>192</v>
      </c>
      <c r="P145" s="40">
        <f t="shared" ca="1" si="7"/>
        <v>3.5087719298566169E-5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input_596100!A$2</f>
        <v>596100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IFERROR(VLOOKUP(B146,input_596100!L:R,7,FALSE),VLOOKUP(tables_596100!C146,input_596100!A:H,8,FALSE))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input_596100!A$2</f>
        <v>596100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IFERROR(VLOOKUP(B147,input_596100!L:R,7,FALSE),VLOOKUP(tables_596100!C147,input_596100!A:H,8,FALSE))</f>
        <v>25335.360000000001</v>
      </c>
      <c r="P147" s="40">
        <f t="shared" ca="1" si="7"/>
        <v>4.6300000000422991E-3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input_596100!A$2</f>
        <v>596100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IFERROR(VLOOKUP(B148,input_596100!L:R,7,FALSE),VLOOKUP(tables_596100!C148,input_596100!A:H,8,FALSE))</f>
        <v>2815.04</v>
      </c>
      <c r="P148" s="40">
        <f t="shared" ca="1" si="7"/>
        <v>5.1444444444914434E-4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input_596100!A$2</f>
        <v>596100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IFERROR(VLOOKUP(B149,input_596100!L:R,7,FALSE),VLOOKUP(tables_596100!C149,input_596100!A:H,8,FALSE))</f>
        <v>1728</v>
      </c>
      <c r="P149" s="40">
        <f t="shared" ca="1" si="7"/>
        <v>3.1578947368709554E-4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input_596100!A$2</f>
        <v>596100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IFERROR(VLOOKUP(B150,input_596100!L:R,7,FALSE),VLOOKUP(tables_596100!C150,input_596100!A:H,8,FALSE))</f>
        <v>192</v>
      </c>
      <c r="P150" s="40">
        <f t="shared" ca="1" si="7"/>
        <v>3.5087719298566169E-5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input_596100!A$2</f>
        <v>596100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IFERROR(VLOOKUP(B151,input_596100!L:R,7,FALSE),VLOOKUP(tables_596100!C151,input_596100!A:H,8,FALSE))</f>
        <v>8208</v>
      </c>
      <c r="P151" s="40">
        <f t="shared" ca="1" si="7"/>
        <v>1.5000000000137039E-3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input_596100!A$2</f>
        <v>596100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IFERROR(VLOOKUP(B152,input_596100!L:R,7,FALSE),VLOOKUP(tables_596100!C152,input_596100!A:H,8,FALSE))</f>
        <v>912</v>
      </c>
      <c r="P152" s="40">
        <f t="shared" ca="1" si="7"/>
        <v>1.6666666666818931E-4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input_596100!A$2</f>
        <v>596100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IFERROR(VLOOKUP(B153,input_596100!L:R,7,FALSE),VLOOKUP(tables_596100!C153,input_596100!A:H,8,FALSE))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input_596100!A$2</f>
        <v>596100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IFERROR(VLOOKUP(B154,input_596100!L:R,7,FALSE),VLOOKUP(tables_596100!C154,input_596100!A:H,8,FALSE))</f>
        <v>25335.360000000001</v>
      </c>
      <c r="P154" s="40">
        <f t="shared" ca="1" si="7"/>
        <v>4.6300000000422991E-3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input_596100!A$2</f>
        <v>596100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IFERROR(VLOOKUP(B155,input_596100!L:R,7,FALSE),VLOOKUP(tables_596100!C155,input_596100!A:H,8,FALSE))</f>
        <v>2815.04</v>
      </c>
      <c r="P155" s="40">
        <f t="shared" ca="1" si="7"/>
        <v>5.1444444444914434E-4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input_596100!A$2</f>
        <v>596100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IFERROR(VLOOKUP(B156,input_596100!L:R,7,FALSE),VLOOKUP(tables_596100!C156,input_596100!A:H,8,FALSE))</f>
        <v>1728</v>
      </c>
      <c r="P156" s="40">
        <f t="shared" ca="1" si="7"/>
        <v>3.1578947368709554E-4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input_596100!A$2</f>
        <v>596100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IFERROR(VLOOKUP(B157,input_596100!L:R,7,FALSE),VLOOKUP(tables_596100!C157,input_596100!A:H,8,FALSE))</f>
        <v>192</v>
      </c>
      <c r="P157" s="40">
        <f t="shared" ca="1" si="7"/>
        <v>3.5087719298566169E-5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input_596100!A$2</f>
        <v>596100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IFERROR(VLOOKUP(B158,input_596100!L:R,7,FALSE),VLOOKUP(tables_596100!C158,input_596100!A:H,8,FALSE))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input_596100!A$2</f>
        <v>596100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IFERROR(VLOOKUP(B159,input_596100!L:R,7,FALSE),VLOOKUP(tables_596100!C159,input_596100!A:H,8,FALSE))</f>
        <v>25335.360000000001</v>
      </c>
      <c r="P159" s="40">
        <f t="shared" ca="1" si="7"/>
        <v>4.6300000000422991E-3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input_596100!A$2</f>
        <v>596100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IFERROR(VLOOKUP(B160,input_596100!L:R,7,FALSE),VLOOKUP(tables_596100!C160,input_596100!A:H,8,FALSE))</f>
        <v>2815.04</v>
      </c>
      <c r="P160" s="40">
        <f t="shared" ca="1" si="7"/>
        <v>5.1444444444914434E-4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input_596100!A$2</f>
        <v>596100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IFERROR(VLOOKUP(B161,input_596100!L:R,7,FALSE),VLOOKUP(tables_596100!C161,input_596100!A:H,8,FALSE))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input_596100!A$2</f>
        <v>596100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IFERROR(VLOOKUP(B162,input_596100!L:R,7,FALSE),VLOOKUP(tables_596100!C162,input_596100!A:H,8,FALSE))</f>
        <v>109448.7552</v>
      </c>
      <c r="P162" s="40">
        <f t="shared" ca="1" si="7"/>
        <v>2.0001600000182734E-2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input_596100!A$2</f>
        <v>596100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IFERROR(VLOOKUP(B163,input_596100!L:R,7,FALSE),VLOOKUP(tables_596100!C163,input_596100!A:H,8,FALSE))</f>
        <v>3604.0155399999999</v>
      </c>
      <c r="P163" s="40">
        <f t="shared" ca="1" si="7"/>
        <v>6.5862857091244988E-4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input_596100!A$2</f>
        <v>596100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IFERROR(VLOOKUP(B164,input_596100!L:R,7,FALSE),VLOOKUP(tables_596100!C164,input_596100!A:H,8,FALSE))</f>
        <v>1728</v>
      </c>
      <c r="P164" s="40">
        <f t="shared" ca="1" si="7"/>
        <v>3.1578947368709554E-4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input_596100!A$2</f>
        <v>596100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IFERROR(VLOOKUP(B165,input_596100!L:R,7,FALSE),VLOOKUP(tables_596100!C165,input_596100!A:H,8,FALSE))</f>
        <v>192</v>
      </c>
      <c r="P165" s="40">
        <f t="shared" ca="1" si="7"/>
        <v>3.5087719298566169E-5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input_596100!A$2</f>
        <v>596100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IFERROR(VLOOKUP(B166,input_596100!L:R,7,FALSE),VLOOKUP(tables_596100!C166,input_596100!A:H,8,FALSE))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input_596100!A$2</f>
        <v>596100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IFERROR(VLOOKUP(B167,input_596100!L:R,7,FALSE),VLOOKUP(tables_596100!C167,input_596100!A:H,8,FALSE))</f>
        <v>25335.360000000001</v>
      </c>
      <c r="P167" s="40">
        <f t="shared" ca="1" si="7"/>
        <v>4.6300000000422991E-3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input_596100!A$2</f>
        <v>596100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IFERROR(VLOOKUP(B168,input_596100!L:R,7,FALSE),VLOOKUP(tables_596100!C168,input_596100!A:H,8,FALSE))</f>
        <v>2815.04</v>
      </c>
      <c r="P168" s="40">
        <f t="shared" ca="1" si="7"/>
        <v>5.1444444444914434E-4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input_596100!A$2</f>
        <v>596100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IFERROR(VLOOKUP(B169,input_596100!L:R,7,FALSE),VLOOKUP(tables_596100!C169,input_596100!A:H,8,FALSE))</f>
        <v>1728</v>
      </c>
      <c r="P169" s="40">
        <f t="shared" ca="1" si="7"/>
        <v>3.1578947368709554E-4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input_596100!A$2</f>
        <v>596100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IFERROR(VLOOKUP(B170,input_596100!L:R,7,FALSE),VLOOKUP(tables_596100!C170,input_596100!A:H,8,FALSE))</f>
        <v>192</v>
      </c>
      <c r="P170" s="40">
        <f t="shared" ca="1" si="7"/>
        <v>3.5087719298566169E-5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input_596100!A$2</f>
        <v>596100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IFERROR(VLOOKUP(B171,input_596100!L:R,7,FALSE),VLOOKUP(tables_596100!C171,input_596100!A:H,8,FALSE))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input_596100!A$2</f>
        <v>596100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IFERROR(VLOOKUP(B172,input_596100!L:R,7,FALSE),VLOOKUP(tables_596100!C172,input_596100!A:H,8,FALSE))</f>
        <v>109448.7552</v>
      </c>
      <c r="P172" s="40">
        <f t="shared" ca="1" si="7"/>
        <v>2.0001600000182734E-2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input_596100!A$2</f>
        <v>596100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IFERROR(VLOOKUP(B173,input_596100!L:R,7,FALSE),VLOOKUP(tables_596100!C173,input_596100!A:H,8,FALSE))</f>
        <v>3604.0155399999999</v>
      </c>
      <c r="P173" s="40">
        <f t="shared" ca="1" si="7"/>
        <v>6.5862857091244988E-4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input_596100!A$2</f>
        <v>596100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IFERROR(VLOOKUP(B174,input_596100!L:R,7,FALSE),VLOOKUP(tables_596100!C174,input_596100!A:H,8,FALSE))</f>
        <v>1728</v>
      </c>
      <c r="P174" s="40">
        <f t="shared" ca="1" si="7"/>
        <v>3.1578947368709554E-4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input_596100!A$2</f>
        <v>596100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IFERROR(VLOOKUP(B175,input_596100!L:R,7,FALSE),VLOOKUP(tables_596100!C175,input_596100!A:H,8,FALSE))</f>
        <v>192</v>
      </c>
      <c r="P175" s="40">
        <f t="shared" ca="1" si="7"/>
        <v>3.5087719298566169E-5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input_596100!A$2</f>
        <v>596100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IFERROR(VLOOKUP(B176,input_596100!L:R,7,FALSE),VLOOKUP(tables_596100!C176,input_596100!A:H,8,FALSE))</f>
        <v>1728</v>
      </c>
      <c r="P176" s="40">
        <f t="shared" ca="1" si="7"/>
        <v>3.1578947368709554E-4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input_596100!A$2</f>
        <v>596100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IFERROR(VLOOKUP(B177,input_596100!L:R,7,FALSE),VLOOKUP(tables_596100!C177,input_596100!A:H,8,FALSE))</f>
        <v>192</v>
      </c>
      <c r="P177" s="40">
        <f t="shared" ca="1" si="7"/>
        <v>3.5087719298566169E-5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input_596100!A$2</f>
        <v>596100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IFERROR(VLOOKUP(B178,input_596100!L:R,7,FALSE),VLOOKUP(tables_596100!C178,input_596100!A:H,8,FALSE))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input_596100!A$2</f>
        <v>596100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IFERROR(VLOOKUP(B179,input_596100!L:R,7,FALSE),VLOOKUP(tables_596100!C179,input_596100!A:H,8,FALSE))</f>
        <v>25335.360000000001</v>
      </c>
      <c r="P179" s="40">
        <f t="shared" ca="1" si="7"/>
        <v>4.6300000000422991E-3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input_596100!A$2</f>
        <v>596100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IFERROR(VLOOKUP(B180,input_596100!L:R,7,FALSE),VLOOKUP(tables_596100!C180,input_596100!A:H,8,FALSE))</f>
        <v>2815.04</v>
      </c>
      <c r="P180" s="40">
        <f t="shared" ca="1" si="7"/>
        <v>5.1444444444914434E-4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input_596100!A$2</f>
        <v>596100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IFERROR(VLOOKUP(B181,input_596100!L:R,7,FALSE),VLOOKUP(tables_596100!C181,input_596100!A:H,8,FALSE))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input_596100!A$2</f>
        <v>596100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IFERROR(VLOOKUP(B182,input_596100!L:R,7,FALSE),VLOOKUP(tables_596100!C182,input_596100!A:H,8,FALSE))</f>
        <v>109448.7552</v>
      </c>
      <c r="P182" s="40">
        <f t="shared" ca="1" si="7"/>
        <v>2.0001600000182734E-2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input_596100!A$2</f>
        <v>596100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IFERROR(VLOOKUP(B183,input_596100!L:R,7,FALSE),VLOOKUP(tables_596100!C183,input_596100!A:H,8,FALSE))</f>
        <v>3604.0155399999999</v>
      </c>
      <c r="P183" s="40">
        <f t="shared" ca="1" si="7"/>
        <v>6.5862857091244988E-4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input_596100!A$2</f>
        <v>596100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IFERROR(VLOOKUP(B184,input_596100!L:R,7,FALSE),VLOOKUP(tables_596100!C184,input_596100!A:H,8,FALSE))</f>
        <v>1728</v>
      </c>
      <c r="P184" s="40">
        <f t="shared" ca="1" si="7"/>
        <v>3.1578947368709554E-4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input_596100!A$2</f>
        <v>596100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IFERROR(VLOOKUP(B185,input_596100!L:R,7,FALSE),VLOOKUP(tables_596100!C185,input_596100!A:H,8,FALSE))</f>
        <v>192</v>
      </c>
      <c r="P185" s="40">
        <f t="shared" ca="1" si="7"/>
        <v>3.5087719298566169E-5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input_596100!A$2</f>
        <v>596100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IFERROR(VLOOKUP(B186,input_596100!L:R,7,FALSE),VLOOKUP(tables_596100!C186,input_596100!A:H,8,FALSE))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input_596100!A$2</f>
        <v>596100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IFERROR(VLOOKUP(B187,input_596100!L:R,7,FALSE),VLOOKUP(tables_596100!C187,input_596100!A:H,8,FALSE))</f>
        <v>25335.360000000001</v>
      </c>
      <c r="P187" s="40">
        <f t="shared" ca="1" si="7"/>
        <v>4.6300000000422991E-3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input_596100!A$2</f>
        <v>596100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IFERROR(VLOOKUP(B188,input_596100!L:R,7,FALSE),VLOOKUP(tables_596100!C188,input_596100!A:H,8,FALSE))</f>
        <v>2815.04</v>
      </c>
      <c r="P188" s="40">
        <f t="shared" ca="1" si="7"/>
        <v>5.1444444444914434E-4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input_596100!A$2</f>
        <v>596100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IFERROR(VLOOKUP(B189,input_596100!L:R,7,FALSE),VLOOKUP(tables_596100!C189,input_596100!A:H,8,FALSE))</f>
        <v>1728</v>
      </c>
      <c r="P189" s="40">
        <f t="shared" ca="1" si="7"/>
        <v>3.1578947368709554E-4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input_596100!A$2</f>
        <v>596100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IFERROR(VLOOKUP(B190,input_596100!L:R,7,FALSE),VLOOKUP(tables_596100!C190,input_596100!A:H,8,FALSE))</f>
        <v>192</v>
      </c>
      <c r="P190" s="40">
        <f t="shared" ca="1" si="7"/>
        <v>3.5087719298566169E-5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input_596100!A$2</f>
        <v>596100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IFERROR(VLOOKUP(B191,input_596100!L:R,7,FALSE),VLOOKUP(tables_596100!C191,input_596100!A:H,8,FALSE))</f>
        <v>8208</v>
      </c>
      <c r="P191" s="40">
        <f t="shared" ca="1" si="7"/>
        <v>1.5000000000137039E-3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input_596100!A$2</f>
        <v>596100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IFERROR(VLOOKUP(B192,input_596100!L:R,7,FALSE),VLOOKUP(tables_596100!C192,input_596100!A:H,8,FALSE))</f>
        <v>912</v>
      </c>
      <c r="P192" s="40">
        <f t="shared" ca="1" si="7"/>
        <v>1.6666666666818931E-4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input_596100!A$2</f>
        <v>596100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IFERROR(VLOOKUP(B193,input_596100!L:R,7,FALSE),VLOOKUP(tables_596100!C193,input_596100!A:H,8,FALSE))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input_596100!A$2</f>
        <v>596100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IFERROR(VLOOKUP(B194,input_596100!L:R,7,FALSE),VLOOKUP(tables_596100!C194,input_596100!A:H,8,FALSE))</f>
        <v>25335.360000000001</v>
      </c>
      <c r="P194" s="40">
        <f t="shared" ref="P194:P257" ca="1" si="10">O194/SUM(O:O)</f>
        <v>4.6300000000422991E-3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input_596100!A$2</f>
        <v>596100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IFERROR(VLOOKUP(B195,input_596100!L:R,7,FALSE),VLOOKUP(tables_596100!C195,input_596100!A:H,8,FALSE))</f>
        <v>2815.04</v>
      </c>
      <c r="P195" s="40">
        <f t="shared" ca="1" si="10"/>
        <v>5.1444444444914434E-4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input_596100!A$2</f>
        <v>596100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IFERROR(VLOOKUP(B196,input_596100!L:R,7,FALSE),VLOOKUP(tables_596100!C196,input_596100!A:H,8,FALSE))</f>
        <v>1728</v>
      </c>
      <c r="P196" s="40">
        <f t="shared" ca="1" si="10"/>
        <v>3.1578947368709554E-4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input_596100!A$2</f>
        <v>596100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IFERROR(VLOOKUP(B197,input_596100!L:R,7,FALSE),VLOOKUP(tables_596100!C197,input_596100!A:H,8,FALSE))</f>
        <v>192</v>
      </c>
      <c r="P197" s="40">
        <f t="shared" ca="1" si="10"/>
        <v>3.5087719298566169E-5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input_596100!A$2</f>
        <v>596100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IFERROR(VLOOKUP(B198,input_596100!L:R,7,FALSE),VLOOKUP(tables_596100!C198,input_596100!A:H,8,FALSE))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input_596100!A$2</f>
        <v>596100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IFERROR(VLOOKUP(B199,input_596100!L:R,7,FALSE),VLOOKUP(tables_596100!C199,input_596100!A:H,8,FALSE))</f>
        <v>25335.360000000001</v>
      </c>
      <c r="P199" s="40">
        <f t="shared" ca="1" si="10"/>
        <v>4.6300000000422991E-3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input_596100!A$2</f>
        <v>596100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IFERROR(VLOOKUP(B200,input_596100!L:R,7,FALSE),VLOOKUP(tables_596100!C200,input_596100!A:H,8,FALSE))</f>
        <v>2815.04</v>
      </c>
      <c r="P200" s="40">
        <f t="shared" ca="1" si="10"/>
        <v>5.1444444444914434E-4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input_596100!A$2</f>
        <v>596100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IFERROR(VLOOKUP(B201,input_596100!L:R,7,FALSE),VLOOKUP(tables_596100!C201,input_596100!A:H,8,FALSE))</f>
        <v>8208</v>
      </c>
      <c r="P201" s="40">
        <f t="shared" ca="1" si="10"/>
        <v>1.5000000000137039E-3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input_596100!A$2</f>
        <v>596100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IFERROR(VLOOKUP(B202,input_596100!L:R,7,FALSE),VLOOKUP(tables_596100!C202,input_596100!A:H,8,FALSE))</f>
        <v>912</v>
      </c>
      <c r="P202" s="40">
        <f t="shared" ca="1" si="10"/>
        <v>1.6666666666818931E-4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input_596100!A$2</f>
        <v>596100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IFERROR(VLOOKUP(B203,input_596100!L:R,7,FALSE),VLOOKUP(tables_596100!C203,input_596100!A:H,8,FALSE))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input_596100!A$2</f>
        <v>596100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IFERROR(VLOOKUP(B204,input_596100!L:R,7,FALSE),VLOOKUP(tables_596100!C204,input_596100!A:H,8,FALSE))</f>
        <v>25335.360000000001</v>
      </c>
      <c r="P204" s="40">
        <f t="shared" ca="1" si="10"/>
        <v>4.6300000000422991E-3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input_596100!A$2</f>
        <v>596100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IFERROR(VLOOKUP(B205,input_596100!L:R,7,FALSE),VLOOKUP(tables_596100!C205,input_596100!A:H,8,FALSE))</f>
        <v>2815.04</v>
      </c>
      <c r="P205" s="40">
        <f t="shared" ca="1" si="10"/>
        <v>5.1444444444914434E-4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input_596100!A$2</f>
        <v>596100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IFERROR(VLOOKUP(B206,input_596100!L:R,7,FALSE),VLOOKUP(tables_596100!C206,input_596100!A:H,8,FALSE))</f>
        <v>1728</v>
      </c>
      <c r="P206" s="40">
        <f t="shared" ca="1" si="10"/>
        <v>3.1578947368709554E-4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input_596100!A$2</f>
        <v>596100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IFERROR(VLOOKUP(B207,input_596100!L:R,7,FALSE),VLOOKUP(tables_596100!C207,input_596100!A:H,8,FALSE))</f>
        <v>192</v>
      </c>
      <c r="P207" s="40">
        <f t="shared" ca="1" si="10"/>
        <v>3.5087719298566169E-5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input_596100!A$2</f>
        <v>596100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IFERROR(VLOOKUP(B208,input_596100!L:R,7,FALSE),VLOOKUP(tables_596100!C208,input_596100!A:H,8,FALSE))</f>
        <v>1728</v>
      </c>
      <c r="P208" s="40">
        <f t="shared" ca="1" si="10"/>
        <v>3.1578947368709554E-4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input_596100!A$2</f>
        <v>596100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IFERROR(VLOOKUP(B209,input_596100!L:R,7,FALSE),VLOOKUP(tables_596100!C209,input_596100!A:H,8,FALSE))</f>
        <v>192</v>
      </c>
      <c r="P209" s="40">
        <f t="shared" ca="1" si="10"/>
        <v>3.5087719298566169E-5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input_596100!A$2</f>
        <v>596100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IFERROR(VLOOKUP(B210,input_596100!L:R,7,FALSE),VLOOKUP(tables_596100!C210,input_596100!A:H,8,FALSE))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input_596100!A$2</f>
        <v>596100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IFERROR(VLOOKUP(B211,input_596100!L:R,7,FALSE),VLOOKUP(tables_596100!C211,input_596100!A:H,8,FALSE))</f>
        <v>109448.7552</v>
      </c>
      <c r="P211" s="40">
        <f t="shared" ca="1" si="10"/>
        <v>2.0001600000182734E-2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input_596100!A$2</f>
        <v>596100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IFERROR(VLOOKUP(B212,input_596100!L:R,7,FALSE),VLOOKUP(tables_596100!C212,input_596100!A:H,8,FALSE))</f>
        <v>3604.0155399999999</v>
      </c>
      <c r="P212" s="40">
        <f t="shared" ca="1" si="10"/>
        <v>6.5862857091244988E-4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input_596100!A$2</f>
        <v>596100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IFERROR(VLOOKUP(B213,input_596100!L:R,7,FALSE),VLOOKUP(tables_596100!C213,input_596100!A:H,8,FALSE))</f>
        <v>1728</v>
      </c>
      <c r="P213" s="40">
        <f t="shared" ca="1" si="10"/>
        <v>3.1578947368709554E-4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input_596100!A$2</f>
        <v>596100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IFERROR(VLOOKUP(B214,input_596100!L:R,7,FALSE),VLOOKUP(tables_596100!C214,input_596100!A:H,8,FALSE))</f>
        <v>192</v>
      </c>
      <c r="P214" s="40">
        <f t="shared" ca="1" si="10"/>
        <v>3.5087719298566169E-5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input_596100!A$2</f>
        <v>596100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IFERROR(VLOOKUP(B215,input_596100!L:R,7,FALSE),VLOOKUP(tables_596100!C215,input_596100!A:H,8,FALSE))</f>
        <v>1601.9680000000001</v>
      </c>
      <c r="P215" s="40">
        <f t="shared" ca="1" si="10"/>
        <v>2.9275730994419508E-4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input_596100!A$2</f>
        <v>596100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IFERROR(VLOOKUP(B216,input_596100!L:R,7,FALSE),VLOOKUP(tables_596100!C216,input_596100!A:H,8,FALSE))</f>
        <v>1601.9680000000001</v>
      </c>
      <c r="P216" s="40">
        <f t="shared" ca="1" si="10"/>
        <v>2.9275730994419508E-4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input_596100!A$2</f>
        <v>596100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IFERROR(VLOOKUP(B217,input_596100!L:R,7,FALSE),VLOOKUP(tables_596100!C217,input_596100!A:H,8,FALSE))</f>
        <v>2780.40137</v>
      </c>
      <c r="P217" s="40">
        <f t="shared" ca="1" si="10"/>
        <v>5.0811428545785846E-4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input_596100!A$2</f>
        <v>596100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IFERROR(VLOOKUP(B218,input_596100!L:R,7,FALSE),VLOOKUP(tables_596100!C218,input_596100!A:H,8,FALSE))</f>
        <v>1601.9680000000001</v>
      </c>
      <c r="P218" s="40">
        <f t="shared" ca="1" si="10"/>
        <v>2.9275730994419508E-4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input_596100!A$2</f>
        <v>596100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IFERROR(VLOOKUP(B219,input_596100!L:R,7,FALSE),VLOOKUP(tables_596100!C219,input_596100!A:H,8,FALSE))</f>
        <v>2780.40137</v>
      </c>
      <c r="P219" s="40">
        <f t="shared" ca="1" si="10"/>
        <v>5.0811428545785846E-4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input_596100!A$2</f>
        <v>596100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IFERROR(VLOOKUP(B220,input_596100!L:R,7,FALSE),VLOOKUP(tables_596100!C220,input_596100!A:H,8,FALSE))</f>
        <v>1601.9680000000001</v>
      </c>
      <c r="P220" s="40">
        <f t="shared" ca="1" si="10"/>
        <v>2.9275730994419508E-4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input_596100!A$2</f>
        <v>596100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IFERROR(VLOOKUP(B221,input_596100!L:R,7,FALSE),VLOOKUP(tables_596100!C221,input_596100!A:H,8,FALSE))</f>
        <v>1728</v>
      </c>
      <c r="P221" s="40">
        <f t="shared" ca="1" si="10"/>
        <v>3.1578947368709554E-4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input_596100!A$2</f>
        <v>596100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IFERROR(VLOOKUP(B222,input_596100!L:R,7,FALSE),VLOOKUP(tables_596100!C222,input_596100!A:H,8,FALSE))</f>
        <v>192</v>
      </c>
      <c r="P222" s="40">
        <f t="shared" ca="1" si="10"/>
        <v>3.5087719298566169E-5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input_596100!A$2</f>
        <v>596100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IFERROR(VLOOKUP(B223,input_596100!L:R,7,FALSE),VLOOKUP(tables_596100!C223,input_596100!A:H,8,FALSE))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input_596100!A$2</f>
        <v>596100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IFERROR(VLOOKUP(B224,input_596100!L:R,7,FALSE),VLOOKUP(tables_596100!C224,input_596100!A:H,8,FALSE))</f>
        <v>25335.360000000001</v>
      </c>
      <c r="P224" s="40">
        <f t="shared" ca="1" si="10"/>
        <v>4.6300000000422991E-3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input_596100!A$2</f>
        <v>596100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IFERROR(VLOOKUP(B225,input_596100!L:R,7,FALSE),VLOOKUP(tables_596100!C225,input_596100!A:H,8,FALSE))</f>
        <v>2815.04</v>
      </c>
      <c r="P225" s="40">
        <f t="shared" ca="1" si="10"/>
        <v>5.1444444444914434E-4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input_596100!A$2</f>
        <v>596100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IFERROR(VLOOKUP(B226,input_596100!L:R,7,FALSE),VLOOKUP(tables_596100!C226,input_596100!A:H,8,FALSE))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input_596100!A$2</f>
        <v>596100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IFERROR(VLOOKUP(B227,input_596100!L:R,7,FALSE),VLOOKUP(tables_596100!C227,input_596100!A:H,8,FALSE))</f>
        <v>109448.7552</v>
      </c>
      <c r="P227" s="40">
        <f t="shared" ca="1" si="10"/>
        <v>2.0001600000182734E-2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input_596100!A$2</f>
        <v>596100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IFERROR(VLOOKUP(B228,input_596100!L:R,7,FALSE),VLOOKUP(tables_596100!C228,input_596100!A:H,8,FALSE))</f>
        <v>3604.0155399999999</v>
      </c>
      <c r="P228" s="40">
        <f t="shared" ca="1" si="10"/>
        <v>6.5862857091244988E-4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input_596100!A$2</f>
        <v>596100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IFERROR(VLOOKUP(B229,input_596100!L:R,7,FALSE),VLOOKUP(tables_596100!C229,input_596100!A:H,8,FALSE))</f>
        <v>1728</v>
      </c>
      <c r="P229" s="40">
        <f t="shared" ca="1" si="10"/>
        <v>3.1578947368709554E-4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input_596100!A$2</f>
        <v>596100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IFERROR(VLOOKUP(B230,input_596100!L:R,7,FALSE),VLOOKUP(tables_596100!C230,input_596100!A:H,8,FALSE))</f>
        <v>192</v>
      </c>
      <c r="P230" s="40">
        <f t="shared" ca="1" si="10"/>
        <v>3.5087719298566169E-5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input_596100!A$2</f>
        <v>596100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IFERROR(VLOOKUP(B231,input_596100!L:R,7,FALSE),VLOOKUP(tables_596100!C231,input_596100!A:H,8,FALSE))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input_596100!A$2</f>
        <v>596100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IFERROR(VLOOKUP(B232,input_596100!L:R,7,FALSE),VLOOKUP(tables_596100!C232,input_596100!A:H,8,FALSE))</f>
        <v>25335.360000000001</v>
      </c>
      <c r="P232" s="40">
        <f t="shared" ca="1" si="10"/>
        <v>4.6300000000422991E-3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input_596100!A$2</f>
        <v>596100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IFERROR(VLOOKUP(B233,input_596100!L:R,7,FALSE),VLOOKUP(tables_596100!C233,input_596100!A:H,8,FALSE))</f>
        <v>2815.04</v>
      </c>
      <c r="P233" s="40">
        <f t="shared" ca="1" si="10"/>
        <v>5.1444444444914434E-4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input_596100!A$2</f>
        <v>596100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IFERROR(VLOOKUP(B234,input_596100!L:R,7,FALSE),VLOOKUP(tables_596100!C234,input_596100!A:H,8,FALSE))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input_596100!A$2</f>
        <v>596100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IFERROR(VLOOKUP(B235,input_596100!L:R,7,FALSE),VLOOKUP(tables_596100!C235,input_596100!A:H,8,FALSE))</f>
        <v>25335.360000000001</v>
      </c>
      <c r="P235" s="40">
        <f t="shared" ca="1" si="10"/>
        <v>4.6300000000422991E-3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input_596100!A$2</f>
        <v>596100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IFERROR(VLOOKUP(B236,input_596100!L:R,7,FALSE),VLOOKUP(tables_596100!C236,input_596100!A:H,8,FALSE))</f>
        <v>2815.04</v>
      </c>
      <c r="P236" s="40">
        <f t="shared" ca="1" si="10"/>
        <v>5.1444444444914434E-4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input_596100!A$2</f>
        <v>596100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IFERROR(VLOOKUP(B237,input_596100!L:R,7,FALSE),VLOOKUP(tables_596100!C237,input_596100!A:H,8,FALSE))</f>
        <v>8208</v>
      </c>
      <c r="P237" s="40">
        <f t="shared" ca="1" si="10"/>
        <v>1.5000000000137039E-3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input_596100!A$2</f>
        <v>596100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IFERROR(VLOOKUP(B238,input_596100!L:R,7,FALSE),VLOOKUP(tables_596100!C238,input_596100!A:H,8,FALSE))</f>
        <v>912</v>
      </c>
      <c r="P238" s="40">
        <f t="shared" ca="1" si="10"/>
        <v>1.6666666666818931E-4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input_596100!A$2</f>
        <v>596100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IFERROR(VLOOKUP(B239,input_596100!L:R,7,FALSE),VLOOKUP(tables_596100!C239,input_596100!A:H,8,FALSE))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input_596100!A$2</f>
        <v>596100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IFERROR(VLOOKUP(B240,input_596100!L:R,7,FALSE),VLOOKUP(tables_596100!C240,input_596100!A:H,8,FALSE))</f>
        <v>25335.360000000001</v>
      </c>
      <c r="P240" s="40">
        <f t="shared" ca="1" si="10"/>
        <v>4.6300000000422991E-3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input_596100!A$2</f>
        <v>596100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IFERROR(VLOOKUP(B241,input_596100!L:R,7,FALSE),VLOOKUP(tables_596100!C241,input_596100!A:H,8,FALSE))</f>
        <v>2815.04</v>
      </c>
      <c r="P241" s="40">
        <f t="shared" ca="1" si="10"/>
        <v>5.1444444444914434E-4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input_596100!A$2</f>
        <v>596100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IFERROR(VLOOKUP(B242,input_596100!L:R,7,FALSE),VLOOKUP(tables_596100!C242,input_596100!A:H,8,FALSE))</f>
        <v>1728</v>
      </c>
      <c r="P242" s="40">
        <f t="shared" ca="1" si="10"/>
        <v>3.1578947368709554E-4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input_596100!A$2</f>
        <v>596100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IFERROR(VLOOKUP(B243,input_596100!L:R,7,FALSE),VLOOKUP(tables_596100!C243,input_596100!A:H,8,FALSE))</f>
        <v>192</v>
      </c>
      <c r="P243" s="40">
        <f t="shared" ca="1" si="10"/>
        <v>3.5087719298566169E-5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input_596100!A$2</f>
        <v>596100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IFERROR(VLOOKUP(B244,input_596100!L:R,7,FALSE),VLOOKUP(tables_596100!C244,input_596100!A:H,8,FALSE))</f>
        <v>1728</v>
      </c>
      <c r="P244" s="40">
        <f t="shared" ca="1" si="10"/>
        <v>3.1578947368709554E-4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input_596100!A$2</f>
        <v>596100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IFERROR(VLOOKUP(B245,input_596100!L:R,7,FALSE),VLOOKUP(tables_596100!C245,input_596100!A:H,8,FALSE))</f>
        <v>192</v>
      </c>
      <c r="P245" s="40">
        <f t="shared" ca="1" si="10"/>
        <v>3.5087719298566169E-5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input_596100!A$2</f>
        <v>596100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IFERROR(VLOOKUP(B246,input_596100!L:R,7,FALSE),VLOOKUP(tables_596100!C246,input_596100!A:H,8,FALSE))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input_596100!A$2</f>
        <v>596100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IFERROR(VLOOKUP(B247,input_596100!L:R,7,FALSE),VLOOKUP(tables_596100!C247,input_596100!A:H,8,FALSE))</f>
        <v>109448.7552</v>
      </c>
      <c r="P247" s="40">
        <f t="shared" ca="1" si="10"/>
        <v>2.0001600000182734E-2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input_596100!A$2</f>
        <v>596100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IFERROR(VLOOKUP(B248,input_596100!L:R,7,FALSE),VLOOKUP(tables_596100!C248,input_596100!A:H,8,FALSE))</f>
        <v>3604.0155399999999</v>
      </c>
      <c r="P248" s="40">
        <f t="shared" ca="1" si="10"/>
        <v>6.5862857091244988E-4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input_596100!A$2</f>
        <v>596100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IFERROR(VLOOKUP(B249,input_596100!L:R,7,FALSE),VLOOKUP(tables_596100!C249,input_596100!A:H,8,FALSE))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input_596100!A$2</f>
        <v>596100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IFERROR(VLOOKUP(B250,input_596100!L:R,7,FALSE),VLOOKUP(tables_596100!C250,input_596100!A:H,8,FALSE))</f>
        <v>25335.360000000001</v>
      </c>
      <c r="P250" s="40">
        <f t="shared" ca="1" si="10"/>
        <v>4.6300000000422991E-3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input_596100!A$2</f>
        <v>596100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IFERROR(VLOOKUP(B251,input_596100!L:R,7,FALSE),VLOOKUP(tables_596100!C251,input_596100!A:H,8,FALSE))</f>
        <v>2815.04</v>
      </c>
      <c r="P251" s="40">
        <f t="shared" ca="1" si="10"/>
        <v>5.1444444444914434E-4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input_596100!A$2</f>
        <v>596100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IFERROR(VLOOKUP(B252,input_596100!L:R,7,FALSE),VLOOKUP(tables_596100!C252,input_596100!A:H,8,FALSE))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input_596100!A$2</f>
        <v>596100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IFERROR(VLOOKUP(B253,input_596100!L:R,7,FALSE),VLOOKUP(tables_596100!C253,input_596100!A:H,8,FALSE))</f>
        <v>25335.360000000001</v>
      </c>
      <c r="P253" s="40">
        <f t="shared" ca="1" si="10"/>
        <v>4.6300000000422991E-3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input_596100!A$2</f>
        <v>596100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IFERROR(VLOOKUP(B254,input_596100!L:R,7,FALSE),VLOOKUP(tables_596100!C254,input_596100!A:H,8,FALSE))</f>
        <v>2815.04</v>
      </c>
      <c r="P254" s="40">
        <f t="shared" ca="1" si="10"/>
        <v>5.1444444444914434E-4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input_596100!A$2</f>
        <v>596100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IFERROR(VLOOKUP(B255,input_596100!L:R,7,FALSE),VLOOKUP(tables_596100!C255,input_596100!A:H,8,FALSE))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input_596100!A$2</f>
        <v>596100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IFERROR(VLOOKUP(B256,input_596100!L:R,7,FALSE),VLOOKUP(tables_596100!C256,input_596100!A:H,8,FALSE))</f>
        <v>25335.360000000001</v>
      </c>
      <c r="P256" s="40">
        <f t="shared" ca="1" si="10"/>
        <v>4.6300000000422991E-3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input_596100!A$2</f>
        <v>596100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IFERROR(VLOOKUP(B257,input_596100!L:R,7,FALSE),VLOOKUP(tables_596100!C257,input_596100!A:H,8,FALSE))</f>
        <v>2815.04</v>
      </c>
      <c r="P257" s="40">
        <f t="shared" ca="1" si="10"/>
        <v>5.1444444444914434E-4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input_596100!A$2</f>
        <v>596100</v>
      </c>
      <c r="B258" s="52">
        <v>674</v>
      </c>
      <c r="C258" s="7" t="str">
        <f t="shared" ref="C258:C321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IFERROR(VLOOKUP(B258,input_596100!L:R,7,FALSE),VLOOKUP(tables_596100!C258,input_596100!A:H,8,FALSE))</f>
        <v>8208</v>
      </c>
      <c r="P258" s="40">
        <f t="shared" ref="P258:P321" ca="1" si="13">O258/SUM(O:O)</f>
        <v>1.5000000000137039E-3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input_596100!A$2</f>
        <v>596100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IFERROR(VLOOKUP(B259,input_596100!L:R,7,FALSE),VLOOKUP(tables_596100!C259,input_596100!A:H,8,FALSE))</f>
        <v>912</v>
      </c>
      <c r="P259" s="40">
        <f t="shared" ca="1" si="13"/>
        <v>1.6666666666818931E-4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input_596100!A$2</f>
        <v>596100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IFERROR(VLOOKUP(B260,input_596100!L:R,7,FALSE),VLOOKUP(tables_596100!C260,input_596100!A:H,8,FALSE))</f>
        <v>1728</v>
      </c>
      <c r="P260" s="40">
        <f t="shared" ca="1" si="13"/>
        <v>3.1578947368709554E-4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input_596100!A$2</f>
        <v>596100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IFERROR(VLOOKUP(B261,input_596100!L:R,7,FALSE),VLOOKUP(tables_596100!C261,input_596100!A:H,8,FALSE))</f>
        <v>192</v>
      </c>
      <c r="P261" s="40">
        <f t="shared" ca="1" si="13"/>
        <v>3.5087719298566169E-5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input_596100!A$2</f>
        <v>596100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IFERROR(VLOOKUP(B262,input_596100!L:R,7,FALSE),VLOOKUP(tables_596100!C262,input_596100!A:H,8,FALSE))</f>
        <v>26147.94</v>
      </c>
      <c r="P262" s="40">
        <f t="shared" ca="1" si="13"/>
        <v>4.7784978070611996E-3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input_596100!A$2</f>
        <v>596100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IFERROR(VLOOKUP(B263,input_596100!L:R,7,FALSE),VLOOKUP(tables_596100!C263,input_596100!A:H,8,FALSE))</f>
        <v>1601.9680000000001</v>
      </c>
      <c r="P263" s="40">
        <f t="shared" ca="1" si="13"/>
        <v>2.9275730994419508E-4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input_596100!A$2</f>
        <v>596100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IFERROR(VLOOKUP(B264,input_596100!L:R,7,FALSE),VLOOKUP(tables_596100!C264,input_596100!A:H,8,FALSE))</f>
        <v>26147.94</v>
      </c>
      <c r="P264" s="40">
        <f t="shared" ca="1" si="13"/>
        <v>4.7784978070611996E-3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input_596100!A$2</f>
        <v>596100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IFERROR(VLOOKUP(B265,input_596100!L:R,7,FALSE),VLOOKUP(tables_596100!C265,input_596100!A:H,8,FALSE))</f>
        <v>1601.9680000000001</v>
      </c>
      <c r="P265" s="40">
        <f t="shared" ca="1" si="13"/>
        <v>2.9275730994419508E-4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input_596100!A$2</f>
        <v>596100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IFERROR(VLOOKUP(B266,input_596100!L:R,7,FALSE),VLOOKUP(tables_596100!C266,input_596100!A:H,8,FALSE))</f>
        <v>9120</v>
      </c>
      <c r="P266" s="40">
        <f t="shared" ca="1" si="13"/>
        <v>1.6666666666818931E-3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input_596100!A$2</f>
        <v>596100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IFERROR(VLOOKUP(B267,input_596100!L:R,7,FALSE),VLOOKUP(tables_596100!C267,input_596100!A:H,8,FALSE))</f>
        <v>1920</v>
      </c>
      <c r="P267" s="40">
        <f t="shared" ca="1" si="13"/>
        <v>3.5087719298566172E-4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input_596100!A$2</f>
        <v>596100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IFERROR(VLOOKUP(B268,input_596100!L:R,7,FALSE),VLOOKUP(tables_596100!C268,input_596100!A:H,8,FALSE))</f>
        <v>1920</v>
      </c>
      <c r="P268" s="40">
        <f t="shared" ca="1" si="13"/>
        <v>3.5087719298566172E-4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input_596100!A$2</f>
        <v>596100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IFERROR(VLOOKUP(B269,input_596100!L:R,7,FALSE),VLOOKUP(tables_596100!C269,input_596100!A:H,8,FALSE))</f>
        <v>1920</v>
      </c>
      <c r="P269" s="40">
        <f t="shared" ca="1" si="13"/>
        <v>3.5087719298566172E-4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input_596100!A$2</f>
        <v>596100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IFERROR(VLOOKUP(B270,input_596100!L:R,7,FALSE),VLOOKUP(tables_596100!C270,input_596100!A:H,8,FALSE))</f>
        <v>117717.16608</v>
      </c>
      <c r="P270" s="40">
        <f t="shared" ca="1" si="13"/>
        <v>2.1512640000196537E-2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input_596100!A$2</f>
        <v>596100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IFERROR(VLOOKUP(B271,input_596100!L:R,7,FALSE),VLOOKUP(tables_596100!C271,input_596100!A:H,8,FALSE))</f>
        <v>2780.40137</v>
      </c>
      <c r="P271" s="40">
        <f t="shared" ca="1" si="13"/>
        <v>5.0811428545785846E-4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input_596100!A$2</f>
        <v>596100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IFERROR(VLOOKUP(B272,input_596100!L:R,7,FALSE),VLOOKUP(tables_596100!C272,input_596100!A:H,8,FALSE))</f>
        <v>26147.94</v>
      </c>
      <c r="P272" s="40">
        <f t="shared" ca="1" si="13"/>
        <v>4.7784978070611996E-3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input_596100!A$2</f>
        <v>596100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IFERROR(VLOOKUP(B273,input_596100!L:R,7,FALSE),VLOOKUP(tables_596100!C273,input_596100!A:H,8,FALSE))</f>
        <v>1601.9680000000001</v>
      </c>
      <c r="P273" s="40">
        <f t="shared" ca="1" si="13"/>
        <v>2.9275730994419508E-4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input_596100!A$2</f>
        <v>596100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IFERROR(VLOOKUP(B274,input_596100!L:R,7,FALSE),VLOOKUP(tables_596100!C274,input_596100!A:H,8,FALSE))</f>
        <v>1728</v>
      </c>
      <c r="P274" s="40">
        <f t="shared" ca="1" si="13"/>
        <v>3.1578947368709554E-4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input_596100!A$2</f>
        <v>596100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IFERROR(VLOOKUP(B275,input_596100!L:R,7,FALSE),VLOOKUP(tables_596100!C275,input_596100!A:H,8,FALSE))</f>
        <v>192</v>
      </c>
      <c r="P275" s="40">
        <f t="shared" ca="1" si="13"/>
        <v>3.5087719298566169E-5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input_596100!A$2</f>
        <v>596100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IFERROR(VLOOKUP(B276,input_596100!L:R,7,FALSE),VLOOKUP(tables_596100!C276,input_596100!A:H,8,FALSE))</f>
        <v>1728</v>
      </c>
      <c r="P276" s="40">
        <f t="shared" ca="1" si="13"/>
        <v>3.1578947368709554E-4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input_596100!A$2</f>
        <v>596100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IFERROR(VLOOKUP(B277,input_596100!L:R,7,FALSE),VLOOKUP(tables_596100!C277,input_596100!A:H,8,FALSE))</f>
        <v>192</v>
      </c>
      <c r="P277" s="40">
        <f t="shared" ca="1" si="13"/>
        <v>3.5087719298566169E-5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input_596100!A$2</f>
        <v>596100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IFERROR(VLOOKUP(B278,input_596100!L:R,7,FALSE),VLOOKUP(tables_596100!C278,input_596100!A:H,8,FALSE))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input_596100!A$2</f>
        <v>596100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IFERROR(VLOOKUP(B279,input_596100!L:R,7,FALSE),VLOOKUP(tables_596100!C279,input_596100!A:H,8,FALSE))</f>
        <v>109448.7552</v>
      </c>
      <c r="P279" s="40">
        <f t="shared" ca="1" si="13"/>
        <v>2.0001600000182734E-2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input_596100!A$2</f>
        <v>596100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IFERROR(VLOOKUP(B280,input_596100!L:R,7,FALSE),VLOOKUP(tables_596100!C280,input_596100!A:H,8,FALSE))</f>
        <v>3604.0155399999999</v>
      </c>
      <c r="P280" s="40">
        <f t="shared" ca="1" si="13"/>
        <v>6.5862857091244988E-4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input_596100!A$2</f>
        <v>596100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IFERROR(VLOOKUP(B281,input_596100!L:R,7,FALSE),VLOOKUP(tables_596100!C281,input_596100!A:H,8,FALSE))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input_596100!A$2</f>
        <v>596100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IFERROR(VLOOKUP(B282,input_596100!L:R,7,FALSE),VLOOKUP(tables_596100!C282,input_596100!A:H,8,FALSE))</f>
        <v>25335.360000000001</v>
      </c>
      <c r="P282" s="40">
        <f t="shared" ca="1" si="13"/>
        <v>4.6300000000422991E-3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input_596100!A$2</f>
        <v>596100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IFERROR(VLOOKUP(B283,input_596100!L:R,7,FALSE),VLOOKUP(tables_596100!C283,input_596100!A:H,8,FALSE))</f>
        <v>2815.04</v>
      </c>
      <c r="P283" s="40">
        <f t="shared" ca="1" si="13"/>
        <v>5.1444444444914434E-4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input_596100!A$2</f>
        <v>596100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IFERROR(VLOOKUP(B284,input_596100!L:R,7,FALSE),VLOOKUP(tables_596100!C284,input_596100!A:H,8,FALSE))</f>
        <v>1920</v>
      </c>
      <c r="P284" s="40">
        <f t="shared" ca="1" si="13"/>
        <v>3.5087719298566172E-4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input_596100!A$2</f>
        <v>596100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IFERROR(VLOOKUP(B285,input_596100!L:R,7,FALSE),VLOOKUP(tables_596100!C285,input_596100!A:H,8,FALSE))</f>
        <v>1920</v>
      </c>
      <c r="P285" s="40">
        <f t="shared" ca="1" si="13"/>
        <v>3.5087719298566172E-4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input_596100!A$2</f>
        <v>596100</v>
      </c>
      <c r="B286" s="5">
        <v>852</v>
      </c>
      <c r="C286" s="7" t="str">
        <f t="shared" si="12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IFERROR(VLOOKUP(B286,input_596100!L:R,7,FALSE),VLOOKUP(tables_596100!C286,input_596100!A:H,8,FALSE))</f>
        <v>117717.16608</v>
      </c>
      <c r="P286" s="40">
        <f t="shared" ca="1" si="13"/>
        <v>2.1512640000196537E-2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input_596100!A$2</f>
        <v>596100</v>
      </c>
      <c r="B287" s="5">
        <v>853</v>
      </c>
      <c r="C287" s="7" t="str">
        <f t="shared" si="12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IFERROR(VLOOKUP(B287,input_596100!L:R,7,FALSE),VLOOKUP(tables_596100!C287,input_596100!A:H,8,FALSE))</f>
        <v>2780.40137</v>
      </c>
      <c r="P287" s="40">
        <f t="shared" ca="1" si="13"/>
        <v>5.0811428545785846E-4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input_596100!A$2</f>
        <v>596100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IFERROR(VLOOKUP(B288,input_596100!L:R,7,FALSE),VLOOKUP(tables_596100!C288,input_596100!A:H,8,FALSE))</f>
        <v>26147.94</v>
      </c>
      <c r="P288" s="40">
        <f t="shared" ca="1" si="13"/>
        <v>4.7784978070611996E-3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input_596100!A$2</f>
        <v>596100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IFERROR(VLOOKUP(B289,input_596100!L:R,7,FALSE),VLOOKUP(tables_596100!C289,input_596100!A:H,8,FALSE))</f>
        <v>1601.9680000000001</v>
      </c>
      <c r="P289" s="40">
        <f t="shared" ca="1" si="13"/>
        <v>2.9275730994419508E-4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input_596100!A$2</f>
        <v>596100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IFERROR(VLOOKUP(B290,input_596100!L:R,7,FALSE),VLOOKUP(tables_596100!C290,input_596100!A:H,8,FALSE))</f>
        <v>26147.94</v>
      </c>
      <c r="P290" s="40">
        <f t="shared" ca="1" si="13"/>
        <v>4.7784978070611996E-3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input_596100!A$2</f>
        <v>596100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IFERROR(VLOOKUP(B291,input_596100!L:R,7,FALSE),VLOOKUP(tables_596100!C291,input_596100!A:H,8,FALSE))</f>
        <v>1601.9680000000001</v>
      </c>
      <c r="P291" s="40">
        <f t="shared" ca="1" si="13"/>
        <v>2.9275730994419508E-4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input_596100!A$2</f>
        <v>596100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IFERROR(VLOOKUP(B292,input_596100!L:R,7,FALSE),VLOOKUP(tables_596100!C292,input_596100!A:H,8,FALSE))</f>
        <v>26147.94</v>
      </c>
      <c r="P292" s="40">
        <f t="shared" ca="1" si="13"/>
        <v>4.7784978070611996E-3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input_596100!A$2</f>
        <v>596100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IFERROR(VLOOKUP(B293,input_596100!L:R,7,FALSE),VLOOKUP(tables_596100!C293,input_596100!A:H,8,FALSE))</f>
        <v>1601.9680000000001</v>
      </c>
      <c r="P293" s="40">
        <f t="shared" ca="1" si="13"/>
        <v>2.9275730994419508E-4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input_596100!A$2</f>
        <v>596100</v>
      </c>
      <c r="B294" s="5">
        <v>866</v>
      </c>
      <c r="C294" s="7" t="str">
        <f t="shared" si="12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IFERROR(VLOOKUP(B294,input_596100!L:R,7,FALSE),VLOOKUP(tables_596100!C294,input_596100!A:H,8,FALSE))</f>
        <v>9120</v>
      </c>
      <c r="P294" s="40">
        <f t="shared" ca="1" si="13"/>
        <v>1.6666666666818931E-3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input_596100!A$2</f>
        <v>596100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IFERROR(VLOOKUP(B295,input_596100!L:R,7,FALSE),VLOOKUP(tables_596100!C295,input_596100!A:H,8,FALSE))</f>
        <v>1920</v>
      </c>
      <c r="P295" s="40">
        <f t="shared" ca="1" si="13"/>
        <v>3.5087719298566172E-4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input_596100!A$2</f>
        <v>596100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IFERROR(VLOOKUP(B296,input_596100!L:R,7,FALSE),VLOOKUP(tables_596100!C296,input_596100!A:H,8,FALSE))</f>
        <v>1920</v>
      </c>
      <c r="P296" s="40">
        <f t="shared" ca="1" si="13"/>
        <v>3.5087719298566172E-4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input_596100!A$2</f>
        <v>596100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IFERROR(VLOOKUP(B297,input_596100!L:R,7,FALSE),VLOOKUP(tables_596100!C297,input_596100!A:H,8,FALSE))</f>
        <v>26147.94</v>
      </c>
      <c r="P297" s="40">
        <f t="shared" ca="1" si="13"/>
        <v>4.7784978070611996E-3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input_596100!A$2</f>
        <v>596100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IFERROR(VLOOKUP(B298,input_596100!L:R,7,FALSE),VLOOKUP(tables_596100!C298,input_596100!A:H,8,FALSE))</f>
        <v>1601.9680000000001</v>
      </c>
      <c r="P298" s="40">
        <f t="shared" ca="1" si="13"/>
        <v>2.9275730994419508E-4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input_596100!A$2</f>
        <v>596100</v>
      </c>
      <c r="B299" s="5">
        <v>941</v>
      </c>
      <c r="C299" s="7" t="str">
        <f t="shared" si="12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IFERROR(VLOOKUP(B299,input_596100!L:R,7,FALSE),VLOOKUP(tables_596100!C299,input_596100!A:H,8,FALSE))</f>
        <v>9120</v>
      </c>
      <c r="P299" s="40">
        <f t="shared" ca="1" si="13"/>
        <v>1.6666666666818931E-3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input_596100!A$2</f>
        <v>596100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IFERROR(VLOOKUP(B300,input_596100!L:R,7,FALSE),VLOOKUP(tables_596100!C300,input_596100!A:H,8,FALSE))</f>
        <v>1920</v>
      </c>
      <c r="P300" s="40">
        <f t="shared" ca="1" si="13"/>
        <v>3.5087719298566172E-4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input_596100!A$2</f>
        <v>596100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IFERROR(VLOOKUP(B301,input_596100!L:R,7,FALSE),VLOOKUP(tables_596100!C301,input_596100!A:H,8,FALSE))</f>
        <v>1920</v>
      </c>
      <c r="P301" s="40">
        <f t="shared" ca="1" si="13"/>
        <v>3.5087719298566172E-4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input_596100!A$2</f>
        <v>596100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IFERROR(VLOOKUP(B302,input_596100!L:R,7,FALSE),VLOOKUP(tables_596100!C302,input_596100!A:H,8,FALSE))</f>
        <v>1920</v>
      </c>
      <c r="P302" s="40">
        <f t="shared" ca="1" si="13"/>
        <v>3.5087719298566172E-4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input_596100!A$2</f>
        <v>596100</v>
      </c>
      <c r="B303" s="5">
        <v>1016</v>
      </c>
      <c r="C303" s="7" t="str">
        <f t="shared" si="12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IFERROR(VLOOKUP(B303,input_596100!L:R,7,FALSE),VLOOKUP(tables_596100!C303,input_596100!A:H,8,FALSE))</f>
        <v>117717.16608</v>
      </c>
      <c r="P303" s="40">
        <f t="shared" ca="1" si="13"/>
        <v>2.1512640000196537E-2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input_596100!A$2</f>
        <v>596100</v>
      </c>
      <c r="B304" s="5">
        <v>1017</v>
      </c>
      <c r="C304" s="7" t="str">
        <f t="shared" si="12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IFERROR(VLOOKUP(B304,input_596100!L:R,7,FALSE),VLOOKUP(tables_596100!C304,input_596100!A:H,8,FALSE))</f>
        <v>2780.40137</v>
      </c>
      <c r="P304" s="40">
        <f t="shared" ca="1" si="13"/>
        <v>5.0811428545785846E-4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input_596100!A$2</f>
        <v>596100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IFERROR(VLOOKUP(B305,input_596100!L:R,7,FALSE),VLOOKUP(tables_596100!C305,input_596100!A:H,8,FALSE))</f>
        <v>1920</v>
      </c>
      <c r="P305" s="40">
        <f t="shared" ca="1" si="13"/>
        <v>3.5087719298566172E-4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input_596100!A$2</f>
        <v>596100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IFERROR(VLOOKUP(B306,input_596100!L:R,7,FALSE),VLOOKUP(tables_596100!C306,input_596100!A:H,8,FALSE))</f>
        <v>26147.94</v>
      </c>
      <c r="P306" s="40">
        <f t="shared" ca="1" si="13"/>
        <v>4.7784978070611996E-3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input_596100!A$2</f>
        <v>596100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IFERROR(VLOOKUP(B307,input_596100!L:R,7,FALSE),VLOOKUP(tables_596100!C307,input_596100!A:H,8,FALSE))</f>
        <v>1601.9680000000001</v>
      </c>
      <c r="P307" s="40">
        <f t="shared" ca="1" si="13"/>
        <v>2.9275730994419508E-4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input_596100!A$2</f>
        <v>596100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IFERROR(VLOOKUP(B308,input_596100!L:R,7,FALSE),VLOOKUP(tables_596100!C308,input_596100!A:H,8,FALSE))</f>
        <v>1920</v>
      </c>
      <c r="P308" s="40">
        <f t="shared" ca="1" si="13"/>
        <v>3.5087719298566172E-4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input_596100!A$2</f>
        <v>596100</v>
      </c>
      <c r="B309" s="5">
        <v>1031</v>
      </c>
      <c r="C309" s="7" t="str">
        <f t="shared" si="12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IFERROR(VLOOKUP(B309,input_596100!L:R,7,FALSE),VLOOKUP(tables_596100!C309,input_596100!A:H,8,FALSE))</f>
        <v>9120</v>
      </c>
      <c r="P309" s="40">
        <f t="shared" ca="1" si="13"/>
        <v>1.6666666666818931E-3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input_596100!A$2</f>
        <v>596100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IFERROR(VLOOKUP(B310,input_596100!L:R,7,FALSE),VLOOKUP(tables_596100!C310,input_596100!A:H,8,FALSE))</f>
        <v>1920</v>
      </c>
      <c r="P310" s="40">
        <f t="shared" ca="1" si="13"/>
        <v>3.5087719298566172E-4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input_596100!A$2</f>
        <v>596100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IFERROR(VLOOKUP(B311,input_596100!L:R,7,FALSE),VLOOKUP(tables_596100!C311,input_596100!A:H,8,FALSE))</f>
        <v>26147.94</v>
      </c>
      <c r="P311" s="40">
        <f t="shared" ca="1" si="13"/>
        <v>4.7784978070611996E-3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input_596100!A$2</f>
        <v>596100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IFERROR(VLOOKUP(B312,input_596100!L:R,7,FALSE),VLOOKUP(tables_596100!C312,input_596100!A:H,8,FALSE))</f>
        <v>1601.9680000000001</v>
      </c>
      <c r="P312" s="40">
        <f t="shared" ca="1" si="13"/>
        <v>2.9275730994419508E-4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input_596100!A$2</f>
        <v>596100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IFERROR(VLOOKUP(B313,input_596100!L:R,7,FALSE),VLOOKUP(tables_596100!C313,input_596100!A:H,8,FALSE))</f>
        <v>1920</v>
      </c>
      <c r="P313" s="40">
        <f t="shared" ca="1" si="13"/>
        <v>3.5087719298566172E-4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input_596100!A$2</f>
        <v>596100</v>
      </c>
      <c r="B314" s="5">
        <v>1072</v>
      </c>
      <c r="C314" s="7" t="str">
        <f t="shared" si="12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IFERROR(VLOOKUP(B314,input_596100!L:R,7,FALSE),VLOOKUP(tables_596100!C314,input_596100!A:H,8,FALSE))</f>
        <v>9120</v>
      </c>
      <c r="P314" s="40">
        <f t="shared" ca="1" si="13"/>
        <v>1.6666666666818931E-3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input_596100!A$2</f>
        <v>596100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IFERROR(VLOOKUP(B315,input_596100!L:R,7,FALSE),VLOOKUP(tables_596100!C315,input_596100!A:H,8,FALSE))</f>
        <v>1920</v>
      </c>
      <c r="P315" s="40">
        <f t="shared" ca="1" si="13"/>
        <v>3.5087719298566172E-4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input_596100!A$2</f>
        <v>596100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IFERROR(VLOOKUP(B316,input_596100!L:R,7,FALSE),VLOOKUP(tables_596100!C316,input_596100!A:H,8,FALSE))</f>
        <v>1920</v>
      </c>
      <c r="P316" s="40">
        <f t="shared" ca="1" si="13"/>
        <v>3.5087719298566172E-4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input_596100!A$2</f>
        <v>596100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IFERROR(VLOOKUP(B317,input_596100!L:R,7,FALSE),VLOOKUP(tables_596100!C317,input_596100!A:H,8,FALSE))</f>
        <v>1920</v>
      </c>
      <c r="P317" s="40">
        <f t="shared" ca="1" si="13"/>
        <v>3.5087719298566172E-4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input_596100!A$2</f>
        <v>596100</v>
      </c>
      <c r="B318" s="5">
        <v>1104</v>
      </c>
      <c r="C318" s="7" t="str">
        <f t="shared" si="12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IFERROR(VLOOKUP(B318,input_596100!L:R,7,FALSE),VLOOKUP(tables_596100!C318,input_596100!A:H,8,FALSE))</f>
        <v>117717.16608</v>
      </c>
      <c r="P318" s="40">
        <f t="shared" ca="1" si="13"/>
        <v>2.1512640000196537E-2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input_596100!A$2</f>
        <v>596100</v>
      </c>
      <c r="B319" s="5">
        <v>1105</v>
      </c>
      <c r="C319" s="7" t="str">
        <f t="shared" si="12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IFERROR(VLOOKUP(B319,input_596100!L:R,7,FALSE),VLOOKUP(tables_596100!C319,input_596100!A:H,8,FALSE))</f>
        <v>2780.40137</v>
      </c>
      <c r="P319" s="40">
        <f t="shared" ca="1" si="13"/>
        <v>5.0811428545785846E-4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input_596100!A$2</f>
        <v>596100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IFERROR(VLOOKUP(B320,input_596100!L:R,7,FALSE),VLOOKUP(tables_596100!C320,input_596100!A:H,8,FALSE))</f>
        <v>1920</v>
      </c>
      <c r="P320" s="40">
        <f t="shared" ca="1" si="13"/>
        <v>3.5087719298566172E-4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input_596100!A$2</f>
        <v>596100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IFERROR(VLOOKUP(B321,input_596100!L:R,7,FALSE),VLOOKUP(tables_596100!C321,input_596100!A:H,8,FALSE))</f>
        <v>1920</v>
      </c>
      <c r="P321" s="40">
        <f t="shared" ca="1" si="13"/>
        <v>3.5087719298566172E-4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input_596100!A$2</f>
        <v>596100</v>
      </c>
      <c r="B322" s="5">
        <v>1139</v>
      </c>
      <c r="C322" s="7" t="str">
        <f t="shared" ref="C322:C341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IFERROR(VLOOKUP(B322,input_596100!L:R,7,FALSE),VLOOKUP(tables_596100!C322,input_596100!A:H,8,FALSE))</f>
        <v>1920</v>
      </c>
      <c r="P322" s="40">
        <f t="shared" ref="P322:P341" ca="1" si="16">O322/SUM(O:O)</f>
        <v>3.5087719298566172E-4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input_596100!A$2</f>
        <v>596100</v>
      </c>
      <c r="B323" s="5">
        <v>1141</v>
      </c>
      <c r="C323" s="7" t="str">
        <f t="shared" si="15"/>
        <v>PremiumSS5R5onlycolor</v>
      </c>
      <c r="D323" s="7" t="str">
        <f t="shared" ref="D323:D341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IFERROR(VLOOKUP(B323,input_596100!L:R,7,FALSE),VLOOKUP(tables_596100!C323,input_596100!A:H,8,FALSE))</f>
        <v>9120</v>
      </c>
      <c r="P323" s="40">
        <f t="shared" ca="1" si="16"/>
        <v>1.6666666666818931E-3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input_596100!A$2</f>
        <v>596100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IFERROR(VLOOKUP(B324,input_596100!L:R,7,FALSE),VLOOKUP(tables_596100!C324,input_596100!A:H,8,FALSE))</f>
        <v>26147.94</v>
      </c>
      <c r="P324" s="40">
        <f t="shared" ca="1" si="16"/>
        <v>4.7784978070611996E-3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input_596100!A$2</f>
        <v>596100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IFERROR(VLOOKUP(B325,input_596100!L:R,7,FALSE),VLOOKUP(tables_596100!C325,input_596100!A:H,8,FALSE))</f>
        <v>1601.9680000000001</v>
      </c>
      <c r="P325" s="40">
        <f t="shared" ca="1" si="16"/>
        <v>2.9275730994419508E-4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input_596100!A$2</f>
        <v>596100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IFERROR(VLOOKUP(B326,input_596100!L:R,7,FALSE),VLOOKUP(tables_596100!C326,input_596100!A:H,8,FALSE))</f>
        <v>26147.94</v>
      </c>
      <c r="P326" s="40">
        <f t="shared" ca="1" si="16"/>
        <v>4.7784978070611996E-3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input_596100!A$2</f>
        <v>596100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IFERROR(VLOOKUP(B327,input_596100!L:R,7,FALSE),VLOOKUP(tables_596100!C327,input_596100!A:H,8,FALSE))</f>
        <v>1601.9680000000001</v>
      </c>
      <c r="P327" s="40">
        <f t="shared" ca="1" si="16"/>
        <v>2.9275730994419508E-4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input_596100!A$2</f>
        <v>596100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IFERROR(VLOOKUP(B328,input_596100!L:R,7,FALSE),VLOOKUP(tables_596100!C328,input_596100!A:H,8,FALSE))</f>
        <v>1920</v>
      </c>
      <c r="P328" s="40">
        <f t="shared" ca="1" si="16"/>
        <v>3.5087719298566172E-4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input_596100!A$2</f>
        <v>596100</v>
      </c>
      <c r="B329" s="2">
        <v>1155</v>
      </c>
      <c r="C329" s="7" t="str">
        <f t="shared" si="15"/>
        <v>PremiumSS5R5onlycolor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IFERROR(VLOOKUP(B329,input_596100!L:R,7,FALSE),VLOOKUP(tables_596100!C329,input_596100!A:H,8,FALSE))</f>
        <v>9120</v>
      </c>
      <c r="P329" s="40">
        <f t="shared" ca="1" si="16"/>
        <v>1.6666666666818931E-3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input_596100!A$2</f>
        <v>596100</v>
      </c>
      <c r="B330" s="2">
        <v>1157</v>
      </c>
      <c r="C330" s="7" t="str">
        <f t="shared" si="15"/>
        <v>PremiumSS5R5only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IFERROR(VLOOKUP(B330,input_596100!L:R,7,FALSE),VLOOKUP(tables_596100!C330,input_596100!A:H,8,FALSE))</f>
        <v>1920</v>
      </c>
      <c r="P330" s="40">
        <f t="shared" ca="1" si="16"/>
        <v>3.5087719298566172E-4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input_596100!A$2</f>
        <v>596100</v>
      </c>
      <c r="B331" s="52">
        <v>1214</v>
      </c>
      <c r="C331" s="7" t="str">
        <f t="shared" si="15"/>
        <v>PremiumSS5R5only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IFERROR(VLOOKUP(B331,input_596100!L:R,7,FALSE),VLOOKUP(tables_596100!C331,input_596100!A:H,8,FALSE))</f>
        <v>1920</v>
      </c>
      <c r="P331" s="40">
        <f t="shared" ca="1" si="16"/>
        <v>3.5087719298566172E-4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input_596100!A$2</f>
        <v>596100</v>
      </c>
      <c r="B332" s="52">
        <v>1212</v>
      </c>
      <c r="C332" s="7" t="str">
        <f t="shared" si="15"/>
        <v>PremiumSS5R5onlycolor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IFERROR(VLOOKUP(B332,input_596100!L:R,7,FALSE),VLOOKUP(tables_596100!C332,input_596100!A:H,8,FALSE))</f>
        <v>9120</v>
      </c>
      <c r="P332" s="40">
        <f t="shared" ca="1" si="16"/>
        <v>1.6666666666818931E-3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input_596100!A$2</f>
        <v>596100</v>
      </c>
      <c r="B333" s="52">
        <v>1208</v>
      </c>
      <c r="C333" s="7" t="str">
        <f t="shared" si="15"/>
        <v>PremiumSS5R5only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IFERROR(VLOOKUP(B333,input_596100!L:R,7,FALSE),VLOOKUP(tables_596100!C333,input_596100!A:H,8,FALSE))</f>
        <v>1920</v>
      </c>
      <c r="P333" s="40">
        <f t="shared" ca="1" si="16"/>
        <v>3.5087719298566172E-4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input_596100!A$2</f>
        <v>596100</v>
      </c>
      <c r="B334" s="96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IFERROR(VLOOKUP(B334,input_596100!L:R,7,FALSE),VLOOKUP(tables_596100!C334,input_596100!A:H,8,FALSE))</f>
        <v>26147.94</v>
      </c>
      <c r="P334" s="40">
        <f t="shared" ca="1" si="16"/>
        <v>4.7784978070611996E-3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input_596100!A$2</f>
        <v>596100</v>
      </c>
      <c r="B335" s="52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IFERROR(VLOOKUP(B335,input_596100!L:R,7,FALSE),VLOOKUP(tables_596100!C335,input_596100!A:H,8,FALSE))</f>
        <v>1601.9680000000001</v>
      </c>
      <c r="P335" s="40">
        <f t="shared" ca="1" si="16"/>
        <v>2.9275730994419508E-4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input_596100!A$2</f>
        <v>596100</v>
      </c>
      <c r="B336" s="2">
        <v>1224</v>
      </c>
      <c r="C336" s="7" t="str">
        <f t="shared" si="15"/>
        <v>Premium4R3less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IFERROR(VLOOKUP(B336,input_596100!L:R,7,FALSE),VLOOKUP(tables_596100!C336,input_596100!A:H,8,FALSE))</f>
        <v>26147.94</v>
      </c>
      <c r="P336" s="40">
        <f t="shared" ca="1" si="16"/>
        <v>4.7784978070611996E-3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input_596100!A$2</f>
        <v>596100</v>
      </c>
      <c r="B337" s="2">
        <v>1225</v>
      </c>
      <c r="C337" s="7" t="str">
        <f t="shared" si="15"/>
        <v>Premium5R3less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IFERROR(VLOOKUP(B337,input_596100!L:R,7,FALSE),VLOOKUP(tables_596100!C337,input_596100!A:H,8,FALSE))</f>
        <v>1601.9680000000001</v>
      </c>
      <c r="P337" s="40">
        <f t="shared" ca="1" si="16"/>
        <v>2.9275730994419508E-4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input_596100!A$2</f>
        <v>596100</v>
      </c>
      <c r="B338" s="2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IFERROR(VLOOKUP(B338,input_596100!L:R,7,FALSE),VLOOKUP(tables_596100!C338,input_596100!A:H,8,FALSE))</f>
        <v>1920</v>
      </c>
      <c r="P338" s="40">
        <f t="shared" ca="1" si="16"/>
        <v>3.5087719298566172E-4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input_596100!A$2</f>
        <v>596100</v>
      </c>
      <c r="B339" s="2">
        <v>1228</v>
      </c>
      <c r="C339" s="7" t="str">
        <f t="shared" si="15"/>
        <v>PremiumSS5R5onlycolor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IFERROR(VLOOKUP(B339,input_596100!L:R,7,FALSE),VLOOKUP(tables_596100!C339,input_596100!A:H,8,FALSE))</f>
        <v>9120</v>
      </c>
      <c r="P339" s="40">
        <f t="shared" ca="1" si="16"/>
        <v>1.6666666666818931E-3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input_596100!A$2</f>
        <v>596100</v>
      </c>
      <c r="B340" s="2">
        <v>1230</v>
      </c>
      <c r="C340" s="7" t="str">
        <f t="shared" si="15"/>
        <v>PremiumSS5R5only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IFERROR(VLOOKUP(B340,input_596100!L:R,7,FALSE),VLOOKUP(tables_596100!C340,input_596100!A:H,8,FALSE))</f>
        <v>1920</v>
      </c>
      <c r="P340" s="40">
        <f t="shared" ca="1" si="16"/>
        <v>3.5087719298566172E-4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input_596100!A$2</f>
        <v>596100</v>
      </c>
      <c r="B341" s="2">
        <v>1244</v>
      </c>
      <c r="C341" s="7" t="str">
        <f t="shared" si="15"/>
        <v>PremiumSS5R5only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IFERROR(VLOOKUP(B341,input_596100!L:R,7,FALSE),VLOOKUP(tables_596100!C341,input_596100!A:H,8,FALSE))</f>
        <v>1920</v>
      </c>
      <c r="P341" s="40">
        <f t="shared" ca="1" si="16"/>
        <v>3.5087719298566172E-4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input_596100!A$2</f>
        <v>596100</v>
      </c>
      <c r="B342" s="2">
        <v>1246</v>
      </c>
      <c r="C342" s="7" t="str">
        <f t="shared" ref="C342:C346" si="18">D342&amp;J342&amp;E342&amp;F342&amp;G342</f>
        <v>PremiumSS5R5only</v>
      </c>
      <c r="D342" s="7" t="str">
        <f t="shared" ref="D342:D346" si="19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IFERROR(VLOOKUP(B342,input_596100!L:R,7,FALSE),VLOOKUP(tables_596100!C342,input_596100!A:H,8,FALSE))</f>
        <v>1920</v>
      </c>
      <c r="P342" s="40">
        <f t="shared" ref="P342:P346" ca="1" si="20">O342/SUM(O:O)</f>
        <v>3.5087719298566172E-4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input_596100!A$2</f>
        <v>596100</v>
      </c>
      <c r="B343" s="2">
        <v>1248</v>
      </c>
      <c r="C343" s="7" t="str">
        <f t="shared" si="18"/>
        <v>Premium4R3lesscolor</v>
      </c>
      <c r="D343" s="7" t="str">
        <f t="shared" si="19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IFERROR(VLOOKUP(B343,input_596100!L:R,7,FALSE),VLOOKUP(tables_596100!C343,input_596100!A:H,8,FALSE))</f>
        <v>117717.16608</v>
      </c>
      <c r="P343" s="40">
        <f t="shared" ca="1" si="20"/>
        <v>2.1512640000196537E-2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input_596100!A$2</f>
        <v>596100</v>
      </c>
      <c r="B344" s="2">
        <v>1249</v>
      </c>
      <c r="C344" s="7" t="str">
        <f t="shared" si="18"/>
        <v>Premium5R3lesscolor</v>
      </c>
      <c r="D344" s="7" t="str">
        <f t="shared" si="19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IFERROR(VLOOKUP(B344,input_596100!L:R,7,FALSE),VLOOKUP(tables_596100!C344,input_596100!A:H,8,FALSE))</f>
        <v>2780.40137</v>
      </c>
      <c r="P344" s="40">
        <f t="shared" ca="1" si="20"/>
        <v>5.0811428545785846E-4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input_596100!A$2</f>
        <v>596100</v>
      </c>
      <c r="B345" s="2">
        <v>1250</v>
      </c>
      <c r="C345" s="7" t="str">
        <f t="shared" si="18"/>
        <v>PremiumSS5R5only</v>
      </c>
      <c r="D345" s="7" t="str">
        <f t="shared" si="19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IFERROR(VLOOKUP(B345,input_596100!L:R,7,FALSE),VLOOKUP(tables_596100!C345,input_596100!A:H,8,FALSE))</f>
        <v>1920</v>
      </c>
      <c r="P345" s="40">
        <f t="shared" ca="1" si="20"/>
        <v>3.5087719298566172E-4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input_596100!A$2</f>
        <v>596100</v>
      </c>
      <c r="B346" s="1">
        <v>1260</v>
      </c>
      <c r="C346" s="7" t="str">
        <f t="shared" si="18"/>
        <v>PremiumSS5R5only</v>
      </c>
      <c r="D346" s="7" t="str">
        <f t="shared" si="19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IFERROR(VLOOKUP(B346,input_596100!L:R,7,FALSE),VLOOKUP(tables_596100!C346,input_596100!A:H,8,FALSE))</f>
        <v>1920</v>
      </c>
      <c r="P346" s="40">
        <f t="shared" ca="1" si="20"/>
        <v>3.5087719298566172E-4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input_596100!A$2</f>
        <v>596100</v>
      </c>
      <c r="B347" s="1">
        <v>1262</v>
      </c>
      <c r="C347" s="7" t="str">
        <f t="shared" ref="C347:C356" si="21">D347&amp;J347&amp;E347&amp;F347&amp;G347</f>
        <v>PremiumSS5R5only</v>
      </c>
      <c r="D347" s="7" t="str">
        <f t="shared" ref="D347:D356" si="22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IFERROR(VLOOKUP(B347,input_596100!L:R,7,FALSE),VLOOKUP(tables_596100!C347,input_596100!A:H,8,FALSE))</f>
        <v>1920</v>
      </c>
      <c r="P347" s="40">
        <f t="shared" ref="P347:P350" ca="1" si="23">O347/SUM(O:O)</f>
        <v>3.5087719298566172E-4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input_596100!A$2</f>
        <v>596100</v>
      </c>
      <c r="B348" s="1">
        <v>1264</v>
      </c>
      <c r="C348" s="7" t="str">
        <f t="shared" si="21"/>
        <v>PremiumSS5R5onlycolor</v>
      </c>
      <c r="D348" s="7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IFERROR(VLOOKUP(B348,input_596100!L:R,7,FALSE),VLOOKUP(tables_596100!C348,input_596100!A:H,8,FALSE))</f>
        <v>9120</v>
      </c>
      <c r="P348" s="40">
        <f t="shared" ca="1" si="23"/>
        <v>1.6666666666818931E-3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input_596100!A$2</f>
        <v>596100</v>
      </c>
      <c r="B349" s="1">
        <v>1266</v>
      </c>
      <c r="C349" s="7" t="str">
        <f t="shared" si="21"/>
        <v>Premium4R3less</v>
      </c>
      <c r="D349" s="7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IFERROR(VLOOKUP(B349,input_596100!L:R,7,FALSE),VLOOKUP(tables_596100!C349,input_596100!A:H,8,FALSE))</f>
        <v>26147.94</v>
      </c>
      <c r="P349" s="40">
        <f t="shared" ca="1" si="23"/>
        <v>4.7784978070611996E-3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input_596100!A$2</f>
        <v>596100</v>
      </c>
      <c r="B350" s="1">
        <v>1267</v>
      </c>
      <c r="C350" s="7" t="str">
        <f t="shared" si="21"/>
        <v>Premium5R3less</v>
      </c>
      <c r="D350" s="7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IFERROR(VLOOKUP(B350,input_596100!L:R,7,FALSE),VLOOKUP(tables_596100!C350,input_596100!A:H,8,FALSE))</f>
        <v>1601.9680000000001</v>
      </c>
      <c r="P350" s="40">
        <f t="shared" ca="1" si="23"/>
        <v>2.9275730994419508E-4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input_596100!A$2</f>
        <v>596100</v>
      </c>
      <c r="B351" s="102">
        <v>1332</v>
      </c>
      <c r="C351" s="86" t="str">
        <f t="shared" si="21"/>
        <v>PremiumSS5R5only</v>
      </c>
      <c r="D351" s="7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IFERROR(VLOOKUP(B351,input_596100!L:R,7,FALSE),VLOOKUP(tables_596100!C351,input_596100!A:H,8,FALSE))</f>
        <v>1920</v>
      </c>
      <c r="P351" s="40">
        <f t="shared" ref="P351:P355" ca="1" si="24">O351/SUM(O:O)</f>
        <v>3.5087719298566172E-4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input_596100!A$2</f>
        <v>596100</v>
      </c>
      <c r="B352" s="102">
        <v>1336</v>
      </c>
      <c r="C352" s="86" t="str">
        <f t="shared" si="21"/>
        <v>PremiumSS5R5onlycolor</v>
      </c>
      <c r="D352" s="7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IFERROR(VLOOKUP(B352,input_596100!L:R,7,FALSE),VLOOKUP(tables_596100!C352,input_596100!A:H,8,FALSE))</f>
        <v>9120</v>
      </c>
      <c r="P352" s="40">
        <f t="shared" ca="1" si="24"/>
        <v>1.6666666666818931E-3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input_596100!A$2</f>
        <v>596100</v>
      </c>
      <c r="B353" s="102">
        <v>1338</v>
      </c>
      <c r="C353" s="86" t="str">
        <f t="shared" si="21"/>
        <v>PremiumSS5R5only</v>
      </c>
      <c r="D353" s="7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IFERROR(VLOOKUP(B353,input_596100!L:R,7,FALSE),VLOOKUP(tables_596100!C353,input_596100!A:H,8,FALSE))</f>
        <v>1920</v>
      </c>
      <c r="P353" s="40">
        <f t="shared" ca="1" si="24"/>
        <v>3.5087719298566172E-4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input_596100!A$2</f>
        <v>596100</v>
      </c>
      <c r="B354" s="102">
        <v>1334</v>
      </c>
      <c r="C354" s="86" t="str">
        <f t="shared" si="21"/>
        <v>Premium4R3less</v>
      </c>
      <c r="D354" s="7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IFERROR(VLOOKUP(B354,input_596100!L:R,7,FALSE),VLOOKUP(tables_596100!C354,input_596100!A:H,8,FALSE))</f>
        <v>26147.94</v>
      </c>
      <c r="P354" s="40">
        <f t="shared" ca="1" si="24"/>
        <v>4.7784978070611996E-3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input_596100!A$2</f>
        <v>596100</v>
      </c>
      <c r="B355" s="102">
        <v>1335</v>
      </c>
      <c r="C355" s="86" t="str">
        <f t="shared" si="21"/>
        <v>Premium5R3less</v>
      </c>
      <c r="D355" s="7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IFERROR(VLOOKUP(B355,input_596100!L:R,7,FALSE),VLOOKUP(tables_596100!C355,input_596100!A:H,8,FALSE))</f>
        <v>1601.9680000000001</v>
      </c>
      <c r="P355" s="40">
        <f t="shared" ca="1" si="24"/>
        <v>2.9275730994419508E-4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input_596100!A$2</f>
        <v>596100</v>
      </c>
      <c r="B356" s="69">
        <v>1381</v>
      </c>
      <c r="C356" s="86" t="str">
        <f t="shared" si="21"/>
        <v>Premium4R3less</v>
      </c>
      <c r="D356" s="7" t="str">
        <f t="shared" si="22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IFERROR(VLOOKUP(B356,input_596100!L:R,7,FALSE),VLOOKUP(tables_596100!C356,input_596100!A:H,8,FALSE))</f>
        <v>26147.94</v>
      </c>
      <c r="P356" s="40">
        <f ca="1">O356/SUM(O:O)</f>
        <v>4.7784978070611996E-3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input_596100!A$2</f>
        <v>596100</v>
      </c>
      <c r="B357" s="107">
        <v>1382</v>
      </c>
      <c r="C357" s="86" t="str">
        <f t="shared" ref="C357" si="25">D357&amp;J357&amp;E357&amp;F357&amp;G357</f>
        <v>Premium5R3less</v>
      </c>
      <c r="D357" s="7" t="str">
        <f t="shared" ref="D357" si="26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IFERROR(VLOOKUP(B357,input_596100!L:R,7,FALSE),VLOOKUP(tables_596100!C357,input_596100!A:H,8,FALSE))</f>
        <v>1601.9680000000001</v>
      </c>
      <c r="P357" s="40">
        <f ca="1">O357/SUM(O:O)</f>
        <v>2.9275730994419508E-4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input_596100!A$2</f>
        <v>596100</v>
      </c>
      <c r="B358" s="107">
        <v>1383</v>
      </c>
      <c r="C358" s="86" t="str">
        <f t="shared" ref="C358:C361" si="27">D358&amp;J358&amp;E358&amp;F358&amp;G358</f>
        <v>PremiumSS5R5only</v>
      </c>
      <c r="D358" s="7" t="str">
        <f t="shared" ref="D358:D361" si="28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IFERROR(VLOOKUP(B358,input_596100!L:R,7,FALSE),VLOOKUP(tables_596100!C358,input_596100!A:H,8,FALSE))</f>
        <v>1920</v>
      </c>
      <c r="P358" s="40">
        <f t="shared" ref="P358:P361" ca="1" si="29">O358/SUM(O:O)</f>
        <v>3.5087719298566172E-4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input_596100!A$2</f>
        <v>596100</v>
      </c>
      <c r="B359" s="107">
        <v>1385</v>
      </c>
      <c r="C359" s="86" t="str">
        <f t="shared" si="27"/>
        <v>PremiumSS5R5onlycolor</v>
      </c>
      <c r="D359" s="7" t="str">
        <f t="shared" si="28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IFERROR(VLOOKUP(B359,input_596100!L:R,7,FALSE),VLOOKUP(tables_596100!C359,input_596100!A:H,8,FALSE))</f>
        <v>9120</v>
      </c>
      <c r="P359" s="40">
        <f t="shared" ca="1" si="29"/>
        <v>1.6666666666818931E-3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input_596100!A$2</f>
        <v>596100</v>
      </c>
      <c r="B360" s="107">
        <v>1387</v>
      </c>
      <c r="C360" s="86" t="str">
        <f t="shared" si="27"/>
        <v>PremiumSS5R5only</v>
      </c>
      <c r="D360" s="7" t="str">
        <f t="shared" si="28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IFERROR(VLOOKUP(B360,input_596100!L:R,7,FALSE),VLOOKUP(tables_596100!C360,input_596100!A:H,8,FALSE))</f>
        <v>1920</v>
      </c>
      <c r="P360" s="40">
        <f t="shared" ca="1" si="29"/>
        <v>3.5087719298566172E-4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input_596100!A$2</f>
        <v>596100</v>
      </c>
      <c r="B361" s="108">
        <v>1393</v>
      </c>
      <c r="C361" s="86" t="str">
        <f t="shared" si="27"/>
        <v>PremiumSSS5R3lesscolor</v>
      </c>
      <c r="D361" s="7" t="str">
        <f t="shared" si="28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ライプニッツ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hp</v>
      </c>
      <c r="M361" s="7" t="str">
        <f>VLOOKUP(B361,[1]characters!$A:$M,13,FALSE)</f>
        <v>academia</v>
      </c>
      <c r="N361" s="7">
        <f>VLOOKUP(B361,[1]characters!$A:$G,7,FALSE)</f>
        <v>0</v>
      </c>
      <c r="O361" s="39">
        <f>IFERROR(VLOOKUP(B361,input_596100!L:R,7,FALSE),VLOOKUP(tables_596100!C361,input_596100!A:H,8,FALSE))</f>
        <v>131328</v>
      </c>
      <c r="P361" s="40">
        <f t="shared" ca="1" si="29"/>
        <v>2.4000000000219263E-2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300"/>
  <phoneticPr fontId="13"/>
  <pageMargins left="0.75" right="0.75" top="1" bottom="1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3"/>
  <sheetViews>
    <sheetView showGridLines="0" workbookViewId="0">
      <pane ySplit="1" topLeftCell="A2" activePane="bottomLeft" state="frozen"/>
      <selection activeCell="M24" sqref="M24"/>
      <selection pane="bottomLeft" activeCell="A2" sqref="A2:XFD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2" t="s">
        <v>11</v>
      </c>
      <c r="C1" s="14" t="s">
        <v>12</v>
      </c>
      <c r="D1" s="14" t="s">
        <v>13</v>
      </c>
      <c r="E1" s="14" t="s">
        <v>14</v>
      </c>
      <c r="F1" s="13" t="s">
        <v>2</v>
      </c>
      <c r="G1" s="44" t="s">
        <v>71</v>
      </c>
      <c r="H1" s="44" t="s">
        <v>72</v>
      </c>
      <c r="I1" s="45" t="s">
        <v>73</v>
      </c>
      <c r="J1" s="45" t="s">
        <v>74</v>
      </c>
      <c r="K1" s="45" t="s">
        <v>75</v>
      </c>
      <c r="L1" s="45" t="s">
        <v>76</v>
      </c>
      <c r="M1" s="45" t="s">
        <v>77</v>
      </c>
      <c r="N1" s="13" t="s">
        <v>15</v>
      </c>
      <c r="O1" s="13" t="s">
        <v>16</v>
      </c>
      <c r="P1" s="13" t="s">
        <v>17</v>
      </c>
      <c r="Q1" s="13" t="s">
        <v>18</v>
      </c>
    </row>
    <row r="2" spans="1:17" ht="21" customHeight="1" x14ac:dyDescent="0.15">
      <c r="A2" s="97">
        <v>596105</v>
      </c>
      <c r="B2" s="97" t="str">
        <f>A2&amp;1</f>
        <v>5961051</v>
      </c>
      <c r="C2" s="2" t="s">
        <v>259</v>
      </c>
      <c r="D2" s="2">
        <v>125</v>
      </c>
      <c r="E2" s="2">
        <v>4</v>
      </c>
      <c r="F2" s="69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69" t="s">
        <v>257</v>
      </c>
      <c r="O2" s="69" t="s">
        <v>260</v>
      </c>
      <c r="P2" s="69" t="s">
        <v>258</v>
      </c>
      <c r="Q2" s="70" t="s">
        <v>261</v>
      </c>
    </row>
    <row r="3" spans="1:17" ht="21" customHeight="1" x14ac:dyDescent="0.15">
      <c r="A3" s="97">
        <v>596106</v>
      </c>
      <c r="B3" s="97" t="str">
        <f>A3&amp;1</f>
        <v>5961061</v>
      </c>
      <c r="C3" s="2" t="s">
        <v>262</v>
      </c>
      <c r="D3" s="2">
        <v>1</v>
      </c>
      <c r="E3" s="2">
        <v>3</v>
      </c>
      <c r="F3" s="69">
        <v>1</v>
      </c>
      <c r="G3" s="2">
        <v>0</v>
      </c>
      <c r="H3" s="2">
        <v>0</v>
      </c>
      <c r="I3" s="2">
        <v>0</v>
      </c>
      <c r="J3" s="2">
        <v>0</v>
      </c>
      <c r="K3" s="2">
        <v>1</v>
      </c>
      <c r="L3" s="2">
        <v>1</v>
      </c>
      <c r="M3" s="2">
        <v>1</v>
      </c>
      <c r="N3" s="69" t="s">
        <v>257</v>
      </c>
      <c r="O3" s="69" t="s">
        <v>263</v>
      </c>
      <c r="P3" s="69" t="s">
        <v>258</v>
      </c>
      <c r="Q3" s="70" t="s">
        <v>264</v>
      </c>
    </row>
  </sheetData>
  <autoFilter ref="A1:F1"/>
  <phoneticPr fontId="13"/>
  <pageMargins left="0.75" right="0.75" top="1" bottom="1" header="0.3" footer="0.3"/>
  <pageSetup paperSize="9" orientation="portrait" horizontalDpi="4294967292" vertic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14" workbookViewId="0">
      <selection activeCell="B254" sqref="B254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20</v>
      </c>
      <c r="B1" s="3" t="s">
        <v>21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2">
        <v>668</v>
      </c>
      <c r="B246" s="7" t="str">
        <f>VLOOKUP(A246,[1]characters!$A:$C,3,FALSE)</f>
        <v>アグニ</v>
      </c>
    </row>
    <row r="247" spans="1:2" x14ac:dyDescent="0.15">
      <c r="A247" s="52">
        <v>669</v>
      </c>
      <c r="B247" s="7" t="str">
        <f>VLOOKUP(A247,[1]characters!$A:$C,3,FALSE)</f>
        <v>天地の仲界 アグニ</v>
      </c>
    </row>
    <row r="248" spans="1:2" x14ac:dyDescent="0.15">
      <c r="A248" s="52">
        <v>670</v>
      </c>
      <c r="B248" s="7" t="str">
        <f>VLOOKUP(A248,[1]characters!$A:$C,3,FALSE)</f>
        <v>陽天の噴煙 アグニ</v>
      </c>
    </row>
    <row r="249" spans="1:2" x14ac:dyDescent="0.15">
      <c r="A249" s="52">
        <v>671</v>
      </c>
      <c r="B249" s="7" t="str">
        <f>VLOOKUP(A249,[1]characters!$A:$C,3,FALSE)</f>
        <v>ハヌマーン</v>
      </c>
    </row>
    <row r="250" spans="1:2" x14ac:dyDescent="0.15">
      <c r="A250" s="52">
        <v>672</v>
      </c>
      <c r="B250" s="7" t="str">
        <f>VLOOKUP(A250,[1]characters!$A:$C,3,FALSE)</f>
        <v>西遊韋駄天 ハヌマーン</v>
      </c>
    </row>
    <row r="251" spans="1:2" x14ac:dyDescent="0.15">
      <c r="A251" s="52">
        <v>673</v>
      </c>
      <c r="B251" s="7" t="str">
        <f>VLOOKUP(A251,[1]characters!$A:$C,3,FALSE)</f>
        <v>変幻自在の猿王 ハヌマーン</v>
      </c>
    </row>
    <row r="252" spans="1:2" x14ac:dyDescent="0.15">
      <c r="A252" s="52">
        <v>674</v>
      </c>
      <c r="B252" s="7" t="str">
        <f>VLOOKUP(A252,[1]characters!$A:$C,3,FALSE)</f>
        <v>サラスヴァティ</v>
      </c>
    </row>
    <row r="253" spans="1:2" x14ac:dyDescent="0.15">
      <c r="A253" s="52">
        <v>675</v>
      </c>
      <c r="B253" s="7" t="str">
        <f>VLOOKUP(A253,[1]characters!$A:$C,3,FALSE)</f>
        <v>芸楽の奔流 サラスヴァティ</v>
      </c>
    </row>
    <row r="254" spans="1:2" x14ac:dyDescent="0.15">
      <c r="A254" s="52">
        <v>676</v>
      </c>
      <c r="B254" s="7" t="str">
        <f>VLOOKUP(A254,[1]characters!$A:$C,3,FALSE)</f>
        <v>ヴィシュヌ</v>
      </c>
    </row>
    <row r="255" spans="1:2" x14ac:dyDescent="0.15">
      <c r="A255" s="52">
        <v>677</v>
      </c>
      <c r="B255" s="7" t="str">
        <f>VLOOKUP(A255,[1]characters!$A:$C,3,FALSE)</f>
        <v>武遊闊歩 ヴィシュヌ</v>
      </c>
    </row>
    <row r="256" spans="1:2" x14ac:dyDescent="0.15">
      <c r="A256" s="52">
        <v>770</v>
      </c>
      <c r="B256" s="7" t="str">
        <f>VLOOKUP(A256,[1]characters!$A:$C,3,FALSE)</f>
        <v>ハヅル</v>
      </c>
    </row>
    <row r="257" spans="1:2" x14ac:dyDescent="0.15">
      <c r="A257" s="52">
        <v>771</v>
      </c>
      <c r="B257" s="7" t="str">
        <f>VLOOKUP(A257,[1]characters!$A:$C,3,FALSE)</f>
        <v>天織羽鶴 ハヅル</v>
      </c>
    </row>
    <row r="258" spans="1:2" x14ac:dyDescent="0.15">
      <c r="A258" s="52">
        <v>772</v>
      </c>
      <c r="B258" s="7" t="str">
        <f>VLOOKUP(A258,[1]characters!$A:$C,3,FALSE)</f>
        <v>イナバ</v>
      </c>
    </row>
    <row r="259" spans="1:2" x14ac:dyDescent="0.15">
      <c r="A259" s="52">
        <v>773</v>
      </c>
      <c r="B259" s="7" t="str">
        <f>VLOOKUP(A259,[1]characters!$A:$C,3,FALSE)</f>
        <v>浮跳天兎 イナバ</v>
      </c>
    </row>
    <row r="260" spans="1:2" x14ac:dyDescent="0.15">
      <c r="A260" s="52">
        <v>774</v>
      </c>
      <c r="B260" s="7" t="str">
        <f>VLOOKUP(A260,[1]characters!$A:$C,3,FALSE)</f>
        <v>ミズチ</v>
      </c>
    </row>
    <row r="261" spans="1:2" x14ac:dyDescent="0.15">
      <c r="A261" s="52">
        <v>775</v>
      </c>
      <c r="B261" s="7" t="str">
        <f>VLOOKUP(A261,[1]characters!$A:$C,3,FALSE)</f>
        <v>水底霊竜 ミズチ</v>
      </c>
    </row>
    <row r="262" spans="1:2" x14ac:dyDescent="0.15">
      <c r="A262" s="52">
        <v>776</v>
      </c>
      <c r="B262" s="7" t="str">
        <f>VLOOKUP(A262,[1]characters!$A:$C,3,FALSE)</f>
        <v>水竜底主 ミズチ</v>
      </c>
    </row>
    <row r="263" spans="1:2" x14ac:dyDescent="0.15">
      <c r="A263" s="52">
        <v>777</v>
      </c>
      <c r="B263" s="7" t="str">
        <f>VLOOKUP(A263,[1]characters!$A:$C,3,FALSE)</f>
        <v>ガメック</v>
      </c>
    </row>
    <row r="264" spans="1:2" x14ac:dyDescent="0.15">
      <c r="A264" s="52">
        <v>778</v>
      </c>
      <c r="B264" s="7" t="str">
        <f>VLOOKUP(A264,[1]characters!$A:$C,3,FALSE)</f>
        <v>一亀懸明 ガメック</v>
      </c>
    </row>
    <row r="265" spans="1:2" x14ac:dyDescent="0.15">
      <c r="A265" s="52">
        <v>779</v>
      </c>
      <c r="B265" s="7" t="str">
        <f>VLOOKUP(A265,[1]characters!$A:$C,3,FALSE)</f>
        <v>頑堅咬亀 ガメック</v>
      </c>
    </row>
    <row r="266" spans="1:2" x14ac:dyDescent="0.15">
      <c r="A266" s="52">
        <v>779</v>
      </c>
      <c r="B266" s="7" t="str">
        <f>VLOOKUP(A266,[1]characters!$A:$C,3,FALSE)</f>
        <v>頑堅咬亀 ガメック</v>
      </c>
    </row>
  </sheetData>
  <phoneticPr fontId="13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2" t="s">
        <v>44</v>
      </c>
      <c r="B1" s="32"/>
    </row>
    <row r="2" spans="1:2" x14ac:dyDescent="0.15">
      <c r="A2" s="27" t="s">
        <v>1</v>
      </c>
      <c r="B2" s="31" t="s">
        <v>48</v>
      </c>
    </row>
    <row r="3" spans="1:2" x14ac:dyDescent="0.15">
      <c r="A3" s="6">
        <v>166</v>
      </c>
      <c r="B3" s="31" t="str">
        <f>VLOOKUP(A3,[1]characters!$A:$C,3,FALSE)</f>
        <v>ベリアル</v>
      </c>
    </row>
    <row r="4" spans="1:2" x14ac:dyDescent="0.15">
      <c r="A4" s="6">
        <v>167</v>
      </c>
      <c r="B4" s="31" t="str">
        <f>VLOOKUP(A4,[1]characters!$A:$C,3,FALSE)</f>
        <v>逆徒 ベリアル</v>
      </c>
    </row>
    <row r="5" spans="1:2" x14ac:dyDescent="0.15">
      <c r="A5" s="6">
        <v>168</v>
      </c>
      <c r="B5" s="31" t="str">
        <f>VLOOKUP(A5,[1]characters!$A:$C,3,FALSE)</f>
        <v>猛進の大逆者 ベリアル</v>
      </c>
    </row>
    <row r="6" spans="1:2" x14ac:dyDescent="0.15">
      <c r="A6" s="27">
        <v>169</v>
      </c>
      <c r="B6" s="31" t="str">
        <f>VLOOKUP(A6,[1]characters!$A:$C,3,FALSE)</f>
        <v>オセ</v>
      </c>
    </row>
    <row r="7" spans="1:2" x14ac:dyDescent="0.15">
      <c r="A7" s="27">
        <v>170</v>
      </c>
      <c r="B7" s="31" t="str">
        <f>VLOOKUP(A7,[1]characters!$A:$C,3,FALSE)</f>
        <v>識徒 オセ</v>
      </c>
    </row>
    <row r="8" spans="1:2" x14ac:dyDescent="0.15">
      <c r="A8" s="27">
        <v>171</v>
      </c>
      <c r="B8" s="31" t="str">
        <f>VLOOKUP(A8,[1]characters!$A:$C,3,FALSE)</f>
        <v>精解の預知者 オセ</v>
      </c>
    </row>
    <row r="9" spans="1:2" x14ac:dyDescent="0.15">
      <c r="A9" s="27">
        <v>172</v>
      </c>
      <c r="B9" s="31" t="str">
        <f>VLOOKUP(A9,[1]characters!$A:$C,3,FALSE)</f>
        <v>フォルネウス</v>
      </c>
    </row>
    <row r="10" spans="1:2" x14ac:dyDescent="0.15">
      <c r="A10" s="27">
        <v>173</v>
      </c>
      <c r="B10" s="31" t="str">
        <f>VLOOKUP(A10,[1]characters!$A:$C,3,FALSE)</f>
        <v>公爵 フォルネウス</v>
      </c>
    </row>
    <row r="11" spans="1:2" x14ac:dyDescent="0.15">
      <c r="A11" s="27">
        <v>174</v>
      </c>
      <c r="B11" s="31" t="str">
        <f>VLOOKUP(A11,[1]characters!$A:$C,3,FALSE)</f>
        <v>偽愛の大公爵 フォルネウス</v>
      </c>
    </row>
    <row r="12" spans="1:2" x14ac:dyDescent="0.15">
      <c r="A12" s="27">
        <v>235</v>
      </c>
      <c r="B12" s="31" t="str">
        <f>VLOOKUP(A12,[1]characters!$A:$C,3,FALSE)</f>
        <v>イザナミ</v>
      </c>
    </row>
    <row r="13" spans="1:2" x14ac:dyDescent="0.15">
      <c r="A13" s="27">
        <v>236</v>
      </c>
      <c r="B13" s="31" t="str">
        <f>VLOOKUP(A13,[1]characters!$A:$C,3,FALSE)</f>
        <v>神産 イザナミ</v>
      </c>
    </row>
    <row r="14" spans="1:2" x14ac:dyDescent="0.15">
      <c r="A14" s="27">
        <v>237</v>
      </c>
      <c r="B14" s="31" t="str">
        <f>VLOOKUP(A14,[1]characters!$A:$C,3,FALSE)</f>
        <v>森羅万象の神母 イザナミ</v>
      </c>
    </row>
  </sheetData>
  <phoneticPr fontId="1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確率の考え方</vt:lpstr>
      <vt:lpstr>Sheet1</vt:lpstr>
      <vt:lpstr>output</vt:lpstr>
      <vt:lpstr>input_596101</vt:lpstr>
      <vt:lpstr>tables_596101</vt:lpstr>
      <vt:lpstr>input_596103</vt:lpstr>
      <vt:lpstr>tables_596103</vt:lpstr>
      <vt:lpstr>tables_settle_596103</vt:lpstr>
      <vt:lpstr>input_596104</vt:lpstr>
      <vt:lpstr>tables_596104</vt:lpstr>
      <vt:lpstr>tables_settle_596104</vt:lpstr>
      <vt:lpstr>input_596105</vt:lpstr>
      <vt:lpstr>tables_596105</vt:lpstr>
      <vt:lpstr>input_596106</vt:lpstr>
      <vt:lpstr>tables_596106</vt:lpstr>
      <vt:lpstr>input_596100</vt:lpstr>
      <vt:lpstr>tables_596100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2017-05-11T02:06:28Z</dcterms:modified>
</cp:coreProperties>
</file>