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80" yWindow="460" windowWidth="25120" windowHeight="15540" tabRatio="909" firstSheet="3" activeTab="7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_sets" sheetId="9" r:id="rId11"/>
    <sheet name="enemy_skills" sheetId="10" r:id="rId12"/>
    <sheet name="enemy_skill_triggers" sheetId="11" r:id="rId13"/>
    <sheet name="bugbonuses" sheetId="18" r:id="rId14"/>
    <sheet name="stage_hints_complete" sheetId="1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0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4" hidden="1">stage_hints_complete!$B$1:$L$1</definedName>
    <definedName name="_xlnm._FilterDatabase" localSheetId="15" hidden="1">stage_hints_failure!$B$1:$M$2</definedName>
    <definedName name="Excel_BuiltIn__FilterDatabase_6_1" localSheetId="10">[1]unit_skills!#REF!</definedName>
    <definedName name="Excel_BuiltIn__FilterDatabase_6_1" localSheetId="12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2" i="11" l="1"/>
  <c r="J23" i="11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O6" i="9"/>
  <c r="N6" i="9"/>
  <c r="M6" i="9"/>
  <c r="L6" i="9"/>
  <c r="K6" i="9"/>
  <c r="J6" i="9"/>
  <c r="I6" i="9"/>
  <c r="H6" i="9"/>
  <c r="G6" i="9"/>
  <c r="E6" i="9"/>
  <c r="D6" i="9"/>
  <c r="A6" i="9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J94" i="27"/>
  <c r="I94" i="27"/>
  <c r="H94" i="27"/>
  <c r="G94" i="27"/>
  <c r="J93" i="27"/>
  <c r="I93" i="27"/>
  <c r="H93" i="27"/>
  <c r="G93" i="27"/>
  <c r="J92" i="27"/>
  <c r="I92" i="27"/>
  <c r="H92" i="27"/>
  <c r="G92" i="27"/>
  <c r="J91" i="27"/>
  <c r="I91" i="27"/>
  <c r="H91" i="27"/>
  <c r="G91" i="27"/>
  <c r="J90" i="27"/>
  <c r="I90" i="27"/>
  <c r="H90" i="27"/>
  <c r="G90" i="27"/>
  <c r="J83" i="25"/>
  <c r="I83" i="25"/>
  <c r="H83" i="25"/>
  <c r="G83" i="25"/>
  <c r="J82" i="25"/>
  <c r="I82" i="25"/>
  <c r="H82" i="25"/>
  <c r="G82" i="25"/>
  <c r="J81" i="25"/>
  <c r="I81" i="25"/>
  <c r="H81" i="25"/>
  <c r="G81" i="25"/>
  <c r="J80" i="25"/>
  <c r="I80" i="25"/>
  <c r="H80" i="25"/>
  <c r="G80" i="25"/>
  <c r="J79" i="25"/>
  <c r="I79" i="25"/>
  <c r="H79" i="25"/>
  <c r="G79" i="25"/>
  <c r="J70" i="25"/>
  <c r="I70" i="25"/>
  <c r="H70" i="25"/>
  <c r="G70" i="25"/>
  <c r="J69" i="25"/>
  <c r="I69" i="25"/>
  <c r="H69" i="25"/>
  <c r="G69" i="25"/>
  <c r="J68" i="25"/>
  <c r="I68" i="25"/>
  <c r="H68" i="25"/>
  <c r="G68" i="25"/>
  <c r="J67" i="25"/>
  <c r="I67" i="25"/>
  <c r="H67" i="25"/>
  <c r="G67" i="25"/>
  <c r="J66" i="25"/>
  <c r="I66" i="25"/>
  <c r="H66" i="25"/>
  <c r="G66" i="25"/>
  <c r="J57" i="25"/>
  <c r="I57" i="25"/>
  <c r="H57" i="25"/>
  <c r="G57" i="25"/>
  <c r="J56" i="25"/>
  <c r="I56" i="25"/>
  <c r="H56" i="25"/>
  <c r="G56" i="25"/>
  <c r="J50" i="25"/>
  <c r="I50" i="25"/>
  <c r="H50" i="25"/>
  <c r="G50" i="25"/>
  <c r="J49" i="25"/>
  <c r="I49" i="25"/>
  <c r="H49" i="25"/>
  <c r="G49" i="25"/>
  <c r="F95" i="27"/>
  <c r="F96" i="27"/>
  <c r="F97" i="27"/>
  <c r="F102" i="27"/>
  <c r="F103" i="27"/>
  <c r="F104" i="27"/>
  <c r="F105" i="27"/>
  <c r="F106" i="27"/>
  <c r="F112" i="27"/>
  <c r="F113" i="27"/>
  <c r="F114" i="27"/>
  <c r="F122" i="27"/>
  <c r="F123" i="27"/>
  <c r="F124" i="27"/>
  <c r="F125" i="27"/>
  <c r="F126" i="27"/>
  <c r="F127" i="27"/>
  <c r="F135" i="27"/>
  <c r="F136" i="27"/>
  <c r="F137" i="27"/>
  <c r="F138" i="27"/>
  <c r="F139" i="27"/>
  <c r="J139" i="27"/>
  <c r="I139" i="27"/>
  <c r="H139" i="27"/>
  <c r="G139" i="27"/>
  <c r="J138" i="27"/>
  <c r="I138" i="27"/>
  <c r="H138" i="27"/>
  <c r="G138" i="27"/>
  <c r="J137" i="27"/>
  <c r="I137" i="27"/>
  <c r="H137" i="27"/>
  <c r="G137" i="27"/>
  <c r="J136" i="27"/>
  <c r="I136" i="27"/>
  <c r="H136" i="27"/>
  <c r="G136" i="27"/>
  <c r="J135" i="27"/>
  <c r="I135" i="27"/>
  <c r="H135" i="27"/>
  <c r="G135" i="27"/>
  <c r="F107" i="27"/>
  <c r="F108" i="27"/>
  <c r="F115" i="27"/>
  <c r="F116" i="27"/>
  <c r="F117" i="27"/>
  <c r="F118" i="27"/>
  <c r="F120" i="27"/>
  <c r="F121" i="27"/>
  <c r="F128" i="27"/>
  <c r="F129" i="27"/>
  <c r="F130" i="27"/>
  <c r="F131" i="27"/>
  <c r="F133" i="27"/>
  <c r="F134" i="27"/>
  <c r="J134" i="27"/>
  <c r="I134" i="27"/>
  <c r="H134" i="27"/>
  <c r="G134" i="27"/>
  <c r="J133" i="27"/>
  <c r="I133" i="27"/>
  <c r="H133" i="27"/>
  <c r="G133" i="27"/>
  <c r="J131" i="27"/>
  <c r="I131" i="27"/>
  <c r="H131" i="27"/>
  <c r="G131" i="27"/>
  <c r="J130" i="27"/>
  <c r="I130" i="27"/>
  <c r="H130" i="27"/>
  <c r="G130" i="27"/>
  <c r="J129" i="27"/>
  <c r="I129" i="27"/>
  <c r="H129" i="27"/>
  <c r="G129" i="27"/>
  <c r="J128" i="27"/>
  <c r="I128" i="27"/>
  <c r="H128" i="27"/>
  <c r="G128" i="27"/>
  <c r="J127" i="27"/>
  <c r="I127" i="27"/>
  <c r="H127" i="27"/>
  <c r="G127" i="27"/>
  <c r="J121" i="27"/>
  <c r="I121" i="27"/>
  <c r="H121" i="27"/>
  <c r="G121" i="27"/>
  <c r="J120" i="27"/>
  <c r="I120" i="27"/>
  <c r="H120" i="27"/>
  <c r="G120" i="27"/>
  <c r="J118" i="27"/>
  <c r="I118" i="27"/>
  <c r="H118" i="27"/>
  <c r="G118" i="27"/>
  <c r="J117" i="27"/>
  <c r="I117" i="27"/>
  <c r="H117" i="27"/>
  <c r="G117" i="27"/>
  <c r="J116" i="27"/>
  <c r="I116" i="27"/>
  <c r="H116" i="27"/>
  <c r="G116" i="27"/>
  <c r="J115" i="27"/>
  <c r="I115" i="27"/>
  <c r="H115" i="27"/>
  <c r="G115" i="27"/>
  <c r="F111" i="27"/>
  <c r="J111" i="27"/>
  <c r="I111" i="27"/>
  <c r="H111" i="27"/>
  <c r="G111" i="27"/>
  <c r="F109" i="27"/>
  <c r="F110" i="27"/>
  <c r="J110" i="27"/>
  <c r="I110" i="27"/>
  <c r="H110" i="27"/>
  <c r="G110" i="27"/>
  <c r="J109" i="27"/>
  <c r="I109" i="27"/>
  <c r="H109" i="27"/>
  <c r="G109" i="27"/>
  <c r="J108" i="27"/>
  <c r="I108" i="27"/>
  <c r="H108" i="27"/>
  <c r="G108" i="27"/>
  <c r="J107" i="27"/>
  <c r="I107" i="27"/>
  <c r="H107" i="27"/>
  <c r="G107" i="27"/>
  <c r="F98" i="27"/>
  <c r="F99" i="27"/>
  <c r="F100" i="27"/>
  <c r="F101" i="27"/>
  <c r="J101" i="27"/>
  <c r="I101" i="27"/>
  <c r="H101" i="27"/>
  <c r="G101" i="27"/>
  <c r="J100" i="27"/>
  <c r="I100" i="27"/>
  <c r="H100" i="27"/>
  <c r="G100" i="27"/>
  <c r="J99" i="27"/>
  <c r="I99" i="27"/>
  <c r="H99" i="27"/>
  <c r="G99" i="27"/>
  <c r="J98" i="27"/>
  <c r="I98" i="27"/>
  <c r="H98" i="27"/>
  <c r="G98" i="27"/>
  <c r="F4" i="27"/>
  <c r="J89" i="27"/>
  <c r="I89" i="27"/>
  <c r="H89" i="27"/>
  <c r="G89" i="27"/>
  <c r="J88" i="27"/>
  <c r="I88" i="27"/>
  <c r="H88" i="27"/>
  <c r="G88" i="27"/>
  <c r="J87" i="27"/>
  <c r="I87" i="27"/>
  <c r="H87" i="27"/>
  <c r="G87" i="27"/>
  <c r="J86" i="27"/>
  <c r="I86" i="27"/>
  <c r="H86" i="27"/>
  <c r="G86" i="27"/>
  <c r="J85" i="27"/>
  <c r="I85" i="27"/>
  <c r="H85" i="27"/>
  <c r="G85" i="27"/>
  <c r="J84" i="27"/>
  <c r="I84" i="27"/>
  <c r="H84" i="27"/>
  <c r="G84" i="27"/>
  <c r="J83" i="27"/>
  <c r="I83" i="27"/>
  <c r="H83" i="27"/>
  <c r="G83" i="27"/>
  <c r="J82" i="27"/>
  <c r="I82" i="27"/>
  <c r="H82" i="27"/>
  <c r="G82" i="27"/>
  <c r="J81" i="27"/>
  <c r="I81" i="27"/>
  <c r="H81" i="27"/>
  <c r="G81" i="27"/>
  <c r="J30" i="11"/>
  <c r="J29" i="11"/>
  <c r="O9" i="9"/>
  <c r="N9" i="9"/>
  <c r="M9" i="9"/>
  <c r="L9" i="9"/>
  <c r="K9" i="9"/>
  <c r="J9" i="9"/>
  <c r="I9" i="9"/>
  <c r="H9" i="9"/>
  <c r="G9" i="9"/>
  <c r="E9" i="9"/>
  <c r="D9" i="9"/>
  <c r="A9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G20" i="2"/>
  <c r="A20" i="2"/>
  <c r="G21" i="2"/>
  <c r="A21" i="2"/>
  <c r="G22" i="2"/>
  <c r="A22" i="2"/>
  <c r="G23" i="2"/>
  <c r="A23" i="2"/>
  <c r="G24" i="2"/>
  <c r="A24" i="2"/>
  <c r="G25" i="2"/>
  <c r="A25" i="2"/>
  <c r="G26" i="2"/>
  <c r="A26" i="2"/>
  <c r="G27" i="2"/>
  <c r="A27" i="2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51" i="25"/>
  <c r="H52" i="25"/>
  <c r="H53" i="25"/>
  <c r="H54" i="25"/>
  <c r="H55" i="25"/>
  <c r="H58" i="25"/>
  <c r="H59" i="25"/>
  <c r="H60" i="25"/>
  <c r="H61" i="25"/>
  <c r="H62" i="25"/>
  <c r="H63" i="25"/>
  <c r="H64" i="25"/>
  <c r="H65" i="25"/>
  <c r="H71" i="25"/>
  <c r="H72" i="25"/>
  <c r="H73" i="25"/>
  <c r="H74" i="25"/>
  <c r="H75" i="25"/>
  <c r="H76" i="25"/>
  <c r="H77" i="25"/>
  <c r="H78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2" i="25"/>
  <c r="H3" i="25"/>
  <c r="H4" i="25"/>
  <c r="H5" i="25"/>
  <c r="H6" i="25"/>
  <c r="H7" i="25"/>
  <c r="H8" i="25"/>
  <c r="H9" i="25"/>
  <c r="H10" i="25"/>
  <c r="H11" i="25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L121" i="19"/>
  <c r="K121" i="19"/>
  <c r="G121" i="19"/>
  <c r="F121" i="19"/>
  <c r="D121" i="19"/>
  <c r="C121" i="19"/>
  <c r="L120" i="19"/>
  <c r="K120" i="19"/>
  <c r="G120" i="19"/>
  <c r="F120" i="19"/>
  <c r="D120" i="19"/>
  <c r="C120" i="19"/>
  <c r="L119" i="19"/>
  <c r="K119" i="19"/>
  <c r="G119" i="19"/>
  <c r="F119" i="19"/>
  <c r="D119" i="19"/>
  <c r="C119" i="19"/>
  <c r="L118" i="19"/>
  <c r="K118" i="19"/>
  <c r="G118" i="19"/>
  <c r="F118" i="19"/>
  <c r="D118" i="19"/>
  <c r="C118" i="19"/>
  <c r="L117" i="19"/>
  <c r="K117" i="19"/>
  <c r="G117" i="19"/>
  <c r="F117" i="19"/>
  <c r="D117" i="19"/>
  <c r="C117" i="19"/>
  <c r="L116" i="19"/>
  <c r="K116" i="19"/>
  <c r="G116" i="19"/>
  <c r="F116" i="19"/>
  <c r="D116" i="19"/>
  <c r="C116" i="19"/>
  <c r="L115" i="19"/>
  <c r="K115" i="19"/>
  <c r="G115" i="19"/>
  <c r="F115" i="19"/>
  <c r="D115" i="19"/>
  <c r="C115" i="19"/>
  <c r="L114" i="19"/>
  <c r="K114" i="19"/>
  <c r="G114" i="19"/>
  <c r="F114" i="19"/>
  <c r="D114" i="19"/>
  <c r="C114" i="19"/>
  <c r="L113" i="19"/>
  <c r="K113" i="19"/>
  <c r="G113" i="19"/>
  <c r="F113" i="19"/>
  <c r="D113" i="19"/>
  <c r="C113" i="19"/>
  <c r="L112" i="19"/>
  <c r="K112" i="19"/>
  <c r="G112" i="19"/>
  <c r="F112" i="19"/>
  <c r="D112" i="19"/>
  <c r="C112" i="19"/>
  <c r="L111" i="19"/>
  <c r="K111" i="19"/>
  <c r="G111" i="19"/>
  <c r="F111" i="19"/>
  <c r="D111" i="19"/>
  <c r="C111" i="19"/>
  <c r="L110" i="19"/>
  <c r="K110" i="19"/>
  <c r="G110" i="19"/>
  <c r="F110" i="19"/>
  <c r="D110" i="19"/>
  <c r="C110" i="19"/>
  <c r="L109" i="19"/>
  <c r="K109" i="19"/>
  <c r="G109" i="19"/>
  <c r="F109" i="19"/>
  <c r="D109" i="19"/>
  <c r="C109" i="19"/>
  <c r="L108" i="19"/>
  <c r="K108" i="19"/>
  <c r="G108" i="19"/>
  <c r="F108" i="19"/>
  <c r="D108" i="19"/>
  <c r="C108" i="19"/>
  <c r="L107" i="19"/>
  <c r="K107" i="19"/>
  <c r="G107" i="19"/>
  <c r="F107" i="19"/>
  <c r="D107" i="19"/>
  <c r="C107" i="19"/>
  <c r="L106" i="19"/>
  <c r="K106" i="19"/>
  <c r="G106" i="19"/>
  <c r="F106" i="19"/>
  <c r="D106" i="19"/>
  <c r="C106" i="19"/>
  <c r="L105" i="19"/>
  <c r="K105" i="19"/>
  <c r="G105" i="19"/>
  <c r="F105" i="19"/>
  <c r="D105" i="19"/>
  <c r="C105" i="19"/>
  <c r="L104" i="19"/>
  <c r="K104" i="19"/>
  <c r="G104" i="19"/>
  <c r="F104" i="19"/>
  <c r="D104" i="19"/>
  <c r="C104" i="19"/>
  <c r="L103" i="19"/>
  <c r="K103" i="19"/>
  <c r="G103" i="19"/>
  <c r="F103" i="19"/>
  <c r="D103" i="19"/>
  <c r="C103" i="19"/>
  <c r="L102" i="19"/>
  <c r="K102" i="19"/>
  <c r="G102" i="19"/>
  <c r="F102" i="19"/>
  <c r="D102" i="19"/>
  <c r="C102" i="19"/>
  <c r="L101" i="19"/>
  <c r="K101" i="19"/>
  <c r="G101" i="19"/>
  <c r="F101" i="19"/>
  <c r="D101" i="19"/>
  <c r="C101" i="19"/>
  <c r="L100" i="19"/>
  <c r="K100" i="19"/>
  <c r="G100" i="19"/>
  <c r="F100" i="19"/>
  <c r="D100" i="19"/>
  <c r="C100" i="19"/>
  <c r="L99" i="19"/>
  <c r="K99" i="19"/>
  <c r="G99" i="19"/>
  <c r="F99" i="19"/>
  <c r="D99" i="19"/>
  <c r="C99" i="19"/>
  <c r="L98" i="19"/>
  <c r="K98" i="19"/>
  <c r="G98" i="19"/>
  <c r="F98" i="19"/>
  <c r="D98" i="19"/>
  <c r="C98" i="19"/>
  <c r="L97" i="19"/>
  <c r="K97" i="19"/>
  <c r="G97" i="19"/>
  <c r="F97" i="19"/>
  <c r="D97" i="19"/>
  <c r="C97" i="19"/>
  <c r="L96" i="19"/>
  <c r="K96" i="19"/>
  <c r="G96" i="19"/>
  <c r="F96" i="19"/>
  <c r="D96" i="19"/>
  <c r="C96" i="19"/>
  <c r="L95" i="19"/>
  <c r="K95" i="19"/>
  <c r="G95" i="19"/>
  <c r="F95" i="19"/>
  <c r="D95" i="19"/>
  <c r="C95" i="19"/>
  <c r="L94" i="19"/>
  <c r="K94" i="19"/>
  <c r="G94" i="19"/>
  <c r="F94" i="19"/>
  <c r="D94" i="19"/>
  <c r="C94" i="19"/>
  <c r="L93" i="19"/>
  <c r="K93" i="19"/>
  <c r="G93" i="19"/>
  <c r="F93" i="19"/>
  <c r="D93" i="19"/>
  <c r="C93" i="19"/>
  <c r="L92" i="19"/>
  <c r="K92" i="19"/>
  <c r="G92" i="19"/>
  <c r="F92" i="19"/>
  <c r="D92" i="19"/>
  <c r="C92" i="19"/>
  <c r="L91" i="19"/>
  <c r="K91" i="19"/>
  <c r="G91" i="19"/>
  <c r="F91" i="19"/>
  <c r="D91" i="19"/>
  <c r="C91" i="19"/>
  <c r="L90" i="19"/>
  <c r="K90" i="19"/>
  <c r="G90" i="19"/>
  <c r="F90" i="19"/>
  <c r="D90" i="19"/>
  <c r="C90" i="19"/>
  <c r="L89" i="19"/>
  <c r="K89" i="19"/>
  <c r="G89" i="19"/>
  <c r="F89" i="19"/>
  <c r="D89" i="19"/>
  <c r="C89" i="19"/>
  <c r="L88" i="19"/>
  <c r="K88" i="19"/>
  <c r="G88" i="19"/>
  <c r="F88" i="19"/>
  <c r="D88" i="19"/>
  <c r="C88" i="19"/>
  <c r="L87" i="19"/>
  <c r="K87" i="19"/>
  <c r="G87" i="19"/>
  <c r="F87" i="19"/>
  <c r="D87" i="19"/>
  <c r="C87" i="19"/>
  <c r="L86" i="19"/>
  <c r="K86" i="19"/>
  <c r="G86" i="19"/>
  <c r="F86" i="19"/>
  <c r="D86" i="19"/>
  <c r="C86" i="19"/>
  <c r="L85" i="19"/>
  <c r="K85" i="19"/>
  <c r="G85" i="19"/>
  <c r="F85" i="19"/>
  <c r="D85" i="19"/>
  <c r="C85" i="19"/>
  <c r="L84" i="19"/>
  <c r="K84" i="19"/>
  <c r="G84" i="19"/>
  <c r="F84" i="19"/>
  <c r="D84" i="19"/>
  <c r="C84" i="19"/>
  <c r="L83" i="19"/>
  <c r="K83" i="19"/>
  <c r="G83" i="19"/>
  <c r="F83" i="19"/>
  <c r="D83" i="19"/>
  <c r="C83" i="19"/>
  <c r="L82" i="19"/>
  <c r="K82" i="19"/>
  <c r="G82" i="19"/>
  <c r="F82" i="19"/>
  <c r="D82" i="19"/>
  <c r="C82" i="19"/>
  <c r="L81" i="19"/>
  <c r="K81" i="19"/>
  <c r="G81" i="19"/>
  <c r="F81" i="19"/>
  <c r="D81" i="19"/>
  <c r="C81" i="19"/>
  <c r="L80" i="19"/>
  <c r="K80" i="19"/>
  <c r="G80" i="19"/>
  <c r="F80" i="19"/>
  <c r="D80" i="19"/>
  <c r="C80" i="19"/>
  <c r="L79" i="19"/>
  <c r="K79" i="19"/>
  <c r="G79" i="19"/>
  <c r="F79" i="19"/>
  <c r="D79" i="19"/>
  <c r="C79" i="19"/>
  <c r="L78" i="19"/>
  <c r="K78" i="19"/>
  <c r="G78" i="19"/>
  <c r="F78" i="19"/>
  <c r="D78" i="19"/>
  <c r="C78" i="19"/>
  <c r="L77" i="19"/>
  <c r="K77" i="19"/>
  <c r="G77" i="19"/>
  <c r="F77" i="19"/>
  <c r="D77" i="19"/>
  <c r="C77" i="19"/>
  <c r="L76" i="19"/>
  <c r="K76" i="19"/>
  <c r="G76" i="19"/>
  <c r="F76" i="19"/>
  <c r="D76" i="19"/>
  <c r="C76" i="19"/>
  <c r="L75" i="19"/>
  <c r="K75" i="19"/>
  <c r="G75" i="19"/>
  <c r="F75" i="19"/>
  <c r="D75" i="19"/>
  <c r="C75" i="19"/>
  <c r="L74" i="19"/>
  <c r="K74" i="19"/>
  <c r="G74" i="19"/>
  <c r="F74" i="19"/>
  <c r="D74" i="19"/>
  <c r="C74" i="19"/>
  <c r="L73" i="19"/>
  <c r="K73" i="19"/>
  <c r="G73" i="19"/>
  <c r="F73" i="19"/>
  <c r="D73" i="19"/>
  <c r="C73" i="19"/>
  <c r="L72" i="19"/>
  <c r="K72" i="19"/>
  <c r="G72" i="19"/>
  <c r="F72" i="19"/>
  <c r="D72" i="19"/>
  <c r="C72" i="19"/>
  <c r="L71" i="19"/>
  <c r="K71" i="19"/>
  <c r="G71" i="19"/>
  <c r="F71" i="19"/>
  <c r="D71" i="19"/>
  <c r="C71" i="19"/>
  <c r="L70" i="19"/>
  <c r="K70" i="19"/>
  <c r="G70" i="19"/>
  <c r="F70" i="19"/>
  <c r="D70" i="19"/>
  <c r="C70" i="19"/>
  <c r="L69" i="19"/>
  <c r="K69" i="19"/>
  <c r="G69" i="19"/>
  <c r="F69" i="19"/>
  <c r="D69" i="19"/>
  <c r="C69" i="19"/>
  <c r="L68" i="19"/>
  <c r="K68" i="19"/>
  <c r="G68" i="19"/>
  <c r="F68" i="19"/>
  <c r="D68" i="19"/>
  <c r="C68" i="19"/>
  <c r="L67" i="19"/>
  <c r="K67" i="19"/>
  <c r="G67" i="19"/>
  <c r="F67" i="19"/>
  <c r="D67" i="19"/>
  <c r="C67" i="19"/>
  <c r="L66" i="19"/>
  <c r="K66" i="19"/>
  <c r="G66" i="19"/>
  <c r="F66" i="19"/>
  <c r="D66" i="19"/>
  <c r="C66" i="19"/>
  <c r="L65" i="19"/>
  <c r="K65" i="19"/>
  <c r="G65" i="19"/>
  <c r="F65" i="19"/>
  <c r="D65" i="19"/>
  <c r="C65" i="19"/>
  <c r="L64" i="19"/>
  <c r="K64" i="19"/>
  <c r="G64" i="19"/>
  <c r="F64" i="19"/>
  <c r="D64" i="19"/>
  <c r="C64" i="19"/>
  <c r="L63" i="19"/>
  <c r="K63" i="19"/>
  <c r="G63" i="19"/>
  <c r="F63" i="19"/>
  <c r="D63" i="19"/>
  <c r="C63" i="19"/>
  <c r="L62" i="19"/>
  <c r="K62" i="19"/>
  <c r="G62" i="19"/>
  <c r="F62" i="19"/>
  <c r="D62" i="19"/>
  <c r="C62" i="19"/>
  <c r="R11" i="7"/>
  <c r="Q11" i="7"/>
  <c r="P11" i="7"/>
  <c r="O11" i="7"/>
  <c r="N11" i="7"/>
  <c r="H11" i="7"/>
  <c r="J11" i="7"/>
  <c r="I11" i="7"/>
  <c r="D11" i="7"/>
  <c r="F11" i="7"/>
  <c r="E11" i="7"/>
  <c r="A11" i="7"/>
  <c r="R10" i="7"/>
  <c r="Q10" i="7"/>
  <c r="P10" i="7"/>
  <c r="O10" i="7"/>
  <c r="N10" i="7"/>
  <c r="H10" i="7"/>
  <c r="J10" i="7"/>
  <c r="I10" i="7"/>
  <c r="D10" i="7"/>
  <c r="F10" i="7"/>
  <c r="E10" i="7"/>
  <c r="A10" i="7"/>
  <c r="R9" i="7"/>
  <c r="Q9" i="7"/>
  <c r="P9" i="7"/>
  <c r="O9" i="7"/>
  <c r="N9" i="7"/>
  <c r="H9" i="7"/>
  <c r="J9" i="7"/>
  <c r="I9" i="7"/>
  <c r="D9" i="7"/>
  <c r="F9" i="7"/>
  <c r="E9" i="7"/>
  <c r="A9" i="7"/>
  <c r="R8" i="7"/>
  <c r="Q8" i="7"/>
  <c r="P8" i="7"/>
  <c r="O8" i="7"/>
  <c r="N8" i="7"/>
  <c r="H8" i="7"/>
  <c r="J8" i="7"/>
  <c r="I8" i="7"/>
  <c r="D8" i="7"/>
  <c r="F8" i="7"/>
  <c r="E8" i="7"/>
  <c r="A8" i="7"/>
  <c r="R7" i="7"/>
  <c r="Q7" i="7"/>
  <c r="P7" i="7"/>
  <c r="O7" i="7"/>
  <c r="N7" i="7"/>
  <c r="H7" i="7"/>
  <c r="J7" i="7"/>
  <c r="I7" i="7"/>
  <c r="D7" i="7"/>
  <c r="F7" i="7"/>
  <c r="E7" i="7"/>
  <c r="A7" i="7"/>
  <c r="AB63" i="1"/>
  <c r="AD63" i="1"/>
  <c r="AG63" i="1"/>
  <c r="AE63" i="1"/>
  <c r="AC63" i="1"/>
  <c r="Q63" i="1"/>
  <c r="P63" i="1"/>
  <c r="O63" i="1"/>
  <c r="N63" i="1"/>
  <c r="M63" i="1"/>
  <c r="J63" i="1"/>
  <c r="I63" i="1"/>
  <c r="D63" i="1"/>
  <c r="F63" i="1"/>
  <c r="E63" i="1"/>
  <c r="A63" i="1"/>
  <c r="AB62" i="1"/>
  <c r="AD62" i="1"/>
  <c r="AG62" i="1"/>
  <c r="AE62" i="1"/>
  <c r="AC62" i="1"/>
  <c r="Q62" i="1"/>
  <c r="P62" i="1"/>
  <c r="O62" i="1"/>
  <c r="N62" i="1"/>
  <c r="M62" i="1"/>
  <c r="J62" i="1"/>
  <c r="I62" i="1"/>
  <c r="D62" i="1"/>
  <c r="F62" i="1"/>
  <c r="E62" i="1"/>
  <c r="A62" i="1"/>
  <c r="AB61" i="1"/>
  <c r="AD61" i="1"/>
  <c r="AG61" i="1"/>
  <c r="AE61" i="1"/>
  <c r="AC61" i="1"/>
  <c r="Q61" i="1"/>
  <c r="P61" i="1"/>
  <c r="O61" i="1"/>
  <c r="N61" i="1"/>
  <c r="M61" i="1"/>
  <c r="J61" i="1"/>
  <c r="I61" i="1"/>
  <c r="D61" i="1"/>
  <c r="F61" i="1"/>
  <c r="E61" i="1"/>
  <c r="A61" i="1"/>
  <c r="AB60" i="1"/>
  <c r="AD60" i="1"/>
  <c r="AG60" i="1"/>
  <c r="AE60" i="1"/>
  <c r="AC60" i="1"/>
  <c r="Q60" i="1"/>
  <c r="P60" i="1"/>
  <c r="O60" i="1"/>
  <c r="N60" i="1"/>
  <c r="M60" i="1"/>
  <c r="J60" i="1"/>
  <c r="I60" i="1"/>
  <c r="D60" i="1"/>
  <c r="F60" i="1"/>
  <c r="E60" i="1"/>
  <c r="A60" i="1"/>
  <c r="AB59" i="1"/>
  <c r="AD59" i="1"/>
  <c r="AG59" i="1"/>
  <c r="AE59" i="1"/>
  <c r="AC59" i="1"/>
  <c r="Q59" i="1"/>
  <c r="P59" i="1"/>
  <c r="O59" i="1"/>
  <c r="N59" i="1"/>
  <c r="M59" i="1"/>
  <c r="J59" i="1"/>
  <c r="I59" i="1"/>
  <c r="D59" i="1"/>
  <c r="F59" i="1"/>
  <c r="E59" i="1"/>
  <c r="A59" i="1"/>
  <c r="AB58" i="1"/>
  <c r="AD58" i="1"/>
  <c r="AG58" i="1"/>
  <c r="AE58" i="1"/>
  <c r="AC58" i="1"/>
  <c r="Q58" i="1"/>
  <c r="P58" i="1"/>
  <c r="O58" i="1"/>
  <c r="N58" i="1"/>
  <c r="M58" i="1"/>
  <c r="J58" i="1"/>
  <c r="I58" i="1"/>
  <c r="D58" i="1"/>
  <c r="F58" i="1"/>
  <c r="E58" i="1"/>
  <c r="A58" i="1"/>
  <c r="AB57" i="1"/>
  <c r="AD57" i="1"/>
  <c r="AG57" i="1"/>
  <c r="AE57" i="1"/>
  <c r="AC57" i="1"/>
  <c r="Q57" i="1"/>
  <c r="P57" i="1"/>
  <c r="O57" i="1"/>
  <c r="N57" i="1"/>
  <c r="M57" i="1"/>
  <c r="J57" i="1"/>
  <c r="I57" i="1"/>
  <c r="D57" i="1"/>
  <c r="F57" i="1"/>
  <c r="E57" i="1"/>
  <c r="A57" i="1"/>
  <c r="AB56" i="1"/>
  <c r="AD56" i="1"/>
  <c r="AG56" i="1"/>
  <c r="AE56" i="1"/>
  <c r="AC56" i="1"/>
  <c r="Q56" i="1"/>
  <c r="P56" i="1"/>
  <c r="O56" i="1"/>
  <c r="N56" i="1"/>
  <c r="M56" i="1"/>
  <c r="J56" i="1"/>
  <c r="I56" i="1"/>
  <c r="D56" i="1"/>
  <c r="F56" i="1"/>
  <c r="E56" i="1"/>
  <c r="A56" i="1"/>
  <c r="AB55" i="1"/>
  <c r="AD55" i="1"/>
  <c r="AG55" i="1"/>
  <c r="AE55" i="1"/>
  <c r="AC55" i="1"/>
  <c r="Q55" i="1"/>
  <c r="P55" i="1"/>
  <c r="O55" i="1"/>
  <c r="N55" i="1"/>
  <c r="M55" i="1"/>
  <c r="J55" i="1"/>
  <c r="I55" i="1"/>
  <c r="D55" i="1"/>
  <c r="F55" i="1"/>
  <c r="E55" i="1"/>
  <c r="A55" i="1"/>
  <c r="AB54" i="1"/>
  <c r="AD54" i="1"/>
  <c r="AG54" i="1"/>
  <c r="AE54" i="1"/>
  <c r="AC54" i="1"/>
  <c r="Q54" i="1"/>
  <c r="P54" i="1"/>
  <c r="O54" i="1"/>
  <c r="N54" i="1"/>
  <c r="M54" i="1"/>
  <c r="J54" i="1"/>
  <c r="I54" i="1"/>
  <c r="D54" i="1"/>
  <c r="F54" i="1"/>
  <c r="E54" i="1"/>
  <c r="A54" i="1"/>
  <c r="AB53" i="1"/>
  <c r="AD53" i="1"/>
  <c r="AG53" i="1"/>
  <c r="AE53" i="1"/>
  <c r="AC53" i="1"/>
  <c r="Q53" i="1"/>
  <c r="P53" i="1"/>
  <c r="O53" i="1"/>
  <c r="N53" i="1"/>
  <c r="M53" i="1"/>
  <c r="J53" i="1"/>
  <c r="I53" i="1"/>
  <c r="D53" i="1"/>
  <c r="F53" i="1"/>
  <c r="E53" i="1"/>
  <c r="A53" i="1"/>
  <c r="AB52" i="1"/>
  <c r="AD52" i="1"/>
  <c r="AG52" i="1"/>
  <c r="AE52" i="1"/>
  <c r="AC52" i="1"/>
  <c r="AA52" i="1"/>
  <c r="Q52" i="1"/>
  <c r="P52" i="1"/>
  <c r="O52" i="1"/>
  <c r="N52" i="1"/>
  <c r="M52" i="1"/>
  <c r="J52" i="1"/>
  <c r="I52" i="1"/>
  <c r="D52" i="1"/>
  <c r="F52" i="1"/>
  <c r="E52" i="1"/>
  <c r="A52" i="1"/>
  <c r="AB51" i="1"/>
  <c r="AD51" i="1"/>
  <c r="AG51" i="1"/>
  <c r="AE51" i="1"/>
  <c r="AC51" i="1"/>
  <c r="Q51" i="1"/>
  <c r="P51" i="1"/>
  <c r="O51" i="1"/>
  <c r="N51" i="1"/>
  <c r="M51" i="1"/>
  <c r="J51" i="1"/>
  <c r="I51" i="1"/>
  <c r="D51" i="1"/>
  <c r="F51" i="1"/>
  <c r="E51" i="1"/>
  <c r="A51" i="1"/>
  <c r="AB50" i="1"/>
  <c r="AD50" i="1"/>
  <c r="AG50" i="1"/>
  <c r="AE50" i="1"/>
  <c r="AC50" i="1"/>
  <c r="Q50" i="1"/>
  <c r="P50" i="1"/>
  <c r="O50" i="1"/>
  <c r="N50" i="1"/>
  <c r="M50" i="1"/>
  <c r="J50" i="1"/>
  <c r="I50" i="1"/>
  <c r="D50" i="1"/>
  <c r="F50" i="1"/>
  <c r="E50" i="1"/>
  <c r="A50" i="1"/>
  <c r="AB49" i="1"/>
  <c r="AD49" i="1"/>
  <c r="AG49" i="1"/>
  <c r="AE49" i="1"/>
  <c r="AC49" i="1"/>
  <c r="Q49" i="1"/>
  <c r="P49" i="1"/>
  <c r="O49" i="1"/>
  <c r="N49" i="1"/>
  <c r="M49" i="1"/>
  <c r="J49" i="1"/>
  <c r="I49" i="1"/>
  <c r="D49" i="1"/>
  <c r="F49" i="1"/>
  <c r="E49" i="1"/>
  <c r="A49" i="1"/>
  <c r="AB48" i="1"/>
  <c r="AD48" i="1"/>
  <c r="AG48" i="1"/>
  <c r="AE48" i="1"/>
  <c r="AC48" i="1"/>
  <c r="Q48" i="1"/>
  <c r="P48" i="1"/>
  <c r="O48" i="1"/>
  <c r="N48" i="1"/>
  <c r="M48" i="1"/>
  <c r="J48" i="1"/>
  <c r="I48" i="1"/>
  <c r="D48" i="1"/>
  <c r="F48" i="1"/>
  <c r="E48" i="1"/>
  <c r="A48" i="1"/>
  <c r="AB47" i="1"/>
  <c r="AD47" i="1"/>
  <c r="AG47" i="1"/>
  <c r="AE47" i="1"/>
  <c r="AC47" i="1"/>
  <c r="Q47" i="1"/>
  <c r="P47" i="1"/>
  <c r="O47" i="1"/>
  <c r="N47" i="1"/>
  <c r="M47" i="1"/>
  <c r="J47" i="1"/>
  <c r="I47" i="1"/>
  <c r="D47" i="1"/>
  <c r="F47" i="1"/>
  <c r="E47" i="1"/>
  <c r="A47" i="1"/>
  <c r="AB46" i="1"/>
  <c r="AD46" i="1"/>
  <c r="AG46" i="1"/>
  <c r="AE46" i="1"/>
  <c r="AC46" i="1"/>
  <c r="Q46" i="1"/>
  <c r="P46" i="1"/>
  <c r="O46" i="1"/>
  <c r="N46" i="1"/>
  <c r="M46" i="1"/>
  <c r="J46" i="1"/>
  <c r="I46" i="1"/>
  <c r="D46" i="1"/>
  <c r="F46" i="1"/>
  <c r="E46" i="1"/>
  <c r="A46" i="1"/>
  <c r="AB45" i="1"/>
  <c r="AD45" i="1"/>
  <c r="AG45" i="1"/>
  <c r="AE45" i="1"/>
  <c r="AC45" i="1"/>
  <c r="Q45" i="1"/>
  <c r="P45" i="1"/>
  <c r="O45" i="1"/>
  <c r="N45" i="1"/>
  <c r="M45" i="1"/>
  <c r="J45" i="1"/>
  <c r="I45" i="1"/>
  <c r="D45" i="1"/>
  <c r="F45" i="1"/>
  <c r="E45" i="1"/>
  <c r="A45" i="1"/>
  <c r="AB44" i="1"/>
  <c r="AD44" i="1"/>
  <c r="AG44" i="1"/>
  <c r="AE44" i="1"/>
  <c r="AC44" i="1"/>
  <c r="Q44" i="1"/>
  <c r="P44" i="1"/>
  <c r="O44" i="1"/>
  <c r="N44" i="1"/>
  <c r="M44" i="1"/>
  <c r="J44" i="1"/>
  <c r="I44" i="1"/>
  <c r="D44" i="1"/>
  <c r="F44" i="1"/>
  <c r="E44" i="1"/>
  <c r="A44" i="1"/>
  <c r="AB43" i="1"/>
  <c r="AD43" i="1"/>
  <c r="AG43" i="1"/>
  <c r="AE43" i="1"/>
  <c r="AC43" i="1"/>
  <c r="Q43" i="1"/>
  <c r="P43" i="1"/>
  <c r="O43" i="1"/>
  <c r="N43" i="1"/>
  <c r="M43" i="1"/>
  <c r="J43" i="1"/>
  <c r="I43" i="1"/>
  <c r="D43" i="1"/>
  <c r="F43" i="1"/>
  <c r="E43" i="1"/>
  <c r="A43" i="1"/>
  <c r="AB42" i="1"/>
  <c r="AD42" i="1"/>
  <c r="AG42" i="1"/>
  <c r="AE42" i="1"/>
  <c r="AC42" i="1"/>
  <c r="AA42" i="1"/>
  <c r="Q42" i="1"/>
  <c r="P42" i="1"/>
  <c r="O42" i="1"/>
  <c r="N42" i="1"/>
  <c r="M42" i="1"/>
  <c r="J42" i="1"/>
  <c r="I42" i="1"/>
  <c r="D42" i="1"/>
  <c r="F42" i="1"/>
  <c r="E42" i="1"/>
  <c r="A42" i="1"/>
  <c r="AB41" i="1"/>
  <c r="AD41" i="1"/>
  <c r="AG41" i="1"/>
  <c r="AE41" i="1"/>
  <c r="AC41" i="1"/>
  <c r="Q41" i="1"/>
  <c r="P41" i="1"/>
  <c r="O41" i="1"/>
  <c r="N41" i="1"/>
  <c r="M41" i="1"/>
  <c r="J41" i="1"/>
  <c r="I41" i="1"/>
  <c r="D41" i="1"/>
  <c r="F41" i="1"/>
  <c r="E41" i="1"/>
  <c r="A41" i="1"/>
  <c r="AB40" i="1"/>
  <c r="AD40" i="1"/>
  <c r="AG40" i="1"/>
  <c r="AE40" i="1"/>
  <c r="AC40" i="1"/>
  <c r="Q40" i="1"/>
  <c r="P40" i="1"/>
  <c r="O40" i="1"/>
  <c r="N40" i="1"/>
  <c r="M40" i="1"/>
  <c r="J40" i="1"/>
  <c r="I40" i="1"/>
  <c r="D40" i="1"/>
  <c r="F40" i="1"/>
  <c r="E40" i="1"/>
  <c r="A40" i="1"/>
  <c r="AB39" i="1"/>
  <c r="AD39" i="1"/>
  <c r="AG39" i="1"/>
  <c r="AE39" i="1"/>
  <c r="AC39" i="1"/>
  <c r="Q39" i="1"/>
  <c r="P39" i="1"/>
  <c r="O39" i="1"/>
  <c r="N39" i="1"/>
  <c r="M39" i="1"/>
  <c r="J39" i="1"/>
  <c r="I39" i="1"/>
  <c r="D39" i="1"/>
  <c r="F39" i="1"/>
  <c r="E39" i="1"/>
  <c r="A39" i="1"/>
  <c r="AB38" i="1"/>
  <c r="AD38" i="1"/>
  <c r="AG38" i="1"/>
  <c r="AE38" i="1"/>
  <c r="AC38" i="1"/>
  <c r="Q38" i="1"/>
  <c r="P38" i="1"/>
  <c r="O38" i="1"/>
  <c r="N38" i="1"/>
  <c r="M38" i="1"/>
  <c r="J38" i="1"/>
  <c r="I38" i="1"/>
  <c r="D38" i="1"/>
  <c r="F38" i="1"/>
  <c r="E38" i="1"/>
  <c r="A38" i="1"/>
  <c r="AB37" i="1"/>
  <c r="AD37" i="1"/>
  <c r="AG37" i="1"/>
  <c r="AE37" i="1"/>
  <c r="AC37" i="1"/>
  <c r="Q37" i="1"/>
  <c r="P37" i="1"/>
  <c r="O37" i="1"/>
  <c r="N37" i="1"/>
  <c r="M37" i="1"/>
  <c r="J37" i="1"/>
  <c r="I37" i="1"/>
  <c r="D37" i="1"/>
  <c r="F37" i="1"/>
  <c r="E37" i="1"/>
  <c r="A37" i="1"/>
  <c r="AB36" i="1"/>
  <c r="AD36" i="1"/>
  <c r="AG36" i="1"/>
  <c r="AE36" i="1"/>
  <c r="AC36" i="1"/>
  <c r="Q36" i="1"/>
  <c r="P36" i="1"/>
  <c r="O36" i="1"/>
  <c r="N36" i="1"/>
  <c r="M36" i="1"/>
  <c r="J36" i="1"/>
  <c r="I36" i="1"/>
  <c r="D36" i="1"/>
  <c r="F36" i="1"/>
  <c r="E36" i="1"/>
  <c r="A36" i="1"/>
  <c r="AB35" i="1"/>
  <c r="AD35" i="1"/>
  <c r="AG35" i="1"/>
  <c r="AE35" i="1"/>
  <c r="AC35" i="1"/>
  <c r="Q35" i="1"/>
  <c r="P35" i="1"/>
  <c r="O35" i="1"/>
  <c r="N35" i="1"/>
  <c r="M35" i="1"/>
  <c r="J35" i="1"/>
  <c r="I35" i="1"/>
  <c r="D35" i="1"/>
  <c r="F35" i="1"/>
  <c r="E35" i="1"/>
  <c r="A35" i="1"/>
  <c r="AB34" i="1"/>
  <c r="AD34" i="1"/>
  <c r="AG34" i="1"/>
  <c r="AE34" i="1"/>
  <c r="AC34" i="1"/>
  <c r="Q34" i="1"/>
  <c r="P34" i="1"/>
  <c r="O34" i="1"/>
  <c r="N34" i="1"/>
  <c r="M34" i="1"/>
  <c r="J34" i="1"/>
  <c r="I34" i="1"/>
  <c r="D34" i="1"/>
  <c r="F34" i="1"/>
  <c r="E34" i="1"/>
  <c r="A34" i="1"/>
  <c r="AB33" i="1"/>
  <c r="AD33" i="1"/>
  <c r="AG33" i="1"/>
  <c r="AE33" i="1"/>
  <c r="AC33" i="1"/>
  <c r="Q33" i="1"/>
  <c r="P33" i="1"/>
  <c r="O33" i="1"/>
  <c r="N33" i="1"/>
  <c r="M33" i="1"/>
  <c r="J33" i="1"/>
  <c r="I33" i="1"/>
  <c r="D33" i="1"/>
  <c r="F33" i="1"/>
  <c r="E33" i="1"/>
  <c r="A33" i="1"/>
  <c r="F83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1" i="22"/>
  <c r="F72" i="22"/>
  <c r="F73" i="22"/>
  <c r="F74" i="22"/>
  <c r="F75" i="22"/>
  <c r="F76" i="22"/>
  <c r="F77" i="22"/>
  <c r="F78" i="22"/>
  <c r="F79" i="22"/>
  <c r="F80" i="22"/>
  <c r="F81" i="22"/>
  <c r="F82" i="22"/>
  <c r="A2" i="22"/>
  <c r="F2" i="22"/>
  <c r="A3" i="22"/>
  <c r="F3" i="22"/>
  <c r="A4" i="22"/>
  <c r="F4" i="22"/>
  <c r="A5" i="22"/>
  <c r="F5" i="22"/>
  <c r="A6" i="22"/>
  <c r="F6" i="22"/>
  <c r="A7" i="22"/>
  <c r="F7" i="22"/>
  <c r="A8" i="22"/>
  <c r="F8" i="22"/>
  <c r="A9" i="22"/>
  <c r="F9" i="22"/>
  <c r="A10" i="22"/>
  <c r="F10" i="22"/>
  <c r="A11" i="22"/>
  <c r="F11" i="22"/>
  <c r="A12" i="22"/>
  <c r="F12" i="22"/>
  <c r="A13" i="22"/>
  <c r="F13" i="22"/>
  <c r="A14" i="22"/>
  <c r="F14" i="22"/>
  <c r="A15" i="22"/>
  <c r="F15" i="22"/>
  <c r="A16" i="22"/>
  <c r="F16" i="22"/>
  <c r="A17" i="22"/>
  <c r="F17" i="22"/>
  <c r="A18" i="22"/>
  <c r="F18" i="22"/>
  <c r="A19" i="22"/>
  <c r="F19" i="22"/>
  <c r="A20" i="22"/>
  <c r="F20" i="22"/>
  <c r="A21" i="22"/>
  <c r="F21" i="22"/>
  <c r="A22" i="22"/>
  <c r="F22" i="22"/>
  <c r="A23" i="22"/>
  <c r="F23" i="22"/>
  <c r="A24" i="22"/>
  <c r="F24" i="22"/>
  <c r="A25" i="22"/>
  <c r="F25" i="22"/>
  <c r="A26" i="22"/>
  <c r="F26" i="22"/>
  <c r="A27" i="22"/>
  <c r="F27" i="22"/>
  <c r="A28" i="22"/>
  <c r="F28" i="22"/>
  <c r="A29" i="22"/>
  <c r="F29" i="22"/>
  <c r="A30" i="22"/>
  <c r="F30" i="22"/>
  <c r="A31" i="22"/>
  <c r="F31" i="22"/>
  <c r="A32" i="22"/>
  <c r="F32" i="22"/>
  <c r="A33" i="22"/>
  <c r="F33" i="22"/>
  <c r="A34" i="22"/>
  <c r="F34" i="22"/>
  <c r="A35" i="22"/>
  <c r="F35" i="22"/>
  <c r="A36" i="22"/>
  <c r="F36" i="22"/>
  <c r="A37" i="22"/>
  <c r="F37" i="22"/>
  <c r="A38" i="22"/>
  <c r="F38" i="22"/>
  <c r="A39" i="22"/>
  <c r="F39" i="22"/>
  <c r="A40" i="22"/>
  <c r="F40" i="22"/>
  <c r="A41" i="22"/>
  <c r="F41" i="22"/>
  <c r="A42" i="22"/>
  <c r="F42" i="22"/>
  <c r="G83" i="22"/>
  <c r="C83" i="22"/>
  <c r="B83" i="22"/>
  <c r="G82" i="22"/>
  <c r="C82" i="22"/>
  <c r="B82" i="22"/>
  <c r="G81" i="22"/>
  <c r="C81" i="22"/>
  <c r="B81" i="22"/>
  <c r="G80" i="22"/>
  <c r="C80" i="22"/>
  <c r="B80" i="22"/>
  <c r="G79" i="22"/>
  <c r="C79" i="22"/>
  <c r="B79" i="22"/>
  <c r="G78" i="22"/>
  <c r="C78" i="22"/>
  <c r="B78" i="22"/>
  <c r="G77" i="22"/>
  <c r="C77" i="22"/>
  <c r="B77" i="22"/>
  <c r="G76" i="22"/>
  <c r="C76" i="22"/>
  <c r="B76" i="22"/>
  <c r="G75" i="22"/>
  <c r="C75" i="22"/>
  <c r="B75" i="22"/>
  <c r="G74" i="22"/>
  <c r="C74" i="22"/>
  <c r="B74" i="22"/>
  <c r="G73" i="22"/>
  <c r="C73" i="22"/>
  <c r="B73" i="22"/>
  <c r="G72" i="22"/>
  <c r="C72" i="22"/>
  <c r="B72" i="22"/>
  <c r="G71" i="22"/>
  <c r="C71" i="22"/>
  <c r="B71" i="22"/>
  <c r="G70" i="22"/>
  <c r="C70" i="22"/>
  <c r="B70" i="22"/>
  <c r="G69" i="22"/>
  <c r="C69" i="22"/>
  <c r="B69" i="22"/>
  <c r="G68" i="22"/>
  <c r="C68" i="22"/>
  <c r="B68" i="22"/>
  <c r="G67" i="22"/>
  <c r="C67" i="22"/>
  <c r="B67" i="22"/>
  <c r="G66" i="22"/>
  <c r="C66" i="22"/>
  <c r="B66" i="22"/>
  <c r="G65" i="22"/>
  <c r="C65" i="22"/>
  <c r="B65" i="22"/>
  <c r="G64" i="22"/>
  <c r="C64" i="22"/>
  <c r="B64" i="22"/>
  <c r="G63" i="22"/>
  <c r="C63" i="22"/>
  <c r="B63" i="22"/>
  <c r="G62" i="22"/>
  <c r="C62" i="22"/>
  <c r="B62" i="22"/>
  <c r="G61" i="22"/>
  <c r="C61" i="22"/>
  <c r="B61" i="22"/>
  <c r="G60" i="22"/>
  <c r="C60" i="22"/>
  <c r="B60" i="22"/>
  <c r="G59" i="22"/>
  <c r="C59" i="22"/>
  <c r="B59" i="22"/>
  <c r="G58" i="22"/>
  <c r="C58" i="22"/>
  <c r="B58" i="22"/>
  <c r="G57" i="22"/>
  <c r="C57" i="22"/>
  <c r="B57" i="22"/>
  <c r="G56" i="22"/>
  <c r="C56" i="22"/>
  <c r="B56" i="22"/>
  <c r="G55" i="22"/>
  <c r="C55" i="22"/>
  <c r="B55" i="22"/>
  <c r="G54" i="22"/>
  <c r="C54" i="22"/>
  <c r="B54" i="22"/>
  <c r="G53" i="22"/>
  <c r="C53" i="22"/>
  <c r="B53" i="22"/>
  <c r="G52" i="22"/>
  <c r="C52" i="22"/>
  <c r="B52" i="22"/>
  <c r="G51" i="22"/>
  <c r="C51" i="22"/>
  <c r="B51" i="22"/>
  <c r="G50" i="22"/>
  <c r="C50" i="22"/>
  <c r="B50" i="22"/>
  <c r="G49" i="22"/>
  <c r="C49" i="22"/>
  <c r="B49" i="22"/>
  <c r="G48" i="22"/>
  <c r="C48" i="22"/>
  <c r="B48" i="22"/>
  <c r="G47" i="22"/>
  <c r="C47" i="22"/>
  <c r="B47" i="22"/>
  <c r="G46" i="22"/>
  <c r="C46" i="22"/>
  <c r="B46" i="22"/>
  <c r="G45" i="22"/>
  <c r="C45" i="22"/>
  <c r="B45" i="22"/>
  <c r="G44" i="22"/>
  <c r="C44" i="22"/>
  <c r="B44" i="22"/>
  <c r="G43" i="22"/>
  <c r="C43" i="22"/>
  <c r="B43" i="22"/>
  <c r="E7" i="24"/>
  <c r="F7" i="24"/>
  <c r="C7" i="24"/>
  <c r="B7" i="24"/>
  <c r="E6" i="24"/>
  <c r="F6" i="24"/>
  <c r="C6" i="24"/>
  <c r="B6" i="24"/>
  <c r="E5" i="24"/>
  <c r="F5" i="24"/>
  <c r="C5" i="24"/>
  <c r="B5" i="24"/>
  <c r="H27" i="2"/>
  <c r="E27" i="2"/>
  <c r="D27" i="2"/>
  <c r="B27" i="2"/>
  <c r="H26" i="2"/>
  <c r="E26" i="2"/>
  <c r="D26" i="2"/>
  <c r="B26" i="2"/>
  <c r="H25" i="2"/>
  <c r="E25" i="2"/>
  <c r="D25" i="2"/>
  <c r="B25" i="2"/>
  <c r="H24" i="2"/>
  <c r="E24" i="2"/>
  <c r="D24" i="2"/>
  <c r="B24" i="2"/>
  <c r="H23" i="2"/>
  <c r="E23" i="2"/>
  <c r="D23" i="2"/>
  <c r="B23" i="2"/>
  <c r="H22" i="2"/>
  <c r="E22" i="2"/>
  <c r="D22" i="2"/>
  <c r="B22" i="2"/>
  <c r="H21" i="2"/>
  <c r="E21" i="2"/>
  <c r="D21" i="2"/>
  <c r="B21" i="2"/>
  <c r="H20" i="2"/>
  <c r="E20" i="2"/>
  <c r="D20" i="2"/>
  <c r="B20" i="2"/>
  <c r="H19" i="2"/>
  <c r="E19" i="2"/>
  <c r="D19" i="2"/>
  <c r="B19" i="2"/>
  <c r="H18" i="2"/>
  <c r="E18" i="2"/>
  <c r="D18" i="2"/>
  <c r="B18" i="2"/>
  <c r="H17" i="2"/>
  <c r="E17" i="2"/>
  <c r="D17" i="2"/>
  <c r="B17" i="2"/>
  <c r="H16" i="2"/>
  <c r="E16" i="2"/>
  <c r="D16" i="2"/>
  <c r="B16" i="2"/>
  <c r="H15" i="2"/>
  <c r="E15" i="2"/>
  <c r="D15" i="2"/>
  <c r="B15" i="2"/>
  <c r="I3" i="26"/>
  <c r="J3" i="26"/>
  <c r="G3" i="26"/>
  <c r="H3" i="26"/>
  <c r="F4" i="26"/>
  <c r="I4" i="26"/>
  <c r="J4" i="26"/>
  <c r="G4" i="26"/>
  <c r="H4" i="26"/>
  <c r="F5" i="26"/>
  <c r="I5" i="26"/>
  <c r="J5" i="26"/>
  <c r="G5" i="26"/>
  <c r="H5" i="26"/>
  <c r="F6" i="26"/>
  <c r="I6" i="26"/>
  <c r="J6" i="26"/>
  <c r="G6" i="26"/>
  <c r="H6" i="26"/>
  <c r="F7" i="26"/>
  <c r="I7" i="26"/>
  <c r="J7" i="26"/>
  <c r="G7" i="26"/>
  <c r="H7" i="26"/>
  <c r="F8" i="26"/>
  <c r="I8" i="26"/>
  <c r="J8" i="26"/>
  <c r="G8" i="26"/>
  <c r="H8" i="26"/>
  <c r="F9" i="26"/>
  <c r="I9" i="26"/>
  <c r="J9" i="26"/>
  <c r="G9" i="26"/>
  <c r="H9" i="26"/>
  <c r="F10" i="26"/>
  <c r="I10" i="26"/>
  <c r="J10" i="26"/>
  <c r="G10" i="26"/>
  <c r="H10" i="26"/>
  <c r="F11" i="26"/>
  <c r="I11" i="26"/>
  <c r="J11" i="26"/>
  <c r="G11" i="26"/>
  <c r="H11" i="26"/>
  <c r="F12" i="26"/>
  <c r="I12" i="26"/>
  <c r="J12" i="26"/>
  <c r="G12" i="26"/>
  <c r="H12" i="26"/>
  <c r="F13" i="26"/>
  <c r="I13" i="26"/>
  <c r="J13" i="26"/>
  <c r="G13" i="26"/>
  <c r="H13" i="26"/>
  <c r="F14" i="26"/>
  <c r="I14" i="26"/>
  <c r="J14" i="26"/>
  <c r="G14" i="26"/>
  <c r="H14" i="26"/>
  <c r="F15" i="26"/>
  <c r="I15" i="26"/>
  <c r="J15" i="26"/>
  <c r="G15" i="26"/>
  <c r="H15" i="26"/>
  <c r="F16" i="26"/>
  <c r="I16" i="26"/>
  <c r="J16" i="26"/>
  <c r="G16" i="26"/>
  <c r="H16" i="26"/>
  <c r="F17" i="26"/>
  <c r="I17" i="26"/>
  <c r="J17" i="26"/>
  <c r="G17" i="26"/>
  <c r="H17" i="26"/>
  <c r="F18" i="26"/>
  <c r="I18" i="26"/>
  <c r="J18" i="26"/>
  <c r="G18" i="26"/>
  <c r="H18" i="26"/>
  <c r="F19" i="26"/>
  <c r="I19" i="26"/>
  <c r="J19" i="26"/>
  <c r="G19" i="26"/>
  <c r="H19" i="26"/>
  <c r="F20" i="26"/>
  <c r="I20" i="26"/>
  <c r="J20" i="26"/>
  <c r="G20" i="26"/>
  <c r="H20" i="26"/>
  <c r="F21" i="26"/>
  <c r="I21" i="26"/>
  <c r="J21" i="26"/>
  <c r="G21" i="26"/>
  <c r="H21" i="26"/>
  <c r="F22" i="26"/>
  <c r="I22" i="26"/>
  <c r="J22" i="26"/>
  <c r="G22" i="26"/>
  <c r="H22" i="26"/>
  <c r="F23" i="26"/>
  <c r="I23" i="26"/>
  <c r="J23" i="26"/>
  <c r="G23" i="26"/>
  <c r="H23" i="26"/>
  <c r="F24" i="26"/>
  <c r="I24" i="26"/>
  <c r="J24" i="26"/>
  <c r="G24" i="26"/>
  <c r="H24" i="26"/>
  <c r="F25" i="26"/>
  <c r="I25" i="26"/>
  <c r="J25" i="26"/>
  <c r="G25" i="26"/>
  <c r="H25" i="26"/>
  <c r="F26" i="26"/>
  <c r="I26" i="26"/>
  <c r="J26" i="26"/>
  <c r="G26" i="26"/>
  <c r="H26" i="26"/>
  <c r="F27" i="26"/>
  <c r="I27" i="26"/>
  <c r="J27" i="26"/>
  <c r="G27" i="26"/>
  <c r="H27" i="26"/>
  <c r="F28" i="26"/>
  <c r="I28" i="26"/>
  <c r="J28" i="26"/>
  <c r="G28" i="26"/>
  <c r="H28" i="26"/>
  <c r="F29" i="26"/>
  <c r="I29" i="26"/>
  <c r="J29" i="26"/>
  <c r="G29" i="26"/>
  <c r="H29" i="26"/>
  <c r="F30" i="26"/>
  <c r="I30" i="26"/>
  <c r="J30" i="26"/>
  <c r="G30" i="26"/>
  <c r="H30" i="26"/>
  <c r="F31" i="26"/>
  <c r="I31" i="26"/>
  <c r="J31" i="26"/>
  <c r="G31" i="26"/>
  <c r="H31" i="26"/>
  <c r="F32" i="26"/>
  <c r="I32" i="26"/>
  <c r="J32" i="26"/>
  <c r="G32" i="26"/>
  <c r="H32" i="26"/>
  <c r="F33" i="26"/>
  <c r="I33" i="26"/>
  <c r="J33" i="26"/>
  <c r="G33" i="26"/>
  <c r="H33" i="26"/>
  <c r="F34" i="26"/>
  <c r="I34" i="26"/>
  <c r="J34" i="26"/>
  <c r="G34" i="26"/>
  <c r="H34" i="26"/>
  <c r="F35" i="26"/>
  <c r="I35" i="26"/>
  <c r="J35" i="26"/>
  <c r="G35" i="26"/>
  <c r="H35" i="26"/>
  <c r="F36" i="26"/>
  <c r="I36" i="26"/>
  <c r="J36" i="26"/>
  <c r="G36" i="26"/>
  <c r="H36" i="26"/>
  <c r="F37" i="26"/>
  <c r="I37" i="26"/>
  <c r="J37" i="26"/>
  <c r="G37" i="26"/>
  <c r="H37" i="26"/>
  <c r="F38" i="26"/>
  <c r="I38" i="26"/>
  <c r="J38" i="26"/>
  <c r="G38" i="26"/>
  <c r="H38" i="26"/>
  <c r="F39" i="26"/>
  <c r="I39" i="26"/>
  <c r="J39" i="26"/>
  <c r="G39" i="26"/>
  <c r="H39" i="26"/>
  <c r="F40" i="26"/>
  <c r="I40" i="26"/>
  <c r="J40" i="26"/>
  <c r="G40" i="26"/>
  <c r="H40" i="26"/>
  <c r="F41" i="26"/>
  <c r="I41" i="26"/>
  <c r="J41" i="26"/>
  <c r="G41" i="26"/>
  <c r="H41" i="26"/>
  <c r="F42" i="26"/>
  <c r="I42" i="26"/>
  <c r="J42" i="26"/>
  <c r="G42" i="26"/>
  <c r="H42" i="26"/>
  <c r="F43" i="26"/>
  <c r="I43" i="26"/>
  <c r="J43" i="26"/>
  <c r="G43" i="26"/>
  <c r="H43" i="26"/>
  <c r="F44" i="26"/>
  <c r="I44" i="26"/>
  <c r="J44" i="26"/>
  <c r="G44" i="26"/>
  <c r="H44" i="26"/>
  <c r="F45" i="26"/>
  <c r="I45" i="26"/>
  <c r="J45" i="26"/>
  <c r="G45" i="26"/>
  <c r="H45" i="26"/>
  <c r="F46" i="26"/>
  <c r="I46" i="26"/>
  <c r="J46" i="26"/>
  <c r="G46" i="26"/>
  <c r="H46" i="26"/>
  <c r="F47" i="26"/>
  <c r="I47" i="26"/>
  <c r="J47" i="26"/>
  <c r="G47" i="26"/>
  <c r="H47" i="26"/>
  <c r="F48" i="26"/>
  <c r="I48" i="26"/>
  <c r="J48" i="26"/>
  <c r="G48" i="26"/>
  <c r="H48" i="26"/>
  <c r="F49" i="26"/>
  <c r="I49" i="26"/>
  <c r="J49" i="26"/>
  <c r="G49" i="26"/>
  <c r="H49" i="26"/>
  <c r="F50" i="26"/>
  <c r="I50" i="26"/>
  <c r="J50" i="26"/>
  <c r="G50" i="26"/>
  <c r="H50" i="26"/>
  <c r="F51" i="26"/>
  <c r="I51" i="26"/>
  <c r="J51" i="26"/>
  <c r="G51" i="26"/>
  <c r="H51" i="26"/>
  <c r="F52" i="26"/>
  <c r="I52" i="26"/>
  <c r="J52" i="26"/>
  <c r="G52" i="26"/>
  <c r="H52" i="26"/>
  <c r="F53" i="26"/>
  <c r="I53" i="26"/>
  <c r="J53" i="26"/>
  <c r="G53" i="26"/>
  <c r="H53" i="26"/>
  <c r="F54" i="26"/>
  <c r="I54" i="26"/>
  <c r="J54" i="26"/>
  <c r="G54" i="26"/>
  <c r="H54" i="26"/>
  <c r="F55" i="26"/>
  <c r="I55" i="26"/>
  <c r="J55" i="26"/>
  <c r="G55" i="26"/>
  <c r="H55" i="26"/>
  <c r="F56" i="26"/>
  <c r="I56" i="26"/>
  <c r="J56" i="26"/>
  <c r="G56" i="26"/>
  <c r="H56" i="26"/>
  <c r="F57" i="26"/>
  <c r="I57" i="26"/>
  <c r="J57" i="26"/>
  <c r="G57" i="26"/>
  <c r="H57" i="26"/>
  <c r="F58" i="26"/>
  <c r="I58" i="26"/>
  <c r="J58" i="26"/>
  <c r="G58" i="26"/>
  <c r="H58" i="26"/>
  <c r="F59" i="26"/>
  <c r="I59" i="26"/>
  <c r="J59" i="26"/>
  <c r="G59" i="26"/>
  <c r="H59" i="26"/>
  <c r="F60" i="26"/>
  <c r="I60" i="26"/>
  <c r="J60" i="26"/>
  <c r="G60" i="26"/>
  <c r="H60" i="26"/>
  <c r="F61" i="26"/>
  <c r="I61" i="26"/>
  <c r="J61" i="26"/>
  <c r="G61" i="26"/>
  <c r="H61" i="26"/>
  <c r="F62" i="26"/>
  <c r="I62" i="26"/>
  <c r="J62" i="26"/>
  <c r="G62" i="26"/>
  <c r="H62" i="26"/>
  <c r="F63" i="26"/>
  <c r="I63" i="26"/>
  <c r="J63" i="26"/>
  <c r="G63" i="26"/>
  <c r="H63" i="26"/>
  <c r="F64" i="26"/>
  <c r="I64" i="26"/>
  <c r="J64" i="26"/>
  <c r="G64" i="26"/>
  <c r="H64" i="26"/>
  <c r="F65" i="26"/>
  <c r="I65" i="26"/>
  <c r="J65" i="26"/>
  <c r="G65" i="26"/>
  <c r="H65" i="26"/>
  <c r="F66" i="26"/>
  <c r="I66" i="26"/>
  <c r="J66" i="26"/>
  <c r="G66" i="26"/>
  <c r="H66" i="26"/>
  <c r="F67" i="26"/>
  <c r="I67" i="26"/>
  <c r="J67" i="26"/>
  <c r="G67" i="26"/>
  <c r="H67" i="26"/>
  <c r="F68" i="26"/>
  <c r="I68" i="26"/>
  <c r="J68" i="26"/>
  <c r="G68" i="26"/>
  <c r="H68" i="26"/>
  <c r="F69" i="26"/>
  <c r="I69" i="26"/>
  <c r="J69" i="26"/>
  <c r="G69" i="26"/>
  <c r="H69" i="26"/>
  <c r="F70" i="26"/>
  <c r="I70" i="26"/>
  <c r="J70" i="26"/>
  <c r="G70" i="26"/>
  <c r="H70" i="26"/>
  <c r="F71" i="26"/>
  <c r="I71" i="26"/>
  <c r="J71" i="26"/>
  <c r="G71" i="26"/>
  <c r="H71" i="26"/>
  <c r="F72" i="26"/>
  <c r="I72" i="26"/>
  <c r="J72" i="26"/>
  <c r="G72" i="26"/>
  <c r="H72" i="26"/>
  <c r="F73" i="26"/>
  <c r="I73" i="26"/>
  <c r="J73" i="26"/>
  <c r="G73" i="26"/>
  <c r="H73" i="26"/>
  <c r="F74" i="26"/>
  <c r="I74" i="26"/>
  <c r="J74" i="26"/>
  <c r="G74" i="26"/>
  <c r="H74" i="26"/>
  <c r="F75" i="26"/>
  <c r="I75" i="26"/>
  <c r="J75" i="26"/>
  <c r="G75" i="26"/>
  <c r="H75" i="26"/>
  <c r="F76" i="26"/>
  <c r="I76" i="26"/>
  <c r="J76" i="26"/>
  <c r="G76" i="26"/>
  <c r="H76" i="26"/>
  <c r="F77" i="26"/>
  <c r="I77" i="26"/>
  <c r="J77" i="26"/>
  <c r="G77" i="26"/>
  <c r="H77" i="26"/>
  <c r="F78" i="26"/>
  <c r="I78" i="26"/>
  <c r="J78" i="26"/>
  <c r="G78" i="26"/>
  <c r="H78" i="26"/>
  <c r="F79" i="26"/>
  <c r="I79" i="26"/>
  <c r="J79" i="26"/>
  <c r="G79" i="26"/>
  <c r="H79" i="26"/>
  <c r="F80" i="26"/>
  <c r="I80" i="26"/>
  <c r="J80" i="26"/>
  <c r="G80" i="26"/>
  <c r="H80" i="26"/>
  <c r="F81" i="26"/>
  <c r="I81" i="26"/>
  <c r="J81" i="26"/>
  <c r="G81" i="26"/>
  <c r="H81" i="26"/>
  <c r="F82" i="26"/>
  <c r="I82" i="26"/>
  <c r="J82" i="26"/>
  <c r="G82" i="26"/>
  <c r="H82" i="26"/>
  <c r="H2" i="26"/>
  <c r="I2" i="26"/>
  <c r="J2" i="26"/>
  <c r="G2" i="26"/>
  <c r="I3" i="25"/>
  <c r="J3" i="25"/>
  <c r="G3" i="25"/>
  <c r="I4" i="25"/>
  <c r="J4" i="25"/>
  <c r="G4" i="25"/>
  <c r="I5" i="25"/>
  <c r="J5" i="25"/>
  <c r="G5" i="25"/>
  <c r="I6" i="25"/>
  <c r="J6" i="25"/>
  <c r="G6" i="25"/>
  <c r="I7" i="25"/>
  <c r="J7" i="25"/>
  <c r="G7" i="25"/>
  <c r="I8" i="25"/>
  <c r="J8" i="25"/>
  <c r="G8" i="25"/>
  <c r="I9" i="25"/>
  <c r="J9" i="25"/>
  <c r="G9" i="25"/>
  <c r="I10" i="25"/>
  <c r="J10" i="25"/>
  <c r="G10" i="25"/>
  <c r="I11" i="25"/>
  <c r="J11" i="25"/>
  <c r="G11" i="25"/>
  <c r="I12" i="25"/>
  <c r="J12" i="25"/>
  <c r="G12" i="25"/>
  <c r="I13" i="25"/>
  <c r="J13" i="25"/>
  <c r="G13" i="25"/>
  <c r="I14" i="25"/>
  <c r="J14" i="25"/>
  <c r="G14" i="25"/>
  <c r="I15" i="25"/>
  <c r="J15" i="25"/>
  <c r="G15" i="25"/>
  <c r="I16" i="25"/>
  <c r="J16" i="25"/>
  <c r="G16" i="25"/>
  <c r="I17" i="25"/>
  <c r="J17" i="25"/>
  <c r="G17" i="25"/>
  <c r="I18" i="25"/>
  <c r="J18" i="25"/>
  <c r="G18" i="25"/>
  <c r="I19" i="25"/>
  <c r="J19" i="25"/>
  <c r="G19" i="25"/>
  <c r="I20" i="25"/>
  <c r="J20" i="25"/>
  <c r="G20" i="25"/>
  <c r="I21" i="25"/>
  <c r="J21" i="25"/>
  <c r="G21" i="25"/>
  <c r="I22" i="25"/>
  <c r="J22" i="25"/>
  <c r="G22" i="25"/>
  <c r="I23" i="25"/>
  <c r="J23" i="25"/>
  <c r="G23" i="25"/>
  <c r="I24" i="25"/>
  <c r="J24" i="25"/>
  <c r="G24" i="25"/>
  <c r="I25" i="25"/>
  <c r="J25" i="25"/>
  <c r="G25" i="25"/>
  <c r="I26" i="25"/>
  <c r="J26" i="25"/>
  <c r="G26" i="25"/>
  <c r="I27" i="25"/>
  <c r="J27" i="25"/>
  <c r="G27" i="25"/>
  <c r="I28" i="25"/>
  <c r="J28" i="25"/>
  <c r="G28" i="25"/>
  <c r="I29" i="25"/>
  <c r="J29" i="25"/>
  <c r="G29" i="25"/>
  <c r="I30" i="25"/>
  <c r="J30" i="25"/>
  <c r="G30" i="25"/>
  <c r="I31" i="25"/>
  <c r="J31" i="25"/>
  <c r="G31" i="25"/>
  <c r="I32" i="25"/>
  <c r="J32" i="25"/>
  <c r="G32" i="25"/>
  <c r="I33" i="25"/>
  <c r="J33" i="25"/>
  <c r="G33" i="25"/>
  <c r="I34" i="25"/>
  <c r="J34" i="25"/>
  <c r="G34" i="25"/>
  <c r="I35" i="25"/>
  <c r="J35" i="25"/>
  <c r="G35" i="25"/>
  <c r="I36" i="25"/>
  <c r="J36" i="25"/>
  <c r="G36" i="25"/>
  <c r="I37" i="25"/>
  <c r="J37" i="25"/>
  <c r="G37" i="25"/>
  <c r="I38" i="25"/>
  <c r="J38" i="25"/>
  <c r="G38" i="25"/>
  <c r="I39" i="25"/>
  <c r="J39" i="25"/>
  <c r="G39" i="25"/>
  <c r="I40" i="25"/>
  <c r="J40" i="25"/>
  <c r="G40" i="25"/>
  <c r="I41" i="25"/>
  <c r="J41" i="25"/>
  <c r="G41" i="25"/>
  <c r="I42" i="25"/>
  <c r="J42" i="25"/>
  <c r="G42" i="25"/>
  <c r="I43" i="25"/>
  <c r="J43" i="25"/>
  <c r="G43" i="25"/>
  <c r="I44" i="25"/>
  <c r="J44" i="25"/>
  <c r="G44" i="25"/>
  <c r="I45" i="25"/>
  <c r="J45" i="25"/>
  <c r="G45" i="25"/>
  <c r="I46" i="25"/>
  <c r="J46" i="25"/>
  <c r="G46" i="25"/>
  <c r="I47" i="25"/>
  <c r="J47" i="25"/>
  <c r="G47" i="25"/>
  <c r="I48" i="25"/>
  <c r="J48" i="25"/>
  <c r="G48" i="25"/>
  <c r="I51" i="25"/>
  <c r="J51" i="25"/>
  <c r="G51" i="25"/>
  <c r="I52" i="25"/>
  <c r="J52" i="25"/>
  <c r="G52" i="25"/>
  <c r="I53" i="25"/>
  <c r="J53" i="25"/>
  <c r="G53" i="25"/>
  <c r="I54" i="25"/>
  <c r="J54" i="25"/>
  <c r="G54" i="25"/>
  <c r="I55" i="25"/>
  <c r="J55" i="25"/>
  <c r="G55" i="25"/>
  <c r="I58" i="25"/>
  <c r="J58" i="25"/>
  <c r="G58" i="25"/>
  <c r="I59" i="25"/>
  <c r="J59" i="25"/>
  <c r="G59" i="25"/>
  <c r="I60" i="25"/>
  <c r="J60" i="25"/>
  <c r="G60" i="25"/>
  <c r="I61" i="25"/>
  <c r="J61" i="25"/>
  <c r="G61" i="25"/>
  <c r="I62" i="25"/>
  <c r="J62" i="25"/>
  <c r="G62" i="25"/>
  <c r="I63" i="25"/>
  <c r="J63" i="25"/>
  <c r="G63" i="25"/>
  <c r="I64" i="25"/>
  <c r="J64" i="25"/>
  <c r="G64" i="25"/>
  <c r="I65" i="25"/>
  <c r="J65" i="25"/>
  <c r="G65" i="25"/>
  <c r="I71" i="25"/>
  <c r="J71" i="25"/>
  <c r="G71" i="25"/>
  <c r="I72" i="25"/>
  <c r="J72" i="25"/>
  <c r="G72" i="25"/>
  <c r="I73" i="25"/>
  <c r="J73" i="25"/>
  <c r="G73" i="25"/>
  <c r="I74" i="25"/>
  <c r="J74" i="25"/>
  <c r="G74" i="25"/>
  <c r="I75" i="25"/>
  <c r="J75" i="25"/>
  <c r="G75" i="25"/>
  <c r="I76" i="25"/>
  <c r="J76" i="25"/>
  <c r="G76" i="25"/>
  <c r="I77" i="25"/>
  <c r="J77" i="25"/>
  <c r="G77" i="25"/>
  <c r="I78" i="25"/>
  <c r="J78" i="25"/>
  <c r="G78" i="25"/>
  <c r="I84" i="25"/>
  <c r="J84" i="25"/>
  <c r="G84" i="25"/>
  <c r="I85" i="25"/>
  <c r="J85" i="25"/>
  <c r="G85" i="25"/>
  <c r="I86" i="25"/>
  <c r="J86" i="25"/>
  <c r="G86" i="25"/>
  <c r="I87" i="25"/>
  <c r="J87" i="25"/>
  <c r="G87" i="25"/>
  <c r="I88" i="25"/>
  <c r="J88" i="25"/>
  <c r="G88" i="25"/>
  <c r="I89" i="25"/>
  <c r="J89" i="25"/>
  <c r="G89" i="25"/>
  <c r="I90" i="25"/>
  <c r="J90" i="25"/>
  <c r="G90" i="25"/>
  <c r="I91" i="25"/>
  <c r="J91" i="25"/>
  <c r="G91" i="25"/>
  <c r="I92" i="25"/>
  <c r="J92" i="25"/>
  <c r="G92" i="25"/>
  <c r="I93" i="25"/>
  <c r="J93" i="25"/>
  <c r="G93" i="25"/>
  <c r="I94" i="25"/>
  <c r="J94" i="25"/>
  <c r="G94" i="25"/>
  <c r="I95" i="25"/>
  <c r="J95" i="25"/>
  <c r="G95" i="25"/>
  <c r="I96" i="25"/>
  <c r="J96" i="25"/>
  <c r="G96" i="25"/>
  <c r="I97" i="25"/>
  <c r="J97" i="25"/>
  <c r="G97" i="25"/>
  <c r="I98" i="25"/>
  <c r="J98" i="25"/>
  <c r="G98" i="25"/>
  <c r="I99" i="25"/>
  <c r="J99" i="25"/>
  <c r="G99" i="25"/>
  <c r="I100" i="25"/>
  <c r="J100" i="25"/>
  <c r="G100" i="25"/>
  <c r="I101" i="25"/>
  <c r="J101" i="25"/>
  <c r="G101" i="25"/>
  <c r="I102" i="25"/>
  <c r="J102" i="25"/>
  <c r="G102" i="25"/>
  <c r="I103" i="25"/>
  <c r="J103" i="25"/>
  <c r="G103" i="25"/>
  <c r="I104" i="25"/>
  <c r="J104" i="25"/>
  <c r="G104" i="25"/>
  <c r="I105" i="25"/>
  <c r="J105" i="25"/>
  <c r="G105" i="25"/>
  <c r="I106" i="25"/>
  <c r="J106" i="25"/>
  <c r="G106" i="25"/>
  <c r="I107" i="25"/>
  <c r="J107" i="25"/>
  <c r="G107" i="25"/>
  <c r="I108" i="25"/>
  <c r="J108" i="25"/>
  <c r="G108" i="25"/>
  <c r="I109" i="25"/>
  <c r="J109" i="25"/>
  <c r="G109" i="25"/>
  <c r="I110" i="25"/>
  <c r="J110" i="25"/>
  <c r="G110" i="25"/>
  <c r="I3" i="27"/>
  <c r="J3" i="27"/>
  <c r="G3" i="27"/>
  <c r="H3" i="27"/>
  <c r="I4" i="27"/>
  <c r="J4" i="27"/>
  <c r="G4" i="27"/>
  <c r="H4" i="27"/>
  <c r="I5" i="27"/>
  <c r="J5" i="27"/>
  <c r="G5" i="27"/>
  <c r="H5" i="27"/>
  <c r="I6" i="27"/>
  <c r="J6" i="27"/>
  <c r="G6" i="27"/>
  <c r="H6" i="27"/>
  <c r="I7" i="27"/>
  <c r="J7" i="27"/>
  <c r="G7" i="27"/>
  <c r="H7" i="27"/>
  <c r="I8" i="27"/>
  <c r="J8" i="27"/>
  <c r="G8" i="27"/>
  <c r="H8" i="27"/>
  <c r="I9" i="27"/>
  <c r="J9" i="27"/>
  <c r="G9" i="27"/>
  <c r="H9" i="27"/>
  <c r="I10" i="27"/>
  <c r="J10" i="27"/>
  <c r="G10" i="27"/>
  <c r="H10" i="27"/>
  <c r="I11" i="27"/>
  <c r="J11" i="27"/>
  <c r="G11" i="27"/>
  <c r="H11" i="27"/>
  <c r="I12" i="27"/>
  <c r="J12" i="27"/>
  <c r="G12" i="27"/>
  <c r="H12" i="27"/>
  <c r="I13" i="27"/>
  <c r="J13" i="27"/>
  <c r="G13" i="27"/>
  <c r="H13" i="27"/>
  <c r="I14" i="27"/>
  <c r="J14" i="27"/>
  <c r="G14" i="27"/>
  <c r="H14" i="27"/>
  <c r="I15" i="27"/>
  <c r="J15" i="27"/>
  <c r="G15" i="27"/>
  <c r="H15" i="27"/>
  <c r="I16" i="27"/>
  <c r="J16" i="27"/>
  <c r="G16" i="27"/>
  <c r="H16" i="27"/>
  <c r="I17" i="27"/>
  <c r="J17" i="27"/>
  <c r="G17" i="27"/>
  <c r="H17" i="27"/>
  <c r="I18" i="27"/>
  <c r="J18" i="27"/>
  <c r="G18" i="27"/>
  <c r="H18" i="27"/>
  <c r="I19" i="27"/>
  <c r="J19" i="27"/>
  <c r="G19" i="27"/>
  <c r="H19" i="27"/>
  <c r="I20" i="27"/>
  <c r="J20" i="27"/>
  <c r="G20" i="27"/>
  <c r="H20" i="27"/>
  <c r="I21" i="27"/>
  <c r="J21" i="27"/>
  <c r="G21" i="27"/>
  <c r="H21" i="27"/>
  <c r="I22" i="27"/>
  <c r="J22" i="27"/>
  <c r="G22" i="27"/>
  <c r="H22" i="27"/>
  <c r="I23" i="27"/>
  <c r="J23" i="27"/>
  <c r="G23" i="27"/>
  <c r="H23" i="27"/>
  <c r="I24" i="27"/>
  <c r="J24" i="27"/>
  <c r="G24" i="27"/>
  <c r="H24" i="27"/>
  <c r="I25" i="27"/>
  <c r="J25" i="27"/>
  <c r="G25" i="27"/>
  <c r="H25" i="27"/>
  <c r="I26" i="27"/>
  <c r="J26" i="27"/>
  <c r="G26" i="27"/>
  <c r="H26" i="27"/>
  <c r="I27" i="27"/>
  <c r="J27" i="27"/>
  <c r="G27" i="27"/>
  <c r="H27" i="27"/>
  <c r="I28" i="27"/>
  <c r="J28" i="27"/>
  <c r="G28" i="27"/>
  <c r="H28" i="27"/>
  <c r="I29" i="27"/>
  <c r="J29" i="27"/>
  <c r="G29" i="27"/>
  <c r="H29" i="27"/>
  <c r="I30" i="27"/>
  <c r="J30" i="27"/>
  <c r="G30" i="27"/>
  <c r="H30" i="27"/>
  <c r="I31" i="27"/>
  <c r="J31" i="27"/>
  <c r="G31" i="27"/>
  <c r="H31" i="27"/>
  <c r="I32" i="27"/>
  <c r="J32" i="27"/>
  <c r="G32" i="27"/>
  <c r="H32" i="27"/>
  <c r="I33" i="27"/>
  <c r="J33" i="27"/>
  <c r="G33" i="27"/>
  <c r="H33" i="27"/>
  <c r="I34" i="27"/>
  <c r="J34" i="27"/>
  <c r="G34" i="27"/>
  <c r="H34" i="27"/>
  <c r="I35" i="27"/>
  <c r="J35" i="27"/>
  <c r="G35" i="27"/>
  <c r="H35" i="27"/>
  <c r="I36" i="27"/>
  <c r="J36" i="27"/>
  <c r="G36" i="27"/>
  <c r="H36" i="27"/>
  <c r="I37" i="27"/>
  <c r="J37" i="27"/>
  <c r="G37" i="27"/>
  <c r="H37" i="27"/>
  <c r="I38" i="27"/>
  <c r="J38" i="27"/>
  <c r="G38" i="27"/>
  <c r="H38" i="27"/>
  <c r="I39" i="27"/>
  <c r="J39" i="27"/>
  <c r="G39" i="27"/>
  <c r="H39" i="27"/>
  <c r="I40" i="27"/>
  <c r="J40" i="27"/>
  <c r="G40" i="27"/>
  <c r="H40" i="27"/>
  <c r="I41" i="27"/>
  <c r="J41" i="27"/>
  <c r="G41" i="27"/>
  <c r="H41" i="27"/>
  <c r="I42" i="27"/>
  <c r="J42" i="27"/>
  <c r="G42" i="27"/>
  <c r="H42" i="27"/>
  <c r="I43" i="27"/>
  <c r="J43" i="27"/>
  <c r="G43" i="27"/>
  <c r="H43" i="27"/>
  <c r="I44" i="27"/>
  <c r="J44" i="27"/>
  <c r="G44" i="27"/>
  <c r="H44" i="27"/>
  <c r="I45" i="27"/>
  <c r="J45" i="27"/>
  <c r="G45" i="27"/>
  <c r="H45" i="27"/>
  <c r="I46" i="27"/>
  <c r="J46" i="27"/>
  <c r="G46" i="27"/>
  <c r="H46" i="27"/>
  <c r="I47" i="27"/>
  <c r="J47" i="27"/>
  <c r="G47" i="27"/>
  <c r="H47" i="27"/>
  <c r="I48" i="27"/>
  <c r="J48" i="27"/>
  <c r="G48" i="27"/>
  <c r="H48" i="27"/>
  <c r="I49" i="27"/>
  <c r="J49" i="27"/>
  <c r="G49" i="27"/>
  <c r="H49" i="27"/>
  <c r="I50" i="27"/>
  <c r="J50" i="27"/>
  <c r="G50" i="27"/>
  <c r="H50" i="27"/>
  <c r="I51" i="27"/>
  <c r="J51" i="27"/>
  <c r="G51" i="27"/>
  <c r="H51" i="27"/>
  <c r="I52" i="27"/>
  <c r="J52" i="27"/>
  <c r="G52" i="27"/>
  <c r="H52" i="27"/>
  <c r="I53" i="27"/>
  <c r="J53" i="27"/>
  <c r="G53" i="27"/>
  <c r="H53" i="27"/>
  <c r="I54" i="27"/>
  <c r="J54" i="27"/>
  <c r="G54" i="27"/>
  <c r="H54" i="27"/>
  <c r="I55" i="27"/>
  <c r="J55" i="27"/>
  <c r="G55" i="27"/>
  <c r="H55" i="27"/>
  <c r="I56" i="27"/>
  <c r="J56" i="27"/>
  <c r="G56" i="27"/>
  <c r="H56" i="27"/>
  <c r="I57" i="27"/>
  <c r="J57" i="27"/>
  <c r="G57" i="27"/>
  <c r="H57" i="27"/>
  <c r="I58" i="27"/>
  <c r="J58" i="27"/>
  <c r="G58" i="27"/>
  <c r="H58" i="27"/>
  <c r="I59" i="27"/>
  <c r="J59" i="27"/>
  <c r="G59" i="27"/>
  <c r="H59" i="27"/>
  <c r="I60" i="27"/>
  <c r="J60" i="27"/>
  <c r="G60" i="27"/>
  <c r="H60" i="27"/>
  <c r="I61" i="27"/>
  <c r="J61" i="27"/>
  <c r="G61" i="27"/>
  <c r="H61" i="27"/>
  <c r="I62" i="27"/>
  <c r="J62" i="27"/>
  <c r="G62" i="27"/>
  <c r="H62" i="27"/>
  <c r="I63" i="27"/>
  <c r="J63" i="27"/>
  <c r="G63" i="27"/>
  <c r="H63" i="27"/>
  <c r="I64" i="27"/>
  <c r="J64" i="27"/>
  <c r="G64" i="27"/>
  <c r="H64" i="27"/>
  <c r="I65" i="27"/>
  <c r="J65" i="27"/>
  <c r="G65" i="27"/>
  <c r="H65" i="27"/>
  <c r="I66" i="27"/>
  <c r="J66" i="27"/>
  <c r="G66" i="27"/>
  <c r="H66" i="27"/>
  <c r="I67" i="27"/>
  <c r="J67" i="27"/>
  <c r="G67" i="27"/>
  <c r="H67" i="27"/>
  <c r="I72" i="27"/>
  <c r="J72" i="27"/>
  <c r="G72" i="27"/>
  <c r="H72" i="27"/>
  <c r="I73" i="27"/>
  <c r="J73" i="27"/>
  <c r="G73" i="27"/>
  <c r="H73" i="27"/>
  <c r="I74" i="27"/>
  <c r="J74" i="27"/>
  <c r="G74" i="27"/>
  <c r="H74" i="27"/>
  <c r="I75" i="27"/>
  <c r="J75" i="27"/>
  <c r="G75" i="27"/>
  <c r="H75" i="27"/>
  <c r="I76" i="27"/>
  <c r="J76" i="27"/>
  <c r="G76" i="27"/>
  <c r="H76" i="27"/>
  <c r="I77" i="27"/>
  <c r="J77" i="27"/>
  <c r="G77" i="27"/>
  <c r="H77" i="27"/>
  <c r="I78" i="27"/>
  <c r="J78" i="27"/>
  <c r="G78" i="27"/>
  <c r="H78" i="27"/>
  <c r="I79" i="27"/>
  <c r="J79" i="27"/>
  <c r="G79" i="27"/>
  <c r="H79" i="27"/>
  <c r="I80" i="27"/>
  <c r="J80" i="27"/>
  <c r="G80" i="27"/>
  <c r="H80" i="27"/>
  <c r="I95" i="27"/>
  <c r="J95" i="27"/>
  <c r="G95" i="27"/>
  <c r="H95" i="27"/>
  <c r="I96" i="27"/>
  <c r="J96" i="27"/>
  <c r="G96" i="27"/>
  <c r="H96" i="27"/>
  <c r="I97" i="27"/>
  <c r="J97" i="27"/>
  <c r="G97" i="27"/>
  <c r="H97" i="27"/>
  <c r="I102" i="27"/>
  <c r="J102" i="27"/>
  <c r="G102" i="27"/>
  <c r="H102" i="27"/>
  <c r="I103" i="27"/>
  <c r="J103" i="27"/>
  <c r="G103" i="27"/>
  <c r="H103" i="27"/>
  <c r="I104" i="27"/>
  <c r="J104" i="27"/>
  <c r="G104" i="27"/>
  <c r="H104" i="27"/>
  <c r="I105" i="27"/>
  <c r="J105" i="27"/>
  <c r="G105" i="27"/>
  <c r="H105" i="27"/>
  <c r="I106" i="27"/>
  <c r="J106" i="27"/>
  <c r="G106" i="27"/>
  <c r="H106" i="27"/>
  <c r="I112" i="27"/>
  <c r="J112" i="27"/>
  <c r="G112" i="27"/>
  <c r="H112" i="27"/>
  <c r="I113" i="27"/>
  <c r="J113" i="27"/>
  <c r="G113" i="27"/>
  <c r="H113" i="27"/>
  <c r="I114" i="27"/>
  <c r="J114" i="27"/>
  <c r="G114" i="27"/>
  <c r="H114" i="27"/>
  <c r="I122" i="27"/>
  <c r="J122" i="27"/>
  <c r="G122" i="27"/>
  <c r="H122" i="27"/>
  <c r="I123" i="27"/>
  <c r="J123" i="27"/>
  <c r="G123" i="27"/>
  <c r="H123" i="27"/>
  <c r="I124" i="27"/>
  <c r="J124" i="27"/>
  <c r="G124" i="27"/>
  <c r="H124" i="27"/>
  <c r="I125" i="27"/>
  <c r="J125" i="27"/>
  <c r="G125" i="27"/>
  <c r="H125" i="27"/>
  <c r="I126" i="27"/>
  <c r="J126" i="27"/>
  <c r="G126" i="27"/>
  <c r="H126" i="27"/>
  <c r="F140" i="27"/>
  <c r="I140" i="27"/>
  <c r="J140" i="27"/>
  <c r="G140" i="27"/>
  <c r="H140" i="27"/>
  <c r="F141" i="27"/>
  <c r="I141" i="27"/>
  <c r="J141" i="27"/>
  <c r="G141" i="27"/>
  <c r="H141" i="27"/>
  <c r="F142" i="27"/>
  <c r="I142" i="27"/>
  <c r="J142" i="27"/>
  <c r="G142" i="27"/>
  <c r="H142" i="27"/>
  <c r="F143" i="27"/>
  <c r="I143" i="27"/>
  <c r="J143" i="27"/>
  <c r="G143" i="27"/>
  <c r="H143" i="27"/>
  <c r="F144" i="27"/>
  <c r="I144" i="27"/>
  <c r="J144" i="27"/>
  <c r="G144" i="27"/>
  <c r="H144" i="27"/>
  <c r="F145" i="27"/>
  <c r="I145" i="27"/>
  <c r="J145" i="27"/>
  <c r="G145" i="27"/>
  <c r="H145" i="27"/>
  <c r="F146" i="27"/>
  <c r="I146" i="27"/>
  <c r="J146" i="27"/>
  <c r="G146" i="27"/>
  <c r="H146" i="27"/>
  <c r="F147" i="27"/>
  <c r="I147" i="27"/>
  <c r="J147" i="27"/>
  <c r="G147" i="27"/>
  <c r="H147" i="27"/>
  <c r="F148" i="27"/>
  <c r="I148" i="27"/>
  <c r="J148" i="27"/>
  <c r="G148" i="27"/>
  <c r="H148" i="27"/>
  <c r="F149" i="27"/>
  <c r="I149" i="27"/>
  <c r="J149" i="27"/>
  <c r="G149" i="27"/>
  <c r="H149" i="27"/>
  <c r="F150" i="27"/>
  <c r="I150" i="27"/>
  <c r="J150" i="27"/>
  <c r="G150" i="27"/>
  <c r="H150" i="27"/>
  <c r="F151" i="27"/>
  <c r="I151" i="27"/>
  <c r="J151" i="27"/>
  <c r="G151" i="27"/>
  <c r="H151" i="27"/>
  <c r="F152" i="27"/>
  <c r="I152" i="27"/>
  <c r="J152" i="27"/>
  <c r="G152" i="27"/>
  <c r="H152" i="27"/>
  <c r="F153" i="27"/>
  <c r="I153" i="27"/>
  <c r="J153" i="27"/>
  <c r="G153" i="27"/>
  <c r="H153" i="27"/>
  <c r="F154" i="27"/>
  <c r="I154" i="27"/>
  <c r="J154" i="27"/>
  <c r="G154" i="27"/>
  <c r="H154" i="27"/>
  <c r="F155" i="27"/>
  <c r="I155" i="27"/>
  <c r="J155" i="27"/>
  <c r="G155" i="27"/>
  <c r="H155" i="27"/>
  <c r="F156" i="27"/>
  <c r="I156" i="27"/>
  <c r="J156" i="27"/>
  <c r="G156" i="27"/>
  <c r="H156" i="27"/>
  <c r="F157" i="27"/>
  <c r="I157" i="27"/>
  <c r="J157" i="27"/>
  <c r="G157" i="27"/>
  <c r="H157" i="27"/>
  <c r="F158" i="27"/>
  <c r="I158" i="27"/>
  <c r="J158" i="27"/>
  <c r="G158" i="27"/>
  <c r="H158" i="27"/>
  <c r="F159" i="27"/>
  <c r="I159" i="27"/>
  <c r="J159" i="27"/>
  <c r="G159" i="27"/>
  <c r="H159" i="27"/>
  <c r="F160" i="27"/>
  <c r="I160" i="27"/>
  <c r="J160" i="27"/>
  <c r="G160" i="27"/>
  <c r="H160" i="27"/>
  <c r="F161" i="27"/>
  <c r="I161" i="27"/>
  <c r="J161" i="27"/>
  <c r="G161" i="27"/>
  <c r="H161" i="27"/>
  <c r="F162" i="27"/>
  <c r="I162" i="27"/>
  <c r="J162" i="27"/>
  <c r="G162" i="27"/>
  <c r="H162" i="27"/>
  <c r="F163" i="27"/>
  <c r="I163" i="27"/>
  <c r="J163" i="27"/>
  <c r="G163" i="27"/>
  <c r="H163" i="27"/>
  <c r="F164" i="27"/>
  <c r="I164" i="27"/>
  <c r="J164" i="27"/>
  <c r="G164" i="27"/>
  <c r="H164" i="27"/>
  <c r="F165" i="27"/>
  <c r="I165" i="27"/>
  <c r="J165" i="27"/>
  <c r="G165" i="27"/>
  <c r="H165" i="27"/>
  <c r="F166" i="27"/>
  <c r="I166" i="27"/>
  <c r="J166" i="27"/>
  <c r="G166" i="27"/>
  <c r="H166" i="27"/>
  <c r="F167" i="27"/>
  <c r="I167" i="27"/>
  <c r="J167" i="27"/>
  <c r="G167" i="27"/>
  <c r="H167" i="27"/>
  <c r="F168" i="27"/>
  <c r="I168" i="27"/>
  <c r="J168" i="27"/>
  <c r="G168" i="27"/>
  <c r="H168" i="27"/>
  <c r="F169" i="27"/>
  <c r="I169" i="27"/>
  <c r="J169" i="27"/>
  <c r="G169" i="27"/>
  <c r="H169" i="27"/>
  <c r="F170" i="27"/>
  <c r="I170" i="27"/>
  <c r="J170" i="27"/>
  <c r="G170" i="27"/>
  <c r="H170" i="27"/>
  <c r="F171" i="27"/>
  <c r="I171" i="27"/>
  <c r="J171" i="27"/>
  <c r="G171" i="27"/>
  <c r="H171" i="27"/>
  <c r="F172" i="27"/>
  <c r="I172" i="27"/>
  <c r="J172" i="27"/>
  <c r="G172" i="27"/>
  <c r="H172" i="27"/>
  <c r="F173" i="27"/>
  <c r="I173" i="27"/>
  <c r="J173" i="27"/>
  <c r="G173" i="27"/>
  <c r="H173" i="27"/>
  <c r="F174" i="27"/>
  <c r="I174" i="27"/>
  <c r="J174" i="27"/>
  <c r="G174" i="27"/>
  <c r="H174" i="27"/>
  <c r="F175" i="27"/>
  <c r="I175" i="27"/>
  <c r="J175" i="27"/>
  <c r="G175" i="27"/>
  <c r="H175" i="27"/>
  <c r="F176" i="27"/>
  <c r="I176" i="27"/>
  <c r="J176" i="27"/>
  <c r="G176" i="27"/>
  <c r="H176" i="27"/>
  <c r="F177" i="27"/>
  <c r="I177" i="27"/>
  <c r="J177" i="27"/>
  <c r="G177" i="27"/>
  <c r="H177" i="27"/>
  <c r="F178" i="27"/>
  <c r="I178" i="27"/>
  <c r="J178" i="27"/>
  <c r="G178" i="27"/>
  <c r="H178" i="27"/>
  <c r="F179" i="27"/>
  <c r="I179" i="27"/>
  <c r="J179" i="27"/>
  <c r="G179" i="27"/>
  <c r="H179" i="27"/>
  <c r="F180" i="27"/>
  <c r="I180" i="27"/>
  <c r="J180" i="27"/>
  <c r="G180" i="27"/>
  <c r="H180" i="27"/>
  <c r="F181" i="27"/>
  <c r="I181" i="27"/>
  <c r="J181" i="27"/>
  <c r="G181" i="27"/>
  <c r="H181" i="27"/>
  <c r="F182" i="27"/>
  <c r="I182" i="27"/>
  <c r="J182" i="27"/>
  <c r="G182" i="27"/>
  <c r="H182" i="27"/>
  <c r="F183" i="27"/>
  <c r="I183" i="27"/>
  <c r="J183" i="27"/>
  <c r="G183" i="27"/>
  <c r="H183" i="27"/>
  <c r="F184" i="27"/>
  <c r="I184" i="27"/>
  <c r="J184" i="27"/>
  <c r="G184" i="27"/>
  <c r="H184" i="27"/>
  <c r="F185" i="27"/>
  <c r="I185" i="27"/>
  <c r="J185" i="27"/>
  <c r="G185" i="27"/>
  <c r="H185" i="27"/>
  <c r="F186" i="27"/>
  <c r="I186" i="27"/>
  <c r="J186" i="27"/>
  <c r="G186" i="27"/>
  <c r="H186" i="27"/>
  <c r="F187" i="27"/>
  <c r="I187" i="27"/>
  <c r="J187" i="27"/>
  <c r="G187" i="27"/>
  <c r="H187" i="27"/>
  <c r="F188" i="27"/>
  <c r="I188" i="27"/>
  <c r="J188" i="27"/>
  <c r="G188" i="27"/>
  <c r="H188" i="27"/>
  <c r="F189" i="27"/>
  <c r="I189" i="27"/>
  <c r="J189" i="27"/>
  <c r="G189" i="27"/>
  <c r="H189" i="27"/>
  <c r="F190" i="27"/>
  <c r="I190" i="27"/>
  <c r="J190" i="27"/>
  <c r="G190" i="27"/>
  <c r="H190" i="27"/>
  <c r="F191" i="27"/>
  <c r="I191" i="27"/>
  <c r="J191" i="27"/>
  <c r="G191" i="27"/>
  <c r="H191" i="27"/>
  <c r="F192" i="27"/>
  <c r="I192" i="27"/>
  <c r="J192" i="27"/>
  <c r="G192" i="27"/>
  <c r="H192" i="27"/>
  <c r="F193" i="27"/>
  <c r="I193" i="27"/>
  <c r="J193" i="27"/>
  <c r="G193" i="27"/>
  <c r="H193" i="27"/>
  <c r="F194" i="27"/>
  <c r="I194" i="27"/>
  <c r="J194" i="27"/>
  <c r="G194" i="27"/>
  <c r="H194" i="27"/>
  <c r="F195" i="27"/>
  <c r="I195" i="27"/>
  <c r="J195" i="27"/>
  <c r="G195" i="27"/>
  <c r="H195" i="27"/>
  <c r="F196" i="27"/>
  <c r="I196" i="27"/>
  <c r="J196" i="27"/>
  <c r="G196" i="27"/>
  <c r="H196" i="27"/>
  <c r="F197" i="27"/>
  <c r="I197" i="27"/>
  <c r="J197" i="27"/>
  <c r="G197" i="27"/>
  <c r="H197" i="27"/>
  <c r="F198" i="27"/>
  <c r="I198" i="27"/>
  <c r="J198" i="27"/>
  <c r="G198" i="27"/>
  <c r="H198" i="27"/>
  <c r="F199" i="27"/>
  <c r="I199" i="27"/>
  <c r="J199" i="27"/>
  <c r="G199" i="27"/>
  <c r="H199" i="27"/>
  <c r="F200" i="27"/>
  <c r="I200" i="27"/>
  <c r="J200" i="27"/>
  <c r="G200" i="27"/>
  <c r="H200" i="27"/>
  <c r="F201" i="27"/>
  <c r="I201" i="27"/>
  <c r="J201" i="27"/>
  <c r="G201" i="27"/>
  <c r="H201" i="27"/>
  <c r="F202" i="27"/>
  <c r="I202" i="27"/>
  <c r="J202" i="27"/>
  <c r="G202" i="27"/>
  <c r="H202" i="27"/>
  <c r="F203" i="27"/>
  <c r="I203" i="27"/>
  <c r="J203" i="27"/>
  <c r="G203" i="27"/>
  <c r="H203" i="27"/>
  <c r="F204" i="27"/>
  <c r="I204" i="27"/>
  <c r="J204" i="27"/>
  <c r="G204" i="27"/>
  <c r="H204" i="27"/>
  <c r="F205" i="27"/>
  <c r="I205" i="27"/>
  <c r="J205" i="27"/>
  <c r="G205" i="27"/>
  <c r="H205" i="27"/>
  <c r="F206" i="27"/>
  <c r="I206" i="27"/>
  <c r="J206" i="27"/>
  <c r="G206" i="27"/>
  <c r="H206" i="27"/>
  <c r="F207" i="27"/>
  <c r="I207" i="27"/>
  <c r="J207" i="27"/>
  <c r="G207" i="27"/>
  <c r="H207" i="27"/>
  <c r="F208" i="27"/>
  <c r="I208" i="27"/>
  <c r="J208" i="27"/>
  <c r="G208" i="27"/>
  <c r="H208" i="27"/>
  <c r="F209" i="27"/>
  <c r="I209" i="27"/>
  <c r="J209" i="27"/>
  <c r="G209" i="27"/>
  <c r="H209" i="27"/>
  <c r="F210" i="27"/>
  <c r="I210" i="27"/>
  <c r="J210" i="27"/>
  <c r="G210" i="27"/>
  <c r="H210" i="27"/>
  <c r="F211" i="27"/>
  <c r="I211" i="27"/>
  <c r="J211" i="27"/>
  <c r="G211" i="27"/>
  <c r="H211" i="27"/>
  <c r="F212" i="27"/>
  <c r="I212" i="27"/>
  <c r="J212" i="27"/>
  <c r="G212" i="27"/>
  <c r="H212" i="27"/>
  <c r="F213" i="27"/>
  <c r="I213" i="27"/>
  <c r="J213" i="27"/>
  <c r="G213" i="27"/>
  <c r="H213" i="27"/>
  <c r="F214" i="27"/>
  <c r="I214" i="27"/>
  <c r="J214" i="27"/>
  <c r="G214" i="27"/>
  <c r="H214" i="27"/>
  <c r="F215" i="27"/>
  <c r="I215" i="27"/>
  <c r="J215" i="27"/>
  <c r="G215" i="27"/>
  <c r="H215" i="27"/>
  <c r="F216" i="27"/>
  <c r="I216" i="27"/>
  <c r="J216" i="27"/>
  <c r="G216" i="27"/>
  <c r="H216" i="27"/>
  <c r="F217" i="27"/>
  <c r="I217" i="27"/>
  <c r="J217" i="27"/>
  <c r="G217" i="27"/>
  <c r="H217" i="27"/>
  <c r="F218" i="27"/>
  <c r="I218" i="27"/>
  <c r="J218" i="27"/>
  <c r="G218" i="27"/>
  <c r="H218" i="27"/>
  <c r="F219" i="27"/>
  <c r="I219" i="27"/>
  <c r="J219" i="27"/>
  <c r="G219" i="27"/>
  <c r="H219" i="27"/>
  <c r="F220" i="27"/>
  <c r="I220" i="27"/>
  <c r="J220" i="27"/>
  <c r="G220" i="27"/>
  <c r="H220" i="27"/>
  <c r="F221" i="27"/>
  <c r="I221" i="27"/>
  <c r="J221" i="27"/>
  <c r="G221" i="27"/>
  <c r="H221" i="27"/>
  <c r="F222" i="27"/>
  <c r="I222" i="27"/>
  <c r="J222" i="27"/>
  <c r="G222" i="27"/>
  <c r="H222" i="27"/>
  <c r="F223" i="27"/>
  <c r="I223" i="27"/>
  <c r="J223" i="27"/>
  <c r="G223" i="27"/>
  <c r="H223" i="27"/>
  <c r="F224" i="27"/>
  <c r="I224" i="27"/>
  <c r="J224" i="27"/>
  <c r="G224" i="27"/>
  <c r="H224" i="27"/>
  <c r="F225" i="27"/>
  <c r="I225" i="27"/>
  <c r="J225" i="27"/>
  <c r="G225" i="27"/>
  <c r="H225" i="27"/>
  <c r="F226" i="27"/>
  <c r="I226" i="27"/>
  <c r="J226" i="27"/>
  <c r="G226" i="27"/>
  <c r="H226" i="27"/>
  <c r="F227" i="27"/>
  <c r="I227" i="27"/>
  <c r="J227" i="27"/>
  <c r="G227" i="27"/>
  <c r="H227" i="27"/>
  <c r="F228" i="27"/>
  <c r="I228" i="27"/>
  <c r="J228" i="27"/>
  <c r="G228" i="27"/>
  <c r="H228" i="27"/>
  <c r="F229" i="27"/>
  <c r="I229" i="27"/>
  <c r="J229" i="27"/>
  <c r="G229" i="27"/>
  <c r="H229" i="27"/>
  <c r="F230" i="27"/>
  <c r="I230" i="27"/>
  <c r="J230" i="27"/>
  <c r="G230" i="27"/>
  <c r="H230" i="27"/>
  <c r="F231" i="27"/>
  <c r="I231" i="27"/>
  <c r="J231" i="27"/>
  <c r="G231" i="27"/>
  <c r="H231" i="27"/>
  <c r="F232" i="27"/>
  <c r="I232" i="27"/>
  <c r="J232" i="27"/>
  <c r="G232" i="27"/>
  <c r="H232" i="27"/>
  <c r="F233" i="27"/>
  <c r="I233" i="27"/>
  <c r="J233" i="27"/>
  <c r="G233" i="27"/>
  <c r="H233" i="27"/>
  <c r="F234" i="27"/>
  <c r="I234" i="27"/>
  <c r="J234" i="27"/>
  <c r="G234" i="27"/>
  <c r="H234" i="27"/>
  <c r="F235" i="27"/>
  <c r="I235" i="27"/>
  <c r="J235" i="27"/>
  <c r="G235" i="27"/>
  <c r="H235" i="27"/>
  <c r="F236" i="27"/>
  <c r="I236" i="27"/>
  <c r="J236" i="27"/>
  <c r="G236" i="27"/>
  <c r="H236" i="27"/>
  <c r="F237" i="27"/>
  <c r="I237" i="27"/>
  <c r="J237" i="27"/>
  <c r="G237" i="27"/>
  <c r="H237" i="27"/>
  <c r="F238" i="27"/>
  <c r="I238" i="27"/>
  <c r="J238" i="27"/>
  <c r="G238" i="27"/>
  <c r="H238" i="27"/>
  <c r="F239" i="27"/>
  <c r="I239" i="27"/>
  <c r="J239" i="27"/>
  <c r="G239" i="27"/>
  <c r="H239" i="27"/>
  <c r="F240" i="27"/>
  <c r="I240" i="27"/>
  <c r="J240" i="27"/>
  <c r="G240" i="27"/>
  <c r="H240" i="27"/>
  <c r="F241" i="27"/>
  <c r="I241" i="27"/>
  <c r="J241" i="27"/>
  <c r="G241" i="27"/>
  <c r="H241" i="27"/>
  <c r="F242" i="27"/>
  <c r="I242" i="27"/>
  <c r="J242" i="27"/>
  <c r="G242" i="27"/>
  <c r="H242" i="27"/>
  <c r="H2" i="27"/>
  <c r="I2" i="27"/>
  <c r="J2" i="27"/>
  <c r="G2" i="27"/>
  <c r="I2" i="25"/>
  <c r="J2" i="25"/>
  <c r="G2" i="25"/>
  <c r="J28" i="11"/>
  <c r="E5" i="9"/>
  <c r="D5" i="9"/>
  <c r="O4" i="9"/>
  <c r="N4" i="9"/>
  <c r="M4" i="9"/>
  <c r="L4" i="9"/>
  <c r="K4" i="9"/>
  <c r="J4" i="9"/>
  <c r="I4" i="9"/>
  <c r="H4" i="9"/>
  <c r="G4" i="9"/>
  <c r="E4" i="9"/>
  <c r="D4" i="9"/>
  <c r="A4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9" i="22"/>
  <c r="C19" i="22"/>
  <c r="B19" i="22"/>
  <c r="G18" i="22"/>
  <c r="C18" i="22"/>
  <c r="B18" i="22"/>
  <c r="G17" i="22"/>
  <c r="C17" i="22"/>
  <c r="B17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B5" i="22"/>
  <c r="C5" i="22"/>
  <c r="G5" i="22"/>
  <c r="B6" i="22"/>
  <c r="C6" i="22"/>
  <c r="G6" i="22"/>
  <c r="B3" i="22"/>
  <c r="C3" i="22"/>
  <c r="G3" i="22"/>
  <c r="B4" i="22"/>
  <c r="C4" i="22"/>
  <c r="G4" i="22"/>
  <c r="G2" i="22"/>
  <c r="AB8" i="1"/>
  <c r="AD8" i="1"/>
  <c r="AG8" i="1"/>
  <c r="AE8" i="1"/>
  <c r="AC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J7" i="1"/>
  <c r="I7" i="1"/>
  <c r="D7" i="1"/>
  <c r="F7" i="1"/>
  <c r="E7" i="1"/>
  <c r="A7" i="1"/>
  <c r="AB5" i="1"/>
  <c r="AD5" i="1"/>
  <c r="AG5" i="1"/>
  <c r="AE5" i="1"/>
  <c r="AC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J4" i="1"/>
  <c r="I4" i="1"/>
  <c r="D4" i="1"/>
  <c r="F4" i="1"/>
  <c r="E4" i="1"/>
  <c r="A4" i="1"/>
  <c r="AB3" i="1"/>
  <c r="AD3" i="1"/>
  <c r="AG3" i="1"/>
  <c r="AE3" i="1"/>
  <c r="AC3" i="1"/>
  <c r="Q3" i="1"/>
  <c r="P3" i="1"/>
  <c r="O3" i="1"/>
  <c r="N3" i="1"/>
  <c r="M3" i="1"/>
  <c r="J3" i="1"/>
  <c r="I3" i="1"/>
  <c r="D3" i="1"/>
  <c r="F3" i="1"/>
  <c r="E3" i="1"/>
  <c r="A3" i="1"/>
  <c r="AB18" i="1"/>
  <c r="AD18" i="1"/>
  <c r="AG18" i="1"/>
  <c r="AE18" i="1"/>
  <c r="AC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Q17" i="1"/>
  <c r="P17" i="1"/>
  <c r="O17" i="1"/>
  <c r="N17" i="1"/>
  <c r="M17" i="1"/>
  <c r="J17" i="1"/>
  <c r="I17" i="1"/>
  <c r="D17" i="1"/>
  <c r="F17" i="1"/>
  <c r="E17" i="1"/>
  <c r="A17" i="1"/>
  <c r="AB14" i="1"/>
  <c r="AD14" i="1"/>
  <c r="AG14" i="1"/>
  <c r="AE14" i="1"/>
  <c r="AC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Q12" i="1"/>
  <c r="P12" i="1"/>
  <c r="O12" i="1"/>
  <c r="N12" i="1"/>
  <c r="M12" i="1"/>
  <c r="J12" i="1"/>
  <c r="I12" i="1"/>
  <c r="D12" i="1"/>
  <c r="F12" i="1"/>
  <c r="E12" i="1"/>
  <c r="A12" i="1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6" i="11"/>
  <c r="J5" i="11"/>
  <c r="M6" i="10"/>
  <c r="T6" i="10"/>
  <c r="W6" i="10"/>
  <c r="V6" i="10"/>
  <c r="X6" i="10"/>
  <c r="U6" i="10"/>
  <c r="Y6" i="10"/>
  <c r="M15" i="10"/>
  <c r="N15" i="10"/>
  <c r="Q15" i="10"/>
  <c r="P15" i="10"/>
  <c r="R15" i="10"/>
  <c r="O15" i="10"/>
  <c r="S15" i="10"/>
  <c r="N6" i="10"/>
  <c r="Q6" i="10"/>
  <c r="P6" i="10"/>
  <c r="R6" i="10"/>
  <c r="O6" i="10"/>
  <c r="S6" i="10"/>
  <c r="G6" i="10"/>
  <c r="J6" i="10"/>
  <c r="I6" i="10"/>
  <c r="K6" i="10"/>
  <c r="H6" i="10"/>
  <c r="L6" i="10"/>
  <c r="D26" i="9"/>
  <c r="O23" i="9"/>
  <c r="N23" i="9"/>
  <c r="M23" i="9"/>
  <c r="L23" i="9"/>
  <c r="K23" i="9"/>
  <c r="J23" i="9"/>
  <c r="I23" i="9"/>
  <c r="H23" i="9"/>
  <c r="G23" i="9"/>
  <c r="E23" i="9"/>
  <c r="D23" i="9"/>
  <c r="A23" i="9"/>
  <c r="J24" i="11"/>
  <c r="J20" i="11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21" i="11"/>
  <c r="J26" i="11"/>
  <c r="J25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4" i="11"/>
  <c r="J3" i="11"/>
  <c r="AB24" i="1"/>
  <c r="AD24" i="1"/>
  <c r="AG24" i="1"/>
  <c r="AE24" i="1"/>
  <c r="AC24" i="1"/>
  <c r="Q24" i="1"/>
  <c r="P24" i="1"/>
  <c r="O24" i="1"/>
  <c r="N24" i="1"/>
  <c r="M24" i="1"/>
  <c r="J24" i="1"/>
  <c r="I24" i="1"/>
  <c r="D24" i="1"/>
  <c r="F24" i="1"/>
  <c r="E24" i="1"/>
  <c r="A24" i="1"/>
  <c r="AB27" i="1"/>
  <c r="AD27" i="1"/>
  <c r="AG27" i="1"/>
  <c r="AE27" i="1"/>
  <c r="AC27" i="1"/>
  <c r="Q27" i="1"/>
  <c r="P27" i="1"/>
  <c r="O27" i="1"/>
  <c r="N27" i="1"/>
  <c r="M27" i="1"/>
  <c r="J27" i="1"/>
  <c r="I27" i="1"/>
  <c r="D27" i="1"/>
  <c r="F27" i="1"/>
  <c r="E27" i="1"/>
  <c r="A27" i="1"/>
  <c r="AB28" i="1"/>
  <c r="AD28" i="1"/>
  <c r="AG28" i="1"/>
  <c r="AE28" i="1"/>
  <c r="AC28" i="1"/>
  <c r="Q28" i="1"/>
  <c r="P28" i="1"/>
  <c r="O28" i="1"/>
  <c r="N28" i="1"/>
  <c r="M28" i="1"/>
  <c r="J28" i="1"/>
  <c r="I28" i="1"/>
  <c r="D28" i="1"/>
  <c r="F28" i="1"/>
  <c r="E28" i="1"/>
  <c r="A28" i="1"/>
  <c r="AB22" i="1"/>
  <c r="AD22" i="1"/>
  <c r="AG22" i="1"/>
  <c r="AE22" i="1"/>
  <c r="AC22" i="1"/>
  <c r="Q22" i="1"/>
  <c r="P22" i="1"/>
  <c r="O22" i="1"/>
  <c r="N22" i="1"/>
  <c r="M22" i="1"/>
  <c r="J22" i="1"/>
  <c r="I22" i="1"/>
  <c r="D22" i="1"/>
  <c r="F22" i="1"/>
  <c r="E22" i="1"/>
  <c r="A22" i="1"/>
  <c r="AB25" i="1"/>
  <c r="AD25" i="1"/>
  <c r="AG25" i="1"/>
  <c r="AE25" i="1"/>
  <c r="AC25" i="1"/>
  <c r="Q25" i="1"/>
  <c r="P25" i="1"/>
  <c r="O25" i="1"/>
  <c r="N25" i="1"/>
  <c r="M25" i="1"/>
  <c r="J25" i="1"/>
  <c r="I25" i="1"/>
  <c r="D25" i="1"/>
  <c r="F25" i="1"/>
  <c r="E25" i="1"/>
  <c r="A25" i="1"/>
  <c r="J2" i="11"/>
  <c r="O26" i="9"/>
  <c r="N26" i="9"/>
  <c r="M26" i="9"/>
  <c r="L26" i="9"/>
  <c r="K26" i="9"/>
  <c r="J26" i="9"/>
  <c r="I26" i="9"/>
  <c r="H26" i="9"/>
  <c r="G26" i="9"/>
  <c r="E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5" i="9"/>
  <c r="N5" i="9"/>
  <c r="M5" i="9"/>
  <c r="L5" i="9"/>
  <c r="K5" i="9"/>
  <c r="J5" i="9"/>
  <c r="I5" i="9"/>
  <c r="H5" i="9"/>
  <c r="G5" i="9"/>
  <c r="A5" i="9"/>
  <c r="O3" i="9"/>
  <c r="N3" i="9"/>
  <c r="M3" i="9"/>
  <c r="L3" i="9"/>
  <c r="K3" i="9"/>
  <c r="J3" i="9"/>
  <c r="I3" i="9"/>
  <c r="H3" i="9"/>
  <c r="G3" i="9"/>
  <c r="E3" i="9"/>
  <c r="D3" i="9"/>
  <c r="A3" i="9"/>
  <c r="T15" i="10"/>
  <c r="W15" i="10"/>
  <c r="V15" i="10"/>
  <c r="X15" i="10"/>
  <c r="U15" i="10"/>
  <c r="Y15" i="10"/>
  <c r="G15" i="10"/>
  <c r="J15" i="10"/>
  <c r="I15" i="10"/>
  <c r="K15" i="10"/>
  <c r="H15" i="10"/>
  <c r="L15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9" i="2"/>
  <c r="E9" i="2"/>
  <c r="D9" i="2"/>
  <c r="B9" i="2"/>
  <c r="H8" i="2"/>
  <c r="E8" i="2"/>
  <c r="D8" i="2"/>
  <c r="B8" i="2"/>
  <c r="H7" i="2"/>
  <c r="E7" i="2"/>
  <c r="D7" i="2"/>
  <c r="B7" i="2"/>
  <c r="H5" i="2"/>
  <c r="E5" i="2"/>
  <c r="D5" i="2"/>
  <c r="B5" i="2"/>
  <c r="H4" i="2"/>
  <c r="E4" i="2"/>
  <c r="D4" i="2"/>
  <c r="B4" i="2"/>
  <c r="H3" i="2"/>
  <c r="E3" i="2"/>
  <c r="D3" i="2"/>
  <c r="B3" i="2"/>
  <c r="I6" i="1"/>
  <c r="A29" i="1"/>
  <c r="D29" i="1"/>
  <c r="E29" i="1"/>
  <c r="F29" i="1"/>
  <c r="I29" i="1"/>
  <c r="J29" i="1"/>
  <c r="M29" i="1"/>
  <c r="N29" i="1"/>
  <c r="O29" i="1"/>
  <c r="P29" i="1"/>
  <c r="Q29" i="1"/>
  <c r="AB29" i="1"/>
  <c r="AC29" i="1"/>
  <c r="AD29" i="1"/>
  <c r="AE29" i="1"/>
  <c r="AG29" i="1"/>
  <c r="E4" i="24"/>
  <c r="F4" i="24"/>
  <c r="C4" i="24"/>
  <c r="B4" i="24"/>
  <c r="E3" i="24"/>
  <c r="F3" i="24"/>
  <c r="C3" i="24"/>
  <c r="B3" i="24"/>
  <c r="R6" i="7"/>
  <c r="Q6" i="7"/>
  <c r="P6" i="7"/>
  <c r="O6" i="7"/>
  <c r="N6" i="7"/>
  <c r="H6" i="7"/>
  <c r="J6" i="7"/>
  <c r="I6" i="7"/>
  <c r="D6" i="7"/>
  <c r="F6" i="7"/>
  <c r="E6" i="7"/>
  <c r="A6" i="7"/>
  <c r="R5" i="7"/>
  <c r="Q5" i="7"/>
  <c r="P5" i="7"/>
  <c r="O5" i="7"/>
  <c r="N5" i="7"/>
  <c r="H5" i="7"/>
  <c r="J5" i="7"/>
  <c r="I5" i="7"/>
  <c r="D5" i="7"/>
  <c r="F5" i="7"/>
  <c r="E5" i="7"/>
  <c r="A5" i="7"/>
  <c r="R4" i="7"/>
  <c r="Q4" i="7"/>
  <c r="P4" i="7"/>
  <c r="O4" i="7"/>
  <c r="N4" i="7"/>
  <c r="H4" i="7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B30" i="1"/>
  <c r="AD30" i="1"/>
  <c r="AG30" i="1"/>
  <c r="AE30" i="1"/>
  <c r="AC30" i="1"/>
  <c r="Q30" i="1"/>
  <c r="P30" i="1"/>
  <c r="O30" i="1"/>
  <c r="N30" i="1"/>
  <c r="M30" i="1"/>
  <c r="J30" i="1"/>
  <c r="I30" i="1"/>
  <c r="D30" i="1"/>
  <c r="F30" i="1"/>
  <c r="E30" i="1"/>
  <c r="A30" i="1"/>
  <c r="AB20" i="1"/>
  <c r="AD20" i="1"/>
  <c r="AG20" i="1"/>
  <c r="AE20" i="1"/>
  <c r="AC20" i="1"/>
  <c r="Q20" i="1"/>
  <c r="P20" i="1"/>
  <c r="O20" i="1"/>
  <c r="N20" i="1"/>
  <c r="M20" i="1"/>
  <c r="J20" i="1"/>
  <c r="I20" i="1"/>
  <c r="D20" i="1"/>
  <c r="F20" i="1"/>
  <c r="E20" i="1"/>
  <c r="A20" i="1"/>
  <c r="AB10" i="1"/>
  <c r="AD10" i="1"/>
  <c r="AG10" i="1"/>
  <c r="AE10" i="1"/>
  <c r="AC10" i="1"/>
  <c r="Q10" i="1"/>
  <c r="P10" i="1"/>
  <c r="O10" i="1"/>
  <c r="N10" i="1"/>
  <c r="M10" i="1"/>
  <c r="J10" i="1"/>
  <c r="I10" i="1"/>
  <c r="D10" i="1"/>
  <c r="F10" i="1"/>
  <c r="E10" i="1"/>
  <c r="A10" i="1"/>
  <c r="AB32" i="1"/>
  <c r="AD32" i="1"/>
  <c r="AG32" i="1"/>
  <c r="AE32" i="1"/>
  <c r="AC32" i="1"/>
  <c r="Q32" i="1"/>
  <c r="P32" i="1"/>
  <c r="O32" i="1"/>
  <c r="N32" i="1"/>
  <c r="M32" i="1"/>
  <c r="J32" i="1"/>
  <c r="I32" i="1"/>
  <c r="D32" i="1"/>
  <c r="F32" i="1"/>
  <c r="E32" i="1"/>
  <c r="A32" i="1"/>
  <c r="AB31" i="1"/>
  <c r="AD31" i="1"/>
  <c r="AG31" i="1"/>
  <c r="AE31" i="1"/>
  <c r="AC31" i="1"/>
  <c r="Q31" i="1"/>
  <c r="P31" i="1"/>
  <c r="O31" i="1"/>
  <c r="N31" i="1"/>
  <c r="M31" i="1"/>
  <c r="J31" i="1"/>
  <c r="I31" i="1"/>
  <c r="D31" i="1"/>
  <c r="F31" i="1"/>
  <c r="E31" i="1"/>
  <c r="A31" i="1"/>
  <c r="AB26" i="1"/>
  <c r="AD26" i="1"/>
  <c r="AG26" i="1"/>
  <c r="AE26" i="1"/>
  <c r="AC26" i="1"/>
  <c r="E2" i="9"/>
  <c r="Q26" i="1"/>
  <c r="P26" i="1"/>
  <c r="O26" i="1"/>
  <c r="N26" i="1"/>
  <c r="M26" i="1"/>
  <c r="J26" i="1"/>
  <c r="I26" i="1"/>
  <c r="D26" i="1"/>
  <c r="F26" i="1"/>
  <c r="E26" i="1"/>
  <c r="A26" i="1"/>
  <c r="AB23" i="1"/>
  <c r="AD23" i="1"/>
  <c r="AG23" i="1"/>
  <c r="AE23" i="1"/>
  <c r="AC23" i="1"/>
  <c r="Q23" i="1"/>
  <c r="P23" i="1"/>
  <c r="O23" i="1"/>
  <c r="N23" i="1"/>
  <c r="M23" i="1"/>
  <c r="J23" i="1"/>
  <c r="I23" i="1"/>
  <c r="D23" i="1"/>
  <c r="F23" i="1"/>
  <c r="E23" i="1"/>
  <c r="A23" i="1"/>
  <c r="AB21" i="1"/>
  <c r="AD21" i="1"/>
  <c r="AG21" i="1"/>
  <c r="AE21" i="1"/>
  <c r="AC21" i="1"/>
  <c r="AA21" i="1"/>
  <c r="Q21" i="1"/>
  <c r="P21" i="1"/>
  <c r="O21" i="1"/>
  <c r="N21" i="1"/>
  <c r="M21" i="1"/>
  <c r="J21" i="1"/>
  <c r="I21" i="1"/>
  <c r="D21" i="1"/>
  <c r="F21" i="1"/>
  <c r="E21" i="1"/>
  <c r="A21" i="1"/>
  <c r="AB19" i="1"/>
  <c r="AD19" i="1"/>
  <c r="AG19" i="1"/>
  <c r="AE19" i="1"/>
  <c r="AC19" i="1"/>
  <c r="Q19" i="1"/>
  <c r="P19" i="1"/>
  <c r="O19" i="1"/>
  <c r="N19" i="1"/>
  <c r="M19" i="1"/>
  <c r="J19" i="1"/>
  <c r="I19" i="1"/>
  <c r="D19" i="1"/>
  <c r="F19" i="1"/>
  <c r="E19" i="1"/>
  <c r="A19" i="1"/>
  <c r="AB16" i="1"/>
  <c r="AD16" i="1"/>
  <c r="AG16" i="1"/>
  <c r="AE16" i="1"/>
  <c r="AC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Q15" i="1"/>
  <c r="P15" i="1"/>
  <c r="O15" i="1"/>
  <c r="N15" i="1"/>
  <c r="M15" i="1"/>
  <c r="J15" i="1"/>
  <c r="I15" i="1"/>
  <c r="D15" i="1"/>
  <c r="F15" i="1"/>
  <c r="E15" i="1"/>
  <c r="A15" i="1"/>
  <c r="AB11" i="1"/>
  <c r="AD11" i="1"/>
  <c r="AG11" i="1"/>
  <c r="AE11" i="1"/>
  <c r="AC11" i="1"/>
  <c r="AA11" i="1"/>
  <c r="Q11" i="1"/>
  <c r="P11" i="1"/>
  <c r="O11" i="1"/>
  <c r="N11" i="1"/>
  <c r="M11" i="1"/>
  <c r="J11" i="1"/>
  <c r="I11" i="1"/>
  <c r="D11" i="1"/>
  <c r="F11" i="1"/>
  <c r="E11" i="1"/>
  <c r="A11" i="1"/>
  <c r="AB9" i="1"/>
  <c r="AD9" i="1"/>
  <c r="AG9" i="1"/>
  <c r="AE9" i="1"/>
  <c r="AC9" i="1"/>
  <c r="Q9" i="1"/>
  <c r="P9" i="1"/>
  <c r="O9" i="1"/>
  <c r="N9" i="1"/>
  <c r="M9" i="1"/>
  <c r="J9" i="1"/>
  <c r="I9" i="1"/>
  <c r="D9" i="1"/>
  <c r="F9" i="1"/>
  <c r="E9" i="1"/>
  <c r="A9" i="1"/>
  <c r="H10" i="2"/>
  <c r="E10" i="2"/>
  <c r="D10" i="2"/>
  <c r="B10" i="2"/>
  <c r="H6" i="2"/>
  <c r="E6" i="2"/>
  <c r="D6" i="2"/>
  <c r="B6" i="2"/>
  <c r="E8" i="16"/>
  <c r="E9" i="16"/>
  <c r="E5" i="16"/>
  <c r="E6" i="16"/>
  <c r="E7" i="16"/>
  <c r="E4" i="16"/>
  <c r="E2" i="24"/>
  <c r="B2" i="24"/>
  <c r="D2" i="2"/>
  <c r="F2" i="24"/>
  <c r="C2" i="24"/>
  <c r="E2" i="2"/>
  <c r="E23" i="16"/>
  <c r="E22" i="16"/>
  <c r="E20" i="16"/>
  <c r="E21" i="16"/>
  <c r="C2" i="22"/>
  <c r="B2" i="22"/>
  <c r="E3" i="16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B49" i="19"/>
  <c r="C49" i="19"/>
  <c r="D49" i="19"/>
  <c r="F49" i="19"/>
  <c r="G49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34" i="19"/>
  <c r="C34" i="19"/>
  <c r="D34" i="19"/>
  <c r="F34" i="19"/>
  <c r="G34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E19" i="16"/>
  <c r="E18" i="16"/>
  <c r="E17" i="16"/>
  <c r="O2" i="9"/>
  <c r="N2" i="9"/>
  <c r="M2" i="9"/>
  <c r="L2" i="9"/>
  <c r="K2" i="9"/>
  <c r="J2" i="9"/>
  <c r="I2" i="9"/>
  <c r="H2" i="9"/>
  <c r="G2" i="9"/>
  <c r="D2" i="9"/>
  <c r="E16" i="16"/>
  <c r="R2" i="7"/>
  <c r="Q2" i="7"/>
  <c r="P2" i="7"/>
  <c r="O2" i="7"/>
  <c r="N2" i="7"/>
  <c r="AB6" i="1"/>
  <c r="AE6" i="1"/>
  <c r="AD6" i="1"/>
  <c r="AC6" i="1"/>
  <c r="AB2" i="1"/>
  <c r="AE2" i="1"/>
  <c r="AD2" i="1"/>
  <c r="AC2" i="1"/>
  <c r="Q6" i="1"/>
  <c r="P6" i="1"/>
  <c r="O6" i="1"/>
  <c r="N6" i="1"/>
  <c r="M6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6" i="1"/>
  <c r="A2" i="1"/>
  <c r="AG6" i="1"/>
  <c r="A2" i="9"/>
  <c r="J6" i="1"/>
  <c r="D6" i="1"/>
  <c r="F6" i="1"/>
  <c r="E6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S49" authorId="0">
      <text>
        <r>
          <rPr>
            <b/>
            <sz val="11"/>
            <color indexed="81"/>
            <rFont val="ＭＳ Ｐゴシック"/>
            <charset val="128"/>
          </rPr>
          <t>Microsoft Office ユーザー:</t>
        </r>
        <r>
          <rPr>
            <sz val="11"/>
            <color indexed="81"/>
            <rFont val="ＭＳ Ｐゴシック"/>
            <charset val="128"/>
          </rPr>
          <t xml:space="preserve">
データは1だが見出しは2になっていた
excel上では修正</t>
        </r>
      </text>
    </comment>
  </commentList>
</comments>
</file>

<file path=xl/comments2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3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<sst xmlns="http://schemas.openxmlformats.org/spreadsheetml/2006/main" count="1755" uniqueCount="423">
  <si>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</si>
  <si>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</si>
  <si>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</si>
  <si>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</si>
  <si>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</si>
  <si>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</si>
  <si>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</si>
  <si>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</si>
  <si>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</si>
  <si>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</si>
  <si>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</si>
  <si>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</si>
  <si>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</si>
  <si>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</si>
  <si>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</si>
  <si>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</si>
  <si>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</si>
  <si>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</si>
  <si>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</si>
  <si>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</si>
  <si>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</si>
  <si>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</si>
  <si>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</si>
  <si>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</si>
  <si>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</si>
  <si>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</si>
  <si>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</si>
  <si>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</si>
  <si>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</si>
  <si>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</si>
  <si>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</si>
  <si>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</si>
  <si>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</si>
  <si>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</si>
  <si>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</si>
  <si>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</si>
  <si>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</si>
  <si>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</si>
  <si>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</si>
  <si>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</si>
  <si>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</si>
  <si>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</si>
  <si>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</si>
  <si>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</si>
  <si>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</si>
  <si>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</si>
  <si>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</si>
  <si>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</si>
  <si>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</si>
  <si>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</si>
  <si>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</si>
  <si>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</si>
  <si>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</si>
  <si>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</si>
  <si>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</si>
  <si>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</si>
  <si>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</si>
  <si>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</si>
  <si>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</si>
  <si>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</si>
  <si>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</si>
  <si>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</si>
  <si>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</si>
  <si>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</si>
  <si>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</si>
  <si>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</si>
  <si>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</si>
  <si>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</si>
  <si>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</si>
  <si>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</si>
  <si>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</si>
  <si>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</si>
  <si>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</si>
  <si>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</si>
  <si>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</si>
  <si>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</si>
  <si>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</si>
  <si>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</si>
  <si>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</si>
  <si>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</si>
  <si>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</si>
  <si>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</si>
  <si>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</si>
  <si>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</si>
  <si>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</si>
  <si>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</si>
  <si>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</si>
  <si>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</si>
  <si>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</si>
  <si>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</si>
  <si>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</si>
  <si>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</si>
  <si>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</si>
  <si>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</si>
  <si>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</si>
  <si>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</si>
  <si>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</si>
  <si>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</si>
  <si>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</si>
  <si>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</si>
  <si>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</si>
  <si>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</si>
  <si>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</si>
  <si>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</si>
  <si>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</si>
  <si>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</si>
  <si>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</si>
  <si>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</si>
  <si>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</si>
  <si>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</si>
  <si>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</si>
  <si>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</si>
  <si>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</si>
  <si>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</si>
  <si>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</si>
  <si>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</si>
  <si>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</si>
  <si>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</si>
  <si>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</si>
  <si>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</si>
  <si>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</si>
  <si>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</si>
  <si>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</si>
  <si>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</si>
  <si>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</si>
  <si>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</si>
  <si>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</si>
  <si>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</si>
  <si>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</si>
  <si>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</si>
  <si>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</si>
  <si>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</si>
  <si>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</si>
  <si>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</si>
  <si>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</si>
  <si>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</si>
  <si>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</si>
  <si>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</si>
  <si>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</si>
  <si>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</si>
  <si>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</si>
  <si>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</si>
  <si>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</si>
  <si>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</si>
  <si>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</si>
  <si>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</si>
  <si>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</si>
  <si>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</si>
  <si>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</si>
  <si>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</si>
  <si>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</si>
  <si>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</si>
  <si>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</si>
  <si>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</si>
  <si>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</si>
  <si>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</si>
  <si>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</si>
  <si>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</si>
  <si>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</si>
  <si>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</si>
  <si>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</si>
  <si>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</si>
  <si>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</si>
  <si>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</si>
  <si>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</si>
  <si>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</si>
  <si>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</si>
  <si>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</si>
  <si>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</si>
  <si>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</si>
  <si>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</si>
  <si>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</si>
  <si>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</si>
  <si>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</si>
  <si>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</si>
  <si>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</si>
  <si>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</si>
  <si>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</si>
  <si>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</si>
  <si>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</si>
  <si>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</si>
  <si>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</si>
  <si>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</si>
  <si>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</si>
  <si>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</si>
  <si>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</si>
  <si>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</si>
  <si>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</si>
  <si>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</si>
  <si>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</si>
  <si>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</si>
  <si>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</si>
  <si>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</si>
  <si>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</si>
  <si>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ja</t>
    <phoneticPr fontId="6"/>
  </si>
  <si>
    <t>complete</t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</si>
  <si>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</si>
  <si>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</si>
  <si>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</si>
  <si>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</si>
  <si>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</si>
  <si>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</si>
  <si>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</si>
  <si>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</si>
  <si>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</si>
  <si>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NULL</t>
    <phoneticPr fontId="6"/>
  </si>
  <si>
    <t>stage_hints_failure</t>
    <phoneticPr fontId="6"/>
  </si>
  <si>
    <t>stage_hints_failure</t>
    <phoneticPr fontId="6"/>
  </si>
  <si>
    <t>param_code_damage_givn</t>
    <phoneticPr fontId="6"/>
  </si>
  <si>
    <t>param_code_damage_received</t>
    <phoneticPr fontId="6"/>
  </si>
  <si>
    <t>param_code_clear_turn</t>
    <phoneticPr fontId="6"/>
  </si>
  <si>
    <t>upper_ranking</t>
    <phoneticPr fontId="6"/>
  </si>
  <si>
    <t>lower_ranking</t>
    <phoneticPr fontId="6"/>
  </si>
  <si>
    <t>gift_id</t>
    <phoneticPr fontId="6"/>
  </si>
  <si>
    <t>gift_type</t>
    <phoneticPr fontId="8"/>
  </si>
  <si>
    <t>gift_value</t>
    <phoneticPr fontId="8"/>
  </si>
  <si>
    <t>gift_count</t>
    <phoneticPr fontId="8"/>
  </si>
  <si>
    <t>language</t>
    <phoneticPr fontId="8"/>
  </si>
  <si>
    <t>title</t>
    <phoneticPr fontId="8"/>
  </si>
  <si>
    <t>detail</t>
    <phoneticPr fontId="8"/>
  </si>
  <si>
    <t>message</t>
    <phoneticPr fontId="8"/>
  </si>
  <si>
    <t>temp_gift_id</t>
    <phoneticPr fontId="6"/>
  </si>
  <si>
    <t>ja</t>
    <phoneticPr fontId="8"/>
  </si>
  <si>
    <t>ranking_ACH_</t>
    <phoneticPr fontId="6"/>
  </si>
  <si>
    <t>ranking_ACH</t>
    <phoneticPr fontId="6"/>
  </si>
  <si>
    <t>quest_id</t>
    <phoneticPr fontId="6"/>
  </si>
  <si>
    <t>upper_ranking</t>
    <phoneticPr fontId="6"/>
  </si>
  <si>
    <t>lower_ranking</t>
    <phoneticPr fontId="6"/>
  </si>
  <si>
    <t>gift_id</t>
    <phoneticPr fontId="6"/>
  </si>
  <si>
    <t>gifts_tmp_</t>
    <phoneticPr fontId="8"/>
  </si>
  <si>
    <t>gift_id</t>
    <phoneticPr fontId="8"/>
  </si>
  <si>
    <t>gifts_i18n_</t>
    <phoneticPr fontId="8"/>
  </si>
  <si>
    <t>title</t>
    <phoneticPr fontId="8"/>
  </si>
  <si>
    <t>detail</t>
    <phoneticPr fontId="8"/>
  </si>
  <si>
    <t>ranking_floors_</t>
    <phoneticPr fontId="6"/>
  </si>
  <si>
    <t>ranking_stages_</t>
    <phoneticPr fontId="6"/>
  </si>
  <si>
    <t>clear_bonus</t>
    <phoneticPr fontId="6"/>
  </si>
  <si>
    <t>ranking_stages</t>
    <phoneticPr fontId="6"/>
  </si>
  <si>
    <t>param_code</t>
    <phoneticPr fontId="6"/>
  </si>
  <si>
    <t>x</t>
    <phoneticPr fontId="6"/>
  </si>
  <si>
    <t>a</t>
    <phoneticPr fontId="6"/>
  </si>
  <si>
    <t>b</t>
    <phoneticPr fontId="6"/>
  </si>
  <si>
    <t>clear_turn_</t>
    <phoneticPr fontId="6"/>
  </si>
  <si>
    <t>damage_give_</t>
    <phoneticPr fontId="6"/>
  </si>
  <si>
    <t>damage_receive</t>
    <phoneticPr fontId="6"/>
  </si>
  <si>
    <t>damage_receive_</t>
    <phoneticPr fontId="6"/>
  </si>
  <si>
    <t>clear_turn</t>
    <phoneticPr fontId="6"/>
  </si>
  <si>
    <t>damege_give</t>
    <phoneticPr fontId="6"/>
  </si>
  <si>
    <t>evaluation_id</t>
    <phoneticPr fontId="6"/>
  </si>
  <si>
    <t>quest_id</t>
    <phoneticPr fontId="6"/>
  </si>
  <si>
    <t>stage_id</t>
    <phoneticPr fontId="6"/>
  </si>
  <si>
    <t>score</t>
    <phoneticPr fontId="6"/>
  </si>
  <si>
    <t>language</t>
    <phoneticPr fontId="6"/>
  </si>
  <si>
    <t>evaluation</t>
    <phoneticPr fontId="6"/>
  </si>
  <si>
    <t>animation_file_name</t>
    <phoneticPr fontId="6"/>
  </si>
  <si>
    <t>ranking_eval_data_</t>
    <phoneticPr fontId="6"/>
  </si>
  <si>
    <t>ranking_eval_i18n_</t>
    <phoneticPr fontId="6"/>
  </si>
  <si>
    <t>ranking_eval</t>
  </si>
  <si>
    <t>hp_plus</t>
    <phoneticPr fontId="6"/>
  </si>
  <si>
    <t>attack_plus</t>
    <phoneticPr fontId="6"/>
  </si>
  <si>
    <t>heal_plus</t>
    <phoneticPr fontId="6"/>
  </si>
  <si>
    <t>defense_plus</t>
    <phoneticPr fontId="6"/>
  </si>
  <si>
    <t>level</t>
    <phoneticPr fontId="6"/>
  </si>
  <si>
    <t>skill_level</t>
  </si>
  <si>
    <t>skill_level</t>
    <phoneticPr fontId="6"/>
  </si>
  <si>
    <t>bug</t>
    <phoneticPr fontId="6"/>
  </si>
  <si>
    <t>old</t>
  </si>
  <si>
    <t>自爆</t>
    <rPh sb="0" eb="2">
      <t>ジバク</t>
    </rPh>
    <phoneticPr fontId="6"/>
  </si>
  <si>
    <t>ユウガ</t>
    <phoneticPr fontId="6"/>
  </si>
  <si>
    <t>今にもスパークしそうだ！</t>
    <rPh sb="0" eb="1">
      <t>イマ</t>
    </rPh>
    <phoneticPr fontId="6"/>
  </si>
  <si>
    <t>全体攻撃</t>
    <rPh sb="0" eb="4">
      <t>ゼンタイコウゲキ</t>
    </rPh>
    <phoneticPr fontId="6"/>
  </si>
  <si>
    <t xml:space="preserve">[effect:nothing]    </t>
    <phoneticPr fontId="6"/>
  </si>
  <si>
    <t>5ターン攻撃力UP</t>
    <phoneticPr fontId="6"/>
  </si>
  <si>
    <t xml:space="preserve">[effect:enhance_enemy, target:enemy_all, turn:3, status:defense, val:5000, calc:add, animation:enemy_enhance_defense]    </t>
    <phoneticPr fontId="6"/>
  </si>
  <si>
    <t>3ターン防御力UP</t>
    <rPh sb="4" eb="6">
      <t>ボウギョ</t>
    </rPh>
    <phoneticPr fontId="6"/>
  </si>
  <si>
    <t xml:space="preserve">[effect:freq_turn, target:myself, turn:3, val:2, animation:enemy_freq_turn]    </t>
    <phoneticPr fontId="6"/>
  </si>
  <si>
    <t>5回連続攻撃</t>
    <phoneticPr fontId="6"/>
  </si>
  <si>
    <t>3ターン攻撃頻度が2ターンにUP</t>
    <phoneticPr fontId="6"/>
  </si>
  <si>
    <t xml:space="preserve">[effect:rush, count:1, val:1]    </t>
    <phoneticPr fontId="6"/>
  </si>
  <si>
    <t xml:space="preserve">[effect:rush, count:5, val:0.25]    </t>
    <phoneticPr fontId="6"/>
  </si>
  <si>
    <t>全体攻撃</t>
    <phoneticPr fontId="6"/>
  </si>
  <si>
    <t>ja</t>
    <phoneticPr fontId="8"/>
  </si>
  <si>
    <t>SSS</t>
    <phoneticPr fontId="8"/>
  </si>
  <si>
    <t>View/RankingBattle_Evelution_SSS.ccbi</t>
    <phoneticPr fontId="8"/>
  </si>
  <si>
    <t>SS</t>
    <phoneticPr fontId="8"/>
  </si>
  <si>
    <t>View/RankingBattle_Evelution_SS.ccbi</t>
    <phoneticPr fontId="8"/>
  </si>
  <si>
    <t>S</t>
    <phoneticPr fontId="8"/>
  </si>
  <si>
    <t>View/RankingBattle_Evelution_S.ccbi</t>
    <phoneticPr fontId="8"/>
  </si>
  <si>
    <t>AAA</t>
    <phoneticPr fontId="8"/>
  </si>
  <si>
    <t>View/RankingBattle_Evelution_AAA.ccbi</t>
    <phoneticPr fontId="8"/>
  </si>
  <si>
    <t>AA</t>
    <phoneticPr fontId="8"/>
  </si>
  <si>
    <t>View/RankingBattle_Evelution_AA.ccbi</t>
    <phoneticPr fontId="8"/>
  </si>
  <si>
    <t>A</t>
    <phoneticPr fontId="8"/>
  </si>
  <si>
    <t>View/RankingBattle_Evelution_A.ccbi</t>
    <phoneticPr fontId="8"/>
  </si>
  <si>
    <t>ja</t>
    <phoneticPr fontId="8"/>
  </si>
  <si>
    <t>B</t>
    <phoneticPr fontId="8"/>
  </si>
  <si>
    <t>View/RankingBattle_Evelution_B.ccbi</t>
    <phoneticPr fontId="8"/>
  </si>
  <si>
    <t>C</t>
    <phoneticPr fontId="8"/>
  </si>
  <si>
    <t>View/RankingBattle_Evelution_C.ccbi</t>
    <phoneticPr fontId="8"/>
  </si>
  <si>
    <t>SSS</t>
    <phoneticPr fontId="8"/>
  </si>
  <si>
    <t>View/RankingBattle_Evelution_SSS.ccbi</t>
    <phoneticPr fontId="8"/>
  </si>
  <si>
    <t>SS</t>
    <phoneticPr fontId="8"/>
  </si>
  <si>
    <t>View/RankingBattle_Evelution_SS.ccbi</t>
    <phoneticPr fontId="8"/>
  </si>
  <si>
    <t>View/RankingBattle_Evelution_S.ccbi</t>
    <phoneticPr fontId="8"/>
  </si>
  <si>
    <t>AAA</t>
    <phoneticPr fontId="8"/>
  </si>
  <si>
    <t>View/RankingBattle_Evelution_AAA.ccbi</t>
    <phoneticPr fontId="8"/>
  </si>
  <si>
    <t>AA</t>
    <phoneticPr fontId="8"/>
  </si>
  <si>
    <t>View/RankingBattle_Evelution_AA.ccbi</t>
    <phoneticPr fontId="8"/>
  </si>
  <si>
    <t>null</t>
    <phoneticPr fontId="6"/>
  </si>
  <si>
    <t>null</t>
  </si>
  <si>
    <t>null</t>
    <phoneticPr fontId="6"/>
  </si>
  <si>
    <t xml:space="preserve">[effect:spread, val:0.3]    </t>
    <phoneticPr fontId="6"/>
  </si>
  <si>
    <t>[effect:nothing]</t>
    <phoneticPr fontId="6"/>
  </si>
  <si>
    <t>全体に自爆攻撃！</t>
    <rPh sb="0" eb="2">
      <t>ゼンタイ</t>
    </rPh>
    <phoneticPr fontId="6"/>
  </si>
  <si>
    <t xml:space="preserve">[effect:kamikaze, val:0.4]    </t>
    <phoneticPr fontId="6"/>
  </si>
  <si>
    <t xml:space="preserve">[effect:enhance_enemy, target:enemy_all, turn:5, status:attack, val:0.5, calc:mul, animation:enemy_enhance_attack]    </t>
    <phoneticPr fontId="6"/>
  </si>
  <si>
    <t>[effect:spread, val:0.35]</t>
    <phoneticPr fontId="6"/>
  </si>
  <si>
    <t>[effect:critical, val:1.35]</t>
    <phoneticPr fontId="6"/>
  </si>
  <si>
    <t>ギュイイーン</t>
  </si>
  <si>
    <t>タオス！タオス！</t>
  </si>
  <si>
    <t>リミッターカイジョ！</t>
  </si>
  <si>
    <t>次のターン強力な攻撃</t>
    <rPh sb="0" eb="1">
      <t>ツギ</t>
    </rPh>
    <rPh sb="5" eb="7">
      <t>キョウリョク</t>
    </rPh>
    <rPh sb="8" eb="10">
      <t>コウゲキ</t>
    </rPh>
    <phoneticPr fontId="6"/>
  </si>
  <si>
    <t>強力な攻撃！</t>
  </si>
  <si>
    <t>強力な攻撃！</t>
    <rPh sb="0" eb="2">
      <t>キョウリョク</t>
    </rPh>
    <rPh sb="3" eb="5">
      <t>コウゲキ</t>
    </rPh>
    <phoneticPr fontId="6"/>
  </si>
  <si>
    <t>いくわよ！</t>
    <phoneticPr fontId="6"/>
  </si>
  <si>
    <t>ガガ…ピー！</t>
    <phoneticPr fontId="6"/>
  </si>
  <si>
    <t>これならどうかしら？</t>
    <phoneticPr fontId="6"/>
  </si>
  <si>
    <t>なかなかやるわね…</t>
    <phoneticPr fontId="6"/>
  </si>
  <si>
    <t>見せてあげる！</t>
    <phoneticPr fontId="6"/>
  </si>
  <si>
    <t>ja</t>
    <phoneticPr fontId="6"/>
  </si>
  <si>
    <t>次はこれよ！</t>
    <rPh sb="0" eb="1">
      <t>ツギ</t>
    </rPh>
    <phoneticPr fontId="6"/>
  </si>
  <si>
    <t>これは耐えられるかしら？</t>
    <phoneticPr fontId="6"/>
  </si>
  <si>
    <t>そろそろ限界かしら？</t>
    <phoneticPr fontId="6"/>
  </si>
  <si>
    <t>いい反応ね…</t>
    <rPh sb="2" eb="4">
      <t>ハンノウ</t>
    </rPh>
    <phoneticPr fontId="6"/>
  </si>
  <si>
    <t>何かを試されているようだ</t>
    <phoneticPr fontId="6"/>
  </si>
  <si>
    <t>最終段階に移行しましょう</t>
    <rPh sb="0" eb="4">
      <t>サイシュウダンカイ</t>
    </rPh>
    <rPh sb="5" eb="7">
      <t>イコウ</t>
    </rPh>
    <phoneticPr fontId="6"/>
  </si>
  <si>
    <t>ここまでは想定通りね</t>
    <rPh sb="5" eb="8">
      <t>ソウテイドオ</t>
    </rPh>
    <phoneticPr fontId="6"/>
  </si>
  <si>
    <t>ランキングチケット × 1</t>
    <phoneticPr fontId="8"/>
  </si>
  <si>
    <t>ランキングクエスト報酬</t>
    <rPh sb="9" eb="11">
      <t>ホウシュウ</t>
    </rPh>
    <phoneticPr fontId="8"/>
  </si>
  <si>
    <t>item</t>
    <phoneticPr fontId="8"/>
  </si>
  <si>
    <t>オイラーチャレンジ
順位報酬</t>
    <rPh sb="10" eb="12">
      <t>ジュンイ</t>
    </rPh>
    <rPh sb="12" eb="14">
      <t>ホウシュウ</t>
    </rPh>
    <phoneticPr fontId="8"/>
  </si>
  <si>
    <t>チケットピース × 2</t>
    <phoneticPr fontId="8"/>
  </si>
  <si>
    <t>polygon</t>
    <phoneticPr fontId="8"/>
  </si>
  <si>
    <t>ポリゴン×10</t>
    <phoneticPr fontId="8"/>
  </si>
  <si>
    <t>unit</t>
    <phoneticPr fontId="8"/>
  </si>
  <si>
    <t>unit</t>
    <phoneticPr fontId="8"/>
  </si>
  <si>
    <t>リトルハンプティ×1</t>
    <phoneticPr fontId="8"/>
  </si>
  <si>
    <t>ギガ秘術の果実×1</t>
    <rPh sb="2" eb="4">
      <t>ヒジュツ</t>
    </rPh>
    <rPh sb="5" eb="7">
      <t>カジツ</t>
    </rPh>
    <phoneticPr fontId="8"/>
  </si>
  <si>
    <t>メガ秘術の果実 ×1</t>
    <rPh sb="2" eb="4">
      <t>ヒジュツ</t>
    </rPh>
    <rPh sb="5" eb="7">
      <t>カジツ</t>
    </rPh>
    <phoneticPr fontId="8"/>
  </si>
  <si>
    <t>ポリゴン×5</t>
    <phoneticPr fontId="8"/>
  </si>
  <si>
    <t>item</t>
    <phoneticPr fontId="8"/>
  </si>
  <si>
    <t>マスターキー×3</t>
    <phoneticPr fontId="8"/>
  </si>
  <si>
    <t>チケットピース × 3</t>
    <phoneticPr fontId="8"/>
  </si>
  <si>
    <t>炎のメタルジェントル ×1</t>
    <rPh sb="0" eb="1">
      <t>ホノオ</t>
    </rPh>
    <phoneticPr fontId="8"/>
  </si>
  <si>
    <t>森のメタルジェントル ×1</t>
    <rPh sb="0" eb="1">
      <t>モリノ</t>
    </rPh>
    <phoneticPr fontId="8"/>
  </si>
  <si>
    <t>水のメタルジェントル ×1</t>
    <rPh sb="0" eb="1">
      <t>ミズノ</t>
    </rPh>
    <phoneticPr fontId="8"/>
  </si>
  <si>
    <t>雷のメタルジェントル ×1</t>
    <rPh sb="0" eb="1">
      <t>カミナリ</t>
    </rPh>
    <phoneticPr fontId="8"/>
  </si>
  <si>
    <t>秘術の果実 ×1</t>
    <rPh sb="0" eb="2">
      <t>ヒジュツ</t>
    </rPh>
    <rPh sb="3" eb="5">
      <t>カジツ</t>
    </rPh>
    <phoneticPr fontId="8"/>
  </si>
  <si>
    <t>マスターキー×1</t>
    <phoneticPr fontId="8"/>
  </si>
  <si>
    <t>link</t>
    <phoneticPr fontId="8"/>
  </si>
  <si>
    <t>2000リンク</t>
    <phoneticPr fontId="8"/>
  </si>
  <si>
    <t>チケットピース × 1</t>
    <phoneticPr fontId="8"/>
  </si>
  <si>
    <t>ポリゴン×3</t>
    <phoneticPr fontId="8"/>
  </si>
  <si>
    <t>炎のメタルダック ×1</t>
    <rPh sb="0" eb="1">
      <t>ホノオ</t>
    </rPh>
    <phoneticPr fontId="8"/>
  </si>
  <si>
    <t>森のメタルダック ×1</t>
    <rPh sb="0" eb="1">
      <t>モリノ</t>
    </rPh>
    <phoneticPr fontId="8"/>
  </si>
  <si>
    <t>水のメタルダック ×1</t>
    <rPh sb="0" eb="1">
      <t>ミズノ</t>
    </rPh>
    <phoneticPr fontId="8"/>
  </si>
  <si>
    <t>雷のメタルダック ×1</t>
    <rPh sb="0" eb="1">
      <t>カミナリ</t>
    </rPh>
    <phoneticPr fontId="8"/>
  </si>
  <si>
    <t>bit</t>
    <phoneticPr fontId="8"/>
  </si>
  <si>
    <t>20万ビット</t>
    <rPh sb="2" eb="3">
      <t>マン</t>
    </rPh>
    <phoneticPr fontId="8"/>
  </si>
  <si>
    <t>1000リンク</t>
    <phoneticPr fontId="8"/>
  </si>
  <si>
    <t>15万ビット</t>
    <rPh sb="2" eb="3">
      <t>マン</t>
    </rPh>
    <phoneticPr fontId="8"/>
  </si>
  <si>
    <t>ポリゴン×2</t>
    <phoneticPr fontId="8"/>
  </si>
  <si>
    <t>10万ビット</t>
    <rPh sb="2" eb="3">
      <t>マン</t>
    </rPh>
    <phoneticPr fontId="8"/>
  </si>
  <si>
    <t>ポリゴン×1</t>
    <phoneticPr fontId="8"/>
  </si>
  <si>
    <t>score以外は触らないこと！</t>
    <rPh sb="5" eb="7">
      <t>イガイ</t>
    </rPh>
    <rPh sb="8" eb="9">
      <t>サワラナイ</t>
    </rPh>
    <phoneticPr fontId="6"/>
  </si>
  <si>
    <t>あなたは[player_ranking_grade]の挑戦者ね！</t>
    <phoneticPr fontId="6"/>
  </si>
  <si>
    <t>ひっかき回してやるニャ！</t>
    <phoneticPr fontId="6"/>
  </si>
  <si>
    <t>出力全開だニャ！</t>
    <phoneticPr fontId="6"/>
  </si>
  <si>
    <t>こいつの凄さを見せてやるニャ！</t>
    <phoneticPr fontId="6"/>
  </si>
  <si>
    <t>必殺の一撃だニャ！</t>
    <phoneticPr fontId="6"/>
  </si>
  <si>
    <t>エネルギーチャージだニャ！</t>
    <phoneticPr fontId="6"/>
  </si>
  <si>
    <t>突撃だニャー！</t>
    <phoneticPr fontId="6"/>
  </si>
  <si>
    <t>null</t>
    <phoneticPr fontId="6"/>
  </si>
  <si>
    <t>追い払ってやるゼェ！</t>
    <rPh sb="0" eb="1">
      <t>オイハラッt</t>
    </rPh>
    <phoneticPr fontId="6"/>
  </si>
  <si>
    <t>[effect:nothing]</t>
    <phoneticPr fontId="6"/>
  </si>
  <si>
    <t>[effect:critical, val:1.5]</t>
    <phoneticPr fontId="6"/>
  </si>
  <si>
    <t>[effect:critical, val:1.2]</t>
    <phoneticPr fontId="6"/>
  </si>
  <si>
    <t>強力な攻撃！</t>
    <rPh sb="0" eb="2">
      <t>キョ</t>
    </rPh>
    <rPh sb="3" eb="5">
      <t>コウゲk</t>
    </rPh>
    <phoneticPr fontId="6"/>
  </si>
  <si>
    <t>一定確率で時限式ダメージパネル出現+
時限式ダメージパネルを8個生成</t>
    <rPh sb="19" eb="22">
      <t>ジゲn</t>
    </rPh>
    <rPh sb="32" eb="34">
      <t>セ</t>
    </rPh>
    <phoneticPr fontId="6"/>
  </si>
  <si>
    <t>オトリになるのは得意だゼェ！</t>
    <rPh sb="8" eb="10">
      <t>tokuidaze</t>
    </rPh>
    <phoneticPr fontId="6"/>
  </si>
  <si>
    <t>b</t>
    <phoneticPr fontId="6"/>
  </si>
  <si>
    <t>現在の仕様</t>
    <rPh sb="0" eb="2">
      <t>ゲンザイ</t>
    </rPh>
    <rPh sb="3" eb="5">
      <t>シヨウ</t>
    </rPh>
    <phoneticPr fontId="6"/>
  </si>
  <si>
    <t>本当に作るべきだったものに近いもの</t>
    <rPh sb="0" eb="2">
      <t>ホントウニ</t>
    </rPh>
    <rPh sb="3" eb="4">
      <t>ツクルベキ</t>
    </rPh>
    <rPh sb="13" eb="14">
      <t>チカイモノ</t>
    </rPh>
    <phoneticPr fontId="6"/>
  </si>
  <si>
    <t>係数</t>
    <rPh sb="0" eb="2">
      <t>ケイスウ</t>
    </rPh>
    <phoneticPr fontId="6"/>
  </si>
  <si>
    <t>ポリゴン×2</t>
    <phoneticPr fontId="8"/>
  </si>
  <si>
    <t>時限式ダメージパネル15個生成</t>
    <rPh sb="0" eb="3">
      <t>ジg</t>
    </rPh>
    <rPh sb="12" eb="13">
      <t>コ</t>
    </rPh>
    <rPh sb="13" eb="15">
      <t>セ</t>
    </rPh>
    <phoneticPr fontId="6"/>
  </si>
  <si>
    <t>ja</t>
  </si>
  <si>
    <t>時限式ダメージパネル15個生成</t>
    <phoneticPr fontId="6"/>
  </si>
  <si>
    <t>[effect:force_change_block, new_block:time_bomb, target:block_all, ignore:crash, ignore02:jammer, count:15, val:0.2, min_time_count:2, max_time_count:2, animation:change_block]</t>
    <phoneticPr fontId="6"/>
  </si>
  <si>
    <t>コッパミジンにしてやるニャー！</t>
    <phoneticPr fontId="6"/>
  </si>
  <si>
    <t>[effect:break_attack_fix, val:0, lowest_val:2000, count:-1, block:block_red, target:unit_all]</t>
    <phoneticPr fontId="6"/>
  </si>
  <si>
    <t>赤パネル吸収攻撃</t>
    <rPh sb="0" eb="1">
      <t>アカ</t>
    </rPh>
    <rPh sb="4" eb="6">
      <t>キュウシュウ</t>
    </rPh>
    <rPh sb="6" eb="8">
      <t>コウゲキ</t>
    </rPh>
    <phoneticPr fontId="6"/>
  </si>
  <si>
    <t>[effect:spread, val:0.4]</t>
    <phoneticPr fontId="6"/>
  </si>
  <si>
    <t>[effect:rush, count:5, val:0.25]</t>
    <phoneticPr fontId="6"/>
  </si>
  <si>
    <t>攻撃頻度が1ターンにUP</t>
    <rPh sb="0" eb="4">
      <t>コウゲキヒンド</t>
    </rPh>
    <phoneticPr fontId="6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</si>
  <si>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 [effect:freq_turn, target:myself, turn:-1, val:1, animation:enemy_freq_turn]</t>
    <phoneticPr fontId="6"/>
  </si>
  <si>
    <t>null</t>
    <phoneticPr fontId="6"/>
  </si>
  <si>
    <t xml:space="preserve">[effect:tolerance, target:myself, turn:-1, tolerance_effect:sleep, count:-1],[effect:tolerance, target:myself, turn:-1, tolerance_effect:virus, count:-1],[effect:tolerance, target:myself, turn:-1, tolerance_effect:hungup, count:-1, animation:enemy_tolerance], [effect:force_change_block, new_block:time_bomb, target:block_all, ignore:crash, ignore02:jammer, count:20, val:0.1, min_time_count:2, max_time_count:2, animation:change_block] </t>
    <phoneticPr fontId="6"/>
  </si>
  <si>
    <t>それじゃ　早速いくわよ♪</t>
    <rPh sb="5" eb="7">
      <t>サッソク</t>
    </rPh>
    <phoneticPr fontId="6"/>
  </si>
  <si>
    <t>時限式ダメージパネル8個＋8回連続攻撃</t>
    <rPh sb="0" eb="3">
      <t>ジゲンシキ</t>
    </rPh>
    <rPh sb="11" eb="12">
      <t>※</t>
    </rPh>
    <rPh sb="14" eb="15">
      <t>カイ</t>
    </rPh>
    <rPh sb="15" eb="17">
      <t>レンゾク</t>
    </rPh>
    <rPh sb="17" eb="19">
      <t>コウゲキ</t>
    </rPh>
    <phoneticPr fontId="6"/>
  </si>
  <si>
    <t xml:space="preserve"> [effect:force_change_block, new_block:time_bomb, target:block_all, ignore:crash, ignore02:jammer, count:8, val:0.1, min_time_count:1, max_time_count:3, animation:change_block] [effect:rush, count:8, val:0.15]</t>
    <phoneticPr fontId="6"/>
  </si>
  <si>
    <t>予想以上の結果だわ…</t>
    <rPh sb="0" eb="4">
      <t>ヨソウイジョウ</t>
    </rPh>
    <rPh sb="5" eb="7">
      <t>ケッカ</t>
    </rPh>
    <phoneticPr fontId="6"/>
  </si>
  <si>
    <t>でも…これならどうかしら！？</t>
    <phoneticPr fontId="6"/>
  </si>
  <si>
    <t xml:space="preserve"> [effect:force_change_block, new_block:time_bomb, target:block_all, ignore:crash, ignore02:jammer, count:25, val:0.1, min_time_count:1, max_time_count:1, animation:change_block]</t>
    <phoneticPr fontId="6"/>
  </si>
  <si>
    <t>本気でいくニャー！</t>
    <rPh sb="0" eb="2">
      <t>ホンキ</t>
    </rPh>
    <phoneticPr fontId="6"/>
  </si>
  <si>
    <t>状態異常無効＋
赤属性以外のスキルが10ターン使えない</t>
    <rPh sb="0" eb="2">
      <t>ジョウタイイジョウ</t>
    </rPh>
    <rPh sb="2" eb="4">
      <t>ijou</t>
    </rPh>
    <rPh sb="4" eb="6">
      <t>mukou</t>
    </rPh>
    <rPh sb="9" eb="11">
      <t>ゾクセイ</t>
    </rPh>
    <rPh sb="11" eb="13">
      <t>イガイ</t>
    </rPh>
    <rPh sb="23" eb="24">
      <t>ツカエナイ</t>
    </rPh>
    <phoneticPr fontId="6"/>
  </si>
  <si>
    <t>次のターン強力な攻撃</t>
    <phoneticPr fontId="6"/>
  </si>
  <si>
    <t>[effect:force_change_block, new_block:time_bomb, target:block_all, ignore:crash, ignore02:jammer, count:15, val:0.2, min_time_count:3, max_time_count:3, animation:change_block]</t>
    <phoneticPr fontId="6"/>
  </si>
  <si>
    <t xml:space="preserve">[effect:drop_block, block_type:time_bomb, color:block_red, val:0.1, rate:0.5, turn:-1, min_time_count:5, max_time_count:5], [effect:force_change_block, new_block:time_bomb, target:block_all, ignore:crash, ignore02:jammer, count:8, val:0.1, min_time_count:3, max_time_count:3] ,[effect:enemy_message, val1:1, val2:3]    </t>
    <phoneticPr fontId="6"/>
  </si>
  <si>
    <t xml:space="preserve">[effect:tolerance, target:myself, turn:-1, tolerance_effect:sleep, count:-1],[effect:tolerance, target:myself, turn:-1, tolerance_effect:virus, count:-1],[effect:tolerance, target:myself, turn:-1, tolerance_effect:hungup, count:-1, animation:enemy_tolerance],[effect:hungup, target:unit_green, turn:10, rate:1, animation:hungup03],[effect:hungup, target:unit_blue, turn:10, rate:1, animation:hungup03],[effect:hungup, target:unit_yellow, turn:10, rate:1, animation:hungup03],[effect:enemy_message, val1:1, val2:3]    </t>
    <phoneticPr fontId="6"/>
  </si>
  <si>
    <t>8ターン赤属性以外のダメージを50%DOWN</t>
    <rPh sb="7" eb="9">
      <t>イガ</t>
    </rPh>
    <phoneticPr fontId="6"/>
  </si>
  <si>
    <t>[effect:reduction, target:myself, turn:8, color:yellow, val:0.5, animation:reduction_one04],[effect:reduction, target:myself, turn:8, color:green, val:0.5],[effect:reduction, target:myself, turn:8, color:blue, val:0.5]</t>
    <phoneticPr fontId="6"/>
  </si>
  <si>
    <t>チケットピース × 1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</si>
</sst>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family val="2"/>
      <charset val="128"/>
    </font>
    <font>
      <sz val="10"/>
      <color rgb="FFFF0000"/>
      <name val="ＭＳ Ｐゴシック"/>
      <family val="3"/>
      <charset val="128"/>
    </font>
    <font>
      <sz val="11"/>
      <color indexed="81"/>
      <name val="ＭＳ Ｐゴシック"/>
      <charset val="128"/>
    </font>
    <font>
      <b/>
      <sz val="11"/>
      <color indexed="81"/>
      <name val="ＭＳ Ｐゴシック"/>
      <charset val="128"/>
    </font>
  </fonts>
  <fills count="5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theme="9" tint="0.59999389629810485"/>
        <bgColor indexed="24"/>
      </patternFill>
    </fill>
    <fill>
      <patternFill patternType="solid">
        <fgColor theme="7" tint="0.79998168889431442"/>
        <bgColor indexed="2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0" tint="-0.499984740745262"/>
        <bgColor indexed="2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1199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9" applyNumberFormat="0" applyAlignment="0" applyProtection="0"/>
    <xf numFmtId="0" fontId="34" fillId="17" borderId="0" applyNumberFormat="0" applyBorder="0" applyAlignment="0" applyProtection="0"/>
    <xf numFmtId="0" fontId="35" fillId="18" borderId="10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1" applyNumberFormat="0" applyAlignment="0" applyProtection="0"/>
    <xf numFmtId="0" fontId="39" fillId="0" borderId="0" applyNumberFormat="0" applyFill="0" applyBorder="0" applyAlignment="0" applyProtection="0"/>
    <xf numFmtId="0" fontId="40" fillId="0" borderId="12" applyNumberFormat="0" applyFill="0" applyAlignment="0" applyProtection="0"/>
    <xf numFmtId="0" fontId="41" fillId="0" borderId="13" applyNumberFormat="0" applyFill="0" applyAlignment="0" applyProtection="0"/>
    <xf numFmtId="0" fontId="42" fillId="0" borderId="14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5" applyNumberFormat="0" applyFill="0" applyAlignment="0" applyProtection="0"/>
    <xf numFmtId="0" fontId="47" fillId="18" borderId="16" applyNumberFormat="0" applyAlignment="0" applyProtection="0"/>
    <xf numFmtId="0" fontId="47" fillId="29" borderId="16" applyNumberFormat="0" applyAlignment="0" applyProtection="0"/>
    <xf numFmtId="0" fontId="35" fillId="17" borderId="10" applyNumberFormat="0" applyAlignment="0" applyProtection="0"/>
    <xf numFmtId="0" fontId="48" fillId="0" borderId="17" applyNumberFormat="0" applyFill="0" applyAlignment="0" applyProtection="0"/>
    <xf numFmtId="0" fontId="49" fillId="29" borderId="10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18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627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6" xfId="0" applyFont="1" applyFill="1" applyBorder="1" applyAlignment="1">
      <alignment vertical="center"/>
    </xf>
    <xf numFmtId="0" fontId="7" fillId="5" borderId="5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/>
    </xf>
    <xf numFmtId="0" fontId="13" fillId="7" borderId="0" xfId="0" applyFont="1" applyFill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5" xfId="0" applyFont="1" applyFill="1" applyBorder="1" applyAlignment="1">
      <alignment horizontal="left" vertical="center"/>
    </xf>
    <xf numFmtId="0" fontId="17" fillId="0" borderId="5" xfId="0" applyFont="1" applyFill="1" applyBorder="1" applyAlignment="1">
      <alignment vertical="center"/>
    </xf>
    <xf numFmtId="0" fontId="17" fillId="3" borderId="5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5" xfId="0" applyFont="1" applyFill="1" applyBorder="1"/>
    <xf numFmtId="0" fontId="0" fillId="11" borderId="5" xfId="0" applyFill="1" applyBorder="1"/>
    <xf numFmtId="0" fontId="0" fillId="0" borderId="5" xfId="0" applyBorder="1"/>
    <xf numFmtId="0" fontId="0" fillId="6" borderId="5" xfId="0" applyFill="1" applyBorder="1"/>
    <xf numFmtId="0" fontId="27" fillId="12" borderId="5" xfId="0" applyFont="1" applyFill="1" applyBorder="1"/>
    <xf numFmtId="0" fontId="14" fillId="11" borderId="5" xfId="434" applyFont="1" applyFill="1" applyBorder="1" applyAlignment="1"/>
    <xf numFmtId="0" fontId="25" fillId="0" borderId="5" xfId="434" applyBorder="1" applyAlignment="1"/>
    <xf numFmtId="0" fontId="0" fillId="13" borderId="5" xfId="0" applyFill="1" applyBorder="1"/>
    <xf numFmtId="0" fontId="17" fillId="6" borderId="5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5" xfId="615" applyFont="1" applyFill="1" applyBorder="1"/>
    <xf numFmtId="0" fontId="0" fillId="0" borderId="5" xfId="615" applyFont="1" applyBorder="1"/>
    <xf numFmtId="0" fontId="3" fillId="11" borderId="5" xfId="615" applyFill="1" applyBorder="1"/>
    <xf numFmtId="0" fontId="5" fillId="0" borderId="5" xfId="0" applyFont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7" fillId="3" borderId="5" xfId="614" applyFont="1" applyFill="1" applyBorder="1" applyAlignment="1">
      <alignment horizontal="left"/>
    </xf>
    <xf numFmtId="0" fontId="17" fillId="6" borderId="5" xfId="0" applyFont="1" applyFill="1" applyBorder="1" applyAlignment="1">
      <alignment horizontal="center"/>
    </xf>
    <xf numFmtId="56" fontId="17" fillId="6" borderId="5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28" fillId="6" borderId="5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14" borderId="5" xfId="0" applyFont="1" applyFill="1" applyBorder="1" applyAlignment="1">
      <alignment horizontal="center"/>
    </xf>
    <xf numFmtId="0" fontId="17" fillId="15" borderId="5" xfId="0" applyFont="1" applyFill="1" applyBorder="1" applyAlignment="1">
      <alignment horizontal="center"/>
    </xf>
    <xf numFmtId="0" fontId="0" fillId="15" borderId="5" xfId="0" applyFill="1" applyBorder="1"/>
    <xf numFmtId="0" fontId="28" fillId="0" borderId="5" xfId="0" applyFont="1" applyFill="1" applyBorder="1"/>
    <xf numFmtId="0" fontId="29" fillId="0" borderId="5" xfId="0" applyFont="1" applyFill="1" applyBorder="1"/>
    <xf numFmtId="0" fontId="30" fillId="3" borderId="8" xfId="0" applyFont="1" applyFill="1" applyBorder="1" applyAlignment="1">
      <alignment vertical="center"/>
    </xf>
    <xf numFmtId="0" fontId="31" fillId="0" borderId="5" xfId="0" applyFont="1" applyFill="1" applyBorder="1"/>
    <xf numFmtId="0" fontId="30" fillId="0" borderId="8" xfId="0" applyFont="1" applyFill="1" applyBorder="1" applyAlignment="1">
      <alignment vertical="center"/>
    </xf>
    <xf numFmtId="0" fontId="31" fillId="14" borderId="5" xfId="0" applyFont="1" applyFill="1" applyBorder="1"/>
    <xf numFmtId="0" fontId="32" fillId="0" borderId="5" xfId="0" applyFont="1" applyFill="1" applyBorder="1"/>
    <xf numFmtId="38" fontId="17" fillId="0" borderId="5" xfId="628" applyFont="1" applyFill="1" applyBorder="1" applyAlignment="1"/>
    <xf numFmtId="0" fontId="28" fillId="0" borderId="0" xfId="0" applyFont="1" applyFill="1"/>
    <xf numFmtId="0" fontId="17" fillId="30" borderId="5" xfId="0" applyFont="1" applyFill="1" applyBorder="1" applyAlignment="1">
      <alignment horizontal="center"/>
    </xf>
    <xf numFmtId="0" fontId="31" fillId="30" borderId="5" xfId="0" applyFont="1" applyFill="1" applyBorder="1"/>
    <xf numFmtId="0" fontId="17" fillId="13" borderId="5" xfId="0" applyFont="1" applyFill="1" applyBorder="1" applyAlignment="1">
      <alignment horizontal="center"/>
    </xf>
    <xf numFmtId="56" fontId="17" fillId="14" borderId="5" xfId="0" applyNumberFormat="1" applyFont="1" applyFill="1" applyBorder="1" applyAlignment="1">
      <alignment horizontal="center"/>
    </xf>
    <xf numFmtId="0" fontId="32" fillId="14" borderId="5" xfId="0" applyFont="1" applyFill="1" applyBorder="1"/>
    <xf numFmtId="38" fontId="17" fillId="14" borderId="5" xfId="628" applyFont="1" applyFill="1" applyBorder="1" applyAlignment="1"/>
    <xf numFmtId="0" fontId="17" fillId="6" borderId="5" xfId="11" applyFont="1" applyFill="1" applyBorder="1" applyAlignment="1">
      <alignment horizontal="left"/>
    </xf>
    <xf numFmtId="0" fontId="3" fillId="6" borderId="0" xfId="615" applyFill="1"/>
    <xf numFmtId="0" fontId="5" fillId="31" borderId="5" xfId="0" applyFont="1" applyFill="1" applyBorder="1" applyAlignment="1">
      <alignment vertical="center"/>
    </xf>
    <xf numFmtId="0" fontId="9" fillId="33" borderId="5" xfId="0" applyFont="1" applyFill="1" applyBorder="1" applyAlignment="1">
      <alignment horizontal="left" vertical="center"/>
    </xf>
    <xf numFmtId="0" fontId="17" fillId="32" borderId="5" xfId="432" applyFont="1" applyFill="1" applyBorder="1" applyAlignment="1">
      <alignment horizontal="left" vertical="center"/>
    </xf>
    <xf numFmtId="0" fontId="2" fillId="0" borderId="5" xfId="676" applyBorder="1"/>
    <xf numFmtId="0" fontId="2" fillId="11" borderId="5" xfId="676" applyFill="1" applyBorder="1"/>
    <xf numFmtId="0" fontId="1" fillId="6" borderId="5" xfId="434" applyFont="1" applyFill="1" applyBorder="1" applyAlignment="1"/>
    <xf numFmtId="0" fontId="0" fillId="32" borderId="5" xfId="0" applyFill="1" applyBorder="1"/>
    <xf numFmtId="0" fontId="0" fillId="34" borderId="5" xfId="0" applyFill="1" applyBorder="1"/>
    <xf numFmtId="0" fontId="0" fillId="34" borderId="5" xfId="615" applyFont="1" applyFill="1" applyBorder="1"/>
    <xf numFmtId="0" fontId="2" fillId="34" borderId="5" xfId="676" applyFill="1" applyBorder="1"/>
    <xf numFmtId="0" fontId="0" fillId="6" borderId="0" xfId="0" applyFill="1"/>
    <xf numFmtId="0" fontId="5" fillId="0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left" vertical="center"/>
    </xf>
    <xf numFmtId="0" fontId="5" fillId="3" borderId="20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0" fontId="5" fillId="0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vertical="center"/>
    </xf>
    <xf numFmtId="0" fontId="5" fillId="0" borderId="8" xfId="0" applyFont="1" applyFill="1" applyBorder="1" applyAlignment="1">
      <alignment vertical="center"/>
    </xf>
    <xf numFmtId="0" fontId="5" fillId="0" borderId="8" xfId="0" applyFont="1" applyBorder="1" applyAlignment="1">
      <alignment vertical="center"/>
    </xf>
    <xf numFmtId="0" fontId="13" fillId="7" borderId="22" xfId="0" applyFont="1" applyFill="1" applyBorder="1" applyAlignment="1">
      <alignment vertical="center"/>
    </xf>
    <xf numFmtId="0" fontId="5" fillId="0" borderId="24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vertical="center"/>
    </xf>
    <xf numFmtId="0" fontId="7" fillId="0" borderId="24" xfId="0" applyFont="1" applyFill="1" applyBorder="1" applyAlignment="1">
      <alignment vertical="center"/>
    </xf>
    <xf numFmtId="0" fontId="7" fillId="5" borderId="25" xfId="0" applyFont="1" applyFill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3" borderId="24" xfId="0" applyFont="1" applyFill="1" applyBorder="1" applyAlignment="1">
      <alignment vertical="center"/>
    </xf>
    <xf numFmtId="0" fontId="5" fillId="0" borderId="24" xfId="0" applyFont="1" applyFill="1" applyBorder="1" applyAlignment="1">
      <alignment vertical="center"/>
    </xf>
    <xf numFmtId="0" fontId="5" fillId="0" borderId="24" xfId="0" applyFont="1" applyBorder="1" applyAlignment="1">
      <alignment vertical="center"/>
    </xf>
    <xf numFmtId="0" fontId="5" fillId="0" borderId="27" xfId="0" applyFont="1" applyBorder="1" applyAlignment="1">
      <alignment vertical="center"/>
    </xf>
    <xf numFmtId="0" fontId="13" fillId="7" borderId="28" xfId="0" applyFont="1" applyFill="1" applyBorder="1" applyAlignment="1">
      <alignment vertical="center"/>
    </xf>
    <xf numFmtId="0" fontId="5" fillId="0" borderId="0" xfId="0" applyFont="1" applyBorder="1" applyAlignment="1">
      <alignment vertical="center"/>
    </xf>
    <xf numFmtId="0" fontId="13" fillId="7" borderId="29" xfId="0" applyFont="1" applyFill="1" applyBorder="1" applyAlignment="1">
      <alignment vertical="center"/>
    </xf>
    <xf numFmtId="0" fontId="5" fillId="0" borderId="31" xfId="0" applyFont="1" applyFill="1" applyBorder="1" applyAlignment="1">
      <alignment horizontal="center" vertical="center"/>
    </xf>
    <xf numFmtId="0" fontId="5" fillId="3" borderId="31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vertical="center"/>
    </xf>
    <xf numFmtId="0" fontId="7" fillId="0" borderId="31" xfId="0" applyFont="1" applyFill="1" applyBorder="1" applyAlignment="1">
      <alignment vertical="center"/>
    </xf>
    <xf numFmtId="0" fontId="7" fillId="5" borderId="32" xfId="0" applyFont="1" applyFill="1" applyBorder="1" applyAlignment="1">
      <alignment vertical="center"/>
    </xf>
    <xf numFmtId="0" fontId="5" fillId="0" borderId="34" xfId="0" applyFont="1" applyBorder="1" applyAlignment="1">
      <alignment vertical="center"/>
    </xf>
    <xf numFmtId="0" fontId="5" fillId="3" borderId="31" xfId="0" applyFont="1" applyFill="1" applyBorder="1" applyAlignment="1">
      <alignment vertical="center"/>
    </xf>
    <xf numFmtId="0" fontId="5" fillId="0" borderId="31" xfId="0" applyFont="1" applyFill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5" fillId="31" borderId="2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7" fillId="3" borderId="8" xfId="0" applyFont="1" applyFill="1" applyBorder="1" applyAlignment="1">
      <alignment vertical="center"/>
    </xf>
    <xf numFmtId="0" fontId="13" fillId="7" borderId="27" xfId="0" applyFont="1" applyFill="1" applyBorder="1" applyAlignment="1">
      <alignment vertical="center"/>
    </xf>
    <xf numFmtId="0" fontId="7" fillId="5" borderId="24" xfId="0" applyFont="1" applyFill="1" applyBorder="1" applyAlignment="1">
      <alignment vertical="center"/>
    </xf>
    <xf numFmtId="0" fontId="7" fillId="3" borderId="24" xfId="0" applyFont="1" applyFill="1" applyBorder="1" applyAlignment="1">
      <alignment vertical="center"/>
    </xf>
    <xf numFmtId="0" fontId="13" fillId="7" borderId="0" xfId="0" applyFont="1" applyFill="1" applyBorder="1" applyAlignment="1">
      <alignment vertical="center"/>
    </xf>
    <xf numFmtId="0" fontId="13" fillId="7" borderId="35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7" fillId="3" borderId="31" xfId="0" applyFont="1" applyFill="1" applyBorder="1" applyAlignment="1">
      <alignment vertical="center"/>
    </xf>
    <xf numFmtId="0" fontId="17" fillId="6" borderId="2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7" fillId="0" borderId="8" xfId="0" applyFont="1" applyFill="1" applyBorder="1" applyAlignment="1">
      <alignment vertical="center"/>
    </xf>
    <xf numFmtId="0" fontId="17" fillId="3" borderId="8" xfId="0" applyFont="1" applyFill="1" applyBorder="1" applyAlignment="1">
      <alignment vertical="center"/>
    </xf>
    <xf numFmtId="0" fontId="17" fillId="0" borderId="24" xfId="0" applyFont="1" applyFill="1" applyBorder="1" applyAlignment="1">
      <alignment vertical="center"/>
    </xf>
    <xf numFmtId="0" fontId="17" fillId="3" borderId="24" xfId="0" applyFont="1" applyFill="1" applyBorder="1" applyAlignment="1">
      <alignment vertical="center"/>
    </xf>
    <xf numFmtId="0" fontId="17" fillId="0" borderId="31" xfId="0" applyFont="1" applyFill="1" applyBorder="1" applyAlignment="1">
      <alignment vertical="center"/>
    </xf>
    <xf numFmtId="0" fontId="17" fillId="3" borderId="31" xfId="0" applyFont="1" applyFill="1" applyBorder="1" applyAlignment="1">
      <alignment vertical="center"/>
    </xf>
    <xf numFmtId="0" fontId="17" fillId="6" borderId="5" xfId="0" applyFont="1" applyFill="1" applyBorder="1" applyAlignment="1">
      <alignment horizontal="left" vertical="center"/>
    </xf>
    <xf numFmtId="0" fontId="17" fillId="3" borderId="8" xfId="0" applyFont="1" applyFill="1" applyBorder="1" applyAlignment="1">
      <alignment horizontal="left" vertical="center"/>
    </xf>
    <xf numFmtId="0" fontId="17" fillId="3" borderId="24" xfId="0" applyFont="1" applyFill="1" applyBorder="1" applyAlignment="1">
      <alignment horizontal="left" vertical="center"/>
    </xf>
    <xf numFmtId="0" fontId="17" fillId="3" borderId="31" xfId="0" applyFont="1" applyFill="1" applyBorder="1" applyAlignment="1">
      <alignment horizontal="left" vertical="center"/>
    </xf>
    <xf numFmtId="0" fontId="15" fillId="7" borderId="5" xfId="0" applyFont="1" applyFill="1" applyBorder="1" applyAlignment="1">
      <alignment vertical="center"/>
    </xf>
    <xf numFmtId="0" fontId="17" fillId="0" borderId="5" xfId="0" applyFont="1" applyBorder="1" applyAlignment="1">
      <alignment vertical="center"/>
    </xf>
    <xf numFmtId="0" fontId="15" fillId="7" borderId="8" xfId="0" applyFont="1" applyFill="1" applyBorder="1" applyAlignment="1">
      <alignment vertical="center"/>
    </xf>
    <xf numFmtId="0" fontId="17" fillId="0" borderId="8" xfId="0" applyFont="1" applyBorder="1" applyAlignment="1">
      <alignment vertical="center"/>
    </xf>
    <xf numFmtId="0" fontId="15" fillId="7" borderId="36" xfId="0" applyFont="1" applyFill="1" applyBorder="1" applyAlignment="1">
      <alignment vertical="center"/>
    </xf>
    <xf numFmtId="0" fontId="17" fillId="0" borderId="24" xfId="0" applyFont="1" applyBorder="1" applyAlignment="1">
      <alignment vertical="center"/>
    </xf>
    <xf numFmtId="0" fontId="15" fillId="7" borderId="37" xfId="0" applyFont="1" applyFill="1" applyBorder="1" applyAlignment="1">
      <alignment vertical="center"/>
    </xf>
    <xf numFmtId="0" fontId="17" fillId="0" borderId="31" xfId="0" applyFont="1" applyBorder="1" applyAlignment="1">
      <alignment vertical="center"/>
    </xf>
    <xf numFmtId="0" fontId="15" fillId="7" borderId="38" xfId="0" applyFont="1" applyFill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3" borderId="8" xfId="0" applyFont="1" applyFill="1" applyBorder="1" applyAlignment="1">
      <alignment vertical="center"/>
    </xf>
    <xf numFmtId="0" fontId="7" fillId="5" borderId="43" xfId="0" applyFont="1" applyFill="1" applyBorder="1" applyAlignment="1">
      <alignment vertical="center"/>
    </xf>
    <xf numFmtId="0" fontId="13" fillId="7" borderId="38" xfId="0" applyFont="1" applyFill="1" applyBorder="1" applyAlignment="1">
      <alignment vertical="center"/>
    </xf>
    <xf numFmtId="0" fontId="5" fillId="3" borderId="44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vertical="center"/>
    </xf>
    <xf numFmtId="0" fontId="5" fillId="0" borderId="30" xfId="0" applyFont="1" applyBorder="1" applyAlignment="1">
      <alignment vertical="center"/>
    </xf>
    <xf numFmtId="0" fontId="5" fillId="3" borderId="44" xfId="0" applyFont="1" applyFill="1" applyBorder="1" applyAlignment="1">
      <alignment vertical="center"/>
    </xf>
    <xf numFmtId="0" fontId="5" fillId="0" borderId="44" xfId="0" applyFont="1" applyFill="1" applyBorder="1" applyAlignment="1">
      <alignment vertical="center"/>
    </xf>
    <xf numFmtId="0" fontId="5" fillId="0" borderId="44" xfId="0" applyFont="1" applyBorder="1" applyAlignment="1">
      <alignment vertical="center"/>
    </xf>
    <xf numFmtId="0" fontId="7" fillId="5" borderId="26" xfId="0" applyFont="1" applyFill="1" applyBorder="1" applyAlignment="1">
      <alignment vertical="center"/>
    </xf>
    <xf numFmtId="0" fontId="7" fillId="5" borderId="33" xfId="0" applyFont="1" applyFill="1" applyBorder="1" applyAlignment="1">
      <alignment vertical="center"/>
    </xf>
    <xf numFmtId="0" fontId="0" fillId="6" borderId="2" xfId="0" applyFill="1" applyBorder="1"/>
    <xf numFmtId="0" fontId="5" fillId="0" borderId="2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0" fontId="5" fillId="0" borderId="44" xfId="0" applyFont="1" applyBorder="1" applyAlignment="1">
      <alignment horizontal="left" vertical="center"/>
    </xf>
    <xf numFmtId="0" fontId="17" fillId="14" borderId="19" xfId="0" applyFont="1" applyFill="1" applyBorder="1" applyAlignment="1">
      <alignment horizontal="left" vertical="center"/>
    </xf>
    <xf numFmtId="0" fontId="17" fillId="6" borderId="19" xfId="0" applyFont="1" applyFill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29" fillId="0" borderId="5" xfId="0" applyFont="1" applyFill="1" applyBorder="1" applyAlignment="1">
      <alignment horizontal="left" vertical="center"/>
    </xf>
    <xf numFmtId="0" fontId="30" fillId="3" borderId="8" xfId="0" applyFont="1" applyFill="1" applyBorder="1" applyAlignment="1">
      <alignment horizontal="left" vertical="center"/>
    </xf>
    <xf numFmtId="0" fontId="30" fillId="0" borderId="8" xfId="0" applyFont="1" applyFill="1" applyBorder="1" applyAlignment="1">
      <alignment horizontal="left" vertical="center"/>
    </xf>
    <xf numFmtId="0" fontId="30" fillId="0" borderId="0" xfId="0" applyFont="1" applyFill="1" applyBorder="1" applyAlignment="1">
      <alignment horizontal="left" vertical="center"/>
    </xf>
    <xf numFmtId="0" fontId="17" fillId="0" borderId="0" xfId="432" applyFont="1" applyAlignment="1">
      <alignment horizontal="left" vertical="center"/>
    </xf>
    <xf numFmtId="0" fontId="17" fillId="0" borderId="0" xfId="432" applyFont="1" applyAlignment="1">
      <alignment horizontal="left" vertical="center" wrapText="1"/>
    </xf>
    <xf numFmtId="0" fontId="0" fillId="32" borderId="2" xfId="0" applyFill="1" applyBorder="1"/>
    <xf numFmtId="0" fontId="52" fillId="38" borderId="36" xfId="0" applyFont="1" applyFill="1" applyBorder="1"/>
    <xf numFmtId="0" fontId="52" fillId="38" borderId="24" xfId="0" applyFont="1" applyFill="1" applyBorder="1"/>
    <xf numFmtId="0" fontId="52" fillId="39" borderId="24" xfId="0" applyFont="1" applyFill="1" applyBorder="1"/>
    <xf numFmtId="0" fontId="52" fillId="39" borderId="45" xfId="0" applyFont="1" applyFill="1" applyBorder="1"/>
    <xf numFmtId="0" fontId="52" fillId="38" borderId="38" xfId="0" applyFont="1" applyFill="1" applyBorder="1"/>
    <xf numFmtId="0" fontId="52" fillId="38" borderId="5" xfId="0" applyFont="1" applyFill="1" applyBorder="1"/>
    <xf numFmtId="0" fontId="52" fillId="39" borderId="5" xfId="0" applyFont="1" applyFill="1" applyBorder="1"/>
    <xf numFmtId="0" fontId="52" fillId="39" borderId="46" xfId="0" applyFont="1" applyFill="1" applyBorder="1"/>
    <xf numFmtId="0" fontId="52" fillId="38" borderId="37" xfId="0" applyFont="1" applyFill="1" applyBorder="1"/>
    <xf numFmtId="0" fontId="52" fillId="38" borderId="31" xfId="0" applyFont="1" applyFill="1" applyBorder="1"/>
    <xf numFmtId="0" fontId="52" fillId="39" borderId="31" xfId="0" applyFont="1" applyFill="1" applyBorder="1"/>
    <xf numFmtId="0" fontId="52" fillId="39" borderId="47" xfId="0" applyFont="1" applyFill="1" applyBorder="1"/>
    <xf numFmtId="0" fontId="52" fillId="40" borderId="36" xfId="0" applyFont="1" applyFill="1" applyBorder="1"/>
    <xf numFmtId="0" fontId="52" fillId="40" borderId="24" xfId="0" applyFont="1" applyFill="1" applyBorder="1"/>
    <xf numFmtId="0" fontId="52" fillId="40" borderId="45" xfId="0" applyFont="1" applyFill="1" applyBorder="1"/>
    <xf numFmtId="0" fontId="52" fillId="40" borderId="38" xfId="0" applyFont="1" applyFill="1" applyBorder="1"/>
    <xf numFmtId="0" fontId="52" fillId="40" borderId="5" xfId="0" applyFont="1" applyFill="1" applyBorder="1"/>
    <xf numFmtId="0" fontId="52" fillId="40" borderId="46" xfId="0" applyFont="1" applyFill="1" applyBorder="1"/>
    <xf numFmtId="0" fontId="52" fillId="40" borderId="37" xfId="0" applyFont="1" applyFill="1" applyBorder="1"/>
    <xf numFmtId="0" fontId="52" fillId="40" borderId="31" xfId="0" applyFont="1" applyFill="1" applyBorder="1"/>
    <xf numFmtId="0" fontId="52" fillId="40" borderId="47" xfId="0" applyFont="1" applyFill="1" applyBorder="1"/>
    <xf numFmtId="0" fontId="17" fillId="0" borderId="27" xfId="0" applyFont="1" applyFill="1" applyBorder="1" applyAlignment="1">
      <alignment vertical="center"/>
    </xf>
    <xf numFmtId="0" fontId="17" fillId="0" borderId="35" xfId="0" applyFont="1" applyFill="1" applyBorder="1" applyAlignment="1">
      <alignment vertical="center"/>
    </xf>
    <xf numFmtId="0" fontId="17" fillId="0" borderId="41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38" fontId="0" fillId="0" borderId="0" xfId="1112" applyFont="1"/>
    <xf numFmtId="0" fontId="5" fillId="3" borderId="19" xfId="0" applyFont="1" applyFill="1" applyBorder="1" applyAlignment="1">
      <alignment horizontal="center" vertical="center"/>
    </xf>
    <xf numFmtId="0" fontId="5" fillId="0" borderId="19" xfId="0" applyFont="1" applyBorder="1" applyAlignment="1">
      <alignment vertical="center"/>
    </xf>
    <xf numFmtId="0" fontId="5" fillId="3" borderId="19" xfId="0" applyFont="1" applyFill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13" fillId="7" borderId="36" xfId="0" applyFont="1" applyFill="1" applyBorder="1" applyAlignment="1">
      <alignment vertical="center"/>
    </xf>
    <xf numFmtId="0" fontId="7" fillId="5" borderId="50" xfId="0" applyFont="1" applyFill="1" applyBorder="1" applyAlignment="1">
      <alignment vertical="center"/>
    </xf>
    <xf numFmtId="0" fontId="7" fillId="5" borderId="51" xfId="0" applyFont="1" applyFill="1" applyBorder="1" applyAlignment="1">
      <alignment vertical="center"/>
    </xf>
    <xf numFmtId="0" fontId="5" fillId="32" borderId="5" xfId="0" applyFont="1" applyFill="1" applyBorder="1" applyAlignment="1">
      <alignment horizontal="center" vertical="center"/>
    </xf>
    <xf numFmtId="0" fontId="7" fillId="32" borderId="5" xfId="0" applyFont="1" applyFill="1" applyBorder="1" applyAlignment="1">
      <alignment vertical="center"/>
    </xf>
    <xf numFmtId="0" fontId="9" fillId="32" borderId="4" xfId="0" applyFont="1" applyFill="1" applyBorder="1" applyAlignment="1">
      <alignment vertical="center"/>
    </xf>
    <xf numFmtId="177" fontId="9" fillId="32" borderId="4" xfId="0" applyNumberFormat="1" applyFont="1" applyFill="1" applyBorder="1" applyAlignment="1">
      <alignment vertical="center"/>
    </xf>
    <xf numFmtId="176" fontId="5" fillId="36" borderId="24" xfId="0" applyNumberFormat="1" applyFont="1" applyFill="1" applyBorder="1" applyAlignment="1">
      <alignment horizontal="center" vertical="center"/>
    </xf>
    <xf numFmtId="0" fontId="5" fillId="36" borderId="24" xfId="0" applyFont="1" applyFill="1" applyBorder="1" applyAlignment="1">
      <alignment horizontal="center" vertical="center"/>
    </xf>
    <xf numFmtId="176" fontId="5" fillId="36" borderId="5" xfId="0" applyNumberFormat="1" applyFont="1" applyFill="1" applyBorder="1" applyAlignment="1">
      <alignment horizontal="center" vertical="center"/>
    </xf>
    <xf numFmtId="0" fontId="5" fillId="36" borderId="5" xfId="0" applyFont="1" applyFill="1" applyBorder="1" applyAlignment="1">
      <alignment horizontal="center" vertical="center"/>
    </xf>
    <xf numFmtId="176" fontId="5" fillId="36" borderId="31" xfId="0" applyNumberFormat="1" applyFont="1" applyFill="1" applyBorder="1" applyAlignment="1">
      <alignment horizontal="center" vertical="center"/>
    </xf>
    <xf numFmtId="0" fontId="5" fillId="36" borderId="31" xfId="0" applyFont="1" applyFill="1" applyBorder="1" applyAlignment="1">
      <alignment horizontal="center" vertical="center"/>
    </xf>
    <xf numFmtId="176" fontId="5" fillId="36" borderId="3" xfId="0" applyNumberFormat="1" applyFont="1" applyFill="1" applyBorder="1" applyAlignment="1">
      <alignment horizontal="center" vertical="center"/>
    </xf>
    <xf numFmtId="0" fontId="5" fillId="36" borderId="8" xfId="0" applyFont="1" applyFill="1" applyBorder="1" applyAlignment="1">
      <alignment horizontal="center" vertical="center"/>
    </xf>
    <xf numFmtId="176" fontId="5" fillId="36" borderId="30" xfId="0" applyNumberFormat="1" applyFont="1" applyFill="1" applyBorder="1" applyAlignment="1">
      <alignment horizontal="center" vertical="center"/>
    </xf>
    <xf numFmtId="0" fontId="5" fillId="36" borderId="44" xfId="0" applyFont="1" applyFill="1" applyBorder="1" applyAlignment="1">
      <alignment horizontal="center" vertical="center"/>
    </xf>
    <xf numFmtId="0" fontId="5" fillId="0" borderId="50" xfId="0" applyFont="1" applyBorder="1" applyAlignment="1">
      <alignment vertical="center"/>
    </xf>
    <xf numFmtId="176" fontId="5" fillId="37" borderId="24" xfId="0" applyNumberFormat="1" applyFont="1" applyFill="1" applyBorder="1" applyAlignment="1">
      <alignment horizontal="center" vertical="center"/>
    </xf>
    <xf numFmtId="0" fontId="5" fillId="37" borderId="24" xfId="0" applyFont="1" applyFill="1" applyBorder="1" applyAlignment="1">
      <alignment horizontal="center" vertical="center"/>
    </xf>
    <xf numFmtId="176" fontId="5" fillId="37" borderId="5" xfId="0" applyNumberFormat="1" applyFont="1" applyFill="1" applyBorder="1" applyAlignment="1">
      <alignment horizontal="center" vertical="center"/>
    </xf>
    <xf numFmtId="0" fontId="5" fillId="37" borderId="5" xfId="0" applyFont="1" applyFill="1" applyBorder="1" applyAlignment="1">
      <alignment horizontal="center" vertical="center"/>
    </xf>
    <xf numFmtId="176" fontId="5" fillId="37" borderId="31" xfId="0" applyNumberFormat="1" applyFont="1" applyFill="1" applyBorder="1" applyAlignment="1">
      <alignment horizontal="center" vertical="center"/>
    </xf>
    <xf numFmtId="0" fontId="5" fillId="37" borderId="31" xfId="0" applyFont="1" applyFill="1" applyBorder="1" applyAlignment="1">
      <alignment horizontal="center" vertical="center"/>
    </xf>
    <xf numFmtId="176" fontId="5" fillId="37" borderId="23" xfId="0" applyNumberFormat="1" applyFont="1" applyFill="1" applyBorder="1" applyAlignment="1">
      <alignment horizontal="center" vertical="center"/>
    </xf>
    <xf numFmtId="176" fontId="5" fillId="37" borderId="3" xfId="0" applyNumberFormat="1" applyFont="1" applyFill="1" applyBorder="1" applyAlignment="1">
      <alignment horizontal="center" vertical="center"/>
    </xf>
    <xf numFmtId="0" fontId="5" fillId="37" borderId="8" xfId="0" applyFont="1" applyFill="1" applyBorder="1" applyAlignment="1">
      <alignment horizontal="center" vertical="center"/>
    </xf>
    <xf numFmtId="176" fontId="5" fillId="37" borderId="30" xfId="0" applyNumberFormat="1" applyFont="1" applyFill="1" applyBorder="1" applyAlignment="1">
      <alignment horizontal="center" vertical="center"/>
    </xf>
    <xf numFmtId="0" fontId="5" fillId="37" borderId="44" xfId="0" applyFont="1" applyFill="1" applyBorder="1" applyAlignment="1">
      <alignment horizontal="center" vertical="center"/>
    </xf>
    <xf numFmtId="176" fontId="5" fillId="37" borderId="50" xfId="0" applyNumberFormat="1" applyFont="1" applyFill="1" applyBorder="1" applyAlignment="1">
      <alignment horizontal="center" vertical="center"/>
    </xf>
    <xf numFmtId="0" fontId="5" fillId="37" borderId="19" xfId="0" applyFont="1" applyFill="1" applyBorder="1" applyAlignment="1">
      <alignment horizontal="center" vertical="center"/>
    </xf>
    <xf numFmtId="176" fontId="5" fillId="36" borderId="53" xfId="0" applyNumberFormat="1" applyFont="1" applyFill="1" applyBorder="1" applyAlignment="1">
      <alignment horizontal="center" vertical="center"/>
    </xf>
    <xf numFmtId="0" fontId="5" fillId="36" borderId="40" xfId="0" applyFont="1" applyFill="1" applyBorder="1" applyAlignment="1">
      <alignment horizontal="center" vertical="center"/>
    </xf>
    <xf numFmtId="0" fontId="5" fillId="3" borderId="40" xfId="0" applyFont="1" applyFill="1" applyBorder="1" applyAlignment="1">
      <alignment horizontal="center" vertical="center"/>
    </xf>
    <xf numFmtId="0" fontId="7" fillId="5" borderId="53" xfId="0" applyFont="1" applyFill="1" applyBorder="1" applyAlignment="1">
      <alignment vertical="center"/>
    </xf>
    <xf numFmtId="0" fontId="7" fillId="5" borderId="54" xfId="0" applyFont="1" applyFill="1" applyBorder="1" applyAlignment="1">
      <alignment vertical="center"/>
    </xf>
    <xf numFmtId="0" fontId="5" fillId="0" borderId="53" xfId="0" applyFont="1" applyBorder="1" applyAlignment="1">
      <alignment vertical="center"/>
    </xf>
    <xf numFmtId="0" fontId="5" fillId="3" borderId="40" xfId="0" applyFont="1" applyFill="1" applyBorder="1" applyAlignment="1">
      <alignment vertical="center"/>
    </xf>
    <xf numFmtId="0" fontId="5" fillId="0" borderId="40" xfId="0" applyFont="1" applyFill="1" applyBorder="1" applyAlignment="1">
      <alignment vertical="center"/>
    </xf>
    <xf numFmtId="0" fontId="5" fillId="0" borderId="41" xfId="0" applyFont="1" applyBorder="1" applyAlignment="1">
      <alignment vertical="center"/>
    </xf>
    <xf numFmtId="176" fontId="5" fillId="36" borderId="23" xfId="0" applyNumberFormat="1" applyFont="1" applyFill="1" applyBorder="1" applyAlignment="1">
      <alignment horizontal="center" vertical="center"/>
    </xf>
    <xf numFmtId="0" fontId="7" fillId="43" borderId="24" xfId="0" applyFont="1" applyFill="1" applyBorder="1" applyAlignment="1">
      <alignment vertical="center"/>
    </xf>
    <xf numFmtId="0" fontId="7" fillId="36" borderId="24" xfId="0" applyFont="1" applyFill="1" applyBorder="1" applyAlignment="1">
      <alignment vertical="center"/>
    </xf>
    <xf numFmtId="0" fontId="7" fillId="43" borderId="5" xfId="0" applyFont="1" applyFill="1" applyBorder="1" applyAlignment="1">
      <alignment vertical="center"/>
    </xf>
    <xf numFmtId="0" fontId="7" fillId="36" borderId="5" xfId="0" applyFont="1" applyFill="1" applyBorder="1" applyAlignment="1">
      <alignment vertical="center"/>
    </xf>
    <xf numFmtId="0" fontId="7" fillId="43" borderId="31" xfId="0" applyFont="1" applyFill="1" applyBorder="1" applyAlignment="1">
      <alignment vertical="center"/>
    </xf>
    <xf numFmtId="0" fontId="7" fillId="36" borderId="31" xfId="0" applyFont="1" applyFill="1" applyBorder="1" applyAlignment="1">
      <alignment vertical="center"/>
    </xf>
    <xf numFmtId="0" fontId="7" fillId="43" borderId="3" xfId="0" applyFont="1" applyFill="1" applyBorder="1" applyAlignment="1">
      <alignment vertical="center"/>
    </xf>
    <xf numFmtId="0" fontId="7" fillId="36" borderId="8" xfId="0" applyFont="1" applyFill="1" applyBorder="1" applyAlignment="1">
      <alignment vertical="center"/>
    </xf>
    <xf numFmtId="0" fontId="7" fillId="43" borderId="30" xfId="0" applyFont="1" applyFill="1" applyBorder="1" applyAlignment="1">
      <alignment vertical="center"/>
    </xf>
    <xf numFmtId="0" fontId="7" fillId="36" borderId="44" xfId="0" applyFont="1" applyFill="1" applyBorder="1" applyAlignment="1">
      <alignment vertical="center"/>
    </xf>
    <xf numFmtId="0" fontId="7" fillId="43" borderId="53" xfId="0" applyFont="1" applyFill="1" applyBorder="1" applyAlignment="1">
      <alignment vertical="center"/>
    </xf>
    <xf numFmtId="0" fontId="7" fillId="36" borderId="40" xfId="0" applyFont="1" applyFill="1" applyBorder="1" applyAlignment="1">
      <alignment vertical="center"/>
    </xf>
    <xf numFmtId="0" fontId="7" fillId="43" borderId="23" xfId="0" applyFont="1" applyFill="1" applyBorder="1" applyAlignment="1">
      <alignment vertical="center"/>
    </xf>
    <xf numFmtId="0" fontId="9" fillId="36" borderId="24" xfId="0" applyFont="1" applyFill="1" applyBorder="1" applyAlignment="1">
      <alignment vertical="center"/>
    </xf>
    <xf numFmtId="177" fontId="9" fillId="36" borderId="24" xfId="0" applyNumberFormat="1" applyFont="1" applyFill="1" applyBorder="1" applyAlignment="1">
      <alignment vertical="center"/>
    </xf>
    <xf numFmtId="0" fontId="9" fillId="36" borderId="5" xfId="0" applyFont="1" applyFill="1" applyBorder="1" applyAlignment="1">
      <alignment vertical="center"/>
    </xf>
    <xf numFmtId="177" fontId="9" fillId="36" borderId="5" xfId="0" applyNumberFormat="1" applyFont="1" applyFill="1" applyBorder="1" applyAlignment="1">
      <alignment vertical="center"/>
    </xf>
    <xf numFmtId="0" fontId="9" fillId="36" borderId="31" xfId="0" applyFont="1" applyFill="1" applyBorder="1" applyAlignment="1">
      <alignment vertical="center"/>
    </xf>
    <xf numFmtId="177" fontId="9" fillId="36" borderId="31" xfId="0" applyNumberFormat="1" applyFont="1" applyFill="1" applyBorder="1" applyAlignment="1">
      <alignment vertical="center"/>
    </xf>
    <xf numFmtId="0" fontId="9" fillId="36" borderId="8" xfId="0" applyFont="1" applyFill="1" applyBorder="1" applyAlignment="1">
      <alignment vertical="center"/>
    </xf>
    <xf numFmtId="177" fontId="9" fillId="36" borderId="43" xfId="0" applyNumberFormat="1" applyFont="1" applyFill="1" applyBorder="1" applyAlignment="1">
      <alignment vertical="center"/>
    </xf>
    <xf numFmtId="0" fontId="9" fillId="36" borderId="43" xfId="0" applyFont="1" applyFill="1" applyBorder="1" applyAlignment="1">
      <alignment vertical="center"/>
    </xf>
    <xf numFmtId="177" fontId="9" fillId="36" borderId="30" xfId="0" applyNumberFormat="1" applyFont="1" applyFill="1" applyBorder="1" applyAlignment="1">
      <alignment vertical="center"/>
    </xf>
    <xf numFmtId="0" fontId="9" fillId="36" borderId="30" xfId="0" applyFont="1" applyFill="1" applyBorder="1" applyAlignment="1">
      <alignment vertical="center"/>
    </xf>
    <xf numFmtId="0" fontId="9" fillId="36" borderId="53" xfId="0" applyFont="1" applyFill="1" applyBorder="1" applyAlignment="1">
      <alignment vertical="center"/>
    </xf>
    <xf numFmtId="177" fontId="9" fillId="36" borderId="53" xfId="0" applyNumberFormat="1" applyFont="1" applyFill="1" applyBorder="1" applyAlignment="1">
      <alignment vertical="center"/>
    </xf>
    <xf numFmtId="0" fontId="9" fillId="36" borderId="26" xfId="0" applyFont="1" applyFill="1" applyBorder="1" applyAlignment="1">
      <alignment vertical="center"/>
    </xf>
    <xf numFmtId="177" fontId="9" fillId="36" borderId="26" xfId="0" applyNumberFormat="1" applyFont="1" applyFill="1" applyBorder="1" applyAlignment="1">
      <alignment vertical="center"/>
    </xf>
    <xf numFmtId="0" fontId="9" fillId="36" borderId="33" xfId="0" applyFont="1" applyFill="1" applyBorder="1" applyAlignment="1">
      <alignment vertical="center"/>
    </xf>
    <xf numFmtId="177" fontId="9" fillId="36" borderId="33" xfId="0" applyNumberFormat="1" applyFont="1" applyFill="1" applyBorder="1" applyAlignment="1">
      <alignment vertical="center"/>
    </xf>
    <xf numFmtId="0" fontId="7" fillId="44" borderId="24" xfId="0" applyFont="1" applyFill="1" applyBorder="1" applyAlignment="1">
      <alignment vertical="center"/>
    </xf>
    <xf numFmtId="0" fontId="7" fillId="37" borderId="24" xfId="0" applyFont="1" applyFill="1" applyBorder="1" applyAlignment="1">
      <alignment vertical="center"/>
    </xf>
    <xf numFmtId="0" fontId="7" fillId="44" borderId="5" xfId="0" applyFont="1" applyFill="1" applyBorder="1" applyAlignment="1">
      <alignment vertical="center"/>
    </xf>
    <xf numFmtId="0" fontId="7" fillId="37" borderId="5" xfId="0" applyFont="1" applyFill="1" applyBorder="1" applyAlignment="1">
      <alignment vertical="center"/>
    </xf>
    <xf numFmtId="0" fontId="7" fillId="44" borderId="31" xfId="0" applyFont="1" applyFill="1" applyBorder="1" applyAlignment="1">
      <alignment vertical="center"/>
    </xf>
    <xf numFmtId="0" fontId="7" fillId="37" borderId="31" xfId="0" applyFont="1" applyFill="1" applyBorder="1" applyAlignment="1">
      <alignment vertical="center"/>
    </xf>
    <xf numFmtId="0" fontId="7" fillId="44" borderId="23" xfId="0" applyFont="1" applyFill="1" applyBorder="1" applyAlignment="1">
      <alignment vertical="center"/>
    </xf>
    <xf numFmtId="0" fontId="7" fillId="44" borderId="3" xfId="0" applyFont="1" applyFill="1" applyBorder="1" applyAlignment="1">
      <alignment vertical="center"/>
    </xf>
    <xf numFmtId="0" fontId="7" fillId="37" borderId="8" xfId="0" applyFont="1" applyFill="1" applyBorder="1" applyAlignment="1">
      <alignment vertical="center"/>
    </xf>
    <xf numFmtId="0" fontId="7" fillId="44" borderId="30" xfId="0" applyFont="1" applyFill="1" applyBorder="1" applyAlignment="1">
      <alignment vertical="center"/>
    </xf>
    <xf numFmtId="0" fontId="7" fillId="37" borderId="44" xfId="0" applyFont="1" applyFill="1" applyBorder="1" applyAlignment="1">
      <alignment vertical="center"/>
    </xf>
    <xf numFmtId="0" fontId="7" fillId="44" borderId="50" xfId="0" applyFont="1" applyFill="1" applyBorder="1" applyAlignment="1">
      <alignment vertical="center"/>
    </xf>
    <xf numFmtId="0" fontId="7" fillId="37" borderId="19" xfId="0" applyFont="1" applyFill="1" applyBorder="1" applyAlignment="1">
      <alignment vertical="center"/>
    </xf>
    <xf numFmtId="0" fontId="9" fillId="37" borderId="24" xfId="0" applyFont="1" applyFill="1" applyBorder="1" applyAlignment="1">
      <alignment vertical="center"/>
    </xf>
    <xf numFmtId="177" fontId="9" fillId="37" borderId="24" xfId="0" applyNumberFormat="1" applyFont="1" applyFill="1" applyBorder="1" applyAlignment="1">
      <alignment vertical="center"/>
    </xf>
    <xf numFmtId="0" fontId="9" fillId="37" borderId="5" xfId="0" applyFont="1" applyFill="1" applyBorder="1" applyAlignment="1">
      <alignment vertical="center"/>
    </xf>
    <xf numFmtId="177" fontId="9" fillId="37" borderId="5" xfId="0" applyNumberFormat="1" applyFont="1" applyFill="1" applyBorder="1" applyAlignment="1">
      <alignment vertical="center"/>
    </xf>
    <xf numFmtId="0" fontId="9" fillId="37" borderId="31" xfId="0" applyFont="1" applyFill="1" applyBorder="1" applyAlignment="1">
      <alignment vertical="center"/>
    </xf>
    <xf numFmtId="177" fontId="9" fillId="37" borderId="31" xfId="0" applyNumberFormat="1" applyFont="1" applyFill="1" applyBorder="1" applyAlignment="1">
      <alignment vertical="center"/>
    </xf>
    <xf numFmtId="0" fontId="9" fillId="37" borderId="26" xfId="0" applyFont="1" applyFill="1" applyBorder="1" applyAlignment="1">
      <alignment vertical="center"/>
    </xf>
    <xf numFmtId="177" fontId="9" fillId="37" borderId="26" xfId="0" applyNumberFormat="1" applyFont="1" applyFill="1" applyBorder="1" applyAlignment="1">
      <alignment vertical="center"/>
    </xf>
    <xf numFmtId="0" fontId="9" fillId="37" borderId="43" xfId="0" applyFont="1" applyFill="1" applyBorder="1" applyAlignment="1">
      <alignment vertical="center"/>
    </xf>
    <xf numFmtId="177" fontId="9" fillId="37" borderId="43" xfId="0" applyNumberFormat="1" applyFont="1" applyFill="1" applyBorder="1" applyAlignment="1">
      <alignment vertical="center"/>
    </xf>
    <xf numFmtId="0" fontId="9" fillId="37" borderId="30" xfId="0" applyFont="1" applyFill="1" applyBorder="1" applyAlignment="1">
      <alignment vertical="center"/>
    </xf>
    <xf numFmtId="177" fontId="9" fillId="37" borderId="30" xfId="0" applyNumberFormat="1" applyFont="1" applyFill="1" applyBorder="1" applyAlignment="1">
      <alignment vertical="center"/>
    </xf>
    <xf numFmtId="0" fontId="9" fillId="37" borderId="33" xfId="0" applyFont="1" applyFill="1" applyBorder="1" applyAlignment="1">
      <alignment vertical="center"/>
    </xf>
    <xf numFmtId="177" fontId="9" fillId="37" borderId="33" xfId="0" applyNumberFormat="1" applyFont="1" applyFill="1" applyBorder="1" applyAlignment="1">
      <alignment vertical="center"/>
    </xf>
    <xf numFmtId="0" fontId="9" fillId="37" borderId="50" xfId="0" applyFont="1" applyFill="1" applyBorder="1" applyAlignment="1">
      <alignment vertical="center"/>
    </xf>
    <xf numFmtId="177" fontId="9" fillId="37" borderId="50" xfId="0" applyNumberFormat="1" applyFont="1" applyFill="1" applyBorder="1" applyAlignment="1">
      <alignment vertical="center"/>
    </xf>
    <xf numFmtId="176" fontId="5" fillId="6" borderId="24" xfId="0" applyNumberFormat="1" applyFont="1" applyFill="1" applyBorder="1" applyAlignment="1">
      <alignment horizontal="center" vertical="center"/>
    </xf>
    <xf numFmtId="0" fontId="5" fillId="6" borderId="24" xfId="0" applyFont="1" applyFill="1" applyBorder="1" applyAlignment="1">
      <alignment horizontal="center" vertical="center"/>
    </xf>
    <xf numFmtId="176" fontId="5" fillId="6" borderId="5" xfId="0" applyNumberFormat="1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176" fontId="5" fillId="6" borderId="31" xfId="0" applyNumberFormat="1" applyFont="1" applyFill="1" applyBorder="1" applyAlignment="1">
      <alignment horizontal="center" vertical="center"/>
    </xf>
    <xf numFmtId="0" fontId="5" fillId="6" borderId="31" xfId="0" applyFont="1" applyFill="1" applyBorder="1" applyAlignment="1">
      <alignment horizontal="center" vertical="center"/>
    </xf>
    <xf numFmtId="176" fontId="5" fillId="6" borderId="23" xfId="0" applyNumberFormat="1" applyFont="1" applyFill="1" applyBorder="1" applyAlignment="1">
      <alignment horizontal="center" vertical="center"/>
    </xf>
    <xf numFmtId="176" fontId="5" fillId="6" borderId="30" xfId="0" applyNumberFormat="1" applyFont="1" applyFill="1" applyBorder="1" applyAlignment="1">
      <alignment horizontal="center" vertical="center"/>
    </xf>
    <xf numFmtId="176" fontId="5" fillId="6" borderId="50" xfId="0" applyNumberFormat="1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7" fillId="45" borderId="24" xfId="0" applyFont="1" applyFill="1" applyBorder="1" applyAlignment="1">
      <alignment vertical="center"/>
    </xf>
    <xf numFmtId="0" fontId="7" fillId="6" borderId="24" xfId="0" applyFont="1" applyFill="1" applyBorder="1" applyAlignment="1">
      <alignment vertical="center"/>
    </xf>
    <xf numFmtId="0" fontId="7" fillId="45" borderId="5" xfId="0" applyFont="1" applyFill="1" applyBorder="1" applyAlignment="1">
      <alignment vertical="center"/>
    </xf>
    <xf numFmtId="0" fontId="7" fillId="6" borderId="5" xfId="0" applyFont="1" applyFill="1" applyBorder="1" applyAlignment="1">
      <alignment vertical="center"/>
    </xf>
    <xf numFmtId="0" fontId="7" fillId="45" borderId="31" xfId="0" applyFont="1" applyFill="1" applyBorder="1" applyAlignment="1">
      <alignment vertical="center"/>
    </xf>
    <xf numFmtId="0" fontId="7" fillId="6" borderId="31" xfId="0" applyFont="1" applyFill="1" applyBorder="1" applyAlignment="1">
      <alignment vertical="center"/>
    </xf>
    <xf numFmtId="0" fontId="7" fillId="45" borderId="23" xfId="0" applyFont="1" applyFill="1" applyBorder="1" applyAlignment="1">
      <alignment vertical="center"/>
    </xf>
    <xf numFmtId="0" fontId="7" fillId="45" borderId="30" xfId="0" applyFont="1" applyFill="1" applyBorder="1" applyAlignment="1">
      <alignment vertical="center"/>
    </xf>
    <xf numFmtId="0" fontId="7" fillId="45" borderId="50" xfId="0" applyFont="1" applyFill="1" applyBorder="1" applyAlignment="1">
      <alignment vertical="center"/>
    </xf>
    <xf numFmtId="0" fontId="7" fillId="6" borderId="19" xfId="0" applyFont="1" applyFill="1" applyBorder="1" applyAlignment="1">
      <alignment vertical="center"/>
    </xf>
    <xf numFmtId="0" fontId="9" fillId="6" borderId="24" xfId="0" applyFont="1" applyFill="1" applyBorder="1" applyAlignment="1">
      <alignment vertical="center"/>
    </xf>
    <xf numFmtId="177" fontId="9" fillId="6" borderId="24" xfId="0" applyNumberFormat="1" applyFont="1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177" fontId="9" fillId="6" borderId="5" xfId="0" applyNumberFormat="1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31" xfId="0" applyFont="1" applyFill="1" applyBorder="1" applyAlignment="1">
      <alignment vertical="center"/>
    </xf>
    <xf numFmtId="177" fontId="9" fillId="6" borderId="31" xfId="0" applyNumberFormat="1" applyFont="1" applyFill="1" applyBorder="1" applyAlignment="1">
      <alignment vertical="center"/>
    </xf>
    <xf numFmtId="0" fontId="9" fillId="6" borderId="26" xfId="0" applyFont="1" applyFill="1" applyBorder="1" applyAlignment="1">
      <alignment vertical="center"/>
    </xf>
    <xf numFmtId="177" fontId="9" fillId="6" borderId="26" xfId="0" applyNumberFormat="1" applyFont="1" applyFill="1" applyBorder="1" applyAlignment="1">
      <alignment vertical="center"/>
    </xf>
    <xf numFmtId="0" fontId="9" fillId="6" borderId="33" xfId="0" applyFont="1" applyFill="1" applyBorder="1" applyAlignment="1">
      <alignment vertical="center"/>
    </xf>
    <xf numFmtId="177" fontId="9" fillId="6" borderId="33" xfId="0" applyNumberFormat="1" applyFont="1" applyFill="1" applyBorder="1" applyAlignment="1">
      <alignment vertical="center"/>
    </xf>
    <xf numFmtId="0" fontId="9" fillId="6" borderId="50" xfId="0" applyFont="1" applyFill="1" applyBorder="1" applyAlignment="1">
      <alignment vertical="center"/>
    </xf>
    <xf numFmtId="177" fontId="9" fillId="6" borderId="50" xfId="0" applyNumberFormat="1" applyFont="1" applyFill="1" applyBorder="1" applyAlignment="1">
      <alignment vertical="center"/>
    </xf>
    <xf numFmtId="0" fontId="0" fillId="37" borderId="38" xfId="0" applyNumberFormat="1" applyFill="1" applyBorder="1"/>
    <xf numFmtId="0" fontId="0" fillId="37" borderId="5" xfId="0" applyFill="1" applyBorder="1"/>
    <xf numFmtId="38" fontId="0" fillId="37" borderId="46" xfId="0" applyNumberFormat="1" applyFill="1" applyBorder="1"/>
    <xf numFmtId="0" fontId="0" fillId="37" borderId="37" xfId="0" applyNumberFormat="1" applyFill="1" applyBorder="1"/>
    <xf numFmtId="0" fontId="0" fillId="37" borderId="31" xfId="0" applyFill="1" applyBorder="1"/>
    <xf numFmtId="38" fontId="0" fillId="37" borderId="47" xfId="0" applyNumberFormat="1" applyFill="1" applyBorder="1"/>
    <xf numFmtId="0" fontId="0" fillId="46" borderId="24" xfId="0" applyFill="1" applyBorder="1"/>
    <xf numFmtId="0" fontId="0" fillId="46" borderId="5" xfId="0" applyFill="1" applyBorder="1"/>
    <xf numFmtId="0" fontId="0" fillId="46" borderId="31" xfId="0" applyFill="1" applyBorder="1"/>
    <xf numFmtId="0" fontId="0" fillId="46" borderId="36" xfId="0" applyNumberFormat="1" applyFill="1" applyBorder="1"/>
    <xf numFmtId="38" fontId="0" fillId="46" borderId="45" xfId="0" applyNumberFormat="1" applyFill="1" applyBorder="1"/>
    <xf numFmtId="0" fontId="0" fillId="46" borderId="38" xfId="0" applyNumberFormat="1" applyFill="1" applyBorder="1"/>
    <xf numFmtId="38" fontId="0" fillId="46" borderId="46" xfId="0" applyNumberFormat="1" applyFill="1" applyBorder="1"/>
    <xf numFmtId="0" fontId="0" fillId="46" borderId="37" xfId="0" applyNumberFormat="1" applyFill="1" applyBorder="1"/>
    <xf numFmtId="38" fontId="0" fillId="46" borderId="47" xfId="0" applyNumberFormat="1" applyFill="1" applyBorder="1"/>
    <xf numFmtId="176" fontId="5" fillId="6" borderId="8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7" fillId="45" borderId="8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9" fillId="6" borderId="8" xfId="0" applyFont="1" applyFill="1" applyBorder="1" applyAlignment="1">
      <alignment vertical="center"/>
    </xf>
    <xf numFmtId="177" fontId="9" fillId="6" borderId="8" xfId="0" applyNumberFormat="1" applyFont="1" applyFill="1" applyBorder="1" applyAlignment="1">
      <alignment vertical="center"/>
    </xf>
    <xf numFmtId="0" fontId="0" fillId="37" borderId="8" xfId="0" applyFill="1" applyBorder="1"/>
    <xf numFmtId="176" fontId="5" fillId="32" borderId="30" xfId="0" applyNumberFormat="1" applyFont="1" applyFill="1" applyBorder="1" applyAlignment="1">
      <alignment horizontal="center" vertical="center"/>
    </xf>
    <xf numFmtId="0" fontId="5" fillId="32" borderId="31" xfId="0" applyFont="1" applyFill="1" applyBorder="1" applyAlignment="1">
      <alignment horizontal="center" vertical="center"/>
    </xf>
    <xf numFmtId="0" fontId="7" fillId="42" borderId="30" xfId="0" applyFont="1" applyFill="1" applyBorder="1" applyAlignment="1">
      <alignment vertical="center"/>
    </xf>
    <xf numFmtId="0" fontId="7" fillId="32" borderId="31" xfId="0" applyFont="1" applyFill="1" applyBorder="1" applyAlignment="1">
      <alignment vertical="center"/>
    </xf>
    <xf numFmtId="0" fontId="9" fillId="32" borderId="33" xfId="0" applyFont="1" applyFill="1" applyBorder="1" applyAlignment="1">
      <alignment vertical="center"/>
    </xf>
    <xf numFmtId="177" fontId="9" fillId="32" borderId="33" xfId="0" applyNumberFormat="1" applyFont="1" applyFill="1" applyBorder="1" applyAlignment="1">
      <alignment vertical="center"/>
    </xf>
    <xf numFmtId="0" fontId="7" fillId="5" borderId="56" xfId="0" applyFont="1" applyFill="1" applyBorder="1" applyAlignment="1">
      <alignment vertical="center"/>
    </xf>
    <xf numFmtId="0" fontId="52" fillId="40" borderId="0" xfId="0" applyFont="1" applyFill="1" applyBorder="1"/>
    <xf numFmtId="0" fontId="0" fillId="6" borderId="0" xfId="0" applyFill="1" applyBorder="1"/>
    <xf numFmtId="38" fontId="0" fillId="0" borderId="0" xfId="0" applyNumberFormat="1"/>
    <xf numFmtId="0" fontId="0" fillId="46" borderId="0" xfId="0" applyFill="1" applyBorder="1"/>
    <xf numFmtId="0" fontId="0" fillId="41" borderId="0" xfId="0" applyFill="1" applyBorder="1"/>
    <xf numFmtId="40" fontId="0" fillId="0" borderId="0" xfId="0" applyNumberFormat="1"/>
    <xf numFmtId="0" fontId="0" fillId="35" borderId="0" xfId="0" applyFill="1" applyBorder="1"/>
    <xf numFmtId="0" fontId="53" fillId="7" borderId="36" xfId="0" applyFont="1" applyFill="1" applyBorder="1" applyAlignment="1">
      <alignment vertical="center"/>
    </xf>
    <xf numFmtId="0" fontId="53" fillId="7" borderId="38" xfId="0" applyFont="1" applyFill="1" applyBorder="1" applyAlignment="1">
      <alignment vertical="center"/>
    </xf>
    <xf numFmtId="0" fontId="53" fillId="7" borderId="37" xfId="0" applyFont="1" applyFill="1" applyBorder="1" applyAlignment="1">
      <alignment vertical="center"/>
    </xf>
    <xf numFmtId="0" fontId="53" fillId="7" borderId="39" xfId="0" applyFont="1" applyFill="1" applyBorder="1" applyAlignment="1">
      <alignment vertical="center"/>
    </xf>
    <xf numFmtId="0" fontId="53" fillId="7" borderId="22" xfId="0" applyFont="1" applyFill="1" applyBorder="1" applyAlignment="1">
      <alignment vertical="center"/>
    </xf>
    <xf numFmtId="0" fontId="53" fillId="7" borderId="29" xfId="0" applyFont="1" applyFill="1" applyBorder="1" applyAlignment="1">
      <alignment vertical="center"/>
    </xf>
    <xf numFmtId="0" fontId="53" fillId="7" borderId="28" xfId="0" applyFont="1" applyFill="1" applyBorder="1" applyAlignment="1">
      <alignment vertical="center"/>
    </xf>
    <xf numFmtId="0" fontId="53" fillId="7" borderId="52" xfId="0" applyFont="1" applyFill="1" applyBorder="1" applyAlignment="1">
      <alignment vertical="center"/>
    </xf>
    <xf numFmtId="0" fontId="13" fillId="7" borderId="59" xfId="0" applyFont="1" applyFill="1" applyBorder="1" applyAlignment="1">
      <alignment vertical="center"/>
    </xf>
    <xf numFmtId="176" fontId="5" fillId="6" borderId="26" xfId="0" applyNumberFormat="1" applyFont="1" applyFill="1" applyBorder="1" applyAlignment="1">
      <alignment horizontal="center" vertical="center"/>
    </xf>
    <xf numFmtId="0" fontId="7" fillId="45" borderId="26" xfId="0" applyFont="1" applyFill="1" applyBorder="1" applyAlignment="1">
      <alignment vertical="center"/>
    </xf>
    <xf numFmtId="0" fontId="7" fillId="5" borderId="60" xfId="0" applyFont="1" applyFill="1" applyBorder="1" applyAlignment="1">
      <alignment vertical="center"/>
    </xf>
    <xf numFmtId="0" fontId="9" fillId="46" borderId="26" xfId="0" applyFont="1" applyFill="1" applyBorder="1" applyAlignment="1">
      <alignment vertical="center"/>
    </xf>
    <xf numFmtId="177" fontId="9" fillId="46" borderId="26" xfId="0" applyNumberFormat="1" applyFont="1" applyFill="1" applyBorder="1" applyAlignment="1">
      <alignment vertical="center"/>
    </xf>
    <xf numFmtId="0" fontId="7" fillId="5" borderId="61" xfId="0" applyFont="1" applyFill="1" applyBorder="1" applyAlignment="1">
      <alignment vertical="center"/>
    </xf>
    <xf numFmtId="0" fontId="5" fillId="0" borderId="62" xfId="0" applyFont="1" applyBorder="1" applyAlignment="1">
      <alignment vertical="center"/>
    </xf>
    <xf numFmtId="0" fontId="13" fillId="7" borderId="63" xfId="0" applyFont="1" applyFill="1" applyBorder="1" applyAlignment="1">
      <alignment vertical="center"/>
    </xf>
    <xf numFmtId="176" fontId="5" fillId="37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vertical="center"/>
    </xf>
    <xf numFmtId="0" fontId="7" fillId="44" borderId="4" xfId="0" applyFont="1" applyFill="1" applyBorder="1" applyAlignment="1">
      <alignment vertical="center"/>
    </xf>
    <xf numFmtId="0" fontId="7" fillId="5" borderId="64" xfId="0" applyFont="1" applyFill="1" applyBorder="1" applyAlignment="1">
      <alignment vertical="center"/>
    </xf>
    <xf numFmtId="0" fontId="9" fillId="37" borderId="4" xfId="0" applyFont="1" applyFill="1" applyBorder="1" applyAlignment="1">
      <alignment vertical="center"/>
    </xf>
    <xf numFmtId="177" fontId="9" fillId="37" borderId="4" xfId="0" applyNumberFormat="1" applyFont="1" applyFill="1" applyBorder="1" applyAlignment="1">
      <alignment vertical="center"/>
    </xf>
    <xf numFmtId="0" fontId="7" fillId="5" borderId="65" xfId="0" applyFont="1" applyFill="1" applyBorder="1" applyAlignment="1">
      <alignment vertical="center"/>
    </xf>
    <xf numFmtId="0" fontId="5" fillId="0" borderId="66" xfId="0" applyFont="1" applyBorder="1" applyAlignment="1">
      <alignment vertical="center"/>
    </xf>
    <xf numFmtId="176" fontId="5" fillId="32" borderId="4" xfId="0" applyNumberFormat="1" applyFont="1" applyFill="1" applyBorder="1" applyAlignment="1">
      <alignment horizontal="center" vertical="center"/>
    </xf>
    <xf numFmtId="0" fontId="7" fillId="42" borderId="4" xfId="0" applyFont="1" applyFill="1" applyBorder="1" applyAlignment="1">
      <alignment vertical="center"/>
    </xf>
    <xf numFmtId="176" fontId="5" fillId="32" borderId="68" xfId="0" applyNumberFormat="1" applyFont="1" applyFill="1" applyBorder="1" applyAlignment="1">
      <alignment horizontal="center" vertical="center"/>
    </xf>
    <xf numFmtId="0" fontId="7" fillId="5" borderId="68" xfId="0" applyFont="1" applyFill="1" applyBorder="1" applyAlignment="1">
      <alignment vertical="center"/>
    </xf>
    <xf numFmtId="0" fontId="7" fillId="42" borderId="68" xfId="0" applyFont="1" applyFill="1" applyBorder="1" applyAlignment="1">
      <alignment vertical="center"/>
    </xf>
    <xf numFmtId="0" fontId="7" fillId="5" borderId="69" xfId="0" applyFont="1" applyFill="1" applyBorder="1" applyAlignment="1">
      <alignment vertical="center"/>
    </xf>
    <xf numFmtId="0" fontId="5" fillId="0" borderId="70" xfId="0" applyFont="1" applyBorder="1" applyAlignment="1">
      <alignment vertical="center"/>
    </xf>
    <xf numFmtId="0" fontId="13" fillId="7" borderId="71" xfId="0" applyFont="1" applyFill="1" applyBorder="1" applyAlignment="1">
      <alignment vertical="center"/>
    </xf>
    <xf numFmtId="0" fontId="7" fillId="5" borderId="72" xfId="0" applyFont="1" applyFill="1" applyBorder="1" applyAlignment="1">
      <alignment vertical="center"/>
    </xf>
    <xf numFmtId="0" fontId="5" fillId="0" borderId="73" xfId="0" applyFont="1" applyBorder="1" applyAlignment="1">
      <alignment vertical="center"/>
    </xf>
    <xf numFmtId="0" fontId="13" fillId="0" borderId="70" xfId="0" applyFont="1" applyFill="1" applyBorder="1" applyAlignment="1">
      <alignment vertical="center"/>
    </xf>
    <xf numFmtId="0" fontId="5" fillId="3" borderId="70" xfId="0" applyFont="1" applyFill="1" applyBorder="1" applyAlignment="1">
      <alignment vertical="center"/>
    </xf>
    <xf numFmtId="0" fontId="5" fillId="0" borderId="70" xfId="0" applyFont="1" applyBorder="1" applyAlignment="1">
      <alignment horizontal="center" vertical="center"/>
    </xf>
    <xf numFmtId="0" fontId="53" fillId="7" borderId="59" xfId="0" applyFont="1" applyFill="1" applyBorder="1" applyAlignment="1">
      <alignment vertical="center"/>
    </xf>
    <xf numFmtId="0" fontId="53" fillId="7" borderId="63" xfId="0" applyFont="1" applyFill="1" applyBorder="1" applyAlignment="1">
      <alignment vertical="center"/>
    </xf>
    <xf numFmtId="0" fontId="53" fillId="7" borderId="67" xfId="0" applyFont="1" applyFill="1" applyBorder="1" applyAlignment="1">
      <alignment vertical="center"/>
    </xf>
    <xf numFmtId="176" fontId="5" fillId="0" borderId="26" xfId="0" applyNumberFormat="1" applyFont="1" applyFill="1" applyBorder="1" applyAlignment="1">
      <alignment horizontal="center" vertical="center"/>
    </xf>
    <xf numFmtId="176" fontId="5" fillId="0" borderId="4" xfId="0" applyNumberFormat="1" applyFont="1" applyFill="1" applyBorder="1" applyAlignment="1">
      <alignment horizontal="center" vertical="center"/>
    </xf>
    <xf numFmtId="0" fontId="7" fillId="0" borderId="26" xfId="0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9" fillId="0" borderId="26" xfId="0" applyFont="1" applyFill="1" applyBorder="1" applyAlignment="1">
      <alignment vertical="center"/>
    </xf>
    <xf numFmtId="177" fontId="9" fillId="0" borderId="26" xfId="0" applyNumberFormat="1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177" fontId="9" fillId="0" borderId="4" xfId="0" applyNumberFormat="1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33" xfId="0" applyFont="1" applyBorder="1" applyAlignment="1">
      <alignment vertical="center"/>
    </xf>
    <xf numFmtId="0" fontId="5" fillId="3" borderId="70" xfId="0" applyFont="1" applyFill="1" applyBorder="1" applyAlignment="1">
      <alignment horizontal="center" vertical="center"/>
    </xf>
    <xf numFmtId="0" fontId="5" fillId="0" borderId="70" xfId="0" applyFont="1" applyFill="1" applyBorder="1" applyAlignment="1">
      <alignment vertical="center"/>
    </xf>
    <xf numFmtId="0" fontId="9" fillId="0" borderId="24" xfId="0" applyFont="1" applyFill="1" applyBorder="1" applyAlignment="1">
      <alignment vertical="center"/>
    </xf>
    <xf numFmtId="177" fontId="9" fillId="0" borderId="24" xfId="0" applyNumberFormat="1" applyFont="1" applyFill="1" applyBorder="1" applyAlignment="1">
      <alignment vertical="center"/>
    </xf>
    <xf numFmtId="0" fontId="9" fillId="0" borderId="5" xfId="0" applyFont="1" applyFill="1" applyBorder="1" applyAlignment="1">
      <alignment vertical="center"/>
    </xf>
    <xf numFmtId="177" fontId="9" fillId="0" borderId="5" xfId="0" applyNumberFormat="1" applyFont="1" applyFill="1" applyBorder="1" applyAlignment="1">
      <alignment vertical="center"/>
    </xf>
    <xf numFmtId="0" fontId="9" fillId="0" borderId="33" xfId="0" applyFont="1" applyFill="1" applyBorder="1" applyAlignment="1">
      <alignment vertical="center"/>
    </xf>
    <xf numFmtId="177" fontId="9" fillId="0" borderId="33" xfId="0" applyNumberFormat="1" applyFont="1" applyFill="1" applyBorder="1" applyAlignment="1">
      <alignment vertical="center"/>
    </xf>
    <xf numFmtId="0" fontId="7" fillId="0" borderId="33" xfId="0" applyFont="1" applyFill="1" applyBorder="1" applyAlignment="1">
      <alignment vertical="center"/>
    </xf>
    <xf numFmtId="176" fontId="5" fillId="0" borderId="24" xfId="0" applyNumberFormat="1" applyFont="1" applyFill="1" applyBorder="1" applyAlignment="1">
      <alignment horizontal="center" vertical="center"/>
    </xf>
    <xf numFmtId="176" fontId="5" fillId="0" borderId="5" xfId="0" applyNumberFormat="1" applyFont="1" applyFill="1" applyBorder="1" applyAlignment="1">
      <alignment horizontal="center" vertical="center"/>
    </xf>
    <xf numFmtId="176" fontId="5" fillId="0" borderId="31" xfId="0" applyNumberFormat="1" applyFont="1" applyFill="1" applyBorder="1" applyAlignment="1">
      <alignment horizontal="center" vertical="center"/>
    </xf>
    <xf numFmtId="0" fontId="5" fillId="6" borderId="20" xfId="0" applyFont="1" applyFill="1" applyBorder="1" applyAlignment="1">
      <alignment horizontal="left" vertical="center"/>
    </xf>
    <xf numFmtId="0" fontId="5" fillId="0" borderId="57" xfId="0" applyFont="1" applyBorder="1" applyAlignment="1">
      <alignment vertical="center"/>
    </xf>
    <xf numFmtId="0" fontId="5" fillId="0" borderId="74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0" borderId="75" xfId="0" applyFont="1" applyBorder="1" applyAlignment="1">
      <alignment vertical="center"/>
    </xf>
    <xf numFmtId="0" fontId="5" fillId="0" borderId="76" xfId="0" applyFont="1" applyBorder="1" applyAlignment="1">
      <alignment vertical="center"/>
    </xf>
    <xf numFmtId="0" fontId="5" fillId="0" borderId="77" xfId="0" applyFont="1" applyBorder="1" applyAlignment="1">
      <alignment vertical="center"/>
    </xf>
    <xf numFmtId="0" fontId="5" fillId="0" borderId="48" xfId="0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7" fillId="47" borderId="24" xfId="0" applyFont="1" applyFill="1" applyBorder="1" applyAlignment="1">
      <alignment vertical="center"/>
    </xf>
    <xf numFmtId="0" fontId="7" fillId="47" borderId="5" xfId="0" applyFont="1" applyFill="1" applyBorder="1" applyAlignment="1">
      <alignment vertical="center"/>
    </xf>
    <xf numFmtId="0" fontId="7" fillId="47" borderId="64" xfId="0" applyFont="1" applyFill="1" applyBorder="1" applyAlignment="1">
      <alignment vertical="center"/>
    </xf>
    <xf numFmtId="0" fontId="7" fillId="47" borderId="72" xfId="0" applyFont="1" applyFill="1" applyBorder="1" applyAlignment="1">
      <alignment vertical="center"/>
    </xf>
    <xf numFmtId="0" fontId="7" fillId="13" borderId="4" xfId="0" applyFont="1" applyFill="1" applyBorder="1" applyAlignment="1">
      <alignment vertical="center"/>
    </xf>
    <xf numFmtId="0" fontId="7" fillId="47" borderId="4" xfId="0" applyFont="1" applyFill="1" applyBorder="1" applyAlignment="1">
      <alignment vertical="center"/>
    </xf>
    <xf numFmtId="0" fontId="7" fillId="47" borderId="33" xfId="0" applyFont="1" applyFill="1" applyBorder="1" applyAlignment="1">
      <alignment vertical="center"/>
    </xf>
    <xf numFmtId="0" fontId="7" fillId="47" borderId="26" xfId="0" applyFont="1" applyFill="1" applyBorder="1" applyAlignment="1">
      <alignment vertical="center"/>
    </xf>
    <xf numFmtId="0" fontId="7" fillId="47" borderId="61" xfId="0" applyFont="1" applyFill="1" applyBorder="1" applyAlignment="1">
      <alignment vertical="center"/>
    </xf>
    <xf numFmtId="0" fontId="7" fillId="47" borderId="65" xfId="0" applyFont="1" applyFill="1" applyBorder="1" applyAlignment="1">
      <alignment vertical="center"/>
    </xf>
    <xf numFmtId="0" fontId="15" fillId="7" borderId="27" xfId="0" applyFont="1" applyFill="1" applyBorder="1" applyAlignment="1">
      <alignment vertical="center"/>
    </xf>
    <xf numFmtId="0" fontId="15" fillId="7" borderId="35" xfId="0" applyFont="1" applyFill="1" applyBorder="1" applyAlignment="1">
      <alignment vertical="center"/>
    </xf>
    <xf numFmtId="0" fontId="15" fillId="7" borderId="41" xfId="0" applyFont="1" applyFill="1" applyBorder="1" applyAlignment="1">
      <alignment vertical="center"/>
    </xf>
    <xf numFmtId="0" fontId="15" fillId="7" borderId="0" xfId="0" applyFont="1" applyFill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7" fillId="0" borderId="36" xfId="0" applyFont="1" applyFill="1" applyBorder="1" applyAlignment="1">
      <alignment vertical="center"/>
    </xf>
    <xf numFmtId="0" fontId="17" fillId="0" borderId="38" xfId="0" applyFont="1" applyFill="1" applyBorder="1" applyAlignment="1">
      <alignment vertical="center"/>
    </xf>
    <xf numFmtId="0" fontId="17" fillId="0" borderId="5" xfId="0" applyFont="1" applyFill="1" applyBorder="1" applyAlignment="1">
      <alignment horizontal="left" vertical="center"/>
    </xf>
    <xf numFmtId="0" fontId="17" fillId="0" borderId="5" xfId="0" applyFont="1" applyFill="1" applyBorder="1" applyAlignment="1">
      <alignment horizontal="left" vertical="center" wrapText="1"/>
    </xf>
    <xf numFmtId="14" fontId="17" fillId="0" borderId="5" xfId="0" applyNumberFormat="1" applyFont="1" applyFill="1" applyBorder="1" applyAlignment="1">
      <alignment horizontal="left" vertical="center"/>
    </xf>
    <xf numFmtId="0" fontId="17" fillId="6" borderId="5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vertical="center" wrapText="1"/>
    </xf>
    <xf numFmtId="0" fontId="12" fillId="0" borderId="5" xfId="0" applyFont="1" applyFill="1" applyBorder="1" applyAlignment="1">
      <alignment vertical="center"/>
    </xf>
    <xf numFmtId="0" fontId="12" fillId="0" borderId="5" xfId="0" applyFont="1" applyFill="1" applyBorder="1" applyAlignment="1">
      <alignment horizontal="left" vertical="center"/>
    </xf>
    <xf numFmtId="0" fontId="12" fillId="0" borderId="5" xfId="0" applyFont="1" applyFill="1" applyBorder="1" applyAlignment="1">
      <alignment horizontal="left" vertical="center" wrapText="1"/>
    </xf>
    <xf numFmtId="0" fontId="17" fillId="14" borderId="5" xfId="0" applyFont="1" applyFill="1" applyBorder="1" applyAlignment="1">
      <alignment horizontal="left" vertical="center" wrapText="1"/>
    </xf>
    <xf numFmtId="0" fontId="17" fillId="14" borderId="5" xfId="0" applyFont="1" applyFill="1" applyBorder="1" applyAlignment="1">
      <alignment vertical="center"/>
    </xf>
    <xf numFmtId="0" fontId="17" fillId="14" borderId="24" xfId="0" applyFont="1" applyFill="1" applyBorder="1" applyAlignment="1">
      <alignment vertical="center"/>
    </xf>
    <xf numFmtId="0" fontId="17" fillId="14" borderId="46" xfId="0" applyFont="1" applyFill="1" applyBorder="1" applyAlignment="1">
      <alignment vertical="center"/>
    </xf>
    <xf numFmtId="0" fontId="0" fillId="0" borderId="36" xfId="0" applyNumberFormat="1" applyFill="1" applyBorder="1"/>
    <xf numFmtId="0" fontId="0" fillId="0" borderId="24" xfId="0" applyFill="1" applyBorder="1"/>
    <xf numFmtId="38" fontId="0" fillId="0" borderId="45" xfId="0" applyNumberFormat="1" applyFill="1" applyBorder="1"/>
    <xf numFmtId="0" fontId="0" fillId="0" borderId="5" xfId="0" applyFill="1" applyBorder="1"/>
    <xf numFmtId="38" fontId="0" fillId="0" borderId="46" xfId="0" applyNumberFormat="1" applyFill="1" applyBorder="1"/>
    <xf numFmtId="0" fontId="0" fillId="0" borderId="31" xfId="0" applyFill="1" applyBorder="1"/>
    <xf numFmtId="38" fontId="0" fillId="0" borderId="47" xfId="0" applyNumberFormat="1" applyFill="1" applyBorder="1"/>
    <xf numFmtId="0" fontId="0" fillId="0" borderId="39" xfId="0" applyNumberFormat="1" applyFill="1" applyBorder="1"/>
    <xf numFmtId="0" fontId="0" fillId="0" borderId="8" xfId="0" applyFill="1" applyBorder="1"/>
    <xf numFmtId="38" fontId="0" fillId="0" borderId="55" xfId="0" applyNumberFormat="1" applyFill="1" applyBorder="1"/>
    <xf numFmtId="0" fontId="0" fillId="0" borderId="38" xfId="0" applyNumberFormat="1" applyFill="1" applyBorder="1"/>
    <xf numFmtId="0" fontId="0" fillId="0" borderId="37" xfId="0" applyNumberFormat="1" applyFill="1" applyBorder="1"/>
    <xf numFmtId="0" fontId="0" fillId="0" borderId="36" xfId="0" applyFill="1" applyBorder="1"/>
    <xf numFmtId="0" fontId="0" fillId="0" borderId="45" xfId="0" applyFill="1" applyBorder="1"/>
    <xf numFmtId="0" fontId="0" fillId="0" borderId="38" xfId="0" applyFill="1" applyBorder="1"/>
    <xf numFmtId="0" fontId="0" fillId="0" borderId="46" xfId="0" applyFill="1" applyBorder="1"/>
    <xf numFmtId="0" fontId="0" fillId="0" borderId="37" xfId="0" applyFill="1" applyBorder="1"/>
    <xf numFmtId="0" fontId="0" fillId="0" borderId="2" xfId="0" applyFill="1" applyBorder="1"/>
    <xf numFmtId="0" fontId="0" fillId="0" borderId="49" xfId="0" applyFill="1" applyBorder="1"/>
    <xf numFmtId="0" fontId="0" fillId="0" borderId="47" xfId="0" applyFill="1" applyBorder="1"/>
    <xf numFmtId="0" fontId="0" fillId="0" borderId="39" xfId="0" applyFill="1" applyBorder="1"/>
    <xf numFmtId="0" fontId="0" fillId="0" borderId="55" xfId="0" applyFill="1" applyBorder="1"/>
    <xf numFmtId="0" fontId="0" fillId="46" borderId="39" xfId="0" applyFill="1" applyBorder="1"/>
    <xf numFmtId="0" fontId="0" fillId="46" borderId="8" xfId="0" applyFill="1" applyBorder="1"/>
    <xf numFmtId="38" fontId="0" fillId="46" borderId="55" xfId="1112" applyFont="1" applyFill="1" applyBorder="1"/>
    <xf numFmtId="38" fontId="0" fillId="46" borderId="46" xfId="1112" applyFont="1" applyFill="1" applyBorder="1"/>
    <xf numFmtId="0" fontId="0" fillId="46" borderId="37" xfId="0" applyFill="1" applyBorder="1"/>
    <xf numFmtId="38" fontId="0" fillId="46" borderId="47" xfId="1112" applyFont="1" applyFill="1" applyBorder="1"/>
    <xf numFmtId="0" fontId="0" fillId="37" borderId="39" xfId="0" applyFill="1" applyBorder="1"/>
    <xf numFmtId="38" fontId="0" fillId="37" borderId="55" xfId="1112" applyFont="1" applyFill="1" applyBorder="1"/>
    <xf numFmtId="38" fontId="0" fillId="37" borderId="46" xfId="1112" applyFont="1" applyFill="1" applyBorder="1"/>
    <xf numFmtId="0" fontId="0" fillId="37" borderId="37" xfId="0" applyFill="1" applyBorder="1"/>
    <xf numFmtId="38" fontId="0" fillId="37" borderId="47" xfId="1112" applyFont="1" applyFill="1" applyBorder="1"/>
    <xf numFmtId="0" fontId="0" fillId="46" borderId="36" xfId="1112" applyNumberFormat="1" applyFont="1" applyFill="1" applyBorder="1"/>
    <xf numFmtId="0" fontId="0" fillId="46" borderId="24" xfId="1112" applyNumberFormat="1" applyFont="1" applyFill="1" applyBorder="1"/>
    <xf numFmtId="0" fontId="0" fillId="46" borderId="45" xfId="1112" applyNumberFormat="1" applyFont="1" applyFill="1" applyBorder="1"/>
    <xf numFmtId="0" fontId="0" fillId="46" borderId="38" xfId="1112" applyNumberFormat="1" applyFont="1" applyFill="1" applyBorder="1"/>
    <xf numFmtId="0" fontId="0" fillId="46" borderId="5" xfId="1112" applyNumberFormat="1" applyFont="1" applyFill="1" applyBorder="1"/>
    <xf numFmtId="0" fontId="0" fillId="46" borderId="37" xfId="1112" applyNumberFormat="1" applyFont="1" applyFill="1" applyBorder="1"/>
    <xf numFmtId="0" fontId="0" fillId="46" borderId="31" xfId="1112" applyNumberFormat="1" applyFont="1" applyFill="1" applyBorder="1"/>
    <xf numFmtId="0" fontId="0" fillId="37" borderId="36" xfId="1112" applyNumberFormat="1" applyFont="1" applyFill="1" applyBorder="1"/>
    <xf numFmtId="0" fontId="0" fillId="37" borderId="24" xfId="1112" applyNumberFormat="1" applyFont="1" applyFill="1" applyBorder="1"/>
    <xf numFmtId="0" fontId="0" fillId="37" borderId="45" xfId="1112" applyNumberFormat="1" applyFont="1" applyFill="1" applyBorder="1"/>
    <xf numFmtId="0" fontId="0" fillId="37" borderId="38" xfId="1112" applyNumberFormat="1" applyFont="1" applyFill="1" applyBorder="1"/>
    <xf numFmtId="0" fontId="0" fillId="37" borderId="5" xfId="1112" applyNumberFormat="1" applyFont="1" applyFill="1" applyBorder="1"/>
    <xf numFmtId="0" fontId="0" fillId="37" borderId="37" xfId="1112" applyNumberFormat="1" applyFont="1" applyFill="1" applyBorder="1"/>
    <xf numFmtId="0" fontId="0" fillId="37" borderId="31" xfId="1112" applyNumberFormat="1" applyFont="1" applyFill="1" applyBorder="1"/>
    <xf numFmtId="0" fontId="0" fillId="37" borderId="2" xfId="0" applyFill="1" applyBorder="1"/>
    <xf numFmtId="0" fontId="0" fillId="37" borderId="36" xfId="0" applyFill="1" applyBorder="1"/>
    <xf numFmtId="0" fontId="0" fillId="37" borderId="24" xfId="0" applyFill="1" applyBorder="1"/>
    <xf numFmtId="38" fontId="0" fillId="37" borderId="45" xfId="1112" applyFont="1" applyFill="1" applyBorder="1"/>
    <xf numFmtId="0" fontId="0" fillId="37" borderId="36" xfId="0" applyNumberFormat="1" applyFill="1" applyBorder="1"/>
    <xf numFmtId="38" fontId="0" fillId="37" borderId="45" xfId="0" applyNumberFormat="1" applyFill="1" applyBorder="1"/>
    <xf numFmtId="0" fontId="0" fillId="48" borderId="36" xfId="0" applyFill="1" applyBorder="1"/>
    <xf numFmtId="0" fontId="0" fillId="48" borderId="24" xfId="0" applyFill="1" applyBorder="1"/>
    <xf numFmtId="0" fontId="0" fillId="48" borderId="45" xfId="0" applyFill="1" applyBorder="1"/>
    <xf numFmtId="0" fontId="0" fillId="48" borderId="38" xfId="0" applyFill="1" applyBorder="1"/>
    <xf numFmtId="0" fontId="0" fillId="48" borderId="5" xfId="0" applyFill="1" applyBorder="1"/>
    <xf numFmtId="0" fontId="0" fillId="48" borderId="46" xfId="0" applyFill="1" applyBorder="1"/>
    <xf numFmtId="0" fontId="0" fillId="48" borderId="37" xfId="0" applyFill="1" applyBorder="1"/>
    <xf numFmtId="0" fontId="0" fillId="48" borderId="31" xfId="0" applyFill="1" applyBorder="1"/>
    <xf numFmtId="0" fontId="0" fillId="48" borderId="47" xfId="0" applyFill="1" applyBorder="1"/>
    <xf numFmtId="0" fontId="0" fillId="48" borderId="39" xfId="0" applyFill="1" applyBorder="1"/>
    <xf numFmtId="0" fontId="0" fillId="48" borderId="8" xfId="0" applyFill="1" applyBorder="1"/>
    <xf numFmtId="0" fontId="0" fillId="48" borderId="55" xfId="0" applyFill="1" applyBorder="1"/>
    <xf numFmtId="0" fontId="0" fillId="48" borderId="42" xfId="0" applyFill="1" applyBorder="1"/>
    <xf numFmtId="0" fontId="0" fillId="48" borderId="2" xfId="0" applyFill="1" applyBorder="1"/>
    <xf numFmtId="0" fontId="0" fillId="48" borderId="49" xfId="0" applyFill="1" applyBorder="1"/>
    <xf numFmtId="0" fontId="0" fillId="48" borderId="36" xfId="1112" applyNumberFormat="1" applyFont="1" applyFill="1" applyBorder="1"/>
    <xf numFmtId="0" fontId="0" fillId="48" borderId="24" xfId="1112" applyNumberFormat="1" applyFont="1" applyFill="1" applyBorder="1"/>
    <xf numFmtId="0" fontId="0" fillId="48" borderId="45" xfId="1112" applyNumberFormat="1" applyFont="1" applyFill="1" applyBorder="1"/>
    <xf numFmtId="0" fontId="0" fillId="48" borderId="38" xfId="1112" applyNumberFormat="1" applyFont="1" applyFill="1" applyBorder="1"/>
    <xf numFmtId="0" fontId="0" fillId="48" borderId="5" xfId="1112" applyNumberFormat="1" applyFont="1" applyFill="1" applyBorder="1"/>
    <xf numFmtId="38" fontId="0" fillId="48" borderId="46" xfId="1112" applyFont="1" applyFill="1" applyBorder="1"/>
    <xf numFmtId="0" fontId="0" fillId="48" borderId="37" xfId="1112" applyNumberFormat="1" applyFont="1" applyFill="1" applyBorder="1"/>
    <xf numFmtId="0" fontId="0" fillId="48" borderId="31" xfId="1112" applyNumberFormat="1" applyFont="1" applyFill="1" applyBorder="1"/>
    <xf numFmtId="38" fontId="0" fillId="48" borderId="47" xfId="1112" applyFont="1" applyFill="1" applyBorder="1"/>
    <xf numFmtId="0" fontId="0" fillId="46" borderId="38" xfId="0" applyFill="1" applyBorder="1"/>
    <xf numFmtId="0" fontId="52" fillId="49" borderId="36" xfId="0" applyFont="1" applyFill="1" applyBorder="1"/>
    <xf numFmtId="0" fontId="52" fillId="49" borderId="24" xfId="0" applyFont="1" applyFill="1" applyBorder="1"/>
    <xf numFmtId="0" fontId="52" fillId="49" borderId="45" xfId="0" applyFont="1" applyFill="1" applyBorder="1"/>
    <xf numFmtId="0" fontId="52" fillId="49" borderId="38" xfId="0" applyFont="1" applyFill="1" applyBorder="1"/>
    <xf numFmtId="0" fontId="52" fillId="49" borderId="5" xfId="0" applyFont="1" applyFill="1" applyBorder="1"/>
    <xf numFmtId="0" fontId="52" fillId="49" borderId="46" xfId="0" applyFont="1" applyFill="1" applyBorder="1"/>
    <xf numFmtId="0" fontId="52" fillId="49" borderId="37" xfId="0" applyFont="1" applyFill="1" applyBorder="1"/>
    <xf numFmtId="0" fontId="52" fillId="49" borderId="31" xfId="0" applyFont="1" applyFill="1" applyBorder="1"/>
    <xf numFmtId="0" fontId="52" fillId="49" borderId="47" xfId="0" applyFont="1" applyFill="1" applyBorder="1"/>
    <xf numFmtId="0" fontId="52" fillId="48" borderId="24" xfId="0" applyFont="1" applyFill="1" applyBorder="1"/>
    <xf numFmtId="0" fontId="52" fillId="48" borderId="45" xfId="0" applyFont="1" applyFill="1" applyBorder="1"/>
    <xf numFmtId="0" fontId="52" fillId="48" borderId="5" xfId="0" applyFont="1" applyFill="1" applyBorder="1"/>
    <xf numFmtId="0" fontId="52" fillId="48" borderId="46" xfId="0" applyFont="1" applyFill="1" applyBorder="1"/>
    <xf numFmtId="0" fontId="52" fillId="48" borderId="31" xfId="0" applyFont="1" applyFill="1" applyBorder="1"/>
    <xf numFmtId="0" fontId="52" fillId="48" borderId="47" xfId="0" applyFont="1" applyFill="1" applyBorder="1"/>
    <xf numFmtId="0" fontId="5" fillId="48" borderId="1" xfId="0" applyFont="1" applyFill="1" applyBorder="1" applyAlignment="1">
      <alignment vertical="center"/>
    </xf>
    <xf numFmtId="0" fontId="7" fillId="50" borderId="1" xfId="0" applyFont="1" applyFill="1" applyBorder="1" applyAlignment="1">
      <alignment vertical="center"/>
    </xf>
    <xf numFmtId="0" fontId="7" fillId="50" borderId="5" xfId="0" applyFont="1" applyFill="1" applyBorder="1" applyAlignment="1">
      <alignment vertical="center"/>
    </xf>
    <xf numFmtId="0" fontId="5" fillId="48" borderId="1" xfId="0" applyFont="1" applyFill="1" applyBorder="1" applyAlignment="1">
      <alignment horizontal="center" vertical="center"/>
    </xf>
    <xf numFmtId="0" fontId="7" fillId="48" borderId="5" xfId="0" applyFont="1" applyFill="1" applyBorder="1" applyAlignment="1">
      <alignment vertical="center"/>
    </xf>
    <xf numFmtId="0" fontId="5" fillId="48" borderId="5" xfId="0" applyFont="1" applyFill="1" applyBorder="1" applyAlignment="1">
      <alignment horizontal="center" vertical="center"/>
    </xf>
    <xf numFmtId="0" fontId="52" fillId="51" borderId="36" xfId="0" applyFont="1" applyFill="1" applyBorder="1"/>
    <xf numFmtId="0" fontId="52" fillId="51" borderId="24" xfId="0" applyFont="1" applyFill="1" applyBorder="1"/>
    <xf numFmtId="0" fontId="52" fillId="51" borderId="37" xfId="0" applyFont="1" applyFill="1" applyBorder="1"/>
    <xf numFmtId="0" fontId="52" fillId="51" borderId="38" xfId="0" applyFont="1" applyFill="1" applyBorder="1"/>
    <xf numFmtId="0" fontId="52" fillId="51" borderId="5" xfId="0" applyFont="1" applyFill="1" applyBorder="1"/>
    <xf numFmtId="0" fontId="52" fillId="51" borderId="31" xfId="0" applyFont="1" applyFill="1" applyBorder="1"/>
    <xf numFmtId="0" fontId="52" fillId="52" borderId="24" xfId="0" applyFont="1" applyFill="1" applyBorder="1"/>
    <xf numFmtId="0" fontId="52" fillId="51" borderId="45" xfId="0" applyFont="1" applyFill="1" applyBorder="1"/>
    <xf numFmtId="0" fontId="52" fillId="52" borderId="5" xfId="0" applyFont="1" applyFill="1" applyBorder="1"/>
    <xf numFmtId="0" fontId="52" fillId="51" borderId="46" xfId="0" applyFont="1" applyFill="1" applyBorder="1"/>
    <xf numFmtId="0" fontId="52" fillId="52" borderId="31" xfId="0" applyFont="1" applyFill="1" applyBorder="1"/>
    <xf numFmtId="0" fontId="52" fillId="52" borderId="47" xfId="0" applyFont="1" applyFill="1" applyBorder="1"/>
    <xf numFmtId="0" fontId="5" fillId="48" borderId="24" xfId="0" applyFont="1" applyFill="1" applyBorder="1" applyAlignment="1">
      <alignment vertical="center"/>
    </xf>
    <xf numFmtId="0" fontId="7" fillId="50" borderId="24" xfId="0" applyFont="1" applyFill="1" applyBorder="1" applyAlignment="1">
      <alignment vertical="center"/>
    </xf>
    <xf numFmtId="0" fontId="5" fillId="48" borderId="24" xfId="0" applyFont="1" applyFill="1" applyBorder="1" applyAlignment="1">
      <alignment horizontal="center" vertical="center"/>
    </xf>
    <xf numFmtId="0" fontId="7" fillId="48" borderId="24" xfId="0" applyFont="1" applyFill="1" applyBorder="1" applyAlignment="1">
      <alignment vertical="center"/>
    </xf>
    <xf numFmtId="0" fontId="5" fillId="48" borderId="24" xfId="0" applyFont="1" applyFill="1" applyBorder="1" applyAlignment="1">
      <alignment horizontal="left" vertical="center"/>
    </xf>
    <xf numFmtId="0" fontId="5" fillId="48" borderId="5" xfId="0" applyFont="1" applyFill="1" applyBorder="1" applyAlignment="1">
      <alignment vertical="center"/>
    </xf>
    <xf numFmtId="0" fontId="5" fillId="48" borderId="5" xfId="0" applyFont="1" applyFill="1" applyBorder="1" applyAlignment="1">
      <alignment horizontal="left" vertical="center"/>
    </xf>
    <xf numFmtId="0" fontId="5" fillId="48" borderId="31" xfId="0" applyFont="1" applyFill="1" applyBorder="1" applyAlignment="1">
      <alignment vertical="center"/>
    </xf>
    <xf numFmtId="0" fontId="7" fillId="50" borderId="31" xfId="0" applyFont="1" applyFill="1" applyBorder="1" applyAlignment="1">
      <alignment vertical="center"/>
    </xf>
    <xf numFmtId="0" fontId="5" fillId="48" borderId="31" xfId="0" applyFont="1" applyFill="1" applyBorder="1" applyAlignment="1">
      <alignment horizontal="center" vertical="center"/>
    </xf>
    <xf numFmtId="0" fontId="7" fillId="48" borderId="31" xfId="0" applyFont="1" applyFill="1" applyBorder="1" applyAlignment="1">
      <alignment vertical="center"/>
    </xf>
    <xf numFmtId="0" fontId="5" fillId="48" borderId="31" xfId="0" applyFont="1" applyFill="1" applyBorder="1" applyAlignment="1">
      <alignment horizontal="left" vertical="center"/>
    </xf>
    <xf numFmtId="0" fontId="5" fillId="48" borderId="8" xfId="0" applyFont="1" applyFill="1" applyBorder="1" applyAlignment="1">
      <alignment horizontal="left" vertical="center"/>
    </xf>
    <xf numFmtId="0" fontId="5" fillId="48" borderId="44" xfId="0" applyFont="1" applyFill="1" applyBorder="1" applyAlignment="1">
      <alignment horizontal="left" vertical="center"/>
    </xf>
    <xf numFmtId="0" fontId="5" fillId="48" borderId="8" xfId="0" applyFont="1" applyFill="1" applyBorder="1" applyAlignment="1">
      <alignment vertical="center"/>
    </xf>
    <xf numFmtId="0" fontId="7" fillId="50" borderId="8" xfId="0" applyFont="1" applyFill="1" applyBorder="1" applyAlignment="1">
      <alignment vertical="center"/>
    </xf>
    <xf numFmtId="0" fontId="5" fillId="48" borderId="8" xfId="0" applyFont="1" applyFill="1" applyBorder="1" applyAlignment="1">
      <alignment horizontal="center" vertical="center"/>
    </xf>
    <xf numFmtId="0" fontId="7" fillId="48" borderId="8" xfId="0" applyFont="1" applyFill="1" applyBorder="1" applyAlignment="1">
      <alignment vertical="center"/>
    </xf>
    <xf numFmtId="0" fontId="7" fillId="48" borderId="1" xfId="0" applyFont="1" applyFill="1" applyBorder="1" applyAlignment="1">
      <alignment vertical="center"/>
    </xf>
    <xf numFmtId="0" fontId="0" fillId="48" borderId="36" xfId="0" applyNumberFormat="1" applyFill="1" applyBorder="1"/>
    <xf numFmtId="38" fontId="0" fillId="48" borderId="45" xfId="0" applyNumberFormat="1" applyFill="1" applyBorder="1"/>
    <xf numFmtId="0" fontId="0" fillId="48" borderId="38" xfId="0" applyNumberFormat="1" applyFill="1" applyBorder="1"/>
    <xf numFmtId="38" fontId="0" fillId="48" borderId="46" xfId="0" applyNumberFormat="1" applyFill="1" applyBorder="1"/>
    <xf numFmtId="0" fontId="0" fillId="48" borderId="37" xfId="0" applyNumberFormat="1" applyFill="1" applyBorder="1"/>
    <xf numFmtId="38" fontId="0" fillId="48" borderId="47" xfId="0" applyNumberFormat="1" applyFill="1" applyBorder="1"/>
    <xf numFmtId="0" fontId="0" fillId="48" borderId="39" xfId="0" applyNumberFormat="1" applyFill="1" applyBorder="1"/>
    <xf numFmtId="38" fontId="0" fillId="48" borderId="55" xfId="0" applyNumberFormat="1" applyFill="1" applyBorder="1"/>
    <xf numFmtId="38" fontId="0" fillId="48" borderId="55" xfId="1112" applyFont="1" applyFill="1" applyBorder="1"/>
    <xf numFmtId="0" fontId="15" fillId="34" borderId="0" xfId="432" applyFont="1" applyFill="1" applyAlignment="1">
      <alignment horizontal="left" vertical="center"/>
    </xf>
  </cellXfs>
  <cellStyles count="1199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桁区切り 2" xfId="429"/>
    <cellStyle name="桁区切り 2 2" xfId="628"/>
    <cellStyle name="桁区切り [0]" xfId="1112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赤字強調" xfId="431"/>
    <cellStyle name="青字強調" xfId="43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clear_turn!$G$1</c:f>
              <c:strCache>
                <c:ptCount val="1"/>
                <c:pt idx="0">
                  <c:v>現在の仕様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clear_turn!$F$2:$F$111</c:f>
              <c:numCache>
                <c:formatCode>General</c:formatCode>
                <c:ptCount val="1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46.0</c:v>
                </c:pt>
                <c:pt idx="48">
                  <c:v>47.0</c:v>
                </c:pt>
                <c:pt idx="49">
                  <c:v>48.0</c:v>
                </c:pt>
                <c:pt idx="50">
                  <c:v>49.0</c:v>
                </c:pt>
                <c:pt idx="51">
                  <c:v>50.0</c:v>
                </c:pt>
                <c:pt idx="52">
                  <c:v>51.0</c:v>
                </c:pt>
                <c:pt idx="53">
                  <c:v>52.0</c:v>
                </c:pt>
                <c:pt idx="54">
                  <c:v>54.0</c:v>
                </c:pt>
                <c:pt idx="55">
                  <c:v>55.0</c:v>
                </c:pt>
                <c:pt idx="56">
                  <c:v>53.0</c:v>
                </c:pt>
                <c:pt idx="57">
                  <c:v>54.0</c:v>
                </c:pt>
                <c:pt idx="58">
                  <c:v>55.0</c:v>
                </c:pt>
                <c:pt idx="59">
                  <c:v>56.0</c:v>
                </c:pt>
                <c:pt idx="60">
                  <c:v>57.0</c:v>
                </c:pt>
                <c:pt idx="61">
                  <c:v>60.0</c:v>
                </c:pt>
                <c:pt idx="62">
                  <c:v>61.0</c:v>
                </c:pt>
                <c:pt idx="63">
                  <c:v>62.0</c:v>
                </c:pt>
                <c:pt idx="64">
                  <c:v>58.0</c:v>
                </c:pt>
                <c:pt idx="65">
                  <c:v>59.0</c:v>
                </c:pt>
                <c:pt idx="66">
                  <c:v>60.0</c:v>
                </c:pt>
                <c:pt idx="67">
                  <c:v>61.0</c:v>
                </c:pt>
                <c:pt idx="68">
                  <c:v>62.0</c:v>
                </c:pt>
                <c:pt idx="69">
                  <c:v>64.0</c:v>
                </c:pt>
                <c:pt idx="70">
                  <c:v>65.0</c:v>
                </c:pt>
                <c:pt idx="71">
                  <c:v>66.0</c:v>
                </c:pt>
                <c:pt idx="72">
                  <c:v>67.0</c:v>
                </c:pt>
                <c:pt idx="73">
                  <c:v>68.0</c:v>
                </c:pt>
                <c:pt idx="74">
                  <c:v>69.0</c:v>
                </c:pt>
                <c:pt idx="75">
                  <c:v>70.0</c:v>
                </c:pt>
                <c:pt idx="76">
                  <c:v>71.0</c:v>
                </c:pt>
                <c:pt idx="77">
                  <c:v>66.0</c:v>
                </c:pt>
                <c:pt idx="78">
                  <c:v>67.0</c:v>
                </c:pt>
                <c:pt idx="79">
                  <c:v>68.0</c:v>
                </c:pt>
                <c:pt idx="80">
                  <c:v>69.0</c:v>
                </c:pt>
                <c:pt idx="81">
                  <c:v>70.0</c:v>
                </c:pt>
                <c:pt idx="82">
                  <c:v>73.0</c:v>
                </c:pt>
                <c:pt idx="83">
                  <c:v>74.0</c:v>
                </c:pt>
                <c:pt idx="84">
                  <c:v>75.0</c:v>
                </c:pt>
                <c:pt idx="85">
                  <c:v>76.0</c:v>
                </c:pt>
                <c:pt idx="86">
                  <c:v>77.0</c:v>
                </c:pt>
                <c:pt idx="87">
                  <c:v>78.0</c:v>
                </c:pt>
                <c:pt idx="88">
                  <c:v>79.0</c:v>
                </c:pt>
                <c:pt idx="89">
                  <c:v>80.0</c:v>
                </c:pt>
                <c:pt idx="90">
                  <c:v>81.0</c:v>
                </c:pt>
                <c:pt idx="91">
                  <c:v>82.0</c:v>
                </c:pt>
                <c:pt idx="92">
                  <c:v>83.0</c:v>
                </c:pt>
                <c:pt idx="93">
                  <c:v>84.0</c:v>
                </c:pt>
                <c:pt idx="94">
                  <c:v>85.0</c:v>
                </c:pt>
                <c:pt idx="95">
                  <c:v>86.0</c:v>
                </c:pt>
                <c:pt idx="96">
                  <c:v>87.0</c:v>
                </c:pt>
                <c:pt idx="97">
                  <c:v>88.0</c:v>
                </c:pt>
                <c:pt idx="98">
                  <c:v>89.0</c:v>
                </c:pt>
                <c:pt idx="99">
                  <c:v>90.0</c:v>
                </c:pt>
                <c:pt idx="100">
                  <c:v>91.0</c:v>
                </c:pt>
                <c:pt idx="101">
                  <c:v>92.0</c:v>
                </c:pt>
                <c:pt idx="102">
                  <c:v>93.0</c:v>
                </c:pt>
                <c:pt idx="103">
                  <c:v>94.0</c:v>
                </c:pt>
                <c:pt idx="104">
                  <c:v>95.0</c:v>
                </c:pt>
                <c:pt idx="105">
                  <c:v>96.0</c:v>
                </c:pt>
                <c:pt idx="106">
                  <c:v>97.0</c:v>
                </c:pt>
                <c:pt idx="107">
                  <c:v>98.0</c:v>
                </c:pt>
                <c:pt idx="108">
                  <c:v>99.0</c:v>
                </c:pt>
              </c:numCache>
            </c:numRef>
          </c:xVal>
          <c:yVal>
            <c:numRef>
              <c:f>clear_turn!$G$2:$G$111</c:f>
              <c:numCache>
                <c:formatCode>General</c:formatCode>
                <c:ptCount val="110"/>
                <c:pt idx="0">
                  <c:v>5000.0</c:v>
                </c:pt>
                <c:pt idx="1">
                  <c:v>2000.0</c:v>
                </c:pt>
                <c:pt idx="2">
                  <c:v>1000.0</c:v>
                </c:pt>
                <c:pt idx="3">
                  <c:v>0.0</c:v>
                </c:pt>
                <c:pt idx="4">
                  <c:v>-2000.0</c:v>
                </c:pt>
                <c:pt idx="5">
                  <c:v>-4000.0</c:v>
                </c:pt>
                <c:pt idx="6">
                  <c:v>-10000.0</c:v>
                </c:pt>
                <c:pt idx="7">
                  <c:v>-12000.0</c:v>
                </c:pt>
                <c:pt idx="8">
                  <c:v>-15000.0</c:v>
                </c:pt>
                <c:pt idx="9">
                  <c:v>-30000.0</c:v>
                </c:pt>
                <c:pt idx="10">
                  <c:v>-32500.0</c:v>
                </c:pt>
                <c:pt idx="11">
                  <c:v>-35000.0</c:v>
                </c:pt>
                <c:pt idx="12">
                  <c:v>-37500.0</c:v>
                </c:pt>
                <c:pt idx="13">
                  <c:v>-40000.0</c:v>
                </c:pt>
                <c:pt idx="14">
                  <c:v>-42500.0</c:v>
                </c:pt>
                <c:pt idx="15">
                  <c:v>-45000.0</c:v>
                </c:pt>
                <c:pt idx="16">
                  <c:v>-47500.0</c:v>
                </c:pt>
                <c:pt idx="17">
                  <c:v>-50000.0</c:v>
                </c:pt>
                <c:pt idx="18">
                  <c:v>-52500.0</c:v>
                </c:pt>
                <c:pt idx="19">
                  <c:v>-55000.0</c:v>
                </c:pt>
                <c:pt idx="20">
                  <c:v>-57500.0</c:v>
                </c:pt>
                <c:pt idx="21">
                  <c:v>-60000.0</c:v>
                </c:pt>
                <c:pt idx="22">
                  <c:v>-62500.0</c:v>
                </c:pt>
                <c:pt idx="23">
                  <c:v>-65000.0</c:v>
                </c:pt>
                <c:pt idx="24">
                  <c:v>-67500.0</c:v>
                </c:pt>
                <c:pt idx="25">
                  <c:v>-70000.0</c:v>
                </c:pt>
                <c:pt idx="26">
                  <c:v>-72500.0</c:v>
                </c:pt>
                <c:pt idx="27">
                  <c:v>-75000.0</c:v>
                </c:pt>
                <c:pt idx="28">
                  <c:v>-77500.0</c:v>
                </c:pt>
                <c:pt idx="29">
                  <c:v>-80000.0</c:v>
                </c:pt>
                <c:pt idx="30">
                  <c:v>-82500.0</c:v>
                </c:pt>
                <c:pt idx="31">
                  <c:v>-85000.0</c:v>
                </c:pt>
                <c:pt idx="32">
                  <c:v>-87500.0</c:v>
                </c:pt>
                <c:pt idx="33">
                  <c:v>-90000.0</c:v>
                </c:pt>
                <c:pt idx="34">
                  <c:v>-92500.0</c:v>
                </c:pt>
                <c:pt idx="35">
                  <c:v>-95000.0</c:v>
                </c:pt>
                <c:pt idx="36">
                  <c:v>-97500.0</c:v>
                </c:pt>
                <c:pt idx="37">
                  <c:v>-100000.0</c:v>
                </c:pt>
                <c:pt idx="38">
                  <c:v>-102500.0</c:v>
                </c:pt>
                <c:pt idx="39">
                  <c:v>-105000.0</c:v>
                </c:pt>
                <c:pt idx="40">
                  <c:v>-107500.0</c:v>
                </c:pt>
                <c:pt idx="41">
                  <c:v>-110000.0</c:v>
                </c:pt>
                <c:pt idx="42">
                  <c:v>-112500.0</c:v>
                </c:pt>
                <c:pt idx="43">
                  <c:v>-115000.0</c:v>
                </c:pt>
                <c:pt idx="44">
                  <c:v>-117500.0</c:v>
                </c:pt>
                <c:pt idx="45">
                  <c:v>-120000.0</c:v>
                </c:pt>
                <c:pt idx="46">
                  <c:v>-122500.0</c:v>
                </c:pt>
                <c:pt idx="47">
                  <c:v>-120000.0</c:v>
                </c:pt>
                <c:pt idx="48">
                  <c:v>-122500.0</c:v>
                </c:pt>
                <c:pt idx="49">
                  <c:v>-125000.0</c:v>
                </c:pt>
                <c:pt idx="50">
                  <c:v>-127500.0</c:v>
                </c:pt>
                <c:pt idx="51">
                  <c:v>-130000.0</c:v>
                </c:pt>
                <c:pt idx="52">
                  <c:v>-132500.0</c:v>
                </c:pt>
                <c:pt idx="53">
                  <c:v>-135000.0</c:v>
                </c:pt>
                <c:pt idx="54">
                  <c:v>-140000.0</c:v>
                </c:pt>
                <c:pt idx="55">
                  <c:v>-142500.0</c:v>
                </c:pt>
                <c:pt idx="56">
                  <c:v>-137500.0</c:v>
                </c:pt>
                <c:pt idx="57">
                  <c:v>-140000.0</c:v>
                </c:pt>
                <c:pt idx="58">
                  <c:v>-142500.0</c:v>
                </c:pt>
                <c:pt idx="59">
                  <c:v>-145000.0</c:v>
                </c:pt>
                <c:pt idx="60">
                  <c:v>-147500.0</c:v>
                </c:pt>
                <c:pt idx="61">
                  <c:v>-155000.0</c:v>
                </c:pt>
                <c:pt idx="62">
                  <c:v>-157500.0</c:v>
                </c:pt>
                <c:pt idx="63">
                  <c:v>-160000.0</c:v>
                </c:pt>
                <c:pt idx="64">
                  <c:v>-150000.0</c:v>
                </c:pt>
                <c:pt idx="65">
                  <c:v>-152500.0</c:v>
                </c:pt>
                <c:pt idx="66">
                  <c:v>-155000.0</c:v>
                </c:pt>
                <c:pt idx="67">
                  <c:v>-157500.0</c:v>
                </c:pt>
                <c:pt idx="68">
                  <c:v>-160000.0</c:v>
                </c:pt>
                <c:pt idx="69">
                  <c:v>-165000.0</c:v>
                </c:pt>
                <c:pt idx="70">
                  <c:v>-167500.0</c:v>
                </c:pt>
                <c:pt idx="71">
                  <c:v>-170000.0</c:v>
                </c:pt>
                <c:pt idx="72">
                  <c:v>-172500.0</c:v>
                </c:pt>
                <c:pt idx="73">
                  <c:v>-175000.0</c:v>
                </c:pt>
                <c:pt idx="74">
                  <c:v>-177500.0</c:v>
                </c:pt>
                <c:pt idx="75">
                  <c:v>-180000.0</c:v>
                </c:pt>
                <c:pt idx="76">
                  <c:v>-182500.0</c:v>
                </c:pt>
                <c:pt idx="77">
                  <c:v>-170000.0</c:v>
                </c:pt>
                <c:pt idx="78">
                  <c:v>-172500.0</c:v>
                </c:pt>
                <c:pt idx="79">
                  <c:v>-175000.0</c:v>
                </c:pt>
                <c:pt idx="80">
                  <c:v>-177500.0</c:v>
                </c:pt>
                <c:pt idx="81">
                  <c:v>-180000.0</c:v>
                </c:pt>
                <c:pt idx="82">
                  <c:v>-187500.0</c:v>
                </c:pt>
                <c:pt idx="83">
                  <c:v>-190000.0</c:v>
                </c:pt>
                <c:pt idx="84">
                  <c:v>-192500.0</c:v>
                </c:pt>
                <c:pt idx="85">
                  <c:v>-195000.0</c:v>
                </c:pt>
                <c:pt idx="86">
                  <c:v>-197500.0</c:v>
                </c:pt>
                <c:pt idx="87">
                  <c:v>-200000.0</c:v>
                </c:pt>
                <c:pt idx="88">
                  <c:v>-202500.0</c:v>
                </c:pt>
                <c:pt idx="89">
                  <c:v>-205000.0</c:v>
                </c:pt>
                <c:pt idx="90">
                  <c:v>-207500.0</c:v>
                </c:pt>
                <c:pt idx="91">
                  <c:v>-210000.0</c:v>
                </c:pt>
                <c:pt idx="92">
                  <c:v>-212500.0</c:v>
                </c:pt>
                <c:pt idx="93">
                  <c:v>-215000.0</c:v>
                </c:pt>
                <c:pt idx="94">
                  <c:v>-217500.0</c:v>
                </c:pt>
                <c:pt idx="95">
                  <c:v>-220000.0</c:v>
                </c:pt>
                <c:pt idx="96">
                  <c:v>-222500.0</c:v>
                </c:pt>
                <c:pt idx="97">
                  <c:v>-225000.0</c:v>
                </c:pt>
                <c:pt idx="98">
                  <c:v>-227500.0</c:v>
                </c:pt>
                <c:pt idx="99">
                  <c:v>-230000.0</c:v>
                </c:pt>
                <c:pt idx="100">
                  <c:v>-232500.0</c:v>
                </c:pt>
                <c:pt idx="101">
                  <c:v>-235000.0</c:v>
                </c:pt>
                <c:pt idx="102">
                  <c:v>-237500.0</c:v>
                </c:pt>
                <c:pt idx="103">
                  <c:v>-240000.0</c:v>
                </c:pt>
                <c:pt idx="104">
                  <c:v>-242500.0</c:v>
                </c:pt>
                <c:pt idx="105">
                  <c:v>-245000.0</c:v>
                </c:pt>
                <c:pt idx="106">
                  <c:v>-247500.0</c:v>
                </c:pt>
                <c:pt idx="107">
                  <c:v>-250000.0</c:v>
                </c:pt>
                <c:pt idx="108">
                  <c:v>-252500.0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clear_turn!$H$1</c:f>
              <c:strCache>
                <c:ptCount val="1"/>
                <c:pt idx="0">
                  <c:v>本当に作るべきだったものに近いもの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clear_turn!$F$2:$F$111</c:f>
              <c:numCache>
                <c:formatCode>General</c:formatCode>
                <c:ptCount val="11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46.0</c:v>
                </c:pt>
                <c:pt idx="48">
                  <c:v>47.0</c:v>
                </c:pt>
                <c:pt idx="49">
                  <c:v>48.0</c:v>
                </c:pt>
                <c:pt idx="50">
                  <c:v>49.0</c:v>
                </c:pt>
                <c:pt idx="51">
                  <c:v>50.0</c:v>
                </c:pt>
                <c:pt idx="52">
                  <c:v>51.0</c:v>
                </c:pt>
                <c:pt idx="53">
                  <c:v>52.0</c:v>
                </c:pt>
                <c:pt idx="54">
                  <c:v>54.0</c:v>
                </c:pt>
                <c:pt idx="55">
                  <c:v>55.0</c:v>
                </c:pt>
                <c:pt idx="56">
                  <c:v>53.0</c:v>
                </c:pt>
                <c:pt idx="57">
                  <c:v>54.0</c:v>
                </c:pt>
                <c:pt idx="58">
                  <c:v>55.0</c:v>
                </c:pt>
                <c:pt idx="59">
                  <c:v>56.0</c:v>
                </c:pt>
                <c:pt idx="60">
                  <c:v>57.0</c:v>
                </c:pt>
                <c:pt idx="61">
                  <c:v>60.0</c:v>
                </c:pt>
                <c:pt idx="62">
                  <c:v>61.0</c:v>
                </c:pt>
                <c:pt idx="63">
                  <c:v>62.0</c:v>
                </c:pt>
                <c:pt idx="64">
                  <c:v>58.0</c:v>
                </c:pt>
                <c:pt idx="65">
                  <c:v>59.0</c:v>
                </c:pt>
                <c:pt idx="66">
                  <c:v>60.0</c:v>
                </c:pt>
                <c:pt idx="67">
                  <c:v>61.0</c:v>
                </c:pt>
                <c:pt idx="68">
                  <c:v>62.0</c:v>
                </c:pt>
                <c:pt idx="69">
                  <c:v>64.0</c:v>
                </c:pt>
                <c:pt idx="70">
                  <c:v>65.0</c:v>
                </c:pt>
                <c:pt idx="71">
                  <c:v>66.0</c:v>
                </c:pt>
                <c:pt idx="72">
                  <c:v>67.0</c:v>
                </c:pt>
                <c:pt idx="73">
                  <c:v>68.0</c:v>
                </c:pt>
                <c:pt idx="74">
                  <c:v>69.0</c:v>
                </c:pt>
                <c:pt idx="75">
                  <c:v>70.0</c:v>
                </c:pt>
                <c:pt idx="76">
                  <c:v>71.0</c:v>
                </c:pt>
                <c:pt idx="77">
                  <c:v>66.0</c:v>
                </c:pt>
                <c:pt idx="78">
                  <c:v>67.0</c:v>
                </c:pt>
                <c:pt idx="79">
                  <c:v>68.0</c:v>
                </c:pt>
                <c:pt idx="80">
                  <c:v>69.0</c:v>
                </c:pt>
                <c:pt idx="81">
                  <c:v>70.0</c:v>
                </c:pt>
                <c:pt idx="82">
                  <c:v>73.0</c:v>
                </c:pt>
                <c:pt idx="83">
                  <c:v>74.0</c:v>
                </c:pt>
                <c:pt idx="84">
                  <c:v>75.0</c:v>
                </c:pt>
                <c:pt idx="85">
                  <c:v>76.0</c:v>
                </c:pt>
                <c:pt idx="86">
                  <c:v>77.0</c:v>
                </c:pt>
                <c:pt idx="87">
                  <c:v>78.0</c:v>
                </c:pt>
                <c:pt idx="88">
                  <c:v>79.0</c:v>
                </c:pt>
                <c:pt idx="89">
                  <c:v>80.0</c:v>
                </c:pt>
                <c:pt idx="90">
                  <c:v>81.0</c:v>
                </c:pt>
                <c:pt idx="91">
                  <c:v>82.0</c:v>
                </c:pt>
                <c:pt idx="92">
                  <c:v>83.0</c:v>
                </c:pt>
                <c:pt idx="93">
                  <c:v>84.0</c:v>
                </c:pt>
                <c:pt idx="94">
                  <c:v>85.0</c:v>
                </c:pt>
                <c:pt idx="95">
                  <c:v>86.0</c:v>
                </c:pt>
                <c:pt idx="96">
                  <c:v>87.0</c:v>
                </c:pt>
                <c:pt idx="97">
                  <c:v>88.0</c:v>
                </c:pt>
                <c:pt idx="98">
                  <c:v>89.0</c:v>
                </c:pt>
                <c:pt idx="99">
                  <c:v>90.0</c:v>
                </c:pt>
                <c:pt idx="100">
                  <c:v>91.0</c:v>
                </c:pt>
                <c:pt idx="101">
                  <c:v>92.0</c:v>
                </c:pt>
                <c:pt idx="102">
                  <c:v>93.0</c:v>
                </c:pt>
                <c:pt idx="103">
                  <c:v>94.0</c:v>
                </c:pt>
                <c:pt idx="104">
                  <c:v>95.0</c:v>
                </c:pt>
                <c:pt idx="105">
                  <c:v>96.0</c:v>
                </c:pt>
                <c:pt idx="106">
                  <c:v>97.0</c:v>
                </c:pt>
                <c:pt idx="107">
                  <c:v>98.0</c:v>
                </c:pt>
                <c:pt idx="108">
                  <c:v>99.0</c:v>
                </c:pt>
              </c:numCache>
            </c:numRef>
          </c:xVal>
          <c:yVal>
            <c:numRef>
              <c:f>clear_turn!$H$2:$H$111</c:f>
              <c:numCache>
                <c:formatCode>General</c:formatCode>
                <c:ptCount val="110"/>
                <c:pt idx="0">
                  <c:v>-100.0</c:v>
                </c:pt>
                <c:pt idx="1">
                  <c:v>-400.0</c:v>
                </c:pt>
                <c:pt idx="2">
                  <c:v>-900.0</c:v>
                </c:pt>
                <c:pt idx="3">
                  <c:v>-1600.0</c:v>
                </c:pt>
                <c:pt idx="4">
                  <c:v>-2500.0</c:v>
                </c:pt>
                <c:pt idx="5">
                  <c:v>-3600.0</c:v>
                </c:pt>
                <c:pt idx="6">
                  <c:v>-4900.0</c:v>
                </c:pt>
                <c:pt idx="7">
                  <c:v>-6400.0</c:v>
                </c:pt>
                <c:pt idx="8">
                  <c:v>-8100.0</c:v>
                </c:pt>
                <c:pt idx="9">
                  <c:v>-10000.0</c:v>
                </c:pt>
                <c:pt idx="10">
                  <c:v>-12100.0</c:v>
                </c:pt>
                <c:pt idx="11">
                  <c:v>-14400.0</c:v>
                </c:pt>
                <c:pt idx="12">
                  <c:v>-16900.0</c:v>
                </c:pt>
                <c:pt idx="13">
                  <c:v>-19600.0</c:v>
                </c:pt>
                <c:pt idx="14">
                  <c:v>-22500.0</c:v>
                </c:pt>
                <c:pt idx="15">
                  <c:v>-25600.0</c:v>
                </c:pt>
                <c:pt idx="16">
                  <c:v>-28900.0</c:v>
                </c:pt>
                <c:pt idx="17">
                  <c:v>-32400.0</c:v>
                </c:pt>
                <c:pt idx="18">
                  <c:v>-36100.0</c:v>
                </c:pt>
                <c:pt idx="19">
                  <c:v>-40000.0</c:v>
                </c:pt>
                <c:pt idx="20">
                  <c:v>-44100.0</c:v>
                </c:pt>
                <c:pt idx="21">
                  <c:v>-48400.0</c:v>
                </c:pt>
                <c:pt idx="22">
                  <c:v>-52900.0</c:v>
                </c:pt>
                <c:pt idx="23">
                  <c:v>-57600.0</c:v>
                </c:pt>
                <c:pt idx="24">
                  <c:v>-62500.0</c:v>
                </c:pt>
                <c:pt idx="25">
                  <c:v>-67600.0</c:v>
                </c:pt>
                <c:pt idx="26">
                  <c:v>-72900.0</c:v>
                </c:pt>
                <c:pt idx="27">
                  <c:v>-78400.0</c:v>
                </c:pt>
                <c:pt idx="28">
                  <c:v>-84100.0</c:v>
                </c:pt>
                <c:pt idx="29">
                  <c:v>-90000.0</c:v>
                </c:pt>
                <c:pt idx="30">
                  <c:v>-96100.0</c:v>
                </c:pt>
                <c:pt idx="31">
                  <c:v>-102400.0</c:v>
                </c:pt>
                <c:pt idx="32">
                  <c:v>-108900.0</c:v>
                </c:pt>
                <c:pt idx="33">
                  <c:v>-115600.0</c:v>
                </c:pt>
                <c:pt idx="34">
                  <c:v>-122500.0</c:v>
                </c:pt>
                <c:pt idx="35">
                  <c:v>-129600.0</c:v>
                </c:pt>
                <c:pt idx="36">
                  <c:v>-136900.0</c:v>
                </c:pt>
                <c:pt idx="37">
                  <c:v>-144400.0</c:v>
                </c:pt>
                <c:pt idx="38">
                  <c:v>-152100.0</c:v>
                </c:pt>
                <c:pt idx="39">
                  <c:v>-160000.0</c:v>
                </c:pt>
                <c:pt idx="40">
                  <c:v>-168100.0</c:v>
                </c:pt>
                <c:pt idx="41">
                  <c:v>-176400.0</c:v>
                </c:pt>
                <c:pt idx="42">
                  <c:v>-184900.0</c:v>
                </c:pt>
                <c:pt idx="43">
                  <c:v>-193600.0</c:v>
                </c:pt>
                <c:pt idx="44">
                  <c:v>-202500.0</c:v>
                </c:pt>
                <c:pt idx="45">
                  <c:v>-211600.0</c:v>
                </c:pt>
                <c:pt idx="46">
                  <c:v>-220900.0</c:v>
                </c:pt>
                <c:pt idx="47">
                  <c:v>-211600.0</c:v>
                </c:pt>
                <c:pt idx="48">
                  <c:v>-220900.0</c:v>
                </c:pt>
                <c:pt idx="49">
                  <c:v>-230400.0</c:v>
                </c:pt>
                <c:pt idx="50">
                  <c:v>-240100.0</c:v>
                </c:pt>
                <c:pt idx="51">
                  <c:v>-250000.0</c:v>
                </c:pt>
                <c:pt idx="52">
                  <c:v>-260100.0</c:v>
                </c:pt>
                <c:pt idx="53">
                  <c:v>-270400.0</c:v>
                </c:pt>
                <c:pt idx="54">
                  <c:v>-291600.0</c:v>
                </c:pt>
                <c:pt idx="55">
                  <c:v>-302500.0</c:v>
                </c:pt>
                <c:pt idx="56">
                  <c:v>-280900.0</c:v>
                </c:pt>
                <c:pt idx="57">
                  <c:v>-291600.0</c:v>
                </c:pt>
                <c:pt idx="58">
                  <c:v>-302500.0</c:v>
                </c:pt>
                <c:pt idx="59">
                  <c:v>-313600.0</c:v>
                </c:pt>
                <c:pt idx="60">
                  <c:v>-324900.0</c:v>
                </c:pt>
                <c:pt idx="61">
                  <c:v>-360000.0</c:v>
                </c:pt>
                <c:pt idx="62">
                  <c:v>-372100.0</c:v>
                </c:pt>
                <c:pt idx="63">
                  <c:v>-384400.0</c:v>
                </c:pt>
                <c:pt idx="64">
                  <c:v>-336400.0</c:v>
                </c:pt>
                <c:pt idx="65">
                  <c:v>-348100.0</c:v>
                </c:pt>
                <c:pt idx="66">
                  <c:v>-360000.0</c:v>
                </c:pt>
                <c:pt idx="67">
                  <c:v>-372100.0</c:v>
                </c:pt>
                <c:pt idx="68">
                  <c:v>-384400.0</c:v>
                </c:pt>
                <c:pt idx="69">
                  <c:v>-409600.0</c:v>
                </c:pt>
                <c:pt idx="70">
                  <c:v>-422500.0</c:v>
                </c:pt>
                <c:pt idx="71">
                  <c:v>-435600.0</c:v>
                </c:pt>
                <c:pt idx="72">
                  <c:v>-448900.0</c:v>
                </c:pt>
                <c:pt idx="73">
                  <c:v>-462400.0</c:v>
                </c:pt>
                <c:pt idx="74">
                  <c:v>-476100.0</c:v>
                </c:pt>
                <c:pt idx="75">
                  <c:v>-490000.0</c:v>
                </c:pt>
                <c:pt idx="76">
                  <c:v>-504100.0</c:v>
                </c:pt>
                <c:pt idx="77">
                  <c:v>-435600.0</c:v>
                </c:pt>
                <c:pt idx="78">
                  <c:v>-448900.0</c:v>
                </c:pt>
                <c:pt idx="79">
                  <c:v>-462400.0</c:v>
                </c:pt>
                <c:pt idx="80">
                  <c:v>-476100.0</c:v>
                </c:pt>
                <c:pt idx="81">
                  <c:v>-490000.0</c:v>
                </c:pt>
                <c:pt idx="82">
                  <c:v>-532900.0</c:v>
                </c:pt>
                <c:pt idx="83">
                  <c:v>-547600.0</c:v>
                </c:pt>
                <c:pt idx="84">
                  <c:v>-562500.0</c:v>
                </c:pt>
                <c:pt idx="85">
                  <c:v>-577600.0</c:v>
                </c:pt>
                <c:pt idx="86">
                  <c:v>-592900.0</c:v>
                </c:pt>
                <c:pt idx="87">
                  <c:v>-608400.0</c:v>
                </c:pt>
                <c:pt idx="88">
                  <c:v>-624100.0</c:v>
                </c:pt>
                <c:pt idx="89">
                  <c:v>-640000.0</c:v>
                </c:pt>
                <c:pt idx="90">
                  <c:v>-656100.0</c:v>
                </c:pt>
                <c:pt idx="91">
                  <c:v>-672400.0</c:v>
                </c:pt>
                <c:pt idx="92">
                  <c:v>-688900.0</c:v>
                </c:pt>
                <c:pt idx="93">
                  <c:v>-705600.0</c:v>
                </c:pt>
                <c:pt idx="94">
                  <c:v>-722500.0</c:v>
                </c:pt>
                <c:pt idx="95">
                  <c:v>-739600.0</c:v>
                </c:pt>
                <c:pt idx="96">
                  <c:v>-756900.0</c:v>
                </c:pt>
                <c:pt idx="97">
                  <c:v>-774400.0</c:v>
                </c:pt>
                <c:pt idx="98">
                  <c:v>-792100.0</c:v>
                </c:pt>
                <c:pt idx="99">
                  <c:v>-810000.0</c:v>
                </c:pt>
                <c:pt idx="100">
                  <c:v>-828100.0</c:v>
                </c:pt>
                <c:pt idx="101">
                  <c:v>-846400.0</c:v>
                </c:pt>
                <c:pt idx="102">
                  <c:v>-864900.0</c:v>
                </c:pt>
                <c:pt idx="103">
                  <c:v>-883600.0</c:v>
                </c:pt>
                <c:pt idx="104">
                  <c:v>-902500.0</c:v>
                </c:pt>
                <c:pt idx="105">
                  <c:v>-921600.0</c:v>
                </c:pt>
                <c:pt idx="106">
                  <c:v>-940900.0</c:v>
                </c:pt>
                <c:pt idx="107">
                  <c:v>-960400.0</c:v>
                </c:pt>
                <c:pt idx="108">
                  <c:v>-980100.0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5632368"/>
        <c:axId val="-1973946736"/>
      </c:scatterChart>
      <c:valAx>
        <c:axId val="-209563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73946736"/>
        <c:crosses val="autoZero"/>
        <c:crossBetween val="midCat"/>
      </c:valAx>
      <c:valAx>
        <c:axId val="-19739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63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damege_give!$G$1</c:f>
              <c:strCache>
                <c:ptCount val="1"/>
                <c:pt idx="0">
                  <c:v>現在の仕様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damege_give!$F$2:$F$242</c:f>
              <c:numCache>
                <c:formatCode>General</c:formatCode>
                <c:ptCount val="241"/>
                <c:pt idx="0">
                  <c:v>0.0</c:v>
                </c:pt>
                <c:pt idx="1">
                  <c:v>2000.0</c:v>
                </c:pt>
                <c:pt idx="2">
                  <c:v>4000.0</c:v>
                </c:pt>
                <c:pt idx="3">
                  <c:v>6000.0</c:v>
                </c:pt>
                <c:pt idx="4">
                  <c:v>8000.0</c:v>
                </c:pt>
                <c:pt idx="5">
                  <c:v>10000.0</c:v>
                </c:pt>
                <c:pt idx="6">
                  <c:v>12000.0</c:v>
                </c:pt>
                <c:pt idx="7">
                  <c:v>14000.0</c:v>
                </c:pt>
                <c:pt idx="8">
                  <c:v>16000.0</c:v>
                </c:pt>
                <c:pt idx="9">
                  <c:v>18000.0</c:v>
                </c:pt>
                <c:pt idx="10">
                  <c:v>20000.0</c:v>
                </c:pt>
                <c:pt idx="11">
                  <c:v>22000.0</c:v>
                </c:pt>
                <c:pt idx="12">
                  <c:v>24000.0</c:v>
                </c:pt>
                <c:pt idx="13">
                  <c:v>26000.0</c:v>
                </c:pt>
                <c:pt idx="14">
                  <c:v>28000.0</c:v>
                </c:pt>
                <c:pt idx="15">
                  <c:v>30000.0</c:v>
                </c:pt>
                <c:pt idx="16">
                  <c:v>32000.0</c:v>
                </c:pt>
                <c:pt idx="17">
                  <c:v>34000.0</c:v>
                </c:pt>
                <c:pt idx="18">
                  <c:v>36000.0</c:v>
                </c:pt>
                <c:pt idx="19">
                  <c:v>38000.0</c:v>
                </c:pt>
                <c:pt idx="20">
                  <c:v>40000.0</c:v>
                </c:pt>
                <c:pt idx="21">
                  <c:v>42000.0</c:v>
                </c:pt>
                <c:pt idx="22">
                  <c:v>44000.0</c:v>
                </c:pt>
                <c:pt idx="23">
                  <c:v>46000.0</c:v>
                </c:pt>
                <c:pt idx="24">
                  <c:v>48000.0</c:v>
                </c:pt>
                <c:pt idx="25">
                  <c:v>50000.0</c:v>
                </c:pt>
                <c:pt idx="26">
                  <c:v>52000.0</c:v>
                </c:pt>
                <c:pt idx="27">
                  <c:v>54000.0</c:v>
                </c:pt>
                <c:pt idx="28">
                  <c:v>56000.0</c:v>
                </c:pt>
                <c:pt idx="29">
                  <c:v>58000.0</c:v>
                </c:pt>
                <c:pt idx="30">
                  <c:v>60000.0</c:v>
                </c:pt>
                <c:pt idx="31">
                  <c:v>62000.0</c:v>
                </c:pt>
                <c:pt idx="32">
                  <c:v>64000.0</c:v>
                </c:pt>
                <c:pt idx="33">
                  <c:v>66000.0</c:v>
                </c:pt>
                <c:pt idx="34">
                  <c:v>68000.0</c:v>
                </c:pt>
                <c:pt idx="35">
                  <c:v>70000.0</c:v>
                </c:pt>
                <c:pt idx="36">
                  <c:v>72000.0</c:v>
                </c:pt>
                <c:pt idx="37">
                  <c:v>74000.0</c:v>
                </c:pt>
                <c:pt idx="38">
                  <c:v>76000.0</c:v>
                </c:pt>
                <c:pt idx="39">
                  <c:v>78000.0</c:v>
                </c:pt>
                <c:pt idx="40">
                  <c:v>80000.0</c:v>
                </c:pt>
                <c:pt idx="41">
                  <c:v>82000.0</c:v>
                </c:pt>
                <c:pt idx="42">
                  <c:v>84000.0</c:v>
                </c:pt>
                <c:pt idx="43">
                  <c:v>86000.0</c:v>
                </c:pt>
                <c:pt idx="44">
                  <c:v>88000.0</c:v>
                </c:pt>
                <c:pt idx="45">
                  <c:v>90000.0</c:v>
                </c:pt>
                <c:pt idx="46">
                  <c:v>92000.0</c:v>
                </c:pt>
                <c:pt idx="47">
                  <c:v>94000.0</c:v>
                </c:pt>
                <c:pt idx="48">
                  <c:v>96000.0</c:v>
                </c:pt>
                <c:pt idx="49">
                  <c:v>98000.0</c:v>
                </c:pt>
                <c:pt idx="50">
                  <c:v>100000.0</c:v>
                </c:pt>
                <c:pt idx="51">
                  <c:v>102000.0</c:v>
                </c:pt>
                <c:pt idx="52">
                  <c:v>104000.0</c:v>
                </c:pt>
                <c:pt idx="53">
                  <c:v>106000.0</c:v>
                </c:pt>
                <c:pt idx="54">
                  <c:v>108000.0</c:v>
                </c:pt>
                <c:pt idx="55">
                  <c:v>110000.0</c:v>
                </c:pt>
                <c:pt idx="56">
                  <c:v>112000.0</c:v>
                </c:pt>
                <c:pt idx="57">
                  <c:v>114000.0</c:v>
                </c:pt>
                <c:pt idx="58">
                  <c:v>116000.0</c:v>
                </c:pt>
                <c:pt idx="59">
                  <c:v>118000.0</c:v>
                </c:pt>
                <c:pt idx="60">
                  <c:v>120000.0</c:v>
                </c:pt>
                <c:pt idx="61">
                  <c:v>122000.0</c:v>
                </c:pt>
                <c:pt idx="62">
                  <c:v>124000.0</c:v>
                </c:pt>
                <c:pt idx="63">
                  <c:v>126000.0</c:v>
                </c:pt>
                <c:pt idx="64">
                  <c:v>128000.0</c:v>
                </c:pt>
                <c:pt idx="65">
                  <c:v>130000.0</c:v>
                </c:pt>
                <c:pt idx="70">
                  <c:v>132000.0</c:v>
                </c:pt>
                <c:pt idx="71">
                  <c:v>134000.0</c:v>
                </c:pt>
                <c:pt idx="72">
                  <c:v>136000.0</c:v>
                </c:pt>
                <c:pt idx="73">
                  <c:v>138000.0</c:v>
                </c:pt>
                <c:pt idx="74">
                  <c:v>140000.0</c:v>
                </c:pt>
                <c:pt idx="75">
                  <c:v>142000.0</c:v>
                </c:pt>
                <c:pt idx="76">
                  <c:v>144000.0</c:v>
                </c:pt>
                <c:pt idx="77">
                  <c:v>146000.0</c:v>
                </c:pt>
                <c:pt idx="78">
                  <c:v>148000.0</c:v>
                </c:pt>
                <c:pt idx="79">
                  <c:v>150000.0</c:v>
                </c:pt>
                <c:pt idx="80">
                  <c:v>152000.0</c:v>
                </c:pt>
                <c:pt idx="81">
                  <c:v>154000.0</c:v>
                </c:pt>
                <c:pt idx="82">
                  <c:v>156000.0</c:v>
                </c:pt>
                <c:pt idx="83">
                  <c:v>158000.0</c:v>
                </c:pt>
                <c:pt idx="84">
                  <c:v>160000.0</c:v>
                </c:pt>
                <c:pt idx="85">
                  <c:v>162000.0</c:v>
                </c:pt>
                <c:pt idx="86">
                  <c:v>164000.0</c:v>
                </c:pt>
                <c:pt idx="87">
                  <c:v>166000.0</c:v>
                </c:pt>
                <c:pt idx="88">
                  <c:v>168000.0</c:v>
                </c:pt>
                <c:pt idx="89">
                  <c:v>170000.0</c:v>
                </c:pt>
                <c:pt idx="90">
                  <c:v>172000.0</c:v>
                </c:pt>
                <c:pt idx="91">
                  <c:v>174000.0</c:v>
                </c:pt>
                <c:pt idx="92">
                  <c:v>176000.0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</c:numCache>
            </c:numRef>
          </c:xVal>
          <c:yVal>
            <c:numRef>
              <c:f>damege_give!$G$2:$G$242</c:f>
              <c:numCache>
                <c:formatCode>General</c:formatCode>
                <c:ptCount val="241"/>
                <c:pt idx="0">
                  <c:v>0.0</c:v>
                </c:pt>
                <c:pt idx="1">
                  <c:v>2000.0</c:v>
                </c:pt>
                <c:pt idx="2">
                  <c:v>4000.0</c:v>
                </c:pt>
                <c:pt idx="3">
                  <c:v>6000.0</c:v>
                </c:pt>
                <c:pt idx="4">
                  <c:v>8000.0</c:v>
                </c:pt>
                <c:pt idx="5">
                  <c:v>10000.0</c:v>
                </c:pt>
                <c:pt idx="6">
                  <c:v>12000.0</c:v>
                </c:pt>
                <c:pt idx="7">
                  <c:v>14000.0</c:v>
                </c:pt>
                <c:pt idx="8">
                  <c:v>16000.0</c:v>
                </c:pt>
                <c:pt idx="9">
                  <c:v>18000.0</c:v>
                </c:pt>
                <c:pt idx="10">
                  <c:v>27000.0</c:v>
                </c:pt>
                <c:pt idx="11">
                  <c:v>29200.0</c:v>
                </c:pt>
                <c:pt idx="12">
                  <c:v>31400.0</c:v>
                </c:pt>
                <c:pt idx="13">
                  <c:v>33600.0</c:v>
                </c:pt>
                <c:pt idx="14">
                  <c:v>35800.0</c:v>
                </c:pt>
                <c:pt idx="15">
                  <c:v>43000.0</c:v>
                </c:pt>
                <c:pt idx="16">
                  <c:v>45200.0</c:v>
                </c:pt>
                <c:pt idx="17">
                  <c:v>47400.0</c:v>
                </c:pt>
                <c:pt idx="18">
                  <c:v>49600.0</c:v>
                </c:pt>
                <c:pt idx="19">
                  <c:v>51800.0</c:v>
                </c:pt>
                <c:pt idx="20">
                  <c:v>54000.0</c:v>
                </c:pt>
                <c:pt idx="21">
                  <c:v>56200.00000000001</c:v>
                </c:pt>
                <c:pt idx="22">
                  <c:v>58400.00000000001</c:v>
                </c:pt>
                <c:pt idx="23">
                  <c:v>60600.00000000001</c:v>
                </c:pt>
                <c:pt idx="24">
                  <c:v>62800.00000000001</c:v>
                </c:pt>
                <c:pt idx="25">
                  <c:v>70000.0</c:v>
                </c:pt>
                <c:pt idx="26">
                  <c:v>72400.0</c:v>
                </c:pt>
                <c:pt idx="27">
                  <c:v>74800.0</c:v>
                </c:pt>
                <c:pt idx="28">
                  <c:v>77200.0</c:v>
                </c:pt>
                <c:pt idx="29">
                  <c:v>79600.0</c:v>
                </c:pt>
                <c:pt idx="30">
                  <c:v>82000.0</c:v>
                </c:pt>
                <c:pt idx="31">
                  <c:v>84400.0</c:v>
                </c:pt>
                <c:pt idx="32">
                  <c:v>86800.0</c:v>
                </c:pt>
                <c:pt idx="33">
                  <c:v>89200.0</c:v>
                </c:pt>
                <c:pt idx="34">
                  <c:v>91600.0</c:v>
                </c:pt>
                <c:pt idx="35">
                  <c:v>99000.0</c:v>
                </c:pt>
                <c:pt idx="36">
                  <c:v>101400.0</c:v>
                </c:pt>
                <c:pt idx="37">
                  <c:v>103800.0</c:v>
                </c:pt>
                <c:pt idx="38">
                  <c:v>106200.0</c:v>
                </c:pt>
                <c:pt idx="39">
                  <c:v>108600.0</c:v>
                </c:pt>
                <c:pt idx="40">
                  <c:v>111000.0</c:v>
                </c:pt>
                <c:pt idx="41">
                  <c:v>113400.0</c:v>
                </c:pt>
                <c:pt idx="42">
                  <c:v>115800.0</c:v>
                </c:pt>
                <c:pt idx="43">
                  <c:v>118200.0</c:v>
                </c:pt>
                <c:pt idx="44">
                  <c:v>120600.0</c:v>
                </c:pt>
                <c:pt idx="45">
                  <c:v>123000.0</c:v>
                </c:pt>
                <c:pt idx="46">
                  <c:v>125400.0</c:v>
                </c:pt>
                <c:pt idx="47">
                  <c:v>127800.0</c:v>
                </c:pt>
                <c:pt idx="48">
                  <c:v>130200.0</c:v>
                </c:pt>
                <c:pt idx="49">
                  <c:v>132600.0</c:v>
                </c:pt>
                <c:pt idx="50">
                  <c:v>140000.0</c:v>
                </c:pt>
                <c:pt idx="51">
                  <c:v>142400.0</c:v>
                </c:pt>
                <c:pt idx="52">
                  <c:v>144800.0</c:v>
                </c:pt>
                <c:pt idx="53">
                  <c:v>147200.0</c:v>
                </c:pt>
                <c:pt idx="54">
                  <c:v>149600.0</c:v>
                </c:pt>
                <c:pt idx="55">
                  <c:v>152000.0</c:v>
                </c:pt>
                <c:pt idx="56">
                  <c:v>154400.0</c:v>
                </c:pt>
                <c:pt idx="57">
                  <c:v>156800.0</c:v>
                </c:pt>
                <c:pt idx="58">
                  <c:v>159200.0</c:v>
                </c:pt>
                <c:pt idx="59">
                  <c:v>161600.0</c:v>
                </c:pt>
                <c:pt idx="60">
                  <c:v>164000.0</c:v>
                </c:pt>
                <c:pt idx="61">
                  <c:v>166400.0</c:v>
                </c:pt>
                <c:pt idx="62">
                  <c:v>168800.0</c:v>
                </c:pt>
                <c:pt idx="63">
                  <c:v>171200.0</c:v>
                </c:pt>
                <c:pt idx="64">
                  <c:v>173600.0</c:v>
                </c:pt>
                <c:pt idx="65">
                  <c:v>176000.0</c:v>
                </c:pt>
                <c:pt idx="70">
                  <c:v>178400.0</c:v>
                </c:pt>
                <c:pt idx="71">
                  <c:v>180800.0</c:v>
                </c:pt>
                <c:pt idx="72">
                  <c:v>183200.0</c:v>
                </c:pt>
                <c:pt idx="73">
                  <c:v>185600.0</c:v>
                </c:pt>
                <c:pt idx="74">
                  <c:v>188000.0</c:v>
                </c:pt>
                <c:pt idx="75">
                  <c:v>190400.0</c:v>
                </c:pt>
                <c:pt idx="76">
                  <c:v>192800.0</c:v>
                </c:pt>
                <c:pt idx="77">
                  <c:v>195200.0</c:v>
                </c:pt>
                <c:pt idx="78">
                  <c:v>197600.0</c:v>
                </c:pt>
                <c:pt idx="79">
                  <c:v>220000.0</c:v>
                </c:pt>
                <c:pt idx="80">
                  <c:v>222600.0</c:v>
                </c:pt>
                <c:pt idx="81">
                  <c:v>225200.0</c:v>
                </c:pt>
                <c:pt idx="82">
                  <c:v>227800.0</c:v>
                </c:pt>
                <c:pt idx="83">
                  <c:v>230400.0</c:v>
                </c:pt>
                <c:pt idx="84">
                  <c:v>233000.0</c:v>
                </c:pt>
                <c:pt idx="85">
                  <c:v>235600.0</c:v>
                </c:pt>
                <c:pt idx="86">
                  <c:v>238200.0</c:v>
                </c:pt>
                <c:pt idx="87">
                  <c:v>240800.0</c:v>
                </c:pt>
                <c:pt idx="88">
                  <c:v>243400.0</c:v>
                </c:pt>
                <c:pt idx="89">
                  <c:v>246000.0</c:v>
                </c:pt>
                <c:pt idx="90">
                  <c:v>248600.0</c:v>
                </c:pt>
                <c:pt idx="91">
                  <c:v>251200.0</c:v>
                </c:pt>
                <c:pt idx="92">
                  <c:v>253800.0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damege_give!$H$1</c:f>
              <c:strCache>
                <c:ptCount val="1"/>
                <c:pt idx="0">
                  <c:v>本当に作るべきだったものに近いもの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damege_give!$F$2:$F$242</c:f>
              <c:numCache>
                <c:formatCode>General</c:formatCode>
                <c:ptCount val="241"/>
                <c:pt idx="0">
                  <c:v>0.0</c:v>
                </c:pt>
                <c:pt idx="1">
                  <c:v>2000.0</c:v>
                </c:pt>
                <c:pt idx="2">
                  <c:v>4000.0</c:v>
                </c:pt>
                <c:pt idx="3">
                  <c:v>6000.0</c:v>
                </c:pt>
                <c:pt idx="4">
                  <c:v>8000.0</c:v>
                </c:pt>
                <c:pt idx="5">
                  <c:v>10000.0</c:v>
                </c:pt>
                <c:pt idx="6">
                  <c:v>12000.0</c:v>
                </c:pt>
                <c:pt idx="7">
                  <c:v>14000.0</c:v>
                </c:pt>
                <c:pt idx="8">
                  <c:v>16000.0</c:v>
                </c:pt>
                <c:pt idx="9">
                  <c:v>18000.0</c:v>
                </c:pt>
                <c:pt idx="10">
                  <c:v>20000.0</c:v>
                </c:pt>
                <c:pt idx="11">
                  <c:v>22000.0</c:v>
                </c:pt>
                <c:pt idx="12">
                  <c:v>24000.0</c:v>
                </c:pt>
                <c:pt idx="13">
                  <c:v>26000.0</c:v>
                </c:pt>
                <c:pt idx="14">
                  <c:v>28000.0</c:v>
                </c:pt>
                <c:pt idx="15">
                  <c:v>30000.0</c:v>
                </c:pt>
                <c:pt idx="16">
                  <c:v>32000.0</c:v>
                </c:pt>
                <c:pt idx="17">
                  <c:v>34000.0</c:v>
                </c:pt>
                <c:pt idx="18">
                  <c:v>36000.0</c:v>
                </c:pt>
                <c:pt idx="19">
                  <c:v>38000.0</c:v>
                </c:pt>
                <c:pt idx="20">
                  <c:v>40000.0</c:v>
                </c:pt>
                <c:pt idx="21">
                  <c:v>42000.0</c:v>
                </c:pt>
                <c:pt idx="22">
                  <c:v>44000.0</c:v>
                </c:pt>
                <c:pt idx="23">
                  <c:v>46000.0</c:v>
                </c:pt>
                <c:pt idx="24">
                  <c:v>48000.0</c:v>
                </c:pt>
                <c:pt idx="25">
                  <c:v>50000.0</c:v>
                </c:pt>
                <c:pt idx="26">
                  <c:v>52000.0</c:v>
                </c:pt>
                <c:pt idx="27">
                  <c:v>54000.0</c:v>
                </c:pt>
                <c:pt idx="28">
                  <c:v>56000.0</c:v>
                </c:pt>
                <c:pt idx="29">
                  <c:v>58000.0</c:v>
                </c:pt>
                <c:pt idx="30">
                  <c:v>60000.0</c:v>
                </c:pt>
                <c:pt idx="31">
                  <c:v>62000.0</c:v>
                </c:pt>
                <c:pt idx="32">
                  <c:v>64000.0</c:v>
                </c:pt>
                <c:pt idx="33">
                  <c:v>66000.0</c:v>
                </c:pt>
                <c:pt idx="34">
                  <c:v>68000.0</c:v>
                </c:pt>
                <c:pt idx="35">
                  <c:v>70000.0</c:v>
                </c:pt>
                <c:pt idx="36">
                  <c:v>72000.0</c:v>
                </c:pt>
                <c:pt idx="37">
                  <c:v>74000.0</c:v>
                </c:pt>
                <c:pt idx="38">
                  <c:v>76000.0</c:v>
                </c:pt>
                <c:pt idx="39">
                  <c:v>78000.0</c:v>
                </c:pt>
                <c:pt idx="40">
                  <c:v>80000.0</c:v>
                </c:pt>
                <c:pt idx="41">
                  <c:v>82000.0</c:v>
                </c:pt>
                <c:pt idx="42">
                  <c:v>84000.0</c:v>
                </c:pt>
                <c:pt idx="43">
                  <c:v>86000.0</c:v>
                </c:pt>
                <c:pt idx="44">
                  <c:v>88000.0</c:v>
                </c:pt>
                <c:pt idx="45">
                  <c:v>90000.0</c:v>
                </c:pt>
                <c:pt idx="46">
                  <c:v>92000.0</c:v>
                </c:pt>
                <c:pt idx="47">
                  <c:v>94000.0</c:v>
                </c:pt>
                <c:pt idx="48">
                  <c:v>96000.0</c:v>
                </c:pt>
                <c:pt idx="49">
                  <c:v>98000.0</c:v>
                </c:pt>
                <c:pt idx="50">
                  <c:v>100000.0</c:v>
                </c:pt>
                <c:pt idx="51">
                  <c:v>102000.0</c:v>
                </c:pt>
                <c:pt idx="52">
                  <c:v>104000.0</c:v>
                </c:pt>
                <c:pt idx="53">
                  <c:v>106000.0</c:v>
                </c:pt>
                <c:pt idx="54">
                  <c:v>108000.0</c:v>
                </c:pt>
                <c:pt idx="55">
                  <c:v>110000.0</c:v>
                </c:pt>
                <c:pt idx="56">
                  <c:v>112000.0</c:v>
                </c:pt>
                <c:pt idx="57">
                  <c:v>114000.0</c:v>
                </c:pt>
                <c:pt idx="58">
                  <c:v>116000.0</c:v>
                </c:pt>
                <c:pt idx="59">
                  <c:v>118000.0</c:v>
                </c:pt>
                <c:pt idx="60">
                  <c:v>120000.0</c:v>
                </c:pt>
                <c:pt idx="61">
                  <c:v>122000.0</c:v>
                </c:pt>
                <c:pt idx="62">
                  <c:v>124000.0</c:v>
                </c:pt>
                <c:pt idx="63">
                  <c:v>126000.0</c:v>
                </c:pt>
                <c:pt idx="64">
                  <c:v>128000.0</c:v>
                </c:pt>
                <c:pt idx="65">
                  <c:v>130000.0</c:v>
                </c:pt>
                <c:pt idx="70">
                  <c:v>132000.0</c:v>
                </c:pt>
                <c:pt idx="71">
                  <c:v>134000.0</c:v>
                </c:pt>
                <c:pt idx="72">
                  <c:v>136000.0</c:v>
                </c:pt>
                <c:pt idx="73">
                  <c:v>138000.0</c:v>
                </c:pt>
                <c:pt idx="74">
                  <c:v>140000.0</c:v>
                </c:pt>
                <c:pt idx="75">
                  <c:v>142000.0</c:v>
                </c:pt>
                <c:pt idx="76">
                  <c:v>144000.0</c:v>
                </c:pt>
                <c:pt idx="77">
                  <c:v>146000.0</c:v>
                </c:pt>
                <c:pt idx="78">
                  <c:v>148000.0</c:v>
                </c:pt>
                <c:pt idx="79">
                  <c:v>150000.0</c:v>
                </c:pt>
                <c:pt idx="80">
                  <c:v>152000.0</c:v>
                </c:pt>
                <c:pt idx="81">
                  <c:v>154000.0</c:v>
                </c:pt>
                <c:pt idx="82">
                  <c:v>156000.0</c:v>
                </c:pt>
                <c:pt idx="83">
                  <c:v>158000.0</c:v>
                </c:pt>
                <c:pt idx="84">
                  <c:v>160000.0</c:v>
                </c:pt>
                <c:pt idx="85">
                  <c:v>162000.0</c:v>
                </c:pt>
                <c:pt idx="86">
                  <c:v>164000.0</c:v>
                </c:pt>
                <c:pt idx="87">
                  <c:v>166000.0</c:v>
                </c:pt>
                <c:pt idx="88">
                  <c:v>168000.0</c:v>
                </c:pt>
                <c:pt idx="89">
                  <c:v>170000.0</c:v>
                </c:pt>
                <c:pt idx="90">
                  <c:v>172000.0</c:v>
                </c:pt>
                <c:pt idx="91">
                  <c:v>174000.0</c:v>
                </c:pt>
                <c:pt idx="92">
                  <c:v>176000.0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</c:numCache>
            </c:numRef>
          </c:xVal>
          <c:yVal>
            <c:numRef>
              <c:f>damege_give!$H$2:$H$242</c:f>
              <c:numCache>
                <c:formatCode>General</c:formatCode>
                <c:ptCount val="241"/>
                <c:pt idx="0">
                  <c:v>0.0</c:v>
                </c:pt>
                <c:pt idx="1">
                  <c:v>22360.6797749979</c:v>
                </c:pt>
                <c:pt idx="2">
                  <c:v>31622.7766016838</c:v>
                </c:pt>
                <c:pt idx="3">
                  <c:v>38729.83346207417</c:v>
                </c:pt>
                <c:pt idx="4">
                  <c:v>44721.3595499958</c:v>
                </c:pt>
                <c:pt idx="5">
                  <c:v>50000.0</c:v>
                </c:pt>
                <c:pt idx="6">
                  <c:v>54772.25575051661</c:v>
                </c:pt>
                <c:pt idx="7">
                  <c:v>59160.79783099616</c:v>
                </c:pt>
                <c:pt idx="8">
                  <c:v>63245.55320336758</c:v>
                </c:pt>
                <c:pt idx="9">
                  <c:v>67082.03932499368</c:v>
                </c:pt>
                <c:pt idx="10">
                  <c:v>70710.67811865475</c:v>
                </c:pt>
                <c:pt idx="11">
                  <c:v>74161.98487095663</c:v>
                </c:pt>
                <c:pt idx="12">
                  <c:v>77459.66692414833</c:v>
                </c:pt>
                <c:pt idx="13">
                  <c:v>80622.5774829855</c:v>
                </c:pt>
                <c:pt idx="14">
                  <c:v>83666.00265340756</c:v>
                </c:pt>
                <c:pt idx="15">
                  <c:v>86602.54037844387</c:v>
                </c:pt>
                <c:pt idx="16">
                  <c:v>89442.7190999916</c:v>
                </c:pt>
                <c:pt idx="17">
                  <c:v>92195.44457292887</c:v>
                </c:pt>
                <c:pt idx="18">
                  <c:v>94868.32980505136</c:v>
                </c:pt>
                <c:pt idx="19">
                  <c:v>97467.94344808965</c:v>
                </c:pt>
                <c:pt idx="20">
                  <c:v>100000.0</c:v>
                </c:pt>
                <c:pt idx="21">
                  <c:v>102469.507659596</c:v>
                </c:pt>
                <c:pt idx="22">
                  <c:v>104880.8848170152</c:v>
                </c:pt>
                <c:pt idx="23">
                  <c:v>107238.0529476361</c:v>
                </c:pt>
                <c:pt idx="24">
                  <c:v>109544.5115010332</c:v>
                </c:pt>
                <c:pt idx="25">
                  <c:v>111803.3988749895</c:v>
                </c:pt>
                <c:pt idx="26">
                  <c:v>114017.5425099138</c:v>
                </c:pt>
                <c:pt idx="27">
                  <c:v>116189.5003862225</c:v>
                </c:pt>
                <c:pt idx="28">
                  <c:v>118321.5956619923</c:v>
                </c:pt>
                <c:pt idx="29">
                  <c:v>120415.9457879229</c:v>
                </c:pt>
                <c:pt idx="30">
                  <c:v>122474.4871391589</c:v>
                </c:pt>
                <c:pt idx="31">
                  <c:v>124498.9959798873</c:v>
                </c:pt>
                <c:pt idx="32">
                  <c:v>126491.1064067352</c:v>
                </c:pt>
                <c:pt idx="33">
                  <c:v>128452.3257866513</c:v>
                </c:pt>
                <c:pt idx="34">
                  <c:v>130384.048104053</c:v>
                </c:pt>
                <c:pt idx="35">
                  <c:v>132287.5655532295</c:v>
                </c:pt>
                <c:pt idx="36">
                  <c:v>134164.0786499874</c:v>
                </c:pt>
                <c:pt idx="37">
                  <c:v>136014.7050873544</c:v>
                </c:pt>
                <c:pt idx="38">
                  <c:v>137840.4875209022</c:v>
                </c:pt>
                <c:pt idx="39">
                  <c:v>139642.4004376894</c:v>
                </c:pt>
                <c:pt idx="40">
                  <c:v>141421.3562373095</c:v>
                </c:pt>
                <c:pt idx="41">
                  <c:v>143178.2106327635</c:v>
                </c:pt>
                <c:pt idx="42">
                  <c:v>144913.7674618944</c:v>
                </c:pt>
                <c:pt idx="43">
                  <c:v>146628.7829861518</c:v>
                </c:pt>
                <c:pt idx="44">
                  <c:v>148323.9697419133</c:v>
                </c:pt>
                <c:pt idx="45">
                  <c:v>150000.0</c:v>
                </c:pt>
                <c:pt idx="46">
                  <c:v>151657.508881031</c:v>
                </c:pt>
                <c:pt idx="47">
                  <c:v>153297.097167559</c:v>
                </c:pt>
                <c:pt idx="48">
                  <c:v>154919.3338482967</c:v>
                </c:pt>
                <c:pt idx="49">
                  <c:v>156524.7584249853</c:v>
                </c:pt>
                <c:pt idx="50">
                  <c:v>158113.883008419</c:v>
                </c:pt>
                <c:pt idx="51">
                  <c:v>159687.1942267131</c:v>
                </c:pt>
                <c:pt idx="52">
                  <c:v>161245.154965971</c:v>
                </c:pt>
                <c:pt idx="53">
                  <c:v>162788.2059609971</c:v>
                </c:pt>
                <c:pt idx="54">
                  <c:v>164316.7672515498</c:v>
                </c:pt>
                <c:pt idx="55">
                  <c:v>165831.23951777</c:v>
                </c:pt>
                <c:pt idx="56">
                  <c:v>167332.0053068151</c:v>
                </c:pt>
                <c:pt idx="57">
                  <c:v>168819.4301613413</c:v>
                </c:pt>
                <c:pt idx="58">
                  <c:v>170293.863659264</c:v>
                </c:pt>
                <c:pt idx="59">
                  <c:v>171755.6403731767</c:v>
                </c:pt>
                <c:pt idx="60">
                  <c:v>173205.0807568877</c:v>
                </c:pt>
                <c:pt idx="61">
                  <c:v>174642.4919657298</c:v>
                </c:pt>
                <c:pt idx="62">
                  <c:v>176068.1686165901</c:v>
                </c:pt>
                <c:pt idx="63">
                  <c:v>177482.3934929885</c:v>
                </c:pt>
                <c:pt idx="64">
                  <c:v>178885.4381999832</c:v>
                </c:pt>
                <c:pt idx="65">
                  <c:v>180277.5637731995</c:v>
                </c:pt>
                <c:pt idx="70">
                  <c:v>181659.0212458495</c:v>
                </c:pt>
                <c:pt idx="71">
                  <c:v>183030.0521772313</c:v>
                </c:pt>
                <c:pt idx="72">
                  <c:v>184390.8891458577</c:v>
                </c:pt>
                <c:pt idx="73">
                  <c:v>185741.7562100671</c:v>
                </c:pt>
                <c:pt idx="74">
                  <c:v>187082.8693386971</c:v>
                </c:pt>
                <c:pt idx="75">
                  <c:v>188414.4368141677</c:v>
                </c:pt>
                <c:pt idx="76">
                  <c:v>189736.6596101027</c:v>
                </c:pt>
                <c:pt idx="77">
                  <c:v>191049.731745428</c:v>
                </c:pt>
                <c:pt idx="78">
                  <c:v>192353.8406167135</c:v>
                </c:pt>
                <c:pt idx="79">
                  <c:v>193649.1673103708</c:v>
                </c:pt>
                <c:pt idx="80">
                  <c:v>194935.8868961793</c:v>
                </c:pt>
                <c:pt idx="81">
                  <c:v>196214.1687034858</c:v>
                </c:pt>
                <c:pt idx="82">
                  <c:v>197484.176581315</c:v>
                </c:pt>
                <c:pt idx="83">
                  <c:v>198746.069143518</c:v>
                </c:pt>
                <c:pt idx="84">
                  <c:v>200000.0</c:v>
                </c:pt>
                <c:pt idx="85">
                  <c:v>201246.1179749811</c:v>
                </c:pt>
                <c:pt idx="86">
                  <c:v>202484.5673131659</c:v>
                </c:pt>
                <c:pt idx="87">
                  <c:v>203715.4878746336</c:v>
                </c:pt>
                <c:pt idx="88">
                  <c:v>204939.015319192</c:v>
                </c:pt>
                <c:pt idx="89">
                  <c:v>206155.281280883</c:v>
                </c:pt>
                <c:pt idx="90">
                  <c:v>207364.4135332772</c:v>
                </c:pt>
                <c:pt idx="91">
                  <c:v>208566.5361461421</c:v>
                </c:pt>
                <c:pt idx="92">
                  <c:v>209761.7696340303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540192"/>
        <c:axId val="-2011255312"/>
      </c:scatterChart>
      <c:valAx>
        <c:axId val="21345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11255312"/>
        <c:crosses val="autoZero"/>
        <c:crossBetween val="midCat"/>
      </c:valAx>
      <c:valAx>
        <c:axId val="-201125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34540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damage_receive!$G$1</c:f>
              <c:strCache>
                <c:ptCount val="1"/>
                <c:pt idx="0">
                  <c:v>現在の仕様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damage_receive!$F$2:$F$87</c:f>
              <c:numCache>
                <c:formatCode>General</c:formatCode>
                <c:ptCount val="86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1.900000000000001</c:v>
                </c:pt>
                <c:pt idx="20">
                  <c:v>2.0</c:v>
                </c:pt>
                <c:pt idx="21">
                  <c:v>2.100000000000001</c:v>
                </c:pt>
                <c:pt idx="22">
                  <c:v>2.200000000000001</c:v>
                </c:pt>
                <c:pt idx="23">
                  <c:v>2.300000000000001</c:v>
                </c:pt>
                <c:pt idx="24">
                  <c:v>2.400000000000001</c:v>
                </c:pt>
                <c:pt idx="25">
                  <c:v>2.500000000000001</c:v>
                </c:pt>
                <c:pt idx="26">
                  <c:v>2.600000000000001</c:v>
                </c:pt>
                <c:pt idx="27">
                  <c:v>2.700000000000001</c:v>
                </c:pt>
                <c:pt idx="28">
                  <c:v>2.800000000000001</c:v>
                </c:pt>
                <c:pt idx="29">
                  <c:v>2.900000000000001</c:v>
                </c:pt>
                <c:pt idx="30">
                  <c:v>3.000000000000001</c:v>
                </c:pt>
                <c:pt idx="31">
                  <c:v>3.100000000000001</c:v>
                </c:pt>
                <c:pt idx="32">
                  <c:v>3.200000000000001</c:v>
                </c:pt>
                <c:pt idx="33">
                  <c:v>3.300000000000002</c:v>
                </c:pt>
                <c:pt idx="34">
                  <c:v>3.400000000000002</c:v>
                </c:pt>
                <c:pt idx="35">
                  <c:v>3.500000000000002</c:v>
                </c:pt>
                <c:pt idx="36">
                  <c:v>3.600000000000002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</c:v>
                </c:pt>
                <c:pt idx="40">
                  <c:v>4.000000000000002</c:v>
                </c:pt>
                <c:pt idx="41">
                  <c:v>4.100000000000001</c:v>
                </c:pt>
                <c:pt idx="42">
                  <c:v>4.200000000000001</c:v>
                </c:pt>
                <c:pt idx="43">
                  <c:v>4.300000000000001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4.699999999999999</c:v>
                </c:pt>
                <c:pt idx="48">
                  <c:v>4.799999999999999</c:v>
                </c:pt>
                <c:pt idx="49">
                  <c:v>4.899999999999999</c:v>
                </c:pt>
                <c:pt idx="50">
                  <c:v>4.999999999999998</c:v>
                </c:pt>
                <c:pt idx="51">
                  <c:v>5.099999999999998</c:v>
                </c:pt>
                <c:pt idx="52">
                  <c:v>5.199999999999997</c:v>
                </c:pt>
                <c:pt idx="53">
                  <c:v>5.299999999999997</c:v>
                </c:pt>
                <c:pt idx="54">
                  <c:v>5.399999999999997</c:v>
                </c:pt>
                <c:pt idx="55">
                  <c:v>5.499999999999996</c:v>
                </c:pt>
                <c:pt idx="56">
                  <c:v>5.599999999999996</c:v>
                </c:pt>
                <c:pt idx="57">
                  <c:v>5.699999999999996</c:v>
                </c:pt>
                <c:pt idx="58">
                  <c:v>5.799999999999995</c:v>
                </c:pt>
                <c:pt idx="59">
                  <c:v>5.899999999999995</c:v>
                </c:pt>
                <c:pt idx="60">
                  <c:v>5.999999999999994</c:v>
                </c:pt>
                <c:pt idx="61">
                  <c:v>6.099999999999994</c:v>
                </c:pt>
                <c:pt idx="62">
                  <c:v>6.199999999999994</c:v>
                </c:pt>
                <c:pt idx="63">
                  <c:v>6.299999999999994</c:v>
                </c:pt>
                <c:pt idx="64">
                  <c:v>6.399999999999993</c:v>
                </c:pt>
                <c:pt idx="65">
                  <c:v>6.499999999999993</c:v>
                </c:pt>
                <c:pt idx="66">
                  <c:v>6.599999999999993</c:v>
                </c:pt>
                <c:pt idx="67">
                  <c:v>6.699999999999992</c:v>
                </c:pt>
                <c:pt idx="68">
                  <c:v>6.799999999999992</c:v>
                </c:pt>
                <c:pt idx="69">
                  <c:v>6.899999999999991</c:v>
                </c:pt>
                <c:pt idx="70">
                  <c:v>6.999999999999991</c:v>
                </c:pt>
                <c:pt idx="71">
                  <c:v>7.099999999999991</c:v>
                </c:pt>
                <c:pt idx="72">
                  <c:v>7.19999999999999</c:v>
                </c:pt>
                <c:pt idx="73">
                  <c:v>7.29999999999999</c:v>
                </c:pt>
                <c:pt idx="74">
                  <c:v>7.39999999999999</c:v>
                </c:pt>
                <c:pt idx="75">
                  <c:v>7.49999999999999</c:v>
                </c:pt>
                <c:pt idx="76">
                  <c:v>7.599999999999989</c:v>
                </c:pt>
                <c:pt idx="77">
                  <c:v>7.699999999999989</c:v>
                </c:pt>
                <c:pt idx="78">
                  <c:v>7.799999999999988</c:v>
                </c:pt>
                <c:pt idx="79">
                  <c:v>7.899999999999988</c:v>
                </c:pt>
                <c:pt idx="80">
                  <c:v>7.999999999999987</c:v>
                </c:pt>
              </c:numCache>
            </c:numRef>
          </c:xVal>
          <c:yVal>
            <c:numRef>
              <c:f>damage_receive!$G$2:$G$87</c:f>
              <c:numCache>
                <c:formatCode>General</c:formatCode>
                <c:ptCount val="86"/>
                <c:pt idx="0">
                  <c:v>0.0</c:v>
                </c:pt>
                <c:pt idx="1">
                  <c:v>0.0</c:v>
                </c:pt>
                <c:pt idx="2">
                  <c:v>-1000.2</c:v>
                </c:pt>
                <c:pt idx="3">
                  <c:v>-3000.3</c:v>
                </c:pt>
                <c:pt idx="4">
                  <c:v>-6000.48</c:v>
                </c:pt>
                <c:pt idx="5">
                  <c:v>-10000.6</c:v>
                </c:pt>
                <c:pt idx="6">
                  <c:v>-15000.78</c:v>
                </c:pt>
                <c:pt idx="7">
                  <c:v>-20000.91</c:v>
                </c:pt>
                <c:pt idx="8">
                  <c:v>-20001.04</c:v>
                </c:pt>
                <c:pt idx="9">
                  <c:v>-30001.26</c:v>
                </c:pt>
                <c:pt idx="10">
                  <c:v>-40001.4</c:v>
                </c:pt>
                <c:pt idx="11">
                  <c:v>-50001.65</c:v>
                </c:pt>
                <c:pt idx="12">
                  <c:v>-50001.8</c:v>
                </c:pt>
                <c:pt idx="13">
                  <c:v>-50001.95</c:v>
                </c:pt>
                <c:pt idx="14">
                  <c:v>-50002.1</c:v>
                </c:pt>
                <c:pt idx="15">
                  <c:v>-50002.25</c:v>
                </c:pt>
                <c:pt idx="16">
                  <c:v>-50002.4</c:v>
                </c:pt>
                <c:pt idx="17">
                  <c:v>-50002.55</c:v>
                </c:pt>
                <c:pt idx="18">
                  <c:v>-50002.7</c:v>
                </c:pt>
                <c:pt idx="19">
                  <c:v>-50002.85</c:v>
                </c:pt>
                <c:pt idx="20">
                  <c:v>-60003.0</c:v>
                </c:pt>
                <c:pt idx="21">
                  <c:v>-60003.15</c:v>
                </c:pt>
                <c:pt idx="22">
                  <c:v>-60003.3</c:v>
                </c:pt>
                <c:pt idx="23">
                  <c:v>-60003.45</c:v>
                </c:pt>
                <c:pt idx="24">
                  <c:v>-60003.6</c:v>
                </c:pt>
                <c:pt idx="25">
                  <c:v>-60003.75</c:v>
                </c:pt>
                <c:pt idx="26">
                  <c:v>-60003.9</c:v>
                </c:pt>
                <c:pt idx="27">
                  <c:v>-60004.05</c:v>
                </c:pt>
                <c:pt idx="28">
                  <c:v>-60004.2</c:v>
                </c:pt>
                <c:pt idx="29">
                  <c:v>-60004.35</c:v>
                </c:pt>
                <c:pt idx="30">
                  <c:v>-60004.5</c:v>
                </c:pt>
                <c:pt idx="31">
                  <c:v>-60004.65</c:v>
                </c:pt>
                <c:pt idx="32">
                  <c:v>-60004.8</c:v>
                </c:pt>
                <c:pt idx="33">
                  <c:v>-60004.95</c:v>
                </c:pt>
                <c:pt idx="34">
                  <c:v>-60005.1</c:v>
                </c:pt>
                <c:pt idx="35">
                  <c:v>-60005.25</c:v>
                </c:pt>
                <c:pt idx="36">
                  <c:v>-60005.4</c:v>
                </c:pt>
                <c:pt idx="37">
                  <c:v>-60005.55</c:v>
                </c:pt>
                <c:pt idx="38">
                  <c:v>-60005.7</c:v>
                </c:pt>
                <c:pt idx="39">
                  <c:v>-60005.85</c:v>
                </c:pt>
                <c:pt idx="40">
                  <c:v>-60006.0</c:v>
                </c:pt>
                <c:pt idx="41">
                  <c:v>-60006.15</c:v>
                </c:pt>
                <c:pt idx="42">
                  <c:v>-60006.3</c:v>
                </c:pt>
                <c:pt idx="43">
                  <c:v>-60006.45</c:v>
                </c:pt>
                <c:pt idx="44">
                  <c:v>-60006.6</c:v>
                </c:pt>
                <c:pt idx="45">
                  <c:v>-60006.75</c:v>
                </c:pt>
                <c:pt idx="46">
                  <c:v>-60006.9</c:v>
                </c:pt>
                <c:pt idx="47">
                  <c:v>-60007.05</c:v>
                </c:pt>
                <c:pt idx="48">
                  <c:v>-60007.2</c:v>
                </c:pt>
                <c:pt idx="49">
                  <c:v>-60007.35</c:v>
                </c:pt>
                <c:pt idx="50">
                  <c:v>-60007.5</c:v>
                </c:pt>
                <c:pt idx="51">
                  <c:v>-60007.65</c:v>
                </c:pt>
                <c:pt idx="52">
                  <c:v>-60007.8</c:v>
                </c:pt>
                <c:pt idx="53">
                  <c:v>-60007.95</c:v>
                </c:pt>
                <c:pt idx="54">
                  <c:v>-60008.1</c:v>
                </c:pt>
                <c:pt idx="55">
                  <c:v>-60008.25</c:v>
                </c:pt>
                <c:pt idx="56">
                  <c:v>-60008.4</c:v>
                </c:pt>
                <c:pt idx="57">
                  <c:v>-60008.55</c:v>
                </c:pt>
                <c:pt idx="58">
                  <c:v>-60008.7</c:v>
                </c:pt>
                <c:pt idx="59">
                  <c:v>-60008.85</c:v>
                </c:pt>
                <c:pt idx="60">
                  <c:v>-60009.0</c:v>
                </c:pt>
                <c:pt idx="61">
                  <c:v>-60009.15</c:v>
                </c:pt>
                <c:pt idx="62">
                  <c:v>-60009.3</c:v>
                </c:pt>
                <c:pt idx="63">
                  <c:v>-60009.45</c:v>
                </c:pt>
                <c:pt idx="64">
                  <c:v>-60009.6</c:v>
                </c:pt>
                <c:pt idx="65">
                  <c:v>-60009.75</c:v>
                </c:pt>
                <c:pt idx="66">
                  <c:v>-60009.9</c:v>
                </c:pt>
                <c:pt idx="67">
                  <c:v>-60010.05</c:v>
                </c:pt>
                <c:pt idx="68">
                  <c:v>-60010.2</c:v>
                </c:pt>
                <c:pt idx="69">
                  <c:v>-60010.35</c:v>
                </c:pt>
                <c:pt idx="70">
                  <c:v>-60010.5</c:v>
                </c:pt>
                <c:pt idx="71">
                  <c:v>-60010.65</c:v>
                </c:pt>
                <c:pt idx="72">
                  <c:v>-60010.8</c:v>
                </c:pt>
                <c:pt idx="73">
                  <c:v>-60010.95</c:v>
                </c:pt>
                <c:pt idx="74">
                  <c:v>-60011.1</c:v>
                </c:pt>
                <c:pt idx="75">
                  <c:v>-60011.25</c:v>
                </c:pt>
                <c:pt idx="76">
                  <c:v>-60011.4</c:v>
                </c:pt>
                <c:pt idx="77">
                  <c:v>-60011.55</c:v>
                </c:pt>
                <c:pt idx="78">
                  <c:v>-60011.7</c:v>
                </c:pt>
                <c:pt idx="79">
                  <c:v>-60011.85</c:v>
                </c:pt>
                <c:pt idx="80">
                  <c:v>-60012.0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damage_receive!$H$1</c:f>
              <c:strCache>
                <c:ptCount val="1"/>
                <c:pt idx="0">
                  <c:v>本当に作るべきだったものに近いもの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damage_receive!$F$2:$F$87</c:f>
              <c:numCache>
                <c:formatCode>General</c:formatCode>
                <c:ptCount val="86"/>
                <c:pt idx="0">
                  <c:v>0.0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1.900000000000001</c:v>
                </c:pt>
                <c:pt idx="20">
                  <c:v>2.0</c:v>
                </c:pt>
                <c:pt idx="21">
                  <c:v>2.100000000000001</c:v>
                </c:pt>
                <c:pt idx="22">
                  <c:v>2.200000000000001</c:v>
                </c:pt>
                <c:pt idx="23">
                  <c:v>2.300000000000001</c:v>
                </c:pt>
                <c:pt idx="24">
                  <c:v>2.400000000000001</c:v>
                </c:pt>
                <c:pt idx="25">
                  <c:v>2.500000000000001</c:v>
                </c:pt>
                <c:pt idx="26">
                  <c:v>2.600000000000001</c:v>
                </c:pt>
                <c:pt idx="27">
                  <c:v>2.700000000000001</c:v>
                </c:pt>
                <c:pt idx="28">
                  <c:v>2.800000000000001</c:v>
                </c:pt>
                <c:pt idx="29">
                  <c:v>2.900000000000001</c:v>
                </c:pt>
                <c:pt idx="30">
                  <c:v>3.000000000000001</c:v>
                </c:pt>
                <c:pt idx="31">
                  <c:v>3.100000000000001</c:v>
                </c:pt>
                <c:pt idx="32">
                  <c:v>3.200000000000001</c:v>
                </c:pt>
                <c:pt idx="33">
                  <c:v>3.300000000000002</c:v>
                </c:pt>
                <c:pt idx="34">
                  <c:v>3.400000000000002</c:v>
                </c:pt>
                <c:pt idx="35">
                  <c:v>3.500000000000002</c:v>
                </c:pt>
                <c:pt idx="36">
                  <c:v>3.600000000000002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</c:v>
                </c:pt>
                <c:pt idx="40">
                  <c:v>4.000000000000002</c:v>
                </c:pt>
                <c:pt idx="41">
                  <c:v>4.100000000000001</c:v>
                </c:pt>
                <c:pt idx="42">
                  <c:v>4.200000000000001</c:v>
                </c:pt>
                <c:pt idx="43">
                  <c:v>4.300000000000001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4.699999999999999</c:v>
                </c:pt>
                <c:pt idx="48">
                  <c:v>4.799999999999999</c:v>
                </c:pt>
                <c:pt idx="49">
                  <c:v>4.899999999999999</c:v>
                </c:pt>
                <c:pt idx="50">
                  <c:v>4.999999999999998</c:v>
                </c:pt>
                <c:pt idx="51">
                  <c:v>5.099999999999998</c:v>
                </c:pt>
                <c:pt idx="52">
                  <c:v>5.199999999999997</c:v>
                </c:pt>
                <c:pt idx="53">
                  <c:v>5.299999999999997</c:v>
                </c:pt>
                <c:pt idx="54">
                  <c:v>5.399999999999997</c:v>
                </c:pt>
                <c:pt idx="55">
                  <c:v>5.499999999999996</c:v>
                </c:pt>
                <c:pt idx="56">
                  <c:v>5.599999999999996</c:v>
                </c:pt>
                <c:pt idx="57">
                  <c:v>5.699999999999996</c:v>
                </c:pt>
                <c:pt idx="58">
                  <c:v>5.799999999999995</c:v>
                </c:pt>
                <c:pt idx="59">
                  <c:v>5.899999999999995</c:v>
                </c:pt>
                <c:pt idx="60">
                  <c:v>5.999999999999994</c:v>
                </c:pt>
                <c:pt idx="61">
                  <c:v>6.099999999999994</c:v>
                </c:pt>
                <c:pt idx="62">
                  <c:v>6.199999999999994</c:v>
                </c:pt>
                <c:pt idx="63">
                  <c:v>6.299999999999994</c:v>
                </c:pt>
                <c:pt idx="64">
                  <c:v>6.399999999999993</c:v>
                </c:pt>
                <c:pt idx="65">
                  <c:v>6.499999999999993</c:v>
                </c:pt>
                <c:pt idx="66">
                  <c:v>6.599999999999993</c:v>
                </c:pt>
                <c:pt idx="67">
                  <c:v>6.699999999999992</c:v>
                </c:pt>
                <c:pt idx="68">
                  <c:v>6.799999999999992</c:v>
                </c:pt>
                <c:pt idx="69">
                  <c:v>6.899999999999991</c:v>
                </c:pt>
                <c:pt idx="70">
                  <c:v>6.999999999999991</c:v>
                </c:pt>
                <c:pt idx="71">
                  <c:v>7.099999999999991</c:v>
                </c:pt>
                <c:pt idx="72">
                  <c:v>7.19999999999999</c:v>
                </c:pt>
                <c:pt idx="73">
                  <c:v>7.29999999999999</c:v>
                </c:pt>
                <c:pt idx="74">
                  <c:v>7.39999999999999</c:v>
                </c:pt>
                <c:pt idx="75">
                  <c:v>7.49999999999999</c:v>
                </c:pt>
                <c:pt idx="76">
                  <c:v>7.599999999999989</c:v>
                </c:pt>
                <c:pt idx="77">
                  <c:v>7.699999999999989</c:v>
                </c:pt>
                <c:pt idx="78">
                  <c:v>7.799999999999988</c:v>
                </c:pt>
                <c:pt idx="79">
                  <c:v>7.899999999999988</c:v>
                </c:pt>
                <c:pt idx="80">
                  <c:v>7.999999999999987</c:v>
                </c:pt>
              </c:numCache>
            </c:numRef>
          </c:xVal>
          <c:yVal>
            <c:numRef>
              <c:f>damage_receive!$H$2:$H$87</c:f>
              <c:numCache>
                <c:formatCode>General</c:formatCode>
                <c:ptCount val="86"/>
                <c:pt idx="0">
                  <c:v>0.0</c:v>
                </c:pt>
                <c:pt idx="1">
                  <c:v>-1000.0</c:v>
                </c:pt>
                <c:pt idx="2">
                  <c:v>-4000.0</c:v>
                </c:pt>
                <c:pt idx="3">
                  <c:v>-9000.000000000003</c:v>
                </c:pt>
                <c:pt idx="4">
                  <c:v>-16000.0</c:v>
                </c:pt>
                <c:pt idx="5">
                  <c:v>-25000.0</c:v>
                </c:pt>
                <c:pt idx="6">
                  <c:v>-36000.0</c:v>
                </c:pt>
                <c:pt idx="7">
                  <c:v>-49000.0</c:v>
                </c:pt>
                <c:pt idx="8">
                  <c:v>-63999.99999999998</c:v>
                </c:pt>
                <c:pt idx="9">
                  <c:v>-81000.0</c:v>
                </c:pt>
                <c:pt idx="10">
                  <c:v>-99999.99999999997</c:v>
                </c:pt>
                <c:pt idx="11">
                  <c:v>-121</c:v>
                </c:pt>
                <c:pt idx="12">
                  <c:v>-144000.0</c:v>
                </c:pt>
                <c:pt idx="13">
                  <c:v>-169000.0</c:v>
                </c:pt>
                <c:pt idx="14">
                  <c:v>-196000.0000000001</c:v>
                </c:pt>
                <c:pt idx="15">
                  <c:v>-225000.0000000001</c:v>
                </c:pt>
                <c:pt idx="16">
                  <c:v>-256000.0000000001</c:v>
                </c:pt>
                <c:pt idx="17">
                  <c:v>-289000.0000000001</c:v>
                </c:pt>
                <c:pt idx="18">
                  <c:v>-324000.0000000001</c:v>
                </c:pt>
                <c:pt idx="19">
                  <c:v>-361000.0000000003</c:v>
                </c:pt>
                <c:pt idx="20">
                  <c:v>-400000.0000000002</c:v>
                </c:pt>
                <c:pt idx="21">
                  <c:v>-441000.0000000003</c:v>
                </c:pt>
                <c:pt idx="22">
                  <c:v>-484000.0000000003</c:v>
                </c:pt>
                <c:pt idx="23">
                  <c:v>-529000.0000000003</c:v>
                </c:pt>
                <c:pt idx="24">
                  <c:v>-576000.0000000003</c:v>
                </c:pt>
                <c:pt idx="25">
                  <c:v>-625000.0000000003</c:v>
                </c:pt>
                <c:pt idx="26">
                  <c:v>-676000.0000000006</c:v>
                </c:pt>
                <c:pt idx="27">
                  <c:v>-729000.0000000006</c:v>
                </c:pt>
                <c:pt idx="28">
                  <c:v>-784000.0000000006</c:v>
                </c:pt>
                <c:pt idx="29">
                  <c:v>-841000.0000000008</c:v>
                </c:pt>
                <c:pt idx="30">
                  <c:v>-900000.000000001</c:v>
                </c:pt>
                <c:pt idx="31">
                  <c:v>-961000.000000001</c:v>
                </c:pt>
                <c:pt idx="32">
                  <c:v>-1.024E6</c:v>
                </c:pt>
                <c:pt idx="33">
                  <c:v>-1.089E6</c:v>
                </c:pt>
                <c:pt idx="34">
                  <c:v>-1.156E6</c:v>
                </c:pt>
                <c:pt idx="35">
                  <c:v>-1.225E6</c:v>
                </c:pt>
                <c:pt idx="36">
                  <c:v>-1.296E6</c:v>
                </c:pt>
                <c:pt idx="37">
                  <c:v>-1.369E6</c:v>
                </c:pt>
                <c:pt idx="38">
                  <c:v>-1.444E6</c:v>
                </c:pt>
                <c:pt idx="39">
                  <c:v>-1.521E6</c:v>
                </c:pt>
                <c:pt idx="40">
                  <c:v>-1.6E6</c:v>
                </c:pt>
                <c:pt idx="41">
                  <c:v>-1.681E6</c:v>
                </c:pt>
                <c:pt idx="42">
                  <c:v>-1.764E6</c:v>
                </c:pt>
                <c:pt idx="43">
                  <c:v>-1.849E6</c:v>
                </c:pt>
                <c:pt idx="44">
                  <c:v>-1.936E6</c:v>
                </c:pt>
                <c:pt idx="45">
                  <c:v>-2.025E6</c:v>
                </c:pt>
                <c:pt idx="46">
                  <c:v>-2.116E6</c:v>
                </c:pt>
                <c:pt idx="47">
                  <c:v>-2.209E6</c:v>
                </c:pt>
                <c:pt idx="48">
                  <c:v>-2.304E6</c:v>
                </c:pt>
                <c:pt idx="49">
                  <c:v>-2.401E6</c:v>
                </c:pt>
                <c:pt idx="50">
                  <c:v>-2.5E6</c:v>
                </c:pt>
                <c:pt idx="51">
                  <c:v>-2.601E6</c:v>
                </c:pt>
                <c:pt idx="52">
                  <c:v>-2.704E6</c:v>
                </c:pt>
                <c:pt idx="53">
                  <c:v>-2.809E6</c:v>
                </c:pt>
                <c:pt idx="54">
                  <c:v>-2.916E6</c:v>
                </c:pt>
                <c:pt idx="55">
                  <c:v>-3.025E6</c:v>
                </c:pt>
                <c:pt idx="56">
                  <c:v>-3.136E6</c:v>
                </c:pt>
                <c:pt idx="57">
                  <c:v>-3.24899999999999E6</c:v>
                </c:pt>
                <c:pt idx="58">
                  <c:v>-3.36399999999999E6</c:v>
                </c:pt>
                <c:pt idx="59">
                  <c:v>-3.48099999999999E6</c:v>
                </c:pt>
                <c:pt idx="60">
                  <c:v>-3.59999999999999E6</c:v>
                </c:pt>
                <c:pt idx="61">
                  <c:v>-3.72099999999999E6</c:v>
                </c:pt>
                <c:pt idx="62">
                  <c:v>-3.84399999999999E6</c:v>
                </c:pt>
                <c:pt idx="63">
                  <c:v>-3.96899999999999E6</c:v>
                </c:pt>
                <c:pt idx="64">
                  <c:v>-4.09599999999999E6</c:v>
                </c:pt>
                <c:pt idx="65">
                  <c:v>-4.22499999999999E6</c:v>
                </c:pt>
                <c:pt idx="66">
                  <c:v>-4.35599999999999E6</c:v>
                </c:pt>
                <c:pt idx="67">
                  <c:v>-4.48899999999999E6</c:v>
                </c:pt>
                <c:pt idx="68">
                  <c:v>-4.62399999999999E6</c:v>
                </c:pt>
                <c:pt idx="69">
                  <c:v>-4.76099999999999E6</c:v>
                </c:pt>
                <c:pt idx="70">
                  <c:v>-4.89999999999999E6</c:v>
                </c:pt>
                <c:pt idx="71">
                  <c:v>-5.04099999999999E6</c:v>
                </c:pt>
                <c:pt idx="72">
                  <c:v>-5.18399999999999E6</c:v>
                </c:pt>
                <c:pt idx="73">
                  <c:v>-5.32899999999999E6</c:v>
                </c:pt>
                <c:pt idx="74">
                  <c:v>-5.47599999999998E6</c:v>
                </c:pt>
                <c:pt idx="75">
                  <c:v>-5.62499999999998E6</c:v>
                </c:pt>
                <c:pt idx="76">
                  <c:v>-5.77599999999998E6</c:v>
                </c:pt>
                <c:pt idx="77">
                  <c:v>-5.92899999999998E6</c:v>
                </c:pt>
                <c:pt idx="78">
                  <c:v>-6.08399999999998E6</c:v>
                </c:pt>
                <c:pt idx="79">
                  <c:v>-6.24099999999998E6</c:v>
                </c:pt>
                <c:pt idx="80">
                  <c:v>-6.39999999999998E6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6972000"/>
        <c:axId val="1828720176"/>
      </c:scatterChart>
      <c:valAx>
        <c:axId val="-2126972000"/>
        <c:scaling>
          <c:orientation val="minMax"/>
          <c:max val="3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8720176"/>
        <c:crosses val="autoZero"/>
        <c:crossBetween val="midCat"/>
      </c:valAx>
      <c:valAx>
        <c:axId val="1828720176"/>
        <c:scaling>
          <c:orientation val="minMax"/>
          <c:min val="-1.0E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2697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4</xdr:row>
      <xdr:rowOff>101600</xdr:rowOff>
    </xdr:from>
    <xdr:to>
      <xdr:col>17</xdr:col>
      <xdr:colOff>355600</xdr:colOff>
      <xdr:row>27</xdr:row>
      <xdr:rowOff>88900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12</xdr:col>
      <xdr:colOff>0</xdr:colOff>
      <xdr:row>30</xdr:row>
      <xdr:rowOff>63500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10</xdr:col>
      <xdr:colOff>660400</xdr:colOff>
      <xdr:row>16</xdr:row>
      <xdr:rowOff>63500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30001</v>
          </cell>
        </row>
        <row r="110">
          <cell r="A110">
            <v>30002</v>
          </cell>
        </row>
        <row r="111">
          <cell r="A111">
            <v>30003</v>
          </cell>
        </row>
        <row r="112">
          <cell r="A112">
            <v>30004</v>
          </cell>
        </row>
        <row r="113">
          <cell r="A113">
            <v>30005</v>
          </cell>
        </row>
        <row r="114">
          <cell r="A114">
            <v>30006</v>
          </cell>
        </row>
        <row r="115">
          <cell r="A115">
            <v>30007</v>
          </cell>
        </row>
        <row r="116">
          <cell r="A116">
            <v>30008</v>
          </cell>
        </row>
        <row r="117">
          <cell r="A117">
            <v>30009</v>
          </cell>
        </row>
        <row r="118">
          <cell r="A118">
            <v>30010</v>
          </cell>
        </row>
        <row r="119">
          <cell r="A119">
            <v>30011</v>
          </cell>
        </row>
        <row r="120">
          <cell r="A120">
            <v>30012</v>
          </cell>
        </row>
        <row r="121">
          <cell r="A121">
            <v>30013</v>
          </cell>
        </row>
        <row r="122">
          <cell r="A122">
            <v>30014</v>
          </cell>
        </row>
        <row r="123">
          <cell r="A123">
            <v>30015</v>
          </cell>
        </row>
        <row r="124">
          <cell r="A124">
            <v>30016</v>
          </cell>
        </row>
        <row r="125">
          <cell r="A125">
            <v>30017</v>
          </cell>
        </row>
        <row r="126">
          <cell r="A126">
            <v>30018</v>
          </cell>
        </row>
        <row r="127">
          <cell r="A127">
            <v>30019</v>
          </cell>
        </row>
        <row r="128">
          <cell r="A128">
            <v>30020</v>
          </cell>
        </row>
        <row r="129">
          <cell r="A129">
            <v>30021</v>
          </cell>
        </row>
        <row r="130">
          <cell r="A130">
            <v>30022</v>
          </cell>
        </row>
        <row r="131">
          <cell r="A131">
            <v>30023</v>
          </cell>
        </row>
        <row r="132">
          <cell r="A132">
            <v>30024</v>
          </cell>
        </row>
        <row r="133">
          <cell r="A133">
            <v>30025</v>
          </cell>
        </row>
        <row r="134">
          <cell r="A134">
            <v>30026</v>
          </cell>
        </row>
        <row r="135">
          <cell r="A135">
            <v>30027</v>
          </cell>
        </row>
        <row r="136">
          <cell r="A136">
            <v>30028</v>
          </cell>
        </row>
        <row r="137">
          <cell r="A137">
            <v>30029</v>
          </cell>
        </row>
        <row r="138">
          <cell r="A138">
            <v>30030</v>
          </cell>
        </row>
        <row r="139">
          <cell r="A139">
            <v>30031</v>
          </cell>
        </row>
        <row r="140">
          <cell r="A140">
            <v>30032</v>
          </cell>
        </row>
        <row r="141">
          <cell r="A141">
            <v>30033</v>
          </cell>
        </row>
        <row r="142">
          <cell r="A142">
            <v>30034</v>
          </cell>
        </row>
        <row r="143">
          <cell r="A143">
            <v>39001</v>
          </cell>
        </row>
        <row r="144">
          <cell r="A144">
            <v>39002</v>
          </cell>
        </row>
        <row r="145">
          <cell r="A145">
            <v>39003</v>
          </cell>
        </row>
        <row r="146">
          <cell r="A146">
            <v>40001</v>
          </cell>
        </row>
        <row r="147">
          <cell r="A147">
            <v>40002</v>
          </cell>
        </row>
        <row r="148">
          <cell r="A148">
            <v>40003</v>
          </cell>
        </row>
        <row r="149">
          <cell r="A149">
            <v>40004</v>
          </cell>
        </row>
        <row r="150">
          <cell r="A150">
            <v>40005</v>
          </cell>
        </row>
        <row r="151">
          <cell r="A151">
            <v>40006</v>
          </cell>
        </row>
        <row r="152">
          <cell r="A152">
            <v>40007</v>
          </cell>
        </row>
        <row r="153">
          <cell r="A153">
            <v>40008</v>
          </cell>
        </row>
        <row r="154">
          <cell r="A154">
            <v>40009</v>
          </cell>
        </row>
        <row r="155">
          <cell r="A155">
            <v>40010</v>
          </cell>
        </row>
        <row r="156">
          <cell r="A156">
            <v>40011</v>
          </cell>
        </row>
        <row r="157">
          <cell r="A157">
            <v>40012</v>
          </cell>
        </row>
        <row r="158">
          <cell r="A158">
            <v>40013</v>
          </cell>
        </row>
        <row r="159">
          <cell r="A159">
            <v>40014</v>
          </cell>
        </row>
        <row r="160">
          <cell r="A160">
            <v>40015</v>
          </cell>
        </row>
        <row r="161">
          <cell r="A161">
            <v>40016</v>
          </cell>
        </row>
        <row r="162">
          <cell r="A162">
            <v>40017</v>
          </cell>
        </row>
        <row r="163">
          <cell r="A163">
            <v>41001</v>
          </cell>
        </row>
        <row r="164">
          <cell r="A164">
            <v>41002</v>
          </cell>
        </row>
        <row r="165">
          <cell r="A165">
            <v>41003</v>
          </cell>
        </row>
        <row r="166">
          <cell r="A166">
            <v>41004</v>
          </cell>
        </row>
        <row r="167">
          <cell r="A167">
            <v>49001</v>
          </cell>
        </row>
        <row r="168">
          <cell r="A168">
            <v>49002</v>
          </cell>
        </row>
        <row r="169">
          <cell r="A169">
            <v>49003</v>
          </cell>
        </row>
        <row r="170">
          <cell r="A170">
            <v>50001</v>
          </cell>
        </row>
        <row r="171">
          <cell r="A171">
            <v>50002</v>
          </cell>
        </row>
        <row r="172">
          <cell r="A172">
            <v>50003</v>
          </cell>
        </row>
        <row r="173">
          <cell r="A173">
            <v>60001</v>
          </cell>
        </row>
        <row r="174">
          <cell r="A174">
            <v>60002</v>
          </cell>
        </row>
        <row r="175">
          <cell r="A175">
            <v>60003</v>
          </cell>
        </row>
        <row r="176">
          <cell r="A176">
            <v>60004</v>
          </cell>
        </row>
        <row r="177">
          <cell r="A177">
            <v>60005</v>
          </cell>
        </row>
        <row r="178">
          <cell r="A178">
            <v>60006</v>
          </cell>
        </row>
        <row r="179">
          <cell r="A179">
            <v>60007</v>
          </cell>
        </row>
        <row r="180">
          <cell r="A180">
            <v>60010</v>
          </cell>
        </row>
        <row r="181">
          <cell r="A181">
            <v>65535</v>
          </cell>
        </row>
        <row r="182">
          <cell r="A182">
            <v>60021</v>
          </cell>
        </row>
        <row r="183">
          <cell r="A183">
            <v>60022</v>
          </cell>
        </row>
        <row r="184">
          <cell r="A184">
            <v>60023</v>
          </cell>
        </row>
        <row r="185">
          <cell r="A18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11210_1</v>
          </cell>
        </row>
        <row r="261">
          <cell r="A261" t="str">
            <v>11210_2</v>
          </cell>
        </row>
        <row r="262">
          <cell r="A262" t="str">
            <v>11210_3</v>
          </cell>
        </row>
        <row r="263">
          <cell r="A263" t="str">
            <v>11210_4</v>
          </cell>
        </row>
        <row r="264">
          <cell r="A264" t="str">
            <v>11211_1</v>
          </cell>
        </row>
        <row r="265">
          <cell r="A265" t="str">
            <v>11211_2</v>
          </cell>
        </row>
        <row r="266">
          <cell r="A266" t="str">
            <v>11211_3</v>
          </cell>
        </row>
        <row r="267">
          <cell r="A267" t="str">
            <v>11211_4</v>
          </cell>
        </row>
        <row r="268">
          <cell r="A268" t="str">
            <v>11212_1</v>
          </cell>
        </row>
        <row r="269">
          <cell r="A269" t="str">
            <v>11213_1</v>
          </cell>
        </row>
        <row r="270">
          <cell r="A270" t="str">
            <v>11214_1</v>
          </cell>
        </row>
        <row r="271">
          <cell r="A271" t="str">
            <v>11214_2</v>
          </cell>
        </row>
        <row r="272">
          <cell r="A272" t="str">
            <v>11214_3</v>
          </cell>
        </row>
        <row r="273">
          <cell r="A273" t="str">
            <v>11215_1</v>
          </cell>
        </row>
        <row r="274">
          <cell r="A274" t="str">
            <v>11216_1</v>
          </cell>
        </row>
        <row r="275">
          <cell r="A275" t="str">
            <v>11217_1</v>
          </cell>
        </row>
        <row r="276">
          <cell r="A276" t="str">
            <v>11218_1</v>
          </cell>
        </row>
        <row r="277">
          <cell r="A277" t="str">
            <v>11219_1</v>
          </cell>
        </row>
        <row r="278">
          <cell r="A278" t="str">
            <v>11220_1</v>
          </cell>
        </row>
        <row r="279">
          <cell r="A279" t="str">
            <v>11221_1</v>
          </cell>
        </row>
        <row r="280">
          <cell r="A280" t="str">
            <v>11224_1</v>
          </cell>
        </row>
        <row r="281">
          <cell r="A281" t="str">
            <v>12001_1</v>
          </cell>
        </row>
        <row r="282">
          <cell r="A282" t="str">
            <v>12001_2</v>
          </cell>
        </row>
        <row r="283">
          <cell r="A283" t="str">
            <v>12001_3</v>
          </cell>
        </row>
        <row r="284">
          <cell r="A284" t="str">
            <v>12002_3</v>
          </cell>
        </row>
        <row r="285">
          <cell r="A285" t="str">
            <v>12002_2</v>
          </cell>
        </row>
        <row r="286">
          <cell r="A286" t="str">
            <v>12002_1</v>
          </cell>
        </row>
        <row r="287">
          <cell r="A287" t="str">
            <v>12003_1</v>
          </cell>
        </row>
        <row r="288">
          <cell r="A288" t="str">
            <v>12003_2</v>
          </cell>
        </row>
        <row r="289">
          <cell r="A289" t="str">
            <v>12003_3</v>
          </cell>
        </row>
        <row r="290">
          <cell r="A290" t="str">
            <v>12003_4</v>
          </cell>
        </row>
        <row r="291">
          <cell r="A291" t="str">
            <v>12004_1</v>
          </cell>
        </row>
        <row r="292">
          <cell r="A292" t="str">
            <v>13001_1</v>
          </cell>
        </row>
        <row r="293">
          <cell r="A293" t="str">
            <v>13001_2</v>
          </cell>
        </row>
        <row r="294">
          <cell r="A294" t="str">
            <v>13001_3</v>
          </cell>
        </row>
        <row r="295">
          <cell r="A295" t="str">
            <v>13001_4</v>
          </cell>
        </row>
        <row r="296">
          <cell r="A296" t="str">
            <v>13001_5</v>
          </cell>
        </row>
        <row r="297">
          <cell r="A297" t="str">
            <v>13001_6</v>
          </cell>
        </row>
        <row r="298">
          <cell r="A298" t="str">
            <v>13001_7</v>
          </cell>
        </row>
        <row r="299">
          <cell r="A299" t="str">
            <v>13001_8</v>
          </cell>
        </row>
        <row r="300">
          <cell r="A300" t="str">
            <v>13001_9</v>
          </cell>
        </row>
        <row r="301">
          <cell r="A301" t="str">
            <v>13001_10</v>
          </cell>
        </row>
        <row r="302">
          <cell r="A302" t="str">
            <v>13001_11</v>
          </cell>
        </row>
        <row r="303">
          <cell r="A303" t="str">
            <v>13001_12</v>
          </cell>
        </row>
        <row r="304">
          <cell r="A304" t="str">
            <v>13001_13</v>
          </cell>
        </row>
        <row r="305">
          <cell r="A305" t="str">
            <v>13001_14</v>
          </cell>
        </row>
        <row r="306">
          <cell r="A306" t="str">
            <v>13001_15</v>
          </cell>
        </row>
        <row r="307">
          <cell r="A307" t="str">
            <v>13001_16</v>
          </cell>
        </row>
        <row r="308">
          <cell r="A308" t="str">
            <v>13001_17</v>
          </cell>
        </row>
        <row r="309">
          <cell r="A309" t="str">
            <v>13001_18</v>
          </cell>
        </row>
        <row r="310">
          <cell r="A310" t="str">
            <v>13001_19</v>
          </cell>
        </row>
        <row r="311">
          <cell r="A311" t="str">
            <v>13001_20</v>
          </cell>
        </row>
        <row r="312">
          <cell r="A312" t="str">
            <v>13001_21</v>
          </cell>
        </row>
        <row r="313">
          <cell r="A313" t="str">
            <v>13001_22</v>
          </cell>
        </row>
        <row r="314">
          <cell r="A314" t="str">
            <v>13001_23</v>
          </cell>
        </row>
        <row r="315">
          <cell r="A315" t="str">
            <v>13001_24</v>
          </cell>
        </row>
        <row r="316">
          <cell r="A316" t="str">
            <v>13001_25</v>
          </cell>
        </row>
        <row r="317">
          <cell r="A317" t="str">
            <v>14001_1</v>
          </cell>
        </row>
        <row r="318">
          <cell r="A318" t="str">
            <v>14001_2</v>
          </cell>
        </row>
        <row r="319">
          <cell r="A319" t="str">
            <v>14001_3</v>
          </cell>
        </row>
        <row r="320">
          <cell r="A320" t="str">
            <v>14001_4</v>
          </cell>
        </row>
        <row r="321">
          <cell r="A321" t="str">
            <v>14001_5</v>
          </cell>
        </row>
        <row r="322">
          <cell r="A322" t="str">
            <v>14002_1</v>
          </cell>
        </row>
        <row r="323">
          <cell r="A323" t="str">
            <v>14002_2</v>
          </cell>
        </row>
        <row r="324">
          <cell r="A324" t="str">
            <v>14003_1</v>
          </cell>
        </row>
        <row r="325">
          <cell r="A325" t="str">
            <v>14003_2</v>
          </cell>
        </row>
        <row r="326">
          <cell r="A326" t="str">
            <v>14003_3</v>
          </cell>
        </row>
        <row r="327">
          <cell r="A327" t="str">
            <v>14003_4</v>
          </cell>
        </row>
        <row r="328">
          <cell r="A328" t="str">
            <v>14004_1</v>
          </cell>
        </row>
        <row r="329">
          <cell r="A329" t="str">
            <v>14004_2</v>
          </cell>
        </row>
        <row r="330">
          <cell r="A330" t="str">
            <v>14004_3</v>
          </cell>
        </row>
        <row r="331">
          <cell r="A331" t="str">
            <v>14004_4</v>
          </cell>
        </row>
        <row r="332">
          <cell r="A332" t="str">
            <v>14005_1</v>
          </cell>
        </row>
        <row r="333">
          <cell r="A333" t="str">
            <v>14006_1</v>
          </cell>
        </row>
        <row r="334">
          <cell r="A334" t="str">
            <v>15027_1</v>
          </cell>
        </row>
        <row r="335">
          <cell r="A335" t="str">
            <v>15027_2</v>
          </cell>
        </row>
        <row r="336">
          <cell r="A336" t="str">
            <v>15027_3</v>
          </cell>
        </row>
        <row r="337">
          <cell r="A337" t="str">
            <v>15027_4</v>
          </cell>
        </row>
        <row r="338">
          <cell r="A338" t="str">
            <v>15028_1</v>
          </cell>
        </row>
        <row r="339">
          <cell r="A339" t="str">
            <v>15028_2</v>
          </cell>
        </row>
        <row r="340">
          <cell r="A340" t="str">
            <v>15028_3</v>
          </cell>
        </row>
        <row r="341">
          <cell r="A341" t="str">
            <v>15028_4</v>
          </cell>
        </row>
        <row r="342">
          <cell r="A342" t="str">
            <v>15029_1</v>
          </cell>
        </row>
        <row r="343">
          <cell r="A343" t="str">
            <v>15029_2</v>
          </cell>
        </row>
        <row r="344">
          <cell r="A344" t="str">
            <v>15029_3</v>
          </cell>
        </row>
        <row r="345">
          <cell r="A345" t="str">
            <v>15029_4</v>
          </cell>
        </row>
        <row r="346">
          <cell r="A346" t="str">
            <v>15030_1</v>
          </cell>
        </row>
        <row r="347">
          <cell r="A347" t="str">
            <v>15030_2</v>
          </cell>
        </row>
        <row r="348">
          <cell r="A348" t="str">
            <v>15030_3</v>
          </cell>
        </row>
        <row r="349">
          <cell r="A349" t="str">
            <v>15030_4</v>
          </cell>
        </row>
        <row r="350">
          <cell r="A350" t="str">
            <v>15031_1</v>
          </cell>
        </row>
        <row r="351">
          <cell r="A351" t="str">
            <v>15031_2</v>
          </cell>
        </row>
        <row r="352">
          <cell r="A352" t="str">
            <v>15031_3</v>
          </cell>
        </row>
        <row r="353">
          <cell r="A353" t="str">
            <v>15031_4</v>
          </cell>
        </row>
        <row r="354">
          <cell r="A354" t="str">
            <v>20001_1</v>
          </cell>
        </row>
        <row r="355">
          <cell r="A355" t="str">
            <v>20001_2</v>
          </cell>
        </row>
        <row r="356">
          <cell r="A356" t="str">
            <v>20001_3</v>
          </cell>
        </row>
        <row r="357">
          <cell r="A357" t="str">
            <v>20002_1</v>
          </cell>
        </row>
        <row r="358">
          <cell r="A358" t="str">
            <v>20002_2</v>
          </cell>
        </row>
        <row r="359">
          <cell r="A359" t="str">
            <v>20002_3</v>
          </cell>
        </row>
        <row r="360">
          <cell r="A360" t="str">
            <v>20003_1</v>
          </cell>
        </row>
        <row r="361">
          <cell r="A361" t="str">
            <v>20003_2</v>
          </cell>
        </row>
        <row r="362">
          <cell r="A362" t="str">
            <v>20003_3</v>
          </cell>
        </row>
        <row r="363">
          <cell r="A363" t="str">
            <v>20004_1</v>
          </cell>
        </row>
        <row r="364">
          <cell r="A364" t="str">
            <v>20004_2</v>
          </cell>
        </row>
        <row r="365">
          <cell r="A365" t="str">
            <v>20004_3</v>
          </cell>
        </row>
        <row r="366">
          <cell r="A366" t="str">
            <v>20005_1</v>
          </cell>
        </row>
        <row r="367">
          <cell r="A367" t="str">
            <v>20005_2</v>
          </cell>
        </row>
        <row r="368">
          <cell r="A368" t="str">
            <v>20005_3</v>
          </cell>
        </row>
        <row r="369">
          <cell r="A369" t="str">
            <v>20006_1</v>
          </cell>
        </row>
        <row r="370">
          <cell r="A370" t="str">
            <v>20006_2</v>
          </cell>
        </row>
        <row r="371">
          <cell r="A371" t="str">
            <v>20006_3</v>
          </cell>
        </row>
        <row r="372">
          <cell r="A372" t="str">
            <v>20007_1</v>
          </cell>
        </row>
        <row r="373">
          <cell r="A373" t="str">
            <v>20007_2</v>
          </cell>
        </row>
        <row r="374">
          <cell r="A374" t="str">
            <v>20007_3</v>
          </cell>
        </row>
        <row r="375">
          <cell r="A375" t="str">
            <v>20008_1</v>
          </cell>
        </row>
        <row r="376">
          <cell r="A376" t="str">
            <v>20008_2</v>
          </cell>
        </row>
        <row r="377">
          <cell r="A377" t="str">
            <v>20008_3</v>
          </cell>
        </row>
        <row r="378">
          <cell r="A378" t="str">
            <v>20009_1</v>
          </cell>
        </row>
        <row r="379">
          <cell r="A379" t="str">
            <v>20009_2</v>
          </cell>
        </row>
        <row r="380">
          <cell r="A380" t="str">
            <v>20009_3</v>
          </cell>
        </row>
        <row r="381">
          <cell r="A381" t="str">
            <v>20010_1</v>
          </cell>
        </row>
        <row r="382">
          <cell r="A382" t="str">
            <v>20010_2</v>
          </cell>
        </row>
        <row r="383">
          <cell r="A383" t="str">
            <v>20010_3</v>
          </cell>
        </row>
        <row r="384">
          <cell r="A384" t="str">
            <v>20011_1</v>
          </cell>
        </row>
        <row r="385">
          <cell r="A385" t="str">
            <v>20011_2</v>
          </cell>
        </row>
        <row r="386">
          <cell r="A386" t="str">
            <v>20011_3</v>
          </cell>
        </row>
        <row r="387">
          <cell r="A387" t="str">
            <v>20012_1</v>
          </cell>
        </row>
        <row r="388">
          <cell r="A388" t="str">
            <v>20012_2</v>
          </cell>
        </row>
        <row r="389">
          <cell r="A389" t="str">
            <v>20012_3</v>
          </cell>
        </row>
        <row r="390">
          <cell r="A390" t="str">
            <v>20013_1</v>
          </cell>
        </row>
        <row r="391">
          <cell r="A391" t="str">
            <v>20013_2</v>
          </cell>
        </row>
        <row r="392">
          <cell r="A392" t="str">
            <v>20013_3</v>
          </cell>
        </row>
        <row r="393">
          <cell r="A393" t="str">
            <v>20014_1</v>
          </cell>
        </row>
        <row r="394">
          <cell r="A394" t="str">
            <v>20014_2</v>
          </cell>
        </row>
        <row r="395">
          <cell r="A395" t="str">
            <v>20014_3</v>
          </cell>
        </row>
        <row r="396">
          <cell r="A396" t="str">
            <v>30001_1</v>
          </cell>
        </row>
        <row r="397">
          <cell r="A397" t="str">
            <v>30001_2</v>
          </cell>
        </row>
        <row r="398">
          <cell r="A398" t="str">
            <v>30001_3</v>
          </cell>
        </row>
        <row r="399">
          <cell r="A399" t="str">
            <v>30002_1</v>
          </cell>
        </row>
        <row r="400">
          <cell r="A400" t="str">
            <v>30002_2</v>
          </cell>
        </row>
        <row r="401">
          <cell r="A401" t="str">
            <v>30002_3</v>
          </cell>
        </row>
        <row r="402">
          <cell r="A402" t="str">
            <v>30003_1</v>
          </cell>
        </row>
        <row r="403">
          <cell r="A403" t="str">
            <v>30003_2</v>
          </cell>
        </row>
        <row r="404">
          <cell r="A404" t="str">
            <v>30003_3</v>
          </cell>
        </row>
        <row r="405">
          <cell r="A405" t="str">
            <v>30004_1</v>
          </cell>
        </row>
        <row r="406">
          <cell r="A406" t="str">
            <v>30004_2</v>
          </cell>
        </row>
        <row r="407">
          <cell r="A407" t="str">
            <v>30004_3</v>
          </cell>
        </row>
        <row r="408">
          <cell r="A408" t="str">
            <v>30005_1</v>
          </cell>
        </row>
        <row r="409">
          <cell r="A409" t="str">
            <v>30005_2</v>
          </cell>
        </row>
        <row r="410">
          <cell r="A410" t="str">
            <v>30005_3</v>
          </cell>
        </row>
        <row r="411">
          <cell r="A411" t="str">
            <v>30006_1</v>
          </cell>
        </row>
        <row r="412">
          <cell r="A412" t="str">
            <v>30006_2</v>
          </cell>
        </row>
        <row r="413">
          <cell r="A413" t="str">
            <v>30006_3</v>
          </cell>
        </row>
        <row r="414">
          <cell r="A414" t="str">
            <v>30007_1</v>
          </cell>
        </row>
        <row r="415">
          <cell r="A415" t="str">
            <v>30007_2</v>
          </cell>
        </row>
        <row r="416">
          <cell r="A416" t="str">
            <v>30007_3</v>
          </cell>
        </row>
        <row r="417">
          <cell r="A417" t="str">
            <v>30008_1</v>
          </cell>
        </row>
        <row r="418">
          <cell r="A418" t="str">
            <v>30008_2</v>
          </cell>
        </row>
        <row r="419">
          <cell r="A419" t="str">
            <v>30008_3</v>
          </cell>
        </row>
        <row r="420">
          <cell r="A420" t="str">
            <v>30009_3</v>
          </cell>
        </row>
        <row r="421">
          <cell r="A421" t="str">
            <v>30009_1</v>
          </cell>
        </row>
        <row r="422">
          <cell r="A422" t="str">
            <v>30009_2</v>
          </cell>
        </row>
        <row r="423">
          <cell r="A423" t="str">
            <v>30010_1</v>
          </cell>
        </row>
        <row r="424">
          <cell r="A424" t="str">
            <v>30010_2</v>
          </cell>
        </row>
        <row r="425">
          <cell r="A425" t="str">
            <v>30010_3</v>
          </cell>
        </row>
        <row r="426">
          <cell r="A426" t="str">
            <v>30011_1</v>
          </cell>
        </row>
        <row r="427">
          <cell r="A427" t="str">
            <v>30011_2</v>
          </cell>
        </row>
        <row r="428">
          <cell r="A428" t="str">
            <v>30011_3</v>
          </cell>
        </row>
        <row r="429">
          <cell r="A429" t="str">
            <v>30012_1</v>
          </cell>
        </row>
        <row r="430">
          <cell r="A430" t="str">
            <v>30012_2</v>
          </cell>
        </row>
        <row r="431">
          <cell r="A431" t="str">
            <v>30012_3</v>
          </cell>
        </row>
        <row r="432">
          <cell r="A432" t="str">
            <v>30013_1</v>
          </cell>
        </row>
        <row r="433">
          <cell r="A433" t="str">
            <v>30013_2</v>
          </cell>
        </row>
        <row r="434">
          <cell r="A434" t="str">
            <v>30014_1</v>
          </cell>
        </row>
        <row r="435">
          <cell r="A435" t="str">
            <v>30014_2</v>
          </cell>
        </row>
        <row r="436">
          <cell r="A436" t="str">
            <v>30015_1</v>
          </cell>
        </row>
        <row r="437">
          <cell r="A437" t="str">
            <v>30015_2</v>
          </cell>
        </row>
        <row r="438">
          <cell r="A438" t="str">
            <v>30016_1</v>
          </cell>
        </row>
        <row r="439">
          <cell r="A439" t="str">
            <v>30016_2</v>
          </cell>
        </row>
        <row r="440">
          <cell r="A440" t="str">
            <v>30017_1</v>
          </cell>
        </row>
        <row r="441">
          <cell r="A441" t="str">
            <v>30017_2</v>
          </cell>
        </row>
        <row r="442">
          <cell r="A442" t="str">
            <v>30018_1</v>
          </cell>
        </row>
        <row r="443">
          <cell r="A443" t="str">
            <v>30018_2</v>
          </cell>
        </row>
        <row r="444">
          <cell r="A444" t="str">
            <v>30019_1</v>
          </cell>
        </row>
        <row r="445">
          <cell r="A445" t="str">
            <v>30019_2</v>
          </cell>
        </row>
        <row r="446">
          <cell r="A446" t="str">
            <v>30020_1</v>
          </cell>
        </row>
        <row r="447">
          <cell r="A447" t="str">
            <v>30020_2</v>
          </cell>
        </row>
        <row r="448">
          <cell r="A448" t="str">
            <v>30021_1</v>
          </cell>
        </row>
        <row r="449">
          <cell r="A449" t="str">
            <v>30021_2</v>
          </cell>
        </row>
        <row r="450">
          <cell r="A450" t="str">
            <v>30021_3</v>
          </cell>
        </row>
        <row r="451">
          <cell r="A451" t="str">
            <v>30022_1</v>
          </cell>
        </row>
        <row r="452">
          <cell r="A452" t="str">
            <v>30022_2</v>
          </cell>
        </row>
        <row r="453">
          <cell r="A453" t="str">
            <v>30023_1</v>
          </cell>
        </row>
        <row r="454">
          <cell r="A454" t="str">
            <v>30023_2</v>
          </cell>
        </row>
        <row r="455">
          <cell r="A455" t="str">
            <v>30023_3</v>
          </cell>
        </row>
        <row r="456">
          <cell r="A456" t="str">
            <v>30024_1</v>
          </cell>
        </row>
        <row r="457">
          <cell r="A457" t="str">
            <v>30024_2</v>
          </cell>
        </row>
        <row r="458">
          <cell r="A458" t="str">
            <v>30024_3</v>
          </cell>
        </row>
        <row r="459">
          <cell r="A459" t="str">
            <v>30025_1</v>
          </cell>
        </row>
        <row r="460">
          <cell r="A460" t="str">
            <v>30025_2</v>
          </cell>
        </row>
        <row r="461">
          <cell r="A461" t="str">
            <v>30025_3</v>
          </cell>
        </row>
        <row r="462">
          <cell r="A462" t="str">
            <v>30026_1</v>
          </cell>
        </row>
        <row r="463">
          <cell r="A463" t="str">
            <v>30026_2</v>
          </cell>
        </row>
        <row r="464">
          <cell r="A464" t="str">
            <v>30026_3</v>
          </cell>
        </row>
        <row r="465">
          <cell r="A465" t="str">
            <v>30027_1</v>
          </cell>
        </row>
        <row r="466">
          <cell r="A466" t="str">
            <v>30027_2</v>
          </cell>
        </row>
        <row r="467">
          <cell r="A467" t="str">
            <v>30027_3</v>
          </cell>
        </row>
        <row r="468">
          <cell r="A468" t="str">
            <v>30028_1</v>
          </cell>
        </row>
        <row r="469">
          <cell r="A469" t="str">
            <v>30028_2</v>
          </cell>
        </row>
        <row r="470">
          <cell r="A470" t="str">
            <v>30028_3</v>
          </cell>
        </row>
        <row r="471">
          <cell r="A471" t="str">
            <v>30029_1</v>
          </cell>
        </row>
        <row r="472">
          <cell r="A472" t="str">
            <v>30029_2</v>
          </cell>
        </row>
        <row r="473">
          <cell r="A473" t="str">
            <v>30029_3</v>
          </cell>
        </row>
        <row r="474">
          <cell r="A474" t="str">
            <v>30030_1</v>
          </cell>
        </row>
        <row r="475">
          <cell r="A475" t="str">
            <v>30030_2</v>
          </cell>
        </row>
        <row r="476">
          <cell r="A476" t="str">
            <v>30030_3</v>
          </cell>
        </row>
        <row r="477">
          <cell r="A477" t="str">
            <v>30031_1</v>
          </cell>
        </row>
        <row r="478">
          <cell r="A478" t="str">
            <v>30031_2</v>
          </cell>
        </row>
        <row r="479">
          <cell r="A479" t="str">
            <v>30031_3</v>
          </cell>
        </row>
        <row r="480">
          <cell r="A480" t="str">
            <v>30032_1</v>
          </cell>
        </row>
        <row r="481">
          <cell r="A481" t="str">
            <v>30032_2</v>
          </cell>
        </row>
        <row r="482">
          <cell r="A482" t="str">
            <v>30032_3</v>
          </cell>
        </row>
        <row r="483">
          <cell r="A483" t="str">
            <v>30033_1</v>
          </cell>
        </row>
        <row r="484">
          <cell r="A484" t="str">
            <v>30033_2</v>
          </cell>
        </row>
        <row r="485">
          <cell r="A485" t="str">
            <v>30033_3</v>
          </cell>
        </row>
        <row r="486">
          <cell r="A486" t="str">
            <v>30034_1</v>
          </cell>
        </row>
        <row r="487">
          <cell r="A487" t="str">
            <v>30034_2</v>
          </cell>
        </row>
        <row r="488">
          <cell r="A488" t="str">
            <v>30034_3</v>
          </cell>
        </row>
        <row r="489">
          <cell r="A489" t="str">
            <v>39001_1</v>
          </cell>
        </row>
        <row r="490">
          <cell r="A490" t="str">
            <v>39001_2</v>
          </cell>
        </row>
        <row r="491">
          <cell r="A491" t="str">
            <v>39001_3</v>
          </cell>
        </row>
        <row r="492">
          <cell r="A492" t="str">
            <v>39001_4</v>
          </cell>
        </row>
        <row r="493">
          <cell r="A493" t="str">
            <v>39001_5</v>
          </cell>
        </row>
        <row r="494">
          <cell r="A494" t="str">
            <v>39002_1</v>
          </cell>
        </row>
        <row r="495">
          <cell r="A495" t="str">
            <v>39002_2</v>
          </cell>
        </row>
        <row r="496">
          <cell r="A496" t="str">
            <v>39002_3</v>
          </cell>
        </row>
        <row r="497">
          <cell r="A497" t="str">
            <v>39002_4</v>
          </cell>
        </row>
        <row r="498">
          <cell r="A498" t="str">
            <v>39003_1</v>
          </cell>
        </row>
        <row r="499">
          <cell r="A499" t="str">
            <v>39003_2</v>
          </cell>
        </row>
        <row r="500">
          <cell r="A500" t="str">
            <v>39003_3</v>
          </cell>
        </row>
        <row r="501">
          <cell r="A501" t="str">
            <v>39003_4</v>
          </cell>
        </row>
        <row r="502">
          <cell r="A502" t="str">
            <v>40001_1</v>
          </cell>
        </row>
        <row r="503">
          <cell r="A503" t="str">
            <v>40002_1</v>
          </cell>
        </row>
        <row r="504">
          <cell r="A504" t="str">
            <v>40002_2</v>
          </cell>
        </row>
        <row r="505">
          <cell r="A505" t="str">
            <v>40002_3</v>
          </cell>
        </row>
        <row r="506">
          <cell r="A506" t="str">
            <v>40003_1</v>
          </cell>
        </row>
        <row r="507">
          <cell r="A507" t="str">
            <v>40004_1</v>
          </cell>
        </row>
        <row r="508">
          <cell r="A508" t="str">
            <v>40005_1</v>
          </cell>
        </row>
        <row r="509">
          <cell r="A509" t="str">
            <v>40006_1</v>
          </cell>
        </row>
        <row r="510">
          <cell r="A510" t="str">
            <v>40007_1</v>
          </cell>
        </row>
        <row r="511">
          <cell r="A511" t="str">
            <v>40008_1</v>
          </cell>
        </row>
        <row r="512">
          <cell r="A512" t="str">
            <v>40009_1</v>
          </cell>
        </row>
        <row r="513">
          <cell r="A513" t="str">
            <v>40010_1</v>
          </cell>
        </row>
        <row r="514">
          <cell r="A514" t="str">
            <v>40011_1</v>
          </cell>
        </row>
        <row r="515">
          <cell r="A515" t="str">
            <v>40012_1</v>
          </cell>
        </row>
        <row r="516">
          <cell r="A516" t="str">
            <v>40013_1</v>
          </cell>
        </row>
        <row r="517">
          <cell r="A517" t="str">
            <v>40014_1</v>
          </cell>
        </row>
        <row r="518">
          <cell r="A518" t="str">
            <v>40015_1</v>
          </cell>
        </row>
        <row r="519">
          <cell r="A519" t="str">
            <v>40016_1</v>
          </cell>
        </row>
        <row r="520">
          <cell r="A520" t="str">
            <v>40016_2</v>
          </cell>
        </row>
        <row r="521">
          <cell r="A521" t="str">
            <v>40017_1</v>
          </cell>
        </row>
        <row r="522">
          <cell r="A522" t="str">
            <v>40017_2</v>
          </cell>
        </row>
        <row r="523">
          <cell r="A523" t="str">
            <v>40017_3</v>
          </cell>
        </row>
        <row r="524">
          <cell r="A524" t="str">
            <v>41001_1</v>
          </cell>
        </row>
        <row r="525">
          <cell r="A525" t="str">
            <v>41001_2</v>
          </cell>
        </row>
        <row r="526">
          <cell r="A526" t="str">
            <v>41001_3</v>
          </cell>
        </row>
        <row r="527">
          <cell r="A527" t="str">
            <v>41002_1</v>
          </cell>
        </row>
        <row r="528">
          <cell r="A528" t="str">
            <v>41002_2</v>
          </cell>
        </row>
        <row r="529">
          <cell r="A529" t="str">
            <v>41002_3</v>
          </cell>
        </row>
        <row r="530">
          <cell r="A530" t="str">
            <v>41003_1</v>
          </cell>
        </row>
        <row r="531">
          <cell r="A531" t="str">
            <v>41003_2</v>
          </cell>
        </row>
        <row r="532">
          <cell r="A532" t="str">
            <v>41003_3</v>
          </cell>
        </row>
        <row r="533">
          <cell r="A533" t="str">
            <v>41004_1</v>
          </cell>
        </row>
        <row r="534">
          <cell r="A534" t="str">
            <v>41004_2</v>
          </cell>
        </row>
        <row r="535">
          <cell r="A535" t="str">
            <v>41004_3</v>
          </cell>
        </row>
        <row r="536">
          <cell r="A536" t="str">
            <v>49001_1</v>
          </cell>
        </row>
        <row r="537">
          <cell r="A537" t="str">
            <v>49002_1</v>
          </cell>
        </row>
        <row r="538">
          <cell r="A538" t="str">
            <v>49002_2</v>
          </cell>
        </row>
        <row r="539">
          <cell r="A539" t="str">
            <v>49003_1</v>
          </cell>
        </row>
        <row r="540">
          <cell r="A540" t="str">
            <v>49003_2</v>
          </cell>
        </row>
        <row r="541">
          <cell r="A541" t="str">
            <v>50001_1</v>
          </cell>
        </row>
        <row r="542">
          <cell r="A542" t="str">
            <v>50002_1</v>
          </cell>
        </row>
        <row r="543">
          <cell r="A543" t="str">
            <v>50003_1</v>
          </cell>
        </row>
        <row r="544">
          <cell r="A544" t="str">
            <v>60001_1</v>
          </cell>
        </row>
        <row r="545">
          <cell r="A545" t="str">
            <v>60002_1</v>
          </cell>
        </row>
        <row r="546">
          <cell r="A546" t="str">
            <v>60002_2</v>
          </cell>
        </row>
        <row r="547">
          <cell r="A547" t="str">
            <v>60003_1</v>
          </cell>
        </row>
        <row r="548">
          <cell r="A548" t="str">
            <v>60003_2</v>
          </cell>
        </row>
        <row r="549">
          <cell r="A549" t="str">
            <v>60003_3</v>
          </cell>
        </row>
        <row r="550">
          <cell r="A550" t="str">
            <v>60004_1</v>
          </cell>
        </row>
        <row r="551">
          <cell r="A551" t="str">
            <v>60005_1</v>
          </cell>
        </row>
        <row r="552">
          <cell r="A552" t="str">
            <v>60006_1</v>
          </cell>
        </row>
        <row r="553">
          <cell r="A553" t="str">
            <v>60006_2</v>
          </cell>
        </row>
        <row r="554">
          <cell r="A554" t="str">
            <v>60006_3</v>
          </cell>
        </row>
        <row r="555">
          <cell r="A555" t="str">
            <v>60007_1</v>
          </cell>
        </row>
        <row r="556">
          <cell r="A556" t="str">
            <v>60007_2</v>
          </cell>
        </row>
        <row r="557">
          <cell r="A557" t="str">
            <v>60007_3</v>
          </cell>
        </row>
        <row r="558">
          <cell r="A558" t="str">
            <v>60010_1</v>
          </cell>
        </row>
        <row r="559">
          <cell r="A559" t="str">
            <v>60010_2</v>
          </cell>
        </row>
        <row r="560">
          <cell r="A560" t="str">
            <v>60010_3</v>
          </cell>
        </row>
        <row r="561">
          <cell r="A561" t="str">
            <v>65535_1</v>
          </cell>
        </row>
        <row r="562">
          <cell r="A562" t="str">
            <v>65535_2</v>
          </cell>
        </row>
        <row r="563">
          <cell r="A563" t="str">
            <v>65535_3</v>
          </cell>
        </row>
        <row r="564">
          <cell r="A564" t="str">
            <v>60021_3</v>
          </cell>
        </row>
        <row r="565">
          <cell r="A565" t="str">
            <v>60022_3</v>
          </cell>
        </row>
        <row r="566">
          <cell r="A566" t="str">
            <v>60023_3</v>
          </cell>
        </row>
        <row r="567">
          <cell r="A567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1040</v>
          </cell>
        </row>
        <row r="979">
          <cell r="A979">
            <v>8001</v>
          </cell>
        </row>
        <row r="980">
          <cell r="A980">
            <v>8002</v>
          </cell>
        </row>
        <row r="981">
          <cell r="A981">
            <v>8003</v>
          </cell>
        </row>
        <row r="982">
          <cell r="A982">
            <v>8004</v>
          </cell>
        </row>
        <row r="983">
          <cell r="A983">
            <v>8005</v>
          </cell>
        </row>
        <row r="984">
          <cell r="A984">
            <v>8006</v>
          </cell>
        </row>
        <row r="985">
          <cell r="A985">
            <v>8007</v>
          </cell>
        </row>
        <row r="986">
          <cell r="A986">
            <v>8008</v>
          </cell>
        </row>
        <row r="987">
          <cell r="A987">
            <v>8009</v>
          </cell>
        </row>
        <row r="988">
          <cell r="A988">
            <v>8010</v>
          </cell>
        </row>
        <row r="989">
          <cell r="A989">
            <v>8011</v>
          </cell>
        </row>
        <row r="990">
          <cell r="A990">
            <v>8012</v>
          </cell>
        </row>
        <row r="991">
          <cell r="A991">
            <v>8013</v>
          </cell>
        </row>
        <row r="992">
          <cell r="A992">
            <v>8014</v>
          </cell>
        </row>
        <row r="993">
          <cell r="A993">
            <v>8015</v>
          </cell>
        </row>
        <row r="994">
          <cell r="A994">
            <v>8016</v>
          </cell>
        </row>
        <row r="995">
          <cell r="A995">
            <v>8017</v>
          </cell>
        </row>
        <row r="996">
          <cell r="A996">
            <v>8018</v>
          </cell>
        </row>
        <row r="997">
          <cell r="A997">
            <v>8019</v>
          </cell>
        </row>
        <row r="998">
          <cell r="A998">
            <v>8020</v>
          </cell>
        </row>
        <row r="999">
          <cell r="A999">
            <v>8021</v>
          </cell>
        </row>
        <row r="1000">
          <cell r="A1000">
            <v>8022</v>
          </cell>
        </row>
        <row r="1001">
          <cell r="A1001">
            <v>8023</v>
          </cell>
        </row>
        <row r="1002">
          <cell r="A1002">
            <v>8024</v>
          </cell>
        </row>
        <row r="1003">
          <cell r="A1003">
            <v>8025</v>
          </cell>
        </row>
        <row r="1004">
          <cell r="A1004">
            <v>8026</v>
          </cell>
        </row>
        <row r="1005">
          <cell r="A1005">
            <v>8027</v>
          </cell>
        </row>
        <row r="1006">
          <cell r="A1006">
            <v>8028</v>
          </cell>
        </row>
        <row r="1007">
          <cell r="A1007">
            <v>8029</v>
          </cell>
        </row>
        <row r="1008">
          <cell r="A1008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F25" sqref="F25"/>
    </sheetView>
  </sheetViews>
  <sheetFormatPr baseColWidth="12" defaultRowHeight="15" x14ac:dyDescent="0.15"/>
  <cols>
    <col min="2" max="2" width="27.5" customWidth="1"/>
    <col min="5" max="5" width="26.83203125" bestFit="1" customWidth="1"/>
    <col min="6" max="6" width="22.1640625" bestFit="1" customWidth="1"/>
  </cols>
  <sheetData>
    <row r="1" spans="1:30" x14ac:dyDescent="0.15">
      <c r="A1" s="38" t="s">
        <v>131</v>
      </c>
      <c r="B1" s="33" t="s">
        <v>101</v>
      </c>
      <c r="C1" s="33" t="s">
        <v>102</v>
      </c>
      <c r="D1" s="33" t="s">
        <v>103</v>
      </c>
      <c r="E1" s="33" t="s">
        <v>104</v>
      </c>
      <c r="F1" s="33" t="s">
        <v>105</v>
      </c>
      <c r="G1" s="33" t="s">
        <v>106</v>
      </c>
      <c r="H1" s="33"/>
      <c r="I1" s="33"/>
      <c r="J1" s="33"/>
      <c r="K1" s="33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</row>
    <row r="2" spans="1:30" x14ac:dyDescent="0.15">
      <c r="A2" s="39" t="s">
        <v>266</v>
      </c>
      <c r="B2" s="35" t="s">
        <v>107</v>
      </c>
      <c r="C2" s="40">
        <v>60006</v>
      </c>
      <c r="D2" s="35" t="s">
        <v>108</v>
      </c>
      <c r="E2" s="34" t="str">
        <f>B2&amp;C2&amp;D2</f>
        <v>floors_60006.tmp</v>
      </c>
      <c r="F2" s="35" t="s">
        <v>109</v>
      </c>
      <c r="G2" s="36" t="s">
        <v>0</v>
      </c>
      <c r="H2" s="36" t="s">
        <v>1</v>
      </c>
      <c r="I2" s="36" t="s">
        <v>13</v>
      </c>
      <c r="J2" s="36" t="s">
        <v>14</v>
      </c>
      <c r="K2" s="36" t="s">
        <v>15</v>
      </c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</row>
    <row r="3" spans="1:30" x14ac:dyDescent="0.15">
      <c r="A3" s="39" t="s">
        <v>266</v>
      </c>
      <c r="B3" s="82" t="s">
        <v>234</v>
      </c>
      <c r="C3" s="40">
        <v>60006</v>
      </c>
      <c r="D3" s="35" t="s">
        <v>108</v>
      </c>
      <c r="E3" s="34" t="str">
        <f>B3&amp;C3&amp;D3</f>
        <v>ranking_floors_60006.tmp</v>
      </c>
      <c r="F3" s="35" t="s">
        <v>109</v>
      </c>
      <c r="G3" s="36" t="s">
        <v>0</v>
      </c>
      <c r="H3" s="36" t="s">
        <v>1</v>
      </c>
      <c r="I3" s="36" t="s">
        <v>13</v>
      </c>
      <c r="J3" s="75" t="s">
        <v>208</v>
      </c>
      <c r="K3" s="75" t="s">
        <v>209</v>
      </c>
      <c r="L3" s="75" t="s">
        <v>210</v>
      </c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1:30" x14ac:dyDescent="0.15">
      <c r="A4" s="39" t="s">
        <v>266</v>
      </c>
      <c r="B4" s="82" t="s">
        <v>235</v>
      </c>
      <c r="C4" s="40">
        <v>60006</v>
      </c>
      <c r="D4" s="35" t="s">
        <v>108</v>
      </c>
      <c r="E4" s="34" t="str">
        <f>B4&amp;C4&amp;D4</f>
        <v>ranking_stages_60006.tmp</v>
      </c>
      <c r="F4" s="35" t="s">
        <v>237</v>
      </c>
      <c r="G4" s="36" t="s">
        <v>0</v>
      </c>
      <c r="H4" s="36" t="s">
        <v>1</v>
      </c>
      <c r="I4" s="22" t="s">
        <v>236</v>
      </c>
      <c r="J4" s="36"/>
      <c r="K4" s="36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</row>
    <row r="5" spans="1:30" x14ac:dyDescent="0.15">
      <c r="A5" s="39" t="s">
        <v>266</v>
      </c>
      <c r="B5" s="82" t="s">
        <v>242</v>
      </c>
      <c r="C5" s="40">
        <v>60006</v>
      </c>
      <c r="D5" s="35" t="s">
        <v>108</v>
      </c>
      <c r="E5" s="34" t="str">
        <f t="shared" ref="E5:E7" si="0">B5&amp;C5&amp;D5</f>
        <v>clear_turn_60006.tmp</v>
      </c>
      <c r="F5" s="35" t="s">
        <v>246</v>
      </c>
      <c r="G5" s="36" t="s">
        <v>238</v>
      </c>
      <c r="H5" s="36" t="s">
        <v>239</v>
      </c>
      <c r="I5" s="36" t="s">
        <v>240</v>
      </c>
      <c r="J5" s="36" t="s">
        <v>241</v>
      </c>
      <c r="K5" s="36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</row>
    <row r="6" spans="1:30" x14ac:dyDescent="0.15">
      <c r="A6" s="39" t="s">
        <v>266</v>
      </c>
      <c r="B6" s="82" t="s">
        <v>243</v>
      </c>
      <c r="C6" s="40">
        <v>60006</v>
      </c>
      <c r="D6" s="35" t="s">
        <v>108</v>
      </c>
      <c r="E6" s="34" t="str">
        <f t="shared" si="0"/>
        <v>damage_give_60006.tmp</v>
      </c>
      <c r="F6" s="35" t="s">
        <v>247</v>
      </c>
      <c r="G6" s="36" t="s">
        <v>238</v>
      </c>
      <c r="H6" s="36" t="s">
        <v>239</v>
      </c>
      <c r="I6" s="36" t="s">
        <v>240</v>
      </c>
      <c r="J6" s="36" t="s">
        <v>241</v>
      </c>
      <c r="K6" s="36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</row>
    <row r="7" spans="1:30" x14ac:dyDescent="0.15">
      <c r="A7" s="39" t="s">
        <v>266</v>
      </c>
      <c r="B7" s="82" t="s">
        <v>245</v>
      </c>
      <c r="C7" s="40">
        <v>60006</v>
      </c>
      <c r="D7" s="35" t="s">
        <v>108</v>
      </c>
      <c r="E7" s="34" t="str">
        <f t="shared" si="0"/>
        <v>damage_receive_60006.tmp</v>
      </c>
      <c r="F7" s="35" t="s">
        <v>244</v>
      </c>
      <c r="G7" s="36" t="s">
        <v>238</v>
      </c>
      <c r="H7" s="36" t="s">
        <v>239</v>
      </c>
      <c r="I7" s="36" t="s">
        <v>240</v>
      </c>
      <c r="J7" s="36" t="s">
        <v>241</v>
      </c>
      <c r="K7" s="36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</row>
    <row r="8" spans="1:30" x14ac:dyDescent="0.15">
      <c r="A8" s="39" t="s">
        <v>266</v>
      </c>
      <c r="B8" s="82" t="s">
        <v>255</v>
      </c>
      <c r="C8" s="40">
        <v>60006</v>
      </c>
      <c r="D8" s="35" t="s">
        <v>108</v>
      </c>
      <c r="E8" s="34" t="str">
        <f t="shared" ref="E8:E9" si="1">B8&amp;C8&amp;D8</f>
        <v>ranking_eval_data_60006.tmp</v>
      </c>
      <c r="F8" s="35" t="s">
        <v>257</v>
      </c>
      <c r="G8" s="36" t="s">
        <v>248</v>
      </c>
      <c r="H8" s="36" t="s">
        <v>249</v>
      </c>
      <c r="I8" s="36" t="s">
        <v>250</v>
      </c>
      <c r="J8" s="36" t="s">
        <v>251</v>
      </c>
      <c r="K8" s="36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</row>
    <row r="9" spans="1:30" x14ac:dyDescent="0.15">
      <c r="A9" s="39" t="s">
        <v>266</v>
      </c>
      <c r="B9" s="82" t="s">
        <v>256</v>
      </c>
      <c r="C9" s="40">
        <v>60006</v>
      </c>
      <c r="D9" s="35" t="s">
        <v>108</v>
      </c>
      <c r="E9" s="34" t="str">
        <f t="shared" si="1"/>
        <v>ranking_eval_i18n_60006.tmp</v>
      </c>
      <c r="F9" s="35" t="s">
        <v>257</v>
      </c>
      <c r="G9" s="36" t="s">
        <v>248</v>
      </c>
      <c r="H9" s="81" t="s">
        <v>252</v>
      </c>
      <c r="I9" s="81" t="s">
        <v>253</v>
      </c>
      <c r="J9" s="81" t="s">
        <v>254</v>
      </c>
      <c r="K9" s="36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</row>
    <row r="10" spans="1:30" x14ac:dyDescent="0.15">
      <c r="A10" s="39" t="s">
        <v>266</v>
      </c>
      <c r="B10" s="35" t="s">
        <v>110</v>
      </c>
      <c r="C10" s="40">
        <v>60006</v>
      </c>
      <c r="D10" s="35" t="s">
        <v>108</v>
      </c>
      <c r="E10" s="34" t="str">
        <f>B10&amp;C10&amp;D10</f>
        <v>enemy_habitats_60006.tmp</v>
      </c>
      <c r="F10" s="35" t="s">
        <v>111</v>
      </c>
      <c r="G10" s="36" t="s">
        <v>0</v>
      </c>
      <c r="H10" s="36" t="s">
        <v>1</v>
      </c>
      <c r="I10" s="36" t="s">
        <v>13</v>
      </c>
      <c r="J10" s="36" t="s">
        <v>2</v>
      </c>
      <c r="K10" s="36" t="s">
        <v>3</v>
      </c>
      <c r="L10" s="36" t="s">
        <v>47</v>
      </c>
      <c r="M10" s="36" t="s">
        <v>49</v>
      </c>
      <c r="N10" s="36" t="s">
        <v>51</v>
      </c>
      <c r="O10" s="36" t="s">
        <v>22</v>
      </c>
      <c r="P10" s="36" t="s">
        <v>5</v>
      </c>
      <c r="Q10" s="36" t="s">
        <v>6</v>
      </c>
      <c r="R10" s="36" t="s">
        <v>7</v>
      </c>
      <c r="S10" s="36" t="s">
        <v>8</v>
      </c>
      <c r="T10" s="36" t="s">
        <v>9</v>
      </c>
      <c r="U10" s="36" t="s">
        <v>10</v>
      </c>
      <c r="V10" s="36" t="s">
        <v>11</v>
      </c>
      <c r="W10" s="36" t="s">
        <v>12</v>
      </c>
      <c r="X10" s="36" t="s">
        <v>37</v>
      </c>
      <c r="Y10" s="36" t="s">
        <v>39</v>
      </c>
      <c r="Z10" s="36" t="s">
        <v>41</v>
      </c>
      <c r="AA10" s="36" t="s">
        <v>43</v>
      </c>
      <c r="AB10" s="36" t="s">
        <v>45</v>
      </c>
      <c r="AC10" s="36" t="s">
        <v>54</v>
      </c>
      <c r="AD10" s="36" t="s">
        <v>176</v>
      </c>
    </row>
    <row r="11" spans="1:30" x14ac:dyDescent="0.15">
      <c r="A11" s="39" t="s">
        <v>266</v>
      </c>
      <c r="B11" s="35" t="s">
        <v>112</v>
      </c>
      <c r="C11" s="40">
        <v>60006</v>
      </c>
      <c r="D11" s="35" t="s">
        <v>108</v>
      </c>
      <c r="E11" s="34" t="str">
        <f>B11&amp;C11&amp;D11</f>
        <v>enemy_habitat_S_60006.tmp</v>
      </c>
      <c r="F11" s="35" t="s">
        <v>113</v>
      </c>
      <c r="G11" s="36" t="s">
        <v>0</v>
      </c>
      <c r="H11" s="36" t="s">
        <v>1</v>
      </c>
      <c r="I11" s="36" t="s">
        <v>13</v>
      </c>
      <c r="J11" s="36" t="s">
        <v>54</v>
      </c>
      <c r="K11" s="36" t="s">
        <v>55</v>
      </c>
      <c r="L11" s="36" t="s">
        <v>56</v>
      </c>
      <c r="M11" s="36" t="s">
        <v>57</v>
      </c>
      <c r="N11" s="36" t="s">
        <v>58</v>
      </c>
      <c r="O11" s="36" t="s">
        <v>59</v>
      </c>
      <c r="P11" s="36" t="s">
        <v>48</v>
      </c>
      <c r="Q11" s="36" t="s">
        <v>50</v>
      </c>
      <c r="R11" s="36" t="s">
        <v>52</v>
      </c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</row>
    <row r="12" spans="1:30" x14ac:dyDescent="0.15">
      <c r="A12" s="39" t="s">
        <v>266</v>
      </c>
      <c r="B12" s="35" t="s">
        <v>114</v>
      </c>
      <c r="C12" s="40">
        <v>60006</v>
      </c>
      <c r="D12" s="35" t="s">
        <v>108</v>
      </c>
      <c r="E12" s="34" t="str">
        <f>B12&amp;C12&amp;D12</f>
        <v>enemy_skill_sets_60006.tmp</v>
      </c>
      <c r="F12" s="35" t="s">
        <v>115</v>
      </c>
      <c r="G12" s="37" t="s">
        <v>22</v>
      </c>
      <c r="H12" s="37" t="s">
        <v>100</v>
      </c>
      <c r="I12" s="37" t="s">
        <v>95</v>
      </c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</row>
    <row r="13" spans="1:30" x14ac:dyDescent="0.15">
      <c r="A13" s="39" t="s">
        <v>266</v>
      </c>
      <c r="B13" s="35" t="s">
        <v>116</v>
      </c>
      <c r="C13" s="40">
        <v>60006</v>
      </c>
      <c r="D13" s="35" t="s">
        <v>117</v>
      </c>
      <c r="E13" s="34" t="str">
        <f t="shared" ref="E13:E17" si="2">B13&amp;C13&amp;D13</f>
        <v>enemy_skills_tmp_60006.tmp</v>
      </c>
      <c r="F13" s="35" t="s">
        <v>91</v>
      </c>
      <c r="G13" s="36" t="s">
        <v>79</v>
      </c>
      <c r="H13" s="36" t="s">
        <v>80</v>
      </c>
      <c r="I13" s="36" t="s">
        <v>81</v>
      </c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</row>
    <row r="14" spans="1:30" x14ac:dyDescent="0.15">
      <c r="A14" s="39" t="s">
        <v>266</v>
      </c>
      <c r="B14" s="35" t="s">
        <v>118</v>
      </c>
      <c r="C14" s="40">
        <v>60006</v>
      </c>
      <c r="D14" s="35" t="s">
        <v>108</v>
      </c>
      <c r="E14" s="34" t="str">
        <f>B14&amp;C14&amp;D14</f>
        <v>enemy_skills_i18n_60006.tmp</v>
      </c>
      <c r="F14" s="35" t="s">
        <v>119</v>
      </c>
      <c r="G14" s="36" t="s">
        <v>79</v>
      </c>
      <c r="H14" s="36" t="s">
        <v>92</v>
      </c>
      <c r="I14" s="36" t="s">
        <v>93</v>
      </c>
      <c r="J14" s="36" t="s">
        <v>94</v>
      </c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</row>
    <row r="15" spans="1:30" x14ac:dyDescent="0.15">
      <c r="A15" s="39" t="s">
        <v>266</v>
      </c>
      <c r="B15" s="35" t="s">
        <v>120</v>
      </c>
      <c r="C15" s="40">
        <v>60006</v>
      </c>
      <c r="D15" s="35" t="s">
        <v>121</v>
      </c>
      <c r="E15" s="34" t="str">
        <f t="shared" si="2"/>
        <v>enemy_skill_triggers_60006.tmp</v>
      </c>
      <c r="F15" s="35" t="s">
        <v>122</v>
      </c>
      <c r="G15" s="36" t="s">
        <v>95</v>
      </c>
      <c r="H15" s="36" t="s">
        <v>96</v>
      </c>
      <c r="I15" s="36" t="s">
        <v>97</v>
      </c>
      <c r="J15" s="36" t="s">
        <v>98</v>
      </c>
      <c r="K15" s="36" t="s">
        <v>123</v>
      </c>
      <c r="L15" s="36" t="s">
        <v>99</v>
      </c>
      <c r="M15" s="36" t="s">
        <v>124</v>
      </c>
      <c r="N15" s="36" t="s">
        <v>125</v>
      </c>
      <c r="O15" s="36" t="s">
        <v>126</v>
      </c>
      <c r="P15" s="36" t="s">
        <v>67</v>
      </c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</row>
    <row r="16" spans="1:30" x14ac:dyDescent="0.15">
      <c r="A16" s="39" t="s">
        <v>266</v>
      </c>
      <c r="B16" s="44" t="s">
        <v>175</v>
      </c>
      <c r="C16" s="40">
        <v>60006</v>
      </c>
      <c r="D16" s="44" t="s">
        <v>169</v>
      </c>
      <c r="E16" s="45" t="str">
        <f t="shared" si="2"/>
        <v>stage_bug_bonuses_60006.tmp</v>
      </c>
      <c r="F16" s="44" t="s">
        <v>170</v>
      </c>
      <c r="G16" s="41" t="s">
        <v>151</v>
      </c>
      <c r="H16" s="41" t="s">
        <v>171</v>
      </c>
      <c r="I16" s="41" t="s">
        <v>172</v>
      </c>
      <c r="J16" s="43" t="s">
        <v>173</v>
      </c>
      <c r="K16" s="41" t="s">
        <v>174</v>
      </c>
      <c r="L16" s="41" t="s">
        <v>157</v>
      </c>
      <c r="M16" s="41" t="s">
        <v>158</v>
      </c>
      <c r="N16" s="41" t="s">
        <v>159</v>
      </c>
      <c r="O16" s="41" t="s">
        <v>160</v>
      </c>
      <c r="P16" s="41" t="s">
        <v>161</v>
      </c>
      <c r="Q16" s="41" t="s">
        <v>162</v>
      </c>
      <c r="R16" s="41" t="s">
        <v>163</v>
      </c>
      <c r="S16" s="41" t="s">
        <v>164</v>
      </c>
      <c r="T16" s="41" t="s">
        <v>165</v>
      </c>
      <c r="U16" s="41" t="s">
        <v>166</v>
      </c>
      <c r="V16" s="41" t="s">
        <v>167</v>
      </c>
      <c r="W16" s="41" t="s">
        <v>168</v>
      </c>
    </row>
    <row r="17" spans="1:21" s="52" customFormat="1" x14ac:dyDescent="0.15">
      <c r="A17" s="39" t="s">
        <v>266</v>
      </c>
      <c r="B17" s="44" t="s">
        <v>196</v>
      </c>
      <c r="C17" s="40">
        <v>60006</v>
      </c>
      <c r="D17" s="44" t="s">
        <v>178</v>
      </c>
      <c r="E17" s="45" t="str">
        <f t="shared" si="2"/>
        <v>stage_hints_data_c_60006.tmp</v>
      </c>
      <c r="F17" s="44" t="s">
        <v>204</v>
      </c>
      <c r="G17" s="49" t="s">
        <v>179</v>
      </c>
      <c r="H17" s="49" t="s">
        <v>171</v>
      </c>
      <c r="I17" s="50" t="s">
        <v>180</v>
      </c>
      <c r="J17" s="43" t="s">
        <v>181</v>
      </c>
      <c r="K17" s="51" t="s">
        <v>182</v>
      </c>
    </row>
    <row r="18" spans="1:21" s="52" customFormat="1" x14ac:dyDescent="0.15">
      <c r="A18" s="39" t="s">
        <v>266</v>
      </c>
      <c r="B18" s="44" t="s">
        <v>197</v>
      </c>
      <c r="C18" s="40">
        <v>60006</v>
      </c>
      <c r="D18" s="44" t="s">
        <v>169</v>
      </c>
      <c r="E18" s="45" t="str">
        <f t="shared" ref="E18:E19" si="3">B18&amp;C18&amp;D18</f>
        <v>stage_hints_data_f_60006.tmp</v>
      </c>
      <c r="F18" s="44" t="s">
        <v>206</v>
      </c>
      <c r="G18" s="49" t="s">
        <v>179</v>
      </c>
      <c r="H18" s="49" t="s">
        <v>171</v>
      </c>
      <c r="I18" s="50" t="s">
        <v>180</v>
      </c>
      <c r="J18" s="43" t="s">
        <v>181</v>
      </c>
      <c r="K18" s="51" t="s">
        <v>182</v>
      </c>
    </row>
    <row r="19" spans="1:21" s="52" customFormat="1" x14ac:dyDescent="0.15">
      <c r="A19" s="39" t="s">
        <v>266</v>
      </c>
      <c r="B19" s="44" t="s">
        <v>198</v>
      </c>
      <c r="C19" s="40">
        <v>60006</v>
      </c>
      <c r="D19" s="44" t="s">
        <v>169</v>
      </c>
      <c r="E19" s="45" t="str">
        <f t="shared" si="3"/>
        <v>stage_hints_i18n_60006.tmp</v>
      </c>
      <c r="F19" s="44" t="s">
        <v>207</v>
      </c>
      <c r="G19" s="50" t="s">
        <v>199</v>
      </c>
      <c r="H19" s="73" t="s">
        <v>200</v>
      </c>
      <c r="I19" s="49" t="s">
        <v>201</v>
      </c>
      <c r="J19" s="74" t="s">
        <v>202</v>
      </c>
      <c r="K19" s="51" t="s">
        <v>203</v>
      </c>
    </row>
    <row r="20" spans="1:21" x14ac:dyDescent="0.15">
      <c r="A20" s="39" t="s">
        <v>266</v>
      </c>
      <c r="B20" s="44" t="s">
        <v>198</v>
      </c>
      <c r="C20" s="40">
        <v>60006</v>
      </c>
      <c r="D20" s="44" t="s">
        <v>169</v>
      </c>
      <c r="E20" s="45" t="str">
        <f t="shared" ref="E20:E21" si="4">B20&amp;C20&amp;D20</f>
        <v>stage_hints_i18n_60006.tmp</v>
      </c>
      <c r="F20" s="44" t="s">
        <v>207</v>
      </c>
      <c r="G20" s="50" t="s">
        <v>199</v>
      </c>
      <c r="H20" s="73" t="s">
        <v>200</v>
      </c>
      <c r="I20" s="49" t="s">
        <v>201</v>
      </c>
      <c r="J20" s="74" t="s">
        <v>202</v>
      </c>
      <c r="K20" s="51" t="s">
        <v>203</v>
      </c>
    </row>
    <row r="21" spans="1:21" x14ac:dyDescent="0.15">
      <c r="A21" s="39" t="s">
        <v>266</v>
      </c>
      <c r="B21" s="83" t="s">
        <v>223</v>
      </c>
      <c r="C21" s="40">
        <v>60006</v>
      </c>
      <c r="D21" s="44" t="s">
        <v>169</v>
      </c>
      <c r="E21" s="45" t="str">
        <f t="shared" si="4"/>
        <v>ranking_ACH_60006.tmp</v>
      </c>
      <c r="F21" s="44" t="s">
        <v>224</v>
      </c>
      <c r="G21" s="50" t="s">
        <v>225</v>
      </c>
      <c r="H21" s="73" t="s">
        <v>226</v>
      </c>
      <c r="I21" s="49" t="s">
        <v>227</v>
      </c>
      <c r="J21" s="51" t="s">
        <v>228</v>
      </c>
      <c r="K21" s="51"/>
    </row>
    <row r="22" spans="1:21" x14ac:dyDescent="0.15">
      <c r="A22" s="39" t="s">
        <v>266</v>
      </c>
      <c r="B22" s="84" t="s">
        <v>229</v>
      </c>
      <c r="C22" s="40">
        <v>60006</v>
      </c>
      <c r="D22" s="78" t="s">
        <v>117</v>
      </c>
      <c r="E22" s="79" t="str">
        <f>B22&amp;C22&amp;D22</f>
        <v>gifts_tmp_60006.tmp</v>
      </c>
      <c r="F22" s="44" t="s">
        <v>224</v>
      </c>
      <c r="G22" s="80" t="s">
        <v>230</v>
      </c>
      <c r="H22" s="80" t="s">
        <v>214</v>
      </c>
      <c r="I22" s="80" t="s">
        <v>215</v>
      </c>
      <c r="J22" s="80" t="s">
        <v>215</v>
      </c>
      <c r="K22" s="80" t="s">
        <v>215</v>
      </c>
      <c r="L22" s="80" t="s">
        <v>216</v>
      </c>
      <c r="M22" s="80" t="s">
        <v>216</v>
      </c>
      <c r="N22" s="80" t="s">
        <v>216</v>
      </c>
      <c r="O22" s="85" t="s">
        <v>41</v>
      </c>
      <c r="P22" s="85" t="s">
        <v>45</v>
      </c>
      <c r="Q22" s="85" t="s">
        <v>39</v>
      </c>
      <c r="R22" s="85" t="s">
        <v>263</v>
      </c>
      <c r="S22" s="85" t="s">
        <v>43</v>
      </c>
      <c r="T22" s="85" t="s">
        <v>3</v>
      </c>
      <c r="U22" s="85" t="s">
        <v>37</v>
      </c>
    </row>
    <row r="23" spans="1:21" x14ac:dyDescent="0.15">
      <c r="A23" s="39" t="s">
        <v>266</v>
      </c>
      <c r="B23" s="84" t="s">
        <v>231</v>
      </c>
      <c r="C23" s="40">
        <v>60006</v>
      </c>
      <c r="D23" s="78" t="s">
        <v>117</v>
      </c>
      <c r="E23" s="79" t="str">
        <f>B23&amp;C23&amp;D23</f>
        <v>gifts_i18n_60006.tmp</v>
      </c>
      <c r="F23" s="44" t="s">
        <v>224</v>
      </c>
      <c r="G23" s="80" t="s">
        <v>230</v>
      </c>
      <c r="H23" s="80" t="s">
        <v>217</v>
      </c>
      <c r="I23" s="80" t="s">
        <v>232</v>
      </c>
      <c r="J23" s="80" t="s">
        <v>233</v>
      </c>
      <c r="K23" s="80" t="s">
        <v>220</v>
      </c>
      <c r="L23" s="80"/>
      <c r="M23" s="80"/>
      <c r="N23" s="80"/>
      <c r="O23" s="78"/>
    </row>
  </sheetData>
  <phoneticPr fontId="6"/>
  <dataValidations count="1">
    <dataValidation type="list" allowBlank="1" showInputMessage="1" showErrorMessage="1" sqref="A2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27"/>
  <sheetViews>
    <sheetView showGridLines="0" workbookViewId="0">
      <pane ySplit="1" topLeftCell="A2" activePane="bottomLeft" state="frozen"/>
      <selection activeCell="V2" sqref="V2:X34"/>
      <selection pane="bottomLeft" activeCell="I30" sqref="I30"/>
    </sheetView>
  </sheetViews>
  <sheetFormatPr baseColWidth="12" defaultColWidth="13" defaultRowHeight="21" customHeight="1" outlineLevelCol="1" x14ac:dyDescent="0.15"/>
  <cols>
    <col min="1" max="1" width="8.83203125" style="16" bestFit="1" customWidth="1"/>
    <col min="2" max="2" width="5" style="16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6" customWidth="1" outlineLevel="1"/>
    <col min="8" max="8" width="36.6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thickBot="1" x14ac:dyDescent="0.2">
      <c r="A1" s="13" t="s">
        <v>30</v>
      </c>
      <c r="B1" s="13" t="s">
        <v>36</v>
      </c>
      <c r="C1" s="123" t="s">
        <v>0</v>
      </c>
      <c r="D1" s="124" t="s">
        <v>18</v>
      </c>
      <c r="E1" s="124" t="s">
        <v>33</v>
      </c>
      <c r="F1" s="123" t="s">
        <v>1</v>
      </c>
      <c r="G1" s="125" t="s">
        <v>32</v>
      </c>
      <c r="H1" s="124" t="s">
        <v>34</v>
      </c>
      <c r="I1" s="123" t="s">
        <v>13</v>
      </c>
      <c r="J1" s="123" t="s">
        <v>14</v>
      </c>
      <c r="K1" s="123" t="s">
        <v>15</v>
      </c>
      <c r="L1" s="126" t="s">
        <v>208</v>
      </c>
      <c r="M1" s="126" t="s">
        <v>209</v>
      </c>
      <c r="N1" s="126" t="s">
        <v>210</v>
      </c>
    </row>
    <row r="2" spans="1:14" s="109" customFormat="1" ht="21" customHeight="1" x14ac:dyDescent="0.15">
      <c r="A2" s="99" t="str">
        <f>G2&amp;"-"&amp;I2</f>
        <v>60006_1-1</v>
      </c>
      <c r="B2" s="129" t="str">
        <f>IF(COUNTIF(enemy_habitats!$H:$H,A2),"OK","NG")</f>
        <v>OK</v>
      </c>
      <c r="C2" s="598">
        <v>60006</v>
      </c>
      <c r="D2" s="599" t="str">
        <f ca="1">VLOOKUP($C2,OFFSET([2]quests!$A$1,0,0,COUNTA([2]quests!$A:$A),MATCH(D$1,[2]quests!$1:$1,0)-MATCH($C$1,[2]quests!$1:$1,0)+1),MATCH(D$1,[2]quests!$1:$1,0)-MATCH($C$1,[2]quests!$1:$1,0)+1,FALSE)</f>
        <v>オイラーチャレンジ</v>
      </c>
      <c r="E2" s="599" t="str">
        <f ca="1">VLOOKUP($C2,OFFSET([2]quests!$A$1,0,0,COUNTA([2]quests!$A:$A),MATCH(E$1,[2]quests!$1:$1,0)-MATCH($C$1,[2]quests!$1:$1,0)+1),MATCH(E$1,[2]quests!$1:$1,0)-MATCH($C$1,[2]quests!$1:$1,0)+1,FALSE)</f>
        <v>ランキング1（本番実装用）</v>
      </c>
      <c r="F2" s="600">
        <v>1</v>
      </c>
      <c r="G2" s="601" t="str">
        <f>C2&amp;"_"&amp;F2</f>
        <v>60006_1</v>
      </c>
      <c r="H2" s="600" t="str">
        <f ca="1">VLOOKUP($G2,OFFSET([2]stages!$A$1,0,0,COUNTA([2]stages!$A:$A),MATCH(H$1,[2]stages!$2:$2,0)-MATCH($G$1,[2]stages!$2:$2,0)+1),MATCH(H$1,[2]stages!$2:$2,0)-MATCH($G$1,[2]stages!$2:$2,0)+1,FALSE)</f>
        <v>【中級】オイラーチャレンジ</v>
      </c>
      <c r="I2" s="600">
        <v>1</v>
      </c>
      <c r="J2" s="601">
        <v>45</v>
      </c>
      <c r="K2" s="601">
        <v>45</v>
      </c>
      <c r="L2" s="602">
        <v>6000611</v>
      </c>
      <c r="M2" s="602">
        <v>6000611</v>
      </c>
      <c r="N2" s="602">
        <v>6000611</v>
      </c>
    </row>
    <row r="3" spans="1:14" s="111" customFormat="1" ht="21" customHeight="1" x14ac:dyDescent="0.15">
      <c r="A3" s="110" t="str">
        <f t="shared" ref="A3:A5" si="0">G3&amp;"-"&amp;I3</f>
        <v>60006_1-2</v>
      </c>
      <c r="B3" s="132" t="str">
        <f>IF(COUNTIF(enemy_habitats!$H:$H,A3),"OK","NG")</f>
        <v>OK</v>
      </c>
      <c r="C3" s="603">
        <v>60006</v>
      </c>
      <c r="D3" s="582" t="str">
        <f ca="1">VLOOKUP($C3,OFFSET([2]quests!$A$1,0,0,COUNTA([2]quests!$A:$A),MATCH(D$1,[2]quests!$1:$1,0)-MATCH($C$1,[2]quests!$1:$1,0)+1),MATCH(D$1,[2]quests!$1:$1,0)-MATCH($C$1,[2]quests!$1:$1,0)+1,FALSE)</f>
        <v>オイラーチャレンジ</v>
      </c>
      <c r="E3" s="582" t="str">
        <f ca="1">VLOOKUP($C3,OFFSET([2]quests!$A$1,0,0,COUNTA([2]quests!$A:$A),MATCH(E$1,[2]quests!$1:$1,0)-MATCH($C$1,[2]quests!$1:$1,0)+1),MATCH(E$1,[2]quests!$1:$1,0)-MATCH($C$1,[2]quests!$1:$1,0)+1,FALSE)</f>
        <v>ランキング1（本番実装用）</v>
      </c>
      <c r="F3" s="585">
        <v>1</v>
      </c>
      <c r="G3" s="584" t="str">
        <f t="shared" ref="G3:G5" si="1">C3&amp;"_"&amp;F3</f>
        <v>60006_1</v>
      </c>
      <c r="H3" s="585" t="str">
        <f ca="1">VLOOKUP($G3,OFFSET([2]stages!$A$1,0,0,COUNTA([2]stages!$A:$A),MATCH(H$1,[2]stages!$2:$2,0)-MATCH($G$1,[2]stages!$2:$2,0)+1),MATCH(H$1,[2]stages!$2:$2,0)-MATCH($G$1,[2]stages!$2:$2,0)+1,FALSE)</f>
        <v>【中級】オイラーチャレンジ</v>
      </c>
      <c r="I3" s="585">
        <v>2</v>
      </c>
      <c r="J3" s="584">
        <v>45</v>
      </c>
      <c r="K3" s="584">
        <v>45</v>
      </c>
      <c r="L3" s="604">
        <v>6000611</v>
      </c>
      <c r="M3" s="604">
        <v>6000611</v>
      </c>
      <c r="N3" s="604">
        <v>6000611</v>
      </c>
    </row>
    <row r="4" spans="1:14" s="111" customFormat="1" ht="21" customHeight="1" x14ac:dyDescent="0.15">
      <c r="A4" s="110" t="str">
        <f t="shared" si="0"/>
        <v>60006_1-3</v>
      </c>
      <c r="B4" s="132" t="str">
        <f>IF(COUNTIF(enemy_habitats!$H:$H,A4),"OK","NG")</f>
        <v>OK</v>
      </c>
      <c r="C4" s="603">
        <v>60006</v>
      </c>
      <c r="D4" s="582" t="str">
        <f ca="1">VLOOKUP($C4,OFFSET([2]quests!$A$1,0,0,COUNTA([2]quests!$A:$A),MATCH(D$1,[2]quests!$1:$1,0)-MATCH($C$1,[2]quests!$1:$1,0)+1),MATCH(D$1,[2]quests!$1:$1,0)-MATCH($C$1,[2]quests!$1:$1,0)+1,FALSE)</f>
        <v>オイラーチャレンジ</v>
      </c>
      <c r="E4" s="582" t="str">
        <f ca="1">VLOOKUP($C4,OFFSET([2]quests!$A$1,0,0,COUNTA([2]quests!$A:$A),MATCH(E$1,[2]quests!$1:$1,0)-MATCH($C$1,[2]quests!$1:$1,0)+1),MATCH(E$1,[2]quests!$1:$1,0)-MATCH($C$1,[2]quests!$1:$1,0)+1,FALSE)</f>
        <v>ランキング1（本番実装用）</v>
      </c>
      <c r="F4" s="585">
        <v>1</v>
      </c>
      <c r="G4" s="584" t="str">
        <f t="shared" si="1"/>
        <v>60006_1</v>
      </c>
      <c r="H4" s="585" t="str">
        <f ca="1">VLOOKUP($G4,OFFSET([2]stages!$A$1,0,0,COUNTA([2]stages!$A:$A),MATCH(H$1,[2]stages!$2:$2,0)-MATCH($G$1,[2]stages!$2:$2,0)+1),MATCH(H$1,[2]stages!$2:$2,0)-MATCH($G$1,[2]stages!$2:$2,0)+1,FALSE)</f>
        <v>【中級】オイラーチャレンジ</v>
      </c>
      <c r="I4" s="585">
        <v>3</v>
      </c>
      <c r="J4" s="584">
        <v>60</v>
      </c>
      <c r="K4" s="584">
        <v>60</v>
      </c>
      <c r="L4" s="604">
        <v>6000611</v>
      </c>
      <c r="M4" s="604">
        <v>6000611</v>
      </c>
      <c r="N4" s="604">
        <v>6000611</v>
      </c>
    </row>
    <row r="5" spans="1:14" s="122" customFormat="1" ht="21" customHeight="1" thickBot="1" x14ac:dyDescent="0.2">
      <c r="A5" s="112" t="str">
        <f t="shared" si="0"/>
        <v>60006_1-4</v>
      </c>
      <c r="B5" s="133" t="str">
        <f>IF(COUNTIF(enemy_habitats!$H:$H,A5),"OK","NG")</f>
        <v>OK</v>
      </c>
      <c r="C5" s="605">
        <v>60006</v>
      </c>
      <c r="D5" s="606" t="str">
        <f ca="1">VLOOKUP($C5,OFFSET([2]quests!$A$1,0,0,COUNTA([2]quests!$A:$A),MATCH(D$1,[2]quests!$1:$1,0)-MATCH($C$1,[2]quests!$1:$1,0)+1),MATCH(D$1,[2]quests!$1:$1,0)-MATCH($C$1,[2]quests!$1:$1,0)+1,FALSE)</f>
        <v>オイラーチャレンジ</v>
      </c>
      <c r="E5" s="606" t="str">
        <f ca="1">VLOOKUP($C5,OFFSET([2]quests!$A$1,0,0,COUNTA([2]quests!$A:$A),MATCH(E$1,[2]quests!$1:$1,0)-MATCH($C$1,[2]quests!$1:$1,0)+1),MATCH(E$1,[2]quests!$1:$1,0)-MATCH($C$1,[2]quests!$1:$1,0)+1,FALSE)</f>
        <v>ランキング1（本番実装用）</v>
      </c>
      <c r="F5" s="607">
        <v>1</v>
      </c>
      <c r="G5" s="608" t="str">
        <f t="shared" si="1"/>
        <v>60006_1</v>
      </c>
      <c r="H5" s="607" t="str">
        <f ca="1">VLOOKUP($G5,OFFSET([2]stages!$A$1,0,0,COUNTA([2]stages!$A:$A),MATCH(H$1,[2]stages!$2:$2,0)-MATCH($G$1,[2]stages!$2:$2,0)+1),MATCH(H$1,[2]stages!$2:$2,0)-MATCH($G$1,[2]stages!$2:$2,0)+1,FALSE)</f>
        <v>【中級】オイラーチャレンジ</v>
      </c>
      <c r="I5" s="607">
        <v>4</v>
      </c>
      <c r="J5" s="608">
        <v>60</v>
      </c>
      <c r="K5" s="608">
        <v>60</v>
      </c>
      <c r="L5" s="609">
        <v>6000611</v>
      </c>
      <c r="M5" s="609">
        <v>6000611</v>
      </c>
      <c r="N5" s="609">
        <v>6000611</v>
      </c>
    </row>
    <row r="6" spans="1:14" s="109" customFormat="1" ht="21" customHeight="1" x14ac:dyDescent="0.15">
      <c r="A6" s="99" t="str">
        <f t="shared" ref="A6:A10" si="2">G6&amp;"-"&amp;I6</f>
        <v>60006_2-1</v>
      </c>
      <c r="B6" s="129" t="str">
        <f>IF(COUNTIF(enemy_habitats!$H:$H,A6),"OK","NG")</f>
        <v>OK</v>
      </c>
      <c r="C6" s="598">
        <v>60006</v>
      </c>
      <c r="D6" s="599" t="str">
        <f ca="1">VLOOKUP($C6,OFFSET([2]quests!$A$1,0,0,COUNTA([2]quests!$A:$A),MATCH(D$1,[2]quests!$1:$1,0)-MATCH($C$1,[2]quests!$1:$1,0)+1),MATCH(D$1,[2]quests!$1:$1,0)-MATCH($C$1,[2]quests!$1:$1,0)+1,FALSE)</f>
        <v>オイラーチャレンジ</v>
      </c>
      <c r="E6" s="599" t="str">
        <f ca="1">VLOOKUP($C6,OFFSET([2]quests!$A$1,0,0,COUNTA([2]quests!$A:$A),MATCH(E$1,[2]quests!$1:$1,0)-MATCH($C$1,[2]quests!$1:$1,0)+1),MATCH(E$1,[2]quests!$1:$1,0)-MATCH($C$1,[2]quests!$1:$1,0)+1,FALSE)</f>
        <v>ランキング1（本番実装用）</v>
      </c>
      <c r="F6" s="600">
        <v>2</v>
      </c>
      <c r="G6" s="601" t="str">
        <f t="shared" ref="G6:G10" si="3">C6&amp;"_"&amp;F6</f>
        <v>60006_2</v>
      </c>
      <c r="H6" s="600" t="str">
        <f ca="1">VLOOKUP($G6,OFFSET([2]stages!$A$1,0,0,COUNTA([2]stages!$A:$A),MATCH(H$1,[2]stages!$2:$2,0)-MATCH($G$1,[2]stages!$2:$2,0)+1),MATCH(H$1,[2]stages!$2:$2,0)-MATCH($G$1,[2]stages!$2:$2,0)+1,FALSE)</f>
        <v>【超級】オイラーチャレンジ</v>
      </c>
      <c r="I6" s="600">
        <v>1</v>
      </c>
      <c r="J6" s="601">
        <v>45</v>
      </c>
      <c r="K6" s="601">
        <v>45</v>
      </c>
      <c r="L6" s="602">
        <v>6000612</v>
      </c>
      <c r="M6" s="602">
        <v>6000612</v>
      </c>
      <c r="N6" s="602">
        <v>6000612</v>
      </c>
    </row>
    <row r="7" spans="1:14" s="111" customFormat="1" ht="21" customHeight="1" x14ac:dyDescent="0.15">
      <c r="A7" s="110" t="str">
        <f t="shared" ref="A7:A9" si="4">G7&amp;"-"&amp;I7</f>
        <v>60006_2-2</v>
      </c>
      <c r="B7" s="132" t="str">
        <f>IF(COUNTIF(enemy_habitats!$H:$H,A7),"OK","NG")</f>
        <v>OK</v>
      </c>
      <c r="C7" s="603">
        <v>60006</v>
      </c>
      <c r="D7" s="582" t="str">
        <f ca="1">VLOOKUP($C7,OFFSET([2]quests!$A$1,0,0,COUNTA([2]quests!$A:$A),MATCH(D$1,[2]quests!$1:$1,0)-MATCH($C$1,[2]quests!$1:$1,0)+1),MATCH(D$1,[2]quests!$1:$1,0)-MATCH($C$1,[2]quests!$1:$1,0)+1,FALSE)</f>
        <v>オイラーチャレンジ</v>
      </c>
      <c r="E7" s="582" t="str">
        <f ca="1">VLOOKUP($C7,OFFSET([2]quests!$A$1,0,0,COUNTA([2]quests!$A:$A),MATCH(E$1,[2]quests!$1:$1,0)-MATCH($C$1,[2]quests!$1:$1,0)+1),MATCH(E$1,[2]quests!$1:$1,0)-MATCH($C$1,[2]quests!$1:$1,0)+1,FALSE)</f>
        <v>ランキング1（本番実装用）</v>
      </c>
      <c r="F7" s="585">
        <v>2</v>
      </c>
      <c r="G7" s="584" t="str">
        <f t="shared" ref="G7:G9" si="5">C7&amp;"_"&amp;F7</f>
        <v>60006_2</v>
      </c>
      <c r="H7" s="585" t="str">
        <f ca="1">VLOOKUP($G7,OFFSET([2]stages!$A$1,0,0,COUNTA([2]stages!$A:$A),MATCH(H$1,[2]stages!$2:$2,0)-MATCH($G$1,[2]stages!$2:$2,0)+1),MATCH(H$1,[2]stages!$2:$2,0)-MATCH($G$1,[2]stages!$2:$2,0)+1,FALSE)</f>
        <v>【超級】オイラーチャレンジ</v>
      </c>
      <c r="I7" s="585">
        <v>2</v>
      </c>
      <c r="J7" s="584">
        <v>60</v>
      </c>
      <c r="K7" s="584">
        <v>60</v>
      </c>
      <c r="L7" s="610">
        <v>6000612</v>
      </c>
      <c r="M7" s="610">
        <v>6000612</v>
      </c>
      <c r="N7" s="610">
        <v>6000612</v>
      </c>
    </row>
    <row r="8" spans="1:14" s="111" customFormat="1" ht="21" customHeight="1" x14ac:dyDescent="0.15">
      <c r="A8" s="110" t="str">
        <f t="shared" si="4"/>
        <v>60006_2-3</v>
      </c>
      <c r="B8" s="132" t="str">
        <f>IF(COUNTIF(enemy_habitats!$H:$H,A8),"OK","NG")</f>
        <v>OK</v>
      </c>
      <c r="C8" s="603">
        <v>60006</v>
      </c>
      <c r="D8" s="582" t="str">
        <f ca="1">VLOOKUP($C8,OFFSET([2]quests!$A$1,0,0,COUNTA([2]quests!$A:$A),MATCH(D$1,[2]quests!$1:$1,0)-MATCH($C$1,[2]quests!$1:$1,0)+1),MATCH(D$1,[2]quests!$1:$1,0)-MATCH($C$1,[2]quests!$1:$1,0)+1,FALSE)</f>
        <v>オイラーチャレンジ</v>
      </c>
      <c r="E8" s="582" t="str">
        <f ca="1">VLOOKUP($C8,OFFSET([2]quests!$A$1,0,0,COUNTA([2]quests!$A:$A),MATCH(E$1,[2]quests!$1:$1,0)-MATCH($C$1,[2]quests!$1:$1,0)+1),MATCH(E$1,[2]quests!$1:$1,0)-MATCH($C$1,[2]quests!$1:$1,0)+1,FALSE)</f>
        <v>ランキング1（本番実装用）</v>
      </c>
      <c r="F8" s="585">
        <v>2</v>
      </c>
      <c r="G8" s="584" t="str">
        <f t="shared" si="5"/>
        <v>60006_2</v>
      </c>
      <c r="H8" s="585" t="str">
        <f ca="1">VLOOKUP($G8,OFFSET([2]stages!$A$1,0,0,COUNTA([2]stages!$A:$A),MATCH(H$1,[2]stages!$2:$2,0)-MATCH($G$1,[2]stages!$2:$2,0)+1),MATCH(H$1,[2]stages!$2:$2,0)-MATCH($G$1,[2]stages!$2:$2,0)+1,FALSE)</f>
        <v>【超級】オイラーチャレンジ</v>
      </c>
      <c r="I8" s="585">
        <v>3</v>
      </c>
      <c r="J8" s="584">
        <v>60</v>
      </c>
      <c r="K8" s="584">
        <v>60</v>
      </c>
      <c r="L8" s="610">
        <v>6000612</v>
      </c>
      <c r="M8" s="610">
        <v>6000612</v>
      </c>
      <c r="N8" s="610">
        <v>6000612</v>
      </c>
    </row>
    <row r="9" spans="1:14" s="122" customFormat="1" ht="21" customHeight="1" thickBot="1" x14ac:dyDescent="0.2">
      <c r="A9" s="112" t="str">
        <f t="shared" si="4"/>
        <v>60006_2-4</v>
      </c>
      <c r="B9" s="133" t="str">
        <f>IF(COUNTIF(enemy_habitats!$H:$H,A9),"OK","NG")</f>
        <v>OK</v>
      </c>
      <c r="C9" s="605">
        <v>60006</v>
      </c>
      <c r="D9" s="606" t="str">
        <f ca="1">VLOOKUP($C9,OFFSET([2]quests!$A$1,0,0,COUNTA([2]quests!$A:$A),MATCH(D$1,[2]quests!$1:$1,0)-MATCH($C$1,[2]quests!$1:$1,0)+1),MATCH(D$1,[2]quests!$1:$1,0)-MATCH($C$1,[2]quests!$1:$1,0)+1,FALSE)</f>
        <v>オイラーチャレンジ</v>
      </c>
      <c r="E9" s="606" t="str">
        <f ca="1">VLOOKUP($C9,OFFSET([2]quests!$A$1,0,0,COUNTA([2]quests!$A:$A),MATCH(E$1,[2]quests!$1:$1,0)-MATCH($C$1,[2]quests!$1:$1,0)+1),MATCH(E$1,[2]quests!$1:$1,0)-MATCH($C$1,[2]quests!$1:$1,0)+1,FALSE)</f>
        <v>ランキング1（本番実装用）</v>
      </c>
      <c r="F9" s="607">
        <v>2</v>
      </c>
      <c r="G9" s="608" t="str">
        <f t="shared" si="5"/>
        <v>60006_2</v>
      </c>
      <c r="H9" s="607" t="str">
        <f ca="1">VLOOKUP($G9,OFFSET([2]stages!$A$1,0,0,COUNTA([2]stages!$A:$A),MATCH(H$1,[2]stages!$2:$2,0)-MATCH($G$1,[2]stages!$2:$2,0)+1),MATCH(H$1,[2]stages!$2:$2,0)-MATCH($G$1,[2]stages!$2:$2,0)+1,FALSE)</f>
        <v>【超級】オイラーチャレンジ</v>
      </c>
      <c r="I9" s="607">
        <v>4</v>
      </c>
      <c r="J9" s="608">
        <v>60</v>
      </c>
      <c r="K9" s="608">
        <v>60</v>
      </c>
      <c r="L9" s="611">
        <v>6000612</v>
      </c>
      <c r="M9" s="611">
        <v>6000612</v>
      </c>
      <c r="N9" s="611">
        <v>6000612</v>
      </c>
    </row>
    <row r="10" spans="1:14" ht="21" customHeight="1" x14ac:dyDescent="0.15">
      <c r="A10" s="13" t="str">
        <f t="shared" si="2"/>
        <v>60006_3-1</v>
      </c>
      <c r="B10" s="13" t="str">
        <f>IF(COUNTIF(enemy_habitats!$H:$H,A10),"OK","NG")</f>
        <v>OK</v>
      </c>
      <c r="C10" s="612">
        <v>60006</v>
      </c>
      <c r="D10" s="613" t="str">
        <f ca="1">VLOOKUP($C10,OFFSET([2]quests!$A$1,0,0,COUNTA([2]quests!$A:$A),MATCH(D$1,[2]quests!$1:$1,0)-MATCH($C$1,[2]quests!$1:$1,0)+1),MATCH(D$1,[2]quests!$1:$1,0)-MATCH($C$1,[2]quests!$1:$1,0)+1,FALSE)</f>
        <v>オイラーチャレンジ</v>
      </c>
      <c r="E10" s="613" t="str">
        <f ca="1">VLOOKUP($C10,OFFSET([2]quests!$A$1,0,0,COUNTA([2]quests!$A:$A),MATCH(E$1,[2]quests!$1:$1,0)-MATCH($C$1,[2]quests!$1:$1,0)+1),MATCH(E$1,[2]quests!$1:$1,0)-MATCH($C$1,[2]quests!$1:$1,0)+1,FALSE)</f>
        <v>ランキング1（本番実装用）</v>
      </c>
      <c r="F10" s="614">
        <v>3</v>
      </c>
      <c r="G10" s="615" t="str">
        <f t="shared" si="3"/>
        <v>60006_3</v>
      </c>
      <c r="H10" s="614" t="str">
        <f ca="1">VLOOKUP($G10,OFFSET([2]stages!$A$1,0,0,COUNTA([2]stages!$A:$A),MATCH(H$1,[2]stages!$2:$2,0)-MATCH($G$1,[2]stages!$2:$2,0)+1),MATCH(H$1,[2]stages!$2:$2,0)-MATCH($G$1,[2]stages!$2:$2,0)+1,FALSE)</f>
        <v>【ウィザード級】オイラーチャレンジ</v>
      </c>
      <c r="I10" s="614">
        <v>1</v>
      </c>
      <c r="J10" s="615">
        <v>60</v>
      </c>
      <c r="K10" s="615">
        <v>60</v>
      </c>
      <c r="L10" s="610">
        <v>6000613</v>
      </c>
      <c r="M10" s="610">
        <v>6000613</v>
      </c>
      <c r="N10" s="610">
        <v>6000613</v>
      </c>
    </row>
    <row r="11" spans="1:14" ht="21" customHeight="1" x14ac:dyDescent="0.15">
      <c r="A11" s="13" t="str">
        <f t="shared" ref="A11:A14" si="6">G11&amp;"-"&amp;I11</f>
        <v>60006_3-2</v>
      </c>
      <c r="B11" s="13" t="str">
        <f>IF(COUNTIF(enemy_habitats!$H:$H,A11),"OK","NG")</f>
        <v>OK</v>
      </c>
      <c r="C11" s="580">
        <v>60006</v>
      </c>
      <c r="D11" s="581" t="str">
        <f ca="1">VLOOKUP($C11,OFFSET([2]quests!$A$1,0,0,COUNTA([2]quests!$A:$A),MATCH(D$1,[2]quests!$1:$1,0)-MATCH($C$1,[2]quests!$1:$1,0)+1),MATCH(D$1,[2]quests!$1:$1,0)-MATCH($C$1,[2]quests!$1:$1,0)+1,FALSE)</f>
        <v>オイラーチャレンジ</v>
      </c>
      <c r="E11" s="582" t="str">
        <f ca="1">VLOOKUP($C11,OFFSET([2]quests!$A$1,0,0,COUNTA([2]quests!$A:$A),MATCH(E$1,[2]quests!$1:$1,0)-MATCH($C$1,[2]quests!$1:$1,0)+1),MATCH(E$1,[2]quests!$1:$1,0)-MATCH($C$1,[2]quests!$1:$1,0)+1,FALSE)</f>
        <v>ランキング1（本番実装用）</v>
      </c>
      <c r="F11" s="583">
        <v>3</v>
      </c>
      <c r="G11" s="584" t="str">
        <f t="shared" ref="G11:G14" si="7">C11&amp;"_"&amp;F11</f>
        <v>60006_3</v>
      </c>
      <c r="H11" s="585" t="str">
        <f ca="1">VLOOKUP($G11,OFFSET([2]stages!$A$1,0,0,COUNTA([2]stages!$A:$A),MATCH(H$1,[2]stages!$2:$2,0)-MATCH($G$1,[2]stages!$2:$2,0)+1),MATCH(H$1,[2]stages!$2:$2,0)-MATCH($G$1,[2]stages!$2:$2,0)+1,FALSE)</f>
        <v>【ウィザード級】オイラーチャレンジ</v>
      </c>
      <c r="I11" s="583">
        <v>2</v>
      </c>
      <c r="J11" s="616">
        <v>60</v>
      </c>
      <c r="K11" s="616">
        <v>60</v>
      </c>
      <c r="L11" s="610">
        <v>6000613</v>
      </c>
      <c r="M11" s="610">
        <v>6000613</v>
      </c>
      <c r="N11" s="610">
        <v>6000613</v>
      </c>
    </row>
    <row r="12" spans="1:14" ht="21" customHeight="1" x14ac:dyDescent="0.15">
      <c r="A12" s="13" t="str">
        <f t="shared" si="6"/>
        <v>60006_3-3</v>
      </c>
      <c r="B12" s="13" t="str">
        <f>IF(COUNTIF(enemy_habitats!$H:$H,A12),"OK","NG")</f>
        <v>OK</v>
      </c>
      <c r="C12" s="580">
        <v>60006</v>
      </c>
      <c r="D12" s="581" t="str">
        <f ca="1">VLOOKUP($C12,OFFSET([2]quests!$A$1,0,0,COUNTA([2]quests!$A:$A),MATCH(D$1,[2]quests!$1:$1,0)-MATCH($C$1,[2]quests!$1:$1,0)+1),MATCH(D$1,[2]quests!$1:$1,0)-MATCH($C$1,[2]quests!$1:$1,0)+1,FALSE)</f>
        <v>オイラーチャレンジ</v>
      </c>
      <c r="E12" s="582" t="str">
        <f ca="1">VLOOKUP($C12,OFFSET([2]quests!$A$1,0,0,COUNTA([2]quests!$A:$A),MATCH(E$1,[2]quests!$1:$1,0)-MATCH($C$1,[2]quests!$1:$1,0)+1),MATCH(E$1,[2]quests!$1:$1,0)-MATCH($C$1,[2]quests!$1:$1,0)+1,FALSE)</f>
        <v>ランキング1（本番実装用）</v>
      </c>
      <c r="F12" s="583">
        <v>3</v>
      </c>
      <c r="G12" s="584" t="str">
        <f t="shared" si="7"/>
        <v>60006_3</v>
      </c>
      <c r="H12" s="585" t="str">
        <f ca="1">VLOOKUP($G12,OFFSET([2]stages!$A$1,0,0,COUNTA([2]stages!$A:$A),MATCH(H$1,[2]stages!$2:$2,0)-MATCH($G$1,[2]stages!$2:$2,0)+1),MATCH(H$1,[2]stages!$2:$2,0)-MATCH($G$1,[2]stages!$2:$2,0)+1,FALSE)</f>
        <v>【ウィザード級】オイラーチャレンジ</v>
      </c>
      <c r="I12" s="583">
        <v>3</v>
      </c>
      <c r="J12" s="616">
        <v>60</v>
      </c>
      <c r="K12" s="616">
        <v>60</v>
      </c>
      <c r="L12" s="610">
        <v>6000613</v>
      </c>
      <c r="M12" s="610">
        <v>6000613</v>
      </c>
      <c r="N12" s="610">
        <v>6000613</v>
      </c>
    </row>
    <row r="13" spans="1:14" ht="21" customHeight="1" x14ac:dyDescent="0.15">
      <c r="A13" s="13" t="str">
        <f t="shared" si="6"/>
        <v>60006_3-4</v>
      </c>
      <c r="B13" s="13" t="str">
        <f>IF(COUNTIF(enemy_habitats!$H:$H,A13),"OK","NG")</f>
        <v>OK</v>
      </c>
      <c r="C13" s="580">
        <v>60006</v>
      </c>
      <c r="D13" s="581" t="str">
        <f ca="1">VLOOKUP($C13,OFFSET([2]quests!$A$1,0,0,COUNTA([2]quests!$A:$A),MATCH(D$1,[2]quests!$1:$1,0)-MATCH($C$1,[2]quests!$1:$1,0)+1),MATCH(D$1,[2]quests!$1:$1,0)-MATCH($C$1,[2]quests!$1:$1,0)+1,FALSE)</f>
        <v>オイラーチャレンジ</v>
      </c>
      <c r="E13" s="582" t="str">
        <f ca="1">VLOOKUP($C13,OFFSET([2]quests!$A$1,0,0,COUNTA([2]quests!$A:$A),MATCH(E$1,[2]quests!$1:$1,0)-MATCH($C$1,[2]quests!$1:$1,0)+1),MATCH(E$1,[2]quests!$1:$1,0)-MATCH($C$1,[2]quests!$1:$1,0)+1,FALSE)</f>
        <v>ランキング1（本番実装用）</v>
      </c>
      <c r="F13" s="583">
        <v>3</v>
      </c>
      <c r="G13" s="584" t="str">
        <f t="shared" si="7"/>
        <v>60006_3</v>
      </c>
      <c r="H13" s="585" t="str">
        <f ca="1">VLOOKUP($G13,OFFSET([2]stages!$A$1,0,0,COUNTA([2]stages!$A:$A),MATCH(H$1,[2]stages!$2:$2,0)-MATCH($G$1,[2]stages!$2:$2,0)+1),MATCH(H$1,[2]stages!$2:$2,0)-MATCH($G$1,[2]stages!$2:$2,0)+1,FALSE)</f>
        <v>【ウィザード級】オイラーチャレンジ</v>
      </c>
      <c r="I13" s="583">
        <v>4</v>
      </c>
      <c r="J13" s="616">
        <v>60</v>
      </c>
      <c r="K13" s="616">
        <v>60</v>
      </c>
      <c r="L13" s="610">
        <v>6000613</v>
      </c>
      <c r="M13" s="610">
        <v>6000613</v>
      </c>
      <c r="N13" s="610">
        <v>6000613</v>
      </c>
    </row>
    <row r="14" spans="1:14" ht="21" customHeight="1" thickBot="1" x14ac:dyDescent="0.2">
      <c r="A14" s="13" t="str">
        <f t="shared" si="6"/>
        <v>60006_3-5</v>
      </c>
      <c r="B14" s="13" t="str">
        <f>IF(COUNTIF(enemy_habitats!$H:$H,A14),"OK","NG")</f>
        <v>OK</v>
      </c>
      <c r="C14" s="580">
        <v>60006</v>
      </c>
      <c r="D14" s="581" t="str">
        <f ca="1">VLOOKUP($C14,OFFSET([2]quests!$A$1,0,0,COUNTA([2]quests!$A:$A),MATCH(D$1,[2]quests!$1:$1,0)-MATCH($C$1,[2]quests!$1:$1,0)+1),MATCH(D$1,[2]quests!$1:$1,0)-MATCH($C$1,[2]quests!$1:$1,0)+1,FALSE)</f>
        <v>オイラーチャレンジ</v>
      </c>
      <c r="E14" s="582" t="str">
        <f ca="1">VLOOKUP($C14,OFFSET([2]quests!$A$1,0,0,COUNTA([2]quests!$A:$A),MATCH(E$1,[2]quests!$1:$1,0)-MATCH($C$1,[2]quests!$1:$1,0)+1),MATCH(E$1,[2]quests!$1:$1,0)-MATCH($C$1,[2]quests!$1:$1,0)+1,FALSE)</f>
        <v>ランキング1（本番実装用）</v>
      </c>
      <c r="F14" s="583">
        <v>3</v>
      </c>
      <c r="G14" s="584" t="str">
        <f t="shared" si="7"/>
        <v>60006_3</v>
      </c>
      <c r="H14" s="585" t="str">
        <f ca="1">VLOOKUP($G14,OFFSET([2]stages!$A$1,0,0,COUNTA([2]stages!$A:$A),MATCH(H$1,[2]stages!$2:$2,0)-MATCH($G$1,[2]stages!$2:$2,0)+1),MATCH(H$1,[2]stages!$2:$2,0)-MATCH($G$1,[2]stages!$2:$2,0)+1,FALSE)</f>
        <v>【ウィザード級】オイラーチャレンジ</v>
      </c>
      <c r="I14" s="583">
        <v>5</v>
      </c>
      <c r="J14" s="616">
        <v>60</v>
      </c>
      <c r="K14" s="616">
        <v>60</v>
      </c>
      <c r="L14" s="610">
        <v>6000613</v>
      </c>
      <c r="M14" s="610">
        <v>6000613</v>
      </c>
      <c r="N14" s="610">
        <v>6000613</v>
      </c>
    </row>
    <row r="15" spans="1:14" s="109" customFormat="1" ht="21" customHeight="1" thickBot="1" x14ac:dyDescent="0.2">
      <c r="A15" s="99" t="str">
        <f>G15&amp;"-"&amp;I15</f>
        <v>60007_1-1</v>
      </c>
      <c r="B15" s="129" t="str">
        <f>IF(COUNTIF(enemy_habitats!$H:$H,A15),"OK","NG")</f>
        <v>OK</v>
      </c>
      <c r="C15" s="107">
        <v>60007</v>
      </c>
      <c r="D15" s="130" t="str">
        <f ca="1">VLOOKUP($C15,OFFSET([2]quests!$A$1,0,0,COUNTA([2]quests!$A:$A),MATCH(D$1,[2]quests!$1:$1,0)-MATCH($C$1,[2]quests!$1:$1,0)+1),MATCH(D$1,[2]quests!$1:$1,0)-MATCH($C$1,[2]quests!$1:$1,0)+1,FALSE)</f>
        <v>オイラーチャレンジ</v>
      </c>
      <c r="E15" s="130" t="str">
        <f ca="1">VLOOKUP($C15,OFFSET([2]quests!$A$1,0,0,COUNTA([2]quests!$A:$A),MATCH(E$1,[2]quests!$1:$1,0)-MATCH($C$1,[2]quests!$1:$1,0)+1),MATCH(E$1,[2]quests!$1:$1,0)-MATCH($C$1,[2]quests!$1:$1,0)+1,FALSE)</f>
        <v>ランキング1（改修版）</v>
      </c>
      <c r="F15" s="100">
        <v>1</v>
      </c>
      <c r="G15" s="131" t="str">
        <f>C15&amp;"_"&amp;F15</f>
        <v>60007_1</v>
      </c>
      <c r="H15" s="101" t="str">
        <f ca="1">VLOOKUP($G15,OFFSET([2]stages!$A$1,0,0,COUNTA([2]stages!$A:$A),MATCH(H$1,[2]stages!$2:$2,0)-MATCH($G$1,[2]stages!$2:$2,0)+1),MATCH(H$1,[2]stages!$2:$2,0)-MATCH($G$1,[2]stages!$2:$2,0)+1,FALSE)</f>
        <v>【中級】オイラーチャレンジ</v>
      </c>
      <c r="I15" s="100">
        <v>1</v>
      </c>
      <c r="J15" s="103">
        <v>45</v>
      </c>
      <c r="K15" s="103">
        <v>45</v>
      </c>
      <c r="L15" s="171">
        <v>6000711</v>
      </c>
      <c r="M15" s="171">
        <v>6000711</v>
      </c>
      <c r="N15" s="171">
        <v>6000711</v>
      </c>
    </row>
    <row r="16" spans="1:14" s="111" customFormat="1" ht="21" customHeight="1" thickBot="1" x14ac:dyDescent="0.2">
      <c r="A16" s="110" t="str">
        <f t="shared" ref="A16:A27" si="8">G16&amp;"-"&amp;I16</f>
        <v>60007_1-2</v>
      </c>
      <c r="B16" s="132" t="str">
        <f>IF(COUNTIF(enemy_habitats!$H:$H,A16),"OK","NG")</f>
        <v>OK</v>
      </c>
      <c r="C16" s="107">
        <v>60007</v>
      </c>
      <c r="D16" s="15" t="str">
        <f ca="1">VLOOKUP($C16,OFFSET([2]quests!$A$1,0,0,COUNTA([2]quests!$A:$A),MATCH(D$1,[2]quests!$1:$1,0)-MATCH($C$1,[2]quests!$1:$1,0)+1),MATCH(D$1,[2]quests!$1:$1,0)-MATCH($C$1,[2]quests!$1:$1,0)+1,FALSE)</f>
        <v>オイラーチャレンジ</v>
      </c>
      <c r="E16" s="15" t="str">
        <f ca="1">VLOOKUP($C16,OFFSET([2]quests!$A$1,0,0,COUNTA([2]quests!$A:$A),MATCH(E$1,[2]quests!$1:$1,0)-MATCH($C$1,[2]quests!$1:$1,0)+1),MATCH(E$1,[2]quests!$1:$1,0)-MATCH($C$1,[2]quests!$1:$1,0)+1,FALSE)</f>
        <v>ランキング1（改修版）</v>
      </c>
      <c r="F16" s="86">
        <v>1</v>
      </c>
      <c r="G16" s="18" t="str">
        <f t="shared" ref="G16:G27" si="9">C16&amp;"_"&amp;F16</f>
        <v>60007_1</v>
      </c>
      <c r="H16" s="12" t="str">
        <f ca="1">VLOOKUP($G16,OFFSET([2]stages!$A$1,0,0,COUNTA([2]stages!$A:$A),MATCH(H$1,[2]stages!$2:$2,0)-MATCH($G$1,[2]stages!$2:$2,0)+1),MATCH(H$1,[2]stages!$2:$2,0)-MATCH($G$1,[2]stages!$2:$2,0)+1,FALSE)</f>
        <v>【中級】オイラーチャレンジ</v>
      </c>
      <c r="I16" s="86">
        <v>2</v>
      </c>
      <c r="J16" s="23">
        <v>45</v>
      </c>
      <c r="K16" s="23">
        <v>45</v>
      </c>
      <c r="L16" s="172">
        <v>6000711</v>
      </c>
      <c r="M16" s="172">
        <v>6000711</v>
      </c>
      <c r="N16" s="172">
        <v>6000711</v>
      </c>
    </row>
    <row r="17" spans="1:14" s="111" customFormat="1" ht="21" customHeight="1" thickBot="1" x14ac:dyDescent="0.2">
      <c r="A17" s="110" t="str">
        <f t="shared" si="8"/>
        <v>60007_1-3</v>
      </c>
      <c r="B17" s="132" t="str">
        <f>IF(COUNTIF(enemy_habitats!$H:$H,A17),"OK","NG")</f>
        <v>OK</v>
      </c>
      <c r="C17" s="107">
        <v>60007</v>
      </c>
      <c r="D17" s="15" t="str">
        <f ca="1">VLOOKUP($C17,OFFSET([2]quests!$A$1,0,0,COUNTA([2]quests!$A:$A),MATCH(D$1,[2]quests!$1:$1,0)-MATCH($C$1,[2]quests!$1:$1,0)+1),MATCH(D$1,[2]quests!$1:$1,0)-MATCH($C$1,[2]quests!$1:$1,0)+1,FALSE)</f>
        <v>オイラーチャレンジ</v>
      </c>
      <c r="E17" s="15" t="str">
        <f ca="1">VLOOKUP($C17,OFFSET([2]quests!$A$1,0,0,COUNTA([2]quests!$A:$A),MATCH(E$1,[2]quests!$1:$1,0)-MATCH($C$1,[2]quests!$1:$1,0)+1),MATCH(E$1,[2]quests!$1:$1,0)-MATCH($C$1,[2]quests!$1:$1,0)+1,FALSE)</f>
        <v>ランキング1（改修版）</v>
      </c>
      <c r="F17" s="86">
        <v>1</v>
      </c>
      <c r="G17" s="18" t="str">
        <f t="shared" si="9"/>
        <v>60007_1</v>
      </c>
      <c r="H17" s="12" t="str">
        <f ca="1">VLOOKUP($G17,OFFSET([2]stages!$A$1,0,0,COUNTA([2]stages!$A:$A),MATCH(H$1,[2]stages!$2:$2,0)-MATCH($G$1,[2]stages!$2:$2,0)+1),MATCH(H$1,[2]stages!$2:$2,0)-MATCH($G$1,[2]stages!$2:$2,0)+1,FALSE)</f>
        <v>【中級】オイラーチャレンジ</v>
      </c>
      <c r="I17" s="86">
        <v>3</v>
      </c>
      <c r="J17" s="23">
        <v>60</v>
      </c>
      <c r="K17" s="23">
        <v>60</v>
      </c>
      <c r="L17" s="172">
        <v>6000711</v>
      </c>
      <c r="M17" s="172">
        <v>6000711</v>
      </c>
      <c r="N17" s="172">
        <v>6000711</v>
      </c>
    </row>
    <row r="18" spans="1:14" s="122" customFormat="1" ht="21" customHeight="1" thickBot="1" x14ac:dyDescent="0.2">
      <c r="A18" s="112" t="str">
        <f t="shared" si="8"/>
        <v>60007_1-4</v>
      </c>
      <c r="B18" s="133" t="str">
        <f>IF(COUNTIF(enemy_habitats!$H:$H,A18),"OK","NG")</f>
        <v>OK</v>
      </c>
      <c r="C18" s="107">
        <v>60007</v>
      </c>
      <c r="D18" s="134" t="str">
        <f ca="1">VLOOKUP($C18,OFFSET([2]quests!$A$1,0,0,COUNTA([2]quests!$A:$A),MATCH(D$1,[2]quests!$1:$1,0)-MATCH($C$1,[2]quests!$1:$1,0)+1),MATCH(D$1,[2]quests!$1:$1,0)-MATCH($C$1,[2]quests!$1:$1,0)+1,FALSE)</f>
        <v>オイラーチャレンジ</v>
      </c>
      <c r="E18" s="134" t="str">
        <f ca="1">VLOOKUP($C18,OFFSET([2]quests!$A$1,0,0,COUNTA([2]quests!$A:$A),MATCH(E$1,[2]quests!$1:$1,0)-MATCH($C$1,[2]quests!$1:$1,0)+1),MATCH(E$1,[2]quests!$1:$1,0)-MATCH($C$1,[2]quests!$1:$1,0)+1,FALSE)</f>
        <v>ランキング1（改修版）</v>
      </c>
      <c r="F18" s="113">
        <v>1</v>
      </c>
      <c r="G18" s="135" t="str">
        <f t="shared" si="9"/>
        <v>60007_1</v>
      </c>
      <c r="H18" s="114" t="str">
        <f ca="1">VLOOKUP($G18,OFFSET([2]stages!$A$1,0,0,COUNTA([2]stages!$A:$A),MATCH(H$1,[2]stages!$2:$2,0)-MATCH($G$1,[2]stages!$2:$2,0)+1),MATCH(H$1,[2]stages!$2:$2,0)-MATCH($G$1,[2]stages!$2:$2,0)+1,FALSE)</f>
        <v>【中級】オイラーチャレンジ</v>
      </c>
      <c r="I18" s="113">
        <v>4</v>
      </c>
      <c r="J18" s="116">
        <v>60</v>
      </c>
      <c r="K18" s="116">
        <v>60</v>
      </c>
      <c r="L18" s="174">
        <v>6000711</v>
      </c>
      <c r="M18" s="174">
        <v>6000711</v>
      </c>
      <c r="N18" s="174">
        <v>6000711</v>
      </c>
    </row>
    <row r="19" spans="1:14" s="109" customFormat="1" ht="21" customHeight="1" thickBot="1" x14ac:dyDescent="0.2">
      <c r="A19" s="99" t="str">
        <f t="shared" si="8"/>
        <v>60007_2-1</v>
      </c>
      <c r="B19" s="129" t="str">
        <f>IF(COUNTIF(enemy_habitats!$H:$H,A19),"OK","NG")</f>
        <v>OK</v>
      </c>
      <c r="C19" s="107">
        <v>60007</v>
      </c>
      <c r="D19" s="130" t="str">
        <f ca="1">VLOOKUP($C19,OFFSET([2]quests!$A$1,0,0,COUNTA([2]quests!$A:$A),MATCH(D$1,[2]quests!$1:$1,0)-MATCH($C$1,[2]quests!$1:$1,0)+1),MATCH(D$1,[2]quests!$1:$1,0)-MATCH($C$1,[2]quests!$1:$1,0)+1,FALSE)</f>
        <v>オイラーチャレンジ</v>
      </c>
      <c r="E19" s="130" t="str">
        <f ca="1">VLOOKUP($C19,OFFSET([2]quests!$A$1,0,0,COUNTA([2]quests!$A:$A),MATCH(E$1,[2]quests!$1:$1,0)-MATCH($C$1,[2]quests!$1:$1,0)+1),MATCH(E$1,[2]quests!$1:$1,0)-MATCH($C$1,[2]quests!$1:$1,0)+1,FALSE)</f>
        <v>ランキング1（改修版）</v>
      </c>
      <c r="F19" s="100">
        <v>2</v>
      </c>
      <c r="G19" s="131" t="str">
        <f t="shared" si="9"/>
        <v>60007_2</v>
      </c>
      <c r="H19" s="101" t="str">
        <f ca="1">VLOOKUP($G19,OFFSET([2]stages!$A$1,0,0,COUNTA([2]stages!$A:$A),MATCH(H$1,[2]stages!$2:$2,0)-MATCH($G$1,[2]stages!$2:$2,0)+1),MATCH(H$1,[2]stages!$2:$2,0)-MATCH($G$1,[2]stages!$2:$2,0)+1,FALSE)</f>
        <v>【超級】オイラーチャレンジ</v>
      </c>
      <c r="I19" s="100">
        <v>1</v>
      </c>
      <c r="J19" s="103">
        <v>45</v>
      </c>
      <c r="K19" s="103">
        <v>45</v>
      </c>
      <c r="L19" s="171">
        <v>6000712</v>
      </c>
      <c r="M19" s="171">
        <v>6000712</v>
      </c>
      <c r="N19" s="171">
        <v>6000712</v>
      </c>
    </row>
    <row r="20" spans="1:14" s="111" customFormat="1" ht="21" customHeight="1" thickBot="1" x14ac:dyDescent="0.2">
      <c r="A20" s="110" t="str">
        <f t="shared" si="8"/>
        <v>60007_2-2</v>
      </c>
      <c r="B20" s="132" t="str">
        <f>IF(COUNTIF(enemy_habitats!$H:$H,A20),"OK","NG")</f>
        <v>OK</v>
      </c>
      <c r="C20" s="107">
        <v>60007</v>
      </c>
      <c r="D20" s="15" t="str">
        <f ca="1">VLOOKUP($C20,OFFSET([2]quests!$A$1,0,0,COUNTA([2]quests!$A:$A),MATCH(D$1,[2]quests!$1:$1,0)-MATCH($C$1,[2]quests!$1:$1,0)+1),MATCH(D$1,[2]quests!$1:$1,0)-MATCH($C$1,[2]quests!$1:$1,0)+1,FALSE)</f>
        <v>オイラーチャレンジ</v>
      </c>
      <c r="E20" s="15" t="str">
        <f ca="1">VLOOKUP($C20,OFFSET([2]quests!$A$1,0,0,COUNTA([2]quests!$A:$A),MATCH(E$1,[2]quests!$1:$1,0)-MATCH($C$1,[2]quests!$1:$1,0)+1),MATCH(E$1,[2]quests!$1:$1,0)-MATCH($C$1,[2]quests!$1:$1,0)+1,FALSE)</f>
        <v>ランキング1（改修版）</v>
      </c>
      <c r="F20" s="86">
        <v>2</v>
      </c>
      <c r="G20" s="18" t="str">
        <f t="shared" si="9"/>
        <v>60007_2</v>
      </c>
      <c r="H20" s="12" t="str">
        <f ca="1">VLOOKUP($G20,OFFSET([2]stages!$A$1,0,0,COUNTA([2]stages!$A:$A),MATCH(H$1,[2]stages!$2:$2,0)-MATCH($G$1,[2]stages!$2:$2,0)+1),MATCH(H$1,[2]stages!$2:$2,0)-MATCH($G$1,[2]stages!$2:$2,0)+1,FALSE)</f>
        <v>【超級】オイラーチャレンジ</v>
      </c>
      <c r="I20" s="86">
        <v>2</v>
      </c>
      <c r="J20" s="23">
        <v>60</v>
      </c>
      <c r="K20" s="23">
        <v>60</v>
      </c>
      <c r="L20" s="173">
        <v>6000712</v>
      </c>
      <c r="M20" s="173">
        <v>6000712</v>
      </c>
      <c r="N20" s="173">
        <v>6000712</v>
      </c>
    </row>
    <row r="21" spans="1:14" s="111" customFormat="1" ht="21" customHeight="1" thickBot="1" x14ac:dyDescent="0.2">
      <c r="A21" s="110" t="str">
        <f t="shared" si="8"/>
        <v>60007_2-3</v>
      </c>
      <c r="B21" s="132" t="str">
        <f>IF(COUNTIF(enemy_habitats!$H:$H,A21),"OK","NG")</f>
        <v>OK</v>
      </c>
      <c r="C21" s="107">
        <v>60007</v>
      </c>
      <c r="D21" s="15" t="str">
        <f ca="1">VLOOKUP($C21,OFFSET([2]quests!$A$1,0,0,COUNTA([2]quests!$A:$A),MATCH(D$1,[2]quests!$1:$1,0)-MATCH($C$1,[2]quests!$1:$1,0)+1),MATCH(D$1,[2]quests!$1:$1,0)-MATCH($C$1,[2]quests!$1:$1,0)+1,FALSE)</f>
        <v>オイラーチャレンジ</v>
      </c>
      <c r="E21" s="15" t="str">
        <f ca="1">VLOOKUP($C21,OFFSET([2]quests!$A$1,0,0,COUNTA([2]quests!$A:$A),MATCH(E$1,[2]quests!$1:$1,0)-MATCH($C$1,[2]quests!$1:$1,0)+1),MATCH(E$1,[2]quests!$1:$1,0)-MATCH($C$1,[2]quests!$1:$1,0)+1,FALSE)</f>
        <v>ランキング1（改修版）</v>
      </c>
      <c r="F21" s="86">
        <v>2</v>
      </c>
      <c r="G21" s="18" t="str">
        <f t="shared" si="9"/>
        <v>60007_2</v>
      </c>
      <c r="H21" s="12" t="str">
        <f ca="1">VLOOKUP($G21,OFFSET([2]stages!$A$1,0,0,COUNTA([2]stages!$A:$A),MATCH(H$1,[2]stages!$2:$2,0)-MATCH($G$1,[2]stages!$2:$2,0)+1),MATCH(H$1,[2]stages!$2:$2,0)-MATCH($G$1,[2]stages!$2:$2,0)+1,FALSE)</f>
        <v>【超級】オイラーチャレンジ</v>
      </c>
      <c r="I21" s="86">
        <v>3</v>
      </c>
      <c r="J21" s="23">
        <v>60</v>
      </c>
      <c r="K21" s="23">
        <v>60</v>
      </c>
      <c r="L21" s="173">
        <v>6000712</v>
      </c>
      <c r="M21" s="173">
        <v>6000712</v>
      </c>
      <c r="N21" s="173">
        <v>6000712</v>
      </c>
    </row>
    <row r="22" spans="1:14" s="122" customFormat="1" ht="21" customHeight="1" thickBot="1" x14ac:dyDescent="0.2">
      <c r="A22" s="112" t="str">
        <f t="shared" si="8"/>
        <v>60007_2-4</v>
      </c>
      <c r="B22" s="133" t="str">
        <f>IF(COUNTIF(enemy_habitats!$H:$H,A22),"OK","NG")</f>
        <v>OK</v>
      </c>
      <c r="C22" s="107">
        <v>60007</v>
      </c>
      <c r="D22" s="134" t="str">
        <f ca="1">VLOOKUP($C22,OFFSET([2]quests!$A$1,0,0,COUNTA([2]quests!$A:$A),MATCH(D$1,[2]quests!$1:$1,0)-MATCH($C$1,[2]quests!$1:$1,0)+1),MATCH(D$1,[2]quests!$1:$1,0)-MATCH($C$1,[2]quests!$1:$1,0)+1,FALSE)</f>
        <v>オイラーチャレンジ</v>
      </c>
      <c r="E22" s="134" t="str">
        <f ca="1">VLOOKUP($C22,OFFSET([2]quests!$A$1,0,0,COUNTA([2]quests!$A:$A),MATCH(E$1,[2]quests!$1:$1,0)-MATCH($C$1,[2]quests!$1:$1,0)+1),MATCH(E$1,[2]quests!$1:$1,0)-MATCH($C$1,[2]quests!$1:$1,0)+1,FALSE)</f>
        <v>ランキング1（改修版）</v>
      </c>
      <c r="F22" s="113">
        <v>2</v>
      </c>
      <c r="G22" s="135" t="str">
        <f t="shared" si="9"/>
        <v>60007_2</v>
      </c>
      <c r="H22" s="114" t="str">
        <f ca="1">VLOOKUP($G22,OFFSET([2]stages!$A$1,0,0,COUNTA([2]stages!$A:$A),MATCH(H$1,[2]stages!$2:$2,0)-MATCH($G$1,[2]stages!$2:$2,0)+1),MATCH(H$1,[2]stages!$2:$2,0)-MATCH($G$1,[2]stages!$2:$2,0)+1,FALSE)</f>
        <v>【超級】オイラーチャレンジ</v>
      </c>
      <c r="I22" s="113">
        <v>4</v>
      </c>
      <c r="J22" s="116">
        <v>60</v>
      </c>
      <c r="K22" s="116">
        <v>60</v>
      </c>
      <c r="L22" s="175">
        <v>6000712</v>
      </c>
      <c r="M22" s="175">
        <v>6000712</v>
      </c>
      <c r="N22" s="175">
        <v>6000712</v>
      </c>
    </row>
    <row r="23" spans="1:14" ht="21" customHeight="1" thickBot="1" x14ac:dyDescent="0.2">
      <c r="A23" s="13" t="str">
        <f t="shared" si="8"/>
        <v>60007_3-1</v>
      </c>
      <c r="B23" s="13" t="str">
        <f>IF(COUNTIF(enemy_habitats!$H:$H,A23),"OK","NG")</f>
        <v>OK</v>
      </c>
      <c r="C23" s="107">
        <v>60007</v>
      </c>
      <c r="D23" s="127" t="str">
        <f ca="1">VLOOKUP($C23,OFFSET([2]quests!$A$1,0,0,COUNTA([2]quests!$A:$A),MATCH(D$1,[2]quests!$1:$1,0)-MATCH($C$1,[2]quests!$1:$1,0)+1),MATCH(D$1,[2]quests!$1:$1,0)-MATCH($C$1,[2]quests!$1:$1,0)+1,FALSE)</f>
        <v>オイラーチャレンジ</v>
      </c>
      <c r="E23" s="127" t="str">
        <f ca="1">VLOOKUP($C23,OFFSET([2]quests!$A$1,0,0,COUNTA([2]quests!$A:$A),MATCH(E$1,[2]quests!$1:$1,0)-MATCH($C$1,[2]quests!$1:$1,0)+1),MATCH(E$1,[2]quests!$1:$1,0)-MATCH($C$1,[2]quests!$1:$1,0)+1,FALSE)</f>
        <v>ランキング1（改修版）</v>
      </c>
      <c r="F23" s="94">
        <v>3</v>
      </c>
      <c r="G23" s="128" t="str">
        <f t="shared" si="9"/>
        <v>60007_3</v>
      </c>
      <c r="H23" s="95" t="str">
        <f ca="1">VLOOKUP($G23,OFFSET([2]stages!$A$1,0,0,COUNTA([2]stages!$A:$A),MATCH(H$1,[2]stages!$2:$2,0)-MATCH($G$1,[2]stages!$2:$2,0)+1),MATCH(H$1,[2]stages!$2:$2,0)-MATCH($G$1,[2]stages!$2:$2,0)+1,FALSE)</f>
        <v>【ウィザード級】オイラーチャレンジ</v>
      </c>
      <c r="I23" s="94">
        <v>1</v>
      </c>
      <c r="J23" s="96">
        <v>60</v>
      </c>
      <c r="K23" s="96">
        <v>60</v>
      </c>
      <c r="L23" s="173">
        <v>6000731</v>
      </c>
      <c r="M23" s="173">
        <v>6000731</v>
      </c>
      <c r="N23" s="173">
        <v>6000731</v>
      </c>
    </row>
    <row r="24" spans="1:14" ht="21" customHeight="1" thickBot="1" x14ac:dyDescent="0.2">
      <c r="A24" s="13" t="str">
        <f t="shared" si="8"/>
        <v>60007_3-2</v>
      </c>
      <c r="B24" s="13" t="str">
        <f>IF(COUNTIF(enemy_habitats!$H:$H,A24),"OK","NG")</f>
        <v>OK</v>
      </c>
      <c r="C24" s="107">
        <v>60007</v>
      </c>
      <c r="D24" s="8" t="str">
        <f ca="1">VLOOKUP($C24,OFFSET([2]quests!$A$1,0,0,COUNTA([2]quests!$A:$A),MATCH(D$1,[2]quests!$1:$1,0)-MATCH($C$1,[2]quests!$1:$1,0)+1),MATCH(D$1,[2]quests!$1:$1,0)-MATCH($C$1,[2]quests!$1:$1,0)+1,FALSE)</f>
        <v>オイラーチャレンジ</v>
      </c>
      <c r="E24" s="15" t="str">
        <f ca="1">VLOOKUP($C24,OFFSET([2]quests!$A$1,0,0,COUNTA([2]quests!$A:$A),MATCH(E$1,[2]quests!$1:$1,0)-MATCH($C$1,[2]quests!$1:$1,0)+1),MATCH(E$1,[2]quests!$1:$1,0)-MATCH($C$1,[2]quests!$1:$1,0)+1,FALSE)</f>
        <v>ランキング1（改修版）</v>
      </c>
      <c r="F24" s="17">
        <v>3</v>
      </c>
      <c r="G24" s="18" t="str">
        <f t="shared" si="9"/>
        <v>60007_3</v>
      </c>
      <c r="H24" s="12" t="str">
        <f ca="1">VLOOKUP($G24,OFFSET([2]stages!$A$1,0,0,COUNTA([2]stages!$A:$A),MATCH(H$1,[2]stages!$2:$2,0)-MATCH($G$1,[2]stages!$2:$2,0)+1),MATCH(H$1,[2]stages!$2:$2,0)-MATCH($G$1,[2]stages!$2:$2,0)+1,FALSE)</f>
        <v>【ウィザード級】オイラーチャレンジ</v>
      </c>
      <c r="I24" s="17">
        <v>2</v>
      </c>
      <c r="J24" s="9">
        <v>60</v>
      </c>
      <c r="K24" s="9">
        <v>60</v>
      </c>
      <c r="L24" s="173">
        <v>6000732</v>
      </c>
      <c r="M24" s="173">
        <v>6000732</v>
      </c>
      <c r="N24" s="173">
        <v>6000732</v>
      </c>
    </row>
    <row r="25" spans="1:14" ht="21" customHeight="1" thickBot="1" x14ac:dyDescent="0.2">
      <c r="A25" s="13" t="str">
        <f t="shared" si="8"/>
        <v>60007_3-3</v>
      </c>
      <c r="B25" s="13" t="str">
        <f>IF(COUNTIF(enemy_habitats!$H:$H,A25),"OK","NG")</f>
        <v>OK</v>
      </c>
      <c r="C25" s="107">
        <v>60007</v>
      </c>
      <c r="D25" s="8" t="str">
        <f ca="1">VLOOKUP($C25,OFFSET([2]quests!$A$1,0,0,COUNTA([2]quests!$A:$A),MATCH(D$1,[2]quests!$1:$1,0)-MATCH($C$1,[2]quests!$1:$1,0)+1),MATCH(D$1,[2]quests!$1:$1,0)-MATCH($C$1,[2]quests!$1:$1,0)+1,FALSE)</f>
        <v>オイラーチャレンジ</v>
      </c>
      <c r="E25" s="15" t="str">
        <f ca="1">VLOOKUP($C25,OFFSET([2]quests!$A$1,0,0,COUNTA([2]quests!$A:$A),MATCH(E$1,[2]quests!$1:$1,0)-MATCH($C$1,[2]quests!$1:$1,0)+1),MATCH(E$1,[2]quests!$1:$1,0)-MATCH($C$1,[2]quests!$1:$1,0)+1,FALSE)</f>
        <v>ランキング1（改修版）</v>
      </c>
      <c r="F25" s="17">
        <v>3</v>
      </c>
      <c r="G25" s="18" t="str">
        <f t="shared" si="9"/>
        <v>60007_3</v>
      </c>
      <c r="H25" s="12" t="str">
        <f ca="1">VLOOKUP($G25,OFFSET([2]stages!$A$1,0,0,COUNTA([2]stages!$A:$A),MATCH(H$1,[2]stages!$2:$2,0)-MATCH($G$1,[2]stages!$2:$2,0)+1),MATCH(H$1,[2]stages!$2:$2,0)-MATCH($G$1,[2]stages!$2:$2,0)+1,FALSE)</f>
        <v>【ウィザード級】オイラーチャレンジ</v>
      </c>
      <c r="I25" s="17">
        <v>3</v>
      </c>
      <c r="J25" s="9">
        <v>60</v>
      </c>
      <c r="K25" s="9">
        <v>60</v>
      </c>
      <c r="L25" s="173">
        <v>6000733</v>
      </c>
      <c r="M25" s="173">
        <v>6000733</v>
      </c>
      <c r="N25" s="173">
        <v>6000733</v>
      </c>
    </row>
    <row r="26" spans="1:14" ht="21" customHeight="1" thickBot="1" x14ac:dyDescent="0.2">
      <c r="A26" s="13" t="str">
        <f t="shared" si="8"/>
        <v>60007_3-4</v>
      </c>
      <c r="B26" s="13" t="str">
        <f>IF(COUNTIF(enemy_habitats!$H:$H,A26),"OK","NG")</f>
        <v>OK</v>
      </c>
      <c r="C26" s="107">
        <v>60007</v>
      </c>
      <c r="D26" s="8" t="str">
        <f ca="1">VLOOKUP($C26,OFFSET([2]quests!$A$1,0,0,COUNTA([2]quests!$A:$A),MATCH(D$1,[2]quests!$1:$1,0)-MATCH($C$1,[2]quests!$1:$1,0)+1),MATCH(D$1,[2]quests!$1:$1,0)-MATCH($C$1,[2]quests!$1:$1,0)+1,FALSE)</f>
        <v>オイラーチャレンジ</v>
      </c>
      <c r="E26" s="15" t="str">
        <f ca="1">VLOOKUP($C26,OFFSET([2]quests!$A$1,0,0,COUNTA([2]quests!$A:$A),MATCH(E$1,[2]quests!$1:$1,0)-MATCH($C$1,[2]quests!$1:$1,0)+1),MATCH(E$1,[2]quests!$1:$1,0)-MATCH($C$1,[2]quests!$1:$1,0)+1,FALSE)</f>
        <v>ランキング1（改修版）</v>
      </c>
      <c r="F26" s="17">
        <v>3</v>
      </c>
      <c r="G26" s="18" t="str">
        <f t="shared" si="9"/>
        <v>60007_3</v>
      </c>
      <c r="H26" s="12" t="str">
        <f ca="1">VLOOKUP($G26,OFFSET([2]stages!$A$1,0,0,COUNTA([2]stages!$A:$A),MATCH(H$1,[2]stages!$2:$2,0)-MATCH($G$1,[2]stages!$2:$2,0)+1),MATCH(H$1,[2]stages!$2:$2,0)-MATCH($G$1,[2]stages!$2:$2,0)+1,FALSE)</f>
        <v>【ウィザード級】オイラーチャレンジ</v>
      </c>
      <c r="I26" s="17">
        <v>4</v>
      </c>
      <c r="J26" s="9">
        <v>60</v>
      </c>
      <c r="K26" s="9">
        <v>60</v>
      </c>
      <c r="L26" s="173">
        <v>6000734</v>
      </c>
      <c r="M26" s="173">
        <v>6000734</v>
      </c>
      <c r="N26" s="173">
        <v>6000734</v>
      </c>
    </row>
    <row r="27" spans="1:14" ht="21" customHeight="1" x14ac:dyDescent="0.15">
      <c r="A27" s="13" t="str">
        <f t="shared" si="8"/>
        <v>60007_3-5</v>
      </c>
      <c r="B27" s="13" t="str">
        <f>IF(COUNTIF(enemy_habitats!$H:$H,A27),"OK","NG")</f>
        <v>OK</v>
      </c>
      <c r="C27" s="107">
        <v>60007</v>
      </c>
      <c r="D27" s="8" t="str">
        <f ca="1">VLOOKUP($C27,OFFSET([2]quests!$A$1,0,0,COUNTA([2]quests!$A:$A),MATCH(D$1,[2]quests!$1:$1,0)-MATCH($C$1,[2]quests!$1:$1,0)+1),MATCH(D$1,[2]quests!$1:$1,0)-MATCH($C$1,[2]quests!$1:$1,0)+1,FALSE)</f>
        <v>オイラーチャレンジ</v>
      </c>
      <c r="E27" s="15" t="str">
        <f ca="1">VLOOKUP($C27,OFFSET([2]quests!$A$1,0,0,COUNTA([2]quests!$A:$A),MATCH(E$1,[2]quests!$1:$1,0)-MATCH($C$1,[2]quests!$1:$1,0)+1),MATCH(E$1,[2]quests!$1:$1,0)-MATCH($C$1,[2]quests!$1:$1,0)+1,FALSE)</f>
        <v>ランキング1（改修版）</v>
      </c>
      <c r="F27" s="17">
        <v>3</v>
      </c>
      <c r="G27" s="18" t="str">
        <f t="shared" si="9"/>
        <v>60007_3</v>
      </c>
      <c r="H27" s="12" t="str">
        <f ca="1">VLOOKUP($G27,OFFSET([2]stages!$A$1,0,0,COUNTA([2]stages!$A:$A),MATCH(H$1,[2]stages!$2:$2,0)-MATCH($G$1,[2]stages!$2:$2,0)+1),MATCH(H$1,[2]stages!$2:$2,0)-MATCH($G$1,[2]stages!$2:$2,0)+1,FALSE)</f>
        <v>【ウィザード級】オイラーチャレンジ</v>
      </c>
      <c r="I27" s="17">
        <v>5</v>
      </c>
      <c r="J27" s="9">
        <v>60</v>
      </c>
      <c r="K27" s="9">
        <v>60</v>
      </c>
      <c r="L27" s="173">
        <v>6000735</v>
      </c>
      <c r="M27" s="173">
        <v>6000735</v>
      </c>
      <c r="N27" s="173">
        <v>6000735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7"/>
  <sheetViews>
    <sheetView workbookViewId="0">
      <selection activeCell="L24" sqref="L24"/>
    </sheetView>
  </sheetViews>
  <sheetFormatPr baseColWidth="12" defaultRowHeight="15" outlineLevelCol="1" x14ac:dyDescent="0.15"/>
  <cols>
    <col min="1" max="1" width="7.1640625" style="3" bestFit="1" customWidth="1"/>
    <col min="2" max="2" width="24.83203125" style="3" bestFit="1" customWidth="1" outlineLevel="1"/>
    <col min="3" max="3" width="8.1640625" style="3" bestFit="1" customWidth="1" outlineLevel="1"/>
    <col min="4" max="4" width="7" style="3" bestFit="1" customWidth="1"/>
    <col min="5" max="5" width="9.33203125" style="16" bestFit="1" customWidth="1" outlineLevel="1"/>
    <col min="6" max="6" width="29.83203125" style="3" bestFit="1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2" t="s">
        <v>33</v>
      </c>
      <c r="D1" s="1" t="s">
        <v>1</v>
      </c>
      <c r="E1" s="18" t="s">
        <v>28</v>
      </c>
      <c r="F1" s="12" t="s">
        <v>16</v>
      </c>
      <c r="G1" s="1" t="s">
        <v>236</v>
      </c>
    </row>
    <row r="2" spans="1:7" x14ac:dyDescent="0.15">
      <c r="A2" s="580">
        <v>60006</v>
      </c>
      <c r="B2" s="581" t="str">
        <f ca="1">VLOOKUP($A2,OFFSET([2]quests!$A$1,0,0,COUNTA([2]quests!$A:$A),MATCH(B$1,[2]quests!$1:$1,0)-MATCH($A$1,[2]quests!$1:$1,0)+1),MATCH(B$1,[2]quests!$1:$1,0)-MATCH($A$1,[2]quests!$1:$1,0)+1,FALSE)</f>
        <v>オイラーチャレンジ</v>
      </c>
      <c r="C2" s="582">
        <f ca="1">VLOOKUP($A2,OFFSET([2]quests!$A$1,0,0,COUNTA([2]quests!$A:$A),MATCH(C$1,[2]quests!$1:$1,0)-MATCH($C$1,[2]quests!$1:$1,0)+1),MATCH(C$1,[2]quests!$1:$1,0)-MATCH($C$1,[2]quests!$1:$1,0)+1,FALSE)</f>
        <v>60006</v>
      </c>
      <c r="D2" s="583">
        <v>1</v>
      </c>
      <c r="E2" s="584" t="str">
        <f>A2&amp;"_"&amp;D2</f>
        <v>60006_1</v>
      </c>
      <c r="F2" s="585" t="str">
        <f ca="1">VLOOKUP($E2,OFFSET([2]stages!$A$1,0,0,COUNTA([2]stages!$A:$A),MATCH(F$1,[2]stages!$2:$2,0)-MATCH($E$1,[2]stages!$2:$2,0)+1),MATCH(F$1,[2]stages!$2:$2,0)-MATCH($E$1,[2]stages!$2:$2,0)+1,FALSE)</f>
        <v>【中級】オイラーチャレンジ</v>
      </c>
      <c r="G2" s="583">
        <v>10000</v>
      </c>
    </row>
    <row r="3" spans="1:7" x14ac:dyDescent="0.15">
      <c r="A3" s="580">
        <v>60006</v>
      </c>
      <c r="B3" s="581" t="str">
        <f ca="1">VLOOKUP($A3,OFFSET([2]quests!$A$1,0,0,COUNTA([2]quests!$A:$A),MATCH(B$1,[2]quests!$1:$1,0)-MATCH($A$1,[2]quests!$1:$1,0)+1),MATCH(B$1,[2]quests!$1:$1,0)-MATCH($A$1,[2]quests!$1:$1,0)+1,FALSE)</f>
        <v>オイラーチャレンジ</v>
      </c>
      <c r="C3" s="582">
        <f ca="1">VLOOKUP($A3,OFFSET([2]quests!$A$1,0,0,COUNTA([2]quests!$A:$A),MATCH(C$1,[2]quests!$1:$1,0)-MATCH($C$1,[2]quests!$1:$1,0)+1),MATCH(C$1,[2]quests!$1:$1,0)-MATCH($C$1,[2]quests!$1:$1,0)+1,FALSE)</f>
        <v>60006</v>
      </c>
      <c r="D3" s="583">
        <v>2</v>
      </c>
      <c r="E3" s="584" t="str">
        <f t="shared" ref="E3:E4" si="0">A3&amp;"_"&amp;D3</f>
        <v>60006_2</v>
      </c>
      <c r="F3" s="585" t="str">
        <f ca="1">VLOOKUP($E3,OFFSET([2]stages!$A$1,0,0,COUNTA([2]stages!$A:$A),MATCH(F$1,[2]stages!$2:$2,0)-MATCH($E$1,[2]stages!$2:$2,0)+1),MATCH(F$1,[2]stages!$2:$2,0)-MATCH($E$1,[2]stages!$2:$2,0)+1,FALSE)</f>
        <v>【超級】オイラーチャレンジ</v>
      </c>
      <c r="G3" s="583">
        <v>30000</v>
      </c>
    </row>
    <row r="4" spans="1:7" x14ac:dyDescent="0.15">
      <c r="A4" s="580">
        <v>60006</v>
      </c>
      <c r="B4" s="581" t="str">
        <f ca="1">VLOOKUP($A4,OFFSET([2]quests!$A$1,0,0,COUNTA([2]quests!$A:$A),MATCH(B$1,[2]quests!$1:$1,0)-MATCH($A$1,[2]quests!$1:$1,0)+1),MATCH(B$1,[2]quests!$1:$1,0)-MATCH($A$1,[2]quests!$1:$1,0)+1,FALSE)</f>
        <v>オイラーチャレンジ</v>
      </c>
      <c r="C4" s="582">
        <f ca="1">VLOOKUP($A4,OFFSET([2]quests!$A$1,0,0,COUNTA([2]quests!$A:$A),MATCH(C$1,[2]quests!$1:$1,0)-MATCH($C$1,[2]quests!$1:$1,0)+1),MATCH(C$1,[2]quests!$1:$1,0)-MATCH($C$1,[2]quests!$1:$1,0)+1,FALSE)</f>
        <v>60006</v>
      </c>
      <c r="D4" s="583">
        <v>3</v>
      </c>
      <c r="E4" s="584" t="str">
        <f t="shared" si="0"/>
        <v>60006_3</v>
      </c>
      <c r="F4" s="585" t="str">
        <f ca="1">VLOOKUP($E4,OFFSET([2]stages!$A$1,0,0,COUNTA([2]stages!$A:$A),MATCH(F$1,[2]stages!$2:$2,0)-MATCH($E$1,[2]stages!$2:$2,0)+1),MATCH(F$1,[2]stages!$2:$2,0)-MATCH($E$1,[2]stages!$2:$2,0)+1,FALSE)</f>
        <v>【ウィザード級】オイラーチャレンジ</v>
      </c>
      <c r="G4" s="583">
        <v>100000</v>
      </c>
    </row>
    <row r="5" spans="1:7" x14ac:dyDescent="0.15">
      <c r="A5" s="5">
        <v>60007</v>
      </c>
      <c r="B5" s="8" t="str">
        <f ca="1">VLOOKUP($A5,OFFSET([2]quests!$A$1,0,0,COUNTA([2]quests!$A:$A),MATCH(B$1,[2]quests!$1:$1,0)-MATCH($A$1,[2]quests!$1:$1,0)+1),MATCH(B$1,[2]quests!$1:$1,0)-MATCH($A$1,[2]quests!$1:$1,0)+1,FALSE)</f>
        <v>オイラーチャレンジ</v>
      </c>
      <c r="C5" s="15">
        <f ca="1">VLOOKUP($A5,OFFSET([2]quests!$A$1,0,0,COUNTA([2]quests!$A:$A),MATCH(C$1,[2]quests!$1:$1,0)-MATCH($C$1,[2]quests!$1:$1,0)+1),MATCH(C$1,[2]quests!$1:$1,0)-MATCH($C$1,[2]quests!$1:$1,0)+1,FALSE)</f>
        <v>60007</v>
      </c>
      <c r="D5" s="17">
        <v>1</v>
      </c>
      <c r="E5" s="18" t="str">
        <f>A5&amp;"_"&amp;D5</f>
        <v>60007_1</v>
      </c>
      <c r="F5" s="12" t="str">
        <f ca="1">VLOOKUP($E5,OFFSET([2]stages!$A$1,0,0,COUNTA([2]stages!$A:$A),MATCH(F$1,[2]stages!$2:$2,0)-MATCH($E$1,[2]stages!$2:$2,0)+1),MATCH(F$1,[2]stages!$2:$2,0)-MATCH($E$1,[2]stages!$2:$2,0)+1,FALSE)</f>
        <v>【中級】オイラーチャレンジ</v>
      </c>
      <c r="G5" s="17">
        <v>500000</v>
      </c>
    </row>
    <row r="6" spans="1:7" x14ac:dyDescent="0.15">
      <c r="A6" s="5">
        <v>60007</v>
      </c>
      <c r="B6" s="8" t="str">
        <f ca="1">VLOOKUP($A6,OFFSET([2]quests!$A$1,0,0,COUNTA([2]quests!$A:$A),MATCH(B$1,[2]quests!$1:$1,0)-MATCH($A$1,[2]quests!$1:$1,0)+1),MATCH(B$1,[2]quests!$1:$1,0)-MATCH($A$1,[2]quests!$1:$1,0)+1,FALSE)</f>
        <v>オイラーチャレンジ</v>
      </c>
      <c r="C6" s="15">
        <f ca="1">VLOOKUP($A6,OFFSET([2]quests!$A$1,0,0,COUNTA([2]quests!$A:$A),MATCH(C$1,[2]quests!$1:$1,0)-MATCH($C$1,[2]quests!$1:$1,0)+1),MATCH(C$1,[2]quests!$1:$1,0)-MATCH($C$1,[2]quests!$1:$1,0)+1,FALSE)</f>
        <v>60007</v>
      </c>
      <c r="D6" s="17">
        <v>2</v>
      </c>
      <c r="E6" s="18" t="str">
        <f t="shared" ref="E6:E7" si="1">A6&amp;"_"&amp;D6</f>
        <v>60007_2</v>
      </c>
      <c r="F6" s="12" t="str">
        <f ca="1">VLOOKUP($E6,OFFSET([2]stages!$A$1,0,0,COUNTA([2]stages!$A:$A),MATCH(F$1,[2]stages!$2:$2,0)-MATCH($E$1,[2]stages!$2:$2,0)+1),MATCH(F$1,[2]stages!$2:$2,0)-MATCH($E$1,[2]stages!$2:$2,0)+1,FALSE)</f>
        <v>【超級】オイラーチャレンジ</v>
      </c>
      <c r="G6" s="17">
        <v>1000000</v>
      </c>
    </row>
    <row r="7" spans="1:7" x14ac:dyDescent="0.15">
      <c r="A7" s="5">
        <v>60007</v>
      </c>
      <c r="B7" s="8" t="str">
        <f ca="1">VLOOKUP($A7,OFFSET([2]quests!$A$1,0,0,COUNTA([2]quests!$A:$A),MATCH(B$1,[2]quests!$1:$1,0)-MATCH($A$1,[2]quests!$1:$1,0)+1),MATCH(B$1,[2]quests!$1:$1,0)-MATCH($A$1,[2]quests!$1:$1,0)+1,FALSE)</f>
        <v>オイラーチャレンジ</v>
      </c>
      <c r="C7" s="15">
        <f ca="1">VLOOKUP($A7,OFFSET([2]quests!$A$1,0,0,COUNTA([2]quests!$A:$A),MATCH(C$1,[2]quests!$1:$1,0)-MATCH($C$1,[2]quests!$1:$1,0)+1),MATCH(C$1,[2]quests!$1:$1,0)-MATCH($C$1,[2]quests!$1:$1,0)+1,FALSE)</f>
        <v>60007</v>
      </c>
      <c r="D7" s="17">
        <v>3</v>
      </c>
      <c r="E7" s="18" t="str">
        <f t="shared" si="1"/>
        <v>60007_3</v>
      </c>
      <c r="F7" s="12" t="str">
        <f ca="1">VLOOKUP($E7,OFFSET([2]stages!$A$1,0,0,COUNTA([2]stages!$A:$A),MATCH(F$1,[2]stages!$2:$2,0)-MATCH($E$1,[2]stages!$2:$2,0)+1),MATCH(F$1,[2]stages!$2:$2,0)-MATCH($E$1,[2]stages!$2:$2,0)+1,FALSE)</f>
        <v>【ウィザード級】オイラーチャレンジ</v>
      </c>
      <c r="G7" s="17">
        <v>2000000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K110"/>
  <sheetViews>
    <sheetView topLeftCell="A35" workbookViewId="0">
      <selection activeCell="L52" sqref="L52"/>
    </sheetView>
  </sheetViews>
  <sheetFormatPr baseColWidth="12" defaultRowHeight="15" x14ac:dyDescent="0.15"/>
  <sheetData>
    <row r="1" spans="1:11" ht="16" thickBot="1" x14ac:dyDescent="0.2">
      <c r="A1" s="170" t="s">
        <v>238</v>
      </c>
      <c r="B1" s="170" t="s">
        <v>239</v>
      </c>
      <c r="C1" s="170" t="s">
        <v>240</v>
      </c>
      <c r="D1" s="170" t="s">
        <v>241</v>
      </c>
      <c r="F1" s="379" t="s">
        <v>239</v>
      </c>
      <c r="G1" s="379" t="s">
        <v>391</v>
      </c>
      <c r="H1" s="379" t="s">
        <v>392</v>
      </c>
      <c r="I1" s="379" t="s">
        <v>240</v>
      </c>
      <c r="J1" s="379" t="s">
        <v>390</v>
      </c>
      <c r="K1" s="379" t="s">
        <v>393</v>
      </c>
    </row>
    <row r="2" spans="1:11" x14ac:dyDescent="0.15">
      <c r="A2" s="617">
        <v>6000611</v>
      </c>
      <c r="B2" s="541">
        <v>1</v>
      </c>
      <c r="C2" s="541">
        <v>0</v>
      </c>
      <c r="D2" s="618">
        <v>5000</v>
      </c>
      <c r="F2" s="381">
        <v>1</v>
      </c>
      <c r="G2">
        <f>I2*F2+J2</f>
        <v>5000</v>
      </c>
      <c r="H2">
        <f>-$K$2*F2^2</f>
        <v>-100</v>
      </c>
      <c r="I2" s="380">
        <f>VLOOKUP(F2,B$1:D$9,2)</f>
        <v>0</v>
      </c>
      <c r="J2">
        <f>VLOOKUP(F2,B$1:D$9,3)</f>
        <v>5000</v>
      </c>
      <c r="K2">
        <v>100</v>
      </c>
    </row>
    <row r="3" spans="1:11" x14ac:dyDescent="0.15">
      <c r="A3" s="619">
        <v>6000611</v>
      </c>
      <c r="B3" s="544">
        <v>2</v>
      </c>
      <c r="C3" s="544">
        <v>0</v>
      </c>
      <c r="D3" s="620">
        <v>2000</v>
      </c>
      <c r="F3" s="381">
        <v>2</v>
      </c>
      <c r="G3">
        <f t="shared" ref="G3:G72" si="0">I3*F3+J3</f>
        <v>2000</v>
      </c>
      <c r="H3">
        <f t="shared" ref="H3:H72" si="1">-$K$2*F3^2</f>
        <v>-400</v>
      </c>
      <c r="I3" s="380">
        <f t="shared" ref="I3:I54" si="2">VLOOKUP(F3,B$1:D$9,2)</f>
        <v>0</v>
      </c>
      <c r="J3">
        <f t="shared" ref="J3:J54" si="3">VLOOKUP(F3,B$1:D$9,3)</f>
        <v>2000</v>
      </c>
    </row>
    <row r="4" spans="1:11" x14ac:dyDescent="0.15">
      <c r="A4" s="619">
        <v>6000611</v>
      </c>
      <c r="B4" s="544">
        <v>3</v>
      </c>
      <c r="C4" s="544">
        <v>-2000</v>
      </c>
      <c r="D4" s="620">
        <v>7000</v>
      </c>
      <c r="F4" s="381">
        <v>3</v>
      </c>
      <c r="G4">
        <f t="shared" si="0"/>
        <v>1000</v>
      </c>
      <c r="H4">
        <f t="shared" si="1"/>
        <v>-900</v>
      </c>
      <c r="I4" s="380">
        <f t="shared" si="2"/>
        <v>-2000</v>
      </c>
      <c r="J4">
        <f t="shared" si="3"/>
        <v>7000</v>
      </c>
    </row>
    <row r="5" spans="1:11" x14ac:dyDescent="0.15">
      <c r="A5" s="619">
        <v>6000611</v>
      </c>
      <c r="B5" s="544">
        <v>4</v>
      </c>
      <c r="C5" s="544">
        <v>-2000</v>
      </c>
      <c r="D5" s="620">
        <v>8000</v>
      </c>
      <c r="F5" s="381">
        <v>4</v>
      </c>
      <c r="G5">
        <f t="shared" si="0"/>
        <v>0</v>
      </c>
      <c r="H5">
        <f t="shared" si="1"/>
        <v>-1600</v>
      </c>
      <c r="I5" s="380">
        <f t="shared" si="2"/>
        <v>-2000</v>
      </c>
      <c r="J5">
        <f t="shared" si="3"/>
        <v>8000</v>
      </c>
    </row>
    <row r="6" spans="1:11" x14ac:dyDescent="0.15">
      <c r="A6" s="619">
        <v>6000611</v>
      </c>
      <c r="B6" s="544">
        <v>5</v>
      </c>
      <c r="C6" s="544">
        <v>-2000</v>
      </c>
      <c r="D6" s="620">
        <v>8000</v>
      </c>
      <c r="F6" s="381">
        <v>5</v>
      </c>
      <c r="G6">
        <f t="shared" si="0"/>
        <v>-2000</v>
      </c>
      <c r="H6">
        <f t="shared" si="1"/>
        <v>-2500</v>
      </c>
      <c r="I6" s="380">
        <f t="shared" si="2"/>
        <v>-2000</v>
      </c>
      <c r="J6">
        <f t="shared" si="3"/>
        <v>8000</v>
      </c>
    </row>
    <row r="7" spans="1:11" x14ac:dyDescent="0.15">
      <c r="A7" s="619">
        <v>6000611</v>
      </c>
      <c r="B7" s="544">
        <v>7</v>
      </c>
      <c r="C7" s="544">
        <v>-2000</v>
      </c>
      <c r="D7" s="620">
        <v>4000</v>
      </c>
      <c r="F7" s="381">
        <v>6</v>
      </c>
      <c r="G7">
        <f t="shared" si="0"/>
        <v>-4000</v>
      </c>
      <c r="H7">
        <f t="shared" si="1"/>
        <v>-3600</v>
      </c>
      <c r="I7" s="380">
        <f t="shared" si="2"/>
        <v>-2000</v>
      </c>
      <c r="J7">
        <f t="shared" si="3"/>
        <v>8000</v>
      </c>
    </row>
    <row r="8" spans="1:11" x14ac:dyDescent="0.15">
      <c r="A8" s="619">
        <v>6000611</v>
      </c>
      <c r="B8" s="544">
        <v>9</v>
      </c>
      <c r="C8" s="544">
        <v>-2500</v>
      </c>
      <c r="D8" s="620">
        <v>7500</v>
      </c>
      <c r="F8" s="381">
        <v>7</v>
      </c>
      <c r="G8">
        <f t="shared" si="0"/>
        <v>-10000</v>
      </c>
      <c r="H8">
        <f t="shared" si="1"/>
        <v>-4900</v>
      </c>
      <c r="I8" s="380">
        <f t="shared" si="2"/>
        <v>-2000</v>
      </c>
      <c r="J8">
        <f t="shared" si="3"/>
        <v>4000</v>
      </c>
    </row>
    <row r="9" spans="1:11" ht="16" thickBot="1" x14ac:dyDescent="0.2">
      <c r="A9" s="621">
        <v>6000611</v>
      </c>
      <c r="B9" s="547">
        <v>10</v>
      </c>
      <c r="C9" s="547">
        <v>-2500</v>
      </c>
      <c r="D9" s="622">
        <v>-5000</v>
      </c>
      <c r="F9" s="381">
        <v>8</v>
      </c>
      <c r="G9">
        <f t="shared" si="0"/>
        <v>-12000</v>
      </c>
      <c r="H9">
        <f t="shared" si="1"/>
        <v>-6400</v>
      </c>
      <c r="I9" s="380">
        <f t="shared" si="2"/>
        <v>-2000</v>
      </c>
      <c r="J9">
        <f t="shared" si="3"/>
        <v>4000</v>
      </c>
    </row>
    <row r="10" spans="1:11" x14ac:dyDescent="0.15">
      <c r="A10" s="623">
        <v>6000612</v>
      </c>
      <c r="B10" s="550">
        <v>1</v>
      </c>
      <c r="C10" s="550">
        <v>0</v>
      </c>
      <c r="D10" s="624">
        <v>10000</v>
      </c>
      <c r="F10" s="381">
        <v>9</v>
      </c>
      <c r="G10">
        <f t="shared" si="0"/>
        <v>-15000</v>
      </c>
      <c r="H10">
        <f t="shared" si="1"/>
        <v>-8100</v>
      </c>
      <c r="I10" s="380">
        <f t="shared" si="2"/>
        <v>-2500</v>
      </c>
      <c r="J10">
        <f t="shared" si="3"/>
        <v>7500</v>
      </c>
    </row>
    <row r="11" spans="1:11" x14ac:dyDescent="0.15">
      <c r="A11" s="619">
        <v>6000612</v>
      </c>
      <c r="B11" s="544">
        <v>2</v>
      </c>
      <c r="C11" s="544">
        <v>0</v>
      </c>
      <c r="D11" s="620">
        <v>8000</v>
      </c>
      <c r="F11" s="381">
        <v>10</v>
      </c>
      <c r="G11">
        <f t="shared" si="0"/>
        <v>-30000</v>
      </c>
      <c r="H11">
        <f t="shared" si="1"/>
        <v>-10000</v>
      </c>
      <c r="I11" s="380">
        <f t="shared" si="2"/>
        <v>-2500</v>
      </c>
      <c r="J11">
        <f t="shared" si="3"/>
        <v>-5000</v>
      </c>
    </row>
    <row r="12" spans="1:11" x14ac:dyDescent="0.15">
      <c r="A12" s="619">
        <v>6000612</v>
      </c>
      <c r="B12" s="544">
        <v>3</v>
      </c>
      <c r="C12" s="544">
        <v>-2000</v>
      </c>
      <c r="D12" s="620">
        <v>11000</v>
      </c>
      <c r="F12" s="381">
        <v>11</v>
      </c>
      <c r="G12">
        <f t="shared" si="0"/>
        <v>-32500</v>
      </c>
      <c r="H12">
        <f t="shared" si="1"/>
        <v>-12100</v>
      </c>
      <c r="I12" s="380">
        <f t="shared" si="2"/>
        <v>-2500</v>
      </c>
      <c r="J12">
        <f t="shared" si="3"/>
        <v>-5000</v>
      </c>
    </row>
    <row r="13" spans="1:11" x14ac:dyDescent="0.15">
      <c r="A13" s="619">
        <v>6000612</v>
      </c>
      <c r="B13" s="544">
        <v>4</v>
      </c>
      <c r="C13" s="544">
        <v>-2000</v>
      </c>
      <c r="D13" s="620">
        <v>8000</v>
      </c>
      <c r="F13" s="381">
        <v>12</v>
      </c>
      <c r="G13">
        <f t="shared" si="0"/>
        <v>-35000</v>
      </c>
      <c r="H13">
        <f t="shared" si="1"/>
        <v>-14400</v>
      </c>
      <c r="I13" s="380">
        <f t="shared" si="2"/>
        <v>-2500</v>
      </c>
      <c r="J13">
        <f t="shared" si="3"/>
        <v>-5000</v>
      </c>
    </row>
    <row r="14" spans="1:11" x14ac:dyDescent="0.15">
      <c r="A14" s="619">
        <v>6000612</v>
      </c>
      <c r="B14" s="544">
        <v>5</v>
      </c>
      <c r="C14" s="544">
        <v>-2000</v>
      </c>
      <c r="D14" s="620">
        <v>0</v>
      </c>
      <c r="F14" s="381">
        <v>13</v>
      </c>
      <c r="G14">
        <f t="shared" si="0"/>
        <v>-37500</v>
      </c>
      <c r="H14">
        <f t="shared" si="1"/>
        <v>-16900</v>
      </c>
      <c r="I14" s="380">
        <f t="shared" si="2"/>
        <v>-2500</v>
      </c>
      <c r="J14">
        <f t="shared" si="3"/>
        <v>-5000</v>
      </c>
    </row>
    <row r="15" spans="1:11" x14ac:dyDescent="0.15">
      <c r="A15" s="619">
        <v>6000612</v>
      </c>
      <c r="B15" s="544">
        <v>7</v>
      </c>
      <c r="C15" s="544">
        <v>-2000</v>
      </c>
      <c r="D15" s="620">
        <v>-6000</v>
      </c>
      <c r="F15" s="381">
        <v>14</v>
      </c>
      <c r="G15">
        <f t="shared" si="0"/>
        <v>-40000</v>
      </c>
      <c r="H15">
        <f t="shared" si="1"/>
        <v>-19600</v>
      </c>
      <c r="I15" s="380">
        <f t="shared" si="2"/>
        <v>-2500</v>
      </c>
      <c r="J15">
        <f t="shared" si="3"/>
        <v>-5000</v>
      </c>
    </row>
    <row r="16" spans="1:11" x14ac:dyDescent="0.15">
      <c r="A16" s="619">
        <v>6000612</v>
      </c>
      <c r="B16" s="544">
        <v>9</v>
      </c>
      <c r="C16" s="544">
        <v>-2500</v>
      </c>
      <c r="D16" s="620">
        <v>-27500</v>
      </c>
      <c r="F16" s="381">
        <v>15</v>
      </c>
      <c r="G16">
        <f t="shared" si="0"/>
        <v>-42500</v>
      </c>
      <c r="H16">
        <f t="shared" si="1"/>
        <v>-22500</v>
      </c>
      <c r="I16" s="380">
        <f t="shared" si="2"/>
        <v>-2500</v>
      </c>
      <c r="J16">
        <f t="shared" si="3"/>
        <v>-5000</v>
      </c>
    </row>
    <row r="17" spans="1:10" ht="16" thickBot="1" x14ac:dyDescent="0.2">
      <c r="A17" s="621">
        <v>6000612</v>
      </c>
      <c r="B17" s="547">
        <v>10</v>
      </c>
      <c r="C17" s="547">
        <v>-2500</v>
      </c>
      <c r="D17" s="622">
        <v>-45000</v>
      </c>
      <c r="F17" s="381">
        <v>16</v>
      </c>
      <c r="G17">
        <f t="shared" si="0"/>
        <v>-45000</v>
      </c>
      <c r="H17">
        <f t="shared" si="1"/>
        <v>-25600</v>
      </c>
      <c r="I17" s="380">
        <f t="shared" si="2"/>
        <v>-2500</v>
      </c>
      <c r="J17">
        <f t="shared" si="3"/>
        <v>-5000</v>
      </c>
    </row>
    <row r="18" spans="1:10" x14ac:dyDescent="0.15">
      <c r="A18" s="617">
        <v>6000613</v>
      </c>
      <c r="B18" s="541">
        <v>1</v>
      </c>
      <c r="C18" s="541">
        <v>0</v>
      </c>
      <c r="D18" s="618">
        <v>10000</v>
      </c>
      <c r="F18" s="381">
        <v>17</v>
      </c>
      <c r="G18">
        <f t="shared" si="0"/>
        <v>-47500</v>
      </c>
      <c r="H18">
        <f t="shared" si="1"/>
        <v>-28900</v>
      </c>
      <c r="I18" s="380">
        <f t="shared" si="2"/>
        <v>-2500</v>
      </c>
      <c r="J18">
        <f t="shared" si="3"/>
        <v>-5000</v>
      </c>
    </row>
    <row r="19" spans="1:10" x14ac:dyDescent="0.15">
      <c r="A19" s="619">
        <v>6000613</v>
      </c>
      <c r="B19" s="544">
        <v>2</v>
      </c>
      <c r="C19" s="544">
        <v>0</v>
      </c>
      <c r="D19" s="620">
        <v>8000</v>
      </c>
      <c r="F19" s="381">
        <v>18</v>
      </c>
      <c r="G19">
        <f t="shared" si="0"/>
        <v>-50000</v>
      </c>
      <c r="H19">
        <f t="shared" si="1"/>
        <v>-32400</v>
      </c>
      <c r="I19" s="380">
        <f t="shared" si="2"/>
        <v>-2500</v>
      </c>
      <c r="J19">
        <f t="shared" si="3"/>
        <v>-5000</v>
      </c>
    </row>
    <row r="20" spans="1:10" x14ac:dyDescent="0.15">
      <c r="A20" s="619">
        <v>6000613</v>
      </c>
      <c r="B20" s="544">
        <v>3</v>
      </c>
      <c r="C20" s="544">
        <v>-2000</v>
      </c>
      <c r="D20" s="620">
        <v>11000</v>
      </c>
      <c r="F20" s="381">
        <v>19</v>
      </c>
      <c r="G20">
        <f t="shared" si="0"/>
        <v>-52500</v>
      </c>
      <c r="H20">
        <f t="shared" si="1"/>
        <v>-36100</v>
      </c>
      <c r="I20" s="380">
        <f t="shared" si="2"/>
        <v>-2500</v>
      </c>
      <c r="J20">
        <f t="shared" si="3"/>
        <v>-5000</v>
      </c>
    </row>
    <row r="21" spans="1:10" x14ac:dyDescent="0.15">
      <c r="A21" s="619">
        <v>6000613</v>
      </c>
      <c r="B21" s="544">
        <v>4</v>
      </c>
      <c r="C21" s="544">
        <v>-2000</v>
      </c>
      <c r="D21" s="620">
        <v>8000</v>
      </c>
      <c r="F21" s="381">
        <v>20</v>
      </c>
      <c r="G21">
        <f t="shared" si="0"/>
        <v>-55000</v>
      </c>
      <c r="H21">
        <f t="shared" si="1"/>
        <v>-40000</v>
      </c>
      <c r="I21" s="380">
        <f t="shared" si="2"/>
        <v>-2500</v>
      </c>
      <c r="J21">
        <f t="shared" si="3"/>
        <v>-5000</v>
      </c>
    </row>
    <row r="22" spans="1:10" x14ac:dyDescent="0.15">
      <c r="A22" s="619">
        <v>6000613</v>
      </c>
      <c r="B22" s="544">
        <v>5</v>
      </c>
      <c r="C22" s="544">
        <v>-2000</v>
      </c>
      <c r="D22" s="620">
        <v>0</v>
      </c>
      <c r="F22" s="381">
        <v>21</v>
      </c>
      <c r="G22">
        <f t="shared" si="0"/>
        <v>-57500</v>
      </c>
      <c r="H22">
        <f t="shared" si="1"/>
        <v>-44100</v>
      </c>
      <c r="I22" s="380">
        <f t="shared" si="2"/>
        <v>-2500</v>
      </c>
      <c r="J22">
        <f t="shared" si="3"/>
        <v>-5000</v>
      </c>
    </row>
    <row r="23" spans="1:10" x14ac:dyDescent="0.15">
      <c r="A23" s="619">
        <v>6000613</v>
      </c>
      <c r="B23" s="544">
        <v>6</v>
      </c>
      <c r="C23" s="544">
        <v>-2000</v>
      </c>
      <c r="D23" s="620">
        <v>-16000</v>
      </c>
      <c r="F23" s="381">
        <v>22</v>
      </c>
      <c r="G23">
        <f t="shared" si="0"/>
        <v>-60000</v>
      </c>
      <c r="H23">
        <f t="shared" si="1"/>
        <v>-48400</v>
      </c>
      <c r="I23" s="380">
        <f t="shared" si="2"/>
        <v>-2500</v>
      </c>
      <c r="J23">
        <f t="shared" si="3"/>
        <v>-5000</v>
      </c>
    </row>
    <row r="24" spans="1:10" x14ac:dyDescent="0.15">
      <c r="A24" s="619">
        <v>6000613</v>
      </c>
      <c r="B24" s="544">
        <v>7</v>
      </c>
      <c r="C24" s="544">
        <v>-2500</v>
      </c>
      <c r="D24" s="620">
        <v>-47500</v>
      </c>
      <c r="F24" s="381">
        <v>23</v>
      </c>
      <c r="G24">
        <f t="shared" si="0"/>
        <v>-62500</v>
      </c>
      <c r="H24">
        <f t="shared" si="1"/>
        <v>-52900</v>
      </c>
      <c r="I24" s="380">
        <f t="shared" si="2"/>
        <v>-2500</v>
      </c>
      <c r="J24">
        <f t="shared" si="3"/>
        <v>-5000</v>
      </c>
    </row>
    <row r="25" spans="1:10" ht="16" thickBot="1" x14ac:dyDescent="0.2">
      <c r="A25" s="621">
        <v>6000613</v>
      </c>
      <c r="B25" s="547">
        <v>10</v>
      </c>
      <c r="C25" s="547">
        <v>-2500</v>
      </c>
      <c r="D25" s="622">
        <v>-75000</v>
      </c>
      <c r="F25">
        <v>24</v>
      </c>
      <c r="G25">
        <f t="shared" si="0"/>
        <v>-65000</v>
      </c>
      <c r="H25">
        <f t="shared" si="1"/>
        <v>-57600</v>
      </c>
      <c r="I25" s="380">
        <f t="shared" si="2"/>
        <v>-2500</v>
      </c>
      <c r="J25">
        <f t="shared" si="3"/>
        <v>-5000</v>
      </c>
    </row>
    <row r="26" spans="1:10" x14ac:dyDescent="0.15">
      <c r="A26" s="487">
        <v>6000711</v>
      </c>
      <c r="B26" s="488">
        <v>1</v>
      </c>
      <c r="C26" s="488">
        <v>0</v>
      </c>
      <c r="D26" s="489">
        <v>5000</v>
      </c>
      <c r="F26">
        <v>25</v>
      </c>
      <c r="G26">
        <f t="shared" si="0"/>
        <v>-67500</v>
      </c>
      <c r="H26">
        <f t="shared" si="1"/>
        <v>-62500</v>
      </c>
      <c r="I26" s="380">
        <f t="shared" si="2"/>
        <v>-2500</v>
      </c>
      <c r="J26">
        <f t="shared" si="3"/>
        <v>-5000</v>
      </c>
    </row>
    <row r="27" spans="1:10" x14ac:dyDescent="0.15">
      <c r="A27" s="497">
        <v>6000711</v>
      </c>
      <c r="B27" s="490">
        <v>2</v>
      </c>
      <c r="C27" s="490">
        <v>0</v>
      </c>
      <c r="D27" s="491">
        <v>2000</v>
      </c>
      <c r="F27">
        <v>26</v>
      </c>
      <c r="G27">
        <f t="shared" si="0"/>
        <v>-70000</v>
      </c>
      <c r="H27">
        <f t="shared" si="1"/>
        <v>-67600</v>
      </c>
      <c r="I27" s="380">
        <f t="shared" si="2"/>
        <v>-2500</v>
      </c>
      <c r="J27">
        <f t="shared" si="3"/>
        <v>-5000</v>
      </c>
    </row>
    <row r="28" spans="1:10" x14ac:dyDescent="0.15">
      <c r="A28" s="497">
        <v>6000711</v>
      </c>
      <c r="B28" s="490">
        <v>3</v>
      </c>
      <c r="C28" s="490">
        <v>-2000</v>
      </c>
      <c r="D28" s="491">
        <v>7000</v>
      </c>
      <c r="F28">
        <v>27</v>
      </c>
      <c r="G28">
        <f t="shared" si="0"/>
        <v>-72500</v>
      </c>
      <c r="H28">
        <f t="shared" si="1"/>
        <v>-72900</v>
      </c>
      <c r="I28" s="380">
        <f t="shared" si="2"/>
        <v>-2500</v>
      </c>
      <c r="J28">
        <f t="shared" si="3"/>
        <v>-5000</v>
      </c>
    </row>
    <row r="29" spans="1:10" x14ac:dyDescent="0.15">
      <c r="A29" s="497">
        <v>6000711</v>
      </c>
      <c r="B29" s="490">
        <v>4</v>
      </c>
      <c r="C29" s="490">
        <v>-2000</v>
      </c>
      <c r="D29" s="491">
        <v>8000</v>
      </c>
      <c r="F29">
        <v>28</v>
      </c>
      <c r="G29">
        <f t="shared" si="0"/>
        <v>-75000</v>
      </c>
      <c r="H29">
        <f t="shared" si="1"/>
        <v>-78400</v>
      </c>
      <c r="I29" s="380">
        <f t="shared" si="2"/>
        <v>-2500</v>
      </c>
      <c r="J29">
        <f t="shared" si="3"/>
        <v>-5000</v>
      </c>
    </row>
    <row r="30" spans="1:10" x14ac:dyDescent="0.15">
      <c r="A30" s="497">
        <v>6000711</v>
      </c>
      <c r="B30" s="490">
        <v>5</v>
      </c>
      <c r="C30" s="490">
        <v>-2000</v>
      </c>
      <c r="D30" s="491">
        <v>8000</v>
      </c>
      <c r="F30">
        <v>29</v>
      </c>
      <c r="G30">
        <f t="shared" si="0"/>
        <v>-77500</v>
      </c>
      <c r="H30">
        <f t="shared" si="1"/>
        <v>-84100</v>
      </c>
      <c r="I30" s="380">
        <f t="shared" si="2"/>
        <v>-2500</v>
      </c>
      <c r="J30">
        <f t="shared" si="3"/>
        <v>-5000</v>
      </c>
    </row>
    <row r="31" spans="1:10" x14ac:dyDescent="0.15">
      <c r="A31" s="497">
        <v>6000711</v>
      </c>
      <c r="B31" s="490">
        <v>7</v>
      </c>
      <c r="C31" s="490">
        <v>-2000</v>
      </c>
      <c r="D31" s="491">
        <v>4000</v>
      </c>
      <c r="F31">
        <v>30</v>
      </c>
      <c r="G31">
        <f t="shared" si="0"/>
        <v>-80000</v>
      </c>
      <c r="H31">
        <f t="shared" si="1"/>
        <v>-90000</v>
      </c>
      <c r="I31" s="380">
        <f t="shared" si="2"/>
        <v>-2500</v>
      </c>
      <c r="J31">
        <f t="shared" si="3"/>
        <v>-5000</v>
      </c>
    </row>
    <row r="32" spans="1:10" x14ac:dyDescent="0.15">
      <c r="A32" s="497">
        <v>6000711</v>
      </c>
      <c r="B32" s="490">
        <v>9</v>
      </c>
      <c r="C32" s="490">
        <v>-2500</v>
      </c>
      <c r="D32" s="491">
        <v>7500</v>
      </c>
      <c r="F32">
        <v>31</v>
      </c>
      <c r="G32">
        <f t="shared" si="0"/>
        <v>-82500</v>
      </c>
      <c r="H32">
        <f t="shared" si="1"/>
        <v>-96100</v>
      </c>
      <c r="I32" s="380">
        <f t="shared" si="2"/>
        <v>-2500</v>
      </c>
      <c r="J32">
        <f t="shared" si="3"/>
        <v>-5000</v>
      </c>
    </row>
    <row r="33" spans="1:10" ht="16" thickBot="1" x14ac:dyDescent="0.2">
      <c r="A33" s="498">
        <v>6000711</v>
      </c>
      <c r="B33" s="492">
        <v>10</v>
      </c>
      <c r="C33" s="492">
        <v>-2500</v>
      </c>
      <c r="D33" s="493">
        <v>-5000</v>
      </c>
      <c r="F33">
        <v>32</v>
      </c>
      <c r="G33">
        <f t="shared" si="0"/>
        <v>-85000</v>
      </c>
      <c r="H33">
        <f t="shared" si="1"/>
        <v>-102400</v>
      </c>
      <c r="I33" s="380">
        <f t="shared" si="2"/>
        <v>-2500</v>
      </c>
      <c r="J33">
        <f t="shared" si="3"/>
        <v>-5000</v>
      </c>
    </row>
    <row r="34" spans="1:10" x14ac:dyDescent="0.15">
      <c r="A34" s="494">
        <v>6000712</v>
      </c>
      <c r="B34" s="495">
        <v>1</v>
      </c>
      <c r="C34" s="495">
        <v>0</v>
      </c>
      <c r="D34" s="496">
        <v>10000</v>
      </c>
      <c r="F34">
        <v>33</v>
      </c>
      <c r="G34">
        <f t="shared" si="0"/>
        <v>-87500</v>
      </c>
      <c r="H34">
        <f t="shared" si="1"/>
        <v>-108900</v>
      </c>
      <c r="I34" s="380">
        <f t="shared" si="2"/>
        <v>-2500</v>
      </c>
      <c r="J34">
        <f t="shared" si="3"/>
        <v>-5000</v>
      </c>
    </row>
    <row r="35" spans="1:10" x14ac:dyDescent="0.15">
      <c r="A35" s="494">
        <v>6000712</v>
      </c>
      <c r="B35" s="490">
        <v>2</v>
      </c>
      <c r="C35" s="490">
        <v>0</v>
      </c>
      <c r="D35" s="491">
        <v>8000</v>
      </c>
      <c r="F35">
        <v>34</v>
      </c>
      <c r="G35">
        <f t="shared" si="0"/>
        <v>-90000</v>
      </c>
      <c r="H35">
        <f t="shared" si="1"/>
        <v>-115600</v>
      </c>
      <c r="I35" s="380">
        <f t="shared" si="2"/>
        <v>-2500</v>
      </c>
      <c r="J35">
        <f t="shared" si="3"/>
        <v>-5000</v>
      </c>
    </row>
    <row r="36" spans="1:10" x14ac:dyDescent="0.15">
      <c r="A36" s="494">
        <v>6000712</v>
      </c>
      <c r="B36" s="490">
        <v>3</v>
      </c>
      <c r="C36" s="490">
        <v>-2000</v>
      </c>
      <c r="D36" s="491">
        <v>11000</v>
      </c>
      <c r="F36">
        <v>35</v>
      </c>
      <c r="G36">
        <f t="shared" si="0"/>
        <v>-92500</v>
      </c>
      <c r="H36">
        <f t="shared" si="1"/>
        <v>-122500</v>
      </c>
      <c r="I36" s="380">
        <f t="shared" si="2"/>
        <v>-2500</v>
      </c>
      <c r="J36">
        <f t="shared" si="3"/>
        <v>-5000</v>
      </c>
    </row>
    <row r="37" spans="1:10" x14ac:dyDescent="0.15">
      <c r="A37" s="494">
        <v>6000712</v>
      </c>
      <c r="B37" s="490">
        <v>4</v>
      </c>
      <c r="C37" s="490">
        <v>-2000</v>
      </c>
      <c r="D37" s="491">
        <v>8000</v>
      </c>
      <c r="F37">
        <v>36</v>
      </c>
      <c r="G37">
        <f t="shared" si="0"/>
        <v>-95000</v>
      </c>
      <c r="H37">
        <f t="shared" si="1"/>
        <v>-129600</v>
      </c>
      <c r="I37" s="380">
        <f t="shared" si="2"/>
        <v>-2500</v>
      </c>
      <c r="J37">
        <f t="shared" si="3"/>
        <v>-5000</v>
      </c>
    </row>
    <row r="38" spans="1:10" x14ac:dyDescent="0.15">
      <c r="A38" s="494">
        <v>6000712</v>
      </c>
      <c r="B38" s="490">
        <v>5</v>
      </c>
      <c r="C38" s="490">
        <v>-2000</v>
      </c>
      <c r="D38" s="491">
        <v>0</v>
      </c>
      <c r="F38">
        <v>37</v>
      </c>
      <c r="G38">
        <f t="shared" si="0"/>
        <v>-97500</v>
      </c>
      <c r="H38">
        <f t="shared" si="1"/>
        <v>-136900</v>
      </c>
      <c r="I38" s="380">
        <f t="shared" si="2"/>
        <v>-2500</v>
      </c>
      <c r="J38">
        <f t="shared" si="3"/>
        <v>-5000</v>
      </c>
    </row>
    <row r="39" spans="1:10" x14ac:dyDescent="0.15">
      <c r="A39" s="494">
        <v>6000712</v>
      </c>
      <c r="B39" s="490">
        <v>7</v>
      </c>
      <c r="C39" s="490">
        <v>-2000</v>
      </c>
      <c r="D39" s="491">
        <v>-6000</v>
      </c>
      <c r="F39">
        <v>38</v>
      </c>
      <c r="G39">
        <f t="shared" si="0"/>
        <v>-100000</v>
      </c>
      <c r="H39">
        <f t="shared" si="1"/>
        <v>-144400</v>
      </c>
      <c r="I39" s="380">
        <f t="shared" si="2"/>
        <v>-2500</v>
      </c>
      <c r="J39">
        <f t="shared" si="3"/>
        <v>-5000</v>
      </c>
    </row>
    <row r="40" spans="1:10" x14ac:dyDescent="0.15">
      <c r="A40" s="494">
        <v>6000712</v>
      </c>
      <c r="B40" s="490">
        <v>9</v>
      </c>
      <c r="C40" s="490">
        <v>-2500</v>
      </c>
      <c r="D40" s="491">
        <v>-27500</v>
      </c>
      <c r="F40">
        <v>39</v>
      </c>
      <c r="G40">
        <f t="shared" si="0"/>
        <v>-102500</v>
      </c>
      <c r="H40">
        <f t="shared" si="1"/>
        <v>-152100</v>
      </c>
      <c r="I40" s="380">
        <f t="shared" si="2"/>
        <v>-2500</v>
      </c>
      <c r="J40">
        <f t="shared" si="3"/>
        <v>-5000</v>
      </c>
    </row>
    <row r="41" spans="1:10" ht="16" thickBot="1" x14ac:dyDescent="0.2">
      <c r="A41" s="494">
        <v>6000712</v>
      </c>
      <c r="B41" s="492">
        <v>10</v>
      </c>
      <c r="C41" s="492">
        <v>-2500</v>
      </c>
      <c r="D41" s="493">
        <v>-45000</v>
      </c>
      <c r="F41">
        <v>40</v>
      </c>
      <c r="G41">
        <f t="shared" si="0"/>
        <v>-105000</v>
      </c>
      <c r="H41">
        <f t="shared" si="1"/>
        <v>-160000</v>
      </c>
      <c r="I41" s="380">
        <f t="shared" si="2"/>
        <v>-2500</v>
      </c>
      <c r="J41">
        <f t="shared" si="3"/>
        <v>-5000</v>
      </c>
    </row>
    <row r="42" spans="1:10" x14ac:dyDescent="0.15">
      <c r="A42" s="358">
        <v>6000731</v>
      </c>
      <c r="B42" s="355">
        <v>1</v>
      </c>
      <c r="C42" s="355">
        <v>0</v>
      </c>
      <c r="D42" s="359">
        <v>500000</v>
      </c>
      <c r="F42">
        <v>41</v>
      </c>
      <c r="G42">
        <f t="shared" si="0"/>
        <v>-107500</v>
      </c>
      <c r="H42">
        <f t="shared" si="1"/>
        <v>-168100</v>
      </c>
      <c r="I42" s="380">
        <f t="shared" si="2"/>
        <v>-2500</v>
      </c>
      <c r="J42">
        <f t="shared" si="3"/>
        <v>-5000</v>
      </c>
    </row>
    <row r="43" spans="1:10" x14ac:dyDescent="0.15">
      <c r="A43" s="360">
        <v>6000731</v>
      </c>
      <c r="B43" s="356">
        <v>2</v>
      </c>
      <c r="C43" s="356">
        <v>0</v>
      </c>
      <c r="D43" s="361">
        <v>475000</v>
      </c>
      <c r="F43">
        <v>42</v>
      </c>
      <c r="G43">
        <f t="shared" si="0"/>
        <v>-110000</v>
      </c>
      <c r="H43">
        <f t="shared" si="1"/>
        <v>-176400</v>
      </c>
      <c r="I43" s="380">
        <f t="shared" si="2"/>
        <v>-2500</v>
      </c>
      <c r="J43">
        <f t="shared" si="3"/>
        <v>-5000</v>
      </c>
    </row>
    <row r="44" spans="1:10" x14ac:dyDescent="0.15">
      <c r="A44" s="360">
        <v>6000731</v>
      </c>
      <c r="B44" s="356">
        <v>3</v>
      </c>
      <c r="C44" s="356">
        <v>0</v>
      </c>
      <c r="D44" s="361">
        <v>450000</v>
      </c>
      <c r="F44">
        <v>43</v>
      </c>
      <c r="G44">
        <f t="shared" si="0"/>
        <v>-112500</v>
      </c>
      <c r="H44">
        <f t="shared" si="1"/>
        <v>-184900</v>
      </c>
      <c r="I44" s="380">
        <f t="shared" si="2"/>
        <v>-2500</v>
      </c>
      <c r="J44">
        <f t="shared" si="3"/>
        <v>-5000</v>
      </c>
    </row>
    <row r="45" spans="1:10" x14ac:dyDescent="0.15">
      <c r="A45" s="360">
        <v>6000731</v>
      </c>
      <c r="B45" s="356">
        <v>4</v>
      </c>
      <c r="C45" s="356">
        <v>0</v>
      </c>
      <c r="D45" s="361">
        <v>425000</v>
      </c>
      <c r="F45">
        <v>44</v>
      </c>
      <c r="G45">
        <f t="shared" si="0"/>
        <v>-115000</v>
      </c>
      <c r="H45">
        <f t="shared" si="1"/>
        <v>-193600</v>
      </c>
      <c r="I45" s="380">
        <f t="shared" si="2"/>
        <v>-2500</v>
      </c>
      <c r="J45">
        <f t="shared" si="3"/>
        <v>-5000</v>
      </c>
    </row>
    <row r="46" spans="1:10" x14ac:dyDescent="0.15">
      <c r="A46" s="360">
        <v>6000731</v>
      </c>
      <c r="B46" s="356">
        <v>5</v>
      </c>
      <c r="C46" s="356">
        <v>0</v>
      </c>
      <c r="D46" s="361">
        <v>200000</v>
      </c>
      <c r="F46">
        <v>45</v>
      </c>
      <c r="G46">
        <f t="shared" si="0"/>
        <v>-117500</v>
      </c>
      <c r="H46">
        <f t="shared" si="1"/>
        <v>-202500</v>
      </c>
      <c r="I46" s="380">
        <f t="shared" si="2"/>
        <v>-2500</v>
      </c>
      <c r="J46">
        <f t="shared" si="3"/>
        <v>-5000</v>
      </c>
    </row>
    <row r="47" spans="1:10" x14ac:dyDescent="0.15">
      <c r="A47" s="360">
        <v>6000731</v>
      </c>
      <c r="B47" s="356">
        <v>6</v>
      </c>
      <c r="C47" s="356">
        <v>0</v>
      </c>
      <c r="D47" s="361">
        <v>120000</v>
      </c>
      <c r="F47">
        <v>46</v>
      </c>
      <c r="G47">
        <f t="shared" si="0"/>
        <v>-120000</v>
      </c>
      <c r="H47">
        <f t="shared" si="1"/>
        <v>-211600</v>
      </c>
      <c r="I47" s="380">
        <f t="shared" si="2"/>
        <v>-2500</v>
      </c>
      <c r="J47">
        <f t="shared" si="3"/>
        <v>-5000</v>
      </c>
    </row>
    <row r="48" spans="1:10" x14ac:dyDescent="0.15">
      <c r="A48" s="360">
        <v>6000731</v>
      </c>
      <c r="B48" s="356">
        <v>7</v>
      </c>
      <c r="C48" s="356">
        <v>0</v>
      </c>
      <c r="D48" s="361">
        <v>0</v>
      </c>
      <c r="F48">
        <v>47</v>
      </c>
      <c r="G48">
        <f t="shared" si="0"/>
        <v>-122500</v>
      </c>
      <c r="H48">
        <f t="shared" si="1"/>
        <v>-220900</v>
      </c>
      <c r="I48" s="380">
        <f t="shared" si="2"/>
        <v>-2500</v>
      </c>
      <c r="J48">
        <f t="shared" si="3"/>
        <v>-5000</v>
      </c>
    </row>
    <row r="49" spans="1:10" x14ac:dyDescent="0.15">
      <c r="A49" s="360">
        <v>6000731</v>
      </c>
      <c r="B49" s="356">
        <v>8</v>
      </c>
      <c r="C49" s="356">
        <v>0</v>
      </c>
      <c r="D49" s="361">
        <v>-150000</v>
      </c>
      <c r="F49">
        <v>46</v>
      </c>
      <c r="G49">
        <f t="shared" ref="G49:G50" si="4">I49*F49+J49</f>
        <v>-120000</v>
      </c>
      <c r="H49">
        <f t="shared" ref="H49:H50" si="5">-$K$2*F49^2</f>
        <v>-211600</v>
      </c>
      <c r="I49" s="380">
        <f t="shared" ref="I49:I50" si="6">VLOOKUP(F49,B$1:D$9,2)</f>
        <v>-2500</v>
      </c>
      <c r="J49">
        <f t="shared" ref="J49:J50" si="7">VLOOKUP(F49,B$1:D$9,3)</f>
        <v>-5000</v>
      </c>
    </row>
    <row r="50" spans="1:10" x14ac:dyDescent="0.15">
      <c r="A50" s="360">
        <v>6000731</v>
      </c>
      <c r="B50" s="356">
        <v>9</v>
      </c>
      <c r="C50" s="356">
        <v>0</v>
      </c>
      <c r="D50" s="361">
        <v>-450000</v>
      </c>
      <c r="F50">
        <v>47</v>
      </c>
      <c r="G50">
        <f t="shared" si="4"/>
        <v>-122500</v>
      </c>
      <c r="H50">
        <f t="shared" si="5"/>
        <v>-220900</v>
      </c>
      <c r="I50" s="380">
        <f t="shared" si="6"/>
        <v>-2500</v>
      </c>
      <c r="J50">
        <f t="shared" si="7"/>
        <v>-5000</v>
      </c>
    </row>
    <row r="51" spans="1:10" ht="16" thickBot="1" x14ac:dyDescent="0.2">
      <c r="A51" s="362">
        <v>6000731</v>
      </c>
      <c r="B51" s="357">
        <v>10</v>
      </c>
      <c r="C51" s="357">
        <v>0</v>
      </c>
      <c r="D51" s="363">
        <v>-9999999</v>
      </c>
      <c r="F51">
        <v>48</v>
      </c>
      <c r="G51">
        <f t="shared" si="0"/>
        <v>-125000</v>
      </c>
      <c r="H51">
        <f t="shared" si="1"/>
        <v>-230400</v>
      </c>
      <c r="I51" s="380">
        <f t="shared" si="2"/>
        <v>-2500</v>
      </c>
      <c r="J51">
        <f t="shared" si="3"/>
        <v>-5000</v>
      </c>
    </row>
    <row r="52" spans="1:10" x14ac:dyDescent="0.15">
      <c r="A52" s="538">
        <v>6000732</v>
      </c>
      <c r="B52" s="536">
        <v>1</v>
      </c>
      <c r="C52" s="536">
        <v>0</v>
      </c>
      <c r="D52" s="539">
        <v>650000</v>
      </c>
      <c r="F52">
        <v>49</v>
      </c>
      <c r="G52">
        <f t="shared" si="0"/>
        <v>-127500</v>
      </c>
      <c r="H52">
        <f t="shared" si="1"/>
        <v>-240100</v>
      </c>
      <c r="I52" s="380">
        <f t="shared" si="2"/>
        <v>-2500</v>
      </c>
      <c r="J52">
        <f t="shared" si="3"/>
        <v>-5000</v>
      </c>
    </row>
    <row r="53" spans="1:10" x14ac:dyDescent="0.15">
      <c r="A53" s="349">
        <v>6000732</v>
      </c>
      <c r="B53" s="350">
        <v>2</v>
      </c>
      <c r="C53" s="350">
        <v>0</v>
      </c>
      <c r="D53" s="351">
        <v>625000</v>
      </c>
      <c r="F53">
        <v>50</v>
      </c>
      <c r="G53">
        <f t="shared" si="0"/>
        <v>-130000</v>
      </c>
      <c r="H53">
        <f t="shared" si="1"/>
        <v>-250000</v>
      </c>
      <c r="I53" s="380">
        <f t="shared" si="2"/>
        <v>-2500</v>
      </c>
      <c r="J53">
        <f t="shared" si="3"/>
        <v>-5000</v>
      </c>
    </row>
    <row r="54" spans="1:10" x14ac:dyDescent="0.15">
      <c r="A54" s="349">
        <v>6000732</v>
      </c>
      <c r="B54" s="350">
        <v>3</v>
      </c>
      <c r="C54" s="350">
        <v>0</v>
      </c>
      <c r="D54" s="351">
        <v>600000</v>
      </c>
      <c r="F54">
        <v>51</v>
      </c>
      <c r="G54">
        <f t="shared" si="0"/>
        <v>-132500</v>
      </c>
      <c r="H54">
        <f t="shared" si="1"/>
        <v>-260100</v>
      </c>
      <c r="I54" s="380">
        <f t="shared" si="2"/>
        <v>-2500</v>
      </c>
      <c r="J54">
        <f t="shared" si="3"/>
        <v>-5000</v>
      </c>
    </row>
    <row r="55" spans="1:10" x14ac:dyDescent="0.15">
      <c r="A55" s="349">
        <v>6000732</v>
      </c>
      <c r="B55" s="350">
        <v>4</v>
      </c>
      <c r="C55" s="350">
        <v>0</v>
      </c>
      <c r="D55" s="351">
        <v>575000</v>
      </c>
      <c r="F55">
        <v>52</v>
      </c>
      <c r="G55">
        <f t="shared" si="0"/>
        <v>-135000</v>
      </c>
      <c r="H55">
        <f t="shared" si="1"/>
        <v>-270400</v>
      </c>
      <c r="I55" s="380">
        <f t="shared" ref="I55:I110" si="8">VLOOKUP(F55,B$1:D$9,2)</f>
        <v>-2500</v>
      </c>
      <c r="J55">
        <f t="shared" ref="J55:J110" si="9">VLOOKUP(F55,B$1:D$9,3)</f>
        <v>-5000</v>
      </c>
    </row>
    <row r="56" spans="1:10" x14ac:dyDescent="0.15">
      <c r="A56" s="349">
        <v>6000732</v>
      </c>
      <c r="B56" s="350">
        <v>5</v>
      </c>
      <c r="C56" s="350">
        <v>0</v>
      </c>
      <c r="D56" s="351">
        <v>500000</v>
      </c>
      <c r="F56">
        <v>54</v>
      </c>
      <c r="G56">
        <f t="shared" ref="G56:G57" si="10">I56*F56+J56</f>
        <v>-140000</v>
      </c>
      <c r="H56">
        <f t="shared" ref="H56:H57" si="11">-$K$2*F56^2</f>
        <v>-291600</v>
      </c>
      <c r="I56" s="380">
        <f t="shared" ref="I56:I57" si="12">VLOOKUP(F56,B$1:D$9,2)</f>
        <v>-2500</v>
      </c>
      <c r="J56">
        <f t="shared" ref="J56:J57" si="13">VLOOKUP(F56,B$1:D$9,3)</f>
        <v>-5000</v>
      </c>
    </row>
    <row r="57" spans="1:10" x14ac:dyDescent="0.15">
      <c r="A57" s="349">
        <v>6000732</v>
      </c>
      <c r="B57" s="350">
        <v>6</v>
      </c>
      <c r="C57" s="350">
        <v>0</v>
      </c>
      <c r="D57" s="351">
        <v>250000</v>
      </c>
      <c r="F57">
        <v>55</v>
      </c>
      <c r="G57">
        <f t="shared" si="10"/>
        <v>-142500</v>
      </c>
      <c r="H57">
        <f t="shared" si="11"/>
        <v>-302500</v>
      </c>
      <c r="I57" s="380">
        <f t="shared" si="12"/>
        <v>-2500</v>
      </c>
      <c r="J57">
        <f t="shared" si="13"/>
        <v>-5000</v>
      </c>
    </row>
    <row r="58" spans="1:10" x14ac:dyDescent="0.15">
      <c r="A58" s="349">
        <v>6000732</v>
      </c>
      <c r="B58" s="350">
        <v>7</v>
      </c>
      <c r="C58" s="350">
        <v>0</v>
      </c>
      <c r="D58" s="351">
        <v>0</v>
      </c>
      <c r="F58">
        <v>53</v>
      </c>
      <c r="G58">
        <f t="shared" si="0"/>
        <v>-137500</v>
      </c>
      <c r="H58">
        <f t="shared" si="1"/>
        <v>-280900</v>
      </c>
      <c r="I58" s="380">
        <f t="shared" si="8"/>
        <v>-2500</v>
      </c>
      <c r="J58">
        <f t="shared" si="9"/>
        <v>-5000</v>
      </c>
    </row>
    <row r="59" spans="1:10" x14ac:dyDescent="0.15">
      <c r="A59" s="349">
        <v>6000732</v>
      </c>
      <c r="B59" s="350">
        <v>8</v>
      </c>
      <c r="C59" s="350">
        <v>0</v>
      </c>
      <c r="D59" s="351">
        <v>-150000</v>
      </c>
      <c r="F59">
        <v>54</v>
      </c>
      <c r="G59">
        <f t="shared" si="0"/>
        <v>-140000</v>
      </c>
      <c r="H59">
        <f t="shared" si="1"/>
        <v>-291600</v>
      </c>
      <c r="I59" s="380">
        <f t="shared" si="8"/>
        <v>-2500</v>
      </c>
      <c r="J59">
        <f t="shared" si="9"/>
        <v>-5000</v>
      </c>
    </row>
    <row r="60" spans="1:10" x14ac:dyDescent="0.15">
      <c r="A60" s="349">
        <v>6000732</v>
      </c>
      <c r="B60" s="350">
        <v>9</v>
      </c>
      <c r="C60" s="350">
        <v>0</v>
      </c>
      <c r="D60" s="351">
        <v>-300000</v>
      </c>
      <c r="F60">
        <v>55</v>
      </c>
      <c r="G60">
        <f t="shared" si="0"/>
        <v>-142500</v>
      </c>
      <c r="H60">
        <f t="shared" si="1"/>
        <v>-302500</v>
      </c>
      <c r="I60" s="380">
        <f t="shared" si="8"/>
        <v>-2500</v>
      </c>
      <c r="J60">
        <f t="shared" si="9"/>
        <v>-5000</v>
      </c>
    </row>
    <row r="61" spans="1:10" ht="16" thickBot="1" x14ac:dyDescent="0.2">
      <c r="A61" s="352">
        <v>6000732</v>
      </c>
      <c r="B61" s="353">
        <v>10</v>
      </c>
      <c r="C61" s="353">
        <v>0</v>
      </c>
      <c r="D61" s="354">
        <v>-9999999</v>
      </c>
      <c r="F61">
        <v>56</v>
      </c>
      <c r="G61">
        <f t="shared" si="0"/>
        <v>-145000</v>
      </c>
      <c r="H61">
        <f t="shared" si="1"/>
        <v>-313600</v>
      </c>
      <c r="I61" s="380">
        <f t="shared" si="8"/>
        <v>-2500</v>
      </c>
      <c r="J61">
        <f t="shared" si="9"/>
        <v>-5000</v>
      </c>
    </row>
    <row r="62" spans="1:10" x14ac:dyDescent="0.15">
      <c r="A62" s="358">
        <v>6000733</v>
      </c>
      <c r="B62" s="355">
        <v>1</v>
      </c>
      <c r="C62" s="355">
        <v>0</v>
      </c>
      <c r="D62" s="359">
        <v>1110000</v>
      </c>
      <c r="F62">
        <v>57</v>
      </c>
      <c r="G62">
        <f t="shared" si="0"/>
        <v>-147500</v>
      </c>
      <c r="H62">
        <f t="shared" si="1"/>
        <v>-324900</v>
      </c>
      <c r="I62" s="380">
        <f t="shared" si="8"/>
        <v>-2500</v>
      </c>
      <c r="J62">
        <f t="shared" si="9"/>
        <v>-5000</v>
      </c>
    </row>
    <row r="63" spans="1:10" x14ac:dyDescent="0.15">
      <c r="A63" s="360">
        <v>6000733</v>
      </c>
      <c r="B63" s="356">
        <v>3</v>
      </c>
      <c r="C63" s="356">
        <v>0</v>
      </c>
      <c r="D63" s="361">
        <v>1100000</v>
      </c>
      <c r="F63">
        <v>60</v>
      </c>
      <c r="G63">
        <f t="shared" si="0"/>
        <v>-155000</v>
      </c>
      <c r="H63">
        <f t="shared" si="1"/>
        <v>-360000</v>
      </c>
      <c r="I63" s="380">
        <f t="shared" si="8"/>
        <v>-2500</v>
      </c>
      <c r="J63">
        <f t="shared" si="9"/>
        <v>-5000</v>
      </c>
    </row>
    <row r="64" spans="1:10" x14ac:dyDescent="0.15">
      <c r="A64" s="360">
        <v>6000733</v>
      </c>
      <c r="B64" s="356">
        <v>4</v>
      </c>
      <c r="C64" s="356">
        <v>0</v>
      </c>
      <c r="D64" s="361">
        <v>1075000</v>
      </c>
      <c r="F64">
        <v>61</v>
      </c>
      <c r="G64">
        <f t="shared" si="0"/>
        <v>-157500</v>
      </c>
      <c r="H64">
        <f t="shared" si="1"/>
        <v>-372100</v>
      </c>
      <c r="I64" s="380">
        <f t="shared" si="8"/>
        <v>-2500</v>
      </c>
      <c r="J64">
        <f t="shared" si="9"/>
        <v>-5000</v>
      </c>
    </row>
    <row r="65" spans="1:10" x14ac:dyDescent="0.15">
      <c r="A65" s="360">
        <v>6000733</v>
      </c>
      <c r="B65" s="356">
        <v>5</v>
      </c>
      <c r="C65" s="356">
        <v>0</v>
      </c>
      <c r="D65" s="361">
        <v>1050000</v>
      </c>
      <c r="F65">
        <v>62</v>
      </c>
      <c r="G65">
        <f t="shared" si="0"/>
        <v>-160000</v>
      </c>
      <c r="H65">
        <f t="shared" si="1"/>
        <v>-384400</v>
      </c>
      <c r="I65" s="380">
        <f t="shared" si="8"/>
        <v>-2500</v>
      </c>
      <c r="J65">
        <f t="shared" si="9"/>
        <v>-5000</v>
      </c>
    </row>
    <row r="66" spans="1:10" x14ac:dyDescent="0.15">
      <c r="A66" s="360">
        <v>6000733</v>
      </c>
      <c r="B66" s="356">
        <v>6</v>
      </c>
      <c r="C66" s="356">
        <v>0</v>
      </c>
      <c r="D66" s="361">
        <v>1000000</v>
      </c>
      <c r="F66">
        <v>58</v>
      </c>
      <c r="G66">
        <f t="shared" ref="G66:G70" si="14">I66*F66+J66</f>
        <v>-150000</v>
      </c>
      <c r="H66">
        <f t="shared" ref="H66:H70" si="15">-$K$2*F66^2</f>
        <v>-336400</v>
      </c>
      <c r="I66" s="380">
        <f t="shared" ref="I66:I70" si="16">VLOOKUP(F66,B$1:D$9,2)</f>
        <v>-2500</v>
      </c>
      <c r="J66">
        <f t="shared" ref="J66:J70" si="17">VLOOKUP(F66,B$1:D$9,3)</f>
        <v>-5000</v>
      </c>
    </row>
    <row r="67" spans="1:10" x14ac:dyDescent="0.15">
      <c r="A67" s="360">
        <v>6000733</v>
      </c>
      <c r="B67" s="356">
        <v>7</v>
      </c>
      <c r="C67" s="356">
        <v>0</v>
      </c>
      <c r="D67" s="361">
        <v>950000</v>
      </c>
      <c r="F67">
        <v>59</v>
      </c>
      <c r="G67">
        <f t="shared" si="14"/>
        <v>-152500</v>
      </c>
      <c r="H67">
        <f t="shared" si="15"/>
        <v>-348100</v>
      </c>
      <c r="I67" s="380">
        <f t="shared" si="16"/>
        <v>-2500</v>
      </c>
      <c r="J67">
        <f t="shared" si="17"/>
        <v>-5000</v>
      </c>
    </row>
    <row r="68" spans="1:10" x14ac:dyDescent="0.15">
      <c r="A68" s="360">
        <v>6000733</v>
      </c>
      <c r="B68" s="356">
        <v>8</v>
      </c>
      <c r="C68" s="356">
        <v>0</v>
      </c>
      <c r="D68" s="361">
        <v>700000</v>
      </c>
      <c r="F68">
        <v>60</v>
      </c>
      <c r="G68">
        <f t="shared" si="14"/>
        <v>-155000</v>
      </c>
      <c r="H68">
        <f t="shared" si="15"/>
        <v>-360000</v>
      </c>
      <c r="I68" s="380">
        <f t="shared" si="16"/>
        <v>-2500</v>
      </c>
      <c r="J68">
        <f t="shared" si="17"/>
        <v>-5000</v>
      </c>
    </row>
    <row r="69" spans="1:10" x14ac:dyDescent="0.15">
      <c r="A69" s="360">
        <v>6000733</v>
      </c>
      <c r="B69" s="356">
        <v>9</v>
      </c>
      <c r="C69" s="356">
        <v>0</v>
      </c>
      <c r="D69" s="361">
        <v>350000</v>
      </c>
      <c r="F69">
        <v>61</v>
      </c>
      <c r="G69">
        <f t="shared" si="14"/>
        <v>-157500</v>
      </c>
      <c r="H69">
        <f t="shared" si="15"/>
        <v>-372100</v>
      </c>
      <c r="I69" s="380">
        <f t="shared" si="16"/>
        <v>-2500</v>
      </c>
      <c r="J69">
        <f t="shared" si="17"/>
        <v>-5000</v>
      </c>
    </row>
    <row r="70" spans="1:10" x14ac:dyDescent="0.15">
      <c r="A70" s="360">
        <v>6000733</v>
      </c>
      <c r="B70" s="356">
        <v>10</v>
      </c>
      <c r="C70" s="356">
        <v>0</v>
      </c>
      <c r="D70" s="361">
        <v>0</v>
      </c>
      <c r="F70">
        <v>62</v>
      </c>
      <c r="G70">
        <f t="shared" si="14"/>
        <v>-160000</v>
      </c>
      <c r="H70">
        <f t="shared" si="15"/>
        <v>-384400</v>
      </c>
      <c r="I70" s="380">
        <f t="shared" si="16"/>
        <v>-2500</v>
      </c>
      <c r="J70">
        <f t="shared" si="17"/>
        <v>-5000</v>
      </c>
    </row>
    <row r="71" spans="1:10" ht="16" thickBot="1" x14ac:dyDescent="0.2">
      <c r="A71" s="362">
        <v>6000733</v>
      </c>
      <c r="B71" s="357">
        <v>12</v>
      </c>
      <c r="C71" s="357">
        <v>0</v>
      </c>
      <c r="D71" s="363">
        <v>-9999999</v>
      </c>
      <c r="F71">
        <v>64</v>
      </c>
      <c r="G71">
        <f t="shared" si="0"/>
        <v>-165000</v>
      </c>
      <c r="H71">
        <f t="shared" si="1"/>
        <v>-409600</v>
      </c>
      <c r="I71" s="380">
        <f t="shared" si="8"/>
        <v>-2500</v>
      </c>
      <c r="J71">
        <f t="shared" si="9"/>
        <v>-5000</v>
      </c>
    </row>
    <row r="72" spans="1:10" x14ac:dyDescent="0.15">
      <c r="A72" s="538">
        <v>6000734</v>
      </c>
      <c r="B72" s="536">
        <v>1</v>
      </c>
      <c r="C72" s="536">
        <v>0</v>
      </c>
      <c r="D72" s="539">
        <v>950000</v>
      </c>
      <c r="F72">
        <v>65</v>
      </c>
      <c r="G72">
        <f t="shared" si="0"/>
        <v>-167500</v>
      </c>
      <c r="H72">
        <f t="shared" si="1"/>
        <v>-422500</v>
      </c>
      <c r="I72" s="380">
        <f t="shared" si="8"/>
        <v>-2500</v>
      </c>
      <c r="J72">
        <f t="shared" si="9"/>
        <v>-5000</v>
      </c>
    </row>
    <row r="73" spans="1:10" x14ac:dyDescent="0.15">
      <c r="A73" s="349">
        <v>6000734</v>
      </c>
      <c r="B73" s="350">
        <v>2</v>
      </c>
      <c r="C73" s="350">
        <v>0</v>
      </c>
      <c r="D73" s="351">
        <v>925000</v>
      </c>
      <c r="F73">
        <v>66</v>
      </c>
      <c r="G73">
        <f t="shared" ref="G73:G110" si="18">I73*F73+J73</f>
        <v>-170000</v>
      </c>
      <c r="H73">
        <f t="shared" ref="H73:H110" si="19">-$K$2*F73^2</f>
        <v>-435600</v>
      </c>
      <c r="I73" s="380">
        <f t="shared" si="8"/>
        <v>-2500</v>
      </c>
      <c r="J73">
        <f t="shared" si="9"/>
        <v>-5000</v>
      </c>
    </row>
    <row r="74" spans="1:10" x14ac:dyDescent="0.15">
      <c r="A74" s="349">
        <v>6000734</v>
      </c>
      <c r="B74" s="350">
        <v>3</v>
      </c>
      <c r="C74" s="350">
        <v>0</v>
      </c>
      <c r="D74" s="351">
        <v>900000</v>
      </c>
      <c r="F74">
        <v>67</v>
      </c>
      <c r="G74">
        <f t="shared" si="18"/>
        <v>-172500</v>
      </c>
      <c r="H74">
        <f t="shared" si="19"/>
        <v>-448900</v>
      </c>
      <c r="I74" s="380">
        <f t="shared" si="8"/>
        <v>-2500</v>
      </c>
      <c r="J74">
        <f t="shared" si="9"/>
        <v>-5000</v>
      </c>
    </row>
    <row r="75" spans="1:10" x14ac:dyDescent="0.15">
      <c r="A75" s="349">
        <v>6000734</v>
      </c>
      <c r="B75" s="350">
        <v>4</v>
      </c>
      <c r="C75" s="350">
        <v>0</v>
      </c>
      <c r="D75" s="351">
        <v>875000</v>
      </c>
      <c r="F75">
        <v>68</v>
      </c>
      <c r="G75">
        <f t="shared" si="18"/>
        <v>-175000</v>
      </c>
      <c r="H75">
        <f t="shared" si="19"/>
        <v>-462400</v>
      </c>
      <c r="I75" s="380">
        <f t="shared" si="8"/>
        <v>-2500</v>
      </c>
      <c r="J75">
        <f t="shared" si="9"/>
        <v>-5000</v>
      </c>
    </row>
    <row r="76" spans="1:10" x14ac:dyDescent="0.15">
      <c r="A76" s="349">
        <v>6000734</v>
      </c>
      <c r="B76" s="350">
        <v>5</v>
      </c>
      <c r="C76" s="350">
        <v>0</v>
      </c>
      <c r="D76" s="351">
        <v>850000</v>
      </c>
      <c r="F76">
        <v>69</v>
      </c>
      <c r="G76">
        <f t="shared" si="18"/>
        <v>-177500</v>
      </c>
      <c r="H76">
        <f t="shared" si="19"/>
        <v>-476100</v>
      </c>
      <c r="I76" s="380">
        <f t="shared" si="8"/>
        <v>-2500</v>
      </c>
      <c r="J76">
        <f t="shared" si="9"/>
        <v>-5000</v>
      </c>
    </row>
    <row r="77" spans="1:10" x14ac:dyDescent="0.15">
      <c r="A77" s="349">
        <v>6000734</v>
      </c>
      <c r="B77" s="350">
        <v>6</v>
      </c>
      <c r="C77" s="350">
        <v>0</v>
      </c>
      <c r="D77" s="351">
        <v>750000</v>
      </c>
      <c r="F77">
        <v>70</v>
      </c>
      <c r="G77">
        <f t="shared" si="18"/>
        <v>-180000</v>
      </c>
      <c r="H77">
        <f t="shared" si="19"/>
        <v>-490000</v>
      </c>
      <c r="I77" s="380">
        <f t="shared" si="8"/>
        <v>-2500</v>
      </c>
      <c r="J77">
        <f t="shared" si="9"/>
        <v>-5000</v>
      </c>
    </row>
    <row r="78" spans="1:10" x14ac:dyDescent="0.15">
      <c r="A78" s="349">
        <v>6000734</v>
      </c>
      <c r="B78" s="350">
        <v>7</v>
      </c>
      <c r="C78" s="350">
        <v>0</v>
      </c>
      <c r="D78" s="351">
        <v>500000</v>
      </c>
      <c r="F78">
        <v>71</v>
      </c>
      <c r="G78">
        <f t="shared" si="18"/>
        <v>-182500</v>
      </c>
      <c r="H78">
        <f t="shared" si="19"/>
        <v>-504100</v>
      </c>
      <c r="I78" s="380">
        <f t="shared" si="8"/>
        <v>-2500</v>
      </c>
      <c r="J78">
        <f t="shared" si="9"/>
        <v>-5000</v>
      </c>
    </row>
    <row r="79" spans="1:10" x14ac:dyDescent="0.15">
      <c r="A79" s="349">
        <v>6000734</v>
      </c>
      <c r="B79" s="350">
        <v>8</v>
      </c>
      <c r="C79" s="350">
        <v>0</v>
      </c>
      <c r="D79" s="351">
        <v>250000</v>
      </c>
      <c r="F79">
        <v>66</v>
      </c>
      <c r="G79">
        <f t="shared" ref="G79:G83" si="20">I79*F79+J79</f>
        <v>-170000</v>
      </c>
      <c r="H79">
        <f t="shared" ref="H79:H83" si="21">-$K$2*F79^2</f>
        <v>-435600</v>
      </c>
      <c r="I79" s="380">
        <f t="shared" ref="I79:I83" si="22">VLOOKUP(F79,B$1:D$9,2)</f>
        <v>-2500</v>
      </c>
      <c r="J79">
        <f t="shared" ref="J79:J83" si="23">VLOOKUP(F79,B$1:D$9,3)</f>
        <v>-5000</v>
      </c>
    </row>
    <row r="80" spans="1:10" x14ac:dyDescent="0.15">
      <c r="A80" s="349">
        <v>6000734</v>
      </c>
      <c r="B80" s="350">
        <v>9</v>
      </c>
      <c r="C80" s="350">
        <v>0</v>
      </c>
      <c r="D80" s="351">
        <v>0</v>
      </c>
      <c r="F80">
        <v>67</v>
      </c>
      <c r="G80">
        <f t="shared" si="20"/>
        <v>-172500</v>
      </c>
      <c r="H80">
        <f t="shared" si="21"/>
        <v>-448900</v>
      </c>
      <c r="I80" s="380">
        <f t="shared" si="22"/>
        <v>-2500</v>
      </c>
      <c r="J80">
        <f t="shared" si="23"/>
        <v>-5000</v>
      </c>
    </row>
    <row r="81" spans="1:10" x14ac:dyDescent="0.15">
      <c r="A81" s="349">
        <v>6000734</v>
      </c>
      <c r="B81" s="350">
        <v>10</v>
      </c>
      <c r="C81" s="350">
        <v>0</v>
      </c>
      <c r="D81" s="351">
        <v>-250000</v>
      </c>
      <c r="F81">
        <v>68</v>
      </c>
      <c r="G81">
        <f t="shared" si="20"/>
        <v>-175000</v>
      </c>
      <c r="H81">
        <f t="shared" si="21"/>
        <v>-462400</v>
      </c>
      <c r="I81" s="380">
        <f t="shared" si="22"/>
        <v>-2500</v>
      </c>
      <c r="J81">
        <f t="shared" si="23"/>
        <v>-5000</v>
      </c>
    </row>
    <row r="82" spans="1:10" x14ac:dyDescent="0.15">
      <c r="A82" s="349">
        <v>6000734</v>
      </c>
      <c r="B82" s="350">
        <v>12</v>
      </c>
      <c r="C82" s="350">
        <v>0</v>
      </c>
      <c r="D82" s="351">
        <v>-500000</v>
      </c>
      <c r="F82">
        <v>69</v>
      </c>
      <c r="G82">
        <f t="shared" si="20"/>
        <v>-177500</v>
      </c>
      <c r="H82">
        <f t="shared" si="21"/>
        <v>-476100</v>
      </c>
      <c r="I82" s="380">
        <f t="shared" si="22"/>
        <v>-2500</v>
      </c>
      <c r="J82">
        <f t="shared" si="23"/>
        <v>-5000</v>
      </c>
    </row>
    <row r="83" spans="1:10" ht="16" thickBot="1" x14ac:dyDescent="0.2">
      <c r="A83" s="349">
        <v>6000734</v>
      </c>
      <c r="B83" s="350">
        <v>15</v>
      </c>
      <c r="C83" s="350">
        <v>0</v>
      </c>
      <c r="D83" s="351">
        <v>-9999999</v>
      </c>
      <c r="F83">
        <v>70</v>
      </c>
      <c r="G83">
        <f t="shared" si="20"/>
        <v>-180000</v>
      </c>
      <c r="H83">
        <f t="shared" si="21"/>
        <v>-490000</v>
      </c>
      <c r="I83" s="380">
        <f t="shared" si="22"/>
        <v>-2500</v>
      </c>
      <c r="J83">
        <f t="shared" si="23"/>
        <v>-5000</v>
      </c>
    </row>
    <row r="84" spans="1:10" x14ac:dyDescent="0.15">
      <c r="A84" s="358">
        <v>6000735</v>
      </c>
      <c r="B84" s="355">
        <v>1</v>
      </c>
      <c r="C84" s="355">
        <v>0</v>
      </c>
      <c r="D84" s="359">
        <v>2100000</v>
      </c>
      <c r="F84">
        <v>73</v>
      </c>
      <c r="G84">
        <f t="shared" si="18"/>
        <v>-187500</v>
      </c>
      <c r="H84">
        <f t="shared" si="19"/>
        <v>-532900</v>
      </c>
      <c r="I84" s="380">
        <f t="shared" si="8"/>
        <v>-2500</v>
      </c>
      <c r="J84">
        <f t="shared" si="9"/>
        <v>-5000</v>
      </c>
    </row>
    <row r="85" spans="1:10" x14ac:dyDescent="0.15">
      <c r="A85" s="360">
        <v>6000735</v>
      </c>
      <c r="B85" s="356">
        <v>9</v>
      </c>
      <c r="C85" s="356">
        <v>0</v>
      </c>
      <c r="D85" s="361">
        <v>2000000</v>
      </c>
      <c r="F85">
        <v>74</v>
      </c>
      <c r="G85">
        <f t="shared" si="18"/>
        <v>-190000</v>
      </c>
      <c r="H85">
        <f t="shared" si="19"/>
        <v>-547600</v>
      </c>
      <c r="I85" s="380">
        <f t="shared" si="8"/>
        <v>-2500</v>
      </c>
      <c r="J85">
        <f t="shared" si="9"/>
        <v>-5000</v>
      </c>
    </row>
    <row r="86" spans="1:10" x14ac:dyDescent="0.15">
      <c r="A86" s="360">
        <v>6000735</v>
      </c>
      <c r="B86" s="356">
        <v>10</v>
      </c>
      <c r="C86" s="356">
        <v>0</v>
      </c>
      <c r="D86" s="361">
        <v>1800000</v>
      </c>
      <c r="F86">
        <v>75</v>
      </c>
      <c r="G86">
        <f t="shared" si="18"/>
        <v>-192500</v>
      </c>
      <c r="H86">
        <f t="shared" si="19"/>
        <v>-562500</v>
      </c>
      <c r="I86" s="380">
        <f t="shared" si="8"/>
        <v>-2500</v>
      </c>
      <c r="J86">
        <f t="shared" si="9"/>
        <v>-5000</v>
      </c>
    </row>
    <row r="87" spans="1:10" x14ac:dyDescent="0.15">
      <c r="A87" s="360">
        <v>6000735</v>
      </c>
      <c r="B87" s="356">
        <v>11</v>
      </c>
      <c r="C87" s="356">
        <v>0</v>
      </c>
      <c r="D87" s="361">
        <v>1500000</v>
      </c>
      <c r="F87">
        <v>76</v>
      </c>
      <c r="G87">
        <f t="shared" si="18"/>
        <v>-195000</v>
      </c>
      <c r="H87">
        <f t="shared" si="19"/>
        <v>-577600</v>
      </c>
      <c r="I87" s="380">
        <f t="shared" si="8"/>
        <v>-2500</v>
      </c>
      <c r="J87">
        <f t="shared" si="9"/>
        <v>-5000</v>
      </c>
    </row>
    <row r="88" spans="1:10" x14ac:dyDescent="0.15">
      <c r="A88" s="360">
        <v>6000735</v>
      </c>
      <c r="B88" s="356">
        <v>12</v>
      </c>
      <c r="C88" s="356">
        <v>0</v>
      </c>
      <c r="D88" s="361">
        <v>1000000</v>
      </c>
      <c r="F88">
        <v>77</v>
      </c>
      <c r="G88">
        <f t="shared" si="18"/>
        <v>-197500</v>
      </c>
      <c r="H88">
        <f t="shared" si="19"/>
        <v>-592900</v>
      </c>
      <c r="I88" s="380">
        <f t="shared" si="8"/>
        <v>-2500</v>
      </c>
      <c r="J88">
        <f t="shared" si="9"/>
        <v>-5000</v>
      </c>
    </row>
    <row r="89" spans="1:10" x14ac:dyDescent="0.15">
      <c r="A89" s="360">
        <v>6000735</v>
      </c>
      <c r="B89" s="356">
        <v>14</v>
      </c>
      <c r="C89" s="356">
        <v>0</v>
      </c>
      <c r="D89" s="361">
        <v>500000</v>
      </c>
      <c r="F89">
        <v>78</v>
      </c>
      <c r="G89">
        <f t="shared" si="18"/>
        <v>-200000</v>
      </c>
      <c r="H89">
        <f t="shared" si="19"/>
        <v>-608400</v>
      </c>
      <c r="I89" s="380">
        <f t="shared" si="8"/>
        <v>-2500</v>
      </c>
      <c r="J89">
        <f t="shared" si="9"/>
        <v>-5000</v>
      </c>
    </row>
    <row r="90" spans="1:10" x14ac:dyDescent="0.15">
      <c r="A90" s="360">
        <v>6000735</v>
      </c>
      <c r="B90" s="356">
        <v>16</v>
      </c>
      <c r="C90" s="356">
        <v>0</v>
      </c>
      <c r="D90" s="361">
        <v>0</v>
      </c>
      <c r="F90">
        <v>79</v>
      </c>
      <c r="G90">
        <f t="shared" si="18"/>
        <v>-202500</v>
      </c>
      <c r="H90">
        <f t="shared" si="19"/>
        <v>-624100</v>
      </c>
      <c r="I90" s="380">
        <f t="shared" si="8"/>
        <v>-2500</v>
      </c>
      <c r="J90">
        <f t="shared" si="9"/>
        <v>-5000</v>
      </c>
    </row>
    <row r="91" spans="1:10" ht="16" thickBot="1" x14ac:dyDescent="0.2">
      <c r="A91" s="362">
        <v>6000735</v>
      </c>
      <c r="B91" s="357">
        <v>20</v>
      </c>
      <c r="C91" s="357">
        <v>0</v>
      </c>
      <c r="D91" s="363">
        <v>-9999999</v>
      </c>
      <c r="F91">
        <v>80</v>
      </c>
      <c r="G91">
        <f t="shared" si="18"/>
        <v>-205000</v>
      </c>
      <c r="H91">
        <f t="shared" si="19"/>
        <v>-640000</v>
      </c>
      <c r="I91" s="380">
        <f t="shared" si="8"/>
        <v>-2500</v>
      </c>
      <c r="J91">
        <f t="shared" si="9"/>
        <v>-5000</v>
      </c>
    </row>
    <row r="92" spans="1:10" x14ac:dyDescent="0.15">
      <c r="F92">
        <v>81</v>
      </c>
      <c r="G92">
        <f t="shared" si="18"/>
        <v>-207500</v>
      </c>
      <c r="H92">
        <f t="shared" si="19"/>
        <v>-656100</v>
      </c>
      <c r="I92" s="380">
        <f t="shared" si="8"/>
        <v>-2500</v>
      </c>
      <c r="J92">
        <f t="shared" si="9"/>
        <v>-5000</v>
      </c>
    </row>
    <row r="93" spans="1:10" x14ac:dyDescent="0.15">
      <c r="F93">
        <v>82</v>
      </c>
      <c r="G93">
        <f t="shared" si="18"/>
        <v>-210000</v>
      </c>
      <c r="H93">
        <f t="shared" si="19"/>
        <v>-672400</v>
      </c>
      <c r="I93" s="380">
        <f t="shared" si="8"/>
        <v>-2500</v>
      </c>
      <c r="J93">
        <f t="shared" si="9"/>
        <v>-5000</v>
      </c>
    </row>
    <row r="94" spans="1:10" x14ac:dyDescent="0.15">
      <c r="F94">
        <v>83</v>
      </c>
      <c r="G94">
        <f t="shared" si="18"/>
        <v>-212500</v>
      </c>
      <c r="H94">
        <f t="shared" si="19"/>
        <v>-688900</v>
      </c>
      <c r="I94" s="380">
        <f t="shared" si="8"/>
        <v>-2500</v>
      </c>
      <c r="J94">
        <f t="shared" si="9"/>
        <v>-5000</v>
      </c>
    </row>
    <row r="95" spans="1:10" x14ac:dyDescent="0.15">
      <c r="F95">
        <v>84</v>
      </c>
      <c r="G95">
        <f t="shared" si="18"/>
        <v>-215000</v>
      </c>
      <c r="H95">
        <f t="shared" si="19"/>
        <v>-705600</v>
      </c>
      <c r="I95" s="380">
        <f t="shared" si="8"/>
        <v>-2500</v>
      </c>
      <c r="J95">
        <f t="shared" si="9"/>
        <v>-5000</v>
      </c>
    </row>
    <row r="96" spans="1:10" x14ac:dyDescent="0.15">
      <c r="F96">
        <v>85</v>
      </c>
      <c r="G96">
        <f t="shared" si="18"/>
        <v>-217500</v>
      </c>
      <c r="H96">
        <f t="shared" si="19"/>
        <v>-722500</v>
      </c>
      <c r="I96" s="380">
        <f t="shared" si="8"/>
        <v>-2500</v>
      </c>
      <c r="J96">
        <f t="shared" si="9"/>
        <v>-5000</v>
      </c>
    </row>
    <row r="97" spans="6:10" x14ac:dyDescent="0.15">
      <c r="F97">
        <v>86</v>
      </c>
      <c r="G97">
        <f t="shared" si="18"/>
        <v>-220000</v>
      </c>
      <c r="H97">
        <f t="shared" si="19"/>
        <v>-739600</v>
      </c>
      <c r="I97" s="380">
        <f t="shared" si="8"/>
        <v>-2500</v>
      </c>
      <c r="J97">
        <f t="shared" si="9"/>
        <v>-5000</v>
      </c>
    </row>
    <row r="98" spans="6:10" x14ac:dyDescent="0.15">
      <c r="F98">
        <v>87</v>
      </c>
      <c r="G98">
        <f t="shared" si="18"/>
        <v>-222500</v>
      </c>
      <c r="H98">
        <f t="shared" si="19"/>
        <v>-756900</v>
      </c>
      <c r="I98" s="380">
        <f t="shared" si="8"/>
        <v>-2500</v>
      </c>
      <c r="J98">
        <f t="shared" si="9"/>
        <v>-5000</v>
      </c>
    </row>
    <row r="99" spans="6:10" x14ac:dyDescent="0.15">
      <c r="F99">
        <v>88</v>
      </c>
      <c r="G99">
        <f t="shared" si="18"/>
        <v>-225000</v>
      </c>
      <c r="H99">
        <f t="shared" si="19"/>
        <v>-774400</v>
      </c>
      <c r="I99" s="380">
        <f t="shared" si="8"/>
        <v>-2500</v>
      </c>
      <c r="J99">
        <f t="shared" si="9"/>
        <v>-5000</v>
      </c>
    </row>
    <row r="100" spans="6:10" x14ac:dyDescent="0.15">
      <c r="F100">
        <v>89</v>
      </c>
      <c r="G100">
        <f t="shared" si="18"/>
        <v>-227500</v>
      </c>
      <c r="H100">
        <f t="shared" si="19"/>
        <v>-792100</v>
      </c>
      <c r="I100" s="380">
        <f t="shared" si="8"/>
        <v>-2500</v>
      </c>
      <c r="J100">
        <f t="shared" si="9"/>
        <v>-5000</v>
      </c>
    </row>
    <row r="101" spans="6:10" x14ac:dyDescent="0.15">
      <c r="F101">
        <v>90</v>
      </c>
      <c r="G101">
        <f t="shared" si="18"/>
        <v>-230000</v>
      </c>
      <c r="H101">
        <f t="shared" si="19"/>
        <v>-810000</v>
      </c>
      <c r="I101" s="380">
        <f t="shared" si="8"/>
        <v>-2500</v>
      </c>
      <c r="J101">
        <f t="shared" si="9"/>
        <v>-5000</v>
      </c>
    </row>
    <row r="102" spans="6:10" x14ac:dyDescent="0.15">
      <c r="F102">
        <v>91</v>
      </c>
      <c r="G102">
        <f t="shared" si="18"/>
        <v>-232500</v>
      </c>
      <c r="H102">
        <f t="shared" si="19"/>
        <v>-828100</v>
      </c>
      <c r="I102" s="380">
        <f t="shared" si="8"/>
        <v>-2500</v>
      </c>
      <c r="J102">
        <f t="shared" si="9"/>
        <v>-5000</v>
      </c>
    </row>
    <row r="103" spans="6:10" x14ac:dyDescent="0.15">
      <c r="F103">
        <v>92</v>
      </c>
      <c r="G103">
        <f t="shared" si="18"/>
        <v>-235000</v>
      </c>
      <c r="H103">
        <f t="shared" si="19"/>
        <v>-846400</v>
      </c>
      <c r="I103" s="380">
        <f t="shared" si="8"/>
        <v>-2500</v>
      </c>
      <c r="J103">
        <f t="shared" si="9"/>
        <v>-5000</v>
      </c>
    </row>
    <row r="104" spans="6:10" x14ac:dyDescent="0.15">
      <c r="F104">
        <v>93</v>
      </c>
      <c r="G104">
        <f t="shared" si="18"/>
        <v>-237500</v>
      </c>
      <c r="H104">
        <f t="shared" si="19"/>
        <v>-864900</v>
      </c>
      <c r="I104" s="380">
        <f t="shared" si="8"/>
        <v>-2500</v>
      </c>
      <c r="J104">
        <f t="shared" si="9"/>
        <v>-5000</v>
      </c>
    </row>
    <row r="105" spans="6:10" x14ac:dyDescent="0.15">
      <c r="F105">
        <v>94</v>
      </c>
      <c r="G105">
        <f t="shared" si="18"/>
        <v>-240000</v>
      </c>
      <c r="H105">
        <f t="shared" si="19"/>
        <v>-883600</v>
      </c>
      <c r="I105" s="380">
        <f t="shared" si="8"/>
        <v>-2500</v>
      </c>
      <c r="J105">
        <f t="shared" si="9"/>
        <v>-5000</v>
      </c>
    </row>
    <row r="106" spans="6:10" x14ac:dyDescent="0.15">
      <c r="F106">
        <v>95</v>
      </c>
      <c r="G106">
        <f t="shared" si="18"/>
        <v>-242500</v>
      </c>
      <c r="H106">
        <f t="shared" si="19"/>
        <v>-902500</v>
      </c>
      <c r="I106" s="380">
        <f t="shared" si="8"/>
        <v>-2500</v>
      </c>
      <c r="J106">
        <f t="shared" si="9"/>
        <v>-5000</v>
      </c>
    </row>
    <row r="107" spans="6:10" x14ac:dyDescent="0.15">
      <c r="F107">
        <v>96</v>
      </c>
      <c r="G107">
        <f t="shared" si="18"/>
        <v>-245000</v>
      </c>
      <c r="H107">
        <f t="shared" si="19"/>
        <v>-921600</v>
      </c>
      <c r="I107" s="380">
        <f t="shared" si="8"/>
        <v>-2500</v>
      </c>
      <c r="J107">
        <f t="shared" si="9"/>
        <v>-5000</v>
      </c>
    </row>
    <row r="108" spans="6:10" x14ac:dyDescent="0.15">
      <c r="F108">
        <v>97</v>
      </c>
      <c r="G108">
        <f t="shared" si="18"/>
        <v>-247500</v>
      </c>
      <c r="H108">
        <f t="shared" si="19"/>
        <v>-940900</v>
      </c>
      <c r="I108" s="380">
        <f t="shared" si="8"/>
        <v>-2500</v>
      </c>
      <c r="J108">
        <f t="shared" si="9"/>
        <v>-5000</v>
      </c>
    </row>
    <row r="109" spans="6:10" x14ac:dyDescent="0.15">
      <c r="F109">
        <v>98</v>
      </c>
      <c r="G109">
        <f t="shared" si="18"/>
        <v>-250000</v>
      </c>
      <c r="H109">
        <f t="shared" si="19"/>
        <v>-960400</v>
      </c>
      <c r="I109" s="380">
        <f t="shared" si="8"/>
        <v>-2500</v>
      </c>
      <c r="J109">
        <f t="shared" si="9"/>
        <v>-5000</v>
      </c>
    </row>
    <row r="110" spans="6:10" x14ac:dyDescent="0.15">
      <c r="F110">
        <v>99</v>
      </c>
      <c r="G110">
        <f t="shared" si="18"/>
        <v>-252500</v>
      </c>
      <c r="H110">
        <f t="shared" si="19"/>
        <v>-980100</v>
      </c>
      <c r="I110" s="380">
        <f t="shared" si="8"/>
        <v>-2500</v>
      </c>
      <c r="J110">
        <f t="shared" si="9"/>
        <v>-5000</v>
      </c>
    </row>
  </sheetData>
  <phoneticPr fontId="6"/>
  <pageMargins left="0.7" right="0.7" top="0.75" bottom="0.75" header="0.3" footer="0.3"/>
  <pageSetup paperSize="9" orientation="portrait" horizontalDpi="4294967292" verticalDpi="429496729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K242"/>
  <sheetViews>
    <sheetView topLeftCell="A69" workbookViewId="0">
      <selection activeCell="D94" sqref="D94"/>
    </sheetView>
  </sheetViews>
  <sheetFormatPr baseColWidth="12" defaultRowHeight="15" x14ac:dyDescent="0.15"/>
  <sheetData>
    <row r="1" spans="1:11" ht="16" thickBot="1" x14ac:dyDescent="0.2">
      <c r="A1" s="170" t="s">
        <v>238</v>
      </c>
      <c r="B1" s="170" t="s">
        <v>239</v>
      </c>
      <c r="C1" s="170" t="s">
        <v>240</v>
      </c>
      <c r="D1" s="170" t="s">
        <v>241</v>
      </c>
      <c r="F1" s="379" t="s">
        <v>239</v>
      </c>
      <c r="G1" s="379" t="s">
        <v>391</v>
      </c>
      <c r="H1" s="379" t="s">
        <v>392</v>
      </c>
      <c r="I1" s="379" t="s">
        <v>240</v>
      </c>
      <c r="J1" s="379" t="s">
        <v>390</v>
      </c>
      <c r="K1" s="379" t="s">
        <v>393</v>
      </c>
    </row>
    <row r="2" spans="1:11" x14ac:dyDescent="0.15">
      <c r="A2" s="540">
        <v>6000611</v>
      </c>
      <c r="B2" s="541">
        <v>0</v>
      </c>
      <c r="C2" s="541">
        <v>1</v>
      </c>
      <c r="D2" s="542">
        <v>0</v>
      </c>
      <c r="F2" s="382">
        <v>0</v>
      </c>
      <c r="G2">
        <f>I2*F2+J2</f>
        <v>0</v>
      </c>
      <c r="H2">
        <f>$K$2*SQRT(F2)</f>
        <v>0</v>
      </c>
      <c r="I2" s="383">
        <f t="shared" ref="I2:I23" si="0">VLOOKUP(F2,B$10:D$19,2)</f>
        <v>1</v>
      </c>
      <c r="J2">
        <f>VLOOKUP(F2,B$10:D$19,3)</f>
        <v>0</v>
      </c>
      <c r="K2">
        <v>500</v>
      </c>
    </row>
    <row r="3" spans="1:11" x14ac:dyDescent="0.15">
      <c r="A3" s="543">
        <v>6000611</v>
      </c>
      <c r="B3" s="544">
        <v>5000</v>
      </c>
      <c r="C3" s="544">
        <v>1</v>
      </c>
      <c r="D3" s="545">
        <v>0</v>
      </c>
      <c r="F3" s="382">
        <v>2000</v>
      </c>
      <c r="G3">
        <f t="shared" ref="G3:G66" si="1">I3*F3+J3</f>
        <v>2000</v>
      </c>
      <c r="H3">
        <f t="shared" ref="H3:H66" si="2">$K$2*SQRT(F3)</f>
        <v>22360.679774997898</v>
      </c>
      <c r="I3" s="383">
        <f t="shared" si="0"/>
        <v>1</v>
      </c>
      <c r="J3">
        <f t="shared" ref="J3:J23" si="3">VLOOKUP(F3,B$10:D$19,3)</f>
        <v>0</v>
      </c>
    </row>
    <row r="4" spans="1:11" x14ac:dyDescent="0.15">
      <c r="A4" s="543">
        <v>6000611</v>
      </c>
      <c r="B4" s="544">
        <v>10000</v>
      </c>
      <c r="C4" s="544">
        <v>1</v>
      </c>
      <c r="D4" s="545">
        <v>0</v>
      </c>
      <c r="F4">
        <f>F3+2000</f>
        <v>4000</v>
      </c>
      <c r="G4">
        <f t="shared" si="1"/>
        <v>4000</v>
      </c>
      <c r="H4">
        <f t="shared" si="2"/>
        <v>31622.776601683792</v>
      </c>
      <c r="I4" s="383">
        <f t="shared" si="0"/>
        <v>1</v>
      </c>
      <c r="J4">
        <f t="shared" si="3"/>
        <v>0</v>
      </c>
    </row>
    <row r="5" spans="1:11" x14ac:dyDescent="0.15">
      <c r="A5" s="543">
        <v>6000611</v>
      </c>
      <c r="B5" s="544">
        <v>20000</v>
      </c>
      <c r="C5" s="544">
        <v>1</v>
      </c>
      <c r="D5" s="545">
        <v>5000</v>
      </c>
      <c r="F5">
        <f t="shared" ref="F5:F67" si="4">F4+2000</f>
        <v>6000</v>
      </c>
      <c r="G5">
        <f t="shared" si="1"/>
        <v>6000</v>
      </c>
      <c r="H5">
        <f t="shared" si="2"/>
        <v>38729.833462074166</v>
      </c>
      <c r="I5" s="383">
        <f t="shared" si="0"/>
        <v>1</v>
      </c>
      <c r="J5">
        <f t="shared" si="3"/>
        <v>0</v>
      </c>
    </row>
    <row r="6" spans="1:11" x14ac:dyDescent="0.15">
      <c r="A6" s="543">
        <v>6000611</v>
      </c>
      <c r="B6" s="544">
        <v>30000</v>
      </c>
      <c r="C6" s="544">
        <v>1</v>
      </c>
      <c r="D6" s="545">
        <v>5000</v>
      </c>
      <c r="F6">
        <f t="shared" si="4"/>
        <v>8000</v>
      </c>
      <c r="G6">
        <f t="shared" si="1"/>
        <v>8000</v>
      </c>
      <c r="H6">
        <f t="shared" si="2"/>
        <v>44721.359549995796</v>
      </c>
      <c r="I6" s="383">
        <f t="shared" si="0"/>
        <v>1</v>
      </c>
      <c r="J6">
        <f t="shared" si="3"/>
        <v>0</v>
      </c>
    </row>
    <row r="7" spans="1:11" x14ac:dyDescent="0.15">
      <c r="A7" s="543">
        <v>6000611</v>
      </c>
      <c r="B7" s="544">
        <v>50000</v>
      </c>
      <c r="C7" s="544">
        <v>1</v>
      </c>
      <c r="D7" s="545">
        <v>10000</v>
      </c>
      <c r="F7">
        <f t="shared" si="4"/>
        <v>10000</v>
      </c>
      <c r="G7">
        <f t="shared" si="1"/>
        <v>10000</v>
      </c>
      <c r="H7">
        <f t="shared" si="2"/>
        <v>50000</v>
      </c>
      <c r="I7" s="383">
        <f t="shared" si="0"/>
        <v>1</v>
      </c>
      <c r="J7">
        <f t="shared" si="3"/>
        <v>0</v>
      </c>
    </row>
    <row r="8" spans="1:11" x14ac:dyDescent="0.15">
      <c r="A8" s="543">
        <v>6000611</v>
      </c>
      <c r="B8" s="544">
        <v>70000</v>
      </c>
      <c r="C8" s="544">
        <v>1</v>
      </c>
      <c r="D8" s="545">
        <v>10000</v>
      </c>
      <c r="F8">
        <f t="shared" si="4"/>
        <v>12000</v>
      </c>
      <c r="G8">
        <f t="shared" si="1"/>
        <v>12000</v>
      </c>
      <c r="H8">
        <f t="shared" si="2"/>
        <v>54772.255750516611</v>
      </c>
      <c r="I8" s="383">
        <f t="shared" si="0"/>
        <v>1</v>
      </c>
      <c r="J8">
        <f t="shared" si="3"/>
        <v>0</v>
      </c>
    </row>
    <row r="9" spans="1:11" ht="16" thickBot="1" x14ac:dyDescent="0.2">
      <c r="A9" s="552">
        <v>6000611</v>
      </c>
      <c r="B9" s="553">
        <v>100000</v>
      </c>
      <c r="C9" s="553">
        <v>1</v>
      </c>
      <c r="D9" s="554">
        <v>20000</v>
      </c>
      <c r="F9">
        <f t="shared" si="4"/>
        <v>14000</v>
      </c>
      <c r="G9">
        <f t="shared" si="1"/>
        <v>14000</v>
      </c>
      <c r="H9">
        <f t="shared" si="2"/>
        <v>59160.797830996162</v>
      </c>
      <c r="I9" s="383">
        <f t="shared" si="0"/>
        <v>1</v>
      </c>
      <c r="J9">
        <f t="shared" si="3"/>
        <v>0</v>
      </c>
    </row>
    <row r="10" spans="1:11" x14ac:dyDescent="0.15">
      <c r="A10" s="540">
        <v>6000612</v>
      </c>
      <c r="B10" s="541">
        <v>0</v>
      </c>
      <c r="C10" s="541">
        <v>1</v>
      </c>
      <c r="D10" s="542">
        <v>0</v>
      </c>
      <c r="F10">
        <f t="shared" si="4"/>
        <v>16000</v>
      </c>
      <c r="G10">
        <f t="shared" si="1"/>
        <v>16000</v>
      </c>
      <c r="H10">
        <f t="shared" si="2"/>
        <v>63245.553203367585</v>
      </c>
      <c r="I10" s="383">
        <f t="shared" si="0"/>
        <v>1</v>
      </c>
      <c r="J10">
        <f t="shared" si="3"/>
        <v>0</v>
      </c>
    </row>
    <row r="11" spans="1:11" x14ac:dyDescent="0.15">
      <c r="A11" s="543">
        <v>6000612</v>
      </c>
      <c r="B11" s="544">
        <v>5000</v>
      </c>
      <c r="C11" s="544">
        <v>1</v>
      </c>
      <c r="D11" s="545">
        <v>0</v>
      </c>
      <c r="F11">
        <f t="shared" si="4"/>
        <v>18000</v>
      </c>
      <c r="G11">
        <f t="shared" si="1"/>
        <v>18000</v>
      </c>
      <c r="H11">
        <f t="shared" si="2"/>
        <v>67082.03932499369</v>
      </c>
      <c r="I11" s="383">
        <f t="shared" si="0"/>
        <v>1</v>
      </c>
      <c r="J11">
        <f t="shared" si="3"/>
        <v>0</v>
      </c>
    </row>
    <row r="12" spans="1:11" x14ac:dyDescent="0.15">
      <c r="A12" s="543">
        <v>6000612</v>
      </c>
      <c r="B12" s="544">
        <v>10000</v>
      </c>
      <c r="C12" s="544">
        <v>1</v>
      </c>
      <c r="D12" s="545">
        <v>0</v>
      </c>
      <c r="F12">
        <f t="shared" si="4"/>
        <v>20000</v>
      </c>
      <c r="G12">
        <f t="shared" si="1"/>
        <v>27000</v>
      </c>
      <c r="H12">
        <f t="shared" si="2"/>
        <v>70710.67811865476</v>
      </c>
      <c r="I12" s="383">
        <f t="shared" si="0"/>
        <v>1.1000000000000001</v>
      </c>
      <c r="J12">
        <f t="shared" si="3"/>
        <v>5000</v>
      </c>
    </row>
    <row r="13" spans="1:11" x14ac:dyDescent="0.15">
      <c r="A13" s="543">
        <v>6000612</v>
      </c>
      <c r="B13" s="544">
        <v>20000</v>
      </c>
      <c r="C13" s="544">
        <v>1.1000000000000001</v>
      </c>
      <c r="D13" s="545">
        <v>5000</v>
      </c>
      <c r="F13">
        <f t="shared" si="4"/>
        <v>22000</v>
      </c>
      <c r="G13">
        <f t="shared" si="1"/>
        <v>29200.000000000004</v>
      </c>
      <c r="H13">
        <f t="shared" si="2"/>
        <v>74161.984870956629</v>
      </c>
      <c r="I13" s="383">
        <f t="shared" si="0"/>
        <v>1.1000000000000001</v>
      </c>
      <c r="J13">
        <f t="shared" si="3"/>
        <v>5000</v>
      </c>
    </row>
    <row r="14" spans="1:11" x14ac:dyDescent="0.15">
      <c r="A14" s="543">
        <v>6000612</v>
      </c>
      <c r="B14" s="544">
        <v>30000</v>
      </c>
      <c r="C14" s="544">
        <v>1.1000000000000001</v>
      </c>
      <c r="D14" s="545">
        <v>10000</v>
      </c>
      <c r="F14">
        <f t="shared" si="4"/>
        <v>24000</v>
      </c>
      <c r="G14">
        <f t="shared" si="1"/>
        <v>31400.000000000004</v>
      </c>
      <c r="H14">
        <f t="shared" si="2"/>
        <v>77459.666924148332</v>
      </c>
      <c r="I14" s="383">
        <f t="shared" si="0"/>
        <v>1.1000000000000001</v>
      </c>
      <c r="J14">
        <f t="shared" si="3"/>
        <v>5000</v>
      </c>
    </row>
    <row r="15" spans="1:11" x14ac:dyDescent="0.15">
      <c r="A15" s="543">
        <v>6000612</v>
      </c>
      <c r="B15" s="544">
        <v>50000</v>
      </c>
      <c r="C15" s="544">
        <v>1.2</v>
      </c>
      <c r="D15" s="545">
        <v>10000</v>
      </c>
      <c r="F15">
        <f t="shared" si="4"/>
        <v>26000</v>
      </c>
      <c r="G15">
        <f t="shared" si="1"/>
        <v>33600</v>
      </c>
      <c r="H15">
        <f t="shared" si="2"/>
        <v>80622.577482985493</v>
      </c>
      <c r="I15" s="383">
        <f t="shared" si="0"/>
        <v>1.1000000000000001</v>
      </c>
      <c r="J15">
        <f t="shared" si="3"/>
        <v>5000</v>
      </c>
    </row>
    <row r="16" spans="1:11" x14ac:dyDescent="0.15">
      <c r="A16" s="543">
        <v>6000612</v>
      </c>
      <c r="B16" s="544">
        <v>70000</v>
      </c>
      <c r="C16" s="544">
        <v>1.2</v>
      </c>
      <c r="D16" s="545">
        <v>15000</v>
      </c>
      <c r="F16">
        <f t="shared" si="4"/>
        <v>28000</v>
      </c>
      <c r="G16">
        <f t="shared" si="1"/>
        <v>35800</v>
      </c>
      <c r="H16">
        <f t="shared" si="2"/>
        <v>83666.002653407559</v>
      </c>
      <c r="I16" s="383">
        <f t="shared" si="0"/>
        <v>1.1000000000000001</v>
      </c>
      <c r="J16">
        <f t="shared" si="3"/>
        <v>5000</v>
      </c>
    </row>
    <row r="17" spans="1:10" x14ac:dyDescent="0.15">
      <c r="A17" s="543">
        <v>6000612</v>
      </c>
      <c r="B17" s="544">
        <v>100000</v>
      </c>
      <c r="C17" s="544">
        <v>1.2</v>
      </c>
      <c r="D17" s="545">
        <v>20000</v>
      </c>
      <c r="F17">
        <f t="shared" si="4"/>
        <v>30000</v>
      </c>
      <c r="G17">
        <f t="shared" si="1"/>
        <v>43000</v>
      </c>
      <c r="H17">
        <f t="shared" si="2"/>
        <v>86602.540378443868</v>
      </c>
      <c r="I17" s="383">
        <f t="shared" si="0"/>
        <v>1.1000000000000001</v>
      </c>
      <c r="J17">
        <f t="shared" si="3"/>
        <v>10000</v>
      </c>
    </row>
    <row r="18" spans="1:10" x14ac:dyDescent="0.15">
      <c r="A18" s="543">
        <v>6000612</v>
      </c>
      <c r="B18" s="544">
        <v>150000</v>
      </c>
      <c r="C18" s="544">
        <v>1.3</v>
      </c>
      <c r="D18" s="545">
        <v>25000</v>
      </c>
      <c r="F18">
        <f t="shared" si="4"/>
        <v>32000</v>
      </c>
      <c r="G18">
        <f t="shared" si="1"/>
        <v>45200</v>
      </c>
      <c r="H18">
        <f t="shared" si="2"/>
        <v>89442.719099991591</v>
      </c>
      <c r="I18" s="383">
        <f t="shared" si="0"/>
        <v>1.1000000000000001</v>
      </c>
      <c r="J18">
        <f t="shared" si="3"/>
        <v>10000</v>
      </c>
    </row>
    <row r="19" spans="1:10" ht="16" thickBot="1" x14ac:dyDescent="0.2">
      <c r="A19" s="546">
        <v>6000612</v>
      </c>
      <c r="B19" s="547">
        <v>200000</v>
      </c>
      <c r="C19" s="547">
        <v>1.3</v>
      </c>
      <c r="D19" s="548">
        <v>30000</v>
      </c>
      <c r="F19">
        <f t="shared" si="4"/>
        <v>34000</v>
      </c>
      <c r="G19">
        <f t="shared" si="1"/>
        <v>47400</v>
      </c>
      <c r="H19">
        <f t="shared" si="2"/>
        <v>92195.444572928871</v>
      </c>
      <c r="I19" s="383">
        <f t="shared" si="0"/>
        <v>1.1000000000000001</v>
      </c>
      <c r="J19">
        <f t="shared" si="3"/>
        <v>10000</v>
      </c>
    </row>
    <row r="20" spans="1:10" x14ac:dyDescent="0.15">
      <c r="A20" s="549">
        <v>6000613</v>
      </c>
      <c r="B20" s="550">
        <v>0</v>
      </c>
      <c r="C20" s="550">
        <v>1</v>
      </c>
      <c r="D20" s="625">
        <v>0</v>
      </c>
      <c r="E20" s="211"/>
      <c r="F20">
        <f t="shared" si="4"/>
        <v>36000</v>
      </c>
      <c r="G20">
        <f t="shared" si="1"/>
        <v>49600</v>
      </c>
      <c r="H20">
        <f t="shared" si="2"/>
        <v>94868.329805051369</v>
      </c>
      <c r="I20" s="383">
        <f t="shared" si="0"/>
        <v>1.1000000000000001</v>
      </c>
      <c r="J20">
        <f t="shared" si="3"/>
        <v>10000</v>
      </c>
    </row>
    <row r="21" spans="1:10" x14ac:dyDescent="0.15">
      <c r="A21" s="543">
        <v>6000613</v>
      </c>
      <c r="B21" s="544">
        <v>5000</v>
      </c>
      <c r="C21" s="544">
        <v>1</v>
      </c>
      <c r="D21" s="560">
        <v>0</v>
      </c>
      <c r="E21" s="211"/>
      <c r="F21">
        <f t="shared" si="4"/>
        <v>38000</v>
      </c>
      <c r="G21">
        <f t="shared" si="1"/>
        <v>51800</v>
      </c>
      <c r="H21">
        <f t="shared" si="2"/>
        <v>97467.943448089645</v>
      </c>
      <c r="I21" s="383">
        <f t="shared" si="0"/>
        <v>1.1000000000000001</v>
      </c>
      <c r="J21">
        <f t="shared" si="3"/>
        <v>10000</v>
      </c>
    </row>
    <row r="22" spans="1:10" x14ac:dyDescent="0.15">
      <c r="A22" s="543">
        <v>6000613</v>
      </c>
      <c r="B22" s="544">
        <v>10000</v>
      </c>
      <c r="C22" s="544">
        <v>1</v>
      </c>
      <c r="D22" s="545">
        <v>2000</v>
      </c>
      <c r="E22" s="211"/>
      <c r="F22">
        <f t="shared" si="4"/>
        <v>40000</v>
      </c>
      <c r="G22">
        <f t="shared" si="1"/>
        <v>54000</v>
      </c>
      <c r="H22">
        <f t="shared" si="2"/>
        <v>100000</v>
      </c>
      <c r="I22" s="383">
        <f t="shared" si="0"/>
        <v>1.1000000000000001</v>
      </c>
      <c r="J22">
        <f t="shared" si="3"/>
        <v>10000</v>
      </c>
    </row>
    <row r="23" spans="1:10" x14ac:dyDescent="0.15">
      <c r="A23" s="543">
        <v>6000613</v>
      </c>
      <c r="B23" s="544">
        <v>20000</v>
      </c>
      <c r="C23" s="544">
        <v>1</v>
      </c>
      <c r="D23" s="545">
        <v>5000</v>
      </c>
      <c r="E23" s="211"/>
      <c r="F23">
        <f t="shared" si="4"/>
        <v>42000</v>
      </c>
      <c r="G23">
        <f t="shared" si="1"/>
        <v>56200.000000000007</v>
      </c>
      <c r="H23">
        <f t="shared" si="2"/>
        <v>102469.50765959598</v>
      </c>
      <c r="I23" s="383">
        <f t="shared" si="0"/>
        <v>1.1000000000000001</v>
      </c>
      <c r="J23">
        <f t="shared" si="3"/>
        <v>10000</v>
      </c>
    </row>
    <row r="24" spans="1:10" x14ac:dyDescent="0.15">
      <c r="A24" s="543">
        <v>6000613</v>
      </c>
      <c r="B24" s="544">
        <v>50000</v>
      </c>
      <c r="C24" s="544">
        <v>1</v>
      </c>
      <c r="D24" s="545">
        <v>15000</v>
      </c>
      <c r="E24" s="211"/>
      <c r="F24">
        <f t="shared" si="4"/>
        <v>44000</v>
      </c>
      <c r="G24">
        <f t="shared" si="1"/>
        <v>58400.000000000007</v>
      </c>
      <c r="H24">
        <f t="shared" si="2"/>
        <v>104880.88481701516</v>
      </c>
      <c r="I24" s="383">
        <f t="shared" ref="I24:I113" si="5">VLOOKUP(F24,B$10:D$19,2)</f>
        <v>1.1000000000000001</v>
      </c>
      <c r="J24">
        <f t="shared" ref="J24:J113" si="6">VLOOKUP(F24,B$10:D$19,3)</f>
        <v>10000</v>
      </c>
    </row>
    <row r="25" spans="1:10" x14ac:dyDescent="0.15">
      <c r="A25" s="543">
        <v>6000613</v>
      </c>
      <c r="B25" s="544">
        <v>100000</v>
      </c>
      <c r="C25" s="544">
        <v>1.2</v>
      </c>
      <c r="D25" s="545">
        <v>35000</v>
      </c>
      <c r="E25" s="211"/>
      <c r="F25">
        <f t="shared" si="4"/>
        <v>46000</v>
      </c>
      <c r="G25">
        <f t="shared" si="1"/>
        <v>60600.000000000007</v>
      </c>
      <c r="H25">
        <f t="shared" si="2"/>
        <v>107238.05294763608</v>
      </c>
      <c r="I25" s="383">
        <f t="shared" si="5"/>
        <v>1.1000000000000001</v>
      </c>
      <c r="J25">
        <f t="shared" si="6"/>
        <v>10000</v>
      </c>
    </row>
    <row r="26" spans="1:10" x14ac:dyDescent="0.15">
      <c r="A26" s="543">
        <v>6000613</v>
      </c>
      <c r="B26" s="544">
        <v>200000</v>
      </c>
      <c r="C26" s="544">
        <v>1.2</v>
      </c>
      <c r="D26" s="545">
        <v>80000</v>
      </c>
      <c r="E26" s="211"/>
      <c r="F26">
        <f t="shared" si="4"/>
        <v>48000</v>
      </c>
      <c r="G26">
        <f t="shared" si="1"/>
        <v>62800.000000000007</v>
      </c>
      <c r="H26">
        <f t="shared" si="2"/>
        <v>109544.51150103322</v>
      </c>
      <c r="I26" s="383">
        <f t="shared" si="5"/>
        <v>1.1000000000000001</v>
      </c>
      <c r="J26">
        <f t="shared" si="6"/>
        <v>10000</v>
      </c>
    </row>
    <row r="27" spans="1:10" x14ac:dyDescent="0.15">
      <c r="A27" s="543">
        <v>6000613</v>
      </c>
      <c r="B27" s="544">
        <v>300000</v>
      </c>
      <c r="C27" s="544">
        <v>1.3</v>
      </c>
      <c r="D27" s="545">
        <v>200000</v>
      </c>
      <c r="E27" s="211"/>
      <c r="F27">
        <f t="shared" si="4"/>
        <v>50000</v>
      </c>
      <c r="G27">
        <f t="shared" si="1"/>
        <v>70000</v>
      </c>
      <c r="H27">
        <f t="shared" si="2"/>
        <v>111803.39887498948</v>
      </c>
      <c r="I27" s="383">
        <f t="shared" si="5"/>
        <v>1.2</v>
      </c>
      <c r="J27">
        <f t="shared" si="6"/>
        <v>10000</v>
      </c>
    </row>
    <row r="28" spans="1:10" x14ac:dyDescent="0.15">
      <c r="A28" s="543">
        <v>6000613</v>
      </c>
      <c r="B28" s="544">
        <v>400000</v>
      </c>
      <c r="C28" s="544">
        <v>1.4</v>
      </c>
      <c r="D28" s="545">
        <v>280000</v>
      </c>
      <c r="E28" s="211"/>
      <c r="F28">
        <f t="shared" si="4"/>
        <v>52000</v>
      </c>
      <c r="G28">
        <f t="shared" si="1"/>
        <v>72400</v>
      </c>
      <c r="H28">
        <f t="shared" si="2"/>
        <v>114017.54250991379</v>
      </c>
      <c r="I28" s="383">
        <f t="shared" si="5"/>
        <v>1.2</v>
      </c>
      <c r="J28">
        <f t="shared" si="6"/>
        <v>10000</v>
      </c>
    </row>
    <row r="29" spans="1:10" x14ac:dyDescent="0.15">
      <c r="A29" s="543">
        <v>6000613</v>
      </c>
      <c r="B29" s="544">
        <v>500000</v>
      </c>
      <c r="C29" s="544">
        <v>1.4</v>
      </c>
      <c r="D29" s="545">
        <v>400000</v>
      </c>
      <c r="E29" s="211"/>
      <c r="F29">
        <f t="shared" si="4"/>
        <v>54000</v>
      </c>
      <c r="G29">
        <f t="shared" si="1"/>
        <v>74800</v>
      </c>
      <c r="H29">
        <f t="shared" si="2"/>
        <v>116189.5003862225</v>
      </c>
      <c r="I29" s="383">
        <f t="shared" si="5"/>
        <v>1.2</v>
      </c>
      <c r="J29">
        <f t="shared" si="6"/>
        <v>10000</v>
      </c>
    </row>
    <row r="30" spans="1:10" x14ac:dyDescent="0.15">
      <c r="A30" s="543">
        <v>6000613</v>
      </c>
      <c r="B30" s="544">
        <v>600000</v>
      </c>
      <c r="C30" s="544">
        <v>1.5</v>
      </c>
      <c r="D30" s="545">
        <v>540000</v>
      </c>
      <c r="E30" s="211"/>
      <c r="F30">
        <f t="shared" si="4"/>
        <v>56000</v>
      </c>
      <c r="G30">
        <f t="shared" si="1"/>
        <v>77200</v>
      </c>
      <c r="H30">
        <f t="shared" si="2"/>
        <v>118321.59566199232</v>
      </c>
      <c r="I30" s="383">
        <f t="shared" si="5"/>
        <v>1.2</v>
      </c>
      <c r="J30">
        <f t="shared" si="6"/>
        <v>10000</v>
      </c>
    </row>
    <row r="31" spans="1:10" x14ac:dyDescent="0.15">
      <c r="A31" s="543">
        <v>6000613</v>
      </c>
      <c r="B31" s="544">
        <v>700000</v>
      </c>
      <c r="C31" s="544">
        <v>1.5</v>
      </c>
      <c r="D31" s="545">
        <v>660000</v>
      </c>
      <c r="E31" s="211"/>
      <c r="F31">
        <f t="shared" si="4"/>
        <v>58000</v>
      </c>
      <c r="G31">
        <f t="shared" si="1"/>
        <v>79600</v>
      </c>
      <c r="H31">
        <f t="shared" si="2"/>
        <v>120415.94578792294</v>
      </c>
      <c r="I31" s="383">
        <f t="shared" si="5"/>
        <v>1.2</v>
      </c>
      <c r="J31">
        <f t="shared" si="6"/>
        <v>10000</v>
      </c>
    </row>
    <row r="32" spans="1:10" ht="16" thickBot="1" x14ac:dyDescent="0.2">
      <c r="A32" s="546">
        <v>6000613</v>
      </c>
      <c r="B32" s="547">
        <v>800000</v>
      </c>
      <c r="C32" s="547">
        <v>1.5</v>
      </c>
      <c r="D32" s="548">
        <v>800000</v>
      </c>
      <c r="F32">
        <f t="shared" si="4"/>
        <v>60000</v>
      </c>
      <c r="G32">
        <f t="shared" si="1"/>
        <v>82000</v>
      </c>
      <c r="H32">
        <f t="shared" si="2"/>
        <v>122474.48713915891</v>
      </c>
      <c r="I32" s="383">
        <f t="shared" si="5"/>
        <v>1.2</v>
      </c>
      <c r="J32">
        <f t="shared" si="6"/>
        <v>10000</v>
      </c>
    </row>
    <row r="33" spans="1:10" x14ac:dyDescent="0.15">
      <c r="A33" s="499">
        <v>6000711</v>
      </c>
      <c r="B33" s="488">
        <v>0</v>
      </c>
      <c r="C33" s="488">
        <v>1</v>
      </c>
      <c r="D33" s="500">
        <v>0</v>
      </c>
      <c r="F33">
        <f t="shared" si="4"/>
        <v>62000</v>
      </c>
      <c r="G33">
        <f t="shared" si="1"/>
        <v>84400</v>
      </c>
      <c r="H33">
        <f t="shared" si="2"/>
        <v>124498.99597988733</v>
      </c>
      <c r="I33" s="383">
        <f t="shared" si="5"/>
        <v>1.2</v>
      </c>
      <c r="J33">
        <f t="shared" si="6"/>
        <v>10000</v>
      </c>
    </row>
    <row r="34" spans="1:10" x14ac:dyDescent="0.15">
      <c r="A34" s="501">
        <v>6000711</v>
      </c>
      <c r="B34" s="490">
        <v>5000</v>
      </c>
      <c r="C34" s="490">
        <v>1</v>
      </c>
      <c r="D34" s="502">
        <v>0</v>
      </c>
      <c r="F34">
        <f t="shared" si="4"/>
        <v>64000</v>
      </c>
      <c r="G34">
        <f t="shared" si="1"/>
        <v>86800</v>
      </c>
      <c r="H34">
        <f t="shared" si="2"/>
        <v>126491.10640673517</v>
      </c>
      <c r="I34" s="383">
        <f t="shared" si="5"/>
        <v>1.2</v>
      </c>
      <c r="J34">
        <f t="shared" si="6"/>
        <v>10000</v>
      </c>
    </row>
    <row r="35" spans="1:10" x14ac:dyDescent="0.15">
      <c r="A35" s="501">
        <v>6000711</v>
      </c>
      <c r="B35" s="490">
        <v>10000</v>
      </c>
      <c r="C35" s="490">
        <v>1</v>
      </c>
      <c r="D35" s="502">
        <v>0</v>
      </c>
      <c r="F35">
        <f t="shared" si="4"/>
        <v>66000</v>
      </c>
      <c r="G35">
        <f t="shared" si="1"/>
        <v>89200</v>
      </c>
      <c r="H35">
        <f t="shared" si="2"/>
        <v>128452.3257866513</v>
      </c>
      <c r="I35" s="383">
        <f t="shared" si="5"/>
        <v>1.2</v>
      </c>
      <c r="J35">
        <f t="shared" si="6"/>
        <v>10000</v>
      </c>
    </row>
    <row r="36" spans="1:10" x14ac:dyDescent="0.15">
      <c r="A36" s="501">
        <v>6000711</v>
      </c>
      <c r="B36" s="490">
        <v>20000</v>
      </c>
      <c r="C36" s="490">
        <v>1</v>
      </c>
      <c r="D36" s="502">
        <v>5000</v>
      </c>
      <c r="F36">
        <f t="shared" si="4"/>
        <v>68000</v>
      </c>
      <c r="G36">
        <f t="shared" si="1"/>
        <v>91600</v>
      </c>
      <c r="H36">
        <f t="shared" si="2"/>
        <v>130384.04810405297</v>
      </c>
      <c r="I36" s="383">
        <f t="shared" si="5"/>
        <v>1.2</v>
      </c>
      <c r="J36">
        <f t="shared" si="6"/>
        <v>10000</v>
      </c>
    </row>
    <row r="37" spans="1:10" x14ac:dyDescent="0.15">
      <c r="A37" s="501">
        <v>6000711</v>
      </c>
      <c r="B37" s="490">
        <v>30000</v>
      </c>
      <c r="C37" s="490">
        <v>1</v>
      </c>
      <c r="D37" s="502">
        <v>5000</v>
      </c>
      <c r="F37">
        <f t="shared" si="4"/>
        <v>70000</v>
      </c>
      <c r="G37">
        <f t="shared" si="1"/>
        <v>99000</v>
      </c>
      <c r="H37">
        <f t="shared" si="2"/>
        <v>132287.56555322953</v>
      </c>
      <c r="I37" s="383">
        <f t="shared" si="5"/>
        <v>1.2</v>
      </c>
      <c r="J37">
        <f t="shared" si="6"/>
        <v>15000</v>
      </c>
    </row>
    <row r="38" spans="1:10" x14ac:dyDescent="0.15">
      <c r="A38" s="501">
        <v>6000711</v>
      </c>
      <c r="B38" s="490">
        <v>50000</v>
      </c>
      <c r="C38" s="490">
        <v>1</v>
      </c>
      <c r="D38" s="502">
        <v>10000</v>
      </c>
      <c r="F38">
        <f t="shared" si="4"/>
        <v>72000</v>
      </c>
      <c r="G38">
        <f t="shared" si="1"/>
        <v>101400</v>
      </c>
      <c r="H38">
        <f t="shared" si="2"/>
        <v>134164.07864998738</v>
      </c>
      <c r="I38" s="383">
        <f t="shared" si="5"/>
        <v>1.2</v>
      </c>
      <c r="J38">
        <f t="shared" si="6"/>
        <v>15000</v>
      </c>
    </row>
    <row r="39" spans="1:10" x14ac:dyDescent="0.15">
      <c r="A39" s="501">
        <v>6000711</v>
      </c>
      <c r="B39" s="490">
        <v>70000</v>
      </c>
      <c r="C39" s="490">
        <v>1</v>
      </c>
      <c r="D39" s="502">
        <v>10000</v>
      </c>
      <c r="F39">
        <f t="shared" si="4"/>
        <v>74000</v>
      </c>
      <c r="G39">
        <f t="shared" si="1"/>
        <v>103800</v>
      </c>
      <c r="H39">
        <f t="shared" si="2"/>
        <v>136014.70508735444</v>
      </c>
      <c r="I39" s="383">
        <f t="shared" si="5"/>
        <v>1.2</v>
      </c>
      <c r="J39">
        <f t="shared" si="6"/>
        <v>15000</v>
      </c>
    </row>
    <row r="40" spans="1:10" ht="16" thickBot="1" x14ac:dyDescent="0.2">
      <c r="A40" s="503">
        <v>6000711</v>
      </c>
      <c r="B40" s="504">
        <v>100000</v>
      </c>
      <c r="C40" s="504">
        <v>1</v>
      </c>
      <c r="D40" s="505">
        <v>20000</v>
      </c>
      <c r="F40">
        <f t="shared" si="4"/>
        <v>76000</v>
      </c>
      <c r="G40">
        <f t="shared" si="1"/>
        <v>106200</v>
      </c>
      <c r="H40">
        <f t="shared" si="2"/>
        <v>137840.48752090224</v>
      </c>
      <c r="I40" s="383">
        <f t="shared" si="5"/>
        <v>1.2</v>
      </c>
      <c r="J40">
        <f t="shared" si="6"/>
        <v>15000</v>
      </c>
    </row>
    <row r="41" spans="1:10" x14ac:dyDescent="0.15">
      <c r="A41" s="499">
        <v>6000712</v>
      </c>
      <c r="B41" s="488">
        <v>0</v>
      </c>
      <c r="C41" s="488">
        <v>1</v>
      </c>
      <c r="D41" s="500">
        <v>0</v>
      </c>
      <c r="F41">
        <f t="shared" si="4"/>
        <v>78000</v>
      </c>
      <c r="G41">
        <f t="shared" si="1"/>
        <v>108600</v>
      </c>
      <c r="H41">
        <f t="shared" si="2"/>
        <v>139642.40043768942</v>
      </c>
      <c r="I41" s="383">
        <f t="shared" si="5"/>
        <v>1.2</v>
      </c>
      <c r="J41">
        <f t="shared" si="6"/>
        <v>15000</v>
      </c>
    </row>
    <row r="42" spans="1:10" x14ac:dyDescent="0.15">
      <c r="A42" s="501">
        <v>6000712</v>
      </c>
      <c r="B42" s="490">
        <v>5000</v>
      </c>
      <c r="C42" s="490">
        <v>1</v>
      </c>
      <c r="D42" s="502">
        <v>0</v>
      </c>
      <c r="F42">
        <f t="shared" si="4"/>
        <v>80000</v>
      </c>
      <c r="G42">
        <f t="shared" si="1"/>
        <v>111000</v>
      </c>
      <c r="H42">
        <f t="shared" si="2"/>
        <v>141421.35623730952</v>
      </c>
      <c r="I42" s="383">
        <f t="shared" si="5"/>
        <v>1.2</v>
      </c>
      <c r="J42">
        <f t="shared" si="6"/>
        <v>15000</v>
      </c>
    </row>
    <row r="43" spans="1:10" x14ac:dyDescent="0.15">
      <c r="A43" s="501">
        <v>6000712</v>
      </c>
      <c r="B43" s="490">
        <v>10000</v>
      </c>
      <c r="C43" s="490">
        <v>1</v>
      </c>
      <c r="D43" s="502">
        <v>0</v>
      </c>
      <c r="F43">
        <f t="shared" si="4"/>
        <v>82000</v>
      </c>
      <c r="G43">
        <f t="shared" si="1"/>
        <v>113400</v>
      </c>
      <c r="H43">
        <f t="shared" si="2"/>
        <v>143178.21063276351</v>
      </c>
      <c r="I43" s="383">
        <f t="shared" si="5"/>
        <v>1.2</v>
      </c>
      <c r="J43">
        <f t="shared" si="6"/>
        <v>15000</v>
      </c>
    </row>
    <row r="44" spans="1:10" x14ac:dyDescent="0.15">
      <c r="A44" s="501">
        <v>6000712</v>
      </c>
      <c r="B44" s="490">
        <v>20000</v>
      </c>
      <c r="C44" s="490">
        <v>1.1000000000000001</v>
      </c>
      <c r="D44" s="502">
        <v>5000</v>
      </c>
      <c r="F44">
        <f t="shared" si="4"/>
        <v>84000</v>
      </c>
      <c r="G44">
        <f t="shared" si="1"/>
        <v>115800</v>
      </c>
      <c r="H44">
        <f t="shared" si="2"/>
        <v>144913.7674618944</v>
      </c>
      <c r="I44" s="383">
        <f t="shared" si="5"/>
        <v>1.2</v>
      </c>
      <c r="J44">
        <f t="shared" si="6"/>
        <v>15000</v>
      </c>
    </row>
    <row r="45" spans="1:10" x14ac:dyDescent="0.15">
      <c r="A45" s="501">
        <v>6000712</v>
      </c>
      <c r="B45" s="490">
        <v>30000</v>
      </c>
      <c r="C45" s="490">
        <v>1.1000000000000001</v>
      </c>
      <c r="D45" s="502">
        <v>10000</v>
      </c>
      <c r="F45">
        <f t="shared" si="4"/>
        <v>86000</v>
      </c>
      <c r="G45">
        <f t="shared" si="1"/>
        <v>118200</v>
      </c>
      <c r="H45">
        <f t="shared" si="2"/>
        <v>146628.78298615181</v>
      </c>
      <c r="I45" s="383">
        <f t="shared" si="5"/>
        <v>1.2</v>
      </c>
      <c r="J45">
        <f t="shared" si="6"/>
        <v>15000</v>
      </c>
    </row>
    <row r="46" spans="1:10" x14ac:dyDescent="0.15">
      <c r="A46" s="501">
        <v>6000712</v>
      </c>
      <c r="B46" s="490">
        <v>50000</v>
      </c>
      <c r="C46" s="490">
        <v>1.2</v>
      </c>
      <c r="D46" s="502">
        <v>10000</v>
      </c>
      <c r="F46">
        <f t="shared" si="4"/>
        <v>88000</v>
      </c>
      <c r="G46">
        <f t="shared" si="1"/>
        <v>120600</v>
      </c>
      <c r="H46">
        <f t="shared" si="2"/>
        <v>148323.96974191326</v>
      </c>
      <c r="I46" s="383">
        <f t="shared" si="5"/>
        <v>1.2</v>
      </c>
      <c r="J46">
        <f t="shared" si="6"/>
        <v>15000</v>
      </c>
    </row>
    <row r="47" spans="1:10" x14ac:dyDescent="0.15">
      <c r="A47" s="501">
        <v>6000712</v>
      </c>
      <c r="B47" s="490">
        <v>70000</v>
      </c>
      <c r="C47" s="490">
        <v>1.2</v>
      </c>
      <c r="D47" s="502">
        <v>15000</v>
      </c>
      <c r="F47">
        <f t="shared" si="4"/>
        <v>90000</v>
      </c>
      <c r="G47">
        <f t="shared" si="1"/>
        <v>123000</v>
      </c>
      <c r="H47">
        <f t="shared" si="2"/>
        <v>150000</v>
      </c>
      <c r="I47" s="383">
        <f t="shared" si="5"/>
        <v>1.2</v>
      </c>
      <c r="J47">
        <f t="shared" si="6"/>
        <v>15000</v>
      </c>
    </row>
    <row r="48" spans="1:10" x14ac:dyDescent="0.15">
      <c r="A48" s="501">
        <v>6000712</v>
      </c>
      <c r="B48" s="490">
        <v>100000</v>
      </c>
      <c r="C48" s="490">
        <v>1.2</v>
      </c>
      <c r="D48" s="502">
        <v>20000</v>
      </c>
      <c r="F48">
        <f t="shared" si="4"/>
        <v>92000</v>
      </c>
      <c r="G48">
        <f t="shared" si="1"/>
        <v>125400</v>
      </c>
      <c r="H48">
        <f t="shared" si="2"/>
        <v>151657.50888103101</v>
      </c>
      <c r="I48" s="383">
        <f t="shared" si="5"/>
        <v>1.2</v>
      </c>
      <c r="J48">
        <f t="shared" si="6"/>
        <v>15000</v>
      </c>
    </row>
    <row r="49" spans="1:10" x14ac:dyDescent="0.15">
      <c r="A49" s="501">
        <v>6000712</v>
      </c>
      <c r="B49" s="490">
        <v>150000</v>
      </c>
      <c r="C49" s="490">
        <v>1.3</v>
      </c>
      <c r="D49" s="502">
        <v>25000</v>
      </c>
      <c r="F49">
        <f t="shared" si="4"/>
        <v>94000</v>
      </c>
      <c r="G49">
        <f t="shared" si="1"/>
        <v>127800</v>
      </c>
      <c r="H49">
        <f t="shared" si="2"/>
        <v>153297.09716755891</v>
      </c>
      <c r="I49" s="383">
        <f t="shared" si="5"/>
        <v>1.2</v>
      </c>
      <c r="J49">
        <f t="shared" si="6"/>
        <v>15000</v>
      </c>
    </row>
    <row r="50" spans="1:10" ht="16" thickBot="1" x14ac:dyDescent="0.2">
      <c r="A50" s="503">
        <v>6000712</v>
      </c>
      <c r="B50" s="492">
        <v>200000</v>
      </c>
      <c r="C50" s="492">
        <v>1.3</v>
      </c>
      <c r="D50" s="506">
        <v>30000</v>
      </c>
      <c r="F50">
        <f t="shared" si="4"/>
        <v>96000</v>
      </c>
      <c r="G50">
        <f t="shared" si="1"/>
        <v>130200</v>
      </c>
      <c r="H50">
        <f t="shared" si="2"/>
        <v>154919.33384829666</v>
      </c>
      <c r="I50" s="383">
        <f t="shared" si="5"/>
        <v>1.2</v>
      </c>
      <c r="J50">
        <f t="shared" si="6"/>
        <v>15000</v>
      </c>
    </row>
    <row r="51" spans="1:10" x14ac:dyDescent="0.15">
      <c r="A51" s="509">
        <v>6000731</v>
      </c>
      <c r="B51" s="510">
        <v>0</v>
      </c>
      <c r="C51" s="510">
        <v>0.05</v>
      </c>
      <c r="D51" s="511">
        <v>0</v>
      </c>
      <c r="F51">
        <f t="shared" si="4"/>
        <v>98000</v>
      </c>
      <c r="G51">
        <f t="shared" si="1"/>
        <v>132600</v>
      </c>
      <c r="H51">
        <f t="shared" si="2"/>
        <v>156524.75842498525</v>
      </c>
      <c r="I51" s="383">
        <f t="shared" si="5"/>
        <v>1.2</v>
      </c>
      <c r="J51">
        <f t="shared" si="6"/>
        <v>15000</v>
      </c>
    </row>
    <row r="52" spans="1:10" x14ac:dyDescent="0.15">
      <c r="A52" s="509">
        <v>6000731</v>
      </c>
      <c r="B52" s="356">
        <v>65000</v>
      </c>
      <c r="C52" s="356">
        <v>0.05</v>
      </c>
      <c r="D52" s="512">
        <v>200000</v>
      </c>
      <c r="F52">
        <f t="shared" si="4"/>
        <v>100000</v>
      </c>
      <c r="G52">
        <f t="shared" si="1"/>
        <v>140000</v>
      </c>
      <c r="H52">
        <f t="shared" si="2"/>
        <v>158113.88300841898</v>
      </c>
      <c r="I52" s="383">
        <f t="shared" si="5"/>
        <v>1.2</v>
      </c>
      <c r="J52">
        <f t="shared" si="6"/>
        <v>20000</v>
      </c>
    </row>
    <row r="53" spans="1:10" x14ac:dyDescent="0.15">
      <c r="A53" s="509">
        <v>6000731</v>
      </c>
      <c r="B53" s="356">
        <v>70000</v>
      </c>
      <c r="C53" s="356">
        <v>0.05</v>
      </c>
      <c r="D53" s="512">
        <v>250000</v>
      </c>
      <c r="F53">
        <f t="shared" si="4"/>
        <v>102000</v>
      </c>
      <c r="G53">
        <f t="shared" si="1"/>
        <v>142400</v>
      </c>
      <c r="H53">
        <f t="shared" si="2"/>
        <v>159687.19422671312</v>
      </c>
      <c r="I53" s="383">
        <f t="shared" si="5"/>
        <v>1.2</v>
      </c>
      <c r="J53">
        <f t="shared" si="6"/>
        <v>20000</v>
      </c>
    </row>
    <row r="54" spans="1:10" x14ac:dyDescent="0.15">
      <c r="A54" s="509">
        <v>6000731</v>
      </c>
      <c r="B54" s="356">
        <v>75000</v>
      </c>
      <c r="C54" s="356">
        <v>0.05</v>
      </c>
      <c r="D54" s="512">
        <v>300000</v>
      </c>
      <c r="F54">
        <f t="shared" si="4"/>
        <v>104000</v>
      </c>
      <c r="G54">
        <f t="shared" si="1"/>
        <v>144800</v>
      </c>
      <c r="H54">
        <f t="shared" si="2"/>
        <v>161245.15496597099</v>
      </c>
      <c r="I54" s="383">
        <f t="shared" si="5"/>
        <v>1.2</v>
      </c>
      <c r="J54">
        <f t="shared" si="6"/>
        <v>20000</v>
      </c>
    </row>
    <row r="55" spans="1:10" x14ac:dyDescent="0.15">
      <c r="A55" s="509">
        <v>6000731</v>
      </c>
      <c r="B55" s="356">
        <v>80000</v>
      </c>
      <c r="C55" s="356">
        <v>0.05</v>
      </c>
      <c r="D55" s="512">
        <v>350000</v>
      </c>
      <c r="F55">
        <f t="shared" si="4"/>
        <v>106000</v>
      </c>
      <c r="G55">
        <f t="shared" si="1"/>
        <v>147200</v>
      </c>
      <c r="H55">
        <f t="shared" si="2"/>
        <v>162788.20596099706</v>
      </c>
      <c r="I55" s="383">
        <f t="shared" si="5"/>
        <v>1.2</v>
      </c>
      <c r="J55">
        <f t="shared" si="6"/>
        <v>20000</v>
      </c>
    </row>
    <row r="56" spans="1:10" x14ac:dyDescent="0.15">
      <c r="A56" s="509">
        <v>6000731</v>
      </c>
      <c r="B56" s="356">
        <v>85000</v>
      </c>
      <c r="C56" s="356">
        <v>0.05</v>
      </c>
      <c r="D56" s="512">
        <v>400000</v>
      </c>
      <c r="F56">
        <f t="shared" si="4"/>
        <v>108000</v>
      </c>
      <c r="G56">
        <f t="shared" si="1"/>
        <v>149600</v>
      </c>
      <c r="H56">
        <f t="shared" si="2"/>
        <v>164316.76725154984</v>
      </c>
      <c r="I56" s="383">
        <f t="shared" si="5"/>
        <v>1.2</v>
      </c>
      <c r="J56">
        <f t="shared" si="6"/>
        <v>20000</v>
      </c>
    </row>
    <row r="57" spans="1:10" x14ac:dyDescent="0.15">
      <c r="A57" s="509">
        <v>6000731</v>
      </c>
      <c r="B57" s="356">
        <v>90000</v>
      </c>
      <c r="C57" s="356">
        <v>0.05</v>
      </c>
      <c r="D57" s="512">
        <v>425000</v>
      </c>
      <c r="F57">
        <f t="shared" si="4"/>
        <v>110000</v>
      </c>
      <c r="G57">
        <f t="shared" si="1"/>
        <v>152000</v>
      </c>
      <c r="H57">
        <f t="shared" si="2"/>
        <v>165831.23951777001</v>
      </c>
      <c r="I57" s="383">
        <f t="shared" si="5"/>
        <v>1.2</v>
      </c>
      <c r="J57">
        <f t="shared" si="6"/>
        <v>20000</v>
      </c>
    </row>
    <row r="58" spans="1:10" x14ac:dyDescent="0.15">
      <c r="A58" s="509">
        <v>6000731</v>
      </c>
      <c r="B58" s="356">
        <v>95000</v>
      </c>
      <c r="C58" s="356">
        <v>0.05</v>
      </c>
      <c r="D58" s="512">
        <v>450000</v>
      </c>
      <c r="F58">
        <f t="shared" si="4"/>
        <v>112000</v>
      </c>
      <c r="G58">
        <f t="shared" si="1"/>
        <v>154400</v>
      </c>
      <c r="H58">
        <f t="shared" si="2"/>
        <v>167332.00530681512</v>
      </c>
      <c r="I58" s="383">
        <f t="shared" si="5"/>
        <v>1.2</v>
      </c>
      <c r="J58">
        <f t="shared" si="6"/>
        <v>20000</v>
      </c>
    </row>
    <row r="59" spans="1:10" ht="16" thickBot="1" x14ac:dyDescent="0.2">
      <c r="A59" s="513">
        <v>6000731</v>
      </c>
      <c r="B59" s="357">
        <v>100000</v>
      </c>
      <c r="C59" s="357">
        <v>0.05</v>
      </c>
      <c r="D59" s="514">
        <v>475000</v>
      </c>
      <c r="F59">
        <f t="shared" si="4"/>
        <v>114000</v>
      </c>
      <c r="G59">
        <f t="shared" si="1"/>
        <v>156800</v>
      </c>
      <c r="H59">
        <f t="shared" si="2"/>
        <v>168819.43016134133</v>
      </c>
      <c r="I59" s="383">
        <f t="shared" si="5"/>
        <v>1.2</v>
      </c>
      <c r="J59">
        <f t="shared" si="6"/>
        <v>20000</v>
      </c>
    </row>
    <row r="60" spans="1:10" x14ac:dyDescent="0.15">
      <c r="A60" s="515">
        <v>6000732</v>
      </c>
      <c r="B60" s="370">
        <v>0</v>
      </c>
      <c r="C60" s="370">
        <v>0.05</v>
      </c>
      <c r="D60" s="516">
        <v>0</v>
      </c>
      <c r="F60">
        <f t="shared" si="4"/>
        <v>116000</v>
      </c>
      <c r="G60">
        <f t="shared" si="1"/>
        <v>159200</v>
      </c>
      <c r="H60">
        <f t="shared" si="2"/>
        <v>170293.86365926403</v>
      </c>
      <c r="I60" s="383">
        <f t="shared" si="5"/>
        <v>1.2</v>
      </c>
      <c r="J60">
        <f t="shared" si="6"/>
        <v>20000</v>
      </c>
    </row>
    <row r="61" spans="1:10" x14ac:dyDescent="0.15">
      <c r="A61" s="515">
        <v>6000732</v>
      </c>
      <c r="B61" s="350">
        <v>70000</v>
      </c>
      <c r="C61" s="350">
        <v>0.05</v>
      </c>
      <c r="D61" s="517">
        <v>300000</v>
      </c>
      <c r="F61">
        <f t="shared" si="4"/>
        <v>118000</v>
      </c>
      <c r="G61">
        <f t="shared" si="1"/>
        <v>161600</v>
      </c>
      <c r="H61">
        <f t="shared" si="2"/>
        <v>171755.64037317666</v>
      </c>
      <c r="I61" s="383">
        <f t="shared" si="5"/>
        <v>1.2</v>
      </c>
      <c r="J61">
        <f t="shared" si="6"/>
        <v>20000</v>
      </c>
    </row>
    <row r="62" spans="1:10" x14ac:dyDescent="0.15">
      <c r="A62" s="515">
        <v>6000732</v>
      </c>
      <c r="B62" s="350">
        <v>80000</v>
      </c>
      <c r="C62" s="350">
        <v>0.05</v>
      </c>
      <c r="D62" s="517">
        <v>320000</v>
      </c>
      <c r="F62">
        <f t="shared" si="4"/>
        <v>120000</v>
      </c>
      <c r="G62">
        <f t="shared" si="1"/>
        <v>164000</v>
      </c>
      <c r="H62">
        <f t="shared" si="2"/>
        <v>173205.08075688774</v>
      </c>
      <c r="I62" s="383">
        <f t="shared" si="5"/>
        <v>1.2</v>
      </c>
      <c r="J62">
        <f t="shared" si="6"/>
        <v>20000</v>
      </c>
    </row>
    <row r="63" spans="1:10" x14ac:dyDescent="0.15">
      <c r="A63" s="515">
        <v>6000732</v>
      </c>
      <c r="B63" s="350">
        <v>100000</v>
      </c>
      <c r="C63" s="350">
        <v>0.05</v>
      </c>
      <c r="D63" s="517">
        <v>380000</v>
      </c>
      <c r="F63">
        <f t="shared" si="4"/>
        <v>122000</v>
      </c>
      <c r="G63">
        <f t="shared" si="1"/>
        <v>166400</v>
      </c>
      <c r="H63">
        <f t="shared" si="2"/>
        <v>174642.49196572983</v>
      </c>
      <c r="I63" s="383">
        <f t="shared" si="5"/>
        <v>1.2</v>
      </c>
      <c r="J63">
        <f t="shared" si="6"/>
        <v>20000</v>
      </c>
    </row>
    <row r="64" spans="1:10" x14ac:dyDescent="0.15">
      <c r="A64" s="515">
        <v>6000732</v>
      </c>
      <c r="B64" s="350">
        <v>130000</v>
      </c>
      <c r="C64" s="350">
        <v>0.05</v>
      </c>
      <c r="D64" s="517">
        <v>440000</v>
      </c>
      <c r="F64">
        <f t="shared" si="4"/>
        <v>124000</v>
      </c>
      <c r="G64">
        <f t="shared" si="1"/>
        <v>168800</v>
      </c>
      <c r="H64">
        <f t="shared" si="2"/>
        <v>176068.16861659009</v>
      </c>
      <c r="I64" s="383">
        <f t="shared" si="5"/>
        <v>1.2</v>
      </c>
      <c r="J64">
        <f t="shared" si="6"/>
        <v>20000</v>
      </c>
    </row>
    <row r="65" spans="1:10" x14ac:dyDescent="0.15">
      <c r="A65" s="515">
        <v>6000732</v>
      </c>
      <c r="B65" s="350">
        <v>160000</v>
      </c>
      <c r="C65" s="350">
        <v>0.05</v>
      </c>
      <c r="D65" s="517">
        <v>500000</v>
      </c>
      <c r="F65">
        <f t="shared" si="4"/>
        <v>126000</v>
      </c>
      <c r="G65">
        <f t="shared" si="1"/>
        <v>171200</v>
      </c>
      <c r="H65">
        <f t="shared" si="2"/>
        <v>177482.39349298849</v>
      </c>
      <c r="I65" s="383">
        <f t="shared" si="5"/>
        <v>1.2</v>
      </c>
      <c r="J65">
        <f t="shared" si="6"/>
        <v>20000</v>
      </c>
    </row>
    <row r="66" spans="1:10" x14ac:dyDescent="0.15">
      <c r="A66" s="515">
        <v>6000732</v>
      </c>
      <c r="B66" s="350">
        <v>190000</v>
      </c>
      <c r="C66" s="350">
        <v>0.05</v>
      </c>
      <c r="D66" s="517">
        <v>560000</v>
      </c>
      <c r="F66">
        <f t="shared" si="4"/>
        <v>128000</v>
      </c>
      <c r="G66">
        <f t="shared" si="1"/>
        <v>173600</v>
      </c>
      <c r="H66">
        <f t="shared" si="2"/>
        <v>178885.43819998318</v>
      </c>
      <c r="I66" s="383">
        <f t="shared" si="5"/>
        <v>1.2</v>
      </c>
      <c r="J66">
        <f t="shared" si="6"/>
        <v>20000</v>
      </c>
    </row>
    <row r="67" spans="1:10" x14ac:dyDescent="0.15">
      <c r="A67" s="515">
        <v>6000732</v>
      </c>
      <c r="B67" s="350">
        <v>220000</v>
      </c>
      <c r="C67" s="350">
        <v>0.05</v>
      </c>
      <c r="D67" s="517">
        <v>575000</v>
      </c>
      <c r="F67">
        <f t="shared" si="4"/>
        <v>130000</v>
      </c>
      <c r="G67">
        <f t="shared" ref="G67:G176" si="7">I67*F67+J67</f>
        <v>176000</v>
      </c>
      <c r="H67">
        <f t="shared" ref="H67:H176" si="8">$K$2*SQRT(F67)</f>
        <v>180277.56377319945</v>
      </c>
      <c r="I67" s="383">
        <f t="shared" si="5"/>
        <v>1.2</v>
      </c>
      <c r="J67">
        <f t="shared" si="6"/>
        <v>20000</v>
      </c>
    </row>
    <row r="68" spans="1:10" x14ac:dyDescent="0.15">
      <c r="A68" s="515">
        <v>6000732</v>
      </c>
      <c r="B68" s="534">
        <v>250000</v>
      </c>
      <c r="C68" s="534">
        <v>0.05</v>
      </c>
      <c r="D68" s="517">
        <v>590000</v>
      </c>
      <c r="I68" s="383"/>
    </row>
    <row r="69" spans="1:10" x14ac:dyDescent="0.15">
      <c r="A69" s="515">
        <v>6000732</v>
      </c>
      <c r="B69" s="534">
        <v>280000</v>
      </c>
      <c r="C69" s="534">
        <v>0.05</v>
      </c>
      <c r="D69" s="517">
        <v>605000</v>
      </c>
      <c r="I69" s="383"/>
    </row>
    <row r="70" spans="1:10" x14ac:dyDescent="0.15">
      <c r="A70" s="515">
        <v>6000732</v>
      </c>
      <c r="B70" s="534">
        <v>310000</v>
      </c>
      <c r="C70" s="534">
        <v>0.05</v>
      </c>
      <c r="D70" s="517">
        <v>620000</v>
      </c>
      <c r="I70" s="383"/>
    </row>
    <row r="71" spans="1:10" x14ac:dyDescent="0.15">
      <c r="A71" s="515">
        <v>6000732</v>
      </c>
      <c r="B71" s="534">
        <v>340000</v>
      </c>
      <c r="C71" s="534">
        <v>0.05</v>
      </c>
      <c r="D71" s="517">
        <v>635000</v>
      </c>
      <c r="I71" s="383"/>
    </row>
    <row r="72" spans="1:10" ht="16" thickBot="1" x14ac:dyDescent="0.2">
      <c r="A72" s="518">
        <v>6000732</v>
      </c>
      <c r="B72" s="353">
        <v>370000</v>
      </c>
      <c r="C72" s="353">
        <v>0.05</v>
      </c>
      <c r="D72" s="519">
        <v>650000</v>
      </c>
      <c r="F72">
        <f>F67+2000</f>
        <v>132000</v>
      </c>
      <c r="G72">
        <f t="shared" si="7"/>
        <v>178400</v>
      </c>
      <c r="H72">
        <f t="shared" si="8"/>
        <v>181659.02124584949</v>
      </c>
      <c r="I72" s="383">
        <f t="shared" si="5"/>
        <v>1.2</v>
      </c>
      <c r="J72">
        <f t="shared" si="6"/>
        <v>20000</v>
      </c>
    </row>
    <row r="73" spans="1:10" x14ac:dyDescent="0.15">
      <c r="A73" s="509">
        <v>6000733</v>
      </c>
      <c r="B73" s="510">
        <v>0</v>
      </c>
      <c r="C73" s="510">
        <v>0.05</v>
      </c>
      <c r="D73" s="511">
        <v>0</v>
      </c>
      <c r="F73">
        <f t="shared" ref="F73:F146" si="9">F72+2000</f>
        <v>134000</v>
      </c>
      <c r="G73">
        <f t="shared" si="7"/>
        <v>180800</v>
      </c>
      <c r="H73">
        <f t="shared" si="8"/>
        <v>183030.05217723126</v>
      </c>
      <c r="I73" s="383">
        <f t="shared" si="5"/>
        <v>1.2</v>
      </c>
      <c r="J73">
        <f t="shared" si="6"/>
        <v>20000</v>
      </c>
    </row>
    <row r="74" spans="1:10" x14ac:dyDescent="0.15">
      <c r="A74" s="509">
        <v>6000733</v>
      </c>
      <c r="B74" s="356">
        <v>500000</v>
      </c>
      <c r="C74" s="356">
        <v>0.05</v>
      </c>
      <c r="D74" s="512">
        <v>600000</v>
      </c>
      <c r="F74">
        <f t="shared" si="9"/>
        <v>136000</v>
      </c>
      <c r="G74">
        <f t="shared" si="7"/>
        <v>183200</v>
      </c>
      <c r="H74">
        <f t="shared" si="8"/>
        <v>184390.88914585774</v>
      </c>
      <c r="I74" s="383">
        <f t="shared" si="5"/>
        <v>1.2</v>
      </c>
      <c r="J74">
        <f t="shared" si="6"/>
        <v>20000</v>
      </c>
    </row>
    <row r="75" spans="1:10" x14ac:dyDescent="0.15">
      <c r="A75" s="509">
        <v>6000733</v>
      </c>
      <c r="B75" s="356">
        <v>520000</v>
      </c>
      <c r="C75" s="356">
        <v>0.05</v>
      </c>
      <c r="D75" s="512">
        <v>640000</v>
      </c>
      <c r="F75">
        <f t="shared" si="9"/>
        <v>138000</v>
      </c>
      <c r="G75">
        <f t="shared" si="7"/>
        <v>185600</v>
      </c>
      <c r="H75">
        <f t="shared" si="8"/>
        <v>185741.75621006711</v>
      </c>
      <c r="I75" s="383">
        <f t="shared" si="5"/>
        <v>1.2</v>
      </c>
      <c r="J75">
        <f t="shared" si="6"/>
        <v>20000</v>
      </c>
    </row>
    <row r="76" spans="1:10" x14ac:dyDescent="0.15">
      <c r="A76" s="509">
        <v>6000733</v>
      </c>
      <c r="B76" s="356">
        <v>540000</v>
      </c>
      <c r="C76" s="356">
        <v>0.05</v>
      </c>
      <c r="D76" s="512">
        <v>680000</v>
      </c>
      <c r="F76">
        <f t="shared" si="9"/>
        <v>140000</v>
      </c>
      <c r="G76">
        <f t="shared" si="7"/>
        <v>188000</v>
      </c>
      <c r="H76">
        <f t="shared" si="8"/>
        <v>187082.86933869706</v>
      </c>
      <c r="I76" s="383">
        <f t="shared" si="5"/>
        <v>1.2</v>
      </c>
      <c r="J76">
        <f t="shared" si="6"/>
        <v>20000</v>
      </c>
    </row>
    <row r="77" spans="1:10" x14ac:dyDescent="0.15">
      <c r="A77" s="509">
        <v>6000733</v>
      </c>
      <c r="B77" s="356">
        <v>560000</v>
      </c>
      <c r="C77" s="356">
        <v>0.05</v>
      </c>
      <c r="D77" s="512">
        <v>720000</v>
      </c>
      <c r="F77">
        <f t="shared" si="9"/>
        <v>142000</v>
      </c>
      <c r="G77">
        <f t="shared" si="7"/>
        <v>190400</v>
      </c>
      <c r="H77">
        <f t="shared" si="8"/>
        <v>188414.43681416771</v>
      </c>
      <c r="I77" s="383">
        <f t="shared" si="5"/>
        <v>1.2</v>
      </c>
      <c r="J77">
        <f t="shared" si="6"/>
        <v>20000</v>
      </c>
    </row>
    <row r="78" spans="1:10" x14ac:dyDescent="0.15">
      <c r="A78" s="509">
        <v>6000733</v>
      </c>
      <c r="B78" s="356">
        <v>580000</v>
      </c>
      <c r="C78" s="356">
        <v>0.05</v>
      </c>
      <c r="D78" s="512">
        <v>760000</v>
      </c>
      <c r="F78">
        <f t="shared" si="9"/>
        <v>144000</v>
      </c>
      <c r="G78">
        <f t="shared" si="7"/>
        <v>192800</v>
      </c>
      <c r="H78">
        <f t="shared" si="8"/>
        <v>189736.65961010274</v>
      </c>
      <c r="I78" s="383">
        <f t="shared" si="5"/>
        <v>1.2</v>
      </c>
      <c r="J78">
        <f t="shared" si="6"/>
        <v>20000</v>
      </c>
    </row>
    <row r="79" spans="1:10" x14ac:dyDescent="0.15">
      <c r="A79" s="509">
        <v>6000733</v>
      </c>
      <c r="B79" s="356">
        <v>600000</v>
      </c>
      <c r="C79" s="356">
        <v>0.05</v>
      </c>
      <c r="D79" s="512">
        <v>800000</v>
      </c>
      <c r="F79">
        <f t="shared" si="9"/>
        <v>146000</v>
      </c>
      <c r="G79">
        <f t="shared" si="7"/>
        <v>195200</v>
      </c>
      <c r="H79">
        <f t="shared" si="8"/>
        <v>191049.731745428</v>
      </c>
      <c r="I79" s="383">
        <f t="shared" si="5"/>
        <v>1.2</v>
      </c>
      <c r="J79">
        <f t="shared" si="6"/>
        <v>20000</v>
      </c>
    </row>
    <row r="80" spans="1:10" x14ac:dyDescent="0.15">
      <c r="A80" s="509">
        <v>6000733</v>
      </c>
      <c r="B80" s="356">
        <v>620000</v>
      </c>
      <c r="C80" s="356">
        <v>0.05</v>
      </c>
      <c r="D80" s="512">
        <v>840000</v>
      </c>
      <c r="F80">
        <f t="shared" si="9"/>
        <v>148000</v>
      </c>
      <c r="G80">
        <f t="shared" si="7"/>
        <v>197600</v>
      </c>
      <c r="H80">
        <f t="shared" si="8"/>
        <v>192353.84061671345</v>
      </c>
      <c r="I80" s="383">
        <f t="shared" si="5"/>
        <v>1.2</v>
      </c>
      <c r="J80">
        <f t="shared" si="6"/>
        <v>20000</v>
      </c>
    </row>
    <row r="81" spans="1:10" x14ac:dyDescent="0.15">
      <c r="A81" s="509">
        <v>6000733</v>
      </c>
      <c r="B81" s="356">
        <v>640000</v>
      </c>
      <c r="C81" s="356">
        <v>0.05</v>
      </c>
      <c r="D81" s="512">
        <v>880000</v>
      </c>
      <c r="F81">
        <f t="shared" si="9"/>
        <v>150000</v>
      </c>
      <c r="G81">
        <f t="shared" ref="G81:G85" si="10">I81*F81+J81</f>
        <v>220000</v>
      </c>
      <c r="H81">
        <f t="shared" ref="H81:H85" si="11">$K$2*SQRT(F81)</f>
        <v>193649.16731037083</v>
      </c>
      <c r="I81" s="383">
        <f t="shared" ref="I81:I85" si="12">VLOOKUP(F81,B$10:D$19,2)</f>
        <v>1.3</v>
      </c>
      <c r="J81">
        <f t="shared" ref="J81:J85" si="13">VLOOKUP(F81,B$10:D$19,3)</f>
        <v>25000</v>
      </c>
    </row>
    <row r="82" spans="1:10" x14ac:dyDescent="0.15">
      <c r="A82" s="509">
        <v>6000733</v>
      </c>
      <c r="B82" s="356">
        <v>660000</v>
      </c>
      <c r="C82" s="356">
        <v>0.05</v>
      </c>
      <c r="D82" s="512">
        <v>920000</v>
      </c>
      <c r="F82">
        <f t="shared" si="9"/>
        <v>152000</v>
      </c>
      <c r="G82">
        <f t="shared" si="10"/>
        <v>222600</v>
      </c>
      <c r="H82">
        <f t="shared" si="11"/>
        <v>194935.88689617929</v>
      </c>
      <c r="I82" s="383">
        <f t="shared" si="12"/>
        <v>1.3</v>
      </c>
      <c r="J82">
        <f t="shared" si="13"/>
        <v>25000</v>
      </c>
    </row>
    <row r="83" spans="1:10" x14ac:dyDescent="0.15">
      <c r="A83" s="509">
        <v>6000733</v>
      </c>
      <c r="B83" s="356">
        <v>680000</v>
      </c>
      <c r="C83" s="356">
        <v>0.05</v>
      </c>
      <c r="D83" s="512">
        <v>940000</v>
      </c>
      <c r="F83">
        <f t="shared" si="9"/>
        <v>154000</v>
      </c>
      <c r="G83">
        <f t="shared" si="10"/>
        <v>225200</v>
      </c>
      <c r="H83">
        <f t="shared" si="11"/>
        <v>196214.16870348583</v>
      </c>
      <c r="I83" s="383">
        <f t="shared" si="12"/>
        <v>1.3</v>
      </c>
      <c r="J83">
        <f t="shared" si="13"/>
        <v>25000</v>
      </c>
    </row>
    <row r="84" spans="1:10" x14ac:dyDescent="0.15">
      <c r="A84" s="509">
        <v>6000733</v>
      </c>
      <c r="B84" s="356">
        <v>700000</v>
      </c>
      <c r="C84" s="356">
        <v>0.05</v>
      </c>
      <c r="D84" s="512">
        <v>960000</v>
      </c>
      <c r="F84">
        <f t="shared" si="9"/>
        <v>156000</v>
      </c>
      <c r="G84">
        <f t="shared" si="10"/>
        <v>227800</v>
      </c>
      <c r="H84">
        <f t="shared" si="11"/>
        <v>197484.176581315</v>
      </c>
      <c r="I84" s="383">
        <f t="shared" si="12"/>
        <v>1.3</v>
      </c>
      <c r="J84">
        <f t="shared" si="13"/>
        <v>25000</v>
      </c>
    </row>
    <row r="85" spans="1:10" x14ac:dyDescent="0.15">
      <c r="A85" s="509">
        <v>6000733</v>
      </c>
      <c r="B85" s="356">
        <v>720000</v>
      </c>
      <c r="C85" s="356">
        <v>0.05</v>
      </c>
      <c r="D85" s="512">
        <v>980000</v>
      </c>
      <c r="F85">
        <f t="shared" si="9"/>
        <v>158000</v>
      </c>
      <c r="G85">
        <f t="shared" si="10"/>
        <v>230400</v>
      </c>
      <c r="H85">
        <f t="shared" si="11"/>
        <v>198746.0691435179</v>
      </c>
      <c r="I85" s="383">
        <f t="shared" si="12"/>
        <v>1.3</v>
      </c>
      <c r="J85">
        <f t="shared" si="13"/>
        <v>25000</v>
      </c>
    </row>
    <row r="86" spans="1:10" x14ac:dyDescent="0.15">
      <c r="A86" s="509">
        <v>6000733</v>
      </c>
      <c r="B86" s="356">
        <v>740000</v>
      </c>
      <c r="C86" s="356">
        <v>0.05</v>
      </c>
      <c r="D86" s="512">
        <v>1000000</v>
      </c>
      <c r="F86">
        <f t="shared" si="9"/>
        <v>160000</v>
      </c>
      <c r="G86">
        <f t="shared" ref="G86:G90" si="14">I86*F86+J86</f>
        <v>233000</v>
      </c>
      <c r="H86">
        <f t="shared" ref="H86:H90" si="15">$K$2*SQRT(F86)</f>
        <v>200000</v>
      </c>
      <c r="I86" s="383">
        <f t="shared" ref="I86:I90" si="16">VLOOKUP(F86,B$10:D$19,2)</f>
        <v>1.3</v>
      </c>
      <c r="J86">
        <f t="shared" ref="J86:J90" si="17">VLOOKUP(F86,B$10:D$19,3)</f>
        <v>25000</v>
      </c>
    </row>
    <row r="87" spans="1:10" x14ac:dyDescent="0.15">
      <c r="A87" s="509">
        <v>6000733</v>
      </c>
      <c r="B87" s="356">
        <v>760000</v>
      </c>
      <c r="C87" s="356">
        <v>0.05</v>
      </c>
      <c r="D87" s="512">
        <v>1020000</v>
      </c>
      <c r="F87">
        <f t="shared" si="9"/>
        <v>162000</v>
      </c>
      <c r="G87">
        <f t="shared" si="14"/>
        <v>235600</v>
      </c>
      <c r="H87">
        <f t="shared" si="15"/>
        <v>201246.11797498108</v>
      </c>
      <c r="I87" s="383">
        <f t="shared" si="16"/>
        <v>1.3</v>
      </c>
      <c r="J87">
        <f t="shared" si="17"/>
        <v>25000</v>
      </c>
    </row>
    <row r="88" spans="1:10" x14ac:dyDescent="0.15">
      <c r="A88" s="509">
        <v>6000733</v>
      </c>
      <c r="B88" s="356">
        <v>780000</v>
      </c>
      <c r="C88" s="356">
        <v>0.05</v>
      </c>
      <c r="D88" s="512">
        <v>1040000</v>
      </c>
      <c r="F88">
        <f t="shared" si="9"/>
        <v>164000</v>
      </c>
      <c r="G88">
        <f t="shared" si="14"/>
        <v>238200</v>
      </c>
      <c r="H88">
        <f t="shared" si="15"/>
        <v>202484.56731316587</v>
      </c>
      <c r="I88" s="383">
        <f t="shared" si="16"/>
        <v>1.3</v>
      </c>
      <c r="J88">
        <f t="shared" si="17"/>
        <v>25000</v>
      </c>
    </row>
    <row r="89" spans="1:10" x14ac:dyDescent="0.15">
      <c r="A89" s="564">
        <v>6000733</v>
      </c>
      <c r="B89" s="356">
        <v>800000</v>
      </c>
      <c r="C89" s="356">
        <v>0.05</v>
      </c>
      <c r="D89" s="512">
        <v>1050000</v>
      </c>
      <c r="F89">
        <f t="shared" si="9"/>
        <v>166000</v>
      </c>
      <c r="G89">
        <f t="shared" si="14"/>
        <v>240800</v>
      </c>
      <c r="H89">
        <f t="shared" si="15"/>
        <v>203715.48787463363</v>
      </c>
      <c r="I89" s="383">
        <f t="shared" si="16"/>
        <v>1.3</v>
      </c>
      <c r="J89">
        <f t="shared" si="17"/>
        <v>25000</v>
      </c>
    </row>
    <row r="90" spans="1:10" x14ac:dyDescent="0.15">
      <c r="A90" s="564">
        <v>6000733</v>
      </c>
      <c r="B90" s="356">
        <v>820000</v>
      </c>
      <c r="C90" s="356">
        <v>0.05</v>
      </c>
      <c r="D90" s="512">
        <v>1060000</v>
      </c>
      <c r="F90">
        <f t="shared" si="9"/>
        <v>168000</v>
      </c>
      <c r="G90">
        <f t="shared" si="14"/>
        <v>243400</v>
      </c>
      <c r="H90">
        <f t="shared" si="15"/>
        <v>204939.01531919197</v>
      </c>
      <c r="I90" s="383">
        <f t="shared" si="16"/>
        <v>1.3</v>
      </c>
      <c r="J90">
        <f t="shared" si="17"/>
        <v>25000</v>
      </c>
    </row>
    <row r="91" spans="1:10" x14ac:dyDescent="0.15">
      <c r="A91" s="509">
        <v>6000733</v>
      </c>
      <c r="B91" s="356">
        <v>840000</v>
      </c>
      <c r="C91" s="356">
        <v>0.05</v>
      </c>
      <c r="D91" s="512">
        <v>1070000</v>
      </c>
      <c r="F91">
        <f t="shared" si="9"/>
        <v>170000</v>
      </c>
      <c r="G91">
        <f t="shared" ref="G91:G94" si="18">I91*F91+J91</f>
        <v>246000</v>
      </c>
      <c r="H91">
        <f t="shared" ref="H91:H94" si="19">$K$2*SQRT(F91)</f>
        <v>206155.28128088303</v>
      </c>
      <c r="I91" s="383">
        <f t="shared" ref="I91:I94" si="20">VLOOKUP(F91,B$10:D$19,2)</f>
        <v>1.3</v>
      </c>
      <c r="J91">
        <f t="shared" ref="J91:J94" si="21">VLOOKUP(F91,B$10:D$19,3)</f>
        <v>25000</v>
      </c>
    </row>
    <row r="92" spans="1:10" x14ac:dyDescent="0.15">
      <c r="A92" s="509">
        <v>6000733</v>
      </c>
      <c r="B92" s="356">
        <v>860000</v>
      </c>
      <c r="C92" s="356">
        <v>0.05</v>
      </c>
      <c r="D92" s="512">
        <v>1080000</v>
      </c>
      <c r="F92">
        <f t="shared" si="9"/>
        <v>172000</v>
      </c>
      <c r="G92">
        <f t="shared" si="18"/>
        <v>248600</v>
      </c>
      <c r="H92">
        <f t="shared" si="19"/>
        <v>207364.4135332772</v>
      </c>
      <c r="I92" s="383">
        <f t="shared" si="20"/>
        <v>1.3</v>
      </c>
      <c r="J92">
        <f t="shared" si="21"/>
        <v>25000</v>
      </c>
    </row>
    <row r="93" spans="1:10" x14ac:dyDescent="0.15">
      <c r="A93" s="509">
        <v>6000733</v>
      </c>
      <c r="B93" s="356">
        <v>880000</v>
      </c>
      <c r="C93" s="356">
        <v>0.05</v>
      </c>
      <c r="D93" s="512">
        <v>1090000</v>
      </c>
      <c r="F93">
        <f t="shared" si="9"/>
        <v>174000</v>
      </c>
      <c r="G93">
        <f t="shared" si="18"/>
        <v>251200</v>
      </c>
      <c r="H93">
        <f t="shared" si="19"/>
        <v>208566.53614614211</v>
      </c>
      <c r="I93" s="383">
        <f t="shared" si="20"/>
        <v>1.3</v>
      </c>
      <c r="J93">
        <f t="shared" si="21"/>
        <v>25000</v>
      </c>
    </row>
    <row r="94" spans="1:10" ht="16" thickBot="1" x14ac:dyDescent="0.2">
      <c r="A94" s="513">
        <v>6000733</v>
      </c>
      <c r="B94" s="357">
        <v>900000</v>
      </c>
      <c r="C94" s="357">
        <v>0.05</v>
      </c>
      <c r="D94" s="514">
        <v>1100000</v>
      </c>
      <c r="F94">
        <f t="shared" si="9"/>
        <v>176000</v>
      </c>
      <c r="G94">
        <f t="shared" si="18"/>
        <v>253800</v>
      </c>
      <c r="H94">
        <f t="shared" si="19"/>
        <v>209761.76963403032</v>
      </c>
      <c r="I94" s="383">
        <f t="shared" si="20"/>
        <v>1.3</v>
      </c>
      <c r="J94">
        <f t="shared" si="21"/>
        <v>25000</v>
      </c>
    </row>
    <row r="95" spans="1:10" x14ac:dyDescent="0.15">
      <c r="A95" s="535">
        <v>6000734</v>
      </c>
      <c r="B95" s="536">
        <v>0</v>
      </c>
      <c r="C95" s="536">
        <v>0.05</v>
      </c>
      <c r="D95" s="537">
        <v>0</v>
      </c>
      <c r="F95" t="e">
        <f>#REF!+2000</f>
        <v>#REF!</v>
      </c>
      <c r="G95" t="e">
        <f t="shared" si="7"/>
        <v>#REF!</v>
      </c>
      <c r="H95" t="e">
        <f t="shared" si="8"/>
        <v>#REF!</v>
      </c>
      <c r="I95" s="383" t="e">
        <f t="shared" si="5"/>
        <v>#REF!</v>
      </c>
      <c r="J95" t="e">
        <f t="shared" si="6"/>
        <v>#REF!</v>
      </c>
    </row>
    <row r="96" spans="1:10" x14ac:dyDescent="0.15">
      <c r="A96" s="515">
        <v>6000734</v>
      </c>
      <c r="B96" s="350">
        <v>360000</v>
      </c>
      <c r="C96" s="350">
        <v>0.05</v>
      </c>
      <c r="D96" s="517">
        <v>470000</v>
      </c>
      <c r="F96" t="e">
        <f t="shared" si="9"/>
        <v>#REF!</v>
      </c>
      <c r="G96" t="e">
        <f t="shared" si="7"/>
        <v>#REF!</v>
      </c>
      <c r="H96" t="e">
        <f t="shared" si="8"/>
        <v>#REF!</v>
      </c>
      <c r="I96" s="383" t="e">
        <f t="shared" si="5"/>
        <v>#REF!</v>
      </c>
      <c r="J96" t="e">
        <f t="shared" si="6"/>
        <v>#REF!</v>
      </c>
    </row>
    <row r="97" spans="1:10" x14ac:dyDescent="0.15">
      <c r="A97" s="515">
        <v>6000734</v>
      </c>
      <c r="B97" s="350">
        <v>380000</v>
      </c>
      <c r="C97" s="350">
        <v>0.05</v>
      </c>
      <c r="D97" s="517">
        <v>497000</v>
      </c>
      <c r="F97" t="e">
        <f t="shared" si="9"/>
        <v>#REF!</v>
      </c>
      <c r="G97" t="e">
        <f t="shared" si="7"/>
        <v>#REF!</v>
      </c>
      <c r="H97" t="e">
        <f t="shared" si="8"/>
        <v>#REF!</v>
      </c>
      <c r="I97" s="383" t="e">
        <f t="shared" si="5"/>
        <v>#REF!</v>
      </c>
      <c r="J97" t="e">
        <f t="shared" si="6"/>
        <v>#REF!</v>
      </c>
    </row>
    <row r="98" spans="1:10" x14ac:dyDescent="0.15">
      <c r="A98" s="515">
        <v>6000734</v>
      </c>
      <c r="B98" s="350">
        <v>400000</v>
      </c>
      <c r="C98" s="350">
        <v>0.05</v>
      </c>
      <c r="D98" s="517">
        <v>524000</v>
      </c>
      <c r="F98" t="e">
        <f t="shared" si="9"/>
        <v>#REF!</v>
      </c>
      <c r="G98" t="e">
        <f t="shared" ref="G98:G101" si="22">I98*F98+J98</f>
        <v>#REF!</v>
      </c>
      <c r="H98" t="e">
        <f t="shared" ref="H98:H101" si="23">$K$2*SQRT(F98)</f>
        <v>#REF!</v>
      </c>
      <c r="I98" s="383" t="e">
        <f t="shared" ref="I98:I101" si="24">VLOOKUP(F98,B$10:D$19,2)</f>
        <v>#REF!</v>
      </c>
      <c r="J98" t="e">
        <f t="shared" ref="J98:J101" si="25">VLOOKUP(F98,B$10:D$19,3)</f>
        <v>#REF!</v>
      </c>
    </row>
    <row r="99" spans="1:10" x14ac:dyDescent="0.15">
      <c r="A99" s="515">
        <v>6000734</v>
      </c>
      <c r="B99" s="350">
        <v>420000</v>
      </c>
      <c r="C99" s="350">
        <v>0.05</v>
      </c>
      <c r="D99" s="517">
        <v>551000</v>
      </c>
      <c r="F99" t="e">
        <f t="shared" si="9"/>
        <v>#REF!</v>
      </c>
      <c r="G99" t="e">
        <f t="shared" si="22"/>
        <v>#REF!</v>
      </c>
      <c r="H99" t="e">
        <f t="shared" si="23"/>
        <v>#REF!</v>
      </c>
      <c r="I99" s="383" t="e">
        <f t="shared" si="24"/>
        <v>#REF!</v>
      </c>
      <c r="J99" t="e">
        <f t="shared" si="25"/>
        <v>#REF!</v>
      </c>
    </row>
    <row r="100" spans="1:10" x14ac:dyDescent="0.15">
      <c r="A100" s="515">
        <v>6000734</v>
      </c>
      <c r="B100" s="350">
        <v>440000</v>
      </c>
      <c r="C100" s="350">
        <v>0.05</v>
      </c>
      <c r="D100" s="517">
        <v>578000</v>
      </c>
      <c r="F100" t="e">
        <f t="shared" si="9"/>
        <v>#REF!</v>
      </c>
      <c r="G100" t="e">
        <f t="shared" si="22"/>
        <v>#REF!</v>
      </c>
      <c r="H100" t="e">
        <f t="shared" si="23"/>
        <v>#REF!</v>
      </c>
      <c r="I100" s="383" t="e">
        <f t="shared" si="24"/>
        <v>#REF!</v>
      </c>
      <c r="J100" t="e">
        <f t="shared" si="25"/>
        <v>#REF!</v>
      </c>
    </row>
    <row r="101" spans="1:10" x14ac:dyDescent="0.15">
      <c r="A101" s="515">
        <v>6000734</v>
      </c>
      <c r="B101" s="350">
        <v>460000</v>
      </c>
      <c r="C101" s="350">
        <v>0.05</v>
      </c>
      <c r="D101" s="517">
        <v>605000</v>
      </c>
      <c r="F101" t="e">
        <f t="shared" si="9"/>
        <v>#REF!</v>
      </c>
      <c r="G101" t="e">
        <f t="shared" si="22"/>
        <v>#REF!</v>
      </c>
      <c r="H101" t="e">
        <f t="shared" si="23"/>
        <v>#REF!</v>
      </c>
      <c r="I101" s="383" t="e">
        <f t="shared" si="24"/>
        <v>#REF!</v>
      </c>
      <c r="J101" t="e">
        <f t="shared" si="25"/>
        <v>#REF!</v>
      </c>
    </row>
    <row r="102" spans="1:10" x14ac:dyDescent="0.15">
      <c r="A102" s="515">
        <v>6000734</v>
      </c>
      <c r="B102" s="350">
        <v>480000</v>
      </c>
      <c r="C102" s="350">
        <v>0.05</v>
      </c>
      <c r="D102" s="517">
        <v>632000</v>
      </c>
      <c r="F102" t="e">
        <f>F97+2000</f>
        <v>#REF!</v>
      </c>
      <c r="G102" t="e">
        <f t="shared" si="7"/>
        <v>#REF!</v>
      </c>
      <c r="H102" t="e">
        <f t="shared" si="8"/>
        <v>#REF!</v>
      </c>
      <c r="I102" s="383" t="e">
        <f t="shared" si="5"/>
        <v>#REF!</v>
      </c>
      <c r="J102" t="e">
        <f t="shared" si="6"/>
        <v>#REF!</v>
      </c>
    </row>
    <row r="103" spans="1:10" x14ac:dyDescent="0.15">
      <c r="A103" s="515">
        <v>6000734</v>
      </c>
      <c r="B103" s="350">
        <v>500000</v>
      </c>
      <c r="C103" s="350">
        <v>0.05</v>
      </c>
      <c r="D103" s="517">
        <v>659000</v>
      </c>
      <c r="F103" t="e">
        <f t="shared" si="9"/>
        <v>#REF!</v>
      </c>
      <c r="G103" t="e">
        <f t="shared" si="7"/>
        <v>#REF!</v>
      </c>
      <c r="H103" t="e">
        <f t="shared" si="8"/>
        <v>#REF!</v>
      </c>
      <c r="I103" s="383" t="e">
        <f t="shared" si="5"/>
        <v>#REF!</v>
      </c>
      <c r="J103" t="e">
        <f t="shared" si="6"/>
        <v>#REF!</v>
      </c>
    </row>
    <row r="104" spans="1:10" x14ac:dyDescent="0.15">
      <c r="A104" s="515">
        <v>6000734</v>
      </c>
      <c r="B104" s="350">
        <v>520000</v>
      </c>
      <c r="C104" s="350">
        <v>0.05</v>
      </c>
      <c r="D104" s="517">
        <v>686000</v>
      </c>
      <c r="F104" t="e">
        <f t="shared" si="9"/>
        <v>#REF!</v>
      </c>
      <c r="G104" t="e">
        <f t="shared" si="7"/>
        <v>#REF!</v>
      </c>
      <c r="H104" t="e">
        <f t="shared" si="8"/>
        <v>#REF!</v>
      </c>
      <c r="I104" s="383" t="e">
        <f t="shared" si="5"/>
        <v>#REF!</v>
      </c>
      <c r="J104" t="e">
        <f t="shared" si="6"/>
        <v>#REF!</v>
      </c>
    </row>
    <row r="105" spans="1:10" x14ac:dyDescent="0.15">
      <c r="A105" s="515">
        <v>6000734</v>
      </c>
      <c r="B105" s="350">
        <v>540000</v>
      </c>
      <c r="C105" s="350">
        <v>0.05</v>
      </c>
      <c r="D105" s="517">
        <v>713000</v>
      </c>
      <c r="F105" t="e">
        <f t="shared" si="9"/>
        <v>#REF!</v>
      </c>
      <c r="G105" t="e">
        <f t="shared" si="7"/>
        <v>#REF!</v>
      </c>
      <c r="H105" t="e">
        <f t="shared" si="8"/>
        <v>#REF!</v>
      </c>
      <c r="I105" s="383" t="e">
        <f t="shared" si="5"/>
        <v>#REF!</v>
      </c>
      <c r="J105" t="e">
        <f t="shared" si="6"/>
        <v>#REF!</v>
      </c>
    </row>
    <row r="106" spans="1:10" x14ac:dyDescent="0.15">
      <c r="A106" s="515">
        <v>6000734</v>
      </c>
      <c r="B106" s="350">
        <v>560000</v>
      </c>
      <c r="C106" s="350">
        <v>0.05</v>
      </c>
      <c r="D106" s="517">
        <v>740000</v>
      </c>
      <c r="F106" t="e">
        <f t="shared" si="9"/>
        <v>#REF!</v>
      </c>
      <c r="G106" t="e">
        <f t="shared" si="7"/>
        <v>#REF!</v>
      </c>
      <c r="H106" t="e">
        <f t="shared" si="8"/>
        <v>#REF!</v>
      </c>
      <c r="I106" s="383" t="e">
        <f t="shared" si="5"/>
        <v>#REF!</v>
      </c>
      <c r="J106" t="e">
        <f t="shared" si="6"/>
        <v>#REF!</v>
      </c>
    </row>
    <row r="107" spans="1:10" x14ac:dyDescent="0.15">
      <c r="A107" s="515">
        <v>6000734</v>
      </c>
      <c r="B107" s="350">
        <v>580000</v>
      </c>
      <c r="C107" s="350">
        <v>0.05</v>
      </c>
      <c r="D107" s="517">
        <v>767000</v>
      </c>
      <c r="F107" t="e">
        <f t="shared" si="9"/>
        <v>#REF!</v>
      </c>
      <c r="G107" t="e">
        <f t="shared" si="7"/>
        <v>#REF!</v>
      </c>
      <c r="H107" t="e">
        <f t="shared" si="8"/>
        <v>#REF!</v>
      </c>
      <c r="I107" s="383" t="e">
        <f t="shared" si="5"/>
        <v>#REF!</v>
      </c>
      <c r="J107" t="e">
        <f t="shared" si="6"/>
        <v>#REF!</v>
      </c>
    </row>
    <row r="108" spans="1:10" x14ac:dyDescent="0.15">
      <c r="A108" s="515">
        <v>6000734</v>
      </c>
      <c r="B108" s="350">
        <v>600000</v>
      </c>
      <c r="C108" s="350">
        <v>0.05</v>
      </c>
      <c r="D108" s="517">
        <v>779000</v>
      </c>
      <c r="F108" t="e">
        <f t="shared" si="9"/>
        <v>#REF!</v>
      </c>
      <c r="G108" t="e">
        <f t="shared" si="7"/>
        <v>#REF!</v>
      </c>
      <c r="H108" t="e">
        <f t="shared" si="8"/>
        <v>#REF!</v>
      </c>
      <c r="I108" s="383" t="e">
        <f t="shared" si="5"/>
        <v>#REF!</v>
      </c>
      <c r="J108" t="e">
        <f t="shared" si="6"/>
        <v>#REF!</v>
      </c>
    </row>
    <row r="109" spans="1:10" x14ac:dyDescent="0.15">
      <c r="A109" s="515">
        <v>6000734</v>
      </c>
      <c r="B109" s="350">
        <v>620000</v>
      </c>
      <c r="C109" s="350">
        <v>0.05</v>
      </c>
      <c r="D109" s="517">
        <v>791000</v>
      </c>
      <c r="F109" t="e">
        <f t="shared" si="9"/>
        <v>#REF!</v>
      </c>
      <c r="G109" t="e">
        <f t="shared" si="7"/>
        <v>#REF!</v>
      </c>
      <c r="H109" t="e">
        <f t="shared" si="8"/>
        <v>#REF!</v>
      </c>
      <c r="I109" s="383" t="e">
        <f t="shared" si="5"/>
        <v>#REF!</v>
      </c>
      <c r="J109" t="e">
        <f t="shared" si="6"/>
        <v>#REF!</v>
      </c>
    </row>
    <row r="110" spans="1:10" x14ac:dyDescent="0.15">
      <c r="A110" s="515">
        <v>6000734</v>
      </c>
      <c r="B110" s="350">
        <v>640000</v>
      </c>
      <c r="C110" s="350">
        <v>0.05</v>
      </c>
      <c r="D110" s="517">
        <v>803000</v>
      </c>
      <c r="F110" t="e">
        <f t="shared" si="9"/>
        <v>#REF!</v>
      </c>
      <c r="G110" t="e">
        <f t="shared" si="7"/>
        <v>#REF!</v>
      </c>
      <c r="H110" t="e">
        <f t="shared" si="8"/>
        <v>#REF!</v>
      </c>
      <c r="I110" s="383" t="e">
        <f t="shared" si="5"/>
        <v>#REF!</v>
      </c>
      <c r="J110" t="e">
        <f t="shared" si="6"/>
        <v>#REF!</v>
      </c>
    </row>
    <row r="111" spans="1:10" x14ac:dyDescent="0.15">
      <c r="A111" s="515">
        <v>6000734</v>
      </c>
      <c r="B111" s="350">
        <v>660000</v>
      </c>
      <c r="C111" s="350">
        <v>0.05</v>
      </c>
      <c r="D111" s="517">
        <v>815000</v>
      </c>
      <c r="F111" t="e">
        <f>F106+2000</f>
        <v>#REF!</v>
      </c>
      <c r="G111" t="e">
        <f t="shared" ref="G111" si="26">I111*F111+J111</f>
        <v>#REF!</v>
      </c>
      <c r="H111" t="e">
        <f t="shared" ref="H111" si="27">$K$2*SQRT(F111)</f>
        <v>#REF!</v>
      </c>
      <c r="I111" s="383" t="e">
        <f t="shared" ref="I111" si="28">VLOOKUP(F111,B$10:D$19,2)</f>
        <v>#REF!</v>
      </c>
      <c r="J111" t="e">
        <f t="shared" ref="J111" si="29">VLOOKUP(F111,B$10:D$19,3)</f>
        <v>#REF!</v>
      </c>
    </row>
    <row r="112" spans="1:10" ht="16" thickBot="1" x14ac:dyDescent="0.2">
      <c r="A112" s="518">
        <v>6000734</v>
      </c>
      <c r="B112" s="353">
        <v>680000</v>
      </c>
      <c r="C112" s="353">
        <v>0.05</v>
      </c>
      <c r="D112" s="519">
        <v>827000</v>
      </c>
      <c r="F112" t="e">
        <f>F106+2000</f>
        <v>#REF!</v>
      </c>
      <c r="G112" t="e">
        <f t="shared" si="7"/>
        <v>#REF!</v>
      </c>
      <c r="H112" t="e">
        <f t="shared" si="8"/>
        <v>#REF!</v>
      </c>
      <c r="I112" s="383" t="e">
        <f t="shared" si="5"/>
        <v>#REF!</v>
      </c>
      <c r="J112" t="e">
        <f t="shared" si="6"/>
        <v>#REF!</v>
      </c>
    </row>
    <row r="113" spans="1:10" x14ac:dyDescent="0.15">
      <c r="A113" s="509">
        <v>6000735</v>
      </c>
      <c r="B113" s="510">
        <v>0</v>
      </c>
      <c r="C113" s="510">
        <v>0.05</v>
      </c>
      <c r="D113" s="511">
        <v>0</v>
      </c>
      <c r="F113" t="e">
        <f t="shared" si="9"/>
        <v>#REF!</v>
      </c>
      <c r="G113" t="e">
        <f t="shared" si="7"/>
        <v>#REF!</v>
      </c>
      <c r="H113" t="e">
        <f t="shared" si="8"/>
        <v>#REF!</v>
      </c>
      <c r="I113" s="383" t="e">
        <f t="shared" si="5"/>
        <v>#REF!</v>
      </c>
      <c r="J113" t="e">
        <f t="shared" si="6"/>
        <v>#REF!</v>
      </c>
    </row>
    <row r="114" spans="1:10" x14ac:dyDescent="0.15">
      <c r="A114" s="509">
        <v>6000735</v>
      </c>
      <c r="B114" s="356">
        <v>1300000</v>
      </c>
      <c r="C114" s="356">
        <v>0.05</v>
      </c>
      <c r="D114" s="512">
        <v>1500000</v>
      </c>
      <c r="F114" t="e">
        <f t="shared" si="9"/>
        <v>#REF!</v>
      </c>
      <c r="G114" t="e">
        <f t="shared" si="7"/>
        <v>#REF!</v>
      </c>
      <c r="H114" t="e">
        <f t="shared" si="8"/>
        <v>#REF!</v>
      </c>
      <c r="I114" s="383" t="e">
        <f t="shared" ref="I114:I197" si="30">VLOOKUP(F114,B$10:D$19,2)</f>
        <v>#REF!</v>
      </c>
      <c r="J114" t="e">
        <f t="shared" ref="J114:J197" si="31">VLOOKUP(F114,B$10:D$19,3)</f>
        <v>#REF!</v>
      </c>
    </row>
    <row r="115" spans="1:10" x14ac:dyDescent="0.15">
      <c r="A115" s="509">
        <v>6000735</v>
      </c>
      <c r="B115" s="356">
        <v>1360000</v>
      </c>
      <c r="C115" s="356">
        <v>0.05</v>
      </c>
      <c r="D115" s="512">
        <v>1524000</v>
      </c>
      <c r="F115" t="e">
        <f>F108+2000</f>
        <v>#REF!</v>
      </c>
      <c r="G115" t="e">
        <f t="shared" ref="G115:G121" si="32">I115*F115+J115</f>
        <v>#REF!</v>
      </c>
      <c r="H115" t="e">
        <f t="shared" ref="H115:H121" si="33">$K$2*SQRT(F115)</f>
        <v>#REF!</v>
      </c>
      <c r="I115" s="383" t="e">
        <f t="shared" ref="I115:I121" si="34">VLOOKUP(F115,B$10:D$19,2)</f>
        <v>#REF!</v>
      </c>
      <c r="J115" t="e">
        <f t="shared" ref="J115:J121" si="35">VLOOKUP(F115,B$10:D$19,3)</f>
        <v>#REF!</v>
      </c>
    </row>
    <row r="116" spans="1:10" x14ac:dyDescent="0.15">
      <c r="A116" s="509">
        <v>6000735</v>
      </c>
      <c r="B116" s="356">
        <v>1420000</v>
      </c>
      <c r="C116" s="356">
        <v>0.05</v>
      </c>
      <c r="D116" s="512">
        <v>1548000</v>
      </c>
      <c r="F116" t="e">
        <f t="shared" si="9"/>
        <v>#REF!</v>
      </c>
      <c r="G116" t="e">
        <f t="shared" si="32"/>
        <v>#REF!</v>
      </c>
      <c r="H116" t="e">
        <f t="shared" si="33"/>
        <v>#REF!</v>
      </c>
      <c r="I116" s="383" t="e">
        <f t="shared" si="34"/>
        <v>#REF!</v>
      </c>
      <c r="J116" t="e">
        <f t="shared" si="35"/>
        <v>#REF!</v>
      </c>
    </row>
    <row r="117" spans="1:10" x14ac:dyDescent="0.15">
      <c r="A117" s="509">
        <v>6000735</v>
      </c>
      <c r="B117" s="356">
        <v>1480000</v>
      </c>
      <c r="C117" s="356">
        <v>0.05</v>
      </c>
      <c r="D117" s="512">
        <v>1572000</v>
      </c>
      <c r="F117" t="e">
        <f t="shared" si="9"/>
        <v>#REF!</v>
      </c>
      <c r="G117" t="e">
        <f t="shared" si="32"/>
        <v>#REF!</v>
      </c>
      <c r="H117" t="e">
        <f t="shared" si="33"/>
        <v>#REF!</v>
      </c>
      <c r="I117" s="383" t="e">
        <f t="shared" si="34"/>
        <v>#REF!</v>
      </c>
      <c r="J117" t="e">
        <f t="shared" si="35"/>
        <v>#REF!</v>
      </c>
    </row>
    <row r="118" spans="1:10" x14ac:dyDescent="0.15">
      <c r="A118" s="509">
        <v>6000735</v>
      </c>
      <c r="B118" s="356">
        <v>1540000</v>
      </c>
      <c r="C118" s="356">
        <v>0.05</v>
      </c>
      <c r="D118" s="512">
        <v>1596000</v>
      </c>
      <c r="F118" t="e">
        <f>F117+2000</f>
        <v>#REF!</v>
      </c>
      <c r="G118" t="e">
        <f t="shared" si="32"/>
        <v>#REF!</v>
      </c>
      <c r="H118" t="e">
        <f t="shared" si="33"/>
        <v>#REF!</v>
      </c>
      <c r="I118" s="383" t="e">
        <f t="shared" si="34"/>
        <v>#REF!</v>
      </c>
      <c r="J118" t="e">
        <f t="shared" si="35"/>
        <v>#REF!</v>
      </c>
    </row>
    <row r="119" spans="1:10" x14ac:dyDescent="0.15">
      <c r="A119" s="509">
        <v>6000735</v>
      </c>
      <c r="B119" s="356">
        <v>1600000</v>
      </c>
      <c r="C119" s="356">
        <v>0.05</v>
      </c>
      <c r="D119" s="512">
        <v>1620000</v>
      </c>
      <c r="I119" s="383"/>
    </row>
    <row r="120" spans="1:10" x14ac:dyDescent="0.15">
      <c r="A120" s="509">
        <v>6000735</v>
      </c>
      <c r="B120" s="356">
        <v>1660000</v>
      </c>
      <c r="C120" s="356">
        <v>0.05</v>
      </c>
      <c r="D120" s="512">
        <v>1644000</v>
      </c>
      <c r="F120" t="e">
        <f>F118+2000</f>
        <v>#REF!</v>
      </c>
      <c r="G120" t="e">
        <f t="shared" si="32"/>
        <v>#REF!</v>
      </c>
      <c r="H120" t="e">
        <f t="shared" si="33"/>
        <v>#REF!</v>
      </c>
      <c r="I120" s="383" t="e">
        <f t="shared" si="34"/>
        <v>#REF!</v>
      </c>
      <c r="J120" t="e">
        <f t="shared" si="35"/>
        <v>#REF!</v>
      </c>
    </row>
    <row r="121" spans="1:10" x14ac:dyDescent="0.15">
      <c r="A121" s="509">
        <v>6000735</v>
      </c>
      <c r="B121" s="356">
        <v>1720000</v>
      </c>
      <c r="C121" s="356">
        <v>0.05</v>
      </c>
      <c r="D121" s="512">
        <v>1668000</v>
      </c>
      <c r="F121" t="e">
        <f t="shared" si="9"/>
        <v>#REF!</v>
      </c>
      <c r="G121" t="e">
        <f t="shared" si="32"/>
        <v>#REF!</v>
      </c>
      <c r="H121" t="e">
        <f t="shared" si="33"/>
        <v>#REF!</v>
      </c>
      <c r="I121" s="383" t="e">
        <f t="shared" si="34"/>
        <v>#REF!</v>
      </c>
      <c r="J121" t="e">
        <f t="shared" si="35"/>
        <v>#REF!</v>
      </c>
    </row>
    <row r="122" spans="1:10" x14ac:dyDescent="0.15">
      <c r="A122" s="509">
        <v>6000735</v>
      </c>
      <c r="B122" s="356">
        <v>1780000</v>
      </c>
      <c r="C122" s="356">
        <v>0.05</v>
      </c>
      <c r="D122" s="512">
        <v>1692000</v>
      </c>
      <c r="F122" t="e">
        <f>F114+2000</f>
        <v>#REF!</v>
      </c>
      <c r="G122" t="e">
        <f t="shared" si="7"/>
        <v>#REF!</v>
      </c>
      <c r="H122" t="e">
        <f t="shared" si="8"/>
        <v>#REF!</v>
      </c>
      <c r="I122" s="383" t="e">
        <f t="shared" si="30"/>
        <v>#REF!</v>
      </c>
      <c r="J122" t="e">
        <f t="shared" si="31"/>
        <v>#REF!</v>
      </c>
    </row>
    <row r="123" spans="1:10" x14ac:dyDescent="0.15">
      <c r="A123" s="509">
        <v>6000735</v>
      </c>
      <c r="B123" s="356">
        <v>1840000</v>
      </c>
      <c r="C123" s="356">
        <v>0.05</v>
      </c>
      <c r="D123" s="512">
        <v>1716000</v>
      </c>
      <c r="F123" t="e">
        <f t="shared" si="9"/>
        <v>#REF!</v>
      </c>
      <c r="G123" t="e">
        <f t="shared" si="7"/>
        <v>#REF!</v>
      </c>
      <c r="H123" t="e">
        <f t="shared" si="8"/>
        <v>#REF!</v>
      </c>
      <c r="I123" s="383" t="e">
        <f t="shared" si="30"/>
        <v>#REF!</v>
      </c>
      <c r="J123" t="e">
        <f t="shared" si="31"/>
        <v>#REF!</v>
      </c>
    </row>
    <row r="124" spans="1:10" x14ac:dyDescent="0.15">
      <c r="A124" s="509">
        <v>6000735</v>
      </c>
      <c r="B124" s="356">
        <v>1900000</v>
      </c>
      <c r="C124" s="356">
        <v>0.05</v>
      </c>
      <c r="D124" s="512">
        <v>1740000</v>
      </c>
      <c r="F124" t="e">
        <f t="shared" si="9"/>
        <v>#REF!</v>
      </c>
      <c r="G124" t="e">
        <f t="shared" si="7"/>
        <v>#REF!</v>
      </c>
      <c r="H124" t="e">
        <f t="shared" si="8"/>
        <v>#REF!</v>
      </c>
      <c r="I124" s="383" t="e">
        <f t="shared" si="30"/>
        <v>#REF!</v>
      </c>
      <c r="J124" t="e">
        <f t="shared" si="31"/>
        <v>#REF!</v>
      </c>
    </row>
    <row r="125" spans="1:10" x14ac:dyDescent="0.15">
      <c r="A125" s="509">
        <v>6000735</v>
      </c>
      <c r="B125" s="356">
        <v>1940000</v>
      </c>
      <c r="C125" s="356">
        <v>0.05</v>
      </c>
      <c r="D125" s="512">
        <v>1764000</v>
      </c>
      <c r="F125" t="e">
        <f t="shared" si="9"/>
        <v>#REF!</v>
      </c>
      <c r="G125" t="e">
        <f t="shared" si="7"/>
        <v>#REF!</v>
      </c>
      <c r="H125" t="e">
        <f t="shared" si="8"/>
        <v>#REF!</v>
      </c>
      <c r="I125" s="383" t="e">
        <f t="shared" si="30"/>
        <v>#REF!</v>
      </c>
      <c r="J125" t="e">
        <f t="shared" si="31"/>
        <v>#REF!</v>
      </c>
    </row>
    <row r="126" spans="1:10" x14ac:dyDescent="0.15">
      <c r="A126" s="509">
        <v>6000735</v>
      </c>
      <c r="B126" s="356">
        <v>1980000</v>
      </c>
      <c r="C126" s="356">
        <v>0.05</v>
      </c>
      <c r="D126" s="512">
        <v>1788000</v>
      </c>
      <c r="F126" t="e">
        <f t="shared" si="9"/>
        <v>#REF!</v>
      </c>
      <c r="G126" t="e">
        <f t="shared" si="7"/>
        <v>#REF!</v>
      </c>
      <c r="H126" t="e">
        <f t="shared" si="8"/>
        <v>#REF!</v>
      </c>
      <c r="I126" s="383" t="e">
        <f t="shared" si="30"/>
        <v>#REF!</v>
      </c>
      <c r="J126" t="e">
        <f t="shared" si="31"/>
        <v>#REF!</v>
      </c>
    </row>
    <row r="127" spans="1:10" x14ac:dyDescent="0.15">
      <c r="A127" s="509">
        <v>6000735</v>
      </c>
      <c r="B127" s="356">
        <v>2020000</v>
      </c>
      <c r="C127" s="356">
        <v>0.05</v>
      </c>
      <c r="D127" s="512">
        <v>1812000</v>
      </c>
      <c r="F127" t="e">
        <f t="shared" si="9"/>
        <v>#REF!</v>
      </c>
      <c r="G127" t="e">
        <f t="shared" ref="G127:G131" si="36">I127*F127+J127</f>
        <v>#REF!</v>
      </c>
      <c r="H127" t="e">
        <f t="shared" ref="H127:H131" si="37">$K$2*SQRT(F127)</f>
        <v>#REF!</v>
      </c>
      <c r="I127" s="383" t="e">
        <f t="shared" ref="I127:I131" si="38">VLOOKUP(F127,B$10:D$19,2)</f>
        <v>#REF!</v>
      </c>
      <c r="J127" t="e">
        <f t="shared" ref="J127:J131" si="39">VLOOKUP(F127,B$10:D$19,3)</f>
        <v>#REF!</v>
      </c>
    </row>
    <row r="128" spans="1:10" x14ac:dyDescent="0.15">
      <c r="A128" s="509">
        <v>6000735</v>
      </c>
      <c r="B128" s="356">
        <v>2060000</v>
      </c>
      <c r="C128" s="356">
        <v>0.05</v>
      </c>
      <c r="D128" s="512">
        <v>1830000</v>
      </c>
      <c r="F128" t="e">
        <f>F121+2000</f>
        <v>#REF!</v>
      </c>
      <c r="G128" t="e">
        <f t="shared" si="36"/>
        <v>#REF!</v>
      </c>
      <c r="H128" t="e">
        <f t="shared" si="37"/>
        <v>#REF!</v>
      </c>
      <c r="I128" s="383" t="e">
        <f t="shared" si="38"/>
        <v>#REF!</v>
      </c>
      <c r="J128" t="e">
        <f t="shared" si="39"/>
        <v>#REF!</v>
      </c>
    </row>
    <row r="129" spans="1:10" x14ac:dyDescent="0.15">
      <c r="A129" s="509">
        <v>6000735</v>
      </c>
      <c r="B129" s="356">
        <v>2100000</v>
      </c>
      <c r="C129" s="356">
        <v>0.05</v>
      </c>
      <c r="D129" s="512">
        <v>1848000</v>
      </c>
      <c r="F129" t="e">
        <f t="shared" si="9"/>
        <v>#REF!</v>
      </c>
      <c r="G129" t="e">
        <f t="shared" si="36"/>
        <v>#REF!</v>
      </c>
      <c r="H129" t="e">
        <f t="shared" si="37"/>
        <v>#REF!</v>
      </c>
      <c r="I129" s="383" t="e">
        <f t="shared" si="38"/>
        <v>#REF!</v>
      </c>
      <c r="J129" t="e">
        <f t="shared" si="39"/>
        <v>#REF!</v>
      </c>
    </row>
    <row r="130" spans="1:10" x14ac:dyDescent="0.15">
      <c r="A130" s="509">
        <v>6000735</v>
      </c>
      <c r="B130" s="356">
        <v>2140000</v>
      </c>
      <c r="C130" s="356">
        <v>0.05</v>
      </c>
      <c r="D130" s="512">
        <v>1866000</v>
      </c>
      <c r="F130" t="e">
        <f t="shared" si="9"/>
        <v>#REF!</v>
      </c>
      <c r="G130" t="e">
        <f t="shared" si="36"/>
        <v>#REF!</v>
      </c>
      <c r="H130" t="e">
        <f t="shared" si="37"/>
        <v>#REF!</v>
      </c>
      <c r="I130" s="383" t="e">
        <f t="shared" si="38"/>
        <v>#REF!</v>
      </c>
      <c r="J130" t="e">
        <f t="shared" si="39"/>
        <v>#REF!</v>
      </c>
    </row>
    <row r="131" spans="1:10" x14ac:dyDescent="0.15">
      <c r="A131" s="509">
        <v>6000735</v>
      </c>
      <c r="B131" s="356">
        <v>2180000</v>
      </c>
      <c r="C131" s="356">
        <v>0.05</v>
      </c>
      <c r="D131" s="512">
        <v>1884000</v>
      </c>
      <c r="F131" t="e">
        <f>F130+2000</f>
        <v>#REF!</v>
      </c>
      <c r="G131" t="e">
        <f t="shared" si="36"/>
        <v>#REF!</v>
      </c>
      <c r="H131" t="e">
        <f t="shared" si="37"/>
        <v>#REF!</v>
      </c>
      <c r="I131" s="383" t="e">
        <f t="shared" si="38"/>
        <v>#REF!</v>
      </c>
      <c r="J131" t="e">
        <f t="shared" si="39"/>
        <v>#REF!</v>
      </c>
    </row>
    <row r="132" spans="1:10" x14ac:dyDescent="0.15">
      <c r="A132" s="509">
        <v>6000735</v>
      </c>
      <c r="B132" s="356">
        <v>2220000</v>
      </c>
      <c r="C132" s="356">
        <v>0.05</v>
      </c>
      <c r="D132" s="512">
        <v>1902000</v>
      </c>
      <c r="I132" s="383"/>
    </row>
    <row r="133" spans="1:10" x14ac:dyDescent="0.15">
      <c r="A133" s="509">
        <v>6000735</v>
      </c>
      <c r="B133" s="356">
        <v>2260000</v>
      </c>
      <c r="C133" s="356">
        <v>0.05</v>
      </c>
      <c r="D133" s="512">
        <v>1920000</v>
      </c>
      <c r="F133" t="e">
        <f>F131+2000</f>
        <v>#REF!</v>
      </c>
      <c r="G133" t="e">
        <f t="shared" ref="G133:G139" si="40">I133*F133+J133</f>
        <v>#REF!</v>
      </c>
      <c r="H133" t="e">
        <f t="shared" ref="H133:H139" si="41">$K$2*SQRT(F133)</f>
        <v>#REF!</v>
      </c>
      <c r="I133" s="383" t="e">
        <f t="shared" ref="I133:I139" si="42">VLOOKUP(F133,B$10:D$19,2)</f>
        <v>#REF!</v>
      </c>
      <c r="J133" t="e">
        <f t="shared" ref="J133:J139" si="43">VLOOKUP(F133,B$10:D$19,3)</f>
        <v>#REF!</v>
      </c>
    </row>
    <row r="134" spans="1:10" x14ac:dyDescent="0.15">
      <c r="A134" s="509">
        <v>6000735</v>
      </c>
      <c r="B134" s="356">
        <v>2300000</v>
      </c>
      <c r="C134" s="356">
        <v>0.05</v>
      </c>
      <c r="D134" s="512">
        <v>1938000</v>
      </c>
      <c r="F134" t="e">
        <f t="shared" si="9"/>
        <v>#REF!</v>
      </c>
      <c r="G134" t="e">
        <f t="shared" si="40"/>
        <v>#REF!</v>
      </c>
      <c r="H134" t="e">
        <f t="shared" si="41"/>
        <v>#REF!</v>
      </c>
      <c r="I134" s="383" t="e">
        <f t="shared" si="42"/>
        <v>#REF!</v>
      </c>
      <c r="J134" t="e">
        <f t="shared" si="43"/>
        <v>#REF!</v>
      </c>
    </row>
    <row r="135" spans="1:10" x14ac:dyDescent="0.15">
      <c r="A135" s="509">
        <v>6000735</v>
      </c>
      <c r="B135" s="356">
        <v>2340000</v>
      </c>
      <c r="C135" s="356">
        <v>0.05</v>
      </c>
      <c r="D135" s="512">
        <v>1956000</v>
      </c>
      <c r="F135" t="e">
        <f>F127+2000</f>
        <v>#REF!</v>
      </c>
      <c r="G135" t="e">
        <f t="shared" si="40"/>
        <v>#REF!</v>
      </c>
      <c r="H135" t="e">
        <f t="shared" si="41"/>
        <v>#REF!</v>
      </c>
      <c r="I135" s="383" t="e">
        <f t="shared" si="42"/>
        <v>#REF!</v>
      </c>
      <c r="J135" t="e">
        <f t="shared" si="43"/>
        <v>#REF!</v>
      </c>
    </row>
    <row r="136" spans="1:10" x14ac:dyDescent="0.15">
      <c r="A136" s="509">
        <v>6000735</v>
      </c>
      <c r="B136" s="356">
        <v>2380000</v>
      </c>
      <c r="C136" s="356">
        <v>0.05</v>
      </c>
      <c r="D136" s="512">
        <v>1974000</v>
      </c>
      <c r="F136" t="e">
        <f t="shared" si="9"/>
        <v>#REF!</v>
      </c>
      <c r="G136" t="e">
        <f t="shared" si="40"/>
        <v>#REF!</v>
      </c>
      <c r="H136" t="e">
        <f t="shared" si="41"/>
        <v>#REF!</v>
      </c>
      <c r="I136" s="383" t="e">
        <f t="shared" si="42"/>
        <v>#REF!</v>
      </c>
      <c r="J136" t="e">
        <f t="shared" si="43"/>
        <v>#REF!</v>
      </c>
    </row>
    <row r="137" spans="1:10" x14ac:dyDescent="0.15">
      <c r="A137" s="509">
        <v>6000735</v>
      </c>
      <c r="B137" s="356">
        <v>2420000</v>
      </c>
      <c r="C137" s="356">
        <v>0.05</v>
      </c>
      <c r="D137" s="512">
        <v>1992000</v>
      </c>
      <c r="F137" t="e">
        <f t="shared" si="9"/>
        <v>#REF!</v>
      </c>
      <c r="G137" t="e">
        <f t="shared" si="40"/>
        <v>#REF!</v>
      </c>
      <c r="H137" t="e">
        <f t="shared" si="41"/>
        <v>#REF!</v>
      </c>
      <c r="I137" s="383" t="e">
        <f t="shared" si="42"/>
        <v>#REF!</v>
      </c>
      <c r="J137" t="e">
        <f t="shared" si="43"/>
        <v>#REF!</v>
      </c>
    </row>
    <row r="138" spans="1:10" x14ac:dyDescent="0.15">
      <c r="A138" s="509">
        <v>6000735</v>
      </c>
      <c r="B138" s="356">
        <v>2440000</v>
      </c>
      <c r="C138" s="356">
        <v>0.05</v>
      </c>
      <c r="D138" s="512">
        <v>2010000</v>
      </c>
      <c r="F138" t="e">
        <f t="shared" si="9"/>
        <v>#REF!</v>
      </c>
      <c r="G138" t="e">
        <f t="shared" si="40"/>
        <v>#REF!</v>
      </c>
      <c r="H138" t="e">
        <f t="shared" si="41"/>
        <v>#REF!</v>
      </c>
      <c r="I138" s="383" t="e">
        <f t="shared" si="42"/>
        <v>#REF!</v>
      </c>
      <c r="J138" t="e">
        <f t="shared" si="43"/>
        <v>#REF!</v>
      </c>
    </row>
    <row r="139" spans="1:10" x14ac:dyDescent="0.15">
      <c r="A139" s="509">
        <v>6000735</v>
      </c>
      <c r="B139" s="356">
        <v>2460000</v>
      </c>
      <c r="C139" s="356">
        <v>0.05</v>
      </c>
      <c r="D139" s="512">
        <v>2028000</v>
      </c>
      <c r="F139" t="e">
        <f t="shared" si="9"/>
        <v>#REF!</v>
      </c>
      <c r="G139" t="e">
        <f t="shared" si="40"/>
        <v>#REF!</v>
      </c>
      <c r="H139" t="e">
        <f t="shared" si="41"/>
        <v>#REF!</v>
      </c>
      <c r="I139" s="383" t="e">
        <f t="shared" si="42"/>
        <v>#REF!</v>
      </c>
      <c r="J139" t="e">
        <f t="shared" si="43"/>
        <v>#REF!</v>
      </c>
    </row>
    <row r="140" spans="1:10" x14ac:dyDescent="0.15">
      <c r="A140" s="509">
        <v>6000735</v>
      </c>
      <c r="B140" s="356">
        <v>2480000</v>
      </c>
      <c r="C140" s="356">
        <v>0.05</v>
      </c>
      <c r="D140" s="512">
        <v>2046000</v>
      </c>
      <c r="F140" t="e">
        <f>F126+2000</f>
        <v>#REF!</v>
      </c>
      <c r="G140" t="e">
        <f t="shared" si="7"/>
        <v>#REF!</v>
      </c>
      <c r="H140" t="e">
        <f t="shared" si="8"/>
        <v>#REF!</v>
      </c>
      <c r="I140" s="383" t="e">
        <f t="shared" si="30"/>
        <v>#REF!</v>
      </c>
      <c r="J140" t="e">
        <f t="shared" si="31"/>
        <v>#REF!</v>
      </c>
    </row>
    <row r="141" spans="1:10" ht="16" thickBot="1" x14ac:dyDescent="0.2">
      <c r="A141" s="513">
        <v>6000735</v>
      </c>
      <c r="B141" s="357">
        <v>2500000</v>
      </c>
      <c r="C141" s="357">
        <v>0.05</v>
      </c>
      <c r="D141" s="514">
        <v>2050000</v>
      </c>
      <c r="F141" t="e">
        <f t="shared" si="9"/>
        <v>#REF!</v>
      </c>
      <c r="G141" t="e">
        <f t="shared" si="7"/>
        <v>#REF!</v>
      </c>
      <c r="H141" t="e">
        <f t="shared" si="8"/>
        <v>#REF!</v>
      </c>
      <c r="I141" s="383" t="e">
        <f t="shared" si="30"/>
        <v>#REF!</v>
      </c>
      <c r="J141" t="e">
        <f t="shared" si="31"/>
        <v>#REF!</v>
      </c>
    </row>
    <row r="142" spans="1:10" x14ac:dyDescent="0.15">
      <c r="F142" t="e">
        <f t="shared" si="9"/>
        <v>#REF!</v>
      </c>
      <c r="G142" t="e">
        <f t="shared" si="7"/>
        <v>#REF!</v>
      </c>
      <c r="H142" t="e">
        <f t="shared" si="8"/>
        <v>#REF!</v>
      </c>
      <c r="I142" s="383" t="e">
        <f t="shared" si="30"/>
        <v>#REF!</v>
      </c>
      <c r="J142" t="e">
        <f t="shared" si="31"/>
        <v>#REF!</v>
      </c>
    </row>
    <row r="143" spans="1:10" x14ac:dyDescent="0.15">
      <c r="F143" t="e">
        <f t="shared" si="9"/>
        <v>#REF!</v>
      </c>
      <c r="G143" t="e">
        <f t="shared" si="7"/>
        <v>#REF!</v>
      </c>
      <c r="H143" t="e">
        <f t="shared" si="8"/>
        <v>#REF!</v>
      </c>
      <c r="I143" s="383" t="e">
        <f t="shared" si="30"/>
        <v>#REF!</v>
      </c>
      <c r="J143" t="e">
        <f t="shared" si="31"/>
        <v>#REF!</v>
      </c>
    </row>
    <row r="144" spans="1:10" x14ac:dyDescent="0.15">
      <c r="F144" t="e">
        <f t="shared" si="9"/>
        <v>#REF!</v>
      </c>
      <c r="G144" t="e">
        <f t="shared" si="7"/>
        <v>#REF!</v>
      </c>
      <c r="H144" t="e">
        <f t="shared" si="8"/>
        <v>#REF!</v>
      </c>
      <c r="I144" s="383" t="e">
        <f t="shared" si="30"/>
        <v>#REF!</v>
      </c>
      <c r="J144" t="e">
        <f t="shared" si="31"/>
        <v>#REF!</v>
      </c>
    </row>
    <row r="145" spans="6:10" x14ac:dyDescent="0.15">
      <c r="F145" t="e">
        <f t="shared" si="9"/>
        <v>#REF!</v>
      </c>
      <c r="G145" t="e">
        <f t="shared" si="7"/>
        <v>#REF!</v>
      </c>
      <c r="H145" t="e">
        <f t="shared" si="8"/>
        <v>#REF!</v>
      </c>
      <c r="I145" s="383" t="e">
        <f t="shared" si="30"/>
        <v>#REF!</v>
      </c>
      <c r="J145" t="e">
        <f t="shared" si="31"/>
        <v>#REF!</v>
      </c>
    </row>
    <row r="146" spans="6:10" x14ac:dyDescent="0.15">
      <c r="F146" t="e">
        <f t="shared" si="9"/>
        <v>#REF!</v>
      </c>
      <c r="G146" t="e">
        <f t="shared" si="7"/>
        <v>#REF!</v>
      </c>
      <c r="H146" t="e">
        <f t="shared" si="8"/>
        <v>#REF!</v>
      </c>
      <c r="I146" s="383" t="e">
        <f t="shared" si="30"/>
        <v>#REF!</v>
      </c>
      <c r="J146" t="e">
        <f t="shared" si="31"/>
        <v>#REF!</v>
      </c>
    </row>
    <row r="147" spans="6:10" x14ac:dyDescent="0.15">
      <c r="F147" t="e">
        <f>F146+2000</f>
        <v>#REF!</v>
      </c>
      <c r="G147" t="e">
        <f t="shared" si="7"/>
        <v>#REF!</v>
      </c>
      <c r="H147" t="e">
        <f t="shared" si="8"/>
        <v>#REF!</v>
      </c>
      <c r="I147" s="383" t="e">
        <f t="shared" si="30"/>
        <v>#REF!</v>
      </c>
      <c r="J147" t="e">
        <f t="shared" si="31"/>
        <v>#REF!</v>
      </c>
    </row>
    <row r="148" spans="6:10" x14ac:dyDescent="0.15">
      <c r="F148" t="e">
        <f t="shared" ref="F148:F211" si="44">F147+2000</f>
        <v>#REF!</v>
      </c>
      <c r="G148" t="e">
        <f t="shared" si="7"/>
        <v>#REF!</v>
      </c>
      <c r="H148" t="e">
        <f t="shared" si="8"/>
        <v>#REF!</v>
      </c>
      <c r="I148" s="383" t="e">
        <f t="shared" si="30"/>
        <v>#REF!</v>
      </c>
      <c r="J148" t="e">
        <f t="shared" si="31"/>
        <v>#REF!</v>
      </c>
    </row>
    <row r="149" spans="6:10" x14ac:dyDescent="0.15">
      <c r="F149" t="e">
        <f t="shared" si="44"/>
        <v>#REF!</v>
      </c>
      <c r="G149" t="e">
        <f t="shared" si="7"/>
        <v>#REF!</v>
      </c>
      <c r="H149" t="e">
        <f t="shared" si="8"/>
        <v>#REF!</v>
      </c>
      <c r="I149" s="383" t="e">
        <f t="shared" si="30"/>
        <v>#REF!</v>
      </c>
      <c r="J149" t="e">
        <f t="shared" si="31"/>
        <v>#REF!</v>
      </c>
    </row>
    <row r="150" spans="6:10" x14ac:dyDescent="0.15">
      <c r="F150" t="e">
        <f t="shared" si="44"/>
        <v>#REF!</v>
      </c>
      <c r="G150" t="e">
        <f t="shared" si="7"/>
        <v>#REF!</v>
      </c>
      <c r="H150" t="e">
        <f t="shared" si="8"/>
        <v>#REF!</v>
      </c>
      <c r="I150" s="383" t="e">
        <f t="shared" si="30"/>
        <v>#REF!</v>
      </c>
      <c r="J150" t="e">
        <f t="shared" si="31"/>
        <v>#REF!</v>
      </c>
    </row>
    <row r="151" spans="6:10" x14ac:dyDescent="0.15">
      <c r="F151" t="e">
        <f t="shared" si="44"/>
        <v>#REF!</v>
      </c>
      <c r="G151" t="e">
        <f t="shared" si="7"/>
        <v>#REF!</v>
      </c>
      <c r="H151" t="e">
        <f t="shared" si="8"/>
        <v>#REF!</v>
      </c>
      <c r="I151" s="383" t="e">
        <f t="shared" si="30"/>
        <v>#REF!</v>
      </c>
      <c r="J151" t="e">
        <f t="shared" si="31"/>
        <v>#REF!</v>
      </c>
    </row>
    <row r="152" spans="6:10" x14ac:dyDescent="0.15">
      <c r="F152" t="e">
        <f t="shared" si="44"/>
        <v>#REF!</v>
      </c>
      <c r="G152" t="e">
        <f t="shared" si="7"/>
        <v>#REF!</v>
      </c>
      <c r="H152" t="e">
        <f t="shared" si="8"/>
        <v>#REF!</v>
      </c>
      <c r="I152" s="383" t="e">
        <f t="shared" si="30"/>
        <v>#REF!</v>
      </c>
      <c r="J152" t="e">
        <f t="shared" si="31"/>
        <v>#REF!</v>
      </c>
    </row>
    <row r="153" spans="6:10" x14ac:dyDescent="0.15">
      <c r="F153" t="e">
        <f t="shared" si="44"/>
        <v>#REF!</v>
      </c>
      <c r="G153" t="e">
        <f t="shared" si="7"/>
        <v>#REF!</v>
      </c>
      <c r="H153" t="e">
        <f t="shared" si="8"/>
        <v>#REF!</v>
      </c>
      <c r="I153" s="383" t="e">
        <f t="shared" si="30"/>
        <v>#REF!</v>
      </c>
      <c r="J153" t="e">
        <f t="shared" si="31"/>
        <v>#REF!</v>
      </c>
    </row>
    <row r="154" spans="6:10" x14ac:dyDescent="0.15">
      <c r="F154" t="e">
        <f t="shared" si="44"/>
        <v>#REF!</v>
      </c>
      <c r="G154" t="e">
        <f t="shared" si="7"/>
        <v>#REF!</v>
      </c>
      <c r="H154" t="e">
        <f t="shared" si="8"/>
        <v>#REF!</v>
      </c>
      <c r="I154" s="383" t="e">
        <f t="shared" si="30"/>
        <v>#REF!</v>
      </c>
      <c r="J154" t="e">
        <f t="shared" si="31"/>
        <v>#REF!</v>
      </c>
    </row>
    <row r="155" spans="6:10" x14ac:dyDescent="0.15">
      <c r="F155" t="e">
        <f t="shared" si="44"/>
        <v>#REF!</v>
      </c>
      <c r="G155" t="e">
        <f t="shared" si="7"/>
        <v>#REF!</v>
      </c>
      <c r="H155" t="e">
        <f t="shared" si="8"/>
        <v>#REF!</v>
      </c>
      <c r="I155" s="383" t="e">
        <f t="shared" si="30"/>
        <v>#REF!</v>
      </c>
      <c r="J155" t="e">
        <f t="shared" si="31"/>
        <v>#REF!</v>
      </c>
    </row>
    <row r="156" spans="6:10" x14ac:dyDescent="0.15">
      <c r="F156" t="e">
        <f t="shared" si="44"/>
        <v>#REF!</v>
      </c>
      <c r="G156" t="e">
        <f t="shared" si="7"/>
        <v>#REF!</v>
      </c>
      <c r="H156" t="e">
        <f t="shared" si="8"/>
        <v>#REF!</v>
      </c>
      <c r="I156" s="383" t="e">
        <f t="shared" si="30"/>
        <v>#REF!</v>
      </c>
      <c r="J156" t="e">
        <f t="shared" si="31"/>
        <v>#REF!</v>
      </c>
    </row>
    <row r="157" spans="6:10" x14ac:dyDescent="0.15">
      <c r="F157" t="e">
        <f t="shared" si="44"/>
        <v>#REF!</v>
      </c>
      <c r="G157" t="e">
        <f t="shared" si="7"/>
        <v>#REF!</v>
      </c>
      <c r="H157" t="e">
        <f t="shared" si="8"/>
        <v>#REF!</v>
      </c>
      <c r="I157" s="383" t="e">
        <f t="shared" si="30"/>
        <v>#REF!</v>
      </c>
      <c r="J157" t="e">
        <f t="shared" si="31"/>
        <v>#REF!</v>
      </c>
    </row>
    <row r="158" spans="6:10" x14ac:dyDescent="0.15">
      <c r="F158" t="e">
        <f t="shared" si="44"/>
        <v>#REF!</v>
      </c>
      <c r="G158" t="e">
        <f t="shared" si="7"/>
        <v>#REF!</v>
      </c>
      <c r="H158" t="e">
        <f t="shared" si="8"/>
        <v>#REF!</v>
      </c>
      <c r="I158" s="383" t="e">
        <f t="shared" si="30"/>
        <v>#REF!</v>
      </c>
      <c r="J158" t="e">
        <f t="shared" si="31"/>
        <v>#REF!</v>
      </c>
    </row>
    <row r="159" spans="6:10" x14ac:dyDescent="0.15">
      <c r="F159" t="e">
        <f t="shared" si="44"/>
        <v>#REF!</v>
      </c>
      <c r="G159" t="e">
        <f t="shared" si="7"/>
        <v>#REF!</v>
      </c>
      <c r="H159" t="e">
        <f t="shared" si="8"/>
        <v>#REF!</v>
      </c>
      <c r="I159" s="383" t="e">
        <f t="shared" si="30"/>
        <v>#REF!</v>
      </c>
      <c r="J159" t="e">
        <f t="shared" si="31"/>
        <v>#REF!</v>
      </c>
    </row>
    <row r="160" spans="6:10" x14ac:dyDescent="0.15">
      <c r="F160" t="e">
        <f t="shared" si="44"/>
        <v>#REF!</v>
      </c>
      <c r="G160" t="e">
        <f t="shared" si="7"/>
        <v>#REF!</v>
      </c>
      <c r="H160" t="e">
        <f t="shared" si="8"/>
        <v>#REF!</v>
      </c>
      <c r="I160" s="383" t="e">
        <f t="shared" si="30"/>
        <v>#REF!</v>
      </c>
      <c r="J160" t="e">
        <f t="shared" si="31"/>
        <v>#REF!</v>
      </c>
    </row>
    <row r="161" spans="6:10" x14ac:dyDescent="0.15">
      <c r="F161" t="e">
        <f t="shared" si="44"/>
        <v>#REF!</v>
      </c>
      <c r="G161" t="e">
        <f t="shared" si="7"/>
        <v>#REF!</v>
      </c>
      <c r="H161" t="e">
        <f t="shared" si="8"/>
        <v>#REF!</v>
      </c>
      <c r="I161" s="383" t="e">
        <f t="shared" si="30"/>
        <v>#REF!</v>
      </c>
      <c r="J161" t="e">
        <f t="shared" si="31"/>
        <v>#REF!</v>
      </c>
    </row>
    <row r="162" spans="6:10" x14ac:dyDescent="0.15">
      <c r="F162" t="e">
        <f t="shared" si="44"/>
        <v>#REF!</v>
      </c>
      <c r="G162" t="e">
        <f t="shared" si="7"/>
        <v>#REF!</v>
      </c>
      <c r="H162" t="e">
        <f t="shared" si="8"/>
        <v>#REF!</v>
      </c>
      <c r="I162" s="383" t="e">
        <f t="shared" si="30"/>
        <v>#REF!</v>
      </c>
      <c r="J162" t="e">
        <f t="shared" si="31"/>
        <v>#REF!</v>
      </c>
    </row>
    <row r="163" spans="6:10" x14ac:dyDescent="0.15">
      <c r="F163" t="e">
        <f t="shared" si="44"/>
        <v>#REF!</v>
      </c>
      <c r="G163" t="e">
        <f t="shared" si="7"/>
        <v>#REF!</v>
      </c>
      <c r="H163" t="e">
        <f t="shared" si="8"/>
        <v>#REF!</v>
      </c>
      <c r="I163" s="383" t="e">
        <f t="shared" si="30"/>
        <v>#REF!</v>
      </c>
      <c r="J163" t="e">
        <f t="shared" si="31"/>
        <v>#REF!</v>
      </c>
    </row>
    <row r="164" spans="6:10" x14ac:dyDescent="0.15">
      <c r="F164" t="e">
        <f t="shared" si="44"/>
        <v>#REF!</v>
      </c>
      <c r="G164" t="e">
        <f t="shared" si="7"/>
        <v>#REF!</v>
      </c>
      <c r="H164" t="e">
        <f t="shared" si="8"/>
        <v>#REF!</v>
      </c>
      <c r="I164" s="383" t="e">
        <f t="shared" si="30"/>
        <v>#REF!</v>
      </c>
      <c r="J164" t="e">
        <f t="shared" si="31"/>
        <v>#REF!</v>
      </c>
    </row>
    <row r="165" spans="6:10" x14ac:dyDescent="0.15">
      <c r="F165" t="e">
        <f t="shared" si="44"/>
        <v>#REF!</v>
      </c>
      <c r="G165" t="e">
        <f t="shared" si="7"/>
        <v>#REF!</v>
      </c>
      <c r="H165" t="e">
        <f t="shared" si="8"/>
        <v>#REF!</v>
      </c>
      <c r="I165" s="383" t="e">
        <f t="shared" si="30"/>
        <v>#REF!</v>
      </c>
      <c r="J165" t="e">
        <f t="shared" si="31"/>
        <v>#REF!</v>
      </c>
    </row>
    <row r="166" spans="6:10" x14ac:dyDescent="0.15">
      <c r="F166" t="e">
        <f t="shared" si="44"/>
        <v>#REF!</v>
      </c>
      <c r="G166" t="e">
        <f t="shared" si="7"/>
        <v>#REF!</v>
      </c>
      <c r="H166" t="e">
        <f t="shared" si="8"/>
        <v>#REF!</v>
      </c>
      <c r="I166" s="383" t="e">
        <f t="shared" si="30"/>
        <v>#REF!</v>
      </c>
      <c r="J166" t="e">
        <f t="shared" si="31"/>
        <v>#REF!</v>
      </c>
    </row>
    <row r="167" spans="6:10" x14ac:dyDescent="0.15">
      <c r="F167" t="e">
        <f t="shared" si="44"/>
        <v>#REF!</v>
      </c>
      <c r="G167" t="e">
        <f t="shared" si="7"/>
        <v>#REF!</v>
      </c>
      <c r="H167" t="e">
        <f t="shared" si="8"/>
        <v>#REF!</v>
      </c>
      <c r="I167" s="383" t="e">
        <f t="shared" si="30"/>
        <v>#REF!</v>
      </c>
      <c r="J167" t="e">
        <f t="shared" si="31"/>
        <v>#REF!</v>
      </c>
    </row>
    <row r="168" spans="6:10" x14ac:dyDescent="0.15">
      <c r="F168" t="e">
        <f t="shared" si="44"/>
        <v>#REF!</v>
      </c>
      <c r="G168" t="e">
        <f t="shared" si="7"/>
        <v>#REF!</v>
      </c>
      <c r="H168" t="e">
        <f t="shared" si="8"/>
        <v>#REF!</v>
      </c>
      <c r="I168" s="383" t="e">
        <f t="shared" si="30"/>
        <v>#REF!</v>
      </c>
      <c r="J168" t="e">
        <f t="shared" si="31"/>
        <v>#REF!</v>
      </c>
    </row>
    <row r="169" spans="6:10" x14ac:dyDescent="0.15">
      <c r="F169" t="e">
        <f t="shared" si="44"/>
        <v>#REF!</v>
      </c>
      <c r="G169" t="e">
        <f t="shared" si="7"/>
        <v>#REF!</v>
      </c>
      <c r="H169" t="e">
        <f t="shared" si="8"/>
        <v>#REF!</v>
      </c>
      <c r="I169" s="383" t="e">
        <f t="shared" si="30"/>
        <v>#REF!</v>
      </c>
      <c r="J169" t="e">
        <f t="shared" si="31"/>
        <v>#REF!</v>
      </c>
    </row>
    <row r="170" spans="6:10" x14ac:dyDescent="0.15">
      <c r="F170" t="e">
        <f t="shared" si="44"/>
        <v>#REF!</v>
      </c>
      <c r="G170" t="e">
        <f t="shared" si="7"/>
        <v>#REF!</v>
      </c>
      <c r="H170" t="e">
        <f t="shared" si="8"/>
        <v>#REF!</v>
      </c>
      <c r="I170" s="383" t="e">
        <f t="shared" si="30"/>
        <v>#REF!</v>
      </c>
      <c r="J170" t="e">
        <f t="shared" si="31"/>
        <v>#REF!</v>
      </c>
    </row>
    <row r="171" spans="6:10" x14ac:dyDescent="0.15">
      <c r="F171" t="e">
        <f t="shared" si="44"/>
        <v>#REF!</v>
      </c>
      <c r="G171" t="e">
        <f t="shared" si="7"/>
        <v>#REF!</v>
      </c>
      <c r="H171" t="e">
        <f t="shared" si="8"/>
        <v>#REF!</v>
      </c>
      <c r="I171" s="383" t="e">
        <f t="shared" si="30"/>
        <v>#REF!</v>
      </c>
      <c r="J171" t="e">
        <f t="shared" si="31"/>
        <v>#REF!</v>
      </c>
    </row>
    <row r="172" spans="6:10" x14ac:dyDescent="0.15">
      <c r="F172" t="e">
        <f t="shared" si="44"/>
        <v>#REF!</v>
      </c>
      <c r="G172" t="e">
        <f t="shared" si="7"/>
        <v>#REF!</v>
      </c>
      <c r="H172" t="e">
        <f t="shared" si="8"/>
        <v>#REF!</v>
      </c>
      <c r="I172" s="383" t="e">
        <f t="shared" si="30"/>
        <v>#REF!</v>
      </c>
      <c r="J172" t="e">
        <f t="shared" si="31"/>
        <v>#REF!</v>
      </c>
    </row>
    <row r="173" spans="6:10" x14ac:dyDescent="0.15">
      <c r="F173" t="e">
        <f t="shared" si="44"/>
        <v>#REF!</v>
      </c>
      <c r="G173" t="e">
        <f t="shared" si="7"/>
        <v>#REF!</v>
      </c>
      <c r="H173" t="e">
        <f t="shared" si="8"/>
        <v>#REF!</v>
      </c>
      <c r="I173" s="383" t="e">
        <f t="shared" si="30"/>
        <v>#REF!</v>
      </c>
      <c r="J173" t="e">
        <f t="shared" si="31"/>
        <v>#REF!</v>
      </c>
    </row>
    <row r="174" spans="6:10" x14ac:dyDescent="0.15">
      <c r="F174" t="e">
        <f t="shared" si="44"/>
        <v>#REF!</v>
      </c>
      <c r="G174" t="e">
        <f t="shared" si="7"/>
        <v>#REF!</v>
      </c>
      <c r="H174" t="e">
        <f t="shared" si="8"/>
        <v>#REF!</v>
      </c>
      <c r="I174" s="383" t="e">
        <f t="shared" si="30"/>
        <v>#REF!</v>
      </c>
      <c r="J174" t="e">
        <f t="shared" si="31"/>
        <v>#REF!</v>
      </c>
    </row>
    <row r="175" spans="6:10" x14ac:dyDescent="0.15">
      <c r="F175" t="e">
        <f t="shared" si="44"/>
        <v>#REF!</v>
      </c>
      <c r="G175" t="e">
        <f t="shared" si="7"/>
        <v>#REF!</v>
      </c>
      <c r="H175" t="e">
        <f t="shared" si="8"/>
        <v>#REF!</v>
      </c>
      <c r="I175" s="383" t="e">
        <f t="shared" si="30"/>
        <v>#REF!</v>
      </c>
      <c r="J175" t="e">
        <f t="shared" si="31"/>
        <v>#REF!</v>
      </c>
    </row>
    <row r="176" spans="6:10" x14ac:dyDescent="0.15">
      <c r="F176" t="e">
        <f t="shared" si="44"/>
        <v>#REF!</v>
      </c>
      <c r="G176" t="e">
        <f t="shared" si="7"/>
        <v>#REF!</v>
      </c>
      <c r="H176" t="e">
        <f t="shared" si="8"/>
        <v>#REF!</v>
      </c>
      <c r="I176" s="383" t="e">
        <f t="shared" si="30"/>
        <v>#REF!</v>
      </c>
      <c r="J176" t="e">
        <f t="shared" si="31"/>
        <v>#REF!</v>
      </c>
    </row>
    <row r="177" spans="6:10" x14ac:dyDescent="0.15">
      <c r="F177" t="e">
        <f t="shared" si="44"/>
        <v>#REF!</v>
      </c>
      <c r="G177" t="e">
        <f t="shared" ref="G177:G240" si="45">I177*F177+J177</f>
        <v>#REF!</v>
      </c>
      <c r="H177" t="e">
        <f t="shared" ref="H177:H240" si="46">$K$2*SQRT(F177)</f>
        <v>#REF!</v>
      </c>
      <c r="I177" s="383" t="e">
        <f t="shared" si="30"/>
        <v>#REF!</v>
      </c>
      <c r="J177" t="e">
        <f t="shared" si="31"/>
        <v>#REF!</v>
      </c>
    </row>
    <row r="178" spans="6:10" x14ac:dyDescent="0.15">
      <c r="F178" t="e">
        <f t="shared" si="44"/>
        <v>#REF!</v>
      </c>
      <c r="G178" t="e">
        <f t="shared" si="45"/>
        <v>#REF!</v>
      </c>
      <c r="H178" t="e">
        <f t="shared" si="46"/>
        <v>#REF!</v>
      </c>
      <c r="I178" s="383" t="e">
        <f t="shared" si="30"/>
        <v>#REF!</v>
      </c>
      <c r="J178" t="e">
        <f t="shared" si="31"/>
        <v>#REF!</v>
      </c>
    </row>
    <row r="179" spans="6:10" x14ac:dyDescent="0.15">
      <c r="F179" t="e">
        <f t="shared" si="44"/>
        <v>#REF!</v>
      </c>
      <c r="G179" t="e">
        <f t="shared" si="45"/>
        <v>#REF!</v>
      </c>
      <c r="H179" t="e">
        <f t="shared" si="46"/>
        <v>#REF!</v>
      </c>
      <c r="I179" s="383" t="e">
        <f t="shared" si="30"/>
        <v>#REF!</v>
      </c>
      <c r="J179" t="e">
        <f t="shared" si="31"/>
        <v>#REF!</v>
      </c>
    </row>
    <row r="180" spans="6:10" x14ac:dyDescent="0.15">
      <c r="F180" t="e">
        <f t="shared" si="44"/>
        <v>#REF!</v>
      </c>
      <c r="G180" t="e">
        <f t="shared" si="45"/>
        <v>#REF!</v>
      </c>
      <c r="H180" t="e">
        <f t="shared" si="46"/>
        <v>#REF!</v>
      </c>
      <c r="I180" s="383" t="e">
        <f t="shared" si="30"/>
        <v>#REF!</v>
      </c>
      <c r="J180" t="e">
        <f t="shared" si="31"/>
        <v>#REF!</v>
      </c>
    </row>
    <row r="181" spans="6:10" x14ac:dyDescent="0.15">
      <c r="F181" t="e">
        <f t="shared" si="44"/>
        <v>#REF!</v>
      </c>
      <c r="G181" t="e">
        <f t="shared" si="45"/>
        <v>#REF!</v>
      </c>
      <c r="H181" t="e">
        <f t="shared" si="46"/>
        <v>#REF!</v>
      </c>
      <c r="I181" s="383" t="e">
        <f t="shared" si="30"/>
        <v>#REF!</v>
      </c>
      <c r="J181" t="e">
        <f t="shared" si="31"/>
        <v>#REF!</v>
      </c>
    </row>
    <row r="182" spans="6:10" x14ac:dyDescent="0.15">
      <c r="F182" t="e">
        <f t="shared" si="44"/>
        <v>#REF!</v>
      </c>
      <c r="G182" t="e">
        <f t="shared" si="45"/>
        <v>#REF!</v>
      </c>
      <c r="H182" t="e">
        <f t="shared" si="46"/>
        <v>#REF!</v>
      </c>
      <c r="I182" s="383" t="e">
        <f t="shared" si="30"/>
        <v>#REF!</v>
      </c>
      <c r="J182" t="e">
        <f t="shared" si="31"/>
        <v>#REF!</v>
      </c>
    </row>
    <row r="183" spans="6:10" x14ac:dyDescent="0.15">
      <c r="F183" t="e">
        <f t="shared" si="44"/>
        <v>#REF!</v>
      </c>
      <c r="G183" t="e">
        <f t="shared" si="45"/>
        <v>#REF!</v>
      </c>
      <c r="H183" t="e">
        <f t="shared" si="46"/>
        <v>#REF!</v>
      </c>
      <c r="I183" s="383" t="e">
        <f t="shared" si="30"/>
        <v>#REF!</v>
      </c>
      <c r="J183" t="e">
        <f t="shared" si="31"/>
        <v>#REF!</v>
      </c>
    </row>
    <row r="184" spans="6:10" x14ac:dyDescent="0.15">
      <c r="F184" t="e">
        <f t="shared" si="44"/>
        <v>#REF!</v>
      </c>
      <c r="G184" t="e">
        <f t="shared" si="45"/>
        <v>#REF!</v>
      </c>
      <c r="H184" t="e">
        <f t="shared" si="46"/>
        <v>#REF!</v>
      </c>
      <c r="I184" s="383" t="e">
        <f t="shared" si="30"/>
        <v>#REF!</v>
      </c>
      <c r="J184" t="e">
        <f t="shared" si="31"/>
        <v>#REF!</v>
      </c>
    </row>
    <row r="185" spans="6:10" x14ac:dyDescent="0.15">
      <c r="F185" t="e">
        <f t="shared" si="44"/>
        <v>#REF!</v>
      </c>
      <c r="G185" t="e">
        <f t="shared" si="45"/>
        <v>#REF!</v>
      </c>
      <c r="H185" t="e">
        <f t="shared" si="46"/>
        <v>#REF!</v>
      </c>
      <c r="I185" s="383" t="e">
        <f t="shared" si="30"/>
        <v>#REF!</v>
      </c>
      <c r="J185" t="e">
        <f t="shared" si="31"/>
        <v>#REF!</v>
      </c>
    </row>
    <row r="186" spans="6:10" x14ac:dyDescent="0.15">
      <c r="F186" t="e">
        <f t="shared" si="44"/>
        <v>#REF!</v>
      </c>
      <c r="G186" t="e">
        <f t="shared" si="45"/>
        <v>#REF!</v>
      </c>
      <c r="H186" t="e">
        <f t="shared" si="46"/>
        <v>#REF!</v>
      </c>
      <c r="I186" s="383" t="e">
        <f t="shared" si="30"/>
        <v>#REF!</v>
      </c>
      <c r="J186" t="e">
        <f t="shared" si="31"/>
        <v>#REF!</v>
      </c>
    </row>
    <row r="187" spans="6:10" x14ac:dyDescent="0.15">
      <c r="F187" t="e">
        <f t="shared" si="44"/>
        <v>#REF!</v>
      </c>
      <c r="G187" t="e">
        <f t="shared" si="45"/>
        <v>#REF!</v>
      </c>
      <c r="H187" t="e">
        <f t="shared" si="46"/>
        <v>#REF!</v>
      </c>
      <c r="I187" s="383" t="e">
        <f t="shared" si="30"/>
        <v>#REF!</v>
      </c>
      <c r="J187" t="e">
        <f t="shared" si="31"/>
        <v>#REF!</v>
      </c>
    </row>
    <row r="188" spans="6:10" x14ac:dyDescent="0.15">
      <c r="F188" t="e">
        <f t="shared" si="44"/>
        <v>#REF!</v>
      </c>
      <c r="G188" t="e">
        <f t="shared" si="45"/>
        <v>#REF!</v>
      </c>
      <c r="H188" t="e">
        <f t="shared" si="46"/>
        <v>#REF!</v>
      </c>
      <c r="I188" s="383" t="e">
        <f t="shared" si="30"/>
        <v>#REF!</v>
      </c>
      <c r="J188" t="e">
        <f t="shared" si="31"/>
        <v>#REF!</v>
      </c>
    </row>
    <row r="189" spans="6:10" x14ac:dyDescent="0.15">
      <c r="F189" t="e">
        <f t="shared" si="44"/>
        <v>#REF!</v>
      </c>
      <c r="G189" t="e">
        <f t="shared" si="45"/>
        <v>#REF!</v>
      </c>
      <c r="H189" t="e">
        <f t="shared" si="46"/>
        <v>#REF!</v>
      </c>
      <c r="I189" s="383" t="e">
        <f t="shared" si="30"/>
        <v>#REF!</v>
      </c>
      <c r="J189" t="e">
        <f t="shared" si="31"/>
        <v>#REF!</v>
      </c>
    </row>
    <row r="190" spans="6:10" x14ac:dyDescent="0.15">
      <c r="F190" t="e">
        <f t="shared" si="44"/>
        <v>#REF!</v>
      </c>
      <c r="G190" t="e">
        <f t="shared" si="45"/>
        <v>#REF!</v>
      </c>
      <c r="H190" t="e">
        <f t="shared" si="46"/>
        <v>#REF!</v>
      </c>
      <c r="I190" s="383" t="e">
        <f t="shared" si="30"/>
        <v>#REF!</v>
      </c>
      <c r="J190" t="e">
        <f t="shared" si="31"/>
        <v>#REF!</v>
      </c>
    </row>
    <row r="191" spans="6:10" x14ac:dyDescent="0.15">
      <c r="F191" t="e">
        <f t="shared" si="44"/>
        <v>#REF!</v>
      </c>
      <c r="G191" t="e">
        <f t="shared" si="45"/>
        <v>#REF!</v>
      </c>
      <c r="H191" t="e">
        <f t="shared" si="46"/>
        <v>#REF!</v>
      </c>
      <c r="I191" s="383" t="e">
        <f t="shared" si="30"/>
        <v>#REF!</v>
      </c>
      <c r="J191" t="e">
        <f t="shared" si="31"/>
        <v>#REF!</v>
      </c>
    </row>
    <row r="192" spans="6:10" x14ac:dyDescent="0.15">
      <c r="F192" t="e">
        <f t="shared" si="44"/>
        <v>#REF!</v>
      </c>
      <c r="G192" t="e">
        <f t="shared" si="45"/>
        <v>#REF!</v>
      </c>
      <c r="H192" t="e">
        <f t="shared" si="46"/>
        <v>#REF!</v>
      </c>
      <c r="I192" s="383" t="e">
        <f t="shared" si="30"/>
        <v>#REF!</v>
      </c>
      <c r="J192" t="e">
        <f t="shared" si="31"/>
        <v>#REF!</v>
      </c>
    </row>
    <row r="193" spans="6:10" x14ac:dyDescent="0.15">
      <c r="F193" t="e">
        <f t="shared" si="44"/>
        <v>#REF!</v>
      </c>
      <c r="G193" t="e">
        <f t="shared" si="45"/>
        <v>#REF!</v>
      </c>
      <c r="H193" t="e">
        <f t="shared" si="46"/>
        <v>#REF!</v>
      </c>
      <c r="I193" s="383" t="e">
        <f t="shared" si="30"/>
        <v>#REF!</v>
      </c>
      <c r="J193" t="e">
        <f t="shared" si="31"/>
        <v>#REF!</v>
      </c>
    </row>
    <row r="194" spans="6:10" x14ac:dyDescent="0.15">
      <c r="F194" t="e">
        <f t="shared" si="44"/>
        <v>#REF!</v>
      </c>
      <c r="G194" t="e">
        <f t="shared" si="45"/>
        <v>#REF!</v>
      </c>
      <c r="H194" t="e">
        <f t="shared" si="46"/>
        <v>#REF!</v>
      </c>
      <c r="I194" s="383" t="e">
        <f t="shared" si="30"/>
        <v>#REF!</v>
      </c>
      <c r="J194" t="e">
        <f t="shared" si="31"/>
        <v>#REF!</v>
      </c>
    </row>
    <row r="195" spans="6:10" x14ac:dyDescent="0.15">
      <c r="F195" t="e">
        <f t="shared" si="44"/>
        <v>#REF!</v>
      </c>
      <c r="G195" t="e">
        <f t="shared" si="45"/>
        <v>#REF!</v>
      </c>
      <c r="H195" t="e">
        <f t="shared" si="46"/>
        <v>#REF!</v>
      </c>
      <c r="I195" s="383" t="e">
        <f t="shared" si="30"/>
        <v>#REF!</v>
      </c>
      <c r="J195" t="e">
        <f t="shared" si="31"/>
        <v>#REF!</v>
      </c>
    </row>
    <row r="196" spans="6:10" x14ac:dyDescent="0.15">
      <c r="F196" t="e">
        <f t="shared" si="44"/>
        <v>#REF!</v>
      </c>
      <c r="G196" t="e">
        <f t="shared" si="45"/>
        <v>#REF!</v>
      </c>
      <c r="H196" t="e">
        <f t="shared" si="46"/>
        <v>#REF!</v>
      </c>
      <c r="I196" s="383" t="e">
        <f t="shared" si="30"/>
        <v>#REF!</v>
      </c>
      <c r="J196" t="e">
        <f t="shared" si="31"/>
        <v>#REF!</v>
      </c>
    </row>
    <row r="197" spans="6:10" x14ac:dyDescent="0.15">
      <c r="F197" t="e">
        <f t="shared" si="44"/>
        <v>#REF!</v>
      </c>
      <c r="G197" t="e">
        <f t="shared" si="45"/>
        <v>#REF!</v>
      </c>
      <c r="H197" t="e">
        <f t="shared" si="46"/>
        <v>#REF!</v>
      </c>
      <c r="I197" s="383" t="e">
        <f t="shared" si="30"/>
        <v>#REF!</v>
      </c>
      <c r="J197" t="e">
        <f t="shared" si="31"/>
        <v>#REF!</v>
      </c>
    </row>
    <row r="198" spans="6:10" x14ac:dyDescent="0.15">
      <c r="F198" t="e">
        <f t="shared" si="44"/>
        <v>#REF!</v>
      </c>
      <c r="G198" t="e">
        <f t="shared" si="45"/>
        <v>#REF!</v>
      </c>
      <c r="H198" t="e">
        <f t="shared" si="46"/>
        <v>#REF!</v>
      </c>
      <c r="I198" s="383" t="e">
        <f t="shared" ref="I198:I242" si="47">VLOOKUP(F198,B$10:D$19,2)</f>
        <v>#REF!</v>
      </c>
      <c r="J198" t="e">
        <f t="shared" ref="J198:J242" si="48">VLOOKUP(F198,B$10:D$19,3)</f>
        <v>#REF!</v>
      </c>
    </row>
    <row r="199" spans="6:10" x14ac:dyDescent="0.15">
      <c r="F199" t="e">
        <f t="shared" si="44"/>
        <v>#REF!</v>
      </c>
      <c r="G199" t="e">
        <f t="shared" si="45"/>
        <v>#REF!</v>
      </c>
      <c r="H199" t="e">
        <f t="shared" si="46"/>
        <v>#REF!</v>
      </c>
      <c r="I199" s="383" t="e">
        <f t="shared" si="47"/>
        <v>#REF!</v>
      </c>
      <c r="J199" t="e">
        <f t="shared" si="48"/>
        <v>#REF!</v>
      </c>
    </row>
    <row r="200" spans="6:10" x14ac:dyDescent="0.15">
      <c r="F200" t="e">
        <f t="shared" si="44"/>
        <v>#REF!</v>
      </c>
      <c r="G200" t="e">
        <f t="shared" si="45"/>
        <v>#REF!</v>
      </c>
      <c r="H200" t="e">
        <f t="shared" si="46"/>
        <v>#REF!</v>
      </c>
      <c r="I200" s="383" t="e">
        <f t="shared" si="47"/>
        <v>#REF!</v>
      </c>
      <c r="J200" t="e">
        <f t="shared" si="48"/>
        <v>#REF!</v>
      </c>
    </row>
    <row r="201" spans="6:10" x14ac:dyDescent="0.15">
      <c r="F201" t="e">
        <f t="shared" si="44"/>
        <v>#REF!</v>
      </c>
      <c r="G201" t="e">
        <f t="shared" si="45"/>
        <v>#REF!</v>
      </c>
      <c r="H201" t="e">
        <f t="shared" si="46"/>
        <v>#REF!</v>
      </c>
      <c r="I201" s="383" t="e">
        <f t="shared" si="47"/>
        <v>#REF!</v>
      </c>
      <c r="J201" t="e">
        <f t="shared" si="48"/>
        <v>#REF!</v>
      </c>
    </row>
    <row r="202" spans="6:10" x14ac:dyDescent="0.15">
      <c r="F202" t="e">
        <f t="shared" si="44"/>
        <v>#REF!</v>
      </c>
      <c r="G202" t="e">
        <f t="shared" si="45"/>
        <v>#REF!</v>
      </c>
      <c r="H202" t="e">
        <f t="shared" si="46"/>
        <v>#REF!</v>
      </c>
      <c r="I202" s="383" t="e">
        <f t="shared" si="47"/>
        <v>#REF!</v>
      </c>
      <c r="J202" t="e">
        <f t="shared" si="48"/>
        <v>#REF!</v>
      </c>
    </row>
    <row r="203" spans="6:10" x14ac:dyDescent="0.15">
      <c r="F203" t="e">
        <f t="shared" si="44"/>
        <v>#REF!</v>
      </c>
      <c r="G203" t="e">
        <f t="shared" si="45"/>
        <v>#REF!</v>
      </c>
      <c r="H203" t="e">
        <f t="shared" si="46"/>
        <v>#REF!</v>
      </c>
      <c r="I203" s="383" t="e">
        <f t="shared" si="47"/>
        <v>#REF!</v>
      </c>
      <c r="J203" t="e">
        <f t="shared" si="48"/>
        <v>#REF!</v>
      </c>
    </row>
    <row r="204" spans="6:10" x14ac:dyDescent="0.15">
      <c r="F204" t="e">
        <f t="shared" si="44"/>
        <v>#REF!</v>
      </c>
      <c r="G204" t="e">
        <f t="shared" si="45"/>
        <v>#REF!</v>
      </c>
      <c r="H204" t="e">
        <f t="shared" si="46"/>
        <v>#REF!</v>
      </c>
      <c r="I204" s="383" t="e">
        <f t="shared" si="47"/>
        <v>#REF!</v>
      </c>
      <c r="J204" t="e">
        <f t="shared" si="48"/>
        <v>#REF!</v>
      </c>
    </row>
    <row r="205" spans="6:10" x14ac:dyDescent="0.15">
      <c r="F205" t="e">
        <f t="shared" si="44"/>
        <v>#REF!</v>
      </c>
      <c r="G205" t="e">
        <f t="shared" si="45"/>
        <v>#REF!</v>
      </c>
      <c r="H205" t="e">
        <f t="shared" si="46"/>
        <v>#REF!</v>
      </c>
      <c r="I205" s="383" t="e">
        <f t="shared" si="47"/>
        <v>#REF!</v>
      </c>
      <c r="J205" t="e">
        <f t="shared" si="48"/>
        <v>#REF!</v>
      </c>
    </row>
    <row r="206" spans="6:10" x14ac:dyDescent="0.15">
      <c r="F206" t="e">
        <f t="shared" si="44"/>
        <v>#REF!</v>
      </c>
      <c r="G206" t="e">
        <f t="shared" si="45"/>
        <v>#REF!</v>
      </c>
      <c r="H206" t="e">
        <f t="shared" si="46"/>
        <v>#REF!</v>
      </c>
      <c r="I206" s="383" t="e">
        <f t="shared" si="47"/>
        <v>#REF!</v>
      </c>
      <c r="J206" t="e">
        <f t="shared" si="48"/>
        <v>#REF!</v>
      </c>
    </row>
    <row r="207" spans="6:10" x14ac:dyDescent="0.15">
      <c r="F207" t="e">
        <f t="shared" si="44"/>
        <v>#REF!</v>
      </c>
      <c r="G207" t="e">
        <f t="shared" si="45"/>
        <v>#REF!</v>
      </c>
      <c r="H207" t="e">
        <f t="shared" si="46"/>
        <v>#REF!</v>
      </c>
      <c r="I207" s="383" t="e">
        <f t="shared" si="47"/>
        <v>#REF!</v>
      </c>
      <c r="J207" t="e">
        <f t="shared" si="48"/>
        <v>#REF!</v>
      </c>
    </row>
    <row r="208" spans="6:10" x14ac:dyDescent="0.15">
      <c r="F208" t="e">
        <f t="shared" si="44"/>
        <v>#REF!</v>
      </c>
      <c r="G208" t="e">
        <f t="shared" si="45"/>
        <v>#REF!</v>
      </c>
      <c r="H208" t="e">
        <f t="shared" si="46"/>
        <v>#REF!</v>
      </c>
      <c r="I208" s="383" t="e">
        <f t="shared" si="47"/>
        <v>#REF!</v>
      </c>
      <c r="J208" t="e">
        <f t="shared" si="48"/>
        <v>#REF!</v>
      </c>
    </row>
    <row r="209" spans="6:10" x14ac:dyDescent="0.15">
      <c r="F209" t="e">
        <f t="shared" si="44"/>
        <v>#REF!</v>
      </c>
      <c r="G209" t="e">
        <f t="shared" si="45"/>
        <v>#REF!</v>
      </c>
      <c r="H209" t="e">
        <f t="shared" si="46"/>
        <v>#REF!</v>
      </c>
      <c r="I209" s="383" t="e">
        <f t="shared" si="47"/>
        <v>#REF!</v>
      </c>
      <c r="J209" t="e">
        <f t="shared" si="48"/>
        <v>#REF!</v>
      </c>
    </row>
    <row r="210" spans="6:10" x14ac:dyDescent="0.15">
      <c r="F210" t="e">
        <f t="shared" si="44"/>
        <v>#REF!</v>
      </c>
      <c r="G210" t="e">
        <f t="shared" si="45"/>
        <v>#REF!</v>
      </c>
      <c r="H210" t="e">
        <f t="shared" si="46"/>
        <v>#REF!</v>
      </c>
      <c r="I210" s="383" t="e">
        <f t="shared" si="47"/>
        <v>#REF!</v>
      </c>
      <c r="J210" t="e">
        <f t="shared" si="48"/>
        <v>#REF!</v>
      </c>
    </row>
    <row r="211" spans="6:10" x14ac:dyDescent="0.15">
      <c r="F211" t="e">
        <f t="shared" si="44"/>
        <v>#REF!</v>
      </c>
      <c r="G211" t="e">
        <f t="shared" si="45"/>
        <v>#REF!</v>
      </c>
      <c r="H211" t="e">
        <f t="shared" si="46"/>
        <v>#REF!</v>
      </c>
      <c r="I211" s="383" t="e">
        <f t="shared" si="47"/>
        <v>#REF!</v>
      </c>
      <c r="J211" t="e">
        <f t="shared" si="48"/>
        <v>#REF!</v>
      </c>
    </row>
    <row r="212" spans="6:10" x14ac:dyDescent="0.15">
      <c r="F212" t="e">
        <f t="shared" ref="F212:F242" si="49">F211+2000</f>
        <v>#REF!</v>
      </c>
      <c r="G212" t="e">
        <f t="shared" si="45"/>
        <v>#REF!</v>
      </c>
      <c r="H212" t="e">
        <f t="shared" si="46"/>
        <v>#REF!</v>
      </c>
      <c r="I212" s="383" t="e">
        <f t="shared" si="47"/>
        <v>#REF!</v>
      </c>
      <c r="J212" t="e">
        <f t="shared" si="48"/>
        <v>#REF!</v>
      </c>
    </row>
    <row r="213" spans="6:10" x14ac:dyDescent="0.15">
      <c r="F213" t="e">
        <f t="shared" si="49"/>
        <v>#REF!</v>
      </c>
      <c r="G213" t="e">
        <f t="shared" si="45"/>
        <v>#REF!</v>
      </c>
      <c r="H213" t="e">
        <f t="shared" si="46"/>
        <v>#REF!</v>
      </c>
      <c r="I213" s="383" t="e">
        <f t="shared" si="47"/>
        <v>#REF!</v>
      </c>
      <c r="J213" t="e">
        <f t="shared" si="48"/>
        <v>#REF!</v>
      </c>
    </row>
    <row r="214" spans="6:10" x14ac:dyDescent="0.15">
      <c r="F214" t="e">
        <f t="shared" si="49"/>
        <v>#REF!</v>
      </c>
      <c r="G214" t="e">
        <f t="shared" si="45"/>
        <v>#REF!</v>
      </c>
      <c r="H214" t="e">
        <f t="shared" si="46"/>
        <v>#REF!</v>
      </c>
      <c r="I214" s="383" t="e">
        <f t="shared" si="47"/>
        <v>#REF!</v>
      </c>
      <c r="J214" t="e">
        <f t="shared" si="48"/>
        <v>#REF!</v>
      </c>
    </row>
    <row r="215" spans="6:10" x14ac:dyDescent="0.15">
      <c r="F215" t="e">
        <f t="shared" si="49"/>
        <v>#REF!</v>
      </c>
      <c r="G215" t="e">
        <f t="shared" si="45"/>
        <v>#REF!</v>
      </c>
      <c r="H215" t="e">
        <f t="shared" si="46"/>
        <v>#REF!</v>
      </c>
      <c r="I215" s="383" t="e">
        <f t="shared" si="47"/>
        <v>#REF!</v>
      </c>
      <c r="J215" t="e">
        <f t="shared" si="48"/>
        <v>#REF!</v>
      </c>
    </row>
    <row r="216" spans="6:10" x14ac:dyDescent="0.15">
      <c r="F216" t="e">
        <f t="shared" si="49"/>
        <v>#REF!</v>
      </c>
      <c r="G216" t="e">
        <f t="shared" si="45"/>
        <v>#REF!</v>
      </c>
      <c r="H216" t="e">
        <f t="shared" si="46"/>
        <v>#REF!</v>
      </c>
      <c r="I216" s="383" t="e">
        <f t="shared" si="47"/>
        <v>#REF!</v>
      </c>
      <c r="J216" t="e">
        <f t="shared" si="48"/>
        <v>#REF!</v>
      </c>
    </row>
    <row r="217" spans="6:10" x14ac:dyDescent="0.15">
      <c r="F217" t="e">
        <f t="shared" si="49"/>
        <v>#REF!</v>
      </c>
      <c r="G217" t="e">
        <f t="shared" si="45"/>
        <v>#REF!</v>
      </c>
      <c r="H217" t="e">
        <f t="shared" si="46"/>
        <v>#REF!</v>
      </c>
      <c r="I217" s="383" t="e">
        <f t="shared" si="47"/>
        <v>#REF!</v>
      </c>
      <c r="J217" t="e">
        <f t="shared" si="48"/>
        <v>#REF!</v>
      </c>
    </row>
    <row r="218" spans="6:10" x14ac:dyDescent="0.15">
      <c r="F218" t="e">
        <f t="shared" si="49"/>
        <v>#REF!</v>
      </c>
      <c r="G218" t="e">
        <f t="shared" si="45"/>
        <v>#REF!</v>
      </c>
      <c r="H218" t="e">
        <f t="shared" si="46"/>
        <v>#REF!</v>
      </c>
      <c r="I218" s="383" t="e">
        <f t="shared" si="47"/>
        <v>#REF!</v>
      </c>
      <c r="J218" t="e">
        <f t="shared" si="48"/>
        <v>#REF!</v>
      </c>
    </row>
    <row r="219" spans="6:10" x14ac:dyDescent="0.15">
      <c r="F219" t="e">
        <f t="shared" si="49"/>
        <v>#REF!</v>
      </c>
      <c r="G219" t="e">
        <f t="shared" si="45"/>
        <v>#REF!</v>
      </c>
      <c r="H219" t="e">
        <f t="shared" si="46"/>
        <v>#REF!</v>
      </c>
      <c r="I219" s="383" t="e">
        <f t="shared" si="47"/>
        <v>#REF!</v>
      </c>
      <c r="J219" t="e">
        <f t="shared" si="48"/>
        <v>#REF!</v>
      </c>
    </row>
    <row r="220" spans="6:10" x14ac:dyDescent="0.15">
      <c r="F220" t="e">
        <f t="shared" si="49"/>
        <v>#REF!</v>
      </c>
      <c r="G220" t="e">
        <f t="shared" si="45"/>
        <v>#REF!</v>
      </c>
      <c r="H220" t="e">
        <f t="shared" si="46"/>
        <v>#REF!</v>
      </c>
      <c r="I220" s="383" t="e">
        <f t="shared" si="47"/>
        <v>#REF!</v>
      </c>
      <c r="J220" t="e">
        <f t="shared" si="48"/>
        <v>#REF!</v>
      </c>
    </row>
    <row r="221" spans="6:10" x14ac:dyDescent="0.15">
      <c r="F221" t="e">
        <f t="shared" si="49"/>
        <v>#REF!</v>
      </c>
      <c r="G221" t="e">
        <f t="shared" si="45"/>
        <v>#REF!</v>
      </c>
      <c r="H221" t="e">
        <f t="shared" si="46"/>
        <v>#REF!</v>
      </c>
      <c r="I221" s="383" t="e">
        <f t="shared" si="47"/>
        <v>#REF!</v>
      </c>
      <c r="J221" t="e">
        <f t="shared" si="48"/>
        <v>#REF!</v>
      </c>
    </row>
    <row r="222" spans="6:10" x14ac:dyDescent="0.15">
      <c r="F222" t="e">
        <f t="shared" si="49"/>
        <v>#REF!</v>
      </c>
      <c r="G222" t="e">
        <f t="shared" si="45"/>
        <v>#REF!</v>
      </c>
      <c r="H222" t="e">
        <f t="shared" si="46"/>
        <v>#REF!</v>
      </c>
      <c r="I222" s="383" t="e">
        <f t="shared" si="47"/>
        <v>#REF!</v>
      </c>
      <c r="J222" t="e">
        <f t="shared" si="48"/>
        <v>#REF!</v>
      </c>
    </row>
    <row r="223" spans="6:10" x14ac:dyDescent="0.15">
      <c r="F223" t="e">
        <f t="shared" si="49"/>
        <v>#REF!</v>
      </c>
      <c r="G223" t="e">
        <f t="shared" si="45"/>
        <v>#REF!</v>
      </c>
      <c r="H223" t="e">
        <f t="shared" si="46"/>
        <v>#REF!</v>
      </c>
      <c r="I223" s="383" t="e">
        <f t="shared" si="47"/>
        <v>#REF!</v>
      </c>
      <c r="J223" t="e">
        <f t="shared" si="48"/>
        <v>#REF!</v>
      </c>
    </row>
    <row r="224" spans="6:10" x14ac:dyDescent="0.15">
      <c r="F224" t="e">
        <f t="shared" si="49"/>
        <v>#REF!</v>
      </c>
      <c r="G224" t="e">
        <f t="shared" si="45"/>
        <v>#REF!</v>
      </c>
      <c r="H224" t="e">
        <f t="shared" si="46"/>
        <v>#REF!</v>
      </c>
      <c r="I224" s="383" t="e">
        <f t="shared" si="47"/>
        <v>#REF!</v>
      </c>
      <c r="J224" t="e">
        <f t="shared" si="48"/>
        <v>#REF!</v>
      </c>
    </row>
    <row r="225" spans="6:10" x14ac:dyDescent="0.15">
      <c r="F225" t="e">
        <f t="shared" si="49"/>
        <v>#REF!</v>
      </c>
      <c r="G225" t="e">
        <f t="shared" si="45"/>
        <v>#REF!</v>
      </c>
      <c r="H225" t="e">
        <f t="shared" si="46"/>
        <v>#REF!</v>
      </c>
      <c r="I225" s="383" t="e">
        <f t="shared" si="47"/>
        <v>#REF!</v>
      </c>
      <c r="J225" t="e">
        <f t="shared" si="48"/>
        <v>#REF!</v>
      </c>
    </row>
    <row r="226" spans="6:10" x14ac:dyDescent="0.15">
      <c r="F226" t="e">
        <f t="shared" si="49"/>
        <v>#REF!</v>
      </c>
      <c r="G226" t="e">
        <f t="shared" si="45"/>
        <v>#REF!</v>
      </c>
      <c r="H226" t="e">
        <f t="shared" si="46"/>
        <v>#REF!</v>
      </c>
      <c r="I226" s="383" t="e">
        <f t="shared" si="47"/>
        <v>#REF!</v>
      </c>
      <c r="J226" t="e">
        <f t="shared" si="48"/>
        <v>#REF!</v>
      </c>
    </row>
    <row r="227" spans="6:10" x14ac:dyDescent="0.15">
      <c r="F227" t="e">
        <f t="shared" si="49"/>
        <v>#REF!</v>
      </c>
      <c r="G227" t="e">
        <f t="shared" si="45"/>
        <v>#REF!</v>
      </c>
      <c r="H227" t="e">
        <f t="shared" si="46"/>
        <v>#REF!</v>
      </c>
      <c r="I227" s="383" t="e">
        <f t="shared" si="47"/>
        <v>#REF!</v>
      </c>
      <c r="J227" t="e">
        <f t="shared" si="48"/>
        <v>#REF!</v>
      </c>
    </row>
    <row r="228" spans="6:10" x14ac:dyDescent="0.15">
      <c r="F228" t="e">
        <f t="shared" si="49"/>
        <v>#REF!</v>
      </c>
      <c r="G228" t="e">
        <f t="shared" si="45"/>
        <v>#REF!</v>
      </c>
      <c r="H228" t="e">
        <f t="shared" si="46"/>
        <v>#REF!</v>
      </c>
      <c r="I228" s="383" t="e">
        <f t="shared" si="47"/>
        <v>#REF!</v>
      </c>
      <c r="J228" t="e">
        <f t="shared" si="48"/>
        <v>#REF!</v>
      </c>
    </row>
    <row r="229" spans="6:10" x14ac:dyDescent="0.15">
      <c r="F229" t="e">
        <f t="shared" si="49"/>
        <v>#REF!</v>
      </c>
      <c r="G229" t="e">
        <f t="shared" si="45"/>
        <v>#REF!</v>
      </c>
      <c r="H229" t="e">
        <f t="shared" si="46"/>
        <v>#REF!</v>
      </c>
      <c r="I229" s="383" t="e">
        <f t="shared" si="47"/>
        <v>#REF!</v>
      </c>
      <c r="J229" t="e">
        <f t="shared" si="48"/>
        <v>#REF!</v>
      </c>
    </row>
    <row r="230" spans="6:10" x14ac:dyDescent="0.15">
      <c r="F230" t="e">
        <f t="shared" si="49"/>
        <v>#REF!</v>
      </c>
      <c r="G230" t="e">
        <f t="shared" si="45"/>
        <v>#REF!</v>
      </c>
      <c r="H230" t="e">
        <f t="shared" si="46"/>
        <v>#REF!</v>
      </c>
      <c r="I230" s="383" t="e">
        <f t="shared" si="47"/>
        <v>#REF!</v>
      </c>
      <c r="J230" t="e">
        <f t="shared" si="48"/>
        <v>#REF!</v>
      </c>
    </row>
    <row r="231" spans="6:10" x14ac:dyDescent="0.15">
      <c r="F231" t="e">
        <f t="shared" si="49"/>
        <v>#REF!</v>
      </c>
      <c r="G231" t="e">
        <f t="shared" si="45"/>
        <v>#REF!</v>
      </c>
      <c r="H231" t="e">
        <f t="shared" si="46"/>
        <v>#REF!</v>
      </c>
      <c r="I231" s="383" t="e">
        <f t="shared" si="47"/>
        <v>#REF!</v>
      </c>
      <c r="J231" t="e">
        <f t="shared" si="48"/>
        <v>#REF!</v>
      </c>
    </row>
    <row r="232" spans="6:10" x14ac:dyDescent="0.15">
      <c r="F232" t="e">
        <f t="shared" si="49"/>
        <v>#REF!</v>
      </c>
      <c r="G232" t="e">
        <f t="shared" si="45"/>
        <v>#REF!</v>
      </c>
      <c r="H232" t="e">
        <f t="shared" si="46"/>
        <v>#REF!</v>
      </c>
      <c r="I232" s="383" t="e">
        <f t="shared" si="47"/>
        <v>#REF!</v>
      </c>
      <c r="J232" t="e">
        <f t="shared" si="48"/>
        <v>#REF!</v>
      </c>
    </row>
    <row r="233" spans="6:10" x14ac:dyDescent="0.15">
      <c r="F233" t="e">
        <f t="shared" si="49"/>
        <v>#REF!</v>
      </c>
      <c r="G233" t="e">
        <f t="shared" si="45"/>
        <v>#REF!</v>
      </c>
      <c r="H233" t="e">
        <f t="shared" si="46"/>
        <v>#REF!</v>
      </c>
      <c r="I233" s="383" t="e">
        <f t="shared" si="47"/>
        <v>#REF!</v>
      </c>
      <c r="J233" t="e">
        <f t="shared" si="48"/>
        <v>#REF!</v>
      </c>
    </row>
    <row r="234" spans="6:10" x14ac:dyDescent="0.15">
      <c r="F234" t="e">
        <f t="shared" si="49"/>
        <v>#REF!</v>
      </c>
      <c r="G234" t="e">
        <f t="shared" si="45"/>
        <v>#REF!</v>
      </c>
      <c r="H234" t="e">
        <f t="shared" si="46"/>
        <v>#REF!</v>
      </c>
      <c r="I234" s="383" t="e">
        <f t="shared" si="47"/>
        <v>#REF!</v>
      </c>
      <c r="J234" t="e">
        <f t="shared" si="48"/>
        <v>#REF!</v>
      </c>
    </row>
    <row r="235" spans="6:10" x14ac:dyDescent="0.15">
      <c r="F235" t="e">
        <f t="shared" si="49"/>
        <v>#REF!</v>
      </c>
      <c r="G235" t="e">
        <f t="shared" si="45"/>
        <v>#REF!</v>
      </c>
      <c r="H235" t="e">
        <f t="shared" si="46"/>
        <v>#REF!</v>
      </c>
      <c r="I235" s="383" t="e">
        <f t="shared" si="47"/>
        <v>#REF!</v>
      </c>
      <c r="J235" t="e">
        <f t="shared" si="48"/>
        <v>#REF!</v>
      </c>
    </row>
    <row r="236" spans="6:10" x14ac:dyDescent="0.15">
      <c r="F236" t="e">
        <f t="shared" si="49"/>
        <v>#REF!</v>
      </c>
      <c r="G236" t="e">
        <f t="shared" si="45"/>
        <v>#REF!</v>
      </c>
      <c r="H236" t="e">
        <f t="shared" si="46"/>
        <v>#REF!</v>
      </c>
      <c r="I236" s="383" t="e">
        <f t="shared" si="47"/>
        <v>#REF!</v>
      </c>
      <c r="J236" t="e">
        <f t="shared" si="48"/>
        <v>#REF!</v>
      </c>
    </row>
    <row r="237" spans="6:10" x14ac:dyDescent="0.15">
      <c r="F237" t="e">
        <f t="shared" si="49"/>
        <v>#REF!</v>
      </c>
      <c r="G237" t="e">
        <f t="shared" si="45"/>
        <v>#REF!</v>
      </c>
      <c r="H237" t="e">
        <f t="shared" si="46"/>
        <v>#REF!</v>
      </c>
      <c r="I237" s="383" t="e">
        <f t="shared" si="47"/>
        <v>#REF!</v>
      </c>
      <c r="J237" t="e">
        <f t="shared" si="48"/>
        <v>#REF!</v>
      </c>
    </row>
    <row r="238" spans="6:10" x14ac:dyDescent="0.15">
      <c r="F238" t="e">
        <f t="shared" si="49"/>
        <v>#REF!</v>
      </c>
      <c r="G238" t="e">
        <f t="shared" si="45"/>
        <v>#REF!</v>
      </c>
      <c r="H238" t="e">
        <f t="shared" si="46"/>
        <v>#REF!</v>
      </c>
      <c r="I238" s="383" t="e">
        <f t="shared" si="47"/>
        <v>#REF!</v>
      </c>
      <c r="J238" t="e">
        <f t="shared" si="48"/>
        <v>#REF!</v>
      </c>
    </row>
    <row r="239" spans="6:10" x14ac:dyDescent="0.15">
      <c r="F239" t="e">
        <f t="shared" si="49"/>
        <v>#REF!</v>
      </c>
      <c r="G239" t="e">
        <f t="shared" si="45"/>
        <v>#REF!</v>
      </c>
      <c r="H239" t="e">
        <f t="shared" si="46"/>
        <v>#REF!</v>
      </c>
      <c r="I239" s="383" t="e">
        <f t="shared" si="47"/>
        <v>#REF!</v>
      </c>
      <c r="J239" t="e">
        <f t="shared" si="48"/>
        <v>#REF!</v>
      </c>
    </row>
    <row r="240" spans="6:10" x14ac:dyDescent="0.15">
      <c r="F240" t="e">
        <f t="shared" si="49"/>
        <v>#REF!</v>
      </c>
      <c r="G240" t="e">
        <f t="shared" si="45"/>
        <v>#REF!</v>
      </c>
      <c r="H240" t="e">
        <f t="shared" si="46"/>
        <v>#REF!</v>
      </c>
      <c r="I240" s="383" t="e">
        <f t="shared" si="47"/>
        <v>#REF!</v>
      </c>
      <c r="J240" t="e">
        <f t="shared" si="48"/>
        <v>#REF!</v>
      </c>
    </row>
    <row r="241" spans="6:10" x14ac:dyDescent="0.15">
      <c r="F241" t="e">
        <f t="shared" si="49"/>
        <v>#REF!</v>
      </c>
      <c r="G241" t="e">
        <f t="shared" ref="G241:G242" si="50">I241*F241+J241</f>
        <v>#REF!</v>
      </c>
      <c r="H241" t="e">
        <f t="shared" ref="H241:H242" si="51">$K$2*SQRT(F241)</f>
        <v>#REF!</v>
      </c>
      <c r="I241" s="383" t="e">
        <f t="shared" si="47"/>
        <v>#REF!</v>
      </c>
      <c r="J241" t="e">
        <f t="shared" si="48"/>
        <v>#REF!</v>
      </c>
    </row>
    <row r="242" spans="6:10" x14ac:dyDescent="0.15">
      <c r="F242" t="e">
        <f t="shared" si="49"/>
        <v>#REF!</v>
      </c>
      <c r="G242" t="e">
        <f t="shared" si="50"/>
        <v>#REF!</v>
      </c>
      <c r="H242" t="e">
        <f t="shared" si="51"/>
        <v>#REF!</v>
      </c>
      <c r="I242" s="383" t="e">
        <f t="shared" si="47"/>
        <v>#REF!</v>
      </c>
      <c r="J242" t="e">
        <f t="shared" si="48"/>
        <v>#REF!</v>
      </c>
    </row>
  </sheetData>
  <phoneticPr fontId="6"/>
  <pageMargins left="0.7" right="0.7" top="0.75" bottom="0.75" header="0.3" footer="0.3"/>
  <pageSetup paperSize="9" orientation="portrait" horizontalDpi="4294967292" verticalDpi="429496729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K108"/>
  <sheetViews>
    <sheetView topLeftCell="A48" workbookViewId="0">
      <selection activeCell="F94" sqref="F94"/>
    </sheetView>
  </sheetViews>
  <sheetFormatPr baseColWidth="12" defaultRowHeight="15" x14ac:dyDescent="0.15"/>
  <sheetData>
    <row r="1" spans="1:11" ht="16" thickBot="1" x14ac:dyDescent="0.2">
      <c r="A1" s="170" t="s">
        <v>238</v>
      </c>
      <c r="B1" s="170" t="s">
        <v>239</v>
      </c>
      <c r="C1" s="170" t="s">
        <v>240</v>
      </c>
      <c r="D1" s="170" t="s">
        <v>241</v>
      </c>
      <c r="F1" s="379" t="s">
        <v>239</v>
      </c>
      <c r="G1" s="379" t="s">
        <v>391</v>
      </c>
      <c r="H1" s="379" t="s">
        <v>392</v>
      </c>
      <c r="I1" s="379" t="s">
        <v>240</v>
      </c>
      <c r="J1" s="379" t="s">
        <v>390</v>
      </c>
      <c r="K1" s="379" t="s">
        <v>393</v>
      </c>
    </row>
    <row r="2" spans="1:11" x14ac:dyDescent="0.15">
      <c r="A2" s="540">
        <v>6000611</v>
      </c>
      <c r="B2" s="541">
        <v>0</v>
      </c>
      <c r="C2" s="541">
        <v>0</v>
      </c>
      <c r="D2" s="542">
        <v>0</v>
      </c>
      <c r="F2" s="384">
        <v>0</v>
      </c>
      <c r="G2">
        <f>I2*F2+J2</f>
        <v>0</v>
      </c>
      <c r="H2">
        <f>-$K$2*(F2*10)^2</f>
        <v>0</v>
      </c>
      <c r="I2" s="383">
        <f>VLOOKUP(F2,B$20:D$30,2)</f>
        <v>0</v>
      </c>
      <c r="J2">
        <f>VLOOKUP(F2,B$20:D$30,3)</f>
        <v>0</v>
      </c>
      <c r="K2">
        <v>1000</v>
      </c>
    </row>
    <row r="3" spans="1:11" x14ac:dyDescent="0.15">
      <c r="A3" s="543">
        <v>6000611</v>
      </c>
      <c r="B3" s="544">
        <v>0.2</v>
      </c>
      <c r="C3" s="544">
        <v>-1</v>
      </c>
      <c r="D3" s="545">
        <v>0</v>
      </c>
      <c r="F3" s="384">
        <v>0.1</v>
      </c>
      <c r="G3">
        <f t="shared" ref="G3:G66" si="0">I3*F3+J3</f>
        <v>0</v>
      </c>
      <c r="H3">
        <f t="shared" ref="H3:H66" si="1">-$K$2*(F3*10)^2</f>
        <v>-1000</v>
      </c>
      <c r="I3" s="383">
        <f t="shared" ref="I3:I66" si="2">VLOOKUP(F3,B$20:D$30,2)</f>
        <v>0</v>
      </c>
      <c r="J3">
        <f t="shared" ref="J3:J66" si="3">VLOOKUP(F3,B$20:D$30,3)</f>
        <v>0</v>
      </c>
    </row>
    <row r="4" spans="1:11" x14ac:dyDescent="0.15">
      <c r="A4" s="543">
        <v>6000611</v>
      </c>
      <c r="B4" s="544">
        <v>0.4</v>
      </c>
      <c r="C4" s="544">
        <v>-1</v>
      </c>
      <c r="D4" s="545">
        <v>-1000</v>
      </c>
      <c r="F4">
        <f>F3+0.1</f>
        <v>0.2</v>
      </c>
      <c r="G4">
        <f t="shared" si="0"/>
        <v>-1000.2</v>
      </c>
      <c r="H4">
        <f t="shared" si="1"/>
        <v>-4000</v>
      </c>
      <c r="I4" s="383">
        <f t="shared" si="2"/>
        <v>-1</v>
      </c>
      <c r="J4">
        <f t="shared" si="3"/>
        <v>-1000</v>
      </c>
    </row>
    <row r="5" spans="1:11" x14ac:dyDescent="0.15">
      <c r="A5" s="543">
        <v>6000611</v>
      </c>
      <c r="B5" s="544">
        <v>0.6</v>
      </c>
      <c r="C5" s="544">
        <v>-1</v>
      </c>
      <c r="D5" s="545">
        <v>-2000</v>
      </c>
      <c r="F5">
        <f t="shared" ref="F5:F69" si="4">F4+0.1</f>
        <v>0.30000000000000004</v>
      </c>
      <c r="G5">
        <f t="shared" si="0"/>
        <v>-3000.3</v>
      </c>
      <c r="H5">
        <f t="shared" si="1"/>
        <v>-9000.0000000000036</v>
      </c>
      <c r="I5" s="383">
        <f t="shared" si="2"/>
        <v>-1</v>
      </c>
      <c r="J5">
        <f t="shared" si="3"/>
        <v>-3000</v>
      </c>
    </row>
    <row r="6" spans="1:11" x14ac:dyDescent="0.15">
      <c r="A6" s="543">
        <v>6000611</v>
      </c>
      <c r="B6" s="544">
        <v>0.8</v>
      </c>
      <c r="C6" s="544">
        <v>-1</v>
      </c>
      <c r="D6" s="545">
        <v>-4000</v>
      </c>
      <c r="F6">
        <f t="shared" si="4"/>
        <v>0.4</v>
      </c>
      <c r="G6">
        <f t="shared" si="0"/>
        <v>-6000.48</v>
      </c>
      <c r="H6">
        <f t="shared" si="1"/>
        <v>-16000</v>
      </c>
      <c r="I6" s="383">
        <f t="shared" si="2"/>
        <v>-1.2</v>
      </c>
      <c r="J6">
        <f t="shared" si="3"/>
        <v>-6000</v>
      </c>
    </row>
    <row r="7" spans="1:11" x14ac:dyDescent="0.15">
      <c r="A7" s="543">
        <v>6000611</v>
      </c>
      <c r="B7" s="544">
        <v>1</v>
      </c>
      <c r="C7" s="544">
        <v>-1</v>
      </c>
      <c r="D7" s="545">
        <v>-6000</v>
      </c>
      <c r="F7">
        <f t="shared" si="4"/>
        <v>0.5</v>
      </c>
      <c r="G7">
        <f t="shared" si="0"/>
        <v>-10000.6</v>
      </c>
      <c r="H7">
        <f t="shared" si="1"/>
        <v>-25000</v>
      </c>
      <c r="I7" s="383">
        <f t="shared" si="2"/>
        <v>-1.2</v>
      </c>
      <c r="J7">
        <f t="shared" si="3"/>
        <v>-10000</v>
      </c>
    </row>
    <row r="8" spans="1:11" x14ac:dyDescent="0.15">
      <c r="A8" s="543">
        <v>6000611</v>
      </c>
      <c r="B8" s="544">
        <v>2</v>
      </c>
      <c r="C8" s="544">
        <v>-1</v>
      </c>
      <c r="D8" s="545">
        <v>-8000</v>
      </c>
      <c r="F8">
        <f t="shared" si="4"/>
        <v>0.6</v>
      </c>
      <c r="G8">
        <f t="shared" si="0"/>
        <v>-15000.78</v>
      </c>
      <c r="H8">
        <f t="shared" si="1"/>
        <v>-36000</v>
      </c>
      <c r="I8" s="383">
        <f t="shared" si="2"/>
        <v>-1.3</v>
      </c>
      <c r="J8">
        <f t="shared" si="3"/>
        <v>-15000</v>
      </c>
    </row>
    <row r="9" spans="1:11" x14ac:dyDescent="0.15">
      <c r="A9" s="543">
        <v>6000611</v>
      </c>
      <c r="B9" s="544">
        <v>3</v>
      </c>
      <c r="C9" s="544">
        <v>-1</v>
      </c>
      <c r="D9" s="545">
        <v>-10000</v>
      </c>
      <c r="F9">
        <f t="shared" si="4"/>
        <v>0.7</v>
      </c>
      <c r="G9">
        <f t="shared" si="0"/>
        <v>-20000.91</v>
      </c>
      <c r="H9">
        <f t="shared" si="1"/>
        <v>-49000</v>
      </c>
      <c r="I9" s="383">
        <f t="shared" si="2"/>
        <v>-1.3</v>
      </c>
      <c r="J9">
        <f t="shared" si="3"/>
        <v>-20000</v>
      </c>
    </row>
    <row r="10" spans="1:11" ht="16" thickBot="1" x14ac:dyDescent="0.2">
      <c r="A10" s="546">
        <v>6000611</v>
      </c>
      <c r="B10" s="547">
        <v>4</v>
      </c>
      <c r="C10" s="547">
        <v>-1</v>
      </c>
      <c r="D10" s="548">
        <v>-12000</v>
      </c>
      <c r="F10">
        <f t="shared" si="4"/>
        <v>0.79999999999999993</v>
      </c>
      <c r="G10">
        <f t="shared" si="0"/>
        <v>-20001.04</v>
      </c>
      <c r="H10">
        <f t="shared" si="1"/>
        <v>-63999.999999999985</v>
      </c>
      <c r="I10" s="383">
        <f t="shared" si="2"/>
        <v>-1.3</v>
      </c>
      <c r="J10">
        <f t="shared" si="3"/>
        <v>-20000</v>
      </c>
    </row>
    <row r="11" spans="1:11" x14ac:dyDescent="0.15">
      <c r="A11" s="549">
        <v>6000612</v>
      </c>
      <c r="B11" s="550">
        <v>0</v>
      </c>
      <c r="C11" s="550">
        <v>0</v>
      </c>
      <c r="D11" s="551">
        <v>0</v>
      </c>
      <c r="F11">
        <f t="shared" si="4"/>
        <v>0.89999999999999991</v>
      </c>
      <c r="G11">
        <f t="shared" si="0"/>
        <v>-30001.26</v>
      </c>
      <c r="H11">
        <f t="shared" si="1"/>
        <v>-81000</v>
      </c>
      <c r="I11" s="383">
        <f t="shared" si="2"/>
        <v>-1.4</v>
      </c>
      <c r="J11">
        <f t="shared" si="3"/>
        <v>-30000</v>
      </c>
    </row>
    <row r="12" spans="1:11" x14ac:dyDescent="0.15">
      <c r="A12" s="543">
        <v>6000612</v>
      </c>
      <c r="B12" s="544">
        <v>0.2</v>
      </c>
      <c r="C12" s="544">
        <v>-1</v>
      </c>
      <c r="D12" s="545">
        <v>0</v>
      </c>
      <c r="F12">
        <f t="shared" si="4"/>
        <v>0.99999999999999989</v>
      </c>
      <c r="G12">
        <f t="shared" si="0"/>
        <v>-40001.4</v>
      </c>
      <c r="H12">
        <f t="shared" si="1"/>
        <v>-99999.999999999971</v>
      </c>
      <c r="I12" s="383">
        <f t="shared" si="2"/>
        <v>-1.4</v>
      </c>
      <c r="J12">
        <f t="shared" si="3"/>
        <v>-40000</v>
      </c>
    </row>
    <row r="13" spans="1:11" x14ac:dyDescent="0.15">
      <c r="A13" s="543">
        <v>6000612</v>
      </c>
      <c r="B13" s="544">
        <v>0.4</v>
      </c>
      <c r="C13" s="544">
        <v>-1</v>
      </c>
      <c r="D13" s="545">
        <v>-1000</v>
      </c>
      <c r="F13">
        <f t="shared" si="4"/>
        <v>1.0999999999999999</v>
      </c>
      <c r="G13">
        <f t="shared" si="0"/>
        <v>-50001.65</v>
      </c>
      <c r="H13">
        <f t="shared" si="1"/>
        <v>-120999.99999999996</v>
      </c>
      <c r="I13" s="383">
        <f t="shared" si="2"/>
        <v>-1.5</v>
      </c>
      <c r="J13">
        <f t="shared" si="3"/>
        <v>-50000</v>
      </c>
    </row>
    <row r="14" spans="1:11" x14ac:dyDescent="0.15">
      <c r="A14" s="543">
        <v>6000612</v>
      </c>
      <c r="B14" s="544">
        <v>0.6</v>
      </c>
      <c r="C14" s="544">
        <v>-1</v>
      </c>
      <c r="D14" s="545">
        <v>-2000</v>
      </c>
      <c r="F14">
        <f t="shared" si="4"/>
        <v>1.2</v>
      </c>
      <c r="G14">
        <f t="shared" si="0"/>
        <v>-50001.8</v>
      </c>
      <c r="H14">
        <f t="shared" si="1"/>
        <v>-144000</v>
      </c>
      <c r="I14" s="383">
        <f t="shared" si="2"/>
        <v>-1.5</v>
      </c>
      <c r="J14">
        <f t="shared" si="3"/>
        <v>-50000</v>
      </c>
    </row>
    <row r="15" spans="1:11" x14ac:dyDescent="0.15">
      <c r="A15" s="543">
        <v>6000612</v>
      </c>
      <c r="B15" s="544">
        <v>0.8</v>
      </c>
      <c r="C15" s="544">
        <v>-1</v>
      </c>
      <c r="D15" s="545">
        <v>-4000</v>
      </c>
      <c r="F15">
        <f t="shared" si="4"/>
        <v>1.3</v>
      </c>
      <c r="G15">
        <f t="shared" si="0"/>
        <v>-50001.95</v>
      </c>
      <c r="H15">
        <f t="shared" si="1"/>
        <v>-169000</v>
      </c>
      <c r="I15" s="383">
        <f t="shared" si="2"/>
        <v>-1.5</v>
      </c>
      <c r="J15">
        <f t="shared" si="3"/>
        <v>-50000</v>
      </c>
    </row>
    <row r="16" spans="1:11" x14ac:dyDescent="0.15">
      <c r="A16" s="543">
        <v>6000612</v>
      </c>
      <c r="B16" s="544">
        <v>1</v>
      </c>
      <c r="C16" s="544">
        <v>-1</v>
      </c>
      <c r="D16" s="545">
        <v>-6000</v>
      </c>
      <c r="F16">
        <f t="shared" si="4"/>
        <v>1.4000000000000001</v>
      </c>
      <c r="G16">
        <f t="shared" si="0"/>
        <v>-50002.1</v>
      </c>
      <c r="H16">
        <f t="shared" si="1"/>
        <v>-196000.00000000006</v>
      </c>
      <c r="I16" s="383">
        <f t="shared" si="2"/>
        <v>-1.5</v>
      </c>
      <c r="J16">
        <f t="shared" si="3"/>
        <v>-50000</v>
      </c>
    </row>
    <row r="17" spans="1:10" x14ac:dyDescent="0.15">
      <c r="A17" s="543">
        <v>6000612</v>
      </c>
      <c r="B17" s="544">
        <v>2</v>
      </c>
      <c r="C17" s="544">
        <v>-1</v>
      </c>
      <c r="D17" s="545">
        <v>-8000</v>
      </c>
      <c r="F17">
        <f t="shared" si="4"/>
        <v>1.5000000000000002</v>
      </c>
      <c r="G17">
        <f t="shared" si="0"/>
        <v>-50002.25</v>
      </c>
      <c r="H17">
        <f t="shared" si="1"/>
        <v>-225000.00000000006</v>
      </c>
      <c r="I17" s="383">
        <f t="shared" si="2"/>
        <v>-1.5</v>
      </c>
      <c r="J17">
        <f t="shared" si="3"/>
        <v>-50000</v>
      </c>
    </row>
    <row r="18" spans="1:10" x14ac:dyDescent="0.15">
      <c r="A18" s="543">
        <v>6000612</v>
      </c>
      <c r="B18" s="544">
        <v>3</v>
      </c>
      <c r="C18" s="544">
        <v>-1</v>
      </c>
      <c r="D18" s="545">
        <v>-10000</v>
      </c>
      <c r="F18">
        <f t="shared" si="4"/>
        <v>1.6000000000000003</v>
      </c>
      <c r="G18">
        <f t="shared" si="0"/>
        <v>-50002.400000000001</v>
      </c>
      <c r="H18">
        <f t="shared" si="1"/>
        <v>-256000.00000000012</v>
      </c>
      <c r="I18" s="383">
        <f t="shared" si="2"/>
        <v>-1.5</v>
      </c>
      <c r="J18">
        <f t="shared" si="3"/>
        <v>-50000</v>
      </c>
    </row>
    <row r="19" spans="1:10" ht="16" thickBot="1" x14ac:dyDescent="0.2">
      <c r="A19" s="552">
        <v>6000612</v>
      </c>
      <c r="B19" s="553">
        <v>4</v>
      </c>
      <c r="C19" s="553">
        <v>-1</v>
      </c>
      <c r="D19" s="554">
        <v>-12000</v>
      </c>
      <c r="F19">
        <f t="shared" si="4"/>
        <v>1.7000000000000004</v>
      </c>
      <c r="G19">
        <f t="shared" si="0"/>
        <v>-50002.55</v>
      </c>
      <c r="H19">
        <f t="shared" si="1"/>
        <v>-289000.00000000012</v>
      </c>
      <c r="I19" s="383">
        <f t="shared" si="2"/>
        <v>-1.5</v>
      </c>
      <c r="J19">
        <f t="shared" si="3"/>
        <v>-50000</v>
      </c>
    </row>
    <row r="20" spans="1:10" x14ac:dyDescent="0.15">
      <c r="A20" s="555">
        <v>6000613</v>
      </c>
      <c r="B20" s="556">
        <v>0</v>
      </c>
      <c r="C20" s="556">
        <v>0</v>
      </c>
      <c r="D20" s="557">
        <v>0</v>
      </c>
      <c r="F20">
        <f t="shared" si="4"/>
        <v>1.8000000000000005</v>
      </c>
      <c r="G20">
        <f t="shared" si="0"/>
        <v>-50002.7</v>
      </c>
      <c r="H20">
        <f t="shared" si="1"/>
        <v>-324000.00000000012</v>
      </c>
      <c r="I20" s="383">
        <f t="shared" si="2"/>
        <v>-1.5</v>
      </c>
      <c r="J20">
        <f t="shared" si="3"/>
        <v>-50000</v>
      </c>
    </row>
    <row r="21" spans="1:10" x14ac:dyDescent="0.15">
      <c r="A21" s="558">
        <v>6000613</v>
      </c>
      <c r="B21" s="559">
        <v>0.2</v>
      </c>
      <c r="C21" s="559">
        <v>-1</v>
      </c>
      <c r="D21" s="560">
        <v>-1000</v>
      </c>
      <c r="F21">
        <f t="shared" si="4"/>
        <v>1.9000000000000006</v>
      </c>
      <c r="G21">
        <f t="shared" si="0"/>
        <v>-50002.85</v>
      </c>
      <c r="H21">
        <f t="shared" si="1"/>
        <v>-361000.00000000029</v>
      </c>
      <c r="I21" s="383">
        <f t="shared" si="2"/>
        <v>-1.5</v>
      </c>
      <c r="J21">
        <f t="shared" si="3"/>
        <v>-50000</v>
      </c>
    </row>
    <row r="22" spans="1:10" x14ac:dyDescent="0.15">
      <c r="A22" s="558">
        <v>6000613</v>
      </c>
      <c r="B22" s="559">
        <v>0.3</v>
      </c>
      <c r="C22" s="559">
        <v>-1</v>
      </c>
      <c r="D22" s="560">
        <v>-3000</v>
      </c>
      <c r="F22">
        <f t="shared" si="4"/>
        <v>2.0000000000000004</v>
      </c>
      <c r="G22">
        <f t="shared" si="0"/>
        <v>-60003</v>
      </c>
      <c r="H22">
        <f t="shared" si="1"/>
        <v>-400000.00000000017</v>
      </c>
      <c r="I22" s="383">
        <f t="shared" si="2"/>
        <v>-1.5</v>
      </c>
      <c r="J22">
        <f t="shared" si="3"/>
        <v>-60000</v>
      </c>
    </row>
    <row r="23" spans="1:10" x14ac:dyDescent="0.15">
      <c r="A23" s="558">
        <v>6000613</v>
      </c>
      <c r="B23" s="559">
        <v>0.4</v>
      </c>
      <c r="C23" s="559">
        <v>-1.2</v>
      </c>
      <c r="D23" s="560">
        <v>-6000</v>
      </c>
      <c r="F23">
        <f t="shared" si="4"/>
        <v>2.1000000000000005</v>
      </c>
      <c r="G23">
        <f t="shared" si="0"/>
        <v>-60003.15</v>
      </c>
      <c r="H23">
        <f t="shared" si="1"/>
        <v>-441000.00000000029</v>
      </c>
      <c r="I23" s="383">
        <f t="shared" si="2"/>
        <v>-1.5</v>
      </c>
      <c r="J23">
        <f t="shared" si="3"/>
        <v>-60000</v>
      </c>
    </row>
    <row r="24" spans="1:10" x14ac:dyDescent="0.15">
      <c r="A24" s="558">
        <v>6000613</v>
      </c>
      <c r="B24" s="559">
        <v>0.5</v>
      </c>
      <c r="C24" s="559">
        <v>-1.2</v>
      </c>
      <c r="D24" s="560">
        <v>-10000</v>
      </c>
      <c r="F24">
        <f t="shared" si="4"/>
        <v>2.2000000000000006</v>
      </c>
      <c r="G24">
        <f t="shared" si="0"/>
        <v>-60003.3</v>
      </c>
      <c r="H24">
        <f t="shared" si="1"/>
        <v>-484000.00000000035</v>
      </c>
      <c r="I24" s="383">
        <f t="shared" si="2"/>
        <v>-1.5</v>
      </c>
      <c r="J24">
        <f t="shared" si="3"/>
        <v>-60000</v>
      </c>
    </row>
    <row r="25" spans="1:10" x14ac:dyDescent="0.15">
      <c r="A25" s="558">
        <v>6000613</v>
      </c>
      <c r="B25" s="559">
        <v>0.6</v>
      </c>
      <c r="C25" s="559">
        <v>-1.3</v>
      </c>
      <c r="D25" s="560">
        <v>-15000</v>
      </c>
      <c r="F25">
        <f t="shared" si="4"/>
        <v>2.3000000000000007</v>
      </c>
      <c r="G25">
        <f t="shared" si="0"/>
        <v>-60003.45</v>
      </c>
      <c r="H25">
        <f t="shared" si="1"/>
        <v>-529000.00000000035</v>
      </c>
      <c r="I25" s="383">
        <f t="shared" si="2"/>
        <v>-1.5</v>
      </c>
      <c r="J25">
        <f t="shared" si="3"/>
        <v>-60000</v>
      </c>
    </row>
    <row r="26" spans="1:10" x14ac:dyDescent="0.15">
      <c r="A26" s="558">
        <v>6000613</v>
      </c>
      <c r="B26" s="559">
        <v>0.7</v>
      </c>
      <c r="C26" s="559">
        <v>-1.3</v>
      </c>
      <c r="D26" s="560">
        <v>-20000</v>
      </c>
      <c r="F26">
        <f t="shared" si="4"/>
        <v>2.4000000000000008</v>
      </c>
      <c r="G26">
        <f t="shared" si="0"/>
        <v>-60003.6</v>
      </c>
      <c r="H26">
        <f t="shared" si="1"/>
        <v>-576000.00000000035</v>
      </c>
      <c r="I26" s="383">
        <f t="shared" si="2"/>
        <v>-1.5</v>
      </c>
      <c r="J26">
        <f t="shared" si="3"/>
        <v>-60000</v>
      </c>
    </row>
    <row r="27" spans="1:10" x14ac:dyDescent="0.15">
      <c r="A27" s="558">
        <v>6000613</v>
      </c>
      <c r="B27" s="559">
        <v>0.8</v>
      </c>
      <c r="C27" s="559">
        <v>-1.4</v>
      </c>
      <c r="D27" s="560">
        <v>-30000</v>
      </c>
      <c r="F27">
        <f t="shared" si="4"/>
        <v>2.5000000000000009</v>
      </c>
      <c r="G27">
        <f t="shared" si="0"/>
        <v>-60003.75</v>
      </c>
      <c r="H27">
        <f t="shared" si="1"/>
        <v>-625000.00000000035</v>
      </c>
      <c r="I27" s="383">
        <f t="shared" si="2"/>
        <v>-1.5</v>
      </c>
      <c r="J27">
        <f t="shared" si="3"/>
        <v>-60000</v>
      </c>
    </row>
    <row r="28" spans="1:10" x14ac:dyDescent="0.15">
      <c r="A28" s="558">
        <v>6000613</v>
      </c>
      <c r="B28" s="559">
        <v>0.9</v>
      </c>
      <c r="C28" s="559">
        <v>-1.4</v>
      </c>
      <c r="D28" s="560">
        <v>-40000</v>
      </c>
      <c r="F28">
        <f t="shared" si="4"/>
        <v>2.600000000000001</v>
      </c>
      <c r="G28">
        <f t="shared" si="0"/>
        <v>-60003.9</v>
      </c>
      <c r="H28">
        <f t="shared" si="1"/>
        <v>-676000.00000000058</v>
      </c>
      <c r="I28" s="383">
        <f t="shared" si="2"/>
        <v>-1.5</v>
      </c>
      <c r="J28">
        <f t="shared" si="3"/>
        <v>-60000</v>
      </c>
    </row>
    <row r="29" spans="1:10" x14ac:dyDescent="0.15">
      <c r="A29" s="558">
        <v>6000613</v>
      </c>
      <c r="B29" s="559">
        <v>1</v>
      </c>
      <c r="C29" s="559">
        <v>-1.5</v>
      </c>
      <c r="D29" s="560">
        <v>-50000</v>
      </c>
      <c r="F29">
        <f t="shared" si="4"/>
        <v>2.7000000000000011</v>
      </c>
      <c r="G29">
        <f t="shared" si="0"/>
        <v>-60004.05</v>
      </c>
      <c r="H29">
        <f t="shared" si="1"/>
        <v>-729000.00000000058</v>
      </c>
      <c r="I29" s="383">
        <f t="shared" si="2"/>
        <v>-1.5</v>
      </c>
      <c r="J29">
        <f t="shared" si="3"/>
        <v>-60000</v>
      </c>
    </row>
    <row r="30" spans="1:10" ht="16" thickBot="1" x14ac:dyDescent="0.2">
      <c r="A30" s="561">
        <v>6000613</v>
      </c>
      <c r="B30" s="562">
        <v>2</v>
      </c>
      <c r="C30" s="562">
        <v>-1.5</v>
      </c>
      <c r="D30" s="563">
        <v>-60000</v>
      </c>
      <c r="F30">
        <f t="shared" si="4"/>
        <v>2.8000000000000012</v>
      </c>
      <c r="G30">
        <f t="shared" si="0"/>
        <v>-60004.2</v>
      </c>
      <c r="H30">
        <f t="shared" si="1"/>
        <v>-784000.00000000058</v>
      </c>
      <c r="I30" s="383">
        <f t="shared" si="2"/>
        <v>-1.5</v>
      </c>
      <c r="J30">
        <f t="shared" si="3"/>
        <v>-60000</v>
      </c>
    </row>
    <row r="31" spans="1:10" x14ac:dyDescent="0.15">
      <c r="A31" s="499">
        <v>6000711</v>
      </c>
      <c r="B31" s="488">
        <v>0</v>
      </c>
      <c r="C31" s="488">
        <v>0</v>
      </c>
      <c r="D31" s="500">
        <v>0</v>
      </c>
      <c r="F31">
        <f t="shared" si="4"/>
        <v>2.9000000000000012</v>
      </c>
      <c r="G31">
        <f t="shared" si="0"/>
        <v>-60004.35</v>
      </c>
      <c r="H31">
        <f t="shared" si="1"/>
        <v>-841000.00000000081</v>
      </c>
      <c r="I31" s="383">
        <f t="shared" si="2"/>
        <v>-1.5</v>
      </c>
      <c r="J31">
        <f t="shared" si="3"/>
        <v>-60000</v>
      </c>
    </row>
    <row r="32" spans="1:10" x14ac:dyDescent="0.15">
      <c r="A32" s="501">
        <v>6000711</v>
      </c>
      <c r="B32" s="490">
        <v>0.2</v>
      </c>
      <c r="C32" s="490">
        <v>-1</v>
      </c>
      <c r="D32" s="502">
        <v>0</v>
      </c>
      <c r="F32">
        <f t="shared" si="4"/>
        <v>3.0000000000000013</v>
      </c>
      <c r="G32">
        <f t="shared" si="0"/>
        <v>-60004.5</v>
      </c>
      <c r="H32">
        <f t="shared" si="1"/>
        <v>-900000.00000000093</v>
      </c>
      <c r="I32" s="383">
        <f t="shared" si="2"/>
        <v>-1.5</v>
      </c>
      <c r="J32">
        <f t="shared" si="3"/>
        <v>-60000</v>
      </c>
    </row>
    <row r="33" spans="1:10" x14ac:dyDescent="0.15">
      <c r="A33" s="501">
        <v>6000711</v>
      </c>
      <c r="B33" s="490">
        <v>0.4</v>
      </c>
      <c r="C33" s="490">
        <v>-1</v>
      </c>
      <c r="D33" s="502">
        <v>-1000</v>
      </c>
      <c r="F33">
        <f t="shared" si="4"/>
        <v>3.1000000000000014</v>
      </c>
      <c r="G33">
        <f t="shared" si="0"/>
        <v>-60004.65</v>
      </c>
      <c r="H33">
        <f t="shared" si="1"/>
        <v>-961000.00000000093</v>
      </c>
      <c r="I33" s="383">
        <f t="shared" si="2"/>
        <v>-1.5</v>
      </c>
      <c r="J33">
        <f t="shared" si="3"/>
        <v>-60000</v>
      </c>
    </row>
    <row r="34" spans="1:10" x14ac:dyDescent="0.15">
      <c r="A34" s="501">
        <v>6000711</v>
      </c>
      <c r="B34" s="490">
        <v>0.6</v>
      </c>
      <c r="C34" s="490">
        <v>-1</v>
      </c>
      <c r="D34" s="502">
        <v>-2000</v>
      </c>
      <c r="F34">
        <f t="shared" si="4"/>
        <v>3.2000000000000015</v>
      </c>
      <c r="G34">
        <f t="shared" si="0"/>
        <v>-60004.800000000003</v>
      </c>
      <c r="H34">
        <f t="shared" si="1"/>
        <v>-1024000.0000000009</v>
      </c>
      <c r="I34" s="383">
        <f t="shared" si="2"/>
        <v>-1.5</v>
      </c>
      <c r="J34">
        <f t="shared" si="3"/>
        <v>-60000</v>
      </c>
    </row>
    <row r="35" spans="1:10" x14ac:dyDescent="0.15">
      <c r="A35" s="501">
        <v>6000711</v>
      </c>
      <c r="B35" s="490">
        <v>0.8</v>
      </c>
      <c r="C35" s="490">
        <v>-1</v>
      </c>
      <c r="D35" s="502">
        <v>-4000</v>
      </c>
      <c r="F35">
        <f t="shared" si="4"/>
        <v>3.3000000000000016</v>
      </c>
      <c r="G35">
        <f t="shared" si="0"/>
        <v>-60004.95</v>
      </c>
      <c r="H35">
        <f t="shared" si="1"/>
        <v>-1089000.0000000009</v>
      </c>
      <c r="I35" s="383">
        <f t="shared" si="2"/>
        <v>-1.5</v>
      </c>
      <c r="J35">
        <f t="shared" si="3"/>
        <v>-60000</v>
      </c>
    </row>
    <row r="36" spans="1:10" x14ac:dyDescent="0.15">
      <c r="A36" s="501">
        <v>6000711</v>
      </c>
      <c r="B36" s="490">
        <v>1</v>
      </c>
      <c r="C36" s="490">
        <v>-1</v>
      </c>
      <c r="D36" s="502">
        <v>-6000</v>
      </c>
      <c r="F36">
        <f t="shared" si="4"/>
        <v>3.4000000000000017</v>
      </c>
      <c r="G36">
        <f t="shared" si="0"/>
        <v>-60005.1</v>
      </c>
      <c r="H36">
        <f t="shared" si="1"/>
        <v>-1156000.0000000009</v>
      </c>
      <c r="I36" s="383">
        <f t="shared" si="2"/>
        <v>-1.5</v>
      </c>
      <c r="J36">
        <f t="shared" si="3"/>
        <v>-60000</v>
      </c>
    </row>
    <row r="37" spans="1:10" x14ac:dyDescent="0.15">
      <c r="A37" s="501">
        <v>6000711</v>
      </c>
      <c r="B37" s="490">
        <v>2</v>
      </c>
      <c r="C37" s="490">
        <v>-1</v>
      </c>
      <c r="D37" s="502">
        <v>-8000</v>
      </c>
      <c r="F37">
        <f t="shared" si="4"/>
        <v>3.5000000000000018</v>
      </c>
      <c r="G37">
        <f t="shared" si="0"/>
        <v>-60005.25</v>
      </c>
      <c r="H37">
        <f t="shared" si="1"/>
        <v>-1225000.0000000009</v>
      </c>
      <c r="I37" s="383">
        <f t="shared" si="2"/>
        <v>-1.5</v>
      </c>
      <c r="J37">
        <f t="shared" si="3"/>
        <v>-60000</v>
      </c>
    </row>
    <row r="38" spans="1:10" x14ac:dyDescent="0.15">
      <c r="A38" s="501">
        <v>6000711</v>
      </c>
      <c r="B38" s="490">
        <v>3</v>
      </c>
      <c r="C38" s="490">
        <v>-1</v>
      </c>
      <c r="D38" s="502">
        <v>-10000</v>
      </c>
      <c r="F38">
        <f t="shared" si="4"/>
        <v>3.6000000000000019</v>
      </c>
      <c r="G38">
        <f t="shared" si="0"/>
        <v>-60005.4</v>
      </c>
      <c r="H38">
        <f t="shared" si="1"/>
        <v>-1296000.0000000016</v>
      </c>
      <c r="I38" s="383">
        <f t="shared" si="2"/>
        <v>-1.5</v>
      </c>
      <c r="J38">
        <f t="shared" si="3"/>
        <v>-60000</v>
      </c>
    </row>
    <row r="39" spans="1:10" ht="16" thickBot="1" x14ac:dyDescent="0.2">
      <c r="A39" s="503">
        <v>6000711</v>
      </c>
      <c r="B39" s="492">
        <v>4</v>
      </c>
      <c r="C39" s="492">
        <v>-1</v>
      </c>
      <c r="D39" s="506">
        <v>-12000</v>
      </c>
      <c r="F39">
        <f t="shared" si="4"/>
        <v>3.700000000000002</v>
      </c>
      <c r="G39">
        <f t="shared" si="0"/>
        <v>-60005.55</v>
      </c>
      <c r="H39">
        <f t="shared" si="1"/>
        <v>-1369000.0000000016</v>
      </c>
      <c r="I39" s="383">
        <f t="shared" si="2"/>
        <v>-1.5</v>
      </c>
      <c r="J39">
        <f t="shared" si="3"/>
        <v>-60000</v>
      </c>
    </row>
    <row r="40" spans="1:10" x14ac:dyDescent="0.15">
      <c r="A40" s="507">
        <v>6000712</v>
      </c>
      <c r="B40" s="495">
        <v>0</v>
      </c>
      <c r="C40" s="495">
        <v>0</v>
      </c>
      <c r="D40" s="508">
        <v>0</v>
      </c>
      <c r="F40">
        <f t="shared" si="4"/>
        <v>3.800000000000002</v>
      </c>
      <c r="G40">
        <f t="shared" si="0"/>
        <v>-60005.7</v>
      </c>
      <c r="H40">
        <f t="shared" si="1"/>
        <v>-1444000.0000000016</v>
      </c>
      <c r="I40" s="383">
        <f t="shared" si="2"/>
        <v>-1.5</v>
      </c>
      <c r="J40">
        <f t="shared" si="3"/>
        <v>-60000</v>
      </c>
    </row>
    <row r="41" spans="1:10" x14ac:dyDescent="0.15">
      <c r="A41" s="507">
        <v>6000712</v>
      </c>
      <c r="B41" s="490">
        <v>0.2</v>
      </c>
      <c r="C41" s="490">
        <v>-1</v>
      </c>
      <c r="D41" s="502">
        <v>0</v>
      </c>
      <c r="F41">
        <f t="shared" si="4"/>
        <v>3.9000000000000021</v>
      </c>
      <c r="G41">
        <f t="shared" si="0"/>
        <v>-60005.85</v>
      </c>
      <c r="H41">
        <f t="shared" si="1"/>
        <v>-1521000.0000000016</v>
      </c>
      <c r="I41" s="383">
        <f t="shared" si="2"/>
        <v>-1.5</v>
      </c>
      <c r="J41">
        <f t="shared" si="3"/>
        <v>-60000</v>
      </c>
    </row>
    <row r="42" spans="1:10" x14ac:dyDescent="0.15">
      <c r="A42" s="507">
        <v>6000712</v>
      </c>
      <c r="B42" s="490">
        <v>0.4</v>
      </c>
      <c r="C42" s="490">
        <v>-1</v>
      </c>
      <c r="D42" s="502">
        <v>-1000</v>
      </c>
      <c r="F42">
        <f t="shared" si="4"/>
        <v>4.0000000000000018</v>
      </c>
      <c r="G42">
        <f t="shared" si="0"/>
        <v>-60006</v>
      </c>
      <c r="H42">
        <f t="shared" si="1"/>
        <v>-1600000.0000000012</v>
      </c>
      <c r="I42" s="383">
        <f t="shared" si="2"/>
        <v>-1.5</v>
      </c>
      <c r="J42">
        <f t="shared" si="3"/>
        <v>-60000</v>
      </c>
    </row>
    <row r="43" spans="1:10" x14ac:dyDescent="0.15">
      <c r="A43" s="507">
        <v>6000712</v>
      </c>
      <c r="B43" s="490">
        <v>0.6</v>
      </c>
      <c r="C43" s="490">
        <v>-1</v>
      </c>
      <c r="D43" s="502">
        <v>-2000</v>
      </c>
      <c r="F43">
        <f t="shared" si="4"/>
        <v>4.1000000000000014</v>
      </c>
      <c r="G43">
        <f t="shared" si="0"/>
        <v>-60006.15</v>
      </c>
      <c r="H43">
        <f t="shared" si="1"/>
        <v>-1681000.0000000012</v>
      </c>
      <c r="I43" s="383">
        <f t="shared" si="2"/>
        <v>-1.5</v>
      </c>
      <c r="J43">
        <f t="shared" si="3"/>
        <v>-60000</v>
      </c>
    </row>
    <row r="44" spans="1:10" x14ac:dyDescent="0.15">
      <c r="A44" s="507">
        <v>6000712</v>
      </c>
      <c r="B44" s="490">
        <v>0.8</v>
      </c>
      <c r="C44" s="490">
        <v>-1</v>
      </c>
      <c r="D44" s="502">
        <v>-4000</v>
      </c>
      <c r="F44">
        <f t="shared" si="4"/>
        <v>4.2000000000000011</v>
      </c>
      <c r="G44">
        <f t="shared" si="0"/>
        <v>-60006.3</v>
      </c>
      <c r="H44">
        <f t="shared" si="1"/>
        <v>-1764000.0000000012</v>
      </c>
      <c r="I44" s="383">
        <f t="shared" si="2"/>
        <v>-1.5</v>
      </c>
      <c r="J44">
        <f t="shared" si="3"/>
        <v>-60000</v>
      </c>
    </row>
    <row r="45" spans="1:10" x14ac:dyDescent="0.15">
      <c r="A45" s="507">
        <v>6000712</v>
      </c>
      <c r="B45" s="490">
        <v>1</v>
      </c>
      <c r="C45" s="490">
        <v>-1</v>
      </c>
      <c r="D45" s="502">
        <v>-6000</v>
      </c>
      <c r="F45">
        <f t="shared" si="4"/>
        <v>4.3000000000000007</v>
      </c>
      <c r="G45">
        <f t="shared" si="0"/>
        <v>-60006.45</v>
      </c>
      <c r="H45">
        <f t="shared" si="1"/>
        <v>-1849000.0000000007</v>
      </c>
      <c r="I45" s="383">
        <f t="shared" si="2"/>
        <v>-1.5</v>
      </c>
      <c r="J45">
        <f t="shared" si="3"/>
        <v>-60000</v>
      </c>
    </row>
    <row r="46" spans="1:10" x14ac:dyDescent="0.15">
      <c r="A46" s="507">
        <v>6000712</v>
      </c>
      <c r="B46" s="490">
        <v>2</v>
      </c>
      <c r="C46" s="490">
        <v>-1</v>
      </c>
      <c r="D46" s="502">
        <v>-8000</v>
      </c>
      <c r="F46">
        <f t="shared" si="4"/>
        <v>4.4000000000000004</v>
      </c>
      <c r="G46">
        <f t="shared" si="0"/>
        <v>-60006.6</v>
      </c>
      <c r="H46">
        <f t="shared" si="1"/>
        <v>-1936000</v>
      </c>
      <c r="I46" s="383">
        <f t="shared" si="2"/>
        <v>-1.5</v>
      </c>
      <c r="J46">
        <f t="shared" si="3"/>
        <v>-60000</v>
      </c>
    </row>
    <row r="47" spans="1:10" x14ac:dyDescent="0.15">
      <c r="A47" s="507">
        <v>6000712</v>
      </c>
      <c r="B47" s="490">
        <v>3</v>
      </c>
      <c r="C47" s="490">
        <v>-1</v>
      </c>
      <c r="D47" s="502">
        <v>-10000</v>
      </c>
      <c r="F47">
        <f t="shared" si="4"/>
        <v>4.5</v>
      </c>
      <c r="G47">
        <f t="shared" si="0"/>
        <v>-60006.75</v>
      </c>
      <c r="H47">
        <f t="shared" si="1"/>
        <v>-2025000</v>
      </c>
      <c r="I47" s="383">
        <f t="shared" si="2"/>
        <v>-1.5</v>
      </c>
      <c r="J47">
        <f t="shared" si="3"/>
        <v>-60000</v>
      </c>
    </row>
    <row r="48" spans="1:10" ht="16" thickBot="1" x14ac:dyDescent="0.2">
      <c r="A48" s="507">
        <v>6000712</v>
      </c>
      <c r="B48" s="504">
        <v>4</v>
      </c>
      <c r="C48" s="504">
        <v>-1</v>
      </c>
      <c r="D48" s="505">
        <v>-12000</v>
      </c>
      <c r="F48">
        <f t="shared" si="4"/>
        <v>4.5999999999999996</v>
      </c>
      <c r="G48">
        <f t="shared" si="0"/>
        <v>-60006.9</v>
      </c>
      <c r="H48">
        <f t="shared" si="1"/>
        <v>-2116000</v>
      </c>
      <c r="I48" s="383">
        <f t="shared" si="2"/>
        <v>-1.5</v>
      </c>
      <c r="J48">
        <f t="shared" si="3"/>
        <v>-60000</v>
      </c>
    </row>
    <row r="49" spans="1:10" x14ac:dyDescent="0.15">
      <c r="A49" s="520">
        <v>6000731</v>
      </c>
      <c r="B49" s="521">
        <v>0</v>
      </c>
      <c r="C49" s="521">
        <v>0</v>
      </c>
      <c r="D49" s="522">
        <v>0</v>
      </c>
      <c r="F49">
        <f t="shared" si="4"/>
        <v>4.6999999999999993</v>
      </c>
      <c r="G49">
        <f t="shared" si="0"/>
        <v>-60007.05</v>
      </c>
      <c r="H49">
        <f t="shared" si="1"/>
        <v>-2208999.9999999995</v>
      </c>
      <c r="I49" s="383">
        <f t="shared" si="2"/>
        <v>-1.5</v>
      </c>
      <c r="J49">
        <f t="shared" si="3"/>
        <v>-60000</v>
      </c>
    </row>
    <row r="50" spans="1:10" x14ac:dyDescent="0.15">
      <c r="A50" s="523">
        <v>6000731</v>
      </c>
      <c r="B50" s="524">
        <v>0.2</v>
      </c>
      <c r="C50" s="524">
        <v>-5000</v>
      </c>
      <c r="D50" s="512">
        <v>-10000</v>
      </c>
      <c r="F50">
        <f t="shared" si="4"/>
        <v>4.7999999999999989</v>
      </c>
      <c r="G50">
        <f t="shared" si="0"/>
        <v>-60007.199999999997</v>
      </c>
      <c r="H50">
        <f t="shared" si="1"/>
        <v>-2303999.9999999986</v>
      </c>
      <c r="I50" s="383">
        <f t="shared" si="2"/>
        <v>-1.5</v>
      </c>
      <c r="J50">
        <f t="shared" si="3"/>
        <v>-60000</v>
      </c>
    </row>
    <row r="51" spans="1:10" x14ac:dyDescent="0.15">
      <c r="A51" s="523">
        <v>6000731</v>
      </c>
      <c r="B51" s="524">
        <v>0.4</v>
      </c>
      <c r="C51" s="524">
        <v>-5000</v>
      </c>
      <c r="D51" s="512">
        <v>-20000</v>
      </c>
      <c r="F51">
        <f t="shared" si="4"/>
        <v>4.8999999999999986</v>
      </c>
      <c r="G51">
        <f t="shared" si="0"/>
        <v>-60007.35</v>
      </c>
      <c r="H51">
        <f t="shared" si="1"/>
        <v>-2400999.9999999986</v>
      </c>
      <c r="I51" s="383">
        <f t="shared" si="2"/>
        <v>-1.5</v>
      </c>
      <c r="J51">
        <f t="shared" si="3"/>
        <v>-60000</v>
      </c>
    </row>
    <row r="52" spans="1:10" x14ac:dyDescent="0.15">
      <c r="A52" s="523">
        <v>6000731</v>
      </c>
      <c r="B52" s="524">
        <v>0.6</v>
      </c>
      <c r="C52" s="524">
        <v>-5000</v>
      </c>
      <c r="D52" s="512">
        <v>-30000</v>
      </c>
      <c r="F52">
        <f t="shared" si="4"/>
        <v>4.9999999999999982</v>
      </c>
      <c r="G52">
        <f t="shared" si="0"/>
        <v>-60007.5</v>
      </c>
      <c r="H52">
        <f t="shared" si="1"/>
        <v>-2499999.9999999986</v>
      </c>
      <c r="I52" s="383">
        <f t="shared" si="2"/>
        <v>-1.5</v>
      </c>
      <c r="J52">
        <f t="shared" si="3"/>
        <v>-60000</v>
      </c>
    </row>
    <row r="53" spans="1:10" x14ac:dyDescent="0.15">
      <c r="A53" s="523">
        <v>6000731</v>
      </c>
      <c r="B53" s="524">
        <v>0.8</v>
      </c>
      <c r="C53" s="524">
        <v>-5000</v>
      </c>
      <c r="D53" s="512">
        <v>-40000</v>
      </c>
      <c r="F53">
        <f t="shared" si="4"/>
        <v>5.0999999999999979</v>
      </c>
      <c r="G53">
        <f t="shared" si="0"/>
        <v>-60007.65</v>
      </c>
      <c r="H53">
        <f t="shared" si="1"/>
        <v>-2600999.9999999977</v>
      </c>
      <c r="I53" s="383">
        <f t="shared" si="2"/>
        <v>-1.5</v>
      </c>
      <c r="J53">
        <f t="shared" si="3"/>
        <v>-60000</v>
      </c>
    </row>
    <row r="54" spans="1:10" x14ac:dyDescent="0.15">
      <c r="A54" s="523">
        <v>6000731</v>
      </c>
      <c r="B54" s="524">
        <v>1</v>
      </c>
      <c r="C54" s="524">
        <v>-5000</v>
      </c>
      <c r="D54" s="512">
        <v>-50000</v>
      </c>
      <c r="F54">
        <f t="shared" si="4"/>
        <v>5.1999999999999975</v>
      </c>
      <c r="G54">
        <f t="shared" si="0"/>
        <v>-60007.8</v>
      </c>
      <c r="H54">
        <f t="shared" si="1"/>
        <v>-2703999.9999999972</v>
      </c>
      <c r="I54" s="383">
        <f t="shared" si="2"/>
        <v>-1.5</v>
      </c>
      <c r="J54">
        <f t="shared" si="3"/>
        <v>-60000</v>
      </c>
    </row>
    <row r="55" spans="1:10" x14ac:dyDescent="0.15">
      <c r="A55" s="523">
        <v>6000731</v>
      </c>
      <c r="B55" s="524">
        <v>1.2</v>
      </c>
      <c r="C55" s="524">
        <v>-5000</v>
      </c>
      <c r="D55" s="512">
        <v>-70000</v>
      </c>
      <c r="F55">
        <f t="shared" si="4"/>
        <v>5.2999999999999972</v>
      </c>
      <c r="G55">
        <f t="shared" si="0"/>
        <v>-60007.95</v>
      </c>
      <c r="H55">
        <f t="shared" si="1"/>
        <v>-2808999.9999999967</v>
      </c>
      <c r="I55" s="383">
        <f t="shared" si="2"/>
        <v>-1.5</v>
      </c>
      <c r="J55">
        <f t="shared" si="3"/>
        <v>-60000</v>
      </c>
    </row>
    <row r="56" spans="1:10" x14ac:dyDescent="0.15">
      <c r="A56" s="523">
        <v>6000731</v>
      </c>
      <c r="B56" s="524">
        <v>1.4</v>
      </c>
      <c r="C56" s="524">
        <v>-5000</v>
      </c>
      <c r="D56" s="512">
        <v>-90000</v>
      </c>
      <c r="F56">
        <f t="shared" si="4"/>
        <v>5.3999999999999968</v>
      </c>
      <c r="G56">
        <f t="shared" si="0"/>
        <v>-60008.1</v>
      </c>
      <c r="H56">
        <f t="shared" si="1"/>
        <v>-2915999.9999999967</v>
      </c>
      <c r="I56" s="383">
        <f t="shared" si="2"/>
        <v>-1.5</v>
      </c>
      <c r="J56">
        <f t="shared" si="3"/>
        <v>-60000</v>
      </c>
    </row>
    <row r="57" spans="1:10" x14ac:dyDescent="0.15">
      <c r="A57" s="523">
        <v>6000731</v>
      </c>
      <c r="B57" s="524">
        <v>1.6</v>
      </c>
      <c r="C57" s="524">
        <v>-5000</v>
      </c>
      <c r="D57" s="512">
        <v>-110000</v>
      </c>
      <c r="F57">
        <f>F56+0.1</f>
        <v>5.4999999999999964</v>
      </c>
      <c r="G57">
        <f t="shared" si="0"/>
        <v>-60008.25</v>
      </c>
      <c r="H57">
        <f t="shared" si="1"/>
        <v>-3024999.9999999958</v>
      </c>
      <c r="I57" s="383">
        <f t="shared" si="2"/>
        <v>-1.5</v>
      </c>
      <c r="J57">
        <f t="shared" si="3"/>
        <v>-60000</v>
      </c>
    </row>
    <row r="58" spans="1:10" x14ac:dyDescent="0.15">
      <c r="A58" s="523">
        <v>6000731</v>
      </c>
      <c r="B58" s="524">
        <v>1.8</v>
      </c>
      <c r="C58" s="524">
        <v>-5000</v>
      </c>
      <c r="D58" s="512">
        <v>-130000</v>
      </c>
      <c r="F58">
        <f t="shared" si="4"/>
        <v>5.5999999999999961</v>
      </c>
      <c r="G58">
        <f t="shared" si="0"/>
        <v>-60008.4</v>
      </c>
      <c r="H58">
        <f t="shared" si="1"/>
        <v>-3135999.9999999953</v>
      </c>
      <c r="I58" s="383">
        <f t="shared" si="2"/>
        <v>-1.5</v>
      </c>
      <c r="J58">
        <f t="shared" si="3"/>
        <v>-60000</v>
      </c>
    </row>
    <row r="59" spans="1:10" ht="16" thickBot="1" x14ac:dyDescent="0.2">
      <c r="A59" s="525">
        <v>6000731</v>
      </c>
      <c r="B59" s="526">
        <v>2</v>
      </c>
      <c r="C59" s="526">
        <v>0</v>
      </c>
      <c r="D59" s="514">
        <v>-9999999</v>
      </c>
      <c r="F59">
        <f t="shared" si="4"/>
        <v>5.6999999999999957</v>
      </c>
      <c r="G59">
        <f t="shared" si="0"/>
        <v>-60008.55</v>
      </c>
      <c r="H59">
        <f t="shared" si="1"/>
        <v>-3248999.9999999949</v>
      </c>
      <c r="I59" s="383">
        <f t="shared" si="2"/>
        <v>-1.5</v>
      </c>
      <c r="J59">
        <f t="shared" si="3"/>
        <v>-60000</v>
      </c>
    </row>
    <row r="60" spans="1:10" x14ac:dyDescent="0.15">
      <c r="A60" s="527">
        <v>6000732</v>
      </c>
      <c r="B60" s="528">
        <v>0</v>
      </c>
      <c r="C60" s="528">
        <v>0</v>
      </c>
      <c r="D60" s="529">
        <v>0</v>
      </c>
      <c r="F60">
        <f t="shared" si="4"/>
        <v>5.7999999999999954</v>
      </c>
      <c r="G60">
        <f t="shared" si="0"/>
        <v>-60008.7</v>
      </c>
      <c r="H60">
        <f t="shared" si="1"/>
        <v>-3363999.9999999949</v>
      </c>
      <c r="I60" s="383">
        <f t="shared" si="2"/>
        <v>-1.5</v>
      </c>
      <c r="J60">
        <f t="shared" si="3"/>
        <v>-60000</v>
      </c>
    </row>
    <row r="61" spans="1:10" x14ac:dyDescent="0.15">
      <c r="A61" s="530">
        <v>6000732</v>
      </c>
      <c r="B61" s="531">
        <v>0.2</v>
      </c>
      <c r="C61" s="531">
        <v>-10000</v>
      </c>
      <c r="D61" s="517">
        <v>-20000</v>
      </c>
      <c r="F61">
        <f t="shared" si="4"/>
        <v>5.899999999999995</v>
      </c>
      <c r="G61">
        <f t="shared" si="0"/>
        <v>-60008.85</v>
      </c>
      <c r="H61">
        <f t="shared" si="1"/>
        <v>-3480999.9999999939</v>
      </c>
      <c r="I61" s="383">
        <f t="shared" si="2"/>
        <v>-1.5</v>
      </c>
      <c r="J61">
        <f t="shared" si="3"/>
        <v>-60000</v>
      </c>
    </row>
    <row r="62" spans="1:10" x14ac:dyDescent="0.15">
      <c r="A62" s="530">
        <v>6000732</v>
      </c>
      <c r="B62" s="531">
        <v>0.4</v>
      </c>
      <c r="C62" s="531">
        <v>-10000</v>
      </c>
      <c r="D62" s="517">
        <v>-40000</v>
      </c>
      <c r="F62">
        <f t="shared" si="4"/>
        <v>5.9999999999999947</v>
      </c>
      <c r="G62">
        <f t="shared" si="0"/>
        <v>-60009</v>
      </c>
      <c r="H62">
        <f t="shared" si="1"/>
        <v>-3599999.999999993</v>
      </c>
      <c r="I62" s="383">
        <f t="shared" si="2"/>
        <v>-1.5</v>
      </c>
      <c r="J62">
        <f t="shared" si="3"/>
        <v>-60000</v>
      </c>
    </row>
    <row r="63" spans="1:10" x14ac:dyDescent="0.15">
      <c r="A63" s="530">
        <v>6000732</v>
      </c>
      <c r="B63" s="531">
        <v>0.6</v>
      </c>
      <c r="C63" s="531">
        <v>-10000</v>
      </c>
      <c r="D63" s="517">
        <v>-60000</v>
      </c>
      <c r="F63">
        <f t="shared" si="4"/>
        <v>6.0999999999999943</v>
      </c>
      <c r="G63">
        <f t="shared" si="0"/>
        <v>-60009.15</v>
      </c>
      <c r="H63">
        <f t="shared" si="1"/>
        <v>-3720999.999999993</v>
      </c>
      <c r="I63" s="383">
        <f t="shared" si="2"/>
        <v>-1.5</v>
      </c>
      <c r="J63">
        <f t="shared" si="3"/>
        <v>-60000</v>
      </c>
    </row>
    <row r="64" spans="1:10" x14ac:dyDescent="0.15">
      <c r="A64" s="530">
        <v>6000732</v>
      </c>
      <c r="B64" s="531">
        <v>0.8</v>
      </c>
      <c r="C64" s="531">
        <v>-10000</v>
      </c>
      <c r="D64" s="517">
        <v>-80000</v>
      </c>
      <c r="F64">
        <f t="shared" si="4"/>
        <v>6.199999999999994</v>
      </c>
      <c r="G64">
        <f t="shared" si="0"/>
        <v>-60009.3</v>
      </c>
      <c r="H64">
        <f t="shared" si="1"/>
        <v>-3843999.999999993</v>
      </c>
      <c r="I64" s="383">
        <f t="shared" si="2"/>
        <v>-1.5</v>
      </c>
      <c r="J64">
        <f t="shared" si="3"/>
        <v>-60000</v>
      </c>
    </row>
    <row r="65" spans="1:10" x14ac:dyDescent="0.15">
      <c r="A65" s="530">
        <v>6000732</v>
      </c>
      <c r="B65" s="531">
        <v>1</v>
      </c>
      <c r="C65" s="531">
        <v>-10000</v>
      </c>
      <c r="D65" s="517">
        <v>-100000</v>
      </c>
      <c r="F65">
        <f t="shared" si="4"/>
        <v>6.2999999999999936</v>
      </c>
      <c r="G65">
        <f t="shared" si="0"/>
        <v>-60009.45</v>
      </c>
      <c r="H65">
        <f t="shared" si="1"/>
        <v>-3968999.9999999916</v>
      </c>
      <c r="I65" s="383">
        <f t="shared" si="2"/>
        <v>-1.5</v>
      </c>
      <c r="J65">
        <f t="shared" si="3"/>
        <v>-60000</v>
      </c>
    </row>
    <row r="66" spans="1:10" x14ac:dyDescent="0.15">
      <c r="A66" s="530">
        <v>6000732</v>
      </c>
      <c r="B66" s="531">
        <v>1.2</v>
      </c>
      <c r="C66" s="531">
        <v>-10000</v>
      </c>
      <c r="D66" s="517">
        <v>-140000</v>
      </c>
      <c r="F66">
        <f t="shared" si="4"/>
        <v>6.3999999999999932</v>
      </c>
      <c r="G66">
        <f t="shared" si="0"/>
        <v>-60009.599999999999</v>
      </c>
      <c r="H66">
        <f t="shared" si="1"/>
        <v>-4095999.9999999907</v>
      </c>
      <c r="I66" s="383">
        <f t="shared" si="2"/>
        <v>-1.5</v>
      </c>
      <c r="J66">
        <f t="shared" si="3"/>
        <v>-60000</v>
      </c>
    </row>
    <row r="67" spans="1:10" x14ac:dyDescent="0.15">
      <c r="A67" s="530">
        <v>6000732</v>
      </c>
      <c r="B67" s="531">
        <v>1.4</v>
      </c>
      <c r="C67" s="531">
        <v>-10000</v>
      </c>
      <c r="D67" s="517">
        <v>-180000</v>
      </c>
      <c r="F67">
        <f t="shared" si="4"/>
        <v>6.4999999999999929</v>
      </c>
      <c r="G67">
        <f t="shared" ref="G67:G82" si="5">I67*F67+J67</f>
        <v>-60009.75</v>
      </c>
      <c r="H67">
        <f t="shared" ref="H67:H82" si="6">-$K$2*(F67*10)^2</f>
        <v>-4224999.9999999907</v>
      </c>
      <c r="I67" s="383">
        <f t="shared" ref="I67:I82" si="7">VLOOKUP(F67,B$20:D$30,2)</f>
        <v>-1.5</v>
      </c>
      <c r="J67">
        <f t="shared" ref="J67:J82" si="8">VLOOKUP(F67,B$20:D$30,3)</f>
        <v>-60000</v>
      </c>
    </row>
    <row r="68" spans="1:10" x14ac:dyDescent="0.15">
      <c r="A68" s="530">
        <v>6000732</v>
      </c>
      <c r="B68" s="531">
        <v>1.6</v>
      </c>
      <c r="C68" s="531">
        <v>-10000</v>
      </c>
      <c r="D68" s="517">
        <v>-220000</v>
      </c>
      <c r="F68">
        <f>F67+0.1</f>
        <v>6.5999999999999925</v>
      </c>
      <c r="G68">
        <f t="shared" si="5"/>
        <v>-60009.9</v>
      </c>
      <c r="H68">
        <f t="shared" si="6"/>
        <v>-4355999.9999999907</v>
      </c>
      <c r="I68" s="383">
        <f t="shared" si="7"/>
        <v>-1.5</v>
      </c>
      <c r="J68">
        <f t="shared" si="8"/>
        <v>-60000</v>
      </c>
    </row>
    <row r="69" spans="1:10" x14ac:dyDescent="0.15">
      <c r="A69" s="530">
        <v>6000732</v>
      </c>
      <c r="B69" s="531">
        <v>1.8</v>
      </c>
      <c r="C69" s="531">
        <v>-10000</v>
      </c>
      <c r="D69" s="517">
        <v>-260000</v>
      </c>
      <c r="F69">
        <f t="shared" si="4"/>
        <v>6.6999999999999922</v>
      </c>
      <c r="G69">
        <f t="shared" si="5"/>
        <v>-60010.05</v>
      </c>
      <c r="H69">
        <f t="shared" si="6"/>
        <v>-4488999.9999999879</v>
      </c>
      <c r="I69" s="383">
        <f t="shared" si="7"/>
        <v>-1.5</v>
      </c>
      <c r="J69">
        <f t="shared" si="8"/>
        <v>-60000</v>
      </c>
    </row>
    <row r="70" spans="1:10" ht="16" thickBot="1" x14ac:dyDescent="0.2">
      <c r="A70" s="532">
        <v>6000732</v>
      </c>
      <c r="B70" s="533">
        <v>2</v>
      </c>
      <c r="C70" s="533">
        <v>0</v>
      </c>
      <c r="D70" s="519">
        <v>-9999999</v>
      </c>
      <c r="F70">
        <f t="shared" ref="F70:F82" si="9">F69+0.1</f>
        <v>6.7999999999999918</v>
      </c>
      <c r="G70">
        <f t="shared" si="5"/>
        <v>-60010.2</v>
      </c>
      <c r="H70">
        <f t="shared" si="6"/>
        <v>-4623999.9999999879</v>
      </c>
      <c r="I70" s="383">
        <f t="shared" si="7"/>
        <v>-1.5</v>
      </c>
      <c r="J70">
        <f t="shared" si="8"/>
        <v>-60000</v>
      </c>
    </row>
    <row r="71" spans="1:10" x14ac:dyDescent="0.15">
      <c r="A71" s="520">
        <v>6000733</v>
      </c>
      <c r="B71" s="521">
        <v>0</v>
      </c>
      <c r="C71" s="521">
        <v>0</v>
      </c>
      <c r="D71" s="522">
        <v>0</v>
      </c>
      <c r="F71">
        <f t="shared" si="9"/>
        <v>6.8999999999999915</v>
      </c>
      <c r="G71">
        <f t="shared" si="5"/>
        <v>-60010.35</v>
      </c>
      <c r="H71">
        <f t="shared" si="6"/>
        <v>-4760999.9999999879</v>
      </c>
      <c r="I71" s="383">
        <f t="shared" si="7"/>
        <v>-1.5</v>
      </c>
      <c r="J71">
        <f t="shared" si="8"/>
        <v>-60000</v>
      </c>
    </row>
    <row r="72" spans="1:10" x14ac:dyDescent="0.15">
      <c r="A72" s="523">
        <v>6000733</v>
      </c>
      <c r="B72" s="524">
        <v>0.2</v>
      </c>
      <c r="C72" s="524">
        <v>-10000</v>
      </c>
      <c r="D72" s="512">
        <v>-40000</v>
      </c>
      <c r="F72">
        <f t="shared" si="9"/>
        <v>6.9999999999999911</v>
      </c>
      <c r="G72">
        <f t="shared" si="5"/>
        <v>-60010.5</v>
      </c>
      <c r="H72">
        <f t="shared" si="6"/>
        <v>-4899999.9999999879</v>
      </c>
      <c r="I72" s="383">
        <f t="shared" si="7"/>
        <v>-1.5</v>
      </c>
      <c r="J72">
        <f t="shared" si="8"/>
        <v>-60000</v>
      </c>
    </row>
    <row r="73" spans="1:10" x14ac:dyDescent="0.15">
      <c r="A73" s="523">
        <v>6000733</v>
      </c>
      <c r="B73" s="524">
        <v>0.4</v>
      </c>
      <c r="C73" s="524">
        <v>-10000</v>
      </c>
      <c r="D73" s="512">
        <v>-80000</v>
      </c>
      <c r="F73">
        <f t="shared" si="9"/>
        <v>7.0999999999999908</v>
      </c>
      <c r="G73">
        <f t="shared" si="5"/>
        <v>-60010.65</v>
      </c>
      <c r="H73">
        <f t="shared" si="6"/>
        <v>-5040999.9999999879</v>
      </c>
      <c r="I73" s="383">
        <f t="shared" si="7"/>
        <v>-1.5</v>
      </c>
      <c r="J73">
        <f t="shared" si="8"/>
        <v>-60000</v>
      </c>
    </row>
    <row r="74" spans="1:10" x14ac:dyDescent="0.15">
      <c r="A74" s="523">
        <v>6000733</v>
      </c>
      <c r="B74" s="524">
        <v>0.6</v>
      </c>
      <c r="C74" s="524">
        <v>-10000</v>
      </c>
      <c r="D74" s="512">
        <v>-120000</v>
      </c>
      <c r="F74">
        <f t="shared" si="9"/>
        <v>7.1999999999999904</v>
      </c>
      <c r="G74">
        <f t="shared" si="5"/>
        <v>-60010.8</v>
      </c>
      <c r="H74">
        <f t="shared" si="6"/>
        <v>-5183999.9999999851</v>
      </c>
      <c r="I74" s="383">
        <f t="shared" si="7"/>
        <v>-1.5</v>
      </c>
      <c r="J74">
        <f t="shared" si="8"/>
        <v>-60000</v>
      </c>
    </row>
    <row r="75" spans="1:10" x14ac:dyDescent="0.15">
      <c r="A75" s="523">
        <v>6000733</v>
      </c>
      <c r="B75" s="524">
        <v>0.8</v>
      </c>
      <c r="C75" s="524">
        <v>-10000</v>
      </c>
      <c r="D75" s="512">
        <v>-160000</v>
      </c>
      <c r="F75">
        <f t="shared" si="9"/>
        <v>7.2999999999999901</v>
      </c>
      <c r="G75">
        <f t="shared" si="5"/>
        <v>-60010.95</v>
      </c>
      <c r="H75">
        <f t="shared" si="6"/>
        <v>-5328999.9999999851</v>
      </c>
      <c r="I75" s="383">
        <f t="shared" si="7"/>
        <v>-1.5</v>
      </c>
      <c r="J75">
        <f t="shared" si="8"/>
        <v>-60000</v>
      </c>
    </row>
    <row r="76" spans="1:10" x14ac:dyDescent="0.15">
      <c r="A76" s="523">
        <v>6000733</v>
      </c>
      <c r="B76" s="524">
        <v>1</v>
      </c>
      <c r="C76" s="524">
        <v>-10000</v>
      </c>
      <c r="D76" s="512">
        <v>-200000</v>
      </c>
      <c r="F76">
        <f t="shared" si="9"/>
        <v>7.3999999999999897</v>
      </c>
      <c r="G76">
        <f t="shared" si="5"/>
        <v>-60011.1</v>
      </c>
      <c r="H76">
        <f t="shared" si="6"/>
        <v>-5475999.9999999851</v>
      </c>
      <c r="I76" s="383">
        <f t="shared" si="7"/>
        <v>-1.5</v>
      </c>
      <c r="J76">
        <f t="shared" si="8"/>
        <v>-60000</v>
      </c>
    </row>
    <row r="77" spans="1:10" x14ac:dyDescent="0.15">
      <c r="A77" s="523">
        <v>6000733</v>
      </c>
      <c r="B77" s="524">
        <v>1.2</v>
      </c>
      <c r="C77" s="524">
        <v>-10000</v>
      </c>
      <c r="D77" s="512">
        <v>-280000</v>
      </c>
      <c r="F77">
        <f t="shared" si="9"/>
        <v>7.4999999999999893</v>
      </c>
      <c r="G77">
        <f t="shared" si="5"/>
        <v>-60011.25</v>
      </c>
      <c r="H77">
        <f t="shared" si="6"/>
        <v>-5624999.9999999823</v>
      </c>
      <c r="I77" s="383">
        <f t="shared" si="7"/>
        <v>-1.5</v>
      </c>
      <c r="J77">
        <f t="shared" si="8"/>
        <v>-60000</v>
      </c>
    </row>
    <row r="78" spans="1:10" x14ac:dyDescent="0.15">
      <c r="A78" s="523">
        <v>6000733</v>
      </c>
      <c r="B78" s="524">
        <v>1.4</v>
      </c>
      <c r="C78" s="524">
        <v>-10000</v>
      </c>
      <c r="D78" s="512">
        <v>-360000</v>
      </c>
      <c r="F78">
        <f t="shared" si="9"/>
        <v>7.599999999999989</v>
      </c>
      <c r="G78">
        <f t="shared" si="5"/>
        <v>-60011.4</v>
      </c>
      <c r="H78">
        <f t="shared" si="6"/>
        <v>-5775999.9999999823</v>
      </c>
      <c r="I78" s="383">
        <f t="shared" si="7"/>
        <v>-1.5</v>
      </c>
      <c r="J78">
        <f t="shared" si="8"/>
        <v>-60000</v>
      </c>
    </row>
    <row r="79" spans="1:10" x14ac:dyDescent="0.15">
      <c r="A79" s="523">
        <v>6000733</v>
      </c>
      <c r="B79" s="524">
        <v>1.6</v>
      </c>
      <c r="C79" s="524">
        <v>-10000</v>
      </c>
      <c r="D79" s="512">
        <v>-440000</v>
      </c>
      <c r="F79">
        <f t="shared" si="9"/>
        <v>7.6999999999999886</v>
      </c>
      <c r="G79">
        <f t="shared" si="5"/>
        <v>-60011.55</v>
      </c>
      <c r="H79">
        <f t="shared" si="6"/>
        <v>-5928999.9999999823</v>
      </c>
      <c r="I79" s="383">
        <f t="shared" si="7"/>
        <v>-1.5</v>
      </c>
      <c r="J79">
        <f t="shared" si="8"/>
        <v>-60000</v>
      </c>
    </row>
    <row r="80" spans="1:10" x14ac:dyDescent="0.15">
      <c r="A80" s="523">
        <v>6000733</v>
      </c>
      <c r="B80" s="524">
        <v>1.8</v>
      </c>
      <c r="C80" s="524">
        <v>-10000</v>
      </c>
      <c r="D80" s="512">
        <v>-520000</v>
      </c>
      <c r="F80">
        <f t="shared" si="9"/>
        <v>7.7999999999999883</v>
      </c>
      <c r="G80">
        <f t="shared" si="5"/>
        <v>-60011.7</v>
      </c>
      <c r="H80">
        <f t="shared" si="6"/>
        <v>-6083999.9999999823</v>
      </c>
      <c r="I80" s="383">
        <f t="shared" si="7"/>
        <v>-1.5</v>
      </c>
      <c r="J80">
        <f t="shared" si="8"/>
        <v>-60000</v>
      </c>
    </row>
    <row r="81" spans="1:10" ht="16" thickBot="1" x14ac:dyDescent="0.2">
      <c r="A81" s="525">
        <v>6000733</v>
      </c>
      <c r="B81" s="526">
        <v>2</v>
      </c>
      <c r="C81" s="526">
        <v>0</v>
      </c>
      <c r="D81" s="514">
        <v>-9999999</v>
      </c>
      <c r="F81">
        <f t="shared" si="9"/>
        <v>7.8999999999999879</v>
      </c>
      <c r="G81">
        <f t="shared" si="5"/>
        <v>-60011.85</v>
      </c>
      <c r="H81">
        <f t="shared" si="6"/>
        <v>-6240999.9999999814</v>
      </c>
      <c r="I81" s="383">
        <f t="shared" si="7"/>
        <v>-1.5</v>
      </c>
      <c r="J81">
        <f t="shared" si="8"/>
        <v>-60000</v>
      </c>
    </row>
    <row r="82" spans="1:10" x14ac:dyDescent="0.15">
      <c r="A82" s="527">
        <v>6000734</v>
      </c>
      <c r="B82" s="528">
        <v>0</v>
      </c>
      <c r="C82" s="528">
        <v>0</v>
      </c>
      <c r="D82" s="529">
        <v>0</v>
      </c>
      <c r="F82">
        <f t="shared" si="9"/>
        <v>7.9999999999999876</v>
      </c>
      <c r="G82">
        <f t="shared" si="5"/>
        <v>-60012</v>
      </c>
      <c r="H82">
        <f t="shared" si="6"/>
        <v>-6399999.9999999804</v>
      </c>
      <c r="I82" s="383">
        <f t="shared" si="7"/>
        <v>-1.5</v>
      </c>
      <c r="J82">
        <f t="shared" si="8"/>
        <v>-60000</v>
      </c>
    </row>
    <row r="83" spans="1:10" x14ac:dyDescent="0.15">
      <c r="A83" s="530">
        <v>6000734</v>
      </c>
      <c r="B83" s="531">
        <v>0.2</v>
      </c>
      <c r="C83" s="531">
        <v>-10000</v>
      </c>
      <c r="D83" s="517">
        <v>-40000</v>
      </c>
    </row>
    <row r="84" spans="1:10" x14ac:dyDescent="0.15">
      <c r="A84" s="530">
        <v>6000734</v>
      </c>
      <c r="B84" s="531">
        <v>0.4</v>
      </c>
      <c r="C84" s="531">
        <v>-10000</v>
      </c>
      <c r="D84" s="517">
        <v>-80000</v>
      </c>
    </row>
    <row r="85" spans="1:10" x14ac:dyDescent="0.15">
      <c r="A85" s="530">
        <v>6000734</v>
      </c>
      <c r="B85" s="531">
        <v>0.6</v>
      </c>
      <c r="C85" s="531">
        <v>-10000</v>
      </c>
      <c r="D85" s="517">
        <v>-120000</v>
      </c>
    </row>
    <row r="86" spans="1:10" x14ac:dyDescent="0.15">
      <c r="A86" s="530">
        <v>6000734</v>
      </c>
      <c r="B86" s="531">
        <v>0.8</v>
      </c>
      <c r="C86" s="531">
        <v>-10000</v>
      </c>
      <c r="D86" s="517">
        <v>-160000</v>
      </c>
    </row>
    <row r="87" spans="1:10" x14ac:dyDescent="0.15">
      <c r="A87" s="530">
        <v>6000734</v>
      </c>
      <c r="B87" s="531">
        <v>1</v>
      </c>
      <c r="C87" s="531">
        <v>-10000</v>
      </c>
      <c r="D87" s="517">
        <v>-200000</v>
      </c>
    </row>
    <row r="88" spans="1:10" x14ac:dyDescent="0.15">
      <c r="A88" s="530">
        <v>6000734</v>
      </c>
      <c r="B88" s="531">
        <v>1.2</v>
      </c>
      <c r="C88" s="531">
        <v>-10000</v>
      </c>
      <c r="D88" s="517">
        <v>-280000</v>
      </c>
    </row>
    <row r="89" spans="1:10" x14ac:dyDescent="0.15">
      <c r="A89" s="530">
        <v>6000734</v>
      </c>
      <c r="B89" s="531">
        <v>1.4</v>
      </c>
      <c r="C89" s="531">
        <v>-10000</v>
      </c>
      <c r="D89" s="517">
        <v>-360000</v>
      </c>
    </row>
    <row r="90" spans="1:10" x14ac:dyDescent="0.15">
      <c r="A90" s="530">
        <v>6000734</v>
      </c>
      <c r="B90" s="531">
        <v>1.6</v>
      </c>
      <c r="C90" s="531">
        <v>-10000</v>
      </c>
      <c r="D90" s="517">
        <v>-440000</v>
      </c>
    </row>
    <row r="91" spans="1:10" x14ac:dyDescent="0.15">
      <c r="A91" s="530">
        <v>6000734</v>
      </c>
      <c r="B91" s="531">
        <v>1.8</v>
      </c>
      <c r="C91" s="531">
        <v>-10000</v>
      </c>
      <c r="D91" s="517">
        <v>-520000</v>
      </c>
    </row>
    <row r="92" spans="1:10" ht="16" thickBot="1" x14ac:dyDescent="0.2">
      <c r="A92" s="532">
        <v>6000734</v>
      </c>
      <c r="B92" s="533">
        <v>2</v>
      </c>
      <c r="C92" s="533">
        <v>0</v>
      </c>
      <c r="D92" s="519">
        <v>-9999999</v>
      </c>
    </row>
    <row r="93" spans="1:10" x14ac:dyDescent="0.15">
      <c r="A93" s="520">
        <v>6000735</v>
      </c>
      <c r="B93" s="521">
        <v>0</v>
      </c>
      <c r="C93" s="521">
        <v>0</v>
      </c>
      <c r="D93" s="522">
        <v>0</v>
      </c>
    </row>
    <row r="94" spans="1:10" x14ac:dyDescent="0.15">
      <c r="A94" s="523">
        <v>6000735</v>
      </c>
      <c r="B94" s="524">
        <v>0.2</v>
      </c>
      <c r="C94" s="524">
        <v>-20000</v>
      </c>
      <c r="D94" s="512">
        <v>-60000</v>
      </c>
    </row>
    <row r="95" spans="1:10" x14ac:dyDescent="0.15">
      <c r="A95" s="523">
        <v>6000735</v>
      </c>
      <c r="B95" s="524">
        <v>0.4</v>
      </c>
      <c r="C95" s="524">
        <v>-20000</v>
      </c>
      <c r="D95" s="512">
        <v>-120000</v>
      </c>
    </row>
    <row r="96" spans="1:10" x14ac:dyDescent="0.15">
      <c r="A96" s="523">
        <v>6000735</v>
      </c>
      <c r="B96" s="524">
        <v>0.6</v>
      </c>
      <c r="C96" s="524">
        <v>-20000</v>
      </c>
      <c r="D96" s="512">
        <v>-180000</v>
      </c>
    </row>
    <row r="97" spans="1:4" x14ac:dyDescent="0.15">
      <c r="A97" s="523">
        <v>6000735</v>
      </c>
      <c r="B97" s="524">
        <v>0.8</v>
      </c>
      <c r="C97" s="524">
        <v>-20000</v>
      </c>
      <c r="D97" s="512">
        <v>-240000</v>
      </c>
    </row>
    <row r="98" spans="1:4" x14ac:dyDescent="0.15">
      <c r="A98" s="523">
        <v>6000735</v>
      </c>
      <c r="B98" s="524">
        <v>1</v>
      </c>
      <c r="C98" s="524">
        <v>-20000</v>
      </c>
      <c r="D98" s="512">
        <v>-300000</v>
      </c>
    </row>
    <row r="99" spans="1:4" x14ac:dyDescent="0.15">
      <c r="A99" s="523">
        <v>6000735</v>
      </c>
      <c r="B99" s="524">
        <v>1.2</v>
      </c>
      <c r="C99" s="524">
        <v>-20000</v>
      </c>
      <c r="D99" s="512">
        <v>-360000</v>
      </c>
    </row>
    <row r="100" spans="1:4" x14ac:dyDescent="0.15">
      <c r="A100" s="523">
        <v>6000735</v>
      </c>
      <c r="B100" s="524">
        <v>1.4</v>
      </c>
      <c r="C100" s="524">
        <v>-20000</v>
      </c>
      <c r="D100" s="512">
        <v>-420000</v>
      </c>
    </row>
    <row r="101" spans="1:4" x14ac:dyDescent="0.15">
      <c r="A101" s="523">
        <v>6000735</v>
      </c>
      <c r="B101" s="524">
        <v>1.6</v>
      </c>
      <c r="C101" s="524">
        <v>-20000</v>
      </c>
      <c r="D101" s="512">
        <v>-540000</v>
      </c>
    </row>
    <row r="102" spans="1:4" x14ac:dyDescent="0.15">
      <c r="A102" s="523">
        <v>6000735</v>
      </c>
      <c r="B102" s="524">
        <v>1.8</v>
      </c>
      <c r="C102" s="524">
        <v>-20000</v>
      </c>
      <c r="D102" s="512">
        <v>-660000</v>
      </c>
    </row>
    <row r="103" spans="1:4" x14ac:dyDescent="0.15">
      <c r="A103" s="523">
        <v>6000735</v>
      </c>
      <c r="B103" s="524">
        <v>2</v>
      </c>
      <c r="C103" s="524">
        <v>-20000</v>
      </c>
      <c r="D103" s="512">
        <v>-780000</v>
      </c>
    </row>
    <row r="104" spans="1:4" x14ac:dyDescent="0.15">
      <c r="A104" s="523">
        <v>6000735</v>
      </c>
      <c r="B104" s="524">
        <v>2.2000000000000002</v>
      </c>
      <c r="C104" s="524">
        <v>-20000</v>
      </c>
      <c r="D104" s="512">
        <v>-900000</v>
      </c>
    </row>
    <row r="105" spans="1:4" x14ac:dyDescent="0.15">
      <c r="A105" s="523">
        <v>6000735</v>
      </c>
      <c r="B105" s="524">
        <v>2.4</v>
      </c>
      <c r="C105" s="524">
        <v>-20000</v>
      </c>
      <c r="D105" s="512">
        <v>-1020000</v>
      </c>
    </row>
    <row r="106" spans="1:4" x14ac:dyDescent="0.15">
      <c r="A106" s="523">
        <v>6000735</v>
      </c>
      <c r="B106" s="524">
        <v>2.6</v>
      </c>
      <c r="C106" s="524">
        <v>-20000</v>
      </c>
      <c r="D106" s="512">
        <v>-1140000</v>
      </c>
    </row>
    <row r="107" spans="1:4" x14ac:dyDescent="0.15">
      <c r="A107" s="523">
        <v>6000735</v>
      </c>
      <c r="B107" s="524">
        <v>2.8</v>
      </c>
      <c r="C107" s="524">
        <v>-20000</v>
      </c>
      <c r="D107" s="512">
        <v>-1260000</v>
      </c>
    </row>
    <row r="108" spans="1:4" ht="16" thickBot="1" x14ac:dyDescent="0.2">
      <c r="A108" s="525">
        <v>6000735</v>
      </c>
      <c r="B108" s="526">
        <v>3</v>
      </c>
      <c r="C108" s="526">
        <v>0</v>
      </c>
      <c r="D108" s="514">
        <v>-9999999</v>
      </c>
    </row>
  </sheetData>
  <phoneticPr fontId="6"/>
  <pageMargins left="0.7" right="0.7" top="0.75" bottom="0.75" header="0.3" footer="0.3"/>
  <pageSetup paperSize="9" orientation="portrait" horizontalDpi="4294967292" verticalDpi="429496729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I49"/>
  <sheetViews>
    <sheetView workbookViewId="0">
      <selection activeCell="K29" sqref="K29"/>
    </sheetView>
  </sheetViews>
  <sheetFormatPr baseColWidth="12" defaultRowHeight="15" x14ac:dyDescent="0.15"/>
  <cols>
    <col min="7" max="7" width="34.5" bestFit="1" customWidth="1"/>
  </cols>
  <sheetData>
    <row r="1" spans="1:9" ht="16" thickBot="1" x14ac:dyDescent="0.2">
      <c r="A1" s="170" t="s">
        <v>248</v>
      </c>
      <c r="B1" s="170" t="s">
        <v>249</v>
      </c>
      <c r="C1" s="170" t="s">
        <v>250</v>
      </c>
      <c r="D1" s="170" t="s">
        <v>251</v>
      </c>
      <c r="E1" s="185" t="s">
        <v>252</v>
      </c>
      <c r="F1" s="185" t="s">
        <v>253</v>
      </c>
      <c r="G1" s="185" t="s">
        <v>254</v>
      </c>
    </row>
    <row r="2" spans="1:9" x14ac:dyDescent="0.15">
      <c r="A2" s="565">
        <v>1</v>
      </c>
      <c r="B2" s="566">
        <v>60006</v>
      </c>
      <c r="C2" s="566">
        <v>1</v>
      </c>
      <c r="D2" s="566">
        <v>500000</v>
      </c>
      <c r="E2" s="566" t="s">
        <v>281</v>
      </c>
      <c r="F2" s="566" t="s">
        <v>282</v>
      </c>
      <c r="G2" s="567" t="s">
        <v>283</v>
      </c>
      <c r="I2" s="378" t="s">
        <v>374</v>
      </c>
    </row>
    <row r="3" spans="1:9" x14ac:dyDescent="0.15">
      <c r="A3" s="568">
        <v>2</v>
      </c>
      <c r="B3" s="569">
        <v>60006</v>
      </c>
      <c r="C3" s="569">
        <v>1</v>
      </c>
      <c r="D3" s="569">
        <v>300000</v>
      </c>
      <c r="E3" s="569" t="s">
        <v>281</v>
      </c>
      <c r="F3" s="569" t="s">
        <v>284</v>
      </c>
      <c r="G3" s="570" t="s">
        <v>285</v>
      </c>
    </row>
    <row r="4" spans="1:9" x14ac:dyDescent="0.15">
      <c r="A4" s="568">
        <v>3</v>
      </c>
      <c r="B4" s="569">
        <v>60006</v>
      </c>
      <c r="C4" s="569">
        <v>1</v>
      </c>
      <c r="D4" s="569">
        <v>200000</v>
      </c>
      <c r="E4" s="569" t="s">
        <v>281</v>
      </c>
      <c r="F4" s="569" t="s">
        <v>286</v>
      </c>
      <c r="G4" s="570" t="s">
        <v>287</v>
      </c>
    </row>
    <row r="5" spans="1:9" x14ac:dyDescent="0.15">
      <c r="A5" s="568">
        <v>4</v>
      </c>
      <c r="B5" s="569">
        <v>60006</v>
      </c>
      <c r="C5" s="569">
        <v>1</v>
      </c>
      <c r="D5" s="569">
        <v>100000</v>
      </c>
      <c r="E5" s="569" t="s">
        <v>281</v>
      </c>
      <c r="F5" s="569" t="s">
        <v>288</v>
      </c>
      <c r="G5" s="570" t="s">
        <v>289</v>
      </c>
    </row>
    <row r="6" spans="1:9" x14ac:dyDescent="0.15">
      <c r="A6" s="568">
        <v>5</v>
      </c>
      <c r="B6" s="569">
        <v>60006</v>
      </c>
      <c r="C6" s="569">
        <v>1</v>
      </c>
      <c r="D6" s="569">
        <v>75000</v>
      </c>
      <c r="E6" s="569" t="s">
        <v>281</v>
      </c>
      <c r="F6" s="569" t="s">
        <v>290</v>
      </c>
      <c r="G6" s="570" t="s">
        <v>291</v>
      </c>
    </row>
    <row r="7" spans="1:9" x14ac:dyDescent="0.15">
      <c r="A7" s="568">
        <v>6</v>
      </c>
      <c r="B7" s="569">
        <v>60006</v>
      </c>
      <c r="C7" s="569">
        <v>1</v>
      </c>
      <c r="D7" s="569">
        <v>50000</v>
      </c>
      <c r="E7" s="569" t="s">
        <v>281</v>
      </c>
      <c r="F7" s="569" t="s">
        <v>292</v>
      </c>
      <c r="G7" s="570" t="s">
        <v>293</v>
      </c>
    </row>
    <row r="8" spans="1:9" x14ac:dyDescent="0.15">
      <c r="A8" s="568">
        <v>7</v>
      </c>
      <c r="B8" s="569">
        <v>60006</v>
      </c>
      <c r="C8" s="569">
        <v>1</v>
      </c>
      <c r="D8" s="569">
        <v>25000</v>
      </c>
      <c r="E8" s="569" t="s">
        <v>294</v>
      </c>
      <c r="F8" s="569" t="s">
        <v>295</v>
      </c>
      <c r="G8" s="570" t="s">
        <v>296</v>
      </c>
    </row>
    <row r="9" spans="1:9" ht="16" thickBot="1" x14ac:dyDescent="0.2">
      <c r="A9" s="571">
        <v>8</v>
      </c>
      <c r="B9" s="572">
        <v>60006</v>
      </c>
      <c r="C9" s="572">
        <v>1</v>
      </c>
      <c r="D9" s="572">
        <v>0</v>
      </c>
      <c r="E9" s="572" t="s">
        <v>294</v>
      </c>
      <c r="F9" s="572" t="s">
        <v>297</v>
      </c>
      <c r="G9" s="573" t="s">
        <v>298</v>
      </c>
    </row>
    <row r="10" spans="1:9" x14ac:dyDescent="0.15">
      <c r="A10" s="565">
        <v>9</v>
      </c>
      <c r="B10" s="566">
        <v>60006</v>
      </c>
      <c r="C10" s="574">
        <v>2</v>
      </c>
      <c r="D10" s="574">
        <v>1500000</v>
      </c>
      <c r="E10" s="574" t="s">
        <v>294</v>
      </c>
      <c r="F10" s="574" t="s">
        <v>299</v>
      </c>
      <c r="G10" s="575" t="s">
        <v>300</v>
      </c>
    </row>
    <row r="11" spans="1:9" x14ac:dyDescent="0.15">
      <c r="A11" s="568">
        <v>10</v>
      </c>
      <c r="B11" s="569">
        <v>60006</v>
      </c>
      <c r="C11" s="576">
        <v>2</v>
      </c>
      <c r="D11" s="576">
        <v>1200000</v>
      </c>
      <c r="E11" s="576" t="s">
        <v>294</v>
      </c>
      <c r="F11" s="576" t="s">
        <v>301</v>
      </c>
      <c r="G11" s="577" t="s">
        <v>302</v>
      </c>
    </row>
    <row r="12" spans="1:9" x14ac:dyDescent="0.15">
      <c r="A12" s="568">
        <v>11</v>
      </c>
      <c r="B12" s="569">
        <v>60006</v>
      </c>
      <c r="C12" s="576">
        <v>2</v>
      </c>
      <c r="D12" s="576">
        <v>1000000</v>
      </c>
      <c r="E12" s="576" t="s">
        <v>294</v>
      </c>
      <c r="F12" s="576" t="s">
        <v>286</v>
      </c>
      <c r="G12" s="577" t="s">
        <v>303</v>
      </c>
    </row>
    <row r="13" spans="1:9" x14ac:dyDescent="0.15">
      <c r="A13" s="568">
        <v>12</v>
      </c>
      <c r="B13" s="569">
        <v>60006</v>
      </c>
      <c r="C13" s="576">
        <v>2</v>
      </c>
      <c r="D13" s="576">
        <v>750000</v>
      </c>
      <c r="E13" s="576" t="s">
        <v>294</v>
      </c>
      <c r="F13" s="576" t="s">
        <v>304</v>
      </c>
      <c r="G13" s="577" t="s">
        <v>305</v>
      </c>
    </row>
    <row r="14" spans="1:9" x14ac:dyDescent="0.15">
      <c r="A14" s="568">
        <v>13</v>
      </c>
      <c r="B14" s="569">
        <v>60006</v>
      </c>
      <c r="C14" s="576">
        <v>2</v>
      </c>
      <c r="D14" s="576">
        <v>500000</v>
      </c>
      <c r="E14" s="576" t="s">
        <v>294</v>
      </c>
      <c r="F14" s="576" t="s">
        <v>306</v>
      </c>
      <c r="G14" s="577" t="s">
        <v>307</v>
      </c>
    </row>
    <row r="15" spans="1:9" x14ac:dyDescent="0.15">
      <c r="A15" s="568">
        <v>14</v>
      </c>
      <c r="B15" s="569">
        <v>60006</v>
      </c>
      <c r="C15" s="576">
        <v>2</v>
      </c>
      <c r="D15" s="576">
        <v>250000</v>
      </c>
      <c r="E15" s="576" t="s">
        <v>294</v>
      </c>
      <c r="F15" s="576" t="s">
        <v>292</v>
      </c>
      <c r="G15" s="577" t="s">
        <v>293</v>
      </c>
    </row>
    <row r="16" spans="1:9" x14ac:dyDescent="0.15">
      <c r="A16" s="568">
        <v>15</v>
      </c>
      <c r="B16" s="569">
        <v>60006</v>
      </c>
      <c r="C16" s="576">
        <v>2</v>
      </c>
      <c r="D16" s="576">
        <v>100000</v>
      </c>
      <c r="E16" s="576" t="s">
        <v>294</v>
      </c>
      <c r="F16" s="576" t="s">
        <v>295</v>
      </c>
      <c r="G16" s="577" t="s">
        <v>296</v>
      </c>
    </row>
    <row r="17" spans="1:9" ht="16" thickBot="1" x14ac:dyDescent="0.2">
      <c r="A17" s="571">
        <v>16</v>
      </c>
      <c r="B17" s="572">
        <v>60006</v>
      </c>
      <c r="C17" s="578">
        <v>2</v>
      </c>
      <c r="D17" s="578">
        <v>0</v>
      </c>
      <c r="E17" s="578" t="s">
        <v>294</v>
      </c>
      <c r="F17" s="578" t="s">
        <v>297</v>
      </c>
      <c r="G17" s="579" t="s">
        <v>298</v>
      </c>
    </row>
    <row r="18" spans="1:9" x14ac:dyDescent="0.15">
      <c r="A18" s="565">
        <v>17</v>
      </c>
      <c r="B18" s="566">
        <v>60006</v>
      </c>
      <c r="C18" s="566">
        <v>3</v>
      </c>
      <c r="D18" s="574">
        <v>4000000</v>
      </c>
      <c r="E18" s="566" t="s">
        <v>222</v>
      </c>
      <c r="F18" s="566" t="s">
        <v>282</v>
      </c>
      <c r="G18" s="567" t="s">
        <v>283</v>
      </c>
    </row>
    <row r="19" spans="1:9" x14ac:dyDescent="0.15">
      <c r="A19" s="568">
        <v>18</v>
      </c>
      <c r="B19" s="569">
        <v>60006</v>
      </c>
      <c r="C19" s="569">
        <v>3</v>
      </c>
      <c r="D19" s="576">
        <v>3000000</v>
      </c>
      <c r="E19" s="569" t="s">
        <v>222</v>
      </c>
      <c r="F19" s="569" t="s">
        <v>284</v>
      </c>
      <c r="G19" s="570" t="s">
        <v>285</v>
      </c>
    </row>
    <row r="20" spans="1:9" x14ac:dyDescent="0.15">
      <c r="A20" s="568">
        <v>19</v>
      </c>
      <c r="B20" s="569">
        <v>60006</v>
      </c>
      <c r="C20" s="569">
        <v>3</v>
      </c>
      <c r="D20" s="576">
        <v>2000000</v>
      </c>
      <c r="E20" s="569" t="s">
        <v>222</v>
      </c>
      <c r="F20" s="569" t="s">
        <v>286</v>
      </c>
      <c r="G20" s="570" t="s">
        <v>287</v>
      </c>
    </row>
    <row r="21" spans="1:9" x14ac:dyDescent="0.15">
      <c r="A21" s="568">
        <v>20</v>
      </c>
      <c r="B21" s="569">
        <v>60006</v>
      </c>
      <c r="C21" s="569">
        <v>3</v>
      </c>
      <c r="D21" s="576">
        <v>1000000</v>
      </c>
      <c r="E21" s="569" t="s">
        <v>222</v>
      </c>
      <c r="F21" s="569" t="s">
        <v>288</v>
      </c>
      <c r="G21" s="570" t="s">
        <v>289</v>
      </c>
    </row>
    <row r="22" spans="1:9" x14ac:dyDescent="0.15">
      <c r="A22" s="568">
        <v>21</v>
      </c>
      <c r="B22" s="569">
        <v>60006</v>
      </c>
      <c r="C22" s="569">
        <v>3</v>
      </c>
      <c r="D22" s="576">
        <v>750000</v>
      </c>
      <c r="E22" s="569" t="s">
        <v>222</v>
      </c>
      <c r="F22" s="569" t="s">
        <v>290</v>
      </c>
      <c r="G22" s="570" t="s">
        <v>291</v>
      </c>
    </row>
    <row r="23" spans="1:9" x14ac:dyDescent="0.15">
      <c r="A23" s="568">
        <v>22</v>
      </c>
      <c r="B23" s="569">
        <v>60006</v>
      </c>
      <c r="C23" s="569">
        <v>3</v>
      </c>
      <c r="D23" s="576">
        <v>500000</v>
      </c>
      <c r="E23" s="569" t="s">
        <v>222</v>
      </c>
      <c r="F23" s="569" t="s">
        <v>292</v>
      </c>
      <c r="G23" s="570" t="s">
        <v>293</v>
      </c>
    </row>
    <row r="24" spans="1:9" x14ac:dyDescent="0.15">
      <c r="A24" s="568">
        <v>23</v>
      </c>
      <c r="B24" s="569">
        <v>60006</v>
      </c>
      <c r="C24" s="569">
        <v>3</v>
      </c>
      <c r="D24" s="576">
        <v>250000</v>
      </c>
      <c r="E24" s="569" t="s">
        <v>222</v>
      </c>
      <c r="F24" s="569" t="s">
        <v>295</v>
      </c>
      <c r="G24" s="570" t="s">
        <v>296</v>
      </c>
    </row>
    <row r="25" spans="1:9" ht="16" thickBot="1" x14ac:dyDescent="0.2">
      <c r="A25" s="571">
        <v>24</v>
      </c>
      <c r="B25" s="572">
        <v>60006</v>
      </c>
      <c r="C25" s="578">
        <v>3</v>
      </c>
      <c r="D25" s="578">
        <v>0</v>
      </c>
      <c r="E25" s="578" t="s">
        <v>294</v>
      </c>
      <c r="F25" s="578" t="s">
        <v>297</v>
      </c>
      <c r="G25" s="579" t="s">
        <v>298</v>
      </c>
    </row>
    <row r="26" spans="1:9" x14ac:dyDescent="0.15">
      <c r="A26" s="198">
        <v>25</v>
      </c>
      <c r="B26" s="199">
        <v>60007</v>
      </c>
      <c r="C26" s="199">
        <v>1</v>
      </c>
      <c r="D26" s="199">
        <v>5000000</v>
      </c>
      <c r="E26" s="199" t="s">
        <v>222</v>
      </c>
      <c r="F26" s="199" t="s">
        <v>282</v>
      </c>
      <c r="G26" s="200" t="s">
        <v>283</v>
      </c>
      <c r="I26" s="378" t="s">
        <v>374</v>
      </c>
    </row>
    <row r="27" spans="1:9" x14ac:dyDescent="0.15">
      <c r="A27" s="201">
        <v>26</v>
      </c>
      <c r="B27" s="202">
        <v>60007</v>
      </c>
      <c r="C27" s="202">
        <v>1</v>
      </c>
      <c r="D27" s="202">
        <v>4000000</v>
      </c>
      <c r="E27" s="202" t="s">
        <v>222</v>
      </c>
      <c r="F27" s="202" t="s">
        <v>284</v>
      </c>
      <c r="G27" s="203" t="s">
        <v>285</v>
      </c>
    </row>
    <row r="28" spans="1:9" x14ac:dyDescent="0.15">
      <c r="A28" s="201">
        <v>27</v>
      </c>
      <c r="B28" s="202">
        <v>60007</v>
      </c>
      <c r="C28" s="202">
        <v>1</v>
      </c>
      <c r="D28" s="202">
        <v>3000000</v>
      </c>
      <c r="E28" s="202" t="s">
        <v>222</v>
      </c>
      <c r="F28" s="202" t="s">
        <v>286</v>
      </c>
      <c r="G28" s="203" t="s">
        <v>287</v>
      </c>
    </row>
    <row r="29" spans="1:9" x14ac:dyDescent="0.15">
      <c r="A29" s="201">
        <v>28</v>
      </c>
      <c r="B29" s="202">
        <v>60007</v>
      </c>
      <c r="C29" s="202">
        <v>1</v>
      </c>
      <c r="D29" s="202">
        <v>2500000</v>
      </c>
      <c r="E29" s="202" t="s">
        <v>222</v>
      </c>
      <c r="F29" s="202" t="s">
        <v>288</v>
      </c>
      <c r="G29" s="203" t="s">
        <v>289</v>
      </c>
    </row>
    <row r="30" spans="1:9" x14ac:dyDescent="0.15">
      <c r="A30" s="201">
        <v>29</v>
      </c>
      <c r="B30" s="202">
        <v>60007</v>
      </c>
      <c r="C30" s="202">
        <v>1</v>
      </c>
      <c r="D30" s="202">
        <v>2000000</v>
      </c>
      <c r="E30" s="202" t="s">
        <v>222</v>
      </c>
      <c r="F30" s="202" t="s">
        <v>290</v>
      </c>
      <c r="G30" s="203" t="s">
        <v>291</v>
      </c>
    </row>
    <row r="31" spans="1:9" x14ac:dyDescent="0.15">
      <c r="A31" s="201">
        <v>30</v>
      </c>
      <c r="B31" s="202">
        <v>60007</v>
      </c>
      <c r="C31" s="202">
        <v>1</v>
      </c>
      <c r="D31" s="202">
        <v>1250000</v>
      </c>
      <c r="E31" s="202" t="s">
        <v>222</v>
      </c>
      <c r="F31" s="202" t="s">
        <v>292</v>
      </c>
      <c r="G31" s="203" t="s">
        <v>293</v>
      </c>
    </row>
    <row r="32" spans="1:9" x14ac:dyDescent="0.15">
      <c r="A32" s="201">
        <v>31</v>
      </c>
      <c r="B32" s="202">
        <v>60007</v>
      </c>
      <c r="C32" s="202">
        <v>1</v>
      </c>
      <c r="D32" s="202">
        <v>500000</v>
      </c>
      <c r="E32" s="202" t="s">
        <v>222</v>
      </c>
      <c r="F32" s="202" t="s">
        <v>295</v>
      </c>
      <c r="G32" s="203" t="s">
        <v>296</v>
      </c>
    </row>
    <row r="33" spans="1:7" ht="16" thickBot="1" x14ac:dyDescent="0.2">
      <c r="A33" s="204">
        <v>32</v>
      </c>
      <c r="B33" s="205">
        <v>60007</v>
      </c>
      <c r="C33" s="205">
        <v>1</v>
      </c>
      <c r="D33" s="205">
        <v>0</v>
      </c>
      <c r="E33" s="205" t="s">
        <v>222</v>
      </c>
      <c r="F33" s="205" t="s">
        <v>297</v>
      </c>
      <c r="G33" s="206" t="s">
        <v>298</v>
      </c>
    </row>
    <row r="34" spans="1:7" x14ac:dyDescent="0.15">
      <c r="A34" s="186">
        <v>33</v>
      </c>
      <c r="B34" s="187">
        <v>60007</v>
      </c>
      <c r="C34" s="188">
        <v>2</v>
      </c>
      <c r="D34" s="188">
        <v>7000000</v>
      </c>
      <c r="E34" s="188" t="s">
        <v>222</v>
      </c>
      <c r="F34" s="188" t="s">
        <v>282</v>
      </c>
      <c r="G34" s="189" t="s">
        <v>283</v>
      </c>
    </row>
    <row r="35" spans="1:7" x14ac:dyDescent="0.15">
      <c r="A35" s="190">
        <v>34</v>
      </c>
      <c r="B35" s="191">
        <v>60007</v>
      </c>
      <c r="C35" s="192">
        <v>2</v>
      </c>
      <c r="D35" s="192">
        <v>6000000</v>
      </c>
      <c r="E35" s="192" t="s">
        <v>222</v>
      </c>
      <c r="F35" s="192" t="s">
        <v>284</v>
      </c>
      <c r="G35" s="193" t="s">
        <v>285</v>
      </c>
    </row>
    <row r="36" spans="1:7" x14ac:dyDescent="0.15">
      <c r="A36" s="190">
        <v>35</v>
      </c>
      <c r="B36" s="191">
        <v>60007</v>
      </c>
      <c r="C36" s="192">
        <v>2</v>
      </c>
      <c r="D36" s="192">
        <v>5000000</v>
      </c>
      <c r="E36" s="192" t="s">
        <v>222</v>
      </c>
      <c r="F36" s="192" t="s">
        <v>286</v>
      </c>
      <c r="G36" s="193" t="s">
        <v>287</v>
      </c>
    </row>
    <row r="37" spans="1:7" x14ac:dyDescent="0.15">
      <c r="A37" s="190">
        <v>36</v>
      </c>
      <c r="B37" s="191">
        <v>60007</v>
      </c>
      <c r="C37" s="192">
        <v>2</v>
      </c>
      <c r="D37" s="192">
        <v>4000000</v>
      </c>
      <c r="E37" s="192" t="s">
        <v>222</v>
      </c>
      <c r="F37" s="192" t="s">
        <v>304</v>
      </c>
      <c r="G37" s="193" t="s">
        <v>289</v>
      </c>
    </row>
    <row r="38" spans="1:7" x14ac:dyDescent="0.15">
      <c r="A38" s="190">
        <v>37</v>
      </c>
      <c r="B38" s="191">
        <v>60007</v>
      </c>
      <c r="C38" s="192">
        <v>2</v>
      </c>
      <c r="D38" s="192">
        <v>3000000</v>
      </c>
      <c r="E38" s="192" t="s">
        <v>222</v>
      </c>
      <c r="F38" s="192" t="s">
        <v>290</v>
      </c>
      <c r="G38" s="193" t="s">
        <v>291</v>
      </c>
    </row>
    <row r="39" spans="1:7" x14ac:dyDescent="0.15">
      <c r="A39" s="190">
        <v>38</v>
      </c>
      <c r="B39" s="191">
        <v>60007</v>
      </c>
      <c r="C39" s="192">
        <v>2</v>
      </c>
      <c r="D39" s="192">
        <v>2000000</v>
      </c>
      <c r="E39" s="192" t="s">
        <v>222</v>
      </c>
      <c r="F39" s="192" t="s">
        <v>292</v>
      </c>
      <c r="G39" s="193" t="s">
        <v>293</v>
      </c>
    </row>
    <row r="40" spans="1:7" x14ac:dyDescent="0.15">
      <c r="A40" s="190">
        <v>39</v>
      </c>
      <c r="B40" s="191">
        <v>60007</v>
      </c>
      <c r="C40" s="192">
        <v>2</v>
      </c>
      <c r="D40" s="192">
        <v>1000000</v>
      </c>
      <c r="E40" s="192" t="s">
        <v>222</v>
      </c>
      <c r="F40" s="192" t="s">
        <v>295</v>
      </c>
      <c r="G40" s="193" t="s">
        <v>296</v>
      </c>
    </row>
    <row r="41" spans="1:7" ht="16" thickBot="1" x14ac:dyDescent="0.2">
      <c r="A41" s="194">
        <v>40</v>
      </c>
      <c r="B41" s="195">
        <v>60007</v>
      </c>
      <c r="C41" s="196">
        <v>2</v>
      </c>
      <c r="D41" s="196">
        <v>0</v>
      </c>
      <c r="E41" s="196" t="s">
        <v>222</v>
      </c>
      <c r="F41" s="196" t="s">
        <v>297</v>
      </c>
      <c r="G41" s="197" t="s">
        <v>298</v>
      </c>
    </row>
    <row r="42" spans="1:7" x14ac:dyDescent="0.15">
      <c r="A42" s="586">
        <v>41</v>
      </c>
      <c r="B42" s="587">
        <v>60007</v>
      </c>
      <c r="C42" s="587">
        <v>3</v>
      </c>
      <c r="D42" s="592">
        <v>10000000</v>
      </c>
      <c r="E42" s="587" t="s">
        <v>222</v>
      </c>
      <c r="F42" s="587" t="s">
        <v>282</v>
      </c>
      <c r="G42" s="593" t="s">
        <v>283</v>
      </c>
    </row>
    <row r="43" spans="1:7" x14ac:dyDescent="0.15">
      <c r="A43" s="589">
        <v>42</v>
      </c>
      <c r="B43" s="590">
        <v>60007</v>
      </c>
      <c r="C43" s="590">
        <v>3</v>
      </c>
      <c r="D43" s="594">
        <v>8500000</v>
      </c>
      <c r="E43" s="590" t="s">
        <v>222</v>
      </c>
      <c r="F43" s="590" t="s">
        <v>284</v>
      </c>
      <c r="G43" s="595" t="s">
        <v>285</v>
      </c>
    </row>
    <row r="44" spans="1:7" x14ac:dyDescent="0.15">
      <c r="A44" s="589">
        <v>43</v>
      </c>
      <c r="B44" s="590">
        <v>60007</v>
      </c>
      <c r="C44" s="590">
        <v>3</v>
      </c>
      <c r="D44" s="594">
        <v>7000000</v>
      </c>
      <c r="E44" s="590" t="s">
        <v>222</v>
      </c>
      <c r="F44" s="590" t="s">
        <v>286</v>
      </c>
      <c r="G44" s="595" t="s">
        <v>287</v>
      </c>
    </row>
    <row r="45" spans="1:7" x14ac:dyDescent="0.15">
      <c r="A45" s="589">
        <v>44</v>
      </c>
      <c r="B45" s="590">
        <v>60007</v>
      </c>
      <c r="C45" s="590">
        <v>3</v>
      </c>
      <c r="D45" s="594">
        <v>6000000</v>
      </c>
      <c r="E45" s="590" t="s">
        <v>222</v>
      </c>
      <c r="F45" s="590" t="s">
        <v>288</v>
      </c>
      <c r="G45" s="595" t="s">
        <v>289</v>
      </c>
    </row>
    <row r="46" spans="1:7" x14ac:dyDescent="0.15">
      <c r="A46" s="589">
        <v>45</v>
      </c>
      <c r="B46" s="590">
        <v>60007</v>
      </c>
      <c r="C46" s="590">
        <v>3</v>
      </c>
      <c r="D46" s="594">
        <v>5000000</v>
      </c>
      <c r="E46" s="590" t="s">
        <v>222</v>
      </c>
      <c r="F46" s="590" t="s">
        <v>290</v>
      </c>
      <c r="G46" s="595" t="s">
        <v>291</v>
      </c>
    </row>
    <row r="47" spans="1:7" x14ac:dyDescent="0.15">
      <c r="A47" s="589">
        <v>46</v>
      </c>
      <c r="B47" s="590">
        <v>60007</v>
      </c>
      <c r="C47" s="590">
        <v>3</v>
      </c>
      <c r="D47" s="594">
        <v>4000000</v>
      </c>
      <c r="E47" s="590" t="s">
        <v>222</v>
      </c>
      <c r="F47" s="590" t="s">
        <v>292</v>
      </c>
      <c r="G47" s="595" t="s">
        <v>293</v>
      </c>
    </row>
    <row r="48" spans="1:7" x14ac:dyDescent="0.15">
      <c r="A48" s="589">
        <v>47</v>
      </c>
      <c r="B48" s="590">
        <v>60007</v>
      </c>
      <c r="C48" s="590">
        <v>3</v>
      </c>
      <c r="D48" s="594">
        <v>2000000</v>
      </c>
      <c r="E48" s="590" t="s">
        <v>222</v>
      </c>
      <c r="F48" s="590" t="s">
        <v>295</v>
      </c>
      <c r="G48" s="595" t="s">
        <v>296</v>
      </c>
    </row>
    <row r="49" spans="1:7" ht="16" thickBot="1" x14ac:dyDescent="0.2">
      <c r="A49" s="588">
        <v>48</v>
      </c>
      <c r="B49" s="591">
        <v>60007</v>
      </c>
      <c r="C49" s="596">
        <v>3</v>
      </c>
      <c r="D49" s="596">
        <v>0</v>
      </c>
      <c r="E49" s="596" t="s">
        <v>222</v>
      </c>
      <c r="F49" s="596" t="s">
        <v>297</v>
      </c>
      <c r="G49" s="597" t="s">
        <v>298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83"/>
  <sheetViews>
    <sheetView tabSelected="1" topLeftCell="A33" workbookViewId="0">
      <selection activeCell="G49" sqref="G49"/>
    </sheetView>
  </sheetViews>
  <sheetFormatPr baseColWidth="12" defaultRowHeight="14" x14ac:dyDescent="0.15"/>
  <cols>
    <col min="1" max="1" width="7.5" style="178" bestFit="1" customWidth="1"/>
    <col min="2" max="2" width="24.83203125" style="178" bestFit="1" customWidth="1"/>
    <col min="3" max="3" width="20" style="178" bestFit="1" customWidth="1"/>
    <col min="4" max="4" width="11" style="178" bestFit="1" customWidth="1"/>
    <col min="5" max="5" width="10.83203125" style="178" bestFit="1" customWidth="1"/>
    <col min="6" max="6" width="9.5" style="178" bestFit="1" customWidth="1"/>
    <col min="7" max="7" width="10.83203125" style="178" bestFit="1" customWidth="1"/>
    <col min="8" max="8" width="7.33203125" style="178" bestFit="1" customWidth="1"/>
    <col min="9" max="9" width="8" style="178" bestFit="1" customWidth="1"/>
    <col min="10" max="10" width="8.33203125" style="178" bestFit="1" customWidth="1"/>
    <col min="11" max="11" width="6.5" style="178" bestFit="1" customWidth="1"/>
    <col min="12" max="12" width="9.33203125" style="178" bestFit="1" customWidth="1"/>
    <col min="13" max="13" width="7.6640625" style="178" bestFit="1" customWidth="1"/>
    <col min="14" max="14" width="10.33203125" style="178" bestFit="1" customWidth="1"/>
    <col min="15" max="15" width="4.83203125" style="178" bestFit="1" customWidth="1"/>
    <col min="16" max="16" width="7.83203125" style="178" bestFit="1" customWidth="1"/>
    <col min="17" max="17" width="4" style="178" bestFit="1" customWidth="1"/>
    <col min="18" max="18" width="7.6640625" style="178" bestFit="1" customWidth="1"/>
    <col min="19" max="19" width="13.5" style="178" bestFit="1" customWidth="1"/>
    <col min="20" max="20" width="18" style="178" bestFit="1" customWidth="1"/>
    <col min="21" max="21" width="22.1640625" style="178" bestFit="1" customWidth="1"/>
    <col min="22" max="16384" width="12.83203125" style="178"/>
  </cols>
  <sheetData>
    <row r="1" spans="1:21" x14ac:dyDescent="0.15">
      <c r="A1" s="144" t="s">
        <v>151</v>
      </c>
      <c r="B1" s="27" t="s">
        <v>16</v>
      </c>
      <c r="C1" s="27" t="s">
        <v>33</v>
      </c>
      <c r="D1" s="144" t="s">
        <v>211</v>
      </c>
      <c r="E1" s="144" t="s">
        <v>212</v>
      </c>
      <c r="F1" s="176" t="s">
        <v>221</v>
      </c>
      <c r="G1" s="177" t="s">
        <v>213</v>
      </c>
      <c r="H1" s="76" t="s">
        <v>214</v>
      </c>
      <c r="I1" s="76" t="s">
        <v>215</v>
      </c>
      <c r="J1" s="76" t="s">
        <v>216</v>
      </c>
      <c r="K1" s="76" t="s">
        <v>258</v>
      </c>
      <c r="L1" s="76" t="s">
        <v>259</v>
      </c>
      <c r="M1" s="77" t="s">
        <v>260</v>
      </c>
      <c r="N1" s="77" t="s">
        <v>261</v>
      </c>
      <c r="O1" s="77" t="s">
        <v>262</v>
      </c>
      <c r="P1" s="77" t="s">
        <v>264</v>
      </c>
      <c r="Q1" s="77" t="s">
        <v>265</v>
      </c>
      <c r="R1" s="77" t="s">
        <v>217</v>
      </c>
      <c r="S1" s="77" t="s">
        <v>218</v>
      </c>
      <c r="T1" s="77" t="s">
        <v>219</v>
      </c>
      <c r="U1" s="77" t="s">
        <v>220</v>
      </c>
    </row>
    <row r="2" spans="1:21" ht="28" x14ac:dyDescent="0.15">
      <c r="A2" s="179">
        <f>floors!$C$2</f>
        <v>60006</v>
      </c>
      <c r="B2" s="180" t="str">
        <f ca="1">VLOOKUP($A2,OFFSET([2]quests!$A$1,0,0,COUNTA([2]quests!$A:$A),MATCH(B$1,[2]quests!$1:$1,0)-MATCH($A$1,[2]quests!$1:$1,0)+1),MATCH(B$1,[2]quests!$1:$1,0)-MATCH($A$1,[2]quests!$1:$1,0)+1,FALSE)</f>
        <v>オイラーチャレンジ</v>
      </c>
      <c r="C2" s="180" t="str">
        <f ca="1">VLOOKUP($A2,OFFSET([2]quests!$A$1,0,0,COUNTA([2]quests!$A:$A),MATCH(C$1,[2]quests!$1:$1,0)-MATCH($A$1,[2]quests!$1:$1,0)+1),MATCH(C$1,[2]quests!$1:$1,0)-MATCH($A$1,[2]quests!$1:$1,0)+1,FALSE)</f>
        <v>ランキング1（本番実装用）</v>
      </c>
      <c r="D2" s="179">
        <v>1</v>
      </c>
      <c r="E2" s="181">
        <v>1</v>
      </c>
      <c r="F2" s="182" t="str">
        <f>A2&amp;TEXT(E2,"0000")</f>
        <v>600060001</v>
      </c>
      <c r="G2" s="178" t="str">
        <f>F2&amp;TEXT(COUNTIF(F$2:F2,F2),"00")</f>
        <v>60006000101</v>
      </c>
      <c r="H2" s="183" t="s">
        <v>339</v>
      </c>
      <c r="I2" s="183">
        <v>601</v>
      </c>
      <c r="J2" s="183">
        <v>1</v>
      </c>
      <c r="K2" s="183">
        <v>0</v>
      </c>
      <c r="L2" s="183">
        <v>0</v>
      </c>
      <c r="M2" s="183">
        <v>0</v>
      </c>
      <c r="N2" s="183">
        <v>0</v>
      </c>
      <c r="O2" s="183">
        <v>1</v>
      </c>
      <c r="P2" s="183">
        <v>1</v>
      </c>
      <c r="Q2" s="183">
        <v>1</v>
      </c>
      <c r="R2" s="183" t="s">
        <v>222</v>
      </c>
      <c r="S2" s="183" t="s">
        <v>337</v>
      </c>
      <c r="T2" s="183" t="s">
        <v>338</v>
      </c>
      <c r="U2" s="184" t="s">
        <v>340</v>
      </c>
    </row>
    <row r="3" spans="1:21" ht="28" x14ac:dyDescent="0.15">
      <c r="A3" s="179">
        <f>floors!$C$2</f>
        <v>60006</v>
      </c>
      <c r="B3" s="180" t="str">
        <f ca="1">VLOOKUP($A3,OFFSET([2]quests!$A$1,0,0,COUNTA([2]quests!$A:$A),MATCH(B$1,[2]quests!$1:$1,0)-MATCH($A$1,[2]quests!$1:$1,0)+1),MATCH(B$1,[2]quests!$1:$1,0)-MATCH($A$1,[2]quests!$1:$1,0)+1,FALSE)</f>
        <v>オイラーチャレンジ</v>
      </c>
      <c r="C3" s="180" t="str">
        <f ca="1">VLOOKUP($A3,OFFSET([2]quests!$A$1,0,0,COUNTA([2]quests!$A:$A),MATCH(C$1,[2]quests!$1:$1,0)-MATCH($A$1,[2]quests!$1:$1,0)+1),MATCH(C$1,[2]quests!$1:$1,0)-MATCH($A$1,[2]quests!$1:$1,0)+1,FALSE)</f>
        <v>ランキング1（本番実装用）</v>
      </c>
      <c r="D3" s="179">
        <v>1</v>
      </c>
      <c r="E3" s="181">
        <v>1</v>
      </c>
      <c r="F3" s="182" t="str">
        <f t="shared" ref="F3:F4" si="0">A3&amp;TEXT(E3,"0000")</f>
        <v>600060001</v>
      </c>
      <c r="G3" s="178" t="str">
        <f>F3&amp;TEXT(COUNTIF(F$2:F3,F3),"00")</f>
        <v>60006000102</v>
      </c>
      <c r="H3" s="183" t="s">
        <v>339</v>
      </c>
      <c r="I3" s="183">
        <v>600</v>
      </c>
      <c r="J3" s="183">
        <v>2</v>
      </c>
      <c r="K3" s="183">
        <v>0</v>
      </c>
      <c r="L3" s="183">
        <v>0</v>
      </c>
      <c r="M3" s="183">
        <v>0</v>
      </c>
      <c r="N3" s="183">
        <v>0</v>
      </c>
      <c r="O3" s="183">
        <v>1</v>
      </c>
      <c r="P3" s="183">
        <v>1</v>
      </c>
      <c r="Q3" s="183">
        <v>1</v>
      </c>
      <c r="R3" s="183" t="s">
        <v>222</v>
      </c>
      <c r="S3" s="183" t="s">
        <v>341</v>
      </c>
      <c r="T3" s="183" t="s">
        <v>338</v>
      </c>
      <c r="U3" s="184" t="s">
        <v>340</v>
      </c>
    </row>
    <row r="4" spans="1:21" ht="28" x14ac:dyDescent="0.15">
      <c r="A4" s="179">
        <f>floors!$C$2</f>
        <v>60006</v>
      </c>
      <c r="B4" s="180" t="str">
        <f ca="1">VLOOKUP($A4,OFFSET([2]quests!$A$1,0,0,COUNTA([2]quests!$A:$A),MATCH(B$1,[2]quests!$1:$1,0)-MATCH($A$1,[2]quests!$1:$1,0)+1),MATCH(B$1,[2]quests!$1:$1,0)-MATCH($A$1,[2]quests!$1:$1,0)+1,FALSE)</f>
        <v>オイラーチャレンジ</v>
      </c>
      <c r="C4" s="180" t="str">
        <f ca="1">VLOOKUP($A4,OFFSET([2]quests!$A$1,0,0,COUNTA([2]quests!$A:$A),MATCH(C$1,[2]quests!$1:$1,0)-MATCH($A$1,[2]quests!$1:$1,0)+1),MATCH(C$1,[2]quests!$1:$1,0)-MATCH($A$1,[2]quests!$1:$1,0)+1,FALSE)</f>
        <v>ランキング1（本番実装用）</v>
      </c>
      <c r="D4" s="179">
        <v>1</v>
      </c>
      <c r="E4" s="181">
        <v>1</v>
      </c>
      <c r="F4" s="182" t="str">
        <f t="shared" si="0"/>
        <v>600060001</v>
      </c>
      <c r="G4" s="178" t="str">
        <f>F4&amp;TEXT(COUNTIF(F$2:F4,F4),"00")</f>
        <v>60006000103</v>
      </c>
      <c r="H4" s="183" t="s">
        <v>342</v>
      </c>
      <c r="I4" s="183">
        <v>10</v>
      </c>
      <c r="J4" s="183" t="s">
        <v>53</v>
      </c>
      <c r="K4" s="183">
        <v>0</v>
      </c>
      <c r="L4" s="183">
        <v>0</v>
      </c>
      <c r="M4" s="183">
        <v>0</v>
      </c>
      <c r="N4" s="183">
        <v>0</v>
      </c>
      <c r="O4" s="183">
        <v>1</v>
      </c>
      <c r="P4" s="183">
        <v>1</v>
      </c>
      <c r="Q4" s="183">
        <v>1</v>
      </c>
      <c r="R4" s="183" t="s">
        <v>222</v>
      </c>
      <c r="S4" s="183" t="s">
        <v>343</v>
      </c>
      <c r="T4" s="183" t="s">
        <v>338</v>
      </c>
      <c r="U4" s="184" t="s">
        <v>340</v>
      </c>
    </row>
    <row r="5" spans="1:21" ht="28" x14ac:dyDescent="0.15">
      <c r="A5" s="179">
        <f>floors!$C$2</f>
        <v>60006</v>
      </c>
      <c r="B5" s="180" t="str">
        <f ca="1">VLOOKUP($A5,OFFSET([2]quests!$A$1,0,0,COUNTA([2]quests!$A:$A),MATCH(B$1,[2]quests!$1:$1,0)-MATCH($A$1,[2]quests!$1:$1,0)+1),MATCH(B$1,[2]quests!$1:$1,0)-MATCH($A$1,[2]quests!$1:$1,0)+1,FALSE)</f>
        <v>オイラーチャレンジ</v>
      </c>
      <c r="C5" s="180" t="str">
        <f ca="1">VLOOKUP($A5,OFFSET([2]quests!$A$1,0,0,COUNTA([2]quests!$A:$A),MATCH(C$1,[2]quests!$1:$1,0)-MATCH($A$1,[2]quests!$1:$1,0)+1),MATCH(C$1,[2]quests!$1:$1,0)-MATCH($A$1,[2]quests!$1:$1,0)+1,FALSE)</f>
        <v>ランキング1（本番実装用）</v>
      </c>
      <c r="D5" s="179">
        <v>1</v>
      </c>
      <c r="E5" s="181">
        <v>1</v>
      </c>
      <c r="F5" s="182" t="str">
        <f t="shared" ref="F5:F6" si="1">A5&amp;TEXT(E5,"0000")</f>
        <v>600060001</v>
      </c>
      <c r="G5" s="178" t="str">
        <f>F5&amp;TEXT(COUNTIF(F$2:F5,F5),"00")</f>
        <v>60006000104</v>
      </c>
      <c r="H5" s="183" t="s">
        <v>344</v>
      </c>
      <c r="I5" s="183">
        <v>837</v>
      </c>
      <c r="J5" s="183">
        <v>1</v>
      </c>
      <c r="K5" s="183">
        <v>0</v>
      </c>
      <c r="L5" s="183">
        <v>0</v>
      </c>
      <c r="M5" s="183">
        <v>0</v>
      </c>
      <c r="N5" s="183">
        <v>0</v>
      </c>
      <c r="O5" s="183">
        <v>1</v>
      </c>
      <c r="P5" s="183">
        <v>1</v>
      </c>
      <c r="Q5" s="183">
        <v>1</v>
      </c>
      <c r="R5" s="183" t="s">
        <v>222</v>
      </c>
      <c r="S5" s="183" t="s">
        <v>346</v>
      </c>
      <c r="T5" s="183" t="s">
        <v>338</v>
      </c>
      <c r="U5" s="184" t="s">
        <v>340</v>
      </c>
    </row>
    <row r="6" spans="1:21" ht="28" x14ac:dyDescent="0.15">
      <c r="A6" s="179">
        <f>floors!$C$2</f>
        <v>60006</v>
      </c>
      <c r="B6" s="180" t="str">
        <f ca="1">VLOOKUP($A6,OFFSET([2]quests!$A$1,0,0,COUNTA([2]quests!$A:$A),MATCH(B$1,[2]quests!$1:$1,0)-MATCH($A$1,[2]quests!$1:$1,0)+1),MATCH(B$1,[2]quests!$1:$1,0)-MATCH($A$1,[2]quests!$1:$1,0)+1,FALSE)</f>
        <v>オイラーチャレンジ</v>
      </c>
      <c r="C6" s="180" t="str">
        <f ca="1">VLOOKUP($A6,OFFSET([2]quests!$A$1,0,0,COUNTA([2]quests!$A:$A),MATCH(C$1,[2]quests!$1:$1,0)-MATCH($A$1,[2]quests!$1:$1,0)+1),MATCH(C$1,[2]quests!$1:$1,0)-MATCH($A$1,[2]quests!$1:$1,0)+1,FALSE)</f>
        <v>ランキング1（本番実装用）</v>
      </c>
      <c r="D6" s="179">
        <v>1</v>
      </c>
      <c r="E6" s="181">
        <v>1</v>
      </c>
      <c r="F6" s="182" t="str">
        <f t="shared" si="1"/>
        <v>600060001</v>
      </c>
      <c r="G6" s="178" t="str">
        <f>F6&amp;TEXT(COUNTIF(F$2:F6,F6),"00")</f>
        <v>60006000105</v>
      </c>
      <c r="H6" s="183" t="s">
        <v>345</v>
      </c>
      <c r="I6" s="183">
        <v>614</v>
      </c>
      <c r="J6" s="183">
        <v>1</v>
      </c>
      <c r="K6" s="183">
        <v>0</v>
      </c>
      <c r="L6" s="183">
        <v>0</v>
      </c>
      <c r="M6" s="183">
        <v>0</v>
      </c>
      <c r="N6" s="183">
        <v>0</v>
      </c>
      <c r="O6" s="183">
        <v>1</v>
      </c>
      <c r="P6" s="183">
        <v>1</v>
      </c>
      <c r="Q6" s="183">
        <v>1</v>
      </c>
      <c r="R6" s="183" t="s">
        <v>222</v>
      </c>
      <c r="S6" s="183" t="s">
        <v>347</v>
      </c>
      <c r="T6" s="183" t="s">
        <v>338</v>
      </c>
      <c r="U6" s="184" t="s">
        <v>340</v>
      </c>
    </row>
    <row r="7" spans="1:21" ht="28" x14ac:dyDescent="0.15">
      <c r="A7" s="179">
        <f>floors!$C$2</f>
        <v>60006</v>
      </c>
      <c r="B7" s="180" t="str">
        <f ca="1">VLOOKUP($A7,OFFSET([2]quests!$A$1,0,0,COUNTA([2]quests!$A:$A),MATCH(B$1,[2]quests!$1:$1,0)-MATCH($A$1,[2]quests!$1:$1,0)+1),MATCH(B$1,[2]quests!$1:$1,0)-MATCH($A$1,[2]quests!$1:$1,0)+1,FALSE)</f>
        <v>オイラーチャレンジ</v>
      </c>
      <c r="C7" s="180" t="str">
        <f ca="1">VLOOKUP($A7,OFFSET([2]quests!$A$1,0,0,COUNTA([2]quests!$A:$A),MATCH(C$1,[2]quests!$1:$1,0)-MATCH($A$1,[2]quests!$1:$1,0)+1),MATCH(C$1,[2]quests!$1:$1,0)-MATCH($A$1,[2]quests!$1:$1,0)+1,FALSE)</f>
        <v>ランキング1（本番実装用）</v>
      </c>
      <c r="D7" s="179">
        <v>2</v>
      </c>
      <c r="E7" s="181">
        <v>2</v>
      </c>
      <c r="F7" s="182" t="str">
        <f>A7&amp;TEXT(E7,"0000")</f>
        <v>600060002</v>
      </c>
      <c r="G7" s="178" t="str">
        <f>F7&amp;TEXT(COUNTIF(F$2:F7,F7),"00")</f>
        <v>60006000201</v>
      </c>
      <c r="H7" s="183" t="s">
        <v>339</v>
      </c>
      <c r="I7" s="183">
        <v>601</v>
      </c>
      <c r="J7" s="183">
        <v>1</v>
      </c>
      <c r="K7" s="183">
        <v>0</v>
      </c>
      <c r="L7" s="183">
        <v>0</v>
      </c>
      <c r="M7" s="183">
        <v>0</v>
      </c>
      <c r="N7" s="183">
        <v>0</v>
      </c>
      <c r="O7" s="183">
        <v>1</v>
      </c>
      <c r="P7" s="183">
        <v>1</v>
      </c>
      <c r="Q7" s="183">
        <v>1</v>
      </c>
      <c r="R7" s="183" t="s">
        <v>222</v>
      </c>
      <c r="S7" s="183" t="s">
        <v>337</v>
      </c>
      <c r="T7" s="183" t="s">
        <v>338</v>
      </c>
      <c r="U7" s="184" t="s">
        <v>340</v>
      </c>
    </row>
    <row r="8" spans="1:21" ht="28" x14ac:dyDescent="0.15">
      <c r="A8" s="179">
        <f>floors!$C$2</f>
        <v>60006</v>
      </c>
      <c r="B8" s="180" t="str">
        <f ca="1">VLOOKUP($A8,OFFSET([2]quests!$A$1,0,0,COUNTA([2]quests!$A:$A),MATCH(B$1,[2]quests!$1:$1,0)-MATCH($A$1,[2]quests!$1:$1,0)+1),MATCH(B$1,[2]quests!$1:$1,0)-MATCH($A$1,[2]quests!$1:$1,0)+1,FALSE)</f>
        <v>オイラーチャレンジ</v>
      </c>
      <c r="C8" s="180" t="str">
        <f ca="1">VLOOKUP($A8,OFFSET([2]quests!$A$1,0,0,COUNTA([2]quests!$A:$A),MATCH(C$1,[2]quests!$1:$1,0)-MATCH($A$1,[2]quests!$1:$1,0)+1),MATCH(C$1,[2]quests!$1:$1,0)-MATCH($A$1,[2]quests!$1:$1,0)+1,FALSE)</f>
        <v>ランキング1（本番実装用）</v>
      </c>
      <c r="D8" s="179">
        <v>2</v>
      </c>
      <c r="E8" s="181">
        <v>2</v>
      </c>
      <c r="F8" s="182" t="str">
        <f t="shared" ref="F8:F11" si="2">A8&amp;TEXT(E8,"0000")</f>
        <v>600060002</v>
      </c>
      <c r="G8" s="178" t="str">
        <f>F8&amp;TEXT(COUNTIF(F$2:F8,F8),"00")</f>
        <v>60006000202</v>
      </c>
      <c r="H8" s="183" t="s">
        <v>339</v>
      </c>
      <c r="I8" s="183">
        <v>600</v>
      </c>
      <c r="J8" s="183">
        <v>1</v>
      </c>
      <c r="K8" s="183">
        <v>0</v>
      </c>
      <c r="L8" s="183">
        <v>0</v>
      </c>
      <c r="M8" s="183">
        <v>0</v>
      </c>
      <c r="N8" s="183">
        <v>0</v>
      </c>
      <c r="O8" s="183">
        <v>1</v>
      </c>
      <c r="P8" s="183">
        <v>1</v>
      </c>
      <c r="Q8" s="183">
        <v>1</v>
      </c>
      <c r="R8" s="183" t="s">
        <v>222</v>
      </c>
      <c r="S8" s="183" t="s">
        <v>341</v>
      </c>
      <c r="T8" s="183" t="s">
        <v>338</v>
      </c>
      <c r="U8" s="184" t="s">
        <v>340</v>
      </c>
    </row>
    <row r="9" spans="1:21" ht="28" x14ac:dyDescent="0.15">
      <c r="A9" s="179">
        <f>floors!$C$2</f>
        <v>60006</v>
      </c>
      <c r="B9" s="180" t="str">
        <f ca="1">VLOOKUP($A9,OFFSET([2]quests!$A$1,0,0,COUNTA([2]quests!$A:$A),MATCH(B$1,[2]quests!$1:$1,0)-MATCH($A$1,[2]quests!$1:$1,0)+1),MATCH(B$1,[2]quests!$1:$1,0)-MATCH($A$1,[2]quests!$1:$1,0)+1,FALSE)</f>
        <v>オイラーチャレンジ</v>
      </c>
      <c r="C9" s="180" t="str">
        <f ca="1">VLOOKUP($A9,OFFSET([2]quests!$A$1,0,0,COUNTA([2]quests!$A:$A),MATCH(C$1,[2]quests!$1:$1,0)-MATCH($A$1,[2]quests!$1:$1,0)+1),MATCH(C$1,[2]quests!$1:$1,0)-MATCH($A$1,[2]quests!$1:$1,0)+1,FALSE)</f>
        <v>ランキング1（本番実装用）</v>
      </c>
      <c r="D9" s="179">
        <v>2</v>
      </c>
      <c r="E9" s="181">
        <v>2</v>
      </c>
      <c r="F9" s="182" t="str">
        <f t="shared" si="2"/>
        <v>600060002</v>
      </c>
      <c r="G9" s="178" t="str">
        <f>F9&amp;TEXT(COUNTIF(F$2:F9,F9),"00")</f>
        <v>60006000203</v>
      </c>
      <c r="H9" s="183" t="s">
        <v>342</v>
      </c>
      <c r="I9" s="183">
        <v>5</v>
      </c>
      <c r="J9" s="183" t="s">
        <v>53</v>
      </c>
      <c r="K9" s="183">
        <v>0</v>
      </c>
      <c r="L9" s="183">
        <v>0</v>
      </c>
      <c r="M9" s="183">
        <v>0</v>
      </c>
      <c r="N9" s="183">
        <v>0</v>
      </c>
      <c r="O9" s="183">
        <v>1</v>
      </c>
      <c r="P9" s="183">
        <v>1</v>
      </c>
      <c r="Q9" s="183">
        <v>1</v>
      </c>
      <c r="R9" s="183" t="s">
        <v>222</v>
      </c>
      <c r="S9" s="183" t="s">
        <v>349</v>
      </c>
      <c r="T9" s="183" t="s">
        <v>338</v>
      </c>
      <c r="U9" s="184" t="s">
        <v>340</v>
      </c>
    </row>
    <row r="10" spans="1:21" ht="28" x14ac:dyDescent="0.15">
      <c r="A10" s="179">
        <f>floors!$C$2</f>
        <v>60006</v>
      </c>
      <c r="B10" s="180" t="str">
        <f ca="1">VLOOKUP($A10,OFFSET([2]quests!$A$1,0,0,COUNTA([2]quests!$A:$A),MATCH(B$1,[2]quests!$1:$1,0)-MATCH($A$1,[2]quests!$1:$1,0)+1),MATCH(B$1,[2]quests!$1:$1,0)-MATCH($A$1,[2]quests!$1:$1,0)+1,FALSE)</f>
        <v>オイラーチャレンジ</v>
      </c>
      <c r="C10" s="180" t="str">
        <f ca="1">VLOOKUP($A10,OFFSET([2]quests!$A$1,0,0,COUNTA([2]quests!$A:$A),MATCH(C$1,[2]quests!$1:$1,0)-MATCH($A$1,[2]quests!$1:$1,0)+1),MATCH(C$1,[2]quests!$1:$1,0)-MATCH($A$1,[2]quests!$1:$1,0)+1,FALSE)</f>
        <v>ランキング1（本番実装用）</v>
      </c>
      <c r="D10" s="179">
        <v>2</v>
      </c>
      <c r="E10" s="181">
        <v>2</v>
      </c>
      <c r="F10" s="182" t="str">
        <f t="shared" si="2"/>
        <v>600060002</v>
      </c>
      <c r="G10" s="178" t="str">
        <f>F10&amp;TEXT(COUNTIF(F$2:F10,F10),"00")</f>
        <v>60006000204</v>
      </c>
      <c r="H10" s="183" t="s">
        <v>344</v>
      </c>
      <c r="I10" s="183">
        <v>610</v>
      </c>
      <c r="J10" s="183">
        <v>1</v>
      </c>
      <c r="K10" s="183">
        <v>0</v>
      </c>
      <c r="L10" s="183">
        <v>0</v>
      </c>
      <c r="M10" s="183">
        <v>0</v>
      </c>
      <c r="N10" s="183">
        <v>0</v>
      </c>
      <c r="O10" s="183">
        <v>1</v>
      </c>
      <c r="P10" s="183">
        <v>1</v>
      </c>
      <c r="Q10" s="183">
        <v>1</v>
      </c>
      <c r="R10" s="183" t="s">
        <v>222</v>
      </c>
      <c r="S10" s="183" t="s">
        <v>348</v>
      </c>
      <c r="T10" s="183" t="s">
        <v>338</v>
      </c>
      <c r="U10" s="184" t="s">
        <v>340</v>
      </c>
    </row>
    <row r="11" spans="1:21" ht="28" x14ac:dyDescent="0.15">
      <c r="A11" s="179">
        <f>floors!$C$2</f>
        <v>60006</v>
      </c>
      <c r="B11" s="180" t="str">
        <f ca="1">VLOOKUP($A11,OFFSET([2]quests!$A$1,0,0,COUNTA([2]quests!$A:$A),MATCH(B$1,[2]quests!$1:$1,0)-MATCH($A$1,[2]quests!$1:$1,0)+1),MATCH(B$1,[2]quests!$1:$1,0)-MATCH($A$1,[2]quests!$1:$1,0)+1,FALSE)</f>
        <v>オイラーチャレンジ</v>
      </c>
      <c r="C11" s="180" t="str">
        <f ca="1">VLOOKUP($A11,OFFSET([2]quests!$A$1,0,0,COUNTA([2]quests!$A:$A),MATCH(C$1,[2]quests!$1:$1,0)-MATCH($A$1,[2]quests!$1:$1,0)+1),MATCH(C$1,[2]quests!$1:$1,0)-MATCH($A$1,[2]quests!$1:$1,0)+1,FALSE)</f>
        <v>ランキング1（本番実装用）</v>
      </c>
      <c r="D11" s="179">
        <v>2</v>
      </c>
      <c r="E11" s="181">
        <v>2</v>
      </c>
      <c r="F11" s="182" t="str">
        <f t="shared" si="2"/>
        <v>600060002</v>
      </c>
      <c r="G11" s="178" t="str">
        <f>F11&amp;TEXT(COUNTIF(F$2:F11,F11),"00")</f>
        <v>60006000205</v>
      </c>
      <c r="H11" s="183" t="s">
        <v>350</v>
      </c>
      <c r="I11" s="183">
        <v>1</v>
      </c>
      <c r="J11" s="183">
        <v>3</v>
      </c>
      <c r="K11" s="183">
        <v>0</v>
      </c>
      <c r="L11" s="183">
        <v>0</v>
      </c>
      <c r="M11" s="183">
        <v>0</v>
      </c>
      <c r="N11" s="183">
        <v>0</v>
      </c>
      <c r="O11" s="183">
        <v>1</v>
      </c>
      <c r="P11" s="183">
        <v>1</v>
      </c>
      <c r="Q11" s="183">
        <v>1</v>
      </c>
      <c r="R11" s="183" t="s">
        <v>222</v>
      </c>
      <c r="S11" s="183" t="s">
        <v>351</v>
      </c>
      <c r="T11" s="183" t="s">
        <v>338</v>
      </c>
      <c r="U11" s="184" t="s">
        <v>340</v>
      </c>
    </row>
    <row r="12" spans="1:21" ht="28" x14ac:dyDescent="0.15">
      <c r="A12" s="179">
        <f>floors!$C$2</f>
        <v>60006</v>
      </c>
      <c r="B12" s="180" t="str">
        <f ca="1">VLOOKUP($A12,OFFSET([2]quests!$A$1,0,0,COUNTA([2]quests!$A:$A),MATCH(B$1,[2]quests!$1:$1,0)-MATCH($A$1,[2]quests!$1:$1,0)+1),MATCH(B$1,[2]quests!$1:$1,0)-MATCH($A$1,[2]quests!$1:$1,0)+1,FALSE)</f>
        <v>オイラーチャレンジ</v>
      </c>
      <c r="C12" s="180" t="str">
        <f ca="1">VLOOKUP($A12,OFFSET([2]quests!$A$1,0,0,COUNTA([2]quests!$A:$A),MATCH(C$1,[2]quests!$1:$1,0)-MATCH($A$1,[2]quests!$1:$1,0)+1),MATCH(C$1,[2]quests!$1:$1,0)-MATCH($A$1,[2]quests!$1:$1,0)+1,FALSE)</f>
        <v>ランキング1（本番実装用）</v>
      </c>
      <c r="D12" s="179">
        <v>3</v>
      </c>
      <c r="E12" s="181">
        <v>3</v>
      </c>
      <c r="F12" s="182" t="str">
        <f t="shared" ref="F12:F19" si="3">A12&amp;TEXT(E12,"0000")</f>
        <v>600060003</v>
      </c>
      <c r="G12" s="178" t="str">
        <f>F12&amp;TEXT(COUNTIF(F$2:F12,F12),"00")</f>
        <v>60006000301</v>
      </c>
      <c r="H12" s="183" t="s">
        <v>339</v>
      </c>
      <c r="I12" s="183">
        <v>600</v>
      </c>
      <c r="J12" s="183">
        <v>3</v>
      </c>
      <c r="K12" s="183">
        <v>0</v>
      </c>
      <c r="L12" s="183">
        <v>0</v>
      </c>
      <c r="M12" s="183">
        <v>0</v>
      </c>
      <c r="N12" s="183">
        <v>0</v>
      </c>
      <c r="O12" s="183">
        <v>1</v>
      </c>
      <c r="P12" s="183">
        <v>1</v>
      </c>
      <c r="Q12" s="183">
        <v>1</v>
      </c>
      <c r="R12" s="183" t="s">
        <v>222</v>
      </c>
      <c r="S12" s="183" t="s">
        <v>352</v>
      </c>
      <c r="T12" s="183" t="s">
        <v>338</v>
      </c>
      <c r="U12" s="184" t="s">
        <v>340</v>
      </c>
    </row>
    <row r="13" spans="1:21" ht="28" x14ac:dyDescent="0.15">
      <c r="A13" s="179">
        <f>floors!$C$2</f>
        <v>60006</v>
      </c>
      <c r="B13" s="180" t="str">
        <f ca="1">VLOOKUP($A13,OFFSET([2]quests!$A$1,0,0,COUNTA([2]quests!$A:$A),MATCH(B$1,[2]quests!$1:$1,0)-MATCH($A$1,[2]quests!$1:$1,0)+1),MATCH(B$1,[2]quests!$1:$1,0)-MATCH($A$1,[2]quests!$1:$1,0)+1,FALSE)</f>
        <v>オイラーチャレンジ</v>
      </c>
      <c r="C13" s="180" t="str">
        <f ca="1">VLOOKUP($A13,OFFSET([2]quests!$A$1,0,0,COUNTA([2]quests!$A:$A),MATCH(C$1,[2]quests!$1:$1,0)-MATCH($A$1,[2]quests!$1:$1,0)+1),MATCH(C$1,[2]quests!$1:$1,0)-MATCH($A$1,[2]quests!$1:$1,0)+1,FALSE)</f>
        <v>ランキング1（本番実装用）</v>
      </c>
      <c r="D13" s="179">
        <v>3</v>
      </c>
      <c r="E13" s="181">
        <v>3</v>
      </c>
      <c r="F13" s="182" t="str">
        <f t="shared" ref="F13" si="4">A13&amp;TEXT(E13,"0000")</f>
        <v>600060003</v>
      </c>
      <c r="G13" s="178" t="str">
        <f>F13&amp;TEXT(COUNTIF(F$2:F13,F13),"00")</f>
        <v>60006000302</v>
      </c>
      <c r="H13" s="183" t="s">
        <v>344</v>
      </c>
      <c r="I13" s="183">
        <v>335</v>
      </c>
      <c r="J13" s="183">
        <v>1</v>
      </c>
      <c r="K13" s="183">
        <v>0</v>
      </c>
      <c r="L13" s="183">
        <v>0</v>
      </c>
      <c r="M13" s="183">
        <v>0</v>
      </c>
      <c r="N13" s="183">
        <v>0</v>
      </c>
      <c r="O13" s="183">
        <v>1</v>
      </c>
      <c r="P13" s="183">
        <v>1</v>
      </c>
      <c r="Q13" s="183">
        <v>1</v>
      </c>
      <c r="R13" s="183" t="s">
        <v>222</v>
      </c>
      <c r="S13" s="183" t="s">
        <v>353</v>
      </c>
      <c r="T13" s="183" t="s">
        <v>338</v>
      </c>
      <c r="U13" s="184" t="s">
        <v>340</v>
      </c>
    </row>
    <row r="14" spans="1:21" ht="28" x14ac:dyDescent="0.15">
      <c r="A14" s="179">
        <f>floors!$C$2</f>
        <v>60006</v>
      </c>
      <c r="B14" s="180" t="str">
        <f ca="1">VLOOKUP($A14,OFFSET([2]quests!$A$1,0,0,COUNTA([2]quests!$A:$A),MATCH(B$1,[2]quests!$1:$1,0)-MATCH($A$1,[2]quests!$1:$1,0)+1),MATCH(B$1,[2]quests!$1:$1,0)-MATCH($A$1,[2]quests!$1:$1,0)+1,FALSE)</f>
        <v>オイラーチャレンジ</v>
      </c>
      <c r="C14" s="180" t="str">
        <f ca="1">VLOOKUP($A14,OFFSET([2]quests!$A$1,0,0,COUNTA([2]quests!$A:$A),MATCH(C$1,[2]quests!$1:$1,0)-MATCH($A$1,[2]quests!$1:$1,0)+1),MATCH(C$1,[2]quests!$1:$1,0)-MATCH($A$1,[2]quests!$1:$1,0)+1,FALSE)</f>
        <v>ランキング1（本番実装用）</v>
      </c>
      <c r="D14" s="179">
        <v>3</v>
      </c>
      <c r="E14" s="181">
        <v>3</v>
      </c>
      <c r="F14" s="182" t="str">
        <f t="shared" ref="F14:F15" si="5">A14&amp;TEXT(E14,"0000")</f>
        <v>600060003</v>
      </c>
      <c r="G14" s="178" t="str">
        <f>F14&amp;TEXT(COUNTIF(F$2:F14,F14),"00")</f>
        <v>60006000303</v>
      </c>
      <c r="H14" s="183" t="s">
        <v>344</v>
      </c>
      <c r="I14" s="183">
        <v>339</v>
      </c>
      <c r="J14" s="183">
        <v>1</v>
      </c>
      <c r="K14" s="183">
        <v>0</v>
      </c>
      <c r="L14" s="183">
        <v>0</v>
      </c>
      <c r="M14" s="183">
        <v>0</v>
      </c>
      <c r="N14" s="183">
        <v>0</v>
      </c>
      <c r="O14" s="183">
        <v>1</v>
      </c>
      <c r="P14" s="183">
        <v>1</v>
      </c>
      <c r="Q14" s="183">
        <v>1</v>
      </c>
      <c r="R14" s="183" t="s">
        <v>222</v>
      </c>
      <c r="S14" s="183" t="s">
        <v>354</v>
      </c>
      <c r="T14" s="183" t="s">
        <v>338</v>
      </c>
      <c r="U14" s="184" t="s">
        <v>340</v>
      </c>
    </row>
    <row r="15" spans="1:21" ht="28" x14ac:dyDescent="0.15">
      <c r="A15" s="179">
        <f>floors!$C$2</f>
        <v>60006</v>
      </c>
      <c r="B15" s="180" t="str">
        <f ca="1">VLOOKUP($A15,OFFSET([2]quests!$A$1,0,0,COUNTA([2]quests!$A:$A),MATCH(B$1,[2]quests!$1:$1,0)-MATCH($A$1,[2]quests!$1:$1,0)+1),MATCH(B$1,[2]quests!$1:$1,0)-MATCH($A$1,[2]quests!$1:$1,0)+1,FALSE)</f>
        <v>オイラーチャレンジ</v>
      </c>
      <c r="C15" s="180" t="str">
        <f ca="1">VLOOKUP($A15,OFFSET([2]quests!$A$1,0,0,COUNTA([2]quests!$A:$A),MATCH(C$1,[2]quests!$1:$1,0)-MATCH($A$1,[2]quests!$1:$1,0)+1),MATCH(C$1,[2]quests!$1:$1,0)-MATCH($A$1,[2]quests!$1:$1,0)+1,FALSE)</f>
        <v>ランキング1（本番実装用）</v>
      </c>
      <c r="D15" s="179">
        <v>3</v>
      </c>
      <c r="E15" s="181">
        <v>3</v>
      </c>
      <c r="F15" s="182" t="str">
        <f t="shared" si="5"/>
        <v>600060003</v>
      </c>
      <c r="G15" s="178" t="str">
        <f>F15&amp;TEXT(COUNTIF(F$2:F15,F15),"00")</f>
        <v>60006000304</v>
      </c>
      <c r="H15" s="183" t="s">
        <v>344</v>
      </c>
      <c r="I15" s="183">
        <v>343</v>
      </c>
      <c r="J15" s="183">
        <v>1</v>
      </c>
      <c r="K15" s="183">
        <v>0</v>
      </c>
      <c r="L15" s="183">
        <v>0</v>
      </c>
      <c r="M15" s="183">
        <v>0</v>
      </c>
      <c r="N15" s="183">
        <v>0</v>
      </c>
      <c r="O15" s="183">
        <v>1</v>
      </c>
      <c r="P15" s="183">
        <v>1</v>
      </c>
      <c r="Q15" s="183">
        <v>1</v>
      </c>
      <c r="R15" s="183" t="s">
        <v>222</v>
      </c>
      <c r="S15" s="183" t="s">
        <v>355</v>
      </c>
      <c r="T15" s="183" t="s">
        <v>338</v>
      </c>
      <c r="U15" s="184" t="s">
        <v>340</v>
      </c>
    </row>
    <row r="16" spans="1:21" ht="28" x14ac:dyDescent="0.15">
      <c r="A16" s="179">
        <f>floors!$C$2</f>
        <v>60006</v>
      </c>
      <c r="B16" s="180" t="str">
        <f ca="1">VLOOKUP($A16,OFFSET([2]quests!$A$1,0,0,COUNTA([2]quests!$A:$A),MATCH(B$1,[2]quests!$1:$1,0)-MATCH($A$1,[2]quests!$1:$1,0)+1),MATCH(B$1,[2]quests!$1:$1,0)-MATCH($A$1,[2]quests!$1:$1,0)+1,FALSE)</f>
        <v>オイラーチャレンジ</v>
      </c>
      <c r="C16" s="180" t="str">
        <f ca="1">VLOOKUP($A16,OFFSET([2]quests!$A$1,0,0,COUNTA([2]quests!$A:$A),MATCH(C$1,[2]quests!$1:$1,0)-MATCH($A$1,[2]quests!$1:$1,0)+1),MATCH(C$1,[2]quests!$1:$1,0)-MATCH($A$1,[2]quests!$1:$1,0)+1,FALSE)</f>
        <v>ランキング1（本番実装用）</v>
      </c>
      <c r="D16" s="179">
        <v>3</v>
      </c>
      <c r="E16" s="181">
        <v>3</v>
      </c>
      <c r="F16" s="182" t="str">
        <f t="shared" ref="F16" si="6">A16&amp;TEXT(E16,"0000")</f>
        <v>600060003</v>
      </c>
      <c r="G16" s="178" t="str">
        <f>F16&amp;TEXT(COUNTIF(F$2:F16,F16),"00")</f>
        <v>60006000305</v>
      </c>
      <c r="H16" s="183" t="s">
        <v>344</v>
      </c>
      <c r="I16" s="183">
        <v>347</v>
      </c>
      <c r="J16" s="183">
        <v>1</v>
      </c>
      <c r="K16" s="183">
        <v>0</v>
      </c>
      <c r="L16" s="183">
        <v>0</v>
      </c>
      <c r="M16" s="183">
        <v>0</v>
      </c>
      <c r="N16" s="183">
        <v>0</v>
      </c>
      <c r="O16" s="183">
        <v>1</v>
      </c>
      <c r="P16" s="183">
        <v>1</v>
      </c>
      <c r="Q16" s="183">
        <v>1</v>
      </c>
      <c r="R16" s="183" t="s">
        <v>222</v>
      </c>
      <c r="S16" s="183" t="s">
        <v>356</v>
      </c>
      <c r="T16" s="183" t="s">
        <v>338</v>
      </c>
      <c r="U16" s="184" t="s">
        <v>340</v>
      </c>
    </row>
    <row r="17" spans="1:21" ht="28" x14ac:dyDescent="0.15">
      <c r="A17" s="179">
        <f>floors!$C$2</f>
        <v>60006</v>
      </c>
      <c r="B17" s="180" t="str">
        <f ca="1">VLOOKUP($A17,OFFSET([2]quests!$A$1,0,0,COUNTA([2]quests!$A:$A),MATCH(B$1,[2]quests!$1:$1,0)-MATCH($A$1,[2]quests!$1:$1,0)+1),MATCH(B$1,[2]quests!$1:$1,0)-MATCH($A$1,[2]quests!$1:$1,0)+1,FALSE)</f>
        <v>オイラーチャレンジ</v>
      </c>
      <c r="C17" s="180" t="str">
        <f ca="1">VLOOKUP($A17,OFFSET([2]quests!$A$1,0,0,COUNTA([2]quests!$A:$A),MATCH(C$1,[2]quests!$1:$1,0)-MATCH($A$1,[2]quests!$1:$1,0)+1),MATCH(C$1,[2]quests!$1:$1,0)-MATCH($A$1,[2]quests!$1:$1,0)+1,FALSE)</f>
        <v>ランキング1（本番実装用）</v>
      </c>
      <c r="D17" s="179">
        <v>3</v>
      </c>
      <c r="E17" s="181">
        <v>3</v>
      </c>
      <c r="F17" s="182" t="str">
        <f t="shared" si="3"/>
        <v>600060003</v>
      </c>
      <c r="G17" s="178" t="str">
        <f>F17&amp;TEXT(COUNTIF(F$2:F17,F17),"00")</f>
        <v>60006000306</v>
      </c>
      <c r="H17" s="183" t="s">
        <v>342</v>
      </c>
      <c r="I17" s="183">
        <v>5</v>
      </c>
      <c r="J17" s="183" t="s">
        <v>53</v>
      </c>
      <c r="K17" s="183">
        <v>0</v>
      </c>
      <c r="L17" s="183">
        <v>0</v>
      </c>
      <c r="M17" s="183">
        <v>0</v>
      </c>
      <c r="N17" s="183">
        <v>0</v>
      </c>
      <c r="O17" s="183">
        <v>1</v>
      </c>
      <c r="P17" s="183">
        <v>1</v>
      </c>
      <c r="Q17" s="183">
        <v>1</v>
      </c>
      <c r="R17" s="183" t="s">
        <v>222</v>
      </c>
      <c r="S17" s="183" t="s">
        <v>349</v>
      </c>
      <c r="T17" s="183" t="s">
        <v>338</v>
      </c>
      <c r="U17" s="184" t="s">
        <v>340</v>
      </c>
    </row>
    <row r="18" spans="1:21" ht="28" x14ac:dyDescent="0.15">
      <c r="A18" s="179">
        <f>floors!$C$2</f>
        <v>60006</v>
      </c>
      <c r="B18" s="180" t="str">
        <f ca="1">VLOOKUP($A18,OFFSET([2]quests!$A$1,0,0,COUNTA([2]quests!$A:$A),MATCH(B$1,[2]quests!$1:$1,0)-MATCH($A$1,[2]quests!$1:$1,0)+1),MATCH(B$1,[2]quests!$1:$1,0)-MATCH($A$1,[2]quests!$1:$1,0)+1,FALSE)</f>
        <v>オイラーチャレンジ</v>
      </c>
      <c r="C18" s="180" t="str">
        <f ca="1">VLOOKUP($A18,OFFSET([2]quests!$A$1,0,0,COUNTA([2]quests!$A:$A),MATCH(C$1,[2]quests!$1:$1,0)-MATCH($A$1,[2]quests!$1:$1,0)+1),MATCH(C$1,[2]quests!$1:$1,0)-MATCH($A$1,[2]quests!$1:$1,0)+1,FALSE)</f>
        <v>ランキング1（本番実装用）</v>
      </c>
      <c r="D18" s="179">
        <v>3</v>
      </c>
      <c r="E18" s="181">
        <v>3</v>
      </c>
      <c r="F18" s="182" t="str">
        <f t="shared" si="3"/>
        <v>600060003</v>
      </c>
      <c r="G18" s="178" t="str">
        <f>F18&amp;TEXT(COUNTIF(F$2:F18,F18),"00")</f>
        <v>60006000307</v>
      </c>
      <c r="H18" s="183" t="s">
        <v>344</v>
      </c>
      <c r="I18" s="183">
        <v>125</v>
      </c>
      <c r="J18" s="183">
        <v>1</v>
      </c>
      <c r="K18" s="183">
        <v>0</v>
      </c>
      <c r="L18" s="183">
        <v>0</v>
      </c>
      <c r="M18" s="183">
        <v>0</v>
      </c>
      <c r="N18" s="183">
        <v>0</v>
      </c>
      <c r="O18" s="183">
        <v>1</v>
      </c>
      <c r="P18" s="183">
        <v>1</v>
      </c>
      <c r="Q18" s="183">
        <v>1</v>
      </c>
      <c r="R18" s="183" t="s">
        <v>222</v>
      </c>
      <c r="S18" s="183" t="s">
        <v>357</v>
      </c>
      <c r="T18" s="183" t="s">
        <v>338</v>
      </c>
      <c r="U18" s="184" t="s">
        <v>340</v>
      </c>
    </row>
    <row r="19" spans="1:21" ht="28" x14ac:dyDescent="0.15">
      <c r="A19" s="179">
        <f>floors!$C$2</f>
        <v>60006</v>
      </c>
      <c r="B19" s="180" t="str">
        <f ca="1">VLOOKUP($A19,OFFSET([2]quests!$A$1,0,0,COUNTA([2]quests!$A:$A),MATCH(B$1,[2]quests!$1:$1,0)-MATCH($A$1,[2]quests!$1:$1,0)+1),MATCH(B$1,[2]quests!$1:$1,0)-MATCH($A$1,[2]quests!$1:$1,0)+1,FALSE)</f>
        <v>オイラーチャレンジ</v>
      </c>
      <c r="C19" s="180" t="str">
        <f ca="1">VLOOKUP($A19,OFFSET([2]quests!$A$1,0,0,COUNTA([2]quests!$A:$A),MATCH(C$1,[2]quests!$1:$1,0)-MATCH($A$1,[2]quests!$1:$1,0)+1),MATCH(C$1,[2]quests!$1:$1,0)-MATCH($A$1,[2]quests!$1:$1,0)+1,FALSE)</f>
        <v>ランキング1（本番実装用）</v>
      </c>
      <c r="D19" s="179">
        <v>3</v>
      </c>
      <c r="E19" s="181">
        <v>3</v>
      </c>
      <c r="F19" s="182" t="str">
        <f t="shared" si="3"/>
        <v>600060003</v>
      </c>
      <c r="G19" s="178" t="str">
        <f>F19&amp;TEXT(COUNTIF(F$2:F19,F19),"00")</f>
        <v>60006000308</v>
      </c>
      <c r="H19" s="183" t="s">
        <v>350</v>
      </c>
      <c r="I19" s="183">
        <v>1</v>
      </c>
      <c r="J19" s="183">
        <v>1</v>
      </c>
      <c r="K19" s="183">
        <v>0</v>
      </c>
      <c r="L19" s="183">
        <v>0</v>
      </c>
      <c r="M19" s="183">
        <v>0</v>
      </c>
      <c r="N19" s="183">
        <v>0</v>
      </c>
      <c r="O19" s="183">
        <v>1</v>
      </c>
      <c r="P19" s="183">
        <v>1</v>
      </c>
      <c r="Q19" s="183">
        <v>1</v>
      </c>
      <c r="R19" s="183" t="s">
        <v>222</v>
      </c>
      <c r="S19" s="183" t="s">
        <v>358</v>
      </c>
      <c r="T19" s="183" t="s">
        <v>338</v>
      </c>
      <c r="U19" s="184" t="s">
        <v>340</v>
      </c>
    </row>
    <row r="20" spans="1:21" ht="28" x14ac:dyDescent="0.15">
      <c r="A20" s="179">
        <f>floors!$C$2</f>
        <v>60006</v>
      </c>
      <c r="B20" s="180" t="str">
        <f ca="1">VLOOKUP($A20,OFFSET([2]quests!$A$1,0,0,COUNTA([2]quests!$A:$A),MATCH(B$1,[2]quests!$1:$1,0)-MATCH($A$1,[2]quests!$1:$1,0)+1),MATCH(B$1,[2]quests!$1:$1,0)-MATCH($A$1,[2]quests!$1:$1,0)+1,FALSE)</f>
        <v>オイラーチャレンジ</v>
      </c>
      <c r="C20" s="180" t="str">
        <f ca="1">VLOOKUP($A20,OFFSET([2]quests!$A$1,0,0,COUNTA([2]quests!$A:$A),MATCH(C$1,[2]quests!$1:$1,0)-MATCH($A$1,[2]quests!$1:$1,0)+1),MATCH(C$1,[2]quests!$1:$1,0)-MATCH($A$1,[2]quests!$1:$1,0)+1,FALSE)</f>
        <v>ランキング1（本番実装用）</v>
      </c>
      <c r="D20" s="179">
        <v>4</v>
      </c>
      <c r="E20" s="181">
        <v>5</v>
      </c>
      <c r="F20" s="182" t="str">
        <f t="shared" ref="F20:F26" si="7">A20&amp;TEXT(E20,"0000")</f>
        <v>600060005</v>
      </c>
      <c r="G20" s="178" t="str">
        <f>F20&amp;TEXT(COUNTIF(F$2:F20,F20),"00")</f>
        <v>60006000501</v>
      </c>
      <c r="H20" s="183" t="s">
        <v>339</v>
      </c>
      <c r="I20" s="183">
        <v>600</v>
      </c>
      <c r="J20" s="183">
        <v>2</v>
      </c>
      <c r="K20" s="183">
        <v>0</v>
      </c>
      <c r="L20" s="183">
        <v>0</v>
      </c>
      <c r="M20" s="183">
        <v>0</v>
      </c>
      <c r="N20" s="183">
        <v>0</v>
      </c>
      <c r="O20" s="183">
        <v>1</v>
      </c>
      <c r="P20" s="183">
        <v>1</v>
      </c>
      <c r="Q20" s="183">
        <v>1</v>
      </c>
      <c r="R20" s="183" t="s">
        <v>222</v>
      </c>
      <c r="S20" s="183" t="s">
        <v>341</v>
      </c>
      <c r="T20" s="183" t="s">
        <v>338</v>
      </c>
      <c r="U20" s="184" t="s">
        <v>340</v>
      </c>
    </row>
    <row r="21" spans="1:21" ht="28" x14ac:dyDescent="0.15">
      <c r="A21" s="179">
        <f>floors!$C$2</f>
        <v>60006</v>
      </c>
      <c r="B21" s="180" t="str">
        <f ca="1">VLOOKUP($A21,OFFSET([2]quests!$A$1,0,0,COUNTA([2]quests!$A:$A),MATCH(B$1,[2]quests!$1:$1,0)-MATCH($A$1,[2]quests!$1:$1,0)+1),MATCH(B$1,[2]quests!$1:$1,0)-MATCH($A$1,[2]quests!$1:$1,0)+1,FALSE)</f>
        <v>オイラーチャレンジ</v>
      </c>
      <c r="C21" s="180" t="str">
        <f ca="1">VLOOKUP($A21,OFFSET([2]quests!$A$1,0,0,COUNTA([2]quests!$A:$A),MATCH(C$1,[2]quests!$1:$1,0)-MATCH($A$1,[2]quests!$1:$1,0)+1),MATCH(C$1,[2]quests!$1:$1,0)-MATCH($A$1,[2]quests!$1:$1,0)+1,FALSE)</f>
        <v>ランキング1（本番実装用）</v>
      </c>
      <c r="D21" s="179">
        <v>4</v>
      </c>
      <c r="E21" s="181">
        <v>5</v>
      </c>
      <c r="F21" s="182" t="str">
        <f t="shared" si="7"/>
        <v>600060005</v>
      </c>
      <c r="G21" s="178" t="str">
        <f>F21&amp;TEXT(COUNTIF(F$2:F21,F21),"00")</f>
        <v>60006000502</v>
      </c>
      <c r="H21" s="183" t="s">
        <v>344</v>
      </c>
      <c r="I21" s="183">
        <v>335</v>
      </c>
      <c r="J21" s="183">
        <v>1</v>
      </c>
      <c r="K21" s="183">
        <v>0</v>
      </c>
      <c r="L21" s="183">
        <v>0</v>
      </c>
      <c r="M21" s="183">
        <v>0</v>
      </c>
      <c r="N21" s="183">
        <v>0</v>
      </c>
      <c r="O21" s="183">
        <v>1</v>
      </c>
      <c r="P21" s="183">
        <v>1</v>
      </c>
      <c r="Q21" s="183">
        <v>1</v>
      </c>
      <c r="R21" s="183" t="s">
        <v>222</v>
      </c>
      <c r="S21" s="183" t="s">
        <v>353</v>
      </c>
      <c r="T21" s="183" t="s">
        <v>338</v>
      </c>
      <c r="U21" s="184" t="s">
        <v>340</v>
      </c>
    </row>
    <row r="22" spans="1:21" ht="28" x14ac:dyDescent="0.15">
      <c r="A22" s="179">
        <f>floors!$C$2</f>
        <v>60006</v>
      </c>
      <c r="B22" s="180" t="str">
        <f ca="1">VLOOKUP($A22,OFFSET([2]quests!$A$1,0,0,COUNTA([2]quests!$A:$A),MATCH(B$1,[2]quests!$1:$1,0)-MATCH($A$1,[2]quests!$1:$1,0)+1),MATCH(B$1,[2]quests!$1:$1,0)-MATCH($A$1,[2]quests!$1:$1,0)+1,FALSE)</f>
        <v>オイラーチャレンジ</v>
      </c>
      <c r="C22" s="180" t="str">
        <f ca="1">VLOOKUP($A22,OFFSET([2]quests!$A$1,0,0,COUNTA([2]quests!$A:$A),MATCH(C$1,[2]quests!$1:$1,0)-MATCH($A$1,[2]quests!$1:$1,0)+1),MATCH(C$1,[2]quests!$1:$1,0)-MATCH($A$1,[2]quests!$1:$1,0)+1,FALSE)</f>
        <v>ランキング1（本番実装用）</v>
      </c>
      <c r="D22" s="179">
        <v>4</v>
      </c>
      <c r="E22" s="181">
        <v>5</v>
      </c>
      <c r="F22" s="182" t="str">
        <f t="shared" si="7"/>
        <v>600060005</v>
      </c>
      <c r="G22" s="178" t="str">
        <f>F22&amp;TEXT(COUNTIF(F$2:F22,F22),"00")</f>
        <v>60006000503</v>
      </c>
      <c r="H22" s="183" t="s">
        <v>344</v>
      </c>
      <c r="I22" s="183">
        <v>339</v>
      </c>
      <c r="J22" s="183">
        <v>1</v>
      </c>
      <c r="K22" s="183">
        <v>0</v>
      </c>
      <c r="L22" s="183">
        <v>0</v>
      </c>
      <c r="M22" s="183">
        <v>0</v>
      </c>
      <c r="N22" s="183">
        <v>0</v>
      </c>
      <c r="O22" s="183">
        <v>1</v>
      </c>
      <c r="P22" s="183">
        <v>1</v>
      </c>
      <c r="Q22" s="183">
        <v>1</v>
      </c>
      <c r="R22" s="183" t="s">
        <v>222</v>
      </c>
      <c r="S22" s="183" t="s">
        <v>354</v>
      </c>
      <c r="T22" s="183" t="s">
        <v>338</v>
      </c>
      <c r="U22" s="184" t="s">
        <v>340</v>
      </c>
    </row>
    <row r="23" spans="1:21" ht="28" x14ac:dyDescent="0.15">
      <c r="A23" s="179">
        <f>floors!$C$2</f>
        <v>60006</v>
      </c>
      <c r="B23" s="180" t="str">
        <f ca="1">VLOOKUP($A23,OFFSET([2]quests!$A$1,0,0,COUNTA([2]quests!$A:$A),MATCH(B$1,[2]quests!$1:$1,0)-MATCH($A$1,[2]quests!$1:$1,0)+1),MATCH(B$1,[2]quests!$1:$1,0)-MATCH($A$1,[2]quests!$1:$1,0)+1,FALSE)</f>
        <v>オイラーチャレンジ</v>
      </c>
      <c r="C23" s="180" t="str">
        <f ca="1">VLOOKUP($A23,OFFSET([2]quests!$A$1,0,0,COUNTA([2]quests!$A:$A),MATCH(C$1,[2]quests!$1:$1,0)-MATCH($A$1,[2]quests!$1:$1,0)+1),MATCH(C$1,[2]quests!$1:$1,0)-MATCH($A$1,[2]quests!$1:$1,0)+1,FALSE)</f>
        <v>ランキング1（本番実装用）</v>
      </c>
      <c r="D23" s="179">
        <v>4</v>
      </c>
      <c r="E23" s="181">
        <v>5</v>
      </c>
      <c r="F23" s="182" t="str">
        <f t="shared" si="7"/>
        <v>600060005</v>
      </c>
      <c r="G23" s="178" t="str">
        <f>F23&amp;TEXT(COUNTIF(F$2:F23,F23),"00")</f>
        <v>60006000504</v>
      </c>
      <c r="H23" s="183" t="s">
        <v>344</v>
      </c>
      <c r="I23" s="183">
        <v>343</v>
      </c>
      <c r="J23" s="183">
        <v>1</v>
      </c>
      <c r="K23" s="183">
        <v>0</v>
      </c>
      <c r="L23" s="183">
        <v>0</v>
      </c>
      <c r="M23" s="183">
        <v>0</v>
      </c>
      <c r="N23" s="183">
        <v>0</v>
      </c>
      <c r="O23" s="183">
        <v>1</v>
      </c>
      <c r="P23" s="183">
        <v>1</v>
      </c>
      <c r="Q23" s="183">
        <v>1</v>
      </c>
      <c r="R23" s="183" t="s">
        <v>222</v>
      </c>
      <c r="S23" s="183" t="s">
        <v>355</v>
      </c>
      <c r="T23" s="183" t="s">
        <v>338</v>
      </c>
      <c r="U23" s="184" t="s">
        <v>340</v>
      </c>
    </row>
    <row r="24" spans="1:21" ht="28" x14ac:dyDescent="0.15">
      <c r="A24" s="179">
        <f>floors!$C$2</f>
        <v>60006</v>
      </c>
      <c r="B24" s="180" t="str">
        <f ca="1">VLOOKUP($A24,OFFSET([2]quests!$A$1,0,0,COUNTA([2]quests!$A:$A),MATCH(B$1,[2]quests!$1:$1,0)-MATCH($A$1,[2]quests!$1:$1,0)+1),MATCH(B$1,[2]quests!$1:$1,0)-MATCH($A$1,[2]quests!$1:$1,0)+1,FALSE)</f>
        <v>オイラーチャレンジ</v>
      </c>
      <c r="C24" s="180" t="str">
        <f ca="1">VLOOKUP($A24,OFFSET([2]quests!$A$1,0,0,COUNTA([2]quests!$A:$A),MATCH(C$1,[2]quests!$1:$1,0)-MATCH($A$1,[2]quests!$1:$1,0)+1),MATCH(C$1,[2]quests!$1:$1,0)-MATCH($A$1,[2]quests!$1:$1,0)+1,FALSE)</f>
        <v>ランキング1（本番実装用）</v>
      </c>
      <c r="D24" s="179">
        <v>4</v>
      </c>
      <c r="E24" s="181">
        <v>5</v>
      </c>
      <c r="F24" s="182" t="str">
        <f t="shared" si="7"/>
        <v>600060005</v>
      </c>
      <c r="G24" s="178" t="str">
        <f>F24&amp;TEXT(COUNTIF(F$2:F24,F24),"00")</f>
        <v>60006000505</v>
      </c>
      <c r="H24" s="183" t="s">
        <v>344</v>
      </c>
      <c r="I24" s="183">
        <v>347</v>
      </c>
      <c r="J24" s="183">
        <v>1</v>
      </c>
      <c r="K24" s="183">
        <v>0</v>
      </c>
      <c r="L24" s="183">
        <v>0</v>
      </c>
      <c r="M24" s="183">
        <v>0</v>
      </c>
      <c r="N24" s="183">
        <v>0</v>
      </c>
      <c r="O24" s="183">
        <v>1</v>
      </c>
      <c r="P24" s="183">
        <v>1</v>
      </c>
      <c r="Q24" s="183">
        <v>1</v>
      </c>
      <c r="R24" s="183" t="s">
        <v>222</v>
      </c>
      <c r="S24" s="183" t="s">
        <v>356</v>
      </c>
      <c r="T24" s="183" t="s">
        <v>338</v>
      </c>
      <c r="U24" s="184" t="s">
        <v>340</v>
      </c>
    </row>
    <row r="25" spans="1:21" ht="28" x14ac:dyDescent="0.15">
      <c r="A25" s="179">
        <f>floors!$C$2</f>
        <v>60006</v>
      </c>
      <c r="B25" s="180" t="str">
        <f ca="1">VLOOKUP($A25,OFFSET([2]quests!$A$1,0,0,COUNTA([2]quests!$A:$A),MATCH(B$1,[2]quests!$1:$1,0)-MATCH($A$1,[2]quests!$1:$1,0)+1),MATCH(B$1,[2]quests!$1:$1,0)-MATCH($A$1,[2]quests!$1:$1,0)+1,FALSE)</f>
        <v>オイラーチャレンジ</v>
      </c>
      <c r="C25" s="180" t="str">
        <f ca="1">VLOOKUP($A25,OFFSET([2]quests!$A$1,0,0,COUNTA([2]quests!$A:$A),MATCH(C$1,[2]quests!$1:$1,0)-MATCH($A$1,[2]quests!$1:$1,0)+1),MATCH(C$1,[2]quests!$1:$1,0)-MATCH($A$1,[2]quests!$1:$1,0)+1,FALSE)</f>
        <v>ランキング1（本番実装用）</v>
      </c>
      <c r="D25" s="179">
        <v>4</v>
      </c>
      <c r="E25" s="181">
        <v>5</v>
      </c>
      <c r="F25" s="182" t="str">
        <f t="shared" si="7"/>
        <v>600060005</v>
      </c>
      <c r="G25" s="178" t="str">
        <f>F25&amp;TEXT(COUNTIF(F$2:F25,F25),"00")</f>
        <v>60006000506</v>
      </c>
      <c r="H25" s="183" t="s">
        <v>342</v>
      </c>
      <c r="I25" s="183">
        <v>5</v>
      </c>
      <c r="J25" s="183" t="s">
        <v>53</v>
      </c>
      <c r="K25" s="183">
        <v>0</v>
      </c>
      <c r="L25" s="183">
        <v>0</v>
      </c>
      <c r="M25" s="183">
        <v>0</v>
      </c>
      <c r="N25" s="183">
        <v>0</v>
      </c>
      <c r="O25" s="183">
        <v>1</v>
      </c>
      <c r="P25" s="183">
        <v>1</v>
      </c>
      <c r="Q25" s="183">
        <v>1</v>
      </c>
      <c r="R25" s="183" t="s">
        <v>222</v>
      </c>
      <c r="S25" s="183" t="s">
        <v>349</v>
      </c>
      <c r="T25" s="183" t="s">
        <v>338</v>
      </c>
      <c r="U25" s="184" t="s">
        <v>340</v>
      </c>
    </row>
    <row r="26" spans="1:21" ht="28" x14ac:dyDescent="0.15">
      <c r="A26" s="179">
        <f>floors!$C$2</f>
        <v>60006</v>
      </c>
      <c r="B26" s="180" t="str">
        <f ca="1">VLOOKUP($A26,OFFSET([2]quests!$A$1,0,0,COUNTA([2]quests!$A:$A),MATCH(B$1,[2]quests!$1:$1,0)-MATCH($A$1,[2]quests!$1:$1,0)+1),MATCH(B$1,[2]quests!$1:$1,0)-MATCH($A$1,[2]quests!$1:$1,0)+1,FALSE)</f>
        <v>オイラーチャレンジ</v>
      </c>
      <c r="C26" s="180" t="str">
        <f ca="1">VLOOKUP($A26,OFFSET([2]quests!$A$1,0,0,COUNTA([2]quests!$A:$A),MATCH(C$1,[2]quests!$1:$1,0)-MATCH($A$1,[2]quests!$1:$1,0)+1),MATCH(C$1,[2]quests!$1:$1,0)-MATCH($A$1,[2]quests!$1:$1,0)+1,FALSE)</f>
        <v>ランキング1（本番実装用）</v>
      </c>
      <c r="D26" s="179">
        <v>4</v>
      </c>
      <c r="E26" s="181">
        <v>5</v>
      </c>
      <c r="F26" s="182" t="str">
        <f t="shared" si="7"/>
        <v>600060005</v>
      </c>
      <c r="G26" s="178" t="str">
        <f>F26&amp;TEXT(COUNTIF(F$2:F26,F26),"00")</f>
        <v>60006000507</v>
      </c>
      <c r="H26" s="183" t="s">
        <v>359</v>
      </c>
      <c r="I26" s="183">
        <v>2000</v>
      </c>
      <c r="J26" s="183" t="s">
        <v>53</v>
      </c>
      <c r="K26" s="183">
        <v>0</v>
      </c>
      <c r="L26" s="183">
        <v>0</v>
      </c>
      <c r="M26" s="183">
        <v>0</v>
      </c>
      <c r="N26" s="183">
        <v>0</v>
      </c>
      <c r="O26" s="183">
        <v>1</v>
      </c>
      <c r="P26" s="183">
        <v>1</v>
      </c>
      <c r="Q26" s="183">
        <v>1</v>
      </c>
      <c r="R26" s="183" t="s">
        <v>222</v>
      </c>
      <c r="S26" s="183" t="s">
        <v>360</v>
      </c>
      <c r="T26" s="183" t="s">
        <v>338</v>
      </c>
      <c r="U26" s="184" t="s">
        <v>340</v>
      </c>
    </row>
    <row r="27" spans="1:21" ht="28" x14ac:dyDescent="0.15">
      <c r="A27" s="179">
        <f>floors!$C$2</f>
        <v>60006</v>
      </c>
      <c r="B27" s="180" t="str">
        <f ca="1">VLOOKUP($A27,OFFSET([2]quests!$A$1,0,0,COUNTA([2]quests!$A:$A),MATCH(B$1,[2]quests!$1:$1,0)-MATCH($A$1,[2]quests!$1:$1,0)+1),MATCH(B$1,[2]quests!$1:$1,0)-MATCH($A$1,[2]quests!$1:$1,0)+1,FALSE)</f>
        <v>オイラーチャレンジ</v>
      </c>
      <c r="C27" s="180" t="str">
        <f ca="1">VLOOKUP($A27,OFFSET([2]quests!$A$1,0,0,COUNTA([2]quests!$A:$A),MATCH(C$1,[2]quests!$1:$1,0)-MATCH($A$1,[2]quests!$1:$1,0)+1),MATCH(C$1,[2]quests!$1:$1,0)-MATCH($A$1,[2]quests!$1:$1,0)+1,FALSE)</f>
        <v>ランキング1（本番実装用）</v>
      </c>
      <c r="D27" s="179">
        <v>6</v>
      </c>
      <c r="E27" s="181">
        <v>10</v>
      </c>
      <c r="F27" s="182" t="str">
        <f>A27&amp;TEXT(E27,"0000")</f>
        <v>600060010</v>
      </c>
      <c r="G27" s="178" t="str">
        <f>F27&amp;TEXT(COUNTIF(F$2:F27,F27),"00")</f>
        <v>60006001001</v>
      </c>
      <c r="H27" s="183" t="s">
        <v>339</v>
      </c>
      <c r="I27" s="183">
        <v>600</v>
      </c>
      <c r="J27" s="183">
        <v>1</v>
      </c>
      <c r="K27" s="183">
        <v>0</v>
      </c>
      <c r="L27" s="183">
        <v>0</v>
      </c>
      <c r="M27" s="183">
        <v>0</v>
      </c>
      <c r="N27" s="183">
        <v>0</v>
      </c>
      <c r="O27" s="183">
        <v>1</v>
      </c>
      <c r="P27" s="183">
        <v>1</v>
      </c>
      <c r="Q27" s="183">
        <v>1</v>
      </c>
      <c r="R27" s="183" t="s">
        <v>222</v>
      </c>
      <c r="S27" s="183" t="s">
        <v>361</v>
      </c>
      <c r="T27" s="183" t="s">
        <v>338</v>
      </c>
      <c r="U27" s="184" t="s">
        <v>340</v>
      </c>
    </row>
    <row r="28" spans="1:21" ht="28" x14ac:dyDescent="0.15">
      <c r="A28" s="179">
        <f>floors!$C$2</f>
        <v>60006</v>
      </c>
      <c r="B28" s="180" t="str">
        <f ca="1">VLOOKUP($A28,OFFSET([2]quests!$A$1,0,0,COUNTA([2]quests!$A:$A),MATCH(B$1,[2]quests!$1:$1,0)-MATCH($A$1,[2]quests!$1:$1,0)+1),MATCH(B$1,[2]quests!$1:$1,0)-MATCH($A$1,[2]quests!$1:$1,0)+1,FALSE)</f>
        <v>オイラーチャレンジ</v>
      </c>
      <c r="C28" s="180" t="str">
        <f ca="1">VLOOKUP($A28,OFFSET([2]quests!$A$1,0,0,COUNTA([2]quests!$A:$A),MATCH(C$1,[2]quests!$1:$1,0)-MATCH($A$1,[2]quests!$1:$1,0)+1),MATCH(C$1,[2]quests!$1:$1,0)-MATCH($A$1,[2]quests!$1:$1,0)+1,FALSE)</f>
        <v>ランキング1（本番実装用）</v>
      </c>
      <c r="D28" s="179">
        <v>6</v>
      </c>
      <c r="E28" s="181">
        <v>10</v>
      </c>
      <c r="F28" s="182" t="str">
        <f t="shared" ref="F28:F33" si="8">A28&amp;TEXT(E28,"0000")</f>
        <v>600060010</v>
      </c>
      <c r="G28" s="178" t="str">
        <f>F28&amp;TEXT(COUNTIF(F$2:F28,F28),"00")</f>
        <v>60006001002</v>
      </c>
      <c r="H28" s="183" t="s">
        <v>344</v>
      </c>
      <c r="I28" s="183">
        <v>334</v>
      </c>
      <c r="J28" s="183">
        <v>1</v>
      </c>
      <c r="K28" s="183">
        <v>0</v>
      </c>
      <c r="L28" s="183">
        <v>0</v>
      </c>
      <c r="M28" s="183">
        <v>0</v>
      </c>
      <c r="N28" s="183">
        <v>0</v>
      </c>
      <c r="O28" s="183">
        <v>1</v>
      </c>
      <c r="P28" s="183">
        <v>1</v>
      </c>
      <c r="Q28" s="183">
        <v>1</v>
      </c>
      <c r="R28" s="183" t="s">
        <v>222</v>
      </c>
      <c r="S28" s="183" t="s">
        <v>363</v>
      </c>
      <c r="T28" s="183" t="s">
        <v>338</v>
      </c>
      <c r="U28" s="184" t="s">
        <v>340</v>
      </c>
    </row>
    <row r="29" spans="1:21" ht="28" x14ac:dyDescent="0.15">
      <c r="A29" s="179">
        <f>floors!$C$2</f>
        <v>60006</v>
      </c>
      <c r="B29" s="180" t="str">
        <f ca="1">VLOOKUP($A29,OFFSET([2]quests!$A$1,0,0,COUNTA([2]quests!$A:$A),MATCH(B$1,[2]quests!$1:$1,0)-MATCH($A$1,[2]quests!$1:$1,0)+1),MATCH(B$1,[2]quests!$1:$1,0)-MATCH($A$1,[2]quests!$1:$1,0)+1,FALSE)</f>
        <v>オイラーチャレンジ</v>
      </c>
      <c r="C29" s="180" t="str">
        <f ca="1">VLOOKUP($A29,OFFSET([2]quests!$A$1,0,0,COUNTA([2]quests!$A:$A),MATCH(C$1,[2]quests!$1:$1,0)-MATCH($A$1,[2]quests!$1:$1,0)+1),MATCH(C$1,[2]quests!$1:$1,0)-MATCH($A$1,[2]quests!$1:$1,0)+1,FALSE)</f>
        <v>ランキング1（本番実装用）</v>
      </c>
      <c r="D29" s="179">
        <v>6</v>
      </c>
      <c r="E29" s="181">
        <v>10</v>
      </c>
      <c r="F29" s="182" t="str">
        <f t="shared" si="8"/>
        <v>600060010</v>
      </c>
      <c r="G29" s="178" t="str">
        <f>F29&amp;TEXT(COUNTIF(F$2:F29,F29),"00")</f>
        <v>60006001003</v>
      </c>
      <c r="H29" s="183" t="s">
        <v>344</v>
      </c>
      <c r="I29" s="183">
        <v>338</v>
      </c>
      <c r="J29" s="183">
        <v>1</v>
      </c>
      <c r="K29" s="183">
        <v>0</v>
      </c>
      <c r="L29" s="183">
        <v>0</v>
      </c>
      <c r="M29" s="183">
        <v>0</v>
      </c>
      <c r="N29" s="183">
        <v>0</v>
      </c>
      <c r="O29" s="183">
        <v>1</v>
      </c>
      <c r="P29" s="183">
        <v>1</v>
      </c>
      <c r="Q29" s="183">
        <v>1</v>
      </c>
      <c r="R29" s="183" t="s">
        <v>222</v>
      </c>
      <c r="S29" s="183" t="s">
        <v>364</v>
      </c>
      <c r="T29" s="183" t="s">
        <v>338</v>
      </c>
      <c r="U29" s="184" t="s">
        <v>340</v>
      </c>
    </row>
    <row r="30" spans="1:21" ht="28" x14ac:dyDescent="0.15">
      <c r="A30" s="179">
        <f>floors!$C$2</f>
        <v>60006</v>
      </c>
      <c r="B30" s="180" t="str">
        <f ca="1">VLOOKUP($A30,OFFSET([2]quests!$A$1,0,0,COUNTA([2]quests!$A:$A),MATCH(B$1,[2]quests!$1:$1,0)-MATCH($A$1,[2]quests!$1:$1,0)+1),MATCH(B$1,[2]quests!$1:$1,0)-MATCH($A$1,[2]quests!$1:$1,0)+1,FALSE)</f>
        <v>オイラーチャレンジ</v>
      </c>
      <c r="C30" s="180" t="str">
        <f ca="1">VLOOKUP($A30,OFFSET([2]quests!$A$1,0,0,COUNTA([2]quests!$A:$A),MATCH(C$1,[2]quests!$1:$1,0)-MATCH($A$1,[2]quests!$1:$1,0)+1),MATCH(C$1,[2]quests!$1:$1,0)-MATCH($A$1,[2]quests!$1:$1,0)+1,FALSE)</f>
        <v>ランキング1（本番実装用）</v>
      </c>
      <c r="D30" s="179">
        <v>6</v>
      </c>
      <c r="E30" s="181">
        <v>10</v>
      </c>
      <c r="F30" s="182" t="str">
        <f t="shared" si="8"/>
        <v>600060010</v>
      </c>
      <c r="G30" s="178" t="str">
        <f>F30&amp;TEXT(COUNTIF(F$2:F30,F30),"00")</f>
        <v>60006001004</v>
      </c>
      <c r="H30" s="183" t="s">
        <v>344</v>
      </c>
      <c r="I30" s="183">
        <v>342</v>
      </c>
      <c r="J30" s="183">
        <v>1</v>
      </c>
      <c r="K30" s="183">
        <v>0</v>
      </c>
      <c r="L30" s="183">
        <v>0</v>
      </c>
      <c r="M30" s="183">
        <v>0</v>
      </c>
      <c r="N30" s="183">
        <v>0</v>
      </c>
      <c r="O30" s="183">
        <v>1</v>
      </c>
      <c r="P30" s="183">
        <v>1</v>
      </c>
      <c r="Q30" s="183">
        <v>1</v>
      </c>
      <c r="R30" s="183" t="s">
        <v>222</v>
      </c>
      <c r="S30" s="183" t="s">
        <v>365</v>
      </c>
      <c r="T30" s="183" t="s">
        <v>338</v>
      </c>
      <c r="U30" s="184" t="s">
        <v>340</v>
      </c>
    </row>
    <row r="31" spans="1:21" ht="28" x14ac:dyDescent="0.15">
      <c r="A31" s="179">
        <f>floors!$C$2</f>
        <v>60006</v>
      </c>
      <c r="B31" s="180" t="str">
        <f ca="1">VLOOKUP($A31,OFFSET([2]quests!$A$1,0,0,COUNTA([2]quests!$A:$A),MATCH(B$1,[2]quests!$1:$1,0)-MATCH($A$1,[2]quests!$1:$1,0)+1),MATCH(B$1,[2]quests!$1:$1,0)-MATCH($A$1,[2]quests!$1:$1,0)+1,FALSE)</f>
        <v>オイラーチャレンジ</v>
      </c>
      <c r="C31" s="180" t="str">
        <f ca="1">VLOOKUP($A31,OFFSET([2]quests!$A$1,0,0,COUNTA([2]quests!$A:$A),MATCH(C$1,[2]quests!$1:$1,0)-MATCH($A$1,[2]quests!$1:$1,0)+1),MATCH(C$1,[2]quests!$1:$1,0)-MATCH($A$1,[2]quests!$1:$1,0)+1,FALSE)</f>
        <v>ランキング1（本番実装用）</v>
      </c>
      <c r="D31" s="179">
        <v>6</v>
      </c>
      <c r="E31" s="181">
        <v>10</v>
      </c>
      <c r="F31" s="182" t="str">
        <f t="shared" si="8"/>
        <v>600060010</v>
      </c>
      <c r="G31" s="178" t="str">
        <f>F31&amp;TEXT(COUNTIF(F$2:F31,F31),"00")</f>
        <v>60006001005</v>
      </c>
      <c r="H31" s="183" t="s">
        <v>344</v>
      </c>
      <c r="I31" s="183">
        <v>346</v>
      </c>
      <c r="J31" s="183">
        <v>1</v>
      </c>
      <c r="K31" s="183">
        <v>0</v>
      </c>
      <c r="L31" s="183">
        <v>0</v>
      </c>
      <c r="M31" s="183">
        <v>0</v>
      </c>
      <c r="N31" s="183">
        <v>0</v>
      </c>
      <c r="O31" s="183">
        <v>1</v>
      </c>
      <c r="P31" s="183">
        <v>1</v>
      </c>
      <c r="Q31" s="183">
        <v>1</v>
      </c>
      <c r="R31" s="183" t="s">
        <v>222</v>
      </c>
      <c r="S31" s="183" t="s">
        <v>366</v>
      </c>
      <c r="T31" s="183" t="s">
        <v>338</v>
      </c>
      <c r="U31" s="184" t="s">
        <v>340</v>
      </c>
    </row>
    <row r="32" spans="1:21" ht="28" x14ac:dyDescent="0.15">
      <c r="A32" s="179">
        <f>floors!$C$2</f>
        <v>60006</v>
      </c>
      <c r="B32" s="180" t="str">
        <f ca="1">VLOOKUP($A32,OFFSET([2]quests!$A$1,0,0,COUNTA([2]quests!$A:$A),MATCH(B$1,[2]quests!$1:$1,0)-MATCH($A$1,[2]quests!$1:$1,0)+1),MATCH(B$1,[2]quests!$1:$1,0)-MATCH($A$1,[2]quests!$1:$1,0)+1,FALSE)</f>
        <v>オイラーチャレンジ</v>
      </c>
      <c r="C32" s="180" t="str">
        <f ca="1">VLOOKUP($A32,OFFSET([2]quests!$A$1,0,0,COUNTA([2]quests!$A:$A),MATCH(C$1,[2]quests!$1:$1,0)-MATCH($A$1,[2]quests!$1:$1,0)+1),MATCH(C$1,[2]quests!$1:$1,0)-MATCH($A$1,[2]quests!$1:$1,0)+1,FALSE)</f>
        <v>ランキング1（本番実装用）</v>
      </c>
      <c r="D32" s="179">
        <v>6</v>
      </c>
      <c r="E32" s="181">
        <v>10</v>
      </c>
      <c r="F32" s="182" t="str">
        <f t="shared" si="8"/>
        <v>600060010</v>
      </c>
      <c r="G32" s="178" t="str">
        <f>F32&amp;TEXT(COUNTIF(F$2:F32,F32),"00")</f>
        <v>60006001006</v>
      </c>
      <c r="H32" s="183" t="s">
        <v>342</v>
      </c>
      <c r="I32" s="183">
        <v>3</v>
      </c>
      <c r="J32" s="183" t="s">
        <v>53</v>
      </c>
      <c r="K32" s="183">
        <v>0</v>
      </c>
      <c r="L32" s="183">
        <v>0</v>
      </c>
      <c r="M32" s="183">
        <v>0</v>
      </c>
      <c r="N32" s="183">
        <v>0</v>
      </c>
      <c r="O32" s="183">
        <v>1</v>
      </c>
      <c r="P32" s="183">
        <v>1</v>
      </c>
      <c r="Q32" s="183">
        <v>1</v>
      </c>
      <c r="R32" s="183" t="s">
        <v>222</v>
      </c>
      <c r="S32" s="183" t="s">
        <v>362</v>
      </c>
      <c r="T32" s="183" t="s">
        <v>338</v>
      </c>
      <c r="U32" s="184" t="s">
        <v>340</v>
      </c>
    </row>
    <row r="33" spans="1:21" ht="28" x14ac:dyDescent="0.15">
      <c r="A33" s="179">
        <f>floors!$C$2</f>
        <v>60006</v>
      </c>
      <c r="B33" s="180" t="str">
        <f ca="1">VLOOKUP($A33,OFFSET([2]quests!$A$1,0,0,COUNTA([2]quests!$A:$A),MATCH(B$1,[2]quests!$1:$1,0)-MATCH($A$1,[2]quests!$1:$1,0)+1),MATCH(B$1,[2]quests!$1:$1,0)-MATCH($A$1,[2]quests!$1:$1,0)+1,FALSE)</f>
        <v>オイラーチャレンジ</v>
      </c>
      <c r="C33" s="180" t="str">
        <f ca="1">VLOOKUP($A33,OFFSET([2]quests!$A$1,0,0,COUNTA([2]quests!$A:$A),MATCH(C$1,[2]quests!$1:$1,0)-MATCH($A$1,[2]quests!$1:$1,0)+1),MATCH(C$1,[2]quests!$1:$1,0)-MATCH($A$1,[2]quests!$1:$1,0)+1,FALSE)</f>
        <v>ランキング1（本番実装用）</v>
      </c>
      <c r="D33" s="179">
        <v>6</v>
      </c>
      <c r="E33" s="181">
        <v>10</v>
      </c>
      <c r="F33" s="182" t="str">
        <f t="shared" si="8"/>
        <v>600060010</v>
      </c>
      <c r="G33" s="178" t="str">
        <f>F33&amp;TEXT(COUNTIF(F$2:F33,F33),"00")</f>
        <v>60006001007</v>
      </c>
      <c r="H33" s="183" t="s">
        <v>359</v>
      </c>
      <c r="I33" s="183">
        <v>2000</v>
      </c>
      <c r="J33" s="183" t="s">
        <v>53</v>
      </c>
      <c r="K33" s="183">
        <v>0</v>
      </c>
      <c r="L33" s="183">
        <v>0</v>
      </c>
      <c r="M33" s="183">
        <v>0</v>
      </c>
      <c r="N33" s="183">
        <v>0</v>
      </c>
      <c r="O33" s="183">
        <v>1</v>
      </c>
      <c r="P33" s="183">
        <v>1</v>
      </c>
      <c r="Q33" s="183">
        <v>1</v>
      </c>
      <c r="R33" s="183" t="s">
        <v>222</v>
      </c>
      <c r="S33" s="183" t="s">
        <v>360</v>
      </c>
      <c r="T33" s="183" t="s">
        <v>338</v>
      </c>
      <c r="U33" s="184" t="s">
        <v>340</v>
      </c>
    </row>
    <row r="34" spans="1:21" ht="28" x14ac:dyDescent="0.15">
      <c r="A34" s="179">
        <f>floors!$C$2</f>
        <v>60006</v>
      </c>
      <c r="B34" s="180" t="str">
        <f ca="1">VLOOKUP($A34,OFFSET([2]quests!$A$1,0,0,COUNTA([2]quests!$A:$A),MATCH(B$1,[2]quests!$1:$1,0)-MATCH($A$1,[2]quests!$1:$1,0)+1),MATCH(B$1,[2]quests!$1:$1,0)-MATCH($A$1,[2]quests!$1:$1,0)+1,FALSE)</f>
        <v>オイラーチャレンジ</v>
      </c>
      <c r="C34" s="180" t="str">
        <f ca="1">VLOOKUP($A34,OFFSET([2]quests!$A$1,0,0,COUNTA([2]quests!$A:$A),MATCH(C$1,[2]quests!$1:$1,0)-MATCH($A$1,[2]quests!$1:$1,0)+1),MATCH(C$1,[2]quests!$1:$1,0)-MATCH($A$1,[2]quests!$1:$1,0)+1,FALSE)</f>
        <v>ランキング1（本番実装用）</v>
      </c>
      <c r="D34" s="179">
        <v>11</v>
      </c>
      <c r="E34" s="181">
        <v>25</v>
      </c>
      <c r="F34" s="182" t="str">
        <f t="shared" ref="F34:F35" si="9">A34&amp;TEXT(E34,"0000")</f>
        <v>600060025</v>
      </c>
      <c r="G34" s="178" t="str">
        <f>F34&amp;TEXT(COUNTIF(F$2:F34,F34),"00")</f>
        <v>60006002501</v>
      </c>
      <c r="H34" s="183" t="s">
        <v>342</v>
      </c>
      <c r="I34" s="183">
        <v>2</v>
      </c>
      <c r="J34" s="183" t="s">
        <v>53</v>
      </c>
      <c r="K34" s="183">
        <v>0</v>
      </c>
      <c r="L34" s="183">
        <v>0</v>
      </c>
      <c r="M34" s="183">
        <v>0</v>
      </c>
      <c r="N34" s="183">
        <v>0</v>
      </c>
      <c r="O34" s="183">
        <v>1</v>
      </c>
      <c r="P34" s="183">
        <v>1</v>
      </c>
      <c r="Q34" s="183">
        <v>1</v>
      </c>
      <c r="R34" s="183" t="s">
        <v>222</v>
      </c>
      <c r="S34" s="183" t="s">
        <v>394</v>
      </c>
      <c r="T34" s="183" t="s">
        <v>338</v>
      </c>
      <c r="U34" s="184" t="s">
        <v>340</v>
      </c>
    </row>
    <row r="35" spans="1:21" ht="28" x14ac:dyDescent="0.15">
      <c r="A35" s="179">
        <f>floors!$C$2</f>
        <v>60006</v>
      </c>
      <c r="B35" s="180" t="str">
        <f ca="1">VLOOKUP($A35,OFFSET([2]quests!$A$1,0,0,COUNTA([2]quests!$A:$A),MATCH(B$1,[2]quests!$1:$1,0)-MATCH($A$1,[2]quests!$1:$1,0)+1),MATCH(B$1,[2]quests!$1:$1,0)-MATCH($A$1,[2]quests!$1:$1,0)+1,FALSE)</f>
        <v>オイラーチャレンジ</v>
      </c>
      <c r="C35" s="180" t="str">
        <f ca="1">VLOOKUP($A35,OFFSET([2]quests!$A$1,0,0,COUNTA([2]quests!$A:$A),MATCH(C$1,[2]quests!$1:$1,0)-MATCH($A$1,[2]quests!$1:$1,0)+1),MATCH(C$1,[2]quests!$1:$1,0)-MATCH($A$1,[2]quests!$1:$1,0)+1,FALSE)</f>
        <v>ランキング1（本番実装用）</v>
      </c>
      <c r="D35" s="179">
        <v>11</v>
      </c>
      <c r="E35" s="181">
        <v>25</v>
      </c>
      <c r="F35" s="182" t="str">
        <f t="shared" si="9"/>
        <v>600060025</v>
      </c>
      <c r="G35" s="178" t="str">
        <f>F35&amp;TEXT(COUNTIF(F$2:F35,F35),"00")</f>
        <v>60006002502</v>
      </c>
      <c r="H35" s="183" t="s">
        <v>359</v>
      </c>
      <c r="I35" s="183">
        <v>2000</v>
      </c>
      <c r="J35" s="183" t="s">
        <v>53</v>
      </c>
      <c r="K35" s="183">
        <v>0</v>
      </c>
      <c r="L35" s="183">
        <v>0</v>
      </c>
      <c r="M35" s="183">
        <v>0</v>
      </c>
      <c r="N35" s="183">
        <v>0</v>
      </c>
      <c r="O35" s="183">
        <v>1</v>
      </c>
      <c r="P35" s="183">
        <v>1</v>
      </c>
      <c r="Q35" s="183">
        <v>1</v>
      </c>
      <c r="R35" s="183" t="s">
        <v>222</v>
      </c>
      <c r="S35" s="183" t="s">
        <v>360</v>
      </c>
      <c r="T35" s="183" t="s">
        <v>338</v>
      </c>
      <c r="U35" s="184" t="s">
        <v>340</v>
      </c>
    </row>
    <row r="36" spans="1:21" ht="28" x14ac:dyDescent="0.15">
      <c r="A36" s="179">
        <f>floors!$C$2</f>
        <v>60006</v>
      </c>
      <c r="B36" s="180" t="str">
        <f ca="1">VLOOKUP($A36,OFFSET([2]quests!$A$1,0,0,COUNTA([2]quests!$A:$A),MATCH(B$1,[2]quests!$1:$1,0)-MATCH($A$1,[2]quests!$1:$1,0)+1),MATCH(B$1,[2]quests!$1:$1,0)-MATCH($A$1,[2]quests!$1:$1,0)+1,FALSE)</f>
        <v>オイラーチャレンジ</v>
      </c>
      <c r="C36" s="180" t="str">
        <f ca="1">VLOOKUP($A36,OFFSET([2]quests!$A$1,0,0,COUNTA([2]quests!$A:$A),MATCH(C$1,[2]quests!$1:$1,0)-MATCH($A$1,[2]quests!$1:$1,0)+1),MATCH(C$1,[2]quests!$1:$1,0)-MATCH($A$1,[2]quests!$1:$1,0)+1,FALSE)</f>
        <v>ランキング1（本番実装用）</v>
      </c>
      <c r="D36" s="179">
        <v>11</v>
      </c>
      <c r="E36" s="181">
        <v>25</v>
      </c>
      <c r="F36" s="182" t="str">
        <f t="shared" ref="F36:F38" si="10">A36&amp;TEXT(E36,"0000")</f>
        <v>600060025</v>
      </c>
      <c r="G36" s="178" t="str">
        <f>F36&amp;TEXT(COUNTIF(F$2:F36,F36),"00")</f>
        <v>60006002503</v>
      </c>
      <c r="H36" s="183" t="s">
        <v>367</v>
      </c>
      <c r="I36" s="183">
        <v>200000</v>
      </c>
      <c r="J36" s="183" t="s">
        <v>53</v>
      </c>
      <c r="K36" s="183">
        <v>0</v>
      </c>
      <c r="L36" s="183">
        <v>0</v>
      </c>
      <c r="M36" s="183">
        <v>0</v>
      </c>
      <c r="N36" s="183">
        <v>0</v>
      </c>
      <c r="O36" s="183">
        <v>1</v>
      </c>
      <c r="P36" s="183">
        <v>1</v>
      </c>
      <c r="Q36" s="183">
        <v>1</v>
      </c>
      <c r="R36" s="183" t="s">
        <v>222</v>
      </c>
      <c r="S36" s="183" t="s">
        <v>368</v>
      </c>
      <c r="T36" s="183" t="s">
        <v>338</v>
      </c>
      <c r="U36" s="184" t="s">
        <v>340</v>
      </c>
    </row>
    <row r="37" spans="1:21" ht="28" x14ac:dyDescent="0.15">
      <c r="A37" s="179">
        <f>floors!$C$2</f>
        <v>60006</v>
      </c>
      <c r="B37" s="180" t="str">
        <f ca="1">VLOOKUP($A37,OFFSET([2]quests!$A$1,0,0,COUNTA([2]quests!$A:$A),MATCH(B$1,[2]quests!$1:$1,0)-MATCH($A$1,[2]quests!$1:$1,0)+1),MATCH(B$1,[2]quests!$1:$1,0)-MATCH($A$1,[2]quests!$1:$1,0)+1,FALSE)</f>
        <v>オイラーチャレンジ</v>
      </c>
      <c r="C37" s="180" t="str">
        <f ca="1">VLOOKUP($A37,OFFSET([2]quests!$A$1,0,0,COUNTA([2]quests!$A:$A),MATCH(C$1,[2]quests!$1:$1,0)-MATCH($A$1,[2]quests!$1:$1,0)+1),MATCH(C$1,[2]quests!$1:$1,0)-MATCH($A$1,[2]quests!$1:$1,0)+1,FALSE)</f>
        <v>ランキング1（本番実装用）</v>
      </c>
      <c r="D37" s="179">
        <v>26</v>
      </c>
      <c r="E37" s="181">
        <v>35</v>
      </c>
      <c r="F37" s="182" t="str">
        <f t="shared" si="10"/>
        <v>600060035</v>
      </c>
      <c r="G37" s="178" t="str">
        <f>F37&amp;TEXT(COUNTIF(F$2:F37,F37),"00")</f>
        <v>60006003501</v>
      </c>
      <c r="H37" s="183" t="s">
        <v>342</v>
      </c>
      <c r="I37" s="183">
        <v>2</v>
      </c>
      <c r="J37" s="183" t="s">
        <v>53</v>
      </c>
      <c r="K37" s="183">
        <v>0</v>
      </c>
      <c r="L37" s="183">
        <v>0</v>
      </c>
      <c r="M37" s="183">
        <v>0</v>
      </c>
      <c r="N37" s="183">
        <v>0</v>
      </c>
      <c r="O37" s="183">
        <v>1</v>
      </c>
      <c r="P37" s="183">
        <v>1</v>
      </c>
      <c r="Q37" s="183">
        <v>1</v>
      </c>
      <c r="R37" s="183" t="s">
        <v>222</v>
      </c>
      <c r="S37" s="183" t="s">
        <v>371</v>
      </c>
      <c r="T37" s="183" t="s">
        <v>338</v>
      </c>
      <c r="U37" s="184" t="s">
        <v>340</v>
      </c>
    </row>
    <row r="38" spans="1:21" ht="28" x14ac:dyDescent="0.15">
      <c r="A38" s="179">
        <f>floors!$C$2</f>
        <v>60006</v>
      </c>
      <c r="B38" s="180" t="str">
        <f ca="1">VLOOKUP($A38,OFFSET([2]quests!$A$1,0,0,COUNTA([2]quests!$A:$A),MATCH(B$1,[2]quests!$1:$1,0)-MATCH($A$1,[2]quests!$1:$1,0)+1),MATCH(B$1,[2]quests!$1:$1,0)-MATCH($A$1,[2]quests!$1:$1,0)+1,FALSE)</f>
        <v>オイラーチャレンジ</v>
      </c>
      <c r="C38" s="180" t="str">
        <f ca="1">VLOOKUP($A38,OFFSET([2]quests!$A$1,0,0,COUNTA([2]quests!$A:$A),MATCH(C$1,[2]quests!$1:$1,0)-MATCH($A$1,[2]quests!$1:$1,0)+1),MATCH(C$1,[2]quests!$1:$1,0)-MATCH($A$1,[2]quests!$1:$1,0)+1,FALSE)</f>
        <v>ランキング1（本番実装用）</v>
      </c>
      <c r="D38" s="179">
        <v>26</v>
      </c>
      <c r="E38" s="181">
        <v>35</v>
      </c>
      <c r="F38" s="182" t="str">
        <f t="shared" si="10"/>
        <v>600060035</v>
      </c>
      <c r="G38" s="178" t="str">
        <f>F38&amp;TEXT(COUNTIF(F$2:F38,F38),"00")</f>
        <v>60006003502</v>
      </c>
      <c r="H38" s="183" t="s">
        <v>359</v>
      </c>
      <c r="I38" s="183">
        <v>1000</v>
      </c>
      <c r="J38" s="183" t="s">
        <v>53</v>
      </c>
      <c r="K38" s="183">
        <v>0</v>
      </c>
      <c r="L38" s="183">
        <v>0</v>
      </c>
      <c r="M38" s="183">
        <v>0</v>
      </c>
      <c r="N38" s="183">
        <v>0</v>
      </c>
      <c r="O38" s="183">
        <v>1</v>
      </c>
      <c r="P38" s="183">
        <v>1</v>
      </c>
      <c r="Q38" s="183">
        <v>1</v>
      </c>
      <c r="R38" s="183" t="s">
        <v>222</v>
      </c>
      <c r="S38" s="183" t="s">
        <v>369</v>
      </c>
      <c r="T38" s="183" t="s">
        <v>338</v>
      </c>
      <c r="U38" s="184" t="s">
        <v>340</v>
      </c>
    </row>
    <row r="39" spans="1:21" ht="28" x14ac:dyDescent="0.15">
      <c r="A39" s="179">
        <f>floors!$C$2</f>
        <v>60006</v>
      </c>
      <c r="B39" s="180" t="str">
        <f ca="1">VLOOKUP($A39,OFFSET([2]quests!$A$1,0,0,COUNTA([2]quests!$A:$A),MATCH(B$1,[2]quests!$1:$1,0)-MATCH($A$1,[2]quests!$1:$1,0)+1),MATCH(B$1,[2]quests!$1:$1,0)-MATCH($A$1,[2]quests!$1:$1,0)+1,FALSE)</f>
        <v>オイラーチャレンジ</v>
      </c>
      <c r="C39" s="180" t="str">
        <f ca="1">VLOOKUP($A39,OFFSET([2]quests!$A$1,0,0,COUNTA([2]quests!$A:$A),MATCH(C$1,[2]quests!$1:$1,0)-MATCH($A$1,[2]quests!$1:$1,0)+1),MATCH(C$1,[2]quests!$1:$1,0)-MATCH($A$1,[2]quests!$1:$1,0)+1,FALSE)</f>
        <v>ランキング1（本番実装用）</v>
      </c>
      <c r="D39" s="179">
        <v>26</v>
      </c>
      <c r="E39" s="181">
        <v>35</v>
      </c>
      <c r="F39" s="182" t="str">
        <f t="shared" ref="F39:F41" si="11">A39&amp;TEXT(E39,"0000")</f>
        <v>600060035</v>
      </c>
      <c r="G39" s="178" t="str">
        <f>F39&amp;TEXT(COUNTIF(F$2:F39,F39),"00")</f>
        <v>60006003503</v>
      </c>
      <c r="H39" s="183" t="s">
        <v>367</v>
      </c>
      <c r="I39" s="183">
        <v>150000</v>
      </c>
      <c r="J39" s="183" t="s">
        <v>53</v>
      </c>
      <c r="K39" s="183">
        <v>0</v>
      </c>
      <c r="L39" s="183">
        <v>0</v>
      </c>
      <c r="M39" s="183">
        <v>0</v>
      </c>
      <c r="N39" s="183">
        <v>0</v>
      </c>
      <c r="O39" s="183">
        <v>1</v>
      </c>
      <c r="P39" s="183">
        <v>1</v>
      </c>
      <c r="Q39" s="183">
        <v>1</v>
      </c>
      <c r="R39" s="183" t="s">
        <v>222</v>
      </c>
      <c r="S39" s="183" t="s">
        <v>370</v>
      </c>
      <c r="T39" s="183" t="s">
        <v>338</v>
      </c>
      <c r="U39" s="184" t="s">
        <v>340</v>
      </c>
    </row>
    <row r="40" spans="1:21" ht="28" x14ac:dyDescent="0.15">
      <c r="A40" s="179">
        <f>floors!$C$2</f>
        <v>60006</v>
      </c>
      <c r="B40" s="180" t="str">
        <f ca="1">VLOOKUP($A40,OFFSET([2]quests!$A$1,0,0,COUNTA([2]quests!$A:$A),MATCH(B$1,[2]quests!$1:$1,0)-MATCH($A$1,[2]quests!$1:$1,0)+1),MATCH(B$1,[2]quests!$1:$1,0)-MATCH($A$1,[2]quests!$1:$1,0)+1,FALSE)</f>
        <v>オイラーチャレンジ</v>
      </c>
      <c r="C40" s="180" t="str">
        <f ca="1">VLOOKUP($A40,OFFSET([2]quests!$A$1,0,0,COUNTA([2]quests!$A:$A),MATCH(C$1,[2]quests!$1:$1,0)-MATCH($A$1,[2]quests!$1:$1,0)+1),MATCH(C$1,[2]quests!$1:$1,0)-MATCH($A$1,[2]quests!$1:$1,0)+1,FALSE)</f>
        <v>ランキング1（本番実装用）</v>
      </c>
      <c r="D40" s="179">
        <v>36</v>
      </c>
      <c r="E40" s="181">
        <v>1000</v>
      </c>
      <c r="F40" s="182" t="str">
        <f t="shared" si="11"/>
        <v>600061000</v>
      </c>
      <c r="G40" s="178" t="str">
        <f>F40&amp;TEXT(COUNTIF(F$2:F40,F40),"00")</f>
        <v>60006100001</v>
      </c>
      <c r="H40" s="183" t="s">
        <v>342</v>
      </c>
      <c r="I40" s="183">
        <v>1</v>
      </c>
      <c r="J40" s="183" t="s">
        <v>53</v>
      </c>
      <c r="K40" s="183">
        <v>0</v>
      </c>
      <c r="L40" s="183">
        <v>0</v>
      </c>
      <c r="M40" s="183">
        <v>0</v>
      </c>
      <c r="N40" s="183">
        <v>0</v>
      </c>
      <c r="O40" s="183">
        <v>1</v>
      </c>
      <c r="P40" s="183">
        <v>1</v>
      </c>
      <c r="Q40" s="183">
        <v>1</v>
      </c>
      <c r="R40" s="183" t="s">
        <v>222</v>
      </c>
      <c r="S40" s="183" t="s">
        <v>373</v>
      </c>
      <c r="T40" s="183" t="s">
        <v>338</v>
      </c>
      <c r="U40" s="184" t="s">
        <v>340</v>
      </c>
    </row>
    <row r="41" spans="1:21" ht="28" x14ac:dyDescent="0.15">
      <c r="A41" s="179">
        <f>floors!$C$2</f>
        <v>60006</v>
      </c>
      <c r="B41" s="180" t="str">
        <f ca="1">VLOOKUP($A41,OFFSET([2]quests!$A$1,0,0,COUNTA([2]quests!$A:$A),MATCH(B$1,[2]quests!$1:$1,0)-MATCH($A$1,[2]quests!$1:$1,0)+1),MATCH(B$1,[2]quests!$1:$1,0)-MATCH($A$1,[2]quests!$1:$1,0)+1,FALSE)</f>
        <v>オイラーチャレンジ</v>
      </c>
      <c r="C41" s="180" t="str">
        <f ca="1">VLOOKUP($A41,OFFSET([2]quests!$A$1,0,0,COUNTA([2]quests!$A:$A),MATCH(C$1,[2]quests!$1:$1,0)-MATCH($A$1,[2]quests!$1:$1,0)+1),MATCH(C$1,[2]quests!$1:$1,0)-MATCH($A$1,[2]quests!$1:$1,0)+1,FALSE)</f>
        <v>ランキング1（本番実装用）</v>
      </c>
      <c r="D41" s="179">
        <v>36</v>
      </c>
      <c r="E41" s="181">
        <v>1000</v>
      </c>
      <c r="F41" s="182" t="str">
        <f t="shared" si="11"/>
        <v>600061000</v>
      </c>
      <c r="G41" s="178" t="str">
        <f>F41&amp;TEXT(COUNTIF(F$2:F41,F41),"00")</f>
        <v>60006100002</v>
      </c>
      <c r="H41" s="183" t="s">
        <v>359</v>
      </c>
      <c r="I41" s="183">
        <v>1000</v>
      </c>
      <c r="J41" s="183" t="s">
        <v>53</v>
      </c>
      <c r="K41" s="183">
        <v>0</v>
      </c>
      <c r="L41" s="183">
        <v>0</v>
      </c>
      <c r="M41" s="183">
        <v>0</v>
      </c>
      <c r="N41" s="183">
        <v>0</v>
      </c>
      <c r="O41" s="183">
        <v>1</v>
      </c>
      <c r="P41" s="183">
        <v>1</v>
      </c>
      <c r="Q41" s="183">
        <v>1</v>
      </c>
      <c r="R41" s="183" t="s">
        <v>222</v>
      </c>
      <c r="S41" s="183" t="s">
        <v>369</v>
      </c>
      <c r="T41" s="183" t="s">
        <v>338</v>
      </c>
      <c r="U41" s="184" t="s">
        <v>340</v>
      </c>
    </row>
    <row r="42" spans="1:21" ht="28" x14ac:dyDescent="0.15">
      <c r="A42" s="179">
        <f>floors!$C$2</f>
        <v>60006</v>
      </c>
      <c r="B42" s="180" t="str">
        <f ca="1">VLOOKUP($A42,OFFSET([2]quests!$A$1,0,0,COUNTA([2]quests!$A:$A),MATCH(B$1,[2]quests!$1:$1,0)-MATCH($A$1,[2]quests!$1:$1,0)+1),MATCH(B$1,[2]quests!$1:$1,0)-MATCH($A$1,[2]quests!$1:$1,0)+1,FALSE)</f>
        <v>オイラーチャレンジ</v>
      </c>
      <c r="C42" s="180" t="str">
        <f ca="1">VLOOKUP($A42,OFFSET([2]quests!$A$1,0,0,COUNTA([2]quests!$A:$A),MATCH(C$1,[2]quests!$1:$1,0)-MATCH($A$1,[2]quests!$1:$1,0)+1),MATCH(C$1,[2]quests!$1:$1,0)-MATCH($A$1,[2]quests!$1:$1,0)+1,FALSE)</f>
        <v>ランキング1（本番実装用）</v>
      </c>
      <c r="D42" s="179">
        <v>36</v>
      </c>
      <c r="E42" s="181">
        <v>1000</v>
      </c>
      <c r="F42" s="182" t="str">
        <f t="shared" ref="F42" si="12">A42&amp;TEXT(E42,"0000")</f>
        <v>600061000</v>
      </c>
      <c r="G42" s="178" t="str">
        <f>F42&amp;TEXT(COUNTIF(F$2:F42,F42),"00")</f>
        <v>60006100003</v>
      </c>
      <c r="H42" s="183" t="s">
        <v>367</v>
      </c>
      <c r="I42" s="183">
        <v>100000</v>
      </c>
      <c r="J42" s="183" t="s">
        <v>53</v>
      </c>
      <c r="K42" s="183">
        <v>0</v>
      </c>
      <c r="L42" s="183">
        <v>0</v>
      </c>
      <c r="M42" s="183">
        <v>0</v>
      </c>
      <c r="N42" s="183">
        <v>0</v>
      </c>
      <c r="O42" s="183">
        <v>1</v>
      </c>
      <c r="P42" s="183">
        <v>1</v>
      </c>
      <c r="Q42" s="183">
        <v>1</v>
      </c>
      <c r="R42" s="183" t="s">
        <v>222</v>
      </c>
      <c r="S42" s="183" t="s">
        <v>372</v>
      </c>
      <c r="T42" s="183" t="s">
        <v>338</v>
      </c>
      <c r="U42" s="184" t="s">
        <v>340</v>
      </c>
    </row>
    <row r="43" spans="1:21" ht="28" x14ac:dyDescent="0.15">
      <c r="A43" s="179">
        <v>60007</v>
      </c>
      <c r="B43" s="180" t="str">
        <f ca="1">VLOOKUP($A43,OFFSET([2]quests!$A$1,0,0,COUNTA([2]quests!$A:$A),MATCH(B$1,[2]quests!$1:$1,0)-MATCH($A$1,[2]quests!$1:$1,0)+1),MATCH(B$1,[2]quests!$1:$1,0)-MATCH($A$1,[2]quests!$1:$1,0)+1,FALSE)</f>
        <v>オイラーチャレンジ</v>
      </c>
      <c r="C43" s="180" t="str">
        <f ca="1">VLOOKUP($A43,OFFSET([2]quests!$A$1,0,0,COUNTA([2]quests!$A:$A),MATCH(C$1,[2]quests!$1:$1,0)-MATCH($A$1,[2]quests!$1:$1,0)+1),MATCH(C$1,[2]quests!$1:$1,0)-MATCH($A$1,[2]quests!$1:$1,0)+1,FALSE)</f>
        <v>ランキング1（改修版）</v>
      </c>
      <c r="D43" s="179">
        <v>1</v>
      </c>
      <c r="E43" s="181">
        <v>1</v>
      </c>
      <c r="F43" s="182" t="str">
        <f>A43&amp;TEXT(E43,"0000")</f>
        <v>600070001</v>
      </c>
      <c r="G43" s="178" t="str">
        <f>F43&amp;TEXT(COUNTIF(F$2:F43,F43),"00")</f>
        <v>60007000101</v>
      </c>
      <c r="H43" s="183" t="s">
        <v>339</v>
      </c>
      <c r="I43" s="183">
        <v>601</v>
      </c>
      <c r="J43" s="183">
        <v>1</v>
      </c>
      <c r="K43" s="183">
        <v>0</v>
      </c>
      <c r="L43" s="183">
        <v>0</v>
      </c>
      <c r="M43" s="183">
        <v>0</v>
      </c>
      <c r="N43" s="183">
        <v>0</v>
      </c>
      <c r="O43" s="183">
        <v>1</v>
      </c>
      <c r="P43" s="183">
        <v>1</v>
      </c>
      <c r="Q43" s="183">
        <v>1</v>
      </c>
      <c r="R43" s="183" t="s">
        <v>222</v>
      </c>
      <c r="S43" s="183" t="s">
        <v>337</v>
      </c>
      <c r="T43" s="183" t="s">
        <v>338</v>
      </c>
      <c r="U43" s="184" t="s">
        <v>340</v>
      </c>
    </row>
    <row r="44" spans="1:21" ht="28" x14ac:dyDescent="0.15">
      <c r="A44" s="179">
        <v>60007</v>
      </c>
      <c r="B44" s="180" t="str">
        <f ca="1">VLOOKUP($A44,OFFSET([2]quests!$A$1,0,0,COUNTA([2]quests!$A:$A),MATCH(B$1,[2]quests!$1:$1,0)-MATCH($A$1,[2]quests!$1:$1,0)+1),MATCH(B$1,[2]quests!$1:$1,0)-MATCH($A$1,[2]quests!$1:$1,0)+1,FALSE)</f>
        <v>オイラーチャレンジ</v>
      </c>
      <c r="C44" s="180" t="str">
        <f ca="1">VLOOKUP($A44,OFFSET([2]quests!$A$1,0,0,COUNTA([2]quests!$A:$A),MATCH(C$1,[2]quests!$1:$1,0)-MATCH($A$1,[2]quests!$1:$1,0)+1),MATCH(C$1,[2]quests!$1:$1,0)-MATCH($A$1,[2]quests!$1:$1,0)+1,FALSE)</f>
        <v>ランキング1（改修版）</v>
      </c>
      <c r="D44" s="179">
        <v>1</v>
      </c>
      <c r="E44" s="181">
        <v>1</v>
      </c>
      <c r="F44" s="182" t="str">
        <f t="shared" ref="F44:F47" si="13">A44&amp;TEXT(E44,"0000")</f>
        <v>600070001</v>
      </c>
      <c r="G44" s="178" t="str">
        <f>F44&amp;TEXT(COUNTIF(F$2:F44,F44),"00")</f>
        <v>60007000102</v>
      </c>
      <c r="H44" s="183" t="s">
        <v>339</v>
      </c>
      <c r="I44" s="183">
        <v>600</v>
      </c>
      <c r="J44" s="183">
        <v>2</v>
      </c>
      <c r="K44" s="183">
        <v>0</v>
      </c>
      <c r="L44" s="183">
        <v>0</v>
      </c>
      <c r="M44" s="183">
        <v>0</v>
      </c>
      <c r="N44" s="183">
        <v>0</v>
      </c>
      <c r="O44" s="183">
        <v>1</v>
      </c>
      <c r="P44" s="183">
        <v>1</v>
      </c>
      <c r="Q44" s="183">
        <v>1</v>
      </c>
      <c r="R44" s="183" t="s">
        <v>222</v>
      </c>
      <c r="S44" s="183" t="s">
        <v>341</v>
      </c>
      <c r="T44" s="183" t="s">
        <v>338</v>
      </c>
      <c r="U44" s="184" t="s">
        <v>340</v>
      </c>
    </row>
    <row r="45" spans="1:21" ht="28" x14ac:dyDescent="0.15">
      <c r="A45" s="179">
        <v>60007</v>
      </c>
      <c r="B45" s="180" t="str">
        <f ca="1">VLOOKUP($A45,OFFSET([2]quests!$A$1,0,0,COUNTA([2]quests!$A:$A),MATCH(B$1,[2]quests!$1:$1,0)-MATCH($A$1,[2]quests!$1:$1,0)+1),MATCH(B$1,[2]quests!$1:$1,0)-MATCH($A$1,[2]quests!$1:$1,0)+1,FALSE)</f>
        <v>オイラーチャレンジ</v>
      </c>
      <c r="C45" s="180" t="str">
        <f ca="1">VLOOKUP($A45,OFFSET([2]quests!$A$1,0,0,COUNTA([2]quests!$A:$A),MATCH(C$1,[2]quests!$1:$1,0)-MATCH($A$1,[2]quests!$1:$1,0)+1),MATCH(C$1,[2]quests!$1:$1,0)-MATCH($A$1,[2]quests!$1:$1,0)+1,FALSE)</f>
        <v>ランキング1（改修版）</v>
      </c>
      <c r="D45" s="179">
        <v>1</v>
      </c>
      <c r="E45" s="181">
        <v>1</v>
      </c>
      <c r="F45" s="182" t="str">
        <f t="shared" si="13"/>
        <v>600070001</v>
      </c>
      <c r="G45" s="178" t="str">
        <f>F45&amp;TEXT(COUNTIF(F$2:F45,F45),"00")</f>
        <v>60007000103</v>
      </c>
      <c r="H45" s="183" t="s">
        <v>342</v>
      </c>
      <c r="I45" s="183">
        <v>10</v>
      </c>
      <c r="J45" s="183" t="s">
        <v>53</v>
      </c>
      <c r="K45" s="183">
        <v>0</v>
      </c>
      <c r="L45" s="183">
        <v>0</v>
      </c>
      <c r="M45" s="183">
        <v>0</v>
      </c>
      <c r="N45" s="183">
        <v>0</v>
      </c>
      <c r="O45" s="183">
        <v>1</v>
      </c>
      <c r="P45" s="183">
        <v>1</v>
      </c>
      <c r="Q45" s="183">
        <v>1</v>
      </c>
      <c r="R45" s="183" t="s">
        <v>222</v>
      </c>
      <c r="S45" s="183" t="s">
        <v>343</v>
      </c>
      <c r="T45" s="183" t="s">
        <v>338</v>
      </c>
      <c r="U45" s="184" t="s">
        <v>340</v>
      </c>
    </row>
    <row r="46" spans="1:21" ht="28" x14ac:dyDescent="0.15">
      <c r="A46" s="179">
        <v>60007</v>
      </c>
      <c r="B46" s="180" t="str">
        <f ca="1">VLOOKUP($A46,OFFSET([2]quests!$A$1,0,0,COUNTA([2]quests!$A:$A),MATCH(B$1,[2]quests!$1:$1,0)-MATCH($A$1,[2]quests!$1:$1,0)+1),MATCH(B$1,[2]quests!$1:$1,0)-MATCH($A$1,[2]quests!$1:$1,0)+1,FALSE)</f>
        <v>オイラーチャレンジ</v>
      </c>
      <c r="C46" s="180" t="str">
        <f ca="1">VLOOKUP($A46,OFFSET([2]quests!$A$1,0,0,COUNTA([2]quests!$A:$A),MATCH(C$1,[2]quests!$1:$1,0)-MATCH($A$1,[2]quests!$1:$1,0)+1),MATCH(C$1,[2]quests!$1:$1,0)-MATCH($A$1,[2]quests!$1:$1,0)+1,FALSE)</f>
        <v>ランキング1（改修版）</v>
      </c>
      <c r="D46" s="179">
        <v>1</v>
      </c>
      <c r="E46" s="181">
        <v>1</v>
      </c>
      <c r="F46" s="182" t="str">
        <f t="shared" si="13"/>
        <v>600070001</v>
      </c>
      <c r="G46" s="178" t="str">
        <f>F46&amp;TEXT(COUNTIF(F$2:F46,F46),"00")</f>
        <v>60007000104</v>
      </c>
      <c r="H46" s="183" t="s">
        <v>344</v>
      </c>
      <c r="I46" s="183">
        <v>837</v>
      </c>
      <c r="J46" s="183">
        <v>1</v>
      </c>
      <c r="K46" s="183">
        <v>0</v>
      </c>
      <c r="L46" s="183">
        <v>0</v>
      </c>
      <c r="M46" s="183">
        <v>0</v>
      </c>
      <c r="N46" s="183">
        <v>0</v>
      </c>
      <c r="O46" s="183">
        <v>1</v>
      </c>
      <c r="P46" s="183">
        <v>1</v>
      </c>
      <c r="Q46" s="183">
        <v>1</v>
      </c>
      <c r="R46" s="183" t="s">
        <v>222</v>
      </c>
      <c r="S46" s="183" t="s">
        <v>346</v>
      </c>
      <c r="T46" s="183" t="s">
        <v>338</v>
      </c>
      <c r="U46" s="184" t="s">
        <v>340</v>
      </c>
    </row>
    <row r="47" spans="1:21" ht="28" x14ac:dyDescent="0.15">
      <c r="A47" s="179">
        <v>60007</v>
      </c>
      <c r="B47" s="180" t="str">
        <f ca="1">VLOOKUP($A47,OFFSET([2]quests!$A$1,0,0,COUNTA([2]quests!$A:$A),MATCH(B$1,[2]quests!$1:$1,0)-MATCH($A$1,[2]quests!$1:$1,0)+1),MATCH(B$1,[2]quests!$1:$1,0)-MATCH($A$1,[2]quests!$1:$1,0)+1,FALSE)</f>
        <v>オイラーチャレンジ</v>
      </c>
      <c r="C47" s="180" t="str">
        <f ca="1">VLOOKUP($A47,OFFSET([2]quests!$A$1,0,0,COUNTA([2]quests!$A:$A),MATCH(C$1,[2]quests!$1:$1,0)-MATCH($A$1,[2]quests!$1:$1,0)+1),MATCH(C$1,[2]quests!$1:$1,0)-MATCH($A$1,[2]quests!$1:$1,0)+1,FALSE)</f>
        <v>ランキング1（改修版）</v>
      </c>
      <c r="D47" s="179">
        <v>1</v>
      </c>
      <c r="E47" s="181">
        <v>1</v>
      </c>
      <c r="F47" s="182" t="str">
        <f t="shared" si="13"/>
        <v>600070001</v>
      </c>
      <c r="G47" s="178" t="str">
        <f>F47&amp;TEXT(COUNTIF(F$2:F47,F47),"00")</f>
        <v>60007000105</v>
      </c>
      <c r="H47" s="183" t="s">
        <v>344</v>
      </c>
      <c r="I47" s="183">
        <v>614</v>
      </c>
      <c r="J47" s="183">
        <v>1</v>
      </c>
      <c r="K47" s="183">
        <v>0</v>
      </c>
      <c r="L47" s="183">
        <v>0</v>
      </c>
      <c r="M47" s="183">
        <v>0</v>
      </c>
      <c r="N47" s="183">
        <v>0</v>
      </c>
      <c r="O47" s="183">
        <v>1</v>
      </c>
      <c r="P47" s="183">
        <v>1</v>
      </c>
      <c r="Q47" s="183">
        <v>1</v>
      </c>
      <c r="R47" s="183" t="s">
        <v>222</v>
      </c>
      <c r="S47" s="183" t="s">
        <v>347</v>
      </c>
      <c r="T47" s="183" t="s">
        <v>338</v>
      </c>
      <c r="U47" s="184" t="s">
        <v>340</v>
      </c>
    </row>
    <row r="48" spans="1:21" ht="28" x14ac:dyDescent="0.15">
      <c r="A48" s="179">
        <v>60007</v>
      </c>
      <c r="B48" s="180" t="str">
        <f ca="1">VLOOKUP($A48,OFFSET([2]quests!$A$1,0,0,COUNTA([2]quests!$A:$A),MATCH(B$1,[2]quests!$1:$1,0)-MATCH($A$1,[2]quests!$1:$1,0)+1),MATCH(B$1,[2]quests!$1:$1,0)-MATCH($A$1,[2]quests!$1:$1,0)+1,FALSE)</f>
        <v>オイラーチャレンジ</v>
      </c>
      <c r="C48" s="180" t="str">
        <f ca="1">VLOOKUP($A48,OFFSET([2]quests!$A$1,0,0,COUNTA([2]quests!$A:$A),MATCH(C$1,[2]quests!$1:$1,0)-MATCH($A$1,[2]quests!$1:$1,0)+1),MATCH(C$1,[2]quests!$1:$1,0)-MATCH($A$1,[2]quests!$1:$1,0)+1,FALSE)</f>
        <v>ランキング1（改修版）</v>
      </c>
      <c r="D48" s="179">
        <v>2</v>
      </c>
      <c r="E48" s="181">
        <v>2</v>
      </c>
      <c r="F48" s="182" t="str">
        <f>A48&amp;TEXT(E48,"0000")</f>
        <v>600070002</v>
      </c>
      <c r="G48" s="178" t="str">
        <f>F48&amp;TEXT(COUNTIF(F$2:F48,F48),"00")</f>
        <v>60007000201</v>
      </c>
      <c r="H48" s="183" t="s">
        <v>339</v>
      </c>
      <c r="I48" s="183">
        <v>601</v>
      </c>
      <c r="J48" s="183">
        <v>1</v>
      </c>
      <c r="K48" s="183">
        <v>0</v>
      </c>
      <c r="L48" s="183">
        <v>0</v>
      </c>
      <c r="M48" s="183">
        <v>0</v>
      </c>
      <c r="N48" s="183">
        <v>0</v>
      </c>
      <c r="O48" s="183">
        <v>1</v>
      </c>
      <c r="P48" s="183">
        <v>1</v>
      </c>
      <c r="Q48" s="183">
        <v>1</v>
      </c>
      <c r="R48" s="183" t="s">
        <v>222</v>
      </c>
      <c r="S48" s="183" t="s">
        <v>337</v>
      </c>
      <c r="T48" s="183" t="s">
        <v>338</v>
      </c>
      <c r="U48" s="184" t="s">
        <v>340</v>
      </c>
    </row>
    <row r="49" spans="1:21" ht="28" x14ac:dyDescent="0.15">
      <c r="A49" s="179">
        <v>60007</v>
      </c>
      <c r="B49" s="180" t="str">
        <f ca="1">VLOOKUP($A49,OFFSET([2]quests!$A$1,0,0,COUNTA([2]quests!$A:$A),MATCH(B$1,[2]quests!$1:$1,0)-MATCH($A$1,[2]quests!$1:$1,0)+1),MATCH(B$1,[2]quests!$1:$1,0)-MATCH($A$1,[2]quests!$1:$1,0)+1,FALSE)</f>
        <v>オイラーチャレンジ</v>
      </c>
      <c r="C49" s="180" t="str">
        <f ca="1">VLOOKUP($A49,OFFSET([2]quests!$A$1,0,0,COUNTA([2]quests!$A:$A),MATCH(C$1,[2]quests!$1:$1,0)-MATCH($A$1,[2]quests!$1:$1,0)+1),MATCH(C$1,[2]quests!$1:$1,0)-MATCH($A$1,[2]quests!$1:$1,0)+1,FALSE)</f>
        <v>ランキング1（改修版）</v>
      </c>
      <c r="D49" s="179">
        <v>2</v>
      </c>
      <c r="E49" s="181">
        <v>2</v>
      </c>
      <c r="F49" s="182" t="str">
        <f t="shared" ref="F49:F67" si="14">A49&amp;TEXT(E49,"0000")</f>
        <v>600070002</v>
      </c>
      <c r="G49" s="178" t="str">
        <f>F49&amp;TEXT(COUNTIF(F$2:F49,F49),"00")</f>
        <v>60007000202</v>
      </c>
      <c r="H49" s="183" t="s">
        <v>339</v>
      </c>
      <c r="I49" s="183">
        <v>600</v>
      </c>
      <c r="J49" s="183">
        <v>1</v>
      </c>
      <c r="K49" s="183">
        <v>0</v>
      </c>
      <c r="L49" s="183">
        <v>0</v>
      </c>
      <c r="M49" s="183">
        <v>0</v>
      </c>
      <c r="N49" s="183">
        <v>0</v>
      </c>
      <c r="O49" s="183">
        <v>1</v>
      </c>
      <c r="P49" s="183">
        <v>1</v>
      </c>
      <c r="Q49" s="183">
        <v>1</v>
      </c>
      <c r="R49" s="183" t="s">
        <v>222</v>
      </c>
      <c r="S49" s="626" t="s">
        <v>422</v>
      </c>
      <c r="T49" s="183" t="s">
        <v>338</v>
      </c>
      <c r="U49" s="184" t="s">
        <v>340</v>
      </c>
    </row>
    <row r="50" spans="1:21" ht="28" x14ac:dyDescent="0.15">
      <c r="A50" s="179">
        <v>60007</v>
      </c>
      <c r="B50" s="180" t="str">
        <f ca="1">VLOOKUP($A50,OFFSET([2]quests!$A$1,0,0,COUNTA([2]quests!$A:$A),MATCH(B$1,[2]quests!$1:$1,0)-MATCH($A$1,[2]quests!$1:$1,0)+1),MATCH(B$1,[2]quests!$1:$1,0)-MATCH($A$1,[2]quests!$1:$1,0)+1,FALSE)</f>
        <v>オイラーチャレンジ</v>
      </c>
      <c r="C50" s="180" t="str">
        <f ca="1">VLOOKUP($A50,OFFSET([2]quests!$A$1,0,0,COUNTA([2]quests!$A:$A),MATCH(C$1,[2]quests!$1:$1,0)-MATCH($A$1,[2]quests!$1:$1,0)+1),MATCH(C$1,[2]quests!$1:$1,0)-MATCH($A$1,[2]quests!$1:$1,0)+1,FALSE)</f>
        <v>ランキング1（改修版）</v>
      </c>
      <c r="D50" s="179">
        <v>2</v>
      </c>
      <c r="E50" s="181">
        <v>2</v>
      </c>
      <c r="F50" s="182" t="str">
        <f t="shared" si="14"/>
        <v>600070002</v>
      </c>
      <c r="G50" s="178" t="str">
        <f>F50&amp;TEXT(COUNTIF(F$2:F50,F50),"00")</f>
        <v>60007000203</v>
      </c>
      <c r="H50" s="183" t="s">
        <v>342</v>
      </c>
      <c r="I50" s="183">
        <v>5</v>
      </c>
      <c r="J50" s="183" t="s">
        <v>53</v>
      </c>
      <c r="K50" s="183">
        <v>0</v>
      </c>
      <c r="L50" s="183">
        <v>0</v>
      </c>
      <c r="M50" s="183">
        <v>0</v>
      </c>
      <c r="N50" s="183">
        <v>0</v>
      </c>
      <c r="O50" s="183">
        <v>1</v>
      </c>
      <c r="P50" s="183">
        <v>1</v>
      </c>
      <c r="Q50" s="183">
        <v>1</v>
      </c>
      <c r="R50" s="183" t="s">
        <v>222</v>
      </c>
      <c r="S50" s="183" t="s">
        <v>349</v>
      </c>
      <c r="T50" s="183" t="s">
        <v>338</v>
      </c>
      <c r="U50" s="184" t="s">
        <v>340</v>
      </c>
    </row>
    <row r="51" spans="1:21" ht="28" x14ac:dyDescent="0.15">
      <c r="A51" s="179">
        <v>60007</v>
      </c>
      <c r="B51" s="180" t="str">
        <f ca="1">VLOOKUP($A51,OFFSET([2]quests!$A$1,0,0,COUNTA([2]quests!$A:$A),MATCH(B$1,[2]quests!$1:$1,0)-MATCH($A$1,[2]quests!$1:$1,0)+1),MATCH(B$1,[2]quests!$1:$1,0)-MATCH($A$1,[2]quests!$1:$1,0)+1,FALSE)</f>
        <v>オイラーチャレンジ</v>
      </c>
      <c r="C51" s="180" t="str">
        <f ca="1">VLOOKUP($A51,OFFSET([2]quests!$A$1,0,0,COUNTA([2]quests!$A:$A),MATCH(C$1,[2]quests!$1:$1,0)-MATCH($A$1,[2]quests!$1:$1,0)+1),MATCH(C$1,[2]quests!$1:$1,0)-MATCH($A$1,[2]quests!$1:$1,0)+1,FALSE)</f>
        <v>ランキング1（改修版）</v>
      </c>
      <c r="D51" s="179">
        <v>2</v>
      </c>
      <c r="E51" s="181">
        <v>2</v>
      </c>
      <c r="F51" s="182" t="str">
        <f t="shared" si="14"/>
        <v>600070002</v>
      </c>
      <c r="G51" s="178" t="str">
        <f>F51&amp;TEXT(COUNTIF(F$2:F51,F51),"00")</f>
        <v>60007000204</v>
      </c>
      <c r="H51" s="183" t="s">
        <v>344</v>
      </c>
      <c r="I51" s="183">
        <v>610</v>
      </c>
      <c r="J51" s="183">
        <v>1</v>
      </c>
      <c r="K51" s="183">
        <v>0</v>
      </c>
      <c r="L51" s="183">
        <v>0</v>
      </c>
      <c r="M51" s="183">
        <v>0</v>
      </c>
      <c r="N51" s="183">
        <v>0</v>
      </c>
      <c r="O51" s="183">
        <v>1</v>
      </c>
      <c r="P51" s="183">
        <v>1</v>
      </c>
      <c r="Q51" s="183">
        <v>1</v>
      </c>
      <c r="R51" s="183" t="s">
        <v>222</v>
      </c>
      <c r="S51" s="183" t="s">
        <v>348</v>
      </c>
      <c r="T51" s="183" t="s">
        <v>338</v>
      </c>
      <c r="U51" s="184" t="s">
        <v>340</v>
      </c>
    </row>
    <row r="52" spans="1:21" ht="28" x14ac:dyDescent="0.15">
      <c r="A52" s="179">
        <v>60007</v>
      </c>
      <c r="B52" s="180" t="str">
        <f ca="1">VLOOKUP($A52,OFFSET([2]quests!$A$1,0,0,COUNTA([2]quests!$A:$A),MATCH(B$1,[2]quests!$1:$1,0)-MATCH($A$1,[2]quests!$1:$1,0)+1),MATCH(B$1,[2]quests!$1:$1,0)-MATCH($A$1,[2]quests!$1:$1,0)+1,FALSE)</f>
        <v>オイラーチャレンジ</v>
      </c>
      <c r="C52" s="180" t="str">
        <f ca="1">VLOOKUP($A52,OFFSET([2]quests!$A$1,0,0,COUNTA([2]quests!$A:$A),MATCH(C$1,[2]quests!$1:$1,0)-MATCH($A$1,[2]quests!$1:$1,0)+1),MATCH(C$1,[2]quests!$1:$1,0)-MATCH($A$1,[2]quests!$1:$1,0)+1,FALSE)</f>
        <v>ランキング1（改修版）</v>
      </c>
      <c r="D52" s="179">
        <v>2</v>
      </c>
      <c r="E52" s="181">
        <v>2</v>
      </c>
      <c r="F52" s="182" t="str">
        <f t="shared" si="14"/>
        <v>600070002</v>
      </c>
      <c r="G52" s="178" t="str">
        <f>F52&amp;TEXT(COUNTIF(F$2:F52,F52),"00")</f>
        <v>60007000205</v>
      </c>
      <c r="H52" s="183" t="s">
        <v>339</v>
      </c>
      <c r="I52" s="183">
        <v>1</v>
      </c>
      <c r="J52" s="183">
        <v>3</v>
      </c>
      <c r="K52" s="183">
        <v>0</v>
      </c>
      <c r="L52" s="183">
        <v>0</v>
      </c>
      <c r="M52" s="183">
        <v>0</v>
      </c>
      <c r="N52" s="183">
        <v>0</v>
      </c>
      <c r="O52" s="183">
        <v>1</v>
      </c>
      <c r="P52" s="183">
        <v>1</v>
      </c>
      <c r="Q52" s="183">
        <v>1</v>
      </c>
      <c r="R52" s="183" t="s">
        <v>222</v>
      </c>
      <c r="S52" s="183" t="s">
        <v>351</v>
      </c>
      <c r="T52" s="183" t="s">
        <v>338</v>
      </c>
      <c r="U52" s="184" t="s">
        <v>340</v>
      </c>
    </row>
    <row r="53" spans="1:21" ht="28" x14ac:dyDescent="0.15">
      <c r="A53" s="179">
        <v>60007</v>
      </c>
      <c r="B53" s="180" t="str">
        <f ca="1">VLOOKUP($A53,OFFSET([2]quests!$A$1,0,0,COUNTA([2]quests!$A:$A),MATCH(B$1,[2]quests!$1:$1,0)-MATCH($A$1,[2]quests!$1:$1,0)+1),MATCH(B$1,[2]quests!$1:$1,0)-MATCH($A$1,[2]quests!$1:$1,0)+1,FALSE)</f>
        <v>オイラーチャレンジ</v>
      </c>
      <c r="C53" s="180" t="str">
        <f ca="1">VLOOKUP($A53,OFFSET([2]quests!$A$1,0,0,COUNTA([2]quests!$A:$A),MATCH(C$1,[2]quests!$1:$1,0)-MATCH($A$1,[2]quests!$1:$1,0)+1),MATCH(C$1,[2]quests!$1:$1,0)-MATCH($A$1,[2]quests!$1:$1,0)+1,FALSE)</f>
        <v>ランキング1（改修版）</v>
      </c>
      <c r="D53" s="179">
        <v>3</v>
      </c>
      <c r="E53" s="181">
        <v>3</v>
      </c>
      <c r="F53" s="182" t="str">
        <f t="shared" si="14"/>
        <v>600070003</v>
      </c>
      <c r="G53" s="178" t="str">
        <f>F53&amp;TEXT(COUNTIF(F$2:F53,F53),"00")</f>
        <v>60007000301</v>
      </c>
      <c r="H53" s="183" t="s">
        <v>339</v>
      </c>
      <c r="I53" s="183">
        <v>600</v>
      </c>
      <c r="J53" s="183">
        <v>3</v>
      </c>
      <c r="K53" s="183">
        <v>0</v>
      </c>
      <c r="L53" s="183">
        <v>0</v>
      </c>
      <c r="M53" s="183">
        <v>0</v>
      </c>
      <c r="N53" s="183">
        <v>0</v>
      </c>
      <c r="O53" s="183">
        <v>1</v>
      </c>
      <c r="P53" s="183">
        <v>1</v>
      </c>
      <c r="Q53" s="183">
        <v>1</v>
      </c>
      <c r="R53" s="183" t="s">
        <v>222</v>
      </c>
      <c r="S53" s="183" t="s">
        <v>352</v>
      </c>
      <c r="T53" s="183" t="s">
        <v>338</v>
      </c>
      <c r="U53" s="184" t="s">
        <v>340</v>
      </c>
    </row>
    <row r="54" spans="1:21" ht="28" x14ac:dyDescent="0.15">
      <c r="A54" s="179">
        <v>60007</v>
      </c>
      <c r="B54" s="180" t="str">
        <f ca="1">VLOOKUP($A54,OFFSET([2]quests!$A$1,0,0,COUNTA([2]quests!$A:$A),MATCH(B$1,[2]quests!$1:$1,0)-MATCH($A$1,[2]quests!$1:$1,0)+1),MATCH(B$1,[2]quests!$1:$1,0)-MATCH($A$1,[2]quests!$1:$1,0)+1,FALSE)</f>
        <v>オイラーチャレンジ</v>
      </c>
      <c r="C54" s="180" t="str">
        <f ca="1">VLOOKUP($A54,OFFSET([2]quests!$A$1,0,0,COUNTA([2]quests!$A:$A),MATCH(C$1,[2]quests!$1:$1,0)-MATCH($A$1,[2]quests!$1:$1,0)+1),MATCH(C$1,[2]quests!$1:$1,0)-MATCH($A$1,[2]quests!$1:$1,0)+1,FALSE)</f>
        <v>ランキング1（改修版）</v>
      </c>
      <c r="D54" s="179">
        <v>3</v>
      </c>
      <c r="E54" s="181">
        <v>3</v>
      </c>
      <c r="F54" s="182" t="str">
        <f t="shared" si="14"/>
        <v>600070003</v>
      </c>
      <c r="G54" s="178" t="str">
        <f>F54&amp;TEXT(COUNTIF(F$2:F54,F54),"00")</f>
        <v>60007000302</v>
      </c>
      <c r="H54" s="183" t="s">
        <v>344</v>
      </c>
      <c r="I54" s="183">
        <v>335</v>
      </c>
      <c r="J54" s="183">
        <v>1</v>
      </c>
      <c r="K54" s="183">
        <v>0</v>
      </c>
      <c r="L54" s="183">
        <v>0</v>
      </c>
      <c r="M54" s="183">
        <v>0</v>
      </c>
      <c r="N54" s="183">
        <v>0</v>
      </c>
      <c r="O54" s="183">
        <v>1</v>
      </c>
      <c r="P54" s="183">
        <v>1</v>
      </c>
      <c r="Q54" s="183">
        <v>1</v>
      </c>
      <c r="R54" s="183" t="s">
        <v>222</v>
      </c>
      <c r="S54" s="183" t="s">
        <v>353</v>
      </c>
      <c r="T54" s="183" t="s">
        <v>338</v>
      </c>
      <c r="U54" s="184" t="s">
        <v>340</v>
      </c>
    </row>
    <row r="55" spans="1:21" ht="28" x14ac:dyDescent="0.15">
      <c r="A55" s="179">
        <v>60007</v>
      </c>
      <c r="B55" s="180" t="str">
        <f ca="1">VLOOKUP($A55,OFFSET([2]quests!$A$1,0,0,COUNTA([2]quests!$A:$A),MATCH(B$1,[2]quests!$1:$1,0)-MATCH($A$1,[2]quests!$1:$1,0)+1),MATCH(B$1,[2]quests!$1:$1,0)-MATCH($A$1,[2]quests!$1:$1,0)+1,FALSE)</f>
        <v>オイラーチャレンジ</v>
      </c>
      <c r="C55" s="180" t="str">
        <f ca="1">VLOOKUP($A55,OFFSET([2]quests!$A$1,0,0,COUNTA([2]quests!$A:$A),MATCH(C$1,[2]quests!$1:$1,0)-MATCH($A$1,[2]quests!$1:$1,0)+1),MATCH(C$1,[2]quests!$1:$1,0)-MATCH($A$1,[2]quests!$1:$1,0)+1,FALSE)</f>
        <v>ランキング1（改修版）</v>
      </c>
      <c r="D55" s="179">
        <v>3</v>
      </c>
      <c r="E55" s="181">
        <v>3</v>
      </c>
      <c r="F55" s="182" t="str">
        <f t="shared" si="14"/>
        <v>600070003</v>
      </c>
      <c r="G55" s="178" t="str">
        <f>F55&amp;TEXT(COUNTIF(F$2:F55,F55),"00")</f>
        <v>60007000303</v>
      </c>
      <c r="H55" s="183" t="s">
        <v>344</v>
      </c>
      <c r="I55" s="183">
        <v>339</v>
      </c>
      <c r="J55" s="183">
        <v>1</v>
      </c>
      <c r="K55" s="183">
        <v>0</v>
      </c>
      <c r="L55" s="183">
        <v>0</v>
      </c>
      <c r="M55" s="183">
        <v>0</v>
      </c>
      <c r="N55" s="183">
        <v>0</v>
      </c>
      <c r="O55" s="183">
        <v>1</v>
      </c>
      <c r="P55" s="183">
        <v>1</v>
      </c>
      <c r="Q55" s="183">
        <v>1</v>
      </c>
      <c r="R55" s="183" t="s">
        <v>222</v>
      </c>
      <c r="S55" s="183" t="s">
        <v>354</v>
      </c>
      <c r="T55" s="183" t="s">
        <v>338</v>
      </c>
      <c r="U55" s="184" t="s">
        <v>340</v>
      </c>
    </row>
    <row r="56" spans="1:21" ht="28" x14ac:dyDescent="0.15">
      <c r="A56" s="179">
        <v>60007</v>
      </c>
      <c r="B56" s="180" t="str">
        <f ca="1">VLOOKUP($A56,OFFSET([2]quests!$A$1,0,0,COUNTA([2]quests!$A:$A),MATCH(B$1,[2]quests!$1:$1,0)-MATCH($A$1,[2]quests!$1:$1,0)+1),MATCH(B$1,[2]quests!$1:$1,0)-MATCH($A$1,[2]quests!$1:$1,0)+1,FALSE)</f>
        <v>オイラーチャレンジ</v>
      </c>
      <c r="C56" s="180" t="str">
        <f ca="1">VLOOKUP($A56,OFFSET([2]quests!$A$1,0,0,COUNTA([2]quests!$A:$A),MATCH(C$1,[2]quests!$1:$1,0)-MATCH($A$1,[2]quests!$1:$1,0)+1),MATCH(C$1,[2]quests!$1:$1,0)-MATCH($A$1,[2]quests!$1:$1,0)+1,FALSE)</f>
        <v>ランキング1（改修版）</v>
      </c>
      <c r="D56" s="179">
        <v>3</v>
      </c>
      <c r="E56" s="181">
        <v>3</v>
      </c>
      <c r="F56" s="182" t="str">
        <f t="shared" si="14"/>
        <v>600070003</v>
      </c>
      <c r="G56" s="178" t="str">
        <f>F56&amp;TEXT(COUNTIF(F$2:F56,F56),"00")</f>
        <v>60007000304</v>
      </c>
      <c r="H56" s="183" t="s">
        <v>344</v>
      </c>
      <c r="I56" s="183">
        <v>343</v>
      </c>
      <c r="J56" s="183">
        <v>1</v>
      </c>
      <c r="K56" s="183">
        <v>0</v>
      </c>
      <c r="L56" s="183">
        <v>0</v>
      </c>
      <c r="M56" s="183">
        <v>0</v>
      </c>
      <c r="N56" s="183">
        <v>0</v>
      </c>
      <c r="O56" s="183">
        <v>1</v>
      </c>
      <c r="P56" s="183">
        <v>1</v>
      </c>
      <c r="Q56" s="183">
        <v>1</v>
      </c>
      <c r="R56" s="183" t="s">
        <v>222</v>
      </c>
      <c r="S56" s="183" t="s">
        <v>355</v>
      </c>
      <c r="T56" s="183" t="s">
        <v>338</v>
      </c>
      <c r="U56" s="184" t="s">
        <v>340</v>
      </c>
    </row>
    <row r="57" spans="1:21" ht="28" x14ac:dyDescent="0.15">
      <c r="A57" s="179">
        <v>60007</v>
      </c>
      <c r="B57" s="180" t="str">
        <f ca="1">VLOOKUP($A57,OFFSET([2]quests!$A$1,0,0,COUNTA([2]quests!$A:$A),MATCH(B$1,[2]quests!$1:$1,0)-MATCH($A$1,[2]quests!$1:$1,0)+1),MATCH(B$1,[2]quests!$1:$1,0)-MATCH($A$1,[2]quests!$1:$1,0)+1,FALSE)</f>
        <v>オイラーチャレンジ</v>
      </c>
      <c r="C57" s="180" t="str">
        <f ca="1">VLOOKUP($A57,OFFSET([2]quests!$A$1,0,0,COUNTA([2]quests!$A:$A),MATCH(C$1,[2]quests!$1:$1,0)-MATCH($A$1,[2]quests!$1:$1,0)+1),MATCH(C$1,[2]quests!$1:$1,0)-MATCH($A$1,[2]quests!$1:$1,0)+1,FALSE)</f>
        <v>ランキング1（改修版）</v>
      </c>
      <c r="D57" s="179">
        <v>3</v>
      </c>
      <c r="E57" s="181">
        <v>3</v>
      </c>
      <c r="F57" s="182" t="str">
        <f t="shared" si="14"/>
        <v>600070003</v>
      </c>
      <c r="G57" s="178" t="str">
        <f>F57&amp;TEXT(COUNTIF(F$2:F57,F57),"00")</f>
        <v>60007000305</v>
      </c>
      <c r="H57" s="183" t="s">
        <v>344</v>
      </c>
      <c r="I57" s="183">
        <v>347</v>
      </c>
      <c r="J57" s="183">
        <v>1</v>
      </c>
      <c r="K57" s="183">
        <v>0</v>
      </c>
      <c r="L57" s="183">
        <v>0</v>
      </c>
      <c r="M57" s="183">
        <v>0</v>
      </c>
      <c r="N57" s="183">
        <v>0</v>
      </c>
      <c r="O57" s="183">
        <v>1</v>
      </c>
      <c r="P57" s="183">
        <v>1</v>
      </c>
      <c r="Q57" s="183">
        <v>1</v>
      </c>
      <c r="R57" s="183" t="s">
        <v>222</v>
      </c>
      <c r="S57" s="183" t="s">
        <v>356</v>
      </c>
      <c r="T57" s="183" t="s">
        <v>338</v>
      </c>
      <c r="U57" s="184" t="s">
        <v>340</v>
      </c>
    </row>
    <row r="58" spans="1:21" ht="28" x14ac:dyDescent="0.15">
      <c r="A58" s="179">
        <v>60007</v>
      </c>
      <c r="B58" s="180" t="str">
        <f ca="1">VLOOKUP($A58,OFFSET([2]quests!$A$1,0,0,COUNTA([2]quests!$A:$A),MATCH(B$1,[2]quests!$1:$1,0)-MATCH($A$1,[2]quests!$1:$1,0)+1),MATCH(B$1,[2]quests!$1:$1,0)-MATCH($A$1,[2]quests!$1:$1,0)+1,FALSE)</f>
        <v>オイラーチャレンジ</v>
      </c>
      <c r="C58" s="180" t="str">
        <f ca="1">VLOOKUP($A58,OFFSET([2]quests!$A$1,0,0,COUNTA([2]quests!$A:$A),MATCH(C$1,[2]quests!$1:$1,0)-MATCH($A$1,[2]quests!$1:$1,0)+1),MATCH(C$1,[2]quests!$1:$1,0)-MATCH($A$1,[2]quests!$1:$1,0)+1,FALSE)</f>
        <v>ランキング1（改修版）</v>
      </c>
      <c r="D58" s="179">
        <v>3</v>
      </c>
      <c r="E58" s="181">
        <v>3</v>
      </c>
      <c r="F58" s="182" t="str">
        <f t="shared" si="14"/>
        <v>600070003</v>
      </c>
      <c r="G58" s="178" t="str">
        <f>F58&amp;TEXT(COUNTIF(F$2:F58,F58),"00")</f>
        <v>60007000306</v>
      </c>
      <c r="H58" s="183" t="s">
        <v>342</v>
      </c>
      <c r="I58" s="183">
        <v>5</v>
      </c>
      <c r="J58" s="183" t="s">
        <v>53</v>
      </c>
      <c r="K58" s="183">
        <v>0</v>
      </c>
      <c r="L58" s="183">
        <v>0</v>
      </c>
      <c r="M58" s="183">
        <v>0</v>
      </c>
      <c r="N58" s="183">
        <v>0</v>
      </c>
      <c r="O58" s="183">
        <v>1</v>
      </c>
      <c r="P58" s="183">
        <v>1</v>
      </c>
      <c r="Q58" s="183">
        <v>1</v>
      </c>
      <c r="R58" s="183" t="s">
        <v>222</v>
      </c>
      <c r="S58" s="183" t="s">
        <v>349</v>
      </c>
      <c r="T58" s="183" t="s">
        <v>338</v>
      </c>
      <c r="U58" s="184" t="s">
        <v>340</v>
      </c>
    </row>
    <row r="59" spans="1:21" ht="28" x14ac:dyDescent="0.15">
      <c r="A59" s="179">
        <v>60007</v>
      </c>
      <c r="B59" s="180" t="str">
        <f ca="1">VLOOKUP($A59,OFFSET([2]quests!$A$1,0,0,COUNTA([2]quests!$A:$A),MATCH(B$1,[2]quests!$1:$1,0)-MATCH($A$1,[2]quests!$1:$1,0)+1),MATCH(B$1,[2]quests!$1:$1,0)-MATCH($A$1,[2]quests!$1:$1,0)+1,FALSE)</f>
        <v>オイラーチャレンジ</v>
      </c>
      <c r="C59" s="180" t="str">
        <f ca="1">VLOOKUP($A59,OFFSET([2]quests!$A$1,0,0,COUNTA([2]quests!$A:$A),MATCH(C$1,[2]quests!$1:$1,0)-MATCH($A$1,[2]quests!$1:$1,0)+1),MATCH(C$1,[2]quests!$1:$1,0)-MATCH($A$1,[2]quests!$1:$1,0)+1,FALSE)</f>
        <v>ランキング1（改修版）</v>
      </c>
      <c r="D59" s="179">
        <v>3</v>
      </c>
      <c r="E59" s="181">
        <v>3</v>
      </c>
      <c r="F59" s="182" t="str">
        <f t="shared" si="14"/>
        <v>600070003</v>
      </c>
      <c r="G59" s="178" t="str">
        <f>F59&amp;TEXT(COUNTIF(F$2:F59,F59),"00")</f>
        <v>60007000307</v>
      </c>
      <c r="H59" s="183" t="s">
        <v>344</v>
      </c>
      <c r="I59" s="183">
        <v>125</v>
      </c>
      <c r="J59" s="183">
        <v>1</v>
      </c>
      <c r="K59" s="183">
        <v>0</v>
      </c>
      <c r="L59" s="183">
        <v>0</v>
      </c>
      <c r="M59" s="183">
        <v>0</v>
      </c>
      <c r="N59" s="183">
        <v>0</v>
      </c>
      <c r="O59" s="183">
        <v>1</v>
      </c>
      <c r="P59" s="183">
        <v>1</v>
      </c>
      <c r="Q59" s="183">
        <v>1</v>
      </c>
      <c r="R59" s="183" t="s">
        <v>222</v>
      </c>
      <c r="S59" s="183" t="s">
        <v>357</v>
      </c>
      <c r="T59" s="183" t="s">
        <v>338</v>
      </c>
      <c r="U59" s="184" t="s">
        <v>340</v>
      </c>
    </row>
    <row r="60" spans="1:21" ht="28" x14ac:dyDescent="0.15">
      <c r="A60" s="179">
        <v>60007</v>
      </c>
      <c r="B60" s="180" t="str">
        <f ca="1">VLOOKUP($A60,OFFSET([2]quests!$A$1,0,0,COUNTA([2]quests!$A:$A),MATCH(B$1,[2]quests!$1:$1,0)-MATCH($A$1,[2]quests!$1:$1,0)+1),MATCH(B$1,[2]quests!$1:$1,0)-MATCH($A$1,[2]quests!$1:$1,0)+1,FALSE)</f>
        <v>オイラーチャレンジ</v>
      </c>
      <c r="C60" s="180" t="str">
        <f ca="1">VLOOKUP($A60,OFFSET([2]quests!$A$1,0,0,COUNTA([2]quests!$A:$A),MATCH(C$1,[2]quests!$1:$1,0)-MATCH($A$1,[2]quests!$1:$1,0)+1),MATCH(C$1,[2]quests!$1:$1,0)-MATCH($A$1,[2]quests!$1:$1,0)+1,FALSE)</f>
        <v>ランキング1（改修版）</v>
      </c>
      <c r="D60" s="179">
        <v>3</v>
      </c>
      <c r="E60" s="181">
        <v>3</v>
      </c>
      <c r="F60" s="182" t="str">
        <f t="shared" si="14"/>
        <v>600070003</v>
      </c>
      <c r="G60" s="178" t="str">
        <f>F60&amp;TEXT(COUNTIF(F$2:F60,F60),"00")</f>
        <v>60007000308</v>
      </c>
      <c r="H60" s="183" t="s">
        <v>339</v>
      </c>
      <c r="I60" s="183">
        <v>1</v>
      </c>
      <c r="J60" s="183">
        <v>1</v>
      </c>
      <c r="K60" s="183">
        <v>0</v>
      </c>
      <c r="L60" s="183">
        <v>0</v>
      </c>
      <c r="M60" s="183">
        <v>0</v>
      </c>
      <c r="N60" s="183">
        <v>0</v>
      </c>
      <c r="O60" s="183">
        <v>1</v>
      </c>
      <c r="P60" s="183">
        <v>1</v>
      </c>
      <c r="Q60" s="183">
        <v>1</v>
      </c>
      <c r="R60" s="183" t="s">
        <v>222</v>
      </c>
      <c r="S60" s="183" t="s">
        <v>358</v>
      </c>
      <c r="T60" s="183" t="s">
        <v>338</v>
      </c>
      <c r="U60" s="184" t="s">
        <v>340</v>
      </c>
    </row>
    <row r="61" spans="1:21" ht="28" x14ac:dyDescent="0.15">
      <c r="A61" s="179">
        <v>60007</v>
      </c>
      <c r="B61" s="180" t="str">
        <f ca="1">VLOOKUP($A61,OFFSET([2]quests!$A$1,0,0,COUNTA([2]quests!$A:$A),MATCH(B$1,[2]quests!$1:$1,0)-MATCH($A$1,[2]quests!$1:$1,0)+1),MATCH(B$1,[2]quests!$1:$1,0)-MATCH($A$1,[2]quests!$1:$1,0)+1,FALSE)</f>
        <v>オイラーチャレンジ</v>
      </c>
      <c r="C61" s="180" t="str">
        <f ca="1">VLOOKUP($A61,OFFSET([2]quests!$A$1,0,0,COUNTA([2]quests!$A:$A),MATCH(C$1,[2]quests!$1:$1,0)-MATCH($A$1,[2]quests!$1:$1,0)+1),MATCH(C$1,[2]quests!$1:$1,0)-MATCH($A$1,[2]quests!$1:$1,0)+1,FALSE)</f>
        <v>ランキング1（改修版）</v>
      </c>
      <c r="D61" s="179">
        <v>4</v>
      </c>
      <c r="E61" s="181">
        <v>5</v>
      </c>
      <c r="F61" s="182" t="str">
        <f t="shared" si="14"/>
        <v>600070005</v>
      </c>
      <c r="G61" s="178" t="str">
        <f>F61&amp;TEXT(COUNTIF(F$2:F61,F61),"00")</f>
        <v>60007000501</v>
      </c>
      <c r="H61" s="183" t="s">
        <v>339</v>
      </c>
      <c r="I61" s="183">
        <v>600</v>
      </c>
      <c r="J61" s="183">
        <v>2</v>
      </c>
      <c r="K61" s="183">
        <v>0</v>
      </c>
      <c r="L61" s="183">
        <v>0</v>
      </c>
      <c r="M61" s="183">
        <v>0</v>
      </c>
      <c r="N61" s="183">
        <v>0</v>
      </c>
      <c r="O61" s="183">
        <v>1</v>
      </c>
      <c r="P61" s="183">
        <v>1</v>
      </c>
      <c r="Q61" s="183">
        <v>1</v>
      </c>
      <c r="R61" s="183" t="s">
        <v>222</v>
      </c>
      <c r="S61" s="183" t="s">
        <v>341</v>
      </c>
      <c r="T61" s="183" t="s">
        <v>338</v>
      </c>
      <c r="U61" s="184" t="s">
        <v>340</v>
      </c>
    </row>
    <row r="62" spans="1:21" ht="28" x14ac:dyDescent="0.15">
      <c r="A62" s="179">
        <v>60007</v>
      </c>
      <c r="B62" s="180" t="str">
        <f ca="1">VLOOKUP($A62,OFFSET([2]quests!$A$1,0,0,COUNTA([2]quests!$A:$A),MATCH(B$1,[2]quests!$1:$1,0)-MATCH($A$1,[2]quests!$1:$1,0)+1),MATCH(B$1,[2]quests!$1:$1,0)-MATCH($A$1,[2]quests!$1:$1,0)+1,FALSE)</f>
        <v>オイラーチャレンジ</v>
      </c>
      <c r="C62" s="180" t="str">
        <f ca="1">VLOOKUP($A62,OFFSET([2]quests!$A$1,0,0,COUNTA([2]quests!$A:$A),MATCH(C$1,[2]quests!$1:$1,0)-MATCH($A$1,[2]quests!$1:$1,0)+1),MATCH(C$1,[2]quests!$1:$1,0)-MATCH($A$1,[2]quests!$1:$1,0)+1,FALSE)</f>
        <v>ランキング1（改修版）</v>
      </c>
      <c r="D62" s="179">
        <v>4</v>
      </c>
      <c r="E62" s="181">
        <v>5</v>
      </c>
      <c r="F62" s="182" t="str">
        <f t="shared" si="14"/>
        <v>600070005</v>
      </c>
      <c r="G62" s="178" t="str">
        <f>F62&amp;TEXT(COUNTIF(F$2:F62,F62),"00")</f>
        <v>60007000502</v>
      </c>
      <c r="H62" s="183" t="s">
        <v>344</v>
      </c>
      <c r="I62" s="183">
        <v>335</v>
      </c>
      <c r="J62" s="183">
        <v>1</v>
      </c>
      <c r="K62" s="183">
        <v>0</v>
      </c>
      <c r="L62" s="183">
        <v>0</v>
      </c>
      <c r="M62" s="183">
        <v>0</v>
      </c>
      <c r="N62" s="183">
        <v>0</v>
      </c>
      <c r="O62" s="183">
        <v>1</v>
      </c>
      <c r="P62" s="183">
        <v>1</v>
      </c>
      <c r="Q62" s="183">
        <v>1</v>
      </c>
      <c r="R62" s="183" t="s">
        <v>222</v>
      </c>
      <c r="S62" s="183" t="s">
        <v>353</v>
      </c>
      <c r="T62" s="183" t="s">
        <v>338</v>
      </c>
      <c r="U62" s="184" t="s">
        <v>340</v>
      </c>
    </row>
    <row r="63" spans="1:21" ht="28" x14ac:dyDescent="0.15">
      <c r="A63" s="179">
        <v>60007</v>
      </c>
      <c r="B63" s="180" t="str">
        <f ca="1">VLOOKUP($A63,OFFSET([2]quests!$A$1,0,0,COUNTA([2]quests!$A:$A),MATCH(B$1,[2]quests!$1:$1,0)-MATCH($A$1,[2]quests!$1:$1,0)+1),MATCH(B$1,[2]quests!$1:$1,0)-MATCH($A$1,[2]quests!$1:$1,0)+1,FALSE)</f>
        <v>オイラーチャレンジ</v>
      </c>
      <c r="C63" s="180" t="str">
        <f ca="1">VLOOKUP($A63,OFFSET([2]quests!$A$1,0,0,COUNTA([2]quests!$A:$A),MATCH(C$1,[2]quests!$1:$1,0)-MATCH($A$1,[2]quests!$1:$1,0)+1),MATCH(C$1,[2]quests!$1:$1,0)-MATCH($A$1,[2]quests!$1:$1,0)+1,FALSE)</f>
        <v>ランキング1（改修版）</v>
      </c>
      <c r="D63" s="179">
        <v>4</v>
      </c>
      <c r="E63" s="181">
        <v>5</v>
      </c>
      <c r="F63" s="182" t="str">
        <f t="shared" si="14"/>
        <v>600070005</v>
      </c>
      <c r="G63" s="178" t="str">
        <f>F63&amp;TEXT(COUNTIF(F$2:F63,F63),"00")</f>
        <v>60007000503</v>
      </c>
      <c r="H63" s="183" t="s">
        <v>344</v>
      </c>
      <c r="I63" s="183">
        <v>339</v>
      </c>
      <c r="J63" s="183">
        <v>1</v>
      </c>
      <c r="K63" s="183">
        <v>0</v>
      </c>
      <c r="L63" s="183">
        <v>0</v>
      </c>
      <c r="M63" s="183">
        <v>0</v>
      </c>
      <c r="N63" s="183">
        <v>0</v>
      </c>
      <c r="O63" s="183">
        <v>1</v>
      </c>
      <c r="P63" s="183">
        <v>1</v>
      </c>
      <c r="Q63" s="183">
        <v>1</v>
      </c>
      <c r="R63" s="183" t="s">
        <v>222</v>
      </c>
      <c r="S63" s="183" t="s">
        <v>354</v>
      </c>
      <c r="T63" s="183" t="s">
        <v>338</v>
      </c>
      <c r="U63" s="184" t="s">
        <v>340</v>
      </c>
    </row>
    <row r="64" spans="1:21" ht="28" x14ac:dyDescent="0.15">
      <c r="A64" s="179">
        <v>60007</v>
      </c>
      <c r="B64" s="180" t="str">
        <f ca="1">VLOOKUP($A64,OFFSET([2]quests!$A$1,0,0,COUNTA([2]quests!$A:$A),MATCH(B$1,[2]quests!$1:$1,0)-MATCH($A$1,[2]quests!$1:$1,0)+1),MATCH(B$1,[2]quests!$1:$1,0)-MATCH($A$1,[2]quests!$1:$1,0)+1,FALSE)</f>
        <v>オイラーチャレンジ</v>
      </c>
      <c r="C64" s="180" t="str">
        <f ca="1">VLOOKUP($A64,OFFSET([2]quests!$A$1,0,0,COUNTA([2]quests!$A:$A),MATCH(C$1,[2]quests!$1:$1,0)-MATCH($A$1,[2]quests!$1:$1,0)+1),MATCH(C$1,[2]quests!$1:$1,0)-MATCH($A$1,[2]quests!$1:$1,0)+1,FALSE)</f>
        <v>ランキング1（改修版）</v>
      </c>
      <c r="D64" s="179">
        <v>4</v>
      </c>
      <c r="E64" s="181">
        <v>5</v>
      </c>
      <c r="F64" s="182" t="str">
        <f t="shared" si="14"/>
        <v>600070005</v>
      </c>
      <c r="G64" s="178" t="str">
        <f>F64&amp;TEXT(COUNTIF(F$2:F64,F64),"00")</f>
        <v>60007000504</v>
      </c>
      <c r="H64" s="183" t="s">
        <v>344</v>
      </c>
      <c r="I64" s="183">
        <v>343</v>
      </c>
      <c r="J64" s="183">
        <v>1</v>
      </c>
      <c r="K64" s="183">
        <v>0</v>
      </c>
      <c r="L64" s="183">
        <v>0</v>
      </c>
      <c r="M64" s="183">
        <v>0</v>
      </c>
      <c r="N64" s="183">
        <v>0</v>
      </c>
      <c r="O64" s="183">
        <v>1</v>
      </c>
      <c r="P64" s="183">
        <v>1</v>
      </c>
      <c r="Q64" s="183">
        <v>1</v>
      </c>
      <c r="R64" s="183" t="s">
        <v>222</v>
      </c>
      <c r="S64" s="183" t="s">
        <v>355</v>
      </c>
      <c r="T64" s="183" t="s">
        <v>338</v>
      </c>
      <c r="U64" s="184" t="s">
        <v>340</v>
      </c>
    </row>
    <row r="65" spans="1:21" ht="28" x14ac:dyDescent="0.15">
      <c r="A65" s="179">
        <v>60007</v>
      </c>
      <c r="B65" s="180" t="str">
        <f ca="1">VLOOKUP($A65,OFFSET([2]quests!$A$1,0,0,COUNTA([2]quests!$A:$A),MATCH(B$1,[2]quests!$1:$1,0)-MATCH($A$1,[2]quests!$1:$1,0)+1),MATCH(B$1,[2]quests!$1:$1,0)-MATCH($A$1,[2]quests!$1:$1,0)+1,FALSE)</f>
        <v>オイラーチャレンジ</v>
      </c>
      <c r="C65" s="180" t="str">
        <f ca="1">VLOOKUP($A65,OFFSET([2]quests!$A$1,0,0,COUNTA([2]quests!$A:$A),MATCH(C$1,[2]quests!$1:$1,0)-MATCH($A$1,[2]quests!$1:$1,0)+1),MATCH(C$1,[2]quests!$1:$1,0)-MATCH($A$1,[2]quests!$1:$1,0)+1,FALSE)</f>
        <v>ランキング1（改修版）</v>
      </c>
      <c r="D65" s="179">
        <v>4</v>
      </c>
      <c r="E65" s="181">
        <v>5</v>
      </c>
      <c r="F65" s="182" t="str">
        <f t="shared" si="14"/>
        <v>600070005</v>
      </c>
      <c r="G65" s="178" t="str">
        <f>F65&amp;TEXT(COUNTIF(F$2:F65,F65),"00")</f>
        <v>60007000505</v>
      </c>
      <c r="H65" s="183" t="s">
        <v>344</v>
      </c>
      <c r="I65" s="183">
        <v>347</v>
      </c>
      <c r="J65" s="183">
        <v>1</v>
      </c>
      <c r="K65" s="183">
        <v>0</v>
      </c>
      <c r="L65" s="183">
        <v>0</v>
      </c>
      <c r="M65" s="183">
        <v>0</v>
      </c>
      <c r="N65" s="183">
        <v>0</v>
      </c>
      <c r="O65" s="183">
        <v>1</v>
      </c>
      <c r="P65" s="183">
        <v>1</v>
      </c>
      <c r="Q65" s="183">
        <v>1</v>
      </c>
      <c r="R65" s="183" t="s">
        <v>222</v>
      </c>
      <c r="S65" s="183" t="s">
        <v>356</v>
      </c>
      <c r="T65" s="183" t="s">
        <v>338</v>
      </c>
      <c r="U65" s="184" t="s">
        <v>340</v>
      </c>
    </row>
    <row r="66" spans="1:21" ht="28" x14ac:dyDescent="0.15">
      <c r="A66" s="179">
        <v>60007</v>
      </c>
      <c r="B66" s="180" t="str">
        <f ca="1">VLOOKUP($A66,OFFSET([2]quests!$A$1,0,0,COUNTA([2]quests!$A:$A),MATCH(B$1,[2]quests!$1:$1,0)-MATCH($A$1,[2]quests!$1:$1,0)+1),MATCH(B$1,[2]quests!$1:$1,0)-MATCH($A$1,[2]quests!$1:$1,0)+1,FALSE)</f>
        <v>オイラーチャレンジ</v>
      </c>
      <c r="C66" s="180" t="str">
        <f ca="1">VLOOKUP($A66,OFFSET([2]quests!$A$1,0,0,COUNTA([2]quests!$A:$A),MATCH(C$1,[2]quests!$1:$1,0)-MATCH($A$1,[2]quests!$1:$1,0)+1),MATCH(C$1,[2]quests!$1:$1,0)-MATCH($A$1,[2]quests!$1:$1,0)+1,FALSE)</f>
        <v>ランキング1（改修版）</v>
      </c>
      <c r="D66" s="179">
        <v>4</v>
      </c>
      <c r="E66" s="181">
        <v>5</v>
      </c>
      <c r="F66" s="182" t="str">
        <f t="shared" si="14"/>
        <v>600070005</v>
      </c>
      <c r="G66" s="178" t="str">
        <f>F66&amp;TEXT(COUNTIF(F$2:F66,F66),"00")</f>
        <v>60007000506</v>
      </c>
      <c r="H66" s="183" t="s">
        <v>342</v>
      </c>
      <c r="I66" s="183">
        <v>5</v>
      </c>
      <c r="J66" s="183" t="s">
        <v>53</v>
      </c>
      <c r="K66" s="183">
        <v>0</v>
      </c>
      <c r="L66" s="183">
        <v>0</v>
      </c>
      <c r="M66" s="183">
        <v>0</v>
      </c>
      <c r="N66" s="183">
        <v>0</v>
      </c>
      <c r="O66" s="183">
        <v>1</v>
      </c>
      <c r="P66" s="183">
        <v>1</v>
      </c>
      <c r="Q66" s="183">
        <v>1</v>
      </c>
      <c r="R66" s="183" t="s">
        <v>222</v>
      </c>
      <c r="S66" s="183" t="s">
        <v>349</v>
      </c>
      <c r="T66" s="183" t="s">
        <v>338</v>
      </c>
      <c r="U66" s="184" t="s">
        <v>340</v>
      </c>
    </row>
    <row r="67" spans="1:21" ht="28" x14ac:dyDescent="0.15">
      <c r="A67" s="179">
        <v>60007</v>
      </c>
      <c r="B67" s="180" t="str">
        <f ca="1">VLOOKUP($A67,OFFSET([2]quests!$A$1,0,0,COUNTA([2]quests!$A:$A),MATCH(B$1,[2]quests!$1:$1,0)-MATCH($A$1,[2]quests!$1:$1,0)+1),MATCH(B$1,[2]quests!$1:$1,0)-MATCH($A$1,[2]quests!$1:$1,0)+1,FALSE)</f>
        <v>オイラーチャレンジ</v>
      </c>
      <c r="C67" s="180" t="str">
        <f ca="1">VLOOKUP($A67,OFFSET([2]quests!$A$1,0,0,COUNTA([2]quests!$A:$A),MATCH(C$1,[2]quests!$1:$1,0)-MATCH($A$1,[2]quests!$1:$1,0)+1),MATCH(C$1,[2]quests!$1:$1,0)-MATCH($A$1,[2]quests!$1:$1,0)+1,FALSE)</f>
        <v>ランキング1（改修版）</v>
      </c>
      <c r="D67" s="179">
        <v>4</v>
      </c>
      <c r="E67" s="181">
        <v>5</v>
      </c>
      <c r="F67" s="182" t="str">
        <f t="shared" si="14"/>
        <v>600070005</v>
      </c>
      <c r="G67" s="178" t="str">
        <f>F67&amp;TEXT(COUNTIF(F$2:F67,F67),"00")</f>
        <v>60007000507</v>
      </c>
      <c r="H67" s="183" t="s">
        <v>359</v>
      </c>
      <c r="I67" s="183">
        <v>2000</v>
      </c>
      <c r="J67" s="183" t="s">
        <v>53</v>
      </c>
      <c r="K67" s="183">
        <v>0</v>
      </c>
      <c r="L67" s="183">
        <v>0</v>
      </c>
      <c r="M67" s="183">
        <v>0</v>
      </c>
      <c r="N67" s="183">
        <v>0</v>
      </c>
      <c r="O67" s="183">
        <v>1</v>
      </c>
      <c r="P67" s="183">
        <v>1</v>
      </c>
      <c r="Q67" s="183">
        <v>1</v>
      </c>
      <c r="R67" s="183" t="s">
        <v>222</v>
      </c>
      <c r="S67" s="183" t="s">
        <v>360</v>
      </c>
      <c r="T67" s="183" t="s">
        <v>338</v>
      </c>
      <c r="U67" s="184" t="s">
        <v>340</v>
      </c>
    </row>
    <row r="68" spans="1:21" ht="28" x14ac:dyDescent="0.15">
      <c r="A68" s="179">
        <v>60007</v>
      </c>
      <c r="B68" s="180" t="str">
        <f ca="1">VLOOKUP($A68,OFFSET([2]quests!$A$1,0,0,COUNTA([2]quests!$A:$A),MATCH(B$1,[2]quests!$1:$1,0)-MATCH($A$1,[2]quests!$1:$1,0)+1),MATCH(B$1,[2]quests!$1:$1,0)-MATCH($A$1,[2]quests!$1:$1,0)+1,FALSE)</f>
        <v>オイラーチャレンジ</v>
      </c>
      <c r="C68" s="180" t="str">
        <f ca="1">VLOOKUP($A68,OFFSET([2]quests!$A$1,0,0,COUNTA([2]quests!$A:$A),MATCH(C$1,[2]quests!$1:$1,0)-MATCH($A$1,[2]quests!$1:$1,0)+1),MATCH(C$1,[2]quests!$1:$1,0)-MATCH($A$1,[2]quests!$1:$1,0)+1,FALSE)</f>
        <v>ランキング1（改修版）</v>
      </c>
      <c r="D68" s="179">
        <v>6</v>
      </c>
      <c r="E68" s="181">
        <v>10</v>
      </c>
      <c r="F68" s="182" t="str">
        <f>A68&amp;TEXT(E68,"0000")</f>
        <v>600070010</v>
      </c>
      <c r="G68" s="178" t="str">
        <f>F68&amp;TEXT(COUNTIF(F$2:F68,F68),"00")</f>
        <v>60007001001</v>
      </c>
      <c r="H68" s="183" t="s">
        <v>339</v>
      </c>
      <c r="I68" s="183">
        <v>600</v>
      </c>
      <c r="J68" s="183">
        <v>1</v>
      </c>
      <c r="K68" s="183">
        <v>0</v>
      </c>
      <c r="L68" s="183">
        <v>0</v>
      </c>
      <c r="M68" s="183">
        <v>0</v>
      </c>
      <c r="N68" s="183">
        <v>0</v>
      </c>
      <c r="O68" s="183">
        <v>1</v>
      </c>
      <c r="P68" s="183">
        <v>1</v>
      </c>
      <c r="Q68" s="183">
        <v>1</v>
      </c>
      <c r="R68" s="183" t="s">
        <v>222</v>
      </c>
      <c r="S68" s="183" t="s">
        <v>361</v>
      </c>
      <c r="T68" s="183" t="s">
        <v>338</v>
      </c>
      <c r="U68" s="184" t="s">
        <v>340</v>
      </c>
    </row>
    <row r="69" spans="1:21" ht="28" x14ac:dyDescent="0.15">
      <c r="A69" s="179">
        <v>60007</v>
      </c>
      <c r="B69" s="180" t="str">
        <f ca="1">VLOOKUP($A69,OFFSET([2]quests!$A$1,0,0,COUNTA([2]quests!$A:$A),MATCH(B$1,[2]quests!$1:$1,0)-MATCH($A$1,[2]quests!$1:$1,0)+1),MATCH(B$1,[2]quests!$1:$1,0)-MATCH($A$1,[2]quests!$1:$1,0)+1,FALSE)</f>
        <v>オイラーチャレンジ</v>
      </c>
      <c r="C69" s="180" t="str">
        <f ca="1">VLOOKUP($A69,OFFSET([2]quests!$A$1,0,0,COUNTA([2]quests!$A:$A),MATCH(C$1,[2]quests!$1:$1,0)-MATCH($A$1,[2]quests!$1:$1,0)+1),MATCH(C$1,[2]quests!$1:$1,0)-MATCH($A$1,[2]quests!$1:$1,0)+1,FALSE)</f>
        <v>ランキング1（改修版）</v>
      </c>
      <c r="D69" s="179">
        <v>6</v>
      </c>
      <c r="E69" s="181">
        <v>10</v>
      </c>
      <c r="F69" s="182" t="str">
        <f t="shared" ref="F69:F83" si="15">A69&amp;TEXT(E69,"0000")</f>
        <v>600070010</v>
      </c>
      <c r="G69" s="178" t="str">
        <f>F69&amp;TEXT(COUNTIF(F$2:F69,F69),"00")</f>
        <v>60007001002</v>
      </c>
      <c r="H69" s="183" t="s">
        <v>344</v>
      </c>
      <c r="I69" s="183">
        <v>334</v>
      </c>
      <c r="J69" s="183">
        <v>1</v>
      </c>
      <c r="K69" s="183">
        <v>0</v>
      </c>
      <c r="L69" s="183">
        <v>0</v>
      </c>
      <c r="M69" s="183">
        <v>0</v>
      </c>
      <c r="N69" s="183">
        <v>0</v>
      </c>
      <c r="O69" s="183">
        <v>1</v>
      </c>
      <c r="P69" s="183">
        <v>1</v>
      </c>
      <c r="Q69" s="183">
        <v>1</v>
      </c>
      <c r="R69" s="183" t="s">
        <v>222</v>
      </c>
      <c r="S69" s="183" t="s">
        <v>363</v>
      </c>
      <c r="T69" s="183" t="s">
        <v>338</v>
      </c>
      <c r="U69" s="184" t="s">
        <v>340</v>
      </c>
    </row>
    <row r="70" spans="1:21" ht="28" x14ac:dyDescent="0.15">
      <c r="A70" s="179">
        <v>60007</v>
      </c>
      <c r="B70" s="180" t="str">
        <f ca="1">VLOOKUP($A70,OFFSET([2]quests!$A$1,0,0,COUNTA([2]quests!$A:$A),MATCH(B$1,[2]quests!$1:$1,0)-MATCH($A$1,[2]quests!$1:$1,0)+1),MATCH(B$1,[2]quests!$1:$1,0)-MATCH($A$1,[2]quests!$1:$1,0)+1,FALSE)</f>
        <v>オイラーチャレンジ</v>
      </c>
      <c r="C70" s="180" t="str">
        <f ca="1">VLOOKUP($A70,OFFSET([2]quests!$A$1,0,0,COUNTA([2]quests!$A:$A),MATCH(C$1,[2]quests!$1:$1,0)-MATCH($A$1,[2]quests!$1:$1,0)+1),MATCH(C$1,[2]quests!$1:$1,0)-MATCH($A$1,[2]quests!$1:$1,0)+1,FALSE)</f>
        <v>ランキング1（改修版）</v>
      </c>
      <c r="D70" s="179">
        <v>6</v>
      </c>
      <c r="E70" s="181">
        <v>10</v>
      </c>
      <c r="F70" s="182" t="str">
        <f t="shared" si="15"/>
        <v>600070010</v>
      </c>
      <c r="G70" s="178" t="str">
        <f>F70&amp;TEXT(COUNTIF(F$2:F70,F70),"00")</f>
        <v>60007001003</v>
      </c>
      <c r="H70" s="183" t="s">
        <v>344</v>
      </c>
      <c r="I70" s="183">
        <v>338</v>
      </c>
      <c r="J70" s="183">
        <v>1</v>
      </c>
      <c r="K70" s="183">
        <v>0</v>
      </c>
      <c r="L70" s="183">
        <v>0</v>
      </c>
      <c r="M70" s="183">
        <v>0</v>
      </c>
      <c r="N70" s="183">
        <v>0</v>
      </c>
      <c r="O70" s="183">
        <v>1</v>
      </c>
      <c r="P70" s="183">
        <v>1</v>
      </c>
      <c r="Q70" s="183">
        <v>1</v>
      </c>
      <c r="R70" s="183" t="s">
        <v>222</v>
      </c>
      <c r="S70" s="183" t="s">
        <v>364</v>
      </c>
      <c r="T70" s="183" t="s">
        <v>338</v>
      </c>
      <c r="U70" s="184" t="s">
        <v>340</v>
      </c>
    </row>
    <row r="71" spans="1:21" ht="28" x14ac:dyDescent="0.15">
      <c r="A71" s="179">
        <v>60007</v>
      </c>
      <c r="B71" s="180" t="str">
        <f ca="1">VLOOKUP($A71,OFFSET([2]quests!$A$1,0,0,COUNTA([2]quests!$A:$A),MATCH(B$1,[2]quests!$1:$1,0)-MATCH($A$1,[2]quests!$1:$1,0)+1),MATCH(B$1,[2]quests!$1:$1,0)-MATCH($A$1,[2]quests!$1:$1,0)+1,FALSE)</f>
        <v>オイラーチャレンジ</v>
      </c>
      <c r="C71" s="180" t="str">
        <f ca="1">VLOOKUP($A71,OFFSET([2]quests!$A$1,0,0,COUNTA([2]quests!$A:$A),MATCH(C$1,[2]quests!$1:$1,0)-MATCH($A$1,[2]quests!$1:$1,0)+1),MATCH(C$1,[2]quests!$1:$1,0)-MATCH($A$1,[2]quests!$1:$1,0)+1,FALSE)</f>
        <v>ランキング1（改修版）</v>
      </c>
      <c r="D71" s="179">
        <v>6</v>
      </c>
      <c r="E71" s="181">
        <v>10</v>
      </c>
      <c r="F71" s="182" t="str">
        <f t="shared" si="15"/>
        <v>600070010</v>
      </c>
      <c r="G71" s="178" t="str">
        <f>F71&amp;TEXT(COUNTIF(F$2:F71,F71),"00")</f>
        <v>60007001004</v>
      </c>
      <c r="H71" s="183" t="s">
        <v>344</v>
      </c>
      <c r="I71" s="183">
        <v>342</v>
      </c>
      <c r="J71" s="183">
        <v>1</v>
      </c>
      <c r="K71" s="183">
        <v>0</v>
      </c>
      <c r="L71" s="183">
        <v>0</v>
      </c>
      <c r="M71" s="183">
        <v>0</v>
      </c>
      <c r="N71" s="183">
        <v>0</v>
      </c>
      <c r="O71" s="183">
        <v>1</v>
      </c>
      <c r="P71" s="183">
        <v>1</v>
      </c>
      <c r="Q71" s="183">
        <v>1</v>
      </c>
      <c r="R71" s="183" t="s">
        <v>222</v>
      </c>
      <c r="S71" s="183" t="s">
        <v>365</v>
      </c>
      <c r="T71" s="183" t="s">
        <v>338</v>
      </c>
      <c r="U71" s="184" t="s">
        <v>340</v>
      </c>
    </row>
    <row r="72" spans="1:21" ht="28" x14ac:dyDescent="0.15">
      <c r="A72" s="179">
        <v>60007</v>
      </c>
      <c r="B72" s="180" t="str">
        <f ca="1">VLOOKUP($A72,OFFSET([2]quests!$A$1,0,0,COUNTA([2]quests!$A:$A),MATCH(B$1,[2]quests!$1:$1,0)-MATCH($A$1,[2]quests!$1:$1,0)+1),MATCH(B$1,[2]quests!$1:$1,0)-MATCH($A$1,[2]quests!$1:$1,0)+1,FALSE)</f>
        <v>オイラーチャレンジ</v>
      </c>
      <c r="C72" s="180" t="str">
        <f ca="1">VLOOKUP($A72,OFFSET([2]quests!$A$1,0,0,COUNTA([2]quests!$A:$A),MATCH(C$1,[2]quests!$1:$1,0)-MATCH($A$1,[2]quests!$1:$1,0)+1),MATCH(C$1,[2]quests!$1:$1,0)-MATCH($A$1,[2]quests!$1:$1,0)+1,FALSE)</f>
        <v>ランキング1（改修版）</v>
      </c>
      <c r="D72" s="179">
        <v>6</v>
      </c>
      <c r="E72" s="181">
        <v>10</v>
      </c>
      <c r="F72" s="182" t="str">
        <f t="shared" si="15"/>
        <v>600070010</v>
      </c>
      <c r="G72" s="178" t="str">
        <f>F72&amp;TEXT(COUNTIF(F$2:F72,F72),"00")</f>
        <v>60007001005</v>
      </c>
      <c r="H72" s="183" t="s">
        <v>344</v>
      </c>
      <c r="I72" s="183">
        <v>346</v>
      </c>
      <c r="J72" s="183">
        <v>1</v>
      </c>
      <c r="K72" s="183">
        <v>0</v>
      </c>
      <c r="L72" s="183">
        <v>0</v>
      </c>
      <c r="M72" s="183">
        <v>0</v>
      </c>
      <c r="N72" s="183">
        <v>0</v>
      </c>
      <c r="O72" s="183">
        <v>1</v>
      </c>
      <c r="P72" s="183">
        <v>1</v>
      </c>
      <c r="Q72" s="183">
        <v>1</v>
      </c>
      <c r="R72" s="183" t="s">
        <v>222</v>
      </c>
      <c r="S72" s="183" t="s">
        <v>366</v>
      </c>
      <c r="T72" s="183" t="s">
        <v>338</v>
      </c>
      <c r="U72" s="184" t="s">
        <v>340</v>
      </c>
    </row>
    <row r="73" spans="1:21" ht="28" x14ac:dyDescent="0.15">
      <c r="A73" s="179">
        <v>60007</v>
      </c>
      <c r="B73" s="180" t="str">
        <f ca="1">VLOOKUP($A73,OFFSET([2]quests!$A$1,0,0,COUNTA([2]quests!$A:$A),MATCH(B$1,[2]quests!$1:$1,0)-MATCH($A$1,[2]quests!$1:$1,0)+1),MATCH(B$1,[2]quests!$1:$1,0)-MATCH($A$1,[2]quests!$1:$1,0)+1,FALSE)</f>
        <v>オイラーチャレンジ</v>
      </c>
      <c r="C73" s="180" t="str">
        <f ca="1">VLOOKUP($A73,OFFSET([2]quests!$A$1,0,0,COUNTA([2]quests!$A:$A),MATCH(C$1,[2]quests!$1:$1,0)-MATCH($A$1,[2]quests!$1:$1,0)+1),MATCH(C$1,[2]quests!$1:$1,0)-MATCH($A$1,[2]quests!$1:$1,0)+1,FALSE)</f>
        <v>ランキング1（改修版）</v>
      </c>
      <c r="D73" s="179">
        <v>6</v>
      </c>
      <c r="E73" s="181">
        <v>10</v>
      </c>
      <c r="F73" s="182" t="str">
        <f t="shared" si="15"/>
        <v>600070010</v>
      </c>
      <c r="G73" s="178" t="str">
        <f>F73&amp;TEXT(COUNTIF(F$2:F73,F73),"00")</f>
        <v>60007001006</v>
      </c>
      <c r="H73" s="183" t="s">
        <v>342</v>
      </c>
      <c r="I73" s="183">
        <v>3</v>
      </c>
      <c r="J73" s="183" t="s">
        <v>53</v>
      </c>
      <c r="K73" s="183">
        <v>0</v>
      </c>
      <c r="L73" s="183">
        <v>0</v>
      </c>
      <c r="M73" s="183">
        <v>0</v>
      </c>
      <c r="N73" s="183">
        <v>0</v>
      </c>
      <c r="O73" s="183">
        <v>1</v>
      </c>
      <c r="P73" s="183">
        <v>1</v>
      </c>
      <c r="Q73" s="183">
        <v>1</v>
      </c>
      <c r="R73" s="183" t="s">
        <v>222</v>
      </c>
      <c r="S73" s="183" t="s">
        <v>362</v>
      </c>
      <c r="T73" s="183" t="s">
        <v>338</v>
      </c>
      <c r="U73" s="184" t="s">
        <v>340</v>
      </c>
    </row>
    <row r="74" spans="1:21" ht="28" x14ac:dyDescent="0.15">
      <c r="A74" s="179">
        <v>60007</v>
      </c>
      <c r="B74" s="180" t="str">
        <f ca="1">VLOOKUP($A74,OFFSET([2]quests!$A$1,0,0,COUNTA([2]quests!$A:$A),MATCH(B$1,[2]quests!$1:$1,0)-MATCH($A$1,[2]quests!$1:$1,0)+1),MATCH(B$1,[2]quests!$1:$1,0)-MATCH($A$1,[2]quests!$1:$1,0)+1,FALSE)</f>
        <v>オイラーチャレンジ</v>
      </c>
      <c r="C74" s="180" t="str">
        <f ca="1">VLOOKUP($A74,OFFSET([2]quests!$A$1,0,0,COUNTA([2]quests!$A:$A),MATCH(C$1,[2]quests!$1:$1,0)-MATCH($A$1,[2]quests!$1:$1,0)+1),MATCH(C$1,[2]quests!$1:$1,0)-MATCH($A$1,[2]quests!$1:$1,0)+1,FALSE)</f>
        <v>ランキング1（改修版）</v>
      </c>
      <c r="D74" s="179">
        <v>6</v>
      </c>
      <c r="E74" s="181">
        <v>10</v>
      </c>
      <c r="F74" s="182" t="str">
        <f t="shared" si="15"/>
        <v>600070010</v>
      </c>
      <c r="G74" s="178" t="str">
        <f>F74&amp;TEXT(COUNTIF(F$2:F74,F74),"00")</f>
        <v>60007001007</v>
      </c>
      <c r="H74" s="183" t="s">
        <v>359</v>
      </c>
      <c r="I74" s="183">
        <v>2000</v>
      </c>
      <c r="J74" s="183" t="s">
        <v>53</v>
      </c>
      <c r="K74" s="183">
        <v>0</v>
      </c>
      <c r="L74" s="183">
        <v>0</v>
      </c>
      <c r="M74" s="183">
        <v>0</v>
      </c>
      <c r="N74" s="183">
        <v>0</v>
      </c>
      <c r="O74" s="183">
        <v>1</v>
      </c>
      <c r="P74" s="183">
        <v>1</v>
      </c>
      <c r="Q74" s="183">
        <v>1</v>
      </c>
      <c r="R74" s="183" t="s">
        <v>222</v>
      </c>
      <c r="S74" s="183" t="s">
        <v>360</v>
      </c>
      <c r="T74" s="183" t="s">
        <v>338</v>
      </c>
      <c r="U74" s="184" t="s">
        <v>340</v>
      </c>
    </row>
    <row r="75" spans="1:21" ht="28" x14ac:dyDescent="0.15">
      <c r="A75" s="179">
        <v>60007</v>
      </c>
      <c r="B75" s="180" t="str">
        <f ca="1">VLOOKUP($A75,OFFSET([2]quests!$A$1,0,0,COUNTA([2]quests!$A:$A),MATCH(B$1,[2]quests!$1:$1,0)-MATCH($A$1,[2]quests!$1:$1,0)+1),MATCH(B$1,[2]quests!$1:$1,0)-MATCH($A$1,[2]quests!$1:$1,0)+1,FALSE)</f>
        <v>オイラーチャレンジ</v>
      </c>
      <c r="C75" s="180" t="str">
        <f ca="1">VLOOKUP($A75,OFFSET([2]quests!$A$1,0,0,COUNTA([2]quests!$A:$A),MATCH(C$1,[2]quests!$1:$1,0)-MATCH($A$1,[2]quests!$1:$1,0)+1),MATCH(C$1,[2]quests!$1:$1,0)-MATCH($A$1,[2]quests!$1:$1,0)+1,FALSE)</f>
        <v>ランキング1（改修版）</v>
      </c>
      <c r="D75" s="179">
        <v>11</v>
      </c>
      <c r="E75" s="181">
        <v>25</v>
      </c>
      <c r="F75" s="182" t="str">
        <f t="shared" si="15"/>
        <v>600070025</v>
      </c>
      <c r="G75" s="178" t="str">
        <f>F75&amp;TEXT(COUNTIF(F$2:F75,F75),"00")</f>
        <v>60007002501</v>
      </c>
      <c r="H75" s="183" t="s">
        <v>342</v>
      </c>
      <c r="I75" s="183">
        <v>3</v>
      </c>
      <c r="J75" s="183" t="s">
        <v>53</v>
      </c>
      <c r="K75" s="183">
        <v>0</v>
      </c>
      <c r="L75" s="183">
        <v>0</v>
      </c>
      <c r="M75" s="183">
        <v>0</v>
      </c>
      <c r="N75" s="183">
        <v>0</v>
      </c>
      <c r="O75" s="183">
        <v>1</v>
      </c>
      <c r="P75" s="183">
        <v>1</v>
      </c>
      <c r="Q75" s="183">
        <v>1</v>
      </c>
      <c r="R75" s="183" t="s">
        <v>222</v>
      </c>
      <c r="S75" s="183" t="s">
        <v>362</v>
      </c>
      <c r="T75" s="183" t="s">
        <v>338</v>
      </c>
      <c r="U75" s="184" t="s">
        <v>340</v>
      </c>
    </row>
    <row r="76" spans="1:21" ht="28" x14ac:dyDescent="0.15">
      <c r="A76" s="179">
        <v>60007</v>
      </c>
      <c r="B76" s="180" t="str">
        <f ca="1">VLOOKUP($A76,OFFSET([2]quests!$A$1,0,0,COUNTA([2]quests!$A:$A),MATCH(B$1,[2]quests!$1:$1,0)-MATCH($A$1,[2]quests!$1:$1,0)+1),MATCH(B$1,[2]quests!$1:$1,0)-MATCH($A$1,[2]quests!$1:$1,0)+1,FALSE)</f>
        <v>オイラーチャレンジ</v>
      </c>
      <c r="C76" s="180" t="str">
        <f ca="1">VLOOKUP($A76,OFFSET([2]quests!$A$1,0,0,COUNTA([2]quests!$A:$A),MATCH(C$1,[2]quests!$1:$1,0)-MATCH($A$1,[2]quests!$1:$1,0)+1),MATCH(C$1,[2]quests!$1:$1,0)-MATCH($A$1,[2]quests!$1:$1,0)+1,FALSE)</f>
        <v>ランキング1（改修版）</v>
      </c>
      <c r="D76" s="179">
        <v>11</v>
      </c>
      <c r="E76" s="181">
        <v>25</v>
      </c>
      <c r="F76" s="182" t="str">
        <f t="shared" si="15"/>
        <v>600070025</v>
      </c>
      <c r="G76" s="178" t="str">
        <f>F76&amp;TEXT(COUNTIF(F$2:F76,F76),"00")</f>
        <v>60007002502</v>
      </c>
      <c r="H76" s="183" t="s">
        <v>359</v>
      </c>
      <c r="I76" s="183">
        <v>2000</v>
      </c>
      <c r="J76" s="183" t="s">
        <v>53</v>
      </c>
      <c r="K76" s="183">
        <v>0</v>
      </c>
      <c r="L76" s="183">
        <v>0</v>
      </c>
      <c r="M76" s="183">
        <v>0</v>
      </c>
      <c r="N76" s="183">
        <v>0</v>
      </c>
      <c r="O76" s="183">
        <v>1</v>
      </c>
      <c r="P76" s="183">
        <v>1</v>
      </c>
      <c r="Q76" s="183">
        <v>1</v>
      </c>
      <c r="R76" s="183" t="s">
        <v>222</v>
      </c>
      <c r="S76" s="183" t="s">
        <v>360</v>
      </c>
      <c r="T76" s="183" t="s">
        <v>338</v>
      </c>
      <c r="U76" s="184" t="s">
        <v>340</v>
      </c>
    </row>
    <row r="77" spans="1:21" ht="28" x14ac:dyDescent="0.15">
      <c r="A77" s="179">
        <v>60007</v>
      </c>
      <c r="B77" s="180" t="str">
        <f ca="1">VLOOKUP($A77,OFFSET([2]quests!$A$1,0,0,COUNTA([2]quests!$A:$A),MATCH(B$1,[2]quests!$1:$1,0)-MATCH($A$1,[2]quests!$1:$1,0)+1),MATCH(B$1,[2]quests!$1:$1,0)-MATCH($A$1,[2]quests!$1:$1,0)+1,FALSE)</f>
        <v>オイラーチャレンジ</v>
      </c>
      <c r="C77" s="180" t="str">
        <f ca="1">VLOOKUP($A77,OFFSET([2]quests!$A$1,0,0,COUNTA([2]quests!$A:$A),MATCH(C$1,[2]quests!$1:$1,0)-MATCH($A$1,[2]quests!$1:$1,0)+1),MATCH(C$1,[2]quests!$1:$1,0)-MATCH($A$1,[2]quests!$1:$1,0)+1,FALSE)</f>
        <v>ランキング1（改修版）</v>
      </c>
      <c r="D77" s="179">
        <v>11</v>
      </c>
      <c r="E77" s="181">
        <v>25</v>
      </c>
      <c r="F77" s="182" t="str">
        <f t="shared" si="15"/>
        <v>600070025</v>
      </c>
      <c r="G77" s="178" t="str">
        <f>F77&amp;TEXT(COUNTIF(F$2:F77,F77),"00")</f>
        <v>60007002503</v>
      </c>
      <c r="H77" s="183" t="s">
        <v>367</v>
      </c>
      <c r="I77" s="183">
        <v>200000</v>
      </c>
      <c r="J77" s="183" t="s">
        <v>53</v>
      </c>
      <c r="K77" s="183">
        <v>0</v>
      </c>
      <c r="L77" s="183">
        <v>0</v>
      </c>
      <c r="M77" s="183">
        <v>0</v>
      </c>
      <c r="N77" s="183">
        <v>0</v>
      </c>
      <c r="O77" s="183">
        <v>1</v>
      </c>
      <c r="P77" s="183">
        <v>1</v>
      </c>
      <c r="Q77" s="183">
        <v>1</v>
      </c>
      <c r="R77" s="183" t="s">
        <v>222</v>
      </c>
      <c r="S77" s="183" t="s">
        <v>368</v>
      </c>
      <c r="T77" s="183" t="s">
        <v>338</v>
      </c>
      <c r="U77" s="184" t="s">
        <v>340</v>
      </c>
    </row>
    <row r="78" spans="1:21" ht="28" x14ac:dyDescent="0.15">
      <c r="A78" s="179">
        <v>60007</v>
      </c>
      <c r="B78" s="180" t="str">
        <f ca="1">VLOOKUP($A78,OFFSET([2]quests!$A$1,0,0,COUNTA([2]quests!$A:$A),MATCH(B$1,[2]quests!$1:$1,0)-MATCH($A$1,[2]quests!$1:$1,0)+1),MATCH(B$1,[2]quests!$1:$1,0)-MATCH($A$1,[2]quests!$1:$1,0)+1,FALSE)</f>
        <v>オイラーチャレンジ</v>
      </c>
      <c r="C78" s="180" t="str">
        <f ca="1">VLOOKUP($A78,OFFSET([2]quests!$A$1,0,0,COUNTA([2]quests!$A:$A),MATCH(C$1,[2]quests!$1:$1,0)-MATCH($A$1,[2]quests!$1:$1,0)+1),MATCH(C$1,[2]quests!$1:$1,0)-MATCH($A$1,[2]quests!$1:$1,0)+1,FALSE)</f>
        <v>ランキング1（改修版）</v>
      </c>
      <c r="D78" s="179">
        <v>26</v>
      </c>
      <c r="E78" s="181">
        <v>35</v>
      </c>
      <c r="F78" s="182" t="str">
        <f t="shared" si="15"/>
        <v>600070035</v>
      </c>
      <c r="G78" s="178" t="str">
        <f>F78&amp;TEXT(COUNTIF(F$2:F78,F78),"00")</f>
        <v>60007003501</v>
      </c>
      <c r="H78" s="183" t="s">
        <v>342</v>
      </c>
      <c r="I78" s="183">
        <v>2</v>
      </c>
      <c r="J78" s="183" t="s">
        <v>53</v>
      </c>
      <c r="K78" s="183">
        <v>0</v>
      </c>
      <c r="L78" s="183">
        <v>0</v>
      </c>
      <c r="M78" s="183">
        <v>0</v>
      </c>
      <c r="N78" s="183">
        <v>0</v>
      </c>
      <c r="O78" s="183">
        <v>1</v>
      </c>
      <c r="P78" s="183">
        <v>1</v>
      </c>
      <c r="Q78" s="183">
        <v>1</v>
      </c>
      <c r="R78" s="183" t="s">
        <v>222</v>
      </c>
      <c r="S78" s="183" t="s">
        <v>371</v>
      </c>
      <c r="T78" s="183" t="s">
        <v>338</v>
      </c>
      <c r="U78" s="184" t="s">
        <v>340</v>
      </c>
    </row>
    <row r="79" spans="1:21" ht="28" x14ac:dyDescent="0.15">
      <c r="A79" s="179">
        <v>60007</v>
      </c>
      <c r="B79" s="180" t="str">
        <f ca="1">VLOOKUP($A79,OFFSET([2]quests!$A$1,0,0,COUNTA([2]quests!$A:$A),MATCH(B$1,[2]quests!$1:$1,0)-MATCH($A$1,[2]quests!$1:$1,0)+1),MATCH(B$1,[2]quests!$1:$1,0)-MATCH($A$1,[2]quests!$1:$1,0)+1,FALSE)</f>
        <v>オイラーチャレンジ</v>
      </c>
      <c r="C79" s="180" t="str">
        <f ca="1">VLOOKUP($A79,OFFSET([2]quests!$A$1,0,0,COUNTA([2]quests!$A:$A),MATCH(C$1,[2]quests!$1:$1,0)-MATCH($A$1,[2]quests!$1:$1,0)+1),MATCH(C$1,[2]quests!$1:$1,0)-MATCH($A$1,[2]quests!$1:$1,0)+1,FALSE)</f>
        <v>ランキング1（改修版）</v>
      </c>
      <c r="D79" s="179">
        <v>26</v>
      </c>
      <c r="E79" s="181">
        <v>35</v>
      </c>
      <c r="F79" s="182" t="str">
        <f t="shared" si="15"/>
        <v>600070035</v>
      </c>
      <c r="G79" s="178" t="str">
        <f>F79&amp;TEXT(COUNTIF(F$2:F79,F79),"00")</f>
        <v>60007003502</v>
      </c>
      <c r="H79" s="183" t="s">
        <v>359</v>
      </c>
      <c r="I79" s="183">
        <v>1000</v>
      </c>
      <c r="J79" s="183" t="s">
        <v>53</v>
      </c>
      <c r="K79" s="183">
        <v>0</v>
      </c>
      <c r="L79" s="183">
        <v>0</v>
      </c>
      <c r="M79" s="183">
        <v>0</v>
      </c>
      <c r="N79" s="183">
        <v>0</v>
      </c>
      <c r="O79" s="183">
        <v>1</v>
      </c>
      <c r="P79" s="183">
        <v>1</v>
      </c>
      <c r="Q79" s="183">
        <v>1</v>
      </c>
      <c r="R79" s="183" t="s">
        <v>222</v>
      </c>
      <c r="S79" s="183" t="s">
        <v>369</v>
      </c>
      <c r="T79" s="183" t="s">
        <v>338</v>
      </c>
      <c r="U79" s="184" t="s">
        <v>340</v>
      </c>
    </row>
    <row r="80" spans="1:21" ht="28" x14ac:dyDescent="0.15">
      <c r="A80" s="179">
        <v>60007</v>
      </c>
      <c r="B80" s="180" t="str">
        <f ca="1">VLOOKUP($A80,OFFSET([2]quests!$A$1,0,0,COUNTA([2]quests!$A:$A),MATCH(B$1,[2]quests!$1:$1,0)-MATCH($A$1,[2]quests!$1:$1,0)+1),MATCH(B$1,[2]quests!$1:$1,0)-MATCH($A$1,[2]quests!$1:$1,0)+1,FALSE)</f>
        <v>オイラーチャレンジ</v>
      </c>
      <c r="C80" s="180" t="str">
        <f ca="1">VLOOKUP($A80,OFFSET([2]quests!$A$1,0,0,COUNTA([2]quests!$A:$A),MATCH(C$1,[2]quests!$1:$1,0)-MATCH($A$1,[2]quests!$1:$1,0)+1),MATCH(C$1,[2]quests!$1:$1,0)-MATCH($A$1,[2]quests!$1:$1,0)+1,FALSE)</f>
        <v>ランキング1（改修版）</v>
      </c>
      <c r="D80" s="179">
        <v>26</v>
      </c>
      <c r="E80" s="181">
        <v>35</v>
      </c>
      <c r="F80" s="182" t="str">
        <f t="shared" si="15"/>
        <v>600070035</v>
      </c>
      <c r="G80" s="178" t="str">
        <f>F80&amp;TEXT(COUNTIF(F$2:F80,F80),"00")</f>
        <v>60007003503</v>
      </c>
      <c r="H80" s="183" t="s">
        <v>367</v>
      </c>
      <c r="I80" s="183">
        <v>150000</v>
      </c>
      <c r="J80" s="183" t="s">
        <v>53</v>
      </c>
      <c r="K80" s="183">
        <v>0</v>
      </c>
      <c r="L80" s="183">
        <v>0</v>
      </c>
      <c r="M80" s="183">
        <v>0</v>
      </c>
      <c r="N80" s="183">
        <v>0</v>
      </c>
      <c r="O80" s="183">
        <v>1</v>
      </c>
      <c r="P80" s="183">
        <v>1</v>
      </c>
      <c r="Q80" s="183">
        <v>1</v>
      </c>
      <c r="R80" s="183" t="s">
        <v>222</v>
      </c>
      <c r="S80" s="183" t="s">
        <v>370</v>
      </c>
      <c r="T80" s="183" t="s">
        <v>338</v>
      </c>
      <c r="U80" s="184" t="s">
        <v>340</v>
      </c>
    </row>
    <row r="81" spans="1:21" ht="28" x14ac:dyDescent="0.15">
      <c r="A81" s="179">
        <v>60007</v>
      </c>
      <c r="B81" s="180" t="str">
        <f ca="1">VLOOKUP($A81,OFFSET([2]quests!$A$1,0,0,COUNTA([2]quests!$A:$A),MATCH(B$1,[2]quests!$1:$1,0)-MATCH($A$1,[2]quests!$1:$1,0)+1),MATCH(B$1,[2]quests!$1:$1,0)-MATCH($A$1,[2]quests!$1:$1,0)+1,FALSE)</f>
        <v>オイラーチャレンジ</v>
      </c>
      <c r="C81" s="180" t="str">
        <f ca="1">VLOOKUP($A81,OFFSET([2]quests!$A$1,0,0,COUNTA([2]quests!$A:$A),MATCH(C$1,[2]quests!$1:$1,0)-MATCH($A$1,[2]quests!$1:$1,0)+1),MATCH(C$1,[2]quests!$1:$1,0)-MATCH($A$1,[2]quests!$1:$1,0)+1,FALSE)</f>
        <v>ランキング1（改修版）</v>
      </c>
      <c r="D81" s="179">
        <v>36</v>
      </c>
      <c r="E81" s="181">
        <v>1000</v>
      </c>
      <c r="F81" s="182" t="str">
        <f t="shared" si="15"/>
        <v>600071000</v>
      </c>
      <c r="G81" s="178" t="str">
        <f>F81&amp;TEXT(COUNTIF(F$2:F81,F81),"00")</f>
        <v>60007100001</v>
      </c>
      <c r="H81" s="183" t="s">
        <v>342</v>
      </c>
      <c r="I81" s="183">
        <v>1</v>
      </c>
      <c r="J81" s="183" t="s">
        <v>53</v>
      </c>
      <c r="K81" s="183">
        <v>0</v>
      </c>
      <c r="L81" s="183">
        <v>0</v>
      </c>
      <c r="M81" s="183">
        <v>0</v>
      </c>
      <c r="N81" s="183">
        <v>0</v>
      </c>
      <c r="O81" s="183">
        <v>1</v>
      </c>
      <c r="P81" s="183">
        <v>1</v>
      </c>
      <c r="Q81" s="183">
        <v>1</v>
      </c>
      <c r="R81" s="183" t="s">
        <v>222</v>
      </c>
      <c r="S81" s="183" t="s">
        <v>373</v>
      </c>
      <c r="T81" s="183" t="s">
        <v>338</v>
      </c>
      <c r="U81" s="184" t="s">
        <v>340</v>
      </c>
    </row>
    <row r="82" spans="1:21" ht="28" x14ac:dyDescent="0.15">
      <c r="A82" s="179">
        <v>60007</v>
      </c>
      <c r="B82" s="180" t="str">
        <f ca="1">VLOOKUP($A82,OFFSET([2]quests!$A$1,0,0,COUNTA([2]quests!$A:$A),MATCH(B$1,[2]quests!$1:$1,0)-MATCH($A$1,[2]quests!$1:$1,0)+1),MATCH(B$1,[2]quests!$1:$1,0)-MATCH($A$1,[2]quests!$1:$1,0)+1,FALSE)</f>
        <v>オイラーチャレンジ</v>
      </c>
      <c r="C82" s="180" t="str">
        <f ca="1">VLOOKUP($A82,OFFSET([2]quests!$A$1,0,0,COUNTA([2]quests!$A:$A),MATCH(C$1,[2]quests!$1:$1,0)-MATCH($A$1,[2]quests!$1:$1,0)+1),MATCH(C$1,[2]quests!$1:$1,0)-MATCH($A$1,[2]quests!$1:$1,0)+1,FALSE)</f>
        <v>ランキング1（改修版）</v>
      </c>
      <c r="D82" s="179">
        <v>36</v>
      </c>
      <c r="E82" s="181">
        <v>1000</v>
      </c>
      <c r="F82" s="182" t="str">
        <f t="shared" si="15"/>
        <v>600071000</v>
      </c>
      <c r="G82" s="178" t="str">
        <f>F82&amp;TEXT(COUNTIF(F$2:F82,F82),"00")</f>
        <v>60007100002</v>
      </c>
      <c r="H82" s="183" t="s">
        <v>359</v>
      </c>
      <c r="I82" s="183">
        <v>1000</v>
      </c>
      <c r="J82" s="183" t="s">
        <v>53</v>
      </c>
      <c r="K82" s="183">
        <v>0</v>
      </c>
      <c r="L82" s="183">
        <v>0</v>
      </c>
      <c r="M82" s="183">
        <v>0</v>
      </c>
      <c r="N82" s="183">
        <v>0</v>
      </c>
      <c r="O82" s="183">
        <v>1</v>
      </c>
      <c r="P82" s="183">
        <v>1</v>
      </c>
      <c r="Q82" s="183">
        <v>1</v>
      </c>
      <c r="R82" s="183" t="s">
        <v>222</v>
      </c>
      <c r="S82" s="183" t="s">
        <v>369</v>
      </c>
      <c r="T82" s="183" t="s">
        <v>338</v>
      </c>
      <c r="U82" s="184" t="s">
        <v>340</v>
      </c>
    </row>
    <row r="83" spans="1:21" ht="28" x14ac:dyDescent="0.15">
      <c r="A83" s="179">
        <v>60007</v>
      </c>
      <c r="B83" s="180" t="str">
        <f ca="1">VLOOKUP($A83,OFFSET([2]quests!$A$1,0,0,COUNTA([2]quests!$A:$A),MATCH(B$1,[2]quests!$1:$1,0)-MATCH($A$1,[2]quests!$1:$1,0)+1),MATCH(B$1,[2]quests!$1:$1,0)-MATCH($A$1,[2]quests!$1:$1,0)+1,FALSE)</f>
        <v>オイラーチャレンジ</v>
      </c>
      <c r="C83" s="180" t="str">
        <f ca="1">VLOOKUP($A83,OFFSET([2]quests!$A$1,0,0,COUNTA([2]quests!$A:$A),MATCH(C$1,[2]quests!$1:$1,0)-MATCH($A$1,[2]quests!$1:$1,0)+1),MATCH(C$1,[2]quests!$1:$1,0)-MATCH($A$1,[2]quests!$1:$1,0)+1,FALSE)</f>
        <v>ランキング1（改修版）</v>
      </c>
      <c r="D83" s="179">
        <v>36</v>
      </c>
      <c r="E83" s="181">
        <v>1000</v>
      </c>
      <c r="F83" s="182" t="str">
        <f t="shared" si="15"/>
        <v>600071000</v>
      </c>
      <c r="G83" s="178" t="str">
        <f>F83&amp;TEXT(COUNTIF(F$2:F83,F83),"00")</f>
        <v>60007100003</v>
      </c>
      <c r="H83" s="183" t="s">
        <v>367</v>
      </c>
      <c r="I83" s="183">
        <v>100000</v>
      </c>
      <c r="J83" s="183" t="s">
        <v>53</v>
      </c>
      <c r="K83" s="183">
        <v>0</v>
      </c>
      <c r="L83" s="183">
        <v>0</v>
      </c>
      <c r="M83" s="183">
        <v>0</v>
      </c>
      <c r="N83" s="183">
        <v>0</v>
      </c>
      <c r="O83" s="183">
        <v>1</v>
      </c>
      <c r="P83" s="183">
        <v>1</v>
      </c>
      <c r="Q83" s="183">
        <v>1</v>
      </c>
      <c r="R83" s="183" t="s">
        <v>222</v>
      </c>
      <c r="S83" s="183" t="s">
        <v>372</v>
      </c>
      <c r="T83" s="183" t="s">
        <v>338</v>
      </c>
      <c r="U83" s="184" t="s">
        <v>340</v>
      </c>
    </row>
  </sheetData>
  <phoneticPr fontId="6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BG64"/>
  <sheetViews>
    <sheetView showGridLines="0" workbookViewId="0">
      <pane xSplit="17" ySplit="1" topLeftCell="R33" activePane="bottomRight" state="frozen"/>
      <selection activeCell="T24" sqref="T24"/>
      <selection pane="topRight" activeCell="T24" sqref="T24"/>
      <selection pane="bottomLeft" activeCell="T24" sqref="T24"/>
      <selection pane="bottomRight" activeCell="W60" sqref="W60"/>
    </sheetView>
  </sheetViews>
  <sheetFormatPr baseColWidth="12" defaultColWidth="13" defaultRowHeight="21" customHeight="1" outlineLevelCol="1" x14ac:dyDescent="0.15"/>
  <cols>
    <col min="1" max="1" width="15.83203125" style="16" bestFit="1" customWidth="1"/>
    <col min="2" max="2" width="10.83203125" style="3" bestFit="1" customWidth="1"/>
    <col min="3" max="3" width="10.6640625" style="3" bestFit="1" customWidth="1" collapsed="1"/>
    <col min="4" max="4" width="13" style="11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6" bestFit="1" customWidth="1"/>
    <col min="13" max="13" width="21.6640625" style="3" bestFit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0" bestFit="1" customWidth="1" outlineLevel="1"/>
    <col min="30" max="30" width="8" style="11" bestFit="1" customWidth="1" outlineLevel="1"/>
    <col min="31" max="31" width="12" style="11" bestFit="1" customWidth="1" outlineLevel="1"/>
    <col min="32" max="32" width="15" style="7" bestFit="1" customWidth="1" collapsed="1"/>
    <col min="33" max="34" width="14.83203125" style="3" bestFit="1" customWidth="1"/>
    <col min="35" max="35" width="6.6640625" style="3" hidden="1" customWidth="1"/>
    <col min="36" max="36" width="9.33203125" style="3" hidden="1" customWidth="1"/>
    <col min="37" max="37" width="10.33203125" style="3" hidden="1" customWidth="1"/>
    <col min="38" max="38" width="7.6640625" style="3" hidden="1" customWidth="1"/>
    <col min="39" max="39" width="4" style="3" hidden="1" customWidth="1"/>
    <col min="40" max="40" width="0" style="3" hidden="1" customWidth="1"/>
    <col min="41" max="16384" width="13" style="3"/>
  </cols>
  <sheetData>
    <row r="1" spans="1:59" s="21" customFormat="1" ht="21" customHeight="1" thickBot="1" x14ac:dyDescent="0.2">
      <c r="A1" s="19" t="s">
        <v>29</v>
      </c>
      <c r="B1" s="20" t="s">
        <v>0</v>
      </c>
      <c r="C1" s="20" t="s">
        <v>1</v>
      </c>
      <c r="D1" s="89" t="s">
        <v>28</v>
      </c>
      <c r="E1" s="89" t="s">
        <v>20</v>
      </c>
      <c r="F1" s="89" t="s">
        <v>20</v>
      </c>
      <c r="G1" s="20" t="s">
        <v>19</v>
      </c>
      <c r="H1" s="89" t="s">
        <v>35</v>
      </c>
      <c r="I1" s="89" t="s">
        <v>14</v>
      </c>
      <c r="J1" s="89" t="s">
        <v>15</v>
      </c>
      <c r="K1" s="90" t="s">
        <v>54</v>
      </c>
      <c r="L1" s="90" t="s">
        <v>2</v>
      </c>
      <c r="M1" s="91" t="s">
        <v>21</v>
      </c>
      <c r="N1" s="89" t="s">
        <v>24</v>
      </c>
      <c r="O1" s="89" t="s">
        <v>23</v>
      </c>
      <c r="P1" s="92" t="s">
        <v>26</v>
      </c>
      <c r="Q1" s="89" t="s">
        <v>25</v>
      </c>
      <c r="R1" s="20" t="s">
        <v>3</v>
      </c>
      <c r="S1" s="20" t="s">
        <v>48</v>
      </c>
      <c r="T1" s="20" t="s">
        <v>50</v>
      </c>
      <c r="U1" s="20" t="s">
        <v>52</v>
      </c>
      <c r="V1" s="89" t="s">
        <v>31</v>
      </c>
      <c r="W1" s="20" t="s">
        <v>4</v>
      </c>
      <c r="X1" s="20" t="s">
        <v>5</v>
      </c>
      <c r="Y1" s="20" t="s">
        <v>6</v>
      </c>
      <c r="Z1" s="20" t="s">
        <v>7</v>
      </c>
      <c r="AA1" s="20" t="s">
        <v>8</v>
      </c>
      <c r="AB1" s="20" t="s">
        <v>9</v>
      </c>
      <c r="AC1" s="93" t="s">
        <v>16</v>
      </c>
      <c r="AD1" s="93" t="s">
        <v>17</v>
      </c>
      <c r="AE1" s="93" t="s">
        <v>27</v>
      </c>
      <c r="AF1" s="20" t="s">
        <v>10</v>
      </c>
      <c r="AG1" s="20" t="s">
        <v>11</v>
      </c>
      <c r="AH1" s="20" t="s">
        <v>12</v>
      </c>
      <c r="AI1" s="20" t="s">
        <v>38</v>
      </c>
      <c r="AJ1" s="20" t="s">
        <v>40</v>
      </c>
      <c r="AK1" s="20" t="s">
        <v>42</v>
      </c>
      <c r="AL1" s="20" t="s">
        <v>44</v>
      </c>
      <c r="AM1" s="20" t="s">
        <v>46</v>
      </c>
      <c r="AN1" s="448" t="s">
        <v>177</v>
      </c>
      <c r="AO1" s="456"/>
      <c r="AP1" s="456"/>
      <c r="AQ1" s="456"/>
      <c r="AR1" s="456"/>
      <c r="AS1" s="456"/>
      <c r="AT1" s="456"/>
      <c r="AU1" s="456"/>
      <c r="AV1" s="456"/>
      <c r="AW1" s="456"/>
      <c r="AX1" s="456"/>
      <c r="AY1" s="456"/>
      <c r="AZ1" s="456"/>
      <c r="BA1" s="456"/>
      <c r="BB1" s="456"/>
      <c r="BC1" s="456"/>
      <c r="BD1" s="456"/>
      <c r="BE1" s="456"/>
      <c r="BF1" s="456"/>
      <c r="BG1" s="456"/>
    </row>
    <row r="2" spans="1:59" s="108" customFormat="1" ht="21" customHeight="1" x14ac:dyDescent="0.15">
      <c r="A2" s="385" t="str">
        <f>B2&amp;"_"&amp;C2&amp;"-"&amp;G2&amp;"/"&amp;L2&amp;"&lt;lv"&amp;R2&amp;"&gt;s"&amp;AA2</f>
        <v>60006_1-1/27&lt;lv30&gt;s1</v>
      </c>
      <c r="B2" s="316">
        <v>60006</v>
      </c>
      <c r="C2" s="317">
        <v>1</v>
      </c>
      <c r="D2" s="101" t="str">
        <f>B2&amp;"_"&amp;C2</f>
        <v>60006_1</v>
      </c>
      <c r="E2" s="130" t="str">
        <f ca="1">VLOOKUP($B2,OFFSET([2]quests!$A$1,0,0,COUNTA([2]quests!$A:$A),MATCH(E$1,[2]quests!$1:$1,0)-MATCH($B$1,[2]quests!$1:$1,0)+1),MATCH(E$1,[2]quests!$1:$1,0)-MATCH($B$1,[2]quests!$1:$1,0)+1,FALSE)</f>
        <v>オイラーチャレンジ</v>
      </c>
      <c r="F2" s="130" t="str">
        <f ca="1">VLOOKUP($D2,OFFSET([2]stages!$A$1,0,0,COUNTA([2]stages!$A:$A),MATCH(F$1,[2]stages!$2:$2,0)-MATCH($D$1,[2]stages!$2:$2,0)+1),MATCH(F$1,[2]stages!$2:$2,0)-MATCH($D$1,[2]stages!$2:$2,0)+1,FALSE)</f>
        <v>【中級】オイラーチャレンジ</v>
      </c>
      <c r="G2" s="317">
        <v>1</v>
      </c>
      <c r="H2" s="317" t="str">
        <f>B2&amp;"_"&amp;C2&amp;"-"&amp;G2</f>
        <v>60006_1-1</v>
      </c>
      <c r="I2" s="326">
        <f ca="1">VLOOKUP($H2,OFFSET(floors!$A$1,0,0,COUNTA(floors!$A:$A),MATCH(I$1,floors!$1:$1,0)-MATCH($H$1,floors!$1:$1,0)+1),MATCH(I$1,floors!$1:$1,0)-MATCH($H$1,floors!$1:$1,0)+1,FALSE)</f>
        <v>45</v>
      </c>
      <c r="J2" s="326">
        <f ca="1">VLOOKUP($H2,OFFSET(floors!$A$1,0,0,COUNTA(floors!$A:$A),MATCH(J$1,floors!$1:$1,0)-MATCH($H$1,floors!$1:$1,0)+1),MATCH(J$1,floors!$1:$1,0)-MATCH($H$1,floors!$1:$1,0)+1,FALSE)</f>
        <v>45</v>
      </c>
      <c r="K2" s="327" t="s">
        <v>53</v>
      </c>
      <c r="L2" s="317">
        <v>27</v>
      </c>
      <c r="M2" s="130" t="str">
        <f ca="1">VLOOKUP($L2,OFFSET([3]enemies!$A$1,0,0,COUNTA([3]enemies!$A:$A),MATCH(M$1,[3]enemies!$1:$1,0)-MATCH($L$1,[3]enemies!$1:$1,0)+1),MATCH(M$1,[3]enemies!$1:$1,0)-MATCH($L$1,[3]enemies!$1:$1,0)+1,FALSE)</f>
        <v>パトライン</v>
      </c>
      <c r="N2" s="130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30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30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30">
        <f ca="1">VLOOKUP($L2,OFFSET([3]enemies!$A$1,0,0,COUNTA([3]enemies!$A:$A),MATCH(Q$1,[3]enemies!$1:$1,0)-MATCH($L$1,[3]enemies!$1:$1,0)+1),MATCH(Q$1,[3]enemies!$1:$1,0)-MATCH($L$1,[3]enemies!$1:$1,0)+1,FALSE)</f>
        <v>15</v>
      </c>
      <c r="R2" s="336">
        <v>30</v>
      </c>
      <c r="S2" s="337">
        <v>1.2</v>
      </c>
      <c r="T2" s="337">
        <v>1.8</v>
      </c>
      <c r="U2" s="336">
        <v>0</v>
      </c>
      <c r="V2" s="130"/>
      <c r="W2" s="130">
        <v>0</v>
      </c>
      <c r="X2" s="108">
        <v>0</v>
      </c>
      <c r="Y2" s="108">
        <v>100</v>
      </c>
      <c r="Z2" s="108">
        <v>0</v>
      </c>
      <c r="AA2" s="130">
        <v>1</v>
      </c>
      <c r="AB2" s="106">
        <f>L2</f>
        <v>27</v>
      </c>
      <c r="AC2" s="130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2" s="130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130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107">
        <v>1</v>
      </c>
      <c r="AG2" s="106">
        <f ca="1">AD2</f>
        <v>1</v>
      </c>
      <c r="AH2" s="108">
        <v>0</v>
      </c>
      <c r="AI2" s="107">
        <v>0</v>
      </c>
      <c r="AJ2" s="107">
        <v>0</v>
      </c>
      <c r="AK2" s="107">
        <v>0</v>
      </c>
      <c r="AL2" s="107">
        <v>0</v>
      </c>
      <c r="AM2" s="107">
        <v>1</v>
      </c>
      <c r="AN2" s="449">
        <v>1</v>
      </c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</row>
    <row r="3" spans="1:59" s="46" customFormat="1" ht="21" customHeight="1" x14ac:dyDescent="0.15">
      <c r="A3" s="386" t="str">
        <f t="shared" ref="A3:A5" si="0">B3&amp;"_"&amp;C3&amp;"-"&amp;G3&amp;"/"&amp;L3&amp;"&lt;lv"&amp;R3&amp;"&gt;s"&amp;AA3</f>
        <v>60006_1-1/27&lt;lv31&gt;s2</v>
      </c>
      <c r="B3" s="318">
        <v>60006</v>
      </c>
      <c r="C3" s="319">
        <v>1</v>
      </c>
      <c r="D3" s="12" t="str">
        <f t="shared" ref="D3:D5" si="1">B3&amp;"_"&amp;C3</f>
        <v>60006_1</v>
      </c>
      <c r="E3" s="15" t="str">
        <f ca="1">VLOOKUP($B3,OFFSET([2]quests!$A$1,0,0,COUNTA([2]quests!$A:$A),MATCH(E$1,[2]quests!$1:$1,0)-MATCH($B$1,[2]quests!$1:$1,0)+1),MATCH(E$1,[2]quests!$1:$1,0)-MATCH($B$1,[2]quests!$1:$1,0)+1,FALSE)</f>
        <v>オイラーチャレンジ</v>
      </c>
      <c r="F3" s="15" t="str">
        <f ca="1">VLOOKUP($D3,OFFSET([2]stages!$A$1,0,0,COUNTA([2]stages!$A:$A),MATCH(F$1,[2]stages!$2:$2,0)-MATCH($D$1,[2]stages!$2:$2,0)+1),MATCH(F$1,[2]stages!$2:$2,0)-MATCH($D$1,[2]stages!$2:$2,0)+1,FALSE)</f>
        <v>【中級】オイラーチャレンジ</v>
      </c>
      <c r="G3" s="319">
        <v>1</v>
      </c>
      <c r="H3" s="319" t="str">
        <f t="shared" ref="H3:H5" si="2">B3&amp;"_"&amp;C3&amp;"-"&amp;G3</f>
        <v>60006_1-1</v>
      </c>
      <c r="I3" s="328">
        <f ca="1">VLOOKUP($H3,OFFSET(floors!$A$1,0,0,COUNTA(floors!$A:$A),MATCH(I$1,floors!$1:$1,0)-MATCH($H$1,floors!$1:$1,0)+1),MATCH(I$1,floors!$1:$1,0)-MATCH($H$1,floors!$1:$1,0)+1,FALSE)</f>
        <v>45</v>
      </c>
      <c r="J3" s="328">
        <f ca="1">VLOOKUP($H3,OFFSET(floors!$A$1,0,0,COUNTA(floors!$A:$A),MATCH(J$1,floors!$1:$1,0)-MATCH($H$1,floors!$1:$1,0)+1),MATCH(J$1,floors!$1:$1,0)-MATCH($H$1,floors!$1:$1,0)+1,FALSE)</f>
        <v>45</v>
      </c>
      <c r="K3" s="329" t="s">
        <v>53</v>
      </c>
      <c r="L3" s="319">
        <v>27</v>
      </c>
      <c r="M3" s="15" t="str">
        <f ca="1">VLOOKUP($L3,OFFSET([3]enemies!$A$1,0,0,COUNTA([3]enemies!$A:$A),MATCH(M$1,[3]enemies!$1:$1,0)-MATCH($L$1,[3]enemies!$1:$1,0)+1),MATCH(M$1,[3]enemies!$1:$1,0)-MATCH($L$1,[3]enemies!$1:$1,0)+1,FALSE)</f>
        <v>パトライン</v>
      </c>
      <c r="N3" s="15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5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5">
        <f ca="1">VLOOKUP($L3,OFFSET([3]enemies!$A$1,0,0,COUNTA([3]enemies!$A:$A),MATCH(Q$1,[3]enemies!$1:$1,0)-MATCH($L$1,[3]enemies!$1:$1,0)+1),MATCH(Q$1,[3]enemies!$1:$1,0)-MATCH($L$1,[3]enemies!$1:$1,0)+1,FALSE)</f>
        <v>15</v>
      </c>
      <c r="R3" s="338">
        <v>31</v>
      </c>
      <c r="S3" s="339">
        <v>1.2</v>
      </c>
      <c r="T3" s="339">
        <v>1.8</v>
      </c>
      <c r="U3" s="338">
        <v>0</v>
      </c>
      <c r="V3" s="15"/>
      <c r="W3" s="15">
        <v>0</v>
      </c>
      <c r="X3" s="46">
        <v>0</v>
      </c>
      <c r="Y3" s="46">
        <v>100</v>
      </c>
      <c r="Z3" s="46">
        <v>0</v>
      </c>
      <c r="AA3" s="15">
        <v>2</v>
      </c>
      <c r="AB3" s="87">
        <f t="shared" ref="AB3:AB5" si="3">L3</f>
        <v>27</v>
      </c>
      <c r="AC3" s="15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3" s="15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15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88">
        <v>1</v>
      </c>
      <c r="AG3" s="87">
        <f t="shared" ref="AG3:AG5" ca="1" si="4">AD3</f>
        <v>1</v>
      </c>
      <c r="AH3" s="46">
        <v>0</v>
      </c>
      <c r="AI3" s="88">
        <v>0</v>
      </c>
      <c r="AJ3" s="88">
        <v>0</v>
      </c>
      <c r="AK3" s="88">
        <v>0</v>
      </c>
      <c r="AL3" s="88">
        <v>0</v>
      </c>
      <c r="AM3" s="88">
        <v>1</v>
      </c>
      <c r="AN3" s="450">
        <v>1</v>
      </c>
      <c r="AO3" s="111"/>
      <c r="AP3" s="111"/>
      <c r="AQ3" s="111"/>
      <c r="AR3" s="111"/>
      <c r="AS3" s="111"/>
      <c r="AT3" s="111"/>
      <c r="AU3" s="111"/>
      <c r="AV3" s="111"/>
      <c r="AW3" s="111"/>
      <c r="AX3" s="111"/>
      <c r="AY3" s="111"/>
      <c r="AZ3" s="111"/>
      <c r="BA3" s="111"/>
      <c r="BB3" s="111"/>
      <c r="BC3" s="111"/>
      <c r="BD3" s="111"/>
      <c r="BE3" s="111"/>
      <c r="BF3" s="111"/>
      <c r="BG3" s="111"/>
    </row>
    <row r="4" spans="1:59" s="46" customFormat="1" ht="21" customHeight="1" x14ac:dyDescent="0.15">
      <c r="A4" s="386" t="str">
        <f t="shared" si="0"/>
        <v>60006_1-1/27&lt;lv32&gt;s2</v>
      </c>
      <c r="B4" s="318">
        <v>60006</v>
      </c>
      <c r="C4" s="319">
        <v>1</v>
      </c>
      <c r="D4" s="12" t="str">
        <f t="shared" si="1"/>
        <v>60006_1</v>
      </c>
      <c r="E4" s="15" t="str">
        <f ca="1">VLOOKUP($B4,OFFSET([2]quests!$A$1,0,0,COUNTA([2]quests!$A:$A),MATCH(E$1,[2]quests!$1:$1,0)-MATCH($B$1,[2]quests!$1:$1,0)+1),MATCH(E$1,[2]quests!$1:$1,0)-MATCH($B$1,[2]quests!$1:$1,0)+1,FALSE)</f>
        <v>オイラーチャレンジ</v>
      </c>
      <c r="F4" s="15" t="str">
        <f ca="1">VLOOKUP($D4,OFFSET([2]stages!$A$1,0,0,COUNTA([2]stages!$A:$A),MATCH(F$1,[2]stages!$2:$2,0)-MATCH($D$1,[2]stages!$2:$2,0)+1),MATCH(F$1,[2]stages!$2:$2,0)-MATCH($D$1,[2]stages!$2:$2,0)+1,FALSE)</f>
        <v>【中級】オイラーチャレンジ</v>
      </c>
      <c r="G4" s="319">
        <v>1</v>
      </c>
      <c r="H4" s="319" t="str">
        <f t="shared" si="2"/>
        <v>60006_1-1</v>
      </c>
      <c r="I4" s="328">
        <f ca="1">VLOOKUP($H4,OFFSET(floors!$A$1,0,0,COUNTA(floors!$A:$A),MATCH(I$1,floors!$1:$1,0)-MATCH($H$1,floors!$1:$1,0)+1),MATCH(I$1,floors!$1:$1,0)-MATCH($H$1,floors!$1:$1,0)+1,FALSE)</f>
        <v>45</v>
      </c>
      <c r="J4" s="328">
        <f ca="1">VLOOKUP($H4,OFFSET(floors!$A$1,0,0,COUNTA(floors!$A:$A),MATCH(J$1,floors!$1:$1,0)-MATCH($H$1,floors!$1:$1,0)+1),MATCH(J$1,floors!$1:$1,0)-MATCH($H$1,floors!$1:$1,0)+1,FALSE)</f>
        <v>45</v>
      </c>
      <c r="K4" s="329" t="s">
        <v>53</v>
      </c>
      <c r="L4" s="319">
        <v>27</v>
      </c>
      <c r="M4" s="15" t="str">
        <f ca="1">VLOOKUP($L4,OFFSET([3]enemies!$A$1,0,0,COUNTA([3]enemies!$A:$A),MATCH(M$1,[3]enemies!$1:$1,0)-MATCH($L$1,[3]enemies!$1:$1,0)+1),MATCH(M$1,[3]enemies!$1:$1,0)-MATCH($L$1,[3]enemies!$1:$1,0)+1,FALSE)</f>
        <v>パトライン</v>
      </c>
      <c r="N4" s="15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5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5">
        <f ca="1">VLOOKUP($L4,OFFSET([3]enemies!$A$1,0,0,COUNTA([3]enemies!$A:$A),MATCH(Q$1,[3]enemies!$1:$1,0)-MATCH($L$1,[3]enemies!$1:$1,0)+1),MATCH(Q$1,[3]enemies!$1:$1,0)-MATCH($L$1,[3]enemies!$1:$1,0)+1,FALSE)</f>
        <v>15</v>
      </c>
      <c r="R4" s="338">
        <v>32</v>
      </c>
      <c r="S4" s="339">
        <v>1.2</v>
      </c>
      <c r="T4" s="339">
        <v>1.8</v>
      </c>
      <c r="U4" s="338">
        <v>0</v>
      </c>
      <c r="V4" s="15"/>
      <c r="W4" s="15">
        <v>0</v>
      </c>
      <c r="X4" s="46">
        <v>0</v>
      </c>
      <c r="Y4" s="46">
        <v>100</v>
      </c>
      <c r="Z4" s="46">
        <v>0</v>
      </c>
      <c r="AA4" s="15">
        <v>2</v>
      </c>
      <c r="AB4" s="87">
        <f t="shared" si="3"/>
        <v>27</v>
      </c>
      <c r="AC4" s="15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4" s="15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15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88">
        <v>1</v>
      </c>
      <c r="AG4" s="87">
        <f t="shared" ca="1" si="4"/>
        <v>1</v>
      </c>
      <c r="AH4" s="46">
        <v>0</v>
      </c>
      <c r="AI4" s="88">
        <v>0</v>
      </c>
      <c r="AJ4" s="88">
        <v>0</v>
      </c>
      <c r="AK4" s="88">
        <v>0</v>
      </c>
      <c r="AL4" s="88">
        <v>0</v>
      </c>
      <c r="AM4" s="88">
        <v>1</v>
      </c>
      <c r="AN4" s="450">
        <v>1</v>
      </c>
      <c r="AO4" s="111"/>
      <c r="AP4" s="111"/>
      <c r="AQ4" s="111"/>
      <c r="AR4" s="111"/>
      <c r="AS4" s="111"/>
      <c r="AT4" s="111"/>
      <c r="AU4" s="111"/>
      <c r="AV4" s="111"/>
      <c r="AW4" s="111"/>
      <c r="AX4" s="111"/>
      <c r="AY4" s="111"/>
      <c r="AZ4" s="111"/>
      <c r="BA4" s="111"/>
      <c r="BB4" s="111"/>
      <c r="BC4" s="111"/>
      <c r="BD4" s="111"/>
      <c r="BE4" s="111"/>
      <c r="BF4" s="111"/>
      <c r="BG4" s="111"/>
    </row>
    <row r="5" spans="1:59" s="121" customFormat="1" ht="21" customHeight="1" thickBot="1" x14ac:dyDescent="0.2">
      <c r="A5" s="387" t="str">
        <f t="shared" si="0"/>
        <v>60006_1-1/27&lt;lv33&gt;s3</v>
      </c>
      <c r="B5" s="320">
        <v>60006</v>
      </c>
      <c r="C5" s="321">
        <v>1</v>
      </c>
      <c r="D5" s="114" t="str">
        <f t="shared" si="1"/>
        <v>60006_1</v>
      </c>
      <c r="E5" s="134" t="str">
        <f ca="1">VLOOKUP($B5,OFFSET([2]quests!$A$1,0,0,COUNTA([2]quests!$A:$A),MATCH(E$1,[2]quests!$1:$1,0)-MATCH($B$1,[2]quests!$1:$1,0)+1),MATCH(E$1,[2]quests!$1:$1,0)-MATCH($B$1,[2]quests!$1:$1,0)+1,FALSE)</f>
        <v>オイラーチャレンジ</v>
      </c>
      <c r="F5" s="134" t="str">
        <f ca="1">VLOOKUP($D5,OFFSET([2]stages!$A$1,0,0,COUNTA([2]stages!$A:$A),MATCH(F$1,[2]stages!$2:$2,0)-MATCH($D$1,[2]stages!$2:$2,0)+1),MATCH(F$1,[2]stages!$2:$2,0)-MATCH($D$1,[2]stages!$2:$2,0)+1,FALSE)</f>
        <v>【中級】オイラーチャレンジ</v>
      </c>
      <c r="G5" s="321">
        <v>1</v>
      </c>
      <c r="H5" s="321" t="str">
        <f t="shared" si="2"/>
        <v>60006_1-1</v>
      </c>
      <c r="I5" s="330">
        <f ca="1">VLOOKUP($H5,OFFSET(floors!$A$1,0,0,COUNTA(floors!$A:$A),MATCH(I$1,floors!$1:$1,0)-MATCH($H$1,floors!$1:$1,0)+1),MATCH(I$1,floors!$1:$1,0)-MATCH($H$1,floors!$1:$1,0)+1,FALSE)</f>
        <v>45</v>
      </c>
      <c r="J5" s="330">
        <f ca="1">VLOOKUP($H5,OFFSET(floors!$A$1,0,0,COUNTA(floors!$A:$A),MATCH(J$1,floors!$1:$1,0)-MATCH($H$1,floors!$1:$1,0)+1),MATCH(J$1,floors!$1:$1,0)-MATCH($H$1,floors!$1:$1,0)+1,FALSE)</f>
        <v>45</v>
      </c>
      <c r="K5" s="331" t="s">
        <v>53</v>
      </c>
      <c r="L5" s="321">
        <v>27</v>
      </c>
      <c r="M5" s="134" t="str">
        <f ca="1">VLOOKUP($L5,OFFSET([3]enemies!$A$1,0,0,COUNTA([3]enemies!$A:$A),MATCH(M$1,[3]enemies!$1:$1,0)-MATCH($L$1,[3]enemies!$1:$1,0)+1),MATCH(M$1,[3]enemies!$1:$1,0)-MATCH($L$1,[3]enemies!$1:$1,0)+1,FALSE)</f>
        <v>パトライン</v>
      </c>
      <c r="N5" s="134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34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34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34">
        <f ca="1">VLOOKUP($L5,OFFSET([3]enemies!$A$1,0,0,COUNTA([3]enemies!$A:$A),MATCH(Q$1,[3]enemies!$1:$1,0)-MATCH($L$1,[3]enemies!$1:$1,0)+1),MATCH(Q$1,[3]enemies!$1:$1,0)-MATCH($L$1,[3]enemies!$1:$1,0)+1,FALSE)</f>
        <v>15</v>
      </c>
      <c r="R5" s="341">
        <v>33</v>
      </c>
      <c r="S5" s="342">
        <v>1.2</v>
      </c>
      <c r="T5" s="342">
        <v>1.8</v>
      </c>
      <c r="U5" s="341">
        <v>0</v>
      </c>
      <c r="V5" s="134"/>
      <c r="W5" s="134">
        <v>0</v>
      </c>
      <c r="X5" s="121">
        <v>0</v>
      </c>
      <c r="Y5" s="121">
        <v>100</v>
      </c>
      <c r="Z5" s="121">
        <v>0</v>
      </c>
      <c r="AA5" s="134">
        <v>3</v>
      </c>
      <c r="AB5" s="119">
        <f t="shared" si="3"/>
        <v>27</v>
      </c>
      <c r="AC5" s="13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5" s="13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13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120">
        <v>1</v>
      </c>
      <c r="AG5" s="119">
        <f t="shared" ca="1" si="4"/>
        <v>1</v>
      </c>
      <c r="AH5" s="121">
        <v>0</v>
      </c>
      <c r="AI5" s="120">
        <v>0</v>
      </c>
      <c r="AJ5" s="120">
        <v>0</v>
      </c>
      <c r="AK5" s="120">
        <v>0</v>
      </c>
      <c r="AL5" s="120">
        <v>0</v>
      </c>
      <c r="AM5" s="120">
        <v>1</v>
      </c>
      <c r="AN5" s="451">
        <v>1</v>
      </c>
      <c r="AO5" s="111"/>
      <c r="AP5" s="111"/>
      <c r="AQ5" s="111"/>
      <c r="AR5" s="111"/>
      <c r="AS5" s="111"/>
      <c r="AT5" s="111"/>
      <c r="AU5" s="111"/>
      <c r="AV5" s="111"/>
      <c r="AW5" s="111"/>
      <c r="AX5" s="111"/>
      <c r="AY5" s="111"/>
      <c r="AZ5" s="111"/>
      <c r="BA5" s="111"/>
      <c r="BB5" s="111"/>
      <c r="BC5" s="111"/>
      <c r="BD5" s="111"/>
      <c r="BE5" s="111"/>
      <c r="BF5" s="111"/>
      <c r="BG5" s="111"/>
    </row>
    <row r="6" spans="1:59" s="98" customFormat="1" ht="21" customHeight="1" x14ac:dyDescent="0.15">
      <c r="A6" s="388" t="str">
        <f>B6&amp;"_"&amp;C6&amp;"-"&amp;G6&amp;"/"&amp;L6&amp;"&lt;lv"&amp;R6&amp;"&gt;s"&amp;AA6</f>
        <v>60006_1-2/35&lt;lv31&gt;s2</v>
      </c>
      <c r="B6" s="364">
        <v>60006</v>
      </c>
      <c r="C6" s="365">
        <v>1</v>
      </c>
      <c r="D6" s="95" t="str">
        <f>B6&amp;"_"&amp;C6</f>
        <v>60006_1</v>
      </c>
      <c r="E6" s="127" t="str">
        <f ca="1">VLOOKUP($B6,OFFSET([2]quests!$A$1,0,0,COUNTA([2]quests!$A:$A),MATCH(E$1,[2]quests!$1:$1,0)-MATCH($B$1,[2]quests!$1:$1,0)+1),MATCH(E$1,[2]quests!$1:$1,0)-MATCH($B$1,[2]quests!$1:$1,0)+1,FALSE)</f>
        <v>オイラーチャレンジ</v>
      </c>
      <c r="F6" s="127" t="str">
        <f ca="1">VLOOKUP($D6,OFFSET([2]stages!$A$1,0,0,COUNTA([2]stages!$A:$A),MATCH(F$1,[2]stages!$2:$2,0)-MATCH($D$1,[2]stages!$2:$2,0)+1),MATCH(F$1,[2]stages!$2:$2,0)-MATCH($D$1,[2]stages!$2:$2,0)+1,FALSE)</f>
        <v>【中級】オイラーチャレンジ</v>
      </c>
      <c r="G6" s="365">
        <v>2</v>
      </c>
      <c r="H6" s="365" t="str">
        <f>B6&amp;"_"&amp;C6&amp;"-"&amp;G6</f>
        <v>60006_1-2</v>
      </c>
      <c r="I6" s="366">
        <f ca="1">VLOOKUP($H6,OFFSET(floors!$A$1,0,0,COUNTA(floors!$A:$A),MATCH(I$1,floors!$1:$1,0)-MATCH($H$1,floors!$1:$1,0)+1),MATCH(I$1,floors!$1:$1,0)-MATCH($H$1,floors!$1:$1,0)+1,FALSE)</f>
        <v>45</v>
      </c>
      <c r="J6" s="366">
        <f ca="1">VLOOKUP($H6,OFFSET(floors!$A$1,0,0,COUNTA(floors!$A:$A),MATCH(J$1,floors!$1:$1,0)-MATCH($H$1,floors!$1:$1,0)+1),MATCH(J$1,floors!$1:$1,0)-MATCH($H$1,floors!$1:$1,0)+1,FALSE)</f>
        <v>45</v>
      </c>
      <c r="K6" s="367" t="s">
        <v>53</v>
      </c>
      <c r="L6" s="365">
        <v>35</v>
      </c>
      <c r="M6" s="127" t="str">
        <f ca="1">VLOOKUP($L6,OFFSET([3]enemies!$A$1,0,0,COUNTA([3]enemies!$A:$A),MATCH(M$1,[3]enemies!$1:$1,0)-MATCH($L$1,[3]enemies!$1:$1,0)+1),MATCH(M$1,[3]enemies!$1:$1,0)-MATCH($L$1,[3]enemies!$1:$1,0)+1,FALSE)</f>
        <v>F2</v>
      </c>
      <c r="N6" s="12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2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27" t="str">
        <f ca="1">VLOOKUP($L6,OFFSET([3]enemies!$A$1,0,0,COUNTA([3]enemies!$A:$A),MATCH(P$1,[3]enemies!$1:$1,0)-MATCH($L$1,[3]enemies!$1:$1,0)+1),MATCH(P$1,[3]enemies!$1:$1,0)-MATCH($L$1,[3]enemies!$1:$1,0)+1,FALSE)</f>
        <v>machine</v>
      </c>
      <c r="Q6" s="127">
        <f ca="1">VLOOKUP($L6,OFFSET([3]enemies!$A$1,0,0,COUNTA([3]enemies!$A:$A),MATCH(Q$1,[3]enemies!$1:$1,0)-MATCH($L$1,[3]enemies!$1:$1,0)+1),MATCH(Q$1,[3]enemies!$1:$1,0)-MATCH($L$1,[3]enemies!$1:$1,0)+1,FALSE)</f>
        <v>15</v>
      </c>
      <c r="R6" s="368">
        <v>31</v>
      </c>
      <c r="S6" s="369">
        <v>1.2</v>
      </c>
      <c r="T6" s="369">
        <v>2</v>
      </c>
      <c r="U6" s="368">
        <v>0</v>
      </c>
      <c r="V6" s="127"/>
      <c r="W6" s="157">
        <v>60006001</v>
      </c>
      <c r="X6" s="98">
        <v>0</v>
      </c>
      <c r="Y6" s="98">
        <v>100</v>
      </c>
      <c r="Z6" s="98">
        <v>0</v>
      </c>
      <c r="AA6" s="14">
        <v>2</v>
      </c>
      <c r="AB6" s="159">
        <f>L6</f>
        <v>35</v>
      </c>
      <c r="AC6" s="127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F2</v>
      </c>
      <c r="AD6" s="127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127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97">
        <v>1</v>
      </c>
      <c r="AG6" s="159">
        <f ca="1">AD6</f>
        <v>2</v>
      </c>
      <c r="AH6" s="98">
        <v>0</v>
      </c>
      <c r="AI6" s="97">
        <v>0</v>
      </c>
      <c r="AJ6" s="97">
        <v>0</v>
      </c>
      <c r="AK6" s="97">
        <v>0</v>
      </c>
      <c r="AL6" s="97">
        <v>0</v>
      </c>
      <c r="AM6" s="97">
        <v>1</v>
      </c>
      <c r="AN6" s="452">
        <v>1</v>
      </c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111"/>
      <c r="BD6" s="111"/>
      <c r="BE6" s="111"/>
      <c r="BF6" s="111"/>
      <c r="BG6" s="111"/>
    </row>
    <row r="7" spans="1:59" s="46" customFormat="1" ht="21" customHeight="1" x14ac:dyDescent="0.15">
      <c r="A7" s="386" t="str">
        <f t="shared" ref="A7:A8" si="5">B7&amp;"_"&amp;C7&amp;"-"&amp;G7&amp;"/"&amp;L7&amp;"&lt;lv"&amp;R7&amp;"&gt;s"&amp;AA7</f>
        <v>60006_1-2/35&lt;lv32&gt;s3</v>
      </c>
      <c r="B7" s="318">
        <v>60006</v>
      </c>
      <c r="C7" s="319">
        <v>1</v>
      </c>
      <c r="D7" s="12" t="str">
        <f t="shared" ref="D7:D8" si="6">B7&amp;"_"&amp;C7</f>
        <v>60006_1</v>
      </c>
      <c r="E7" s="15" t="str">
        <f ca="1">VLOOKUP($B7,OFFSET([2]quests!$A$1,0,0,COUNTA([2]quests!$A:$A),MATCH(E$1,[2]quests!$1:$1,0)-MATCH($B$1,[2]quests!$1:$1,0)+1),MATCH(E$1,[2]quests!$1:$1,0)-MATCH($B$1,[2]quests!$1:$1,0)+1,FALSE)</f>
        <v>オイラーチャレンジ</v>
      </c>
      <c r="F7" s="15" t="str">
        <f ca="1">VLOOKUP($D7,OFFSET([2]stages!$A$1,0,0,COUNTA([2]stages!$A:$A),MATCH(F$1,[2]stages!$2:$2,0)-MATCH($D$1,[2]stages!$2:$2,0)+1),MATCH(F$1,[2]stages!$2:$2,0)-MATCH($D$1,[2]stages!$2:$2,0)+1,FALSE)</f>
        <v>【中級】オイラーチャレンジ</v>
      </c>
      <c r="G7" s="319">
        <v>2</v>
      </c>
      <c r="H7" s="319" t="str">
        <f t="shared" ref="H7:H8" si="7">B7&amp;"_"&amp;C7&amp;"-"&amp;G7</f>
        <v>60006_1-2</v>
      </c>
      <c r="I7" s="328">
        <f ca="1">VLOOKUP($H7,OFFSET(floors!$A$1,0,0,COUNTA(floors!$A:$A),MATCH(I$1,floors!$1:$1,0)-MATCH($H$1,floors!$1:$1,0)+1),MATCH(I$1,floors!$1:$1,0)-MATCH($H$1,floors!$1:$1,0)+1,FALSE)</f>
        <v>45</v>
      </c>
      <c r="J7" s="328">
        <f ca="1">VLOOKUP($H7,OFFSET(floors!$A$1,0,0,COUNTA(floors!$A:$A),MATCH(J$1,floors!$1:$1,0)-MATCH($H$1,floors!$1:$1,0)+1),MATCH(J$1,floors!$1:$1,0)-MATCH($H$1,floors!$1:$1,0)+1,FALSE)</f>
        <v>45</v>
      </c>
      <c r="K7" s="329" t="s">
        <v>53</v>
      </c>
      <c r="L7" s="319">
        <v>35</v>
      </c>
      <c r="M7" s="15" t="str">
        <f ca="1">VLOOKUP($L7,OFFSET([3]enemies!$A$1,0,0,COUNTA([3]enemies!$A:$A),MATCH(M$1,[3]enemies!$1:$1,0)-MATCH($L$1,[3]enemies!$1:$1,0)+1),MATCH(M$1,[3]enemies!$1:$1,0)-MATCH($L$1,[3]enemies!$1:$1,0)+1,FALSE)</f>
        <v>F2</v>
      </c>
      <c r="N7" s="15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5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5">
        <f ca="1">VLOOKUP($L7,OFFSET([3]enemies!$A$1,0,0,COUNTA([3]enemies!$A:$A),MATCH(Q$1,[3]enemies!$1:$1,0)-MATCH($L$1,[3]enemies!$1:$1,0)+1),MATCH(Q$1,[3]enemies!$1:$1,0)-MATCH($L$1,[3]enemies!$1:$1,0)+1,FALSE)</f>
        <v>15</v>
      </c>
      <c r="R7" s="338">
        <v>32</v>
      </c>
      <c r="S7" s="339">
        <v>1.2</v>
      </c>
      <c r="T7" s="339">
        <v>2</v>
      </c>
      <c r="U7" s="338">
        <v>0</v>
      </c>
      <c r="V7" s="15"/>
      <c r="W7" s="157">
        <v>60006001</v>
      </c>
      <c r="X7" s="46">
        <v>0</v>
      </c>
      <c r="Y7" s="46">
        <v>100</v>
      </c>
      <c r="Z7" s="46">
        <v>0</v>
      </c>
      <c r="AA7" s="14">
        <v>3</v>
      </c>
      <c r="AB7" s="87">
        <f t="shared" ref="AB7:AB8" si="8">L7</f>
        <v>35</v>
      </c>
      <c r="AC7" s="15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F2</v>
      </c>
      <c r="AD7" s="15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15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88">
        <v>1</v>
      </c>
      <c r="AG7" s="87">
        <f t="shared" ref="AG7:AG8" ca="1" si="9">AD7</f>
        <v>2</v>
      </c>
      <c r="AH7" s="46">
        <v>0</v>
      </c>
      <c r="AI7" s="88">
        <v>0</v>
      </c>
      <c r="AJ7" s="88">
        <v>0</v>
      </c>
      <c r="AK7" s="88">
        <v>0</v>
      </c>
      <c r="AL7" s="88">
        <v>0</v>
      </c>
      <c r="AM7" s="88">
        <v>1</v>
      </c>
      <c r="AN7" s="450">
        <v>1</v>
      </c>
      <c r="AO7" s="111"/>
      <c r="AP7" s="111"/>
      <c r="AQ7" s="111"/>
      <c r="AR7" s="111"/>
      <c r="AS7" s="111"/>
      <c r="AT7" s="111"/>
      <c r="AU7" s="111"/>
      <c r="AV7" s="111"/>
      <c r="AW7" s="111"/>
      <c r="AX7" s="111"/>
      <c r="AY7" s="111"/>
      <c r="AZ7" s="111"/>
      <c r="BA7" s="111"/>
      <c r="BB7" s="111"/>
      <c r="BC7" s="111"/>
      <c r="BD7" s="111"/>
      <c r="BE7" s="111"/>
      <c r="BF7" s="111"/>
      <c r="BG7" s="111"/>
    </row>
    <row r="8" spans="1:59" s="121" customFormat="1" ht="21" customHeight="1" thickBot="1" x14ac:dyDescent="0.2">
      <c r="A8" s="387" t="str">
        <f t="shared" si="5"/>
        <v>60006_1-2/35&lt;lv33&gt;s4</v>
      </c>
      <c r="B8" s="320">
        <v>60006</v>
      </c>
      <c r="C8" s="321">
        <v>1</v>
      </c>
      <c r="D8" s="114" t="str">
        <f t="shared" si="6"/>
        <v>60006_1</v>
      </c>
      <c r="E8" s="134" t="str">
        <f ca="1">VLOOKUP($B8,OFFSET([2]quests!$A$1,0,0,COUNTA([2]quests!$A:$A),MATCH(E$1,[2]quests!$1:$1,0)-MATCH($B$1,[2]quests!$1:$1,0)+1),MATCH(E$1,[2]quests!$1:$1,0)-MATCH($B$1,[2]quests!$1:$1,0)+1,FALSE)</f>
        <v>オイラーチャレンジ</v>
      </c>
      <c r="F8" s="134" t="str">
        <f ca="1">VLOOKUP($D8,OFFSET([2]stages!$A$1,0,0,COUNTA([2]stages!$A:$A),MATCH(F$1,[2]stages!$2:$2,0)-MATCH($D$1,[2]stages!$2:$2,0)+1),MATCH(F$1,[2]stages!$2:$2,0)-MATCH($D$1,[2]stages!$2:$2,0)+1,FALSE)</f>
        <v>【中級】オイラーチャレンジ</v>
      </c>
      <c r="G8" s="321">
        <v>2</v>
      </c>
      <c r="H8" s="321" t="str">
        <f t="shared" si="7"/>
        <v>60006_1-2</v>
      </c>
      <c r="I8" s="330">
        <f ca="1">VLOOKUP($H8,OFFSET(floors!$A$1,0,0,COUNTA(floors!$A:$A),MATCH(I$1,floors!$1:$1,0)-MATCH($H$1,floors!$1:$1,0)+1),MATCH(I$1,floors!$1:$1,0)-MATCH($H$1,floors!$1:$1,0)+1,FALSE)</f>
        <v>45</v>
      </c>
      <c r="J8" s="330">
        <f ca="1">VLOOKUP($H8,OFFSET(floors!$A$1,0,0,COUNTA(floors!$A:$A),MATCH(J$1,floors!$1:$1,0)-MATCH($H$1,floors!$1:$1,0)+1),MATCH(J$1,floors!$1:$1,0)-MATCH($H$1,floors!$1:$1,0)+1,FALSE)</f>
        <v>45</v>
      </c>
      <c r="K8" s="331" t="s">
        <v>53</v>
      </c>
      <c r="L8" s="321">
        <v>35</v>
      </c>
      <c r="M8" s="134" t="str">
        <f ca="1">VLOOKUP($L8,OFFSET([3]enemies!$A$1,0,0,COUNTA([3]enemies!$A:$A),MATCH(M$1,[3]enemies!$1:$1,0)-MATCH($L$1,[3]enemies!$1:$1,0)+1),MATCH(M$1,[3]enemies!$1:$1,0)-MATCH($L$1,[3]enemies!$1:$1,0)+1,FALSE)</f>
        <v>F2</v>
      </c>
      <c r="N8" s="134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34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34" t="str">
        <f ca="1">VLOOKUP($L8,OFFSET([3]enemies!$A$1,0,0,COUNTA([3]enemies!$A:$A),MATCH(P$1,[3]enemies!$1:$1,0)-MATCH($L$1,[3]enemies!$1:$1,0)+1),MATCH(P$1,[3]enemies!$1:$1,0)-MATCH($L$1,[3]enemies!$1:$1,0)+1,FALSE)</f>
        <v>machine</v>
      </c>
      <c r="Q8" s="134">
        <f ca="1">VLOOKUP($L8,OFFSET([3]enemies!$A$1,0,0,COUNTA([3]enemies!$A:$A),MATCH(Q$1,[3]enemies!$1:$1,0)-MATCH($L$1,[3]enemies!$1:$1,0)+1),MATCH(Q$1,[3]enemies!$1:$1,0)-MATCH($L$1,[3]enemies!$1:$1,0)+1,FALSE)</f>
        <v>15</v>
      </c>
      <c r="R8" s="340">
        <v>33</v>
      </c>
      <c r="S8" s="342">
        <v>1.2</v>
      </c>
      <c r="T8" s="342">
        <v>2</v>
      </c>
      <c r="U8" s="341">
        <v>0</v>
      </c>
      <c r="V8" s="134"/>
      <c r="W8" s="163">
        <v>60006001</v>
      </c>
      <c r="X8" s="121">
        <v>0</v>
      </c>
      <c r="Y8" s="121">
        <v>100</v>
      </c>
      <c r="Z8" s="121">
        <v>0</v>
      </c>
      <c r="AA8" s="117">
        <v>4</v>
      </c>
      <c r="AB8" s="119">
        <f t="shared" si="8"/>
        <v>35</v>
      </c>
      <c r="AC8" s="13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F2</v>
      </c>
      <c r="AD8" s="13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13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Drop1S</v>
      </c>
      <c r="AF8" s="120">
        <v>1</v>
      </c>
      <c r="AG8" s="119">
        <f t="shared" ca="1" si="9"/>
        <v>2</v>
      </c>
      <c r="AH8" s="121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1</v>
      </c>
      <c r="AN8" s="451">
        <v>1</v>
      </c>
      <c r="AO8" s="111"/>
      <c r="AP8" s="111"/>
      <c r="AQ8" s="111"/>
      <c r="AR8" s="111"/>
      <c r="AS8" s="111"/>
      <c r="AT8" s="111"/>
      <c r="AU8" s="111"/>
      <c r="AV8" s="111"/>
      <c r="AW8" s="111"/>
      <c r="AX8" s="111"/>
      <c r="AY8" s="111"/>
      <c r="AZ8" s="111"/>
      <c r="BA8" s="111"/>
      <c r="BB8" s="111"/>
      <c r="BC8" s="111"/>
      <c r="BD8" s="111"/>
      <c r="BE8" s="111"/>
      <c r="BF8" s="111"/>
      <c r="BG8" s="111"/>
    </row>
    <row r="9" spans="1:59" s="109" customFormat="1" ht="21" customHeight="1" x14ac:dyDescent="0.15">
      <c r="A9" s="389" t="str">
        <f t="shared" ref="A9:A32" si="10">B9&amp;"_"&amp;C9&amp;"-"&amp;G9&amp;"/"&amp;L9&amp;"&lt;lv"&amp;R9&amp;"&gt;s"&amp;AA9</f>
        <v>60006_1-3/436&lt;lv40&gt;s2</v>
      </c>
      <c r="B9" s="322">
        <v>60006</v>
      </c>
      <c r="C9" s="317">
        <v>1</v>
      </c>
      <c r="D9" s="101" t="str">
        <f t="shared" ref="D9:D32" si="11">B9&amp;"_"&amp;C9</f>
        <v>60006_1</v>
      </c>
      <c r="E9" s="102" t="str">
        <f ca="1">VLOOKUP($B9,OFFSET([2]quests!$A$1,0,0,COUNTA([2]quests!$A:$A),MATCH(E$1,[2]quests!$1:$1,0)-MATCH($B$1,[2]quests!$1:$1,0)+1),MATCH(E$1,[2]quests!$1:$1,0)-MATCH($B$1,[2]quests!$1:$1,0)+1,FALSE)</f>
        <v>オイラーチャレンジ</v>
      </c>
      <c r="F9" s="102" t="str">
        <f ca="1">VLOOKUP($D9,OFFSET([2]stages!$A$1,0,0,COUNTA([2]stages!$A:$A),MATCH(F$1,[2]stages!$2:$2,0)-MATCH($D$1,[2]stages!$2:$2,0)+1),MATCH(F$1,[2]stages!$2:$2,0)-MATCH($D$1,[2]stages!$2:$2,0)+1,FALSE)</f>
        <v>【中級】オイラーチャレンジ</v>
      </c>
      <c r="G9" s="317">
        <v>3</v>
      </c>
      <c r="H9" s="317" t="str">
        <f t="shared" ref="H9:H32" si="12">B9&amp;"_"&amp;C9&amp;"-"&amp;G9</f>
        <v>60006_1-3</v>
      </c>
      <c r="I9" s="332">
        <f ca="1">VLOOKUP($H9,OFFSET(floors!$A$1,0,0,COUNTA(floors!$A:$A),MATCH(I$1,floors!$1:$1,0)-MATCH($H$1,floors!$1:$1,0)+1),MATCH(I$1,floors!$1:$1,0)-MATCH($H$1,floors!$1:$1,0)+1,FALSE)</f>
        <v>60</v>
      </c>
      <c r="J9" s="332">
        <f ca="1">VLOOKUP($H9,OFFSET(floors!$A$1,0,0,COUNTA(floors!$A:$A),MATCH(J$1,floors!$1:$1,0)-MATCH($H$1,floors!$1:$1,0)+1),MATCH(J$1,floors!$1:$1,0)-MATCH($H$1,floors!$1:$1,0)+1,FALSE)</f>
        <v>60</v>
      </c>
      <c r="K9" s="327" t="s">
        <v>53</v>
      </c>
      <c r="L9" s="317">
        <v>436</v>
      </c>
      <c r="M9" s="104" t="str">
        <f ca="1">VLOOKUP($L9,OFFSET([3]enemies!$A$1,0,0,COUNTA([3]enemies!$A:$A),MATCH(M$1,[3]enemies!$1:$1,0)-MATCH($L$1,[3]enemies!$1:$1,0)+1),MATCH(M$1,[3]enemies!$1:$1,0)-MATCH($L$1,[3]enemies!$1:$1,0)+1,FALSE)</f>
        <v>カカシ</v>
      </c>
      <c r="N9" s="104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04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04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04">
        <f ca="1">VLOOKUP($L9,OFFSET([3]enemies!$A$1,0,0,COUNTA([3]enemies!$A:$A),MATCH(Q$1,[3]enemies!$1:$1,0)-MATCH($L$1,[3]enemies!$1:$1,0)+1),MATCH(Q$1,[3]enemies!$1:$1,0)-MATCH($L$1,[3]enemies!$1:$1,0)+1,FALSE)</f>
        <v>25</v>
      </c>
      <c r="R9" s="343">
        <v>40</v>
      </c>
      <c r="S9" s="344">
        <v>1</v>
      </c>
      <c r="T9" s="344">
        <v>1</v>
      </c>
      <c r="U9" s="343">
        <v>0</v>
      </c>
      <c r="V9" s="102"/>
      <c r="W9" s="102">
        <v>60006004</v>
      </c>
      <c r="X9" s="105">
        <v>1</v>
      </c>
      <c r="Y9" s="105">
        <v>100</v>
      </c>
      <c r="Z9" s="105">
        <v>0</v>
      </c>
      <c r="AA9" s="104">
        <v>2</v>
      </c>
      <c r="AB9" s="106">
        <f t="shared" ref="AB9:AB32" si="13">L9</f>
        <v>436</v>
      </c>
      <c r="AC9" s="102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カカシ</v>
      </c>
      <c r="AD9" s="102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102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107">
        <v>1</v>
      </c>
      <c r="AG9" s="106">
        <f t="shared" ref="AG9:AG32" ca="1" si="14">AD9</f>
        <v>3</v>
      </c>
      <c r="AH9" s="108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1</v>
      </c>
      <c r="AN9" s="449">
        <v>1</v>
      </c>
      <c r="AO9" s="111"/>
      <c r="AP9" s="111"/>
      <c r="AQ9" s="111"/>
      <c r="AR9" s="111"/>
      <c r="AS9" s="111"/>
      <c r="AT9" s="111"/>
      <c r="AU9" s="111"/>
      <c r="AV9" s="111"/>
      <c r="AW9" s="111"/>
      <c r="AX9" s="111"/>
      <c r="AY9" s="111"/>
      <c r="AZ9" s="111"/>
      <c r="BA9" s="111"/>
      <c r="BB9" s="111"/>
      <c r="BC9" s="111"/>
      <c r="BD9" s="111"/>
      <c r="BE9" s="111"/>
      <c r="BF9" s="111"/>
      <c r="BG9" s="111"/>
    </row>
    <row r="10" spans="1:59" s="122" customFormat="1" ht="21" customHeight="1" thickBot="1" x14ac:dyDescent="0.2">
      <c r="A10" s="390" t="str">
        <f t="shared" ref="A10" si="15">B10&amp;"_"&amp;C10&amp;"-"&amp;G10&amp;"/"&amp;L10&amp;"&lt;lv"&amp;R10&amp;"&gt;s"&amp;AA10</f>
        <v>60006_1-3/280&lt;lv40&gt;s3</v>
      </c>
      <c r="B10" s="323">
        <v>60006</v>
      </c>
      <c r="C10" s="321">
        <v>1</v>
      </c>
      <c r="D10" s="114" t="str">
        <f t="shared" ref="D10" si="16">B10&amp;"_"&amp;C10</f>
        <v>60006_1</v>
      </c>
      <c r="E10" s="115" t="str">
        <f ca="1">VLOOKUP($B10,OFFSET([2]quests!$A$1,0,0,COUNTA([2]quests!$A:$A),MATCH(E$1,[2]quests!$1:$1,0)-MATCH($B$1,[2]quests!$1:$1,0)+1),MATCH(E$1,[2]quests!$1:$1,0)-MATCH($B$1,[2]quests!$1:$1,0)+1,FALSE)</f>
        <v>オイラーチャレンジ</v>
      </c>
      <c r="F10" s="115" t="str">
        <f ca="1">VLOOKUP($D10,OFFSET([2]stages!$A$1,0,0,COUNTA([2]stages!$A:$A),MATCH(F$1,[2]stages!$2:$2,0)-MATCH($D$1,[2]stages!$2:$2,0)+1),MATCH(F$1,[2]stages!$2:$2,0)-MATCH($D$1,[2]stages!$2:$2,0)+1,FALSE)</f>
        <v>【中級】オイラーチャレンジ</v>
      </c>
      <c r="G10" s="321">
        <v>3</v>
      </c>
      <c r="H10" s="321" t="str">
        <f t="shared" ref="H10" si="17">B10&amp;"_"&amp;C10&amp;"-"&amp;G10</f>
        <v>60006_1-3</v>
      </c>
      <c r="I10" s="333">
        <f ca="1">VLOOKUP($H10,OFFSET(floors!$A$1,0,0,COUNTA(floors!$A:$A),MATCH(I$1,floors!$1:$1,0)-MATCH($H$1,floors!$1:$1,0)+1),MATCH(I$1,floors!$1:$1,0)-MATCH($H$1,floors!$1:$1,0)+1,FALSE)</f>
        <v>60</v>
      </c>
      <c r="J10" s="333">
        <f ca="1">VLOOKUP($H10,OFFSET(floors!$A$1,0,0,COUNTA(floors!$A:$A),MATCH(J$1,floors!$1:$1,0)-MATCH($H$1,floors!$1:$1,0)+1),MATCH(J$1,floors!$1:$1,0)-MATCH($H$1,floors!$1:$1,0)+1,FALSE)</f>
        <v>60</v>
      </c>
      <c r="K10" s="331" t="s">
        <v>53</v>
      </c>
      <c r="L10" s="321">
        <v>280</v>
      </c>
      <c r="M10" s="117" t="str">
        <f ca="1">VLOOKUP($L10,OFFSET([3]enemies!$A$1,0,0,COUNTA([3]enemies!$A:$A),MATCH(M$1,[3]enemies!$1:$1,0)-MATCH($L$1,[3]enemies!$1:$1,0)+1),MATCH(M$1,[3]enemies!$1:$1,0)-MATCH($L$1,[3]enemies!$1:$1,0)+1,FALSE)</f>
        <v>リンドブルム</v>
      </c>
      <c r="N10" s="1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17" t="str">
        <f ca="1">VLOOKUP($L10,OFFSET([4]characters!$A$1,0,0,COUNTA([4]characters!$A:$A),MATCH(O$1,[4]characters!$1:$1,0)-MATCH($L$1,[4]characters!$1:$1,0)+1),MATCH(O$1,[4]characters!$1:$1,0)-MATCH($L$1,[4]characters!$1:$1,0)+1,FALSE)</f>
        <v>Drop2W</v>
      </c>
      <c r="P10" s="1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17">
        <f ca="1">VLOOKUP($L10,OFFSET([3]enemies!$A$1,0,0,COUNTA([3]enemies!$A:$A),MATCH(Q$1,[3]enemies!$1:$1,0)-MATCH($L$1,[3]enemies!$1:$1,0)+1),MATCH(Q$1,[3]enemies!$1:$1,0)-MATCH($L$1,[3]enemies!$1:$1,0)+1,FALSE)</f>
        <v>20</v>
      </c>
      <c r="R10" s="345">
        <v>40</v>
      </c>
      <c r="S10" s="346">
        <v>1</v>
      </c>
      <c r="T10" s="346">
        <v>1</v>
      </c>
      <c r="U10" s="345">
        <v>0</v>
      </c>
      <c r="V10" s="115"/>
      <c r="W10" s="163">
        <v>60006005</v>
      </c>
      <c r="X10" s="118">
        <v>1</v>
      </c>
      <c r="Y10" s="118">
        <v>100</v>
      </c>
      <c r="Z10" s="118">
        <v>0</v>
      </c>
      <c r="AA10" s="117">
        <v>3</v>
      </c>
      <c r="AB10" s="119">
        <f t="shared" ref="AB10" si="18">L10</f>
        <v>280</v>
      </c>
      <c r="AC10" s="115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リンドブルム</v>
      </c>
      <c r="AD10" s="115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115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Drop2W</v>
      </c>
      <c r="AF10" s="120">
        <v>1</v>
      </c>
      <c r="AG10" s="119">
        <f t="shared" ref="AG10" ca="1" si="19">AD10</f>
        <v>3</v>
      </c>
      <c r="AH10" s="121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1</v>
      </c>
      <c r="AN10" s="451">
        <v>1</v>
      </c>
      <c r="AO10" s="111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</row>
    <row r="11" spans="1:59" s="111" customFormat="1" ht="21" customHeight="1" thickBot="1" x14ac:dyDescent="0.2">
      <c r="A11" s="391" t="str">
        <f t="shared" ca="1" si="10"/>
        <v>60006_1-4/378&lt;lv50&gt;s3</v>
      </c>
      <c r="B11" s="324">
        <v>60006</v>
      </c>
      <c r="C11" s="325">
        <v>1</v>
      </c>
      <c r="D11" s="212" t="str">
        <f t="shared" si="11"/>
        <v>60006_1</v>
      </c>
      <c r="E11" s="217" t="str">
        <f ca="1">VLOOKUP($B11,OFFSET([2]quests!$A$1,0,0,COUNTA([2]quests!$A:$A),MATCH(E$1,[2]quests!$1:$1,0)-MATCH($B$1,[2]quests!$1:$1,0)+1),MATCH(E$1,[2]quests!$1:$1,0)-MATCH($B$1,[2]quests!$1:$1,0)+1,FALSE)</f>
        <v>オイラーチャレンジ</v>
      </c>
      <c r="F11" s="217" t="str">
        <f ca="1">VLOOKUP($D11,OFFSET([2]stages!$A$1,0,0,COUNTA([2]stages!$A:$A),MATCH(F$1,[2]stages!$2:$2,0)-MATCH($D$1,[2]stages!$2:$2,0)+1),MATCH(F$1,[2]stages!$2:$2,0)-MATCH($D$1,[2]stages!$2:$2,0)+1,FALSE)</f>
        <v>【中級】オイラーチャレンジ</v>
      </c>
      <c r="G11" s="325">
        <v>4</v>
      </c>
      <c r="H11" s="325" t="str">
        <f t="shared" si="12"/>
        <v>60006_1-4</v>
      </c>
      <c r="I11" s="334">
        <f ca="1">VLOOKUP($H11,OFFSET(floors!$A$1,0,0,COUNTA(floors!$A:$A),MATCH(I$1,floors!$1:$1,0)-MATCH($H$1,floors!$1:$1,0)+1),MATCH(I$1,floors!$1:$1,0)-MATCH($H$1,floors!$1:$1,0)+1,FALSE)</f>
        <v>60</v>
      </c>
      <c r="J11" s="334">
        <f ca="1">VLOOKUP($H11,OFFSET(floors!$A$1,0,0,COUNTA(floors!$A:$A),MATCH(J$1,floors!$1:$1,0)-MATCH($H$1,floors!$1:$1,0)+1),MATCH(J$1,floors!$1:$1,0)-MATCH($H$1,floors!$1:$1,0)+1,FALSE)</f>
        <v>60</v>
      </c>
      <c r="K11" s="335">
        <v>1</v>
      </c>
      <c r="L11" s="325">
        <v>378</v>
      </c>
      <c r="M11" s="218" t="str">
        <f ca="1">VLOOKUP($L11,OFFSET([3]enemies!$A$1,0,0,COUNTA([3]enemies!$A:$A),MATCH(M$1,[3]enemies!$1:$1,0)-MATCH($L$1,[3]enemies!$1:$1,0)+1),MATCH(M$1,[3]enemies!$1:$1,0)-MATCH($L$1,[3]enemies!$1:$1,0)+1,FALSE)</f>
        <v>オイラー</v>
      </c>
      <c r="N11" s="218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218" t="str">
        <f ca="1">VLOOKUP($L11,OFFSET([4]characters!$A$1,0,0,COUNTA([4]characters!$A:$A),MATCH(O$1,[4]characters!$1:$1,0)-MATCH($L$1,[4]characters!$1:$1,0)+1),MATCH(O$1,[4]characters!$1:$1,0)-MATCH($L$1,[4]characters!$1:$1,0)+1,FALSE)</f>
        <v>PremiumSSS</v>
      </c>
      <c r="P11" s="218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218">
        <f ca="1">VLOOKUP($L11,OFFSET([3]enemies!$A$1,0,0,COUNTA([3]enemies!$A:$A),MATCH(Q$1,[3]enemies!$1:$1,0)-MATCH($L$1,[3]enemies!$1:$1,0)+1),MATCH(Q$1,[3]enemies!$1:$1,0)-MATCH($L$1,[3]enemies!$1:$1,0)+1,FALSE)</f>
        <v>30</v>
      </c>
      <c r="R11" s="347">
        <v>50</v>
      </c>
      <c r="S11" s="348">
        <v>1</v>
      </c>
      <c r="T11" s="348">
        <v>0.8</v>
      </c>
      <c r="U11" s="347">
        <v>0</v>
      </c>
      <c r="V11" s="217"/>
      <c r="W11" s="115">
        <v>60006006</v>
      </c>
      <c r="X11" s="233">
        <v>0</v>
      </c>
      <c r="Y11" s="233">
        <v>100</v>
      </c>
      <c r="Z11" s="233">
        <v>1</v>
      </c>
      <c r="AA11" s="218">
        <f ca="1">VLOOKUP($L11,OFFSET([3]enemies!$A$1,0,0,COUNTA([3]enemies!$A:$A),MATCH(AA$1,[3]enemies!$1:$1,0)-MATCH($L$1,[3]enemies!$1:$1,0)+1),MATCH(AA$1,[3]enemies!$1:$1,0)-MATCH($L$1,[3]enemies!$1:$1,0)+1,FALSE)</f>
        <v>3</v>
      </c>
      <c r="AB11" s="214">
        <f t="shared" si="13"/>
        <v>378</v>
      </c>
      <c r="AC11" s="217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オイラー</v>
      </c>
      <c r="AD11" s="217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217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1" s="215">
        <v>1</v>
      </c>
      <c r="AG11" s="214">
        <f t="shared" ca="1" si="14"/>
        <v>4</v>
      </c>
      <c r="AH11" s="213">
        <v>0</v>
      </c>
      <c r="AI11" s="215">
        <v>0</v>
      </c>
      <c r="AJ11" s="215">
        <v>0</v>
      </c>
      <c r="AK11" s="215">
        <v>0</v>
      </c>
      <c r="AL11" s="215">
        <v>0</v>
      </c>
      <c r="AM11" s="215">
        <v>1</v>
      </c>
      <c r="AN11" s="453">
        <v>1</v>
      </c>
    </row>
    <row r="12" spans="1:59" s="108" customFormat="1" ht="21" customHeight="1" x14ac:dyDescent="0.15">
      <c r="A12" s="385" t="str">
        <f t="shared" ref="A12:A14" si="20">B12&amp;"_"&amp;C12&amp;"-"&amp;G12&amp;"/"&amp;L12&amp;"&lt;lv"&amp;R12&amp;"&gt;s"&amp;AA12</f>
        <v>60006_2-1/28&lt;lv50&gt;s1</v>
      </c>
      <c r="B12" s="234">
        <v>60006</v>
      </c>
      <c r="C12" s="235">
        <v>2</v>
      </c>
      <c r="D12" s="101" t="str">
        <f t="shared" ref="D12:D14" si="21">B12&amp;"_"&amp;C12</f>
        <v>60006_2</v>
      </c>
      <c r="E12" s="130" t="str">
        <f ca="1">VLOOKUP($B12,OFFSET([2]quests!$A$1,0,0,COUNTA([2]quests!$A:$A),MATCH(E$1,[2]quests!$1:$1,0)-MATCH($B$1,[2]quests!$1:$1,0)+1),MATCH(E$1,[2]quests!$1:$1,0)-MATCH($B$1,[2]quests!$1:$1,0)+1,FALSE)</f>
        <v>オイラーチャレンジ</v>
      </c>
      <c r="F12" s="130" t="str">
        <f ca="1">VLOOKUP($D12,OFFSET([2]stages!$A$1,0,0,COUNTA([2]stages!$A:$A),MATCH(F$1,[2]stages!$2:$2,0)-MATCH($D$1,[2]stages!$2:$2,0)+1),MATCH(F$1,[2]stages!$2:$2,0)-MATCH($D$1,[2]stages!$2:$2,0)+1,FALSE)</f>
        <v>【超級】オイラーチャレンジ</v>
      </c>
      <c r="G12" s="235">
        <v>1</v>
      </c>
      <c r="H12" s="235" t="str">
        <f t="shared" ref="H12:H14" si="22">B12&amp;"_"&amp;C12&amp;"-"&amp;G12</f>
        <v>60006_2-1</v>
      </c>
      <c r="I12" s="287">
        <f ca="1">VLOOKUP($H12,OFFSET(floors!$A$1,0,0,COUNTA(floors!$A:$A),MATCH(I$1,floors!$1:$1,0)-MATCH($H$1,floors!$1:$1,0)+1),MATCH(I$1,floors!$1:$1,0)-MATCH($H$1,floors!$1:$1,0)+1,FALSE)</f>
        <v>45</v>
      </c>
      <c r="J12" s="287">
        <f ca="1">VLOOKUP($H12,OFFSET(floors!$A$1,0,0,COUNTA(floors!$A:$A),MATCH(J$1,floors!$1:$1,0)-MATCH($H$1,floors!$1:$1,0)+1),MATCH(J$1,floors!$1:$1,0)-MATCH($H$1,floors!$1:$1,0)+1,FALSE)</f>
        <v>45</v>
      </c>
      <c r="K12" s="288" t="s">
        <v>53</v>
      </c>
      <c r="L12" s="235">
        <v>28</v>
      </c>
      <c r="M12" s="130" t="str">
        <f ca="1">VLOOKUP($L12,OFFSET([3]enemies!$A$1,0,0,COUNTA([3]enemies!$A:$A),MATCH(M$1,[3]enemies!$1:$1,0)-MATCH($L$1,[3]enemies!$1:$1,0)+1),MATCH(M$1,[3]enemies!$1:$1,0)-MATCH($L$1,[3]enemies!$1:$1,0)+1,FALSE)</f>
        <v>現場急行 パトラインカスタム</v>
      </c>
      <c r="N12" s="130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30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30" t="str">
        <f ca="1">VLOOKUP($L12,OFFSET([3]enemies!$A$1,0,0,COUNTA([3]enemies!$A:$A),MATCH(P$1,[3]enemies!$1:$1,0)-MATCH($L$1,[3]enemies!$1:$1,0)+1),MATCH(P$1,[3]enemies!$1:$1,0)-MATCH($L$1,[3]enemies!$1:$1,0)+1,FALSE)</f>
        <v>machine</v>
      </c>
      <c r="Q12" s="130">
        <f ca="1">VLOOKUP($L12,OFFSET([3]enemies!$A$1,0,0,COUNTA([3]enemies!$A:$A),MATCH(Q$1,[3]enemies!$1:$1,0)-MATCH($L$1,[3]enemies!$1:$1,0)+1),MATCH(Q$1,[3]enemies!$1:$1,0)-MATCH($L$1,[3]enemies!$1:$1,0)+1,FALSE)</f>
        <v>15</v>
      </c>
      <c r="R12" s="300">
        <v>50</v>
      </c>
      <c r="S12" s="301">
        <v>1.4</v>
      </c>
      <c r="T12" s="301">
        <v>2.5</v>
      </c>
      <c r="U12" s="300">
        <v>0</v>
      </c>
      <c r="V12" s="130"/>
      <c r="W12" s="130">
        <v>0</v>
      </c>
      <c r="X12" s="108">
        <v>0</v>
      </c>
      <c r="Y12" s="108">
        <v>100</v>
      </c>
      <c r="Z12" s="108">
        <v>0</v>
      </c>
      <c r="AA12" s="130">
        <v>1</v>
      </c>
      <c r="AB12" s="106">
        <f t="shared" ref="AB12:AB14" si="23">L12</f>
        <v>28</v>
      </c>
      <c r="AC12" s="130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12" s="130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130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107">
        <v>1</v>
      </c>
      <c r="AG12" s="106">
        <f t="shared" ref="AG12:AG14" ca="1" si="24">AD12</f>
        <v>2</v>
      </c>
      <c r="AH12" s="108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1</v>
      </c>
      <c r="AN12" s="449">
        <v>1</v>
      </c>
      <c r="AO12" s="111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11"/>
      <c r="BB12" s="111"/>
      <c r="BC12" s="111"/>
      <c r="BD12" s="111"/>
      <c r="BE12" s="111"/>
      <c r="BF12" s="111"/>
      <c r="BG12" s="111"/>
    </row>
    <row r="13" spans="1:59" s="46" customFormat="1" ht="21" customHeight="1" x14ac:dyDescent="0.15">
      <c r="A13" s="386" t="str">
        <f t="shared" si="20"/>
        <v>60006_2-1/28&lt;lv51&gt;s2</v>
      </c>
      <c r="B13" s="236">
        <v>60006</v>
      </c>
      <c r="C13" s="237">
        <v>2</v>
      </c>
      <c r="D13" s="12" t="str">
        <f t="shared" si="21"/>
        <v>60006_2</v>
      </c>
      <c r="E13" s="15" t="str">
        <f ca="1">VLOOKUP($B13,OFFSET([2]quests!$A$1,0,0,COUNTA([2]quests!$A:$A),MATCH(E$1,[2]quests!$1:$1,0)-MATCH($B$1,[2]quests!$1:$1,0)+1),MATCH(E$1,[2]quests!$1:$1,0)-MATCH($B$1,[2]quests!$1:$1,0)+1,FALSE)</f>
        <v>オイラーチャレンジ</v>
      </c>
      <c r="F13" s="15" t="str">
        <f ca="1">VLOOKUP($D13,OFFSET([2]stages!$A$1,0,0,COUNTA([2]stages!$A:$A),MATCH(F$1,[2]stages!$2:$2,0)-MATCH($D$1,[2]stages!$2:$2,0)+1),MATCH(F$1,[2]stages!$2:$2,0)-MATCH($D$1,[2]stages!$2:$2,0)+1,FALSE)</f>
        <v>【超級】オイラーチャレンジ</v>
      </c>
      <c r="G13" s="237">
        <v>1</v>
      </c>
      <c r="H13" s="237" t="str">
        <f t="shared" si="22"/>
        <v>60006_2-1</v>
      </c>
      <c r="I13" s="289">
        <f ca="1">VLOOKUP($H13,OFFSET(floors!$A$1,0,0,COUNTA(floors!$A:$A),MATCH(I$1,floors!$1:$1,0)-MATCH($H$1,floors!$1:$1,0)+1),MATCH(I$1,floors!$1:$1,0)-MATCH($H$1,floors!$1:$1,0)+1,FALSE)</f>
        <v>45</v>
      </c>
      <c r="J13" s="289">
        <f ca="1">VLOOKUP($H13,OFFSET(floors!$A$1,0,0,COUNTA(floors!$A:$A),MATCH(J$1,floors!$1:$1,0)-MATCH($H$1,floors!$1:$1,0)+1),MATCH(J$1,floors!$1:$1,0)-MATCH($H$1,floors!$1:$1,0)+1,FALSE)</f>
        <v>45</v>
      </c>
      <c r="K13" s="290" t="s">
        <v>53</v>
      </c>
      <c r="L13" s="237">
        <v>28</v>
      </c>
      <c r="M13" s="15" t="str">
        <f ca="1">VLOOKUP($L13,OFFSET([3]enemies!$A$1,0,0,COUNTA([3]enemies!$A:$A),MATCH(M$1,[3]enemies!$1:$1,0)-MATCH($L$1,[3]enemies!$1:$1,0)+1),MATCH(M$1,[3]enemies!$1:$1,0)-MATCH($L$1,[3]enemies!$1:$1,0)+1,FALSE)</f>
        <v>現場急行 パトラインカスタム</v>
      </c>
      <c r="N13" s="15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5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5" t="str">
        <f ca="1">VLOOKUP($L13,OFFSET([3]enemies!$A$1,0,0,COUNTA([3]enemies!$A:$A),MATCH(P$1,[3]enemies!$1:$1,0)-MATCH($L$1,[3]enemies!$1:$1,0)+1),MATCH(P$1,[3]enemies!$1:$1,0)-MATCH($L$1,[3]enemies!$1:$1,0)+1,FALSE)</f>
        <v>machine</v>
      </c>
      <c r="Q13" s="15">
        <f ca="1">VLOOKUP($L13,OFFSET([3]enemies!$A$1,0,0,COUNTA([3]enemies!$A:$A),MATCH(Q$1,[3]enemies!$1:$1,0)-MATCH($L$1,[3]enemies!$1:$1,0)+1),MATCH(Q$1,[3]enemies!$1:$1,0)-MATCH($L$1,[3]enemies!$1:$1,0)+1,FALSE)</f>
        <v>15</v>
      </c>
      <c r="R13" s="302">
        <v>51</v>
      </c>
      <c r="S13" s="303">
        <v>1.4</v>
      </c>
      <c r="T13" s="303">
        <v>2.5</v>
      </c>
      <c r="U13" s="302">
        <v>0</v>
      </c>
      <c r="V13" s="15"/>
      <c r="W13" s="15">
        <v>0</v>
      </c>
      <c r="X13" s="46">
        <v>0</v>
      </c>
      <c r="Y13" s="46">
        <v>100</v>
      </c>
      <c r="Z13" s="46">
        <v>0</v>
      </c>
      <c r="AA13" s="15">
        <v>2</v>
      </c>
      <c r="AB13" s="87">
        <f t="shared" si="23"/>
        <v>28</v>
      </c>
      <c r="AC13" s="15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13" s="15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15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88">
        <v>1</v>
      </c>
      <c r="AG13" s="87">
        <f t="shared" ca="1" si="24"/>
        <v>2</v>
      </c>
      <c r="AH13" s="46">
        <v>0</v>
      </c>
      <c r="AI13" s="88">
        <v>0</v>
      </c>
      <c r="AJ13" s="88">
        <v>0</v>
      </c>
      <c r="AK13" s="88">
        <v>0</v>
      </c>
      <c r="AL13" s="88">
        <v>0</v>
      </c>
      <c r="AM13" s="88">
        <v>1</v>
      </c>
      <c r="AN13" s="450">
        <v>1</v>
      </c>
      <c r="AO13" s="111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11"/>
      <c r="BB13" s="111"/>
      <c r="BC13" s="111"/>
      <c r="BD13" s="111"/>
      <c r="BE13" s="111"/>
      <c r="BF13" s="111"/>
      <c r="BG13" s="111"/>
    </row>
    <row r="14" spans="1:59" s="46" customFormat="1" ht="21" customHeight="1" x14ac:dyDescent="0.15">
      <c r="A14" s="386" t="str">
        <f t="shared" si="20"/>
        <v>60006_2-1/28&lt;lv52&gt;s2</v>
      </c>
      <c r="B14" s="236">
        <v>60006</v>
      </c>
      <c r="C14" s="237">
        <v>2</v>
      </c>
      <c r="D14" s="12" t="str">
        <f t="shared" si="21"/>
        <v>60006_2</v>
      </c>
      <c r="E14" s="15" t="str">
        <f ca="1">VLOOKUP($B14,OFFSET([2]quests!$A$1,0,0,COUNTA([2]quests!$A:$A),MATCH(E$1,[2]quests!$1:$1,0)-MATCH($B$1,[2]quests!$1:$1,0)+1),MATCH(E$1,[2]quests!$1:$1,0)-MATCH($B$1,[2]quests!$1:$1,0)+1,FALSE)</f>
        <v>オイラーチャレンジ</v>
      </c>
      <c r="F14" s="15" t="str">
        <f ca="1">VLOOKUP($D14,OFFSET([2]stages!$A$1,0,0,COUNTA([2]stages!$A:$A),MATCH(F$1,[2]stages!$2:$2,0)-MATCH($D$1,[2]stages!$2:$2,0)+1),MATCH(F$1,[2]stages!$2:$2,0)-MATCH($D$1,[2]stages!$2:$2,0)+1,FALSE)</f>
        <v>【超級】オイラーチャレンジ</v>
      </c>
      <c r="G14" s="237">
        <v>1</v>
      </c>
      <c r="H14" s="237" t="str">
        <f t="shared" si="22"/>
        <v>60006_2-1</v>
      </c>
      <c r="I14" s="289">
        <f ca="1">VLOOKUP($H14,OFFSET(floors!$A$1,0,0,COUNTA(floors!$A:$A),MATCH(I$1,floors!$1:$1,0)-MATCH($H$1,floors!$1:$1,0)+1),MATCH(I$1,floors!$1:$1,0)-MATCH($H$1,floors!$1:$1,0)+1,FALSE)</f>
        <v>45</v>
      </c>
      <c r="J14" s="289">
        <f ca="1">VLOOKUP($H14,OFFSET(floors!$A$1,0,0,COUNTA(floors!$A:$A),MATCH(J$1,floors!$1:$1,0)-MATCH($H$1,floors!$1:$1,0)+1),MATCH(J$1,floors!$1:$1,0)-MATCH($H$1,floors!$1:$1,0)+1,FALSE)</f>
        <v>45</v>
      </c>
      <c r="K14" s="290" t="s">
        <v>53</v>
      </c>
      <c r="L14" s="237">
        <v>28</v>
      </c>
      <c r="M14" s="15" t="str">
        <f ca="1">VLOOKUP($L14,OFFSET([3]enemies!$A$1,0,0,COUNTA([3]enemies!$A:$A),MATCH(M$1,[3]enemies!$1:$1,0)-MATCH($L$1,[3]enemies!$1:$1,0)+1),MATCH(M$1,[3]enemies!$1:$1,0)-MATCH($L$1,[3]enemies!$1:$1,0)+1,FALSE)</f>
        <v>現場急行 パトラインカスタム</v>
      </c>
      <c r="N14" s="15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5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5" t="str">
        <f ca="1">VLOOKUP($L14,OFFSET([3]enemies!$A$1,0,0,COUNTA([3]enemies!$A:$A),MATCH(P$1,[3]enemies!$1:$1,0)-MATCH($L$1,[3]enemies!$1:$1,0)+1),MATCH(P$1,[3]enemies!$1:$1,0)-MATCH($L$1,[3]enemies!$1:$1,0)+1,FALSE)</f>
        <v>machine</v>
      </c>
      <c r="Q14" s="15">
        <f ca="1">VLOOKUP($L14,OFFSET([3]enemies!$A$1,0,0,COUNTA([3]enemies!$A:$A),MATCH(Q$1,[3]enemies!$1:$1,0)-MATCH($L$1,[3]enemies!$1:$1,0)+1),MATCH(Q$1,[3]enemies!$1:$1,0)-MATCH($L$1,[3]enemies!$1:$1,0)+1,FALSE)</f>
        <v>15</v>
      </c>
      <c r="R14" s="302">
        <v>52</v>
      </c>
      <c r="S14" s="303">
        <v>1.4</v>
      </c>
      <c r="T14" s="303">
        <v>2.5</v>
      </c>
      <c r="U14" s="302">
        <v>0</v>
      </c>
      <c r="V14" s="15"/>
      <c r="W14" s="15">
        <v>0</v>
      </c>
      <c r="X14" s="46">
        <v>0</v>
      </c>
      <c r="Y14" s="46">
        <v>100</v>
      </c>
      <c r="Z14" s="46">
        <v>0</v>
      </c>
      <c r="AA14" s="15">
        <v>2</v>
      </c>
      <c r="AB14" s="87">
        <f t="shared" si="23"/>
        <v>28</v>
      </c>
      <c r="AC14" s="15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14" s="15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15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88">
        <v>1</v>
      </c>
      <c r="AG14" s="87">
        <f t="shared" ca="1" si="24"/>
        <v>2</v>
      </c>
      <c r="AH14" s="46">
        <v>0</v>
      </c>
      <c r="AI14" s="88">
        <v>0</v>
      </c>
      <c r="AJ14" s="88">
        <v>0</v>
      </c>
      <c r="AK14" s="88">
        <v>0</v>
      </c>
      <c r="AL14" s="88">
        <v>0</v>
      </c>
      <c r="AM14" s="88">
        <v>1</v>
      </c>
      <c r="AN14" s="450">
        <v>1</v>
      </c>
      <c r="AO14" s="111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11"/>
      <c r="BB14" s="111"/>
      <c r="BC14" s="111"/>
      <c r="BD14" s="111"/>
      <c r="BE14" s="111"/>
      <c r="BF14" s="111"/>
      <c r="BG14" s="111"/>
    </row>
    <row r="15" spans="1:59" s="121" customFormat="1" ht="21" customHeight="1" thickBot="1" x14ac:dyDescent="0.2">
      <c r="A15" s="387" t="str">
        <f t="shared" si="10"/>
        <v>60006_2-1/28&lt;lv53&gt;s3</v>
      </c>
      <c r="B15" s="238">
        <v>60006</v>
      </c>
      <c r="C15" s="239">
        <v>2</v>
      </c>
      <c r="D15" s="114" t="str">
        <f t="shared" si="11"/>
        <v>60006_2</v>
      </c>
      <c r="E15" s="134" t="str">
        <f ca="1">VLOOKUP($B15,OFFSET([2]quests!$A$1,0,0,COUNTA([2]quests!$A:$A),MATCH(E$1,[2]quests!$1:$1,0)-MATCH($B$1,[2]quests!$1:$1,0)+1),MATCH(E$1,[2]quests!$1:$1,0)-MATCH($B$1,[2]quests!$1:$1,0)+1,FALSE)</f>
        <v>オイラーチャレンジ</v>
      </c>
      <c r="F15" s="134" t="str">
        <f ca="1">VLOOKUP($D15,OFFSET([2]stages!$A$1,0,0,COUNTA([2]stages!$A:$A),MATCH(F$1,[2]stages!$2:$2,0)-MATCH($D$1,[2]stages!$2:$2,0)+1),MATCH(F$1,[2]stages!$2:$2,0)-MATCH($D$1,[2]stages!$2:$2,0)+1,FALSE)</f>
        <v>【超級】オイラーチャレンジ</v>
      </c>
      <c r="G15" s="239">
        <v>1</v>
      </c>
      <c r="H15" s="239" t="str">
        <f t="shared" si="12"/>
        <v>60006_2-1</v>
      </c>
      <c r="I15" s="291">
        <f ca="1">VLOOKUP($H15,OFFSET(floors!$A$1,0,0,COUNTA(floors!$A:$A),MATCH(I$1,floors!$1:$1,0)-MATCH($H$1,floors!$1:$1,0)+1),MATCH(I$1,floors!$1:$1,0)-MATCH($H$1,floors!$1:$1,0)+1,FALSE)</f>
        <v>45</v>
      </c>
      <c r="J15" s="291">
        <f ca="1">VLOOKUP($H15,OFFSET(floors!$A$1,0,0,COUNTA(floors!$A:$A),MATCH(J$1,floors!$1:$1,0)-MATCH($H$1,floors!$1:$1,0)+1),MATCH(J$1,floors!$1:$1,0)-MATCH($H$1,floors!$1:$1,0)+1,FALSE)</f>
        <v>45</v>
      </c>
      <c r="K15" s="292" t="s">
        <v>53</v>
      </c>
      <c r="L15" s="239">
        <v>28</v>
      </c>
      <c r="M15" s="134" t="str">
        <f ca="1">VLOOKUP($L15,OFFSET([3]enemies!$A$1,0,0,COUNTA([3]enemies!$A:$A),MATCH(M$1,[3]enemies!$1:$1,0)-MATCH($L$1,[3]enemies!$1:$1,0)+1),MATCH(M$1,[3]enemies!$1:$1,0)-MATCH($L$1,[3]enemies!$1:$1,0)+1,FALSE)</f>
        <v>現場急行 パトラインカスタム</v>
      </c>
      <c r="N15" s="134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34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34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34">
        <f ca="1">VLOOKUP($L15,OFFSET([3]enemies!$A$1,0,0,COUNTA([3]enemies!$A:$A),MATCH(Q$1,[3]enemies!$1:$1,0)-MATCH($L$1,[3]enemies!$1:$1,0)+1),MATCH(Q$1,[3]enemies!$1:$1,0)-MATCH($L$1,[3]enemies!$1:$1,0)+1,FALSE)</f>
        <v>15</v>
      </c>
      <c r="R15" s="304">
        <v>53</v>
      </c>
      <c r="S15" s="305">
        <v>1.4</v>
      </c>
      <c r="T15" s="305">
        <v>2.5</v>
      </c>
      <c r="U15" s="304">
        <v>0</v>
      </c>
      <c r="V15" s="134"/>
      <c r="W15" s="134">
        <v>0</v>
      </c>
      <c r="X15" s="121">
        <v>0</v>
      </c>
      <c r="Y15" s="121">
        <v>100</v>
      </c>
      <c r="Z15" s="121">
        <v>0</v>
      </c>
      <c r="AA15" s="134">
        <v>3</v>
      </c>
      <c r="AB15" s="119">
        <f t="shared" si="13"/>
        <v>28</v>
      </c>
      <c r="AC15" s="13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15" s="13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13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120">
        <v>1</v>
      </c>
      <c r="AG15" s="119">
        <f t="shared" ca="1" si="14"/>
        <v>2</v>
      </c>
      <c r="AH15" s="121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1</v>
      </c>
      <c r="AN15" s="451">
        <v>1</v>
      </c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11"/>
      <c r="BB15" s="111"/>
      <c r="BC15" s="111"/>
      <c r="BD15" s="111"/>
      <c r="BE15" s="111"/>
      <c r="BF15" s="111"/>
      <c r="BG15" s="111"/>
    </row>
    <row r="16" spans="1:59" s="109" customFormat="1" ht="21" customHeight="1" x14ac:dyDescent="0.15">
      <c r="A16" s="389" t="str">
        <f t="shared" si="10"/>
        <v>60006_2-2/36&lt;lv50&gt;s2</v>
      </c>
      <c r="B16" s="240">
        <v>60006</v>
      </c>
      <c r="C16" s="235">
        <v>2</v>
      </c>
      <c r="D16" s="101" t="str">
        <f t="shared" si="11"/>
        <v>60006_2</v>
      </c>
      <c r="E16" s="102" t="str">
        <f ca="1">VLOOKUP($B16,OFFSET([2]quests!$A$1,0,0,COUNTA([2]quests!$A:$A),MATCH(E$1,[2]quests!$1:$1,0)-MATCH($B$1,[2]quests!$1:$1,0)+1),MATCH(E$1,[2]quests!$1:$1,0)-MATCH($B$1,[2]quests!$1:$1,0)+1,FALSE)</f>
        <v>オイラーチャレンジ</v>
      </c>
      <c r="F16" s="102" t="str">
        <f ca="1">VLOOKUP($D16,OFFSET([2]stages!$A$1,0,0,COUNTA([2]stages!$A:$A),MATCH(F$1,[2]stages!$2:$2,0)-MATCH($D$1,[2]stages!$2:$2,0)+1),MATCH(F$1,[2]stages!$2:$2,0)-MATCH($D$1,[2]stages!$2:$2,0)+1,FALSE)</f>
        <v>【超級】オイラーチャレンジ</v>
      </c>
      <c r="G16" s="235">
        <v>2</v>
      </c>
      <c r="H16" s="235" t="str">
        <f t="shared" si="12"/>
        <v>60006_2-2</v>
      </c>
      <c r="I16" s="293">
        <f ca="1">VLOOKUP($H16,OFFSET(floors!$A$1,0,0,COUNTA(floors!$A:$A),MATCH(I$1,floors!$1:$1,0)-MATCH($H$1,floors!$1:$1,0)+1),MATCH(I$1,floors!$1:$1,0)-MATCH($H$1,floors!$1:$1,0)+1,FALSE)</f>
        <v>60</v>
      </c>
      <c r="J16" s="293">
        <f ca="1">VLOOKUP($H16,OFFSET(floors!$A$1,0,0,COUNTA(floors!$A:$A),MATCH(J$1,floors!$1:$1,0)-MATCH($H$1,floors!$1:$1,0)+1),MATCH(J$1,floors!$1:$1,0)-MATCH($H$1,floors!$1:$1,0)+1,FALSE)</f>
        <v>60</v>
      </c>
      <c r="K16" s="288" t="s">
        <v>53</v>
      </c>
      <c r="L16" s="242">
        <v>36</v>
      </c>
      <c r="M16" s="104" t="str">
        <f ca="1">VLOOKUP($L16,OFFSET([3]enemies!$A$1,0,0,COUNTA([3]enemies!$A:$A),MATCH(M$1,[3]enemies!$1:$1,0)-MATCH($L$1,[3]enemies!$1:$1,0)+1),MATCH(M$1,[3]enemies!$1:$1,0)-MATCH($L$1,[3]enemies!$1:$1,0)+1,FALSE)</f>
        <v>オフィス追尾型移動地雷F3</v>
      </c>
      <c r="N16" s="104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04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04" t="str">
        <f ca="1">VLOOKUP($L16,OFFSET([3]enemies!$A$1,0,0,COUNTA([3]enemies!$A:$A),MATCH(P$1,[3]enemies!$1:$1,0)-MATCH($L$1,[3]enemies!$1:$1,0)+1),MATCH(P$1,[3]enemies!$1:$1,0)-MATCH($L$1,[3]enemies!$1:$1,0)+1,FALSE)</f>
        <v>machine</v>
      </c>
      <c r="Q16" s="104">
        <f ca="1">VLOOKUP($L16,OFFSET([3]enemies!$A$1,0,0,COUNTA([3]enemies!$A:$A),MATCH(Q$1,[3]enemies!$1:$1,0)-MATCH($L$1,[3]enemies!$1:$1,0)+1),MATCH(Q$1,[3]enemies!$1:$1,0)-MATCH($L$1,[3]enemies!$1:$1,0)+1,FALSE)</f>
        <v>20</v>
      </c>
      <c r="R16" s="306">
        <v>50</v>
      </c>
      <c r="S16" s="307">
        <v>0.6</v>
      </c>
      <c r="T16" s="307">
        <v>0.4</v>
      </c>
      <c r="U16" s="306">
        <v>0</v>
      </c>
      <c r="V16" s="102"/>
      <c r="W16" s="157">
        <v>60006001</v>
      </c>
      <c r="X16" s="105">
        <v>0</v>
      </c>
      <c r="Y16" s="105">
        <v>100</v>
      </c>
      <c r="Z16" s="105">
        <v>0</v>
      </c>
      <c r="AA16" s="14">
        <v>2</v>
      </c>
      <c r="AB16" s="106">
        <f t="shared" si="13"/>
        <v>36</v>
      </c>
      <c r="AC16" s="102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16" s="102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102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107">
        <v>1</v>
      </c>
      <c r="AG16" s="106">
        <f t="shared" ca="1" si="14"/>
        <v>3</v>
      </c>
      <c r="AH16" s="108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1</v>
      </c>
      <c r="AN16" s="449">
        <v>1</v>
      </c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11"/>
      <c r="BB16" s="111"/>
      <c r="BC16" s="111"/>
      <c r="BD16" s="111"/>
      <c r="BE16" s="111"/>
      <c r="BF16" s="111"/>
      <c r="BG16" s="111"/>
    </row>
    <row r="17" spans="1:59" s="111" customFormat="1" ht="21" customHeight="1" x14ac:dyDescent="0.15">
      <c r="A17" s="391" t="str">
        <f t="shared" ref="A17:A18" si="25">B17&amp;"_"&amp;C17&amp;"-"&amp;G17&amp;"/"&amp;L17&amp;"&lt;lv"&amp;R17&amp;"&gt;s"&amp;AA17</f>
        <v>60006_2-2/36&lt;lv51&gt;s3</v>
      </c>
      <c r="B17" s="241">
        <v>60006</v>
      </c>
      <c r="C17" s="242">
        <v>2</v>
      </c>
      <c r="D17" s="95" t="str">
        <f t="shared" ref="D17:D18" si="26">B17&amp;"_"&amp;C17</f>
        <v>60006_2</v>
      </c>
      <c r="E17" s="4" t="str">
        <f ca="1">VLOOKUP($B17,OFFSET([2]quests!$A$1,0,0,COUNTA([2]quests!$A:$A),MATCH(E$1,[2]quests!$1:$1,0)-MATCH($B$1,[2]quests!$1:$1,0)+1),MATCH(E$1,[2]quests!$1:$1,0)-MATCH($B$1,[2]quests!$1:$1,0)+1,FALSE)</f>
        <v>オイラーチャレンジ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【超級】オイラーチャレンジ</v>
      </c>
      <c r="G17" s="242">
        <v>2</v>
      </c>
      <c r="H17" s="242" t="str">
        <f t="shared" ref="H17:H18" si="27">B17&amp;"_"&amp;C17&amp;"-"&amp;G17</f>
        <v>60006_2-2</v>
      </c>
      <c r="I17" s="294">
        <f ca="1">VLOOKUP($H17,OFFSET(floors!$A$1,0,0,COUNTA(floors!$A:$A),MATCH(I$1,floors!$1:$1,0)-MATCH($H$1,floors!$1:$1,0)+1),MATCH(I$1,floors!$1:$1,0)-MATCH($H$1,floors!$1:$1,0)+1,FALSE)</f>
        <v>60</v>
      </c>
      <c r="J17" s="294">
        <f ca="1">VLOOKUP($H17,OFFSET(floors!$A$1,0,0,COUNTA(floors!$A:$A),MATCH(J$1,floors!$1:$1,0)-MATCH($H$1,floors!$1:$1,0)+1),MATCH(J$1,floors!$1:$1,0)-MATCH($H$1,floors!$1:$1,0)+1,FALSE)</f>
        <v>60</v>
      </c>
      <c r="K17" s="295" t="s">
        <v>53</v>
      </c>
      <c r="L17" s="242">
        <v>36</v>
      </c>
      <c r="M17" s="14" t="str">
        <f ca="1">VLOOKUP($L17,OFFSET([3]enemies!$A$1,0,0,COUNTA([3]enemies!$A:$A),MATCH(M$1,[3]enemies!$1:$1,0)-MATCH($L$1,[3]enemies!$1:$1,0)+1),MATCH(M$1,[3]enemies!$1:$1,0)-MATCH($L$1,[3]enemies!$1:$1,0)+1,FALSE)</f>
        <v>オフィス追尾型移動地雷F3</v>
      </c>
      <c r="N17" s="14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14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4" t="str">
        <f ca="1">VLOOKUP($L17,OFFSET([3]enemies!$A$1,0,0,COUNTA([3]enemies!$A:$A),MATCH(P$1,[3]enemies!$1:$1,0)-MATCH($L$1,[3]enemies!$1:$1,0)+1),MATCH(P$1,[3]enemies!$1:$1,0)-MATCH($L$1,[3]enemies!$1:$1,0)+1,FALSE)</f>
        <v>machine</v>
      </c>
      <c r="Q17" s="14">
        <f ca="1">VLOOKUP($L17,OFFSET([3]enemies!$A$1,0,0,COUNTA([3]enemies!$A:$A),MATCH(Q$1,[3]enemies!$1:$1,0)-MATCH($L$1,[3]enemies!$1:$1,0)+1),MATCH(Q$1,[3]enemies!$1:$1,0)-MATCH($L$1,[3]enemies!$1:$1,0)+1,FALSE)</f>
        <v>20</v>
      </c>
      <c r="R17" s="308">
        <v>51</v>
      </c>
      <c r="S17" s="309">
        <v>0.6</v>
      </c>
      <c r="T17" s="309">
        <v>0.4</v>
      </c>
      <c r="U17" s="308">
        <v>0</v>
      </c>
      <c r="V17" s="4"/>
      <c r="W17" s="157">
        <v>60006001</v>
      </c>
      <c r="X17" s="158">
        <v>0</v>
      </c>
      <c r="Y17" s="158">
        <v>100</v>
      </c>
      <c r="Z17" s="158">
        <v>0</v>
      </c>
      <c r="AA17" s="14">
        <v>3</v>
      </c>
      <c r="AB17" s="159">
        <f t="shared" ref="AB17:AB18" si="28">L17</f>
        <v>36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" s="97">
        <v>1</v>
      </c>
      <c r="AG17" s="159">
        <f t="shared" ref="AG17:AG18" ca="1" si="29">AD17</f>
        <v>3</v>
      </c>
      <c r="AH17" s="98">
        <v>0</v>
      </c>
      <c r="AI17" s="97">
        <v>0</v>
      </c>
      <c r="AJ17" s="97">
        <v>0</v>
      </c>
      <c r="AK17" s="97">
        <v>0</v>
      </c>
      <c r="AL17" s="97">
        <v>0</v>
      </c>
      <c r="AM17" s="97">
        <v>1</v>
      </c>
      <c r="AN17" s="452">
        <v>1</v>
      </c>
    </row>
    <row r="18" spans="1:59" s="122" customFormat="1" ht="21" customHeight="1" thickBot="1" x14ac:dyDescent="0.2">
      <c r="A18" s="390" t="str">
        <f t="shared" si="25"/>
        <v>60006_2-2/36&lt;lv52&gt;s4</v>
      </c>
      <c r="B18" s="243">
        <v>60006</v>
      </c>
      <c r="C18" s="244">
        <v>2</v>
      </c>
      <c r="D18" s="162" t="str">
        <f t="shared" si="26"/>
        <v>60006_2</v>
      </c>
      <c r="E18" s="115" t="str">
        <f ca="1">VLOOKUP($B18,OFFSET([2]quests!$A$1,0,0,COUNTA([2]quests!$A:$A),MATCH(E$1,[2]quests!$1:$1,0)-MATCH($B$1,[2]quests!$1:$1,0)+1),MATCH(E$1,[2]quests!$1:$1,0)-MATCH($B$1,[2]quests!$1:$1,0)+1,FALSE)</f>
        <v>オイラーチャレンジ</v>
      </c>
      <c r="F18" s="115" t="str">
        <f ca="1">VLOOKUP($D18,OFFSET([2]stages!$A$1,0,0,COUNTA([2]stages!$A:$A),MATCH(F$1,[2]stages!$2:$2,0)-MATCH($D$1,[2]stages!$2:$2,0)+1),MATCH(F$1,[2]stages!$2:$2,0)-MATCH($D$1,[2]stages!$2:$2,0)+1,FALSE)</f>
        <v>【超級】オイラーチャレンジ</v>
      </c>
      <c r="G18" s="244">
        <v>2</v>
      </c>
      <c r="H18" s="244" t="str">
        <f t="shared" si="27"/>
        <v>60006_2-2</v>
      </c>
      <c r="I18" s="296">
        <f ca="1">VLOOKUP($H18,OFFSET(floors!$A$1,0,0,COUNTA(floors!$A:$A),MATCH(I$1,floors!$1:$1,0)-MATCH($H$1,floors!$1:$1,0)+1),MATCH(I$1,floors!$1:$1,0)-MATCH($H$1,floors!$1:$1,0)+1,FALSE)</f>
        <v>60</v>
      </c>
      <c r="J18" s="296">
        <f ca="1">VLOOKUP($H18,OFFSET(floors!$A$1,0,0,COUNTA(floors!$A:$A),MATCH(J$1,floors!$1:$1,0)-MATCH($H$1,floors!$1:$1,0)+1),MATCH(J$1,floors!$1:$1,0)-MATCH($H$1,floors!$1:$1,0)+1,FALSE)</f>
        <v>60</v>
      </c>
      <c r="K18" s="297" t="s">
        <v>53</v>
      </c>
      <c r="L18" s="244">
        <v>36</v>
      </c>
      <c r="M18" s="117" t="str">
        <f ca="1">VLOOKUP($L18,OFFSET([3]enemies!$A$1,0,0,COUNTA([3]enemies!$A:$A),MATCH(M$1,[3]enemies!$1:$1,0)-MATCH($L$1,[3]enemies!$1:$1,0)+1),MATCH(M$1,[3]enemies!$1:$1,0)-MATCH($L$1,[3]enemies!$1:$1,0)+1,FALSE)</f>
        <v>オフィス追尾型移動地雷F3</v>
      </c>
      <c r="N18" s="1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17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117" t="str">
        <f ca="1">VLOOKUP($L18,OFFSET([3]enemies!$A$1,0,0,COUNTA([3]enemies!$A:$A),MATCH(P$1,[3]enemies!$1:$1,0)-MATCH($L$1,[3]enemies!$1:$1,0)+1),MATCH(P$1,[3]enemies!$1:$1,0)-MATCH($L$1,[3]enemies!$1:$1,0)+1,FALSE)</f>
        <v>machine</v>
      </c>
      <c r="Q18" s="117">
        <f ca="1">VLOOKUP($L18,OFFSET([3]enemies!$A$1,0,0,COUNTA([3]enemies!$A:$A),MATCH(Q$1,[3]enemies!$1:$1,0)-MATCH($L$1,[3]enemies!$1:$1,0)+1),MATCH(Q$1,[3]enemies!$1:$1,0)-MATCH($L$1,[3]enemies!$1:$1,0)+1,FALSE)</f>
        <v>20</v>
      </c>
      <c r="R18" s="310">
        <v>52</v>
      </c>
      <c r="S18" s="311">
        <v>0.6</v>
      </c>
      <c r="T18" s="311">
        <v>0.4</v>
      </c>
      <c r="U18" s="310">
        <v>0</v>
      </c>
      <c r="V18" s="115"/>
      <c r="W18" s="163">
        <v>60006001</v>
      </c>
      <c r="X18" s="164">
        <v>0</v>
      </c>
      <c r="Y18" s="164">
        <v>100</v>
      </c>
      <c r="Z18" s="164">
        <v>0</v>
      </c>
      <c r="AA18" s="117">
        <v>4</v>
      </c>
      <c r="AB18" s="165">
        <f t="shared" si="28"/>
        <v>36</v>
      </c>
      <c r="AC18" s="115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18" s="115">
        <f ca="1">VLOOKUP($AB18,OFFSET([4]characters!$A$1,0,0,COUNTA([4]characters!$A:$A),MATCH(AD$1,[4]characters!$1:$1,0)-MATCH("character_id",[4]characters!$1:$1,0)+1),MATCH(AD$1,[4]characters!$1:$1,0)-MATCH("character_id",[4]characters!$1:$1,0)+1,FALSE)</f>
        <v>3</v>
      </c>
      <c r="AE18" s="115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Drop1S</v>
      </c>
      <c r="AF18" s="166">
        <v>1</v>
      </c>
      <c r="AG18" s="165">
        <f t="shared" ca="1" si="29"/>
        <v>3</v>
      </c>
      <c r="AH18" s="167">
        <v>0</v>
      </c>
      <c r="AI18" s="166">
        <v>0</v>
      </c>
      <c r="AJ18" s="166">
        <v>0</v>
      </c>
      <c r="AK18" s="166">
        <v>0</v>
      </c>
      <c r="AL18" s="166">
        <v>0</v>
      </c>
      <c r="AM18" s="166">
        <v>1</v>
      </c>
      <c r="AN18" s="454">
        <v>1</v>
      </c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</row>
    <row r="19" spans="1:59" s="109" customFormat="1" ht="21" customHeight="1" x14ac:dyDescent="0.15">
      <c r="A19" s="389" t="str">
        <f t="shared" si="10"/>
        <v>60006_2-3/437&lt;lv50&gt;s2</v>
      </c>
      <c r="B19" s="240">
        <v>60006</v>
      </c>
      <c r="C19" s="235">
        <v>2</v>
      </c>
      <c r="D19" s="101" t="str">
        <f t="shared" si="11"/>
        <v>60006_2</v>
      </c>
      <c r="E19" s="102" t="str">
        <f ca="1">VLOOKUP($B19,OFFSET([2]quests!$A$1,0,0,COUNTA([2]quests!$A:$A),MATCH(E$1,[2]quests!$1:$1,0)-MATCH($B$1,[2]quests!$1:$1,0)+1),MATCH(E$1,[2]quests!$1:$1,0)-MATCH($B$1,[2]quests!$1:$1,0)+1,FALSE)</f>
        <v>オイラーチャレンジ</v>
      </c>
      <c r="F19" s="102" t="str">
        <f ca="1">VLOOKUP($D19,OFFSET([2]stages!$A$1,0,0,COUNTA([2]stages!$A:$A),MATCH(F$1,[2]stages!$2:$2,0)-MATCH($D$1,[2]stages!$2:$2,0)+1),MATCH(F$1,[2]stages!$2:$2,0)-MATCH($D$1,[2]stages!$2:$2,0)+1,FALSE)</f>
        <v>【超級】オイラーチャレンジ</v>
      </c>
      <c r="G19" s="235">
        <v>3</v>
      </c>
      <c r="H19" s="235" t="str">
        <f t="shared" si="12"/>
        <v>60006_2-3</v>
      </c>
      <c r="I19" s="293">
        <f ca="1">VLOOKUP($H19,OFFSET(floors!$A$1,0,0,COUNTA(floors!$A:$A),MATCH(I$1,floors!$1:$1,0)-MATCH($H$1,floors!$1:$1,0)+1),MATCH(I$1,floors!$1:$1,0)-MATCH($H$1,floors!$1:$1,0)+1,FALSE)</f>
        <v>60</v>
      </c>
      <c r="J19" s="293">
        <f ca="1">VLOOKUP($H19,OFFSET(floors!$A$1,0,0,COUNTA(floors!$A:$A),MATCH(J$1,floors!$1:$1,0)-MATCH($H$1,floors!$1:$1,0)+1),MATCH(J$1,floors!$1:$1,0)-MATCH($H$1,floors!$1:$1,0)+1,FALSE)</f>
        <v>60</v>
      </c>
      <c r="K19" s="288" t="s">
        <v>53</v>
      </c>
      <c r="L19" s="235">
        <v>437</v>
      </c>
      <c r="M19" s="104" t="str">
        <f ca="1">VLOOKUP($L19,OFFSET([3]enemies!$A$1,0,0,COUNTA([3]enemies!$A:$A),MATCH(M$1,[3]enemies!$1:$1,0)-MATCH($L$1,[3]enemies!$1:$1,0)+1),MATCH(M$1,[3]enemies!$1:$1,0)-MATCH($L$1,[3]enemies!$1:$1,0)+1,FALSE)</f>
        <v>忘却者 カカシ</v>
      </c>
      <c r="N19" s="104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04" t="str">
        <f ca="1">VLOOKUP($L19,OFFSET([4]characters!$A$1,0,0,COUNTA([4]characters!$A:$A),MATCH(O$1,[4]characters!$1:$1,0)-MATCH($L$1,[4]characters!$1:$1,0)+1),MATCH(O$1,[4]characters!$1:$1,0)-MATCH($L$1,[4]characters!$1:$1,0)+1,FALSE)</f>
        <v>PremiumS</v>
      </c>
      <c r="P19" s="104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04">
        <f ca="1">VLOOKUP($L19,OFFSET([3]enemies!$A$1,0,0,COUNTA([3]enemies!$A:$A),MATCH(Q$1,[3]enemies!$1:$1,0)-MATCH($L$1,[3]enemies!$1:$1,0)+1),MATCH(Q$1,[3]enemies!$1:$1,0)-MATCH($L$1,[3]enemies!$1:$1,0)+1,FALSE)</f>
        <v>30</v>
      </c>
      <c r="R19" s="306">
        <v>50</v>
      </c>
      <c r="S19" s="307">
        <v>1.6</v>
      </c>
      <c r="T19" s="307">
        <v>1.2</v>
      </c>
      <c r="U19" s="306">
        <v>0</v>
      </c>
      <c r="V19" s="102"/>
      <c r="W19" s="102">
        <v>60006004</v>
      </c>
      <c r="X19" s="105">
        <v>1</v>
      </c>
      <c r="Y19" s="105">
        <v>100</v>
      </c>
      <c r="Z19" s="105">
        <v>0</v>
      </c>
      <c r="AA19" s="104">
        <v>2</v>
      </c>
      <c r="AB19" s="106">
        <f t="shared" si="13"/>
        <v>437</v>
      </c>
      <c r="AC19" s="102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忘却者 カカシ</v>
      </c>
      <c r="AD19" s="102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102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9" s="107">
        <v>1</v>
      </c>
      <c r="AG19" s="106">
        <f t="shared" ca="1" si="14"/>
        <v>4</v>
      </c>
      <c r="AH19" s="108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1</v>
      </c>
      <c r="AN19" s="449">
        <v>1</v>
      </c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</row>
    <row r="20" spans="1:59" s="122" customFormat="1" ht="21" customHeight="1" thickBot="1" x14ac:dyDescent="0.2">
      <c r="A20" s="390" t="str">
        <f t="shared" ref="A20" si="30">B20&amp;"_"&amp;C20&amp;"-"&amp;G20&amp;"/"&amp;L20&amp;"&lt;lv"&amp;R20&amp;"&gt;s"&amp;AA20</f>
        <v>60006_2-3/281&lt;lv50&gt;s3</v>
      </c>
      <c r="B20" s="243">
        <v>60006</v>
      </c>
      <c r="C20" s="239">
        <v>2</v>
      </c>
      <c r="D20" s="114" t="str">
        <f t="shared" ref="D20" si="31">B20&amp;"_"&amp;C20</f>
        <v>60006_2</v>
      </c>
      <c r="E20" s="115" t="str">
        <f ca="1">VLOOKUP($B20,OFFSET([2]quests!$A$1,0,0,COUNTA([2]quests!$A:$A),MATCH(E$1,[2]quests!$1:$1,0)-MATCH($B$1,[2]quests!$1:$1,0)+1),MATCH(E$1,[2]quests!$1:$1,0)-MATCH($B$1,[2]quests!$1:$1,0)+1,FALSE)</f>
        <v>オイラーチャレンジ</v>
      </c>
      <c r="F20" s="115" t="str">
        <f ca="1">VLOOKUP($D20,OFFSET([2]stages!$A$1,0,0,COUNTA([2]stages!$A:$A),MATCH(F$1,[2]stages!$2:$2,0)-MATCH($D$1,[2]stages!$2:$2,0)+1),MATCH(F$1,[2]stages!$2:$2,0)-MATCH($D$1,[2]stages!$2:$2,0)+1,FALSE)</f>
        <v>【超級】オイラーチャレンジ</v>
      </c>
      <c r="G20" s="239">
        <v>3</v>
      </c>
      <c r="H20" s="239" t="str">
        <f t="shared" ref="H20" si="32">B20&amp;"_"&amp;C20&amp;"-"&amp;G20</f>
        <v>60006_2-3</v>
      </c>
      <c r="I20" s="296">
        <f ca="1">VLOOKUP($H20,OFFSET(floors!$A$1,0,0,COUNTA(floors!$A:$A),MATCH(I$1,floors!$1:$1,0)-MATCH($H$1,floors!$1:$1,0)+1),MATCH(I$1,floors!$1:$1,0)-MATCH($H$1,floors!$1:$1,0)+1,FALSE)</f>
        <v>60</v>
      </c>
      <c r="J20" s="296">
        <f ca="1">VLOOKUP($H20,OFFSET(floors!$A$1,0,0,COUNTA(floors!$A:$A),MATCH(J$1,floors!$1:$1,0)-MATCH($H$1,floors!$1:$1,0)+1),MATCH(J$1,floors!$1:$1,0)-MATCH($H$1,floors!$1:$1,0)+1,FALSE)</f>
        <v>60</v>
      </c>
      <c r="K20" s="292" t="s">
        <v>53</v>
      </c>
      <c r="L20" s="239">
        <v>281</v>
      </c>
      <c r="M20" s="117" t="str">
        <f ca="1">VLOOKUP($L20,OFFSET([3]enemies!$A$1,0,0,COUNTA([3]enemies!$A:$A),MATCH(M$1,[3]enemies!$1:$1,0)-MATCH($L$1,[3]enemies!$1:$1,0)+1),MATCH(M$1,[3]enemies!$1:$1,0)-MATCH($L$1,[3]enemies!$1:$1,0)+1,FALSE)</f>
        <v>リンドブルム・コンデンス</v>
      </c>
      <c r="N20" s="117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17" t="str">
        <f ca="1">VLOOKUP($L20,OFFSET([4]characters!$A$1,0,0,COUNTA([4]characters!$A:$A),MATCH(O$1,[4]characters!$1:$1,0)-MATCH($L$1,[4]characters!$1:$1,0)+1),MATCH(O$1,[4]characters!$1:$1,0)-MATCH($L$1,[4]characters!$1:$1,0)+1,FALSE)</f>
        <v>DropWizW</v>
      </c>
      <c r="P20" s="117" t="str">
        <f ca="1">VLOOKUP($L20,OFFSET([3]enemies!$A$1,0,0,COUNTA([3]enemies!$A:$A),MATCH(P$1,[3]enemies!$1:$1,0)-MATCH($L$1,[3]enemies!$1:$1,0)+1),MATCH(P$1,[3]enemies!$1:$1,0)-MATCH($L$1,[3]enemies!$1:$1,0)+1,FALSE)</f>
        <v>dragon</v>
      </c>
      <c r="Q20" s="117">
        <f ca="1">VLOOKUP($L20,OFFSET([3]enemies!$A$1,0,0,COUNTA([3]enemies!$A:$A),MATCH(Q$1,[3]enemies!$1:$1,0)-MATCH($L$1,[3]enemies!$1:$1,0)+1),MATCH(Q$1,[3]enemies!$1:$1,0)-MATCH($L$1,[3]enemies!$1:$1,0)+1,FALSE)</f>
        <v>30</v>
      </c>
      <c r="R20" s="312">
        <v>50</v>
      </c>
      <c r="S20" s="313">
        <v>1.2</v>
      </c>
      <c r="T20" s="313">
        <v>1.1000000000000001</v>
      </c>
      <c r="U20" s="312">
        <v>0</v>
      </c>
      <c r="V20" s="115"/>
      <c r="W20" s="163">
        <v>60006005</v>
      </c>
      <c r="X20" s="118">
        <v>1</v>
      </c>
      <c r="Y20" s="118">
        <v>100</v>
      </c>
      <c r="Z20" s="118">
        <v>0</v>
      </c>
      <c r="AA20" s="117">
        <v>3</v>
      </c>
      <c r="AB20" s="119">
        <f t="shared" ref="AB20" si="33">L20</f>
        <v>281</v>
      </c>
      <c r="AC20" s="115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リンドブルム・コンデンス</v>
      </c>
      <c r="AD20" s="115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115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20" s="120">
        <v>1</v>
      </c>
      <c r="AG20" s="119">
        <f t="shared" ref="AG20" ca="1" si="34">AD20</f>
        <v>4</v>
      </c>
      <c r="AH20" s="121">
        <v>0</v>
      </c>
      <c r="AI20" s="120">
        <v>0</v>
      </c>
      <c r="AJ20" s="120">
        <v>0</v>
      </c>
      <c r="AK20" s="120">
        <v>0</v>
      </c>
      <c r="AL20" s="120">
        <v>0</v>
      </c>
      <c r="AM20" s="120">
        <v>1</v>
      </c>
      <c r="AN20" s="451">
        <v>1</v>
      </c>
      <c r="AO20" s="111"/>
      <c r="AP20" s="111"/>
      <c r="AQ20" s="111"/>
      <c r="AR20" s="111"/>
      <c r="AS20" s="111"/>
      <c r="AT20" s="111"/>
      <c r="AU20" s="111"/>
      <c r="AV20" s="111"/>
      <c r="AW20" s="111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</row>
    <row r="21" spans="1:59" s="111" customFormat="1" ht="21" customHeight="1" thickBot="1" x14ac:dyDescent="0.2">
      <c r="A21" s="391" t="str">
        <f t="shared" ca="1" si="10"/>
        <v>60006_2-4/378&lt;lv50&gt;s3</v>
      </c>
      <c r="B21" s="245">
        <v>60006</v>
      </c>
      <c r="C21" s="246">
        <v>2</v>
      </c>
      <c r="D21" s="212" t="str">
        <f t="shared" si="11"/>
        <v>60006_2</v>
      </c>
      <c r="E21" s="217" t="str">
        <f ca="1">VLOOKUP($B21,OFFSET([2]quests!$A$1,0,0,COUNTA([2]quests!$A:$A),MATCH(E$1,[2]quests!$1:$1,0)-MATCH($B$1,[2]quests!$1:$1,0)+1),MATCH(E$1,[2]quests!$1:$1,0)-MATCH($B$1,[2]quests!$1:$1,0)+1,FALSE)</f>
        <v>オイラーチャレンジ</v>
      </c>
      <c r="F21" s="217" t="str">
        <f ca="1">VLOOKUP($D21,OFFSET([2]stages!$A$1,0,0,COUNTA([2]stages!$A:$A),MATCH(F$1,[2]stages!$2:$2,0)-MATCH($D$1,[2]stages!$2:$2,0)+1),MATCH(F$1,[2]stages!$2:$2,0)-MATCH($D$1,[2]stages!$2:$2,0)+1,FALSE)</f>
        <v>【超級】オイラーチャレンジ</v>
      </c>
      <c r="G21" s="246">
        <v>4</v>
      </c>
      <c r="H21" s="246" t="str">
        <f t="shared" si="12"/>
        <v>60006_2-4</v>
      </c>
      <c r="I21" s="298">
        <f ca="1">VLOOKUP($H21,OFFSET(floors!$A$1,0,0,COUNTA(floors!$A:$A),MATCH(I$1,floors!$1:$1,0)-MATCH($H$1,floors!$1:$1,0)+1),MATCH(I$1,floors!$1:$1,0)-MATCH($H$1,floors!$1:$1,0)+1,FALSE)</f>
        <v>60</v>
      </c>
      <c r="J21" s="298">
        <f ca="1">VLOOKUP($H21,OFFSET(floors!$A$1,0,0,COUNTA(floors!$A:$A),MATCH(J$1,floors!$1:$1,0)-MATCH($H$1,floors!$1:$1,0)+1),MATCH(J$1,floors!$1:$1,0)-MATCH($H$1,floors!$1:$1,0)+1,FALSE)</f>
        <v>60</v>
      </c>
      <c r="K21" s="299">
        <v>2</v>
      </c>
      <c r="L21" s="246">
        <v>378</v>
      </c>
      <c r="M21" s="218" t="str">
        <f ca="1">VLOOKUP($L21,OFFSET([3]enemies!$A$1,0,0,COUNTA([3]enemies!$A:$A),MATCH(M$1,[3]enemies!$1:$1,0)-MATCH($L$1,[3]enemies!$1:$1,0)+1),MATCH(M$1,[3]enemies!$1:$1,0)-MATCH($L$1,[3]enemies!$1:$1,0)+1,FALSE)</f>
        <v>オイラー</v>
      </c>
      <c r="N21" s="218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218" t="str">
        <f ca="1">VLOOKUP($L21,OFFSET([4]characters!$A$1,0,0,COUNTA([4]characters!$A:$A),MATCH(O$1,[4]characters!$1:$1,0)-MATCH($L$1,[4]characters!$1:$1,0)+1),MATCH(O$1,[4]characters!$1:$1,0)-MATCH($L$1,[4]characters!$1:$1,0)+1,FALSE)</f>
        <v>PremiumSSS</v>
      </c>
      <c r="P21" s="218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218">
        <f ca="1">VLOOKUP($L21,OFFSET([3]enemies!$A$1,0,0,COUNTA([3]enemies!$A:$A),MATCH(Q$1,[3]enemies!$1:$1,0)-MATCH($L$1,[3]enemies!$1:$1,0)+1),MATCH(Q$1,[3]enemies!$1:$1,0)-MATCH($L$1,[3]enemies!$1:$1,0)+1,FALSE)</f>
        <v>30</v>
      </c>
      <c r="R21" s="314">
        <v>50</v>
      </c>
      <c r="S21" s="315">
        <v>1.5</v>
      </c>
      <c r="T21" s="315">
        <v>1.1000000000000001</v>
      </c>
      <c r="U21" s="314">
        <v>0</v>
      </c>
      <c r="V21" s="217"/>
      <c r="W21" s="115">
        <v>60006006</v>
      </c>
      <c r="X21" s="233">
        <v>0</v>
      </c>
      <c r="Y21" s="233">
        <v>100</v>
      </c>
      <c r="Z21" s="233">
        <v>1</v>
      </c>
      <c r="AA21" s="218">
        <f ca="1">VLOOKUP($L21,OFFSET([3]enemies!$A$1,0,0,COUNTA([3]enemies!$A:$A),MATCH(AA$1,[3]enemies!$1:$1,0)-MATCH($L$1,[3]enemies!$1:$1,0)+1),MATCH(AA$1,[3]enemies!$1:$1,0)-MATCH($L$1,[3]enemies!$1:$1,0)+1,FALSE)</f>
        <v>3</v>
      </c>
      <c r="AB21" s="214">
        <f t="shared" si="13"/>
        <v>378</v>
      </c>
      <c r="AC21" s="217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オイラー</v>
      </c>
      <c r="AD21" s="217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217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21" s="215">
        <v>1</v>
      </c>
      <c r="AG21" s="214">
        <f t="shared" ca="1" si="14"/>
        <v>4</v>
      </c>
      <c r="AH21" s="213">
        <v>0</v>
      </c>
      <c r="AI21" s="215">
        <v>0</v>
      </c>
      <c r="AJ21" s="215">
        <v>0</v>
      </c>
      <c r="AK21" s="215">
        <v>0</v>
      </c>
      <c r="AL21" s="215">
        <v>0</v>
      </c>
      <c r="AM21" s="215">
        <v>1</v>
      </c>
      <c r="AN21" s="453">
        <v>1</v>
      </c>
    </row>
    <row r="22" spans="1:59" s="108" customFormat="1" ht="21" customHeight="1" x14ac:dyDescent="0.15">
      <c r="A22" s="385" t="str">
        <f t="shared" ref="A22" si="35">B22&amp;"_"&amp;C22&amp;"-"&amp;G22&amp;"/"&amp;L22&amp;"&lt;lv"&amp;R22&amp;"&gt;s"&amp;AA22</f>
        <v>60006_3-1/28&lt;lv60&gt;s1</v>
      </c>
      <c r="B22" s="223">
        <v>60006</v>
      </c>
      <c r="C22" s="224">
        <v>3</v>
      </c>
      <c r="D22" s="101" t="str">
        <f t="shared" ref="D22" si="36">B22&amp;"_"&amp;C22</f>
        <v>60006_3</v>
      </c>
      <c r="E22" s="130" t="str">
        <f ca="1">VLOOKUP($B22,OFFSET([2]quests!$A$1,0,0,COUNTA([2]quests!$A:$A),MATCH(E$1,[2]quests!$1:$1,0)-MATCH($B$1,[2]quests!$1:$1,0)+1),MATCH(E$1,[2]quests!$1:$1,0)-MATCH($B$1,[2]quests!$1:$1,0)+1,FALSE)</f>
        <v>オイラーチャレンジ</v>
      </c>
      <c r="F22" s="130" t="str">
        <f ca="1">VLOOKUP($D22,OFFSET([2]stages!$A$1,0,0,COUNTA([2]stages!$A:$A),MATCH(F$1,[2]stages!$2:$2,0)-MATCH($D$1,[2]stages!$2:$2,0)+1),MATCH(F$1,[2]stages!$2:$2,0)-MATCH($D$1,[2]stages!$2:$2,0)+1,FALSE)</f>
        <v>【ウィザード級】オイラーチャレンジ</v>
      </c>
      <c r="G22" s="224">
        <v>1</v>
      </c>
      <c r="H22" s="224" t="str">
        <f t="shared" ref="H22" si="37">B22&amp;"_"&amp;C22&amp;"-"&amp;G22</f>
        <v>60006_3-1</v>
      </c>
      <c r="I22" s="257">
        <f ca="1">VLOOKUP($H22,OFFSET(floors!$A$1,0,0,COUNTA(floors!$A:$A),MATCH(I$1,floors!$1:$1,0)-MATCH($H$1,floors!$1:$1,0)+1),MATCH(I$1,floors!$1:$1,0)-MATCH($H$1,floors!$1:$1,0)+1,FALSE)</f>
        <v>60</v>
      </c>
      <c r="J22" s="257">
        <f ca="1">VLOOKUP($H22,OFFSET(floors!$A$1,0,0,COUNTA(floors!$A:$A),MATCH(J$1,floors!$1:$1,0)-MATCH($H$1,floors!$1:$1,0)+1),MATCH(J$1,floors!$1:$1,0)-MATCH($H$1,floors!$1:$1,0)+1,FALSE)</f>
        <v>60</v>
      </c>
      <c r="K22" s="258" t="s">
        <v>53</v>
      </c>
      <c r="L22" s="224">
        <v>28</v>
      </c>
      <c r="M22" s="130" t="str">
        <f ca="1">VLOOKUP($L22,OFFSET([3]enemies!$A$1,0,0,COUNTA([3]enemies!$A:$A),MATCH(M$1,[3]enemies!$1:$1,0)-MATCH($L$1,[3]enemies!$1:$1,0)+1),MATCH(M$1,[3]enemies!$1:$1,0)-MATCH($L$1,[3]enemies!$1:$1,0)+1,FALSE)</f>
        <v>現場急行 パトラインカスタム</v>
      </c>
      <c r="N22" s="130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30" t="str">
        <f ca="1">VLOOKUP($L22,OFFSET([4]characters!$A$1,0,0,COUNTA([4]characters!$A:$A),MATCH(O$1,[4]characters!$1:$1,0)-MATCH($L$1,[4]characters!$1:$1,0)+1),MATCH(O$1,[4]characters!$1:$1,0)-MATCH($L$1,[4]characters!$1:$1,0)+1,FALSE)</f>
        <v>Drop1N</v>
      </c>
      <c r="P22" s="130" t="str">
        <f ca="1">VLOOKUP($L22,OFFSET([3]enemies!$A$1,0,0,COUNTA([3]enemies!$A:$A),MATCH(P$1,[3]enemies!$1:$1,0)-MATCH($L$1,[3]enemies!$1:$1,0)+1),MATCH(P$1,[3]enemies!$1:$1,0)-MATCH($L$1,[3]enemies!$1:$1,0)+1,FALSE)</f>
        <v>machine</v>
      </c>
      <c r="Q22" s="130">
        <f ca="1">VLOOKUP($L22,OFFSET([3]enemies!$A$1,0,0,COUNTA([3]enemies!$A:$A),MATCH(Q$1,[3]enemies!$1:$1,0)-MATCH($L$1,[3]enemies!$1:$1,0)+1),MATCH(Q$1,[3]enemies!$1:$1,0)-MATCH($L$1,[3]enemies!$1:$1,0)+1,FALSE)</f>
        <v>15</v>
      </c>
      <c r="R22" s="270">
        <v>60</v>
      </c>
      <c r="S22" s="271">
        <v>1.2</v>
      </c>
      <c r="T22" s="271">
        <v>1.1000000000000001</v>
      </c>
      <c r="U22" s="270">
        <v>0</v>
      </c>
      <c r="V22" s="130"/>
      <c r="W22" s="130">
        <v>0</v>
      </c>
      <c r="X22" s="108">
        <v>0</v>
      </c>
      <c r="Y22" s="108">
        <v>100</v>
      </c>
      <c r="Z22" s="108">
        <v>0</v>
      </c>
      <c r="AA22" s="130">
        <v>1</v>
      </c>
      <c r="AB22" s="106">
        <f t="shared" ref="AB22" si="38">L22</f>
        <v>28</v>
      </c>
      <c r="AC22" s="130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22" s="130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130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2" s="107">
        <v>1</v>
      </c>
      <c r="AG22" s="106">
        <f t="shared" ref="AG22" ca="1" si="39">AD22</f>
        <v>2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1</v>
      </c>
      <c r="AN22" s="449">
        <v>1</v>
      </c>
      <c r="AO22" s="111"/>
      <c r="AP22" s="111"/>
      <c r="AQ22" s="111"/>
      <c r="AR22" s="111"/>
      <c r="AS22" s="111"/>
      <c r="AT22" s="111"/>
      <c r="AU22" s="111"/>
      <c r="AV22" s="111"/>
      <c r="AW22" s="111"/>
      <c r="AX22" s="111"/>
      <c r="AY22" s="111"/>
      <c r="AZ22" s="111"/>
      <c r="BA22" s="111"/>
      <c r="BB22" s="111"/>
      <c r="BC22" s="111"/>
      <c r="BD22" s="111"/>
      <c r="BE22" s="111"/>
      <c r="BF22" s="111"/>
      <c r="BG22" s="111"/>
    </row>
    <row r="23" spans="1:59" s="46" customFormat="1" ht="21" customHeight="1" x14ac:dyDescent="0.15">
      <c r="A23" s="386" t="str">
        <f t="shared" si="10"/>
        <v>60006_3-1/28&lt;lv61&gt;s2</v>
      </c>
      <c r="B23" s="225">
        <v>60006</v>
      </c>
      <c r="C23" s="226">
        <v>3</v>
      </c>
      <c r="D23" s="12" t="str">
        <f t="shared" si="11"/>
        <v>60006_3</v>
      </c>
      <c r="E23" s="15" t="str">
        <f ca="1">VLOOKUP($B23,OFFSET([2]quests!$A$1,0,0,COUNTA([2]quests!$A:$A),MATCH(E$1,[2]quests!$1:$1,0)-MATCH($B$1,[2]quests!$1:$1,0)+1),MATCH(E$1,[2]quests!$1:$1,0)-MATCH($B$1,[2]quests!$1:$1,0)+1,FALSE)</f>
        <v>オイラーチャレンジ</v>
      </c>
      <c r="F23" s="15" t="str">
        <f ca="1">VLOOKUP($D23,OFFSET([2]stages!$A$1,0,0,COUNTA([2]stages!$A:$A),MATCH(F$1,[2]stages!$2:$2,0)-MATCH($D$1,[2]stages!$2:$2,0)+1),MATCH(F$1,[2]stages!$2:$2,0)-MATCH($D$1,[2]stages!$2:$2,0)+1,FALSE)</f>
        <v>【ウィザード級】オイラーチャレンジ</v>
      </c>
      <c r="G23" s="226">
        <v>1</v>
      </c>
      <c r="H23" s="226" t="str">
        <f t="shared" si="12"/>
        <v>60006_3-1</v>
      </c>
      <c r="I23" s="259">
        <f ca="1">VLOOKUP($H23,OFFSET(floors!$A$1,0,0,COUNTA(floors!$A:$A),MATCH(I$1,floors!$1:$1,0)-MATCH($H$1,floors!$1:$1,0)+1),MATCH(I$1,floors!$1:$1,0)-MATCH($H$1,floors!$1:$1,0)+1,FALSE)</f>
        <v>60</v>
      </c>
      <c r="J23" s="259">
        <f ca="1">VLOOKUP($H23,OFFSET(floors!$A$1,0,0,COUNTA(floors!$A:$A),MATCH(J$1,floors!$1:$1,0)-MATCH($H$1,floors!$1:$1,0)+1),MATCH(J$1,floors!$1:$1,0)-MATCH($H$1,floors!$1:$1,0)+1,FALSE)</f>
        <v>60</v>
      </c>
      <c r="K23" s="260" t="s">
        <v>53</v>
      </c>
      <c r="L23" s="226">
        <v>28</v>
      </c>
      <c r="M23" s="15" t="str">
        <f ca="1">VLOOKUP($L23,OFFSET([3]enemies!$A$1,0,0,COUNTA([3]enemies!$A:$A),MATCH(M$1,[3]enemies!$1:$1,0)-MATCH($L$1,[3]enemies!$1:$1,0)+1),MATCH(M$1,[3]enemies!$1:$1,0)-MATCH($L$1,[3]enemies!$1:$1,0)+1,FALSE)</f>
        <v>現場急行 パトラインカスタム</v>
      </c>
      <c r="N23" s="15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5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5" t="str">
        <f ca="1">VLOOKUP($L23,OFFSET([3]enemies!$A$1,0,0,COUNTA([3]enemies!$A:$A),MATCH(P$1,[3]enemies!$1:$1,0)-MATCH($L$1,[3]enemies!$1:$1,0)+1),MATCH(P$1,[3]enemies!$1:$1,0)-MATCH($L$1,[3]enemies!$1:$1,0)+1,FALSE)</f>
        <v>machine</v>
      </c>
      <c r="Q23" s="15">
        <f ca="1">VLOOKUP($L23,OFFSET([3]enemies!$A$1,0,0,COUNTA([3]enemies!$A:$A),MATCH(Q$1,[3]enemies!$1:$1,0)-MATCH($L$1,[3]enemies!$1:$1,0)+1),MATCH(Q$1,[3]enemies!$1:$1,0)-MATCH($L$1,[3]enemies!$1:$1,0)+1,FALSE)</f>
        <v>15</v>
      </c>
      <c r="R23" s="272">
        <v>61</v>
      </c>
      <c r="S23" s="273">
        <v>1.2</v>
      </c>
      <c r="T23" s="273">
        <v>2.8</v>
      </c>
      <c r="U23" s="272">
        <v>0</v>
      </c>
      <c r="V23" s="15"/>
      <c r="W23" s="15">
        <v>0</v>
      </c>
      <c r="X23" s="46">
        <v>0</v>
      </c>
      <c r="Y23" s="46">
        <v>100</v>
      </c>
      <c r="Z23" s="46">
        <v>0</v>
      </c>
      <c r="AA23" s="15">
        <v>2</v>
      </c>
      <c r="AB23" s="87">
        <f t="shared" si="13"/>
        <v>28</v>
      </c>
      <c r="AC23" s="15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23" s="15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15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Drop1N</v>
      </c>
      <c r="AF23" s="88">
        <v>1</v>
      </c>
      <c r="AG23" s="87">
        <f t="shared" ca="1" si="14"/>
        <v>2</v>
      </c>
      <c r="AH23" s="88">
        <v>0</v>
      </c>
      <c r="AI23" s="88">
        <v>0</v>
      </c>
      <c r="AJ23" s="88">
        <v>0</v>
      </c>
      <c r="AK23" s="88">
        <v>0</v>
      </c>
      <c r="AL23" s="88">
        <v>0</v>
      </c>
      <c r="AM23" s="88">
        <v>1</v>
      </c>
      <c r="AN23" s="450">
        <v>1</v>
      </c>
      <c r="AO23" s="111"/>
      <c r="AP23" s="111"/>
      <c r="AQ23" s="111"/>
      <c r="AR23" s="111"/>
      <c r="AS23" s="111"/>
      <c r="AT23" s="111"/>
      <c r="AU23" s="111"/>
      <c r="AV23" s="111"/>
      <c r="AW23" s="111"/>
      <c r="AX23" s="111"/>
      <c r="AY23" s="111"/>
      <c r="AZ23" s="111"/>
      <c r="BA23" s="111"/>
      <c r="BB23" s="111"/>
      <c r="BC23" s="111"/>
      <c r="BD23" s="111"/>
      <c r="BE23" s="111"/>
      <c r="BF23" s="111"/>
      <c r="BG23" s="111"/>
    </row>
    <row r="24" spans="1:59" s="46" customFormat="1" ht="21" customHeight="1" x14ac:dyDescent="0.15">
      <c r="A24" s="386" t="str">
        <f t="shared" si="10"/>
        <v>60006_3-1/28&lt;lv62&gt;s2</v>
      </c>
      <c r="B24" s="225">
        <v>60006</v>
      </c>
      <c r="C24" s="226">
        <v>3</v>
      </c>
      <c r="D24" s="12" t="str">
        <f t="shared" si="11"/>
        <v>60006_3</v>
      </c>
      <c r="E24" s="15" t="str">
        <f ca="1">VLOOKUP($B24,OFFSET([2]quests!$A$1,0,0,COUNTA([2]quests!$A:$A),MATCH(E$1,[2]quests!$1:$1,0)-MATCH($B$1,[2]quests!$1:$1,0)+1),MATCH(E$1,[2]quests!$1:$1,0)-MATCH($B$1,[2]quests!$1:$1,0)+1,FALSE)</f>
        <v>オイラーチャレンジ</v>
      </c>
      <c r="F24" s="15" t="str">
        <f ca="1">VLOOKUP($D24,OFFSET([2]stages!$A$1,0,0,COUNTA([2]stages!$A:$A),MATCH(F$1,[2]stages!$2:$2,0)-MATCH($D$1,[2]stages!$2:$2,0)+1),MATCH(F$1,[2]stages!$2:$2,0)-MATCH($D$1,[2]stages!$2:$2,0)+1,FALSE)</f>
        <v>【ウィザード級】オイラーチャレンジ</v>
      </c>
      <c r="G24" s="226">
        <v>1</v>
      </c>
      <c r="H24" s="226" t="str">
        <f t="shared" si="12"/>
        <v>60006_3-1</v>
      </c>
      <c r="I24" s="259">
        <f ca="1">VLOOKUP($H24,OFFSET(floors!$A$1,0,0,COUNTA(floors!$A:$A),MATCH(I$1,floors!$1:$1,0)-MATCH($H$1,floors!$1:$1,0)+1),MATCH(I$1,floors!$1:$1,0)-MATCH($H$1,floors!$1:$1,0)+1,FALSE)</f>
        <v>60</v>
      </c>
      <c r="J24" s="259">
        <f ca="1">VLOOKUP($H24,OFFSET(floors!$A$1,0,0,COUNTA(floors!$A:$A),MATCH(J$1,floors!$1:$1,0)-MATCH($H$1,floors!$1:$1,0)+1),MATCH(J$1,floors!$1:$1,0)-MATCH($H$1,floors!$1:$1,0)+1,FALSE)</f>
        <v>60</v>
      </c>
      <c r="K24" s="260" t="s">
        <v>53</v>
      </c>
      <c r="L24" s="226">
        <v>28</v>
      </c>
      <c r="M24" s="15" t="str">
        <f ca="1">VLOOKUP($L24,OFFSET([3]enemies!$A$1,0,0,COUNTA([3]enemies!$A:$A),MATCH(M$1,[3]enemies!$1:$1,0)-MATCH($L$1,[3]enemies!$1:$1,0)+1),MATCH(M$1,[3]enemies!$1:$1,0)-MATCH($L$1,[3]enemies!$1:$1,0)+1,FALSE)</f>
        <v>現場急行 パトラインカスタム</v>
      </c>
      <c r="N24" s="15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15" t="str">
        <f ca="1">VLOOKUP($L24,OFFSET([4]characters!$A$1,0,0,COUNTA([4]characters!$A:$A),MATCH(O$1,[4]characters!$1:$1,0)-MATCH($L$1,[4]characters!$1:$1,0)+1),MATCH(O$1,[4]characters!$1:$1,0)-MATCH($L$1,[4]characters!$1:$1,0)+1,FALSE)</f>
        <v>Drop1N</v>
      </c>
      <c r="P24" s="15" t="str">
        <f ca="1">VLOOKUP($L24,OFFSET([3]enemies!$A$1,0,0,COUNTA([3]enemies!$A:$A),MATCH(P$1,[3]enemies!$1:$1,0)-MATCH($L$1,[3]enemies!$1:$1,0)+1),MATCH(P$1,[3]enemies!$1:$1,0)-MATCH($L$1,[3]enemies!$1:$1,0)+1,FALSE)</f>
        <v>machine</v>
      </c>
      <c r="Q24" s="15">
        <f ca="1">VLOOKUP($L24,OFFSET([3]enemies!$A$1,0,0,COUNTA([3]enemies!$A:$A),MATCH(Q$1,[3]enemies!$1:$1,0)-MATCH($L$1,[3]enemies!$1:$1,0)+1),MATCH(Q$1,[3]enemies!$1:$1,0)-MATCH($L$1,[3]enemies!$1:$1,0)+1,FALSE)</f>
        <v>15</v>
      </c>
      <c r="R24" s="272">
        <v>62</v>
      </c>
      <c r="S24" s="273">
        <v>1.2</v>
      </c>
      <c r="T24" s="273">
        <v>2.8</v>
      </c>
      <c r="U24" s="272">
        <v>0</v>
      </c>
      <c r="V24" s="15"/>
      <c r="W24" s="15">
        <v>0</v>
      </c>
      <c r="X24" s="46">
        <v>0</v>
      </c>
      <c r="Y24" s="46">
        <v>100</v>
      </c>
      <c r="Z24" s="46">
        <v>0</v>
      </c>
      <c r="AA24" s="15">
        <v>2</v>
      </c>
      <c r="AB24" s="87">
        <f t="shared" si="13"/>
        <v>28</v>
      </c>
      <c r="AC24" s="15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24" s="15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15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Drop1N</v>
      </c>
      <c r="AF24" s="88">
        <v>1</v>
      </c>
      <c r="AG24" s="87">
        <f t="shared" ca="1" si="14"/>
        <v>2</v>
      </c>
      <c r="AH24" s="88">
        <v>0</v>
      </c>
      <c r="AI24" s="88">
        <v>0</v>
      </c>
      <c r="AJ24" s="88">
        <v>0</v>
      </c>
      <c r="AK24" s="88">
        <v>0</v>
      </c>
      <c r="AL24" s="88">
        <v>0</v>
      </c>
      <c r="AM24" s="88">
        <v>1</v>
      </c>
      <c r="AN24" s="450">
        <v>1</v>
      </c>
      <c r="AO24" s="111"/>
      <c r="AP24" s="111"/>
      <c r="AQ24" s="111"/>
      <c r="AR24" s="111"/>
      <c r="AS24" s="111"/>
      <c r="AT24" s="111"/>
      <c r="AU24" s="111"/>
      <c r="AV24" s="111"/>
      <c r="AW24" s="111"/>
      <c r="AX24" s="111"/>
      <c r="AY24" s="111"/>
      <c r="AZ24" s="111"/>
      <c r="BA24" s="111"/>
      <c r="BB24" s="111"/>
      <c r="BC24" s="111"/>
      <c r="BD24" s="111"/>
      <c r="BE24" s="111"/>
      <c r="BF24" s="111"/>
      <c r="BG24" s="111"/>
    </row>
    <row r="25" spans="1:59" s="121" customFormat="1" ht="21" customHeight="1" thickBot="1" x14ac:dyDescent="0.2">
      <c r="A25" s="387" t="str">
        <f t="shared" ref="A25" si="40">B25&amp;"_"&amp;C25&amp;"-"&amp;G25&amp;"/"&amp;L25&amp;"&lt;lv"&amp;R25&amp;"&gt;s"&amp;AA25</f>
        <v>60006_3-1/28&lt;lv63&gt;s3</v>
      </c>
      <c r="B25" s="227">
        <v>60006</v>
      </c>
      <c r="C25" s="228">
        <v>3</v>
      </c>
      <c r="D25" s="114" t="str">
        <f t="shared" ref="D25" si="41">B25&amp;"_"&amp;C25</f>
        <v>60006_3</v>
      </c>
      <c r="E25" s="134" t="str">
        <f ca="1">VLOOKUP($B25,OFFSET([2]quests!$A$1,0,0,COUNTA([2]quests!$A:$A),MATCH(E$1,[2]quests!$1:$1,0)-MATCH($B$1,[2]quests!$1:$1,0)+1),MATCH(E$1,[2]quests!$1:$1,0)-MATCH($B$1,[2]quests!$1:$1,0)+1,FALSE)</f>
        <v>オイラーチャレンジ</v>
      </c>
      <c r="F25" s="134" t="str">
        <f ca="1">VLOOKUP($D25,OFFSET([2]stages!$A$1,0,0,COUNTA([2]stages!$A:$A),MATCH(F$1,[2]stages!$2:$2,0)-MATCH($D$1,[2]stages!$2:$2,0)+1),MATCH(F$1,[2]stages!$2:$2,0)-MATCH($D$1,[2]stages!$2:$2,0)+1,FALSE)</f>
        <v>【ウィザード級】オイラーチャレンジ</v>
      </c>
      <c r="G25" s="228">
        <v>1</v>
      </c>
      <c r="H25" s="228" t="str">
        <f t="shared" ref="H25" si="42">B25&amp;"_"&amp;C25&amp;"-"&amp;G25</f>
        <v>60006_3-1</v>
      </c>
      <c r="I25" s="261">
        <f ca="1">VLOOKUP($H25,OFFSET(floors!$A$1,0,0,COUNTA(floors!$A:$A),MATCH(I$1,floors!$1:$1,0)-MATCH($H$1,floors!$1:$1,0)+1),MATCH(I$1,floors!$1:$1,0)-MATCH($H$1,floors!$1:$1,0)+1,FALSE)</f>
        <v>60</v>
      </c>
      <c r="J25" s="261">
        <f ca="1">VLOOKUP($H25,OFFSET(floors!$A$1,0,0,COUNTA(floors!$A:$A),MATCH(J$1,floors!$1:$1,0)-MATCH($H$1,floors!$1:$1,0)+1),MATCH(J$1,floors!$1:$1,0)-MATCH($H$1,floors!$1:$1,0)+1,FALSE)</f>
        <v>60</v>
      </c>
      <c r="K25" s="262" t="s">
        <v>53</v>
      </c>
      <c r="L25" s="228">
        <v>28</v>
      </c>
      <c r="M25" s="134" t="str">
        <f ca="1">VLOOKUP($L25,OFFSET([3]enemies!$A$1,0,0,COUNTA([3]enemies!$A:$A),MATCH(M$1,[3]enemies!$1:$1,0)-MATCH($L$1,[3]enemies!$1:$1,0)+1),MATCH(M$1,[3]enemies!$1:$1,0)-MATCH($L$1,[3]enemies!$1:$1,0)+1,FALSE)</f>
        <v>現場急行 パトラインカスタム</v>
      </c>
      <c r="N25" s="134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134" t="str">
        <f ca="1">VLOOKUP($L25,OFFSET([4]characters!$A$1,0,0,COUNTA([4]characters!$A:$A),MATCH(O$1,[4]characters!$1:$1,0)-MATCH($L$1,[4]characters!$1:$1,0)+1),MATCH(O$1,[4]characters!$1:$1,0)-MATCH($L$1,[4]characters!$1:$1,0)+1,FALSE)</f>
        <v>Drop1N</v>
      </c>
      <c r="P25" s="134" t="str">
        <f ca="1">VLOOKUP($L25,OFFSET([3]enemies!$A$1,0,0,COUNTA([3]enemies!$A:$A),MATCH(P$1,[3]enemies!$1:$1,0)-MATCH($L$1,[3]enemies!$1:$1,0)+1),MATCH(P$1,[3]enemies!$1:$1,0)-MATCH($L$1,[3]enemies!$1:$1,0)+1,FALSE)</f>
        <v>machine</v>
      </c>
      <c r="Q25" s="134">
        <f ca="1">VLOOKUP($L25,OFFSET([3]enemies!$A$1,0,0,COUNTA([3]enemies!$A:$A),MATCH(Q$1,[3]enemies!$1:$1,0)-MATCH($L$1,[3]enemies!$1:$1,0)+1),MATCH(Q$1,[3]enemies!$1:$1,0)-MATCH($L$1,[3]enemies!$1:$1,0)+1,FALSE)</f>
        <v>15</v>
      </c>
      <c r="R25" s="274">
        <v>63</v>
      </c>
      <c r="S25" s="275">
        <v>1.2</v>
      </c>
      <c r="T25" s="275">
        <v>2.8</v>
      </c>
      <c r="U25" s="274">
        <v>0</v>
      </c>
      <c r="V25" s="134"/>
      <c r="W25" s="134">
        <v>0</v>
      </c>
      <c r="X25" s="121">
        <v>0</v>
      </c>
      <c r="Y25" s="121">
        <v>100</v>
      </c>
      <c r="Z25" s="121">
        <v>0</v>
      </c>
      <c r="AA25" s="134">
        <v>3</v>
      </c>
      <c r="AB25" s="119">
        <f t="shared" ref="AB25" si="43">L25</f>
        <v>28</v>
      </c>
      <c r="AC25" s="13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25" s="134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13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Drop1N</v>
      </c>
      <c r="AF25" s="120">
        <v>1</v>
      </c>
      <c r="AG25" s="119">
        <f t="shared" ref="AG25" ca="1" si="44">AD25</f>
        <v>2</v>
      </c>
      <c r="AH25" s="120">
        <v>0</v>
      </c>
      <c r="AI25" s="120">
        <v>0</v>
      </c>
      <c r="AJ25" s="120">
        <v>0</v>
      </c>
      <c r="AK25" s="120">
        <v>0</v>
      </c>
      <c r="AL25" s="120">
        <v>0</v>
      </c>
      <c r="AM25" s="120">
        <v>1</v>
      </c>
      <c r="AN25" s="451">
        <v>1</v>
      </c>
      <c r="AO25" s="111"/>
      <c r="AP25" s="111"/>
      <c r="AQ25" s="111"/>
      <c r="AR25" s="111"/>
      <c r="AS25" s="111"/>
      <c r="AT25" s="111"/>
      <c r="AU25" s="111"/>
      <c r="AV25" s="111"/>
      <c r="AW25" s="111"/>
      <c r="AX25" s="111"/>
      <c r="AY25" s="111"/>
      <c r="AZ25" s="111"/>
      <c r="BA25" s="111"/>
      <c r="BB25" s="111"/>
      <c r="BC25" s="111"/>
      <c r="BD25" s="111"/>
      <c r="BE25" s="111"/>
      <c r="BF25" s="111"/>
      <c r="BG25" s="111"/>
    </row>
    <row r="26" spans="1:59" s="111" customFormat="1" ht="21" customHeight="1" x14ac:dyDescent="0.15">
      <c r="A26" s="391" t="str">
        <f t="shared" si="10"/>
        <v>60006_3-2/36&lt;lv40&gt;s3</v>
      </c>
      <c r="B26" s="229">
        <v>60006</v>
      </c>
      <c r="C26" s="230">
        <v>3</v>
      </c>
      <c r="D26" s="95" t="str">
        <f t="shared" si="11"/>
        <v>60006_3</v>
      </c>
      <c r="E26" s="4" t="str">
        <f ca="1">VLOOKUP($B26,OFFSET([2]quests!$A$1,0,0,COUNTA([2]quests!$A:$A),MATCH(E$1,[2]quests!$1:$1,0)-MATCH($B$1,[2]quests!$1:$1,0)+1),MATCH(E$1,[2]quests!$1:$1,0)-MATCH($B$1,[2]quests!$1:$1,0)+1,FALSE)</f>
        <v>オイラーチャレンジ</v>
      </c>
      <c r="F26" s="4" t="str">
        <f ca="1">VLOOKUP($D26,OFFSET([2]stages!$A$1,0,0,COUNTA([2]stages!$A:$A),MATCH(F$1,[2]stages!$2:$2,0)-MATCH($D$1,[2]stages!$2:$2,0)+1),MATCH(F$1,[2]stages!$2:$2,0)-MATCH($D$1,[2]stages!$2:$2,0)+1,FALSE)</f>
        <v>【ウィザード級】オイラーチャレンジ</v>
      </c>
      <c r="G26" s="230">
        <v>2</v>
      </c>
      <c r="H26" s="230" t="str">
        <f t="shared" si="12"/>
        <v>60006_3-2</v>
      </c>
      <c r="I26" s="263">
        <f ca="1">VLOOKUP($H26,OFFSET(floors!$A$1,0,0,COUNTA(floors!$A:$A),MATCH(I$1,floors!$1:$1,0)-MATCH($H$1,floors!$1:$1,0)+1),MATCH(I$1,floors!$1:$1,0)-MATCH($H$1,floors!$1:$1,0)+1,FALSE)</f>
        <v>60</v>
      </c>
      <c r="J26" s="263">
        <f ca="1">VLOOKUP($H26,OFFSET(floors!$A$1,0,0,COUNTA(floors!$A:$A),MATCH(J$1,floors!$1:$1,0)-MATCH($H$1,floors!$1:$1,0)+1),MATCH(J$1,floors!$1:$1,0)-MATCH($H$1,floors!$1:$1,0)+1,FALSE)</f>
        <v>60</v>
      </c>
      <c r="K26" s="264" t="s">
        <v>53</v>
      </c>
      <c r="L26" s="230">
        <v>36</v>
      </c>
      <c r="M26" s="14" t="str">
        <f ca="1">VLOOKUP($L26,OFFSET([3]enemies!$A$1,0,0,COUNTA([3]enemies!$A:$A),MATCH(M$1,[3]enemies!$1:$1,0)-MATCH($L$1,[3]enemies!$1:$1,0)+1),MATCH(M$1,[3]enemies!$1:$1,0)-MATCH($L$1,[3]enemies!$1:$1,0)+1,FALSE)</f>
        <v>オフィス追尾型移動地雷F3</v>
      </c>
      <c r="N26" s="14" t="str">
        <f ca="1">VLOOKUP($L26,OFFSET([3]enemies!$A$1,0,0,COUNTA([3]enemies!$A:$A),MATCH(N$1,[3]enemies!$1:$1,0)-MATCH($L$1,[3]enemies!$1:$1,0)+1),MATCH(N$1,[3]enemies!$1:$1,0)-MATCH($L$1,[3]enemies!$1:$1,0)+1,FALSE)</f>
        <v>green</v>
      </c>
      <c r="O26" s="14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14" t="str">
        <f ca="1">VLOOKUP($L26,OFFSET([3]enemies!$A$1,0,0,COUNTA([3]enemies!$A:$A),MATCH(P$1,[3]enemies!$1:$1,0)-MATCH($L$1,[3]enemies!$1:$1,0)+1),MATCH(P$1,[3]enemies!$1:$1,0)-MATCH($L$1,[3]enemies!$1:$1,0)+1,FALSE)</f>
        <v>machine</v>
      </c>
      <c r="Q26" s="14">
        <f ca="1">VLOOKUP($L26,OFFSET([3]enemies!$A$1,0,0,COUNTA([3]enemies!$A:$A),MATCH(Q$1,[3]enemies!$1:$1,0)-MATCH($L$1,[3]enemies!$1:$1,0)+1),MATCH(Q$1,[3]enemies!$1:$1,0)-MATCH($L$1,[3]enemies!$1:$1,0)+1,FALSE)</f>
        <v>20</v>
      </c>
      <c r="R26" s="276">
        <v>40</v>
      </c>
      <c r="S26" s="277">
        <v>0.7</v>
      </c>
      <c r="T26" s="277">
        <v>0.6</v>
      </c>
      <c r="U26" s="278">
        <v>0</v>
      </c>
      <c r="V26" s="160"/>
      <c r="W26" s="157">
        <v>60006001</v>
      </c>
      <c r="X26" s="158">
        <v>0</v>
      </c>
      <c r="Y26" s="158">
        <v>100</v>
      </c>
      <c r="Z26" s="158">
        <v>0</v>
      </c>
      <c r="AA26" s="14">
        <v>3</v>
      </c>
      <c r="AB26" s="159">
        <f t="shared" si="13"/>
        <v>36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3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Drop1S</v>
      </c>
      <c r="AF26" s="97">
        <v>1</v>
      </c>
      <c r="AG26" s="159">
        <f t="shared" ca="1" si="14"/>
        <v>3</v>
      </c>
      <c r="AH26" s="97">
        <v>0</v>
      </c>
      <c r="AI26" s="97">
        <v>0</v>
      </c>
      <c r="AJ26" s="97">
        <v>0</v>
      </c>
      <c r="AK26" s="97">
        <v>0</v>
      </c>
      <c r="AL26" s="97">
        <v>0</v>
      </c>
      <c r="AM26" s="97">
        <v>1</v>
      </c>
      <c r="AN26" s="452">
        <v>1</v>
      </c>
    </row>
    <row r="27" spans="1:59" s="111" customFormat="1" ht="21" customHeight="1" x14ac:dyDescent="0.15">
      <c r="A27" s="391" t="str">
        <f t="shared" si="10"/>
        <v>60006_3-2/36&lt;lv42&gt;s3</v>
      </c>
      <c r="B27" s="229">
        <v>60006</v>
      </c>
      <c r="C27" s="230">
        <v>3</v>
      </c>
      <c r="D27" s="95" t="str">
        <f t="shared" si="11"/>
        <v>60006_3</v>
      </c>
      <c r="E27" s="4" t="str">
        <f ca="1">VLOOKUP($B27,OFFSET([2]quests!$A$1,0,0,COUNTA([2]quests!$A:$A),MATCH(E$1,[2]quests!$1:$1,0)-MATCH($B$1,[2]quests!$1:$1,0)+1),MATCH(E$1,[2]quests!$1:$1,0)-MATCH($B$1,[2]quests!$1:$1,0)+1,FALSE)</f>
        <v>オイラーチャレンジ</v>
      </c>
      <c r="F27" s="4" t="str">
        <f ca="1">VLOOKUP($D27,OFFSET([2]stages!$A$1,0,0,COUNTA([2]stages!$A:$A),MATCH(F$1,[2]stages!$2:$2,0)-MATCH($D$1,[2]stages!$2:$2,0)+1),MATCH(F$1,[2]stages!$2:$2,0)-MATCH($D$1,[2]stages!$2:$2,0)+1,FALSE)</f>
        <v>【ウィザード級】オイラーチャレンジ</v>
      </c>
      <c r="G27" s="230">
        <v>2</v>
      </c>
      <c r="H27" s="230" t="str">
        <f t="shared" si="12"/>
        <v>60006_3-2</v>
      </c>
      <c r="I27" s="263">
        <f ca="1">VLOOKUP($H27,OFFSET(floors!$A$1,0,0,COUNTA(floors!$A:$A),MATCH(I$1,floors!$1:$1,0)-MATCH($H$1,floors!$1:$1,0)+1),MATCH(I$1,floors!$1:$1,0)-MATCH($H$1,floors!$1:$1,0)+1,FALSE)</f>
        <v>60</v>
      </c>
      <c r="J27" s="263">
        <f ca="1">VLOOKUP($H27,OFFSET(floors!$A$1,0,0,COUNTA(floors!$A:$A),MATCH(J$1,floors!$1:$1,0)-MATCH($H$1,floors!$1:$1,0)+1),MATCH(J$1,floors!$1:$1,0)-MATCH($H$1,floors!$1:$1,0)+1,FALSE)</f>
        <v>60</v>
      </c>
      <c r="K27" s="264" t="s">
        <v>53</v>
      </c>
      <c r="L27" s="230">
        <v>36</v>
      </c>
      <c r="M27" s="14" t="str">
        <f ca="1">VLOOKUP($L27,OFFSET([3]enemies!$A$1,0,0,COUNTA([3]enemies!$A:$A),MATCH(M$1,[3]enemies!$1:$1,0)-MATCH($L$1,[3]enemies!$1:$1,0)+1),MATCH(M$1,[3]enemies!$1:$1,0)-MATCH($L$1,[3]enemies!$1:$1,0)+1,FALSE)</f>
        <v>オフィス追尾型移動地雷F3</v>
      </c>
      <c r="N27" s="14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14" t="str">
        <f ca="1">VLOOKUP($L27,OFFSET([4]characters!$A$1,0,0,COUNTA([4]characters!$A:$A),MATCH(O$1,[4]characters!$1:$1,0)-MATCH($L$1,[4]characters!$1:$1,0)+1),MATCH(O$1,[4]characters!$1:$1,0)-MATCH($L$1,[4]characters!$1:$1,0)+1,FALSE)</f>
        <v>Drop1S</v>
      </c>
      <c r="P27" s="14" t="str">
        <f ca="1">VLOOKUP($L27,OFFSET([3]enemies!$A$1,0,0,COUNTA([3]enemies!$A:$A),MATCH(P$1,[3]enemies!$1:$1,0)-MATCH($L$1,[3]enemies!$1:$1,0)+1),MATCH(P$1,[3]enemies!$1:$1,0)-MATCH($L$1,[3]enemies!$1:$1,0)+1,FALSE)</f>
        <v>machine</v>
      </c>
      <c r="Q27" s="14">
        <f ca="1">VLOOKUP($L27,OFFSET([3]enemies!$A$1,0,0,COUNTA([3]enemies!$A:$A),MATCH(Q$1,[3]enemies!$1:$1,0)-MATCH($L$1,[3]enemies!$1:$1,0)+1),MATCH(Q$1,[3]enemies!$1:$1,0)-MATCH($L$1,[3]enemies!$1:$1,0)+1,FALSE)</f>
        <v>20</v>
      </c>
      <c r="R27" s="272">
        <v>42</v>
      </c>
      <c r="S27" s="277">
        <v>0.7</v>
      </c>
      <c r="T27" s="277">
        <v>0.6</v>
      </c>
      <c r="U27" s="278">
        <v>0</v>
      </c>
      <c r="V27" s="160"/>
      <c r="W27" s="157">
        <v>60006001</v>
      </c>
      <c r="X27" s="158">
        <v>0</v>
      </c>
      <c r="Y27" s="158">
        <v>100</v>
      </c>
      <c r="Z27" s="158">
        <v>0</v>
      </c>
      <c r="AA27" s="14">
        <v>3</v>
      </c>
      <c r="AB27" s="159">
        <f t="shared" si="13"/>
        <v>36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3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Drop1S</v>
      </c>
      <c r="AF27" s="97">
        <v>1</v>
      </c>
      <c r="AG27" s="159">
        <f t="shared" ca="1" si="14"/>
        <v>3</v>
      </c>
      <c r="AH27" s="97">
        <v>0</v>
      </c>
      <c r="AI27" s="97">
        <v>0</v>
      </c>
      <c r="AJ27" s="97">
        <v>0</v>
      </c>
      <c r="AK27" s="97">
        <v>0</v>
      </c>
      <c r="AL27" s="97">
        <v>0</v>
      </c>
      <c r="AM27" s="97">
        <v>1</v>
      </c>
      <c r="AN27" s="452">
        <v>1</v>
      </c>
    </row>
    <row r="28" spans="1:59" s="122" customFormat="1" ht="21" customHeight="1" thickBot="1" x14ac:dyDescent="0.2">
      <c r="A28" s="390" t="str">
        <f t="shared" ref="A28" si="45">B28&amp;"_"&amp;C28&amp;"-"&amp;G28&amp;"/"&amp;L28&amp;"&lt;lv"&amp;R28&amp;"&gt;s"&amp;AA28</f>
        <v>60006_3-2/36&lt;lv43&gt;s3</v>
      </c>
      <c r="B28" s="231">
        <v>60006</v>
      </c>
      <c r="C28" s="232">
        <v>3</v>
      </c>
      <c r="D28" s="162" t="str">
        <f t="shared" ref="D28" si="46">B28&amp;"_"&amp;C28</f>
        <v>60006_3</v>
      </c>
      <c r="E28" s="115" t="str">
        <f ca="1">VLOOKUP($B28,OFFSET([2]quests!$A$1,0,0,COUNTA([2]quests!$A:$A),MATCH(E$1,[2]quests!$1:$1,0)-MATCH($B$1,[2]quests!$1:$1,0)+1),MATCH(E$1,[2]quests!$1:$1,0)-MATCH($B$1,[2]quests!$1:$1,0)+1,FALSE)</f>
        <v>オイラーチャレンジ</v>
      </c>
      <c r="F28" s="115" t="str">
        <f ca="1">VLOOKUP($D28,OFFSET([2]stages!$A$1,0,0,COUNTA([2]stages!$A:$A),MATCH(F$1,[2]stages!$2:$2,0)-MATCH($D$1,[2]stages!$2:$2,0)+1),MATCH(F$1,[2]stages!$2:$2,0)-MATCH($D$1,[2]stages!$2:$2,0)+1,FALSE)</f>
        <v>【ウィザード級】オイラーチャレンジ</v>
      </c>
      <c r="G28" s="232">
        <v>2</v>
      </c>
      <c r="H28" s="232" t="str">
        <f t="shared" ref="H28" si="47">B28&amp;"_"&amp;C28&amp;"-"&amp;G28</f>
        <v>60006_3-2</v>
      </c>
      <c r="I28" s="265">
        <f ca="1">VLOOKUP($H28,OFFSET(floors!$A$1,0,0,COUNTA(floors!$A:$A),MATCH(I$1,floors!$1:$1,0)-MATCH($H$1,floors!$1:$1,0)+1),MATCH(I$1,floors!$1:$1,0)-MATCH($H$1,floors!$1:$1,0)+1,FALSE)</f>
        <v>60</v>
      </c>
      <c r="J28" s="265">
        <f ca="1">VLOOKUP($H28,OFFSET(floors!$A$1,0,0,COUNTA(floors!$A:$A),MATCH(J$1,floors!$1:$1,0)-MATCH($H$1,floors!$1:$1,0)+1),MATCH(J$1,floors!$1:$1,0)-MATCH($H$1,floors!$1:$1,0)+1,FALSE)</f>
        <v>60</v>
      </c>
      <c r="K28" s="266" t="s">
        <v>53</v>
      </c>
      <c r="L28" s="232">
        <v>36</v>
      </c>
      <c r="M28" s="117" t="str">
        <f ca="1">VLOOKUP($L28,OFFSET([3]enemies!$A$1,0,0,COUNTA([3]enemies!$A:$A),MATCH(M$1,[3]enemies!$1:$1,0)-MATCH($L$1,[3]enemies!$1:$1,0)+1),MATCH(M$1,[3]enemies!$1:$1,0)-MATCH($L$1,[3]enemies!$1:$1,0)+1,FALSE)</f>
        <v>オフィス追尾型移動地雷F3</v>
      </c>
      <c r="N28" s="117" t="str">
        <f ca="1">VLOOKUP($L28,OFFSET([3]enemies!$A$1,0,0,COUNTA([3]enemies!$A:$A),MATCH(N$1,[3]enemies!$1:$1,0)-MATCH($L$1,[3]enemies!$1:$1,0)+1),MATCH(N$1,[3]enemies!$1:$1,0)-MATCH($L$1,[3]enemies!$1:$1,0)+1,FALSE)</f>
        <v>green</v>
      </c>
      <c r="O28" s="117" t="str">
        <f ca="1">VLOOKUP($L28,OFFSET([4]characters!$A$1,0,0,COUNTA([4]characters!$A:$A),MATCH(O$1,[4]characters!$1:$1,0)-MATCH($L$1,[4]characters!$1:$1,0)+1),MATCH(O$1,[4]characters!$1:$1,0)-MATCH($L$1,[4]characters!$1:$1,0)+1,FALSE)</f>
        <v>Drop1S</v>
      </c>
      <c r="P28" s="117" t="str">
        <f ca="1">VLOOKUP($L28,OFFSET([3]enemies!$A$1,0,0,COUNTA([3]enemies!$A:$A),MATCH(P$1,[3]enemies!$1:$1,0)-MATCH($L$1,[3]enemies!$1:$1,0)+1),MATCH(P$1,[3]enemies!$1:$1,0)-MATCH($L$1,[3]enemies!$1:$1,0)+1,FALSE)</f>
        <v>machine</v>
      </c>
      <c r="Q28" s="117">
        <f ca="1">VLOOKUP($L28,OFFSET([3]enemies!$A$1,0,0,COUNTA([3]enemies!$A:$A),MATCH(Q$1,[3]enemies!$1:$1,0)-MATCH($L$1,[3]enemies!$1:$1,0)+1),MATCH(Q$1,[3]enemies!$1:$1,0)-MATCH($L$1,[3]enemies!$1:$1,0)+1,FALSE)</f>
        <v>20</v>
      </c>
      <c r="R28" s="274">
        <v>43</v>
      </c>
      <c r="S28" s="279">
        <v>0.7</v>
      </c>
      <c r="T28" s="279">
        <v>0.6</v>
      </c>
      <c r="U28" s="280">
        <v>0</v>
      </c>
      <c r="V28" s="115"/>
      <c r="W28" s="163">
        <v>60006001</v>
      </c>
      <c r="X28" s="164">
        <v>0</v>
      </c>
      <c r="Y28" s="164">
        <v>100</v>
      </c>
      <c r="Z28" s="164">
        <v>0</v>
      </c>
      <c r="AA28" s="117">
        <v>3</v>
      </c>
      <c r="AB28" s="165">
        <f t="shared" ref="AB28" si="48">L28</f>
        <v>36</v>
      </c>
      <c r="AC28" s="115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28" s="115">
        <f ca="1">VLOOKUP($AB28,OFFSET([4]characters!$A$1,0,0,COUNTA([4]characters!$A:$A),MATCH(AD$1,[4]characters!$1:$1,0)-MATCH("character_id",[4]characters!$1:$1,0)+1),MATCH(AD$1,[4]characters!$1:$1,0)-MATCH("character_id",[4]characters!$1:$1,0)+1,FALSE)</f>
        <v>3</v>
      </c>
      <c r="AE28" s="115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Drop1S</v>
      </c>
      <c r="AF28" s="166">
        <v>1</v>
      </c>
      <c r="AG28" s="165">
        <f t="shared" ref="AG28" ca="1" si="49">AD28</f>
        <v>3</v>
      </c>
      <c r="AH28" s="166">
        <v>0</v>
      </c>
      <c r="AI28" s="166">
        <v>0</v>
      </c>
      <c r="AJ28" s="166">
        <v>0</v>
      </c>
      <c r="AK28" s="166">
        <v>0</v>
      </c>
      <c r="AL28" s="166">
        <v>0</v>
      </c>
      <c r="AM28" s="166">
        <v>1</v>
      </c>
      <c r="AN28" s="454">
        <v>1</v>
      </c>
      <c r="AO28" s="111"/>
      <c r="AP28" s="111"/>
      <c r="AQ28" s="111"/>
      <c r="AR28" s="111"/>
      <c r="AS28" s="111"/>
      <c r="AT28" s="111"/>
      <c r="AU28" s="111"/>
      <c r="AV28" s="111"/>
      <c r="AW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</row>
    <row r="29" spans="1:59" s="255" customFormat="1" ht="21" customHeight="1" thickBot="1" x14ac:dyDescent="0.2">
      <c r="A29" s="392" t="str">
        <f t="shared" si="10"/>
        <v>60006_3-3/492&lt;lv60&gt;s3</v>
      </c>
      <c r="B29" s="247">
        <v>60006</v>
      </c>
      <c r="C29" s="248">
        <v>3</v>
      </c>
      <c r="D29" s="249" t="str">
        <f t="shared" si="11"/>
        <v>60006_3</v>
      </c>
      <c r="E29" s="250" t="str">
        <f ca="1">VLOOKUP($B29,OFFSET([2]quests!$A$1,0,0,COUNTA([2]quests!$A:$A),MATCH(E$1,[2]quests!$1:$1,0)-MATCH($B$1,[2]quests!$1:$1,0)+1),MATCH(E$1,[2]quests!$1:$1,0)-MATCH($B$1,[2]quests!$1:$1,0)+1,FALSE)</f>
        <v>オイラーチャレンジ</v>
      </c>
      <c r="F29" s="250" t="str">
        <f ca="1">VLOOKUP($D29,OFFSET([2]stages!$A$1,0,0,COUNTA([2]stages!$A:$A),MATCH(F$1,[2]stages!$2:$2,0)-MATCH($D$1,[2]stages!$2:$2,0)+1),MATCH(F$1,[2]stages!$2:$2,0)-MATCH($D$1,[2]stages!$2:$2,0)+1,FALSE)</f>
        <v>【ウィザード級】オイラーチャレンジ</v>
      </c>
      <c r="G29" s="248">
        <v>3</v>
      </c>
      <c r="H29" s="248" t="str">
        <f t="shared" si="12"/>
        <v>60006_3-3</v>
      </c>
      <c r="I29" s="267">
        <f ca="1">VLOOKUP($H29,OFFSET(floors!$A$1,0,0,COUNTA(floors!$A:$A),MATCH(I$1,floors!$1:$1,0)-MATCH($H$1,floors!$1:$1,0)+1),MATCH(I$1,floors!$1:$1,0)-MATCH($H$1,floors!$1:$1,0)+1,FALSE)</f>
        <v>60</v>
      </c>
      <c r="J29" s="267">
        <f ca="1">VLOOKUP($H29,OFFSET(floors!$A$1,0,0,COUNTA(floors!$A:$A),MATCH(J$1,floors!$1:$1,0)-MATCH($H$1,floors!$1:$1,0)+1),MATCH(J$1,floors!$1:$1,0)-MATCH($H$1,floors!$1:$1,0)+1,FALSE)</f>
        <v>60</v>
      </c>
      <c r="K29" s="268">
        <v>3</v>
      </c>
      <c r="L29" s="248">
        <v>492</v>
      </c>
      <c r="M29" s="251" t="str">
        <f ca="1">VLOOKUP($L29,OFFSET([3]enemies!$A$1,0,0,COUNTA([3]enemies!$A:$A),MATCH(M$1,[3]enemies!$1:$1,0)-MATCH($L$1,[3]enemies!$1:$1,0)+1),MATCH(M$1,[3]enemies!$1:$1,0)-MATCH($L$1,[3]enemies!$1:$1,0)+1,FALSE)</f>
        <v>ブートレグ・ペロー</v>
      </c>
      <c r="N29" s="251" t="str">
        <f ca="1">VLOOKUP($L29,OFFSET([3]enemies!$A$1,0,0,COUNTA([3]enemies!$A:$A),MATCH(N$1,[3]enemies!$1:$1,0)-MATCH($L$1,[3]enemies!$1:$1,0)+1),MATCH(N$1,[3]enemies!$1:$1,0)-MATCH($L$1,[3]enemies!$1:$1,0)+1,FALSE)</f>
        <v>red</v>
      </c>
      <c r="O29" s="251" t="str">
        <f ca="1">VLOOKUP($L29,OFFSET([4]characters!$A$1,0,0,COUNTA([4]characters!$A:$A),MATCH(O$1,[4]characters!$1:$1,0)-MATCH($L$1,[4]characters!$1:$1,0)+1),MATCH(O$1,[4]characters!$1:$1,0)-MATCH($L$1,[4]characters!$1:$1,0)+1,FALSE)</f>
        <v>PremiumSS</v>
      </c>
      <c r="P29" s="251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251">
        <f ca="1">VLOOKUP($L29,OFFSET([3]enemies!$A$1,0,0,COUNTA([3]enemies!$A:$A),MATCH(Q$1,[3]enemies!$1:$1,0)-MATCH($L$1,[3]enemies!$1:$1,0)+1),MATCH(Q$1,[3]enemies!$1:$1,0)-MATCH($L$1,[3]enemies!$1:$1,0)+1,FALSE)</f>
        <v>30</v>
      </c>
      <c r="R29" s="281">
        <v>60</v>
      </c>
      <c r="S29" s="282">
        <v>1</v>
      </c>
      <c r="T29" s="282">
        <v>1.4</v>
      </c>
      <c r="U29" s="281">
        <v>0</v>
      </c>
      <c r="V29" s="250"/>
      <c r="W29" s="250">
        <v>60006002</v>
      </c>
      <c r="X29" s="252">
        <v>0</v>
      </c>
      <c r="Y29" s="252">
        <v>100</v>
      </c>
      <c r="Z29" s="252">
        <v>1</v>
      </c>
      <c r="AA29" s="251">
        <v>3</v>
      </c>
      <c r="AB29" s="253">
        <f t="shared" si="13"/>
        <v>492</v>
      </c>
      <c r="AC29" s="250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ブートレグ・ペロー</v>
      </c>
      <c r="AD29" s="250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250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9" s="254">
        <v>1</v>
      </c>
      <c r="AG29" s="253">
        <f t="shared" ca="1" si="14"/>
        <v>4</v>
      </c>
      <c r="AH29" s="254">
        <v>0</v>
      </c>
      <c r="AI29" s="254">
        <v>0</v>
      </c>
      <c r="AJ29" s="254">
        <v>0</v>
      </c>
      <c r="AK29" s="254">
        <v>0</v>
      </c>
      <c r="AL29" s="254">
        <v>0</v>
      </c>
      <c r="AM29" s="254">
        <v>1</v>
      </c>
      <c r="AN29" s="455">
        <v>1</v>
      </c>
      <c r="AO29" s="111"/>
      <c r="AP29" s="111"/>
      <c r="AQ29" s="111"/>
      <c r="AR29" s="111"/>
      <c r="AS29" s="111"/>
      <c r="AT29" s="111"/>
      <c r="AU29" s="111"/>
      <c r="AV29" s="111"/>
      <c r="AW29" s="111"/>
      <c r="AX29" s="111"/>
      <c r="AY29" s="111"/>
      <c r="AZ29" s="111"/>
      <c r="BA29" s="111"/>
      <c r="BB29" s="111"/>
      <c r="BC29" s="111"/>
      <c r="BD29" s="111"/>
      <c r="BE29" s="111"/>
      <c r="BF29" s="111"/>
      <c r="BG29" s="111"/>
    </row>
    <row r="30" spans="1:59" s="109" customFormat="1" ht="21" customHeight="1" x14ac:dyDescent="0.15">
      <c r="A30" s="389" t="str">
        <f t="shared" ref="A30" si="50">B30&amp;"_"&amp;C30&amp;"-"&amp;G30&amp;"/"&amp;L30&amp;"&lt;lv"&amp;R30&amp;"&gt;s"&amp;AA30</f>
        <v>60006_3-4/437&lt;lv60&gt;s2</v>
      </c>
      <c r="B30" s="256">
        <v>60006</v>
      </c>
      <c r="C30" s="224">
        <v>3</v>
      </c>
      <c r="D30" s="101" t="str">
        <f t="shared" ref="D30" si="51">B30&amp;"_"&amp;C30</f>
        <v>60006_3</v>
      </c>
      <c r="E30" s="102" t="str">
        <f ca="1">VLOOKUP($B30,OFFSET([2]quests!$A$1,0,0,COUNTA([2]quests!$A:$A),MATCH(E$1,[2]quests!$1:$1,0)-MATCH($B$1,[2]quests!$1:$1,0)+1),MATCH(E$1,[2]quests!$1:$1,0)-MATCH($B$1,[2]quests!$1:$1,0)+1,FALSE)</f>
        <v>オイラーチャレンジ</v>
      </c>
      <c r="F30" s="102" t="str">
        <f ca="1">VLOOKUP($D30,OFFSET([2]stages!$A$1,0,0,COUNTA([2]stages!$A:$A),MATCH(F$1,[2]stages!$2:$2,0)-MATCH($D$1,[2]stages!$2:$2,0)+1),MATCH(F$1,[2]stages!$2:$2,0)-MATCH($D$1,[2]stages!$2:$2,0)+1,FALSE)</f>
        <v>【ウィザード級】オイラーチャレンジ</v>
      </c>
      <c r="G30" s="224">
        <v>4</v>
      </c>
      <c r="H30" s="224" t="str">
        <f t="shared" ref="H30" si="52">B30&amp;"_"&amp;C30&amp;"-"&amp;G30</f>
        <v>60006_3-4</v>
      </c>
      <c r="I30" s="269">
        <f ca="1">VLOOKUP($H30,OFFSET(floors!$A$1,0,0,COUNTA(floors!$A:$A),MATCH(I$1,floors!$1:$1,0)-MATCH($H$1,floors!$1:$1,0)+1),MATCH(I$1,floors!$1:$1,0)-MATCH($H$1,floors!$1:$1,0)+1,FALSE)</f>
        <v>60</v>
      </c>
      <c r="J30" s="269">
        <f ca="1">VLOOKUP($H30,OFFSET(floors!$A$1,0,0,COUNTA(floors!$A:$A),MATCH(J$1,floors!$1:$1,0)-MATCH($H$1,floors!$1:$1,0)+1),MATCH(J$1,floors!$1:$1,0)-MATCH($H$1,floors!$1:$1,0)+1,FALSE)</f>
        <v>60</v>
      </c>
      <c r="K30" s="258" t="s">
        <v>53</v>
      </c>
      <c r="L30" s="224">
        <v>437</v>
      </c>
      <c r="M30" s="104" t="str">
        <f ca="1">VLOOKUP($L30,OFFSET([3]enemies!$A$1,0,0,COUNTA([3]enemies!$A:$A),MATCH(M$1,[3]enemies!$1:$1,0)-MATCH($L$1,[3]enemies!$1:$1,0)+1),MATCH(M$1,[3]enemies!$1:$1,0)-MATCH($L$1,[3]enemies!$1:$1,0)+1,FALSE)</f>
        <v>忘却者 カカシ</v>
      </c>
      <c r="N30" s="104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104" t="str">
        <f ca="1">VLOOKUP($L30,OFFSET([4]characters!$A$1,0,0,COUNTA([4]characters!$A:$A),MATCH(O$1,[4]characters!$1:$1,0)-MATCH($L$1,[4]characters!$1:$1,0)+1),MATCH(O$1,[4]characters!$1:$1,0)-MATCH($L$1,[4]characters!$1:$1,0)+1,FALSE)</f>
        <v>PremiumS</v>
      </c>
      <c r="P30" s="104" t="str">
        <f ca="1">VLOOKUP($L30,OFFSET([3]enemies!$A$1,0,0,COUNTA([3]enemies!$A:$A),MATCH(P$1,[3]enemies!$1:$1,0)-MATCH($L$1,[3]enemies!$1:$1,0)+1),MATCH(P$1,[3]enemies!$1:$1,0)-MATCH($L$1,[3]enemies!$1:$1,0)+1,FALSE)</f>
        <v>human</v>
      </c>
      <c r="Q30" s="104">
        <f ca="1">VLOOKUP($L30,OFFSET([3]enemies!$A$1,0,0,COUNTA([3]enemies!$A:$A),MATCH(Q$1,[3]enemies!$1:$1,0)-MATCH($L$1,[3]enemies!$1:$1,0)+1),MATCH(Q$1,[3]enemies!$1:$1,0)-MATCH($L$1,[3]enemies!$1:$1,0)+1,FALSE)</f>
        <v>30</v>
      </c>
      <c r="R30" s="283">
        <v>60</v>
      </c>
      <c r="S30" s="284">
        <v>1.7</v>
      </c>
      <c r="T30" s="284">
        <v>0.8</v>
      </c>
      <c r="U30" s="283">
        <v>0</v>
      </c>
      <c r="V30" s="168"/>
      <c r="W30" s="102">
        <v>60006004</v>
      </c>
      <c r="X30" s="105">
        <v>1</v>
      </c>
      <c r="Y30" s="105">
        <v>100</v>
      </c>
      <c r="Z30" s="105">
        <v>0</v>
      </c>
      <c r="AA30" s="104">
        <v>2</v>
      </c>
      <c r="AB30" s="106">
        <f t="shared" ref="AB30" si="53">L30</f>
        <v>437</v>
      </c>
      <c r="AC30" s="102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忘却者 カカシ</v>
      </c>
      <c r="AD30" s="102">
        <f ca="1">VLOOKUP($AB30,OFFSET([4]characters!$A$1,0,0,COUNTA([4]characters!$A:$A),MATCH(AD$1,[4]characters!$1:$1,0)-MATCH("character_id",[4]characters!$1:$1,0)+1),MATCH(AD$1,[4]characters!$1:$1,0)-MATCH("character_id",[4]characters!$1:$1,0)+1,FALSE)</f>
        <v>4</v>
      </c>
      <c r="AE30" s="102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0" s="107">
        <v>1</v>
      </c>
      <c r="AG30" s="106">
        <f t="shared" ref="AG30" ca="1" si="54">AD30</f>
        <v>4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1</v>
      </c>
      <c r="AN30" s="449">
        <v>1</v>
      </c>
      <c r="AO30" s="111"/>
      <c r="AP30" s="111"/>
      <c r="AQ30" s="111"/>
      <c r="AR30" s="111"/>
      <c r="AS30" s="111"/>
      <c r="AT30" s="111"/>
      <c r="AU30" s="111"/>
      <c r="AV30" s="111"/>
      <c r="AW30" s="111"/>
      <c r="AX30" s="111"/>
      <c r="AY30" s="111"/>
      <c r="AZ30" s="111"/>
      <c r="BA30" s="111"/>
      <c r="BB30" s="111"/>
      <c r="BC30" s="111"/>
      <c r="BD30" s="111"/>
      <c r="BE30" s="111"/>
      <c r="BF30" s="111"/>
      <c r="BG30" s="111"/>
    </row>
    <row r="31" spans="1:59" s="122" customFormat="1" ht="21" customHeight="1" thickBot="1" x14ac:dyDescent="0.2">
      <c r="A31" s="390" t="str">
        <f t="shared" si="10"/>
        <v>60006_3-4/281&lt;lv60&gt;s3</v>
      </c>
      <c r="B31" s="231">
        <v>60006</v>
      </c>
      <c r="C31" s="228">
        <v>3</v>
      </c>
      <c r="D31" s="114" t="str">
        <f t="shared" si="11"/>
        <v>60006_3</v>
      </c>
      <c r="E31" s="115" t="str">
        <f ca="1">VLOOKUP($B31,OFFSET([2]quests!$A$1,0,0,COUNTA([2]quests!$A:$A),MATCH(E$1,[2]quests!$1:$1,0)-MATCH($B$1,[2]quests!$1:$1,0)+1),MATCH(E$1,[2]quests!$1:$1,0)-MATCH($B$1,[2]quests!$1:$1,0)+1,FALSE)</f>
        <v>オイラーチャレンジ</v>
      </c>
      <c r="F31" s="115" t="str">
        <f ca="1">VLOOKUP($D31,OFFSET([2]stages!$A$1,0,0,COUNTA([2]stages!$A:$A),MATCH(F$1,[2]stages!$2:$2,0)-MATCH($D$1,[2]stages!$2:$2,0)+1),MATCH(F$1,[2]stages!$2:$2,0)-MATCH($D$1,[2]stages!$2:$2,0)+1,FALSE)</f>
        <v>【ウィザード級】オイラーチャレンジ</v>
      </c>
      <c r="G31" s="228">
        <v>4</v>
      </c>
      <c r="H31" s="228" t="str">
        <f t="shared" si="12"/>
        <v>60006_3-4</v>
      </c>
      <c r="I31" s="265">
        <f ca="1">VLOOKUP($H31,OFFSET(floors!$A$1,0,0,COUNTA(floors!$A:$A),MATCH(I$1,floors!$1:$1,0)-MATCH($H$1,floors!$1:$1,0)+1),MATCH(I$1,floors!$1:$1,0)-MATCH($H$1,floors!$1:$1,0)+1,FALSE)</f>
        <v>60</v>
      </c>
      <c r="J31" s="265">
        <f ca="1">VLOOKUP($H31,OFFSET(floors!$A$1,0,0,COUNTA(floors!$A:$A),MATCH(J$1,floors!$1:$1,0)-MATCH($H$1,floors!$1:$1,0)+1),MATCH(J$1,floors!$1:$1,0)-MATCH($H$1,floors!$1:$1,0)+1,FALSE)</f>
        <v>60</v>
      </c>
      <c r="K31" s="262" t="s">
        <v>53</v>
      </c>
      <c r="L31" s="228">
        <v>281</v>
      </c>
      <c r="M31" s="117" t="str">
        <f ca="1">VLOOKUP($L31,OFFSET([3]enemies!$A$1,0,0,COUNTA([3]enemies!$A:$A),MATCH(M$1,[3]enemies!$1:$1,0)-MATCH($L$1,[3]enemies!$1:$1,0)+1),MATCH(M$1,[3]enemies!$1:$1,0)-MATCH($L$1,[3]enemies!$1:$1,0)+1,FALSE)</f>
        <v>リンドブルム・コンデンス</v>
      </c>
      <c r="N31" s="117" t="str">
        <f ca="1">VLOOKUP($L31,OFFSET([3]enemies!$A$1,0,0,COUNTA([3]enemies!$A:$A),MATCH(N$1,[3]enemies!$1:$1,0)-MATCH($L$1,[3]enemies!$1:$1,0)+1),MATCH(N$1,[3]enemies!$1:$1,0)-MATCH($L$1,[3]enemies!$1:$1,0)+1,FALSE)</f>
        <v>green</v>
      </c>
      <c r="O31" s="117" t="str">
        <f ca="1">VLOOKUP($L31,OFFSET([4]characters!$A$1,0,0,COUNTA([4]characters!$A:$A),MATCH(O$1,[4]characters!$1:$1,0)-MATCH($L$1,[4]characters!$1:$1,0)+1),MATCH(O$1,[4]characters!$1:$1,0)-MATCH($L$1,[4]characters!$1:$1,0)+1,FALSE)</f>
        <v>DropWizW</v>
      </c>
      <c r="P31" s="117" t="str">
        <f ca="1">VLOOKUP($L31,OFFSET([3]enemies!$A$1,0,0,COUNTA([3]enemies!$A:$A),MATCH(P$1,[3]enemies!$1:$1,0)-MATCH($L$1,[3]enemies!$1:$1,0)+1),MATCH(P$1,[3]enemies!$1:$1,0)-MATCH($L$1,[3]enemies!$1:$1,0)+1,FALSE)</f>
        <v>dragon</v>
      </c>
      <c r="Q31" s="117">
        <f ca="1">VLOOKUP($L31,OFFSET([3]enemies!$A$1,0,0,COUNTA([3]enemies!$A:$A),MATCH(Q$1,[3]enemies!$1:$1,0)-MATCH($L$1,[3]enemies!$1:$1,0)+1),MATCH(Q$1,[3]enemies!$1:$1,0)-MATCH($L$1,[3]enemies!$1:$1,0)+1,FALSE)</f>
        <v>30</v>
      </c>
      <c r="R31" s="285">
        <v>60</v>
      </c>
      <c r="S31" s="286">
        <v>1.2</v>
      </c>
      <c r="T31" s="286">
        <v>1.2</v>
      </c>
      <c r="U31" s="285">
        <v>0</v>
      </c>
      <c r="V31" s="169"/>
      <c r="W31" s="163">
        <v>60006005</v>
      </c>
      <c r="X31" s="118">
        <v>1</v>
      </c>
      <c r="Y31" s="118">
        <v>100</v>
      </c>
      <c r="Z31" s="118">
        <v>0</v>
      </c>
      <c r="AA31" s="117">
        <v>3</v>
      </c>
      <c r="AB31" s="119">
        <f t="shared" si="13"/>
        <v>281</v>
      </c>
      <c r="AC31" s="115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リンドブルム・コンデンス</v>
      </c>
      <c r="AD31" s="115">
        <f ca="1">VLOOKUP($AB31,OFFSET([4]characters!$A$1,0,0,COUNTA([4]characters!$A:$A),MATCH(AD$1,[4]characters!$1:$1,0)-MATCH("character_id",[4]characters!$1:$1,0)+1),MATCH(AD$1,[4]characters!$1:$1,0)-MATCH("character_id",[4]characters!$1:$1,0)+1,FALSE)</f>
        <v>4</v>
      </c>
      <c r="AE31" s="115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1" s="120">
        <v>1</v>
      </c>
      <c r="AG31" s="119">
        <f t="shared" ca="1" si="14"/>
        <v>4</v>
      </c>
      <c r="AH31" s="120">
        <v>0</v>
      </c>
      <c r="AI31" s="120">
        <v>0</v>
      </c>
      <c r="AJ31" s="120">
        <v>0</v>
      </c>
      <c r="AK31" s="120">
        <v>0</v>
      </c>
      <c r="AL31" s="120">
        <v>0</v>
      </c>
      <c r="AM31" s="120">
        <v>1</v>
      </c>
      <c r="AN31" s="451">
        <v>1</v>
      </c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</row>
    <row r="32" spans="1:59" s="122" customFormat="1" ht="21" customHeight="1" thickBot="1" x14ac:dyDescent="0.2">
      <c r="A32" s="390" t="str">
        <f t="shared" si="10"/>
        <v>60006_3-5/378&lt;lv60&gt;s3</v>
      </c>
      <c r="B32" s="231">
        <v>60006</v>
      </c>
      <c r="C32" s="232">
        <v>3</v>
      </c>
      <c r="D32" s="162" t="str">
        <f t="shared" si="11"/>
        <v>60006_3</v>
      </c>
      <c r="E32" s="115" t="str">
        <f ca="1">VLOOKUP($B32,OFFSET([2]quests!$A$1,0,0,COUNTA([2]quests!$A:$A),MATCH(E$1,[2]quests!$1:$1,0)-MATCH($B$1,[2]quests!$1:$1,0)+1),MATCH(E$1,[2]quests!$1:$1,0)-MATCH($B$1,[2]quests!$1:$1,0)+1,FALSE)</f>
        <v>オイラーチャレンジ</v>
      </c>
      <c r="F32" s="115" t="str">
        <f ca="1">VLOOKUP($D32,OFFSET([2]stages!$A$1,0,0,COUNTA([2]stages!$A:$A),MATCH(F$1,[2]stages!$2:$2,0)-MATCH($D$1,[2]stages!$2:$2,0)+1),MATCH(F$1,[2]stages!$2:$2,0)-MATCH($D$1,[2]stages!$2:$2,0)+1,FALSE)</f>
        <v>【ウィザード級】オイラーチャレンジ</v>
      </c>
      <c r="G32" s="232">
        <v>5</v>
      </c>
      <c r="H32" s="232" t="str">
        <f t="shared" si="12"/>
        <v>60006_3-5</v>
      </c>
      <c r="I32" s="265">
        <f ca="1">VLOOKUP($H32,OFFSET(floors!$A$1,0,0,COUNTA(floors!$A:$A),MATCH(I$1,floors!$1:$1,0)-MATCH($H$1,floors!$1:$1,0)+1),MATCH(I$1,floors!$1:$1,0)-MATCH($H$1,floors!$1:$1,0)+1,FALSE)</f>
        <v>60</v>
      </c>
      <c r="J32" s="265">
        <f ca="1">VLOOKUP($H32,OFFSET(floors!$A$1,0,0,COUNTA(floors!$A:$A),MATCH(J$1,floors!$1:$1,0)-MATCH($H$1,floors!$1:$1,0)+1),MATCH(J$1,floors!$1:$1,0)-MATCH($H$1,floors!$1:$1,0)+1,FALSE)</f>
        <v>60</v>
      </c>
      <c r="K32" s="266">
        <v>4</v>
      </c>
      <c r="L32" s="232">
        <v>378</v>
      </c>
      <c r="M32" s="117" t="str">
        <f ca="1">VLOOKUP($L32,OFFSET([3]enemies!$A$1,0,0,COUNTA([3]enemies!$A:$A),MATCH(M$1,[3]enemies!$1:$1,0)-MATCH($L$1,[3]enemies!$1:$1,0)+1),MATCH(M$1,[3]enemies!$1:$1,0)-MATCH($L$1,[3]enemies!$1:$1,0)+1,FALSE)</f>
        <v>オイラー</v>
      </c>
      <c r="N32" s="117" t="str">
        <f ca="1">VLOOKUP($L32,OFFSET([3]enemies!$A$1,0,0,COUNTA([3]enemies!$A:$A),MATCH(N$1,[3]enemies!$1:$1,0)-MATCH($L$1,[3]enemies!$1:$1,0)+1),MATCH(N$1,[3]enemies!$1:$1,0)-MATCH($L$1,[3]enemies!$1:$1,0)+1,FALSE)</f>
        <v>green</v>
      </c>
      <c r="O32" s="117" t="str">
        <f ca="1">VLOOKUP($L32,OFFSET([4]characters!$A$1,0,0,COUNTA([4]characters!$A:$A),MATCH(O$1,[4]characters!$1:$1,0)-MATCH($L$1,[4]characters!$1:$1,0)+1),MATCH(O$1,[4]characters!$1:$1,0)-MATCH($L$1,[4]characters!$1:$1,0)+1,FALSE)</f>
        <v>PremiumSSS</v>
      </c>
      <c r="P32" s="117" t="str">
        <f ca="1">VLOOKUP($L32,OFFSET([3]enemies!$A$1,0,0,COUNTA([3]enemies!$A:$A),MATCH(P$1,[3]enemies!$1:$1,0)-MATCH($L$1,[3]enemies!$1:$1,0)+1),MATCH(P$1,[3]enemies!$1:$1,0)-MATCH($L$1,[3]enemies!$1:$1,0)+1,FALSE)</f>
        <v>human</v>
      </c>
      <c r="Q32" s="117">
        <f ca="1">VLOOKUP($L32,OFFSET([3]enemies!$A$1,0,0,COUNTA([3]enemies!$A:$A),MATCH(Q$1,[3]enemies!$1:$1,0)-MATCH($L$1,[3]enemies!$1:$1,0)+1),MATCH(Q$1,[3]enemies!$1:$1,0)-MATCH($L$1,[3]enemies!$1:$1,0)+1,FALSE)</f>
        <v>30</v>
      </c>
      <c r="R32" s="280">
        <v>60</v>
      </c>
      <c r="S32" s="279">
        <v>3</v>
      </c>
      <c r="T32" s="279">
        <v>1.2</v>
      </c>
      <c r="U32" s="280">
        <v>0</v>
      </c>
      <c r="V32" s="4"/>
      <c r="W32" s="115">
        <v>60006006</v>
      </c>
      <c r="X32" s="164">
        <v>0</v>
      </c>
      <c r="Y32" s="164">
        <v>100</v>
      </c>
      <c r="Z32" s="164">
        <v>1</v>
      </c>
      <c r="AA32" s="117">
        <v>3</v>
      </c>
      <c r="AB32" s="165">
        <f t="shared" si="13"/>
        <v>378</v>
      </c>
      <c r="AC32" s="115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オイラー</v>
      </c>
      <c r="AD32" s="115">
        <f ca="1">VLOOKUP($AB32,OFFSET([4]characters!$A$1,0,0,COUNTA([4]characters!$A:$A),MATCH(AD$1,[4]characters!$1:$1,0)-MATCH("character_id",[4]characters!$1:$1,0)+1),MATCH(AD$1,[4]characters!$1:$1,0)-MATCH("character_id",[4]characters!$1:$1,0)+1,FALSE)</f>
        <v>4</v>
      </c>
      <c r="AE32" s="115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32" s="166">
        <v>1</v>
      </c>
      <c r="AG32" s="165">
        <f t="shared" ca="1" si="14"/>
        <v>4</v>
      </c>
      <c r="AH32" s="166">
        <v>0</v>
      </c>
      <c r="AI32" s="166">
        <v>0</v>
      </c>
      <c r="AJ32" s="166">
        <v>0</v>
      </c>
      <c r="AK32" s="166">
        <v>0</v>
      </c>
      <c r="AL32" s="166">
        <v>0</v>
      </c>
      <c r="AM32" s="166">
        <v>1</v>
      </c>
      <c r="AN32" s="454">
        <v>1</v>
      </c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</row>
    <row r="33" spans="1:59" s="108" customFormat="1" ht="21" customHeight="1" x14ac:dyDescent="0.15">
      <c r="A33" s="216" t="str">
        <f>B33&amp;"_"&amp;C33&amp;"-"&amp;G33&amp;"/"&amp;L33&amp;"&lt;lv"&amp;R33&amp;"&gt;s"&amp;AA33</f>
        <v>60007_1-1/27&lt;lv30&gt;s1</v>
      </c>
      <c r="B33" s="445">
        <v>60007</v>
      </c>
      <c r="C33" s="100">
        <v>1</v>
      </c>
      <c r="D33" s="101" t="str">
        <f>B33&amp;"_"&amp;C33</f>
        <v>60007_1</v>
      </c>
      <c r="E33" s="130" t="str">
        <f ca="1">VLOOKUP($B33,OFFSET([2]quests!$A$1,0,0,COUNTA([2]quests!$A:$A),MATCH(E$1,[2]quests!$1:$1,0)-MATCH($B$1,[2]quests!$1:$1,0)+1),MATCH(E$1,[2]quests!$1:$1,0)-MATCH($B$1,[2]quests!$1:$1,0)+1,FALSE)</f>
        <v>オイラーチャレンジ</v>
      </c>
      <c r="F33" s="130" t="str">
        <f ca="1">VLOOKUP($D33,OFFSET([2]stages!$A$1,0,0,COUNTA([2]stages!$A:$A),MATCH(F$1,[2]stages!$2:$2,0)-MATCH($D$1,[2]stages!$2:$2,0)+1),MATCH(F$1,[2]stages!$2:$2,0)-MATCH($D$1,[2]stages!$2:$2,0)+1,FALSE)</f>
        <v>【中級】オイラーチャレンジ</v>
      </c>
      <c r="G33" s="100">
        <v>1</v>
      </c>
      <c r="H33" s="100" t="str">
        <f>B33&amp;"_"&amp;C33&amp;"-"&amp;G33</f>
        <v>60007_1-1</v>
      </c>
      <c r="I33" s="103">
        <f ca="1">VLOOKUP($H33,OFFSET(floors!$A$1,0,0,COUNTA(floors!$A:$A),MATCH(I$1,floors!$1:$1,0)-MATCH($H$1,floors!$1:$1,0)+1),MATCH(I$1,floors!$1:$1,0)-MATCH($H$1,floors!$1:$1,0)+1,FALSE)</f>
        <v>45</v>
      </c>
      <c r="J33" s="103">
        <f ca="1">VLOOKUP($H33,OFFSET(floors!$A$1,0,0,COUNTA(floors!$A:$A),MATCH(J$1,floors!$1:$1,0)-MATCH($H$1,floors!$1:$1,0)+1),MATCH(J$1,floors!$1:$1,0)-MATCH($H$1,floors!$1:$1,0)+1,FALSE)</f>
        <v>45</v>
      </c>
      <c r="K33" s="103" t="s">
        <v>53</v>
      </c>
      <c r="L33" s="100">
        <v>27</v>
      </c>
      <c r="M33" s="130" t="str">
        <f ca="1">VLOOKUP($L33,OFFSET([3]enemies!$A$1,0,0,COUNTA([3]enemies!$A:$A),MATCH(M$1,[3]enemies!$1:$1,0)-MATCH($L$1,[3]enemies!$1:$1,0)+1),MATCH(M$1,[3]enemies!$1:$1,0)-MATCH($L$1,[3]enemies!$1:$1,0)+1,FALSE)</f>
        <v>パトライン</v>
      </c>
      <c r="N33" s="130" t="str">
        <f ca="1">VLOOKUP($L33,OFFSET([3]enemies!$A$1,0,0,COUNTA([3]enemies!$A:$A),MATCH(N$1,[3]enemies!$1:$1,0)-MATCH($L$1,[3]enemies!$1:$1,0)+1),MATCH(N$1,[3]enemies!$1:$1,0)-MATCH($L$1,[3]enemies!$1:$1,0)+1,FALSE)</f>
        <v>green</v>
      </c>
      <c r="O33" s="130" t="str">
        <f ca="1">VLOOKUP($L33,OFFSET([4]characters!$A$1,0,0,COUNTA([4]characters!$A:$A),MATCH(O$1,[4]characters!$1:$1,0)-MATCH($L$1,[4]characters!$1:$1,0)+1),MATCH(O$1,[4]characters!$1:$1,0)-MATCH($L$1,[4]characters!$1:$1,0)+1,FALSE)</f>
        <v>Drop1N</v>
      </c>
      <c r="P33" s="130" t="str">
        <f ca="1">VLOOKUP($L33,OFFSET([3]enemies!$A$1,0,0,COUNTA([3]enemies!$A:$A),MATCH(P$1,[3]enemies!$1:$1,0)-MATCH($L$1,[3]enemies!$1:$1,0)+1),MATCH(P$1,[3]enemies!$1:$1,0)-MATCH($L$1,[3]enemies!$1:$1,0)+1,FALSE)</f>
        <v>machine</v>
      </c>
      <c r="Q33" s="130">
        <f ca="1">VLOOKUP($L33,OFFSET([3]enemies!$A$1,0,0,COUNTA([3]enemies!$A:$A),MATCH(Q$1,[3]enemies!$1:$1,0)-MATCH($L$1,[3]enemies!$1:$1,0)+1),MATCH(Q$1,[3]enemies!$1:$1,0)-MATCH($L$1,[3]enemies!$1:$1,0)+1,FALSE)</f>
        <v>15</v>
      </c>
      <c r="R33" s="438">
        <v>30</v>
      </c>
      <c r="S33" s="439">
        <v>1.2</v>
      </c>
      <c r="T33" s="439">
        <v>1.8</v>
      </c>
      <c r="U33" s="438">
        <v>0</v>
      </c>
      <c r="V33" s="130"/>
      <c r="W33" s="130">
        <v>0</v>
      </c>
      <c r="X33" s="108">
        <v>0</v>
      </c>
      <c r="Y33" s="108">
        <v>100</v>
      </c>
      <c r="Z33" s="108">
        <v>0</v>
      </c>
      <c r="AA33" s="457">
        <v>1</v>
      </c>
      <c r="AB33" s="106">
        <f>L33</f>
        <v>27</v>
      </c>
      <c r="AC33" s="130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33" s="130">
        <f ca="1">VLOOKUP($AB33,OFFSET([4]characters!$A$1,0,0,COUNTA([4]characters!$A:$A),MATCH(AD$1,[4]characters!$1:$1,0)-MATCH("character_id",[4]characters!$1:$1,0)+1),MATCH(AD$1,[4]characters!$1:$1,0)-MATCH("character_id",[4]characters!$1:$1,0)+1,FALSE)</f>
        <v>1</v>
      </c>
      <c r="AE33" s="130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3" s="107">
        <v>1</v>
      </c>
      <c r="AG33" s="106">
        <f ca="1">AD33</f>
        <v>1</v>
      </c>
      <c r="AH33" s="108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1</v>
      </c>
      <c r="AN33" s="449">
        <v>1</v>
      </c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1"/>
    </row>
    <row r="34" spans="1:59" s="46" customFormat="1" ht="21" customHeight="1" x14ac:dyDescent="0.15">
      <c r="A34" s="161" t="str">
        <f t="shared" ref="A34:A36" si="55">B34&amp;"_"&amp;C34&amp;"-"&amp;G34&amp;"/"&amp;L34&amp;"&lt;lv"&amp;R34&amp;"&gt;s"&amp;AA34</f>
        <v>60007_1-1/27&lt;lv31&gt;s2</v>
      </c>
      <c r="B34" s="446">
        <v>60007</v>
      </c>
      <c r="C34" s="86">
        <v>1</v>
      </c>
      <c r="D34" s="12" t="str">
        <f t="shared" ref="D34:D36" si="56">B34&amp;"_"&amp;C34</f>
        <v>60007_1</v>
      </c>
      <c r="E34" s="15" t="str">
        <f ca="1">VLOOKUP($B34,OFFSET([2]quests!$A$1,0,0,COUNTA([2]quests!$A:$A),MATCH(E$1,[2]quests!$1:$1,0)-MATCH($B$1,[2]quests!$1:$1,0)+1),MATCH(E$1,[2]quests!$1:$1,0)-MATCH($B$1,[2]quests!$1:$1,0)+1,FALSE)</f>
        <v>オイラーチャレンジ</v>
      </c>
      <c r="F34" s="15" t="str">
        <f ca="1">VLOOKUP($D34,OFFSET([2]stages!$A$1,0,0,COUNTA([2]stages!$A:$A),MATCH(F$1,[2]stages!$2:$2,0)-MATCH($D$1,[2]stages!$2:$2,0)+1),MATCH(F$1,[2]stages!$2:$2,0)-MATCH($D$1,[2]stages!$2:$2,0)+1,FALSE)</f>
        <v>【中級】オイラーチャレンジ</v>
      </c>
      <c r="G34" s="86">
        <v>1</v>
      </c>
      <c r="H34" s="86" t="str">
        <f t="shared" ref="H34:H36" si="57">B34&amp;"_"&amp;C34&amp;"-"&amp;G34</f>
        <v>60007_1-1</v>
      </c>
      <c r="I34" s="23">
        <f ca="1">VLOOKUP($H34,OFFSET(floors!$A$1,0,0,COUNTA(floors!$A:$A),MATCH(I$1,floors!$1:$1,0)-MATCH($H$1,floors!$1:$1,0)+1),MATCH(I$1,floors!$1:$1,0)-MATCH($H$1,floors!$1:$1,0)+1,FALSE)</f>
        <v>45</v>
      </c>
      <c r="J34" s="23">
        <f ca="1">VLOOKUP($H34,OFFSET(floors!$A$1,0,0,COUNTA(floors!$A:$A),MATCH(J$1,floors!$1:$1,0)-MATCH($H$1,floors!$1:$1,0)+1),MATCH(J$1,floors!$1:$1,0)-MATCH($H$1,floors!$1:$1,0)+1,FALSE)</f>
        <v>45</v>
      </c>
      <c r="K34" s="23" t="s">
        <v>53</v>
      </c>
      <c r="L34" s="86">
        <v>27</v>
      </c>
      <c r="M34" s="15" t="str">
        <f ca="1">VLOOKUP($L34,OFFSET([3]enemies!$A$1,0,0,COUNTA([3]enemies!$A:$A),MATCH(M$1,[3]enemies!$1:$1,0)-MATCH($L$1,[3]enemies!$1:$1,0)+1),MATCH(M$1,[3]enemies!$1:$1,0)-MATCH($L$1,[3]enemies!$1:$1,0)+1,FALSE)</f>
        <v>パトライン</v>
      </c>
      <c r="N34" s="15" t="str">
        <f ca="1">VLOOKUP($L34,OFFSET([3]enemies!$A$1,0,0,COUNTA([3]enemies!$A:$A),MATCH(N$1,[3]enemies!$1:$1,0)-MATCH($L$1,[3]enemies!$1:$1,0)+1),MATCH(N$1,[3]enemies!$1:$1,0)-MATCH($L$1,[3]enemies!$1:$1,0)+1,FALSE)</f>
        <v>green</v>
      </c>
      <c r="O34" s="15" t="str">
        <f ca="1">VLOOKUP($L34,OFFSET([4]characters!$A$1,0,0,COUNTA([4]characters!$A:$A),MATCH(O$1,[4]characters!$1:$1,0)-MATCH($L$1,[4]characters!$1:$1,0)+1),MATCH(O$1,[4]characters!$1:$1,0)-MATCH($L$1,[4]characters!$1:$1,0)+1,FALSE)</f>
        <v>Drop1N</v>
      </c>
      <c r="P34" s="15" t="str">
        <f ca="1">VLOOKUP($L34,OFFSET([3]enemies!$A$1,0,0,COUNTA([3]enemies!$A:$A),MATCH(P$1,[3]enemies!$1:$1,0)-MATCH($L$1,[3]enemies!$1:$1,0)+1),MATCH(P$1,[3]enemies!$1:$1,0)-MATCH($L$1,[3]enemies!$1:$1,0)+1,FALSE)</f>
        <v>machine</v>
      </c>
      <c r="Q34" s="15">
        <f ca="1">VLOOKUP($L34,OFFSET([3]enemies!$A$1,0,0,COUNTA([3]enemies!$A:$A),MATCH(Q$1,[3]enemies!$1:$1,0)-MATCH($L$1,[3]enemies!$1:$1,0)+1),MATCH(Q$1,[3]enemies!$1:$1,0)-MATCH($L$1,[3]enemies!$1:$1,0)+1,FALSE)</f>
        <v>15</v>
      </c>
      <c r="R34" s="440">
        <v>31</v>
      </c>
      <c r="S34" s="441">
        <v>1.2</v>
      </c>
      <c r="T34" s="441">
        <v>1.8</v>
      </c>
      <c r="U34" s="440">
        <v>0</v>
      </c>
      <c r="V34" s="15"/>
      <c r="W34" s="15">
        <v>0</v>
      </c>
      <c r="X34" s="46">
        <v>0</v>
      </c>
      <c r="Y34" s="46">
        <v>100</v>
      </c>
      <c r="Z34" s="46">
        <v>0</v>
      </c>
      <c r="AA34" s="458">
        <v>2</v>
      </c>
      <c r="AB34" s="87">
        <f t="shared" ref="AB34:AB36" si="58">L34</f>
        <v>27</v>
      </c>
      <c r="AC34" s="15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34" s="15">
        <f ca="1">VLOOKUP($AB34,OFFSET([4]characters!$A$1,0,0,COUNTA([4]characters!$A:$A),MATCH(AD$1,[4]characters!$1:$1,0)-MATCH("character_id",[4]characters!$1:$1,0)+1),MATCH(AD$1,[4]characters!$1:$1,0)-MATCH("character_id",[4]characters!$1:$1,0)+1,FALSE)</f>
        <v>1</v>
      </c>
      <c r="AE34" s="15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Drop1N</v>
      </c>
      <c r="AF34" s="88">
        <v>1</v>
      </c>
      <c r="AG34" s="87">
        <f t="shared" ref="AG34:AG36" ca="1" si="59">AD34</f>
        <v>1</v>
      </c>
      <c r="AH34" s="46">
        <v>0</v>
      </c>
      <c r="AI34" s="88">
        <v>0</v>
      </c>
      <c r="AJ34" s="88">
        <v>0</v>
      </c>
      <c r="AK34" s="88">
        <v>0</v>
      </c>
      <c r="AL34" s="88">
        <v>0</v>
      </c>
      <c r="AM34" s="88">
        <v>1</v>
      </c>
      <c r="AN34" s="450">
        <v>1</v>
      </c>
      <c r="AO34" s="111"/>
      <c r="AP34" s="111"/>
      <c r="AQ34" s="111"/>
      <c r="AR34" s="111"/>
      <c r="AS34" s="111"/>
      <c r="AT34" s="111"/>
      <c r="AU34" s="111"/>
      <c r="AV34" s="111"/>
      <c r="AW34" s="111"/>
      <c r="AX34" s="111"/>
      <c r="AY34" s="111"/>
      <c r="AZ34" s="111"/>
      <c r="BA34" s="111"/>
      <c r="BB34" s="111"/>
      <c r="BC34" s="111"/>
      <c r="BD34" s="111"/>
      <c r="BE34" s="111"/>
      <c r="BF34" s="111"/>
      <c r="BG34" s="111"/>
    </row>
    <row r="35" spans="1:59" s="46" customFormat="1" ht="21" customHeight="1" x14ac:dyDescent="0.15">
      <c r="A35" s="161" t="str">
        <f t="shared" si="55"/>
        <v>60007_1-1/27&lt;lv32&gt;s2</v>
      </c>
      <c r="B35" s="446">
        <v>60007</v>
      </c>
      <c r="C35" s="86">
        <v>1</v>
      </c>
      <c r="D35" s="12" t="str">
        <f t="shared" si="56"/>
        <v>60007_1</v>
      </c>
      <c r="E35" s="15" t="str">
        <f ca="1">VLOOKUP($B35,OFFSET([2]quests!$A$1,0,0,COUNTA([2]quests!$A:$A),MATCH(E$1,[2]quests!$1:$1,0)-MATCH($B$1,[2]quests!$1:$1,0)+1),MATCH(E$1,[2]quests!$1:$1,0)-MATCH($B$1,[2]quests!$1:$1,0)+1,FALSE)</f>
        <v>オイラーチャレンジ</v>
      </c>
      <c r="F35" s="15" t="str">
        <f ca="1">VLOOKUP($D35,OFFSET([2]stages!$A$1,0,0,COUNTA([2]stages!$A:$A),MATCH(F$1,[2]stages!$2:$2,0)-MATCH($D$1,[2]stages!$2:$2,0)+1),MATCH(F$1,[2]stages!$2:$2,0)-MATCH($D$1,[2]stages!$2:$2,0)+1,FALSE)</f>
        <v>【中級】オイラーチャレンジ</v>
      </c>
      <c r="G35" s="86">
        <v>1</v>
      </c>
      <c r="H35" s="86" t="str">
        <f t="shared" si="57"/>
        <v>60007_1-1</v>
      </c>
      <c r="I35" s="23">
        <f ca="1">VLOOKUP($H35,OFFSET(floors!$A$1,0,0,COUNTA(floors!$A:$A),MATCH(I$1,floors!$1:$1,0)-MATCH($H$1,floors!$1:$1,0)+1),MATCH(I$1,floors!$1:$1,0)-MATCH($H$1,floors!$1:$1,0)+1,FALSE)</f>
        <v>45</v>
      </c>
      <c r="J35" s="23">
        <f ca="1">VLOOKUP($H35,OFFSET(floors!$A$1,0,0,COUNTA(floors!$A:$A),MATCH(J$1,floors!$1:$1,0)-MATCH($H$1,floors!$1:$1,0)+1),MATCH(J$1,floors!$1:$1,0)-MATCH($H$1,floors!$1:$1,0)+1,FALSE)</f>
        <v>45</v>
      </c>
      <c r="K35" s="23" t="s">
        <v>53</v>
      </c>
      <c r="L35" s="86">
        <v>27</v>
      </c>
      <c r="M35" s="15" t="str">
        <f ca="1">VLOOKUP($L35,OFFSET([3]enemies!$A$1,0,0,COUNTA([3]enemies!$A:$A),MATCH(M$1,[3]enemies!$1:$1,0)-MATCH($L$1,[3]enemies!$1:$1,0)+1),MATCH(M$1,[3]enemies!$1:$1,0)-MATCH($L$1,[3]enemies!$1:$1,0)+1,FALSE)</f>
        <v>パトライン</v>
      </c>
      <c r="N35" s="15" t="str">
        <f ca="1">VLOOKUP($L35,OFFSET([3]enemies!$A$1,0,0,COUNTA([3]enemies!$A:$A),MATCH(N$1,[3]enemies!$1:$1,0)-MATCH($L$1,[3]enemies!$1:$1,0)+1),MATCH(N$1,[3]enemies!$1:$1,0)-MATCH($L$1,[3]enemies!$1:$1,0)+1,FALSE)</f>
        <v>green</v>
      </c>
      <c r="O35" s="15" t="str">
        <f ca="1">VLOOKUP($L35,OFFSET([4]characters!$A$1,0,0,COUNTA([4]characters!$A:$A),MATCH(O$1,[4]characters!$1:$1,0)-MATCH($L$1,[4]characters!$1:$1,0)+1),MATCH(O$1,[4]characters!$1:$1,0)-MATCH($L$1,[4]characters!$1:$1,0)+1,FALSE)</f>
        <v>Drop1N</v>
      </c>
      <c r="P35" s="15" t="str">
        <f ca="1">VLOOKUP($L35,OFFSET([3]enemies!$A$1,0,0,COUNTA([3]enemies!$A:$A),MATCH(P$1,[3]enemies!$1:$1,0)-MATCH($L$1,[3]enemies!$1:$1,0)+1),MATCH(P$1,[3]enemies!$1:$1,0)-MATCH($L$1,[3]enemies!$1:$1,0)+1,FALSE)</f>
        <v>machine</v>
      </c>
      <c r="Q35" s="15">
        <f ca="1">VLOOKUP($L35,OFFSET([3]enemies!$A$1,0,0,COUNTA([3]enemies!$A:$A),MATCH(Q$1,[3]enemies!$1:$1,0)-MATCH($L$1,[3]enemies!$1:$1,0)+1),MATCH(Q$1,[3]enemies!$1:$1,0)-MATCH($L$1,[3]enemies!$1:$1,0)+1,FALSE)</f>
        <v>15</v>
      </c>
      <c r="R35" s="440">
        <v>32</v>
      </c>
      <c r="S35" s="441">
        <v>1.2</v>
      </c>
      <c r="T35" s="441">
        <v>1.8</v>
      </c>
      <c r="U35" s="440">
        <v>0</v>
      </c>
      <c r="V35" s="15"/>
      <c r="W35" s="15">
        <v>0</v>
      </c>
      <c r="X35" s="46">
        <v>0</v>
      </c>
      <c r="Y35" s="46">
        <v>100</v>
      </c>
      <c r="Z35" s="46">
        <v>0</v>
      </c>
      <c r="AA35" s="458">
        <v>2</v>
      </c>
      <c r="AB35" s="87">
        <f t="shared" si="58"/>
        <v>27</v>
      </c>
      <c r="AC35" s="15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35" s="15">
        <f ca="1">VLOOKUP($AB35,OFFSET([4]characters!$A$1,0,0,COUNTA([4]characters!$A:$A),MATCH(AD$1,[4]characters!$1:$1,0)-MATCH("character_id",[4]characters!$1:$1,0)+1),MATCH(AD$1,[4]characters!$1:$1,0)-MATCH("character_id",[4]characters!$1:$1,0)+1,FALSE)</f>
        <v>1</v>
      </c>
      <c r="AE35" s="15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Drop1N</v>
      </c>
      <c r="AF35" s="88">
        <v>1</v>
      </c>
      <c r="AG35" s="87">
        <f t="shared" ca="1" si="59"/>
        <v>1</v>
      </c>
      <c r="AH35" s="46">
        <v>0</v>
      </c>
      <c r="AI35" s="88">
        <v>0</v>
      </c>
      <c r="AJ35" s="88">
        <v>0</v>
      </c>
      <c r="AK35" s="88">
        <v>0</v>
      </c>
      <c r="AL35" s="88">
        <v>0</v>
      </c>
      <c r="AM35" s="88">
        <v>1</v>
      </c>
      <c r="AN35" s="450">
        <v>1</v>
      </c>
      <c r="AO35" s="111"/>
      <c r="AP35" s="111"/>
      <c r="AQ35" s="111"/>
      <c r="AR35" s="111"/>
      <c r="AS35" s="111"/>
      <c r="AT35" s="111"/>
      <c r="AU35" s="111"/>
      <c r="AV35" s="111"/>
      <c r="AW35" s="111"/>
      <c r="AX35" s="111"/>
      <c r="AY35" s="111"/>
      <c r="AZ35" s="111"/>
      <c r="BA35" s="111"/>
      <c r="BB35" s="111"/>
      <c r="BC35" s="111"/>
      <c r="BD35" s="111"/>
      <c r="BE35" s="111"/>
      <c r="BF35" s="111"/>
      <c r="BG35" s="111"/>
    </row>
    <row r="36" spans="1:59" s="46" customFormat="1" ht="21" customHeight="1" x14ac:dyDescent="0.15">
      <c r="A36" s="161" t="str">
        <f t="shared" si="55"/>
        <v>60007_1-1/27&lt;lv33&gt;s3</v>
      </c>
      <c r="B36" s="446">
        <v>60007</v>
      </c>
      <c r="C36" s="86">
        <v>1</v>
      </c>
      <c r="D36" s="12" t="str">
        <f t="shared" si="56"/>
        <v>60007_1</v>
      </c>
      <c r="E36" s="15" t="str">
        <f ca="1">VLOOKUP($B36,OFFSET([2]quests!$A$1,0,0,COUNTA([2]quests!$A:$A),MATCH(E$1,[2]quests!$1:$1,0)-MATCH($B$1,[2]quests!$1:$1,0)+1),MATCH(E$1,[2]quests!$1:$1,0)-MATCH($B$1,[2]quests!$1:$1,0)+1,FALSE)</f>
        <v>オイラーチャレンジ</v>
      </c>
      <c r="F36" s="15" t="str">
        <f ca="1">VLOOKUP($D36,OFFSET([2]stages!$A$1,0,0,COUNTA([2]stages!$A:$A),MATCH(F$1,[2]stages!$2:$2,0)-MATCH($D$1,[2]stages!$2:$2,0)+1),MATCH(F$1,[2]stages!$2:$2,0)-MATCH($D$1,[2]stages!$2:$2,0)+1,FALSE)</f>
        <v>【中級】オイラーチャレンジ</v>
      </c>
      <c r="G36" s="86">
        <v>1</v>
      </c>
      <c r="H36" s="86" t="str">
        <f t="shared" si="57"/>
        <v>60007_1-1</v>
      </c>
      <c r="I36" s="23">
        <f ca="1">VLOOKUP($H36,OFFSET(floors!$A$1,0,0,COUNTA(floors!$A:$A),MATCH(I$1,floors!$1:$1,0)-MATCH($H$1,floors!$1:$1,0)+1),MATCH(I$1,floors!$1:$1,0)-MATCH($H$1,floors!$1:$1,0)+1,FALSE)</f>
        <v>45</v>
      </c>
      <c r="J36" s="23">
        <f ca="1">VLOOKUP($H36,OFFSET(floors!$A$1,0,0,COUNTA(floors!$A:$A),MATCH(J$1,floors!$1:$1,0)-MATCH($H$1,floors!$1:$1,0)+1),MATCH(J$1,floors!$1:$1,0)-MATCH($H$1,floors!$1:$1,0)+1,FALSE)</f>
        <v>45</v>
      </c>
      <c r="K36" s="23" t="s">
        <v>53</v>
      </c>
      <c r="L36" s="86">
        <v>27</v>
      </c>
      <c r="M36" s="15" t="str">
        <f ca="1">VLOOKUP($L36,OFFSET([3]enemies!$A$1,0,0,COUNTA([3]enemies!$A:$A),MATCH(M$1,[3]enemies!$1:$1,0)-MATCH($L$1,[3]enemies!$1:$1,0)+1),MATCH(M$1,[3]enemies!$1:$1,0)-MATCH($L$1,[3]enemies!$1:$1,0)+1,FALSE)</f>
        <v>パトライン</v>
      </c>
      <c r="N36" s="15" t="str">
        <f ca="1">VLOOKUP($L36,OFFSET([3]enemies!$A$1,0,0,COUNTA([3]enemies!$A:$A),MATCH(N$1,[3]enemies!$1:$1,0)-MATCH($L$1,[3]enemies!$1:$1,0)+1),MATCH(N$1,[3]enemies!$1:$1,0)-MATCH($L$1,[3]enemies!$1:$1,0)+1,FALSE)</f>
        <v>green</v>
      </c>
      <c r="O36" s="15" t="str">
        <f ca="1">VLOOKUP($L36,OFFSET([4]characters!$A$1,0,0,COUNTA([4]characters!$A:$A),MATCH(O$1,[4]characters!$1:$1,0)-MATCH($L$1,[4]characters!$1:$1,0)+1),MATCH(O$1,[4]characters!$1:$1,0)-MATCH($L$1,[4]characters!$1:$1,0)+1,FALSE)</f>
        <v>Drop1N</v>
      </c>
      <c r="P36" s="15" t="str">
        <f ca="1">VLOOKUP($L36,OFFSET([3]enemies!$A$1,0,0,COUNTA([3]enemies!$A:$A),MATCH(P$1,[3]enemies!$1:$1,0)-MATCH($L$1,[3]enemies!$1:$1,0)+1),MATCH(P$1,[3]enemies!$1:$1,0)-MATCH($L$1,[3]enemies!$1:$1,0)+1,FALSE)</f>
        <v>machine</v>
      </c>
      <c r="Q36" s="15">
        <f ca="1">VLOOKUP($L36,OFFSET([3]enemies!$A$1,0,0,COUNTA([3]enemies!$A:$A),MATCH(Q$1,[3]enemies!$1:$1,0)-MATCH($L$1,[3]enemies!$1:$1,0)+1),MATCH(Q$1,[3]enemies!$1:$1,0)-MATCH($L$1,[3]enemies!$1:$1,0)+1,FALSE)</f>
        <v>15</v>
      </c>
      <c r="R36" s="440">
        <v>33</v>
      </c>
      <c r="S36" s="441">
        <v>1.2</v>
      </c>
      <c r="T36" s="441">
        <v>1.8</v>
      </c>
      <c r="U36" s="440">
        <v>0</v>
      </c>
      <c r="V36" s="15"/>
      <c r="W36" s="15">
        <v>0</v>
      </c>
      <c r="X36" s="46">
        <v>0</v>
      </c>
      <c r="Y36" s="46">
        <v>100</v>
      </c>
      <c r="Z36" s="46">
        <v>0</v>
      </c>
      <c r="AA36" s="458">
        <v>3</v>
      </c>
      <c r="AB36" s="87">
        <f t="shared" si="58"/>
        <v>27</v>
      </c>
      <c r="AC36" s="15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36" s="15">
        <f ca="1">VLOOKUP($AB36,OFFSET([4]characters!$A$1,0,0,COUNTA([4]characters!$A:$A),MATCH(AD$1,[4]characters!$1:$1,0)-MATCH("character_id",[4]characters!$1:$1,0)+1),MATCH(AD$1,[4]characters!$1:$1,0)-MATCH("character_id",[4]characters!$1:$1,0)+1,FALSE)</f>
        <v>1</v>
      </c>
      <c r="AE36" s="15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Drop1N</v>
      </c>
      <c r="AF36" s="88">
        <v>1</v>
      </c>
      <c r="AG36" s="87">
        <f t="shared" ca="1" si="59"/>
        <v>1</v>
      </c>
      <c r="AH36" s="46">
        <v>0</v>
      </c>
      <c r="AI36" s="88">
        <v>0</v>
      </c>
      <c r="AJ36" s="88">
        <v>0</v>
      </c>
      <c r="AK36" s="88">
        <v>0</v>
      </c>
      <c r="AL36" s="88">
        <v>0</v>
      </c>
      <c r="AM36" s="88">
        <v>1</v>
      </c>
      <c r="AN36" s="450">
        <v>1</v>
      </c>
      <c r="AO36" s="111"/>
      <c r="AP36" s="111"/>
      <c r="AQ36" s="111"/>
      <c r="AR36" s="111"/>
      <c r="AS36" s="111"/>
      <c r="AT36" s="111"/>
      <c r="AU36" s="111"/>
      <c r="AV36" s="111"/>
      <c r="AW36" s="111"/>
      <c r="AX36" s="111"/>
      <c r="AY36" s="111"/>
      <c r="AZ36" s="111"/>
      <c r="BA36" s="111"/>
      <c r="BB36" s="111"/>
      <c r="BC36" s="111"/>
      <c r="BD36" s="111"/>
      <c r="BE36" s="111"/>
      <c r="BF36" s="111"/>
      <c r="BG36" s="111"/>
    </row>
    <row r="37" spans="1:59" s="46" customFormat="1" ht="21" customHeight="1" x14ac:dyDescent="0.15">
      <c r="A37" s="161" t="str">
        <f>B37&amp;"_"&amp;C37&amp;"-"&amp;G37&amp;"/"&amp;L37&amp;"&lt;lv"&amp;R37&amp;"&gt;s"&amp;AA37</f>
        <v>60007_1-2/35&lt;lv31&gt;s2</v>
      </c>
      <c r="B37" s="446">
        <v>60007</v>
      </c>
      <c r="C37" s="86">
        <v>1</v>
      </c>
      <c r="D37" s="12" t="str">
        <f>B37&amp;"_"&amp;C37</f>
        <v>60007_1</v>
      </c>
      <c r="E37" s="15" t="str">
        <f ca="1">VLOOKUP($B37,OFFSET([2]quests!$A$1,0,0,COUNTA([2]quests!$A:$A),MATCH(E$1,[2]quests!$1:$1,0)-MATCH($B$1,[2]quests!$1:$1,0)+1),MATCH(E$1,[2]quests!$1:$1,0)-MATCH($B$1,[2]quests!$1:$1,0)+1,FALSE)</f>
        <v>オイラーチャレンジ</v>
      </c>
      <c r="F37" s="15" t="str">
        <f ca="1">VLOOKUP($D37,OFFSET([2]stages!$A$1,0,0,COUNTA([2]stages!$A:$A),MATCH(F$1,[2]stages!$2:$2,0)-MATCH($D$1,[2]stages!$2:$2,0)+1),MATCH(F$1,[2]stages!$2:$2,0)-MATCH($D$1,[2]stages!$2:$2,0)+1,FALSE)</f>
        <v>【中級】オイラーチャレンジ</v>
      </c>
      <c r="G37" s="86">
        <v>2</v>
      </c>
      <c r="H37" s="86" t="str">
        <f>B37&amp;"_"&amp;C37&amp;"-"&amp;G37</f>
        <v>60007_1-2</v>
      </c>
      <c r="I37" s="23">
        <f ca="1">VLOOKUP($H37,OFFSET(floors!$A$1,0,0,COUNTA(floors!$A:$A),MATCH(I$1,floors!$1:$1,0)-MATCH($H$1,floors!$1:$1,0)+1),MATCH(I$1,floors!$1:$1,0)-MATCH($H$1,floors!$1:$1,0)+1,FALSE)</f>
        <v>45</v>
      </c>
      <c r="J37" s="23">
        <f ca="1">VLOOKUP($H37,OFFSET(floors!$A$1,0,0,COUNTA(floors!$A:$A),MATCH(J$1,floors!$1:$1,0)-MATCH($H$1,floors!$1:$1,0)+1),MATCH(J$1,floors!$1:$1,0)-MATCH($H$1,floors!$1:$1,0)+1,FALSE)</f>
        <v>45</v>
      </c>
      <c r="K37" s="23" t="s">
        <v>53</v>
      </c>
      <c r="L37" s="86">
        <v>35</v>
      </c>
      <c r="M37" s="15" t="str">
        <f ca="1">VLOOKUP($L37,OFFSET([3]enemies!$A$1,0,0,COUNTA([3]enemies!$A:$A),MATCH(M$1,[3]enemies!$1:$1,0)-MATCH($L$1,[3]enemies!$1:$1,0)+1),MATCH(M$1,[3]enemies!$1:$1,0)-MATCH($L$1,[3]enemies!$1:$1,0)+1,FALSE)</f>
        <v>F2</v>
      </c>
      <c r="N37" s="15" t="str">
        <f ca="1">VLOOKUP($L37,OFFSET([3]enemies!$A$1,0,0,COUNTA([3]enemies!$A:$A),MATCH(N$1,[3]enemies!$1:$1,0)-MATCH($L$1,[3]enemies!$1:$1,0)+1),MATCH(N$1,[3]enemies!$1:$1,0)-MATCH($L$1,[3]enemies!$1:$1,0)+1,FALSE)</f>
        <v>green</v>
      </c>
      <c r="O37" s="15" t="str">
        <f ca="1">VLOOKUP($L37,OFFSET([4]characters!$A$1,0,0,COUNTA([4]characters!$A:$A),MATCH(O$1,[4]characters!$1:$1,0)-MATCH($L$1,[4]characters!$1:$1,0)+1),MATCH(O$1,[4]characters!$1:$1,0)-MATCH($L$1,[4]characters!$1:$1,0)+1,FALSE)</f>
        <v>Drop1S</v>
      </c>
      <c r="P37" s="15" t="str">
        <f ca="1">VLOOKUP($L37,OFFSET([3]enemies!$A$1,0,0,COUNTA([3]enemies!$A:$A),MATCH(P$1,[3]enemies!$1:$1,0)-MATCH($L$1,[3]enemies!$1:$1,0)+1),MATCH(P$1,[3]enemies!$1:$1,0)-MATCH($L$1,[3]enemies!$1:$1,0)+1,FALSE)</f>
        <v>machine</v>
      </c>
      <c r="Q37" s="15">
        <f ca="1">VLOOKUP($L37,OFFSET([3]enemies!$A$1,0,0,COUNTA([3]enemies!$A:$A),MATCH(Q$1,[3]enemies!$1:$1,0)-MATCH($L$1,[3]enemies!$1:$1,0)+1),MATCH(Q$1,[3]enemies!$1:$1,0)-MATCH($L$1,[3]enemies!$1:$1,0)+1,FALSE)</f>
        <v>15</v>
      </c>
      <c r="R37" s="440">
        <v>31</v>
      </c>
      <c r="S37" s="441">
        <v>1.2</v>
      </c>
      <c r="T37" s="441">
        <v>2</v>
      </c>
      <c r="U37" s="440">
        <v>0</v>
      </c>
      <c r="V37" s="15"/>
      <c r="W37" s="461">
        <v>60006001</v>
      </c>
      <c r="X37" s="46">
        <v>0</v>
      </c>
      <c r="Y37" s="46">
        <v>100</v>
      </c>
      <c r="Z37" s="46">
        <v>0</v>
      </c>
      <c r="AA37" s="459">
        <v>2</v>
      </c>
      <c r="AB37" s="87">
        <f>L37</f>
        <v>35</v>
      </c>
      <c r="AC37" s="15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F2</v>
      </c>
      <c r="AD37" s="15">
        <f ca="1">VLOOKUP($AB37,OFFSET([4]characters!$A$1,0,0,COUNTA([4]characters!$A:$A),MATCH(AD$1,[4]characters!$1:$1,0)-MATCH("character_id",[4]characters!$1:$1,0)+1),MATCH(AD$1,[4]characters!$1:$1,0)-MATCH("character_id",[4]characters!$1:$1,0)+1,FALSE)</f>
        <v>2</v>
      </c>
      <c r="AE37" s="15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Drop1S</v>
      </c>
      <c r="AF37" s="88">
        <v>1</v>
      </c>
      <c r="AG37" s="87">
        <f ca="1">AD37</f>
        <v>2</v>
      </c>
      <c r="AH37" s="46">
        <v>0</v>
      </c>
      <c r="AI37" s="88">
        <v>0</v>
      </c>
      <c r="AJ37" s="88">
        <v>0</v>
      </c>
      <c r="AK37" s="88">
        <v>0</v>
      </c>
      <c r="AL37" s="88">
        <v>0</v>
      </c>
      <c r="AM37" s="88">
        <v>1</v>
      </c>
      <c r="AN37" s="450">
        <v>1</v>
      </c>
      <c r="AO37" s="111"/>
      <c r="AP37" s="111"/>
      <c r="AQ37" s="111"/>
      <c r="AR37" s="111"/>
      <c r="AS37" s="111"/>
      <c r="AT37" s="111"/>
      <c r="AU37" s="111"/>
      <c r="AV37" s="111"/>
      <c r="AW37" s="111"/>
      <c r="AX37" s="111"/>
      <c r="AY37" s="111"/>
      <c r="AZ37" s="111"/>
      <c r="BA37" s="111"/>
      <c r="BB37" s="111"/>
      <c r="BC37" s="111"/>
      <c r="BD37" s="111"/>
      <c r="BE37" s="111"/>
      <c r="BF37" s="111"/>
      <c r="BG37" s="111"/>
    </row>
    <row r="38" spans="1:59" s="46" customFormat="1" ht="21" customHeight="1" x14ac:dyDescent="0.15">
      <c r="A38" s="161" t="str">
        <f t="shared" ref="A38:A63" si="60">B38&amp;"_"&amp;C38&amp;"-"&amp;G38&amp;"/"&amp;L38&amp;"&lt;lv"&amp;R38&amp;"&gt;s"&amp;AA38</f>
        <v>60007_1-2/35&lt;lv32&gt;s3</v>
      </c>
      <c r="B38" s="446">
        <v>60007</v>
      </c>
      <c r="C38" s="86">
        <v>1</v>
      </c>
      <c r="D38" s="12" t="str">
        <f t="shared" ref="D38:D63" si="61">B38&amp;"_"&amp;C38</f>
        <v>60007_1</v>
      </c>
      <c r="E38" s="15" t="str">
        <f ca="1">VLOOKUP($B38,OFFSET([2]quests!$A$1,0,0,COUNTA([2]quests!$A:$A),MATCH(E$1,[2]quests!$1:$1,0)-MATCH($B$1,[2]quests!$1:$1,0)+1),MATCH(E$1,[2]quests!$1:$1,0)-MATCH($B$1,[2]quests!$1:$1,0)+1,FALSE)</f>
        <v>オイラーチャレンジ</v>
      </c>
      <c r="F38" s="15" t="str">
        <f ca="1">VLOOKUP($D38,OFFSET([2]stages!$A$1,0,0,COUNTA([2]stages!$A:$A),MATCH(F$1,[2]stages!$2:$2,0)-MATCH($D$1,[2]stages!$2:$2,0)+1),MATCH(F$1,[2]stages!$2:$2,0)-MATCH($D$1,[2]stages!$2:$2,0)+1,FALSE)</f>
        <v>【中級】オイラーチャレンジ</v>
      </c>
      <c r="G38" s="86">
        <v>2</v>
      </c>
      <c r="H38" s="86" t="str">
        <f t="shared" ref="H38:H63" si="62">B38&amp;"_"&amp;C38&amp;"-"&amp;G38</f>
        <v>60007_1-2</v>
      </c>
      <c r="I38" s="23">
        <f ca="1">VLOOKUP($H38,OFFSET(floors!$A$1,0,0,COUNTA(floors!$A:$A),MATCH(I$1,floors!$1:$1,0)-MATCH($H$1,floors!$1:$1,0)+1),MATCH(I$1,floors!$1:$1,0)-MATCH($H$1,floors!$1:$1,0)+1,FALSE)</f>
        <v>45</v>
      </c>
      <c r="J38" s="23">
        <f ca="1">VLOOKUP($H38,OFFSET(floors!$A$1,0,0,COUNTA(floors!$A:$A),MATCH(J$1,floors!$1:$1,0)-MATCH($H$1,floors!$1:$1,0)+1),MATCH(J$1,floors!$1:$1,0)-MATCH($H$1,floors!$1:$1,0)+1,FALSE)</f>
        <v>45</v>
      </c>
      <c r="K38" s="23" t="s">
        <v>53</v>
      </c>
      <c r="L38" s="86">
        <v>35</v>
      </c>
      <c r="M38" s="15" t="str">
        <f ca="1">VLOOKUP($L38,OFFSET([3]enemies!$A$1,0,0,COUNTA([3]enemies!$A:$A),MATCH(M$1,[3]enemies!$1:$1,0)-MATCH($L$1,[3]enemies!$1:$1,0)+1),MATCH(M$1,[3]enemies!$1:$1,0)-MATCH($L$1,[3]enemies!$1:$1,0)+1,FALSE)</f>
        <v>F2</v>
      </c>
      <c r="N38" s="15" t="str">
        <f ca="1">VLOOKUP($L38,OFFSET([3]enemies!$A$1,0,0,COUNTA([3]enemies!$A:$A),MATCH(N$1,[3]enemies!$1:$1,0)-MATCH($L$1,[3]enemies!$1:$1,0)+1),MATCH(N$1,[3]enemies!$1:$1,0)-MATCH($L$1,[3]enemies!$1:$1,0)+1,FALSE)</f>
        <v>green</v>
      </c>
      <c r="O38" s="15" t="str">
        <f ca="1">VLOOKUP($L38,OFFSET([4]characters!$A$1,0,0,COUNTA([4]characters!$A:$A),MATCH(O$1,[4]characters!$1:$1,0)-MATCH($L$1,[4]characters!$1:$1,0)+1),MATCH(O$1,[4]characters!$1:$1,0)-MATCH($L$1,[4]characters!$1:$1,0)+1,FALSE)</f>
        <v>Drop1S</v>
      </c>
      <c r="P38" s="15" t="str">
        <f ca="1">VLOOKUP($L38,OFFSET([3]enemies!$A$1,0,0,COUNTA([3]enemies!$A:$A),MATCH(P$1,[3]enemies!$1:$1,0)-MATCH($L$1,[3]enemies!$1:$1,0)+1),MATCH(P$1,[3]enemies!$1:$1,0)-MATCH($L$1,[3]enemies!$1:$1,0)+1,FALSE)</f>
        <v>machine</v>
      </c>
      <c r="Q38" s="15">
        <f ca="1">VLOOKUP($L38,OFFSET([3]enemies!$A$1,0,0,COUNTA([3]enemies!$A:$A),MATCH(Q$1,[3]enemies!$1:$1,0)-MATCH($L$1,[3]enemies!$1:$1,0)+1),MATCH(Q$1,[3]enemies!$1:$1,0)-MATCH($L$1,[3]enemies!$1:$1,0)+1,FALSE)</f>
        <v>15</v>
      </c>
      <c r="R38" s="440">
        <v>32</v>
      </c>
      <c r="S38" s="441">
        <v>1.2</v>
      </c>
      <c r="T38" s="441">
        <v>2</v>
      </c>
      <c r="U38" s="440">
        <v>0</v>
      </c>
      <c r="V38" s="15"/>
      <c r="W38" s="461">
        <v>60006001</v>
      </c>
      <c r="X38" s="46">
        <v>0</v>
      </c>
      <c r="Y38" s="46">
        <v>100</v>
      </c>
      <c r="Z38" s="46">
        <v>0</v>
      </c>
      <c r="AA38" s="459">
        <v>3</v>
      </c>
      <c r="AB38" s="87">
        <f t="shared" ref="AB38:AB63" si="63">L38</f>
        <v>35</v>
      </c>
      <c r="AC38" s="15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F2</v>
      </c>
      <c r="AD38" s="15">
        <f ca="1">VLOOKUP($AB38,OFFSET([4]characters!$A$1,0,0,COUNTA([4]characters!$A:$A),MATCH(AD$1,[4]characters!$1:$1,0)-MATCH("character_id",[4]characters!$1:$1,0)+1),MATCH(AD$1,[4]characters!$1:$1,0)-MATCH("character_id",[4]characters!$1:$1,0)+1,FALSE)</f>
        <v>2</v>
      </c>
      <c r="AE38" s="15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Drop1S</v>
      </c>
      <c r="AF38" s="88">
        <v>1</v>
      </c>
      <c r="AG38" s="87">
        <f t="shared" ref="AG38:AG63" ca="1" si="64">AD38</f>
        <v>2</v>
      </c>
      <c r="AH38" s="46">
        <v>0</v>
      </c>
      <c r="AI38" s="88">
        <v>0</v>
      </c>
      <c r="AJ38" s="88">
        <v>0</v>
      </c>
      <c r="AK38" s="88">
        <v>0</v>
      </c>
      <c r="AL38" s="88">
        <v>0</v>
      </c>
      <c r="AM38" s="88">
        <v>1</v>
      </c>
      <c r="AN38" s="450">
        <v>1</v>
      </c>
      <c r="AO38" s="111"/>
      <c r="AP38" s="111"/>
      <c r="AQ38" s="111"/>
      <c r="AR38" s="111"/>
      <c r="AS38" s="111"/>
      <c r="AT38" s="111"/>
      <c r="AU38" s="111"/>
      <c r="AV38" s="111"/>
      <c r="AW38" s="111"/>
      <c r="AX38" s="111"/>
      <c r="AY38" s="111"/>
      <c r="AZ38" s="111"/>
      <c r="BA38" s="111"/>
      <c r="BB38" s="111"/>
      <c r="BC38" s="111"/>
      <c r="BD38" s="111"/>
      <c r="BE38" s="111"/>
      <c r="BF38" s="111"/>
      <c r="BG38" s="111"/>
    </row>
    <row r="39" spans="1:59" s="46" customFormat="1" ht="21" customHeight="1" thickBot="1" x14ac:dyDescent="0.2">
      <c r="A39" s="161" t="str">
        <f t="shared" si="60"/>
        <v>60007_1-2/35&lt;lv33&gt;s4</v>
      </c>
      <c r="B39" s="446">
        <v>60007</v>
      </c>
      <c r="C39" s="86">
        <v>1</v>
      </c>
      <c r="D39" s="12" t="str">
        <f t="shared" si="61"/>
        <v>60007_1</v>
      </c>
      <c r="E39" s="15" t="str">
        <f ca="1">VLOOKUP($B39,OFFSET([2]quests!$A$1,0,0,COUNTA([2]quests!$A:$A),MATCH(E$1,[2]quests!$1:$1,0)-MATCH($B$1,[2]quests!$1:$1,0)+1),MATCH(E$1,[2]quests!$1:$1,0)-MATCH($B$1,[2]quests!$1:$1,0)+1,FALSE)</f>
        <v>オイラーチャレンジ</v>
      </c>
      <c r="F39" s="15" t="str">
        <f ca="1">VLOOKUP($D39,OFFSET([2]stages!$A$1,0,0,COUNTA([2]stages!$A:$A),MATCH(F$1,[2]stages!$2:$2,0)-MATCH($D$1,[2]stages!$2:$2,0)+1),MATCH(F$1,[2]stages!$2:$2,0)-MATCH($D$1,[2]stages!$2:$2,0)+1,FALSE)</f>
        <v>【中級】オイラーチャレンジ</v>
      </c>
      <c r="G39" s="86">
        <v>2</v>
      </c>
      <c r="H39" s="86" t="str">
        <f t="shared" si="62"/>
        <v>60007_1-2</v>
      </c>
      <c r="I39" s="23">
        <f ca="1">VLOOKUP($H39,OFFSET(floors!$A$1,0,0,COUNTA(floors!$A:$A),MATCH(I$1,floors!$1:$1,0)-MATCH($H$1,floors!$1:$1,0)+1),MATCH(I$1,floors!$1:$1,0)-MATCH($H$1,floors!$1:$1,0)+1,FALSE)</f>
        <v>45</v>
      </c>
      <c r="J39" s="23">
        <f ca="1">VLOOKUP($H39,OFFSET(floors!$A$1,0,0,COUNTA(floors!$A:$A),MATCH(J$1,floors!$1:$1,0)-MATCH($H$1,floors!$1:$1,0)+1),MATCH(J$1,floors!$1:$1,0)-MATCH($H$1,floors!$1:$1,0)+1,FALSE)</f>
        <v>45</v>
      </c>
      <c r="K39" s="23" t="s">
        <v>53</v>
      </c>
      <c r="L39" s="86">
        <v>35</v>
      </c>
      <c r="M39" s="15" t="str">
        <f ca="1">VLOOKUP($L39,OFFSET([3]enemies!$A$1,0,0,COUNTA([3]enemies!$A:$A),MATCH(M$1,[3]enemies!$1:$1,0)-MATCH($L$1,[3]enemies!$1:$1,0)+1),MATCH(M$1,[3]enemies!$1:$1,0)-MATCH($L$1,[3]enemies!$1:$1,0)+1,FALSE)</f>
        <v>F2</v>
      </c>
      <c r="N39" s="15" t="str">
        <f ca="1">VLOOKUP($L39,OFFSET([3]enemies!$A$1,0,0,COUNTA([3]enemies!$A:$A),MATCH(N$1,[3]enemies!$1:$1,0)-MATCH($L$1,[3]enemies!$1:$1,0)+1),MATCH(N$1,[3]enemies!$1:$1,0)-MATCH($L$1,[3]enemies!$1:$1,0)+1,FALSE)</f>
        <v>green</v>
      </c>
      <c r="O39" s="15" t="str">
        <f ca="1">VLOOKUP($L39,OFFSET([4]characters!$A$1,0,0,COUNTA([4]characters!$A:$A),MATCH(O$1,[4]characters!$1:$1,0)-MATCH($L$1,[4]characters!$1:$1,0)+1),MATCH(O$1,[4]characters!$1:$1,0)-MATCH($L$1,[4]characters!$1:$1,0)+1,FALSE)</f>
        <v>Drop1S</v>
      </c>
      <c r="P39" s="15" t="str">
        <f ca="1">VLOOKUP($L39,OFFSET([3]enemies!$A$1,0,0,COUNTA([3]enemies!$A:$A),MATCH(P$1,[3]enemies!$1:$1,0)-MATCH($L$1,[3]enemies!$1:$1,0)+1),MATCH(P$1,[3]enemies!$1:$1,0)-MATCH($L$1,[3]enemies!$1:$1,0)+1,FALSE)</f>
        <v>machine</v>
      </c>
      <c r="Q39" s="15">
        <f ca="1">VLOOKUP($L39,OFFSET([3]enemies!$A$1,0,0,COUNTA([3]enemies!$A:$A),MATCH(Q$1,[3]enemies!$1:$1,0)-MATCH($L$1,[3]enemies!$1:$1,0)+1),MATCH(Q$1,[3]enemies!$1:$1,0)-MATCH($L$1,[3]enemies!$1:$1,0)+1,FALSE)</f>
        <v>15</v>
      </c>
      <c r="R39" s="440">
        <v>33</v>
      </c>
      <c r="S39" s="441">
        <v>1.2</v>
      </c>
      <c r="T39" s="441">
        <v>2</v>
      </c>
      <c r="U39" s="440">
        <v>0</v>
      </c>
      <c r="V39" s="15"/>
      <c r="W39" s="461">
        <v>60006001</v>
      </c>
      <c r="X39" s="46">
        <v>0</v>
      </c>
      <c r="Y39" s="46">
        <v>100</v>
      </c>
      <c r="Z39" s="46">
        <v>0</v>
      </c>
      <c r="AA39" s="459">
        <v>4</v>
      </c>
      <c r="AB39" s="87">
        <f t="shared" si="63"/>
        <v>35</v>
      </c>
      <c r="AC39" s="15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F2</v>
      </c>
      <c r="AD39" s="15">
        <f ca="1">VLOOKUP($AB39,OFFSET([4]characters!$A$1,0,0,COUNTA([4]characters!$A:$A),MATCH(AD$1,[4]characters!$1:$1,0)-MATCH("character_id",[4]characters!$1:$1,0)+1),MATCH(AD$1,[4]characters!$1:$1,0)-MATCH("character_id",[4]characters!$1:$1,0)+1,FALSE)</f>
        <v>2</v>
      </c>
      <c r="AE39" s="15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Drop1S</v>
      </c>
      <c r="AF39" s="88">
        <v>1</v>
      </c>
      <c r="AG39" s="87">
        <f t="shared" ca="1" si="64"/>
        <v>2</v>
      </c>
      <c r="AH39" s="46">
        <v>0</v>
      </c>
      <c r="AI39" s="88">
        <v>0</v>
      </c>
      <c r="AJ39" s="88">
        <v>0</v>
      </c>
      <c r="AK39" s="88">
        <v>0</v>
      </c>
      <c r="AL39" s="88">
        <v>0</v>
      </c>
      <c r="AM39" s="88">
        <v>1</v>
      </c>
      <c r="AN39" s="450">
        <v>1</v>
      </c>
      <c r="AO39" s="111"/>
      <c r="AP39" s="111"/>
      <c r="AQ39" s="111"/>
      <c r="AR39" s="111"/>
      <c r="AS39" s="111"/>
      <c r="AT39" s="111"/>
      <c r="AU39" s="111"/>
      <c r="AV39" s="111"/>
      <c r="AW39" s="111"/>
      <c r="AX39" s="111"/>
      <c r="AY39" s="111"/>
      <c r="AZ39" s="111"/>
      <c r="BA39" s="111"/>
      <c r="BB39" s="111"/>
      <c r="BC39" s="111"/>
      <c r="BD39" s="111"/>
      <c r="BE39" s="111"/>
      <c r="BF39" s="111"/>
      <c r="BG39" s="111"/>
    </row>
    <row r="40" spans="1:59" s="409" customFormat="1" ht="21" customHeight="1" x14ac:dyDescent="0.15">
      <c r="A40" s="401" t="str">
        <f t="shared" si="60"/>
        <v>60007_1-3/436&lt;lv40&gt;s2</v>
      </c>
      <c r="B40" s="446">
        <v>60007</v>
      </c>
      <c r="C40" s="86">
        <v>1</v>
      </c>
      <c r="D40" s="12" t="str">
        <f t="shared" si="61"/>
        <v>60007_1</v>
      </c>
      <c r="E40" s="403" t="str">
        <f ca="1">VLOOKUP($B40,OFFSET([2]quests!$A$1,0,0,COUNTA([2]quests!$A:$A),MATCH(E$1,[2]quests!$1:$1,0)-MATCH($B$1,[2]quests!$1:$1,0)+1),MATCH(E$1,[2]quests!$1:$1,0)-MATCH($B$1,[2]quests!$1:$1,0)+1,FALSE)</f>
        <v>オイラーチャレンジ</v>
      </c>
      <c r="F40" s="403" t="str">
        <f ca="1">VLOOKUP($D40,OFFSET([2]stages!$A$1,0,0,COUNTA([2]stages!$A:$A),MATCH(F$1,[2]stages!$2:$2,0)-MATCH($D$1,[2]stages!$2:$2,0)+1),MATCH(F$1,[2]stages!$2:$2,0)-MATCH($D$1,[2]stages!$2:$2,0)+1,FALSE)</f>
        <v>【中級】オイラーチャレンジ</v>
      </c>
      <c r="G40" s="86">
        <v>3</v>
      </c>
      <c r="H40" s="86" t="str">
        <f t="shared" si="62"/>
        <v>60007_1-3</v>
      </c>
      <c r="I40" s="429">
        <f ca="1">VLOOKUP($H40,OFFSET(floors!$A$1,0,0,COUNTA(floors!$A:$A),MATCH(I$1,floors!$1:$1,0)-MATCH($H$1,floors!$1:$1,0)+1),MATCH(I$1,floors!$1:$1,0)-MATCH($H$1,floors!$1:$1,0)+1,FALSE)</f>
        <v>60</v>
      </c>
      <c r="J40" s="429">
        <f ca="1">VLOOKUP($H40,OFFSET(floors!$A$1,0,0,COUNTA(floors!$A:$A),MATCH(J$1,floors!$1:$1,0)-MATCH($H$1,floors!$1:$1,0)+1),MATCH(J$1,floors!$1:$1,0)-MATCH($H$1,floors!$1:$1,0)+1,FALSE)</f>
        <v>60</v>
      </c>
      <c r="K40" s="23" t="s">
        <v>53</v>
      </c>
      <c r="L40" s="86">
        <v>436</v>
      </c>
      <c r="M40" s="405" t="str">
        <f ca="1">VLOOKUP($L40,OFFSET([3]enemies!$A$1,0,0,COUNTA([3]enemies!$A:$A),MATCH(M$1,[3]enemies!$1:$1,0)-MATCH($L$1,[3]enemies!$1:$1,0)+1),MATCH(M$1,[3]enemies!$1:$1,0)-MATCH($L$1,[3]enemies!$1:$1,0)+1,FALSE)</f>
        <v>カカシ</v>
      </c>
      <c r="N40" s="405" t="str">
        <f ca="1">VLOOKUP($L40,OFFSET([3]enemies!$A$1,0,0,COUNTA([3]enemies!$A:$A),MATCH(N$1,[3]enemies!$1:$1,0)-MATCH($L$1,[3]enemies!$1:$1,0)+1),MATCH(N$1,[3]enemies!$1:$1,0)-MATCH($L$1,[3]enemies!$1:$1,0)+1,FALSE)</f>
        <v>green</v>
      </c>
      <c r="O40" s="405" t="str">
        <f ca="1">VLOOKUP($L40,OFFSET([4]characters!$A$1,0,0,COUNTA([4]characters!$A:$A),MATCH(O$1,[4]characters!$1:$1,0)-MATCH($L$1,[4]characters!$1:$1,0)+1),MATCH(O$1,[4]characters!$1:$1,0)-MATCH($L$1,[4]characters!$1:$1,0)+1,FALSE)</f>
        <v>PremiumS</v>
      </c>
      <c r="P40" s="405" t="str">
        <f ca="1">VLOOKUP($L40,OFFSET([3]enemies!$A$1,0,0,COUNTA([3]enemies!$A:$A),MATCH(P$1,[3]enemies!$1:$1,0)-MATCH($L$1,[3]enemies!$1:$1,0)+1),MATCH(P$1,[3]enemies!$1:$1,0)-MATCH($L$1,[3]enemies!$1:$1,0)+1,FALSE)</f>
        <v>human</v>
      </c>
      <c r="Q40" s="405">
        <f ca="1">VLOOKUP($L40,OFFSET([3]enemies!$A$1,0,0,COUNTA([3]enemies!$A:$A),MATCH(Q$1,[3]enemies!$1:$1,0)-MATCH($L$1,[3]enemies!$1:$1,0)+1),MATCH(Q$1,[3]enemies!$1:$1,0)-MATCH($L$1,[3]enemies!$1:$1,0)+1,FALSE)</f>
        <v>25</v>
      </c>
      <c r="R40" s="432">
        <v>40</v>
      </c>
      <c r="S40" s="433">
        <v>1</v>
      </c>
      <c r="T40" s="433">
        <v>1</v>
      </c>
      <c r="U40" s="432">
        <v>0</v>
      </c>
      <c r="V40" s="403"/>
      <c r="W40" s="462">
        <v>60006004</v>
      </c>
      <c r="X40" s="434">
        <v>1</v>
      </c>
      <c r="Y40" s="434">
        <v>100</v>
      </c>
      <c r="Z40" s="434">
        <v>2</v>
      </c>
      <c r="AA40" s="459">
        <v>2</v>
      </c>
      <c r="AB40" s="87">
        <f t="shared" si="63"/>
        <v>436</v>
      </c>
      <c r="AC40" s="403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カカシ</v>
      </c>
      <c r="AD40" s="403">
        <f ca="1">VLOOKUP($AB40,OFFSET([4]characters!$A$1,0,0,COUNTA([4]characters!$A:$A),MATCH(AD$1,[4]characters!$1:$1,0)-MATCH("character_id",[4]characters!$1:$1,0)+1),MATCH(AD$1,[4]characters!$1:$1,0)-MATCH("character_id",[4]characters!$1:$1,0)+1,FALSE)</f>
        <v>3</v>
      </c>
      <c r="AE40" s="403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0" s="88">
        <v>1</v>
      </c>
      <c r="AG40" s="87">
        <f t="shared" ca="1" si="64"/>
        <v>3</v>
      </c>
      <c r="AH40" s="46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1</v>
      </c>
      <c r="AN40" s="449">
        <v>1</v>
      </c>
      <c r="AO40" s="111"/>
      <c r="AP40" s="111"/>
      <c r="AQ40" s="111"/>
      <c r="AR40" s="111"/>
      <c r="AS40" s="111"/>
      <c r="AT40" s="111"/>
      <c r="AU40" s="111"/>
      <c r="AV40" s="111"/>
      <c r="AW40" s="111"/>
      <c r="AX40" s="111"/>
      <c r="AY40" s="111"/>
      <c r="AZ40" s="111"/>
      <c r="BA40" s="111"/>
      <c r="BB40" s="111"/>
      <c r="BC40" s="111"/>
      <c r="BD40" s="111"/>
      <c r="BE40" s="111"/>
      <c r="BF40" s="111"/>
      <c r="BG40" s="111"/>
    </row>
    <row r="41" spans="1:59" s="409" customFormat="1" ht="21" customHeight="1" x14ac:dyDescent="0.15">
      <c r="A41" s="401" t="str">
        <f t="shared" si="60"/>
        <v>60007_1-3/280&lt;lv40&gt;s3</v>
      </c>
      <c r="B41" s="446">
        <v>60007</v>
      </c>
      <c r="C41" s="86">
        <v>1</v>
      </c>
      <c r="D41" s="12" t="str">
        <f t="shared" si="61"/>
        <v>60007_1</v>
      </c>
      <c r="E41" s="403" t="str">
        <f ca="1">VLOOKUP($B41,OFFSET([2]quests!$A$1,0,0,COUNTA([2]quests!$A:$A),MATCH(E$1,[2]quests!$1:$1,0)-MATCH($B$1,[2]quests!$1:$1,0)+1),MATCH(E$1,[2]quests!$1:$1,0)-MATCH($B$1,[2]quests!$1:$1,0)+1,FALSE)</f>
        <v>オイラーチャレンジ</v>
      </c>
      <c r="F41" s="403" t="str">
        <f ca="1">VLOOKUP($D41,OFFSET([2]stages!$A$1,0,0,COUNTA([2]stages!$A:$A),MATCH(F$1,[2]stages!$2:$2,0)-MATCH($D$1,[2]stages!$2:$2,0)+1),MATCH(F$1,[2]stages!$2:$2,0)-MATCH($D$1,[2]stages!$2:$2,0)+1,FALSE)</f>
        <v>【中級】オイラーチャレンジ</v>
      </c>
      <c r="G41" s="86">
        <v>3</v>
      </c>
      <c r="H41" s="86" t="str">
        <f t="shared" si="62"/>
        <v>60007_1-3</v>
      </c>
      <c r="I41" s="429">
        <f ca="1">VLOOKUP($H41,OFFSET(floors!$A$1,0,0,COUNTA(floors!$A:$A),MATCH(I$1,floors!$1:$1,0)-MATCH($H$1,floors!$1:$1,0)+1),MATCH(I$1,floors!$1:$1,0)-MATCH($H$1,floors!$1:$1,0)+1,FALSE)</f>
        <v>60</v>
      </c>
      <c r="J41" s="429">
        <f ca="1">VLOOKUP($H41,OFFSET(floors!$A$1,0,0,COUNTA(floors!$A:$A),MATCH(J$1,floors!$1:$1,0)-MATCH($H$1,floors!$1:$1,0)+1),MATCH(J$1,floors!$1:$1,0)-MATCH($H$1,floors!$1:$1,0)+1,FALSE)</f>
        <v>60</v>
      </c>
      <c r="K41" s="23" t="s">
        <v>53</v>
      </c>
      <c r="L41" s="86">
        <v>280</v>
      </c>
      <c r="M41" s="405" t="str">
        <f ca="1">VLOOKUP($L41,OFFSET([3]enemies!$A$1,0,0,COUNTA([3]enemies!$A:$A),MATCH(M$1,[3]enemies!$1:$1,0)-MATCH($L$1,[3]enemies!$1:$1,0)+1),MATCH(M$1,[3]enemies!$1:$1,0)-MATCH($L$1,[3]enemies!$1:$1,0)+1,FALSE)</f>
        <v>リンドブルム</v>
      </c>
      <c r="N41" s="405" t="str">
        <f ca="1">VLOOKUP($L41,OFFSET([3]enemies!$A$1,0,0,COUNTA([3]enemies!$A:$A),MATCH(N$1,[3]enemies!$1:$1,0)-MATCH($L$1,[3]enemies!$1:$1,0)+1),MATCH(N$1,[3]enemies!$1:$1,0)-MATCH($L$1,[3]enemies!$1:$1,0)+1,FALSE)</f>
        <v>green</v>
      </c>
      <c r="O41" s="405" t="str">
        <f ca="1">VLOOKUP($L41,OFFSET([4]characters!$A$1,0,0,COUNTA([4]characters!$A:$A),MATCH(O$1,[4]characters!$1:$1,0)-MATCH($L$1,[4]characters!$1:$1,0)+1),MATCH(O$1,[4]characters!$1:$1,0)-MATCH($L$1,[4]characters!$1:$1,0)+1,FALSE)</f>
        <v>Drop2W</v>
      </c>
      <c r="P41" s="405" t="str">
        <f ca="1">VLOOKUP($L41,OFFSET([3]enemies!$A$1,0,0,COUNTA([3]enemies!$A:$A),MATCH(P$1,[3]enemies!$1:$1,0)-MATCH($L$1,[3]enemies!$1:$1,0)+1),MATCH(P$1,[3]enemies!$1:$1,0)-MATCH($L$1,[3]enemies!$1:$1,0)+1,FALSE)</f>
        <v>dragon</v>
      </c>
      <c r="Q41" s="405">
        <f ca="1">VLOOKUP($L41,OFFSET([3]enemies!$A$1,0,0,COUNTA([3]enemies!$A:$A),MATCH(Q$1,[3]enemies!$1:$1,0)-MATCH($L$1,[3]enemies!$1:$1,0)+1),MATCH(Q$1,[3]enemies!$1:$1,0)-MATCH($L$1,[3]enemies!$1:$1,0)+1,FALSE)</f>
        <v>20</v>
      </c>
      <c r="R41" s="432">
        <v>40</v>
      </c>
      <c r="S41" s="433">
        <v>1</v>
      </c>
      <c r="T41" s="433">
        <v>1</v>
      </c>
      <c r="U41" s="432">
        <v>0</v>
      </c>
      <c r="V41" s="403"/>
      <c r="W41" s="461">
        <v>60006005</v>
      </c>
      <c r="X41" s="434">
        <v>1</v>
      </c>
      <c r="Y41" s="434">
        <v>100</v>
      </c>
      <c r="Z41" s="434">
        <v>1</v>
      </c>
      <c r="AA41" s="459">
        <v>3</v>
      </c>
      <c r="AB41" s="87">
        <f t="shared" si="63"/>
        <v>280</v>
      </c>
      <c r="AC41" s="403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リンドブルム</v>
      </c>
      <c r="AD41" s="403">
        <f ca="1">VLOOKUP($AB41,OFFSET([4]characters!$A$1,0,0,COUNTA([4]characters!$A:$A),MATCH(AD$1,[4]characters!$1:$1,0)-MATCH("character_id",[4]characters!$1:$1,0)+1),MATCH(AD$1,[4]characters!$1:$1,0)-MATCH("character_id",[4]characters!$1:$1,0)+1,FALSE)</f>
        <v>3</v>
      </c>
      <c r="AE41" s="403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Drop2W</v>
      </c>
      <c r="AF41" s="88">
        <v>1</v>
      </c>
      <c r="AG41" s="87">
        <f t="shared" ca="1" si="64"/>
        <v>3</v>
      </c>
      <c r="AH41" s="46">
        <v>0</v>
      </c>
      <c r="AI41" s="88">
        <v>0</v>
      </c>
      <c r="AJ41" s="88">
        <v>0</v>
      </c>
      <c r="AK41" s="88">
        <v>0</v>
      </c>
      <c r="AL41" s="88">
        <v>0</v>
      </c>
      <c r="AM41" s="88">
        <v>1</v>
      </c>
      <c r="AN41" s="450">
        <v>1</v>
      </c>
      <c r="AO41" s="111"/>
      <c r="AP41" s="111"/>
      <c r="AQ41" s="111"/>
      <c r="AR41" s="111"/>
      <c r="AS41" s="111"/>
      <c r="AT41" s="111"/>
      <c r="AU41" s="111"/>
      <c r="AV41" s="111"/>
      <c r="AW41" s="111"/>
      <c r="AX41" s="111"/>
      <c r="AY41" s="111"/>
      <c r="AZ41" s="111"/>
      <c r="BA41" s="111"/>
      <c r="BB41" s="111"/>
      <c r="BC41" s="111"/>
      <c r="BD41" s="111"/>
      <c r="BE41" s="111"/>
      <c r="BF41" s="111"/>
      <c r="BG41" s="111"/>
    </row>
    <row r="42" spans="1:59" s="419" customFormat="1" ht="21" customHeight="1" thickBot="1" x14ac:dyDescent="0.2">
      <c r="A42" s="417" t="str">
        <f t="shared" ca="1" si="60"/>
        <v>60007_1-4/378&lt;lv50&gt;s3</v>
      </c>
      <c r="B42" s="447">
        <v>60007</v>
      </c>
      <c r="C42" s="113">
        <v>1</v>
      </c>
      <c r="D42" s="114" t="str">
        <f t="shared" si="61"/>
        <v>60007_1</v>
      </c>
      <c r="E42" s="169" t="str">
        <f ca="1">VLOOKUP($B42,OFFSET([2]quests!$A$1,0,0,COUNTA([2]quests!$A:$A),MATCH(E$1,[2]quests!$1:$1,0)-MATCH($B$1,[2]quests!$1:$1,0)+1),MATCH(E$1,[2]quests!$1:$1,0)-MATCH($B$1,[2]quests!$1:$1,0)+1,FALSE)</f>
        <v>オイラーチャレンジ</v>
      </c>
      <c r="F42" s="169" t="str">
        <f ca="1">VLOOKUP($D42,OFFSET([2]stages!$A$1,0,0,COUNTA([2]stages!$A:$A),MATCH(F$1,[2]stages!$2:$2,0)-MATCH($D$1,[2]stages!$2:$2,0)+1),MATCH(F$1,[2]stages!$2:$2,0)-MATCH($D$1,[2]stages!$2:$2,0)+1,FALSE)</f>
        <v>【中級】オイラーチャレンジ</v>
      </c>
      <c r="G42" s="113">
        <v>4</v>
      </c>
      <c r="H42" s="113" t="str">
        <f t="shared" si="62"/>
        <v>60007_1-4</v>
      </c>
      <c r="I42" s="444">
        <f ca="1">VLOOKUP($H42,OFFSET(floors!$A$1,0,0,COUNTA(floors!$A:$A),MATCH(I$1,floors!$1:$1,0)-MATCH($H$1,floors!$1:$1,0)+1),MATCH(I$1,floors!$1:$1,0)-MATCH($H$1,floors!$1:$1,0)+1,FALSE)</f>
        <v>60</v>
      </c>
      <c r="J42" s="444">
        <f ca="1">VLOOKUP($H42,OFFSET(floors!$A$1,0,0,COUNTA(floors!$A:$A),MATCH(J$1,floors!$1:$1,0)-MATCH($H$1,floors!$1:$1,0)+1),MATCH(J$1,floors!$1:$1,0)-MATCH($H$1,floors!$1:$1,0)+1,FALSE)</f>
        <v>60</v>
      </c>
      <c r="K42" s="116">
        <v>1</v>
      </c>
      <c r="L42" s="113">
        <v>378</v>
      </c>
      <c r="M42" s="418" t="str">
        <f ca="1">VLOOKUP($L42,OFFSET([3]enemies!$A$1,0,0,COUNTA([3]enemies!$A:$A),MATCH(M$1,[3]enemies!$1:$1,0)-MATCH($L$1,[3]enemies!$1:$1,0)+1),MATCH(M$1,[3]enemies!$1:$1,0)-MATCH($L$1,[3]enemies!$1:$1,0)+1,FALSE)</f>
        <v>オイラー</v>
      </c>
      <c r="N42" s="418" t="str">
        <f ca="1">VLOOKUP($L42,OFFSET([3]enemies!$A$1,0,0,COUNTA([3]enemies!$A:$A),MATCH(N$1,[3]enemies!$1:$1,0)-MATCH($L$1,[3]enemies!$1:$1,0)+1),MATCH(N$1,[3]enemies!$1:$1,0)-MATCH($L$1,[3]enemies!$1:$1,0)+1,FALSE)</f>
        <v>green</v>
      </c>
      <c r="O42" s="418" t="str">
        <f ca="1">VLOOKUP($L42,OFFSET([4]characters!$A$1,0,0,COUNTA([4]characters!$A:$A),MATCH(O$1,[4]characters!$1:$1,0)-MATCH($L$1,[4]characters!$1:$1,0)+1),MATCH(O$1,[4]characters!$1:$1,0)-MATCH($L$1,[4]characters!$1:$1,0)+1,FALSE)</f>
        <v>PremiumSSS</v>
      </c>
      <c r="P42" s="418" t="str">
        <f ca="1">VLOOKUP($L42,OFFSET([3]enemies!$A$1,0,0,COUNTA([3]enemies!$A:$A),MATCH(P$1,[3]enemies!$1:$1,0)-MATCH($L$1,[3]enemies!$1:$1,0)+1),MATCH(P$1,[3]enemies!$1:$1,0)-MATCH($L$1,[3]enemies!$1:$1,0)+1,FALSE)</f>
        <v>human</v>
      </c>
      <c r="Q42" s="418">
        <f ca="1">VLOOKUP($L42,OFFSET([3]enemies!$A$1,0,0,COUNTA([3]enemies!$A:$A),MATCH(Q$1,[3]enemies!$1:$1,0)-MATCH($L$1,[3]enemies!$1:$1,0)+1),MATCH(Q$1,[3]enemies!$1:$1,0)-MATCH($L$1,[3]enemies!$1:$1,0)+1,FALSE)</f>
        <v>30</v>
      </c>
      <c r="R42" s="442">
        <v>50</v>
      </c>
      <c r="S42" s="443">
        <v>1</v>
      </c>
      <c r="T42" s="443">
        <v>0.8</v>
      </c>
      <c r="U42" s="442">
        <v>0</v>
      </c>
      <c r="V42" s="169"/>
      <c r="W42" s="463">
        <v>60006006</v>
      </c>
      <c r="X42" s="435">
        <v>0</v>
      </c>
      <c r="Y42" s="435">
        <v>100</v>
      </c>
      <c r="Z42" s="435">
        <v>1</v>
      </c>
      <c r="AA42" s="460">
        <f ca="1">VLOOKUP($L42,OFFSET([3]enemies!$A$1,0,0,COUNTA([3]enemies!$A:$A),MATCH(AA$1,[3]enemies!$1:$1,0)-MATCH($L$1,[3]enemies!$1:$1,0)+1),MATCH(AA$1,[3]enemies!$1:$1,0)-MATCH($L$1,[3]enemies!$1:$1,0)+1,FALSE)</f>
        <v>3</v>
      </c>
      <c r="AB42" s="119">
        <f t="shared" si="63"/>
        <v>378</v>
      </c>
      <c r="AC42" s="169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オイラー</v>
      </c>
      <c r="AD42" s="169">
        <f ca="1">VLOOKUP($AB42,OFFSET([4]characters!$A$1,0,0,COUNTA([4]characters!$A:$A),MATCH(AD$1,[4]characters!$1:$1,0)-MATCH("character_id",[4]characters!$1:$1,0)+1),MATCH(AD$1,[4]characters!$1:$1,0)-MATCH("character_id",[4]characters!$1:$1,0)+1,FALSE)</f>
        <v>4</v>
      </c>
      <c r="AE42" s="169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42" s="120">
        <v>1</v>
      </c>
      <c r="AG42" s="119">
        <f t="shared" ca="1" si="64"/>
        <v>4</v>
      </c>
      <c r="AH42" s="121">
        <v>0</v>
      </c>
      <c r="AI42" s="120">
        <v>0</v>
      </c>
      <c r="AJ42" s="120">
        <v>0</v>
      </c>
      <c r="AK42" s="120">
        <v>0</v>
      </c>
      <c r="AL42" s="120">
        <v>0</v>
      </c>
      <c r="AM42" s="120">
        <v>1</v>
      </c>
      <c r="AN42" s="451">
        <v>1</v>
      </c>
      <c r="AO42" s="111"/>
      <c r="AP42" s="111"/>
      <c r="AQ42" s="111"/>
      <c r="AR42" s="111"/>
      <c r="AS42" s="111"/>
      <c r="AT42" s="111"/>
      <c r="AU42" s="111"/>
      <c r="AV42" s="111"/>
      <c r="AW42" s="111"/>
      <c r="AX42" s="111"/>
      <c r="AY42" s="111"/>
      <c r="AZ42" s="111"/>
      <c r="BA42" s="111"/>
      <c r="BB42" s="111"/>
      <c r="BC42" s="111"/>
      <c r="BD42" s="111"/>
      <c r="BE42" s="111"/>
      <c r="BF42" s="111"/>
      <c r="BG42" s="111"/>
    </row>
    <row r="43" spans="1:59" s="108" customFormat="1" ht="21" customHeight="1" x14ac:dyDescent="0.15">
      <c r="A43" s="216" t="str">
        <f t="shared" si="60"/>
        <v>60007_2-1/28&lt;lv50&gt;s1</v>
      </c>
      <c r="B43" s="445">
        <v>60007</v>
      </c>
      <c r="C43" s="100">
        <v>2</v>
      </c>
      <c r="D43" s="101" t="str">
        <f t="shared" si="61"/>
        <v>60007_2</v>
      </c>
      <c r="E43" s="130" t="str">
        <f ca="1">VLOOKUP($B43,OFFSET([2]quests!$A$1,0,0,COUNTA([2]quests!$A:$A),MATCH(E$1,[2]quests!$1:$1,0)-MATCH($B$1,[2]quests!$1:$1,0)+1),MATCH(E$1,[2]quests!$1:$1,0)-MATCH($B$1,[2]quests!$1:$1,0)+1,FALSE)</f>
        <v>オイラーチャレンジ</v>
      </c>
      <c r="F43" s="130" t="str">
        <f ca="1">VLOOKUP($D43,OFFSET([2]stages!$A$1,0,0,COUNTA([2]stages!$A:$A),MATCH(F$1,[2]stages!$2:$2,0)-MATCH($D$1,[2]stages!$2:$2,0)+1),MATCH(F$1,[2]stages!$2:$2,0)-MATCH($D$1,[2]stages!$2:$2,0)+1,FALSE)</f>
        <v>【超級】オイラーチャレンジ</v>
      </c>
      <c r="G43" s="100">
        <v>1</v>
      </c>
      <c r="H43" s="100" t="str">
        <f t="shared" si="62"/>
        <v>60007_2-1</v>
      </c>
      <c r="I43" s="103">
        <f ca="1">VLOOKUP($H43,OFFSET(floors!$A$1,0,0,COUNTA(floors!$A:$A),MATCH(I$1,floors!$1:$1,0)-MATCH($H$1,floors!$1:$1,0)+1),MATCH(I$1,floors!$1:$1,0)-MATCH($H$1,floors!$1:$1,0)+1,FALSE)</f>
        <v>45</v>
      </c>
      <c r="J43" s="103">
        <f ca="1">VLOOKUP($H43,OFFSET(floors!$A$1,0,0,COUNTA(floors!$A:$A),MATCH(J$1,floors!$1:$1,0)-MATCH($H$1,floors!$1:$1,0)+1),MATCH(J$1,floors!$1:$1,0)-MATCH($H$1,floors!$1:$1,0)+1,FALSE)</f>
        <v>45</v>
      </c>
      <c r="K43" s="103" t="s">
        <v>53</v>
      </c>
      <c r="L43" s="100">
        <v>28</v>
      </c>
      <c r="M43" s="130" t="str">
        <f ca="1">VLOOKUP($L43,OFFSET([3]enemies!$A$1,0,0,COUNTA([3]enemies!$A:$A),MATCH(M$1,[3]enemies!$1:$1,0)-MATCH($L$1,[3]enemies!$1:$1,0)+1),MATCH(M$1,[3]enemies!$1:$1,0)-MATCH($L$1,[3]enemies!$1:$1,0)+1,FALSE)</f>
        <v>現場急行 パトラインカスタム</v>
      </c>
      <c r="N43" s="130" t="str">
        <f ca="1">VLOOKUP($L43,OFFSET([3]enemies!$A$1,0,0,COUNTA([3]enemies!$A:$A),MATCH(N$1,[3]enemies!$1:$1,0)-MATCH($L$1,[3]enemies!$1:$1,0)+1),MATCH(N$1,[3]enemies!$1:$1,0)-MATCH($L$1,[3]enemies!$1:$1,0)+1,FALSE)</f>
        <v>green</v>
      </c>
      <c r="O43" s="130" t="str">
        <f ca="1">VLOOKUP($L43,OFFSET([4]characters!$A$1,0,0,COUNTA([4]characters!$A:$A),MATCH(O$1,[4]characters!$1:$1,0)-MATCH($L$1,[4]characters!$1:$1,0)+1),MATCH(O$1,[4]characters!$1:$1,0)-MATCH($L$1,[4]characters!$1:$1,0)+1,FALSE)</f>
        <v>Drop1N</v>
      </c>
      <c r="P43" s="130" t="str">
        <f ca="1">VLOOKUP($L43,OFFSET([3]enemies!$A$1,0,0,COUNTA([3]enemies!$A:$A),MATCH(P$1,[3]enemies!$1:$1,0)-MATCH($L$1,[3]enemies!$1:$1,0)+1),MATCH(P$1,[3]enemies!$1:$1,0)-MATCH($L$1,[3]enemies!$1:$1,0)+1,FALSE)</f>
        <v>machine</v>
      </c>
      <c r="Q43" s="130">
        <f ca="1">VLOOKUP($L43,OFFSET([3]enemies!$A$1,0,0,COUNTA([3]enemies!$A:$A),MATCH(Q$1,[3]enemies!$1:$1,0)-MATCH($L$1,[3]enemies!$1:$1,0)+1),MATCH(Q$1,[3]enemies!$1:$1,0)-MATCH($L$1,[3]enemies!$1:$1,0)+1,FALSE)</f>
        <v>15</v>
      </c>
      <c r="R43" s="438">
        <v>50</v>
      </c>
      <c r="S43" s="439">
        <v>1.4</v>
      </c>
      <c r="T43" s="439">
        <v>2.5</v>
      </c>
      <c r="U43" s="438">
        <v>0</v>
      </c>
      <c r="V43" s="130"/>
      <c r="W43" s="130">
        <v>0</v>
      </c>
      <c r="X43" s="108">
        <v>0</v>
      </c>
      <c r="Y43" s="108">
        <v>100</v>
      </c>
      <c r="Z43" s="108">
        <v>0</v>
      </c>
      <c r="AA43" s="457">
        <v>1</v>
      </c>
      <c r="AB43" s="106">
        <f t="shared" si="63"/>
        <v>28</v>
      </c>
      <c r="AC43" s="130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43" s="130">
        <f ca="1">VLOOKUP($AB43,OFFSET([4]characters!$A$1,0,0,COUNTA([4]characters!$A:$A),MATCH(AD$1,[4]characters!$1:$1,0)-MATCH("character_id",[4]characters!$1:$1,0)+1),MATCH(AD$1,[4]characters!$1:$1,0)-MATCH("character_id",[4]characters!$1:$1,0)+1,FALSE)</f>
        <v>2</v>
      </c>
      <c r="AE43" s="130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Drop1N</v>
      </c>
      <c r="AF43" s="107">
        <v>1</v>
      </c>
      <c r="AG43" s="106">
        <f t="shared" ca="1" si="64"/>
        <v>2</v>
      </c>
      <c r="AH43" s="108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1</v>
      </c>
      <c r="AN43" s="449">
        <v>1</v>
      </c>
      <c r="AO43" s="111"/>
      <c r="AP43" s="111"/>
      <c r="AQ43" s="111"/>
      <c r="AR43" s="111"/>
      <c r="AS43" s="111"/>
      <c r="AT43" s="111"/>
      <c r="AU43" s="111"/>
      <c r="AV43" s="111"/>
      <c r="AW43" s="111"/>
      <c r="AX43" s="111"/>
      <c r="AY43" s="111"/>
      <c r="AZ43" s="111"/>
      <c r="BA43" s="111"/>
      <c r="BB43" s="111"/>
      <c r="BC43" s="111"/>
      <c r="BD43" s="111"/>
      <c r="BE43" s="111"/>
      <c r="BF43" s="111"/>
      <c r="BG43" s="111"/>
    </row>
    <row r="44" spans="1:59" s="46" customFormat="1" ht="21" customHeight="1" x14ac:dyDescent="0.15">
      <c r="A44" s="161" t="str">
        <f t="shared" si="60"/>
        <v>60007_2-1/28&lt;lv51&gt;s2</v>
      </c>
      <c r="B44" s="446">
        <v>60007</v>
      </c>
      <c r="C44" s="86">
        <v>2</v>
      </c>
      <c r="D44" s="12" t="str">
        <f t="shared" si="61"/>
        <v>60007_2</v>
      </c>
      <c r="E44" s="15" t="str">
        <f ca="1">VLOOKUP($B44,OFFSET([2]quests!$A$1,0,0,COUNTA([2]quests!$A:$A),MATCH(E$1,[2]quests!$1:$1,0)-MATCH($B$1,[2]quests!$1:$1,0)+1),MATCH(E$1,[2]quests!$1:$1,0)-MATCH($B$1,[2]quests!$1:$1,0)+1,FALSE)</f>
        <v>オイラーチャレンジ</v>
      </c>
      <c r="F44" s="15" t="str">
        <f ca="1">VLOOKUP($D44,OFFSET([2]stages!$A$1,0,0,COUNTA([2]stages!$A:$A),MATCH(F$1,[2]stages!$2:$2,0)-MATCH($D$1,[2]stages!$2:$2,0)+1),MATCH(F$1,[2]stages!$2:$2,0)-MATCH($D$1,[2]stages!$2:$2,0)+1,FALSE)</f>
        <v>【超級】オイラーチャレンジ</v>
      </c>
      <c r="G44" s="86">
        <v>1</v>
      </c>
      <c r="H44" s="86" t="str">
        <f t="shared" si="62"/>
        <v>60007_2-1</v>
      </c>
      <c r="I44" s="23">
        <f ca="1">VLOOKUP($H44,OFFSET(floors!$A$1,0,0,COUNTA(floors!$A:$A),MATCH(I$1,floors!$1:$1,0)-MATCH($H$1,floors!$1:$1,0)+1),MATCH(I$1,floors!$1:$1,0)-MATCH($H$1,floors!$1:$1,0)+1,FALSE)</f>
        <v>45</v>
      </c>
      <c r="J44" s="23">
        <f ca="1">VLOOKUP($H44,OFFSET(floors!$A$1,0,0,COUNTA(floors!$A:$A),MATCH(J$1,floors!$1:$1,0)-MATCH($H$1,floors!$1:$1,0)+1),MATCH(J$1,floors!$1:$1,0)-MATCH($H$1,floors!$1:$1,0)+1,FALSE)</f>
        <v>45</v>
      </c>
      <c r="K44" s="23" t="s">
        <v>53</v>
      </c>
      <c r="L44" s="86">
        <v>28</v>
      </c>
      <c r="M44" s="15" t="str">
        <f ca="1">VLOOKUP($L44,OFFSET([3]enemies!$A$1,0,0,COUNTA([3]enemies!$A:$A),MATCH(M$1,[3]enemies!$1:$1,0)-MATCH($L$1,[3]enemies!$1:$1,0)+1),MATCH(M$1,[3]enemies!$1:$1,0)-MATCH($L$1,[3]enemies!$1:$1,0)+1,FALSE)</f>
        <v>現場急行 パトラインカスタム</v>
      </c>
      <c r="N44" s="15" t="str">
        <f ca="1">VLOOKUP($L44,OFFSET([3]enemies!$A$1,0,0,COUNTA([3]enemies!$A:$A),MATCH(N$1,[3]enemies!$1:$1,0)-MATCH($L$1,[3]enemies!$1:$1,0)+1),MATCH(N$1,[3]enemies!$1:$1,0)-MATCH($L$1,[3]enemies!$1:$1,0)+1,FALSE)</f>
        <v>green</v>
      </c>
      <c r="O44" s="15" t="str">
        <f ca="1">VLOOKUP($L44,OFFSET([4]characters!$A$1,0,0,COUNTA([4]characters!$A:$A),MATCH(O$1,[4]characters!$1:$1,0)-MATCH($L$1,[4]characters!$1:$1,0)+1),MATCH(O$1,[4]characters!$1:$1,0)-MATCH($L$1,[4]characters!$1:$1,0)+1,FALSE)</f>
        <v>Drop1N</v>
      </c>
      <c r="P44" s="15" t="str">
        <f ca="1">VLOOKUP($L44,OFFSET([3]enemies!$A$1,0,0,COUNTA([3]enemies!$A:$A),MATCH(P$1,[3]enemies!$1:$1,0)-MATCH($L$1,[3]enemies!$1:$1,0)+1),MATCH(P$1,[3]enemies!$1:$1,0)-MATCH($L$1,[3]enemies!$1:$1,0)+1,FALSE)</f>
        <v>machine</v>
      </c>
      <c r="Q44" s="15">
        <f ca="1">VLOOKUP($L44,OFFSET([3]enemies!$A$1,0,0,COUNTA([3]enemies!$A:$A),MATCH(Q$1,[3]enemies!$1:$1,0)-MATCH($L$1,[3]enemies!$1:$1,0)+1),MATCH(Q$1,[3]enemies!$1:$1,0)-MATCH($L$1,[3]enemies!$1:$1,0)+1,FALSE)</f>
        <v>15</v>
      </c>
      <c r="R44" s="440">
        <v>51</v>
      </c>
      <c r="S44" s="441">
        <v>1.4</v>
      </c>
      <c r="T44" s="441">
        <v>2.5</v>
      </c>
      <c r="U44" s="440">
        <v>0</v>
      </c>
      <c r="V44" s="15"/>
      <c r="W44" s="15">
        <v>0</v>
      </c>
      <c r="X44" s="46">
        <v>0</v>
      </c>
      <c r="Y44" s="46">
        <v>100</v>
      </c>
      <c r="Z44" s="46">
        <v>0</v>
      </c>
      <c r="AA44" s="458">
        <v>2</v>
      </c>
      <c r="AB44" s="87">
        <f t="shared" si="63"/>
        <v>28</v>
      </c>
      <c r="AC44" s="15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44" s="15">
        <f ca="1">VLOOKUP($AB44,OFFSET([4]characters!$A$1,0,0,COUNTA([4]characters!$A:$A),MATCH(AD$1,[4]characters!$1:$1,0)-MATCH("character_id",[4]characters!$1:$1,0)+1),MATCH(AD$1,[4]characters!$1:$1,0)-MATCH("character_id",[4]characters!$1:$1,0)+1,FALSE)</f>
        <v>2</v>
      </c>
      <c r="AE44" s="15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4" s="88">
        <v>1</v>
      </c>
      <c r="AG44" s="87">
        <f t="shared" ca="1" si="64"/>
        <v>2</v>
      </c>
      <c r="AH44" s="46">
        <v>0</v>
      </c>
      <c r="AI44" s="88">
        <v>0</v>
      </c>
      <c r="AJ44" s="88">
        <v>0</v>
      </c>
      <c r="AK44" s="88">
        <v>0</v>
      </c>
      <c r="AL44" s="88">
        <v>0</v>
      </c>
      <c r="AM44" s="88">
        <v>1</v>
      </c>
      <c r="AN44" s="450">
        <v>1</v>
      </c>
      <c r="AO44" s="111"/>
      <c r="AP44" s="111"/>
      <c r="AQ44" s="111"/>
      <c r="AR44" s="111"/>
      <c r="AS44" s="111"/>
      <c r="AT44" s="111"/>
      <c r="AU44" s="111"/>
      <c r="AV44" s="111"/>
      <c r="AW44" s="111"/>
      <c r="AX44" s="111"/>
      <c r="AY44" s="111"/>
      <c r="AZ44" s="111"/>
      <c r="BA44" s="111"/>
      <c r="BB44" s="111"/>
      <c r="BC44" s="111"/>
      <c r="BD44" s="111"/>
      <c r="BE44" s="111"/>
      <c r="BF44" s="111"/>
      <c r="BG44" s="111"/>
    </row>
    <row r="45" spans="1:59" s="46" customFormat="1" ht="21" customHeight="1" x14ac:dyDescent="0.15">
      <c r="A45" s="161" t="str">
        <f t="shared" si="60"/>
        <v>60007_2-1/28&lt;lv52&gt;s2</v>
      </c>
      <c r="B45" s="446">
        <v>60007</v>
      </c>
      <c r="C45" s="86">
        <v>2</v>
      </c>
      <c r="D45" s="12" t="str">
        <f t="shared" si="61"/>
        <v>60007_2</v>
      </c>
      <c r="E45" s="15" t="str">
        <f ca="1">VLOOKUP($B45,OFFSET([2]quests!$A$1,0,0,COUNTA([2]quests!$A:$A),MATCH(E$1,[2]quests!$1:$1,0)-MATCH($B$1,[2]quests!$1:$1,0)+1),MATCH(E$1,[2]quests!$1:$1,0)-MATCH($B$1,[2]quests!$1:$1,0)+1,FALSE)</f>
        <v>オイラーチャレンジ</v>
      </c>
      <c r="F45" s="15" t="str">
        <f ca="1">VLOOKUP($D45,OFFSET([2]stages!$A$1,0,0,COUNTA([2]stages!$A:$A),MATCH(F$1,[2]stages!$2:$2,0)-MATCH($D$1,[2]stages!$2:$2,0)+1),MATCH(F$1,[2]stages!$2:$2,0)-MATCH($D$1,[2]stages!$2:$2,0)+1,FALSE)</f>
        <v>【超級】オイラーチャレンジ</v>
      </c>
      <c r="G45" s="86">
        <v>1</v>
      </c>
      <c r="H45" s="86" t="str">
        <f t="shared" si="62"/>
        <v>60007_2-1</v>
      </c>
      <c r="I45" s="23">
        <f ca="1">VLOOKUP($H45,OFFSET(floors!$A$1,0,0,COUNTA(floors!$A:$A),MATCH(I$1,floors!$1:$1,0)-MATCH($H$1,floors!$1:$1,0)+1),MATCH(I$1,floors!$1:$1,0)-MATCH($H$1,floors!$1:$1,0)+1,FALSE)</f>
        <v>45</v>
      </c>
      <c r="J45" s="23">
        <f ca="1">VLOOKUP($H45,OFFSET(floors!$A$1,0,0,COUNTA(floors!$A:$A),MATCH(J$1,floors!$1:$1,0)-MATCH($H$1,floors!$1:$1,0)+1),MATCH(J$1,floors!$1:$1,0)-MATCH($H$1,floors!$1:$1,0)+1,FALSE)</f>
        <v>45</v>
      </c>
      <c r="K45" s="23" t="s">
        <v>53</v>
      </c>
      <c r="L45" s="86">
        <v>28</v>
      </c>
      <c r="M45" s="15" t="str">
        <f ca="1">VLOOKUP($L45,OFFSET([3]enemies!$A$1,0,0,COUNTA([3]enemies!$A:$A),MATCH(M$1,[3]enemies!$1:$1,0)-MATCH($L$1,[3]enemies!$1:$1,0)+1),MATCH(M$1,[3]enemies!$1:$1,0)-MATCH($L$1,[3]enemies!$1:$1,0)+1,FALSE)</f>
        <v>現場急行 パトラインカスタム</v>
      </c>
      <c r="N45" s="15" t="str">
        <f ca="1">VLOOKUP($L45,OFFSET([3]enemies!$A$1,0,0,COUNTA([3]enemies!$A:$A),MATCH(N$1,[3]enemies!$1:$1,0)-MATCH($L$1,[3]enemies!$1:$1,0)+1),MATCH(N$1,[3]enemies!$1:$1,0)-MATCH($L$1,[3]enemies!$1:$1,0)+1,FALSE)</f>
        <v>green</v>
      </c>
      <c r="O45" s="15" t="str">
        <f ca="1">VLOOKUP($L45,OFFSET([4]characters!$A$1,0,0,COUNTA([4]characters!$A:$A),MATCH(O$1,[4]characters!$1:$1,0)-MATCH($L$1,[4]characters!$1:$1,0)+1),MATCH(O$1,[4]characters!$1:$1,0)-MATCH($L$1,[4]characters!$1:$1,0)+1,FALSE)</f>
        <v>Drop1N</v>
      </c>
      <c r="P45" s="15" t="str">
        <f ca="1">VLOOKUP($L45,OFFSET([3]enemies!$A$1,0,0,COUNTA([3]enemies!$A:$A),MATCH(P$1,[3]enemies!$1:$1,0)-MATCH($L$1,[3]enemies!$1:$1,0)+1),MATCH(P$1,[3]enemies!$1:$1,0)-MATCH($L$1,[3]enemies!$1:$1,0)+1,FALSE)</f>
        <v>machine</v>
      </c>
      <c r="Q45" s="15">
        <f ca="1">VLOOKUP($L45,OFFSET([3]enemies!$A$1,0,0,COUNTA([3]enemies!$A:$A),MATCH(Q$1,[3]enemies!$1:$1,0)-MATCH($L$1,[3]enemies!$1:$1,0)+1),MATCH(Q$1,[3]enemies!$1:$1,0)-MATCH($L$1,[3]enemies!$1:$1,0)+1,FALSE)</f>
        <v>15</v>
      </c>
      <c r="R45" s="440">
        <v>52</v>
      </c>
      <c r="S45" s="441">
        <v>1.4</v>
      </c>
      <c r="T45" s="441">
        <v>2.5</v>
      </c>
      <c r="U45" s="440">
        <v>0</v>
      </c>
      <c r="V45" s="15"/>
      <c r="W45" s="15">
        <v>0</v>
      </c>
      <c r="X45" s="46">
        <v>0</v>
      </c>
      <c r="Y45" s="46">
        <v>100</v>
      </c>
      <c r="Z45" s="46">
        <v>0</v>
      </c>
      <c r="AA45" s="458">
        <v>2</v>
      </c>
      <c r="AB45" s="87">
        <f t="shared" si="63"/>
        <v>28</v>
      </c>
      <c r="AC45" s="15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45" s="15">
        <f ca="1">VLOOKUP($AB45,OFFSET([4]characters!$A$1,0,0,COUNTA([4]characters!$A:$A),MATCH(AD$1,[4]characters!$1:$1,0)-MATCH("character_id",[4]characters!$1:$1,0)+1),MATCH(AD$1,[4]characters!$1:$1,0)-MATCH("character_id",[4]characters!$1:$1,0)+1,FALSE)</f>
        <v>2</v>
      </c>
      <c r="AE45" s="15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Drop1N</v>
      </c>
      <c r="AF45" s="88">
        <v>1</v>
      </c>
      <c r="AG45" s="87">
        <f t="shared" ca="1" si="64"/>
        <v>2</v>
      </c>
      <c r="AH45" s="46">
        <v>0</v>
      </c>
      <c r="AI45" s="88">
        <v>0</v>
      </c>
      <c r="AJ45" s="88">
        <v>0</v>
      </c>
      <c r="AK45" s="88">
        <v>0</v>
      </c>
      <c r="AL45" s="88">
        <v>0</v>
      </c>
      <c r="AM45" s="88">
        <v>1</v>
      </c>
      <c r="AN45" s="450">
        <v>1</v>
      </c>
      <c r="AO45" s="111"/>
      <c r="AP45" s="111"/>
      <c r="AQ45" s="111"/>
      <c r="AR45" s="111"/>
      <c r="AS45" s="111"/>
      <c r="AT45" s="111"/>
      <c r="AU45" s="111"/>
      <c r="AV45" s="111"/>
      <c r="AW45" s="111"/>
      <c r="AX45" s="111"/>
      <c r="AY45" s="111"/>
      <c r="AZ45" s="111"/>
      <c r="BA45" s="111"/>
      <c r="BB45" s="111"/>
      <c r="BC45" s="111"/>
      <c r="BD45" s="111"/>
      <c r="BE45" s="111"/>
      <c r="BF45" s="111"/>
      <c r="BG45" s="111"/>
    </row>
    <row r="46" spans="1:59" s="121" customFormat="1" ht="21" customHeight="1" thickBot="1" x14ac:dyDescent="0.2">
      <c r="A46" s="161" t="str">
        <f t="shared" si="60"/>
        <v>60007_2-1/28&lt;lv53&gt;s3</v>
      </c>
      <c r="B46" s="446">
        <v>60007</v>
      </c>
      <c r="C46" s="86">
        <v>2</v>
      </c>
      <c r="D46" s="12" t="str">
        <f t="shared" si="61"/>
        <v>60007_2</v>
      </c>
      <c r="E46" s="15" t="str">
        <f ca="1">VLOOKUP($B46,OFFSET([2]quests!$A$1,0,0,COUNTA([2]quests!$A:$A),MATCH(E$1,[2]quests!$1:$1,0)-MATCH($B$1,[2]quests!$1:$1,0)+1),MATCH(E$1,[2]quests!$1:$1,0)-MATCH($B$1,[2]quests!$1:$1,0)+1,FALSE)</f>
        <v>オイラーチャレンジ</v>
      </c>
      <c r="F46" s="15" t="str">
        <f ca="1">VLOOKUP($D46,OFFSET([2]stages!$A$1,0,0,COUNTA([2]stages!$A:$A),MATCH(F$1,[2]stages!$2:$2,0)-MATCH($D$1,[2]stages!$2:$2,0)+1),MATCH(F$1,[2]stages!$2:$2,0)-MATCH($D$1,[2]stages!$2:$2,0)+1,FALSE)</f>
        <v>【超級】オイラーチャレンジ</v>
      </c>
      <c r="G46" s="86">
        <v>1</v>
      </c>
      <c r="H46" s="86" t="str">
        <f t="shared" si="62"/>
        <v>60007_2-1</v>
      </c>
      <c r="I46" s="23">
        <f ca="1">VLOOKUP($H46,OFFSET(floors!$A$1,0,0,COUNTA(floors!$A:$A),MATCH(I$1,floors!$1:$1,0)-MATCH($H$1,floors!$1:$1,0)+1),MATCH(I$1,floors!$1:$1,0)-MATCH($H$1,floors!$1:$1,0)+1,FALSE)</f>
        <v>45</v>
      </c>
      <c r="J46" s="23">
        <f ca="1">VLOOKUP($H46,OFFSET(floors!$A$1,0,0,COUNTA(floors!$A:$A),MATCH(J$1,floors!$1:$1,0)-MATCH($H$1,floors!$1:$1,0)+1),MATCH(J$1,floors!$1:$1,0)-MATCH($H$1,floors!$1:$1,0)+1,FALSE)</f>
        <v>45</v>
      </c>
      <c r="K46" s="23" t="s">
        <v>53</v>
      </c>
      <c r="L46" s="86">
        <v>28</v>
      </c>
      <c r="M46" s="15" t="str">
        <f ca="1">VLOOKUP($L46,OFFSET([3]enemies!$A$1,0,0,COUNTA([3]enemies!$A:$A),MATCH(M$1,[3]enemies!$1:$1,0)-MATCH($L$1,[3]enemies!$1:$1,0)+1),MATCH(M$1,[3]enemies!$1:$1,0)-MATCH($L$1,[3]enemies!$1:$1,0)+1,FALSE)</f>
        <v>現場急行 パトラインカスタム</v>
      </c>
      <c r="N46" s="15" t="str">
        <f ca="1">VLOOKUP($L46,OFFSET([3]enemies!$A$1,0,0,COUNTA([3]enemies!$A:$A),MATCH(N$1,[3]enemies!$1:$1,0)-MATCH($L$1,[3]enemies!$1:$1,0)+1),MATCH(N$1,[3]enemies!$1:$1,0)-MATCH($L$1,[3]enemies!$1:$1,0)+1,FALSE)</f>
        <v>green</v>
      </c>
      <c r="O46" s="15" t="str">
        <f ca="1">VLOOKUP($L46,OFFSET([4]characters!$A$1,0,0,COUNTA([4]characters!$A:$A),MATCH(O$1,[4]characters!$1:$1,0)-MATCH($L$1,[4]characters!$1:$1,0)+1),MATCH(O$1,[4]characters!$1:$1,0)-MATCH($L$1,[4]characters!$1:$1,0)+1,FALSE)</f>
        <v>Drop1N</v>
      </c>
      <c r="P46" s="15" t="str">
        <f ca="1">VLOOKUP($L46,OFFSET([3]enemies!$A$1,0,0,COUNTA([3]enemies!$A:$A),MATCH(P$1,[3]enemies!$1:$1,0)-MATCH($L$1,[3]enemies!$1:$1,0)+1),MATCH(P$1,[3]enemies!$1:$1,0)-MATCH($L$1,[3]enemies!$1:$1,0)+1,FALSE)</f>
        <v>machine</v>
      </c>
      <c r="Q46" s="15">
        <f ca="1">VLOOKUP($L46,OFFSET([3]enemies!$A$1,0,0,COUNTA([3]enemies!$A:$A),MATCH(Q$1,[3]enemies!$1:$1,0)-MATCH($L$1,[3]enemies!$1:$1,0)+1),MATCH(Q$1,[3]enemies!$1:$1,0)-MATCH($L$1,[3]enemies!$1:$1,0)+1,FALSE)</f>
        <v>15</v>
      </c>
      <c r="R46" s="440">
        <v>53</v>
      </c>
      <c r="S46" s="441">
        <v>1.4</v>
      </c>
      <c r="T46" s="441">
        <v>2.5</v>
      </c>
      <c r="U46" s="440">
        <v>0</v>
      </c>
      <c r="V46" s="15"/>
      <c r="W46" s="15">
        <v>0</v>
      </c>
      <c r="X46" s="46">
        <v>0</v>
      </c>
      <c r="Y46" s="46">
        <v>100</v>
      </c>
      <c r="Z46" s="46">
        <v>0</v>
      </c>
      <c r="AA46" s="458">
        <v>3</v>
      </c>
      <c r="AB46" s="87">
        <f t="shared" si="63"/>
        <v>28</v>
      </c>
      <c r="AC46" s="15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46" s="15">
        <f ca="1">VLOOKUP($AB46,OFFSET([4]characters!$A$1,0,0,COUNTA([4]characters!$A:$A),MATCH(AD$1,[4]characters!$1:$1,0)-MATCH("character_id",[4]characters!$1:$1,0)+1),MATCH(AD$1,[4]characters!$1:$1,0)-MATCH("character_id",[4]characters!$1:$1,0)+1,FALSE)</f>
        <v>2</v>
      </c>
      <c r="AE46" s="15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Drop1N</v>
      </c>
      <c r="AF46" s="88">
        <v>1</v>
      </c>
      <c r="AG46" s="87">
        <f t="shared" ca="1" si="64"/>
        <v>2</v>
      </c>
      <c r="AH46" s="46">
        <v>0</v>
      </c>
      <c r="AI46" s="120">
        <v>0</v>
      </c>
      <c r="AJ46" s="120">
        <v>0</v>
      </c>
      <c r="AK46" s="120">
        <v>0</v>
      </c>
      <c r="AL46" s="120">
        <v>0</v>
      </c>
      <c r="AM46" s="120">
        <v>1</v>
      </c>
      <c r="AN46" s="451">
        <v>1</v>
      </c>
      <c r="AO46" s="111"/>
      <c r="AP46" s="111"/>
      <c r="AQ46" s="111"/>
      <c r="AR46" s="111"/>
      <c r="AS46" s="111"/>
      <c r="AT46" s="111"/>
      <c r="AU46" s="111"/>
      <c r="AV46" s="111"/>
      <c r="AW46" s="111"/>
      <c r="AX46" s="111"/>
      <c r="AY46" s="111"/>
      <c r="AZ46" s="111"/>
      <c r="BA46" s="111"/>
      <c r="BB46" s="111"/>
      <c r="BC46" s="111"/>
      <c r="BD46" s="111"/>
      <c r="BE46" s="111"/>
      <c r="BF46" s="111"/>
      <c r="BG46" s="111"/>
    </row>
    <row r="47" spans="1:59" s="109" customFormat="1" ht="21" customHeight="1" x14ac:dyDescent="0.15">
      <c r="A47" s="401" t="str">
        <f t="shared" si="60"/>
        <v>60007_2-2/36&lt;lv50&gt;s4</v>
      </c>
      <c r="B47" s="446">
        <v>60007</v>
      </c>
      <c r="C47" s="86">
        <v>2</v>
      </c>
      <c r="D47" s="12" t="str">
        <f t="shared" si="61"/>
        <v>60007_2</v>
      </c>
      <c r="E47" s="403" t="str">
        <f ca="1">VLOOKUP($B47,OFFSET([2]quests!$A$1,0,0,COUNTA([2]quests!$A:$A),MATCH(E$1,[2]quests!$1:$1,0)-MATCH($B$1,[2]quests!$1:$1,0)+1),MATCH(E$1,[2]quests!$1:$1,0)-MATCH($B$1,[2]quests!$1:$1,0)+1,FALSE)</f>
        <v>オイラーチャレンジ</v>
      </c>
      <c r="F47" s="403" t="str">
        <f ca="1">VLOOKUP($D47,OFFSET([2]stages!$A$1,0,0,COUNTA([2]stages!$A:$A),MATCH(F$1,[2]stages!$2:$2,0)-MATCH($D$1,[2]stages!$2:$2,0)+1),MATCH(F$1,[2]stages!$2:$2,0)-MATCH($D$1,[2]stages!$2:$2,0)+1,FALSE)</f>
        <v>【超級】オイラーチャレンジ</v>
      </c>
      <c r="G47" s="86">
        <v>2</v>
      </c>
      <c r="H47" s="86" t="str">
        <f t="shared" si="62"/>
        <v>60007_2-2</v>
      </c>
      <c r="I47" s="429">
        <f ca="1">VLOOKUP($H47,OFFSET(floors!$A$1,0,0,COUNTA(floors!$A:$A),MATCH(I$1,floors!$1:$1,0)-MATCH($H$1,floors!$1:$1,0)+1),MATCH(I$1,floors!$1:$1,0)-MATCH($H$1,floors!$1:$1,0)+1,FALSE)</f>
        <v>60</v>
      </c>
      <c r="J47" s="429">
        <f ca="1">VLOOKUP($H47,OFFSET(floors!$A$1,0,0,COUNTA(floors!$A:$A),MATCH(J$1,floors!$1:$1,0)-MATCH($H$1,floors!$1:$1,0)+1),MATCH(J$1,floors!$1:$1,0)-MATCH($H$1,floors!$1:$1,0)+1,FALSE)</f>
        <v>60</v>
      </c>
      <c r="K47" s="23" t="s">
        <v>53</v>
      </c>
      <c r="L47" s="86">
        <v>36</v>
      </c>
      <c r="M47" s="405" t="str">
        <f ca="1">VLOOKUP($L47,OFFSET([3]enemies!$A$1,0,0,COUNTA([3]enemies!$A:$A),MATCH(M$1,[3]enemies!$1:$1,0)-MATCH($L$1,[3]enemies!$1:$1,0)+1),MATCH(M$1,[3]enemies!$1:$1,0)-MATCH($L$1,[3]enemies!$1:$1,0)+1,FALSE)</f>
        <v>オフィス追尾型移動地雷F3</v>
      </c>
      <c r="N47" s="405" t="str">
        <f ca="1">VLOOKUP($L47,OFFSET([3]enemies!$A$1,0,0,COUNTA([3]enemies!$A:$A),MATCH(N$1,[3]enemies!$1:$1,0)-MATCH($L$1,[3]enemies!$1:$1,0)+1),MATCH(N$1,[3]enemies!$1:$1,0)-MATCH($L$1,[3]enemies!$1:$1,0)+1,FALSE)</f>
        <v>green</v>
      </c>
      <c r="O47" s="405" t="str">
        <f ca="1">VLOOKUP($L47,OFFSET([4]characters!$A$1,0,0,COUNTA([4]characters!$A:$A),MATCH(O$1,[4]characters!$1:$1,0)-MATCH($L$1,[4]characters!$1:$1,0)+1),MATCH(O$1,[4]characters!$1:$1,0)-MATCH($L$1,[4]characters!$1:$1,0)+1,FALSE)</f>
        <v>Drop1S</v>
      </c>
      <c r="P47" s="405" t="str">
        <f ca="1">VLOOKUP($L47,OFFSET([3]enemies!$A$1,0,0,COUNTA([3]enemies!$A:$A),MATCH(P$1,[3]enemies!$1:$1,0)-MATCH($L$1,[3]enemies!$1:$1,0)+1),MATCH(P$1,[3]enemies!$1:$1,0)-MATCH($L$1,[3]enemies!$1:$1,0)+1,FALSE)</f>
        <v>machine</v>
      </c>
      <c r="Q47" s="405">
        <f ca="1">VLOOKUP($L47,OFFSET([3]enemies!$A$1,0,0,COUNTA([3]enemies!$A:$A),MATCH(Q$1,[3]enemies!$1:$1,0)-MATCH($L$1,[3]enemies!$1:$1,0)+1),MATCH(Q$1,[3]enemies!$1:$1,0)-MATCH($L$1,[3]enemies!$1:$1,0)+1,FALSE)</f>
        <v>20</v>
      </c>
      <c r="R47" s="432">
        <v>50</v>
      </c>
      <c r="S47" s="433">
        <v>0.6</v>
      </c>
      <c r="T47" s="433">
        <v>0.4</v>
      </c>
      <c r="U47" s="432">
        <v>0</v>
      </c>
      <c r="V47" s="403"/>
      <c r="W47" s="461">
        <v>60006001</v>
      </c>
      <c r="X47" s="434">
        <v>0</v>
      </c>
      <c r="Y47" s="434">
        <v>100</v>
      </c>
      <c r="Z47" s="434">
        <v>0</v>
      </c>
      <c r="AA47" s="459">
        <v>4</v>
      </c>
      <c r="AB47" s="87">
        <f t="shared" si="63"/>
        <v>36</v>
      </c>
      <c r="AC47" s="403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47" s="403">
        <f ca="1">VLOOKUP($AB47,OFFSET([4]characters!$A$1,0,0,COUNTA([4]characters!$A:$A),MATCH(AD$1,[4]characters!$1:$1,0)-MATCH("character_id",[4]characters!$1:$1,0)+1),MATCH(AD$1,[4]characters!$1:$1,0)-MATCH("character_id",[4]characters!$1:$1,0)+1,FALSE)</f>
        <v>3</v>
      </c>
      <c r="AE47" s="403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Drop1S</v>
      </c>
      <c r="AF47" s="88">
        <v>1</v>
      </c>
      <c r="AG47" s="87">
        <f t="shared" ca="1" si="64"/>
        <v>3</v>
      </c>
      <c r="AH47" s="46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1</v>
      </c>
      <c r="AN47" s="449">
        <v>1</v>
      </c>
      <c r="AO47" s="111"/>
      <c r="AP47" s="111"/>
      <c r="AQ47" s="111"/>
      <c r="AR47" s="111"/>
      <c r="AS47" s="111"/>
      <c r="AT47" s="111"/>
      <c r="AU47" s="111"/>
      <c r="AV47" s="111"/>
      <c r="AW47" s="111"/>
      <c r="AX47" s="111"/>
      <c r="AY47" s="111"/>
      <c r="AZ47" s="111"/>
      <c r="BA47" s="111"/>
      <c r="BB47" s="111"/>
      <c r="BC47" s="111"/>
      <c r="BD47" s="111"/>
      <c r="BE47" s="111"/>
      <c r="BF47" s="111"/>
      <c r="BG47" s="111"/>
    </row>
    <row r="48" spans="1:59" s="111" customFormat="1" ht="21" customHeight="1" x14ac:dyDescent="0.15">
      <c r="A48" s="401" t="str">
        <f t="shared" si="60"/>
        <v>60007_2-2/36&lt;lv51&gt;s4</v>
      </c>
      <c r="B48" s="446">
        <v>60007</v>
      </c>
      <c r="C48" s="86">
        <v>2</v>
      </c>
      <c r="D48" s="12" t="str">
        <f t="shared" si="61"/>
        <v>60007_2</v>
      </c>
      <c r="E48" s="403" t="str">
        <f ca="1">VLOOKUP($B48,OFFSET([2]quests!$A$1,0,0,COUNTA([2]quests!$A:$A),MATCH(E$1,[2]quests!$1:$1,0)-MATCH($B$1,[2]quests!$1:$1,0)+1),MATCH(E$1,[2]quests!$1:$1,0)-MATCH($B$1,[2]quests!$1:$1,0)+1,FALSE)</f>
        <v>オイラーチャレンジ</v>
      </c>
      <c r="F48" s="403" t="str">
        <f ca="1">VLOOKUP($D48,OFFSET([2]stages!$A$1,0,0,COUNTA([2]stages!$A:$A),MATCH(F$1,[2]stages!$2:$2,0)-MATCH($D$1,[2]stages!$2:$2,0)+1),MATCH(F$1,[2]stages!$2:$2,0)-MATCH($D$1,[2]stages!$2:$2,0)+1,FALSE)</f>
        <v>【超級】オイラーチャレンジ</v>
      </c>
      <c r="G48" s="86">
        <v>2</v>
      </c>
      <c r="H48" s="86" t="str">
        <f t="shared" si="62"/>
        <v>60007_2-2</v>
      </c>
      <c r="I48" s="429">
        <f ca="1">VLOOKUP($H48,OFFSET(floors!$A$1,0,0,COUNTA(floors!$A:$A),MATCH(I$1,floors!$1:$1,0)-MATCH($H$1,floors!$1:$1,0)+1),MATCH(I$1,floors!$1:$1,0)-MATCH($H$1,floors!$1:$1,0)+1,FALSE)</f>
        <v>60</v>
      </c>
      <c r="J48" s="429">
        <f ca="1">VLOOKUP($H48,OFFSET(floors!$A$1,0,0,COUNTA(floors!$A:$A),MATCH(J$1,floors!$1:$1,0)-MATCH($H$1,floors!$1:$1,0)+1),MATCH(J$1,floors!$1:$1,0)-MATCH($H$1,floors!$1:$1,0)+1,FALSE)</f>
        <v>60</v>
      </c>
      <c r="K48" s="23" t="s">
        <v>53</v>
      </c>
      <c r="L48" s="86">
        <v>36</v>
      </c>
      <c r="M48" s="405" t="str">
        <f ca="1">VLOOKUP($L48,OFFSET([3]enemies!$A$1,0,0,COUNTA([3]enemies!$A:$A),MATCH(M$1,[3]enemies!$1:$1,0)-MATCH($L$1,[3]enemies!$1:$1,0)+1),MATCH(M$1,[3]enemies!$1:$1,0)-MATCH($L$1,[3]enemies!$1:$1,0)+1,FALSE)</f>
        <v>オフィス追尾型移動地雷F3</v>
      </c>
      <c r="N48" s="405" t="str">
        <f ca="1">VLOOKUP($L48,OFFSET([3]enemies!$A$1,0,0,COUNTA([3]enemies!$A:$A),MATCH(N$1,[3]enemies!$1:$1,0)-MATCH($L$1,[3]enemies!$1:$1,0)+1),MATCH(N$1,[3]enemies!$1:$1,0)-MATCH($L$1,[3]enemies!$1:$1,0)+1,FALSE)</f>
        <v>green</v>
      </c>
      <c r="O48" s="405" t="str">
        <f ca="1">VLOOKUP($L48,OFFSET([4]characters!$A$1,0,0,COUNTA([4]characters!$A:$A),MATCH(O$1,[4]characters!$1:$1,0)-MATCH($L$1,[4]characters!$1:$1,0)+1),MATCH(O$1,[4]characters!$1:$1,0)-MATCH($L$1,[4]characters!$1:$1,0)+1,FALSE)</f>
        <v>Drop1S</v>
      </c>
      <c r="P48" s="405" t="str">
        <f ca="1">VLOOKUP($L48,OFFSET([3]enemies!$A$1,0,0,COUNTA([3]enemies!$A:$A),MATCH(P$1,[3]enemies!$1:$1,0)-MATCH($L$1,[3]enemies!$1:$1,0)+1),MATCH(P$1,[3]enemies!$1:$1,0)-MATCH($L$1,[3]enemies!$1:$1,0)+1,FALSE)</f>
        <v>machine</v>
      </c>
      <c r="Q48" s="405">
        <f ca="1">VLOOKUP($L48,OFFSET([3]enemies!$A$1,0,0,COUNTA([3]enemies!$A:$A),MATCH(Q$1,[3]enemies!$1:$1,0)-MATCH($L$1,[3]enemies!$1:$1,0)+1),MATCH(Q$1,[3]enemies!$1:$1,0)-MATCH($L$1,[3]enemies!$1:$1,0)+1,FALSE)</f>
        <v>20</v>
      </c>
      <c r="R48" s="432">
        <v>51</v>
      </c>
      <c r="S48" s="433">
        <v>0.6</v>
      </c>
      <c r="T48" s="433">
        <v>0.4</v>
      </c>
      <c r="U48" s="432">
        <v>0</v>
      </c>
      <c r="V48" s="403"/>
      <c r="W48" s="461">
        <v>60006001</v>
      </c>
      <c r="X48" s="434">
        <v>0</v>
      </c>
      <c r="Y48" s="434">
        <v>100</v>
      </c>
      <c r="Z48" s="434">
        <v>0</v>
      </c>
      <c r="AA48" s="459">
        <v>4</v>
      </c>
      <c r="AB48" s="87">
        <f t="shared" si="63"/>
        <v>36</v>
      </c>
      <c r="AC48" s="403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48" s="403">
        <f ca="1">VLOOKUP($AB48,OFFSET([4]characters!$A$1,0,0,COUNTA([4]characters!$A:$A),MATCH(AD$1,[4]characters!$1:$1,0)-MATCH("character_id",[4]characters!$1:$1,0)+1),MATCH(AD$1,[4]characters!$1:$1,0)-MATCH("character_id",[4]characters!$1:$1,0)+1,FALSE)</f>
        <v>3</v>
      </c>
      <c r="AE48" s="403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Drop1S</v>
      </c>
      <c r="AF48" s="88">
        <v>1</v>
      </c>
      <c r="AG48" s="87">
        <f t="shared" ca="1" si="64"/>
        <v>3</v>
      </c>
      <c r="AH48" s="46">
        <v>0</v>
      </c>
      <c r="AI48" s="97">
        <v>0</v>
      </c>
      <c r="AJ48" s="97">
        <v>0</v>
      </c>
      <c r="AK48" s="97">
        <v>0</v>
      </c>
      <c r="AL48" s="97">
        <v>0</v>
      </c>
      <c r="AM48" s="97">
        <v>1</v>
      </c>
      <c r="AN48" s="452">
        <v>1</v>
      </c>
    </row>
    <row r="49" spans="1:59" s="122" customFormat="1" ht="21" customHeight="1" thickBot="1" x14ac:dyDescent="0.2">
      <c r="A49" s="401" t="str">
        <f t="shared" si="60"/>
        <v>60007_2-2/36&lt;lv52&gt;s4</v>
      </c>
      <c r="B49" s="446">
        <v>60007</v>
      </c>
      <c r="C49" s="86">
        <v>2</v>
      </c>
      <c r="D49" s="12" t="str">
        <f t="shared" si="61"/>
        <v>60007_2</v>
      </c>
      <c r="E49" s="403" t="str">
        <f ca="1">VLOOKUP($B49,OFFSET([2]quests!$A$1,0,0,COUNTA([2]quests!$A:$A),MATCH(E$1,[2]quests!$1:$1,0)-MATCH($B$1,[2]quests!$1:$1,0)+1),MATCH(E$1,[2]quests!$1:$1,0)-MATCH($B$1,[2]quests!$1:$1,0)+1,FALSE)</f>
        <v>オイラーチャレンジ</v>
      </c>
      <c r="F49" s="403" t="str">
        <f ca="1">VLOOKUP($D49,OFFSET([2]stages!$A$1,0,0,COUNTA([2]stages!$A:$A),MATCH(F$1,[2]stages!$2:$2,0)-MATCH($D$1,[2]stages!$2:$2,0)+1),MATCH(F$1,[2]stages!$2:$2,0)-MATCH($D$1,[2]stages!$2:$2,0)+1,FALSE)</f>
        <v>【超級】オイラーチャレンジ</v>
      </c>
      <c r="G49" s="86">
        <v>2</v>
      </c>
      <c r="H49" s="86" t="str">
        <f t="shared" si="62"/>
        <v>60007_2-2</v>
      </c>
      <c r="I49" s="429">
        <f ca="1">VLOOKUP($H49,OFFSET(floors!$A$1,0,0,COUNTA(floors!$A:$A),MATCH(I$1,floors!$1:$1,0)-MATCH($H$1,floors!$1:$1,0)+1),MATCH(I$1,floors!$1:$1,0)-MATCH($H$1,floors!$1:$1,0)+1,FALSE)</f>
        <v>60</v>
      </c>
      <c r="J49" s="429">
        <f ca="1">VLOOKUP($H49,OFFSET(floors!$A$1,0,0,COUNTA(floors!$A:$A),MATCH(J$1,floors!$1:$1,0)-MATCH($H$1,floors!$1:$1,0)+1),MATCH(J$1,floors!$1:$1,0)-MATCH($H$1,floors!$1:$1,0)+1,FALSE)</f>
        <v>60</v>
      </c>
      <c r="K49" s="23" t="s">
        <v>53</v>
      </c>
      <c r="L49" s="86">
        <v>36</v>
      </c>
      <c r="M49" s="405" t="str">
        <f ca="1">VLOOKUP($L49,OFFSET([3]enemies!$A$1,0,0,COUNTA([3]enemies!$A:$A),MATCH(M$1,[3]enemies!$1:$1,0)-MATCH($L$1,[3]enemies!$1:$1,0)+1),MATCH(M$1,[3]enemies!$1:$1,0)-MATCH($L$1,[3]enemies!$1:$1,0)+1,FALSE)</f>
        <v>オフィス追尾型移動地雷F3</v>
      </c>
      <c r="N49" s="405" t="str">
        <f ca="1">VLOOKUP($L49,OFFSET([3]enemies!$A$1,0,0,COUNTA([3]enemies!$A:$A),MATCH(N$1,[3]enemies!$1:$1,0)-MATCH($L$1,[3]enemies!$1:$1,0)+1),MATCH(N$1,[3]enemies!$1:$1,0)-MATCH($L$1,[3]enemies!$1:$1,0)+1,FALSE)</f>
        <v>green</v>
      </c>
      <c r="O49" s="405" t="str">
        <f ca="1">VLOOKUP($L49,OFFSET([4]characters!$A$1,0,0,COUNTA([4]characters!$A:$A),MATCH(O$1,[4]characters!$1:$1,0)-MATCH($L$1,[4]characters!$1:$1,0)+1),MATCH(O$1,[4]characters!$1:$1,0)-MATCH($L$1,[4]characters!$1:$1,0)+1,FALSE)</f>
        <v>Drop1S</v>
      </c>
      <c r="P49" s="405" t="str">
        <f ca="1">VLOOKUP($L49,OFFSET([3]enemies!$A$1,0,0,COUNTA([3]enemies!$A:$A),MATCH(P$1,[3]enemies!$1:$1,0)-MATCH($L$1,[3]enemies!$1:$1,0)+1),MATCH(P$1,[3]enemies!$1:$1,0)-MATCH($L$1,[3]enemies!$1:$1,0)+1,FALSE)</f>
        <v>machine</v>
      </c>
      <c r="Q49" s="405">
        <f ca="1">VLOOKUP($L49,OFFSET([3]enemies!$A$1,0,0,COUNTA([3]enemies!$A:$A),MATCH(Q$1,[3]enemies!$1:$1,0)-MATCH($L$1,[3]enemies!$1:$1,0)+1),MATCH(Q$1,[3]enemies!$1:$1,0)-MATCH($L$1,[3]enemies!$1:$1,0)+1,FALSE)</f>
        <v>20</v>
      </c>
      <c r="R49" s="432">
        <v>52</v>
      </c>
      <c r="S49" s="433">
        <v>0.6</v>
      </c>
      <c r="T49" s="433">
        <v>0.4</v>
      </c>
      <c r="U49" s="432">
        <v>0</v>
      </c>
      <c r="V49" s="403"/>
      <c r="W49" s="461">
        <v>60006001</v>
      </c>
      <c r="X49" s="434">
        <v>0</v>
      </c>
      <c r="Y49" s="434">
        <v>100</v>
      </c>
      <c r="Z49" s="434">
        <v>0</v>
      </c>
      <c r="AA49" s="459">
        <v>4</v>
      </c>
      <c r="AB49" s="87">
        <f t="shared" si="63"/>
        <v>36</v>
      </c>
      <c r="AC49" s="403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49" s="403">
        <f ca="1">VLOOKUP($AB49,OFFSET([4]characters!$A$1,0,0,COUNTA([4]characters!$A:$A),MATCH(AD$1,[4]characters!$1:$1,0)-MATCH("character_id",[4]characters!$1:$1,0)+1),MATCH(AD$1,[4]characters!$1:$1,0)-MATCH("character_id",[4]characters!$1:$1,0)+1,FALSE)</f>
        <v>3</v>
      </c>
      <c r="AE49" s="403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Drop1S</v>
      </c>
      <c r="AF49" s="88">
        <v>1</v>
      </c>
      <c r="AG49" s="87">
        <f t="shared" ca="1" si="64"/>
        <v>3</v>
      </c>
      <c r="AH49" s="46">
        <v>0</v>
      </c>
      <c r="AI49" s="166">
        <v>0</v>
      </c>
      <c r="AJ49" s="166">
        <v>0</v>
      </c>
      <c r="AK49" s="166">
        <v>0</v>
      </c>
      <c r="AL49" s="166">
        <v>0</v>
      </c>
      <c r="AM49" s="166">
        <v>1</v>
      </c>
      <c r="AN49" s="454">
        <v>1</v>
      </c>
      <c r="AO49" s="111"/>
      <c r="AP49" s="111"/>
      <c r="AQ49" s="111"/>
      <c r="AR49" s="111"/>
      <c r="AS49" s="111"/>
      <c r="AT49" s="111"/>
      <c r="AU49" s="111"/>
      <c r="AV49" s="111"/>
      <c r="AW49" s="111"/>
      <c r="AX49" s="111"/>
      <c r="AY49" s="111"/>
      <c r="AZ49" s="111"/>
      <c r="BA49" s="111"/>
      <c r="BB49" s="111"/>
      <c r="BC49" s="111"/>
      <c r="BD49" s="111"/>
      <c r="BE49" s="111"/>
      <c r="BF49" s="111"/>
      <c r="BG49" s="111"/>
    </row>
    <row r="50" spans="1:59" s="109" customFormat="1" ht="21" customHeight="1" x14ac:dyDescent="0.15">
      <c r="A50" s="401" t="str">
        <f t="shared" si="60"/>
        <v>60007_2-3/437&lt;lv50&gt;s2</v>
      </c>
      <c r="B50" s="446">
        <v>60007</v>
      </c>
      <c r="C50" s="86">
        <v>2</v>
      </c>
      <c r="D50" s="12" t="str">
        <f t="shared" si="61"/>
        <v>60007_2</v>
      </c>
      <c r="E50" s="403" t="str">
        <f ca="1">VLOOKUP($B50,OFFSET([2]quests!$A$1,0,0,COUNTA([2]quests!$A:$A),MATCH(E$1,[2]quests!$1:$1,0)-MATCH($B$1,[2]quests!$1:$1,0)+1),MATCH(E$1,[2]quests!$1:$1,0)-MATCH($B$1,[2]quests!$1:$1,0)+1,FALSE)</f>
        <v>オイラーチャレンジ</v>
      </c>
      <c r="F50" s="403" t="str">
        <f ca="1">VLOOKUP($D50,OFFSET([2]stages!$A$1,0,0,COUNTA([2]stages!$A:$A),MATCH(F$1,[2]stages!$2:$2,0)-MATCH($D$1,[2]stages!$2:$2,0)+1),MATCH(F$1,[2]stages!$2:$2,0)-MATCH($D$1,[2]stages!$2:$2,0)+1,FALSE)</f>
        <v>【超級】オイラーチャレンジ</v>
      </c>
      <c r="G50" s="86">
        <v>3</v>
      </c>
      <c r="H50" s="86" t="str">
        <f t="shared" si="62"/>
        <v>60007_2-3</v>
      </c>
      <c r="I50" s="429">
        <f ca="1">VLOOKUP($H50,OFFSET(floors!$A$1,0,0,COUNTA(floors!$A:$A),MATCH(I$1,floors!$1:$1,0)-MATCH($H$1,floors!$1:$1,0)+1),MATCH(I$1,floors!$1:$1,0)-MATCH($H$1,floors!$1:$1,0)+1,FALSE)</f>
        <v>60</v>
      </c>
      <c r="J50" s="429">
        <f ca="1">VLOOKUP($H50,OFFSET(floors!$A$1,0,0,COUNTA(floors!$A:$A),MATCH(J$1,floors!$1:$1,0)-MATCH($H$1,floors!$1:$1,0)+1),MATCH(J$1,floors!$1:$1,0)-MATCH($H$1,floors!$1:$1,0)+1,FALSE)</f>
        <v>60</v>
      </c>
      <c r="K50" s="23" t="s">
        <v>53</v>
      </c>
      <c r="L50" s="86">
        <v>437</v>
      </c>
      <c r="M50" s="405" t="str">
        <f ca="1">VLOOKUP($L50,OFFSET([3]enemies!$A$1,0,0,COUNTA([3]enemies!$A:$A),MATCH(M$1,[3]enemies!$1:$1,0)-MATCH($L$1,[3]enemies!$1:$1,0)+1),MATCH(M$1,[3]enemies!$1:$1,0)-MATCH($L$1,[3]enemies!$1:$1,0)+1,FALSE)</f>
        <v>忘却者 カカシ</v>
      </c>
      <c r="N50" s="405" t="str">
        <f ca="1">VLOOKUP($L50,OFFSET([3]enemies!$A$1,0,0,COUNTA([3]enemies!$A:$A),MATCH(N$1,[3]enemies!$1:$1,0)-MATCH($L$1,[3]enemies!$1:$1,0)+1),MATCH(N$1,[3]enemies!$1:$1,0)-MATCH($L$1,[3]enemies!$1:$1,0)+1,FALSE)</f>
        <v>green</v>
      </c>
      <c r="O50" s="405" t="str">
        <f ca="1">VLOOKUP($L50,OFFSET([4]characters!$A$1,0,0,COUNTA([4]characters!$A:$A),MATCH(O$1,[4]characters!$1:$1,0)-MATCH($L$1,[4]characters!$1:$1,0)+1),MATCH(O$1,[4]characters!$1:$1,0)-MATCH($L$1,[4]characters!$1:$1,0)+1,FALSE)</f>
        <v>PremiumS</v>
      </c>
      <c r="P50" s="405" t="str">
        <f ca="1">VLOOKUP($L50,OFFSET([3]enemies!$A$1,0,0,COUNTA([3]enemies!$A:$A),MATCH(P$1,[3]enemies!$1:$1,0)-MATCH($L$1,[3]enemies!$1:$1,0)+1),MATCH(P$1,[3]enemies!$1:$1,0)-MATCH($L$1,[3]enemies!$1:$1,0)+1,FALSE)</f>
        <v>human</v>
      </c>
      <c r="Q50" s="405">
        <f ca="1">VLOOKUP($L50,OFFSET([3]enemies!$A$1,0,0,COUNTA([3]enemies!$A:$A),MATCH(Q$1,[3]enemies!$1:$1,0)-MATCH($L$1,[3]enemies!$1:$1,0)+1),MATCH(Q$1,[3]enemies!$1:$1,0)-MATCH($L$1,[3]enemies!$1:$1,0)+1,FALSE)</f>
        <v>30</v>
      </c>
      <c r="R50" s="432">
        <v>50</v>
      </c>
      <c r="S50" s="433">
        <v>1.6</v>
      </c>
      <c r="T50" s="433">
        <v>1.2</v>
      </c>
      <c r="U50" s="432">
        <v>0</v>
      </c>
      <c r="V50" s="403"/>
      <c r="W50" s="462">
        <v>60006004</v>
      </c>
      <c r="X50" s="434">
        <v>1</v>
      </c>
      <c r="Y50" s="434">
        <v>100</v>
      </c>
      <c r="Z50" s="434">
        <v>2</v>
      </c>
      <c r="AA50" s="459">
        <v>2</v>
      </c>
      <c r="AB50" s="87">
        <f t="shared" si="63"/>
        <v>437</v>
      </c>
      <c r="AC50" s="403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忘却者 カカシ</v>
      </c>
      <c r="AD50" s="403">
        <f ca="1">VLOOKUP($AB50,OFFSET([4]characters!$A$1,0,0,COUNTA([4]characters!$A:$A),MATCH(AD$1,[4]characters!$1:$1,0)-MATCH("character_id",[4]characters!$1:$1,0)+1),MATCH(AD$1,[4]characters!$1:$1,0)-MATCH("character_id",[4]characters!$1:$1,0)+1,FALSE)</f>
        <v>4</v>
      </c>
      <c r="AE50" s="403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0" s="88">
        <v>1</v>
      </c>
      <c r="AG50" s="87">
        <f t="shared" ca="1" si="64"/>
        <v>4</v>
      </c>
      <c r="AH50" s="46">
        <v>0</v>
      </c>
      <c r="AI50" s="107">
        <v>0</v>
      </c>
      <c r="AJ50" s="107">
        <v>0</v>
      </c>
      <c r="AK50" s="107">
        <v>0</v>
      </c>
      <c r="AL50" s="107">
        <v>0</v>
      </c>
      <c r="AM50" s="107">
        <v>1</v>
      </c>
      <c r="AN50" s="449">
        <v>1</v>
      </c>
      <c r="AO50" s="111"/>
      <c r="AP50" s="111"/>
      <c r="AQ50" s="111"/>
      <c r="AR50" s="111"/>
      <c r="AS50" s="111"/>
      <c r="AT50" s="111"/>
      <c r="AU50" s="111"/>
      <c r="AV50" s="111"/>
      <c r="AW50" s="111"/>
      <c r="AX50" s="111"/>
      <c r="AY50" s="111"/>
      <c r="AZ50" s="111"/>
      <c r="BA50" s="111"/>
      <c r="BB50" s="111"/>
      <c r="BC50" s="111"/>
      <c r="BD50" s="111"/>
      <c r="BE50" s="111"/>
      <c r="BF50" s="111"/>
      <c r="BG50" s="111"/>
    </row>
    <row r="51" spans="1:59" s="122" customFormat="1" ht="21" customHeight="1" thickBot="1" x14ac:dyDescent="0.2">
      <c r="A51" s="401" t="str">
        <f t="shared" si="60"/>
        <v>60007_2-3/281&lt;lv50&gt;s3</v>
      </c>
      <c r="B51" s="446">
        <v>60007</v>
      </c>
      <c r="C51" s="86">
        <v>2</v>
      </c>
      <c r="D51" s="12" t="str">
        <f t="shared" si="61"/>
        <v>60007_2</v>
      </c>
      <c r="E51" s="403" t="str">
        <f ca="1">VLOOKUP($B51,OFFSET([2]quests!$A$1,0,0,COUNTA([2]quests!$A:$A),MATCH(E$1,[2]quests!$1:$1,0)-MATCH($B$1,[2]quests!$1:$1,0)+1),MATCH(E$1,[2]quests!$1:$1,0)-MATCH($B$1,[2]quests!$1:$1,0)+1,FALSE)</f>
        <v>オイラーチャレンジ</v>
      </c>
      <c r="F51" s="403" t="str">
        <f ca="1">VLOOKUP($D51,OFFSET([2]stages!$A$1,0,0,COUNTA([2]stages!$A:$A),MATCH(F$1,[2]stages!$2:$2,0)-MATCH($D$1,[2]stages!$2:$2,0)+1),MATCH(F$1,[2]stages!$2:$2,0)-MATCH($D$1,[2]stages!$2:$2,0)+1,FALSE)</f>
        <v>【超級】オイラーチャレンジ</v>
      </c>
      <c r="G51" s="86">
        <v>3</v>
      </c>
      <c r="H51" s="86" t="str">
        <f t="shared" si="62"/>
        <v>60007_2-3</v>
      </c>
      <c r="I51" s="429">
        <f ca="1">VLOOKUP($H51,OFFSET(floors!$A$1,0,0,COUNTA(floors!$A:$A),MATCH(I$1,floors!$1:$1,0)-MATCH($H$1,floors!$1:$1,0)+1),MATCH(I$1,floors!$1:$1,0)-MATCH($H$1,floors!$1:$1,0)+1,FALSE)</f>
        <v>60</v>
      </c>
      <c r="J51" s="429">
        <f ca="1">VLOOKUP($H51,OFFSET(floors!$A$1,0,0,COUNTA(floors!$A:$A),MATCH(J$1,floors!$1:$1,0)-MATCH($H$1,floors!$1:$1,0)+1),MATCH(J$1,floors!$1:$1,0)-MATCH($H$1,floors!$1:$1,0)+1,FALSE)</f>
        <v>60</v>
      </c>
      <c r="K51" s="23" t="s">
        <v>53</v>
      </c>
      <c r="L51" s="86">
        <v>281</v>
      </c>
      <c r="M51" s="405" t="str">
        <f ca="1">VLOOKUP($L51,OFFSET([3]enemies!$A$1,0,0,COUNTA([3]enemies!$A:$A),MATCH(M$1,[3]enemies!$1:$1,0)-MATCH($L$1,[3]enemies!$1:$1,0)+1),MATCH(M$1,[3]enemies!$1:$1,0)-MATCH($L$1,[3]enemies!$1:$1,0)+1,FALSE)</f>
        <v>リンドブルム・コンデンス</v>
      </c>
      <c r="N51" s="405" t="str">
        <f ca="1">VLOOKUP($L51,OFFSET([3]enemies!$A$1,0,0,COUNTA([3]enemies!$A:$A),MATCH(N$1,[3]enemies!$1:$1,0)-MATCH($L$1,[3]enemies!$1:$1,0)+1),MATCH(N$1,[3]enemies!$1:$1,0)-MATCH($L$1,[3]enemies!$1:$1,0)+1,FALSE)</f>
        <v>green</v>
      </c>
      <c r="O51" s="405" t="str">
        <f ca="1">VLOOKUP($L51,OFFSET([4]characters!$A$1,0,0,COUNTA([4]characters!$A:$A),MATCH(O$1,[4]characters!$1:$1,0)-MATCH($L$1,[4]characters!$1:$1,0)+1),MATCH(O$1,[4]characters!$1:$1,0)-MATCH($L$1,[4]characters!$1:$1,0)+1,FALSE)</f>
        <v>DropWizW</v>
      </c>
      <c r="P51" s="405" t="str">
        <f ca="1">VLOOKUP($L51,OFFSET([3]enemies!$A$1,0,0,COUNTA([3]enemies!$A:$A),MATCH(P$1,[3]enemies!$1:$1,0)-MATCH($L$1,[3]enemies!$1:$1,0)+1),MATCH(P$1,[3]enemies!$1:$1,0)-MATCH($L$1,[3]enemies!$1:$1,0)+1,FALSE)</f>
        <v>dragon</v>
      </c>
      <c r="Q51" s="405">
        <f ca="1">VLOOKUP($L51,OFFSET([3]enemies!$A$1,0,0,COUNTA([3]enemies!$A:$A),MATCH(Q$1,[3]enemies!$1:$1,0)-MATCH($L$1,[3]enemies!$1:$1,0)+1),MATCH(Q$1,[3]enemies!$1:$1,0)-MATCH($L$1,[3]enemies!$1:$1,0)+1,FALSE)</f>
        <v>30</v>
      </c>
      <c r="R51" s="432">
        <v>50</v>
      </c>
      <c r="S51" s="433">
        <v>1.2</v>
      </c>
      <c r="T51" s="433">
        <v>1.1000000000000001</v>
      </c>
      <c r="U51" s="432">
        <v>0</v>
      </c>
      <c r="V51" s="403"/>
      <c r="W51" s="461">
        <v>60006005</v>
      </c>
      <c r="X51" s="434">
        <v>1</v>
      </c>
      <c r="Y51" s="434">
        <v>100</v>
      </c>
      <c r="Z51" s="434">
        <v>1</v>
      </c>
      <c r="AA51" s="459">
        <v>3</v>
      </c>
      <c r="AB51" s="87">
        <f t="shared" si="63"/>
        <v>281</v>
      </c>
      <c r="AC51" s="403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リンドブルム・コンデンス</v>
      </c>
      <c r="AD51" s="403">
        <f ca="1">VLOOKUP($AB51,OFFSET([4]characters!$A$1,0,0,COUNTA([4]characters!$A:$A),MATCH(AD$1,[4]characters!$1:$1,0)-MATCH("character_id",[4]characters!$1:$1,0)+1),MATCH(AD$1,[4]characters!$1:$1,0)-MATCH("character_id",[4]characters!$1:$1,0)+1,FALSE)</f>
        <v>4</v>
      </c>
      <c r="AE51" s="403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51" s="88">
        <v>1</v>
      </c>
      <c r="AG51" s="87">
        <f t="shared" ca="1" si="64"/>
        <v>4</v>
      </c>
      <c r="AH51" s="46">
        <v>0</v>
      </c>
      <c r="AI51" s="120">
        <v>0</v>
      </c>
      <c r="AJ51" s="120">
        <v>0</v>
      </c>
      <c r="AK51" s="120">
        <v>0</v>
      </c>
      <c r="AL51" s="120">
        <v>0</v>
      </c>
      <c r="AM51" s="120">
        <v>1</v>
      </c>
      <c r="AN51" s="451">
        <v>1</v>
      </c>
      <c r="AO51" s="111"/>
      <c r="AP51" s="111"/>
      <c r="AQ51" s="111"/>
      <c r="AR51" s="111"/>
      <c r="AS51" s="111"/>
      <c r="AT51" s="111"/>
      <c r="AU51" s="111"/>
      <c r="AV51" s="111"/>
      <c r="AW51" s="111"/>
      <c r="AX51" s="111"/>
      <c r="AY51" s="111"/>
      <c r="AZ51" s="111"/>
      <c r="BA51" s="111"/>
      <c r="BB51" s="111"/>
      <c r="BC51" s="111"/>
      <c r="BD51" s="111"/>
      <c r="BE51" s="111"/>
      <c r="BF51" s="111"/>
      <c r="BG51" s="111"/>
    </row>
    <row r="52" spans="1:59" s="111" customFormat="1" ht="21" customHeight="1" thickBot="1" x14ac:dyDescent="0.2">
      <c r="A52" s="417" t="str">
        <f t="shared" ca="1" si="60"/>
        <v>60007_2-4/378&lt;lv50&gt;s3</v>
      </c>
      <c r="B52" s="447">
        <v>60007</v>
      </c>
      <c r="C52" s="113">
        <v>2</v>
      </c>
      <c r="D52" s="114" t="str">
        <f t="shared" si="61"/>
        <v>60007_2</v>
      </c>
      <c r="E52" s="169" t="str">
        <f ca="1">VLOOKUP($B52,OFFSET([2]quests!$A$1,0,0,COUNTA([2]quests!$A:$A),MATCH(E$1,[2]quests!$1:$1,0)-MATCH($B$1,[2]quests!$1:$1,0)+1),MATCH(E$1,[2]quests!$1:$1,0)-MATCH($B$1,[2]quests!$1:$1,0)+1,FALSE)</f>
        <v>オイラーチャレンジ</v>
      </c>
      <c r="F52" s="169" t="str">
        <f ca="1">VLOOKUP($D52,OFFSET([2]stages!$A$1,0,0,COUNTA([2]stages!$A:$A),MATCH(F$1,[2]stages!$2:$2,0)-MATCH($D$1,[2]stages!$2:$2,0)+1),MATCH(F$1,[2]stages!$2:$2,0)-MATCH($D$1,[2]stages!$2:$2,0)+1,FALSE)</f>
        <v>【超級】オイラーチャレンジ</v>
      </c>
      <c r="G52" s="113">
        <v>4</v>
      </c>
      <c r="H52" s="113" t="str">
        <f t="shared" si="62"/>
        <v>60007_2-4</v>
      </c>
      <c r="I52" s="444">
        <f ca="1">VLOOKUP($H52,OFFSET(floors!$A$1,0,0,COUNTA(floors!$A:$A),MATCH(I$1,floors!$1:$1,0)-MATCH($H$1,floors!$1:$1,0)+1),MATCH(I$1,floors!$1:$1,0)-MATCH($H$1,floors!$1:$1,0)+1,FALSE)</f>
        <v>60</v>
      </c>
      <c r="J52" s="444">
        <f ca="1">VLOOKUP($H52,OFFSET(floors!$A$1,0,0,COUNTA(floors!$A:$A),MATCH(J$1,floors!$1:$1,0)-MATCH($H$1,floors!$1:$1,0)+1),MATCH(J$1,floors!$1:$1,0)-MATCH($H$1,floors!$1:$1,0)+1,FALSE)</f>
        <v>60</v>
      </c>
      <c r="K52" s="116">
        <v>2</v>
      </c>
      <c r="L52" s="113">
        <v>378</v>
      </c>
      <c r="M52" s="418" t="str">
        <f ca="1">VLOOKUP($L52,OFFSET([3]enemies!$A$1,0,0,COUNTA([3]enemies!$A:$A),MATCH(M$1,[3]enemies!$1:$1,0)-MATCH($L$1,[3]enemies!$1:$1,0)+1),MATCH(M$1,[3]enemies!$1:$1,0)-MATCH($L$1,[3]enemies!$1:$1,0)+1,FALSE)</f>
        <v>オイラー</v>
      </c>
      <c r="N52" s="418" t="str">
        <f ca="1">VLOOKUP($L52,OFFSET([3]enemies!$A$1,0,0,COUNTA([3]enemies!$A:$A),MATCH(N$1,[3]enemies!$1:$1,0)-MATCH($L$1,[3]enemies!$1:$1,0)+1),MATCH(N$1,[3]enemies!$1:$1,0)-MATCH($L$1,[3]enemies!$1:$1,0)+1,FALSE)</f>
        <v>green</v>
      </c>
      <c r="O52" s="418" t="str">
        <f ca="1">VLOOKUP($L52,OFFSET([4]characters!$A$1,0,0,COUNTA([4]characters!$A:$A),MATCH(O$1,[4]characters!$1:$1,0)-MATCH($L$1,[4]characters!$1:$1,0)+1),MATCH(O$1,[4]characters!$1:$1,0)-MATCH($L$1,[4]characters!$1:$1,0)+1,FALSE)</f>
        <v>PremiumSSS</v>
      </c>
      <c r="P52" s="418" t="str">
        <f ca="1">VLOOKUP($L52,OFFSET([3]enemies!$A$1,0,0,COUNTA([3]enemies!$A:$A),MATCH(P$1,[3]enemies!$1:$1,0)-MATCH($L$1,[3]enemies!$1:$1,0)+1),MATCH(P$1,[3]enemies!$1:$1,0)-MATCH($L$1,[3]enemies!$1:$1,0)+1,FALSE)</f>
        <v>human</v>
      </c>
      <c r="Q52" s="418">
        <f ca="1">VLOOKUP($L52,OFFSET([3]enemies!$A$1,0,0,COUNTA([3]enemies!$A:$A),MATCH(Q$1,[3]enemies!$1:$1,0)-MATCH($L$1,[3]enemies!$1:$1,0)+1),MATCH(Q$1,[3]enemies!$1:$1,0)-MATCH($L$1,[3]enemies!$1:$1,0)+1,FALSE)</f>
        <v>30</v>
      </c>
      <c r="R52" s="442">
        <v>50</v>
      </c>
      <c r="S52" s="443">
        <v>1.5</v>
      </c>
      <c r="T52" s="443">
        <v>1.1000000000000001</v>
      </c>
      <c r="U52" s="442">
        <v>0</v>
      </c>
      <c r="V52" s="169"/>
      <c r="W52" s="463">
        <v>60006006</v>
      </c>
      <c r="X52" s="435">
        <v>0</v>
      </c>
      <c r="Y52" s="435">
        <v>100</v>
      </c>
      <c r="Z52" s="435">
        <v>1</v>
      </c>
      <c r="AA52" s="460">
        <f ca="1">VLOOKUP($L52,OFFSET([3]enemies!$A$1,0,0,COUNTA([3]enemies!$A:$A),MATCH(AA$1,[3]enemies!$1:$1,0)-MATCH($L$1,[3]enemies!$1:$1,0)+1),MATCH(AA$1,[3]enemies!$1:$1,0)-MATCH($L$1,[3]enemies!$1:$1,0)+1,FALSE)</f>
        <v>3</v>
      </c>
      <c r="AB52" s="119">
        <f t="shared" si="63"/>
        <v>378</v>
      </c>
      <c r="AC52" s="169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オイラー</v>
      </c>
      <c r="AD52" s="169">
        <f ca="1">VLOOKUP($AB52,OFFSET([4]characters!$A$1,0,0,COUNTA([4]characters!$A:$A),MATCH(AD$1,[4]characters!$1:$1,0)-MATCH("character_id",[4]characters!$1:$1,0)+1),MATCH(AD$1,[4]characters!$1:$1,0)-MATCH("character_id",[4]characters!$1:$1,0)+1,FALSE)</f>
        <v>4</v>
      </c>
      <c r="AE52" s="169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52" s="120">
        <v>1</v>
      </c>
      <c r="AG52" s="119">
        <f t="shared" ca="1" si="64"/>
        <v>4</v>
      </c>
      <c r="AH52" s="121">
        <v>0</v>
      </c>
      <c r="AI52" s="215">
        <v>0</v>
      </c>
      <c r="AJ52" s="215">
        <v>0</v>
      </c>
      <c r="AK52" s="215">
        <v>0</v>
      </c>
      <c r="AL52" s="215">
        <v>0</v>
      </c>
      <c r="AM52" s="215">
        <v>1</v>
      </c>
      <c r="AN52" s="453">
        <v>1</v>
      </c>
    </row>
    <row r="53" spans="1:59" s="108" customFormat="1" ht="21" customHeight="1" x14ac:dyDescent="0.15">
      <c r="A53" s="216" t="str">
        <f t="shared" si="60"/>
        <v>60007_3-1/28&lt;lv60&gt;s2</v>
      </c>
      <c r="B53" s="445">
        <v>60007</v>
      </c>
      <c r="C53" s="100">
        <v>3</v>
      </c>
      <c r="D53" s="101" t="str">
        <f t="shared" si="61"/>
        <v>60007_3</v>
      </c>
      <c r="E53" s="130" t="str">
        <f ca="1">VLOOKUP($B53,OFFSET([2]quests!$A$1,0,0,COUNTA([2]quests!$A:$A),MATCH(E$1,[2]quests!$1:$1,0)-MATCH($B$1,[2]quests!$1:$1,0)+1),MATCH(E$1,[2]quests!$1:$1,0)-MATCH($B$1,[2]quests!$1:$1,0)+1,FALSE)</f>
        <v>オイラーチャレンジ</v>
      </c>
      <c r="F53" s="130" t="str">
        <f ca="1">VLOOKUP($D53,OFFSET([2]stages!$A$1,0,0,COUNTA([2]stages!$A:$A),MATCH(F$1,[2]stages!$2:$2,0)-MATCH($D$1,[2]stages!$2:$2,0)+1),MATCH(F$1,[2]stages!$2:$2,0)-MATCH($D$1,[2]stages!$2:$2,0)+1,FALSE)</f>
        <v>【ウィザード級】オイラーチャレンジ</v>
      </c>
      <c r="G53" s="100">
        <v>1</v>
      </c>
      <c r="H53" s="100" t="str">
        <f t="shared" si="62"/>
        <v>60007_3-1</v>
      </c>
      <c r="I53" s="103">
        <f ca="1">VLOOKUP($H53,OFFSET(floors!$A$1,0,0,COUNTA(floors!$A:$A),MATCH(I$1,floors!$1:$1,0)-MATCH($H$1,floors!$1:$1,0)+1),MATCH(I$1,floors!$1:$1,0)-MATCH($H$1,floors!$1:$1,0)+1,FALSE)</f>
        <v>60</v>
      </c>
      <c r="J53" s="103">
        <f ca="1">VLOOKUP($H53,OFFSET(floors!$A$1,0,0,COUNTA(floors!$A:$A),MATCH(J$1,floors!$1:$1,0)-MATCH($H$1,floors!$1:$1,0)+1),MATCH(J$1,floors!$1:$1,0)-MATCH($H$1,floors!$1:$1,0)+1,FALSE)</f>
        <v>60</v>
      </c>
      <c r="K53" s="103" t="s">
        <v>53</v>
      </c>
      <c r="L53" s="100">
        <v>28</v>
      </c>
      <c r="M53" s="130" t="str">
        <f ca="1">VLOOKUP($L53,OFFSET([3]enemies!$A$1,0,0,COUNTA([3]enemies!$A:$A),MATCH(M$1,[3]enemies!$1:$1,0)-MATCH($L$1,[3]enemies!$1:$1,0)+1),MATCH(M$1,[3]enemies!$1:$1,0)-MATCH($L$1,[3]enemies!$1:$1,0)+1,FALSE)</f>
        <v>現場急行 パトラインカスタム</v>
      </c>
      <c r="N53" s="130" t="str">
        <f ca="1">VLOOKUP($L53,OFFSET([3]enemies!$A$1,0,0,COUNTA([3]enemies!$A:$A),MATCH(N$1,[3]enemies!$1:$1,0)-MATCH($L$1,[3]enemies!$1:$1,0)+1),MATCH(N$1,[3]enemies!$1:$1,0)-MATCH($L$1,[3]enemies!$1:$1,0)+1,FALSE)</f>
        <v>green</v>
      </c>
      <c r="O53" s="130" t="str">
        <f ca="1">VLOOKUP($L53,OFFSET([4]characters!$A$1,0,0,COUNTA([4]characters!$A:$A),MATCH(O$1,[4]characters!$1:$1,0)-MATCH($L$1,[4]characters!$1:$1,0)+1),MATCH(O$1,[4]characters!$1:$1,0)-MATCH($L$1,[4]characters!$1:$1,0)+1,FALSE)</f>
        <v>Drop1N</v>
      </c>
      <c r="P53" s="130" t="str">
        <f ca="1">VLOOKUP($L53,OFFSET([3]enemies!$A$1,0,0,COUNTA([3]enemies!$A:$A),MATCH(P$1,[3]enemies!$1:$1,0)-MATCH($L$1,[3]enemies!$1:$1,0)+1),MATCH(P$1,[3]enemies!$1:$1,0)-MATCH($L$1,[3]enemies!$1:$1,0)+1,FALSE)</f>
        <v>machine</v>
      </c>
      <c r="Q53" s="130">
        <f ca="1">VLOOKUP($L53,OFFSET([3]enemies!$A$1,0,0,COUNTA([3]enemies!$A:$A),MATCH(Q$1,[3]enemies!$1:$1,0)-MATCH($L$1,[3]enemies!$1:$1,0)+1),MATCH(Q$1,[3]enemies!$1:$1,0)-MATCH($L$1,[3]enemies!$1:$1,0)+1,FALSE)</f>
        <v>15</v>
      </c>
      <c r="R53" s="438">
        <v>60</v>
      </c>
      <c r="S53" s="439">
        <v>1.8</v>
      </c>
      <c r="T53" s="439">
        <v>1.5</v>
      </c>
      <c r="U53" s="438">
        <v>0</v>
      </c>
      <c r="V53" s="130"/>
      <c r="W53" s="130">
        <v>0</v>
      </c>
      <c r="X53" s="108">
        <v>1</v>
      </c>
      <c r="Y53" s="108">
        <v>100</v>
      </c>
      <c r="Z53" s="108">
        <v>0</v>
      </c>
      <c r="AA53" s="457">
        <v>2</v>
      </c>
      <c r="AB53" s="106">
        <f t="shared" si="63"/>
        <v>28</v>
      </c>
      <c r="AC53" s="130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53" s="130">
        <f ca="1">VLOOKUP($AB53,OFFSET([4]characters!$A$1,0,0,COUNTA([4]characters!$A:$A),MATCH(AD$1,[4]characters!$1:$1,0)-MATCH("character_id",[4]characters!$1:$1,0)+1),MATCH(AD$1,[4]characters!$1:$1,0)-MATCH("character_id",[4]characters!$1:$1,0)+1,FALSE)</f>
        <v>2</v>
      </c>
      <c r="AE53" s="130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Drop1N</v>
      </c>
      <c r="AF53" s="107">
        <v>1</v>
      </c>
      <c r="AG53" s="106">
        <f t="shared" ca="1" si="64"/>
        <v>2</v>
      </c>
      <c r="AH53" s="107">
        <v>0</v>
      </c>
      <c r="AI53" s="107">
        <v>0</v>
      </c>
      <c r="AJ53" s="107">
        <v>0</v>
      </c>
      <c r="AK53" s="107">
        <v>0</v>
      </c>
      <c r="AL53" s="107">
        <v>0</v>
      </c>
      <c r="AM53" s="107">
        <v>1</v>
      </c>
      <c r="AN53" s="449">
        <v>1</v>
      </c>
      <c r="AO53" s="111"/>
      <c r="AP53" s="111"/>
      <c r="AQ53" s="111"/>
      <c r="AR53" s="111"/>
      <c r="AS53" s="111"/>
      <c r="AT53" s="111"/>
      <c r="AU53" s="111"/>
      <c r="AV53" s="111"/>
      <c r="AW53" s="111"/>
      <c r="AX53" s="111"/>
      <c r="AY53" s="111"/>
      <c r="AZ53" s="111"/>
      <c r="BA53" s="111"/>
      <c r="BB53" s="111"/>
      <c r="BC53" s="111"/>
      <c r="BD53" s="111"/>
      <c r="BE53" s="111"/>
      <c r="BF53" s="111"/>
      <c r="BG53" s="111"/>
    </row>
    <row r="54" spans="1:59" s="46" customFormat="1" ht="21" customHeight="1" x14ac:dyDescent="0.15">
      <c r="A54" s="161" t="str">
        <f t="shared" si="60"/>
        <v>60007_3-1/28&lt;lv61&gt;s3</v>
      </c>
      <c r="B54" s="446">
        <v>60007</v>
      </c>
      <c r="C54" s="86">
        <v>3</v>
      </c>
      <c r="D54" s="12" t="str">
        <f t="shared" si="61"/>
        <v>60007_3</v>
      </c>
      <c r="E54" s="15" t="str">
        <f ca="1">VLOOKUP($B54,OFFSET([2]quests!$A$1,0,0,COUNTA([2]quests!$A:$A),MATCH(E$1,[2]quests!$1:$1,0)-MATCH($B$1,[2]quests!$1:$1,0)+1),MATCH(E$1,[2]quests!$1:$1,0)-MATCH($B$1,[2]quests!$1:$1,0)+1,FALSE)</f>
        <v>オイラーチャレンジ</v>
      </c>
      <c r="F54" s="15" t="str">
        <f ca="1">VLOOKUP($D54,OFFSET([2]stages!$A$1,0,0,COUNTA([2]stages!$A:$A),MATCH(F$1,[2]stages!$2:$2,0)-MATCH($D$1,[2]stages!$2:$2,0)+1),MATCH(F$1,[2]stages!$2:$2,0)-MATCH($D$1,[2]stages!$2:$2,0)+1,FALSE)</f>
        <v>【ウィザード級】オイラーチャレンジ</v>
      </c>
      <c r="G54" s="86">
        <v>1</v>
      </c>
      <c r="H54" s="86" t="str">
        <f t="shared" si="62"/>
        <v>60007_3-1</v>
      </c>
      <c r="I54" s="23">
        <f ca="1">VLOOKUP($H54,OFFSET(floors!$A$1,0,0,COUNTA(floors!$A:$A),MATCH(I$1,floors!$1:$1,0)-MATCH($H$1,floors!$1:$1,0)+1),MATCH(I$1,floors!$1:$1,0)-MATCH($H$1,floors!$1:$1,0)+1,FALSE)</f>
        <v>60</v>
      </c>
      <c r="J54" s="23">
        <f ca="1">VLOOKUP($H54,OFFSET(floors!$A$1,0,0,COUNTA(floors!$A:$A),MATCH(J$1,floors!$1:$1,0)-MATCH($H$1,floors!$1:$1,0)+1),MATCH(J$1,floors!$1:$1,0)-MATCH($H$1,floors!$1:$1,0)+1,FALSE)</f>
        <v>60</v>
      </c>
      <c r="K54" s="23" t="s">
        <v>53</v>
      </c>
      <c r="L54" s="86">
        <v>28</v>
      </c>
      <c r="M54" s="15" t="str">
        <f ca="1">VLOOKUP($L54,OFFSET([3]enemies!$A$1,0,0,COUNTA([3]enemies!$A:$A),MATCH(M$1,[3]enemies!$1:$1,0)-MATCH($L$1,[3]enemies!$1:$1,0)+1),MATCH(M$1,[3]enemies!$1:$1,0)-MATCH($L$1,[3]enemies!$1:$1,0)+1,FALSE)</f>
        <v>現場急行 パトラインカスタム</v>
      </c>
      <c r="N54" s="15" t="str">
        <f ca="1">VLOOKUP($L54,OFFSET([3]enemies!$A$1,0,0,COUNTA([3]enemies!$A:$A),MATCH(N$1,[3]enemies!$1:$1,0)-MATCH($L$1,[3]enemies!$1:$1,0)+1),MATCH(N$1,[3]enemies!$1:$1,0)-MATCH($L$1,[3]enemies!$1:$1,0)+1,FALSE)</f>
        <v>green</v>
      </c>
      <c r="O54" s="15" t="str">
        <f ca="1">VLOOKUP($L54,OFFSET([4]characters!$A$1,0,0,COUNTA([4]characters!$A:$A),MATCH(O$1,[4]characters!$1:$1,0)-MATCH($L$1,[4]characters!$1:$1,0)+1),MATCH(O$1,[4]characters!$1:$1,0)-MATCH($L$1,[4]characters!$1:$1,0)+1,FALSE)</f>
        <v>Drop1N</v>
      </c>
      <c r="P54" s="15" t="str">
        <f ca="1">VLOOKUP($L54,OFFSET([3]enemies!$A$1,0,0,COUNTA([3]enemies!$A:$A),MATCH(P$1,[3]enemies!$1:$1,0)-MATCH($L$1,[3]enemies!$1:$1,0)+1),MATCH(P$1,[3]enemies!$1:$1,0)-MATCH($L$1,[3]enemies!$1:$1,0)+1,FALSE)</f>
        <v>machine</v>
      </c>
      <c r="Q54" s="15">
        <f ca="1">VLOOKUP($L54,OFFSET([3]enemies!$A$1,0,0,COUNTA([3]enemies!$A:$A),MATCH(Q$1,[3]enemies!$1:$1,0)-MATCH($L$1,[3]enemies!$1:$1,0)+1),MATCH(Q$1,[3]enemies!$1:$1,0)-MATCH($L$1,[3]enemies!$1:$1,0)+1,FALSE)</f>
        <v>15</v>
      </c>
      <c r="R54" s="440">
        <v>61</v>
      </c>
      <c r="S54" s="441">
        <v>1.7</v>
      </c>
      <c r="T54" s="441">
        <v>2.8</v>
      </c>
      <c r="U54" s="440">
        <v>0</v>
      </c>
      <c r="V54" s="15"/>
      <c r="W54" s="15">
        <v>0</v>
      </c>
      <c r="X54" s="46">
        <v>1</v>
      </c>
      <c r="Y54" s="46">
        <v>100</v>
      </c>
      <c r="Z54" s="46">
        <v>0</v>
      </c>
      <c r="AA54" s="458">
        <v>3</v>
      </c>
      <c r="AB54" s="87">
        <f t="shared" si="63"/>
        <v>28</v>
      </c>
      <c r="AC54" s="15" t="str">
        <f ca="1">VLOOKUP($AB54,OFFSET([4]characters!$A$1,0,0,COUNTA([4]characters!$A:$A),MATCH(AC$1,[4]characters!$1:$1,0)-MATCH("character_id",[4]characters!$1:$1,0)+1),MATCH(AC$1,[4]characters!$1:$1,0)-MATCH("character_id",[4]characters!$1:$1,0)+1,FALSE)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54" s="15">
        <f ca="1">VLOOKUP($AB54,OFFSET([4]characters!$A$1,0,0,COUNTA([4]characters!$A:$A),MATCH(AD$1,[4]characters!$1:$1,0)-MATCH("character_id",[4]characters!$1:$1,0)+1),MATCH(AD$1,[4]characters!$1:$1,0)-MATCH("character_id",[4]characters!$1:$1,0)+1,FALSE)</f>
        <v>2</v>
      </c>
      <c r="AE54" s="15" t="str">
        <f ca="1">VLOOKUP($AB54,OFFSET([4]characters!$A$1,0,0,COUNTA([4]characters!$A:$A),MATCH(AE$1,[4]characters!$1:$1,0)-MATCH("character_id",[4]characters!$1:$1,0)+1),MATCH(AE$1,[4]characters!$1:$1,0)-MATCH("character_id",[4]characters!$1:$1,0)+1,FALSE)</f>
        <v>Drop1N</v>
      </c>
      <c r="AF54" s="88">
        <v>1</v>
      </c>
      <c r="AG54" s="87">
        <f t="shared" ca="1" si="64"/>
        <v>2</v>
      </c>
      <c r="AH54" s="88">
        <v>0</v>
      </c>
      <c r="AI54" s="88">
        <v>0</v>
      </c>
      <c r="AJ54" s="88">
        <v>0</v>
      </c>
      <c r="AK54" s="88">
        <v>0</v>
      </c>
      <c r="AL54" s="88">
        <v>0</v>
      </c>
      <c r="AM54" s="88">
        <v>1</v>
      </c>
      <c r="AN54" s="450">
        <v>1</v>
      </c>
      <c r="AO54" s="111"/>
      <c r="AP54" s="111"/>
      <c r="AQ54" s="111"/>
      <c r="AR54" s="111"/>
      <c r="AS54" s="111"/>
      <c r="AT54" s="111"/>
      <c r="AU54" s="111"/>
      <c r="AV54" s="111"/>
      <c r="AW54" s="111"/>
      <c r="AX54" s="111"/>
      <c r="AY54" s="111"/>
      <c r="AZ54" s="111"/>
      <c r="BA54" s="111"/>
      <c r="BB54" s="111"/>
      <c r="BC54" s="111"/>
      <c r="BD54" s="111"/>
      <c r="BE54" s="111"/>
      <c r="BF54" s="111"/>
      <c r="BG54" s="111"/>
    </row>
    <row r="55" spans="1:59" s="46" customFormat="1" ht="21" customHeight="1" x14ac:dyDescent="0.15">
      <c r="A55" s="161" t="str">
        <f t="shared" si="60"/>
        <v>60007_3-1/28&lt;lv62&gt;s3</v>
      </c>
      <c r="B55" s="446">
        <v>60007</v>
      </c>
      <c r="C55" s="86">
        <v>3</v>
      </c>
      <c r="D55" s="12" t="str">
        <f t="shared" si="61"/>
        <v>60007_3</v>
      </c>
      <c r="E55" s="15" t="str">
        <f ca="1">VLOOKUP($B55,OFFSET([2]quests!$A$1,0,0,COUNTA([2]quests!$A:$A),MATCH(E$1,[2]quests!$1:$1,0)-MATCH($B$1,[2]quests!$1:$1,0)+1),MATCH(E$1,[2]quests!$1:$1,0)-MATCH($B$1,[2]quests!$1:$1,0)+1,FALSE)</f>
        <v>オイラーチャレンジ</v>
      </c>
      <c r="F55" s="15" t="str">
        <f ca="1">VLOOKUP($D55,OFFSET([2]stages!$A$1,0,0,COUNTA([2]stages!$A:$A),MATCH(F$1,[2]stages!$2:$2,0)-MATCH($D$1,[2]stages!$2:$2,0)+1),MATCH(F$1,[2]stages!$2:$2,0)-MATCH($D$1,[2]stages!$2:$2,0)+1,FALSE)</f>
        <v>【ウィザード級】オイラーチャレンジ</v>
      </c>
      <c r="G55" s="86">
        <v>1</v>
      </c>
      <c r="H55" s="86" t="str">
        <f t="shared" si="62"/>
        <v>60007_3-1</v>
      </c>
      <c r="I55" s="23">
        <f ca="1">VLOOKUP($H55,OFFSET(floors!$A$1,0,0,COUNTA(floors!$A:$A),MATCH(I$1,floors!$1:$1,0)-MATCH($H$1,floors!$1:$1,0)+1),MATCH(I$1,floors!$1:$1,0)-MATCH($H$1,floors!$1:$1,0)+1,FALSE)</f>
        <v>60</v>
      </c>
      <c r="J55" s="23">
        <f ca="1">VLOOKUP($H55,OFFSET(floors!$A$1,0,0,COUNTA(floors!$A:$A),MATCH(J$1,floors!$1:$1,0)-MATCH($H$1,floors!$1:$1,0)+1),MATCH(J$1,floors!$1:$1,0)-MATCH($H$1,floors!$1:$1,0)+1,FALSE)</f>
        <v>60</v>
      </c>
      <c r="K55" s="23" t="s">
        <v>53</v>
      </c>
      <c r="L55" s="86">
        <v>28</v>
      </c>
      <c r="M55" s="15" t="str">
        <f ca="1">VLOOKUP($L55,OFFSET([3]enemies!$A$1,0,0,COUNTA([3]enemies!$A:$A),MATCH(M$1,[3]enemies!$1:$1,0)-MATCH($L$1,[3]enemies!$1:$1,0)+1),MATCH(M$1,[3]enemies!$1:$1,0)-MATCH($L$1,[3]enemies!$1:$1,0)+1,FALSE)</f>
        <v>現場急行 パトラインカスタム</v>
      </c>
      <c r="N55" s="15" t="str">
        <f ca="1">VLOOKUP($L55,OFFSET([3]enemies!$A$1,0,0,COUNTA([3]enemies!$A:$A),MATCH(N$1,[3]enemies!$1:$1,0)-MATCH($L$1,[3]enemies!$1:$1,0)+1),MATCH(N$1,[3]enemies!$1:$1,0)-MATCH($L$1,[3]enemies!$1:$1,0)+1,FALSE)</f>
        <v>green</v>
      </c>
      <c r="O55" s="15" t="str">
        <f ca="1">VLOOKUP($L55,OFFSET([4]characters!$A$1,0,0,COUNTA([4]characters!$A:$A),MATCH(O$1,[4]characters!$1:$1,0)-MATCH($L$1,[4]characters!$1:$1,0)+1),MATCH(O$1,[4]characters!$1:$1,0)-MATCH($L$1,[4]characters!$1:$1,0)+1,FALSE)</f>
        <v>Drop1N</v>
      </c>
      <c r="P55" s="15" t="str">
        <f ca="1">VLOOKUP($L55,OFFSET([3]enemies!$A$1,0,0,COUNTA([3]enemies!$A:$A),MATCH(P$1,[3]enemies!$1:$1,0)-MATCH($L$1,[3]enemies!$1:$1,0)+1),MATCH(P$1,[3]enemies!$1:$1,0)-MATCH($L$1,[3]enemies!$1:$1,0)+1,FALSE)</f>
        <v>machine</v>
      </c>
      <c r="Q55" s="15">
        <f ca="1">VLOOKUP($L55,OFFSET([3]enemies!$A$1,0,0,COUNTA([3]enemies!$A:$A),MATCH(Q$1,[3]enemies!$1:$1,0)-MATCH($L$1,[3]enemies!$1:$1,0)+1),MATCH(Q$1,[3]enemies!$1:$1,0)-MATCH($L$1,[3]enemies!$1:$1,0)+1,FALSE)</f>
        <v>15</v>
      </c>
      <c r="R55" s="440">
        <v>62</v>
      </c>
      <c r="S55" s="441">
        <v>1.7</v>
      </c>
      <c r="T55" s="441">
        <v>2.8</v>
      </c>
      <c r="U55" s="440">
        <v>0</v>
      </c>
      <c r="V55" s="15"/>
      <c r="W55" s="15">
        <v>0</v>
      </c>
      <c r="X55" s="46">
        <v>1</v>
      </c>
      <c r="Y55" s="46">
        <v>100</v>
      </c>
      <c r="Z55" s="46">
        <v>0</v>
      </c>
      <c r="AA55" s="458">
        <v>3</v>
      </c>
      <c r="AB55" s="87">
        <f t="shared" si="63"/>
        <v>28</v>
      </c>
      <c r="AC55" s="15" t="str">
        <f ca="1">VLOOKUP($AB55,OFFSET([4]characters!$A$1,0,0,COUNTA([4]characters!$A:$A),MATCH(AC$1,[4]characters!$1:$1,0)-MATCH("character_id",[4]characters!$1:$1,0)+1),MATCH(AC$1,[4]characters!$1:$1,0)-MATCH("character_id",[4]characters!$1:$1,0)+1,FALSE)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55" s="15">
        <f ca="1">VLOOKUP($AB55,OFFSET([4]characters!$A$1,0,0,COUNTA([4]characters!$A:$A),MATCH(AD$1,[4]characters!$1:$1,0)-MATCH("character_id",[4]characters!$1:$1,0)+1),MATCH(AD$1,[4]characters!$1:$1,0)-MATCH("character_id",[4]characters!$1:$1,0)+1,FALSE)</f>
        <v>2</v>
      </c>
      <c r="AE55" s="15" t="str">
        <f ca="1">VLOOKUP($AB55,OFFSET([4]characters!$A$1,0,0,COUNTA([4]characters!$A:$A),MATCH(AE$1,[4]characters!$1:$1,0)-MATCH("character_id",[4]characters!$1:$1,0)+1),MATCH(AE$1,[4]characters!$1:$1,0)-MATCH("character_id",[4]characters!$1:$1,0)+1,FALSE)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5" s="88">
        <v>1</v>
      </c>
      <c r="AG55" s="87">
        <f t="shared" ca="1" si="64"/>
        <v>2</v>
      </c>
      <c r="AH55" s="88">
        <v>0</v>
      </c>
      <c r="AI55" s="88">
        <v>0</v>
      </c>
      <c r="AJ55" s="88">
        <v>0</v>
      </c>
      <c r="AK55" s="88">
        <v>0</v>
      </c>
      <c r="AL55" s="88">
        <v>0</v>
      </c>
      <c r="AM55" s="88">
        <v>1</v>
      </c>
      <c r="AN55" s="450">
        <v>1</v>
      </c>
      <c r="AO55" s="111"/>
      <c r="AP55" s="111"/>
      <c r="AQ55" s="111"/>
      <c r="AR55" s="111"/>
      <c r="AS55" s="111"/>
      <c r="AT55" s="111"/>
      <c r="AU55" s="111"/>
      <c r="AV55" s="111"/>
      <c r="AW55" s="111"/>
      <c r="AX55" s="111"/>
      <c r="AY55" s="111"/>
      <c r="AZ55" s="111"/>
      <c r="BA55" s="111"/>
      <c r="BB55" s="111"/>
      <c r="BC55" s="111"/>
      <c r="BD55" s="111"/>
      <c r="BE55" s="111"/>
      <c r="BF55" s="111"/>
      <c r="BG55" s="111"/>
    </row>
    <row r="56" spans="1:59" s="121" customFormat="1" ht="21" customHeight="1" thickBot="1" x14ac:dyDescent="0.2">
      <c r="A56" s="161" t="str">
        <f t="shared" si="60"/>
        <v>60007_3-1/28&lt;lv63&gt;s3</v>
      </c>
      <c r="B56" s="446">
        <v>60007</v>
      </c>
      <c r="C56" s="86">
        <v>3</v>
      </c>
      <c r="D56" s="12" t="str">
        <f t="shared" si="61"/>
        <v>60007_3</v>
      </c>
      <c r="E56" s="15" t="str">
        <f ca="1">VLOOKUP($B56,OFFSET([2]quests!$A$1,0,0,COUNTA([2]quests!$A:$A),MATCH(E$1,[2]quests!$1:$1,0)-MATCH($B$1,[2]quests!$1:$1,0)+1),MATCH(E$1,[2]quests!$1:$1,0)-MATCH($B$1,[2]quests!$1:$1,0)+1,FALSE)</f>
        <v>オイラーチャレンジ</v>
      </c>
      <c r="F56" s="15" t="str">
        <f ca="1">VLOOKUP($D56,OFFSET([2]stages!$A$1,0,0,COUNTA([2]stages!$A:$A),MATCH(F$1,[2]stages!$2:$2,0)-MATCH($D$1,[2]stages!$2:$2,0)+1),MATCH(F$1,[2]stages!$2:$2,0)-MATCH($D$1,[2]stages!$2:$2,0)+1,FALSE)</f>
        <v>【ウィザード級】オイラーチャレンジ</v>
      </c>
      <c r="G56" s="86">
        <v>1</v>
      </c>
      <c r="H56" s="86" t="str">
        <f t="shared" si="62"/>
        <v>60007_3-1</v>
      </c>
      <c r="I56" s="23">
        <f ca="1">VLOOKUP($H56,OFFSET(floors!$A$1,0,0,COUNTA(floors!$A:$A),MATCH(I$1,floors!$1:$1,0)-MATCH($H$1,floors!$1:$1,0)+1),MATCH(I$1,floors!$1:$1,0)-MATCH($H$1,floors!$1:$1,0)+1,FALSE)</f>
        <v>60</v>
      </c>
      <c r="J56" s="23">
        <f ca="1">VLOOKUP($H56,OFFSET(floors!$A$1,0,0,COUNTA(floors!$A:$A),MATCH(J$1,floors!$1:$1,0)-MATCH($H$1,floors!$1:$1,0)+1),MATCH(J$1,floors!$1:$1,0)-MATCH($H$1,floors!$1:$1,0)+1,FALSE)</f>
        <v>60</v>
      </c>
      <c r="K56" s="23" t="s">
        <v>53</v>
      </c>
      <c r="L56" s="86">
        <v>28</v>
      </c>
      <c r="M56" s="15" t="str">
        <f ca="1">VLOOKUP($L56,OFFSET([3]enemies!$A$1,0,0,COUNTA([3]enemies!$A:$A),MATCH(M$1,[3]enemies!$1:$1,0)-MATCH($L$1,[3]enemies!$1:$1,0)+1),MATCH(M$1,[3]enemies!$1:$1,0)-MATCH($L$1,[3]enemies!$1:$1,0)+1,FALSE)</f>
        <v>現場急行 パトラインカスタム</v>
      </c>
      <c r="N56" s="15" t="str">
        <f ca="1">VLOOKUP($L56,OFFSET([3]enemies!$A$1,0,0,COUNTA([3]enemies!$A:$A),MATCH(N$1,[3]enemies!$1:$1,0)-MATCH($L$1,[3]enemies!$1:$1,0)+1),MATCH(N$1,[3]enemies!$1:$1,0)-MATCH($L$1,[3]enemies!$1:$1,0)+1,FALSE)</f>
        <v>green</v>
      </c>
      <c r="O56" s="15" t="str">
        <f ca="1">VLOOKUP($L56,OFFSET([4]characters!$A$1,0,0,COUNTA([4]characters!$A:$A),MATCH(O$1,[4]characters!$1:$1,0)-MATCH($L$1,[4]characters!$1:$1,0)+1),MATCH(O$1,[4]characters!$1:$1,0)-MATCH($L$1,[4]characters!$1:$1,0)+1,FALSE)</f>
        <v>Drop1N</v>
      </c>
      <c r="P56" s="15" t="str">
        <f ca="1">VLOOKUP($L56,OFFSET([3]enemies!$A$1,0,0,COUNTA([3]enemies!$A:$A),MATCH(P$1,[3]enemies!$1:$1,0)-MATCH($L$1,[3]enemies!$1:$1,0)+1),MATCH(P$1,[3]enemies!$1:$1,0)-MATCH($L$1,[3]enemies!$1:$1,0)+1,FALSE)</f>
        <v>machine</v>
      </c>
      <c r="Q56" s="15">
        <f ca="1">VLOOKUP($L56,OFFSET([3]enemies!$A$1,0,0,COUNTA([3]enemies!$A:$A),MATCH(Q$1,[3]enemies!$1:$1,0)-MATCH($L$1,[3]enemies!$1:$1,0)+1),MATCH(Q$1,[3]enemies!$1:$1,0)-MATCH($L$1,[3]enemies!$1:$1,0)+1,FALSE)</f>
        <v>15</v>
      </c>
      <c r="R56" s="440">
        <v>63</v>
      </c>
      <c r="S56" s="441">
        <v>1.6</v>
      </c>
      <c r="T56" s="441">
        <v>3.8</v>
      </c>
      <c r="U56" s="440">
        <v>0</v>
      </c>
      <c r="V56" s="15"/>
      <c r="W56" s="15">
        <v>0</v>
      </c>
      <c r="X56" s="46">
        <v>1</v>
      </c>
      <c r="Y56" s="46">
        <v>100</v>
      </c>
      <c r="Z56" s="46">
        <v>0</v>
      </c>
      <c r="AA56" s="458">
        <v>3</v>
      </c>
      <c r="AB56" s="87">
        <f t="shared" si="63"/>
        <v>28</v>
      </c>
      <c r="AC56" s="15" t="str">
        <f ca="1">VLOOKUP($AB56,OFFSET([4]characters!$A$1,0,0,COUNTA([4]characters!$A:$A),MATCH(AC$1,[4]characters!$1:$1,0)-MATCH("character_id",[4]characters!$1:$1,0)+1),MATCH(AC$1,[4]characters!$1:$1,0)-MATCH("character_id",[4]characters!$1:$1,0)+1,FALSE)</f>
        <v>現場急行 パトラインカスタム</v>
      </c>
      <c r="AD56" s="15">
        <f ca="1">VLOOKUP($AB56,OFFSET([4]characters!$A$1,0,0,COUNTA([4]characters!$A:$A),MATCH(AD$1,[4]characters!$1:$1,0)-MATCH("character_id",[4]characters!$1:$1,0)+1),MATCH(AD$1,[4]characters!$1:$1,0)-MATCH("character_id",[4]characters!$1:$1,0)+1,FALSE)</f>
        <v>2</v>
      </c>
      <c r="AE56" s="15" t="str">
        <f ca="1">VLOOKUP($AB56,OFFSET([4]characters!$A$1,0,0,COUNTA([4]characters!$A:$A),MATCH(AE$1,[4]characters!$1:$1,0)-MATCH("character_id",[4]characters!$1:$1,0)+1),MATCH(AE$1,[4]characters!$1:$1,0)-MATCH("character_id",[4]characters!$1:$1,0)+1,FALSE)</f>
        <v>Drop1N</v>
      </c>
      <c r="AF56" s="88">
        <v>1</v>
      </c>
      <c r="AG56" s="87">
        <f t="shared" ca="1" si="64"/>
        <v>2</v>
      </c>
      <c r="AH56" s="88">
        <v>0</v>
      </c>
      <c r="AI56" s="120">
        <v>0</v>
      </c>
      <c r="AJ56" s="120">
        <v>0</v>
      </c>
      <c r="AK56" s="120">
        <v>0</v>
      </c>
      <c r="AL56" s="120">
        <v>0</v>
      </c>
      <c r="AM56" s="120">
        <v>1</v>
      </c>
      <c r="AN56" s="451">
        <v>1</v>
      </c>
      <c r="AO56" s="111"/>
      <c r="AP56" s="111"/>
      <c r="AQ56" s="111"/>
      <c r="AR56" s="111"/>
      <c r="AS56" s="111"/>
      <c r="AT56" s="111"/>
      <c r="AU56" s="111"/>
      <c r="AV56" s="111"/>
      <c r="AW56" s="111"/>
      <c r="AX56" s="111"/>
      <c r="AY56" s="111"/>
      <c r="AZ56" s="111"/>
      <c r="BA56" s="111"/>
      <c r="BB56" s="111"/>
      <c r="BC56" s="111"/>
      <c r="BD56" s="111"/>
      <c r="BE56" s="111"/>
      <c r="BF56" s="111"/>
      <c r="BG56" s="111"/>
    </row>
    <row r="57" spans="1:59" s="111" customFormat="1" ht="21" customHeight="1" x14ac:dyDescent="0.15">
      <c r="A57" s="401" t="str">
        <f t="shared" si="60"/>
        <v>60007_3-2/36&lt;lv40&gt;s4</v>
      </c>
      <c r="B57" s="446">
        <v>60007</v>
      </c>
      <c r="C57" s="86">
        <v>3</v>
      </c>
      <c r="D57" s="12" t="str">
        <f t="shared" si="61"/>
        <v>60007_3</v>
      </c>
      <c r="E57" s="403" t="str">
        <f ca="1">VLOOKUP($B57,OFFSET([2]quests!$A$1,0,0,COUNTA([2]quests!$A:$A),MATCH(E$1,[2]quests!$1:$1,0)-MATCH($B$1,[2]quests!$1:$1,0)+1),MATCH(E$1,[2]quests!$1:$1,0)-MATCH($B$1,[2]quests!$1:$1,0)+1,FALSE)</f>
        <v>オイラーチャレンジ</v>
      </c>
      <c r="F57" s="403" t="str">
        <f ca="1">VLOOKUP($D57,OFFSET([2]stages!$A$1,0,0,COUNTA([2]stages!$A:$A),MATCH(F$1,[2]stages!$2:$2,0)-MATCH($D$1,[2]stages!$2:$2,0)+1),MATCH(F$1,[2]stages!$2:$2,0)-MATCH($D$1,[2]stages!$2:$2,0)+1,FALSE)</f>
        <v>【ウィザード級】オイラーチャレンジ</v>
      </c>
      <c r="G57" s="86">
        <v>2</v>
      </c>
      <c r="H57" s="86" t="str">
        <f t="shared" si="62"/>
        <v>60007_3-2</v>
      </c>
      <c r="I57" s="429">
        <f ca="1">VLOOKUP($H57,OFFSET(floors!$A$1,0,0,COUNTA(floors!$A:$A),MATCH(I$1,floors!$1:$1,0)-MATCH($H$1,floors!$1:$1,0)+1),MATCH(I$1,floors!$1:$1,0)-MATCH($H$1,floors!$1:$1,0)+1,FALSE)</f>
        <v>60</v>
      </c>
      <c r="J57" s="429">
        <f ca="1">VLOOKUP($H57,OFFSET(floors!$A$1,0,0,COUNTA(floors!$A:$A),MATCH(J$1,floors!$1:$1,0)-MATCH($H$1,floors!$1:$1,0)+1),MATCH(J$1,floors!$1:$1,0)-MATCH($H$1,floors!$1:$1,0)+1,FALSE)</f>
        <v>60</v>
      </c>
      <c r="K57" s="23" t="s">
        <v>53</v>
      </c>
      <c r="L57" s="86">
        <v>36</v>
      </c>
      <c r="M57" s="405" t="str">
        <f ca="1">VLOOKUP($L57,OFFSET([3]enemies!$A$1,0,0,COUNTA([3]enemies!$A:$A),MATCH(M$1,[3]enemies!$1:$1,0)-MATCH($L$1,[3]enemies!$1:$1,0)+1),MATCH(M$1,[3]enemies!$1:$1,0)-MATCH($L$1,[3]enemies!$1:$1,0)+1,FALSE)</f>
        <v>オフィス追尾型移動地雷F3</v>
      </c>
      <c r="N57" s="405" t="str">
        <f ca="1">VLOOKUP($L57,OFFSET([3]enemies!$A$1,0,0,COUNTA([3]enemies!$A:$A),MATCH(N$1,[3]enemies!$1:$1,0)-MATCH($L$1,[3]enemies!$1:$1,0)+1),MATCH(N$1,[3]enemies!$1:$1,0)-MATCH($L$1,[3]enemies!$1:$1,0)+1,FALSE)</f>
        <v>green</v>
      </c>
      <c r="O57" s="405" t="str">
        <f ca="1">VLOOKUP($L57,OFFSET([4]characters!$A$1,0,0,COUNTA([4]characters!$A:$A),MATCH(O$1,[4]characters!$1:$1,0)-MATCH($L$1,[4]characters!$1:$1,0)+1),MATCH(O$1,[4]characters!$1:$1,0)-MATCH($L$1,[4]characters!$1:$1,0)+1,FALSE)</f>
        <v>Drop1S</v>
      </c>
      <c r="P57" s="405" t="str">
        <f ca="1">VLOOKUP($L57,OFFSET([3]enemies!$A$1,0,0,COUNTA([3]enemies!$A:$A),MATCH(P$1,[3]enemies!$1:$1,0)-MATCH($L$1,[3]enemies!$1:$1,0)+1),MATCH(P$1,[3]enemies!$1:$1,0)-MATCH($L$1,[3]enemies!$1:$1,0)+1,FALSE)</f>
        <v>machine</v>
      </c>
      <c r="Q57" s="405">
        <f ca="1">VLOOKUP($L57,OFFSET([3]enemies!$A$1,0,0,COUNTA([3]enemies!$A:$A),MATCH(Q$1,[3]enemies!$1:$1,0)-MATCH($L$1,[3]enemies!$1:$1,0)+1),MATCH(Q$1,[3]enemies!$1:$1,0)-MATCH($L$1,[3]enemies!$1:$1,0)+1,FALSE)</f>
        <v>20</v>
      </c>
      <c r="R57" s="440">
        <v>40</v>
      </c>
      <c r="S57" s="433">
        <v>1</v>
      </c>
      <c r="T57" s="433">
        <v>0.5</v>
      </c>
      <c r="U57" s="432">
        <v>0</v>
      </c>
      <c r="V57" s="403"/>
      <c r="W57" s="461">
        <v>60006001</v>
      </c>
      <c r="X57" s="434">
        <v>0</v>
      </c>
      <c r="Y57" s="434">
        <v>100</v>
      </c>
      <c r="Z57" s="434">
        <v>0</v>
      </c>
      <c r="AA57" s="459">
        <v>4</v>
      </c>
      <c r="AB57" s="87">
        <f t="shared" si="63"/>
        <v>36</v>
      </c>
      <c r="AC57" s="403" t="str">
        <f ca="1">VLOOKUP($AB57,OFFSET([4]characters!$A$1,0,0,COUNTA([4]characters!$A:$A),MATCH(AC$1,[4]characters!$1:$1,0)-MATCH("character_id",[4]characters!$1:$1,0)+1),MATCH(AC$1,[4]characters!$1:$1,0)-MATCH("character_id",[4]characters!$1:$1,0)+1,FALSE)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57" s="403">
        <f ca="1">VLOOKUP($AB57,OFFSET([4]characters!$A$1,0,0,COUNTA([4]characters!$A:$A),MATCH(AD$1,[4]characters!$1:$1,0)-MATCH("character_id",[4]characters!$1:$1,0)+1),MATCH(AD$1,[4]characters!$1:$1,0)-MATCH("character_id",[4]characters!$1:$1,0)+1,FALSE)</f>
        <v>3</v>
      </c>
      <c r="AE57" s="403" t="str">
        <f ca="1">VLOOKUP($AB57,OFFSET([4]characters!$A$1,0,0,COUNTA([4]characters!$A:$A),MATCH(AE$1,[4]characters!$1:$1,0)-MATCH("character_id",[4]characters!$1:$1,0)+1),MATCH(AE$1,[4]characters!$1:$1,0)-MATCH("character_id",[4]characters!$1:$1,0)+1,FALSE)</f>
        <v>Drop1S</v>
      </c>
      <c r="AF57" s="88">
        <v>1</v>
      </c>
      <c r="AG57" s="87">
        <f t="shared" ca="1" si="64"/>
        <v>3</v>
      </c>
      <c r="AH57" s="88">
        <v>0</v>
      </c>
      <c r="AI57" s="97">
        <v>0</v>
      </c>
      <c r="AJ57" s="97">
        <v>0</v>
      </c>
      <c r="AK57" s="97">
        <v>0</v>
      </c>
      <c r="AL57" s="97">
        <v>0</v>
      </c>
      <c r="AM57" s="97">
        <v>1</v>
      </c>
      <c r="AN57" s="452">
        <v>1</v>
      </c>
    </row>
    <row r="58" spans="1:59" s="111" customFormat="1" ht="21" customHeight="1" x14ac:dyDescent="0.15">
      <c r="A58" s="401" t="str">
        <f t="shared" si="60"/>
        <v>60007_3-2/36&lt;lv41&gt;s4</v>
      </c>
      <c r="B58" s="446">
        <v>60007</v>
      </c>
      <c r="C58" s="86">
        <v>3</v>
      </c>
      <c r="D58" s="12" t="str">
        <f t="shared" si="61"/>
        <v>60007_3</v>
      </c>
      <c r="E58" s="403" t="str">
        <f ca="1">VLOOKUP($B58,OFFSET([2]quests!$A$1,0,0,COUNTA([2]quests!$A:$A),MATCH(E$1,[2]quests!$1:$1,0)-MATCH($B$1,[2]quests!$1:$1,0)+1),MATCH(E$1,[2]quests!$1:$1,0)-MATCH($B$1,[2]quests!$1:$1,0)+1,FALSE)</f>
        <v>オイラーチャレンジ</v>
      </c>
      <c r="F58" s="403" t="str">
        <f ca="1">VLOOKUP($D58,OFFSET([2]stages!$A$1,0,0,COUNTA([2]stages!$A:$A),MATCH(F$1,[2]stages!$2:$2,0)-MATCH($D$1,[2]stages!$2:$2,0)+1),MATCH(F$1,[2]stages!$2:$2,0)-MATCH($D$1,[2]stages!$2:$2,0)+1,FALSE)</f>
        <v>【ウィザード級】オイラーチャレンジ</v>
      </c>
      <c r="G58" s="86">
        <v>2</v>
      </c>
      <c r="H58" s="86" t="str">
        <f t="shared" si="62"/>
        <v>60007_3-2</v>
      </c>
      <c r="I58" s="429">
        <f ca="1">VLOOKUP($H58,OFFSET(floors!$A$1,0,0,COUNTA(floors!$A:$A),MATCH(I$1,floors!$1:$1,0)-MATCH($H$1,floors!$1:$1,0)+1),MATCH(I$1,floors!$1:$1,0)-MATCH($H$1,floors!$1:$1,0)+1,FALSE)</f>
        <v>60</v>
      </c>
      <c r="J58" s="429">
        <f ca="1">VLOOKUP($H58,OFFSET(floors!$A$1,0,0,COUNTA(floors!$A:$A),MATCH(J$1,floors!$1:$1,0)-MATCH($H$1,floors!$1:$1,0)+1),MATCH(J$1,floors!$1:$1,0)-MATCH($H$1,floors!$1:$1,0)+1,FALSE)</f>
        <v>60</v>
      </c>
      <c r="K58" s="23" t="s">
        <v>53</v>
      </c>
      <c r="L58" s="86">
        <v>36</v>
      </c>
      <c r="M58" s="405" t="str">
        <f ca="1">VLOOKUP($L58,OFFSET([3]enemies!$A$1,0,0,COUNTA([3]enemies!$A:$A),MATCH(M$1,[3]enemies!$1:$1,0)-MATCH($L$1,[3]enemies!$1:$1,0)+1),MATCH(M$1,[3]enemies!$1:$1,0)-MATCH($L$1,[3]enemies!$1:$1,0)+1,FALSE)</f>
        <v>オフィス追尾型移動地雷F3</v>
      </c>
      <c r="N58" s="405" t="str">
        <f ca="1">VLOOKUP($L58,OFFSET([3]enemies!$A$1,0,0,COUNTA([3]enemies!$A:$A),MATCH(N$1,[3]enemies!$1:$1,0)-MATCH($L$1,[3]enemies!$1:$1,0)+1),MATCH(N$1,[3]enemies!$1:$1,0)-MATCH($L$1,[3]enemies!$1:$1,0)+1,FALSE)</f>
        <v>green</v>
      </c>
      <c r="O58" s="405" t="str">
        <f ca="1">VLOOKUP($L58,OFFSET([4]characters!$A$1,0,0,COUNTA([4]characters!$A:$A),MATCH(O$1,[4]characters!$1:$1,0)-MATCH($L$1,[4]characters!$1:$1,0)+1),MATCH(O$1,[4]characters!$1:$1,0)-MATCH($L$1,[4]characters!$1:$1,0)+1,FALSE)</f>
        <v>Drop1S</v>
      </c>
      <c r="P58" s="405" t="str">
        <f ca="1">VLOOKUP($L58,OFFSET([3]enemies!$A$1,0,0,COUNTA([3]enemies!$A:$A),MATCH(P$1,[3]enemies!$1:$1,0)-MATCH($L$1,[3]enemies!$1:$1,0)+1),MATCH(P$1,[3]enemies!$1:$1,0)-MATCH($L$1,[3]enemies!$1:$1,0)+1,FALSE)</f>
        <v>machine</v>
      </c>
      <c r="Q58" s="405">
        <f ca="1">VLOOKUP($L58,OFFSET([3]enemies!$A$1,0,0,COUNTA([3]enemies!$A:$A),MATCH(Q$1,[3]enemies!$1:$1,0)-MATCH($L$1,[3]enemies!$1:$1,0)+1),MATCH(Q$1,[3]enemies!$1:$1,0)-MATCH($L$1,[3]enemies!$1:$1,0)+1,FALSE)</f>
        <v>20</v>
      </c>
      <c r="R58" s="440">
        <v>41</v>
      </c>
      <c r="S58" s="433">
        <v>1</v>
      </c>
      <c r="T58" s="433">
        <v>0.5</v>
      </c>
      <c r="U58" s="432">
        <v>0</v>
      </c>
      <c r="V58" s="403"/>
      <c r="W58" s="461">
        <v>60006001</v>
      </c>
      <c r="X58" s="434">
        <v>0</v>
      </c>
      <c r="Y58" s="434">
        <v>100</v>
      </c>
      <c r="Z58" s="434">
        <v>0</v>
      </c>
      <c r="AA58" s="459">
        <v>4</v>
      </c>
      <c r="AB58" s="87">
        <f t="shared" si="63"/>
        <v>36</v>
      </c>
      <c r="AC58" s="403" t="str">
        <f ca="1">VLOOKUP($AB58,OFFSET([4]characters!$A$1,0,0,COUNTA([4]characters!$A:$A),MATCH(AC$1,[4]characters!$1:$1,0)-MATCH("character_id",[4]characters!$1:$1,0)+1),MATCH(AC$1,[4]characters!$1:$1,0)-MATCH("character_id",[4]characters!$1:$1,0)+1,FALSE)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58" s="403">
        <f ca="1">VLOOKUP($AB58,OFFSET([4]characters!$A$1,0,0,COUNTA([4]characters!$A:$A),MATCH(AD$1,[4]characters!$1:$1,0)-MATCH("character_id",[4]characters!$1:$1,0)+1),MATCH(AD$1,[4]characters!$1:$1,0)-MATCH("character_id",[4]characters!$1:$1,0)+1,FALSE)</f>
        <v>3</v>
      </c>
      <c r="AE58" s="403" t="str">
        <f ca="1">VLOOKUP($AB58,OFFSET([4]characters!$A$1,0,0,COUNTA([4]characters!$A:$A),MATCH(AE$1,[4]characters!$1:$1,0)-MATCH("character_id",[4]characters!$1:$1,0)+1),MATCH(AE$1,[4]characters!$1:$1,0)-MATCH("character_id",[4]characters!$1:$1,0)+1,FALSE)</f>
        <v>Drop1S</v>
      </c>
      <c r="AF58" s="88">
        <v>1</v>
      </c>
      <c r="AG58" s="87">
        <f t="shared" ca="1" si="64"/>
        <v>3</v>
      </c>
      <c r="AH58" s="88">
        <v>0</v>
      </c>
      <c r="AI58" s="97">
        <v>0</v>
      </c>
      <c r="AJ58" s="97">
        <v>0</v>
      </c>
      <c r="AK58" s="97">
        <v>0</v>
      </c>
      <c r="AL58" s="97">
        <v>0</v>
      </c>
      <c r="AM58" s="97">
        <v>1</v>
      </c>
      <c r="AN58" s="452">
        <v>1</v>
      </c>
    </row>
    <row r="59" spans="1:59" s="122" customFormat="1" ht="21" customHeight="1" thickBot="1" x14ac:dyDescent="0.2">
      <c r="A59" s="401" t="str">
        <f t="shared" si="60"/>
        <v>60007_3-2/36&lt;lv42&gt;s4</v>
      </c>
      <c r="B59" s="446">
        <v>60007</v>
      </c>
      <c r="C59" s="86">
        <v>3</v>
      </c>
      <c r="D59" s="12" t="str">
        <f t="shared" si="61"/>
        <v>60007_3</v>
      </c>
      <c r="E59" s="403" t="str">
        <f ca="1">VLOOKUP($B59,OFFSET([2]quests!$A$1,0,0,COUNTA([2]quests!$A:$A),MATCH(E$1,[2]quests!$1:$1,0)-MATCH($B$1,[2]quests!$1:$1,0)+1),MATCH(E$1,[2]quests!$1:$1,0)-MATCH($B$1,[2]quests!$1:$1,0)+1,FALSE)</f>
        <v>オイラーチャレンジ</v>
      </c>
      <c r="F59" s="403" t="str">
        <f ca="1">VLOOKUP($D59,OFFSET([2]stages!$A$1,0,0,COUNTA([2]stages!$A:$A),MATCH(F$1,[2]stages!$2:$2,0)-MATCH($D$1,[2]stages!$2:$2,0)+1),MATCH(F$1,[2]stages!$2:$2,0)-MATCH($D$1,[2]stages!$2:$2,0)+1,FALSE)</f>
        <v>【ウィザード級】オイラーチャレンジ</v>
      </c>
      <c r="G59" s="86">
        <v>2</v>
      </c>
      <c r="H59" s="86" t="str">
        <f t="shared" si="62"/>
        <v>60007_3-2</v>
      </c>
      <c r="I59" s="429">
        <f ca="1">VLOOKUP($H59,OFFSET(floors!$A$1,0,0,COUNTA(floors!$A:$A),MATCH(I$1,floors!$1:$1,0)-MATCH($H$1,floors!$1:$1,0)+1),MATCH(I$1,floors!$1:$1,0)-MATCH($H$1,floors!$1:$1,0)+1,FALSE)</f>
        <v>60</v>
      </c>
      <c r="J59" s="429">
        <f ca="1">VLOOKUP($H59,OFFSET(floors!$A$1,0,0,COUNTA(floors!$A:$A),MATCH(J$1,floors!$1:$1,0)-MATCH($H$1,floors!$1:$1,0)+1),MATCH(J$1,floors!$1:$1,0)-MATCH($H$1,floors!$1:$1,0)+1,FALSE)</f>
        <v>60</v>
      </c>
      <c r="K59" s="23" t="s">
        <v>53</v>
      </c>
      <c r="L59" s="86">
        <v>36</v>
      </c>
      <c r="M59" s="405" t="str">
        <f ca="1">VLOOKUP($L59,OFFSET([3]enemies!$A$1,0,0,COUNTA([3]enemies!$A:$A),MATCH(M$1,[3]enemies!$1:$1,0)-MATCH($L$1,[3]enemies!$1:$1,0)+1),MATCH(M$1,[3]enemies!$1:$1,0)-MATCH($L$1,[3]enemies!$1:$1,0)+1,FALSE)</f>
        <v>オフィス追尾型移動地雷F3</v>
      </c>
      <c r="N59" s="405" t="str">
        <f ca="1">VLOOKUP($L59,OFFSET([3]enemies!$A$1,0,0,COUNTA([3]enemies!$A:$A),MATCH(N$1,[3]enemies!$1:$1,0)-MATCH($L$1,[3]enemies!$1:$1,0)+1),MATCH(N$1,[3]enemies!$1:$1,0)-MATCH($L$1,[3]enemies!$1:$1,0)+1,FALSE)</f>
        <v>green</v>
      </c>
      <c r="O59" s="405" t="str">
        <f ca="1">VLOOKUP($L59,OFFSET([4]characters!$A$1,0,0,COUNTA([4]characters!$A:$A),MATCH(O$1,[4]characters!$1:$1,0)-MATCH($L$1,[4]characters!$1:$1,0)+1),MATCH(O$1,[4]characters!$1:$1,0)-MATCH($L$1,[4]characters!$1:$1,0)+1,FALSE)</f>
        <v>Drop1S</v>
      </c>
      <c r="P59" s="405" t="str">
        <f ca="1">VLOOKUP($L59,OFFSET([3]enemies!$A$1,0,0,COUNTA([3]enemies!$A:$A),MATCH(P$1,[3]enemies!$1:$1,0)-MATCH($L$1,[3]enemies!$1:$1,0)+1),MATCH(P$1,[3]enemies!$1:$1,0)-MATCH($L$1,[3]enemies!$1:$1,0)+1,FALSE)</f>
        <v>machine</v>
      </c>
      <c r="Q59" s="405">
        <f ca="1">VLOOKUP($L59,OFFSET([3]enemies!$A$1,0,0,COUNTA([3]enemies!$A:$A),MATCH(Q$1,[3]enemies!$1:$1,0)-MATCH($L$1,[3]enemies!$1:$1,0)+1),MATCH(Q$1,[3]enemies!$1:$1,0)-MATCH($L$1,[3]enemies!$1:$1,0)+1,FALSE)</f>
        <v>20</v>
      </c>
      <c r="R59" s="440">
        <v>42</v>
      </c>
      <c r="S59" s="433">
        <v>1</v>
      </c>
      <c r="T59" s="433">
        <v>0.5</v>
      </c>
      <c r="U59" s="432">
        <v>0</v>
      </c>
      <c r="V59" s="403"/>
      <c r="W59" s="461">
        <v>60006001</v>
      </c>
      <c r="X59" s="434">
        <v>0</v>
      </c>
      <c r="Y59" s="434">
        <v>100</v>
      </c>
      <c r="Z59" s="434">
        <v>0</v>
      </c>
      <c r="AA59" s="459">
        <v>4</v>
      </c>
      <c r="AB59" s="87">
        <f t="shared" si="63"/>
        <v>36</v>
      </c>
      <c r="AC59" s="403" t="str">
        <f ca="1">VLOOKUP($AB59,OFFSET([4]characters!$A$1,0,0,COUNTA([4]characters!$A:$A),MATCH(AC$1,[4]characters!$1:$1,0)-MATCH("character_id",[4]characters!$1:$1,0)+1),MATCH(AC$1,[4]characters!$1:$1,0)-MATCH("character_id",[4]characters!$1:$1,0)+1,FALSE)</f>
        <v>オフィス追尾型移動地雷F3</v>
      </c>
      <c r="AD59" s="403">
        <f ca="1">VLOOKUP($AB59,OFFSET([4]characters!$A$1,0,0,COUNTA([4]characters!$A:$A),MATCH(AD$1,[4]characters!$1:$1,0)-MATCH("character_id",[4]characters!$1:$1,0)+1),MATCH(AD$1,[4]characters!$1:$1,0)-MATCH("character_id",[4]characters!$1:$1,0)+1,FALSE)</f>
        <v>3</v>
      </c>
      <c r="AE59" s="403" t="str">
        <f ca="1">VLOOKUP($AB59,OFFSET([4]characters!$A$1,0,0,COUNTA([4]characters!$A:$A),MATCH(AE$1,[4]characters!$1:$1,0)-MATCH("character_id",[4]characters!$1:$1,0)+1),MATCH(AE$1,[4]characters!$1:$1,0)-MATCH("character_id",[4]characters!$1:$1,0)+1,FALSE)</f>
        <v>Drop1S</v>
      </c>
      <c r="AF59" s="88">
        <v>1</v>
      </c>
      <c r="AG59" s="87">
        <f t="shared" ca="1" si="64"/>
        <v>3</v>
      </c>
      <c r="AH59" s="88">
        <v>0</v>
      </c>
      <c r="AI59" s="166">
        <v>0</v>
      </c>
      <c r="AJ59" s="166">
        <v>0</v>
      </c>
      <c r="AK59" s="166">
        <v>0</v>
      </c>
      <c r="AL59" s="166">
        <v>0</v>
      </c>
      <c r="AM59" s="166">
        <v>1</v>
      </c>
      <c r="AN59" s="454">
        <v>1</v>
      </c>
      <c r="AO59" s="111"/>
      <c r="AP59" s="111"/>
      <c r="AQ59" s="111"/>
      <c r="AR59" s="111"/>
      <c r="AS59" s="111"/>
      <c r="AT59" s="111"/>
      <c r="AU59" s="111"/>
      <c r="AV59" s="111"/>
      <c r="AW59" s="111"/>
      <c r="AX59" s="111"/>
      <c r="AY59" s="111"/>
      <c r="AZ59" s="111"/>
      <c r="BA59" s="111"/>
      <c r="BB59" s="111"/>
      <c r="BC59" s="111"/>
      <c r="BD59" s="111"/>
      <c r="BE59" s="111"/>
      <c r="BF59" s="111"/>
      <c r="BG59" s="111"/>
    </row>
    <row r="60" spans="1:59" s="255" customFormat="1" ht="21" customHeight="1" thickBot="1" x14ac:dyDescent="0.2">
      <c r="A60" s="401" t="str">
        <f t="shared" si="60"/>
        <v>60007_3-3/492&lt;lv60&gt;s2</v>
      </c>
      <c r="B60" s="446">
        <v>60007</v>
      </c>
      <c r="C60" s="86">
        <v>3</v>
      </c>
      <c r="D60" s="12" t="str">
        <f t="shared" si="61"/>
        <v>60007_3</v>
      </c>
      <c r="E60" s="403" t="str">
        <f ca="1">VLOOKUP($B60,OFFSET([2]quests!$A$1,0,0,COUNTA([2]quests!$A:$A),MATCH(E$1,[2]quests!$1:$1,0)-MATCH($B$1,[2]quests!$1:$1,0)+1),MATCH(E$1,[2]quests!$1:$1,0)-MATCH($B$1,[2]quests!$1:$1,0)+1,FALSE)</f>
        <v>オイラーチャレンジ</v>
      </c>
      <c r="F60" s="403" t="str">
        <f ca="1">VLOOKUP($D60,OFFSET([2]stages!$A$1,0,0,COUNTA([2]stages!$A:$A),MATCH(F$1,[2]stages!$2:$2,0)-MATCH($D$1,[2]stages!$2:$2,0)+1),MATCH(F$1,[2]stages!$2:$2,0)-MATCH($D$1,[2]stages!$2:$2,0)+1,FALSE)</f>
        <v>【ウィザード級】オイラーチャレンジ</v>
      </c>
      <c r="G60" s="86">
        <v>3</v>
      </c>
      <c r="H60" s="86" t="str">
        <f t="shared" si="62"/>
        <v>60007_3-3</v>
      </c>
      <c r="I60" s="429">
        <f ca="1">VLOOKUP($H60,OFFSET(floors!$A$1,0,0,COUNTA(floors!$A:$A),MATCH(I$1,floors!$1:$1,0)-MATCH($H$1,floors!$1:$1,0)+1),MATCH(I$1,floors!$1:$1,0)-MATCH($H$1,floors!$1:$1,0)+1,FALSE)</f>
        <v>60</v>
      </c>
      <c r="J60" s="429">
        <f ca="1">VLOOKUP($H60,OFFSET(floors!$A$1,0,0,COUNTA(floors!$A:$A),MATCH(J$1,floors!$1:$1,0)-MATCH($H$1,floors!$1:$1,0)+1),MATCH(J$1,floors!$1:$1,0)-MATCH($H$1,floors!$1:$1,0)+1,FALSE)</f>
        <v>60</v>
      </c>
      <c r="K60" s="23">
        <v>3</v>
      </c>
      <c r="L60" s="86">
        <v>492</v>
      </c>
      <c r="M60" s="405" t="str">
        <f ca="1">VLOOKUP($L60,OFFSET([3]enemies!$A$1,0,0,COUNTA([3]enemies!$A:$A),MATCH(M$1,[3]enemies!$1:$1,0)-MATCH($L$1,[3]enemies!$1:$1,0)+1),MATCH(M$1,[3]enemies!$1:$1,0)-MATCH($L$1,[3]enemies!$1:$1,0)+1,FALSE)</f>
        <v>ブートレグ・ペロー</v>
      </c>
      <c r="N60" s="405" t="str">
        <f ca="1">VLOOKUP($L60,OFFSET([3]enemies!$A$1,0,0,COUNTA([3]enemies!$A:$A),MATCH(N$1,[3]enemies!$1:$1,0)-MATCH($L$1,[3]enemies!$1:$1,0)+1),MATCH(N$1,[3]enemies!$1:$1,0)-MATCH($L$1,[3]enemies!$1:$1,0)+1,FALSE)</f>
        <v>red</v>
      </c>
      <c r="O60" s="405" t="str">
        <f ca="1">VLOOKUP($L60,OFFSET([4]characters!$A$1,0,0,COUNTA([4]characters!$A:$A),MATCH(O$1,[4]characters!$1:$1,0)-MATCH($L$1,[4]characters!$1:$1,0)+1),MATCH(O$1,[4]characters!$1:$1,0)-MATCH($L$1,[4]characters!$1:$1,0)+1,FALSE)</f>
        <v>PremiumSS</v>
      </c>
      <c r="P60" s="405" t="str">
        <f ca="1">VLOOKUP($L60,OFFSET([3]enemies!$A$1,0,0,COUNTA([3]enemies!$A:$A),MATCH(P$1,[3]enemies!$1:$1,0)-MATCH($L$1,[3]enemies!$1:$1,0)+1),MATCH(P$1,[3]enemies!$1:$1,0)-MATCH($L$1,[3]enemies!$1:$1,0)+1,FALSE)</f>
        <v>animal</v>
      </c>
      <c r="Q60" s="405">
        <f ca="1">VLOOKUP($L60,OFFSET([3]enemies!$A$1,0,0,COUNTA([3]enemies!$A:$A),MATCH(Q$1,[3]enemies!$1:$1,0)-MATCH($L$1,[3]enemies!$1:$1,0)+1),MATCH(Q$1,[3]enemies!$1:$1,0)-MATCH($L$1,[3]enemies!$1:$1,0)+1,FALSE)</f>
        <v>30</v>
      </c>
      <c r="R60" s="432">
        <v>60</v>
      </c>
      <c r="S60" s="433">
        <v>2</v>
      </c>
      <c r="T60" s="433">
        <v>1.3</v>
      </c>
      <c r="U60" s="432">
        <v>0</v>
      </c>
      <c r="V60" s="403"/>
      <c r="W60" s="462">
        <v>60006002</v>
      </c>
      <c r="X60" s="434">
        <v>0</v>
      </c>
      <c r="Y60" s="434">
        <v>100</v>
      </c>
      <c r="Z60" s="434">
        <v>1</v>
      </c>
      <c r="AA60" s="459">
        <v>2</v>
      </c>
      <c r="AB60" s="87">
        <f t="shared" si="63"/>
        <v>492</v>
      </c>
      <c r="AC60" s="403" t="str">
        <f ca="1">VLOOKUP($AB60,OFFSET([4]characters!$A$1,0,0,COUNTA([4]characters!$A:$A),MATCH(AC$1,[4]characters!$1:$1,0)-MATCH("character_id",[4]characters!$1:$1,0)+1),MATCH(AC$1,[4]characters!$1:$1,0)-MATCH("character_id",[4]characters!$1:$1,0)+1,FALSE)</f>
        <v>ブートレグ・ペロー</v>
      </c>
      <c r="AD60" s="403">
        <f ca="1">VLOOKUP($AB60,OFFSET([4]characters!$A$1,0,0,COUNTA([4]characters!$A:$A),MATCH(AD$1,[4]characters!$1:$1,0)-MATCH("character_id",[4]characters!$1:$1,0)+1),MATCH(AD$1,[4]characters!$1:$1,0)-MATCH("character_id",[4]characters!$1:$1,0)+1,FALSE)</f>
        <v>4</v>
      </c>
      <c r="AE60" s="403" t="str">
        <f ca="1">VLOOKUP($AB60,OFFSET([4]characters!$A$1,0,0,COUNTA([4]characters!$A:$A),MATCH(AE$1,[4]characters!$1:$1,0)-MATCH("character_id",[4]characters!$1:$1,0)+1),MATCH(AE$1,[4]characters!$1:$1,0)-MATCH("character_id",[4]characters!$1:$1,0)+1,FALSE)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0" s="88">
        <v>1</v>
      </c>
      <c r="AG60" s="87">
        <f t="shared" ca="1" si="64"/>
        <v>4</v>
      </c>
      <c r="AH60" s="88">
        <v>0</v>
      </c>
      <c r="AI60" s="254">
        <v>0</v>
      </c>
      <c r="AJ60" s="254">
        <v>0</v>
      </c>
      <c r="AK60" s="254">
        <v>0</v>
      </c>
      <c r="AL60" s="254">
        <v>0</v>
      </c>
      <c r="AM60" s="254">
        <v>1</v>
      </c>
      <c r="AN60" s="455">
        <v>1</v>
      </c>
      <c r="AO60" s="111"/>
      <c r="AP60" s="111"/>
      <c r="AQ60" s="111"/>
      <c r="AR60" s="111"/>
      <c r="AS60" s="111"/>
      <c r="AT60" s="111"/>
      <c r="AU60" s="111"/>
      <c r="AV60" s="111"/>
      <c r="AW60" s="111"/>
      <c r="AX60" s="111"/>
      <c r="AY60" s="111"/>
      <c r="AZ60" s="111"/>
      <c r="BA60" s="111"/>
      <c r="BB60" s="111"/>
      <c r="BC60" s="111"/>
      <c r="BD60" s="111"/>
      <c r="BE60" s="111"/>
      <c r="BF60" s="111"/>
      <c r="BG60" s="111"/>
    </row>
    <row r="61" spans="1:59" s="109" customFormat="1" ht="21" customHeight="1" x14ac:dyDescent="0.15">
      <c r="A61" s="401" t="str">
        <f t="shared" si="60"/>
        <v>60007_3-4/437&lt;lv60&gt;s2</v>
      </c>
      <c r="B61" s="446">
        <v>60007</v>
      </c>
      <c r="C61" s="86">
        <v>3</v>
      </c>
      <c r="D61" s="12" t="str">
        <f t="shared" si="61"/>
        <v>60007_3</v>
      </c>
      <c r="E61" s="403" t="str">
        <f ca="1">VLOOKUP($B61,OFFSET([2]quests!$A$1,0,0,COUNTA([2]quests!$A:$A),MATCH(E$1,[2]quests!$1:$1,0)-MATCH($B$1,[2]quests!$1:$1,0)+1),MATCH(E$1,[2]quests!$1:$1,0)-MATCH($B$1,[2]quests!$1:$1,0)+1,FALSE)</f>
        <v>オイラーチャレンジ</v>
      </c>
      <c r="F61" s="403" t="str">
        <f ca="1">VLOOKUP($D61,OFFSET([2]stages!$A$1,0,0,COUNTA([2]stages!$A:$A),MATCH(F$1,[2]stages!$2:$2,0)-MATCH($D$1,[2]stages!$2:$2,0)+1),MATCH(F$1,[2]stages!$2:$2,0)-MATCH($D$1,[2]stages!$2:$2,0)+1,FALSE)</f>
        <v>【ウィザード級】オイラーチャレンジ</v>
      </c>
      <c r="G61" s="86">
        <v>4</v>
      </c>
      <c r="H61" s="86" t="str">
        <f t="shared" si="62"/>
        <v>60007_3-4</v>
      </c>
      <c r="I61" s="429">
        <f ca="1">VLOOKUP($H61,OFFSET(floors!$A$1,0,0,COUNTA(floors!$A:$A),MATCH(I$1,floors!$1:$1,0)-MATCH($H$1,floors!$1:$1,0)+1),MATCH(I$1,floors!$1:$1,0)-MATCH($H$1,floors!$1:$1,0)+1,FALSE)</f>
        <v>60</v>
      </c>
      <c r="J61" s="429">
        <f ca="1">VLOOKUP($H61,OFFSET(floors!$A$1,0,0,COUNTA(floors!$A:$A),MATCH(J$1,floors!$1:$1,0)-MATCH($H$1,floors!$1:$1,0)+1),MATCH(J$1,floors!$1:$1,0)-MATCH($H$1,floors!$1:$1,0)+1,FALSE)</f>
        <v>60</v>
      </c>
      <c r="K61" s="23" t="s">
        <v>53</v>
      </c>
      <c r="L61" s="86">
        <v>437</v>
      </c>
      <c r="M61" s="405" t="str">
        <f ca="1">VLOOKUP($L61,OFFSET([3]enemies!$A$1,0,0,COUNTA([3]enemies!$A:$A),MATCH(M$1,[3]enemies!$1:$1,0)-MATCH($L$1,[3]enemies!$1:$1,0)+1),MATCH(M$1,[3]enemies!$1:$1,0)-MATCH($L$1,[3]enemies!$1:$1,0)+1,FALSE)</f>
        <v>忘却者 カカシ</v>
      </c>
      <c r="N61" s="405" t="str">
        <f ca="1">VLOOKUP($L61,OFFSET([3]enemies!$A$1,0,0,COUNTA([3]enemies!$A:$A),MATCH(N$1,[3]enemies!$1:$1,0)-MATCH($L$1,[3]enemies!$1:$1,0)+1),MATCH(N$1,[3]enemies!$1:$1,0)-MATCH($L$1,[3]enemies!$1:$1,0)+1,FALSE)</f>
        <v>green</v>
      </c>
      <c r="O61" s="405" t="str">
        <f ca="1">VLOOKUP($L61,OFFSET([4]characters!$A$1,0,0,COUNTA([4]characters!$A:$A),MATCH(O$1,[4]characters!$1:$1,0)-MATCH($L$1,[4]characters!$1:$1,0)+1),MATCH(O$1,[4]characters!$1:$1,0)-MATCH($L$1,[4]characters!$1:$1,0)+1,FALSE)</f>
        <v>PremiumS</v>
      </c>
      <c r="P61" s="405" t="str">
        <f ca="1">VLOOKUP($L61,OFFSET([3]enemies!$A$1,0,0,COUNTA([3]enemies!$A:$A),MATCH(P$1,[3]enemies!$1:$1,0)-MATCH($L$1,[3]enemies!$1:$1,0)+1),MATCH(P$1,[3]enemies!$1:$1,0)-MATCH($L$1,[3]enemies!$1:$1,0)+1,FALSE)</f>
        <v>human</v>
      </c>
      <c r="Q61" s="405">
        <f ca="1">VLOOKUP($L61,OFFSET([3]enemies!$A$1,0,0,COUNTA([3]enemies!$A:$A),MATCH(Q$1,[3]enemies!$1:$1,0)-MATCH($L$1,[3]enemies!$1:$1,0)+1),MATCH(Q$1,[3]enemies!$1:$1,0)-MATCH($L$1,[3]enemies!$1:$1,0)+1,FALSE)</f>
        <v>30</v>
      </c>
      <c r="R61" s="432">
        <v>60</v>
      </c>
      <c r="S61" s="433">
        <v>2.6</v>
      </c>
      <c r="T61" s="433">
        <v>0.8</v>
      </c>
      <c r="U61" s="432">
        <v>0</v>
      </c>
      <c r="V61" s="403"/>
      <c r="W61" s="462">
        <v>60006004</v>
      </c>
      <c r="X61" s="434">
        <v>0</v>
      </c>
      <c r="Y61" s="434">
        <v>100</v>
      </c>
      <c r="Z61" s="434">
        <v>2</v>
      </c>
      <c r="AA61" s="459">
        <v>2</v>
      </c>
      <c r="AB61" s="87">
        <f t="shared" si="63"/>
        <v>437</v>
      </c>
      <c r="AC61" s="403" t="str">
        <f ca="1">VLOOKUP($AB61,OFFSET([4]characters!$A$1,0,0,COUNTA([4]characters!$A:$A),MATCH(AC$1,[4]characters!$1:$1,0)-MATCH("character_id",[4]characters!$1:$1,0)+1),MATCH(AC$1,[4]characters!$1:$1,0)-MATCH("character_id",[4]characters!$1:$1,0)+1,FALSE)</f>
        <v>忘却者 カカシ</v>
      </c>
      <c r="AD61" s="403">
        <f ca="1">VLOOKUP($AB61,OFFSET([4]characters!$A$1,0,0,COUNTA([4]characters!$A:$A),MATCH(AD$1,[4]characters!$1:$1,0)-MATCH("character_id",[4]characters!$1:$1,0)+1),MATCH(AD$1,[4]characters!$1:$1,0)-MATCH("character_id",[4]characters!$1:$1,0)+1,FALSE)</f>
        <v>4</v>
      </c>
      <c r="AE61" s="403" t="str">
        <f ca="1">VLOOKUP($AB61,OFFSET([4]characters!$A$1,0,0,COUNTA([4]characters!$A:$A),MATCH(AE$1,[4]characters!$1:$1,0)-MATCH("character_id",[4]characters!$1:$1,0)+1),MATCH(AE$1,[4]characters!$1:$1,0)-MATCH("character_id",[4]characters!$1:$1,0)+1,FALSE)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1" s="88">
        <v>1</v>
      </c>
      <c r="AG61" s="87">
        <f t="shared" ca="1" si="64"/>
        <v>4</v>
      </c>
      <c r="AH61" s="88">
        <v>0</v>
      </c>
      <c r="AI61" s="107">
        <v>0</v>
      </c>
      <c r="AJ61" s="107">
        <v>0</v>
      </c>
      <c r="AK61" s="107">
        <v>0</v>
      </c>
      <c r="AL61" s="107">
        <v>0</v>
      </c>
      <c r="AM61" s="107">
        <v>1</v>
      </c>
      <c r="AN61" s="449">
        <v>1</v>
      </c>
      <c r="AO61" s="111"/>
      <c r="AP61" s="111"/>
      <c r="AQ61" s="111"/>
      <c r="AR61" s="111"/>
      <c r="AS61" s="111"/>
      <c r="AT61" s="111"/>
      <c r="AU61" s="111"/>
      <c r="AV61" s="111"/>
      <c r="AW61" s="111"/>
      <c r="AX61" s="111"/>
      <c r="AY61" s="111"/>
      <c r="AZ61" s="111"/>
      <c r="BA61" s="111"/>
      <c r="BB61" s="111"/>
      <c r="BC61" s="111"/>
      <c r="BD61" s="111"/>
      <c r="BE61" s="111"/>
      <c r="BF61" s="111"/>
      <c r="BG61" s="111"/>
    </row>
    <row r="62" spans="1:59" s="122" customFormat="1" ht="21" customHeight="1" thickBot="1" x14ac:dyDescent="0.2">
      <c r="A62" s="401" t="str">
        <f t="shared" si="60"/>
        <v>60007_3-4/281&lt;lv60&gt;s3</v>
      </c>
      <c r="B62" s="446">
        <v>60007</v>
      </c>
      <c r="C62" s="86">
        <v>3</v>
      </c>
      <c r="D62" s="12" t="str">
        <f t="shared" si="61"/>
        <v>60007_3</v>
      </c>
      <c r="E62" s="403" t="str">
        <f ca="1">VLOOKUP($B62,OFFSET([2]quests!$A$1,0,0,COUNTA([2]quests!$A:$A),MATCH(E$1,[2]quests!$1:$1,0)-MATCH($B$1,[2]quests!$1:$1,0)+1),MATCH(E$1,[2]quests!$1:$1,0)-MATCH($B$1,[2]quests!$1:$1,0)+1,FALSE)</f>
        <v>オイラーチャレンジ</v>
      </c>
      <c r="F62" s="403" t="str">
        <f ca="1">VLOOKUP($D62,OFFSET([2]stages!$A$1,0,0,COUNTA([2]stages!$A:$A),MATCH(F$1,[2]stages!$2:$2,0)-MATCH($D$1,[2]stages!$2:$2,0)+1),MATCH(F$1,[2]stages!$2:$2,0)-MATCH($D$1,[2]stages!$2:$2,0)+1,FALSE)</f>
        <v>【ウィザード級】オイラーチャレンジ</v>
      </c>
      <c r="G62" s="86">
        <v>4</v>
      </c>
      <c r="H62" s="86" t="str">
        <f t="shared" si="62"/>
        <v>60007_3-4</v>
      </c>
      <c r="I62" s="429">
        <f ca="1">VLOOKUP($H62,OFFSET(floors!$A$1,0,0,COUNTA(floors!$A:$A),MATCH(I$1,floors!$1:$1,0)-MATCH($H$1,floors!$1:$1,0)+1),MATCH(I$1,floors!$1:$1,0)-MATCH($H$1,floors!$1:$1,0)+1,FALSE)</f>
        <v>60</v>
      </c>
      <c r="J62" s="429">
        <f ca="1">VLOOKUP($H62,OFFSET(floors!$A$1,0,0,COUNTA(floors!$A:$A),MATCH(J$1,floors!$1:$1,0)-MATCH($H$1,floors!$1:$1,0)+1),MATCH(J$1,floors!$1:$1,0)-MATCH($H$1,floors!$1:$1,0)+1,FALSE)</f>
        <v>60</v>
      </c>
      <c r="K62" s="23" t="s">
        <v>53</v>
      </c>
      <c r="L62" s="86">
        <v>281</v>
      </c>
      <c r="M62" s="405" t="str">
        <f ca="1">VLOOKUP($L62,OFFSET([3]enemies!$A$1,0,0,COUNTA([3]enemies!$A:$A),MATCH(M$1,[3]enemies!$1:$1,0)-MATCH($L$1,[3]enemies!$1:$1,0)+1),MATCH(M$1,[3]enemies!$1:$1,0)-MATCH($L$1,[3]enemies!$1:$1,0)+1,FALSE)</f>
        <v>リンドブルム・コンデンス</v>
      </c>
      <c r="N62" s="405" t="str">
        <f ca="1">VLOOKUP($L62,OFFSET([3]enemies!$A$1,0,0,COUNTA([3]enemies!$A:$A),MATCH(N$1,[3]enemies!$1:$1,0)-MATCH($L$1,[3]enemies!$1:$1,0)+1),MATCH(N$1,[3]enemies!$1:$1,0)-MATCH($L$1,[3]enemies!$1:$1,0)+1,FALSE)</f>
        <v>green</v>
      </c>
      <c r="O62" s="405" t="str">
        <f ca="1">VLOOKUP($L62,OFFSET([4]characters!$A$1,0,0,COUNTA([4]characters!$A:$A),MATCH(O$1,[4]characters!$1:$1,0)-MATCH($L$1,[4]characters!$1:$1,0)+1),MATCH(O$1,[4]characters!$1:$1,0)-MATCH($L$1,[4]characters!$1:$1,0)+1,FALSE)</f>
        <v>DropWizW</v>
      </c>
      <c r="P62" s="405" t="str">
        <f ca="1">VLOOKUP($L62,OFFSET([3]enemies!$A$1,0,0,COUNTA([3]enemies!$A:$A),MATCH(P$1,[3]enemies!$1:$1,0)-MATCH($L$1,[3]enemies!$1:$1,0)+1),MATCH(P$1,[3]enemies!$1:$1,0)-MATCH($L$1,[3]enemies!$1:$1,0)+1,FALSE)</f>
        <v>dragon</v>
      </c>
      <c r="Q62" s="405">
        <f ca="1">VLOOKUP($L62,OFFSET([3]enemies!$A$1,0,0,COUNTA([3]enemies!$A:$A),MATCH(Q$1,[3]enemies!$1:$1,0)-MATCH($L$1,[3]enemies!$1:$1,0)+1),MATCH(Q$1,[3]enemies!$1:$1,0)-MATCH($L$1,[3]enemies!$1:$1,0)+1,FALSE)</f>
        <v>30</v>
      </c>
      <c r="R62" s="432">
        <v>60</v>
      </c>
      <c r="S62" s="433">
        <v>2</v>
      </c>
      <c r="T62" s="433">
        <v>1.4</v>
      </c>
      <c r="U62" s="432">
        <v>0</v>
      </c>
      <c r="V62" s="403"/>
      <c r="W62" s="461">
        <v>60006005</v>
      </c>
      <c r="X62" s="434">
        <v>0</v>
      </c>
      <c r="Y62" s="434">
        <v>100</v>
      </c>
      <c r="Z62" s="434">
        <v>1</v>
      </c>
      <c r="AA62" s="459">
        <v>3</v>
      </c>
      <c r="AB62" s="87">
        <f t="shared" si="63"/>
        <v>281</v>
      </c>
      <c r="AC62" s="403" t="str">
        <f ca="1">VLOOKUP($AB62,OFFSET([4]characters!$A$1,0,0,COUNTA([4]characters!$A:$A),MATCH(AC$1,[4]characters!$1:$1,0)-MATCH("character_id",[4]characters!$1:$1,0)+1),MATCH(AC$1,[4]characters!$1:$1,0)-MATCH("character_id",[4]characters!$1:$1,0)+1,FALSE)</f>
        <v>リンドブルム・コンデンス</v>
      </c>
      <c r="AD62" s="403">
        <f ca="1">VLOOKUP($AB62,OFFSET([4]characters!$A$1,0,0,COUNTA([4]characters!$A:$A),MATCH(AD$1,[4]characters!$1:$1,0)-MATCH("character_id",[4]characters!$1:$1,0)+1),MATCH(AD$1,[4]characters!$1:$1,0)-MATCH("character_id",[4]characters!$1:$1,0)+1,FALSE)</f>
        <v>4</v>
      </c>
      <c r="AE62" s="403" t="str">
        <f ca="1">VLOOKUP($AB62,OFFSET([4]characters!$A$1,0,0,COUNTA([4]characters!$A:$A),MATCH(AE$1,[4]characters!$1:$1,0)-MATCH("character_id",[4]characters!$1:$1,0)+1),MATCH(AE$1,[4]characters!$1:$1,0)-MATCH("character_id",[4]characters!$1:$1,0)+1,FALSE)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62" s="88">
        <v>1</v>
      </c>
      <c r="AG62" s="87">
        <f t="shared" ca="1" si="64"/>
        <v>4</v>
      </c>
      <c r="AH62" s="88">
        <v>0</v>
      </c>
      <c r="AI62" s="120">
        <v>0</v>
      </c>
      <c r="AJ62" s="120">
        <v>0</v>
      </c>
      <c r="AK62" s="120">
        <v>0</v>
      </c>
      <c r="AL62" s="120">
        <v>0</v>
      </c>
      <c r="AM62" s="120">
        <v>1</v>
      </c>
      <c r="AN62" s="451">
        <v>1</v>
      </c>
      <c r="AO62" s="111"/>
      <c r="AP62" s="111"/>
      <c r="AQ62" s="111"/>
      <c r="AR62" s="111"/>
      <c r="AS62" s="111"/>
      <c r="AT62" s="111"/>
      <c r="AU62" s="111"/>
      <c r="AV62" s="111"/>
      <c r="AW62" s="111"/>
      <c r="AX62" s="111"/>
      <c r="AY62" s="111"/>
      <c r="AZ62" s="111"/>
      <c r="BA62" s="111"/>
      <c r="BB62" s="111"/>
      <c r="BC62" s="111"/>
      <c r="BD62" s="111"/>
      <c r="BE62" s="111"/>
      <c r="BF62" s="111"/>
      <c r="BG62" s="111"/>
    </row>
    <row r="63" spans="1:59" s="122" customFormat="1" ht="21" customHeight="1" thickBot="1" x14ac:dyDescent="0.2">
      <c r="A63" s="401" t="str">
        <f t="shared" si="60"/>
        <v>60007_3-5/378&lt;lv60&gt;s2</v>
      </c>
      <c r="B63" s="446">
        <v>60007</v>
      </c>
      <c r="C63" s="86">
        <v>3</v>
      </c>
      <c r="D63" s="12" t="str">
        <f t="shared" si="61"/>
        <v>60007_3</v>
      </c>
      <c r="E63" s="403" t="str">
        <f ca="1">VLOOKUP($B63,OFFSET([2]quests!$A$1,0,0,COUNTA([2]quests!$A:$A),MATCH(E$1,[2]quests!$1:$1,0)-MATCH($B$1,[2]quests!$1:$1,0)+1),MATCH(E$1,[2]quests!$1:$1,0)-MATCH($B$1,[2]quests!$1:$1,0)+1,FALSE)</f>
        <v>オイラーチャレンジ</v>
      </c>
      <c r="F63" s="403" t="str">
        <f ca="1">VLOOKUP($D63,OFFSET([2]stages!$A$1,0,0,COUNTA([2]stages!$A:$A),MATCH(F$1,[2]stages!$2:$2,0)-MATCH($D$1,[2]stages!$2:$2,0)+1),MATCH(F$1,[2]stages!$2:$2,0)-MATCH($D$1,[2]stages!$2:$2,0)+1,FALSE)</f>
        <v>【ウィザード級】オイラーチャレンジ</v>
      </c>
      <c r="G63" s="86">
        <v>5</v>
      </c>
      <c r="H63" s="86" t="str">
        <f t="shared" si="62"/>
        <v>60007_3-5</v>
      </c>
      <c r="I63" s="429">
        <f ca="1">VLOOKUP($H63,OFFSET(floors!$A$1,0,0,COUNTA(floors!$A:$A),MATCH(I$1,floors!$1:$1,0)-MATCH($H$1,floors!$1:$1,0)+1),MATCH(I$1,floors!$1:$1,0)-MATCH($H$1,floors!$1:$1,0)+1,FALSE)</f>
        <v>60</v>
      </c>
      <c r="J63" s="429">
        <f ca="1">VLOOKUP($H63,OFFSET(floors!$A$1,0,0,COUNTA(floors!$A:$A),MATCH(J$1,floors!$1:$1,0)-MATCH($H$1,floors!$1:$1,0)+1),MATCH(J$1,floors!$1:$1,0)-MATCH($H$1,floors!$1:$1,0)+1,FALSE)</f>
        <v>60</v>
      </c>
      <c r="K63" s="23">
        <v>4</v>
      </c>
      <c r="L63" s="86">
        <v>378</v>
      </c>
      <c r="M63" s="405" t="str">
        <f ca="1">VLOOKUP($L63,OFFSET([3]enemies!$A$1,0,0,COUNTA([3]enemies!$A:$A),MATCH(M$1,[3]enemies!$1:$1,0)-MATCH($L$1,[3]enemies!$1:$1,0)+1),MATCH(M$1,[3]enemies!$1:$1,0)-MATCH($L$1,[3]enemies!$1:$1,0)+1,FALSE)</f>
        <v>オイラー</v>
      </c>
      <c r="N63" s="405" t="str">
        <f ca="1">VLOOKUP($L63,OFFSET([3]enemies!$A$1,0,0,COUNTA([3]enemies!$A:$A),MATCH(N$1,[3]enemies!$1:$1,0)-MATCH($L$1,[3]enemies!$1:$1,0)+1),MATCH(N$1,[3]enemies!$1:$1,0)-MATCH($L$1,[3]enemies!$1:$1,0)+1,FALSE)</f>
        <v>green</v>
      </c>
      <c r="O63" s="405" t="str">
        <f ca="1">VLOOKUP($L63,OFFSET([4]characters!$A$1,0,0,COUNTA([4]characters!$A:$A),MATCH(O$1,[4]characters!$1:$1,0)-MATCH($L$1,[4]characters!$1:$1,0)+1),MATCH(O$1,[4]characters!$1:$1,0)-MATCH($L$1,[4]characters!$1:$1,0)+1,FALSE)</f>
        <v>PremiumSSS</v>
      </c>
      <c r="P63" s="405" t="str">
        <f ca="1">VLOOKUP($L63,OFFSET([3]enemies!$A$1,0,0,COUNTA([3]enemies!$A:$A),MATCH(P$1,[3]enemies!$1:$1,0)-MATCH($L$1,[3]enemies!$1:$1,0)+1),MATCH(P$1,[3]enemies!$1:$1,0)-MATCH($L$1,[3]enemies!$1:$1,0)+1,FALSE)</f>
        <v>human</v>
      </c>
      <c r="Q63" s="405">
        <f ca="1">VLOOKUP($L63,OFFSET([3]enemies!$A$1,0,0,COUNTA([3]enemies!$A:$A),MATCH(Q$1,[3]enemies!$1:$1,0)-MATCH($L$1,[3]enemies!$1:$1,0)+1),MATCH(Q$1,[3]enemies!$1:$1,0)-MATCH($L$1,[3]enemies!$1:$1,0)+1,FALSE)</f>
        <v>30</v>
      </c>
      <c r="R63" s="432">
        <v>60</v>
      </c>
      <c r="S63" s="433">
        <v>5.4</v>
      </c>
      <c r="T63" s="433">
        <v>1.4</v>
      </c>
      <c r="U63" s="432">
        <v>0</v>
      </c>
      <c r="V63" s="403"/>
      <c r="W63" s="462">
        <v>60006006</v>
      </c>
      <c r="X63" s="434">
        <v>0</v>
      </c>
      <c r="Y63" s="434">
        <v>100</v>
      </c>
      <c r="Z63" s="434">
        <v>1</v>
      </c>
      <c r="AA63" s="459">
        <v>2</v>
      </c>
      <c r="AB63" s="87">
        <f t="shared" si="63"/>
        <v>378</v>
      </c>
      <c r="AC63" s="403" t="str">
        <f ca="1">VLOOKUP($AB63,OFFSET([4]characters!$A$1,0,0,COUNTA([4]characters!$A:$A),MATCH(AC$1,[4]characters!$1:$1,0)-MATCH("character_id",[4]characters!$1:$1,0)+1),MATCH(AC$1,[4]characters!$1:$1,0)-MATCH("character_id",[4]characters!$1:$1,0)+1,FALSE)</f>
        <v>オイラー</v>
      </c>
      <c r="AD63" s="403">
        <f ca="1">VLOOKUP($AB63,OFFSET([4]characters!$A$1,0,0,COUNTA([4]characters!$A:$A),MATCH(AD$1,[4]characters!$1:$1,0)-MATCH("character_id",[4]characters!$1:$1,0)+1),MATCH(AD$1,[4]characters!$1:$1,0)-MATCH("character_id",[4]characters!$1:$1,0)+1,FALSE)</f>
        <v>4</v>
      </c>
      <c r="AE63" s="403" t="str">
        <f ca="1">VLOOKUP($AB63,OFFSET([4]characters!$A$1,0,0,COUNTA([4]characters!$A:$A),MATCH(AE$1,[4]characters!$1:$1,0)-MATCH("character_id",[4]characters!$1:$1,0)+1),MATCH(AE$1,[4]characters!$1:$1,0)-MATCH("character_id",[4]characters!$1:$1,0)+1,FALSE)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63" s="88">
        <v>1</v>
      </c>
      <c r="AG63" s="87">
        <f t="shared" ca="1" si="64"/>
        <v>4</v>
      </c>
      <c r="AH63" s="88">
        <v>0</v>
      </c>
      <c r="AI63" s="166">
        <v>0</v>
      </c>
      <c r="AJ63" s="166">
        <v>0</v>
      </c>
      <c r="AK63" s="166">
        <v>0</v>
      </c>
      <c r="AL63" s="166">
        <v>0</v>
      </c>
      <c r="AM63" s="166">
        <v>1</v>
      </c>
      <c r="AN63" s="454">
        <v>1</v>
      </c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  <c r="BA63" s="111"/>
      <c r="BB63" s="111"/>
      <c r="BC63" s="111"/>
      <c r="BD63" s="111"/>
      <c r="BE63" s="111"/>
      <c r="BF63" s="111"/>
      <c r="BG63" s="111"/>
    </row>
    <row r="64" spans="1:59" ht="21" customHeight="1" x14ac:dyDescent="0.15">
      <c r="A64" s="420"/>
      <c r="B64" s="416"/>
      <c r="C64" s="416"/>
      <c r="D64" s="421"/>
      <c r="E64" s="416"/>
      <c r="F64" s="416"/>
      <c r="G64" s="416"/>
      <c r="H64" s="416"/>
      <c r="I64" s="416"/>
      <c r="J64" s="416"/>
      <c r="K64" s="416"/>
      <c r="L64" s="422"/>
      <c r="M64" s="416"/>
      <c r="N64" s="416"/>
      <c r="O64" s="416"/>
      <c r="P64" s="416"/>
      <c r="Q64" s="416"/>
      <c r="R64" s="416"/>
      <c r="S64" s="416"/>
      <c r="T64" s="416"/>
      <c r="U64" s="416"/>
      <c r="V64" s="416"/>
      <c r="W64" s="416"/>
      <c r="X64" s="416"/>
      <c r="Y64" s="416"/>
      <c r="Z64" s="416"/>
      <c r="AA64" s="416"/>
      <c r="AB64" s="416"/>
      <c r="AC64" s="436"/>
      <c r="AD64" s="421"/>
      <c r="AE64" s="421"/>
      <c r="AF64" s="437"/>
      <c r="AG64" s="416"/>
      <c r="AH64" s="416"/>
    </row>
  </sheetData>
  <sheetProtection selectLockedCells="1" selectUnlockedCells="1"/>
  <autoFilter ref="B1:AH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2"/>
  <sheetViews>
    <sheetView showGridLines="0" workbookViewId="0">
      <pane xSplit="18" ySplit="1" topLeftCell="W2" activePane="bottomRight" state="frozen"/>
      <selection activeCell="T24" sqref="T24"/>
      <selection pane="topRight" activeCell="T24" sqref="T24"/>
      <selection pane="bottomLeft" activeCell="T24" sqref="T24"/>
      <selection pane="bottomRight" activeCell="H16" sqref="H16"/>
    </sheetView>
  </sheetViews>
  <sheetFormatPr baseColWidth="12" defaultColWidth="13" defaultRowHeight="21" customHeight="1" outlineLevelCol="1" x14ac:dyDescent="0.15"/>
  <cols>
    <col min="1" max="1" width="17" style="16" bestFit="1" customWidth="1"/>
    <col min="2" max="2" width="10.83203125" style="3" bestFit="1" customWidth="1"/>
    <col min="3" max="3" width="10.6640625" style="3" bestFit="1" customWidth="1"/>
    <col min="4" max="4" width="13" style="11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1" style="3" bestFit="1" customWidth="1"/>
    <col min="13" max="13" width="13.5" style="6" bestFit="1" customWidth="1"/>
    <col min="14" max="14" width="21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21" customFormat="1" ht="21" customHeight="1" thickBot="1" x14ac:dyDescent="0.2">
      <c r="A1" s="19" t="s">
        <v>29</v>
      </c>
      <c r="B1" s="20" t="s">
        <v>0</v>
      </c>
      <c r="C1" s="20" t="s">
        <v>1</v>
      </c>
      <c r="D1" s="89" t="s">
        <v>28</v>
      </c>
      <c r="E1" s="89" t="s">
        <v>16</v>
      </c>
      <c r="F1" s="89" t="s">
        <v>16</v>
      </c>
      <c r="G1" s="20" t="s">
        <v>19</v>
      </c>
      <c r="H1" s="89" t="s">
        <v>30</v>
      </c>
      <c r="I1" s="89" t="s">
        <v>14</v>
      </c>
      <c r="J1" s="89" t="s">
        <v>15</v>
      </c>
      <c r="K1" s="90" t="s">
        <v>54</v>
      </c>
      <c r="L1" s="90" t="s">
        <v>55</v>
      </c>
      <c r="M1" s="90" t="s">
        <v>2</v>
      </c>
      <c r="N1" s="91" t="s">
        <v>16</v>
      </c>
      <c r="O1" s="89" t="s">
        <v>24</v>
      </c>
      <c r="P1" s="89" t="s">
        <v>23</v>
      </c>
      <c r="Q1" s="92" t="s">
        <v>26</v>
      </c>
      <c r="R1" s="89" t="s">
        <v>25</v>
      </c>
      <c r="S1" s="20" t="s">
        <v>3</v>
      </c>
      <c r="T1" s="20" t="s">
        <v>48</v>
      </c>
      <c r="U1" s="20" t="s">
        <v>50</v>
      </c>
      <c r="V1" s="20" t="s">
        <v>52</v>
      </c>
      <c r="W1" s="20" t="s">
        <v>130</v>
      </c>
      <c r="X1" s="89" t="s">
        <v>129</v>
      </c>
      <c r="Y1" s="20" t="s">
        <v>8</v>
      </c>
    </row>
    <row r="2" spans="1:25" s="400" customFormat="1" ht="21" customHeight="1" x14ac:dyDescent="0.15">
      <c r="A2" s="423" t="str">
        <f>B2&amp;"_"&amp;C2&amp;"-"&amp;G2&amp;"/"&amp;M2&amp;"&lt;lv"&amp;S2&amp;"&gt;sq"&amp;K2&amp;"st"&amp;L2</f>
        <v>60006_1-4/379&lt;lv60&gt;sq1st2</v>
      </c>
      <c r="B2" s="394">
        <v>60006</v>
      </c>
      <c r="C2" s="317">
        <v>1</v>
      </c>
      <c r="D2" s="101" t="str">
        <f>B2&amp;"_"&amp;C2</f>
        <v>60006_1</v>
      </c>
      <c r="E2" s="168" t="str">
        <f ca="1">VLOOKUP($B2,OFFSET([2]quests!$A$1,0,0,COUNTA([2]quests!$A:$A),MATCH(E$1,[2]quests!$1:$1,0)-MATCH($B$1,[2]quests!$1:$1,0)+1),MATCH(E$1,[2]quests!$1:$1,0)-MATCH($B$1,[2]quests!$1:$1,0)+1,FALSE)</f>
        <v>オイラーチャレンジ</v>
      </c>
      <c r="F2" s="168" t="str">
        <f ca="1">VLOOKUP($D2,OFFSET([2]stages!$A$1,0,0,COUNTA([2]stages!$A:$A),MATCH(F$1,[2]stages!$2:$2,0)-MATCH($D$1,[2]stages!$2:$2,0)+1),MATCH(F$1,[2]stages!$2:$2,0)-MATCH($D$1,[2]stages!$2:$2,0)+1,FALSE)</f>
        <v>【中級】オイラーチャレンジ</v>
      </c>
      <c r="G2" s="317">
        <v>4</v>
      </c>
      <c r="H2" s="317" t="str">
        <f>B2&amp;"_"&amp;C2&amp;"-"&amp;G2</f>
        <v>60006_1-4</v>
      </c>
      <c r="I2" s="395">
        <f ca="1">VLOOKUP($H2,OFFSET(floors!$A$1,0,0,COUNTA(floors!$A:$A),MATCH(I$1,floors!$1:$1,0)-MATCH($H$1,floors!$1:$1,0)+1),MATCH(I$1,floors!$1:$1,0)-MATCH($H$1,floors!$1:$1,0)+1,FALSE)</f>
        <v>60</v>
      </c>
      <c r="J2" s="395">
        <f ca="1">VLOOKUP($H2,OFFSET(floors!$A$1,0,0,COUNTA(floors!$A:$A),MATCH(J$1,floors!$1:$1,0)-MATCH($H$1,floors!$1:$1,0)+1),MATCH(J$1,floors!$1:$1,0)-MATCH($H$1,floors!$1:$1,0)+1,FALSE)</f>
        <v>60</v>
      </c>
      <c r="K2" s="327">
        <v>1</v>
      </c>
      <c r="L2" s="327">
        <v>2</v>
      </c>
      <c r="M2" s="317">
        <v>379</v>
      </c>
      <c r="N2" s="396" t="str">
        <f ca="1">VLOOKUP($M2,OFFSET([3]enemies!$A$1,0,0,COUNTA([3]enemies!$A:$A),MATCH(N$1,[3]enemies!$1:$1,0)-MATCH($M$1,[3]enemies!$1:$1,0)+1),MATCH(N$1,[3]enemies!$1:$1,0)-MATCH($M$1,[3]enemies!$1:$1,0)+1,FALSE)</f>
        <v>幾何の機刃 オイラー</v>
      </c>
      <c r="O2" s="39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396" t="str">
        <f ca="1">VLOOKUP($M2,OFFSET([4]characters!$A$1,0,0,COUNTA([4]characters!$A:$A),MATCH(P$1,[4]characters!$1:$1,0)-MATCH($M$1,[4]characters!$1:$1,0)+1),MATCH(P$1,[4]characters!$1:$1,0)-MATCH($M$1,[4]characters!$1:$1,0)+1,FALSE)</f>
        <v>PremiumSSS</v>
      </c>
      <c r="Q2" s="396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396">
        <f ca="1">VLOOKUP($M2,OFFSET([3]enemies!$A$1,0,0,COUNTA([3]enemies!$A:$A),MATCH(R$1,[3]enemies!$1:$1,0)-MATCH($M$1,[3]enemies!$1:$1,0)+1),MATCH(R$1,[3]enemies!$1:$1,0)-MATCH($M$1,[3]enemies!$1:$1,0)+1,FALSE)</f>
        <v>60</v>
      </c>
      <c r="S2" s="397">
        <v>60</v>
      </c>
      <c r="T2" s="398">
        <v>1.5</v>
      </c>
      <c r="U2" s="398">
        <v>0.6</v>
      </c>
      <c r="V2" s="397">
        <v>0</v>
      </c>
      <c r="W2" s="168"/>
      <c r="X2" s="168">
        <v>60006007</v>
      </c>
      <c r="Y2" s="399">
        <v>2</v>
      </c>
    </row>
    <row r="3" spans="1:25" s="409" customFormat="1" ht="21" customHeight="1" x14ac:dyDescent="0.15">
      <c r="A3" s="424" t="str">
        <f t="shared" ref="A3:A5" si="0">B3&amp;"_"&amp;C3&amp;"-"&amp;G3&amp;"/"&amp;M3&amp;"&lt;lv"&amp;S3&amp;"&gt;sq"&amp;K3&amp;"st"&amp;L3</f>
        <v>60006_2-4/379&lt;lv60&gt;sq2st2</v>
      </c>
      <c r="B3" s="402">
        <v>60006</v>
      </c>
      <c r="C3" s="237">
        <v>2</v>
      </c>
      <c r="D3" s="12" t="str">
        <f t="shared" ref="D3:D5" si="1">B3&amp;"_"&amp;C3</f>
        <v>60006_2</v>
      </c>
      <c r="E3" s="403" t="str">
        <f ca="1">VLOOKUP($B3,OFFSET([2]quests!$A$1,0,0,COUNTA([2]quests!$A:$A),MATCH(E$1,[2]quests!$1:$1,0)-MATCH($B$1,[2]quests!$1:$1,0)+1),MATCH(E$1,[2]quests!$1:$1,0)-MATCH($B$1,[2]quests!$1:$1,0)+1,FALSE)</f>
        <v>オイラーチャレンジ</v>
      </c>
      <c r="F3" s="403" t="str">
        <f ca="1">VLOOKUP($D3,OFFSET([2]stages!$A$1,0,0,COUNTA([2]stages!$A:$A),MATCH(F$1,[2]stages!$2:$2,0)-MATCH($D$1,[2]stages!$2:$2,0)+1),MATCH(F$1,[2]stages!$2:$2,0)-MATCH($D$1,[2]stages!$2:$2,0)+1,FALSE)</f>
        <v>【超級】オイラーチャレンジ</v>
      </c>
      <c r="G3" s="237">
        <v>4</v>
      </c>
      <c r="H3" s="237" t="str">
        <f t="shared" ref="H3:H5" si="2">B3&amp;"_"&amp;C3&amp;"-"&amp;G3</f>
        <v>60006_2-4</v>
      </c>
      <c r="I3" s="404">
        <f ca="1">VLOOKUP($H3,OFFSET(floors!$A$1,0,0,COUNTA(floors!$A:$A),MATCH(I$1,floors!$1:$1,0)-MATCH($H$1,floors!$1:$1,0)+1),MATCH(I$1,floors!$1:$1,0)-MATCH($H$1,floors!$1:$1,0)+1,FALSE)</f>
        <v>60</v>
      </c>
      <c r="J3" s="404">
        <f ca="1">VLOOKUP($H3,OFFSET(floors!$A$1,0,0,COUNTA(floors!$A:$A),MATCH(J$1,floors!$1:$1,0)-MATCH($H$1,floors!$1:$1,0)+1),MATCH(J$1,floors!$1:$1,0)-MATCH($H$1,floors!$1:$1,0)+1,FALSE)</f>
        <v>60</v>
      </c>
      <c r="K3" s="290">
        <v>2</v>
      </c>
      <c r="L3" s="290">
        <v>2</v>
      </c>
      <c r="M3" s="237">
        <v>379</v>
      </c>
      <c r="N3" s="405" t="str">
        <f ca="1">VLOOKUP($M3,OFFSET([3]enemies!$A$1,0,0,COUNTA([3]enemies!$A:$A),MATCH(N$1,[3]enemies!$1:$1,0)-MATCH($M$1,[3]enemies!$1:$1,0)+1),MATCH(N$1,[3]enemies!$1:$1,0)-MATCH($M$1,[3]enemies!$1:$1,0)+1,FALSE)</f>
        <v>幾何の機刃 オイラー</v>
      </c>
      <c r="O3" s="405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405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405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405">
        <f ca="1">VLOOKUP($M3,OFFSET([3]enemies!$A$1,0,0,COUNTA([3]enemies!$A:$A),MATCH(R$1,[3]enemies!$1:$1,0)-MATCH($M$1,[3]enemies!$1:$1,0)+1),MATCH(R$1,[3]enemies!$1:$1,0)-MATCH($M$1,[3]enemies!$1:$1,0)+1,FALSE)</f>
        <v>60</v>
      </c>
      <c r="S3" s="406">
        <v>60</v>
      </c>
      <c r="T3" s="407">
        <v>2</v>
      </c>
      <c r="U3" s="407">
        <v>1</v>
      </c>
      <c r="V3" s="406">
        <v>0</v>
      </c>
      <c r="W3" s="403"/>
      <c r="X3" s="403">
        <v>60006007</v>
      </c>
      <c r="Y3" s="408">
        <v>2</v>
      </c>
    </row>
    <row r="4" spans="1:25" s="409" customFormat="1" ht="21" customHeight="1" x14ac:dyDescent="0.15">
      <c r="A4" s="424" t="str">
        <f t="shared" si="0"/>
        <v>60006_3-3/493&lt;lv60&gt;sq3st2</v>
      </c>
      <c r="B4" s="410">
        <v>60006</v>
      </c>
      <c r="C4" s="219">
        <v>3</v>
      </c>
      <c r="D4" s="12" t="str">
        <f t="shared" si="1"/>
        <v>60006_3</v>
      </c>
      <c r="E4" s="403" t="str">
        <f ca="1">VLOOKUP($B4,OFFSET([2]quests!$A$1,0,0,COUNTA([2]quests!$A:$A),MATCH(E$1,[2]quests!$1:$1,0)-MATCH($B$1,[2]quests!$1:$1,0)+1),MATCH(E$1,[2]quests!$1:$1,0)-MATCH($B$1,[2]quests!$1:$1,0)+1,FALSE)</f>
        <v>オイラーチャレンジ</v>
      </c>
      <c r="F4" s="403" t="str">
        <f ca="1">VLOOKUP($D4,OFFSET([2]stages!$A$1,0,0,COUNTA([2]stages!$A:$A),MATCH(F$1,[2]stages!$2:$2,0)-MATCH($D$1,[2]stages!$2:$2,0)+1),MATCH(F$1,[2]stages!$2:$2,0)-MATCH($D$1,[2]stages!$2:$2,0)+1,FALSE)</f>
        <v>【ウィザード級】オイラーチャレンジ</v>
      </c>
      <c r="G4" s="219">
        <v>3</v>
      </c>
      <c r="H4" s="219" t="str">
        <f t="shared" si="2"/>
        <v>60006_3-3</v>
      </c>
      <c r="I4" s="411">
        <f ca="1">VLOOKUP($H4,OFFSET(floors!$A$1,0,0,COUNTA(floors!$A:$A),MATCH(I$1,floors!$1:$1,0)-MATCH($H$1,floors!$1:$1,0)+1),MATCH(I$1,floors!$1:$1,0)-MATCH($H$1,floors!$1:$1,0)+1,FALSE)</f>
        <v>60</v>
      </c>
      <c r="J4" s="411">
        <f ca="1">VLOOKUP($H4,OFFSET(floors!$A$1,0,0,COUNTA(floors!$A:$A),MATCH(J$1,floors!$1:$1,0)-MATCH($H$1,floors!$1:$1,0)+1),MATCH(J$1,floors!$1:$1,0)-MATCH($H$1,floors!$1:$1,0)+1,FALSE)</f>
        <v>60</v>
      </c>
      <c r="K4" s="220">
        <v>3</v>
      </c>
      <c r="L4" s="220">
        <v>2</v>
      </c>
      <c r="M4" s="219">
        <v>493</v>
      </c>
      <c r="N4" s="405" t="str">
        <f ca="1">VLOOKUP($M4,OFFSET([3]enemies!$A$1,0,0,COUNTA([3]enemies!$A:$A),MATCH(N$1,[3]enemies!$1:$1,0)-MATCH($M$1,[3]enemies!$1:$1,0)+1),MATCH(N$1,[3]enemies!$1:$1,0)-MATCH($M$1,[3]enemies!$1:$1,0)+1,FALSE)</f>
        <v>跋扈の機脚 ブートレグ・ペロー</v>
      </c>
      <c r="O4" s="405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405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405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405">
        <f ca="1">VLOOKUP($M4,OFFSET([3]enemies!$A$1,0,0,COUNTA([3]enemies!$A:$A),MATCH(R$1,[3]enemies!$1:$1,0)-MATCH($M$1,[3]enemies!$1:$1,0)+1),MATCH(R$1,[3]enemies!$1:$1,0)-MATCH($M$1,[3]enemies!$1:$1,0)+1,FALSE)</f>
        <v>60</v>
      </c>
      <c r="S4" s="221">
        <v>60</v>
      </c>
      <c r="T4" s="222">
        <v>1</v>
      </c>
      <c r="U4" s="222">
        <v>1.4</v>
      </c>
      <c r="V4" s="221">
        <v>0</v>
      </c>
      <c r="W4" s="403"/>
      <c r="X4" s="403">
        <v>60006003</v>
      </c>
      <c r="Y4" s="408">
        <v>2</v>
      </c>
    </row>
    <row r="5" spans="1:25" s="416" customFormat="1" ht="21" customHeight="1" x14ac:dyDescent="0.15">
      <c r="A5" s="425" t="str">
        <f t="shared" si="0"/>
        <v>60006_3-5/379&lt;lv60&gt;sq4st2</v>
      </c>
      <c r="B5" s="412">
        <v>60006</v>
      </c>
      <c r="C5" s="219">
        <v>3</v>
      </c>
      <c r="D5" s="12" t="str">
        <f t="shared" si="1"/>
        <v>60006_3</v>
      </c>
      <c r="E5" s="413" t="str">
        <f ca="1">VLOOKUP($B5,OFFSET([2]quests!$A$1,0,0,COUNTA([2]quests!$A:$A),MATCH(E$1,[2]quests!$1:$1,0)-MATCH($B$1,[2]quests!$1:$1,0)+1),MATCH(E$1,[2]quests!$1:$1,0)-MATCH($B$1,[2]quests!$1:$1,0)+1,FALSE)</f>
        <v>オイラーチャレンジ</v>
      </c>
      <c r="F5" s="413" t="str">
        <f ca="1">VLOOKUP($D5,OFFSET([2]stages!$A$1,0,0,COUNTA([2]stages!$A:$A),MATCH(F$1,[2]stages!$2:$2,0)-MATCH($D$1,[2]stages!$2:$2,0)+1),MATCH(F$1,[2]stages!$2:$2,0)-MATCH($D$1,[2]stages!$2:$2,0)+1,FALSE)</f>
        <v>【ウィザード級】オイラーチャレンジ</v>
      </c>
      <c r="G5" s="219">
        <v>5</v>
      </c>
      <c r="H5" s="219" t="str">
        <f t="shared" si="2"/>
        <v>60006_3-5</v>
      </c>
      <c r="I5" s="414">
        <f ca="1">VLOOKUP($H5,OFFSET(floors!$A$1,0,0,COUNTA(floors!$A:$A),MATCH(I$1,floors!$1:$1,0)-MATCH($H$1,floors!$1:$1,0)+1),MATCH(I$1,floors!$1:$1,0)-MATCH($H$1,floors!$1:$1,0)+1,FALSE)</f>
        <v>60</v>
      </c>
      <c r="J5" s="414">
        <f ca="1">VLOOKUP($H5,OFFSET(floors!$A$1,0,0,COUNTA(floors!$A:$A),MATCH(J$1,floors!$1:$1,0)-MATCH($H$1,floors!$1:$1,0)+1),MATCH(J$1,floors!$1:$1,0)-MATCH($H$1,floors!$1:$1,0)+1,FALSE)</f>
        <v>60</v>
      </c>
      <c r="K5" s="220">
        <v>4</v>
      </c>
      <c r="L5" s="220">
        <v>2</v>
      </c>
      <c r="M5" s="219">
        <v>379</v>
      </c>
      <c r="N5" s="415" t="str">
        <f ca="1">VLOOKUP($M5,OFFSET([3]enemies!$A$1,0,0,COUNTA([3]enemies!$A:$A),MATCH(N$1,[3]enemies!$1:$1,0)-MATCH($M$1,[3]enemies!$1:$1,0)+1),MATCH(N$1,[3]enemies!$1:$1,0)-MATCH($M$1,[3]enemies!$1:$1,0)+1,FALSE)</f>
        <v>幾何の機刃 オイラー</v>
      </c>
      <c r="O5" s="415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415" t="str">
        <f ca="1">VLOOKUP($M5,OFFSET([4]characters!$A$1,0,0,COUNTA([4]characters!$A:$A),MATCH(P$1,[4]characters!$1:$1,0)-MATCH($M$1,[4]characters!$1:$1,0)+1),MATCH(P$1,[4]characters!$1:$1,0)-MATCH($M$1,[4]characters!$1:$1,0)+1,FALSE)</f>
        <v>PremiumSSS</v>
      </c>
      <c r="Q5" s="415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415">
        <f ca="1">VLOOKUP($M5,OFFSET([3]enemies!$A$1,0,0,COUNTA([3]enemies!$A:$A),MATCH(R$1,[3]enemies!$1:$1,0)-MATCH($M$1,[3]enemies!$1:$1,0)+1),MATCH(R$1,[3]enemies!$1:$1,0)-MATCH($M$1,[3]enemies!$1:$1,0)+1,FALSE)</f>
        <v>60</v>
      </c>
      <c r="S5" s="221">
        <v>60</v>
      </c>
      <c r="T5" s="222">
        <v>2.4</v>
      </c>
      <c r="U5" s="222">
        <v>1</v>
      </c>
      <c r="V5" s="221">
        <v>0</v>
      </c>
      <c r="W5" s="413"/>
      <c r="X5" s="413">
        <v>60006007</v>
      </c>
      <c r="Y5" s="47">
        <v>2</v>
      </c>
    </row>
    <row r="6" spans="1:25" s="122" customFormat="1" ht="21" customHeight="1" thickBot="1" x14ac:dyDescent="0.2">
      <c r="A6" s="390" t="str">
        <f t="shared" ref="A6" si="3">B6&amp;"_"&amp;C6&amp;"-"&amp;G6&amp;"/"&amp;M6&amp;"&lt;lv"&amp;S6&amp;"&gt;sq"&amp;K6&amp;"st"&amp;L6</f>
        <v>60006_3-5/798&lt;lv60&gt;sq4st3</v>
      </c>
      <c r="B6" s="371">
        <v>60006</v>
      </c>
      <c r="C6" s="372">
        <v>3</v>
      </c>
      <c r="D6" s="114" t="str">
        <f t="shared" ref="D6" si="4">B6&amp;"_"&amp;C6</f>
        <v>60006_3</v>
      </c>
      <c r="E6" s="115" t="str">
        <f ca="1">VLOOKUP($B6,OFFSET([2]quests!$A$1,0,0,COUNTA([2]quests!$A:$A),MATCH(E$1,[2]quests!$1:$1,0)-MATCH($B$1,[2]quests!$1:$1,0)+1),MATCH(E$1,[2]quests!$1:$1,0)-MATCH($B$1,[2]quests!$1:$1,0)+1,FALSE)</f>
        <v>オイラーチャレンジ</v>
      </c>
      <c r="F6" s="115" t="str">
        <f ca="1">VLOOKUP($D6,OFFSET([2]stages!$A$1,0,0,COUNTA([2]stages!$A:$A),MATCH(F$1,[2]stages!$2:$2,0)-MATCH($D$1,[2]stages!$2:$2,0)+1),MATCH(F$1,[2]stages!$2:$2,0)-MATCH($D$1,[2]stages!$2:$2,0)+1,FALSE)</f>
        <v>【ウィザード級】オイラーチャレンジ</v>
      </c>
      <c r="G6" s="372">
        <v>5</v>
      </c>
      <c r="H6" s="372" t="str">
        <f t="shared" ref="H6" si="5">B6&amp;"_"&amp;C6&amp;"-"&amp;G6</f>
        <v>60006_3-5</v>
      </c>
      <c r="I6" s="373">
        <f ca="1">VLOOKUP($H6,OFFSET(floors!$A$1,0,0,COUNTA(floors!$A:$A),MATCH(I$1,floors!$1:$1,0)-MATCH($H$1,floors!$1:$1,0)+1),MATCH(I$1,floors!$1:$1,0)-MATCH($H$1,floors!$1:$1,0)+1,FALSE)</f>
        <v>60</v>
      </c>
      <c r="J6" s="373">
        <f ca="1">VLOOKUP($H6,OFFSET(floors!$A$1,0,0,COUNTA(floors!$A:$A),MATCH(J$1,floors!$1:$1,0)-MATCH($H$1,floors!$1:$1,0)+1),MATCH(J$1,floors!$1:$1,0)-MATCH($H$1,floors!$1:$1,0)+1,FALSE)</f>
        <v>60</v>
      </c>
      <c r="K6" s="374">
        <v>4</v>
      </c>
      <c r="L6" s="374">
        <v>3</v>
      </c>
      <c r="M6" s="372">
        <v>798</v>
      </c>
      <c r="N6" s="117" t="str">
        <f ca="1">VLOOKUP($M6,OFFSET([3]enemies!$A$1,0,0,COUNTA([3]enemies!$A:$A),MATCH(N$1,[3]enemies!$1:$1,0)-MATCH($M$1,[3]enemies!$1:$1,0)+1),MATCH(N$1,[3]enemies!$1:$1,0)-MATCH($M$1,[3]enemies!$1:$1,0)+1,FALSE)</f>
        <v>煌式の大機刃 オイラー</v>
      </c>
      <c r="O6" s="1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17" t="str">
        <f ca="1">VLOOKUP($M6,OFFSET([4]characters!$A$1,0,0,COUNTA([4]characters!$A:$A),MATCH(P$1,[4]characters!$1:$1,0)-MATCH($M$1,[4]characters!$1:$1,0)+1),MATCH(P$1,[4]characters!$1:$1,0)-MATCH($M$1,[4]characters!$1:$1,0)+1,FALSE)</f>
        <v>PremiumSSS</v>
      </c>
      <c r="Q6" s="1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17">
        <f ca="1">VLOOKUP($M6,OFFSET([3]enemies!$A$1,0,0,COUNTA([3]enemies!$A:$A),MATCH(R$1,[3]enemies!$1:$1,0)-MATCH($M$1,[3]enemies!$1:$1,0)+1),MATCH(R$1,[3]enemies!$1:$1,0)-MATCH($M$1,[3]enemies!$1:$1,0)+1,FALSE)</f>
        <v>60</v>
      </c>
      <c r="S6" s="375">
        <v>60</v>
      </c>
      <c r="T6" s="376">
        <v>2.7</v>
      </c>
      <c r="U6" s="376">
        <v>0.85</v>
      </c>
      <c r="V6" s="375">
        <v>0</v>
      </c>
      <c r="W6" s="115"/>
      <c r="X6" s="115">
        <v>60006008</v>
      </c>
      <c r="Y6" s="377">
        <v>1</v>
      </c>
    </row>
    <row r="7" spans="1:25" s="400" customFormat="1" ht="21" customHeight="1" x14ac:dyDescent="0.15">
      <c r="A7" s="393" t="str">
        <f>B7&amp;"_"&amp;C7&amp;"-"&amp;G7&amp;"/"&amp;M7&amp;"&lt;lv"&amp;S7&amp;"&gt;sq"&amp;K7&amp;"st"&amp;L7</f>
        <v>60007_1-4/379&lt;lv60&gt;sq1st2</v>
      </c>
      <c r="B7" s="426">
        <v>60007</v>
      </c>
      <c r="C7" s="100">
        <v>1</v>
      </c>
      <c r="D7" s="101" t="str">
        <f>B7&amp;"_"&amp;C7</f>
        <v>60007_1</v>
      </c>
      <c r="E7" s="168" t="str">
        <f ca="1">VLOOKUP($B7,OFFSET([2]quests!$A$1,0,0,COUNTA([2]quests!$A:$A),MATCH(E$1,[2]quests!$1:$1,0)-MATCH($B$1,[2]quests!$1:$1,0)+1),MATCH(E$1,[2]quests!$1:$1,0)-MATCH($B$1,[2]quests!$1:$1,0)+1,FALSE)</f>
        <v>オイラーチャレンジ</v>
      </c>
      <c r="F7" s="168" t="str">
        <f ca="1">VLOOKUP($D7,OFFSET([2]stages!$A$1,0,0,COUNTA([2]stages!$A:$A),MATCH(F$1,[2]stages!$2:$2,0)-MATCH($D$1,[2]stages!$2:$2,0)+1),MATCH(F$1,[2]stages!$2:$2,0)-MATCH($D$1,[2]stages!$2:$2,0)+1,FALSE)</f>
        <v>【中級】オイラーチャレンジ</v>
      </c>
      <c r="G7" s="100">
        <v>4</v>
      </c>
      <c r="H7" s="100" t="str">
        <f>B7&amp;"_"&amp;C7&amp;"-"&amp;G7</f>
        <v>60007_1-4</v>
      </c>
      <c r="I7" s="428">
        <f ca="1">VLOOKUP($H7,OFFSET(floors!$A$1,0,0,COUNTA(floors!$A:$A),MATCH(I$1,floors!$1:$1,0)-MATCH($H$1,floors!$1:$1,0)+1),MATCH(I$1,floors!$1:$1,0)-MATCH($H$1,floors!$1:$1,0)+1,FALSE)</f>
        <v>60</v>
      </c>
      <c r="J7" s="428">
        <f ca="1">VLOOKUP($H7,OFFSET(floors!$A$1,0,0,COUNTA(floors!$A:$A),MATCH(J$1,floors!$1:$1,0)-MATCH($H$1,floors!$1:$1,0)+1),MATCH(J$1,floors!$1:$1,0)-MATCH($H$1,floors!$1:$1,0)+1,FALSE)</f>
        <v>60</v>
      </c>
      <c r="K7" s="103">
        <v>1</v>
      </c>
      <c r="L7" s="103">
        <v>2</v>
      </c>
      <c r="M7" s="100">
        <v>379</v>
      </c>
      <c r="N7" s="396" t="str">
        <f ca="1">VLOOKUP($M7,OFFSET([3]enemies!$A$1,0,0,COUNTA([3]enemies!$A:$A),MATCH(N$1,[3]enemies!$1:$1,0)-MATCH($M$1,[3]enemies!$1:$1,0)+1),MATCH(N$1,[3]enemies!$1:$1,0)-MATCH($M$1,[3]enemies!$1:$1,0)+1,FALSE)</f>
        <v>幾何の機刃 オイラー</v>
      </c>
      <c r="O7" s="396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396" t="str">
        <f ca="1">VLOOKUP($M7,OFFSET([4]characters!$A$1,0,0,COUNTA([4]characters!$A:$A),MATCH(P$1,[4]characters!$1:$1,0)-MATCH($M$1,[4]characters!$1:$1,0)+1),MATCH(P$1,[4]characters!$1:$1,0)-MATCH($M$1,[4]characters!$1:$1,0)+1,FALSE)</f>
        <v>PremiumSSS</v>
      </c>
      <c r="Q7" s="396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396">
        <f ca="1">VLOOKUP($M7,OFFSET([3]enemies!$A$1,0,0,COUNTA([3]enemies!$A:$A),MATCH(R$1,[3]enemies!$1:$1,0)-MATCH($M$1,[3]enemies!$1:$1,0)+1),MATCH(R$1,[3]enemies!$1:$1,0)-MATCH($M$1,[3]enemies!$1:$1,0)+1,FALSE)</f>
        <v>60</v>
      </c>
      <c r="S7" s="430">
        <v>60</v>
      </c>
      <c r="T7" s="431">
        <v>1.5</v>
      </c>
      <c r="U7" s="431">
        <v>0.6</v>
      </c>
      <c r="V7" s="430">
        <v>0</v>
      </c>
      <c r="W7" s="168"/>
      <c r="X7" s="464">
        <v>60006007</v>
      </c>
      <c r="Y7" s="465">
        <v>2</v>
      </c>
    </row>
    <row r="8" spans="1:25" s="409" customFormat="1" ht="21" customHeight="1" x14ac:dyDescent="0.15">
      <c r="A8" s="401" t="str">
        <f t="shared" ref="A8:A11" si="6">B8&amp;"_"&amp;C8&amp;"-"&amp;G8&amp;"/"&amp;M8&amp;"&lt;lv"&amp;S8&amp;"&gt;sq"&amp;K8&amp;"st"&amp;L8</f>
        <v>60007_2-4/379&lt;lv60&gt;sq2st2</v>
      </c>
      <c r="B8" s="427">
        <v>60007</v>
      </c>
      <c r="C8" s="86">
        <v>2</v>
      </c>
      <c r="D8" s="12" t="str">
        <f t="shared" ref="D8:D11" si="7">B8&amp;"_"&amp;C8</f>
        <v>60007_2</v>
      </c>
      <c r="E8" s="403" t="str">
        <f ca="1">VLOOKUP($B8,OFFSET([2]quests!$A$1,0,0,COUNTA([2]quests!$A:$A),MATCH(E$1,[2]quests!$1:$1,0)-MATCH($B$1,[2]quests!$1:$1,0)+1),MATCH(E$1,[2]quests!$1:$1,0)-MATCH($B$1,[2]quests!$1:$1,0)+1,FALSE)</f>
        <v>オイラーチャレンジ</v>
      </c>
      <c r="F8" s="403" t="str">
        <f ca="1">VLOOKUP($D8,OFFSET([2]stages!$A$1,0,0,COUNTA([2]stages!$A:$A),MATCH(F$1,[2]stages!$2:$2,0)-MATCH($D$1,[2]stages!$2:$2,0)+1),MATCH(F$1,[2]stages!$2:$2,0)-MATCH($D$1,[2]stages!$2:$2,0)+1,FALSE)</f>
        <v>【超級】オイラーチャレンジ</v>
      </c>
      <c r="G8" s="86">
        <v>4</v>
      </c>
      <c r="H8" s="86" t="str">
        <f t="shared" ref="H8:H11" si="8">B8&amp;"_"&amp;C8&amp;"-"&amp;G8</f>
        <v>60007_2-4</v>
      </c>
      <c r="I8" s="429">
        <f ca="1">VLOOKUP($H8,OFFSET(floors!$A$1,0,0,COUNTA(floors!$A:$A),MATCH(I$1,floors!$1:$1,0)-MATCH($H$1,floors!$1:$1,0)+1),MATCH(I$1,floors!$1:$1,0)-MATCH($H$1,floors!$1:$1,0)+1,FALSE)</f>
        <v>60</v>
      </c>
      <c r="J8" s="429">
        <f ca="1">VLOOKUP($H8,OFFSET(floors!$A$1,0,0,COUNTA(floors!$A:$A),MATCH(J$1,floors!$1:$1,0)-MATCH($H$1,floors!$1:$1,0)+1),MATCH(J$1,floors!$1:$1,0)-MATCH($H$1,floors!$1:$1,0)+1,FALSE)</f>
        <v>60</v>
      </c>
      <c r="K8" s="23">
        <v>2</v>
      </c>
      <c r="L8" s="23">
        <v>2</v>
      </c>
      <c r="M8" s="86">
        <v>379</v>
      </c>
      <c r="N8" s="405" t="str">
        <f ca="1">VLOOKUP($M8,OFFSET([3]enemies!$A$1,0,0,COUNTA([3]enemies!$A:$A),MATCH(N$1,[3]enemies!$1:$1,0)-MATCH($M$1,[3]enemies!$1:$1,0)+1),MATCH(N$1,[3]enemies!$1:$1,0)-MATCH($M$1,[3]enemies!$1:$1,0)+1,FALSE)</f>
        <v>幾何の機刃 オイラー</v>
      </c>
      <c r="O8" s="405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405" t="str">
        <f ca="1">VLOOKUP($M8,OFFSET([4]characters!$A$1,0,0,COUNTA([4]characters!$A:$A),MATCH(P$1,[4]characters!$1:$1,0)-MATCH($M$1,[4]characters!$1:$1,0)+1),MATCH(P$1,[4]characters!$1:$1,0)-MATCH($M$1,[4]characters!$1:$1,0)+1,FALSE)</f>
        <v>PremiumSSS</v>
      </c>
      <c r="Q8" s="405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405">
        <f ca="1">VLOOKUP($M8,OFFSET([3]enemies!$A$1,0,0,COUNTA([3]enemies!$A:$A),MATCH(R$1,[3]enemies!$1:$1,0)-MATCH($M$1,[3]enemies!$1:$1,0)+1),MATCH(R$1,[3]enemies!$1:$1,0)-MATCH($M$1,[3]enemies!$1:$1,0)+1,FALSE)</f>
        <v>60</v>
      </c>
      <c r="S8" s="432">
        <v>60</v>
      </c>
      <c r="T8" s="433">
        <v>2</v>
      </c>
      <c r="U8" s="433">
        <v>1</v>
      </c>
      <c r="V8" s="432">
        <v>0</v>
      </c>
      <c r="W8" s="403"/>
      <c r="X8" s="462">
        <v>60006007</v>
      </c>
      <c r="Y8" s="466">
        <v>2</v>
      </c>
    </row>
    <row r="9" spans="1:25" s="409" customFormat="1" ht="21" customHeight="1" x14ac:dyDescent="0.15">
      <c r="A9" s="401" t="str">
        <f t="shared" si="6"/>
        <v>60007_3-3/493&lt;lv60&gt;sq3st2</v>
      </c>
      <c r="B9" s="427">
        <v>60007</v>
      </c>
      <c r="C9" s="86">
        <v>3</v>
      </c>
      <c r="D9" s="12" t="str">
        <f t="shared" si="7"/>
        <v>60007_3</v>
      </c>
      <c r="E9" s="403" t="str">
        <f ca="1">VLOOKUP($B9,OFFSET([2]quests!$A$1,0,0,COUNTA([2]quests!$A:$A),MATCH(E$1,[2]quests!$1:$1,0)-MATCH($B$1,[2]quests!$1:$1,0)+1),MATCH(E$1,[2]quests!$1:$1,0)-MATCH($B$1,[2]quests!$1:$1,0)+1,FALSE)</f>
        <v>オイラーチャレンジ</v>
      </c>
      <c r="F9" s="403" t="str">
        <f ca="1">VLOOKUP($D9,OFFSET([2]stages!$A$1,0,0,COUNTA([2]stages!$A:$A),MATCH(F$1,[2]stages!$2:$2,0)-MATCH($D$1,[2]stages!$2:$2,0)+1),MATCH(F$1,[2]stages!$2:$2,0)-MATCH($D$1,[2]stages!$2:$2,0)+1,FALSE)</f>
        <v>【ウィザード級】オイラーチャレンジ</v>
      </c>
      <c r="G9" s="86">
        <v>3</v>
      </c>
      <c r="H9" s="86" t="str">
        <f t="shared" si="8"/>
        <v>60007_3-3</v>
      </c>
      <c r="I9" s="429">
        <f ca="1">VLOOKUP($H9,OFFSET(floors!$A$1,0,0,COUNTA(floors!$A:$A),MATCH(I$1,floors!$1:$1,0)-MATCH($H$1,floors!$1:$1,0)+1),MATCH(I$1,floors!$1:$1,0)-MATCH($H$1,floors!$1:$1,0)+1,FALSE)</f>
        <v>60</v>
      </c>
      <c r="J9" s="429">
        <f ca="1">VLOOKUP($H9,OFFSET(floors!$A$1,0,0,COUNTA(floors!$A:$A),MATCH(J$1,floors!$1:$1,0)-MATCH($H$1,floors!$1:$1,0)+1),MATCH(J$1,floors!$1:$1,0)-MATCH($H$1,floors!$1:$1,0)+1,FALSE)</f>
        <v>60</v>
      </c>
      <c r="K9" s="23">
        <v>3</v>
      </c>
      <c r="L9" s="23">
        <v>2</v>
      </c>
      <c r="M9" s="86">
        <v>493</v>
      </c>
      <c r="N9" s="405" t="str">
        <f ca="1">VLOOKUP($M9,OFFSET([3]enemies!$A$1,0,0,COUNTA([3]enemies!$A:$A),MATCH(N$1,[3]enemies!$1:$1,0)-MATCH($M$1,[3]enemies!$1:$1,0)+1),MATCH(N$1,[3]enemies!$1:$1,0)-MATCH($M$1,[3]enemies!$1:$1,0)+1,FALSE)</f>
        <v>跋扈の機脚 ブートレグ・ペロー</v>
      </c>
      <c r="O9" s="405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405" t="str">
        <f ca="1">VLOOKUP($M9,OFFSET([4]characters!$A$1,0,0,COUNTA([4]characters!$A:$A),MATCH(P$1,[4]characters!$1:$1,0)-MATCH($M$1,[4]characters!$1:$1,0)+1),MATCH(P$1,[4]characters!$1:$1,0)-MATCH($M$1,[4]characters!$1:$1,0)+1,FALSE)</f>
        <v>PremiumSS</v>
      </c>
      <c r="Q9" s="405" t="str">
        <f ca="1">VLOOKUP($M9,OFFSET([3]enemies!$A$1,0,0,COUNTA([3]enemies!$A:$A),MATCH(Q$1,[3]enemies!$1:$1,0)-MATCH($M$1,[3]enemies!$1:$1,0)+1),MATCH(Q$1,[3]enemies!$1:$1,0)-MATCH($M$1,[3]enemies!$1:$1,0)+1,FALSE)</f>
        <v>animal</v>
      </c>
      <c r="R9" s="405">
        <f ca="1">VLOOKUP($M9,OFFSET([3]enemies!$A$1,0,0,COUNTA([3]enemies!$A:$A),MATCH(R$1,[3]enemies!$1:$1,0)-MATCH($M$1,[3]enemies!$1:$1,0)+1),MATCH(R$1,[3]enemies!$1:$1,0)-MATCH($M$1,[3]enemies!$1:$1,0)+1,FALSE)</f>
        <v>60</v>
      </c>
      <c r="S9" s="432">
        <v>60</v>
      </c>
      <c r="T9" s="433">
        <v>1.8</v>
      </c>
      <c r="U9" s="433">
        <v>1.3</v>
      </c>
      <c r="V9" s="432">
        <v>0</v>
      </c>
      <c r="W9" s="403"/>
      <c r="X9" s="462">
        <v>60006003</v>
      </c>
      <c r="Y9" s="466">
        <v>2</v>
      </c>
    </row>
    <row r="10" spans="1:25" s="409" customFormat="1" ht="21" customHeight="1" x14ac:dyDescent="0.15">
      <c r="A10" s="401" t="str">
        <f t="shared" si="6"/>
        <v>60007_3-5/379&lt;lv60&gt;sq4st2</v>
      </c>
      <c r="B10" s="427">
        <v>60007</v>
      </c>
      <c r="C10" s="86">
        <v>3</v>
      </c>
      <c r="D10" s="12" t="str">
        <f t="shared" si="7"/>
        <v>60007_3</v>
      </c>
      <c r="E10" s="403" t="str">
        <f ca="1">VLOOKUP($B10,OFFSET([2]quests!$A$1,0,0,COUNTA([2]quests!$A:$A),MATCH(E$1,[2]quests!$1:$1,0)-MATCH($B$1,[2]quests!$1:$1,0)+1),MATCH(E$1,[2]quests!$1:$1,0)-MATCH($B$1,[2]quests!$1:$1,0)+1,FALSE)</f>
        <v>オイラーチャレンジ</v>
      </c>
      <c r="F10" s="403" t="str">
        <f ca="1">VLOOKUP($D10,OFFSET([2]stages!$A$1,0,0,COUNTA([2]stages!$A:$A),MATCH(F$1,[2]stages!$2:$2,0)-MATCH($D$1,[2]stages!$2:$2,0)+1),MATCH(F$1,[2]stages!$2:$2,0)-MATCH($D$1,[2]stages!$2:$2,0)+1,FALSE)</f>
        <v>【ウィザード級】オイラーチャレンジ</v>
      </c>
      <c r="G10" s="86">
        <v>5</v>
      </c>
      <c r="H10" s="86" t="str">
        <f t="shared" si="8"/>
        <v>60007_3-5</v>
      </c>
      <c r="I10" s="429">
        <f ca="1">VLOOKUP($H10,OFFSET(floors!$A$1,0,0,COUNTA(floors!$A:$A),MATCH(I$1,floors!$1:$1,0)-MATCH($H$1,floors!$1:$1,0)+1),MATCH(I$1,floors!$1:$1,0)-MATCH($H$1,floors!$1:$1,0)+1,FALSE)</f>
        <v>60</v>
      </c>
      <c r="J10" s="429">
        <f ca="1">VLOOKUP($H10,OFFSET(floors!$A$1,0,0,COUNTA(floors!$A:$A),MATCH(J$1,floors!$1:$1,0)-MATCH($H$1,floors!$1:$1,0)+1),MATCH(J$1,floors!$1:$1,0)-MATCH($H$1,floors!$1:$1,0)+1,FALSE)</f>
        <v>60</v>
      </c>
      <c r="K10" s="23">
        <v>4</v>
      </c>
      <c r="L10" s="23">
        <v>2</v>
      </c>
      <c r="M10" s="86">
        <v>379</v>
      </c>
      <c r="N10" s="405" t="str">
        <f ca="1">VLOOKUP($M10,OFFSET([3]enemies!$A$1,0,0,COUNTA([3]enemies!$A:$A),MATCH(N$1,[3]enemies!$1:$1,0)-MATCH($M$1,[3]enemies!$1:$1,0)+1),MATCH(N$1,[3]enemies!$1:$1,0)-MATCH($M$1,[3]enemies!$1:$1,0)+1,FALSE)</f>
        <v>幾何の機刃 オイラー</v>
      </c>
      <c r="O10" s="405" t="str">
        <f ca="1">VLOOKUP($M10,OFFSET([3]enemies!$A$1,0,0,COUNTA([3]enemies!$A:$A),MATCH(O$1,[3]enemies!$1:$1,0)-MATCH($M$1,[3]enemies!$1:$1,0)+1),MATCH(O$1,[3]enemies!$1:$1,0)-MATCH($M$1,[3]enemies!$1:$1,0)+1,FALSE)</f>
        <v>green</v>
      </c>
      <c r="P10" s="405" t="str">
        <f ca="1">VLOOKUP($M10,OFFSET([4]characters!$A$1,0,0,COUNTA([4]characters!$A:$A),MATCH(P$1,[4]characters!$1:$1,0)-MATCH($M$1,[4]characters!$1:$1,0)+1),MATCH(P$1,[4]characters!$1:$1,0)-MATCH($M$1,[4]characters!$1:$1,0)+1,FALSE)</f>
        <v>PremiumSSS</v>
      </c>
      <c r="Q10" s="405" t="str">
        <f ca="1">VLOOKUP($M10,OFFSET([3]enemies!$A$1,0,0,COUNTA([3]enemies!$A:$A),MATCH(Q$1,[3]enemies!$1:$1,0)-MATCH($M$1,[3]enemies!$1:$1,0)+1),MATCH(Q$1,[3]enemies!$1:$1,0)-MATCH($M$1,[3]enemies!$1:$1,0)+1,FALSE)</f>
        <v>human</v>
      </c>
      <c r="R10" s="405">
        <f ca="1">VLOOKUP($M10,OFFSET([3]enemies!$A$1,0,0,COUNTA([3]enemies!$A:$A),MATCH(R$1,[3]enemies!$1:$1,0)-MATCH($M$1,[3]enemies!$1:$1,0)+1),MATCH(R$1,[3]enemies!$1:$1,0)-MATCH($M$1,[3]enemies!$1:$1,0)+1,FALSE)</f>
        <v>60</v>
      </c>
      <c r="S10" s="432">
        <v>60</v>
      </c>
      <c r="T10" s="433">
        <v>4.5</v>
      </c>
      <c r="U10" s="433">
        <v>1.2</v>
      </c>
      <c r="V10" s="432">
        <v>0</v>
      </c>
      <c r="W10" s="403"/>
      <c r="X10" s="462">
        <v>60006007</v>
      </c>
      <c r="Y10" s="466">
        <v>2</v>
      </c>
    </row>
    <row r="11" spans="1:25" s="409" customFormat="1" ht="21" customHeight="1" x14ac:dyDescent="0.15">
      <c r="A11" s="401" t="str">
        <f t="shared" si="6"/>
        <v>60007_3-5/798&lt;lv60&gt;sq4st3</v>
      </c>
      <c r="B11" s="427">
        <v>60007</v>
      </c>
      <c r="C11" s="86">
        <v>3</v>
      </c>
      <c r="D11" s="12" t="str">
        <f t="shared" si="7"/>
        <v>60007_3</v>
      </c>
      <c r="E11" s="403" t="str">
        <f ca="1">VLOOKUP($B11,OFFSET([2]quests!$A$1,0,0,COUNTA([2]quests!$A:$A),MATCH(E$1,[2]quests!$1:$1,0)-MATCH($B$1,[2]quests!$1:$1,0)+1),MATCH(E$1,[2]quests!$1:$1,0)-MATCH($B$1,[2]quests!$1:$1,0)+1,FALSE)</f>
        <v>オイラーチャレンジ</v>
      </c>
      <c r="F11" s="403" t="str">
        <f ca="1">VLOOKUP($D11,OFFSET([2]stages!$A$1,0,0,COUNTA([2]stages!$A:$A),MATCH(F$1,[2]stages!$2:$2,0)-MATCH($D$1,[2]stages!$2:$2,0)+1),MATCH(F$1,[2]stages!$2:$2,0)-MATCH($D$1,[2]stages!$2:$2,0)+1,FALSE)</f>
        <v>【ウィザード級】オイラーチャレンジ</v>
      </c>
      <c r="G11" s="86">
        <v>5</v>
      </c>
      <c r="H11" s="86" t="str">
        <f t="shared" si="8"/>
        <v>60007_3-5</v>
      </c>
      <c r="I11" s="429">
        <f ca="1">VLOOKUP($H11,OFFSET(floors!$A$1,0,0,COUNTA(floors!$A:$A),MATCH(I$1,floors!$1:$1,0)-MATCH($H$1,floors!$1:$1,0)+1),MATCH(I$1,floors!$1:$1,0)-MATCH($H$1,floors!$1:$1,0)+1,FALSE)</f>
        <v>60</v>
      </c>
      <c r="J11" s="429">
        <f ca="1">VLOOKUP($H11,OFFSET(floors!$A$1,0,0,COUNTA(floors!$A:$A),MATCH(J$1,floors!$1:$1,0)-MATCH($H$1,floors!$1:$1,0)+1),MATCH(J$1,floors!$1:$1,0)-MATCH($H$1,floors!$1:$1,0)+1,FALSE)</f>
        <v>60</v>
      </c>
      <c r="K11" s="23">
        <v>4</v>
      </c>
      <c r="L11" s="23">
        <v>3</v>
      </c>
      <c r="M11" s="86">
        <v>798</v>
      </c>
      <c r="N11" s="405" t="str">
        <f ca="1">VLOOKUP($M11,OFFSET([3]enemies!$A$1,0,0,COUNTA([3]enemies!$A:$A),MATCH(N$1,[3]enemies!$1:$1,0)-MATCH($M$1,[3]enemies!$1:$1,0)+1),MATCH(N$1,[3]enemies!$1:$1,0)-MATCH($M$1,[3]enemies!$1:$1,0)+1,FALSE)</f>
        <v>煌式の大機刃 オイラー</v>
      </c>
      <c r="O11" s="405" t="str">
        <f ca="1">VLOOKUP($M11,OFFSET([3]enemies!$A$1,0,0,COUNTA([3]enemies!$A:$A),MATCH(O$1,[3]enemies!$1:$1,0)-MATCH($M$1,[3]enemies!$1:$1,0)+1),MATCH(O$1,[3]enemies!$1:$1,0)-MATCH($M$1,[3]enemies!$1:$1,0)+1,FALSE)</f>
        <v>green</v>
      </c>
      <c r="P11" s="405" t="str">
        <f ca="1">VLOOKUP($M11,OFFSET([4]characters!$A$1,0,0,COUNTA([4]characters!$A:$A),MATCH(P$1,[4]characters!$1:$1,0)-MATCH($M$1,[4]characters!$1:$1,0)+1),MATCH(P$1,[4]characters!$1:$1,0)-MATCH($M$1,[4]characters!$1:$1,0)+1,FALSE)</f>
        <v>PremiumSSS</v>
      </c>
      <c r="Q11" s="405" t="str">
        <f ca="1">VLOOKUP($M11,OFFSET([3]enemies!$A$1,0,0,COUNTA([3]enemies!$A:$A),MATCH(Q$1,[3]enemies!$1:$1,0)-MATCH($M$1,[3]enemies!$1:$1,0)+1),MATCH(Q$1,[3]enemies!$1:$1,0)-MATCH($M$1,[3]enemies!$1:$1,0)+1,FALSE)</f>
        <v>human</v>
      </c>
      <c r="R11" s="405">
        <f ca="1">VLOOKUP($M11,OFFSET([3]enemies!$A$1,0,0,COUNTA([3]enemies!$A:$A),MATCH(R$1,[3]enemies!$1:$1,0)-MATCH($M$1,[3]enemies!$1:$1,0)+1),MATCH(R$1,[3]enemies!$1:$1,0)-MATCH($M$1,[3]enemies!$1:$1,0)+1,FALSE)</f>
        <v>60</v>
      </c>
      <c r="S11" s="432">
        <v>60</v>
      </c>
      <c r="T11" s="433">
        <v>4.5</v>
      </c>
      <c r="U11" s="433">
        <v>1</v>
      </c>
      <c r="V11" s="432">
        <v>0</v>
      </c>
      <c r="W11" s="403"/>
      <c r="X11" s="462">
        <v>60006008</v>
      </c>
      <c r="Y11" s="466">
        <v>1</v>
      </c>
    </row>
    <row r="12" spans="1:25" s="416" customFormat="1" ht="21" customHeight="1" x14ac:dyDescent="0.15">
      <c r="A12" s="420"/>
      <c r="D12" s="421"/>
      <c r="M12" s="422"/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7" sqref="A7:XFD7"/>
    </sheetView>
  </sheetViews>
  <sheetFormatPr baseColWidth="12" defaultColWidth="12.83203125" defaultRowHeight="21" customHeight="1" outlineLevelCol="1" x14ac:dyDescent="0.15"/>
  <cols>
    <col min="1" max="1" width="11.33203125" style="24" bestFit="1" customWidth="1"/>
    <col min="2" max="2" width="9.5" style="30" bestFit="1" customWidth="1"/>
    <col min="3" max="3" width="9.6640625" style="30" customWidth="1"/>
    <col min="4" max="4" width="18.5" style="30" customWidth="1" outlineLevel="1"/>
    <col min="5" max="5" width="44.1640625" style="30" bestFit="1" customWidth="1" outlineLevel="1"/>
    <col min="6" max="6" width="10.83203125" style="30" bestFit="1" customWidth="1"/>
    <col min="7" max="7" width="8.33203125" style="30" bestFit="1" customWidth="1" outlineLevel="1"/>
    <col min="8" max="9" width="12.83203125" style="30" outlineLevel="1"/>
    <col min="10" max="10" width="17.6640625" style="30" bestFit="1" customWidth="1" outlineLevel="1"/>
    <col min="11" max="15" width="12.83203125" style="30" outlineLevel="1"/>
    <col min="16" max="16" width="8.33203125" style="26" bestFit="1" customWidth="1"/>
    <col min="17" max="17" width="9.6640625" style="26" customWidth="1"/>
    <col min="18" max="18" width="56.5" style="26" bestFit="1" customWidth="1"/>
    <col min="19" max="16384" width="12.83203125" style="26"/>
  </cols>
  <sheetData>
    <row r="1" spans="1:18" ht="21" customHeight="1" thickBot="1" x14ac:dyDescent="0.2">
      <c r="A1" s="24" t="s">
        <v>60</v>
      </c>
      <c r="B1" s="136" t="s">
        <v>61</v>
      </c>
      <c r="C1" s="136" t="s">
        <v>62</v>
      </c>
      <c r="D1" s="137" t="s">
        <v>63</v>
      </c>
      <c r="E1" s="137" t="s">
        <v>64</v>
      </c>
      <c r="F1" s="31" t="s">
        <v>65</v>
      </c>
      <c r="G1" s="25" t="s">
        <v>66</v>
      </c>
      <c r="H1" s="25" t="s">
        <v>68</v>
      </c>
      <c r="I1" s="25" t="s">
        <v>69</v>
      </c>
      <c r="J1" s="25" t="s">
        <v>70</v>
      </c>
      <c r="K1" s="25" t="s">
        <v>71</v>
      </c>
      <c r="L1" s="25" t="s">
        <v>72</v>
      </c>
      <c r="M1" s="25" t="s">
        <v>73</v>
      </c>
      <c r="N1" s="25" t="s">
        <v>74</v>
      </c>
      <c r="O1" s="25" t="s">
        <v>75</v>
      </c>
      <c r="P1" s="137" t="s">
        <v>76</v>
      </c>
      <c r="Q1" s="137" t="s">
        <v>77</v>
      </c>
      <c r="R1" s="137" t="s">
        <v>78</v>
      </c>
    </row>
    <row r="2" spans="1:18" s="153" customFormat="1" ht="21" customHeight="1" x14ac:dyDescent="0.15">
      <c r="A2" s="152" t="str">
        <f t="shared" ref="A2" si="0">B2&amp;"_"&amp;C2</f>
        <v>60006001_60006001</v>
      </c>
      <c r="B2" s="140">
        <v>60006001</v>
      </c>
      <c r="C2" s="140">
        <v>60006001</v>
      </c>
      <c r="D2" s="1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自爆</v>
      </c>
      <c r="E2" s="1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全体に自爆攻撃！</v>
      </c>
      <c r="F2" s="140">
        <v>60006001</v>
      </c>
      <c r="G2" s="141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141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141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" s="141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41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41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141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41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41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" s="140"/>
      <c r="Q2" s="140"/>
      <c r="R2" s="140"/>
    </row>
    <row r="3" spans="1:18" s="155" customFormat="1" ht="21" customHeight="1" thickBot="1" x14ac:dyDescent="0.2">
      <c r="A3" s="154" t="str">
        <f t="shared" ref="A3:A26" si="1">B3&amp;"_"&amp;C3</f>
        <v>60006001_60006002</v>
      </c>
      <c r="B3" s="142">
        <v>60006001</v>
      </c>
      <c r="C3" s="142">
        <v>60006002</v>
      </c>
      <c r="D3" s="147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ガガ…ピー！</v>
      </c>
      <c r="E3" s="147" t="str">
        <f ca="1">VLOOKUP($C3,OFFSET(enemy_skills!$A$1,0,0,COUNTA(enemy_skills!$A:$A),MATCH(E$1,enemy_skills!$1:$1,0)-MATCH("enemy_skill_id",enemy_skills!$1:$1,0)+1),MATCH(E$1,enemy_skills!$1:$1,0)-MATCH("enemy_skill_id",enemy_skills!$1:$1,0)+1,FALSE)</f>
        <v>今にもスパークしそうだ！</v>
      </c>
      <c r="F3" s="142">
        <v>60006002</v>
      </c>
      <c r="G3" s="143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143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143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143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143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143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143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143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143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142"/>
      <c r="Q3" s="142"/>
      <c r="R3" s="142"/>
    </row>
    <row r="4" spans="1:18" s="153" customFormat="1" ht="21" customHeight="1" x14ac:dyDescent="0.15">
      <c r="A4" s="152" t="str">
        <f t="shared" ref="A4" si="2">B4&amp;"_"&amp;C4</f>
        <v>60006002_60006003</v>
      </c>
      <c r="B4" s="140">
        <v>60006002</v>
      </c>
      <c r="C4" s="140">
        <v>60006003</v>
      </c>
      <c r="D4" s="1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出力全開だニャ！</v>
      </c>
      <c r="E4" s="1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140">
        <v>60006003</v>
      </c>
      <c r="G4" s="141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41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141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141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41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41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141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41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41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140"/>
      <c r="Q4" s="140"/>
      <c r="R4" s="140"/>
    </row>
    <row r="5" spans="1:18" s="155" customFormat="1" ht="21" customHeight="1" thickBot="1" x14ac:dyDescent="0.2">
      <c r="A5" s="154" t="str">
        <f t="shared" si="1"/>
        <v>60006002_60006004</v>
      </c>
      <c r="B5" s="142">
        <v>60006002</v>
      </c>
      <c r="C5" s="142">
        <v>60006004</v>
      </c>
      <c r="D5" s="147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こいつの凄さを見せてやるニャ！</v>
      </c>
      <c r="E5" s="147" t="str">
        <f ca="1">VLOOKUP($C5,OFFSET(enemy_skills!$A$1,0,0,COUNTA(enemy_skills!$A:$A),MATCH(E$1,enemy_skills!$1:$1,0)-MATCH("enemy_skill_id",enemy_skills!$1:$1,0)+1),MATCH(E$1,enemy_skills!$1:$1,0)-MATCH("enemy_skill_id",enemy_skills!$1:$1,0)+1,FALSE)</f>
        <v>時限式ダメージパネル15個生成</v>
      </c>
      <c r="F5" s="142">
        <v>60006004</v>
      </c>
      <c r="G5" s="143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143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143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43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43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43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43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43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43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42"/>
      <c r="Q5" s="142"/>
      <c r="R5" s="142"/>
    </row>
    <row r="6" spans="1:18" s="149" customFormat="1" ht="21" customHeight="1" x14ac:dyDescent="0.15">
      <c r="A6" s="156" t="str">
        <f t="shared" ref="A6" si="3">B6&amp;"_"&amp;C6</f>
        <v>60006003_60006029</v>
      </c>
      <c r="B6" s="28">
        <v>60006003</v>
      </c>
      <c r="C6" s="28">
        <v>60006029</v>
      </c>
      <c r="D6" s="27" t="str">
        <f ca="1">VLOOKUP($C6,OFFSET(enemy_skills!$A$1,0,0,COUNTA(enemy_skills!$A:$A),MATCH(D$1,enemy_skills!$1:$1,0)-MATCH("enemy_skill_id",enemy_skills!$1:$1,0)+1),MATCH(D$1,enemy_skills!$1:$1,0)-MATCH("enemy_skill_id",enemy_skills!$1:$1,0)+1,FALSE)</f>
        <v>本気でいくニャー！</v>
      </c>
      <c r="E6" s="27" t="str">
        <f ca="1">VLOOKUP($C6,OFFSET(enemy_skills!$A$1,0,0,COUNTA(enemy_skills!$A:$A),MATCH(E$1,enemy_skills!$1:$1,0)-MATCH("enemy_skill_id",enemy_skills!$1:$1,0)+1),MATCH(E$1,enemy_skills!$1:$1,0)-MATCH("enemy_skill_id",enemy_skills!$1:$1,0)+1,FALSE)</f>
        <v>8ターン赤属性以外のダメージを50%DOWN</v>
      </c>
      <c r="F6" s="140">
        <v>60006015</v>
      </c>
      <c r="G6" s="29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29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29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29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29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29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29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29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29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28"/>
      <c r="Q6" s="28"/>
      <c r="R6" s="28"/>
    </row>
    <row r="7" spans="1:18" s="149" customFormat="1" ht="21" customHeight="1" x14ac:dyDescent="0.15">
      <c r="A7" s="156" t="str">
        <f t="shared" si="1"/>
        <v>60006003_60006005</v>
      </c>
      <c r="B7" s="28">
        <v>60006003</v>
      </c>
      <c r="C7" s="28">
        <v>60006005</v>
      </c>
      <c r="D7" s="27" t="str">
        <f ca="1">VLOOKUP($C7,OFFSET(enemy_skills!$A$1,0,0,COUNTA(enemy_skills!$A:$A),MATCH(D$1,enemy_skills!$1:$1,0)-MATCH("enemy_skill_id",enemy_skills!$1:$1,0)+1),MATCH(D$1,enemy_skills!$1:$1,0)-MATCH("enemy_skill_id",enemy_skills!$1:$1,0)+1,FALSE)</f>
        <v>必殺の一撃だニャ！</v>
      </c>
      <c r="E7" s="27" t="str">
        <f ca="1">VLOOKUP($C7,OFFSET(enemy_skills!$A$1,0,0,COUNTA(enemy_skills!$A:$A),MATCH(E$1,enemy_skills!$1:$1,0)-MATCH("enemy_skill_id",enemy_skills!$1:$1,0)+1),MATCH(E$1,enemy_skills!$1:$1,0)-MATCH("enemy_skill_id",enemy_skills!$1:$1,0)+1,FALSE)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7" s="28">
        <v>60006005</v>
      </c>
      <c r="G7" s="29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29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29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7" s="29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7" s="29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29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29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29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29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7" s="28"/>
      <c r="Q7" s="28"/>
      <c r="R7" s="28"/>
    </row>
    <row r="8" spans="1:18" s="149" customFormat="1" ht="21" customHeight="1" x14ac:dyDescent="0.15">
      <c r="A8" s="156" t="str">
        <f t="shared" si="1"/>
        <v>60006003_60006006</v>
      </c>
      <c r="B8" s="28">
        <v>60006003</v>
      </c>
      <c r="C8" s="28">
        <v>60006006</v>
      </c>
      <c r="D8" s="27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エネルギーチャージだニャ！</v>
      </c>
      <c r="E8" s="27" t="str">
        <f ca="1">VLOOKUP($C8,OFFSET(enemy_skills!$A$1,0,0,COUNTA(enemy_skills!$A:$A),MATCH(E$1,enemy_skills!$1:$1,0)-MATCH("enemy_skill_id",enemy_skills!$1:$1,0)+1),MATCH(E$1,enemy_skills!$1:$1,0)-MATCH("enemy_skill_id",enemy_skills!$1:$1,0)+1,FALSE)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8" s="28">
        <v>60006006</v>
      </c>
      <c r="G8" s="29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29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29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29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29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29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29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29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29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28"/>
      <c r="Q8" s="28"/>
      <c r="R8" s="28"/>
    </row>
    <row r="9" spans="1:18" s="149" customFormat="1" ht="21" customHeight="1" x14ac:dyDescent="0.15">
      <c r="A9" s="156" t="str">
        <f t="shared" ref="A9" si="4">B9&amp;"_"&amp;C9</f>
        <v>60006003_60006007</v>
      </c>
      <c r="B9" s="28">
        <v>60006003</v>
      </c>
      <c r="C9" s="28">
        <v>60006007</v>
      </c>
      <c r="D9" s="27" t="str">
        <f ca="1">VLOOKUP($C9,OFFSET(enemy_skills!$A$1,0,0,COUNTA(enemy_skills!$A:$A),MATCH(D$1,enemy_skills!$1:$1,0)-MATCH("enemy_skill_id",enemy_skills!$1:$1,0)+1),MATCH(D$1,enemy_skills!$1:$1,0)-MATCH("enemy_skill_id",enemy_skills!$1:$1,0)+1,FALSE)</f>
        <v>突撃だニャー！</v>
      </c>
      <c r="E9" s="27" t="str">
        <f ca="1">VLOOKUP($C9,OFFSET(enemy_skills!$A$1,0,0,COUNTA(enemy_skills!$A:$A),MATCH(E$1,enemy_skills!$1:$1,0)-MATCH("enemy_skill_id",enemy_skills!$1:$1,0)+1),MATCH(E$1,enemy_skills!$1:$1,0)-MATCH("enemy_skill_id",enemy_skills!$1:$1,0)+1,FALSE)</f>
        <v>強力な攻撃！</v>
      </c>
      <c r="F9" s="28">
        <v>60006007</v>
      </c>
      <c r="G9" s="29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29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29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29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29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29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29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29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29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28"/>
      <c r="Q9" s="28"/>
      <c r="R9" s="28"/>
    </row>
    <row r="10" spans="1:18" s="155" customFormat="1" ht="21" customHeight="1" thickBot="1" x14ac:dyDescent="0.2">
      <c r="A10" s="154" t="str">
        <f t="shared" si="1"/>
        <v>60006003_60006028</v>
      </c>
      <c r="B10" s="142">
        <v>60006003</v>
      </c>
      <c r="C10" s="142">
        <v>60006028</v>
      </c>
      <c r="D10" s="147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コッパミジンにしてやるニャー！</v>
      </c>
      <c r="E10" s="147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時限式ダメージパネル15個生成</v>
      </c>
      <c r="F10" s="142">
        <v>60006028</v>
      </c>
      <c r="G10" s="143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43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" s="143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143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33</v>
      </c>
      <c r="K10" s="143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43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43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143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43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42"/>
      <c r="Q10" s="142"/>
      <c r="R10" s="142"/>
    </row>
    <row r="11" spans="1:18" s="149" customFormat="1" ht="21" customHeight="1" x14ac:dyDescent="0.15">
      <c r="A11" s="156" t="str">
        <f t="shared" si="1"/>
        <v>60006004_60006009</v>
      </c>
      <c r="B11" s="28">
        <v>60006004</v>
      </c>
      <c r="C11" s="28">
        <v>60006009</v>
      </c>
      <c r="D11" s="27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追い払ってやるゼェ！</v>
      </c>
      <c r="E11" s="27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11" s="28">
        <v>60006009</v>
      </c>
      <c r="G11" s="29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29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29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29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11" s="29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29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29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29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29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28"/>
      <c r="Q11" s="28"/>
      <c r="R11" s="28"/>
    </row>
    <row r="12" spans="1:18" s="155" customFormat="1" ht="21" customHeight="1" thickBot="1" x14ac:dyDescent="0.2">
      <c r="A12" s="154" t="str">
        <f t="shared" si="1"/>
        <v>60006004_60006010</v>
      </c>
      <c r="B12" s="142">
        <v>60006004</v>
      </c>
      <c r="C12" s="142">
        <v>60006010</v>
      </c>
      <c r="D12" s="147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オトリになるのは得意だゼェ！</v>
      </c>
      <c r="E12" s="147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12" s="142">
        <v>60006010</v>
      </c>
      <c r="G12" s="143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43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143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43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143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43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43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43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43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42"/>
      <c r="Q12" s="142"/>
      <c r="R12" s="142"/>
    </row>
    <row r="13" spans="1:18" s="149" customFormat="1" ht="21" customHeight="1" x14ac:dyDescent="0.15">
      <c r="A13" s="156" t="str">
        <f t="shared" si="1"/>
        <v>60006005_60006012</v>
      </c>
      <c r="B13" s="28">
        <v>60006005</v>
      </c>
      <c r="C13" s="28">
        <v>60006012</v>
      </c>
      <c r="D13" s="27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ギュイイーン</v>
      </c>
      <c r="E13" s="27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13" s="28">
        <v>60006012</v>
      </c>
      <c r="G13" s="29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29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29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29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29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29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29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29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29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28"/>
      <c r="Q13" s="28"/>
      <c r="R13" s="28"/>
    </row>
    <row r="14" spans="1:18" s="149" customFormat="1" ht="21" customHeight="1" x14ac:dyDescent="0.15">
      <c r="A14" s="156" t="str">
        <f t="shared" si="1"/>
        <v>60006005_60006013</v>
      </c>
      <c r="B14" s="28">
        <v>60006005</v>
      </c>
      <c r="C14" s="28">
        <v>60006013</v>
      </c>
      <c r="D14" s="27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タオス！タオス！</v>
      </c>
      <c r="E14" s="27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強力な攻撃！</v>
      </c>
      <c r="F14" s="28">
        <v>60006013</v>
      </c>
      <c r="G14" s="29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29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29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29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29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29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29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29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29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28"/>
      <c r="Q14" s="28"/>
      <c r="R14" s="28"/>
    </row>
    <row r="15" spans="1:18" s="155" customFormat="1" ht="21" customHeight="1" thickBot="1" x14ac:dyDescent="0.2">
      <c r="A15" s="154" t="str">
        <f t="shared" si="1"/>
        <v>60006005_60006014</v>
      </c>
      <c r="B15" s="142">
        <v>60006005</v>
      </c>
      <c r="C15" s="142">
        <v>60006014</v>
      </c>
      <c r="D15" s="147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リミッターカイジョ！</v>
      </c>
      <c r="E15" s="147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3ターン攻撃頻度が2ターンにUP</v>
      </c>
      <c r="F15" s="142">
        <v>60006014</v>
      </c>
      <c r="G15" s="143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143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143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143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143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143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143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143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143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142"/>
      <c r="Q15" s="142"/>
      <c r="R15" s="142"/>
    </row>
    <row r="16" spans="1:18" s="153" customFormat="1" ht="21" customHeight="1" x14ac:dyDescent="0.15">
      <c r="A16" s="152" t="str">
        <f t="shared" si="1"/>
        <v>60006006_60006015</v>
      </c>
      <c r="B16" s="140">
        <v>60006006</v>
      </c>
      <c r="C16" s="140">
        <v>60006015</v>
      </c>
      <c r="D16" s="1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あなたは[player_ranking_grade]の挑戦者ね！</v>
      </c>
      <c r="E16" s="1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それじゃ　早速いくわよ♪</v>
      </c>
      <c r="F16" s="140">
        <v>60006015</v>
      </c>
      <c r="G16" s="141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141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141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141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141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141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141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141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141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140"/>
      <c r="Q16" s="140"/>
      <c r="R16" s="140"/>
    </row>
    <row r="17" spans="1:18" s="149" customFormat="1" ht="21" customHeight="1" x14ac:dyDescent="0.15">
      <c r="A17" s="156" t="str">
        <f t="shared" si="1"/>
        <v>60006006_60006016</v>
      </c>
      <c r="B17" s="28">
        <v>60006006</v>
      </c>
      <c r="C17" s="28">
        <v>60006016</v>
      </c>
      <c r="D17" s="27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いくわよ！</v>
      </c>
      <c r="E17" s="27" t="str">
        <f ca="1">VLOOKUP($C17,OFFSET(enemy_skills!$A$1,0,0,COUNTA(enemy_skills!$A:$A),MATCH(E$1,enemy_skills!$1:$1,0)-MATCH("enemy_skill_id",enemy_skills!$1:$1,0)+1),MATCH(E$1,enemy_skills!$1:$1,0)-MATCH("enemy_skill_id",enemy_skills!$1:$1,0)+1,FALSE)</f>
        <v>何かを試されているようだ</v>
      </c>
      <c r="F17" s="28">
        <v>60006016</v>
      </c>
      <c r="G17" s="29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29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29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29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29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29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29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29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29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28"/>
      <c r="Q17" s="28"/>
      <c r="R17" s="28"/>
    </row>
    <row r="18" spans="1:18" s="149" customFormat="1" ht="21" customHeight="1" x14ac:dyDescent="0.15">
      <c r="A18" s="156" t="str">
        <f t="shared" si="1"/>
        <v>60006006_60006017</v>
      </c>
      <c r="B18" s="28">
        <v>60006006</v>
      </c>
      <c r="C18" s="28">
        <v>60006017</v>
      </c>
      <c r="D18" s="27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これならどうかしら？</v>
      </c>
      <c r="E18" s="27" t="str">
        <f ca="1">VLOOKUP($C18,OFFSET(enemy_skills!$A$1,0,0,COUNTA(enemy_skills!$A:$A),MATCH(E$1,enemy_skills!$1:$1,0)-MATCH("enemy_skill_id",enemy_skills!$1:$1,0)+1),MATCH(E$1,enemy_skills!$1:$1,0)-MATCH("enemy_skill_id",enemy_skills!$1:$1,0)+1,FALSE)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8" s="28">
        <v>60006017</v>
      </c>
      <c r="G18" s="29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29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29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29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29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29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29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29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29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28"/>
      <c r="Q18" s="28"/>
      <c r="R18" s="28"/>
    </row>
    <row r="19" spans="1:18" s="155" customFormat="1" ht="21" customHeight="1" thickBot="1" x14ac:dyDescent="0.2">
      <c r="A19" s="154" t="str">
        <f t="shared" ref="A19" si="5">B19&amp;"_"&amp;C19</f>
        <v>60006006_60006018</v>
      </c>
      <c r="B19" s="142">
        <v>60006006</v>
      </c>
      <c r="C19" s="142">
        <v>60006018</v>
      </c>
      <c r="D19" s="147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なかなかやるわね…</v>
      </c>
      <c r="E19" s="147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142">
        <v>60006018</v>
      </c>
      <c r="G19" s="143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143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143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143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143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143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143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143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143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42"/>
      <c r="Q19" s="142"/>
      <c r="R19" s="142"/>
    </row>
    <row r="20" spans="1:18" s="153" customFormat="1" ht="21" customHeight="1" x14ac:dyDescent="0.15">
      <c r="A20" s="152" t="str">
        <f t="shared" si="1"/>
        <v>60006007_60006019</v>
      </c>
      <c r="B20" s="140">
        <v>60006007</v>
      </c>
      <c r="C20" s="140">
        <v>60006019</v>
      </c>
      <c r="D20" s="1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ここまでは想定通りね</v>
      </c>
      <c r="E20" s="1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状態異常無効＋_x000D_赤属性以外のスキルが10ターン使えない</v>
      </c>
      <c r="F20" s="140">
        <v>60006019</v>
      </c>
      <c r="G20" s="141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141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141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141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41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41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141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141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41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40"/>
      <c r="Q20" s="140"/>
      <c r="R20" s="140"/>
    </row>
    <row r="21" spans="1:18" s="149" customFormat="1" ht="21" customHeight="1" x14ac:dyDescent="0.15">
      <c r="A21" s="156" t="str">
        <f t="shared" si="1"/>
        <v>60006007_60006020</v>
      </c>
      <c r="B21" s="28">
        <v>60006007</v>
      </c>
      <c r="C21" s="28">
        <v>60006020</v>
      </c>
      <c r="D21" s="27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次はこれよ！</v>
      </c>
      <c r="E21" s="27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強力な攻撃！</v>
      </c>
      <c r="F21" s="28">
        <v>60006020</v>
      </c>
      <c r="G21" s="29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29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29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29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29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29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29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29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29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28"/>
      <c r="Q21" s="28"/>
      <c r="R21" s="28"/>
    </row>
    <row r="22" spans="1:18" s="149" customFormat="1" ht="21" customHeight="1" x14ac:dyDescent="0.15">
      <c r="A22" s="156" t="str">
        <f t="shared" si="1"/>
        <v>60006007_60006021</v>
      </c>
      <c r="B22" s="28">
        <v>60006007</v>
      </c>
      <c r="C22" s="28">
        <v>60006021</v>
      </c>
      <c r="D22" s="27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いい反応ね…</v>
      </c>
      <c r="E22" s="27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2" s="28">
        <v>60006021</v>
      </c>
      <c r="G22" s="29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29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29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29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29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29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29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29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29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28"/>
      <c r="Q22" s="28"/>
      <c r="R22" s="28"/>
    </row>
    <row r="23" spans="1:18" s="155" customFormat="1" ht="21" customHeight="1" thickBot="1" x14ac:dyDescent="0.2">
      <c r="A23" s="154" t="str">
        <f t="shared" ref="A23" si="6">B23&amp;"_"&amp;C23</f>
        <v>60006007_60006022</v>
      </c>
      <c r="B23" s="142">
        <v>60006007</v>
      </c>
      <c r="C23" s="142">
        <v>60006022</v>
      </c>
      <c r="D23" s="147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見せてあげる！</v>
      </c>
      <c r="E23" s="147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時限式ダメージパネル8個＋8回連続攻撃</v>
      </c>
      <c r="F23" s="142">
        <v>60006022</v>
      </c>
      <c r="G23" s="143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143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143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3" s="143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3" s="143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43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143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43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143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3" s="142"/>
      <c r="Q23" s="142"/>
      <c r="R23" s="142"/>
    </row>
    <row r="24" spans="1:18" s="151" customFormat="1" ht="21" customHeight="1" x14ac:dyDescent="0.15">
      <c r="A24" s="150" t="str">
        <f t="shared" si="1"/>
        <v>60006008_60006023</v>
      </c>
      <c r="B24" s="138">
        <v>60006008</v>
      </c>
      <c r="C24" s="138">
        <v>60006023</v>
      </c>
      <c r="D24" s="1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最終段階に移行しましょう</v>
      </c>
      <c r="E24" s="1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攻撃頻度が1ターンにUP</v>
      </c>
      <c r="F24" s="138">
        <v>60006023</v>
      </c>
      <c r="G24" s="139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139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139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39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139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39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139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139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39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38"/>
      <c r="Q24" s="138"/>
      <c r="R24" s="138"/>
    </row>
    <row r="25" spans="1:18" s="149" customFormat="1" ht="21" customHeight="1" x14ac:dyDescent="0.15">
      <c r="A25" s="148" t="str">
        <f t="shared" si="1"/>
        <v>60006008_60006024</v>
      </c>
      <c r="B25" s="28">
        <v>60006008</v>
      </c>
      <c r="C25" s="28">
        <v>60006024</v>
      </c>
      <c r="D25" s="27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これは耐えられるかしら？</v>
      </c>
      <c r="E25" s="27" t="str">
        <f ca="1">VLOOKUP($C25,OFFSET(enemy_skills!$A$1,0,0,COUNTA(enemy_skills!$A:$A),MATCH(E$1,enemy_skills!$1:$1,0)-MATCH("enemy_skill_id",enemy_skills!$1:$1,0)+1),MATCH(E$1,enemy_skills!$1:$1,0)-MATCH("enemy_skill_id",enemy_skills!$1:$1,0)+1,FALSE)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5" s="28">
        <v>60006024</v>
      </c>
      <c r="G25" s="29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29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29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29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25" s="29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29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29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29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29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28"/>
      <c r="Q25" s="28"/>
      <c r="R25" s="28"/>
    </row>
    <row r="26" spans="1:18" s="149" customFormat="1" ht="21" customHeight="1" x14ac:dyDescent="0.15">
      <c r="A26" s="148" t="str">
        <f t="shared" si="1"/>
        <v>60006008_60006025</v>
      </c>
      <c r="B26" s="28">
        <v>60006008</v>
      </c>
      <c r="C26" s="28">
        <v>60006025</v>
      </c>
      <c r="D26" s="27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そろそろ限界かしら？</v>
      </c>
      <c r="E26" s="27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6" s="28">
        <v>60006025</v>
      </c>
      <c r="G26" s="29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29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6" s="29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29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6" s="29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29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29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29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29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28"/>
      <c r="Q26" s="28"/>
      <c r="R26" s="28"/>
    </row>
    <row r="27" spans="1:18" s="149" customFormat="1" ht="21" customHeight="1" x14ac:dyDescent="0.15">
      <c r="A27" s="148" t="str">
        <f t="shared" ref="A27" si="7">B27&amp;"_"&amp;C27</f>
        <v>60006008_60006026</v>
      </c>
      <c r="B27" s="28">
        <v>60006008</v>
      </c>
      <c r="C27" s="28">
        <v>60006026</v>
      </c>
      <c r="D27" s="27" t="str">
        <f ca="1">VLOOKUP($C27,OFFSET(enemy_skills!$A$1,0,0,COUNTA(enemy_skills!$A:$A),MATCH(D$1,enemy_skills!$1:$1,0)-MATCH("enemy_skill_id",enemy_skills!$1:$1,0)+1),MATCH(D$1,enemy_skills!$1:$1,0)-MATCH("enemy_skill_id",enemy_skills!$1:$1,0)+1,FALSE)</f>
        <v>予想以上の結果だわ…</v>
      </c>
      <c r="E27" s="27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でも…これならどうかしら！？</v>
      </c>
      <c r="F27" s="28">
        <v>60006026</v>
      </c>
      <c r="G27" s="29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29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29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29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29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29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29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29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29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28"/>
      <c r="Q27" s="28"/>
      <c r="R27" s="28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8"/>
  <sheetViews>
    <sheetView showGridLines="0" workbookViewId="0">
      <pane ySplit="1" topLeftCell="A7" activePane="bottomLeft" state="frozenSplit"/>
      <selection activeCell="T24" sqref="T24"/>
      <selection pane="bottomLeft" activeCell="F29" sqref="F29"/>
    </sheetView>
  </sheetViews>
  <sheetFormatPr baseColWidth="12" defaultColWidth="12.83203125" defaultRowHeight="21" customHeight="1" outlineLevelCol="1" x14ac:dyDescent="0.15"/>
  <cols>
    <col min="1" max="1" width="12.83203125" style="30"/>
    <col min="2" max="2" width="67.1640625" style="30" customWidth="1"/>
    <col min="3" max="4" width="12.83203125" style="30"/>
    <col min="5" max="5" width="23.6640625" style="30" bestFit="1" customWidth="1"/>
    <col min="6" max="6" width="44.1640625" style="30" bestFit="1" customWidth="1"/>
    <col min="7" max="7" width="52" style="30" customWidth="1" outlineLevel="1"/>
    <col min="8" max="8" width="18.33203125" style="30" customWidth="1" outlineLevel="1"/>
    <col min="9" max="11" width="18.6640625" style="30" customWidth="1" outlineLevel="1"/>
    <col min="12" max="12" width="23.6640625" style="30" customWidth="1"/>
    <col min="13" max="18" width="23.6640625" style="30" customWidth="1" outlineLevel="1"/>
    <col min="19" max="19" width="23.6640625" style="30" customWidth="1"/>
    <col min="20" max="24" width="23.6640625" style="30" customWidth="1" outlineLevel="1"/>
    <col min="25" max="25" width="23.6640625" style="30" customWidth="1"/>
    <col min="26" max="27" width="12.83203125" style="30"/>
    <col min="28" max="28" width="44.5" style="30" customWidth="1"/>
    <col min="29" max="16384" width="12.83203125" style="30"/>
  </cols>
  <sheetData>
    <row r="1" spans="1:28" ht="21" customHeight="1" x14ac:dyDescent="0.15">
      <c r="A1" s="477" t="s">
        <v>79</v>
      </c>
      <c r="B1" s="477" t="s">
        <v>80</v>
      </c>
      <c r="C1" s="477" t="s">
        <v>81</v>
      </c>
      <c r="D1" s="477" t="s">
        <v>127</v>
      </c>
      <c r="E1" s="477" t="s">
        <v>82</v>
      </c>
      <c r="F1" s="477" t="s">
        <v>83</v>
      </c>
      <c r="G1" s="478" t="s">
        <v>133</v>
      </c>
      <c r="H1" s="478" t="s">
        <v>139</v>
      </c>
      <c r="I1" s="478" t="s">
        <v>141</v>
      </c>
      <c r="J1" s="478" t="s">
        <v>140</v>
      </c>
      <c r="K1" s="478" t="s">
        <v>142</v>
      </c>
      <c r="L1" s="478" t="s">
        <v>134</v>
      </c>
      <c r="M1" s="478" t="s">
        <v>132</v>
      </c>
      <c r="N1" s="478" t="s">
        <v>135</v>
      </c>
      <c r="O1" s="478" t="s">
        <v>143</v>
      </c>
      <c r="P1" s="478" t="s">
        <v>144</v>
      </c>
      <c r="Q1" s="478" t="s">
        <v>145</v>
      </c>
      <c r="R1" s="478" t="s">
        <v>146</v>
      </c>
      <c r="S1" s="478" t="s">
        <v>136</v>
      </c>
      <c r="T1" s="478" t="s">
        <v>137</v>
      </c>
      <c r="U1" s="478" t="s">
        <v>147</v>
      </c>
      <c r="V1" s="478" t="s">
        <v>148</v>
      </c>
      <c r="W1" s="478" t="s">
        <v>149</v>
      </c>
      <c r="X1" s="478" t="s">
        <v>150</v>
      </c>
      <c r="Y1" s="478" t="s">
        <v>138</v>
      </c>
      <c r="Z1" s="478" t="s">
        <v>76</v>
      </c>
      <c r="AA1" s="478" t="s">
        <v>77</v>
      </c>
      <c r="AB1" s="478" t="s">
        <v>78</v>
      </c>
    </row>
    <row r="2" spans="1:28" s="210" customFormat="1" ht="21" customHeight="1" x14ac:dyDescent="0.15">
      <c r="A2" s="28">
        <v>60006001</v>
      </c>
      <c r="B2" s="28" t="s">
        <v>314</v>
      </c>
      <c r="C2" s="474">
        <v>3</v>
      </c>
      <c r="D2" s="474" t="s">
        <v>128</v>
      </c>
      <c r="E2" s="475" t="s">
        <v>267</v>
      </c>
      <c r="F2" s="475" t="s">
        <v>313</v>
      </c>
      <c r="G2" s="483" t="str">
        <f>IFERROR(LEFT(B2,FIND("],",B2)),B2)</f>
        <v xml:space="preserve">[effect:kamikaze, val:0.4]    </v>
      </c>
      <c r="H2" s="483">
        <f>FIND("effect:",G2)+7</f>
        <v>9</v>
      </c>
      <c r="I2" s="483">
        <f>IFERROR(FIND(",",G2),LEN(G2))</f>
        <v>17</v>
      </c>
      <c r="J2" s="483" t="e">
        <f>FIND("target:",G2)+7</f>
        <v>#VALUE!</v>
      </c>
      <c r="K2" s="483" t="e">
        <f>FIND(",",G2,I2+1)</f>
        <v>#VALUE!</v>
      </c>
      <c r="L2" s="483" t="str">
        <f>IFERROR(VLOOKUP(MID(G2,J2,K2-J2),[5]skilldef!$C:$D,2,FALSE),"-") &amp; " / " &amp; IFERROR(VLOOKUP(MID(G2,H2,I2-H2),[5]skilldef!$A:$B,2,FALSE),"-")</f>
        <v>- / 自爆</v>
      </c>
      <c r="M2" s="483" t="str">
        <f>IFERROR(RIGHT(B2,LEN(B2)-FIND("],",B2)-1),"none")</f>
        <v>none</v>
      </c>
      <c r="N2" s="484" t="str">
        <f t="shared" ref="N2:N8" si="0">IFERROR(LEFT(M2,FIND("],",M2)+S11),M2)</f>
        <v>none</v>
      </c>
      <c r="O2" s="483" t="e">
        <f>FIND("effect:",N2)+7</f>
        <v>#VALUE!</v>
      </c>
      <c r="P2" s="483">
        <f>IFERROR(FIND(",",N2),LEN(N2))</f>
        <v>4</v>
      </c>
      <c r="Q2" s="483" t="e">
        <f>FIND("target:",N2)+7</f>
        <v>#VALUE!</v>
      </c>
      <c r="R2" s="483" t="e">
        <f>FIND(",",N2,P2+1)</f>
        <v>#VALUE!</v>
      </c>
      <c r="S2" s="483" t="str">
        <f>IFERROR(VLOOKUP(MID(N2,Q2,R2-Q2),[5]skilldef!$C:$D,2,FALSE),"-") &amp; " / " &amp; IFERROR(VLOOKUP(MID(N2,O2,P2-O2),[5]skilldef!$A:$B,2,FALSE),"-")</f>
        <v>- / -</v>
      </c>
      <c r="T2" s="484" t="str">
        <f>IFERROR(RIGHT(M2,LEN(M2)-FIND("],",M2)-1),"none")</f>
        <v>none</v>
      </c>
      <c r="U2" s="483" t="e">
        <f>FIND("effect:",T2)+7</f>
        <v>#VALUE!</v>
      </c>
      <c r="V2" s="483">
        <f>IFERROR(FIND(",",T2),LEN(T2))</f>
        <v>4</v>
      </c>
      <c r="W2" s="483" t="e">
        <f>FIND("target:",T2)+7</f>
        <v>#VALUE!</v>
      </c>
      <c r="X2" s="483" t="e">
        <f>FIND(",",T2,V2+1)</f>
        <v>#VALUE!</v>
      </c>
      <c r="Y2" s="483" t="str">
        <f>IFERROR(VLOOKUP(MID(T2,W2,X2-W2),[5]skilldef!$C:$D,2,FALSE),"-") &amp; " / " &amp; IFERROR(VLOOKUP(MID(T2,U2,V2-U2),[5]skilldef!$A:$B,2,FALSE),"-")</f>
        <v>- / -</v>
      </c>
      <c r="Z2" s="474" t="s">
        <v>268</v>
      </c>
      <c r="AA2" s="476"/>
      <c r="AB2" s="474"/>
    </row>
    <row r="3" spans="1:28" s="210" customFormat="1" ht="21" customHeight="1" x14ac:dyDescent="0.15">
      <c r="A3" s="28">
        <v>60006002</v>
      </c>
      <c r="B3" s="28" t="s">
        <v>312</v>
      </c>
      <c r="C3" s="474">
        <v>3</v>
      </c>
      <c r="D3" s="474" t="s">
        <v>128</v>
      </c>
      <c r="E3" s="475" t="s">
        <v>325</v>
      </c>
      <c r="F3" s="475" t="s">
        <v>269</v>
      </c>
      <c r="G3" s="483" t="str">
        <f>IFERROR(LEFT(B3,FIND("],",B3)),B3)</f>
        <v>[effect:nothing]</v>
      </c>
      <c r="H3" s="483">
        <f>FIND("effect:",G3)+7</f>
        <v>9</v>
      </c>
      <c r="I3" s="483">
        <f>IFERROR(FIND(",",G3),LEN(G3))</f>
        <v>16</v>
      </c>
      <c r="J3" s="483" t="e">
        <f>FIND("target:",G3)+7</f>
        <v>#VALUE!</v>
      </c>
      <c r="K3" s="483" t="e">
        <f>FIND(",",G3,I3+1)</f>
        <v>#VALUE!</v>
      </c>
      <c r="L3" s="483" t="str">
        <f>IFERROR(VLOOKUP(MID(G3,J3,K3-J3),[5]skilldef!$C:$D,2,FALSE),"-") &amp; " / " &amp; IFERROR(VLOOKUP(MID(G3,H3,I3-H3),[5]skilldef!$A:$B,2,FALSE),"-")</f>
        <v>- / 何もしない</v>
      </c>
      <c r="M3" s="483" t="str">
        <f>IFERROR(RIGHT(B3,LEN(B3)-FIND("],",B3)-1),"none")</f>
        <v>none</v>
      </c>
      <c r="N3" s="484" t="str">
        <f t="shared" si="0"/>
        <v>none</v>
      </c>
      <c r="O3" s="483" t="e">
        <f>FIND("effect:",N3)+7</f>
        <v>#VALUE!</v>
      </c>
      <c r="P3" s="483">
        <f>IFERROR(FIND(",",N3),LEN(N3))</f>
        <v>4</v>
      </c>
      <c r="Q3" s="483" t="e">
        <f>FIND("target:",N3)+7</f>
        <v>#VALUE!</v>
      </c>
      <c r="R3" s="483" t="e">
        <f>FIND(",",N3,P3+1)</f>
        <v>#VALUE!</v>
      </c>
      <c r="S3" s="483" t="str">
        <f>IFERROR(VLOOKUP(MID(N3,Q3,R3-Q3),[5]skilldef!$C:$D,2,FALSE),"-") &amp; " / " &amp; IFERROR(VLOOKUP(MID(N3,O3,P3-O3),[5]skilldef!$A:$B,2,FALSE),"-")</f>
        <v>- / -</v>
      </c>
      <c r="T3" s="484" t="str">
        <f>IFERROR(RIGHT(M3,LEN(M3)-FIND("],",M3)-1),"none")</f>
        <v>none</v>
      </c>
      <c r="U3" s="483" t="e">
        <f>FIND("effect:",T3)+7</f>
        <v>#VALUE!</v>
      </c>
      <c r="V3" s="483">
        <f>IFERROR(FIND(",",T3),LEN(T3))</f>
        <v>4</v>
      </c>
      <c r="W3" s="483" t="e">
        <f>FIND("target:",T3)+7</f>
        <v>#VALUE!</v>
      </c>
      <c r="X3" s="483" t="e">
        <f>FIND(",",T3,V3+1)</f>
        <v>#VALUE!</v>
      </c>
      <c r="Y3" s="483" t="str">
        <f>IFERROR(VLOOKUP(MID(T3,W3,X3-W3),[5]skilldef!$C:$D,2,FALSE),"-") &amp; " / " &amp; IFERROR(VLOOKUP(MID(T3,U3,V3-U3),[5]skilldef!$A:$B,2,FALSE),"-")</f>
        <v>- / -</v>
      </c>
      <c r="Z3" s="474" t="s">
        <v>268</v>
      </c>
      <c r="AA3" s="476"/>
      <c r="AB3" s="474"/>
    </row>
    <row r="4" spans="1:28" s="210" customFormat="1" ht="21" customHeight="1" x14ac:dyDescent="0.15">
      <c r="A4" s="28">
        <v>60006003</v>
      </c>
      <c r="B4" s="28" t="s">
        <v>311</v>
      </c>
      <c r="C4" s="474">
        <v>3</v>
      </c>
      <c r="D4" s="474" t="s">
        <v>128</v>
      </c>
      <c r="E4" s="475" t="s">
        <v>377</v>
      </c>
      <c r="F4" s="475" t="s">
        <v>270</v>
      </c>
      <c r="G4" s="483" t="str">
        <f>IFERROR(LEFT(B4,FIND("],",B4)),B4)</f>
        <v xml:space="preserve">[effect:spread, val:0.3]    </v>
      </c>
      <c r="H4" s="483">
        <f>FIND("effect:",G4)+7</f>
        <v>9</v>
      </c>
      <c r="I4" s="483">
        <f>IFERROR(FIND(",",G4),LEN(G4))</f>
        <v>15</v>
      </c>
      <c r="J4" s="483" t="e">
        <f>FIND("target:",G4)+7</f>
        <v>#VALUE!</v>
      </c>
      <c r="K4" s="483" t="e">
        <f>FIND(",",G4,I4+1)</f>
        <v>#VALUE!</v>
      </c>
      <c r="L4" s="483" t="str">
        <f>IFERROR(VLOOKUP(MID(G4,J4,K4-J4),[5]skilldef!$C:$D,2,FALSE),"-") &amp; " / " &amp; IFERROR(VLOOKUP(MID(G4,H4,I4-H4),[5]skilldef!$A:$B,2,FALSE),"-")</f>
        <v>- / 全体攻撃</v>
      </c>
      <c r="M4" s="483" t="str">
        <f>IFERROR(RIGHT(B4,LEN(B4)-FIND("],",B4)-1),"none")</f>
        <v>none</v>
      </c>
      <c r="N4" s="484" t="str">
        <f t="shared" si="0"/>
        <v>none</v>
      </c>
      <c r="O4" s="483" t="e">
        <f>FIND("effect:",N4)+7</f>
        <v>#VALUE!</v>
      </c>
      <c r="P4" s="483">
        <f>IFERROR(FIND(",",N4),LEN(N4))</f>
        <v>4</v>
      </c>
      <c r="Q4" s="483" t="e">
        <f>FIND("target:",N4)+7</f>
        <v>#VALUE!</v>
      </c>
      <c r="R4" s="483" t="e">
        <f>FIND(",",N4,P4+1)</f>
        <v>#VALUE!</v>
      </c>
      <c r="S4" s="483" t="str">
        <f>IFERROR(VLOOKUP(MID(N4,Q4,R4-Q4),[5]skilldef!$C:$D,2,FALSE),"-") &amp; " / " &amp; IFERROR(VLOOKUP(MID(N4,O4,P4-O4),[5]skilldef!$A:$B,2,FALSE),"-")</f>
        <v>- / -</v>
      </c>
      <c r="T4" s="484" t="str">
        <f>IFERROR(RIGHT(M4,LEN(M4)-FIND("],",M4)-1),"none")</f>
        <v>none</v>
      </c>
      <c r="U4" s="483" t="e">
        <f>FIND("effect:",T4)+7</f>
        <v>#VALUE!</v>
      </c>
      <c r="V4" s="483">
        <f>IFERROR(FIND(",",T4),LEN(T4))</f>
        <v>4</v>
      </c>
      <c r="W4" s="483" t="e">
        <f>FIND("target:",T4)+7</f>
        <v>#VALUE!</v>
      </c>
      <c r="X4" s="483" t="e">
        <f>FIND(",",T4,V4+1)</f>
        <v>#VALUE!</v>
      </c>
      <c r="Y4" s="483" t="str">
        <f>IFERROR(VLOOKUP(MID(T4,W4,X4-W4),[5]skilldef!$C:$D,2,FALSE),"-") &amp; " / " &amp; IFERROR(VLOOKUP(MID(T4,U4,V4-U4),[5]skilldef!$A:$B,2,FALSE),"-")</f>
        <v>- / -</v>
      </c>
      <c r="Z4" s="474" t="s">
        <v>268</v>
      </c>
      <c r="AA4" s="476"/>
      <c r="AB4" s="474"/>
    </row>
    <row r="5" spans="1:28" s="210" customFormat="1" ht="21" customHeight="1" x14ac:dyDescent="0.15">
      <c r="A5" s="28">
        <v>60006004</v>
      </c>
      <c r="B5" s="28" t="s">
        <v>417</v>
      </c>
      <c r="C5" s="474">
        <v>3</v>
      </c>
      <c r="D5" s="474" t="s">
        <v>128</v>
      </c>
      <c r="E5" s="475" t="s">
        <v>378</v>
      </c>
      <c r="F5" s="475" t="s">
        <v>395</v>
      </c>
      <c r="G5" s="483" t="str">
        <f>IFERROR(LEFT(B5,FIND("],",B5)),B5)</f>
        <v>[effect:force_change_block, new_block:time_bomb, target:block_all, ignore:crash, ignore02:jammer, count:15, val:0.2, min_time_count:3, max_time_count:3, animation:change_block]</v>
      </c>
      <c r="H5" s="483">
        <f>FIND("effect:",G5)+7</f>
        <v>9</v>
      </c>
      <c r="I5" s="483">
        <f>IFERROR(FIND(",",G5),LEN(G5))</f>
        <v>27</v>
      </c>
      <c r="J5" s="483">
        <f>FIND("target:",G5)+7</f>
        <v>57</v>
      </c>
      <c r="K5" s="483">
        <f>FIND(",",G5,I5+1)</f>
        <v>48</v>
      </c>
      <c r="L5" s="483" t="str">
        <f>IFERROR(VLOOKUP(MID(G5,J5,K5-J5),[5]skilldef!$C:$D,2,FALSE),"-") &amp; " / " &amp; IFERROR(VLOOKUP(MID(G5,H5,I5-H5),[5]skilldef!$A:$B,2,FALSE),"-")</f>
        <v>- / -</v>
      </c>
      <c r="M5" s="483" t="str">
        <f>IFERROR(RIGHT(B5,LEN(B5)-FIND("],",B5)-1),"none")</f>
        <v>none</v>
      </c>
      <c r="N5" s="484" t="str">
        <f t="shared" si="0"/>
        <v>none</v>
      </c>
      <c r="O5" s="483" t="e">
        <f>FIND("effect:",N5)+7</f>
        <v>#VALUE!</v>
      </c>
      <c r="P5" s="483">
        <f>IFERROR(FIND(",",N5),LEN(N5))</f>
        <v>4</v>
      </c>
      <c r="Q5" s="483" t="e">
        <f>FIND("target:",N5)+7</f>
        <v>#VALUE!</v>
      </c>
      <c r="R5" s="483" t="e">
        <f>FIND(",",N5,P5+1)</f>
        <v>#VALUE!</v>
      </c>
      <c r="S5" s="483" t="str">
        <f>IFERROR(VLOOKUP(MID(N5,Q5,R5-Q5),[5]skilldef!$C:$D,2,FALSE),"-") &amp; " / " &amp; IFERROR(VLOOKUP(MID(N5,O5,P5-O5),[5]skilldef!$A:$B,2,FALSE),"-")</f>
        <v>- / -</v>
      </c>
      <c r="T5" s="484" t="str">
        <f>IFERROR(RIGHT(M5,LEN(M5)-FIND("],",M5)-1),"none")</f>
        <v>none</v>
      </c>
      <c r="U5" s="483" t="e">
        <f>FIND("effect:",T5)+7</f>
        <v>#VALUE!</v>
      </c>
      <c r="V5" s="483">
        <f>IFERROR(FIND(",",T5),LEN(T5))</f>
        <v>4</v>
      </c>
      <c r="W5" s="483" t="e">
        <f>FIND("target:",T5)+7</f>
        <v>#VALUE!</v>
      </c>
      <c r="X5" s="483" t="e">
        <f>FIND(",",T5,V5+1)</f>
        <v>#VALUE!</v>
      </c>
      <c r="Y5" s="483" t="str">
        <f>IFERROR(VLOOKUP(MID(T5,W5,X5-W5),[5]skilldef!$C:$D,2,FALSE),"-") &amp; " / " &amp; IFERROR(VLOOKUP(MID(T5,U5,V5-U5),[5]skilldef!$A:$B,2,FALSE),"-")</f>
        <v>- / -</v>
      </c>
      <c r="Z5" s="474" t="s">
        <v>268</v>
      </c>
      <c r="AA5" s="476"/>
      <c r="AB5" s="474"/>
    </row>
    <row r="6" spans="1:28" s="210" customFormat="1" ht="21" customHeight="1" x14ac:dyDescent="0.15">
      <c r="A6" s="28">
        <v>60006005</v>
      </c>
      <c r="B6" s="28" t="s">
        <v>400</v>
      </c>
      <c r="C6" s="474">
        <v>3</v>
      </c>
      <c r="D6" s="474" t="s">
        <v>128</v>
      </c>
      <c r="E6" s="475" t="s">
        <v>379</v>
      </c>
      <c r="F6" s="475" t="s">
        <v>401</v>
      </c>
      <c r="G6" s="483" t="str">
        <f>IFERROR(LEFT(B6,FIND("],",B6)),B6)</f>
        <v>[effect:break_attack_fix, val:0, lowest_val:2000, count:-1, block:block_red, target:unit_all]</v>
      </c>
      <c r="H6" s="483">
        <f>FIND("effect:",G6)+7</f>
        <v>9</v>
      </c>
      <c r="I6" s="483">
        <f>IFERROR(FIND(",",G6),LEN(G6))</f>
        <v>25</v>
      </c>
      <c r="J6" s="483">
        <f>FIND("target:",G6)+7</f>
        <v>85</v>
      </c>
      <c r="K6" s="483">
        <f>FIND(",",G6,I6+1)</f>
        <v>32</v>
      </c>
      <c r="L6" s="483" t="str">
        <f>IFERROR(VLOOKUP(MID(G6,J6,K6-J6),[5]skilldef!$C:$D,2,FALSE),"-") &amp; " / " &amp; IFERROR(VLOOKUP(MID(G6,H6,I6-H6),[5]skilldef!$A:$B,2,FALSE),"-")</f>
        <v>- / -</v>
      </c>
      <c r="M6" s="483" t="str">
        <f>IFERROR(RIGHT(B6,LEN(B6)-FIND("],",B6)-1),"none")</f>
        <v>none</v>
      </c>
      <c r="N6" s="484" t="str">
        <f t="shared" si="0"/>
        <v>none</v>
      </c>
      <c r="O6" s="483" t="e">
        <f>FIND("effect:",N6)+7</f>
        <v>#VALUE!</v>
      </c>
      <c r="P6" s="483">
        <f>IFERROR(FIND(",",N6),LEN(N6))</f>
        <v>4</v>
      </c>
      <c r="Q6" s="483" t="e">
        <f>FIND("target:",N6)+7</f>
        <v>#VALUE!</v>
      </c>
      <c r="R6" s="483" t="e">
        <f>FIND(",",N6,P6+1)</f>
        <v>#VALUE!</v>
      </c>
      <c r="S6" s="483" t="str">
        <f>IFERROR(VLOOKUP(MID(N6,Q6,R6-Q6),[5]skilldef!$C:$D,2,FALSE),"-") &amp; " / " &amp; IFERROR(VLOOKUP(MID(N6,O6,P6-O6),[5]skilldef!$A:$B,2,FALSE),"-")</f>
        <v>- / -</v>
      </c>
      <c r="T6" s="484" t="str">
        <f>IFERROR(RIGHT(M6,LEN(M6)-FIND("],",M6)-1),"none")</f>
        <v>none</v>
      </c>
      <c r="U6" s="483" t="e">
        <f>FIND("effect:",T6)+7</f>
        <v>#VALUE!</v>
      </c>
      <c r="V6" s="483">
        <f>IFERROR(FIND(",",T6),LEN(T6))</f>
        <v>4</v>
      </c>
      <c r="W6" s="483" t="e">
        <f>FIND("target:",T6)+7</f>
        <v>#VALUE!</v>
      </c>
      <c r="X6" s="483" t="e">
        <f>FIND(",",T6,V6+1)</f>
        <v>#VALUE!</v>
      </c>
      <c r="Y6" s="483" t="str">
        <f>IFERROR(VLOOKUP(MID(T6,W6,X6-W6),[5]skilldef!$C:$D,2,FALSE),"-") &amp; " / " &amp; IFERROR(VLOOKUP(MID(T6,U6,V6-U6),[5]skilldef!$A:$B,2,FALSE),"-")</f>
        <v>- / -</v>
      </c>
      <c r="Z6" s="474" t="s">
        <v>268</v>
      </c>
      <c r="AA6" s="476"/>
      <c r="AB6" s="474"/>
    </row>
    <row r="7" spans="1:28" s="210" customFormat="1" ht="21" customHeight="1" x14ac:dyDescent="0.15">
      <c r="A7" s="28">
        <v>60006006</v>
      </c>
      <c r="B7" s="28" t="s">
        <v>384</v>
      </c>
      <c r="C7" s="474">
        <v>3</v>
      </c>
      <c r="D7" s="474" t="s">
        <v>128</v>
      </c>
      <c r="E7" s="475" t="s">
        <v>380</v>
      </c>
      <c r="F7" s="475" t="s">
        <v>321</v>
      </c>
      <c r="G7" s="483" t="str">
        <f t="shared" ref="G7:G25" si="1">IFERROR(LEFT(B7,FIND("],",B7)),B7)</f>
        <v>[effect:nothing]</v>
      </c>
      <c r="H7" s="483">
        <f t="shared" ref="H7:H25" si="2">FIND("effect:",G7)+7</f>
        <v>9</v>
      </c>
      <c r="I7" s="483">
        <f t="shared" ref="I7:I25" si="3">IFERROR(FIND(",",G7),LEN(G7))</f>
        <v>16</v>
      </c>
      <c r="J7" s="483" t="e">
        <f t="shared" ref="J7:J25" si="4">FIND("target:",G7)+7</f>
        <v>#VALUE!</v>
      </c>
      <c r="K7" s="483" t="e">
        <f t="shared" ref="K7:K25" si="5">FIND(",",G7,I7+1)</f>
        <v>#VALUE!</v>
      </c>
      <c r="L7" s="483" t="str">
        <f>IFERROR(VLOOKUP(MID(G7,J7,K7-J7),[5]skilldef!$C:$D,2,FALSE),"-") &amp; " / " &amp; IFERROR(VLOOKUP(MID(G7,H7,I7-H7),[5]skilldef!$A:$B,2,FALSE),"-")</f>
        <v>- / 何もしない</v>
      </c>
      <c r="M7" s="483" t="str">
        <f t="shared" ref="M7:M25" si="6">IFERROR(RIGHT(B7,LEN(B7)-FIND("],",B7)-1),"none")</f>
        <v>none</v>
      </c>
      <c r="N7" s="484" t="str">
        <f t="shared" si="0"/>
        <v>none</v>
      </c>
      <c r="O7" s="483" t="e">
        <f t="shared" ref="O7:O25" si="7">FIND("effect:",N7)+7</f>
        <v>#VALUE!</v>
      </c>
      <c r="P7" s="483">
        <f t="shared" ref="P7:P25" si="8">IFERROR(FIND(",",N7),LEN(N7))</f>
        <v>4</v>
      </c>
      <c r="Q7" s="483" t="e">
        <f t="shared" ref="Q7:Q25" si="9">FIND("target:",N7)+7</f>
        <v>#VALUE!</v>
      </c>
      <c r="R7" s="483" t="e">
        <f t="shared" ref="R7:R25" si="10">FIND(",",N7,P7+1)</f>
        <v>#VALUE!</v>
      </c>
      <c r="S7" s="483" t="str">
        <f>IFERROR(VLOOKUP(MID(N7,Q7,R7-Q7),[5]skilldef!$C:$D,2,FALSE),"-") &amp; " / " &amp; IFERROR(VLOOKUP(MID(N7,O7,P7-O7),[5]skilldef!$A:$B,2,FALSE),"-")</f>
        <v>- / -</v>
      </c>
      <c r="T7" s="484" t="str">
        <f t="shared" ref="T7:T25" si="11">IFERROR(RIGHT(M7,LEN(M7)-FIND("],",M7)-1),"none")</f>
        <v>none</v>
      </c>
      <c r="U7" s="483" t="e">
        <f t="shared" ref="U7:U25" si="12">FIND("effect:",T7)+7</f>
        <v>#VALUE!</v>
      </c>
      <c r="V7" s="483">
        <f t="shared" ref="V7:V25" si="13">IFERROR(FIND(",",T7),LEN(T7))</f>
        <v>4</v>
      </c>
      <c r="W7" s="483" t="e">
        <f t="shared" ref="W7:W25" si="14">FIND("target:",T7)+7</f>
        <v>#VALUE!</v>
      </c>
      <c r="X7" s="483" t="e">
        <f t="shared" ref="X7:X25" si="15">FIND(",",T7,V7+1)</f>
        <v>#VALUE!</v>
      </c>
      <c r="Y7" s="483" t="str">
        <f>IFERROR(VLOOKUP(MID(T7,W7,X7-W7),[5]skilldef!$C:$D,2,FALSE),"-") &amp; " / " &amp; IFERROR(VLOOKUP(MID(T7,U7,V7-U7),[5]skilldef!$A:$B,2,FALSE),"-")</f>
        <v>- / -</v>
      </c>
      <c r="Z7" s="474" t="s">
        <v>268</v>
      </c>
      <c r="AA7" s="476"/>
      <c r="AB7" s="474"/>
    </row>
    <row r="8" spans="1:28" s="210" customFormat="1" ht="21" customHeight="1" x14ac:dyDescent="0.15">
      <c r="A8" s="28">
        <v>60006007</v>
      </c>
      <c r="B8" s="28" t="s">
        <v>385</v>
      </c>
      <c r="C8" s="474">
        <v>3</v>
      </c>
      <c r="D8" s="474" t="s">
        <v>128</v>
      </c>
      <c r="E8" s="475" t="s">
        <v>381</v>
      </c>
      <c r="F8" s="475" t="s">
        <v>323</v>
      </c>
      <c r="G8" s="483" t="str">
        <f t="shared" si="1"/>
        <v>[effect:critical, val:1.5]</v>
      </c>
      <c r="H8" s="483">
        <f t="shared" si="2"/>
        <v>9</v>
      </c>
      <c r="I8" s="483">
        <f t="shared" si="3"/>
        <v>17</v>
      </c>
      <c r="J8" s="483" t="e">
        <f t="shared" si="4"/>
        <v>#VALUE!</v>
      </c>
      <c r="K8" s="483" t="e">
        <f t="shared" si="5"/>
        <v>#VALUE!</v>
      </c>
      <c r="L8" s="483" t="str">
        <f>IFERROR(VLOOKUP(MID(G8,J8,K8-J8),[5]skilldef!$C:$D,2,FALSE),"-") &amp; " / " &amp; IFERROR(VLOOKUP(MID(G8,H8,I8-H8),[5]skilldef!$A:$B,2,FALSE),"-")</f>
        <v>- / 大攻撃</v>
      </c>
      <c r="M8" s="483" t="str">
        <f t="shared" si="6"/>
        <v>none</v>
      </c>
      <c r="N8" s="484" t="str">
        <f t="shared" si="0"/>
        <v>none</v>
      </c>
      <c r="O8" s="483" t="e">
        <f t="shared" si="7"/>
        <v>#VALUE!</v>
      </c>
      <c r="P8" s="483">
        <f t="shared" si="8"/>
        <v>4</v>
      </c>
      <c r="Q8" s="483" t="e">
        <f t="shared" si="9"/>
        <v>#VALUE!</v>
      </c>
      <c r="R8" s="483" t="e">
        <f t="shared" si="10"/>
        <v>#VALUE!</v>
      </c>
      <c r="S8" s="483" t="str">
        <f>IFERROR(VLOOKUP(MID(N8,Q8,R8-Q8),[5]skilldef!$C:$D,2,FALSE),"-") &amp; " / " &amp; IFERROR(VLOOKUP(MID(N8,O8,P8-O8),[5]skilldef!$A:$B,2,FALSE),"-")</f>
        <v>- / -</v>
      </c>
      <c r="T8" s="484" t="str">
        <f t="shared" si="11"/>
        <v>none</v>
      </c>
      <c r="U8" s="483" t="e">
        <f t="shared" si="12"/>
        <v>#VALUE!</v>
      </c>
      <c r="V8" s="483">
        <f t="shared" si="13"/>
        <v>4</v>
      </c>
      <c r="W8" s="483" t="e">
        <f t="shared" si="14"/>
        <v>#VALUE!</v>
      </c>
      <c r="X8" s="483" t="e">
        <f t="shared" si="15"/>
        <v>#VALUE!</v>
      </c>
      <c r="Y8" s="483" t="str">
        <f>IFERROR(VLOOKUP(MID(T8,W8,X8-W8),[5]skilldef!$C:$D,2,FALSE),"-") &amp; " / " &amp; IFERROR(VLOOKUP(MID(T8,U8,V8-U8),[5]skilldef!$A:$B,2,FALSE),"-")</f>
        <v>- / -</v>
      </c>
      <c r="Z8" s="474" t="s">
        <v>268</v>
      </c>
      <c r="AA8" s="476"/>
      <c r="AB8" s="474"/>
    </row>
    <row r="9" spans="1:28" s="210" customFormat="1" ht="21" customHeight="1" x14ac:dyDescent="0.15">
      <c r="A9" s="28">
        <v>60006009</v>
      </c>
      <c r="B9" s="28" t="s">
        <v>315</v>
      </c>
      <c r="C9" s="474">
        <v>3</v>
      </c>
      <c r="D9" s="474" t="s">
        <v>128</v>
      </c>
      <c r="E9" s="475" t="s">
        <v>383</v>
      </c>
      <c r="F9" s="475" t="s">
        <v>272</v>
      </c>
      <c r="G9" s="483" t="str">
        <f t="shared" si="1"/>
        <v xml:space="preserve">[effect:enhance_enemy, target:enemy_all, turn:5, status:attack, val:0.5, calc:mul, animation:enemy_enhance_attack]    </v>
      </c>
      <c r="H9" s="483">
        <f t="shared" si="2"/>
        <v>9</v>
      </c>
      <c r="I9" s="483">
        <f t="shared" si="3"/>
        <v>22</v>
      </c>
      <c r="J9" s="483">
        <f t="shared" si="4"/>
        <v>31</v>
      </c>
      <c r="K9" s="483">
        <f t="shared" si="5"/>
        <v>40</v>
      </c>
      <c r="L9" s="483" t="str">
        <f>IFERROR(VLOOKUP(MID(G9,J9,K9-J9),[5]skilldef!$C:$D,2,FALSE),"-") &amp; " / " &amp; IFERROR(VLOOKUP(MID(G9,H9,I9-H9),[5]skilldef!$A:$B,2,FALSE),"-")</f>
        <v>敵全体に / ステータス強化</v>
      </c>
      <c r="M9" s="483" t="str">
        <f t="shared" si="6"/>
        <v>none</v>
      </c>
      <c r="N9" s="484" t="str">
        <f>IFERROR(LEFT(M9,FIND("],",M9)+S20),M9)</f>
        <v>none</v>
      </c>
      <c r="O9" s="483" t="e">
        <f t="shared" si="7"/>
        <v>#VALUE!</v>
      </c>
      <c r="P9" s="483">
        <f t="shared" si="8"/>
        <v>4</v>
      </c>
      <c r="Q9" s="483" t="e">
        <f t="shared" si="9"/>
        <v>#VALUE!</v>
      </c>
      <c r="R9" s="483" t="e">
        <f t="shared" si="10"/>
        <v>#VALUE!</v>
      </c>
      <c r="S9" s="483" t="str">
        <f>IFERROR(VLOOKUP(MID(N9,Q9,R9-Q9),[5]skilldef!$C:$D,2,FALSE),"-") &amp; " / " &amp; IFERROR(VLOOKUP(MID(N9,O9,P9-O9),[5]skilldef!$A:$B,2,FALSE),"-")</f>
        <v>- / -</v>
      </c>
      <c r="T9" s="484" t="str">
        <f t="shared" si="11"/>
        <v>none</v>
      </c>
      <c r="U9" s="483" t="e">
        <f t="shared" si="12"/>
        <v>#VALUE!</v>
      </c>
      <c r="V9" s="483">
        <f t="shared" si="13"/>
        <v>4</v>
      </c>
      <c r="W9" s="483" t="e">
        <f t="shared" si="14"/>
        <v>#VALUE!</v>
      </c>
      <c r="X9" s="483" t="e">
        <f t="shared" si="15"/>
        <v>#VALUE!</v>
      </c>
      <c r="Y9" s="483" t="str">
        <f>IFERROR(VLOOKUP(MID(T9,W9,X9-W9),[5]skilldef!$C:$D,2,FALSE),"-") &amp; " / " &amp; IFERROR(VLOOKUP(MID(T9,U9,V9-U9),[5]skilldef!$A:$B,2,FALSE),"-")</f>
        <v>- / -</v>
      </c>
      <c r="Z9" s="474" t="s">
        <v>268</v>
      </c>
      <c r="AA9" s="476"/>
      <c r="AB9" s="474"/>
    </row>
    <row r="10" spans="1:28" s="210" customFormat="1" ht="21" customHeight="1" x14ac:dyDescent="0.15">
      <c r="A10" s="28">
        <v>60006010</v>
      </c>
      <c r="B10" s="28" t="s">
        <v>273</v>
      </c>
      <c r="C10" s="474">
        <v>3</v>
      </c>
      <c r="D10" s="474" t="s">
        <v>128</v>
      </c>
      <c r="E10" s="475" t="s">
        <v>389</v>
      </c>
      <c r="F10" s="475" t="s">
        <v>274</v>
      </c>
      <c r="G10" s="483" t="str">
        <f t="shared" si="1"/>
        <v xml:space="preserve">[effect:enhance_enemy, target:enemy_all, turn:3, status:defense, val:5000, calc:add, animation:enemy_enhance_defense]    </v>
      </c>
      <c r="H10" s="483">
        <f t="shared" si="2"/>
        <v>9</v>
      </c>
      <c r="I10" s="483">
        <f t="shared" si="3"/>
        <v>22</v>
      </c>
      <c r="J10" s="483">
        <f t="shared" si="4"/>
        <v>31</v>
      </c>
      <c r="K10" s="483">
        <f t="shared" si="5"/>
        <v>40</v>
      </c>
      <c r="L10" s="483" t="str">
        <f>IFERROR(VLOOKUP(MID(G10,J10,K10-J10),[5]skilldef!$C:$D,2,FALSE),"-") &amp; " / " &amp; IFERROR(VLOOKUP(MID(G10,H10,I10-H10),[5]skilldef!$A:$B,2,FALSE),"-")</f>
        <v>敵全体に / ステータス強化</v>
      </c>
      <c r="M10" s="483" t="str">
        <f t="shared" si="6"/>
        <v>none</v>
      </c>
      <c r="N10" s="484" t="str">
        <f>IFERROR(LEFT(M10,FIND("],",M10)+S21),M10)</f>
        <v>none</v>
      </c>
      <c r="O10" s="483" t="e">
        <f t="shared" si="7"/>
        <v>#VALUE!</v>
      </c>
      <c r="P10" s="483">
        <f t="shared" si="8"/>
        <v>4</v>
      </c>
      <c r="Q10" s="483" t="e">
        <f t="shared" si="9"/>
        <v>#VALUE!</v>
      </c>
      <c r="R10" s="483" t="e">
        <f t="shared" si="10"/>
        <v>#VALUE!</v>
      </c>
      <c r="S10" s="483" t="str">
        <f>IFERROR(VLOOKUP(MID(N10,Q10,R10-Q10),[5]skilldef!$C:$D,2,FALSE),"-") &amp; " / " &amp; IFERROR(VLOOKUP(MID(N10,O10,P10-O10),[5]skilldef!$A:$B,2,FALSE),"-")</f>
        <v>- / -</v>
      </c>
      <c r="T10" s="484" t="str">
        <f t="shared" si="11"/>
        <v>none</v>
      </c>
      <c r="U10" s="483" t="e">
        <f t="shared" si="12"/>
        <v>#VALUE!</v>
      </c>
      <c r="V10" s="483">
        <f t="shared" si="13"/>
        <v>4</v>
      </c>
      <c r="W10" s="483" t="e">
        <f t="shared" si="14"/>
        <v>#VALUE!</v>
      </c>
      <c r="X10" s="483" t="e">
        <f t="shared" si="15"/>
        <v>#VALUE!</v>
      </c>
      <c r="Y10" s="483" t="str">
        <f>IFERROR(VLOOKUP(MID(T10,W10,X10-W10),[5]skilldef!$C:$D,2,FALSE),"-") &amp; " / " &amp; IFERROR(VLOOKUP(MID(T10,U10,V10-U10),[5]skilldef!$A:$B,2,FALSE),"-")</f>
        <v>- / -</v>
      </c>
      <c r="Z10" s="474" t="s">
        <v>268</v>
      </c>
      <c r="AA10" s="476"/>
      <c r="AB10" s="474"/>
    </row>
    <row r="11" spans="1:28" s="210" customFormat="1" ht="21" customHeight="1" x14ac:dyDescent="0.15">
      <c r="A11" s="28">
        <v>60006012</v>
      </c>
      <c r="B11" s="28" t="s">
        <v>271</v>
      </c>
      <c r="C11" s="474">
        <v>3</v>
      </c>
      <c r="D11" s="474" t="s">
        <v>128</v>
      </c>
      <c r="E11" s="475" t="s">
        <v>318</v>
      </c>
      <c r="F11" s="475" t="s">
        <v>416</v>
      </c>
      <c r="G11" s="483" t="str">
        <f t="shared" si="1"/>
        <v xml:space="preserve">[effect:nothing]    </v>
      </c>
      <c r="H11" s="483">
        <f t="shared" si="2"/>
        <v>9</v>
      </c>
      <c r="I11" s="483">
        <f t="shared" si="3"/>
        <v>20</v>
      </c>
      <c r="J11" s="483" t="e">
        <f t="shared" si="4"/>
        <v>#VALUE!</v>
      </c>
      <c r="K11" s="483" t="e">
        <f t="shared" si="5"/>
        <v>#VALUE!</v>
      </c>
      <c r="L11" s="483" t="str">
        <f>IFERROR(VLOOKUP(MID(G11,J11,K11-J11),[5]skilldef!$C:$D,2,FALSE),"-") &amp; " / " &amp; IFERROR(VLOOKUP(MID(G11,H11,I11-H11),[5]skilldef!$A:$B,2,FALSE),"-")</f>
        <v>- / -</v>
      </c>
      <c r="M11" s="483" t="str">
        <f t="shared" si="6"/>
        <v>none</v>
      </c>
      <c r="N11" s="484" t="str">
        <f>IFERROR(LEFT(M11,FIND("],",M11)+S24),M11)</f>
        <v>none</v>
      </c>
      <c r="O11" s="483" t="e">
        <f t="shared" si="7"/>
        <v>#VALUE!</v>
      </c>
      <c r="P11" s="483">
        <f t="shared" si="8"/>
        <v>4</v>
      </c>
      <c r="Q11" s="483" t="e">
        <f t="shared" si="9"/>
        <v>#VALUE!</v>
      </c>
      <c r="R11" s="483" t="e">
        <f t="shared" si="10"/>
        <v>#VALUE!</v>
      </c>
      <c r="S11" s="483" t="str">
        <f>IFERROR(VLOOKUP(MID(N11,Q11,R11-Q11),[5]skilldef!$C:$D,2,FALSE),"-") &amp; " / " &amp; IFERROR(VLOOKUP(MID(N11,O11,P11-O11),[5]skilldef!$A:$B,2,FALSE),"-")</f>
        <v>- / -</v>
      </c>
      <c r="T11" s="484" t="str">
        <f t="shared" si="11"/>
        <v>none</v>
      </c>
      <c r="U11" s="483" t="e">
        <f t="shared" si="12"/>
        <v>#VALUE!</v>
      </c>
      <c r="V11" s="483">
        <f t="shared" si="13"/>
        <v>4</v>
      </c>
      <c r="W11" s="483" t="e">
        <f t="shared" si="14"/>
        <v>#VALUE!</v>
      </c>
      <c r="X11" s="483" t="e">
        <f t="shared" si="15"/>
        <v>#VALUE!</v>
      </c>
      <c r="Y11" s="483" t="str">
        <f>IFERROR(VLOOKUP(MID(T11,W11,X11-W11),[5]skilldef!$C:$D,2,FALSE),"-") &amp; " / " &amp; IFERROR(VLOOKUP(MID(T11,U11,V11-U11),[5]skilldef!$A:$B,2,FALSE),"-")</f>
        <v>- / -</v>
      </c>
      <c r="Z11" s="474" t="s">
        <v>268</v>
      </c>
      <c r="AA11" s="476"/>
      <c r="AB11" s="474"/>
    </row>
    <row r="12" spans="1:28" s="210" customFormat="1" ht="21" customHeight="1" x14ac:dyDescent="0.15">
      <c r="A12" s="28">
        <v>60006013</v>
      </c>
      <c r="B12" s="28" t="s">
        <v>317</v>
      </c>
      <c r="C12" s="474">
        <v>3</v>
      </c>
      <c r="D12" s="474" t="s">
        <v>128</v>
      </c>
      <c r="E12" s="475" t="s">
        <v>319</v>
      </c>
      <c r="F12" s="475" t="s">
        <v>322</v>
      </c>
      <c r="G12" s="483" t="str">
        <f t="shared" si="1"/>
        <v>[effect:critical, val:1.35]</v>
      </c>
      <c r="H12" s="483">
        <f t="shared" si="2"/>
        <v>9</v>
      </c>
      <c r="I12" s="483">
        <f t="shared" si="3"/>
        <v>17</v>
      </c>
      <c r="J12" s="483" t="e">
        <f t="shared" si="4"/>
        <v>#VALUE!</v>
      </c>
      <c r="K12" s="483" t="e">
        <f t="shared" si="5"/>
        <v>#VALUE!</v>
      </c>
      <c r="L12" s="483" t="str">
        <f>IFERROR(VLOOKUP(MID(G12,J12,K12-J12),[5]skilldef!$C:$D,2,FALSE),"-") &amp; " / " &amp; IFERROR(VLOOKUP(MID(G12,H12,I12-H12),[5]skilldef!$A:$B,2,FALSE),"-")</f>
        <v>- / 大攻撃</v>
      </c>
      <c r="M12" s="483" t="str">
        <f t="shared" si="6"/>
        <v>none</v>
      </c>
      <c r="N12" s="484" t="str">
        <f>IFERROR(LEFT(M12,FIND("],",M12)+S25),M12)</f>
        <v>none</v>
      </c>
      <c r="O12" s="483" t="e">
        <f t="shared" si="7"/>
        <v>#VALUE!</v>
      </c>
      <c r="P12" s="483">
        <f t="shared" si="8"/>
        <v>4</v>
      </c>
      <c r="Q12" s="483" t="e">
        <f t="shared" si="9"/>
        <v>#VALUE!</v>
      </c>
      <c r="R12" s="483" t="e">
        <f t="shared" si="10"/>
        <v>#VALUE!</v>
      </c>
      <c r="S12" s="483" t="str">
        <f>IFERROR(VLOOKUP(MID(N12,Q12,R12-Q12),[5]skilldef!$C:$D,2,FALSE),"-") &amp; " / " &amp; IFERROR(VLOOKUP(MID(N12,O12,P12-O12),[5]skilldef!$A:$B,2,FALSE),"-")</f>
        <v>- / -</v>
      </c>
      <c r="T12" s="484" t="str">
        <f t="shared" si="11"/>
        <v>none</v>
      </c>
      <c r="U12" s="483" t="e">
        <f t="shared" si="12"/>
        <v>#VALUE!</v>
      </c>
      <c r="V12" s="483">
        <f t="shared" si="13"/>
        <v>4</v>
      </c>
      <c r="W12" s="483" t="e">
        <f t="shared" si="14"/>
        <v>#VALUE!</v>
      </c>
      <c r="X12" s="483" t="e">
        <f t="shared" si="15"/>
        <v>#VALUE!</v>
      </c>
      <c r="Y12" s="483" t="str">
        <f>IFERROR(VLOOKUP(MID(T12,W12,X12-W12),[5]skilldef!$C:$D,2,FALSE),"-") &amp; " / " &amp; IFERROR(VLOOKUP(MID(T12,U12,V12-U12),[5]skilldef!$A:$B,2,FALSE),"-")</f>
        <v>- / -</v>
      </c>
      <c r="Z12" s="474" t="s">
        <v>268</v>
      </c>
      <c r="AA12" s="476"/>
      <c r="AB12" s="474"/>
    </row>
    <row r="13" spans="1:28" s="210" customFormat="1" ht="21" customHeight="1" x14ac:dyDescent="0.15">
      <c r="A13" s="28">
        <v>60006014</v>
      </c>
      <c r="B13" s="28" t="s">
        <v>275</v>
      </c>
      <c r="C13" s="474">
        <v>3</v>
      </c>
      <c r="D13" s="474" t="s">
        <v>128</v>
      </c>
      <c r="E13" s="475" t="s">
        <v>320</v>
      </c>
      <c r="F13" s="475" t="s">
        <v>277</v>
      </c>
      <c r="G13" s="483" t="str">
        <f t="shared" si="1"/>
        <v xml:space="preserve">[effect:freq_turn, target:myself, turn:3, val:2, animation:enemy_freq_turn]    </v>
      </c>
      <c r="H13" s="483">
        <f t="shared" si="2"/>
        <v>9</v>
      </c>
      <c r="I13" s="483">
        <f t="shared" si="3"/>
        <v>18</v>
      </c>
      <c r="J13" s="483">
        <f t="shared" si="4"/>
        <v>27</v>
      </c>
      <c r="K13" s="483">
        <f t="shared" si="5"/>
        <v>33</v>
      </c>
      <c r="L13" s="483" t="str">
        <f>IFERROR(VLOOKUP(MID(G13,J13,K13-J13),[5]skilldef!$C:$D,2,FALSE),"-") &amp; " / " &amp; IFERROR(VLOOKUP(MID(G13,H13,I13-H13),[5]skilldef!$A:$B,2,FALSE),"-")</f>
        <v>自分自身に / 攻撃頻度がUP</v>
      </c>
      <c r="M13" s="483" t="str">
        <f t="shared" si="6"/>
        <v>none</v>
      </c>
      <c r="N13" s="484" t="str">
        <f>IFERROR(LEFT(M13,FIND("],",M13)+#REF!),M13)</f>
        <v>none</v>
      </c>
      <c r="O13" s="483" t="e">
        <f t="shared" si="7"/>
        <v>#VALUE!</v>
      </c>
      <c r="P13" s="483">
        <f t="shared" si="8"/>
        <v>4</v>
      </c>
      <c r="Q13" s="483" t="e">
        <f t="shared" si="9"/>
        <v>#VALUE!</v>
      </c>
      <c r="R13" s="483" t="e">
        <f t="shared" si="10"/>
        <v>#VALUE!</v>
      </c>
      <c r="S13" s="483" t="str">
        <f>IFERROR(VLOOKUP(MID(N13,Q13,R13-Q13),[5]skilldef!$C:$D,2,FALSE),"-") &amp; " / " &amp; IFERROR(VLOOKUP(MID(N13,O13,P13-O13),[5]skilldef!$A:$B,2,FALSE),"-")</f>
        <v>- / -</v>
      </c>
      <c r="T13" s="484" t="str">
        <f t="shared" si="11"/>
        <v>none</v>
      </c>
      <c r="U13" s="483" t="e">
        <f t="shared" si="12"/>
        <v>#VALUE!</v>
      </c>
      <c r="V13" s="483">
        <f t="shared" si="13"/>
        <v>4</v>
      </c>
      <c r="W13" s="483" t="e">
        <f t="shared" si="14"/>
        <v>#VALUE!</v>
      </c>
      <c r="X13" s="483" t="e">
        <f t="shared" si="15"/>
        <v>#VALUE!</v>
      </c>
      <c r="Y13" s="483" t="str">
        <f>IFERROR(VLOOKUP(MID(T13,W13,X13-W13),[5]skilldef!$C:$D,2,FALSE),"-") &amp; " / " &amp; IFERROR(VLOOKUP(MID(T13,U13,V13-U13),[5]skilldef!$A:$B,2,FALSE),"-")</f>
        <v>- / -</v>
      </c>
      <c r="Z13" s="474" t="s">
        <v>268</v>
      </c>
      <c r="AA13" s="476"/>
      <c r="AB13" s="474"/>
    </row>
    <row r="14" spans="1:28" s="210" customFormat="1" ht="21" customHeight="1" x14ac:dyDescent="0.15">
      <c r="A14" s="28">
        <v>60006015</v>
      </c>
      <c r="B14" s="479" t="s">
        <v>407</v>
      </c>
      <c r="C14" s="474">
        <v>3</v>
      </c>
      <c r="D14" s="474" t="s">
        <v>128</v>
      </c>
      <c r="E14" s="475" t="s">
        <v>375</v>
      </c>
      <c r="F14" s="475" t="s">
        <v>408</v>
      </c>
      <c r="G14" s="483" t="str">
        <f t="shared" si="1"/>
        <v>[effect:tolerance, target:myself, turn:-1, tolerance_effect:sleep, count:-1]</v>
      </c>
      <c r="H14" s="483">
        <f t="shared" si="2"/>
        <v>9</v>
      </c>
      <c r="I14" s="483">
        <f t="shared" si="3"/>
        <v>18</v>
      </c>
      <c r="J14" s="483">
        <f t="shared" si="4"/>
        <v>27</v>
      </c>
      <c r="K14" s="483">
        <f t="shared" si="5"/>
        <v>33</v>
      </c>
      <c r="L14" s="483" t="str">
        <f>IFERROR(VLOOKUP(MID(G14,J14,K14-J14),[5]skilldef!$C:$D,2,FALSE),"-") &amp; " / " &amp; IFERROR(VLOOKUP(MID(G14,H14,I14-H14),[5]skilldef!$A:$B,2,FALSE),"-")</f>
        <v>自分自身に / 状態異常耐性</v>
      </c>
      <c r="M14" s="483" t="str">
        <f t="shared" si="6"/>
        <v xml:space="preserve">[effect:tolerance, target:myself, turn:-1, tolerance_effect:virus, count:-1],[effect:tolerance, target:myself, turn:-1, tolerance_effect:hungup, count:-1, animation:enemy_tolerance], [effect:force_change_block, new_block:time_bomb, target:block_all, ignore:crash, ignore02:jammer, count:20, val:0.1, min_time_count:2, max_time_count:2, animation:change_block] </v>
      </c>
      <c r="N14" s="484" t="str">
        <f>IFERROR(LEFT(M14,FIND("],",M14)+#REF!),M14)</f>
        <v xml:space="preserve">[effect:tolerance, target:myself, turn:-1, tolerance_effect:virus, count:-1],[effect:tolerance, target:myself, turn:-1, tolerance_effect:hungup, count:-1, animation:enemy_tolerance], [effect:force_change_block, new_block:time_bomb, target:block_all, ignore:crash, ignore02:jammer, count:20, val:0.1, min_time_count:2, max_time_count:2, animation:change_block] </v>
      </c>
      <c r="O14" s="483">
        <f t="shared" si="7"/>
        <v>9</v>
      </c>
      <c r="P14" s="483">
        <f t="shared" si="8"/>
        <v>18</v>
      </c>
      <c r="Q14" s="483">
        <f t="shared" si="9"/>
        <v>27</v>
      </c>
      <c r="R14" s="483">
        <f t="shared" si="10"/>
        <v>33</v>
      </c>
      <c r="S14" s="483" t="str">
        <f>IFERROR(VLOOKUP(MID(N14,Q14,R14-Q14),[5]skilldef!$C:$D,2,FALSE),"-") &amp; " / " &amp; IFERROR(VLOOKUP(MID(N14,O14,P14-O14),[5]skilldef!$A:$B,2,FALSE),"-")</f>
        <v>自分自身に / 状態異常耐性</v>
      </c>
      <c r="T14" s="484" t="str">
        <f t="shared" si="11"/>
        <v xml:space="preserve">[effect:tolerance, target:myself, turn:-1, tolerance_effect:hungup, count:-1, animation:enemy_tolerance], [effect:force_change_block, new_block:time_bomb, target:block_all, ignore:crash, ignore02:jammer, count:20, val:0.1, min_time_count:2, max_time_count:2, animation:change_block] </v>
      </c>
      <c r="U14" s="483">
        <f t="shared" si="12"/>
        <v>9</v>
      </c>
      <c r="V14" s="483">
        <f t="shared" si="13"/>
        <v>18</v>
      </c>
      <c r="W14" s="483">
        <f t="shared" si="14"/>
        <v>27</v>
      </c>
      <c r="X14" s="483">
        <f t="shared" si="15"/>
        <v>33</v>
      </c>
      <c r="Y14" s="483" t="str">
        <f>IFERROR(VLOOKUP(MID(T14,W14,X14-W14),[5]skilldef!$C:$D,2,FALSE),"-") &amp; " / " &amp; IFERROR(VLOOKUP(MID(T14,U14,V14-U14),[5]skilldef!$A:$B,2,FALSE),"-")</f>
        <v>自分自身に / 状態異常耐性</v>
      </c>
      <c r="Z14" s="474" t="s">
        <v>268</v>
      </c>
      <c r="AA14" s="476"/>
      <c r="AB14" s="474"/>
    </row>
    <row r="15" spans="1:28" s="210" customFormat="1" ht="21" customHeight="1" x14ac:dyDescent="0.15">
      <c r="A15" s="28">
        <v>60006016</v>
      </c>
      <c r="B15" s="28" t="s">
        <v>278</v>
      </c>
      <c r="C15" s="474">
        <v>3</v>
      </c>
      <c r="D15" s="474" t="s">
        <v>128</v>
      </c>
      <c r="E15" s="475" t="s">
        <v>324</v>
      </c>
      <c r="F15" s="475" t="s">
        <v>334</v>
      </c>
      <c r="G15" s="483" t="str">
        <f t="shared" ref="G15" si="16">IFERROR(LEFT(B15,FIND("],",B15)),B15)</f>
        <v xml:space="preserve">[effect:rush, count:1, val:1]    </v>
      </c>
      <c r="H15" s="483">
        <f t="shared" si="2"/>
        <v>9</v>
      </c>
      <c r="I15" s="483">
        <f t="shared" ref="I15" si="17">IFERROR(FIND(",",G15),LEN(G15))</f>
        <v>13</v>
      </c>
      <c r="J15" s="483" t="e">
        <f t="shared" ref="J15" si="18">FIND("target:",G15)+7</f>
        <v>#VALUE!</v>
      </c>
      <c r="K15" s="483">
        <f t="shared" ref="K15" si="19">FIND(",",G15,I15+1)</f>
        <v>22</v>
      </c>
      <c r="L15" s="483" t="str">
        <f>IFERROR(VLOOKUP(MID(G15,J15,K15-J15),[5]skilldef!$C:$D,2,FALSE),"-") &amp; " / " &amp; IFERROR(VLOOKUP(MID(G15,H15,I15-H15),[5]skilldef!$A:$B,2,FALSE),"-")</f>
        <v>- / 連続攻撃</v>
      </c>
      <c r="M15" s="483" t="str">
        <f t="shared" ref="M15" si="20">IFERROR(RIGHT(B15,LEN(B15)-FIND("],",B15)-1),"none")</f>
        <v>none</v>
      </c>
      <c r="N15" s="484" t="str">
        <f>IFERROR(LEFT(M15,FIND("],",M15)+#REF!),M15)</f>
        <v>none</v>
      </c>
      <c r="O15" s="483" t="e">
        <f t="shared" si="7"/>
        <v>#VALUE!</v>
      </c>
      <c r="P15" s="483">
        <f t="shared" ref="P15" si="21">IFERROR(FIND(",",N15),LEN(N15))</f>
        <v>4</v>
      </c>
      <c r="Q15" s="483" t="e">
        <f t="shared" ref="Q15" si="22">FIND("target:",N15)+7</f>
        <v>#VALUE!</v>
      </c>
      <c r="R15" s="483" t="e">
        <f t="shared" ref="R15" si="23">FIND(",",N15,P15+1)</f>
        <v>#VALUE!</v>
      </c>
      <c r="S15" s="483" t="str">
        <f>IFERROR(VLOOKUP(MID(N15,Q15,R15-Q15),[5]skilldef!$C:$D,2,FALSE),"-") &amp; " / " &amp; IFERROR(VLOOKUP(MID(N15,O15,P15-O15),[5]skilldef!$A:$B,2,FALSE),"-")</f>
        <v>- / -</v>
      </c>
      <c r="T15" s="484" t="str">
        <f t="shared" ref="T15" si="24">IFERROR(RIGHT(M15,LEN(M15)-FIND("],",M15)-1),"none")</f>
        <v>none</v>
      </c>
      <c r="U15" s="483" t="e">
        <f t="shared" si="12"/>
        <v>#VALUE!</v>
      </c>
      <c r="V15" s="483">
        <f t="shared" ref="V15" si="25">IFERROR(FIND(",",T15),LEN(T15))</f>
        <v>4</v>
      </c>
      <c r="W15" s="483" t="e">
        <f t="shared" ref="W15" si="26">FIND("target:",T15)+7</f>
        <v>#VALUE!</v>
      </c>
      <c r="X15" s="483" t="e">
        <f t="shared" ref="X15" si="27">FIND(",",T15,V15+1)</f>
        <v>#VALUE!</v>
      </c>
      <c r="Y15" s="483" t="str">
        <f>IFERROR(VLOOKUP(MID(T15,W15,X15-W15),[5]skilldef!$C:$D,2,FALSE),"-") &amp; " / " &amp; IFERROR(VLOOKUP(MID(T15,U15,V15-U15),[5]skilldef!$A:$B,2,FALSE),"-")</f>
        <v>- / -</v>
      </c>
      <c r="Z15" s="474" t="s">
        <v>268</v>
      </c>
      <c r="AA15" s="476"/>
      <c r="AB15" s="474"/>
    </row>
    <row r="16" spans="1:28" s="210" customFormat="1" ht="21" customHeight="1" x14ac:dyDescent="0.15">
      <c r="A16" s="28">
        <v>60006017</v>
      </c>
      <c r="B16" s="28" t="s">
        <v>279</v>
      </c>
      <c r="C16" s="474">
        <v>3</v>
      </c>
      <c r="D16" s="474" t="s">
        <v>128</v>
      </c>
      <c r="E16" s="475" t="s">
        <v>326</v>
      </c>
      <c r="F16" s="475" t="s">
        <v>276</v>
      </c>
      <c r="G16" s="483" t="str">
        <f t="shared" si="1"/>
        <v xml:space="preserve">[effect:rush, count:5, val:0.25]    </v>
      </c>
      <c r="H16" s="483">
        <f t="shared" si="2"/>
        <v>9</v>
      </c>
      <c r="I16" s="483">
        <f t="shared" si="3"/>
        <v>13</v>
      </c>
      <c r="J16" s="483" t="e">
        <f t="shared" si="4"/>
        <v>#VALUE!</v>
      </c>
      <c r="K16" s="483">
        <f t="shared" si="5"/>
        <v>22</v>
      </c>
      <c r="L16" s="483" t="str">
        <f>IFERROR(VLOOKUP(MID(G16,J16,K16-J16),[5]skilldef!$C:$D,2,FALSE),"-") &amp; " / " &amp; IFERROR(VLOOKUP(MID(G16,H16,I16-H16),[5]skilldef!$A:$B,2,FALSE),"-")</f>
        <v>- / 連続攻撃</v>
      </c>
      <c r="M16" s="483" t="str">
        <f t="shared" si="6"/>
        <v>none</v>
      </c>
      <c r="N16" s="484" t="str">
        <f>IFERROR(LEFT(M16,FIND("],",M16)+#REF!),M16)</f>
        <v>none</v>
      </c>
      <c r="O16" s="483" t="e">
        <f t="shared" si="7"/>
        <v>#VALUE!</v>
      </c>
      <c r="P16" s="483">
        <f t="shared" si="8"/>
        <v>4</v>
      </c>
      <c r="Q16" s="483" t="e">
        <f t="shared" si="9"/>
        <v>#VALUE!</v>
      </c>
      <c r="R16" s="483" t="e">
        <f t="shared" si="10"/>
        <v>#VALUE!</v>
      </c>
      <c r="S16" s="483" t="str">
        <f>IFERROR(VLOOKUP(MID(N16,Q16,R16-Q16),[5]skilldef!$C:$D,2,FALSE),"-") &amp; " / " &amp; IFERROR(VLOOKUP(MID(N16,O16,P16-O16),[5]skilldef!$A:$B,2,FALSE),"-")</f>
        <v>- / -</v>
      </c>
      <c r="T16" s="484" t="str">
        <f t="shared" si="11"/>
        <v>none</v>
      </c>
      <c r="U16" s="483" t="e">
        <f t="shared" si="12"/>
        <v>#VALUE!</v>
      </c>
      <c r="V16" s="483">
        <f t="shared" si="13"/>
        <v>4</v>
      </c>
      <c r="W16" s="483" t="e">
        <f t="shared" si="14"/>
        <v>#VALUE!</v>
      </c>
      <c r="X16" s="483" t="e">
        <f t="shared" si="15"/>
        <v>#VALUE!</v>
      </c>
      <c r="Y16" s="483" t="str">
        <f>IFERROR(VLOOKUP(MID(T16,W16,X16-W16),[5]skilldef!$C:$D,2,FALSE),"-") &amp; " / " &amp; IFERROR(VLOOKUP(MID(T16,U16,V16-U16),[5]skilldef!$A:$B,2,FALSE),"-")</f>
        <v>- / -</v>
      </c>
      <c r="Z16" s="474" t="s">
        <v>268</v>
      </c>
      <c r="AA16" s="476"/>
      <c r="AB16" s="474"/>
    </row>
    <row r="17" spans="1:28" s="210" customFormat="1" ht="21" customHeight="1" x14ac:dyDescent="0.15">
      <c r="A17" s="28">
        <v>60006018</v>
      </c>
      <c r="B17" s="28" t="s">
        <v>316</v>
      </c>
      <c r="C17" s="474">
        <v>3</v>
      </c>
      <c r="D17" s="474" t="s">
        <v>128</v>
      </c>
      <c r="E17" s="475" t="s">
        <v>327</v>
      </c>
      <c r="F17" s="475" t="s">
        <v>270</v>
      </c>
      <c r="G17" s="483" t="str">
        <f t="shared" si="1"/>
        <v>[effect:spread, val:0.35]</v>
      </c>
      <c r="H17" s="483">
        <f t="shared" si="2"/>
        <v>9</v>
      </c>
      <c r="I17" s="483">
        <f t="shared" si="3"/>
        <v>15</v>
      </c>
      <c r="J17" s="483" t="e">
        <f t="shared" si="4"/>
        <v>#VALUE!</v>
      </c>
      <c r="K17" s="483" t="e">
        <f t="shared" si="5"/>
        <v>#VALUE!</v>
      </c>
      <c r="L17" s="483" t="str">
        <f>IFERROR(VLOOKUP(MID(G17,J17,K17-J17),[5]skilldef!$C:$D,2,FALSE),"-") &amp; " / " &amp; IFERROR(VLOOKUP(MID(G17,H17,I17-H17),[5]skilldef!$A:$B,2,FALSE),"-")</f>
        <v>- / 全体攻撃</v>
      </c>
      <c r="M17" s="483" t="str">
        <f t="shared" si="6"/>
        <v>none</v>
      </c>
      <c r="N17" s="484" t="str">
        <f>IFERROR(LEFT(M17,FIND("],",M17)+#REF!),M17)</f>
        <v>none</v>
      </c>
      <c r="O17" s="483" t="e">
        <f t="shared" si="7"/>
        <v>#VALUE!</v>
      </c>
      <c r="P17" s="483">
        <f t="shared" si="8"/>
        <v>4</v>
      </c>
      <c r="Q17" s="483" t="e">
        <f t="shared" si="9"/>
        <v>#VALUE!</v>
      </c>
      <c r="R17" s="483" t="e">
        <f t="shared" si="10"/>
        <v>#VALUE!</v>
      </c>
      <c r="S17" s="483" t="str">
        <f>IFERROR(VLOOKUP(MID(N17,Q17,R17-Q17),[5]skilldef!$C:$D,2,FALSE),"-") &amp; " / " &amp; IFERROR(VLOOKUP(MID(N17,O17,P17-O17),[5]skilldef!$A:$B,2,FALSE),"-")</f>
        <v>- / -</v>
      </c>
      <c r="T17" s="484" t="str">
        <f t="shared" si="11"/>
        <v>none</v>
      </c>
      <c r="U17" s="483" t="e">
        <f t="shared" si="12"/>
        <v>#VALUE!</v>
      </c>
      <c r="V17" s="483">
        <f t="shared" si="13"/>
        <v>4</v>
      </c>
      <c r="W17" s="483" t="e">
        <f t="shared" si="14"/>
        <v>#VALUE!</v>
      </c>
      <c r="X17" s="483" t="e">
        <f t="shared" si="15"/>
        <v>#VALUE!</v>
      </c>
      <c r="Y17" s="483" t="str">
        <f>IFERROR(VLOOKUP(MID(T17,W17,X17-W17),[5]skilldef!$C:$D,2,FALSE),"-") &amp; " / " &amp; IFERROR(VLOOKUP(MID(T17,U17,V17-U17),[5]skilldef!$A:$B,2,FALSE),"-")</f>
        <v>- / -</v>
      </c>
      <c r="Z17" s="474" t="s">
        <v>268</v>
      </c>
      <c r="AA17" s="476"/>
      <c r="AB17" s="474"/>
    </row>
    <row r="18" spans="1:28" s="210" customFormat="1" ht="30" customHeight="1" x14ac:dyDescent="0.15">
      <c r="A18" s="28">
        <v>60006019</v>
      </c>
      <c r="B18" s="28" t="s">
        <v>419</v>
      </c>
      <c r="C18" s="474">
        <v>3</v>
      </c>
      <c r="D18" s="474" t="s">
        <v>128</v>
      </c>
      <c r="E18" s="475" t="s">
        <v>336</v>
      </c>
      <c r="F18" s="475" t="s">
        <v>415</v>
      </c>
      <c r="G18" s="483" t="str">
        <f t="shared" ref="G18" si="28">IFERROR(LEFT(B18,FIND("],",B18)),B18)</f>
        <v>[effect:tolerance, target:myself, turn:-1, tolerance_effect:sleep, count:-1]</v>
      </c>
      <c r="H18" s="483">
        <f t="shared" ref="H18" si="29">FIND("effect:",G18)+7</f>
        <v>9</v>
      </c>
      <c r="I18" s="483">
        <f t="shared" ref="I18" si="30">IFERROR(FIND(",",G18),LEN(G18))</f>
        <v>18</v>
      </c>
      <c r="J18" s="483">
        <f t="shared" ref="J18" si="31">FIND("target:",G18)+7</f>
        <v>27</v>
      </c>
      <c r="K18" s="483">
        <f t="shared" ref="K18" si="32">FIND(",",G18,I18+1)</f>
        <v>33</v>
      </c>
      <c r="L18" s="483" t="str">
        <f>IFERROR(VLOOKUP(MID(G18,J18,K18-J18),[5]skilldef!$C:$D,2,FALSE),"-") &amp; " / " &amp; IFERROR(VLOOKUP(MID(G18,H18,I18-H18),[5]skilldef!$A:$B,2,FALSE),"-")</f>
        <v>自分自身に / 状態異常耐性</v>
      </c>
      <c r="M18" s="483" t="str">
        <f t="shared" ref="M18" si="33">IFERROR(RIGHT(B18,LEN(B18)-FIND("],",B18)-1),"none")</f>
        <v xml:space="preserve">[effect:tolerance, target:myself, turn:-1, tolerance_effect:virus, count:-1],[effect:tolerance, target:myself, turn:-1, tolerance_effect:hungup, count:-1, animation:enemy_tolerance],[effect:hungup, target:unit_green, turn:10, rate:1, animation:hungup03],[effect:hungup, target:unit_blue, turn:10, rate:1, animation:hungup03],[effect:hungup, target:unit_yellow, turn:10, rate:1, animation:hungup03],[effect:enemy_message, val1:1, val2:3]    </v>
      </c>
      <c r="N18" s="484" t="str">
        <f>IFERROR(LEFT(M18,FIND("],",M18)+#REF!),M18)</f>
        <v xml:space="preserve">[effect:tolerance, target:myself, turn:-1, tolerance_effect:virus, count:-1],[effect:tolerance, target:myself, turn:-1, tolerance_effect:hungup, count:-1, animation:enemy_tolerance],[effect:hungup, target:unit_green, turn:10, rate:1, animation:hungup03],[effect:hungup, target:unit_blue, turn:10, rate:1, animation:hungup03],[effect:hungup, target:unit_yellow, turn:10, rate:1, animation:hungup03],[effect:enemy_message, val1:1, val2:3]    </v>
      </c>
      <c r="O18" s="483">
        <f t="shared" ref="O18" si="34">FIND("effect:",N18)+7</f>
        <v>9</v>
      </c>
      <c r="P18" s="483">
        <f t="shared" ref="P18" si="35">IFERROR(FIND(",",N18),LEN(N18))</f>
        <v>18</v>
      </c>
      <c r="Q18" s="483">
        <f t="shared" ref="Q18" si="36">FIND("target:",N18)+7</f>
        <v>27</v>
      </c>
      <c r="R18" s="483">
        <f t="shared" ref="R18" si="37">FIND(",",N18,P18+1)</f>
        <v>33</v>
      </c>
      <c r="S18" s="483" t="str">
        <f>IFERROR(VLOOKUP(MID(N18,Q18,R18-Q18),[5]skilldef!$C:$D,2,FALSE),"-") &amp; " / " &amp; IFERROR(VLOOKUP(MID(N18,O18,P18-O18),[5]skilldef!$A:$B,2,FALSE),"-")</f>
        <v>自分自身に / 状態異常耐性</v>
      </c>
      <c r="T18" s="484" t="str">
        <f t="shared" ref="T18" si="38">IFERROR(RIGHT(M18,LEN(M18)-FIND("],",M18)-1),"none")</f>
        <v xml:space="preserve">[effect:tolerance, target:myself, turn:-1, tolerance_effect:hungup, count:-1, animation:enemy_tolerance],[effect:hungup, target:unit_green, turn:10, rate:1, animation:hungup03],[effect:hungup, target:unit_blue, turn:10, rate:1, animation:hungup03],[effect:hungup, target:unit_yellow, turn:10, rate:1, animation:hungup03],[effect:enemy_message, val1:1, val2:3]    </v>
      </c>
      <c r="U18" s="483">
        <f t="shared" ref="U18" si="39">FIND("effect:",T18)+7</f>
        <v>9</v>
      </c>
      <c r="V18" s="483">
        <f t="shared" ref="V18" si="40">IFERROR(FIND(",",T18),LEN(T18))</f>
        <v>18</v>
      </c>
      <c r="W18" s="483">
        <f t="shared" ref="W18" si="41">FIND("target:",T18)+7</f>
        <v>27</v>
      </c>
      <c r="X18" s="483">
        <f t="shared" ref="X18" si="42">FIND(",",T18,V18+1)</f>
        <v>33</v>
      </c>
      <c r="Y18" s="483" t="str">
        <f>IFERROR(VLOOKUP(MID(T18,W18,X18-W18),[5]skilldef!$C:$D,2,FALSE),"-") &amp; " / " &amp; IFERROR(VLOOKUP(MID(T18,U18,V18-U18),[5]skilldef!$A:$B,2,FALSE),"-")</f>
        <v>自分自身に / 状態異常耐性</v>
      </c>
      <c r="Z18" s="474" t="s">
        <v>268</v>
      </c>
      <c r="AA18" s="476"/>
      <c r="AB18" s="474"/>
    </row>
    <row r="19" spans="1:28" s="210" customFormat="1" ht="21" customHeight="1" x14ac:dyDescent="0.15">
      <c r="A19" s="28">
        <v>60006020</v>
      </c>
      <c r="B19" s="28" t="s">
        <v>386</v>
      </c>
      <c r="C19" s="474">
        <v>3</v>
      </c>
      <c r="D19" s="474" t="s">
        <v>329</v>
      </c>
      <c r="E19" s="475" t="s">
        <v>330</v>
      </c>
      <c r="F19" s="475" t="s">
        <v>387</v>
      </c>
      <c r="G19" s="483" t="str">
        <f t="shared" si="1"/>
        <v>[effect:critical, val:1.2]</v>
      </c>
      <c r="H19" s="483">
        <f t="shared" si="2"/>
        <v>9</v>
      </c>
      <c r="I19" s="483">
        <f t="shared" si="3"/>
        <v>17</v>
      </c>
      <c r="J19" s="483" t="e">
        <f t="shared" si="4"/>
        <v>#VALUE!</v>
      </c>
      <c r="K19" s="483" t="e">
        <f t="shared" si="5"/>
        <v>#VALUE!</v>
      </c>
      <c r="L19" s="483" t="str">
        <f>IFERROR(VLOOKUP(MID(G19,J19,K19-J19),[5]skilldef!$C:$D,2,FALSE),"-") &amp; " / " &amp; IFERROR(VLOOKUP(MID(G19,H19,I19-H19),[5]skilldef!$A:$B,2,FALSE),"-")</f>
        <v>- / 大攻撃</v>
      </c>
      <c r="M19" s="483" t="str">
        <f t="shared" si="6"/>
        <v>none</v>
      </c>
      <c r="N19" s="484" t="str">
        <f>IFERROR(LEFT(M19,FIND("],",M19)+#REF!),M19)</f>
        <v>none</v>
      </c>
      <c r="O19" s="483" t="e">
        <f t="shared" si="7"/>
        <v>#VALUE!</v>
      </c>
      <c r="P19" s="483">
        <f t="shared" si="8"/>
        <v>4</v>
      </c>
      <c r="Q19" s="483" t="e">
        <f t="shared" si="9"/>
        <v>#VALUE!</v>
      </c>
      <c r="R19" s="483" t="e">
        <f t="shared" si="10"/>
        <v>#VALUE!</v>
      </c>
      <c r="S19" s="483" t="str">
        <f>IFERROR(VLOOKUP(MID(N19,Q19,R19-Q19),[5]skilldef!$C:$D,2,FALSE),"-") &amp; " / " &amp; IFERROR(VLOOKUP(MID(N19,O19,P19-O19),[5]skilldef!$A:$B,2,FALSE),"-")</f>
        <v>- / -</v>
      </c>
      <c r="T19" s="484" t="str">
        <f t="shared" si="11"/>
        <v>none</v>
      </c>
      <c r="U19" s="483" t="e">
        <f t="shared" si="12"/>
        <v>#VALUE!</v>
      </c>
      <c r="V19" s="483">
        <f t="shared" si="13"/>
        <v>4</v>
      </c>
      <c r="W19" s="483" t="e">
        <f t="shared" si="14"/>
        <v>#VALUE!</v>
      </c>
      <c r="X19" s="483" t="e">
        <f t="shared" si="15"/>
        <v>#VALUE!</v>
      </c>
      <c r="Y19" s="483" t="str">
        <f>IFERROR(VLOOKUP(MID(T19,W19,X19-W19),[5]skilldef!$C:$D,2,FALSE),"-") &amp; " / " &amp; IFERROR(VLOOKUP(MID(T19,U19,V19-U19),[5]skilldef!$A:$B,2,FALSE),"-")</f>
        <v>- / -</v>
      </c>
      <c r="Z19" s="474" t="s">
        <v>268</v>
      </c>
      <c r="AA19" s="476"/>
      <c r="AB19" s="474"/>
    </row>
    <row r="20" spans="1:28" s="210" customFormat="1" ht="21" customHeight="1" x14ac:dyDescent="0.15">
      <c r="A20" s="28">
        <v>60006021</v>
      </c>
      <c r="B20" s="28" t="s">
        <v>402</v>
      </c>
      <c r="C20" s="474">
        <v>3</v>
      </c>
      <c r="D20" s="474" t="s">
        <v>128</v>
      </c>
      <c r="E20" s="475" t="s">
        <v>333</v>
      </c>
      <c r="F20" s="475" t="s">
        <v>280</v>
      </c>
      <c r="G20" s="483" t="str">
        <f t="shared" si="1"/>
        <v>[effect:spread, val:0.4]</v>
      </c>
      <c r="H20" s="483">
        <f t="shared" si="2"/>
        <v>9</v>
      </c>
      <c r="I20" s="483">
        <f t="shared" si="3"/>
        <v>15</v>
      </c>
      <c r="J20" s="483" t="e">
        <f t="shared" si="4"/>
        <v>#VALUE!</v>
      </c>
      <c r="K20" s="483" t="e">
        <f t="shared" si="5"/>
        <v>#VALUE!</v>
      </c>
      <c r="L20" s="483" t="str">
        <f>IFERROR(VLOOKUP(MID(G20,J20,K20-J20),[5]skilldef!$C:$D,2,FALSE),"-") &amp; " / " &amp; IFERROR(VLOOKUP(MID(G20,H20,I20-H20),[5]skilldef!$A:$B,2,FALSE),"-")</f>
        <v>- / 全体攻撃</v>
      </c>
      <c r="M20" s="483" t="str">
        <f t="shared" si="6"/>
        <v>none</v>
      </c>
      <c r="N20" s="484" t="str">
        <f>IFERROR(LEFT(M20,FIND("],",M20)+#REF!),M20)</f>
        <v>none</v>
      </c>
      <c r="O20" s="483" t="e">
        <f t="shared" si="7"/>
        <v>#VALUE!</v>
      </c>
      <c r="P20" s="483">
        <f t="shared" si="8"/>
        <v>4</v>
      </c>
      <c r="Q20" s="483" t="e">
        <f t="shared" si="9"/>
        <v>#VALUE!</v>
      </c>
      <c r="R20" s="483" t="e">
        <f t="shared" si="10"/>
        <v>#VALUE!</v>
      </c>
      <c r="S20" s="483" t="str">
        <f>IFERROR(VLOOKUP(MID(N20,Q20,R20-Q20),[5]skilldef!$C:$D,2,FALSE),"-") &amp; " / " &amp; IFERROR(VLOOKUP(MID(N20,O20,P20-O20),[5]skilldef!$A:$B,2,FALSE),"-")</f>
        <v>- / -</v>
      </c>
      <c r="T20" s="484" t="str">
        <f t="shared" si="11"/>
        <v>none</v>
      </c>
      <c r="U20" s="483" t="e">
        <f t="shared" si="12"/>
        <v>#VALUE!</v>
      </c>
      <c r="V20" s="483">
        <f t="shared" si="13"/>
        <v>4</v>
      </c>
      <c r="W20" s="483" t="e">
        <f t="shared" si="14"/>
        <v>#VALUE!</v>
      </c>
      <c r="X20" s="483" t="e">
        <f t="shared" si="15"/>
        <v>#VALUE!</v>
      </c>
      <c r="Y20" s="483" t="str">
        <f>IFERROR(VLOOKUP(MID(T20,W20,X20-W20),[5]skilldef!$C:$D,2,FALSE),"-") &amp; " / " &amp; IFERROR(VLOOKUP(MID(T20,U20,V20-U20),[5]skilldef!$A:$B,2,FALSE),"-")</f>
        <v>- / -</v>
      </c>
      <c r="Z20" s="474" t="s">
        <v>268</v>
      </c>
      <c r="AA20" s="476"/>
      <c r="AB20" s="474"/>
    </row>
    <row r="21" spans="1:28" s="210" customFormat="1" ht="21" customHeight="1" x14ac:dyDescent="0.15">
      <c r="A21" s="28">
        <v>60006022</v>
      </c>
      <c r="B21" s="28" t="s">
        <v>410</v>
      </c>
      <c r="C21" s="474">
        <v>3</v>
      </c>
      <c r="D21" s="474" t="s">
        <v>128</v>
      </c>
      <c r="E21" s="475" t="s">
        <v>328</v>
      </c>
      <c r="F21" s="475" t="s">
        <v>409</v>
      </c>
      <c r="G21" s="483" t="str">
        <f t="shared" si="1"/>
        <v xml:space="preserve"> [effect:force_change_block, new_block:time_bomb, target:block_all, ignore:crash, ignore02:jammer, count:8, val:0.1, min_time_count:1, max_time_count:3, animation:change_block] [effect:rush, count:8, val:0.15]</v>
      </c>
      <c r="H21" s="483">
        <f t="shared" si="2"/>
        <v>10</v>
      </c>
      <c r="I21" s="483">
        <f t="shared" si="3"/>
        <v>28</v>
      </c>
      <c r="J21" s="483">
        <f t="shared" si="4"/>
        <v>58</v>
      </c>
      <c r="K21" s="483">
        <f t="shared" si="5"/>
        <v>49</v>
      </c>
      <c r="L21" s="483" t="str">
        <f>IFERROR(VLOOKUP(MID(G21,J21,K21-J21),[5]skilldef!$C:$D,2,FALSE),"-") &amp; " / " &amp; IFERROR(VLOOKUP(MID(G21,H21,I21-H21),[5]skilldef!$A:$B,2,FALSE),"-")</f>
        <v>- / -</v>
      </c>
      <c r="M21" s="483" t="str">
        <f t="shared" si="6"/>
        <v>none</v>
      </c>
      <c r="N21" s="484" t="str">
        <f>IFERROR(LEFT(M21,FIND("],",M21)+#REF!),M21)</f>
        <v>none</v>
      </c>
      <c r="O21" s="483" t="e">
        <f t="shared" si="7"/>
        <v>#VALUE!</v>
      </c>
      <c r="P21" s="483">
        <f t="shared" si="8"/>
        <v>4</v>
      </c>
      <c r="Q21" s="483" t="e">
        <f t="shared" si="9"/>
        <v>#VALUE!</v>
      </c>
      <c r="R21" s="483" t="e">
        <f t="shared" si="10"/>
        <v>#VALUE!</v>
      </c>
      <c r="S21" s="483" t="str">
        <f>IFERROR(VLOOKUP(MID(N21,Q21,R21-Q21),[5]skilldef!$C:$D,2,FALSE),"-") &amp; " / " &amp; IFERROR(VLOOKUP(MID(N21,O21,P21-O21),[5]skilldef!$A:$B,2,FALSE),"-")</f>
        <v>- / -</v>
      </c>
      <c r="T21" s="484" t="str">
        <f t="shared" si="11"/>
        <v>none</v>
      </c>
      <c r="U21" s="483" t="e">
        <f t="shared" si="12"/>
        <v>#VALUE!</v>
      </c>
      <c r="V21" s="483">
        <f t="shared" si="13"/>
        <v>4</v>
      </c>
      <c r="W21" s="483" t="e">
        <f t="shared" si="14"/>
        <v>#VALUE!</v>
      </c>
      <c r="X21" s="483" t="e">
        <f t="shared" si="15"/>
        <v>#VALUE!</v>
      </c>
      <c r="Y21" s="483" t="str">
        <f>IFERROR(VLOOKUP(MID(T21,W21,X21-W21),[5]skilldef!$C:$D,2,FALSE),"-") &amp; " / " &amp; IFERROR(VLOOKUP(MID(T21,U21,V21-U21),[5]skilldef!$A:$B,2,FALSE),"-")</f>
        <v>- / -</v>
      </c>
      <c r="Z21" s="474" t="s">
        <v>268</v>
      </c>
      <c r="AA21" s="476"/>
      <c r="AB21" s="474"/>
    </row>
    <row r="22" spans="1:28" s="210" customFormat="1" ht="21" customHeight="1" x14ac:dyDescent="0.15">
      <c r="A22" s="28">
        <v>60006023</v>
      </c>
      <c r="B22" s="28" t="s">
        <v>405</v>
      </c>
      <c r="C22" s="474">
        <v>3</v>
      </c>
      <c r="D22" s="474" t="s">
        <v>128</v>
      </c>
      <c r="E22" s="475" t="s">
        <v>335</v>
      </c>
      <c r="F22" s="475" t="s">
        <v>404</v>
      </c>
      <c r="G22" s="483" t="str">
        <f t="shared" si="1"/>
        <v>[effect:tolerance, target:myself, turn:-1, tolerance_effect:sleep, count:-1]</v>
      </c>
      <c r="H22" s="483">
        <f t="shared" si="2"/>
        <v>9</v>
      </c>
      <c r="I22" s="483">
        <f t="shared" si="3"/>
        <v>18</v>
      </c>
      <c r="J22" s="483">
        <f t="shared" si="4"/>
        <v>27</v>
      </c>
      <c r="K22" s="483">
        <f t="shared" si="5"/>
        <v>33</v>
      </c>
      <c r="L22" s="483" t="str">
        <f>IFERROR(VLOOKUP(MID(G22,J22,K22-J22),[5]skilldef!$C:$D,2,FALSE),"-") &amp; " / " &amp; IFERROR(VLOOKUP(MID(G22,H22,I22-H22),[5]skilldef!$A:$B,2,FALSE),"-")</f>
        <v>自分自身に / 状態異常耐性</v>
      </c>
      <c r="M22" s="483" t="str">
        <f t="shared" si="6"/>
        <v>[effect:tolerance, target:myself, turn:-1, tolerance_effect:virus, count:-1],[effect:tolerance, target:myself, turn:-1, tolerance_effect:hungup, count:-1, animation:enemy_tolerance], [effect:freq_turn, target:myself, turn:-1, val:1, animation:enemy_freq_turn]</v>
      </c>
      <c r="N22" s="484" t="str">
        <f>IFERROR(LEFT(M22,FIND("],",M22)+#REF!),M22)</f>
        <v>[effect:tolerance, target:myself, turn:-1, tolerance_effect:virus, count:-1],[effect:tolerance, target:myself, turn:-1, tolerance_effect:hungup, count:-1, animation:enemy_tolerance], [effect:freq_turn, target:myself, turn:-1, val:1, animation:enemy_freq_turn]</v>
      </c>
      <c r="O22" s="483">
        <f t="shared" si="7"/>
        <v>9</v>
      </c>
      <c r="P22" s="483">
        <f t="shared" si="8"/>
        <v>18</v>
      </c>
      <c r="Q22" s="483">
        <f t="shared" si="9"/>
        <v>27</v>
      </c>
      <c r="R22" s="483">
        <f t="shared" si="10"/>
        <v>33</v>
      </c>
      <c r="S22" s="483" t="str">
        <f>IFERROR(VLOOKUP(MID(N22,Q22,R22-Q22),[5]skilldef!$C:$D,2,FALSE),"-") &amp; " / " &amp; IFERROR(VLOOKUP(MID(N22,O22,P22-O22),[5]skilldef!$A:$B,2,FALSE),"-")</f>
        <v>自分自身に / 状態異常耐性</v>
      </c>
      <c r="T22" s="484" t="str">
        <f t="shared" si="11"/>
        <v>[effect:tolerance, target:myself, turn:-1, tolerance_effect:hungup, count:-1, animation:enemy_tolerance], [effect:freq_turn, target:myself, turn:-1, val:1, animation:enemy_freq_turn]</v>
      </c>
      <c r="U22" s="483">
        <f t="shared" si="12"/>
        <v>9</v>
      </c>
      <c r="V22" s="483">
        <f t="shared" si="13"/>
        <v>18</v>
      </c>
      <c r="W22" s="483">
        <f t="shared" si="14"/>
        <v>27</v>
      </c>
      <c r="X22" s="483">
        <f t="shared" si="15"/>
        <v>33</v>
      </c>
      <c r="Y22" s="483" t="str">
        <f>IFERROR(VLOOKUP(MID(T22,W22,X22-W22),[5]skilldef!$C:$D,2,FALSE),"-") &amp; " / " &amp; IFERROR(VLOOKUP(MID(T22,U22,V22-U22),[5]skilldef!$A:$B,2,FALSE),"-")</f>
        <v>自分自身に / 状態異常耐性</v>
      </c>
      <c r="Z22" s="474" t="s">
        <v>268</v>
      </c>
      <c r="AA22" s="476"/>
      <c r="AB22" s="474"/>
    </row>
    <row r="23" spans="1:28" s="210" customFormat="1" ht="21" customHeight="1" x14ac:dyDescent="0.15">
      <c r="A23" s="28">
        <v>60006024</v>
      </c>
      <c r="B23" s="28" t="s">
        <v>403</v>
      </c>
      <c r="C23" s="474">
        <v>3</v>
      </c>
      <c r="D23" s="474" t="s">
        <v>128</v>
      </c>
      <c r="E23" s="475" t="s">
        <v>331</v>
      </c>
      <c r="F23" s="475" t="s">
        <v>276</v>
      </c>
      <c r="G23" s="483" t="str">
        <f t="shared" si="1"/>
        <v>[effect:rush, count:5, val:0.25]</v>
      </c>
      <c r="H23" s="483">
        <f t="shared" si="2"/>
        <v>9</v>
      </c>
      <c r="I23" s="483">
        <f t="shared" si="3"/>
        <v>13</v>
      </c>
      <c r="J23" s="483" t="e">
        <f t="shared" si="4"/>
        <v>#VALUE!</v>
      </c>
      <c r="K23" s="483">
        <f t="shared" si="5"/>
        <v>22</v>
      </c>
      <c r="L23" s="483" t="str">
        <f>IFERROR(VLOOKUP(MID(G23,J23,K23-J23),[5]skilldef!$C:$D,2,FALSE),"-") &amp; " / " &amp; IFERROR(VLOOKUP(MID(G23,H23,I23-H23),[5]skilldef!$A:$B,2,FALSE),"-")</f>
        <v>- / 連続攻撃</v>
      </c>
      <c r="M23" s="483" t="str">
        <f t="shared" si="6"/>
        <v>none</v>
      </c>
      <c r="N23" s="484" t="str">
        <f>IFERROR(LEFT(M23,FIND("],",M23)+#REF!),M23)</f>
        <v>none</v>
      </c>
      <c r="O23" s="483" t="e">
        <f t="shared" si="7"/>
        <v>#VALUE!</v>
      </c>
      <c r="P23" s="483">
        <f t="shared" si="8"/>
        <v>4</v>
      </c>
      <c r="Q23" s="483" t="e">
        <f t="shared" si="9"/>
        <v>#VALUE!</v>
      </c>
      <c r="R23" s="483" t="e">
        <f t="shared" si="10"/>
        <v>#VALUE!</v>
      </c>
      <c r="S23" s="483" t="str">
        <f>IFERROR(VLOOKUP(MID(N23,Q23,R23-Q23),[5]skilldef!$C:$D,2,FALSE),"-") &amp; " / " &amp; IFERROR(VLOOKUP(MID(N23,O23,P23-O23),[5]skilldef!$A:$B,2,FALSE),"-")</f>
        <v>- / -</v>
      </c>
      <c r="T23" s="484" t="str">
        <f t="shared" si="11"/>
        <v>none</v>
      </c>
      <c r="U23" s="483" t="e">
        <f t="shared" si="12"/>
        <v>#VALUE!</v>
      </c>
      <c r="V23" s="483">
        <f t="shared" si="13"/>
        <v>4</v>
      </c>
      <c r="W23" s="483" t="e">
        <f t="shared" si="14"/>
        <v>#VALUE!</v>
      </c>
      <c r="X23" s="483" t="e">
        <f t="shared" si="15"/>
        <v>#VALUE!</v>
      </c>
      <c r="Y23" s="483" t="str">
        <f>IFERROR(VLOOKUP(MID(T23,W23,X23-W23),[5]skilldef!$C:$D,2,FALSE),"-") &amp; " / " &amp; IFERROR(VLOOKUP(MID(T23,U23,V23-U23),[5]skilldef!$A:$B,2,FALSE),"-")</f>
        <v>- / -</v>
      </c>
      <c r="Z23" s="474" t="s">
        <v>268</v>
      </c>
      <c r="AA23" s="476"/>
      <c r="AB23" s="474"/>
    </row>
    <row r="24" spans="1:28" s="210" customFormat="1" ht="21" customHeight="1" x14ac:dyDescent="0.15">
      <c r="A24" s="28">
        <v>60006025</v>
      </c>
      <c r="B24" s="28" t="s">
        <v>403</v>
      </c>
      <c r="C24" s="474">
        <v>3</v>
      </c>
      <c r="D24" s="474" t="s">
        <v>128</v>
      </c>
      <c r="E24" s="475" t="s">
        <v>332</v>
      </c>
      <c r="F24" s="475" t="s">
        <v>276</v>
      </c>
      <c r="G24" s="483" t="str">
        <f t="shared" si="1"/>
        <v>[effect:rush, count:5, val:0.25]</v>
      </c>
      <c r="H24" s="483">
        <f t="shared" si="2"/>
        <v>9</v>
      </c>
      <c r="I24" s="483">
        <f t="shared" si="3"/>
        <v>13</v>
      </c>
      <c r="J24" s="483" t="e">
        <f t="shared" si="4"/>
        <v>#VALUE!</v>
      </c>
      <c r="K24" s="483">
        <f t="shared" si="5"/>
        <v>22</v>
      </c>
      <c r="L24" s="483" t="str">
        <f>IFERROR(VLOOKUP(MID(G24,J24,K24-J24),[5]skilldef!$C:$D,2,FALSE),"-") &amp; " / " &amp; IFERROR(VLOOKUP(MID(G24,H24,I24-H24),[5]skilldef!$A:$B,2,FALSE),"-")</f>
        <v>- / 連続攻撃</v>
      </c>
      <c r="M24" s="483" t="str">
        <f t="shared" si="6"/>
        <v>none</v>
      </c>
      <c r="N24" s="484" t="str">
        <f>IFERROR(LEFT(M24,FIND("],",M24)+S26),M24)</f>
        <v>none</v>
      </c>
      <c r="O24" s="483" t="e">
        <f t="shared" si="7"/>
        <v>#VALUE!</v>
      </c>
      <c r="P24" s="483">
        <f t="shared" si="8"/>
        <v>4</v>
      </c>
      <c r="Q24" s="483" t="e">
        <f t="shared" si="9"/>
        <v>#VALUE!</v>
      </c>
      <c r="R24" s="483" t="e">
        <f t="shared" si="10"/>
        <v>#VALUE!</v>
      </c>
      <c r="S24" s="483" t="str">
        <f>IFERROR(VLOOKUP(MID(N24,Q24,R24-Q24),[5]skilldef!$C:$D,2,FALSE),"-") &amp; " / " &amp; IFERROR(VLOOKUP(MID(N24,O24,P24-O24),[5]skilldef!$A:$B,2,FALSE),"-")</f>
        <v>- / -</v>
      </c>
      <c r="T24" s="484" t="str">
        <f t="shared" si="11"/>
        <v>none</v>
      </c>
      <c r="U24" s="483" t="e">
        <f t="shared" si="12"/>
        <v>#VALUE!</v>
      </c>
      <c r="V24" s="483">
        <f t="shared" si="13"/>
        <v>4</v>
      </c>
      <c r="W24" s="483" t="e">
        <f t="shared" si="14"/>
        <v>#VALUE!</v>
      </c>
      <c r="X24" s="483" t="e">
        <f t="shared" si="15"/>
        <v>#VALUE!</v>
      </c>
      <c r="Y24" s="483" t="str">
        <f>IFERROR(VLOOKUP(MID(T24,W24,X24-W24),[5]skilldef!$C:$D,2,FALSE),"-") &amp; " / " &amp; IFERROR(VLOOKUP(MID(T24,U24,V24-U24),[5]skilldef!$A:$B,2,FALSE),"-")</f>
        <v>- / -</v>
      </c>
      <c r="Z24" s="474" t="s">
        <v>268</v>
      </c>
      <c r="AA24" s="476"/>
      <c r="AB24" s="474"/>
    </row>
    <row r="25" spans="1:28" s="210" customFormat="1" ht="21" customHeight="1" x14ac:dyDescent="0.15">
      <c r="A25" s="28">
        <v>60006026</v>
      </c>
      <c r="B25" s="28" t="s">
        <v>413</v>
      </c>
      <c r="C25" s="474">
        <v>3</v>
      </c>
      <c r="D25" s="474" t="s">
        <v>128</v>
      </c>
      <c r="E25" s="475" t="s">
        <v>411</v>
      </c>
      <c r="F25" s="475" t="s">
        <v>412</v>
      </c>
      <c r="G25" s="483" t="str">
        <f t="shared" si="1"/>
        <v xml:space="preserve"> [effect:force_change_block, new_block:time_bomb, target:block_all, ignore:crash, ignore02:jammer, count:25, val:0.1, min_time_count:1, max_time_count:1, animation:change_block]</v>
      </c>
      <c r="H25" s="483">
        <f t="shared" si="2"/>
        <v>10</v>
      </c>
      <c r="I25" s="483">
        <f t="shared" si="3"/>
        <v>28</v>
      </c>
      <c r="J25" s="483">
        <f t="shared" si="4"/>
        <v>58</v>
      </c>
      <c r="K25" s="483">
        <f t="shared" si="5"/>
        <v>49</v>
      </c>
      <c r="L25" s="483" t="str">
        <f>IFERROR(VLOOKUP(MID(G25,J25,K25-J25),[5]skilldef!$C:$D,2,FALSE),"-") &amp; " / " &amp; IFERROR(VLOOKUP(MID(G25,H25,I25-H25),[5]skilldef!$A:$B,2,FALSE),"-")</f>
        <v>- / -</v>
      </c>
      <c r="M25" s="483" t="str">
        <f t="shared" si="6"/>
        <v>none</v>
      </c>
      <c r="N25" s="484" t="str">
        <f>IFERROR(LEFT(M25,FIND("],",M25)+S27),M25)</f>
        <v>none</v>
      </c>
      <c r="O25" s="483" t="e">
        <f t="shared" si="7"/>
        <v>#VALUE!</v>
      </c>
      <c r="P25" s="483">
        <f t="shared" si="8"/>
        <v>4</v>
      </c>
      <c r="Q25" s="483" t="e">
        <f t="shared" si="9"/>
        <v>#VALUE!</v>
      </c>
      <c r="R25" s="483" t="e">
        <f t="shared" si="10"/>
        <v>#VALUE!</v>
      </c>
      <c r="S25" s="483" t="str">
        <f>IFERROR(VLOOKUP(MID(N25,Q25,R25-Q25),[5]skilldef!$C:$D,2,FALSE),"-") &amp; " / " &amp; IFERROR(VLOOKUP(MID(N25,O25,P25-O25),[5]skilldef!$A:$B,2,FALSE),"-")</f>
        <v>- / -</v>
      </c>
      <c r="T25" s="484" t="str">
        <f t="shared" si="11"/>
        <v>none</v>
      </c>
      <c r="U25" s="483" t="e">
        <f t="shared" si="12"/>
        <v>#VALUE!</v>
      </c>
      <c r="V25" s="483">
        <f t="shared" si="13"/>
        <v>4</v>
      </c>
      <c r="W25" s="483" t="e">
        <f t="shared" si="14"/>
        <v>#VALUE!</v>
      </c>
      <c r="X25" s="483" t="e">
        <f t="shared" si="15"/>
        <v>#VALUE!</v>
      </c>
      <c r="Y25" s="483" t="str">
        <f>IFERROR(VLOOKUP(MID(T25,W25,X25-W25),[5]skilldef!$C:$D,2,FALSE),"-") &amp; " / " &amp; IFERROR(VLOOKUP(MID(T25,U25,V25-U25),[5]skilldef!$A:$B,2,FALSE),"-")</f>
        <v>- / -</v>
      </c>
      <c r="Z25" s="474" t="s">
        <v>268</v>
      </c>
      <c r="AA25" s="476"/>
      <c r="AB25" s="474"/>
    </row>
    <row r="26" spans="1:28" s="210" customFormat="1" ht="27" customHeight="1" x14ac:dyDescent="0.15">
      <c r="A26" s="28">
        <v>60006027</v>
      </c>
      <c r="B26" s="28" t="s">
        <v>418</v>
      </c>
      <c r="C26" s="474">
        <v>3</v>
      </c>
      <c r="D26" s="474" t="s">
        <v>128</v>
      </c>
      <c r="E26" s="475" t="s">
        <v>376</v>
      </c>
      <c r="F26" s="475" t="s">
        <v>388</v>
      </c>
      <c r="G26" s="483" t="str">
        <f t="shared" ref="G26" si="43">IFERROR(LEFT(B26,FIND("],",B26)),B26)</f>
        <v>[effect:drop_block, block_type:time_bomb, color:block_red, val:0.1, rate:0.5, turn:-1, min_time_count:5, max_time_count:5]</v>
      </c>
      <c r="H26" s="483">
        <f t="shared" ref="H26" si="44">FIND("effect:",G26)+7</f>
        <v>9</v>
      </c>
      <c r="I26" s="483">
        <f t="shared" ref="I26" si="45">IFERROR(FIND(",",G26),LEN(G26))</f>
        <v>19</v>
      </c>
      <c r="J26" s="483" t="e">
        <f t="shared" ref="J26" si="46">FIND("target:",G26)+7</f>
        <v>#VALUE!</v>
      </c>
      <c r="K26" s="483">
        <f t="shared" ref="K26" si="47">FIND(",",G26,I26+1)</f>
        <v>41</v>
      </c>
      <c r="L26" s="483" t="str">
        <f>IFERROR(VLOOKUP(MID(G26,J26,K26-J26),[5]skilldef!$C:$D,2,FALSE),"-") &amp; " / " &amp; IFERROR(VLOOKUP(MID(G26,H26,I26-H26),[5]skilldef!$A:$B,2,FALSE),"-")</f>
        <v>- / 特定ブロックの割合ドロップ</v>
      </c>
      <c r="M26" s="483" t="str">
        <f t="shared" ref="M26" si="48">IFERROR(RIGHT(B26,LEN(B26)-FIND("],",B26)-1),"none")</f>
        <v xml:space="preserve"> [effect:force_change_block, new_block:time_bomb, target:block_all, ignore:crash, ignore02:jammer, count:8, val:0.1, min_time_count:3, max_time_count:3] ,[effect:enemy_message, val1:1, val2:3]    </v>
      </c>
      <c r="N26" s="484" t="str">
        <f>IFERROR(LEFT(M26,FIND("],",M26)+#REF!),M26)</f>
        <v xml:space="preserve"> [effect:force_change_block, new_block:time_bomb, target:block_all, ignore:crash, ignore02:jammer, count:8, val:0.1, min_time_count:3, max_time_count:3] ,[effect:enemy_message, val1:1, val2:3]    </v>
      </c>
      <c r="O26" s="483">
        <f t="shared" ref="O26" si="49">FIND("effect:",N26)+7</f>
        <v>10</v>
      </c>
      <c r="P26" s="483">
        <f t="shared" ref="P26" si="50">IFERROR(FIND(",",N26),LEN(N26))</f>
        <v>28</v>
      </c>
      <c r="Q26" s="483">
        <f t="shared" ref="Q26" si="51">FIND("target:",N26)+7</f>
        <v>58</v>
      </c>
      <c r="R26" s="483">
        <f t="shared" ref="R26" si="52">FIND(",",N26,P26+1)</f>
        <v>49</v>
      </c>
      <c r="S26" s="483" t="str">
        <f>IFERROR(VLOOKUP(MID(N26,Q26,R26-Q26),[5]skilldef!$C:$D,2,FALSE),"-") &amp; " / " &amp; IFERROR(VLOOKUP(MID(N26,O26,P26-O26),[5]skilldef!$A:$B,2,FALSE),"-")</f>
        <v>- / -</v>
      </c>
      <c r="T26" s="484" t="str">
        <f t="shared" ref="T26" si="53">IFERROR(RIGHT(M26,LEN(M26)-FIND("],",M26)-1),"none")</f>
        <v>none</v>
      </c>
      <c r="U26" s="483" t="e">
        <f t="shared" ref="U26" si="54">FIND("effect:",T26)+7</f>
        <v>#VALUE!</v>
      </c>
      <c r="V26" s="483">
        <f t="shared" ref="V26" si="55">IFERROR(FIND(",",T26),LEN(T26))</f>
        <v>4</v>
      </c>
      <c r="W26" s="483" t="e">
        <f t="shared" ref="W26" si="56">FIND("target:",T26)+7</f>
        <v>#VALUE!</v>
      </c>
      <c r="X26" s="483" t="e">
        <f t="shared" ref="X26" si="57">FIND(",",T26,V26+1)</f>
        <v>#VALUE!</v>
      </c>
      <c r="Y26" s="483" t="str">
        <f>IFERROR(VLOOKUP(MID(T26,W26,X26-W26),[5]skilldef!$C:$D,2,FALSE),"-") &amp; " / " &amp; IFERROR(VLOOKUP(MID(T26,U26,V26-U26),[5]skilldef!$A:$B,2,FALSE),"-")</f>
        <v>- / -</v>
      </c>
      <c r="Z26" s="474" t="s">
        <v>268</v>
      </c>
      <c r="AA26" s="476"/>
      <c r="AB26" s="474"/>
    </row>
    <row r="27" spans="1:28" s="210" customFormat="1" ht="21" customHeight="1" x14ac:dyDescent="0.15">
      <c r="A27" s="480">
        <v>60006028</v>
      </c>
      <c r="B27" s="480" t="s">
        <v>398</v>
      </c>
      <c r="C27" s="481">
        <v>3</v>
      </c>
      <c r="D27" s="481" t="s">
        <v>396</v>
      </c>
      <c r="E27" s="482" t="s">
        <v>399</v>
      </c>
      <c r="F27" s="482" t="s">
        <v>397</v>
      </c>
      <c r="G27" s="483" t="str">
        <f>IFERROR(LEFT(B27,FIND("],",B27)),B27)</f>
        <v>[effect:force_change_block, new_block:time_bomb, target:block_all, ignore:crash, ignore02:jammer, count:15, val:0.2, min_time_count:2, max_time_count:2, animation:change_block]</v>
      </c>
      <c r="H27" s="483">
        <f>FIND("effect:",G27)+7</f>
        <v>9</v>
      </c>
      <c r="I27" s="483">
        <f>IFERROR(FIND(",",G27),LEN(G27))</f>
        <v>27</v>
      </c>
      <c r="J27" s="483">
        <f>FIND("target:",G27)+7</f>
        <v>57</v>
      </c>
      <c r="K27" s="483">
        <f>FIND(",",G27,I27+1)</f>
        <v>48</v>
      </c>
      <c r="L27" s="483" t="str">
        <f>IFERROR(VLOOKUP(MID(G27,J27,K27-J27),[5]skilldef!$C:$D,2,FALSE),"-") &amp; " / " &amp; IFERROR(VLOOKUP(MID(G27,H27,I27-H27),[5]skilldef!$A:$B,2,FALSE),"-")</f>
        <v>- / -</v>
      </c>
      <c r="M27" s="483" t="str">
        <f>IFERROR(RIGHT(B27,LEN(B27)-FIND("],",B27)-1),"none")</f>
        <v>none</v>
      </c>
      <c r="N27" s="484" t="str">
        <f>IFERROR(LEFT(M27,FIND("],",M27)+S33),M27)</f>
        <v>none</v>
      </c>
      <c r="O27" s="483" t="e">
        <f>FIND("effect:",N27)+7</f>
        <v>#VALUE!</v>
      </c>
      <c r="P27" s="483">
        <f>IFERROR(FIND(",",N27),LEN(N27))</f>
        <v>4</v>
      </c>
      <c r="Q27" s="483" t="e">
        <f>FIND("target:",N27)+7</f>
        <v>#VALUE!</v>
      </c>
      <c r="R27" s="483" t="e">
        <f>FIND(",",N27,P27+1)</f>
        <v>#VALUE!</v>
      </c>
      <c r="S27" s="483" t="str">
        <f>IFERROR(VLOOKUP(MID(N27,Q27,R27-Q27),[5]skilldef!$C:$D,2,FALSE),"-") &amp; " / " &amp; IFERROR(VLOOKUP(MID(N27,O27,P27-O27),[5]skilldef!$A:$B,2,FALSE),"-")</f>
        <v>- / -</v>
      </c>
      <c r="T27" s="484" t="str">
        <f>IFERROR(RIGHT(M27,LEN(M27)-FIND("],",M27)-1),"none")</f>
        <v>none</v>
      </c>
      <c r="U27" s="483" t="e">
        <f>FIND("effect:",T27)+7</f>
        <v>#VALUE!</v>
      </c>
      <c r="V27" s="483">
        <f>IFERROR(FIND(",",T27),LEN(T27))</f>
        <v>4</v>
      </c>
      <c r="W27" s="483" t="e">
        <f>FIND("target:",T27)+7</f>
        <v>#VALUE!</v>
      </c>
      <c r="X27" s="483" t="e">
        <f>FIND(",",T27,V27+1)</f>
        <v>#VALUE!</v>
      </c>
      <c r="Y27" s="483" t="str">
        <f>IFERROR(VLOOKUP(MID(T27,W27,X27-W27),[5]skilldef!$C:$D,2,FALSE),"-") &amp; " / " &amp; IFERROR(VLOOKUP(MID(T27,U27,V27-U27),[5]skilldef!$A:$B,2,FALSE),"-")</f>
        <v>- / -</v>
      </c>
      <c r="Z27" s="474" t="s">
        <v>268</v>
      </c>
      <c r="AA27" s="476"/>
      <c r="AB27" s="474"/>
    </row>
    <row r="28" spans="1:28" s="210" customFormat="1" ht="21" customHeight="1" x14ac:dyDescent="0.15">
      <c r="A28" s="480">
        <v>60006029</v>
      </c>
      <c r="B28" s="480" t="s">
        <v>421</v>
      </c>
      <c r="C28" s="481">
        <v>3</v>
      </c>
      <c r="D28" s="481" t="s">
        <v>396</v>
      </c>
      <c r="E28" s="482" t="s">
        <v>414</v>
      </c>
      <c r="F28" s="482" t="s">
        <v>420</v>
      </c>
      <c r="G28" s="483" t="str">
        <f>IFERROR(LEFT(B28,FIND("],",B28)),B28)</f>
        <v>[effect:reduction, target:myself, turn:8, color:yellow, val:0.5, animation:reduction_one04]</v>
      </c>
      <c r="H28" s="483">
        <f>FIND("effect:",G28)+7</f>
        <v>9</v>
      </c>
      <c r="I28" s="483">
        <f>IFERROR(FIND(",",G28),LEN(G28))</f>
        <v>18</v>
      </c>
      <c r="J28" s="483">
        <f>FIND("target:",G28)+7</f>
        <v>27</v>
      </c>
      <c r="K28" s="483">
        <f>FIND(",",G28,I28+1)</f>
        <v>33</v>
      </c>
      <c r="L28" s="483" t="str">
        <f>IFERROR(VLOOKUP(MID(G28,J28,K28-J28),[5]skilldef!$C:$D,2,FALSE),"-") &amp; " / " &amp; IFERROR(VLOOKUP(MID(G28,H28,I28-H28),[5]skilldef!$A:$B,2,FALSE),"-")</f>
        <v>自分自身に / -</v>
      </c>
      <c r="M28" s="483" t="str">
        <f>IFERROR(RIGHT(B28,LEN(B28)-FIND("],",B28)-1),"none")</f>
        <v>[effect:reduction, target:myself, turn:8, color:green, val:0.5],[effect:reduction, target:myself, turn:8, color:blue, val:0.5]</v>
      </c>
      <c r="N28" s="484" t="str">
        <f>IFERROR(LEFT(M28,FIND("],",M28)+S34),M28)</f>
        <v>[effect:reduction, target:myself, turn:8, color:green, val:0.5]</v>
      </c>
      <c r="O28" s="483">
        <f>FIND("effect:",N28)+7</f>
        <v>9</v>
      </c>
      <c r="P28" s="483">
        <f>IFERROR(FIND(",",N28),LEN(N28))</f>
        <v>18</v>
      </c>
      <c r="Q28" s="483">
        <f>FIND("target:",N28)+7</f>
        <v>27</v>
      </c>
      <c r="R28" s="483">
        <f>FIND(",",N28,P28+1)</f>
        <v>33</v>
      </c>
      <c r="S28" s="483" t="str">
        <f>IFERROR(VLOOKUP(MID(N28,Q28,R28-Q28),[5]skilldef!$C:$D,2,FALSE),"-") &amp; " / " &amp; IFERROR(VLOOKUP(MID(N28,O28,P28-O28),[5]skilldef!$A:$B,2,FALSE),"-")</f>
        <v>自分自身に / -</v>
      </c>
      <c r="T28" s="484" t="str">
        <f>IFERROR(RIGHT(M28,LEN(M28)-FIND("],",M28)-1),"none")</f>
        <v>[effect:reduction, target:myself, turn:8, color:blue, val:0.5]</v>
      </c>
      <c r="U28" s="483">
        <f>FIND("effect:",T28)+7</f>
        <v>9</v>
      </c>
      <c r="V28" s="483">
        <f>IFERROR(FIND(",",T28),LEN(T28))</f>
        <v>18</v>
      </c>
      <c r="W28" s="483">
        <f>FIND("target:",T28)+7</f>
        <v>27</v>
      </c>
      <c r="X28" s="483">
        <f>FIND(",",T28,V28+1)</f>
        <v>33</v>
      </c>
      <c r="Y28" s="483" t="str">
        <f>IFERROR(VLOOKUP(MID(T28,W28,X28-W28),[5]skilldef!$C:$D,2,FALSE),"-") &amp; " / " &amp; IFERROR(VLOOKUP(MID(T28,U28,V28-U28),[5]skilldef!$A:$B,2,FALSE),"-")</f>
        <v>自分自身に / -</v>
      </c>
      <c r="Z28" s="474" t="s">
        <v>268</v>
      </c>
      <c r="AA28" s="476"/>
      <c r="AB28" s="474"/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XFD39"/>
  <sheetViews>
    <sheetView showGridLines="0" workbookViewId="0">
      <pane ySplit="1" topLeftCell="A2" activePane="bottomLeft" state="frozenSplit"/>
      <selection pane="bottomLeft" activeCell="H28" sqref="H28"/>
    </sheetView>
  </sheetViews>
  <sheetFormatPr baseColWidth="12" defaultColWidth="12.83203125" defaultRowHeight="21" customHeight="1" x14ac:dyDescent="0.15"/>
  <cols>
    <col min="1" max="1" width="16.1640625" style="30" bestFit="1" customWidth="1"/>
    <col min="2" max="2" width="13.33203125" style="30" bestFit="1" customWidth="1"/>
    <col min="3" max="3" width="11.83203125" style="30" bestFit="1" customWidth="1"/>
    <col min="4" max="4" width="14.6640625" style="30" bestFit="1" customWidth="1"/>
    <col min="5" max="5" width="15.6640625" style="30" bestFit="1" customWidth="1"/>
    <col min="6" max="6" width="17" style="30" bestFit="1" customWidth="1"/>
    <col min="7" max="7" width="15.6640625" style="30" bestFit="1" customWidth="1"/>
    <col min="8" max="9" width="14.6640625" style="30" customWidth="1"/>
    <col min="10" max="10" width="14.6640625" style="30" bestFit="1" customWidth="1"/>
    <col min="11" max="11" width="22.83203125" style="24" bestFit="1" customWidth="1"/>
    <col min="12" max="16384" width="12.83203125" style="26"/>
  </cols>
  <sheetData>
    <row r="1" spans="1:44 16263:16384" ht="21" customHeight="1" thickBot="1" x14ac:dyDescent="0.2">
      <c r="A1" s="31" t="s">
        <v>84</v>
      </c>
      <c r="B1" s="31" t="s">
        <v>85</v>
      </c>
      <c r="C1" s="31" t="s">
        <v>86</v>
      </c>
      <c r="D1" s="31" t="s">
        <v>87</v>
      </c>
      <c r="E1" s="31" t="s">
        <v>70</v>
      </c>
      <c r="F1" s="31" t="s">
        <v>71</v>
      </c>
      <c r="G1" s="31" t="s">
        <v>72</v>
      </c>
      <c r="H1" s="31" t="s">
        <v>73</v>
      </c>
      <c r="I1" s="31" t="s">
        <v>74</v>
      </c>
      <c r="J1" s="31" t="s">
        <v>75</v>
      </c>
      <c r="K1" s="32" t="s">
        <v>88</v>
      </c>
      <c r="L1" s="471"/>
      <c r="M1" s="471"/>
      <c r="N1" s="471"/>
      <c r="O1" s="471"/>
      <c r="P1" s="471"/>
      <c r="Q1" s="471"/>
      <c r="R1" s="471"/>
      <c r="S1" s="471"/>
      <c r="T1" s="471"/>
      <c r="U1" s="471"/>
      <c r="V1" s="471"/>
      <c r="W1" s="471"/>
      <c r="X1" s="471"/>
      <c r="Y1" s="471"/>
      <c r="Z1" s="471"/>
      <c r="AA1" s="471"/>
      <c r="AB1" s="471"/>
      <c r="AC1" s="471"/>
      <c r="AD1" s="471"/>
      <c r="AE1" s="471"/>
      <c r="AF1" s="471"/>
      <c r="AG1" s="471"/>
      <c r="AH1" s="471"/>
      <c r="AI1" s="471"/>
      <c r="AJ1" s="471"/>
      <c r="AK1" s="471"/>
      <c r="AL1" s="471"/>
      <c r="AM1" s="471"/>
      <c r="AN1" s="471"/>
      <c r="AO1" s="471"/>
      <c r="AP1" s="471"/>
      <c r="AQ1" s="471"/>
      <c r="AR1" s="471"/>
      <c r="XAM1" s="471"/>
      <c r="XAN1" s="471"/>
      <c r="XAO1" s="471"/>
      <c r="XAP1" s="471"/>
      <c r="XAQ1" s="471"/>
      <c r="XAR1" s="471"/>
      <c r="XAS1" s="471"/>
      <c r="XAT1" s="471"/>
      <c r="XAU1" s="471"/>
      <c r="XAV1" s="471"/>
      <c r="XAW1" s="471"/>
      <c r="XAX1" s="471"/>
      <c r="XAY1" s="471"/>
      <c r="XAZ1" s="471"/>
      <c r="XBA1" s="471"/>
      <c r="XBB1" s="471"/>
      <c r="XBC1" s="471"/>
      <c r="XBD1" s="471"/>
      <c r="XBE1" s="471"/>
      <c r="XBF1" s="471"/>
      <c r="XBG1" s="471"/>
      <c r="XBH1" s="471"/>
      <c r="XBI1" s="471"/>
      <c r="XBJ1" s="471"/>
      <c r="XBK1" s="471"/>
      <c r="XBL1" s="471"/>
      <c r="XBM1" s="471"/>
      <c r="XBN1" s="471"/>
      <c r="XBO1" s="471"/>
      <c r="XBP1" s="471"/>
      <c r="XBQ1" s="471"/>
      <c r="XBR1" s="471"/>
      <c r="XBS1" s="471"/>
      <c r="XBT1" s="471"/>
      <c r="XBU1" s="471"/>
      <c r="XBV1" s="471"/>
      <c r="XBW1" s="471"/>
      <c r="XBX1" s="471"/>
      <c r="XBY1" s="471"/>
      <c r="XBZ1" s="471"/>
      <c r="XCA1" s="471"/>
      <c r="XCB1" s="471"/>
      <c r="XCC1" s="471"/>
      <c r="XCD1" s="471"/>
      <c r="XCE1" s="471"/>
      <c r="XCF1" s="471"/>
      <c r="XCG1" s="471"/>
      <c r="XCH1" s="471"/>
      <c r="XCI1" s="471"/>
      <c r="XCJ1" s="471"/>
      <c r="XCK1" s="471"/>
      <c r="XCL1" s="471"/>
      <c r="XCM1" s="471"/>
      <c r="XCN1" s="471"/>
      <c r="XCO1" s="471"/>
      <c r="XCP1" s="471"/>
      <c r="XCQ1" s="471"/>
      <c r="XCR1" s="471"/>
      <c r="XCS1" s="471"/>
      <c r="XCT1" s="471"/>
      <c r="XCU1" s="471"/>
      <c r="XCV1" s="471"/>
      <c r="XCW1" s="471"/>
      <c r="XCX1" s="471"/>
      <c r="XCY1" s="471"/>
      <c r="XCZ1" s="471"/>
      <c r="XDA1" s="471"/>
      <c r="XDB1" s="471"/>
      <c r="XDC1" s="471"/>
      <c r="XDD1" s="471"/>
      <c r="XDE1" s="471"/>
      <c r="XDF1" s="471"/>
      <c r="XDG1" s="471"/>
      <c r="XDH1" s="471"/>
      <c r="XDI1" s="471"/>
      <c r="XDJ1" s="471"/>
      <c r="XDK1" s="471"/>
      <c r="XDL1" s="471"/>
      <c r="XDM1" s="471"/>
      <c r="XDN1" s="471"/>
      <c r="XDO1" s="471"/>
      <c r="XDP1" s="471"/>
      <c r="XDQ1" s="471"/>
      <c r="XDR1" s="471"/>
      <c r="XDS1" s="471"/>
      <c r="XDT1" s="471"/>
      <c r="XDU1" s="471"/>
      <c r="XDV1" s="471"/>
      <c r="XDW1" s="471"/>
      <c r="XDX1" s="471"/>
      <c r="XDY1" s="471"/>
      <c r="XDZ1" s="471"/>
      <c r="XEA1" s="471"/>
      <c r="XEB1" s="471"/>
      <c r="XEC1" s="471"/>
      <c r="XED1" s="471"/>
      <c r="XEE1" s="471"/>
      <c r="XEF1" s="471"/>
      <c r="XEG1" s="471"/>
      <c r="XEH1" s="471"/>
      <c r="XEI1" s="471"/>
      <c r="XEJ1" s="471"/>
      <c r="XEK1" s="471"/>
      <c r="XEL1" s="471"/>
      <c r="XEM1" s="471"/>
      <c r="XEN1" s="471"/>
      <c r="XEO1" s="471"/>
      <c r="XEP1" s="471"/>
      <c r="XEQ1" s="471"/>
      <c r="XER1" s="471"/>
      <c r="XES1" s="471"/>
      <c r="XET1" s="471"/>
      <c r="XEU1" s="471"/>
      <c r="XEV1" s="471"/>
      <c r="XEW1" s="471"/>
      <c r="XEX1" s="471"/>
      <c r="XEY1" s="471"/>
      <c r="XEZ1" s="471"/>
      <c r="XFA1" s="471"/>
      <c r="XFB1" s="471"/>
      <c r="XFC1" s="471"/>
      <c r="XFD1" s="471"/>
    </row>
    <row r="2" spans="1:44 16263:16384" s="207" customFormat="1" ht="21" customHeight="1" x14ac:dyDescent="0.15">
      <c r="A2" s="472">
        <v>60006001</v>
      </c>
      <c r="B2" s="140">
        <v>0</v>
      </c>
      <c r="C2" s="140" t="s">
        <v>89</v>
      </c>
      <c r="D2" s="140">
        <v>70</v>
      </c>
      <c r="E2" s="140" t="s">
        <v>406</v>
      </c>
      <c r="F2" s="140" t="s">
        <v>90</v>
      </c>
      <c r="G2" s="140">
        <v>1</v>
      </c>
      <c r="H2" s="140" t="s">
        <v>90</v>
      </c>
      <c r="I2" s="140" t="s">
        <v>90</v>
      </c>
      <c r="J2" s="485">
        <f t="shared" ref="J2" si="0">D2</f>
        <v>70</v>
      </c>
      <c r="K2" s="467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  <c r="AF2" s="210"/>
      <c r="AG2" s="210"/>
      <c r="AH2" s="210"/>
      <c r="AI2" s="210"/>
      <c r="AJ2" s="210"/>
      <c r="AK2" s="210"/>
      <c r="AL2" s="210"/>
      <c r="AM2" s="210"/>
      <c r="AN2" s="210"/>
      <c r="AO2" s="210"/>
      <c r="AP2" s="210"/>
      <c r="AQ2" s="210"/>
      <c r="AR2" s="210"/>
      <c r="XAM2" s="210"/>
      <c r="XAN2" s="210"/>
      <c r="XAO2" s="210"/>
      <c r="XAP2" s="210"/>
      <c r="XAQ2" s="210"/>
      <c r="XAR2" s="210"/>
      <c r="XAS2" s="210"/>
      <c r="XAT2" s="210"/>
      <c r="XAU2" s="210"/>
      <c r="XAV2" s="210"/>
      <c r="XAW2" s="210"/>
      <c r="XAX2" s="210"/>
      <c r="XAY2" s="210"/>
      <c r="XAZ2" s="210"/>
      <c r="XBA2" s="210"/>
      <c r="XBB2" s="210"/>
      <c r="XBC2" s="210"/>
      <c r="XBD2" s="210"/>
      <c r="XBE2" s="210"/>
      <c r="XBF2" s="210"/>
      <c r="XBG2" s="210"/>
      <c r="XBH2" s="210"/>
      <c r="XBI2" s="210"/>
      <c r="XBJ2" s="210"/>
      <c r="XBK2" s="210"/>
      <c r="XBL2" s="210"/>
      <c r="XBM2" s="210"/>
      <c r="XBN2" s="210"/>
      <c r="XBO2" s="210"/>
      <c r="XBP2" s="210"/>
      <c r="XBQ2" s="210"/>
      <c r="XBR2" s="210"/>
      <c r="XBS2" s="210"/>
      <c r="XBT2" s="210"/>
      <c r="XBU2" s="210"/>
      <c r="XBV2" s="210"/>
      <c r="XBW2" s="210"/>
      <c r="XBX2" s="210"/>
      <c r="XBY2" s="210"/>
      <c r="XBZ2" s="210"/>
      <c r="XCA2" s="210"/>
      <c r="XCB2" s="210"/>
      <c r="XCC2" s="210"/>
      <c r="XCD2" s="210"/>
      <c r="XCE2" s="210"/>
      <c r="XCF2" s="210"/>
      <c r="XCG2" s="210"/>
      <c r="XCH2" s="210"/>
      <c r="XCI2" s="210"/>
      <c r="XCJ2" s="210"/>
      <c r="XCK2" s="210"/>
      <c r="XCL2" s="210"/>
      <c r="XCM2" s="210"/>
      <c r="XCN2" s="210"/>
      <c r="XCO2" s="210"/>
      <c r="XCP2" s="210"/>
      <c r="XCQ2" s="210"/>
      <c r="XCR2" s="210"/>
      <c r="XCS2" s="210"/>
      <c r="XCT2" s="210"/>
      <c r="XCU2" s="210"/>
      <c r="XCV2" s="210"/>
      <c r="XCW2" s="210"/>
      <c r="XCX2" s="210"/>
      <c r="XCY2" s="210"/>
      <c r="XCZ2" s="210"/>
      <c r="XDA2" s="210"/>
      <c r="XDB2" s="210"/>
      <c r="XDC2" s="210"/>
      <c r="XDD2" s="210"/>
      <c r="XDE2" s="210"/>
      <c r="XDF2" s="210"/>
      <c r="XDG2" s="210"/>
      <c r="XDH2" s="210"/>
      <c r="XDI2" s="210"/>
      <c r="XDJ2" s="210"/>
      <c r="XDK2" s="210"/>
      <c r="XDL2" s="210"/>
      <c r="XDM2" s="210"/>
      <c r="XDN2" s="210"/>
      <c r="XDO2" s="210"/>
      <c r="XDP2" s="210"/>
      <c r="XDQ2" s="210"/>
      <c r="XDR2" s="210"/>
      <c r="XDS2" s="210"/>
      <c r="XDT2" s="210"/>
      <c r="XDU2" s="210"/>
      <c r="XDV2" s="210"/>
      <c r="XDW2" s="210"/>
      <c r="XDX2" s="210"/>
      <c r="XDY2" s="210"/>
      <c r="XDZ2" s="210"/>
      <c r="XEA2" s="210"/>
      <c r="XEB2" s="210"/>
      <c r="XEC2" s="210"/>
      <c r="XED2" s="210"/>
      <c r="XEE2" s="210"/>
      <c r="XEF2" s="210"/>
      <c r="XEG2" s="210"/>
      <c r="XEH2" s="210"/>
      <c r="XEI2" s="210"/>
      <c r="XEJ2" s="210"/>
      <c r="XEK2" s="210"/>
      <c r="XEL2" s="210"/>
      <c r="XEM2" s="210"/>
      <c r="XEN2" s="210"/>
      <c r="XEO2" s="210"/>
      <c r="XEP2" s="210"/>
      <c r="XEQ2" s="210"/>
      <c r="XER2" s="210"/>
      <c r="XES2" s="210"/>
      <c r="XET2" s="210"/>
      <c r="XEU2" s="210"/>
      <c r="XEV2" s="210"/>
      <c r="XEW2" s="210"/>
      <c r="XEX2" s="210"/>
      <c r="XEY2" s="210"/>
      <c r="XEZ2" s="210"/>
      <c r="XFA2" s="210"/>
      <c r="XFB2" s="210"/>
      <c r="XFC2" s="210"/>
      <c r="XFD2" s="210"/>
    </row>
    <row r="3" spans="1:44 16263:16384" s="208" customFormat="1" ht="21" customHeight="1" thickBot="1" x14ac:dyDescent="0.2">
      <c r="A3" s="473">
        <v>60006002</v>
      </c>
      <c r="B3" s="28">
        <v>0</v>
      </c>
      <c r="C3" s="28" t="s">
        <v>308</v>
      </c>
      <c r="D3" s="28">
        <v>60</v>
      </c>
      <c r="E3" s="28" t="s">
        <v>53</v>
      </c>
      <c r="F3" s="28" t="s">
        <v>53</v>
      </c>
      <c r="G3" s="28">
        <v>1</v>
      </c>
      <c r="H3" s="28" t="s">
        <v>53</v>
      </c>
      <c r="I3" s="28" t="s">
        <v>53</v>
      </c>
      <c r="J3" s="484">
        <f t="shared" ref="J3:J4" si="1">D3</f>
        <v>60</v>
      </c>
      <c r="K3" s="468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0"/>
      <c r="AO3" s="210"/>
      <c r="AP3" s="210"/>
      <c r="AQ3" s="210"/>
      <c r="AR3" s="210"/>
      <c r="XAM3" s="210"/>
      <c r="XAN3" s="210"/>
      <c r="XAO3" s="210"/>
      <c r="XAP3" s="210"/>
      <c r="XAQ3" s="210"/>
      <c r="XAR3" s="210"/>
      <c r="XAS3" s="210"/>
      <c r="XAT3" s="210"/>
      <c r="XAU3" s="210"/>
      <c r="XAV3" s="210"/>
      <c r="XAW3" s="210"/>
      <c r="XAX3" s="210"/>
      <c r="XAY3" s="210"/>
      <c r="XAZ3" s="210"/>
      <c r="XBA3" s="210"/>
      <c r="XBB3" s="210"/>
      <c r="XBC3" s="210"/>
      <c r="XBD3" s="210"/>
      <c r="XBE3" s="210"/>
      <c r="XBF3" s="210"/>
      <c r="XBG3" s="210"/>
      <c r="XBH3" s="210"/>
      <c r="XBI3" s="210"/>
      <c r="XBJ3" s="210"/>
      <c r="XBK3" s="210"/>
      <c r="XBL3" s="210"/>
      <c r="XBM3" s="210"/>
      <c r="XBN3" s="210"/>
      <c r="XBO3" s="210"/>
      <c r="XBP3" s="210"/>
      <c r="XBQ3" s="210"/>
      <c r="XBR3" s="210"/>
      <c r="XBS3" s="210"/>
      <c r="XBT3" s="210"/>
      <c r="XBU3" s="210"/>
      <c r="XBV3" s="210"/>
      <c r="XBW3" s="210"/>
      <c r="XBX3" s="210"/>
      <c r="XBY3" s="210"/>
      <c r="XBZ3" s="210"/>
      <c r="XCA3" s="210"/>
      <c r="XCB3" s="210"/>
      <c r="XCC3" s="210"/>
      <c r="XCD3" s="210"/>
      <c r="XCE3" s="210"/>
      <c r="XCF3" s="210"/>
      <c r="XCG3" s="210"/>
      <c r="XCH3" s="210"/>
      <c r="XCI3" s="210"/>
      <c r="XCJ3" s="210"/>
      <c r="XCK3" s="210"/>
      <c r="XCL3" s="210"/>
      <c r="XCM3" s="210"/>
      <c r="XCN3" s="210"/>
      <c r="XCO3" s="210"/>
      <c r="XCP3" s="210"/>
      <c r="XCQ3" s="210"/>
      <c r="XCR3" s="210"/>
      <c r="XCS3" s="210"/>
      <c r="XCT3" s="210"/>
      <c r="XCU3" s="210"/>
      <c r="XCV3" s="210"/>
      <c r="XCW3" s="210"/>
      <c r="XCX3" s="210"/>
      <c r="XCY3" s="210"/>
      <c r="XCZ3" s="210"/>
      <c r="XDA3" s="210"/>
      <c r="XDB3" s="210"/>
      <c r="XDC3" s="210"/>
      <c r="XDD3" s="210"/>
      <c r="XDE3" s="210"/>
      <c r="XDF3" s="210"/>
      <c r="XDG3" s="210"/>
      <c r="XDH3" s="210"/>
      <c r="XDI3" s="210"/>
      <c r="XDJ3" s="210"/>
      <c r="XDK3" s="210"/>
      <c r="XDL3" s="210"/>
      <c r="XDM3" s="210"/>
      <c r="XDN3" s="210"/>
      <c r="XDO3" s="210"/>
      <c r="XDP3" s="210"/>
      <c r="XDQ3" s="210"/>
      <c r="XDR3" s="210"/>
      <c r="XDS3" s="210"/>
      <c r="XDT3" s="210"/>
      <c r="XDU3" s="210"/>
      <c r="XDV3" s="210"/>
      <c r="XDW3" s="210"/>
      <c r="XDX3" s="210"/>
      <c r="XDY3" s="210"/>
      <c r="XDZ3" s="210"/>
      <c r="XEA3" s="210"/>
      <c r="XEB3" s="210"/>
      <c r="XEC3" s="210"/>
      <c r="XED3" s="210"/>
      <c r="XEE3" s="210"/>
      <c r="XEF3" s="210"/>
      <c r="XEG3" s="210"/>
      <c r="XEH3" s="210"/>
      <c r="XEI3" s="210"/>
      <c r="XEJ3" s="210"/>
      <c r="XEK3" s="210"/>
      <c r="XEL3" s="210"/>
      <c r="XEM3" s="210"/>
      <c r="XEN3" s="210"/>
      <c r="XEO3" s="210"/>
      <c r="XEP3" s="210"/>
      <c r="XEQ3" s="210"/>
      <c r="XER3" s="210"/>
      <c r="XES3" s="210"/>
      <c r="XET3" s="210"/>
      <c r="XEU3" s="210"/>
      <c r="XEV3" s="210"/>
      <c r="XEW3" s="210"/>
      <c r="XEX3" s="210"/>
      <c r="XEY3" s="210"/>
      <c r="XEZ3" s="210"/>
      <c r="XFA3" s="210"/>
      <c r="XFB3" s="210"/>
      <c r="XFC3" s="210"/>
      <c r="XFD3" s="210"/>
    </row>
    <row r="4" spans="1:44 16263:16384" s="209" customFormat="1" ht="21" customHeight="1" thickBot="1" x14ac:dyDescent="0.2">
      <c r="A4" s="473">
        <v>60006003</v>
      </c>
      <c r="B4" s="28">
        <v>0</v>
      </c>
      <c r="C4" s="28" t="s">
        <v>53</v>
      </c>
      <c r="D4" s="28">
        <v>50</v>
      </c>
      <c r="E4" s="28" t="s">
        <v>53</v>
      </c>
      <c r="F4" s="28" t="s">
        <v>53</v>
      </c>
      <c r="G4" s="28" t="s">
        <v>53</v>
      </c>
      <c r="H4" s="28" t="s">
        <v>53</v>
      </c>
      <c r="I4" s="28" t="s">
        <v>53</v>
      </c>
      <c r="J4" s="484">
        <f t="shared" si="1"/>
        <v>50</v>
      </c>
      <c r="K4" s="469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XAM4" s="210"/>
      <c r="XAN4" s="210"/>
      <c r="XAO4" s="210"/>
      <c r="XAP4" s="210"/>
      <c r="XAQ4" s="210"/>
      <c r="XAR4" s="210"/>
      <c r="XAS4" s="210"/>
      <c r="XAT4" s="210"/>
      <c r="XAU4" s="210"/>
      <c r="XAV4" s="210"/>
      <c r="XAW4" s="210"/>
      <c r="XAX4" s="210"/>
      <c r="XAY4" s="210"/>
      <c r="XAZ4" s="210"/>
      <c r="XBA4" s="210"/>
      <c r="XBB4" s="210"/>
      <c r="XBC4" s="210"/>
      <c r="XBD4" s="210"/>
      <c r="XBE4" s="210"/>
      <c r="XBF4" s="210"/>
      <c r="XBG4" s="210"/>
      <c r="XBH4" s="210"/>
      <c r="XBI4" s="210"/>
      <c r="XBJ4" s="210"/>
      <c r="XBK4" s="210"/>
      <c r="XBL4" s="210"/>
      <c r="XBM4" s="210"/>
      <c r="XBN4" s="210"/>
      <c r="XBO4" s="210"/>
      <c r="XBP4" s="210"/>
      <c r="XBQ4" s="210"/>
      <c r="XBR4" s="210"/>
      <c r="XBS4" s="210"/>
      <c r="XBT4" s="210"/>
      <c r="XBU4" s="210"/>
      <c r="XBV4" s="210"/>
      <c r="XBW4" s="210"/>
      <c r="XBX4" s="210"/>
      <c r="XBY4" s="210"/>
      <c r="XBZ4" s="210"/>
      <c r="XCA4" s="210"/>
      <c r="XCB4" s="210"/>
      <c r="XCC4" s="210"/>
      <c r="XCD4" s="210"/>
      <c r="XCE4" s="210"/>
      <c r="XCF4" s="210"/>
      <c r="XCG4" s="210"/>
      <c r="XCH4" s="210"/>
      <c r="XCI4" s="210"/>
      <c r="XCJ4" s="210"/>
      <c r="XCK4" s="210"/>
      <c r="XCL4" s="210"/>
      <c r="XCM4" s="210"/>
      <c r="XCN4" s="210"/>
      <c r="XCO4" s="210"/>
      <c r="XCP4" s="210"/>
      <c r="XCQ4" s="210"/>
      <c r="XCR4" s="210"/>
      <c r="XCS4" s="210"/>
      <c r="XCT4" s="210"/>
      <c r="XCU4" s="210"/>
      <c r="XCV4" s="210"/>
      <c r="XCW4" s="210"/>
      <c r="XCX4" s="210"/>
      <c r="XCY4" s="210"/>
      <c r="XCZ4" s="210"/>
      <c r="XDA4" s="210"/>
      <c r="XDB4" s="210"/>
      <c r="XDC4" s="210"/>
      <c r="XDD4" s="210"/>
      <c r="XDE4" s="210"/>
      <c r="XDF4" s="210"/>
      <c r="XDG4" s="210"/>
      <c r="XDH4" s="210"/>
      <c r="XDI4" s="210"/>
      <c r="XDJ4" s="210"/>
      <c r="XDK4" s="210"/>
      <c r="XDL4" s="210"/>
      <c r="XDM4" s="210"/>
      <c r="XDN4" s="210"/>
      <c r="XDO4" s="210"/>
      <c r="XDP4" s="210"/>
      <c r="XDQ4" s="210"/>
      <c r="XDR4" s="210"/>
      <c r="XDS4" s="210"/>
      <c r="XDT4" s="210"/>
      <c r="XDU4" s="210"/>
      <c r="XDV4" s="210"/>
      <c r="XDW4" s="210"/>
      <c r="XDX4" s="210"/>
      <c r="XDY4" s="210"/>
      <c r="XDZ4" s="210"/>
      <c r="XEA4" s="210"/>
      <c r="XEB4" s="210"/>
      <c r="XEC4" s="210"/>
      <c r="XED4" s="210"/>
      <c r="XEE4" s="210"/>
      <c r="XEF4" s="210"/>
      <c r="XEG4" s="210"/>
      <c r="XEH4" s="210"/>
      <c r="XEI4" s="210"/>
      <c r="XEJ4" s="210"/>
      <c r="XEK4" s="210"/>
      <c r="XEL4" s="210"/>
      <c r="XEM4" s="210"/>
      <c r="XEN4" s="210"/>
      <c r="XEO4" s="210"/>
      <c r="XEP4" s="210"/>
      <c r="XEQ4" s="210"/>
      <c r="XER4" s="210"/>
      <c r="XES4" s="210"/>
      <c r="XET4" s="210"/>
      <c r="XEU4" s="210"/>
      <c r="XEV4" s="210"/>
      <c r="XEW4" s="210"/>
      <c r="XEX4" s="210"/>
      <c r="XEY4" s="210"/>
      <c r="XEZ4" s="210"/>
      <c r="XFA4" s="210"/>
      <c r="XFB4" s="210"/>
      <c r="XFC4" s="210"/>
      <c r="XFD4" s="210"/>
    </row>
    <row r="5" spans="1:44 16263:16384" s="207" customFormat="1" ht="21" customHeight="1" x14ac:dyDescent="0.15">
      <c r="A5" s="473">
        <v>60006004</v>
      </c>
      <c r="B5" s="28">
        <v>1</v>
      </c>
      <c r="C5" s="28" t="s">
        <v>53</v>
      </c>
      <c r="D5" s="28">
        <v>100</v>
      </c>
      <c r="E5" s="28" t="s">
        <v>53</v>
      </c>
      <c r="F5" s="28" t="s">
        <v>53</v>
      </c>
      <c r="G5" s="28">
        <v>1</v>
      </c>
      <c r="H5" s="28" t="s">
        <v>53</v>
      </c>
      <c r="I5" s="28" t="s">
        <v>53</v>
      </c>
      <c r="J5" s="484">
        <f t="shared" ref="J5:J9" si="2">D5</f>
        <v>100</v>
      </c>
      <c r="K5" s="467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  <c r="AK5" s="210"/>
      <c r="AL5" s="210"/>
      <c r="AM5" s="210"/>
      <c r="AN5" s="210"/>
      <c r="AO5" s="210"/>
      <c r="AP5" s="210"/>
      <c r="AQ5" s="210"/>
      <c r="AR5" s="210"/>
      <c r="XAM5" s="210"/>
      <c r="XAN5" s="210"/>
      <c r="XAO5" s="210"/>
      <c r="XAP5" s="210"/>
      <c r="XAQ5" s="210"/>
      <c r="XAR5" s="210"/>
      <c r="XAS5" s="210"/>
      <c r="XAT5" s="210"/>
      <c r="XAU5" s="210"/>
      <c r="XAV5" s="210"/>
      <c r="XAW5" s="210"/>
      <c r="XAX5" s="210"/>
      <c r="XAY5" s="210"/>
      <c r="XAZ5" s="210"/>
      <c r="XBA5" s="210"/>
      <c r="XBB5" s="210"/>
      <c r="XBC5" s="210"/>
      <c r="XBD5" s="210"/>
      <c r="XBE5" s="210"/>
      <c r="XBF5" s="210"/>
      <c r="XBG5" s="210"/>
      <c r="XBH5" s="210"/>
      <c r="XBI5" s="210"/>
      <c r="XBJ5" s="210"/>
      <c r="XBK5" s="210"/>
      <c r="XBL5" s="210"/>
      <c r="XBM5" s="210"/>
      <c r="XBN5" s="210"/>
      <c r="XBO5" s="210"/>
      <c r="XBP5" s="210"/>
      <c r="XBQ5" s="210"/>
      <c r="XBR5" s="210"/>
      <c r="XBS5" s="210"/>
      <c r="XBT5" s="210"/>
      <c r="XBU5" s="210"/>
      <c r="XBV5" s="210"/>
      <c r="XBW5" s="210"/>
      <c r="XBX5" s="210"/>
      <c r="XBY5" s="210"/>
      <c r="XBZ5" s="210"/>
      <c r="XCA5" s="210"/>
      <c r="XCB5" s="210"/>
      <c r="XCC5" s="210"/>
      <c r="XCD5" s="210"/>
      <c r="XCE5" s="210"/>
      <c r="XCF5" s="210"/>
      <c r="XCG5" s="210"/>
      <c r="XCH5" s="210"/>
      <c r="XCI5" s="210"/>
      <c r="XCJ5" s="210"/>
      <c r="XCK5" s="210"/>
      <c r="XCL5" s="210"/>
      <c r="XCM5" s="210"/>
      <c r="XCN5" s="210"/>
      <c r="XCO5" s="210"/>
      <c r="XCP5" s="210"/>
      <c r="XCQ5" s="210"/>
      <c r="XCR5" s="210"/>
      <c r="XCS5" s="210"/>
      <c r="XCT5" s="210"/>
      <c r="XCU5" s="210"/>
      <c r="XCV5" s="210"/>
      <c r="XCW5" s="210"/>
      <c r="XCX5" s="210"/>
      <c r="XCY5" s="210"/>
      <c r="XCZ5" s="210"/>
      <c r="XDA5" s="210"/>
      <c r="XDB5" s="210"/>
      <c r="XDC5" s="210"/>
      <c r="XDD5" s="210"/>
      <c r="XDE5" s="210"/>
      <c r="XDF5" s="210"/>
      <c r="XDG5" s="210"/>
      <c r="XDH5" s="210"/>
      <c r="XDI5" s="210"/>
      <c r="XDJ5" s="210"/>
      <c r="XDK5" s="210"/>
      <c r="XDL5" s="210"/>
      <c r="XDM5" s="210"/>
      <c r="XDN5" s="210"/>
      <c r="XDO5" s="210"/>
      <c r="XDP5" s="210"/>
      <c r="XDQ5" s="210"/>
      <c r="XDR5" s="210"/>
      <c r="XDS5" s="210"/>
      <c r="XDT5" s="210"/>
      <c r="XDU5" s="210"/>
      <c r="XDV5" s="210"/>
      <c r="XDW5" s="210"/>
      <c r="XDX5" s="210"/>
      <c r="XDY5" s="210"/>
      <c r="XDZ5" s="210"/>
      <c r="XEA5" s="210"/>
      <c r="XEB5" s="210"/>
      <c r="XEC5" s="210"/>
      <c r="XED5" s="210"/>
      <c r="XEE5" s="210"/>
      <c r="XEF5" s="210"/>
      <c r="XEG5" s="210"/>
      <c r="XEH5" s="210"/>
      <c r="XEI5" s="210"/>
      <c r="XEJ5" s="210"/>
      <c r="XEK5" s="210"/>
      <c r="XEL5" s="210"/>
      <c r="XEM5" s="210"/>
      <c r="XEN5" s="210"/>
      <c r="XEO5" s="210"/>
      <c r="XEP5" s="210"/>
      <c r="XEQ5" s="210"/>
      <c r="XER5" s="210"/>
      <c r="XES5" s="210"/>
      <c r="XET5" s="210"/>
      <c r="XEU5" s="210"/>
      <c r="XEV5" s="210"/>
      <c r="XEW5" s="210"/>
      <c r="XEX5" s="210"/>
      <c r="XEY5" s="210"/>
      <c r="XEZ5" s="210"/>
      <c r="XFA5" s="210"/>
      <c r="XFB5" s="210"/>
      <c r="XFC5" s="210"/>
      <c r="XFD5" s="210"/>
    </row>
    <row r="6" spans="1:44 16263:16384" s="210" customFormat="1" ht="21" customHeight="1" x14ac:dyDescent="0.15">
      <c r="A6" s="473">
        <v>60006005</v>
      </c>
      <c r="B6" s="28">
        <v>0</v>
      </c>
      <c r="C6" s="28" t="s">
        <v>53</v>
      </c>
      <c r="D6" s="28">
        <v>60</v>
      </c>
      <c r="E6" s="28">
        <v>75</v>
      </c>
      <c r="F6" s="28" t="s">
        <v>53</v>
      </c>
      <c r="G6" s="28" t="s">
        <v>53</v>
      </c>
      <c r="H6" s="28" t="s">
        <v>53</v>
      </c>
      <c r="I6" s="28" t="s">
        <v>53</v>
      </c>
      <c r="J6" s="484">
        <f t="shared" ref="J6" si="3">D6</f>
        <v>60</v>
      </c>
      <c r="K6" s="470"/>
    </row>
    <row r="7" spans="1:44 16263:16384" s="210" customFormat="1" ht="21" customHeight="1" x14ac:dyDescent="0.15">
      <c r="A7" s="473">
        <v>60006006</v>
      </c>
      <c r="B7" s="28">
        <v>0</v>
      </c>
      <c r="C7" s="28">
        <v>100</v>
      </c>
      <c r="D7" s="28">
        <v>100</v>
      </c>
      <c r="E7" s="28">
        <v>50</v>
      </c>
      <c r="F7" s="28" t="s">
        <v>53</v>
      </c>
      <c r="G7" s="28">
        <v>1</v>
      </c>
      <c r="H7" s="28" t="s">
        <v>53</v>
      </c>
      <c r="I7" s="28" t="s">
        <v>53</v>
      </c>
      <c r="J7" s="484">
        <f t="shared" si="2"/>
        <v>100</v>
      </c>
      <c r="K7" s="470"/>
    </row>
    <row r="8" spans="1:44 16263:16384" s="208" customFormat="1" ht="21" customHeight="1" thickBot="1" x14ac:dyDescent="0.2">
      <c r="A8" s="473">
        <v>60006007</v>
      </c>
      <c r="B8" s="28">
        <v>0</v>
      </c>
      <c r="C8" s="28">
        <v>90</v>
      </c>
      <c r="D8" s="28">
        <v>100</v>
      </c>
      <c r="E8" s="28">
        <v>50</v>
      </c>
      <c r="F8" s="28" t="s">
        <v>53</v>
      </c>
      <c r="G8" s="28">
        <v>1</v>
      </c>
      <c r="H8" s="28" t="s">
        <v>53</v>
      </c>
      <c r="I8" s="28" t="s">
        <v>53</v>
      </c>
      <c r="J8" s="484">
        <f t="shared" si="2"/>
        <v>100</v>
      </c>
      <c r="K8" s="468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D8" s="210"/>
      <c r="AE8" s="210"/>
      <c r="AF8" s="210"/>
      <c r="AG8" s="210"/>
      <c r="AH8" s="210"/>
      <c r="AI8" s="210"/>
      <c r="AJ8" s="210"/>
      <c r="AK8" s="210"/>
      <c r="AL8" s="210"/>
      <c r="AM8" s="210"/>
      <c r="AN8" s="210"/>
      <c r="AO8" s="210"/>
      <c r="AP8" s="210"/>
      <c r="AQ8" s="210"/>
      <c r="AR8" s="210"/>
      <c r="XAM8" s="210"/>
      <c r="XAN8" s="210"/>
      <c r="XAO8" s="210"/>
      <c r="XAP8" s="210"/>
      <c r="XAQ8" s="210"/>
      <c r="XAR8" s="210"/>
      <c r="XAS8" s="210"/>
      <c r="XAT8" s="210"/>
      <c r="XAU8" s="210"/>
      <c r="XAV8" s="210"/>
      <c r="XAW8" s="210"/>
      <c r="XAX8" s="210"/>
      <c r="XAY8" s="210"/>
      <c r="XAZ8" s="210"/>
      <c r="XBA8" s="210"/>
      <c r="XBB8" s="210"/>
      <c r="XBC8" s="210"/>
      <c r="XBD8" s="210"/>
      <c r="XBE8" s="210"/>
      <c r="XBF8" s="210"/>
      <c r="XBG8" s="210"/>
      <c r="XBH8" s="210"/>
      <c r="XBI8" s="210"/>
      <c r="XBJ8" s="210"/>
      <c r="XBK8" s="210"/>
      <c r="XBL8" s="210"/>
      <c r="XBM8" s="210"/>
      <c r="XBN8" s="210"/>
      <c r="XBO8" s="210"/>
      <c r="XBP8" s="210"/>
      <c r="XBQ8" s="210"/>
      <c r="XBR8" s="210"/>
      <c r="XBS8" s="210"/>
      <c r="XBT8" s="210"/>
      <c r="XBU8" s="210"/>
      <c r="XBV8" s="210"/>
      <c r="XBW8" s="210"/>
      <c r="XBX8" s="210"/>
      <c r="XBY8" s="210"/>
      <c r="XBZ8" s="210"/>
      <c r="XCA8" s="210"/>
      <c r="XCB8" s="210"/>
      <c r="XCC8" s="210"/>
      <c r="XCD8" s="210"/>
      <c r="XCE8" s="210"/>
      <c r="XCF8" s="210"/>
      <c r="XCG8" s="210"/>
      <c r="XCH8" s="210"/>
      <c r="XCI8" s="210"/>
      <c r="XCJ8" s="210"/>
      <c r="XCK8" s="210"/>
      <c r="XCL8" s="210"/>
      <c r="XCM8" s="210"/>
      <c r="XCN8" s="210"/>
      <c r="XCO8" s="210"/>
      <c r="XCP8" s="210"/>
      <c r="XCQ8" s="210"/>
      <c r="XCR8" s="210"/>
      <c r="XCS8" s="210"/>
      <c r="XCT8" s="210"/>
      <c r="XCU8" s="210"/>
      <c r="XCV8" s="210"/>
      <c r="XCW8" s="210"/>
      <c r="XCX8" s="210"/>
      <c r="XCY8" s="210"/>
      <c r="XCZ8" s="210"/>
      <c r="XDA8" s="210"/>
      <c r="XDB8" s="210"/>
      <c r="XDC8" s="210"/>
      <c r="XDD8" s="210"/>
      <c r="XDE8" s="210"/>
      <c r="XDF8" s="210"/>
      <c r="XDG8" s="210"/>
      <c r="XDH8" s="210"/>
      <c r="XDI8" s="210"/>
      <c r="XDJ8" s="210"/>
      <c r="XDK8" s="210"/>
      <c r="XDL8" s="210"/>
      <c r="XDM8" s="210"/>
      <c r="XDN8" s="210"/>
      <c r="XDO8" s="210"/>
      <c r="XDP8" s="210"/>
      <c r="XDQ8" s="210"/>
      <c r="XDR8" s="210"/>
      <c r="XDS8" s="210"/>
      <c r="XDT8" s="210"/>
      <c r="XDU8" s="210"/>
      <c r="XDV8" s="210"/>
      <c r="XDW8" s="210"/>
      <c r="XDX8" s="210"/>
      <c r="XDY8" s="210"/>
      <c r="XDZ8" s="210"/>
      <c r="XEA8" s="210"/>
      <c r="XEB8" s="210"/>
      <c r="XEC8" s="210"/>
      <c r="XED8" s="210"/>
      <c r="XEE8" s="210"/>
      <c r="XEF8" s="210"/>
      <c r="XEG8" s="210"/>
      <c r="XEH8" s="210"/>
      <c r="XEI8" s="210"/>
      <c r="XEJ8" s="210"/>
      <c r="XEK8" s="210"/>
      <c r="XEL8" s="210"/>
      <c r="XEM8" s="210"/>
      <c r="XEN8" s="210"/>
      <c r="XEO8" s="210"/>
      <c r="XEP8" s="210"/>
      <c r="XEQ8" s="210"/>
      <c r="XER8" s="210"/>
      <c r="XES8" s="210"/>
      <c r="XET8" s="210"/>
      <c r="XEU8" s="210"/>
      <c r="XEV8" s="210"/>
      <c r="XEW8" s="210"/>
      <c r="XEX8" s="210"/>
      <c r="XEY8" s="210"/>
      <c r="XEZ8" s="210"/>
      <c r="XFA8" s="210"/>
      <c r="XFB8" s="210"/>
      <c r="XFC8" s="210"/>
      <c r="XFD8" s="210"/>
    </row>
    <row r="9" spans="1:44 16263:16384" s="207" customFormat="1" ht="21" customHeight="1" x14ac:dyDescent="0.15">
      <c r="A9" s="473">
        <v>60006008</v>
      </c>
      <c r="B9" s="28">
        <v>0</v>
      </c>
      <c r="C9" s="28" t="s">
        <v>53</v>
      </c>
      <c r="D9" s="28">
        <v>50</v>
      </c>
      <c r="E9" s="28" t="s">
        <v>53</v>
      </c>
      <c r="F9" s="28" t="s">
        <v>53</v>
      </c>
      <c r="G9" s="28">
        <v>1</v>
      </c>
      <c r="H9" s="28" t="s">
        <v>53</v>
      </c>
      <c r="I9" s="28" t="s">
        <v>53</v>
      </c>
      <c r="J9" s="484">
        <f t="shared" si="2"/>
        <v>50</v>
      </c>
      <c r="K9" s="467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D9" s="210"/>
      <c r="AE9" s="210"/>
      <c r="AF9" s="210"/>
      <c r="AG9" s="210"/>
      <c r="AH9" s="210"/>
      <c r="AI9" s="210"/>
      <c r="AJ9" s="210"/>
      <c r="AK9" s="210"/>
      <c r="AL9" s="210"/>
      <c r="AM9" s="210"/>
      <c r="AN9" s="210"/>
      <c r="AO9" s="210"/>
      <c r="AP9" s="210"/>
      <c r="AQ9" s="210"/>
      <c r="AR9" s="210"/>
      <c r="XAM9" s="210"/>
      <c r="XAN9" s="210"/>
      <c r="XAO9" s="210"/>
      <c r="XAP9" s="210"/>
      <c r="XAQ9" s="210"/>
      <c r="XAR9" s="210"/>
      <c r="XAS9" s="210"/>
      <c r="XAT9" s="210"/>
      <c r="XAU9" s="210"/>
      <c r="XAV9" s="210"/>
      <c r="XAW9" s="210"/>
      <c r="XAX9" s="210"/>
      <c r="XAY9" s="210"/>
      <c r="XAZ9" s="210"/>
      <c r="XBA9" s="210"/>
      <c r="XBB9" s="210"/>
      <c r="XBC9" s="210"/>
      <c r="XBD9" s="210"/>
      <c r="XBE9" s="210"/>
      <c r="XBF9" s="210"/>
      <c r="XBG9" s="210"/>
      <c r="XBH9" s="210"/>
      <c r="XBI9" s="210"/>
      <c r="XBJ9" s="210"/>
      <c r="XBK9" s="210"/>
      <c r="XBL9" s="210"/>
      <c r="XBM9" s="210"/>
      <c r="XBN9" s="210"/>
      <c r="XBO9" s="210"/>
      <c r="XBP9" s="210"/>
      <c r="XBQ9" s="210"/>
      <c r="XBR9" s="210"/>
      <c r="XBS9" s="210"/>
      <c r="XBT9" s="210"/>
      <c r="XBU9" s="210"/>
      <c r="XBV9" s="210"/>
      <c r="XBW9" s="210"/>
      <c r="XBX9" s="210"/>
      <c r="XBY9" s="210"/>
      <c r="XBZ9" s="210"/>
      <c r="XCA9" s="210"/>
      <c r="XCB9" s="210"/>
      <c r="XCC9" s="210"/>
      <c r="XCD9" s="210"/>
      <c r="XCE9" s="210"/>
      <c r="XCF9" s="210"/>
      <c r="XCG9" s="210"/>
      <c r="XCH9" s="210"/>
      <c r="XCI9" s="210"/>
      <c r="XCJ9" s="210"/>
      <c r="XCK9" s="210"/>
      <c r="XCL9" s="210"/>
      <c r="XCM9" s="210"/>
      <c r="XCN9" s="210"/>
      <c r="XCO9" s="210"/>
      <c r="XCP9" s="210"/>
      <c r="XCQ9" s="210"/>
      <c r="XCR9" s="210"/>
      <c r="XCS9" s="210"/>
      <c r="XCT9" s="210"/>
      <c r="XCU9" s="210"/>
      <c r="XCV9" s="210"/>
      <c r="XCW9" s="210"/>
      <c r="XCX9" s="210"/>
      <c r="XCY9" s="210"/>
      <c r="XCZ9" s="210"/>
      <c r="XDA9" s="210"/>
      <c r="XDB9" s="210"/>
      <c r="XDC9" s="210"/>
      <c r="XDD9" s="210"/>
      <c r="XDE9" s="210"/>
      <c r="XDF9" s="210"/>
      <c r="XDG9" s="210"/>
      <c r="XDH9" s="210"/>
      <c r="XDI9" s="210"/>
      <c r="XDJ9" s="210"/>
      <c r="XDK9" s="210"/>
      <c r="XDL9" s="210"/>
      <c r="XDM9" s="210"/>
      <c r="XDN9" s="210"/>
      <c r="XDO9" s="210"/>
      <c r="XDP9" s="210"/>
      <c r="XDQ9" s="210"/>
      <c r="XDR9" s="210"/>
      <c r="XDS9" s="210"/>
      <c r="XDT9" s="210"/>
      <c r="XDU9" s="210"/>
      <c r="XDV9" s="210"/>
      <c r="XDW9" s="210"/>
      <c r="XDX9" s="210"/>
      <c r="XDY9" s="210"/>
      <c r="XDZ9" s="210"/>
      <c r="XEA9" s="210"/>
      <c r="XEB9" s="210"/>
      <c r="XEC9" s="210"/>
      <c r="XED9" s="210"/>
      <c r="XEE9" s="210"/>
      <c r="XEF9" s="210"/>
      <c r="XEG9" s="210"/>
      <c r="XEH9" s="210"/>
      <c r="XEI9" s="210"/>
      <c r="XEJ9" s="210"/>
      <c r="XEK9" s="210"/>
      <c r="XEL9" s="210"/>
      <c r="XEM9" s="210"/>
      <c r="XEN9" s="210"/>
      <c r="XEO9" s="210"/>
      <c r="XEP9" s="210"/>
      <c r="XEQ9" s="210"/>
      <c r="XER9" s="210"/>
      <c r="XES9" s="210"/>
      <c r="XET9" s="210"/>
      <c r="XEU9" s="210"/>
      <c r="XEV9" s="210"/>
      <c r="XEW9" s="210"/>
      <c r="XEX9" s="210"/>
      <c r="XEY9" s="210"/>
      <c r="XEZ9" s="210"/>
      <c r="XFA9" s="210"/>
      <c r="XFB9" s="210"/>
      <c r="XFC9" s="210"/>
      <c r="XFD9" s="210"/>
    </row>
    <row r="10" spans="1:44 16263:16384" s="210" customFormat="1" ht="21" customHeight="1" x14ac:dyDescent="0.15">
      <c r="A10" s="473">
        <v>60006009</v>
      </c>
      <c r="B10" s="28">
        <v>0</v>
      </c>
      <c r="C10" s="28" t="s">
        <v>53</v>
      </c>
      <c r="D10" s="28">
        <v>100</v>
      </c>
      <c r="E10" s="28">
        <v>80</v>
      </c>
      <c r="F10" s="28" t="s">
        <v>53</v>
      </c>
      <c r="G10" s="28">
        <v>1</v>
      </c>
      <c r="H10" s="28" t="s">
        <v>53</v>
      </c>
      <c r="I10" s="28" t="s">
        <v>53</v>
      </c>
      <c r="J10" s="484">
        <f t="shared" ref="J10:J17" si="4">D10</f>
        <v>100</v>
      </c>
      <c r="K10" s="470"/>
    </row>
    <row r="11" spans="1:44 16263:16384" s="208" customFormat="1" ht="21" customHeight="1" thickBot="1" x14ac:dyDescent="0.2">
      <c r="A11" s="473">
        <v>60006010</v>
      </c>
      <c r="B11" s="28">
        <v>0</v>
      </c>
      <c r="C11" s="28" t="s">
        <v>53</v>
      </c>
      <c r="D11" s="28">
        <v>100</v>
      </c>
      <c r="E11" s="28">
        <v>50</v>
      </c>
      <c r="F11" s="28" t="s">
        <v>53</v>
      </c>
      <c r="G11" s="28">
        <v>1</v>
      </c>
      <c r="H11" s="28" t="s">
        <v>53</v>
      </c>
      <c r="I11" s="28" t="s">
        <v>53</v>
      </c>
      <c r="J11" s="484">
        <f t="shared" si="4"/>
        <v>100</v>
      </c>
      <c r="K11" s="468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210"/>
      <c r="W11" s="210"/>
      <c r="X11" s="210"/>
      <c r="Y11" s="210"/>
      <c r="Z11" s="210"/>
      <c r="AA11" s="210"/>
      <c r="AB11" s="210"/>
      <c r="AC11" s="210"/>
      <c r="AD11" s="210"/>
      <c r="AE11" s="210"/>
      <c r="AF11" s="210"/>
      <c r="AG11" s="210"/>
      <c r="AH11" s="210"/>
      <c r="AI11" s="210"/>
      <c r="AJ11" s="210"/>
      <c r="AK11" s="210"/>
      <c r="AL11" s="210"/>
      <c r="AM11" s="210"/>
      <c r="AN11" s="210"/>
      <c r="AO11" s="210"/>
      <c r="AP11" s="210"/>
      <c r="AQ11" s="210"/>
      <c r="AR11" s="210"/>
      <c r="XAM11" s="210"/>
      <c r="XAN11" s="210"/>
      <c r="XAO11" s="210"/>
      <c r="XAP11" s="210"/>
      <c r="XAQ11" s="210"/>
      <c r="XAR11" s="210"/>
      <c r="XAS11" s="210"/>
      <c r="XAT11" s="210"/>
      <c r="XAU11" s="210"/>
      <c r="XAV11" s="210"/>
      <c r="XAW11" s="210"/>
      <c r="XAX11" s="210"/>
      <c r="XAY11" s="210"/>
      <c r="XAZ11" s="210"/>
      <c r="XBA11" s="210"/>
      <c r="XBB11" s="210"/>
      <c r="XBC11" s="210"/>
      <c r="XBD11" s="210"/>
      <c r="XBE11" s="210"/>
      <c r="XBF11" s="210"/>
      <c r="XBG11" s="210"/>
      <c r="XBH11" s="210"/>
      <c r="XBI11" s="210"/>
      <c r="XBJ11" s="210"/>
      <c r="XBK11" s="210"/>
      <c r="XBL11" s="210"/>
      <c r="XBM11" s="210"/>
      <c r="XBN11" s="210"/>
      <c r="XBO11" s="210"/>
      <c r="XBP11" s="210"/>
      <c r="XBQ11" s="210"/>
      <c r="XBR11" s="210"/>
      <c r="XBS11" s="210"/>
      <c r="XBT11" s="210"/>
      <c r="XBU11" s="210"/>
      <c r="XBV11" s="210"/>
      <c r="XBW11" s="210"/>
      <c r="XBX11" s="210"/>
      <c r="XBY11" s="210"/>
      <c r="XBZ11" s="210"/>
      <c r="XCA11" s="210"/>
      <c r="XCB11" s="210"/>
      <c r="XCC11" s="210"/>
      <c r="XCD11" s="210"/>
      <c r="XCE11" s="210"/>
      <c r="XCF11" s="210"/>
      <c r="XCG11" s="210"/>
      <c r="XCH11" s="210"/>
      <c r="XCI11" s="210"/>
      <c r="XCJ11" s="210"/>
      <c r="XCK11" s="210"/>
      <c r="XCL11" s="210"/>
      <c r="XCM11" s="210"/>
      <c r="XCN11" s="210"/>
      <c r="XCO11" s="210"/>
      <c r="XCP11" s="210"/>
      <c r="XCQ11" s="210"/>
      <c r="XCR11" s="210"/>
      <c r="XCS11" s="210"/>
      <c r="XCT11" s="210"/>
      <c r="XCU11" s="210"/>
      <c r="XCV11" s="210"/>
      <c r="XCW11" s="210"/>
      <c r="XCX11" s="210"/>
      <c r="XCY11" s="210"/>
      <c r="XCZ11" s="210"/>
      <c r="XDA11" s="210"/>
      <c r="XDB11" s="210"/>
      <c r="XDC11" s="210"/>
      <c r="XDD11" s="210"/>
      <c r="XDE11" s="210"/>
      <c r="XDF11" s="210"/>
      <c r="XDG11" s="210"/>
      <c r="XDH11" s="210"/>
      <c r="XDI11" s="210"/>
      <c r="XDJ11" s="210"/>
      <c r="XDK11" s="210"/>
      <c r="XDL11" s="210"/>
      <c r="XDM11" s="210"/>
      <c r="XDN11" s="210"/>
      <c r="XDO11" s="210"/>
      <c r="XDP11" s="210"/>
      <c r="XDQ11" s="210"/>
      <c r="XDR11" s="210"/>
      <c r="XDS11" s="210"/>
      <c r="XDT11" s="210"/>
      <c r="XDU11" s="210"/>
      <c r="XDV11" s="210"/>
      <c r="XDW11" s="210"/>
      <c r="XDX11" s="210"/>
      <c r="XDY11" s="210"/>
      <c r="XDZ11" s="210"/>
      <c r="XEA11" s="210"/>
      <c r="XEB11" s="210"/>
      <c r="XEC11" s="210"/>
      <c r="XED11" s="210"/>
      <c r="XEE11" s="210"/>
      <c r="XEF11" s="210"/>
      <c r="XEG11" s="210"/>
      <c r="XEH11" s="210"/>
      <c r="XEI11" s="210"/>
      <c r="XEJ11" s="210"/>
      <c r="XEK11" s="210"/>
      <c r="XEL11" s="210"/>
      <c r="XEM11" s="210"/>
      <c r="XEN11" s="210"/>
      <c r="XEO11" s="210"/>
      <c r="XEP11" s="210"/>
      <c r="XEQ11" s="210"/>
      <c r="XER11" s="210"/>
      <c r="XES11" s="210"/>
      <c r="XET11" s="210"/>
      <c r="XEU11" s="210"/>
      <c r="XEV11" s="210"/>
      <c r="XEW11" s="210"/>
      <c r="XEX11" s="210"/>
      <c r="XEY11" s="210"/>
      <c r="XEZ11" s="210"/>
      <c r="XFA11" s="210"/>
      <c r="XFB11" s="210"/>
      <c r="XFC11" s="210"/>
      <c r="XFD11" s="210"/>
    </row>
    <row r="12" spans="1:44 16263:16384" s="207" customFormat="1" ht="21" customHeight="1" x14ac:dyDescent="0.15">
      <c r="A12" s="473">
        <v>60006011</v>
      </c>
      <c r="B12" s="28">
        <v>0</v>
      </c>
      <c r="C12" s="28" t="s">
        <v>53</v>
      </c>
      <c r="D12" s="28">
        <v>50</v>
      </c>
      <c r="E12" s="28" t="s">
        <v>53</v>
      </c>
      <c r="F12" s="28" t="s">
        <v>53</v>
      </c>
      <c r="G12" s="28">
        <v>1</v>
      </c>
      <c r="H12" s="28" t="s">
        <v>53</v>
      </c>
      <c r="I12" s="28" t="s">
        <v>53</v>
      </c>
      <c r="J12" s="484">
        <f t="shared" si="4"/>
        <v>50</v>
      </c>
      <c r="K12" s="467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XAM12" s="210"/>
      <c r="XAN12" s="210"/>
      <c r="XAO12" s="210"/>
      <c r="XAP12" s="210"/>
      <c r="XAQ12" s="210"/>
      <c r="XAR12" s="210"/>
      <c r="XAS12" s="210"/>
      <c r="XAT12" s="210"/>
      <c r="XAU12" s="210"/>
      <c r="XAV12" s="210"/>
      <c r="XAW12" s="210"/>
      <c r="XAX12" s="210"/>
      <c r="XAY12" s="210"/>
      <c r="XAZ12" s="210"/>
      <c r="XBA12" s="210"/>
      <c r="XBB12" s="210"/>
      <c r="XBC12" s="210"/>
      <c r="XBD12" s="210"/>
      <c r="XBE12" s="210"/>
      <c r="XBF12" s="210"/>
      <c r="XBG12" s="210"/>
      <c r="XBH12" s="210"/>
      <c r="XBI12" s="210"/>
      <c r="XBJ12" s="210"/>
      <c r="XBK12" s="210"/>
      <c r="XBL12" s="210"/>
      <c r="XBM12" s="210"/>
      <c r="XBN12" s="210"/>
      <c r="XBO12" s="210"/>
      <c r="XBP12" s="210"/>
      <c r="XBQ12" s="210"/>
      <c r="XBR12" s="210"/>
      <c r="XBS12" s="210"/>
      <c r="XBT12" s="210"/>
      <c r="XBU12" s="210"/>
      <c r="XBV12" s="210"/>
      <c r="XBW12" s="210"/>
      <c r="XBX12" s="210"/>
      <c r="XBY12" s="210"/>
      <c r="XBZ12" s="210"/>
      <c r="XCA12" s="210"/>
      <c r="XCB12" s="210"/>
      <c r="XCC12" s="210"/>
      <c r="XCD12" s="210"/>
      <c r="XCE12" s="210"/>
      <c r="XCF12" s="210"/>
      <c r="XCG12" s="210"/>
      <c r="XCH12" s="210"/>
      <c r="XCI12" s="210"/>
      <c r="XCJ12" s="210"/>
      <c r="XCK12" s="210"/>
      <c r="XCL12" s="210"/>
      <c r="XCM12" s="210"/>
      <c r="XCN12" s="210"/>
      <c r="XCO12" s="210"/>
      <c r="XCP12" s="210"/>
      <c r="XCQ12" s="210"/>
      <c r="XCR12" s="210"/>
      <c r="XCS12" s="210"/>
      <c r="XCT12" s="210"/>
      <c r="XCU12" s="210"/>
      <c r="XCV12" s="210"/>
      <c r="XCW12" s="210"/>
      <c r="XCX12" s="210"/>
      <c r="XCY12" s="210"/>
      <c r="XCZ12" s="210"/>
      <c r="XDA12" s="210"/>
      <c r="XDB12" s="210"/>
      <c r="XDC12" s="210"/>
      <c r="XDD12" s="210"/>
      <c r="XDE12" s="210"/>
      <c r="XDF12" s="210"/>
      <c r="XDG12" s="210"/>
      <c r="XDH12" s="210"/>
      <c r="XDI12" s="210"/>
      <c r="XDJ12" s="210"/>
      <c r="XDK12" s="210"/>
      <c r="XDL12" s="210"/>
      <c r="XDM12" s="210"/>
      <c r="XDN12" s="210"/>
      <c r="XDO12" s="210"/>
      <c r="XDP12" s="210"/>
      <c r="XDQ12" s="210"/>
      <c r="XDR12" s="210"/>
      <c r="XDS12" s="210"/>
      <c r="XDT12" s="210"/>
      <c r="XDU12" s="210"/>
      <c r="XDV12" s="210"/>
      <c r="XDW12" s="210"/>
      <c r="XDX12" s="210"/>
      <c r="XDY12" s="210"/>
      <c r="XDZ12" s="210"/>
      <c r="XEA12" s="210"/>
      <c r="XEB12" s="210"/>
      <c r="XEC12" s="210"/>
      <c r="XED12" s="210"/>
      <c r="XEE12" s="210"/>
      <c r="XEF12" s="210"/>
      <c r="XEG12" s="210"/>
      <c r="XEH12" s="210"/>
      <c r="XEI12" s="210"/>
      <c r="XEJ12" s="210"/>
      <c r="XEK12" s="210"/>
      <c r="XEL12" s="210"/>
      <c r="XEM12" s="210"/>
      <c r="XEN12" s="210"/>
      <c r="XEO12" s="210"/>
      <c r="XEP12" s="210"/>
      <c r="XEQ12" s="210"/>
      <c r="XER12" s="210"/>
      <c r="XES12" s="210"/>
      <c r="XET12" s="210"/>
      <c r="XEU12" s="210"/>
      <c r="XEV12" s="210"/>
      <c r="XEW12" s="210"/>
      <c r="XEX12" s="210"/>
      <c r="XEY12" s="210"/>
      <c r="XEZ12" s="210"/>
      <c r="XFA12" s="210"/>
      <c r="XFB12" s="210"/>
      <c r="XFC12" s="210"/>
      <c r="XFD12" s="210"/>
    </row>
    <row r="13" spans="1:44 16263:16384" s="210" customFormat="1" ht="21" customHeight="1" x14ac:dyDescent="0.15">
      <c r="A13" s="473">
        <v>60006012</v>
      </c>
      <c r="B13" s="28">
        <v>0</v>
      </c>
      <c r="C13" s="28">
        <v>100</v>
      </c>
      <c r="D13" s="28">
        <v>100</v>
      </c>
      <c r="E13" s="28" t="s">
        <v>53</v>
      </c>
      <c r="F13" s="28" t="s">
        <v>53</v>
      </c>
      <c r="G13" s="28">
        <v>1</v>
      </c>
      <c r="H13" s="28" t="s">
        <v>53</v>
      </c>
      <c r="I13" s="28" t="s">
        <v>53</v>
      </c>
      <c r="J13" s="484">
        <f t="shared" si="4"/>
        <v>100</v>
      </c>
      <c r="K13" s="470"/>
    </row>
    <row r="14" spans="1:44 16263:16384" s="210" customFormat="1" ht="21" customHeight="1" x14ac:dyDescent="0.15">
      <c r="A14" s="473">
        <v>60006013</v>
      </c>
      <c r="B14" s="28">
        <v>0</v>
      </c>
      <c r="C14" s="28">
        <v>90</v>
      </c>
      <c r="D14" s="28">
        <v>100</v>
      </c>
      <c r="E14" s="28" t="s">
        <v>53</v>
      </c>
      <c r="F14" s="28" t="s">
        <v>53</v>
      </c>
      <c r="G14" s="28">
        <v>1</v>
      </c>
      <c r="H14" s="28" t="s">
        <v>53</v>
      </c>
      <c r="I14" s="28" t="s">
        <v>53</v>
      </c>
      <c r="J14" s="484">
        <f t="shared" si="4"/>
        <v>100</v>
      </c>
      <c r="K14" s="470"/>
    </row>
    <row r="15" spans="1:44 16263:16384" s="208" customFormat="1" ht="21" customHeight="1" thickBot="1" x14ac:dyDescent="0.2">
      <c r="A15" s="473">
        <v>60006014</v>
      </c>
      <c r="B15" s="28">
        <v>0</v>
      </c>
      <c r="C15" s="28" t="s">
        <v>53</v>
      </c>
      <c r="D15" s="28">
        <v>100</v>
      </c>
      <c r="E15" s="28">
        <v>50</v>
      </c>
      <c r="F15" s="28" t="s">
        <v>53</v>
      </c>
      <c r="G15" s="28">
        <v>1</v>
      </c>
      <c r="H15" s="28" t="s">
        <v>53</v>
      </c>
      <c r="I15" s="28" t="s">
        <v>53</v>
      </c>
      <c r="J15" s="484">
        <f t="shared" si="4"/>
        <v>100</v>
      </c>
      <c r="K15" s="468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210"/>
      <c r="AA15" s="210"/>
      <c r="AB15" s="210"/>
      <c r="AC15" s="210"/>
      <c r="AD15" s="210"/>
      <c r="AE15" s="210"/>
      <c r="AF15" s="210"/>
      <c r="AG15" s="210"/>
      <c r="AH15" s="210"/>
      <c r="AI15" s="210"/>
      <c r="AJ15" s="210"/>
      <c r="AK15" s="210"/>
      <c r="AL15" s="210"/>
      <c r="AM15" s="210"/>
      <c r="AN15" s="210"/>
      <c r="AO15" s="210"/>
      <c r="AP15" s="210"/>
      <c r="AQ15" s="210"/>
      <c r="AR15" s="210"/>
      <c r="XAM15" s="210"/>
      <c r="XAN15" s="210"/>
      <c r="XAO15" s="210"/>
      <c r="XAP15" s="210"/>
      <c r="XAQ15" s="210"/>
      <c r="XAR15" s="210"/>
      <c r="XAS15" s="210"/>
      <c r="XAT15" s="210"/>
      <c r="XAU15" s="210"/>
      <c r="XAV15" s="210"/>
      <c r="XAW15" s="210"/>
      <c r="XAX15" s="210"/>
      <c r="XAY15" s="210"/>
      <c r="XAZ15" s="210"/>
      <c r="XBA15" s="210"/>
      <c r="XBB15" s="210"/>
      <c r="XBC15" s="210"/>
      <c r="XBD15" s="210"/>
      <c r="XBE15" s="210"/>
      <c r="XBF15" s="210"/>
      <c r="XBG15" s="210"/>
      <c r="XBH15" s="210"/>
      <c r="XBI15" s="210"/>
      <c r="XBJ15" s="210"/>
      <c r="XBK15" s="210"/>
      <c r="XBL15" s="210"/>
      <c r="XBM15" s="210"/>
      <c r="XBN15" s="210"/>
      <c r="XBO15" s="210"/>
      <c r="XBP15" s="210"/>
      <c r="XBQ15" s="210"/>
      <c r="XBR15" s="210"/>
      <c r="XBS15" s="210"/>
      <c r="XBT15" s="210"/>
      <c r="XBU15" s="210"/>
      <c r="XBV15" s="210"/>
      <c r="XBW15" s="210"/>
      <c r="XBX15" s="210"/>
      <c r="XBY15" s="210"/>
      <c r="XBZ15" s="210"/>
      <c r="XCA15" s="210"/>
      <c r="XCB15" s="210"/>
      <c r="XCC15" s="210"/>
      <c r="XCD15" s="210"/>
      <c r="XCE15" s="210"/>
      <c r="XCF15" s="210"/>
      <c r="XCG15" s="210"/>
      <c r="XCH15" s="210"/>
      <c r="XCI15" s="210"/>
      <c r="XCJ15" s="210"/>
      <c r="XCK15" s="210"/>
      <c r="XCL15" s="210"/>
      <c r="XCM15" s="210"/>
      <c r="XCN15" s="210"/>
      <c r="XCO15" s="210"/>
      <c r="XCP15" s="210"/>
      <c r="XCQ15" s="210"/>
      <c r="XCR15" s="210"/>
      <c r="XCS15" s="210"/>
      <c r="XCT15" s="210"/>
      <c r="XCU15" s="210"/>
      <c r="XCV15" s="210"/>
      <c r="XCW15" s="210"/>
      <c r="XCX15" s="210"/>
      <c r="XCY15" s="210"/>
      <c r="XCZ15" s="210"/>
      <c r="XDA15" s="210"/>
      <c r="XDB15" s="210"/>
      <c r="XDC15" s="210"/>
      <c r="XDD15" s="210"/>
      <c r="XDE15" s="210"/>
      <c r="XDF15" s="210"/>
      <c r="XDG15" s="210"/>
      <c r="XDH15" s="210"/>
      <c r="XDI15" s="210"/>
      <c r="XDJ15" s="210"/>
      <c r="XDK15" s="210"/>
      <c r="XDL15" s="210"/>
      <c r="XDM15" s="210"/>
      <c r="XDN15" s="210"/>
      <c r="XDO15" s="210"/>
      <c r="XDP15" s="210"/>
      <c r="XDQ15" s="210"/>
      <c r="XDR15" s="210"/>
      <c r="XDS15" s="210"/>
      <c r="XDT15" s="210"/>
      <c r="XDU15" s="210"/>
      <c r="XDV15" s="210"/>
      <c r="XDW15" s="210"/>
      <c r="XDX15" s="210"/>
      <c r="XDY15" s="210"/>
      <c r="XDZ15" s="210"/>
      <c r="XEA15" s="210"/>
      <c r="XEB15" s="210"/>
      <c r="XEC15" s="210"/>
      <c r="XED15" s="210"/>
      <c r="XEE15" s="210"/>
      <c r="XEF15" s="210"/>
      <c r="XEG15" s="210"/>
      <c r="XEH15" s="210"/>
      <c r="XEI15" s="210"/>
      <c r="XEJ15" s="210"/>
      <c r="XEK15" s="210"/>
      <c r="XEL15" s="210"/>
      <c r="XEM15" s="210"/>
      <c r="XEN15" s="210"/>
      <c r="XEO15" s="210"/>
      <c r="XEP15" s="210"/>
      <c r="XEQ15" s="210"/>
      <c r="XER15" s="210"/>
      <c r="XES15" s="210"/>
      <c r="XET15" s="210"/>
      <c r="XEU15" s="210"/>
      <c r="XEV15" s="210"/>
      <c r="XEW15" s="210"/>
      <c r="XEX15" s="210"/>
      <c r="XEY15" s="210"/>
      <c r="XEZ15" s="210"/>
      <c r="XFA15" s="210"/>
      <c r="XFB15" s="210"/>
      <c r="XFC15" s="210"/>
      <c r="XFD15" s="210"/>
    </row>
    <row r="16" spans="1:44 16263:16384" s="207" customFormat="1" ht="21" customHeight="1" x14ac:dyDescent="0.15">
      <c r="A16" s="473">
        <v>60006015</v>
      </c>
      <c r="B16" s="28">
        <v>1</v>
      </c>
      <c r="C16" s="28" t="s">
        <v>53</v>
      </c>
      <c r="D16" s="28">
        <v>100</v>
      </c>
      <c r="E16" s="28" t="s">
        <v>53</v>
      </c>
      <c r="F16" s="28" t="s">
        <v>53</v>
      </c>
      <c r="G16" s="28">
        <v>1</v>
      </c>
      <c r="H16" s="28" t="s">
        <v>53</v>
      </c>
      <c r="I16" s="28" t="s">
        <v>53</v>
      </c>
      <c r="J16" s="484">
        <f t="shared" si="4"/>
        <v>100</v>
      </c>
      <c r="K16" s="467"/>
      <c r="L16" s="210"/>
      <c r="M16" s="210"/>
      <c r="N16" s="210"/>
      <c r="O16" s="210"/>
      <c r="P16" s="210"/>
      <c r="Q16" s="210"/>
      <c r="R16" s="210"/>
      <c r="S16" s="210"/>
      <c r="T16" s="210"/>
      <c r="U16" s="210"/>
      <c r="V16" s="210"/>
      <c r="W16" s="210"/>
      <c r="X16" s="210"/>
      <c r="Y16" s="210"/>
      <c r="Z16" s="210"/>
      <c r="AA16" s="210"/>
      <c r="AB16" s="210"/>
      <c r="AC16" s="210"/>
      <c r="AD16" s="210"/>
      <c r="AE16" s="210"/>
      <c r="AF16" s="210"/>
      <c r="AG16" s="210"/>
      <c r="AH16" s="210"/>
      <c r="AI16" s="210"/>
      <c r="AJ16" s="210"/>
      <c r="AK16" s="210"/>
      <c r="AL16" s="210"/>
      <c r="AM16" s="210"/>
      <c r="AN16" s="210"/>
      <c r="AO16" s="210"/>
      <c r="AP16" s="210"/>
      <c r="AQ16" s="210"/>
      <c r="AR16" s="210"/>
      <c r="XAM16" s="210"/>
      <c r="XAN16" s="210"/>
      <c r="XAO16" s="210"/>
      <c r="XAP16" s="210"/>
      <c r="XAQ16" s="210"/>
      <c r="XAR16" s="210"/>
      <c r="XAS16" s="210"/>
      <c r="XAT16" s="210"/>
      <c r="XAU16" s="210"/>
      <c r="XAV16" s="210"/>
      <c r="XAW16" s="210"/>
      <c r="XAX16" s="210"/>
      <c r="XAY16" s="210"/>
      <c r="XAZ16" s="210"/>
      <c r="XBA16" s="210"/>
      <c r="XBB16" s="210"/>
      <c r="XBC16" s="210"/>
      <c r="XBD16" s="210"/>
      <c r="XBE16" s="210"/>
      <c r="XBF16" s="210"/>
      <c r="XBG16" s="210"/>
      <c r="XBH16" s="210"/>
      <c r="XBI16" s="210"/>
      <c r="XBJ16" s="210"/>
      <c r="XBK16" s="210"/>
      <c r="XBL16" s="210"/>
      <c r="XBM16" s="210"/>
      <c r="XBN16" s="210"/>
      <c r="XBO16" s="210"/>
      <c r="XBP16" s="210"/>
      <c r="XBQ16" s="210"/>
      <c r="XBR16" s="210"/>
      <c r="XBS16" s="210"/>
      <c r="XBT16" s="210"/>
      <c r="XBU16" s="210"/>
      <c r="XBV16" s="210"/>
      <c r="XBW16" s="210"/>
      <c r="XBX16" s="210"/>
      <c r="XBY16" s="210"/>
      <c r="XBZ16" s="210"/>
      <c r="XCA16" s="210"/>
      <c r="XCB16" s="210"/>
      <c r="XCC16" s="210"/>
      <c r="XCD16" s="210"/>
      <c r="XCE16" s="210"/>
      <c r="XCF16" s="210"/>
      <c r="XCG16" s="210"/>
      <c r="XCH16" s="210"/>
      <c r="XCI16" s="210"/>
      <c r="XCJ16" s="210"/>
      <c r="XCK16" s="210"/>
      <c r="XCL16" s="210"/>
      <c r="XCM16" s="210"/>
      <c r="XCN16" s="210"/>
      <c r="XCO16" s="210"/>
      <c r="XCP16" s="210"/>
      <c r="XCQ16" s="210"/>
      <c r="XCR16" s="210"/>
      <c r="XCS16" s="210"/>
      <c r="XCT16" s="210"/>
      <c r="XCU16" s="210"/>
      <c r="XCV16" s="210"/>
      <c r="XCW16" s="210"/>
      <c r="XCX16" s="210"/>
      <c r="XCY16" s="210"/>
      <c r="XCZ16" s="210"/>
      <c r="XDA16" s="210"/>
      <c r="XDB16" s="210"/>
      <c r="XDC16" s="210"/>
      <c r="XDD16" s="210"/>
      <c r="XDE16" s="210"/>
      <c r="XDF16" s="210"/>
      <c r="XDG16" s="210"/>
      <c r="XDH16" s="210"/>
      <c r="XDI16" s="210"/>
      <c r="XDJ16" s="210"/>
      <c r="XDK16" s="210"/>
      <c r="XDL16" s="210"/>
      <c r="XDM16" s="210"/>
      <c r="XDN16" s="210"/>
      <c r="XDO16" s="210"/>
      <c r="XDP16" s="210"/>
      <c r="XDQ16" s="210"/>
      <c r="XDR16" s="210"/>
      <c r="XDS16" s="210"/>
      <c r="XDT16" s="210"/>
      <c r="XDU16" s="210"/>
      <c r="XDV16" s="210"/>
      <c r="XDW16" s="210"/>
      <c r="XDX16" s="210"/>
      <c r="XDY16" s="210"/>
      <c r="XDZ16" s="210"/>
      <c r="XEA16" s="210"/>
      <c r="XEB16" s="210"/>
      <c r="XEC16" s="210"/>
      <c r="XED16" s="210"/>
      <c r="XEE16" s="210"/>
      <c r="XEF16" s="210"/>
      <c r="XEG16" s="210"/>
      <c r="XEH16" s="210"/>
      <c r="XEI16" s="210"/>
      <c r="XEJ16" s="210"/>
      <c r="XEK16" s="210"/>
      <c r="XEL16" s="210"/>
      <c r="XEM16" s="210"/>
      <c r="XEN16" s="210"/>
      <c r="XEO16" s="210"/>
      <c r="XEP16" s="210"/>
      <c r="XEQ16" s="210"/>
      <c r="XER16" s="210"/>
      <c r="XES16" s="210"/>
      <c r="XET16" s="210"/>
      <c r="XEU16" s="210"/>
      <c r="XEV16" s="210"/>
      <c r="XEW16" s="210"/>
      <c r="XEX16" s="210"/>
      <c r="XEY16" s="210"/>
      <c r="XEZ16" s="210"/>
      <c r="XFA16" s="210"/>
      <c r="XFB16" s="210"/>
      <c r="XFC16" s="210"/>
      <c r="XFD16" s="210"/>
    </row>
    <row r="17" spans="1:16384" s="210" customFormat="1" ht="21" customHeight="1" x14ac:dyDescent="0.15">
      <c r="A17" s="473">
        <v>60006016</v>
      </c>
      <c r="B17" s="28">
        <v>0</v>
      </c>
      <c r="C17" s="28" t="s">
        <v>53</v>
      </c>
      <c r="D17" s="28">
        <v>50</v>
      </c>
      <c r="E17" s="28" t="s">
        <v>53</v>
      </c>
      <c r="F17" s="28" t="s">
        <v>53</v>
      </c>
      <c r="G17" s="28">
        <v>1</v>
      </c>
      <c r="H17" s="28" t="s">
        <v>53</v>
      </c>
      <c r="I17" s="28" t="s">
        <v>53</v>
      </c>
      <c r="J17" s="484">
        <f t="shared" si="4"/>
        <v>50</v>
      </c>
      <c r="K17" s="470"/>
    </row>
    <row r="18" spans="1:16384" s="210" customFormat="1" ht="21" customHeight="1" x14ac:dyDescent="0.15">
      <c r="A18" s="473">
        <v>60006017</v>
      </c>
      <c r="B18" s="28">
        <v>0</v>
      </c>
      <c r="C18" s="28" t="s">
        <v>53</v>
      </c>
      <c r="D18" s="28">
        <v>50</v>
      </c>
      <c r="E18" s="28" t="s">
        <v>53</v>
      </c>
      <c r="F18" s="28" t="s">
        <v>53</v>
      </c>
      <c r="G18" s="28" t="s">
        <v>53</v>
      </c>
      <c r="H18" s="28" t="s">
        <v>53</v>
      </c>
      <c r="I18" s="28" t="s">
        <v>53</v>
      </c>
      <c r="J18" s="484">
        <f t="shared" ref="J18" si="5">D18</f>
        <v>50</v>
      </c>
      <c r="K18" s="470"/>
    </row>
    <row r="19" spans="1:16384" s="210" customFormat="1" ht="21" customHeight="1" x14ac:dyDescent="0.15">
      <c r="A19" s="473">
        <v>60006018</v>
      </c>
      <c r="B19" s="28">
        <v>0</v>
      </c>
      <c r="C19" s="28" t="s">
        <v>310</v>
      </c>
      <c r="D19" s="28">
        <v>100</v>
      </c>
      <c r="E19" s="28">
        <v>50</v>
      </c>
      <c r="F19" s="28" t="s">
        <v>53</v>
      </c>
      <c r="G19" s="28">
        <v>1</v>
      </c>
      <c r="H19" s="28" t="s">
        <v>53</v>
      </c>
      <c r="I19" s="28" t="s">
        <v>53</v>
      </c>
      <c r="J19" s="484">
        <f t="shared" ref="J19:J27" si="6">D19</f>
        <v>100</v>
      </c>
      <c r="K19" s="470"/>
    </row>
    <row r="20" spans="1:16384" s="210" customFormat="1" ht="21" customHeight="1" x14ac:dyDescent="0.15">
      <c r="A20" s="473">
        <v>60006019</v>
      </c>
      <c r="B20" s="28">
        <v>1</v>
      </c>
      <c r="C20" s="28" t="s">
        <v>309</v>
      </c>
      <c r="D20" s="28">
        <v>100</v>
      </c>
      <c r="E20" s="28" t="s">
        <v>53</v>
      </c>
      <c r="F20" s="28" t="s">
        <v>53</v>
      </c>
      <c r="G20" s="28">
        <v>1</v>
      </c>
      <c r="H20" s="28" t="s">
        <v>53</v>
      </c>
      <c r="I20" s="28" t="s">
        <v>53</v>
      </c>
      <c r="J20" s="486">
        <f t="shared" ref="J20" si="7">D20</f>
        <v>100</v>
      </c>
      <c r="K20" s="470"/>
    </row>
    <row r="21" spans="1:16384" s="210" customFormat="1" ht="21" customHeight="1" x14ac:dyDescent="0.15">
      <c r="A21" s="473">
        <v>60006020</v>
      </c>
      <c r="B21" s="28">
        <v>0</v>
      </c>
      <c r="C21" s="28" t="s">
        <v>53</v>
      </c>
      <c r="D21" s="28">
        <v>50</v>
      </c>
      <c r="E21" s="28" t="s">
        <v>53</v>
      </c>
      <c r="F21" s="28" t="s">
        <v>53</v>
      </c>
      <c r="G21" s="28">
        <v>1</v>
      </c>
      <c r="H21" s="28" t="s">
        <v>53</v>
      </c>
      <c r="I21" s="28" t="s">
        <v>53</v>
      </c>
      <c r="J21" s="486">
        <f t="shared" si="6"/>
        <v>50</v>
      </c>
      <c r="K21" s="470"/>
    </row>
    <row r="22" spans="1:16384" s="210" customFormat="1" ht="21" customHeight="1" x14ac:dyDescent="0.15">
      <c r="A22" s="473">
        <v>60006021</v>
      </c>
      <c r="B22" s="28">
        <v>0</v>
      </c>
      <c r="C22" s="28" t="s">
        <v>53</v>
      </c>
      <c r="D22" s="28">
        <v>50</v>
      </c>
      <c r="E22" s="28" t="s">
        <v>53</v>
      </c>
      <c r="F22" s="28" t="s">
        <v>53</v>
      </c>
      <c r="G22" s="28" t="s">
        <v>53</v>
      </c>
      <c r="H22" s="28" t="s">
        <v>53</v>
      </c>
      <c r="I22" s="28" t="s">
        <v>53</v>
      </c>
      <c r="J22" s="486">
        <f>D22</f>
        <v>50</v>
      </c>
      <c r="K22" s="470"/>
    </row>
    <row r="23" spans="1:16384" s="210" customFormat="1" ht="21" customHeight="1" thickBot="1" x14ac:dyDescent="0.2">
      <c r="A23" s="473">
        <v>60006022</v>
      </c>
      <c r="B23" s="28">
        <v>0</v>
      </c>
      <c r="C23" s="28">
        <v>1</v>
      </c>
      <c r="D23" s="28">
        <v>80</v>
      </c>
      <c r="E23" s="28">
        <v>75</v>
      </c>
      <c r="F23" s="28" t="s">
        <v>53</v>
      </c>
      <c r="G23" s="28">
        <v>3</v>
      </c>
      <c r="H23" s="28" t="s">
        <v>53</v>
      </c>
      <c r="I23" s="28" t="s">
        <v>53</v>
      </c>
      <c r="J23" s="486">
        <f>D23</f>
        <v>80</v>
      </c>
      <c r="K23" s="470"/>
    </row>
    <row r="24" spans="1:16384" s="207" customFormat="1" ht="21" customHeight="1" x14ac:dyDescent="0.15">
      <c r="A24" s="473">
        <v>60006023</v>
      </c>
      <c r="B24" s="28">
        <v>1</v>
      </c>
      <c r="C24" s="28" t="s">
        <v>53</v>
      </c>
      <c r="D24" s="28">
        <v>100</v>
      </c>
      <c r="E24" s="28" t="s">
        <v>53</v>
      </c>
      <c r="F24" s="28" t="s">
        <v>53</v>
      </c>
      <c r="G24" s="28">
        <v>1</v>
      </c>
      <c r="H24" s="28" t="s">
        <v>53</v>
      </c>
      <c r="I24" s="28" t="s">
        <v>53</v>
      </c>
      <c r="J24" s="484">
        <f t="shared" ref="J24" si="8">D24</f>
        <v>100</v>
      </c>
      <c r="K24" s="47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0"/>
      <c r="AC24" s="210"/>
      <c r="AD24" s="210"/>
      <c r="AE24" s="210"/>
      <c r="AF24" s="210"/>
      <c r="AG24" s="210"/>
      <c r="AH24" s="210"/>
      <c r="AI24" s="210"/>
      <c r="AJ24" s="210"/>
      <c r="AK24" s="210"/>
      <c r="AL24" s="210"/>
      <c r="AM24" s="210"/>
      <c r="AN24" s="210"/>
      <c r="AO24" s="210"/>
      <c r="AP24" s="210"/>
      <c r="AQ24" s="210"/>
      <c r="AR24" s="210"/>
      <c r="AS24" s="210"/>
      <c r="AT24" s="210"/>
      <c r="AU24" s="210"/>
      <c r="AV24" s="210"/>
      <c r="AW24" s="210"/>
      <c r="AX24" s="210"/>
      <c r="AY24" s="210"/>
      <c r="AZ24" s="210"/>
      <c r="BA24" s="210"/>
      <c r="BB24" s="210"/>
      <c r="BC24" s="210"/>
      <c r="BD24" s="210"/>
      <c r="BE24" s="210"/>
      <c r="BF24" s="210"/>
      <c r="BG24" s="210"/>
      <c r="BH24" s="210"/>
      <c r="BI24" s="210"/>
      <c r="BJ24" s="210"/>
      <c r="BK24" s="210"/>
      <c r="BL24" s="210"/>
      <c r="BM24" s="210"/>
      <c r="BN24" s="210"/>
      <c r="BO24" s="210"/>
      <c r="BP24" s="210"/>
      <c r="BQ24" s="210"/>
      <c r="BR24" s="210"/>
      <c r="BS24" s="210"/>
      <c r="BT24" s="210"/>
      <c r="BU24" s="210"/>
      <c r="BV24" s="210"/>
      <c r="BW24" s="210"/>
      <c r="BX24" s="210"/>
      <c r="BY24" s="210"/>
      <c r="BZ24" s="210"/>
      <c r="CA24" s="210"/>
      <c r="CB24" s="210"/>
      <c r="CC24" s="210"/>
      <c r="CD24" s="210"/>
      <c r="CE24" s="210"/>
      <c r="CF24" s="210"/>
      <c r="CG24" s="210"/>
      <c r="CH24" s="210"/>
      <c r="CI24" s="210"/>
      <c r="CJ24" s="210"/>
      <c r="CK24" s="210"/>
      <c r="CL24" s="210"/>
      <c r="CM24" s="210"/>
      <c r="CN24" s="210"/>
      <c r="CO24" s="210"/>
      <c r="CP24" s="210"/>
      <c r="CQ24" s="210"/>
      <c r="CR24" s="210"/>
      <c r="CS24" s="210"/>
      <c r="CT24" s="210"/>
      <c r="CU24" s="210"/>
      <c r="CV24" s="210"/>
      <c r="CW24" s="210"/>
      <c r="CX24" s="210"/>
      <c r="CY24" s="210"/>
      <c r="CZ24" s="210"/>
      <c r="DA24" s="210"/>
      <c r="DB24" s="210"/>
      <c r="DC24" s="210"/>
      <c r="DD24" s="210"/>
      <c r="DE24" s="210"/>
      <c r="DF24" s="210"/>
      <c r="DG24" s="210"/>
      <c r="DH24" s="210"/>
      <c r="DI24" s="210"/>
      <c r="DJ24" s="210"/>
      <c r="DK24" s="210"/>
      <c r="DL24" s="210"/>
      <c r="DM24" s="210"/>
      <c r="DN24" s="210"/>
      <c r="DO24" s="210"/>
      <c r="DP24" s="210"/>
      <c r="DQ24" s="210"/>
      <c r="DR24" s="210"/>
      <c r="DS24" s="210"/>
      <c r="DT24" s="210"/>
      <c r="DU24" s="210"/>
      <c r="DV24" s="210"/>
      <c r="DW24" s="210"/>
      <c r="DX24" s="210"/>
      <c r="DY24" s="210"/>
      <c r="DZ24" s="210"/>
      <c r="EA24" s="210"/>
      <c r="EB24" s="210"/>
      <c r="EC24" s="210"/>
      <c r="ED24" s="210"/>
      <c r="EE24" s="210"/>
      <c r="EF24" s="210"/>
      <c r="EG24" s="210"/>
      <c r="EH24" s="210"/>
      <c r="EI24" s="210"/>
      <c r="EJ24" s="210"/>
      <c r="EK24" s="210"/>
      <c r="EL24" s="210"/>
      <c r="EM24" s="210"/>
      <c r="EN24" s="210"/>
      <c r="EO24" s="210"/>
      <c r="EP24" s="210"/>
      <c r="EQ24" s="210"/>
      <c r="ER24" s="210"/>
      <c r="ES24" s="210"/>
      <c r="ET24" s="210"/>
      <c r="EU24" s="210"/>
      <c r="EV24" s="210"/>
      <c r="EW24" s="210"/>
      <c r="EX24" s="210"/>
      <c r="EY24" s="210"/>
      <c r="EZ24" s="210"/>
      <c r="FA24" s="210"/>
      <c r="FB24" s="210"/>
      <c r="FC24" s="210"/>
      <c r="FD24" s="210"/>
      <c r="FE24" s="210"/>
      <c r="FF24" s="210"/>
      <c r="FG24" s="210"/>
      <c r="FH24" s="210"/>
      <c r="FI24" s="210"/>
      <c r="FJ24" s="210"/>
      <c r="FK24" s="210"/>
      <c r="FL24" s="210"/>
      <c r="FM24" s="210"/>
      <c r="FN24" s="210"/>
      <c r="FO24" s="210"/>
      <c r="FP24" s="210"/>
      <c r="FQ24" s="210"/>
      <c r="FR24" s="210"/>
      <c r="FS24" s="210"/>
      <c r="FT24" s="210"/>
      <c r="FU24" s="210"/>
      <c r="FV24" s="210"/>
      <c r="FW24" s="210"/>
      <c r="FX24" s="210"/>
      <c r="FY24" s="210"/>
      <c r="FZ24" s="210"/>
      <c r="GA24" s="210"/>
      <c r="GB24" s="210"/>
      <c r="GC24" s="210"/>
      <c r="GD24" s="210"/>
      <c r="GE24" s="210"/>
      <c r="GF24" s="210"/>
      <c r="GG24" s="210"/>
      <c r="GH24" s="210"/>
      <c r="GI24" s="210"/>
      <c r="GJ24" s="210"/>
      <c r="GK24" s="210"/>
      <c r="GL24" s="210"/>
      <c r="GM24" s="210"/>
      <c r="GN24" s="210"/>
      <c r="GO24" s="210"/>
      <c r="GP24" s="210"/>
      <c r="GQ24" s="210"/>
      <c r="GR24" s="210"/>
      <c r="GS24" s="210"/>
      <c r="GT24" s="210"/>
      <c r="GU24" s="210"/>
      <c r="GV24" s="210"/>
      <c r="GW24" s="210"/>
      <c r="GX24" s="210"/>
      <c r="GY24" s="210"/>
      <c r="GZ24" s="210"/>
      <c r="HA24" s="210"/>
      <c r="HB24" s="210"/>
      <c r="HC24" s="210"/>
      <c r="HD24" s="210"/>
      <c r="HE24" s="210"/>
      <c r="HF24" s="210"/>
      <c r="HG24" s="210"/>
      <c r="HH24" s="210"/>
      <c r="HI24" s="210"/>
      <c r="HJ24" s="210"/>
      <c r="HK24" s="210"/>
      <c r="HL24" s="210"/>
      <c r="HM24" s="210"/>
      <c r="HN24" s="210"/>
      <c r="HO24" s="210"/>
      <c r="HP24" s="210"/>
      <c r="HQ24" s="210"/>
      <c r="HR24" s="210"/>
      <c r="HS24" s="210"/>
      <c r="HT24" s="210"/>
      <c r="HU24" s="210"/>
      <c r="HV24" s="210"/>
      <c r="HW24" s="210"/>
      <c r="HX24" s="210"/>
      <c r="HY24" s="210"/>
      <c r="HZ24" s="210"/>
      <c r="IA24" s="210"/>
      <c r="IB24" s="210"/>
      <c r="IC24" s="210"/>
      <c r="ID24" s="210"/>
      <c r="IE24" s="210"/>
      <c r="IF24" s="210"/>
      <c r="IG24" s="210"/>
      <c r="IH24" s="210"/>
      <c r="II24" s="210"/>
      <c r="IJ24" s="210"/>
      <c r="IK24" s="210"/>
      <c r="IL24" s="210"/>
      <c r="IM24" s="210"/>
      <c r="IN24" s="210"/>
      <c r="IO24" s="210"/>
      <c r="IP24" s="210"/>
      <c r="IQ24" s="210"/>
      <c r="IR24" s="210"/>
      <c r="IS24" s="210"/>
      <c r="IT24" s="210"/>
      <c r="IU24" s="210"/>
      <c r="IV24" s="210"/>
      <c r="IW24" s="210"/>
      <c r="IX24" s="210"/>
      <c r="IY24" s="210"/>
      <c r="IZ24" s="210"/>
      <c r="JA24" s="210"/>
      <c r="JB24" s="210"/>
      <c r="JC24" s="210"/>
      <c r="JD24" s="210"/>
      <c r="JE24" s="210"/>
      <c r="JF24" s="210"/>
      <c r="JG24" s="210"/>
      <c r="JH24" s="210"/>
      <c r="JI24" s="210"/>
      <c r="JJ24" s="210"/>
      <c r="JK24" s="210"/>
      <c r="JL24" s="210"/>
      <c r="JM24" s="210"/>
      <c r="JN24" s="210"/>
      <c r="JO24" s="210"/>
      <c r="JP24" s="210"/>
      <c r="JQ24" s="210"/>
      <c r="JR24" s="210"/>
      <c r="JS24" s="210"/>
      <c r="JT24" s="210"/>
      <c r="JU24" s="210"/>
      <c r="JV24" s="210"/>
      <c r="JW24" s="210"/>
      <c r="JX24" s="210"/>
      <c r="JY24" s="210"/>
      <c r="JZ24" s="210"/>
      <c r="KA24" s="210"/>
      <c r="KB24" s="210"/>
      <c r="KC24" s="210"/>
      <c r="KD24" s="210"/>
      <c r="KE24" s="210"/>
      <c r="KF24" s="210"/>
      <c r="KG24" s="210"/>
      <c r="KH24" s="210"/>
      <c r="KI24" s="210"/>
      <c r="KJ24" s="210"/>
      <c r="KK24" s="210"/>
      <c r="KL24" s="210"/>
      <c r="KM24" s="210"/>
      <c r="KN24" s="210"/>
      <c r="KO24" s="210"/>
      <c r="KP24" s="210"/>
      <c r="KQ24" s="210"/>
      <c r="KR24" s="210"/>
      <c r="KS24" s="210"/>
      <c r="KT24" s="210"/>
      <c r="KU24" s="210"/>
      <c r="KV24" s="210"/>
      <c r="KW24" s="210"/>
      <c r="KX24" s="210"/>
      <c r="KY24" s="210"/>
      <c r="KZ24" s="210"/>
      <c r="LA24" s="210"/>
      <c r="LB24" s="210"/>
      <c r="LC24" s="210"/>
      <c r="LD24" s="210"/>
      <c r="LE24" s="210"/>
      <c r="LF24" s="210"/>
      <c r="LG24" s="210"/>
      <c r="LH24" s="210"/>
      <c r="LI24" s="210"/>
      <c r="LJ24" s="210"/>
      <c r="LK24" s="210"/>
      <c r="LL24" s="210"/>
      <c r="LM24" s="210"/>
      <c r="LN24" s="210"/>
      <c r="LO24" s="210"/>
      <c r="LP24" s="210"/>
      <c r="LQ24" s="210"/>
      <c r="LR24" s="210"/>
      <c r="LS24" s="210"/>
      <c r="LT24" s="210"/>
      <c r="LU24" s="210"/>
      <c r="LV24" s="210"/>
      <c r="LW24" s="210"/>
      <c r="LX24" s="210"/>
      <c r="LY24" s="210"/>
      <c r="LZ24" s="210"/>
      <c r="MA24" s="210"/>
      <c r="MB24" s="210"/>
      <c r="MC24" s="210"/>
      <c r="MD24" s="210"/>
      <c r="ME24" s="210"/>
      <c r="MF24" s="210"/>
      <c r="MG24" s="210"/>
      <c r="MH24" s="210"/>
      <c r="MI24" s="210"/>
      <c r="MJ24" s="210"/>
      <c r="MK24" s="210"/>
      <c r="ML24" s="210"/>
      <c r="MM24" s="210"/>
      <c r="MN24" s="210"/>
      <c r="MO24" s="210"/>
      <c r="MP24" s="210"/>
      <c r="MQ24" s="210"/>
      <c r="MR24" s="210"/>
      <c r="MS24" s="210"/>
      <c r="MT24" s="210"/>
      <c r="MU24" s="210"/>
      <c r="MV24" s="210"/>
      <c r="MW24" s="210"/>
      <c r="MX24" s="210"/>
      <c r="MY24" s="210"/>
      <c r="MZ24" s="210"/>
      <c r="NA24" s="210"/>
      <c r="NB24" s="210"/>
      <c r="NC24" s="210"/>
      <c r="ND24" s="210"/>
      <c r="NE24" s="210"/>
      <c r="NF24" s="210"/>
      <c r="NG24" s="210"/>
      <c r="NH24" s="210"/>
      <c r="NI24" s="210"/>
      <c r="NJ24" s="210"/>
      <c r="NK24" s="210"/>
      <c r="NL24" s="210"/>
      <c r="NM24" s="210"/>
      <c r="NN24" s="210"/>
      <c r="NO24" s="210"/>
      <c r="NP24" s="210"/>
      <c r="NQ24" s="210"/>
      <c r="NR24" s="210"/>
      <c r="NS24" s="210"/>
      <c r="NT24" s="210"/>
      <c r="NU24" s="210"/>
      <c r="NV24" s="210"/>
      <c r="NW24" s="210"/>
      <c r="NX24" s="210"/>
      <c r="NY24" s="210"/>
      <c r="NZ24" s="210"/>
      <c r="OA24" s="210"/>
      <c r="OB24" s="210"/>
      <c r="OC24" s="210"/>
      <c r="OD24" s="210"/>
      <c r="OE24" s="210"/>
      <c r="OF24" s="210"/>
      <c r="OG24" s="210"/>
      <c r="OH24" s="210"/>
      <c r="OI24" s="210"/>
      <c r="OJ24" s="210"/>
      <c r="OK24" s="210"/>
      <c r="OL24" s="210"/>
      <c r="OM24" s="210"/>
      <c r="ON24" s="210"/>
      <c r="OO24" s="210"/>
      <c r="OP24" s="210"/>
      <c r="OQ24" s="210"/>
      <c r="OR24" s="210"/>
      <c r="OS24" s="210"/>
      <c r="OT24" s="210"/>
      <c r="OU24" s="210"/>
      <c r="OV24" s="210"/>
      <c r="OW24" s="210"/>
      <c r="OX24" s="210"/>
      <c r="OY24" s="210"/>
      <c r="OZ24" s="210"/>
      <c r="PA24" s="210"/>
      <c r="PB24" s="210"/>
      <c r="PC24" s="210"/>
      <c r="PD24" s="210"/>
      <c r="PE24" s="210"/>
      <c r="PF24" s="210"/>
      <c r="PG24" s="210"/>
      <c r="PH24" s="210"/>
      <c r="PI24" s="210"/>
      <c r="PJ24" s="210"/>
      <c r="PK24" s="210"/>
      <c r="PL24" s="210"/>
      <c r="PM24" s="210"/>
      <c r="PN24" s="210"/>
      <c r="PO24" s="210"/>
      <c r="PP24" s="210"/>
      <c r="PQ24" s="210"/>
      <c r="PR24" s="210"/>
      <c r="PS24" s="210"/>
      <c r="PT24" s="210"/>
      <c r="PU24" s="210"/>
      <c r="PV24" s="210"/>
      <c r="PW24" s="210"/>
      <c r="PX24" s="210"/>
      <c r="PY24" s="210"/>
      <c r="PZ24" s="210"/>
      <c r="QA24" s="210"/>
      <c r="QB24" s="210"/>
      <c r="QC24" s="210"/>
      <c r="QD24" s="210"/>
      <c r="QE24" s="210"/>
      <c r="QF24" s="210"/>
      <c r="QG24" s="210"/>
      <c r="QH24" s="210"/>
      <c r="QI24" s="210"/>
      <c r="QJ24" s="210"/>
      <c r="QK24" s="210"/>
      <c r="QL24" s="210"/>
      <c r="QM24" s="210"/>
      <c r="QN24" s="210"/>
      <c r="QO24" s="210"/>
      <c r="QP24" s="210"/>
      <c r="QQ24" s="210"/>
      <c r="QR24" s="210"/>
      <c r="QS24" s="210"/>
      <c r="QT24" s="210"/>
      <c r="QU24" s="210"/>
      <c r="QV24" s="210"/>
      <c r="QW24" s="210"/>
      <c r="QX24" s="210"/>
      <c r="QY24" s="210"/>
      <c r="QZ24" s="210"/>
      <c r="RA24" s="210"/>
      <c r="RB24" s="210"/>
      <c r="RC24" s="210"/>
      <c r="RD24" s="210"/>
      <c r="RE24" s="210"/>
      <c r="RF24" s="210"/>
      <c r="RG24" s="210"/>
      <c r="RH24" s="210"/>
      <c r="RI24" s="210"/>
      <c r="RJ24" s="210"/>
      <c r="RK24" s="210"/>
      <c r="RL24" s="210"/>
      <c r="RM24" s="210"/>
      <c r="RN24" s="210"/>
      <c r="RO24" s="210"/>
      <c r="RP24" s="210"/>
      <c r="RQ24" s="210"/>
      <c r="RR24" s="210"/>
      <c r="RS24" s="210"/>
      <c r="RT24" s="210"/>
      <c r="RU24" s="210"/>
      <c r="RV24" s="210"/>
      <c r="RW24" s="210"/>
      <c r="RX24" s="210"/>
      <c r="RY24" s="210"/>
      <c r="RZ24" s="210"/>
      <c r="SA24" s="210"/>
      <c r="SB24" s="210"/>
      <c r="SC24" s="210"/>
      <c r="SD24" s="210"/>
      <c r="SE24" s="210"/>
      <c r="SF24" s="210"/>
      <c r="SG24" s="210"/>
      <c r="SH24" s="210"/>
      <c r="SI24" s="210"/>
      <c r="SJ24" s="210"/>
      <c r="SK24" s="210"/>
      <c r="SL24" s="210"/>
      <c r="SM24" s="210"/>
      <c r="SN24" s="210"/>
      <c r="SO24" s="210"/>
      <c r="SP24" s="210"/>
      <c r="SQ24" s="210"/>
      <c r="SR24" s="210"/>
      <c r="SS24" s="210"/>
      <c r="ST24" s="210"/>
      <c r="SU24" s="210"/>
      <c r="SV24" s="210"/>
      <c r="SW24" s="210"/>
      <c r="SX24" s="210"/>
      <c r="SY24" s="210"/>
      <c r="SZ24" s="210"/>
      <c r="TA24" s="210"/>
      <c r="TB24" s="210"/>
      <c r="TC24" s="210"/>
      <c r="TD24" s="210"/>
      <c r="TE24" s="210"/>
      <c r="TF24" s="210"/>
      <c r="TG24" s="210"/>
      <c r="TH24" s="210"/>
      <c r="TI24" s="210"/>
      <c r="TJ24" s="210"/>
      <c r="TK24" s="210"/>
      <c r="TL24" s="210"/>
      <c r="TM24" s="210"/>
      <c r="TN24" s="210"/>
      <c r="TO24" s="210"/>
      <c r="TP24" s="210"/>
      <c r="TQ24" s="210"/>
      <c r="TR24" s="210"/>
      <c r="TS24" s="210"/>
      <c r="TT24" s="210"/>
      <c r="TU24" s="210"/>
      <c r="TV24" s="210"/>
      <c r="TW24" s="210"/>
      <c r="TX24" s="210"/>
      <c r="TY24" s="210"/>
      <c r="TZ24" s="210"/>
      <c r="UA24" s="210"/>
      <c r="UB24" s="210"/>
      <c r="UC24" s="210"/>
      <c r="UD24" s="210"/>
      <c r="UE24" s="210"/>
      <c r="UF24" s="210"/>
      <c r="UG24" s="210"/>
      <c r="UH24" s="210"/>
      <c r="UI24" s="210"/>
      <c r="UJ24" s="210"/>
      <c r="UK24" s="210"/>
      <c r="UL24" s="210"/>
      <c r="UM24" s="210"/>
      <c r="UN24" s="210"/>
      <c r="UO24" s="210"/>
      <c r="UP24" s="210"/>
      <c r="UQ24" s="210"/>
      <c r="UR24" s="210"/>
      <c r="US24" s="210"/>
      <c r="UT24" s="210"/>
      <c r="UU24" s="210"/>
      <c r="UV24" s="210"/>
      <c r="UW24" s="210"/>
      <c r="UX24" s="210"/>
      <c r="UY24" s="210"/>
      <c r="UZ24" s="210"/>
      <c r="VA24" s="210"/>
      <c r="VB24" s="210"/>
      <c r="VC24" s="210"/>
      <c r="VD24" s="210"/>
      <c r="VE24" s="210"/>
      <c r="VF24" s="210"/>
      <c r="VG24" s="210"/>
      <c r="VH24" s="210"/>
      <c r="VI24" s="210"/>
      <c r="VJ24" s="210"/>
      <c r="VK24" s="210"/>
      <c r="VL24" s="210"/>
      <c r="VM24" s="210"/>
      <c r="VN24" s="210"/>
      <c r="VO24" s="210"/>
      <c r="VP24" s="210"/>
      <c r="VQ24" s="210"/>
      <c r="VR24" s="210"/>
      <c r="VS24" s="210"/>
      <c r="VT24" s="210"/>
      <c r="VU24" s="210"/>
      <c r="VV24" s="210"/>
      <c r="VW24" s="210"/>
      <c r="VX24" s="210"/>
      <c r="VY24" s="210"/>
      <c r="VZ24" s="210"/>
      <c r="WA24" s="210"/>
      <c r="WB24" s="210"/>
      <c r="WC24" s="210"/>
      <c r="WD24" s="210"/>
      <c r="WE24" s="210"/>
      <c r="WF24" s="210"/>
      <c r="WG24" s="210"/>
      <c r="WH24" s="210"/>
      <c r="WI24" s="210"/>
      <c r="WJ24" s="210"/>
      <c r="WK24" s="210"/>
      <c r="WL24" s="210"/>
      <c r="WM24" s="210"/>
      <c r="WN24" s="210"/>
      <c r="WO24" s="210"/>
      <c r="WP24" s="210"/>
      <c r="WQ24" s="210"/>
      <c r="WR24" s="210"/>
      <c r="WS24" s="210"/>
      <c r="WT24" s="210"/>
      <c r="WU24" s="210"/>
      <c r="WV24" s="210"/>
      <c r="WW24" s="210"/>
      <c r="WX24" s="210"/>
      <c r="WY24" s="210"/>
      <c r="WZ24" s="210"/>
      <c r="XA24" s="210"/>
      <c r="XB24" s="210"/>
      <c r="XC24" s="210"/>
      <c r="XD24" s="210"/>
      <c r="XE24" s="210"/>
      <c r="XF24" s="210"/>
      <c r="XG24" s="210"/>
      <c r="XH24" s="210"/>
      <c r="XI24" s="210"/>
      <c r="XJ24" s="210"/>
      <c r="XK24" s="210"/>
      <c r="XL24" s="210"/>
      <c r="XM24" s="210"/>
      <c r="XN24" s="210"/>
      <c r="XO24" s="210"/>
      <c r="XP24" s="210"/>
      <c r="XQ24" s="210"/>
      <c r="XR24" s="210"/>
      <c r="XS24" s="210"/>
      <c r="XT24" s="210"/>
      <c r="XU24" s="210"/>
      <c r="XV24" s="210"/>
      <c r="XW24" s="210"/>
      <c r="XX24" s="210"/>
      <c r="XY24" s="210"/>
      <c r="XZ24" s="210"/>
      <c r="YA24" s="210"/>
      <c r="YB24" s="210"/>
      <c r="YC24" s="210"/>
      <c r="YD24" s="210"/>
      <c r="YE24" s="210"/>
      <c r="YF24" s="210"/>
      <c r="YG24" s="210"/>
      <c r="YH24" s="210"/>
      <c r="YI24" s="210"/>
      <c r="YJ24" s="210"/>
      <c r="YK24" s="210"/>
      <c r="YL24" s="210"/>
      <c r="YM24" s="210"/>
      <c r="YN24" s="210"/>
      <c r="YO24" s="210"/>
      <c r="YP24" s="210"/>
      <c r="YQ24" s="210"/>
      <c r="YR24" s="210"/>
      <c r="YS24" s="210"/>
      <c r="YT24" s="210"/>
      <c r="YU24" s="210"/>
      <c r="YV24" s="210"/>
      <c r="YW24" s="210"/>
      <c r="YX24" s="210"/>
      <c r="YY24" s="210"/>
      <c r="YZ24" s="210"/>
      <c r="ZA24" s="210"/>
      <c r="ZB24" s="210"/>
      <c r="ZC24" s="210"/>
      <c r="ZD24" s="210"/>
      <c r="ZE24" s="210"/>
      <c r="ZF24" s="210"/>
      <c r="ZG24" s="210"/>
      <c r="ZH24" s="210"/>
      <c r="ZI24" s="210"/>
      <c r="ZJ24" s="210"/>
      <c r="ZK24" s="210"/>
      <c r="ZL24" s="210"/>
      <c r="ZM24" s="210"/>
      <c r="ZN24" s="210"/>
      <c r="ZO24" s="210"/>
      <c r="ZP24" s="210"/>
      <c r="ZQ24" s="210"/>
      <c r="ZR24" s="210"/>
      <c r="ZS24" s="210"/>
      <c r="ZT24" s="210"/>
      <c r="ZU24" s="210"/>
      <c r="ZV24" s="210"/>
      <c r="ZW24" s="210"/>
      <c r="ZX24" s="210"/>
      <c r="ZY24" s="210"/>
      <c r="ZZ24" s="210"/>
      <c r="AAA24" s="210"/>
      <c r="AAB24" s="210"/>
      <c r="AAC24" s="210"/>
      <c r="AAD24" s="210"/>
      <c r="AAE24" s="210"/>
      <c r="AAF24" s="210"/>
      <c r="AAG24" s="210"/>
      <c r="AAH24" s="210"/>
      <c r="AAI24" s="210"/>
      <c r="AAJ24" s="210"/>
      <c r="AAK24" s="210"/>
      <c r="AAL24" s="210"/>
      <c r="AAM24" s="210"/>
      <c r="AAN24" s="210"/>
      <c r="AAO24" s="210"/>
      <c r="AAP24" s="210"/>
      <c r="AAQ24" s="210"/>
      <c r="AAR24" s="210"/>
      <c r="AAS24" s="210"/>
      <c r="AAT24" s="210"/>
      <c r="AAU24" s="210"/>
      <c r="AAV24" s="210"/>
      <c r="AAW24" s="210"/>
      <c r="AAX24" s="210"/>
      <c r="AAY24" s="210"/>
      <c r="AAZ24" s="210"/>
      <c r="ABA24" s="210"/>
      <c r="ABB24" s="210"/>
      <c r="ABC24" s="210"/>
      <c r="ABD24" s="210"/>
      <c r="ABE24" s="210"/>
      <c r="ABF24" s="210"/>
      <c r="ABG24" s="210"/>
      <c r="ABH24" s="210"/>
      <c r="ABI24" s="210"/>
      <c r="ABJ24" s="210"/>
      <c r="ABK24" s="210"/>
      <c r="ABL24" s="210"/>
      <c r="ABM24" s="210"/>
      <c r="ABN24" s="210"/>
      <c r="ABO24" s="210"/>
      <c r="ABP24" s="210"/>
      <c r="ABQ24" s="210"/>
      <c r="ABR24" s="210"/>
      <c r="ABS24" s="210"/>
      <c r="ABT24" s="210"/>
      <c r="ABU24" s="210"/>
      <c r="ABV24" s="210"/>
      <c r="ABW24" s="210"/>
      <c r="ABX24" s="210"/>
      <c r="ABY24" s="210"/>
      <c r="ABZ24" s="210"/>
      <c r="ACA24" s="210"/>
      <c r="ACB24" s="210"/>
      <c r="ACC24" s="210"/>
      <c r="ACD24" s="210"/>
      <c r="ACE24" s="210"/>
      <c r="ACF24" s="210"/>
      <c r="ACG24" s="210"/>
      <c r="ACH24" s="210"/>
      <c r="ACI24" s="210"/>
      <c r="ACJ24" s="210"/>
      <c r="ACK24" s="210"/>
      <c r="ACL24" s="210"/>
      <c r="ACM24" s="210"/>
      <c r="ACN24" s="210"/>
      <c r="ACO24" s="210"/>
      <c r="ACP24" s="210"/>
      <c r="ACQ24" s="210"/>
      <c r="ACR24" s="210"/>
      <c r="ACS24" s="210"/>
      <c r="ACT24" s="210"/>
      <c r="ACU24" s="210"/>
      <c r="ACV24" s="210"/>
      <c r="ACW24" s="210"/>
      <c r="ACX24" s="210"/>
      <c r="ACY24" s="210"/>
      <c r="ACZ24" s="210"/>
      <c r="ADA24" s="210"/>
      <c r="ADB24" s="210"/>
      <c r="ADC24" s="210"/>
      <c r="ADD24" s="210"/>
      <c r="ADE24" s="210"/>
      <c r="ADF24" s="210"/>
      <c r="ADG24" s="210"/>
      <c r="ADH24" s="210"/>
      <c r="ADI24" s="210"/>
      <c r="ADJ24" s="210"/>
      <c r="ADK24" s="210"/>
      <c r="ADL24" s="210"/>
      <c r="ADM24" s="210"/>
      <c r="ADN24" s="210"/>
      <c r="ADO24" s="210"/>
      <c r="ADP24" s="210"/>
      <c r="ADQ24" s="210"/>
      <c r="ADR24" s="210"/>
      <c r="ADS24" s="210"/>
      <c r="ADT24" s="210"/>
      <c r="ADU24" s="210"/>
      <c r="ADV24" s="210"/>
      <c r="ADW24" s="210"/>
      <c r="ADX24" s="210"/>
      <c r="ADY24" s="210"/>
      <c r="ADZ24" s="210"/>
      <c r="AEA24" s="210"/>
      <c r="AEB24" s="210"/>
      <c r="AEC24" s="210"/>
      <c r="AED24" s="210"/>
      <c r="AEE24" s="210"/>
      <c r="AEF24" s="210"/>
      <c r="AEG24" s="210"/>
      <c r="AEH24" s="210"/>
      <c r="AEI24" s="210"/>
      <c r="AEJ24" s="210"/>
      <c r="AEK24" s="210"/>
      <c r="AEL24" s="210"/>
      <c r="AEM24" s="210"/>
      <c r="AEN24" s="210"/>
      <c r="AEO24" s="210"/>
      <c r="AEP24" s="210"/>
      <c r="AEQ24" s="210"/>
      <c r="AER24" s="210"/>
      <c r="AES24" s="210"/>
      <c r="AET24" s="210"/>
      <c r="AEU24" s="210"/>
      <c r="AEV24" s="210"/>
      <c r="AEW24" s="210"/>
      <c r="AEX24" s="210"/>
      <c r="AEY24" s="210"/>
      <c r="AEZ24" s="210"/>
      <c r="AFA24" s="210"/>
      <c r="AFB24" s="210"/>
      <c r="AFC24" s="210"/>
      <c r="AFD24" s="210"/>
      <c r="AFE24" s="210"/>
      <c r="AFF24" s="210"/>
      <c r="AFG24" s="210"/>
      <c r="AFH24" s="210"/>
      <c r="AFI24" s="210"/>
      <c r="AFJ24" s="210"/>
      <c r="AFK24" s="210"/>
      <c r="AFL24" s="210"/>
      <c r="AFM24" s="210"/>
      <c r="AFN24" s="210"/>
      <c r="AFO24" s="210"/>
      <c r="AFP24" s="210"/>
      <c r="AFQ24" s="210"/>
      <c r="AFR24" s="210"/>
      <c r="AFS24" s="210"/>
      <c r="AFT24" s="210"/>
      <c r="AFU24" s="210"/>
      <c r="AFV24" s="210"/>
      <c r="AFW24" s="210"/>
      <c r="AFX24" s="210"/>
      <c r="AFY24" s="210"/>
      <c r="AFZ24" s="210"/>
      <c r="AGA24" s="210"/>
      <c r="AGB24" s="210"/>
      <c r="AGC24" s="210"/>
      <c r="AGD24" s="210"/>
      <c r="AGE24" s="210"/>
      <c r="AGF24" s="210"/>
      <c r="AGG24" s="210"/>
      <c r="AGH24" s="210"/>
      <c r="AGI24" s="210"/>
      <c r="AGJ24" s="210"/>
      <c r="AGK24" s="210"/>
      <c r="AGL24" s="210"/>
      <c r="AGM24" s="210"/>
      <c r="AGN24" s="210"/>
      <c r="AGO24" s="210"/>
      <c r="AGP24" s="210"/>
      <c r="AGQ24" s="210"/>
      <c r="AGR24" s="210"/>
      <c r="AGS24" s="210"/>
      <c r="AGT24" s="210"/>
      <c r="AGU24" s="210"/>
      <c r="AGV24" s="210"/>
      <c r="AGW24" s="210"/>
      <c r="AGX24" s="210"/>
      <c r="AGY24" s="210"/>
      <c r="AGZ24" s="210"/>
      <c r="AHA24" s="210"/>
      <c r="AHB24" s="210"/>
      <c r="AHC24" s="210"/>
      <c r="AHD24" s="210"/>
      <c r="AHE24" s="210"/>
      <c r="AHF24" s="210"/>
      <c r="AHG24" s="210"/>
      <c r="AHH24" s="210"/>
      <c r="AHI24" s="210"/>
      <c r="AHJ24" s="210"/>
      <c r="AHK24" s="210"/>
      <c r="AHL24" s="210"/>
      <c r="AHM24" s="210"/>
      <c r="AHN24" s="210"/>
      <c r="AHO24" s="210"/>
      <c r="AHP24" s="210"/>
      <c r="AHQ24" s="210"/>
      <c r="AHR24" s="210"/>
      <c r="AHS24" s="210"/>
      <c r="AHT24" s="210"/>
      <c r="AHU24" s="210"/>
      <c r="AHV24" s="210"/>
      <c r="AHW24" s="210"/>
      <c r="AHX24" s="210"/>
      <c r="AHY24" s="210"/>
      <c r="AHZ24" s="210"/>
      <c r="AIA24" s="210"/>
      <c r="AIB24" s="210"/>
      <c r="AIC24" s="210"/>
      <c r="AID24" s="210"/>
      <c r="AIE24" s="210"/>
      <c r="AIF24" s="210"/>
      <c r="AIG24" s="210"/>
      <c r="AIH24" s="210"/>
      <c r="AII24" s="210"/>
      <c r="AIJ24" s="210"/>
      <c r="AIK24" s="210"/>
      <c r="AIL24" s="210"/>
      <c r="AIM24" s="210"/>
      <c r="AIN24" s="210"/>
      <c r="AIO24" s="210"/>
      <c r="AIP24" s="210"/>
      <c r="AIQ24" s="210"/>
      <c r="AIR24" s="210"/>
      <c r="AIS24" s="210"/>
      <c r="AIT24" s="210"/>
      <c r="AIU24" s="210"/>
      <c r="AIV24" s="210"/>
      <c r="AIW24" s="210"/>
      <c r="AIX24" s="210"/>
      <c r="AIY24" s="210"/>
      <c r="AIZ24" s="210"/>
      <c r="AJA24" s="210"/>
      <c r="AJB24" s="210"/>
      <c r="AJC24" s="210"/>
      <c r="AJD24" s="210"/>
      <c r="AJE24" s="210"/>
      <c r="AJF24" s="210"/>
      <c r="AJG24" s="210"/>
      <c r="AJH24" s="210"/>
      <c r="AJI24" s="210"/>
      <c r="AJJ24" s="210"/>
      <c r="AJK24" s="210"/>
      <c r="AJL24" s="210"/>
      <c r="AJM24" s="210"/>
      <c r="AJN24" s="210"/>
      <c r="AJO24" s="210"/>
      <c r="AJP24" s="210"/>
      <c r="AJQ24" s="210"/>
      <c r="AJR24" s="210"/>
      <c r="AJS24" s="210"/>
      <c r="AJT24" s="210"/>
      <c r="AJU24" s="210"/>
      <c r="AJV24" s="210"/>
      <c r="AJW24" s="210"/>
      <c r="AJX24" s="210"/>
      <c r="AJY24" s="210"/>
      <c r="AJZ24" s="210"/>
      <c r="AKA24" s="210"/>
      <c r="AKB24" s="210"/>
      <c r="AKC24" s="210"/>
      <c r="AKD24" s="210"/>
      <c r="AKE24" s="210"/>
      <c r="AKF24" s="210"/>
      <c r="AKG24" s="210"/>
      <c r="AKH24" s="210"/>
      <c r="AKI24" s="210"/>
      <c r="AKJ24" s="210"/>
      <c r="AKK24" s="210"/>
      <c r="AKL24" s="210"/>
      <c r="AKM24" s="210"/>
      <c r="AKN24" s="210"/>
      <c r="AKO24" s="210"/>
      <c r="AKP24" s="210"/>
      <c r="AKQ24" s="210"/>
      <c r="AKR24" s="210"/>
      <c r="AKS24" s="210"/>
      <c r="AKT24" s="210"/>
      <c r="AKU24" s="210"/>
      <c r="AKV24" s="210"/>
      <c r="AKW24" s="210"/>
      <c r="AKX24" s="210"/>
      <c r="AKY24" s="210"/>
      <c r="AKZ24" s="210"/>
      <c r="ALA24" s="210"/>
      <c r="ALB24" s="210"/>
      <c r="ALC24" s="210"/>
      <c r="ALD24" s="210"/>
      <c r="ALE24" s="210"/>
      <c r="ALF24" s="210"/>
      <c r="ALG24" s="210"/>
      <c r="ALH24" s="210"/>
      <c r="ALI24" s="210"/>
      <c r="ALJ24" s="210"/>
      <c r="ALK24" s="210"/>
      <c r="ALL24" s="210"/>
      <c r="ALM24" s="210"/>
      <c r="ALN24" s="210"/>
      <c r="ALO24" s="210"/>
      <c r="ALP24" s="210"/>
      <c r="ALQ24" s="210"/>
      <c r="ALR24" s="210"/>
      <c r="ALS24" s="210"/>
      <c r="ALT24" s="210"/>
      <c r="ALU24" s="210"/>
      <c r="ALV24" s="210"/>
      <c r="ALW24" s="210"/>
      <c r="ALX24" s="210"/>
      <c r="ALY24" s="210"/>
      <c r="ALZ24" s="210"/>
      <c r="AMA24" s="210"/>
      <c r="AMB24" s="210"/>
      <c r="AMC24" s="210"/>
      <c r="AMD24" s="210"/>
      <c r="AME24" s="210"/>
      <c r="AMF24" s="210"/>
      <c r="AMG24" s="210"/>
      <c r="AMH24" s="210"/>
      <c r="AMI24" s="210"/>
      <c r="AMJ24" s="210"/>
      <c r="AMK24" s="210"/>
      <c r="AML24" s="210"/>
      <c r="AMM24" s="210"/>
      <c r="AMN24" s="210"/>
      <c r="AMO24" s="210"/>
      <c r="AMP24" s="210"/>
      <c r="AMQ24" s="210"/>
      <c r="AMR24" s="210"/>
      <c r="AMS24" s="210"/>
      <c r="AMT24" s="210"/>
      <c r="AMU24" s="210"/>
      <c r="AMV24" s="210"/>
      <c r="AMW24" s="210"/>
      <c r="AMX24" s="210"/>
      <c r="AMY24" s="210"/>
      <c r="AMZ24" s="210"/>
      <c r="ANA24" s="210"/>
      <c r="ANB24" s="210"/>
      <c r="ANC24" s="210"/>
      <c r="AND24" s="210"/>
      <c r="ANE24" s="210"/>
      <c r="ANF24" s="210"/>
      <c r="ANG24" s="210"/>
      <c r="ANH24" s="210"/>
      <c r="ANI24" s="210"/>
      <c r="ANJ24" s="210"/>
      <c r="ANK24" s="210"/>
      <c r="ANL24" s="210"/>
      <c r="ANM24" s="210"/>
      <c r="ANN24" s="210"/>
      <c r="ANO24" s="210"/>
      <c r="ANP24" s="210"/>
      <c r="ANQ24" s="210"/>
      <c r="ANR24" s="210"/>
      <c r="ANS24" s="210"/>
      <c r="ANT24" s="210"/>
      <c r="ANU24" s="210"/>
      <c r="ANV24" s="210"/>
      <c r="ANW24" s="210"/>
      <c r="ANX24" s="210"/>
      <c r="ANY24" s="210"/>
      <c r="ANZ24" s="210"/>
      <c r="AOA24" s="210"/>
      <c r="AOB24" s="210"/>
      <c r="AOC24" s="210"/>
      <c r="AOD24" s="210"/>
      <c r="AOE24" s="210"/>
      <c r="AOF24" s="210"/>
      <c r="AOG24" s="210"/>
      <c r="AOH24" s="210"/>
      <c r="AOI24" s="210"/>
      <c r="AOJ24" s="210"/>
      <c r="AOK24" s="210"/>
      <c r="AOL24" s="210"/>
      <c r="AOM24" s="210"/>
      <c r="AON24" s="210"/>
      <c r="AOO24" s="210"/>
      <c r="AOP24" s="210"/>
      <c r="AOQ24" s="210"/>
      <c r="AOR24" s="210"/>
      <c r="AOS24" s="210"/>
      <c r="AOT24" s="210"/>
      <c r="AOU24" s="210"/>
      <c r="AOV24" s="210"/>
      <c r="AOW24" s="210"/>
      <c r="AOX24" s="210"/>
      <c r="AOY24" s="210"/>
      <c r="AOZ24" s="210"/>
      <c r="APA24" s="210"/>
      <c r="APB24" s="210"/>
      <c r="APC24" s="210"/>
      <c r="APD24" s="210"/>
      <c r="APE24" s="210"/>
      <c r="APF24" s="210"/>
      <c r="APG24" s="210"/>
      <c r="APH24" s="210"/>
      <c r="API24" s="210"/>
      <c r="APJ24" s="210"/>
      <c r="APK24" s="210"/>
      <c r="APL24" s="210"/>
      <c r="APM24" s="210"/>
      <c r="APN24" s="210"/>
      <c r="APO24" s="210"/>
      <c r="APP24" s="210"/>
      <c r="APQ24" s="210"/>
      <c r="APR24" s="210"/>
      <c r="APS24" s="210"/>
      <c r="APT24" s="210"/>
      <c r="APU24" s="210"/>
      <c r="APV24" s="210"/>
      <c r="APW24" s="210"/>
      <c r="APX24" s="210"/>
      <c r="APY24" s="210"/>
      <c r="APZ24" s="210"/>
      <c r="AQA24" s="210"/>
      <c r="AQB24" s="210"/>
      <c r="AQC24" s="210"/>
      <c r="AQD24" s="210"/>
      <c r="AQE24" s="210"/>
      <c r="AQF24" s="210"/>
      <c r="AQG24" s="210"/>
      <c r="AQH24" s="210"/>
      <c r="AQI24" s="210"/>
      <c r="AQJ24" s="210"/>
      <c r="AQK24" s="210"/>
      <c r="AQL24" s="210"/>
      <c r="AQM24" s="210"/>
      <c r="AQN24" s="210"/>
      <c r="AQO24" s="210"/>
      <c r="AQP24" s="210"/>
      <c r="AQQ24" s="210"/>
      <c r="AQR24" s="210"/>
      <c r="AQS24" s="210"/>
      <c r="AQT24" s="210"/>
      <c r="AQU24" s="210"/>
      <c r="AQV24" s="210"/>
      <c r="AQW24" s="210"/>
      <c r="AQX24" s="210"/>
      <c r="AQY24" s="210"/>
      <c r="AQZ24" s="210"/>
      <c r="ARA24" s="210"/>
      <c r="ARB24" s="210"/>
      <c r="ARC24" s="210"/>
      <c r="ARD24" s="210"/>
      <c r="ARE24" s="210"/>
      <c r="ARF24" s="210"/>
      <c r="ARG24" s="210"/>
      <c r="ARH24" s="210"/>
      <c r="ARI24" s="210"/>
      <c r="ARJ24" s="210"/>
      <c r="ARK24" s="210"/>
      <c r="ARL24" s="210"/>
      <c r="ARM24" s="210"/>
      <c r="ARN24" s="210"/>
      <c r="ARO24" s="210"/>
      <c r="ARP24" s="210"/>
      <c r="ARQ24" s="210"/>
      <c r="ARR24" s="210"/>
      <c r="ARS24" s="210"/>
      <c r="ART24" s="210"/>
      <c r="ARU24" s="210"/>
      <c r="ARV24" s="210"/>
      <c r="ARW24" s="210"/>
      <c r="ARX24" s="210"/>
      <c r="ARY24" s="210"/>
      <c r="ARZ24" s="210"/>
      <c r="ASA24" s="210"/>
      <c r="ASB24" s="210"/>
      <c r="ASC24" s="210"/>
      <c r="ASD24" s="210"/>
      <c r="ASE24" s="210"/>
      <c r="ASF24" s="210"/>
      <c r="ASG24" s="210"/>
      <c r="ASH24" s="210"/>
      <c r="ASI24" s="210"/>
      <c r="ASJ24" s="210"/>
      <c r="ASK24" s="210"/>
      <c r="ASL24" s="210"/>
      <c r="ASM24" s="210"/>
      <c r="ASN24" s="210"/>
      <c r="ASO24" s="210"/>
      <c r="ASP24" s="210"/>
      <c r="ASQ24" s="210"/>
      <c r="ASR24" s="210"/>
      <c r="ASS24" s="210"/>
      <c r="AST24" s="210"/>
      <c r="ASU24" s="210"/>
      <c r="ASV24" s="210"/>
      <c r="ASW24" s="210"/>
      <c r="ASX24" s="210"/>
      <c r="ASY24" s="210"/>
      <c r="ASZ24" s="210"/>
      <c r="ATA24" s="210"/>
      <c r="ATB24" s="210"/>
      <c r="ATC24" s="210"/>
      <c r="ATD24" s="210"/>
      <c r="ATE24" s="210"/>
      <c r="ATF24" s="210"/>
      <c r="ATG24" s="210"/>
      <c r="ATH24" s="210"/>
      <c r="ATI24" s="210"/>
      <c r="ATJ24" s="210"/>
      <c r="ATK24" s="210"/>
      <c r="ATL24" s="210"/>
      <c r="ATM24" s="210"/>
      <c r="ATN24" s="210"/>
      <c r="ATO24" s="210"/>
      <c r="ATP24" s="210"/>
      <c r="ATQ24" s="210"/>
      <c r="ATR24" s="210"/>
      <c r="ATS24" s="210"/>
      <c r="ATT24" s="210"/>
      <c r="ATU24" s="210"/>
      <c r="ATV24" s="210"/>
      <c r="ATW24" s="210"/>
      <c r="ATX24" s="210"/>
      <c r="ATY24" s="210"/>
      <c r="ATZ24" s="210"/>
      <c r="AUA24" s="210"/>
      <c r="AUB24" s="210"/>
      <c r="AUC24" s="210"/>
      <c r="AUD24" s="210"/>
      <c r="AUE24" s="210"/>
      <c r="AUF24" s="210"/>
      <c r="AUG24" s="210"/>
      <c r="AUH24" s="210"/>
      <c r="AUI24" s="210"/>
      <c r="AUJ24" s="210"/>
      <c r="AUK24" s="210"/>
      <c r="AUL24" s="210"/>
      <c r="AUM24" s="210"/>
      <c r="AUN24" s="210"/>
      <c r="AUO24" s="210"/>
      <c r="AUP24" s="210"/>
      <c r="AUQ24" s="210"/>
      <c r="AUR24" s="210"/>
      <c r="AUS24" s="210"/>
      <c r="AUT24" s="210"/>
      <c r="AUU24" s="210"/>
      <c r="AUV24" s="210"/>
      <c r="AUW24" s="210"/>
      <c r="AUX24" s="210"/>
      <c r="AUY24" s="210"/>
      <c r="AUZ24" s="210"/>
      <c r="AVA24" s="210"/>
      <c r="AVB24" s="210"/>
      <c r="AVC24" s="210"/>
      <c r="AVD24" s="210"/>
      <c r="AVE24" s="210"/>
      <c r="AVF24" s="210"/>
      <c r="AVG24" s="210"/>
      <c r="AVH24" s="210"/>
      <c r="AVI24" s="210"/>
      <c r="AVJ24" s="210"/>
      <c r="AVK24" s="210"/>
      <c r="AVL24" s="210"/>
      <c r="AVM24" s="210"/>
      <c r="AVN24" s="210"/>
      <c r="AVO24" s="210"/>
      <c r="AVP24" s="210"/>
      <c r="AVQ24" s="210"/>
      <c r="AVR24" s="210"/>
      <c r="AVS24" s="210"/>
      <c r="AVT24" s="210"/>
      <c r="AVU24" s="210"/>
      <c r="AVV24" s="210"/>
      <c r="AVW24" s="210"/>
      <c r="AVX24" s="210"/>
      <c r="AVY24" s="210"/>
      <c r="AVZ24" s="210"/>
      <c r="AWA24" s="210"/>
      <c r="AWB24" s="210"/>
      <c r="AWC24" s="210"/>
      <c r="AWD24" s="210"/>
      <c r="AWE24" s="210"/>
      <c r="AWF24" s="210"/>
      <c r="AWG24" s="210"/>
      <c r="AWH24" s="210"/>
      <c r="AWI24" s="210"/>
      <c r="AWJ24" s="210"/>
      <c r="AWK24" s="210"/>
      <c r="AWL24" s="210"/>
      <c r="AWM24" s="210"/>
      <c r="AWN24" s="210"/>
      <c r="AWO24" s="210"/>
      <c r="AWP24" s="210"/>
      <c r="AWQ24" s="210"/>
      <c r="AWR24" s="210"/>
      <c r="AWS24" s="210"/>
      <c r="AWT24" s="210"/>
      <c r="AWU24" s="210"/>
      <c r="AWV24" s="210"/>
      <c r="AWW24" s="210"/>
      <c r="AWX24" s="210"/>
      <c r="AWY24" s="210"/>
      <c r="AWZ24" s="210"/>
      <c r="AXA24" s="210"/>
      <c r="AXB24" s="210"/>
      <c r="AXC24" s="210"/>
      <c r="AXD24" s="210"/>
      <c r="AXE24" s="210"/>
      <c r="AXF24" s="210"/>
      <c r="AXG24" s="210"/>
      <c r="AXH24" s="210"/>
      <c r="AXI24" s="210"/>
      <c r="AXJ24" s="210"/>
      <c r="AXK24" s="210"/>
      <c r="AXL24" s="210"/>
      <c r="AXM24" s="210"/>
      <c r="AXN24" s="210"/>
      <c r="AXO24" s="210"/>
      <c r="AXP24" s="210"/>
      <c r="AXQ24" s="210"/>
      <c r="AXR24" s="210"/>
      <c r="AXS24" s="210"/>
      <c r="AXT24" s="210"/>
      <c r="AXU24" s="210"/>
      <c r="AXV24" s="210"/>
      <c r="AXW24" s="210"/>
      <c r="AXX24" s="210"/>
      <c r="AXY24" s="210"/>
      <c r="AXZ24" s="210"/>
      <c r="AYA24" s="210"/>
      <c r="AYB24" s="210"/>
      <c r="AYC24" s="210"/>
      <c r="AYD24" s="210"/>
      <c r="AYE24" s="210"/>
      <c r="AYF24" s="210"/>
      <c r="AYG24" s="210"/>
      <c r="AYH24" s="210"/>
      <c r="AYI24" s="210"/>
      <c r="AYJ24" s="210"/>
      <c r="AYK24" s="210"/>
      <c r="AYL24" s="210"/>
      <c r="AYM24" s="210"/>
      <c r="AYN24" s="210"/>
      <c r="AYO24" s="210"/>
      <c r="AYP24" s="210"/>
      <c r="AYQ24" s="210"/>
      <c r="AYR24" s="210"/>
      <c r="AYS24" s="210"/>
      <c r="AYT24" s="210"/>
      <c r="AYU24" s="210"/>
      <c r="AYV24" s="210"/>
      <c r="AYW24" s="210"/>
      <c r="AYX24" s="210"/>
      <c r="AYY24" s="210"/>
      <c r="AYZ24" s="210"/>
      <c r="AZA24" s="210"/>
      <c r="AZB24" s="210"/>
      <c r="AZC24" s="210"/>
      <c r="AZD24" s="210"/>
      <c r="AZE24" s="210"/>
      <c r="AZF24" s="210"/>
      <c r="AZG24" s="210"/>
      <c r="AZH24" s="210"/>
      <c r="AZI24" s="210"/>
      <c r="AZJ24" s="210"/>
      <c r="AZK24" s="210"/>
      <c r="AZL24" s="210"/>
      <c r="AZM24" s="210"/>
      <c r="AZN24" s="210"/>
      <c r="AZO24" s="210"/>
      <c r="AZP24" s="210"/>
      <c r="AZQ24" s="210"/>
      <c r="AZR24" s="210"/>
      <c r="AZS24" s="210"/>
      <c r="AZT24" s="210"/>
      <c r="AZU24" s="210"/>
      <c r="AZV24" s="210"/>
      <c r="AZW24" s="210"/>
      <c r="AZX24" s="210"/>
      <c r="AZY24" s="210"/>
      <c r="AZZ24" s="210"/>
      <c r="BAA24" s="210"/>
      <c r="BAB24" s="210"/>
      <c r="BAC24" s="210"/>
      <c r="BAD24" s="210"/>
      <c r="BAE24" s="210"/>
      <c r="BAF24" s="210"/>
      <c r="BAG24" s="210"/>
      <c r="BAH24" s="210"/>
      <c r="BAI24" s="210"/>
      <c r="BAJ24" s="210"/>
      <c r="BAK24" s="210"/>
      <c r="BAL24" s="210"/>
      <c r="BAM24" s="210"/>
      <c r="BAN24" s="210"/>
      <c r="BAO24" s="210"/>
      <c r="BAP24" s="210"/>
      <c r="BAQ24" s="210"/>
      <c r="BAR24" s="210"/>
      <c r="BAS24" s="210"/>
      <c r="BAT24" s="210"/>
      <c r="BAU24" s="210"/>
      <c r="BAV24" s="210"/>
      <c r="BAW24" s="210"/>
      <c r="BAX24" s="210"/>
      <c r="BAY24" s="210"/>
      <c r="BAZ24" s="210"/>
      <c r="BBA24" s="210"/>
      <c r="BBB24" s="210"/>
      <c r="BBC24" s="210"/>
      <c r="BBD24" s="210"/>
      <c r="BBE24" s="210"/>
      <c r="BBF24" s="210"/>
      <c r="BBG24" s="210"/>
      <c r="BBH24" s="210"/>
      <c r="BBI24" s="210"/>
      <c r="BBJ24" s="210"/>
      <c r="BBK24" s="210"/>
      <c r="BBL24" s="210"/>
      <c r="BBM24" s="210"/>
      <c r="BBN24" s="210"/>
      <c r="BBO24" s="210"/>
      <c r="BBP24" s="210"/>
      <c r="BBQ24" s="210"/>
      <c r="BBR24" s="210"/>
      <c r="BBS24" s="210"/>
      <c r="BBT24" s="210"/>
      <c r="BBU24" s="210"/>
      <c r="BBV24" s="210"/>
      <c r="BBW24" s="210"/>
      <c r="BBX24" s="210"/>
      <c r="BBY24" s="210"/>
      <c r="BBZ24" s="210"/>
      <c r="BCA24" s="210"/>
      <c r="BCB24" s="210"/>
      <c r="BCC24" s="210"/>
      <c r="BCD24" s="210"/>
      <c r="BCE24" s="210"/>
      <c r="BCF24" s="210"/>
      <c r="BCG24" s="210"/>
      <c r="BCH24" s="210"/>
      <c r="BCI24" s="210"/>
      <c r="BCJ24" s="210"/>
      <c r="BCK24" s="210"/>
      <c r="BCL24" s="210"/>
      <c r="BCM24" s="210"/>
      <c r="BCN24" s="210"/>
      <c r="BCO24" s="210"/>
      <c r="BCP24" s="210"/>
      <c r="BCQ24" s="210"/>
      <c r="BCR24" s="210"/>
      <c r="BCS24" s="210"/>
      <c r="BCT24" s="210"/>
      <c r="BCU24" s="210"/>
      <c r="BCV24" s="210"/>
      <c r="BCW24" s="210"/>
      <c r="BCX24" s="210"/>
      <c r="BCY24" s="210"/>
      <c r="BCZ24" s="210"/>
      <c r="BDA24" s="210"/>
      <c r="BDB24" s="210"/>
      <c r="BDC24" s="210"/>
      <c r="BDD24" s="210"/>
      <c r="BDE24" s="210"/>
      <c r="BDF24" s="210"/>
      <c r="BDG24" s="210"/>
      <c r="BDH24" s="210"/>
      <c r="BDI24" s="210"/>
      <c r="BDJ24" s="210"/>
      <c r="BDK24" s="210"/>
      <c r="BDL24" s="210"/>
      <c r="BDM24" s="210"/>
      <c r="BDN24" s="210"/>
      <c r="BDO24" s="210"/>
      <c r="BDP24" s="210"/>
      <c r="BDQ24" s="210"/>
      <c r="BDR24" s="210"/>
      <c r="BDS24" s="210"/>
      <c r="BDT24" s="210"/>
      <c r="BDU24" s="210"/>
      <c r="BDV24" s="210"/>
      <c r="BDW24" s="210"/>
      <c r="BDX24" s="210"/>
      <c r="BDY24" s="210"/>
      <c r="BDZ24" s="210"/>
      <c r="BEA24" s="210"/>
      <c r="BEB24" s="210"/>
      <c r="BEC24" s="210"/>
      <c r="BED24" s="210"/>
      <c r="BEE24" s="210"/>
      <c r="BEF24" s="210"/>
      <c r="BEG24" s="210"/>
      <c r="BEH24" s="210"/>
      <c r="BEI24" s="210"/>
      <c r="BEJ24" s="210"/>
      <c r="BEK24" s="210"/>
      <c r="BEL24" s="210"/>
      <c r="BEM24" s="210"/>
      <c r="BEN24" s="210"/>
      <c r="BEO24" s="210"/>
      <c r="BEP24" s="210"/>
      <c r="BEQ24" s="210"/>
      <c r="BER24" s="210"/>
      <c r="BES24" s="210"/>
      <c r="BET24" s="210"/>
      <c r="BEU24" s="210"/>
      <c r="BEV24" s="210"/>
      <c r="BEW24" s="210"/>
      <c r="BEX24" s="210"/>
      <c r="BEY24" s="210"/>
      <c r="BEZ24" s="210"/>
      <c r="BFA24" s="210"/>
      <c r="BFB24" s="210"/>
      <c r="BFC24" s="210"/>
      <c r="BFD24" s="210"/>
      <c r="BFE24" s="210"/>
      <c r="BFF24" s="210"/>
      <c r="BFG24" s="210"/>
      <c r="BFH24" s="210"/>
      <c r="BFI24" s="210"/>
      <c r="BFJ24" s="210"/>
      <c r="BFK24" s="210"/>
      <c r="BFL24" s="210"/>
      <c r="BFM24" s="210"/>
      <c r="BFN24" s="210"/>
      <c r="BFO24" s="210"/>
      <c r="BFP24" s="210"/>
      <c r="BFQ24" s="210"/>
      <c r="BFR24" s="210"/>
      <c r="BFS24" s="210"/>
      <c r="BFT24" s="210"/>
      <c r="BFU24" s="210"/>
      <c r="BFV24" s="210"/>
      <c r="BFW24" s="210"/>
      <c r="BFX24" s="210"/>
      <c r="BFY24" s="210"/>
      <c r="BFZ24" s="210"/>
      <c r="BGA24" s="210"/>
      <c r="BGB24" s="210"/>
      <c r="BGC24" s="210"/>
      <c r="BGD24" s="210"/>
      <c r="BGE24" s="210"/>
      <c r="BGF24" s="210"/>
      <c r="BGG24" s="210"/>
      <c r="BGH24" s="210"/>
      <c r="BGI24" s="210"/>
      <c r="BGJ24" s="210"/>
      <c r="BGK24" s="210"/>
      <c r="BGL24" s="210"/>
      <c r="BGM24" s="210"/>
      <c r="BGN24" s="210"/>
      <c r="BGO24" s="210"/>
      <c r="BGP24" s="210"/>
      <c r="BGQ24" s="210"/>
      <c r="BGR24" s="210"/>
      <c r="BGS24" s="210"/>
      <c r="BGT24" s="210"/>
      <c r="BGU24" s="210"/>
      <c r="BGV24" s="210"/>
      <c r="BGW24" s="210"/>
      <c r="BGX24" s="210"/>
      <c r="BGY24" s="210"/>
      <c r="BGZ24" s="210"/>
      <c r="BHA24" s="210"/>
      <c r="BHB24" s="210"/>
      <c r="BHC24" s="210"/>
      <c r="BHD24" s="210"/>
      <c r="BHE24" s="210"/>
      <c r="BHF24" s="210"/>
      <c r="BHG24" s="210"/>
      <c r="BHH24" s="210"/>
      <c r="BHI24" s="210"/>
      <c r="BHJ24" s="210"/>
      <c r="BHK24" s="210"/>
      <c r="BHL24" s="210"/>
      <c r="BHM24" s="210"/>
      <c r="BHN24" s="210"/>
      <c r="BHO24" s="210"/>
      <c r="BHP24" s="210"/>
      <c r="BHQ24" s="210"/>
      <c r="BHR24" s="210"/>
      <c r="BHS24" s="210"/>
      <c r="BHT24" s="210"/>
      <c r="BHU24" s="210"/>
      <c r="BHV24" s="210"/>
      <c r="BHW24" s="210"/>
      <c r="BHX24" s="210"/>
      <c r="BHY24" s="210"/>
      <c r="BHZ24" s="210"/>
      <c r="BIA24" s="210"/>
      <c r="BIB24" s="210"/>
      <c r="BIC24" s="210"/>
      <c r="BID24" s="210"/>
      <c r="BIE24" s="210"/>
      <c r="BIF24" s="210"/>
      <c r="BIG24" s="210"/>
      <c r="BIH24" s="210"/>
      <c r="BII24" s="210"/>
      <c r="BIJ24" s="210"/>
      <c r="BIK24" s="210"/>
      <c r="BIL24" s="210"/>
      <c r="BIM24" s="210"/>
      <c r="BIN24" s="210"/>
      <c r="BIO24" s="210"/>
      <c r="BIP24" s="210"/>
      <c r="BIQ24" s="210"/>
      <c r="BIR24" s="210"/>
      <c r="BIS24" s="210"/>
      <c r="BIT24" s="210"/>
      <c r="BIU24" s="210"/>
      <c r="BIV24" s="210"/>
      <c r="BIW24" s="210"/>
      <c r="BIX24" s="210"/>
      <c r="BIY24" s="210"/>
      <c r="BIZ24" s="210"/>
      <c r="BJA24" s="210"/>
      <c r="BJB24" s="210"/>
      <c r="BJC24" s="210"/>
      <c r="BJD24" s="210"/>
      <c r="BJE24" s="210"/>
      <c r="BJF24" s="210"/>
      <c r="BJG24" s="210"/>
      <c r="BJH24" s="210"/>
      <c r="BJI24" s="210"/>
      <c r="BJJ24" s="210"/>
      <c r="BJK24" s="210"/>
      <c r="BJL24" s="210"/>
      <c r="BJM24" s="210"/>
      <c r="BJN24" s="210"/>
      <c r="BJO24" s="210"/>
      <c r="BJP24" s="210"/>
      <c r="BJQ24" s="210"/>
      <c r="BJR24" s="210"/>
      <c r="BJS24" s="210"/>
      <c r="BJT24" s="210"/>
      <c r="BJU24" s="210"/>
      <c r="BJV24" s="210"/>
      <c r="BJW24" s="210"/>
      <c r="BJX24" s="210"/>
      <c r="BJY24" s="210"/>
      <c r="BJZ24" s="210"/>
      <c r="BKA24" s="210"/>
      <c r="BKB24" s="210"/>
      <c r="BKC24" s="210"/>
      <c r="BKD24" s="210"/>
      <c r="BKE24" s="210"/>
      <c r="BKF24" s="210"/>
      <c r="BKG24" s="210"/>
      <c r="BKH24" s="210"/>
      <c r="BKI24" s="210"/>
      <c r="BKJ24" s="210"/>
      <c r="BKK24" s="210"/>
      <c r="BKL24" s="210"/>
      <c r="BKM24" s="210"/>
      <c r="BKN24" s="210"/>
      <c r="BKO24" s="210"/>
      <c r="BKP24" s="210"/>
      <c r="BKQ24" s="210"/>
      <c r="BKR24" s="210"/>
      <c r="BKS24" s="210"/>
      <c r="BKT24" s="210"/>
      <c r="BKU24" s="210"/>
      <c r="BKV24" s="210"/>
      <c r="BKW24" s="210"/>
      <c r="BKX24" s="210"/>
      <c r="BKY24" s="210"/>
      <c r="BKZ24" s="210"/>
      <c r="BLA24" s="210"/>
      <c r="BLB24" s="210"/>
      <c r="BLC24" s="210"/>
      <c r="BLD24" s="210"/>
      <c r="BLE24" s="210"/>
      <c r="BLF24" s="210"/>
      <c r="BLG24" s="210"/>
      <c r="BLH24" s="210"/>
      <c r="BLI24" s="210"/>
      <c r="BLJ24" s="210"/>
      <c r="BLK24" s="210"/>
      <c r="BLL24" s="210"/>
      <c r="BLM24" s="210"/>
      <c r="BLN24" s="210"/>
      <c r="BLO24" s="210"/>
      <c r="BLP24" s="210"/>
      <c r="BLQ24" s="210"/>
      <c r="BLR24" s="210"/>
      <c r="BLS24" s="210"/>
      <c r="BLT24" s="210"/>
      <c r="BLU24" s="210"/>
      <c r="BLV24" s="210"/>
      <c r="BLW24" s="210"/>
      <c r="BLX24" s="210"/>
      <c r="BLY24" s="210"/>
      <c r="BLZ24" s="210"/>
      <c r="BMA24" s="210"/>
      <c r="BMB24" s="210"/>
      <c r="BMC24" s="210"/>
      <c r="BMD24" s="210"/>
      <c r="BME24" s="210"/>
      <c r="BMF24" s="210"/>
      <c r="BMG24" s="210"/>
      <c r="BMH24" s="210"/>
      <c r="BMI24" s="210"/>
      <c r="BMJ24" s="210"/>
      <c r="BMK24" s="210"/>
      <c r="BML24" s="210"/>
      <c r="BMM24" s="210"/>
      <c r="BMN24" s="210"/>
      <c r="BMO24" s="210"/>
      <c r="BMP24" s="210"/>
      <c r="BMQ24" s="210"/>
      <c r="BMR24" s="210"/>
      <c r="BMS24" s="210"/>
      <c r="BMT24" s="210"/>
      <c r="BMU24" s="210"/>
      <c r="BMV24" s="210"/>
      <c r="BMW24" s="210"/>
      <c r="BMX24" s="210"/>
      <c r="BMY24" s="210"/>
      <c r="BMZ24" s="210"/>
      <c r="BNA24" s="210"/>
      <c r="BNB24" s="210"/>
      <c r="BNC24" s="210"/>
      <c r="BND24" s="210"/>
      <c r="BNE24" s="210"/>
      <c r="BNF24" s="210"/>
      <c r="BNG24" s="210"/>
      <c r="BNH24" s="210"/>
      <c r="BNI24" s="210"/>
      <c r="BNJ24" s="210"/>
      <c r="BNK24" s="210"/>
      <c r="BNL24" s="210"/>
      <c r="BNM24" s="210"/>
      <c r="BNN24" s="210"/>
      <c r="BNO24" s="210"/>
      <c r="BNP24" s="210"/>
      <c r="BNQ24" s="210"/>
      <c r="BNR24" s="210"/>
      <c r="BNS24" s="210"/>
      <c r="BNT24" s="210"/>
      <c r="BNU24" s="210"/>
      <c r="BNV24" s="210"/>
      <c r="BNW24" s="210"/>
      <c r="BNX24" s="210"/>
      <c r="BNY24" s="210"/>
      <c r="BNZ24" s="210"/>
      <c r="BOA24" s="210"/>
      <c r="BOB24" s="210"/>
      <c r="BOC24" s="210"/>
      <c r="BOD24" s="210"/>
      <c r="BOE24" s="210"/>
      <c r="BOF24" s="210"/>
      <c r="BOG24" s="210"/>
      <c r="BOH24" s="210"/>
      <c r="BOI24" s="210"/>
      <c r="BOJ24" s="210"/>
      <c r="BOK24" s="210"/>
      <c r="BOL24" s="210"/>
      <c r="BOM24" s="210"/>
      <c r="BON24" s="210"/>
      <c r="BOO24" s="210"/>
      <c r="BOP24" s="210"/>
      <c r="BOQ24" s="210"/>
      <c r="BOR24" s="210"/>
      <c r="BOS24" s="210"/>
      <c r="BOT24" s="210"/>
      <c r="BOU24" s="210"/>
      <c r="BOV24" s="210"/>
      <c r="BOW24" s="210"/>
      <c r="BOX24" s="210"/>
      <c r="BOY24" s="210"/>
      <c r="BOZ24" s="210"/>
      <c r="BPA24" s="210"/>
      <c r="BPB24" s="210"/>
      <c r="BPC24" s="210"/>
      <c r="BPD24" s="210"/>
      <c r="BPE24" s="210"/>
      <c r="BPF24" s="210"/>
      <c r="BPG24" s="210"/>
      <c r="BPH24" s="210"/>
      <c r="BPI24" s="210"/>
      <c r="BPJ24" s="210"/>
      <c r="BPK24" s="210"/>
      <c r="BPL24" s="210"/>
      <c r="BPM24" s="210"/>
      <c r="BPN24" s="210"/>
      <c r="BPO24" s="210"/>
      <c r="BPP24" s="210"/>
      <c r="BPQ24" s="210"/>
      <c r="BPR24" s="210"/>
      <c r="BPS24" s="210"/>
      <c r="BPT24" s="210"/>
      <c r="BPU24" s="210"/>
      <c r="BPV24" s="210"/>
      <c r="BPW24" s="210"/>
      <c r="BPX24" s="210"/>
      <c r="BPY24" s="210"/>
      <c r="BPZ24" s="210"/>
      <c r="BQA24" s="210"/>
      <c r="BQB24" s="210"/>
      <c r="BQC24" s="210"/>
      <c r="BQD24" s="210"/>
      <c r="BQE24" s="210"/>
      <c r="BQF24" s="210"/>
      <c r="BQG24" s="210"/>
      <c r="BQH24" s="210"/>
      <c r="BQI24" s="210"/>
      <c r="BQJ24" s="210"/>
      <c r="BQK24" s="210"/>
      <c r="BQL24" s="210"/>
      <c r="BQM24" s="210"/>
      <c r="BQN24" s="210"/>
      <c r="BQO24" s="210"/>
      <c r="BQP24" s="210"/>
      <c r="BQQ24" s="210"/>
      <c r="BQR24" s="210"/>
      <c r="BQS24" s="210"/>
      <c r="BQT24" s="210"/>
      <c r="BQU24" s="210"/>
      <c r="BQV24" s="210"/>
      <c r="BQW24" s="210"/>
      <c r="BQX24" s="210"/>
      <c r="BQY24" s="210"/>
      <c r="BQZ24" s="210"/>
      <c r="BRA24" s="210"/>
      <c r="BRB24" s="210"/>
      <c r="BRC24" s="210"/>
      <c r="BRD24" s="210"/>
      <c r="BRE24" s="210"/>
      <c r="BRF24" s="210"/>
      <c r="BRG24" s="210"/>
      <c r="BRH24" s="210"/>
      <c r="BRI24" s="210"/>
      <c r="BRJ24" s="210"/>
      <c r="BRK24" s="210"/>
      <c r="BRL24" s="210"/>
      <c r="BRM24" s="210"/>
      <c r="BRN24" s="210"/>
      <c r="BRO24" s="210"/>
      <c r="BRP24" s="210"/>
      <c r="BRQ24" s="210"/>
      <c r="BRR24" s="210"/>
      <c r="BRS24" s="210"/>
      <c r="BRT24" s="210"/>
      <c r="BRU24" s="210"/>
      <c r="BRV24" s="210"/>
      <c r="BRW24" s="210"/>
      <c r="BRX24" s="210"/>
      <c r="BRY24" s="210"/>
      <c r="BRZ24" s="210"/>
      <c r="BSA24" s="210"/>
      <c r="BSB24" s="210"/>
      <c r="BSC24" s="210"/>
      <c r="BSD24" s="210"/>
      <c r="BSE24" s="210"/>
      <c r="BSF24" s="210"/>
      <c r="BSG24" s="210"/>
      <c r="BSH24" s="210"/>
      <c r="BSI24" s="210"/>
      <c r="BSJ24" s="210"/>
      <c r="BSK24" s="210"/>
      <c r="BSL24" s="210"/>
      <c r="BSM24" s="210"/>
      <c r="BSN24" s="210"/>
      <c r="BSO24" s="210"/>
      <c r="BSP24" s="210"/>
      <c r="BSQ24" s="210"/>
      <c r="BSR24" s="210"/>
      <c r="BSS24" s="210"/>
      <c r="BST24" s="210"/>
      <c r="BSU24" s="210"/>
      <c r="BSV24" s="210"/>
      <c r="BSW24" s="210"/>
      <c r="BSX24" s="210"/>
      <c r="BSY24" s="210"/>
      <c r="BSZ24" s="210"/>
      <c r="BTA24" s="210"/>
      <c r="BTB24" s="210"/>
      <c r="BTC24" s="210"/>
      <c r="BTD24" s="210"/>
      <c r="BTE24" s="210"/>
      <c r="BTF24" s="210"/>
      <c r="BTG24" s="210"/>
      <c r="BTH24" s="210"/>
      <c r="BTI24" s="210"/>
      <c r="BTJ24" s="210"/>
      <c r="BTK24" s="210"/>
      <c r="BTL24" s="210"/>
      <c r="BTM24" s="210"/>
      <c r="BTN24" s="210"/>
      <c r="BTO24" s="210"/>
      <c r="BTP24" s="210"/>
      <c r="BTQ24" s="210"/>
      <c r="BTR24" s="210"/>
      <c r="BTS24" s="210"/>
      <c r="BTT24" s="210"/>
      <c r="BTU24" s="210"/>
      <c r="BTV24" s="210"/>
      <c r="BTW24" s="210"/>
      <c r="BTX24" s="210"/>
      <c r="BTY24" s="210"/>
      <c r="BTZ24" s="210"/>
      <c r="BUA24" s="210"/>
      <c r="BUB24" s="210"/>
      <c r="BUC24" s="210"/>
      <c r="BUD24" s="210"/>
      <c r="BUE24" s="210"/>
      <c r="BUF24" s="210"/>
      <c r="BUG24" s="210"/>
      <c r="BUH24" s="210"/>
      <c r="BUI24" s="210"/>
      <c r="BUJ24" s="210"/>
      <c r="BUK24" s="210"/>
      <c r="BUL24" s="210"/>
      <c r="BUM24" s="210"/>
      <c r="BUN24" s="210"/>
      <c r="BUO24" s="210"/>
      <c r="BUP24" s="210"/>
      <c r="BUQ24" s="210"/>
      <c r="BUR24" s="210"/>
      <c r="BUS24" s="210"/>
      <c r="BUT24" s="210"/>
      <c r="BUU24" s="210"/>
      <c r="BUV24" s="210"/>
      <c r="BUW24" s="210"/>
      <c r="BUX24" s="210"/>
      <c r="BUY24" s="210"/>
      <c r="BUZ24" s="210"/>
      <c r="BVA24" s="210"/>
      <c r="BVB24" s="210"/>
      <c r="BVC24" s="210"/>
      <c r="BVD24" s="210"/>
      <c r="BVE24" s="210"/>
      <c r="BVF24" s="210"/>
      <c r="BVG24" s="210"/>
      <c r="BVH24" s="210"/>
      <c r="BVI24" s="210"/>
      <c r="BVJ24" s="210"/>
      <c r="BVK24" s="210"/>
      <c r="BVL24" s="210"/>
      <c r="BVM24" s="210"/>
      <c r="BVN24" s="210"/>
      <c r="BVO24" s="210"/>
      <c r="BVP24" s="210"/>
      <c r="BVQ24" s="210"/>
      <c r="BVR24" s="210"/>
      <c r="BVS24" s="210"/>
      <c r="BVT24" s="210"/>
      <c r="BVU24" s="210"/>
      <c r="BVV24" s="210"/>
      <c r="BVW24" s="210"/>
      <c r="BVX24" s="210"/>
      <c r="BVY24" s="210"/>
      <c r="BVZ24" s="210"/>
      <c r="BWA24" s="210"/>
      <c r="BWB24" s="210"/>
      <c r="BWC24" s="210"/>
      <c r="BWD24" s="210"/>
      <c r="BWE24" s="210"/>
      <c r="BWF24" s="210"/>
      <c r="BWG24" s="210"/>
      <c r="BWH24" s="210"/>
      <c r="BWI24" s="210"/>
      <c r="BWJ24" s="210"/>
      <c r="BWK24" s="210"/>
      <c r="BWL24" s="210"/>
      <c r="BWM24" s="210"/>
      <c r="BWN24" s="210"/>
      <c r="BWO24" s="210"/>
      <c r="BWP24" s="210"/>
      <c r="BWQ24" s="210"/>
      <c r="BWR24" s="210"/>
      <c r="BWS24" s="210"/>
      <c r="BWT24" s="210"/>
      <c r="BWU24" s="210"/>
      <c r="BWV24" s="210"/>
      <c r="BWW24" s="210"/>
      <c r="BWX24" s="210"/>
      <c r="BWY24" s="210"/>
      <c r="BWZ24" s="210"/>
      <c r="BXA24" s="210"/>
      <c r="BXB24" s="210"/>
      <c r="BXC24" s="210"/>
      <c r="BXD24" s="210"/>
      <c r="BXE24" s="210"/>
      <c r="BXF24" s="210"/>
      <c r="BXG24" s="210"/>
      <c r="BXH24" s="210"/>
      <c r="BXI24" s="210"/>
      <c r="BXJ24" s="210"/>
      <c r="BXK24" s="210"/>
      <c r="BXL24" s="210"/>
      <c r="BXM24" s="210"/>
      <c r="BXN24" s="210"/>
      <c r="BXO24" s="210"/>
      <c r="BXP24" s="210"/>
      <c r="BXQ24" s="210"/>
      <c r="BXR24" s="210"/>
      <c r="BXS24" s="210"/>
      <c r="BXT24" s="210"/>
      <c r="BXU24" s="210"/>
      <c r="BXV24" s="210"/>
      <c r="BXW24" s="210"/>
      <c r="BXX24" s="210"/>
      <c r="BXY24" s="210"/>
      <c r="BXZ24" s="210"/>
      <c r="BYA24" s="210"/>
      <c r="BYB24" s="210"/>
      <c r="BYC24" s="210"/>
      <c r="BYD24" s="210"/>
      <c r="BYE24" s="210"/>
      <c r="BYF24" s="210"/>
      <c r="BYG24" s="210"/>
      <c r="BYH24" s="210"/>
      <c r="BYI24" s="210"/>
      <c r="BYJ24" s="210"/>
      <c r="BYK24" s="210"/>
      <c r="BYL24" s="210"/>
      <c r="BYM24" s="210"/>
      <c r="BYN24" s="210"/>
      <c r="BYO24" s="210"/>
      <c r="BYP24" s="210"/>
      <c r="BYQ24" s="210"/>
      <c r="BYR24" s="210"/>
      <c r="BYS24" s="210"/>
      <c r="BYT24" s="210"/>
      <c r="BYU24" s="210"/>
      <c r="BYV24" s="210"/>
      <c r="BYW24" s="210"/>
      <c r="BYX24" s="210"/>
      <c r="BYY24" s="210"/>
      <c r="BYZ24" s="210"/>
      <c r="BZA24" s="210"/>
      <c r="BZB24" s="210"/>
      <c r="BZC24" s="210"/>
      <c r="BZD24" s="210"/>
      <c r="BZE24" s="210"/>
      <c r="BZF24" s="210"/>
      <c r="BZG24" s="210"/>
      <c r="BZH24" s="210"/>
      <c r="BZI24" s="210"/>
      <c r="BZJ24" s="210"/>
      <c r="BZK24" s="210"/>
      <c r="BZL24" s="210"/>
      <c r="BZM24" s="210"/>
      <c r="BZN24" s="210"/>
      <c r="BZO24" s="210"/>
      <c r="BZP24" s="210"/>
      <c r="BZQ24" s="210"/>
      <c r="BZR24" s="210"/>
      <c r="BZS24" s="210"/>
      <c r="BZT24" s="210"/>
      <c r="BZU24" s="210"/>
      <c r="BZV24" s="210"/>
      <c r="BZW24" s="210"/>
      <c r="BZX24" s="210"/>
      <c r="BZY24" s="210"/>
      <c r="BZZ24" s="210"/>
      <c r="CAA24" s="210"/>
      <c r="CAB24" s="210"/>
      <c r="CAC24" s="210"/>
      <c r="CAD24" s="210"/>
      <c r="CAE24" s="210"/>
      <c r="CAF24" s="210"/>
      <c r="CAG24" s="210"/>
      <c r="CAH24" s="210"/>
      <c r="CAI24" s="210"/>
      <c r="CAJ24" s="210"/>
      <c r="CAK24" s="210"/>
      <c r="CAL24" s="210"/>
      <c r="CAM24" s="210"/>
      <c r="CAN24" s="210"/>
      <c r="CAO24" s="210"/>
      <c r="CAP24" s="210"/>
      <c r="CAQ24" s="210"/>
      <c r="CAR24" s="210"/>
      <c r="CAS24" s="210"/>
      <c r="CAT24" s="210"/>
      <c r="CAU24" s="210"/>
      <c r="CAV24" s="210"/>
      <c r="CAW24" s="210"/>
      <c r="CAX24" s="210"/>
      <c r="CAY24" s="210"/>
      <c r="CAZ24" s="210"/>
      <c r="CBA24" s="210"/>
      <c r="CBB24" s="210"/>
      <c r="CBC24" s="210"/>
      <c r="CBD24" s="210"/>
      <c r="CBE24" s="210"/>
      <c r="CBF24" s="210"/>
      <c r="CBG24" s="210"/>
      <c r="CBH24" s="210"/>
      <c r="CBI24" s="210"/>
      <c r="CBJ24" s="210"/>
      <c r="CBK24" s="210"/>
      <c r="CBL24" s="210"/>
      <c r="CBM24" s="210"/>
      <c r="CBN24" s="210"/>
      <c r="CBO24" s="210"/>
      <c r="CBP24" s="210"/>
      <c r="CBQ24" s="210"/>
      <c r="CBR24" s="210"/>
      <c r="CBS24" s="210"/>
      <c r="CBT24" s="210"/>
      <c r="CBU24" s="210"/>
      <c r="CBV24" s="210"/>
      <c r="CBW24" s="210"/>
      <c r="CBX24" s="210"/>
      <c r="CBY24" s="210"/>
      <c r="CBZ24" s="210"/>
      <c r="CCA24" s="210"/>
      <c r="CCB24" s="210"/>
      <c r="CCC24" s="210"/>
      <c r="CCD24" s="210"/>
      <c r="CCE24" s="210"/>
      <c r="CCF24" s="210"/>
      <c r="CCG24" s="210"/>
      <c r="CCH24" s="210"/>
      <c r="CCI24" s="210"/>
      <c r="CCJ24" s="210"/>
      <c r="CCK24" s="210"/>
      <c r="CCL24" s="210"/>
      <c r="CCM24" s="210"/>
      <c r="CCN24" s="210"/>
      <c r="CCO24" s="210"/>
      <c r="CCP24" s="210"/>
      <c r="CCQ24" s="210"/>
      <c r="CCR24" s="210"/>
      <c r="CCS24" s="210"/>
      <c r="CCT24" s="210"/>
      <c r="CCU24" s="210"/>
      <c r="CCV24" s="210"/>
      <c r="CCW24" s="210"/>
      <c r="CCX24" s="210"/>
      <c r="CCY24" s="210"/>
      <c r="CCZ24" s="210"/>
      <c r="CDA24" s="210"/>
      <c r="CDB24" s="210"/>
      <c r="CDC24" s="210"/>
      <c r="CDD24" s="210"/>
      <c r="CDE24" s="210"/>
      <c r="CDF24" s="210"/>
      <c r="CDG24" s="210"/>
      <c r="CDH24" s="210"/>
      <c r="CDI24" s="210"/>
      <c r="CDJ24" s="210"/>
      <c r="CDK24" s="210"/>
      <c r="CDL24" s="210"/>
      <c r="CDM24" s="210"/>
      <c r="CDN24" s="210"/>
      <c r="CDO24" s="210"/>
      <c r="CDP24" s="210"/>
      <c r="CDQ24" s="210"/>
      <c r="CDR24" s="210"/>
      <c r="CDS24" s="210"/>
      <c r="CDT24" s="210"/>
      <c r="CDU24" s="210"/>
      <c r="CDV24" s="210"/>
      <c r="CDW24" s="210"/>
      <c r="CDX24" s="210"/>
      <c r="CDY24" s="210"/>
      <c r="CDZ24" s="210"/>
      <c r="CEA24" s="210"/>
      <c r="CEB24" s="210"/>
      <c r="CEC24" s="210"/>
      <c r="CED24" s="210"/>
      <c r="CEE24" s="210"/>
      <c r="CEF24" s="210"/>
      <c r="CEG24" s="210"/>
      <c r="CEH24" s="210"/>
      <c r="CEI24" s="210"/>
      <c r="CEJ24" s="210"/>
      <c r="CEK24" s="210"/>
      <c r="CEL24" s="210"/>
      <c r="CEM24" s="210"/>
      <c r="CEN24" s="210"/>
      <c r="CEO24" s="210"/>
      <c r="CEP24" s="210"/>
      <c r="CEQ24" s="210"/>
      <c r="CER24" s="210"/>
      <c r="CES24" s="210"/>
      <c r="CET24" s="210"/>
      <c r="CEU24" s="210"/>
      <c r="CEV24" s="210"/>
      <c r="CEW24" s="210"/>
      <c r="CEX24" s="210"/>
      <c r="CEY24" s="210"/>
      <c r="CEZ24" s="210"/>
      <c r="CFA24" s="210"/>
      <c r="CFB24" s="210"/>
      <c r="CFC24" s="210"/>
      <c r="CFD24" s="210"/>
      <c r="CFE24" s="210"/>
      <c r="CFF24" s="210"/>
      <c r="CFG24" s="210"/>
      <c r="CFH24" s="210"/>
      <c r="CFI24" s="210"/>
      <c r="CFJ24" s="210"/>
      <c r="CFK24" s="210"/>
      <c r="CFL24" s="210"/>
      <c r="CFM24" s="210"/>
      <c r="CFN24" s="210"/>
      <c r="CFO24" s="210"/>
      <c r="CFP24" s="210"/>
      <c r="CFQ24" s="210"/>
      <c r="CFR24" s="210"/>
      <c r="CFS24" s="210"/>
      <c r="CFT24" s="210"/>
      <c r="CFU24" s="210"/>
      <c r="CFV24" s="210"/>
      <c r="CFW24" s="210"/>
      <c r="CFX24" s="210"/>
      <c r="CFY24" s="210"/>
      <c r="CFZ24" s="210"/>
      <c r="CGA24" s="210"/>
      <c r="CGB24" s="210"/>
      <c r="CGC24" s="210"/>
      <c r="CGD24" s="210"/>
      <c r="CGE24" s="210"/>
      <c r="CGF24" s="210"/>
      <c r="CGG24" s="210"/>
      <c r="CGH24" s="210"/>
      <c r="CGI24" s="210"/>
      <c r="CGJ24" s="210"/>
      <c r="CGK24" s="210"/>
      <c r="CGL24" s="210"/>
      <c r="CGM24" s="210"/>
      <c r="CGN24" s="210"/>
      <c r="CGO24" s="210"/>
      <c r="CGP24" s="210"/>
      <c r="CGQ24" s="210"/>
      <c r="CGR24" s="210"/>
      <c r="CGS24" s="210"/>
      <c r="CGT24" s="210"/>
      <c r="CGU24" s="210"/>
      <c r="CGV24" s="210"/>
      <c r="CGW24" s="210"/>
      <c r="CGX24" s="210"/>
      <c r="CGY24" s="210"/>
      <c r="CGZ24" s="210"/>
      <c r="CHA24" s="210"/>
      <c r="CHB24" s="210"/>
      <c r="CHC24" s="210"/>
      <c r="CHD24" s="210"/>
      <c r="CHE24" s="210"/>
      <c r="CHF24" s="210"/>
      <c r="CHG24" s="210"/>
      <c r="CHH24" s="210"/>
      <c r="CHI24" s="210"/>
      <c r="CHJ24" s="210"/>
      <c r="CHK24" s="210"/>
      <c r="CHL24" s="210"/>
      <c r="CHM24" s="210"/>
      <c r="CHN24" s="210"/>
      <c r="CHO24" s="210"/>
      <c r="CHP24" s="210"/>
      <c r="CHQ24" s="210"/>
      <c r="CHR24" s="210"/>
      <c r="CHS24" s="210"/>
      <c r="CHT24" s="210"/>
      <c r="CHU24" s="210"/>
      <c r="CHV24" s="210"/>
      <c r="CHW24" s="210"/>
      <c r="CHX24" s="210"/>
      <c r="CHY24" s="210"/>
      <c r="CHZ24" s="210"/>
      <c r="CIA24" s="210"/>
      <c r="CIB24" s="210"/>
      <c r="CIC24" s="210"/>
      <c r="CID24" s="210"/>
      <c r="CIE24" s="210"/>
      <c r="CIF24" s="210"/>
      <c r="CIG24" s="210"/>
      <c r="CIH24" s="210"/>
      <c r="CII24" s="210"/>
      <c r="CIJ24" s="210"/>
      <c r="CIK24" s="210"/>
      <c r="CIL24" s="210"/>
      <c r="CIM24" s="210"/>
      <c r="CIN24" s="210"/>
      <c r="CIO24" s="210"/>
      <c r="CIP24" s="210"/>
      <c r="CIQ24" s="210"/>
      <c r="CIR24" s="210"/>
      <c r="CIS24" s="210"/>
      <c r="CIT24" s="210"/>
      <c r="CIU24" s="210"/>
      <c r="CIV24" s="210"/>
      <c r="CIW24" s="210"/>
      <c r="CIX24" s="210"/>
      <c r="CIY24" s="210"/>
      <c r="CIZ24" s="210"/>
      <c r="CJA24" s="210"/>
      <c r="CJB24" s="210"/>
      <c r="CJC24" s="210"/>
      <c r="CJD24" s="210"/>
      <c r="CJE24" s="210"/>
      <c r="CJF24" s="210"/>
      <c r="CJG24" s="210"/>
      <c r="CJH24" s="210"/>
      <c r="CJI24" s="210"/>
      <c r="CJJ24" s="210"/>
      <c r="CJK24" s="210"/>
      <c r="CJL24" s="210"/>
      <c r="CJM24" s="210"/>
      <c r="CJN24" s="210"/>
      <c r="CJO24" s="210"/>
      <c r="CJP24" s="210"/>
      <c r="CJQ24" s="210"/>
      <c r="CJR24" s="210"/>
      <c r="CJS24" s="210"/>
      <c r="CJT24" s="210"/>
      <c r="CJU24" s="210"/>
      <c r="CJV24" s="210"/>
      <c r="CJW24" s="210"/>
      <c r="CJX24" s="210"/>
      <c r="CJY24" s="210"/>
      <c r="CJZ24" s="210"/>
      <c r="CKA24" s="210"/>
      <c r="CKB24" s="210"/>
      <c r="CKC24" s="210"/>
      <c r="CKD24" s="210"/>
      <c r="CKE24" s="210"/>
      <c r="CKF24" s="210"/>
      <c r="CKG24" s="210"/>
      <c r="CKH24" s="210"/>
      <c r="CKI24" s="210"/>
      <c r="CKJ24" s="210"/>
      <c r="CKK24" s="210"/>
      <c r="CKL24" s="210"/>
      <c r="CKM24" s="210"/>
      <c r="CKN24" s="210"/>
      <c r="CKO24" s="210"/>
      <c r="CKP24" s="210"/>
      <c r="CKQ24" s="210"/>
      <c r="CKR24" s="210"/>
      <c r="CKS24" s="210"/>
      <c r="CKT24" s="210"/>
      <c r="CKU24" s="210"/>
      <c r="CKV24" s="210"/>
      <c r="CKW24" s="210"/>
      <c r="CKX24" s="210"/>
      <c r="CKY24" s="210"/>
      <c r="CKZ24" s="210"/>
      <c r="CLA24" s="210"/>
      <c r="CLB24" s="210"/>
      <c r="CLC24" s="210"/>
      <c r="CLD24" s="210"/>
      <c r="CLE24" s="210"/>
      <c r="CLF24" s="210"/>
      <c r="CLG24" s="210"/>
      <c r="CLH24" s="210"/>
      <c r="CLI24" s="210"/>
      <c r="CLJ24" s="210"/>
      <c r="CLK24" s="210"/>
      <c r="CLL24" s="210"/>
      <c r="CLM24" s="210"/>
      <c r="CLN24" s="210"/>
      <c r="CLO24" s="210"/>
      <c r="CLP24" s="210"/>
      <c r="CLQ24" s="210"/>
      <c r="CLR24" s="210"/>
      <c r="CLS24" s="210"/>
      <c r="CLT24" s="210"/>
      <c r="CLU24" s="210"/>
      <c r="CLV24" s="210"/>
      <c r="CLW24" s="210"/>
      <c r="CLX24" s="210"/>
      <c r="CLY24" s="210"/>
      <c r="CLZ24" s="210"/>
      <c r="CMA24" s="210"/>
      <c r="CMB24" s="210"/>
      <c r="CMC24" s="210"/>
      <c r="CMD24" s="210"/>
      <c r="CME24" s="210"/>
      <c r="CMF24" s="210"/>
      <c r="CMG24" s="210"/>
      <c r="CMH24" s="210"/>
      <c r="CMI24" s="210"/>
      <c r="CMJ24" s="210"/>
      <c r="CMK24" s="210"/>
      <c r="CML24" s="210"/>
      <c r="CMM24" s="210"/>
      <c r="CMN24" s="210"/>
      <c r="CMO24" s="210"/>
      <c r="CMP24" s="210"/>
      <c r="CMQ24" s="210"/>
      <c r="CMR24" s="210"/>
      <c r="CMS24" s="210"/>
      <c r="CMT24" s="210"/>
      <c r="CMU24" s="210"/>
      <c r="CMV24" s="210"/>
      <c r="CMW24" s="210"/>
      <c r="CMX24" s="210"/>
      <c r="CMY24" s="210"/>
      <c r="CMZ24" s="210"/>
      <c r="CNA24" s="210"/>
      <c r="CNB24" s="210"/>
      <c r="CNC24" s="210"/>
      <c r="CND24" s="210"/>
      <c r="CNE24" s="210"/>
      <c r="CNF24" s="210"/>
      <c r="CNG24" s="210"/>
      <c r="CNH24" s="210"/>
      <c r="CNI24" s="210"/>
      <c r="CNJ24" s="210"/>
      <c r="CNK24" s="210"/>
      <c r="CNL24" s="210"/>
      <c r="CNM24" s="210"/>
      <c r="CNN24" s="210"/>
      <c r="CNO24" s="210"/>
      <c r="CNP24" s="210"/>
      <c r="CNQ24" s="210"/>
      <c r="CNR24" s="210"/>
      <c r="CNS24" s="210"/>
      <c r="CNT24" s="210"/>
      <c r="CNU24" s="210"/>
      <c r="CNV24" s="210"/>
      <c r="CNW24" s="210"/>
      <c r="CNX24" s="210"/>
      <c r="CNY24" s="210"/>
      <c r="CNZ24" s="210"/>
      <c r="COA24" s="210"/>
      <c r="COB24" s="210"/>
      <c r="COC24" s="210"/>
      <c r="COD24" s="210"/>
      <c r="COE24" s="210"/>
      <c r="COF24" s="210"/>
      <c r="COG24" s="210"/>
      <c r="COH24" s="210"/>
      <c r="COI24" s="210"/>
      <c r="COJ24" s="210"/>
      <c r="COK24" s="210"/>
      <c r="COL24" s="210"/>
      <c r="COM24" s="210"/>
      <c r="CON24" s="210"/>
      <c r="COO24" s="210"/>
      <c r="COP24" s="210"/>
      <c r="COQ24" s="210"/>
      <c r="COR24" s="210"/>
      <c r="COS24" s="210"/>
      <c r="COT24" s="210"/>
      <c r="COU24" s="210"/>
      <c r="COV24" s="210"/>
      <c r="COW24" s="210"/>
      <c r="COX24" s="210"/>
      <c r="COY24" s="210"/>
      <c r="COZ24" s="210"/>
      <c r="CPA24" s="210"/>
      <c r="CPB24" s="210"/>
      <c r="CPC24" s="210"/>
      <c r="CPD24" s="210"/>
      <c r="CPE24" s="210"/>
      <c r="CPF24" s="210"/>
      <c r="CPG24" s="210"/>
      <c r="CPH24" s="210"/>
      <c r="CPI24" s="210"/>
      <c r="CPJ24" s="210"/>
      <c r="CPK24" s="210"/>
      <c r="CPL24" s="210"/>
      <c r="CPM24" s="210"/>
      <c r="CPN24" s="210"/>
      <c r="CPO24" s="210"/>
      <c r="CPP24" s="210"/>
      <c r="CPQ24" s="210"/>
      <c r="CPR24" s="210"/>
      <c r="CPS24" s="210"/>
      <c r="CPT24" s="210"/>
      <c r="CPU24" s="210"/>
      <c r="CPV24" s="210"/>
      <c r="CPW24" s="210"/>
      <c r="CPX24" s="210"/>
      <c r="CPY24" s="210"/>
      <c r="CPZ24" s="210"/>
      <c r="CQA24" s="210"/>
      <c r="CQB24" s="210"/>
      <c r="CQC24" s="210"/>
      <c r="CQD24" s="210"/>
      <c r="CQE24" s="210"/>
      <c r="CQF24" s="210"/>
      <c r="CQG24" s="210"/>
      <c r="CQH24" s="210"/>
      <c r="CQI24" s="210"/>
      <c r="CQJ24" s="210"/>
      <c r="CQK24" s="210"/>
      <c r="CQL24" s="210"/>
      <c r="CQM24" s="210"/>
      <c r="CQN24" s="210"/>
      <c r="CQO24" s="210"/>
      <c r="CQP24" s="210"/>
      <c r="CQQ24" s="210"/>
      <c r="CQR24" s="210"/>
      <c r="CQS24" s="210"/>
      <c r="CQT24" s="210"/>
      <c r="CQU24" s="210"/>
      <c r="CQV24" s="210"/>
      <c r="CQW24" s="210"/>
      <c r="CQX24" s="210"/>
      <c r="CQY24" s="210"/>
      <c r="CQZ24" s="210"/>
      <c r="CRA24" s="210"/>
      <c r="CRB24" s="210"/>
      <c r="CRC24" s="210"/>
      <c r="CRD24" s="210"/>
      <c r="CRE24" s="210"/>
      <c r="CRF24" s="210"/>
      <c r="CRG24" s="210"/>
      <c r="CRH24" s="210"/>
      <c r="CRI24" s="210"/>
      <c r="CRJ24" s="210"/>
      <c r="CRK24" s="210"/>
      <c r="CRL24" s="210"/>
      <c r="CRM24" s="210"/>
      <c r="CRN24" s="210"/>
      <c r="CRO24" s="210"/>
      <c r="CRP24" s="210"/>
      <c r="CRQ24" s="210"/>
      <c r="CRR24" s="210"/>
      <c r="CRS24" s="210"/>
      <c r="CRT24" s="210"/>
      <c r="CRU24" s="210"/>
      <c r="CRV24" s="210"/>
      <c r="CRW24" s="210"/>
      <c r="CRX24" s="210"/>
      <c r="CRY24" s="210"/>
      <c r="CRZ24" s="210"/>
      <c r="CSA24" s="210"/>
      <c r="CSB24" s="210"/>
      <c r="CSC24" s="210"/>
      <c r="CSD24" s="210"/>
      <c r="CSE24" s="210"/>
      <c r="CSF24" s="210"/>
      <c r="CSG24" s="210"/>
      <c r="CSH24" s="210"/>
      <c r="CSI24" s="210"/>
      <c r="CSJ24" s="210"/>
      <c r="CSK24" s="210"/>
      <c r="CSL24" s="210"/>
      <c r="CSM24" s="210"/>
      <c r="CSN24" s="210"/>
      <c r="CSO24" s="210"/>
      <c r="CSP24" s="210"/>
      <c r="CSQ24" s="210"/>
      <c r="CSR24" s="210"/>
      <c r="CSS24" s="210"/>
      <c r="CST24" s="210"/>
      <c r="CSU24" s="210"/>
      <c r="CSV24" s="210"/>
      <c r="CSW24" s="210"/>
      <c r="CSX24" s="210"/>
      <c r="CSY24" s="210"/>
      <c r="CSZ24" s="210"/>
      <c r="CTA24" s="210"/>
      <c r="CTB24" s="210"/>
      <c r="CTC24" s="210"/>
      <c r="CTD24" s="210"/>
      <c r="CTE24" s="210"/>
      <c r="CTF24" s="210"/>
      <c r="CTG24" s="210"/>
      <c r="CTH24" s="210"/>
      <c r="CTI24" s="210"/>
      <c r="CTJ24" s="210"/>
      <c r="CTK24" s="210"/>
      <c r="CTL24" s="210"/>
      <c r="CTM24" s="210"/>
      <c r="CTN24" s="210"/>
      <c r="CTO24" s="210"/>
      <c r="CTP24" s="210"/>
      <c r="CTQ24" s="210"/>
      <c r="CTR24" s="210"/>
      <c r="CTS24" s="210"/>
      <c r="CTT24" s="210"/>
      <c r="CTU24" s="210"/>
      <c r="CTV24" s="210"/>
      <c r="CTW24" s="210"/>
      <c r="CTX24" s="210"/>
      <c r="CTY24" s="210"/>
      <c r="CTZ24" s="210"/>
      <c r="CUA24" s="210"/>
      <c r="CUB24" s="210"/>
      <c r="CUC24" s="210"/>
      <c r="CUD24" s="210"/>
      <c r="CUE24" s="210"/>
      <c r="CUF24" s="210"/>
      <c r="CUG24" s="210"/>
      <c r="CUH24" s="210"/>
      <c r="CUI24" s="210"/>
      <c r="CUJ24" s="210"/>
      <c r="CUK24" s="210"/>
      <c r="CUL24" s="210"/>
      <c r="CUM24" s="210"/>
      <c r="CUN24" s="210"/>
      <c r="CUO24" s="210"/>
      <c r="CUP24" s="210"/>
      <c r="CUQ24" s="210"/>
      <c r="CUR24" s="210"/>
      <c r="CUS24" s="210"/>
      <c r="CUT24" s="210"/>
      <c r="CUU24" s="210"/>
      <c r="CUV24" s="210"/>
      <c r="CUW24" s="210"/>
      <c r="CUX24" s="210"/>
      <c r="CUY24" s="210"/>
      <c r="CUZ24" s="210"/>
      <c r="CVA24" s="210"/>
      <c r="CVB24" s="210"/>
      <c r="CVC24" s="210"/>
      <c r="CVD24" s="210"/>
      <c r="CVE24" s="210"/>
      <c r="CVF24" s="210"/>
      <c r="CVG24" s="210"/>
      <c r="CVH24" s="210"/>
      <c r="CVI24" s="210"/>
      <c r="CVJ24" s="210"/>
      <c r="CVK24" s="210"/>
      <c r="CVL24" s="210"/>
      <c r="CVM24" s="210"/>
      <c r="CVN24" s="210"/>
      <c r="CVO24" s="210"/>
      <c r="CVP24" s="210"/>
      <c r="CVQ24" s="210"/>
      <c r="CVR24" s="210"/>
      <c r="CVS24" s="210"/>
      <c r="CVT24" s="210"/>
      <c r="CVU24" s="210"/>
      <c r="CVV24" s="210"/>
      <c r="CVW24" s="210"/>
      <c r="CVX24" s="210"/>
      <c r="CVY24" s="210"/>
      <c r="CVZ24" s="210"/>
      <c r="CWA24" s="210"/>
      <c r="CWB24" s="210"/>
      <c r="CWC24" s="210"/>
      <c r="CWD24" s="210"/>
      <c r="CWE24" s="210"/>
      <c r="CWF24" s="210"/>
      <c r="CWG24" s="210"/>
      <c r="CWH24" s="210"/>
      <c r="CWI24" s="210"/>
      <c r="CWJ24" s="210"/>
      <c r="CWK24" s="210"/>
      <c r="CWL24" s="210"/>
      <c r="CWM24" s="210"/>
      <c r="CWN24" s="210"/>
      <c r="CWO24" s="210"/>
      <c r="CWP24" s="210"/>
      <c r="CWQ24" s="210"/>
      <c r="CWR24" s="210"/>
      <c r="CWS24" s="210"/>
      <c r="CWT24" s="210"/>
      <c r="CWU24" s="210"/>
      <c r="CWV24" s="210"/>
      <c r="CWW24" s="210"/>
      <c r="CWX24" s="210"/>
      <c r="CWY24" s="210"/>
      <c r="CWZ24" s="210"/>
      <c r="CXA24" s="210"/>
      <c r="CXB24" s="210"/>
      <c r="CXC24" s="210"/>
      <c r="CXD24" s="210"/>
      <c r="CXE24" s="210"/>
      <c r="CXF24" s="210"/>
      <c r="CXG24" s="210"/>
      <c r="CXH24" s="210"/>
      <c r="CXI24" s="210"/>
      <c r="CXJ24" s="210"/>
      <c r="CXK24" s="210"/>
      <c r="CXL24" s="210"/>
      <c r="CXM24" s="210"/>
      <c r="CXN24" s="210"/>
      <c r="CXO24" s="210"/>
      <c r="CXP24" s="210"/>
      <c r="CXQ24" s="210"/>
      <c r="CXR24" s="210"/>
      <c r="CXS24" s="210"/>
      <c r="CXT24" s="210"/>
      <c r="CXU24" s="210"/>
      <c r="CXV24" s="210"/>
      <c r="CXW24" s="210"/>
      <c r="CXX24" s="210"/>
      <c r="CXY24" s="210"/>
      <c r="CXZ24" s="210"/>
      <c r="CYA24" s="210"/>
      <c r="CYB24" s="210"/>
      <c r="CYC24" s="210"/>
      <c r="CYD24" s="210"/>
      <c r="CYE24" s="210"/>
      <c r="CYF24" s="210"/>
      <c r="CYG24" s="210"/>
      <c r="CYH24" s="210"/>
      <c r="CYI24" s="210"/>
      <c r="CYJ24" s="210"/>
      <c r="CYK24" s="210"/>
      <c r="CYL24" s="210"/>
      <c r="CYM24" s="210"/>
      <c r="CYN24" s="210"/>
      <c r="CYO24" s="210"/>
      <c r="CYP24" s="210"/>
      <c r="CYQ24" s="210"/>
      <c r="CYR24" s="210"/>
      <c r="CYS24" s="210"/>
      <c r="CYT24" s="210"/>
      <c r="CYU24" s="210"/>
      <c r="CYV24" s="210"/>
      <c r="CYW24" s="210"/>
      <c r="CYX24" s="210"/>
      <c r="CYY24" s="210"/>
      <c r="CYZ24" s="210"/>
      <c r="CZA24" s="210"/>
      <c r="CZB24" s="210"/>
      <c r="CZC24" s="210"/>
      <c r="CZD24" s="210"/>
      <c r="CZE24" s="210"/>
      <c r="CZF24" s="210"/>
      <c r="CZG24" s="210"/>
      <c r="CZH24" s="210"/>
      <c r="CZI24" s="210"/>
      <c r="CZJ24" s="210"/>
      <c r="CZK24" s="210"/>
      <c r="CZL24" s="210"/>
      <c r="CZM24" s="210"/>
      <c r="CZN24" s="210"/>
      <c r="CZO24" s="210"/>
      <c r="CZP24" s="210"/>
      <c r="CZQ24" s="210"/>
      <c r="CZR24" s="210"/>
      <c r="CZS24" s="210"/>
      <c r="CZT24" s="210"/>
      <c r="CZU24" s="210"/>
      <c r="CZV24" s="210"/>
      <c r="CZW24" s="210"/>
      <c r="CZX24" s="210"/>
      <c r="CZY24" s="210"/>
      <c r="CZZ24" s="210"/>
      <c r="DAA24" s="210"/>
      <c r="DAB24" s="210"/>
      <c r="DAC24" s="210"/>
      <c r="DAD24" s="210"/>
      <c r="DAE24" s="210"/>
      <c r="DAF24" s="210"/>
      <c r="DAG24" s="210"/>
      <c r="DAH24" s="210"/>
      <c r="DAI24" s="210"/>
      <c r="DAJ24" s="210"/>
      <c r="DAK24" s="210"/>
      <c r="DAL24" s="210"/>
      <c r="DAM24" s="210"/>
      <c r="DAN24" s="210"/>
      <c r="DAO24" s="210"/>
      <c r="DAP24" s="210"/>
      <c r="DAQ24" s="210"/>
      <c r="DAR24" s="210"/>
      <c r="DAS24" s="210"/>
      <c r="DAT24" s="210"/>
      <c r="DAU24" s="210"/>
      <c r="DAV24" s="210"/>
      <c r="DAW24" s="210"/>
      <c r="DAX24" s="210"/>
      <c r="DAY24" s="210"/>
      <c r="DAZ24" s="210"/>
      <c r="DBA24" s="210"/>
      <c r="DBB24" s="210"/>
      <c r="DBC24" s="210"/>
      <c r="DBD24" s="210"/>
      <c r="DBE24" s="210"/>
      <c r="DBF24" s="210"/>
      <c r="DBG24" s="210"/>
      <c r="DBH24" s="210"/>
      <c r="DBI24" s="210"/>
      <c r="DBJ24" s="210"/>
      <c r="DBK24" s="210"/>
      <c r="DBL24" s="210"/>
      <c r="DBM24" s="210"/>
      <c r="DBN24" s="210"/>
      <c r="DBO24" s="210"/>
      <c r="DBP24" s="210"/>
      <c r="DBQ24" s="210"/>
      <c r="DBR24" s="210"/>
      <c r="DBS24" s="210"/>
      <c r="DBT24" s="210"/>
      <c r="DBU24" s="210"/>
      <c r="DBV24" s="210"/>
      <c r="DBW24" s="210"/>
      <c r="DBX24" s="210"/>
      <c r="DBY24" s="210"/>
      <c r="DBZ24" s="210"/>
      <c r="DCA24" s="210"/>
      <c r="DCB24" s="210"/>
      <c r="DCC24" s="210"/>
      <c r="DCD24" s="210"/>
      <c r="DCE24" s="210"/>
      <c r="DCF24" s="210"/>
      <c r="DCG24" s="210"/>
      <c r="DCH24" s="210"/>
      <c r="DCI24" s="210"/>
      <c r="DCJ24" s="210"/>
      <c r="DCK24" s="210"/>
      <c r="DCL24" s="210"/>
      <c r="DCM24" s="210"/>
      <c r="DCN24" s="210"/>
      <c r="DCO24" s="210"/>
      <c r="DCP24" s="210"/>
      <c r="DCQ24" s="210"/>
      <c r="DCR24" s="210"/>
      <c r="DCS24" s="210"/>
      <c r="DCT24" s="210"/>
      <c r="DCU24" s="210"/>
      <c r="DCV24" s="210"/>
      <c r="DCW24" s="210"/>
      <c r="DCX24" s="210"/>
      <c r="DCY24" s="210"/>
      <c r="DCZ24" s="210"/>
      <c r="DDA24" s="210"/>
      <c r="DDB24" s="210"/>
      <c r="DDC24" s="210"/>
      <c r="DDD24" s="210"/>
      <c r="DDE24" s="210"/>
      <c r="DDF24" s="210"/>
      <c r="DDG24" s="210"/>
      <c r="DDH24" s="210"/>
      <c r="DDI24" s="210"/>
      <c r="DDJ24" s="210"/>
      <c r="DDK24" s="210"/>
      <c r="DDL24" s="210"/>
      <c r="DDM24" s="210"/>
      <c r="DDN24" s="210"/>
      <c r="DDO24" s="210"/>
      <c r="DDP24" s="210"/>
      <c r="DDQ24" s="210"/>
      <c r="DDR24" s="210"/>
      <c r="DDS24" s="210"/>
      <c r="DDT24" s="210"/>
      <c r="DDU24" s="210"/>
      <c r="DDV24" s="210"/>
      <c r="DDW24" s="210"/>
      <c r="DDX24" s="210"/>
      <c r="DDY24" s="210"/>
      <c r="DDZ24" s="210"/>
      <c r="DEA24" s="210"/>
      <c r="DEB24" s="210"/>
      <c r="DEC24" s="210"/>
      <c r="DED24" s="210"/>
      <c r="DEE24" s="210"/>
      <c r="DEF24" s="210"/>
      <c r="DEG24" s="210"/>
      <c r="DEH24" s="210"/>
      <c r="DEI24" s="210"/>
      <c r="DEJ24" s="210"/>
      <c r="DEK24" s="210"/>
      <c r="DEL24" s="210"/>
      <c r="DEM24" s="210"/>
      <c r="DEN24" s="210"/>
      <c r="DEO24" s="210"/>
      <c r="DEP24" s="210"/>
      <c r="DEQ24" s="210"/>
      <c r="DER24" s="210"/>
      <c r="DES24" s="210"/>
      <c r="DET24" s="210"/>
      <c r="DEU24" s="210"/>
      <c r="DEV24" s="210"/>
      <c r="DEW24" s="210"/>
      <c r="DEX24" s="210"/>
      <c r="DEY24" s="210"/>
      <c r="DEZ24" s="210"/>
      <c r="DFA24" s="210"/>
      <c r="DFB24" s="210"/>
      <c r="DFC24" s="210"/>
      <c r="DFD24" s="210"/>
      <c r="DFE24" s="210"/>
      <c r="DFF24" s="210"/>
      <c r="DFG24" s="210"/>
      <c r="DFH24" s="210"/>
      <c r="DFI24" s="210"/>
      <c r="DFJ24" s="210"/>
      <c r="DFK24" s="210"/>
      <c r="DFL24" s="210"/>
      <c r="DFM24" s="210"/>
      <c r="DFN24" s="210"/>
      <c r="DFO24" s="210"/>
      <c r="DFP24" s="210"/>
      <c r="DFQ24" s="210"/>
      <c r="DFR24" s="210"/>
      <c r="DFS24" s="210"/>
      <c r="DFT24" s="210"/>
      <c r="DFU24" s="210"/>
      <c r="DFV24" s="210"/>
      <c r="DFW24" s="210"/>
      <c r="DFX24" s="210"/>
      <c r="DFY24" s="210"/>
      <c r="DFZ24" s="210"/>
      <c r="DGA24" s="210"/>
      <c r="DGB24" s="210"/>
      <c r="DGC24" s="210"/>
      <c r="DGD24" s="210"/>
      <c r="DGE24" s="210"/>
      <c r="DGF24" s="210"/>
      <c r="DGG24" s="210"/>
      <c r="DGH24" s="210"/>
      <c r="DGI24" s="210"/>
      <c r="DGJ24" s="210"/>
      <c r="DGK24" s="210"/>
      <c r="DGL24" s="210"/>
      <c r="DGM24" s="210"/>
      <c r="DGN24" s="210"/>
      <c r="DGO24" s="210"/>
      <c r="DGP24" s="210"/>
      <c r="DGQ24" s="210"/>
      <c r="DGR24" s="210"/>
      <c r="DGS24" s="210"/>
      <c r="DGT24" s="210"/>
      <c r="DGU24" s="210"/>
      <c r="DGV24" s="210"/>
      <c r="DGW24" s="210"/>
      <c r="DGX24" s="210"/>
      <c r="DGY24" s="210"/>
      <c r="DGZ24" s="210"/>
      <c r="DHA24" s="210"/>
      <c r="DHB24" s="210"/>
      <c r="DHC24" s="210"/>
      <c r="DHD24" s="210"/>
      <c r="DHE24" s="210"/>
      <c r="DHF24" s="210"/>
      <c r="DHG24" s="210"/>
      <c r="DHH24" s="210"/>
      <c r="DHI24" s="210"/>
      <c r="DHJ24" s="210"/>
      <c r="DHK24" s="210"/>
      <c r="DHL24" s="210"/>
      <c r="DHM24" s="210"/>
      <c r="DHN24" s="210"/>
      <c r="DHO24" s="210"/>
      <c r="DHP24" s="210"/>
      <c r="DHQ24" s="210"/>
      <c r="DHR24" s="210"/>
      <c r="DHS24" s="210"/>
      <c r="DHT24" s="210"/>
      <c r="DHU24" s="210"/>
      <c r="DHV24" s="210"/>
      <c r="DHW24" s="210"/>
      <c r="DHX24" s="210"/>
      <c r="DHY24" s="210"/>
      <c r="DHZ24" s="210"/>
      <c r="DIA24" s="210"/>
      <c r="DIB24" s="210"/>
      <c r="DIC24" s="210"/>
      <c r="DID24" s="210"/>
      <c r="DIE24" s="210"/>
      <c r="DIF24" s="210"/>
      <c r="DIG24" s="210"/>
      <c r="DIH24" s="210"/>
      <c r="DII24" s="210"/>
      <c r="DIJ24" s="210"/>
      <c r="DIK24" s="210"/>
      <c r="DIL24" s="210"/>
      <c r="DIM24" s="210"/>
      <c r="DIN24" s="210"/>
      <c r="DIO24" s="210"/>
      <c r="DIP24" s="210"/>
      <c r="DIQ24" s="210"/>
      <c r="DIR24" s="210"/>
      <c r="DIS24" s="210"/>
      <c r="DIT24" s="210"/>
      <c r="DIU24" s="210"/>
      <c r="DIV24" s="210"/>
      <c r="DIW24" s="210"/>
      <c r="DIX24" s="210"/>
      <c r="DIY24" s="210"/>
      <c r="DIZ24" s="210"/>
      <c r="DJA24" s="210"/>
      <c r="DJB24" s="210"/>
      <c r="DJC24" s="210"/>
      <c r="DJD24" s="210"/>
      <c r="DJE24" s="210"/>
      <c r="DJF24" s="210"/>
      <c r="DJG24" s="210"/>
      <c r="DJH24" s="210"/>
      <c r="DJI24" s="210"/>
      <c r="DJJ24" s="210"/>
      <c r="DJK24" s="210"/>
      <c r="DJL24" s="210"/>
      <c r="DJM24" s="210"/>
      <c r="DJN24" s="210"/>
      <c r="DJO24" s="210"/>
      <c r="DJP24" s="210"/>
      <c r="DJQ24" s="210"/>
      <c r="DJR24" s="210"/>
      <c r="DJS24" s="210"/>
      <c r="DJT24" s="210"/>
      <c r="DJU24" s="210"/>
      <c r="DJV24" s="210"/>
      <c r="DJW24" s="210"/>
      <c r="DJX24" s="210"/>
      <c r="DJY24" s="210"/>
      <c r="DJZ24" s="210"/>
      <c r="DKA24" s="210"/>
      <c r="DKB24" s="210"/>
      <c r="DKC24" s="210"/>
      <c r="DKD24" s="210"/>
      <c r="DKE24" s="210"/>
      <c r="DKF24" s="210"/>
      <c r="DKG24" s="210"/>
      <c r="DKH24" s="210"/>
      <c r="DKI24" s="210"/>
      <c r="DKJ24" s="210"/>
      <c r="DKK24" s="210"/>
      <c r="DKL24" s="210"/>
      <c r="DKM24" s="210"/>
      <c r="DKN24" s="210"/>
      <c r="DKO24" s="210"/>
      <c r="DKP24" s="210"/>
      <c r="DKQ24" s="210"/>
      <c r="DKR24" s="210"/>
      <c r="DKS24" s="210"/>
      <c r="DKT24" s="210"/>
      <c r="DKU24" s="210"/>
      <c r="DKV24" s="210"/>
      <c r="DKW24" s="210"/>
      <c r="DKX24" s="210"/>
      <c r="DKY24" s="210"/>
      <c r="DKZ24" s="210"/>
      <c r="DLA24" s="210"/>
      <c r="DLB24" s="210"/>
      <c r="DLC24" s="210"/>
      <c r="DLD24" s="210"/>
      <c r="DLE24" s="210"/>
      <c r="DLF24" s="210"/>
      <c r="DLG24" s="210"/>
      <c r="DLH24" s="210"/>
      <c r="DLI24" s="210"/>
      <c r="DLJ24" s="210"/>
      <c r="DLK24" s="210"/>
      <c r="DLL24" s="210"/>
      <c r="DLM24" s="210"/>
      <c r="DLN24" s="210"/>
      <c r="DLO24" s="210"/>
      <c r="DLP24" s="210"/>
      <c r="DLQ24" s="210"/>
      <c r="DLR24" s="210"/>
      <c r="DLS24" s="210"/>
      <c r="DLT24" s="210"/>
      <c r="DLU24" s="210"/>
      <c r="DLV24" s="210"/>
      <c r="DLW24" s="210"/>
      <c r="DLX24" s="210"/>
      <c r="DLY24" s="210"/>
      <c r="DLZ24" s="210"/>
      <c r="DMA24" s="210"/>
      <c r="DMB24" s="210"/>
      <c r="DMC24" s="210"/>
      <c r="DMD24" s="210"/>
      <c r="DME24" s="210"/>
      <c r="DMF24" s="210"/>
      <c r="DMG24" s="210"/>
      <c r="DMH24" s="210"/>
      <c r="DMI24" s="210"/>
      <c r="DMJ24" s="210"/>
      <c r="DMK24" s="210"/>
      <c r="DML24" s="210"/>
      <c r="DMM24" s="210"/>
      <c r="DMN24" s="210"/>
      <c r="DMO24" s="210"/>
      <c r="DMP24" s="210"/>
      <c r="DMQ24" s="210"/>
      <c r="DMR24" s="210"/>
      <c r="DMS24" s="210"/>
      <c r="DMT24" s="210"/>
      <c r="DMU24" s="210"/>
      <c r="DMV24" s="210"/>
      <c r="DMW24" s="210"/>
      <c r="DMX24" s="210"/>
      <c r="DMY24" s="210"/>
      <c r="DMZ24" s="210"/>
      <c r="DNA24" s="210"/>
      <c r="DNB24" s="210"/>
      <c r="DNC24" s="210"/>
      <c r="DND24" s="210"/>
      <c r="DNE24" s="210"/>
      <c r="DNF24" s="210"/>
      <c r="DNG24" s="210"/>
      <c r="DNH24" s="210"/>
      <c r="DNI24" s="210"/>
      <c r="DNJ24" s="210"/>
      <c r="DNK24" s="210"/>
      <c r="DNL24" s="210"/>
      <c r="DNM24" s="210"/>
      <c r="DNN24" s="210"/>
      <c r="DNO24" s="210"/>
      <c r="DNP24" s="210"/>
      <c r="DNQ24" s="210"/>
      <c r="DNR24" s="210"/>
      <c r="DNS24" s="210"/>
      <c r="DNT24" s="210"/>
      <c r="DNU24" s="210"/>
      <c r="DNV24" s="210"/>
      <c r="DNW24" s="210"/>
      <c r="DNX24" s="210"/>
      <c r="DNY24" s="210"/>
      <c r="DNZ24" s="210"/>
      <c r="DOA24" s="210"/>
      <c r="DOB24" s="210"/>
      <c r="DOC24" s="210"/>
      <c r="DOD24" s="210"/>
      <c r="DOE24" s="210"/>
      <c r="DOF24" s="210"/>
      <c r="DOG24" s="210"/>
      <c r="DOH24" s="210"/>
      <c r="DOI24" s="210"/>
      <c r="DOJ24" s="210"/>
      <c r="DOK24" s="210"/>
      <c r="DOL24" s="210"/>
      <c r="DOM24" s="210"/>
      <c r="DON24" s="210"/>
      <c r="DOO24" s="210"/>
      <c r="DOP24" s="210"/>
      <c r="DOQ24" s="210"/>
      <c r="DOR24" s="210"/>
      <c r="DOS24" s="210"/>
      <c r="DOT24" s="210"/>
      <c r="DOU24" s="210"/>
      <c r="DOV24" s="210"/>
      <c r="DOW24" s="210"/>
      <c r="DOX24" s="210"/>
      <c r="DOY24" s="210"/>
      <c r="DOZ24" s="210"/>
      <c r="DPA24" s="210"/>
      <c r="DPB24" s="210"/>
      <c r="DPC24" s="210"/>
      <c r="DPD24" s="210"/>
      <c r="DPE24" s="210"/>
      <c r="DPF24" s="210"/>
      <c r="DPG24" s="210"/>
      <c r="DPH24" s="210"/>
      <c r="DPI24" s="210"/>
      <c r="DPJ24" s="210"/>
      <c r="DPK24" s="210"/>
      <c r="DPL24" s="210"/>
      <c r="DPM24" s="210"/>
      <c r="DPN24" s="210"/>
      <c r="DPO24" s="210"/>
      <c r="DPP24" s="210"/>
      <c r="DPQ24" s="210"/>
      <c r="DPR24" s="210"/>
      <c r="DPS24" s="210"/>
      <c r="DPT24" s="210"/>
      <c r="DPU24" s="210"/>
      <c r="DPV24" s="210"/>
      <c r="DPW24" s="210"/>
      <c r="DPX24" s="210"/>
      <c r="DPY24" s="210"/>
      <c r="DPZ24" s="210"/>
      <c r="DQA24" s="210"/>
      <c r="DQB24" s="210"/>
      <c r="DQC24" s="210"/>
      <c r="DQD24" s="210"/>
      <c r="DQE24" s="210"/>
      <c r="DQF24" s="210"/>
      <c r="DQG24" s="210"/>
      <c r="DQH24" s="210"/>
      <c r="DQI24" s="210"/>
      <c r="DQJ24" s="210"/>
      <c r="DQK24" s="210"/>
      <c r="DQL24" s="210"/>
      <c r="DQM24" s="210"/>
      <c r="DQN24" s="210"/>
      <c r="DQO24" s="210"/>
      <c r="DQP24" s="210"/>
      <c r="DQQ24" s="210"/>
      <c r="DQR24" s="210"/>
      <c r="DQS24" s="210"/>
      <c r="DQT24" s="210"/>
      <c r="DQU24" s="210"/>
      <c r="DQV24" s="210"/>
      <c r="DQW24" s="210"/>
      <c r="DQX24" s="210"/>
      <c r="DQY24" s="210"/>
      <c r="DQZ24" s="210"/>
      <c r="DRA24" s="210"/>
      <c r="DRB24" s="210"/>
      <c r="DRC24" s="210"/>
      <c r="DRD24" s="210"/>
      <c r="DRE24" s="210"/>
      <c r="DRF24" s="210"/>
      <c r="DRG24" s="210"/>
      <c r="DRH24" s="210"/>
      <c r="DRI24" s="210"/>
      <c r="DRJ24" s="210"/>
      <c r="DRK24" s="210"/>
      <c r="DRL24" s="210"/>
      <c r="DRM24" s="210"/>
      <c r="DRN24" s="210"/>
      <c r="DRO24" s="210"/>
      <c r="DRP24" s="210"/>
      <c r="DRQ24" s="210"/>
      <c r="DRR24" s="210"/>
      <c r="DRS24" s="210"/>
      <c r="DRT24" s="210"/>
      <c r="DRU24" s="210"/>
      <c r="DRV24" s="210"/>
      <c r="DRW24" s="210"/>
      <c r="DRX24" s="210"/>
      <c r="DRY24" s="210"/>
      <c r="DRZ24" s="210"/>
      <c r="DSA24" s="210"/>
      <c r="DSB24" s="210"/>
      <c r="DSC24" s="210"/>
      <c r="DSD24" s="210"/>
      <c r="DSE24" s="210"/>
      <c r="DSF24" s="210"/>
      <c r="DSG24" s="210"/>
      <c r="DSH24" s="210"/>
      <c r="DSI24" s="210"/>
      <c r="DSJ24" s="210"/>
      <c r="DSK24" s="210"/>
      <c r="DSL24" s="210"/>
      <c r="DSM24" s="210"/>
      <c r="DSN24" s="210"/>
      <c r="DSO24" s="210"/>
      <c r="DSP24" s="210"/>
      <c r="DSQ24" s="210"/>
      <c r="DSR24" s="210"/>
      <c r="DSS24" s="210"/>
      <c r="DST24" s="210"/>
      <c r="DSU24" s="210"/>
      <c r="DSV24" s="210"/>
      <c r="DSW24" s="210"/>
      <c r="DSX24" s="210"/>
      <c r="DSY24" s="210"/>
      <c r="DSZ24" s="210"/>
      <c r="DTA24" s="210"/>
      <c r="DTB24" s="210"/>
      <c r="DTC24" s="210"/>
      <c r="DTD24" s="210"/>
      <c r="DTE24" s="210"/>
      <c r="DTF24" s="210"/>
      <c r="DTG24" s="210"/>
      <c r="DTH24" s="210"/>
      <c r="DTI24" s="210"/>
      <c r="DTJ24" s="210"/>
      <c r="DTK24" s="210"/>
      <c r="DTL24" s="210"/>
      <c r="DTM24" s="210"/>
      <c r="DTN24" s="210"/>
      <c r="DTO24" s="210"/>
      <c r="DTP24" s="210"/>
      <c r="DTQ24" s="210"/>
      <c r="DTR24" s="210"/>
      <c r="DTS24" s="210"/>
      <c r="DTT24" s="210"/>
      <c r="DTU24" s="210"/>
      <c r="DTV24" s="210"/>
      <c r="DTW24" s="210"/>
      <c r="DTX24" s="210"/>
      <c r="DTY24" s="210"/>
      <c r="DTZ24" s="210"/>
      <c r="DUA24" s="210"/>
      <c r="DUB24" s="210"/>
      <c r="DUC24" s="210"/>
      <c r="DUD24" s="210"/>
      <c r="DUE24" s="210"/>
      <c r="DUF24" s="210"/>
      <c r="DUG24" s="210"/>
      <c r="DUH24" s="210"/>
      <c r="DUI24" s="210"/>
      <c r="DUJ24" s="210"/>
      <c r="DUK24" s="210"/>
      <c r="DUL24" s="210"/>
      <c r="DUM24" s="210"/>
      <c r="DUN24" s="210"/>
      <c r="DUO24" s="210"/>
      <c r="DUP24" s="210"/>
      <c r="DUQ24" s="210"/>
      <c r="DUR24" s="210"/>
      <c r="DUS24" s="210"/>
      <c r="DUT24" s="210"/>
      <c r="DUU24" s="210"/>
      <c r="DUV24" s="210"/>
      <c r="DUW24" s="210"/>
      <c r="DUX24" s="210"/>
      <c r="DUY24" s="210"/>
      <c r="DUZ24" s="210"/>
      <c r="DVA24" s="210"/>
      <c r="DVB24" s="210"/>
      <c r="DVC24" s="210"/>
      <c r="DVD24" s="210"/>
      <c r="DVE24" s="210"/>
      <c r="DVF24" s="210"/>
      <c r="DVG24" s="210"/>
      <c r="DVH24" s="210"/>
      <c r="DVI24" s="210"/>
      <c r="DVJ24" s="210"/>
      <c r="DVK24" s="210"/>
      <c r="DVL24" s="210"/>
      <c r="DVM24" s="210"/>
      <c r="DVN24" s="210"/>
      <c r="DVO24" s="210"/>
      <c r="DVP24" s="210"/>
      <c r="DVQ24" s="210"/>
      <c r="DVR24" s="210"/>
      <c r="DVS24" s="210"/>
      <c r="DVT24" s="210"/>
      <c r="DVU24" s="210"/>
      <c r="DVV24" s="210"/>
      <c r="DVW24" s="210"/>
      <c r="DVX24" s="210"/>
      <c r="DVY24" s="210"/>
      <c r="DVZ24" s="210"/>
      <c r="DWA24" s="210"/>
      <c r="DWB24" s="210"/>
      <c r="DWC24" s="210"/>
      <c r="DWD24" s="210"/>
      <c r="DWE24" s="210"/>
      <c r="DWF24" s="210"/>
      <c r="DWG24" s="210"/>
      <c r="DWH24" s="210"/>
      <c r="DWI24" s="210"/>
      <c r="DWJ24" s="210"/>
      <c r="DWK24" s="210"/>
      <c r="DWL24" s="210"/>
      <c r="DWM24" s="210"/>
      <c r="DWN24" s="210"/>
      <c r="DWO24" s="210"/>
      <c r="DWP24" s="210"/>
      <c r="DWQ24" s="210"/>
      <c r="DWR24" s="210"/>
      <c r="DWS24" s="210"/>
      <c r="DWT24" s="210"/>
      <c r="DWU24" s="210"/>
      <c r="DWV24" s="210"/>
      <c r="DWW24" s="210"/>
      <c r="DWX24" s="210"/>
      <c r="DWY24" s="210"/>
      <c r="DWZ24" s="210"/>
      <c r="DXA24" s="210"/>
      <c r="DXB24" s="210"/>
      <c r="DXC24" s="210"/>
      <c r="DXD24" s="210"/>
      <c r="DXE24" s="210"/>
      <c r="DXF24" s="210"/>
      <c r="DXG24" s="210"/>
      <c r="DXH24" s="210"/>
      <c r="DXI24" s="210"/>
      <c r="DXJ24" s="210"/>
      <c r="DXK24" s="210"/>
      <c r="DXL24" s="210"/>
      <c r="DXM24" s="210"/>
      <c r="DXN24" s="210"/>
      <c r="DXO24" s="210"/>
      <c r="DXP24" s="210"/>
      <c r="DXQ24" s="210"/>
      <c r="DXR24" s="210"/>
      <c r="DXS24" s="210"/>
      <c r="DXT24" s="210"/>
      <c r="DXU24" s="210"/>
      <c r="DXV24" s="210"/>
      <c r="DXW24" s="210"/>
      <c r="DXX24" s="210"/>
      <c r="DXY24" s="210"/>
      <c r="DXZ24" s="210"/>
      <c r="DYA24" s="210"/>
      <c r="DYB24" s="210"/>
      <c r="DYC24" s="210"/>
      <c r="DYD24" s="210"/>
      <c r="DYE24" s="210"/>
      <c r="DYF24" s="210"/>
      <c r="DYG24" s="210"/>
      <c r="DYH24" s="210"/>
      <c r="DYI24" s="210"/>
      <c r="DYJ24" s="210"/>
      <c r="DYK24" s="210"/>
      <c r="DYL24" s="210"/>
      <c r="DYM24" s="210"/>
      <c r="DYN24" s="210"/>
      <c r="DYO24" s="210"/>
      <c r="DYP24" s="210"/>
      <c r="DYQ24" s="210"/>
      <c r="DYR24" s="210"/>
      <c r="DYS24" s="210"/>
      <c r="DYT24" s="210"/>
      <c r="DYU24" s="210"/>
      <c r="DYV24" s="210"/>
      <c r="DYW24" s="210"/>
      <c r="DYX24" s="210"/>
      <c r="DYY24" s="210"/>
      <c r="DYZ24" s="210"/>
      <c r="DZA24" s="210"/>
      <c r="DZB24" s="210"/>
      <c r="DZC24" s="210"/>
      <c r="DZD24" s="210"/>
      <c r="DZE24" s="210"/>
      <c r="DZF24" s="210"/>
      <c r="DZG24" s="210"/>
      <c r="DZH24" s="210"/>
      <c r="DZI24" s="210"/>
      <c r="DZJ24" s="210"/>
      <c r="DZK24" s="210"/>
      <c r="DZL24" s="210"/>
      <c r="DZM24" s="210"/>
      <c r="DZN24" s="210"/>
      <c r="DZO24" s="210"/>
      <c r="DZP24" s="210"/>
      <c r="DZQ24" s="210"/>
      <c r="DZR24" s="210"/>
      <c r="DZS24" s="210"/>
      <c r="DZT24" s="210"/>
      <c r="DZU24" s="210"/>
      <c r="DZV24" s="210"/>
      <c r="DZW24" s="210"/>
      <c r="DZX24" s="210"/>
      <c r="DZY24" s="210"/>
      <c r="DZZ24" s="210"/>
      <c r="EAA24" s="210"/>
      <c r="EAB24" s="210"/>
      <c r="EAC24" s="210"/>
      <c r="EAD24" s="210"/>
      <c r="EAE24" s="210"/>
      <c r="EAF24" s="210"/>
      <c r="EAG24" s="210"/>
      <c r="EAH24" s="210"/>
      <c r="EAI24" s="210"/>
      <c r="EAJ24" s="210"/>
      <c r="EAK24" s="210"/>
      <c r="EAL24" s="210"/>
      <c r="EAM24" s="210"/>
      <c r="EAN24" s="210"/>
      <c r="EAO24" s="210"/>
      <c r="EAP24" s="210"/>
      <c r="EAQ24" s="210"/>
      <c r="EAR24" s="210"/>
      <c r="EAS24" s="210"/>
      <c r="EAT24" s="210"/>
      <c r="EAU24" s="210"/>
      <c r="EAV24" s="210"/>
      <c r="EAW24" s="210"/>
      <c r="EAX24" s="210"/>
      <c r="EAY24" s="210"/>
      <c r="EAZ24" s="210"/>
      <c r="EBA24" s="210"/>
      <c r="EBB24" s="210"/>
      <c r="EBC24" s="210"/>
      <c r="EBD24" s="210"/>
      <c r="EBE24" s="210"/>
      <c r="EBF24" s="210"/>
      <c r="EBG24" s="210"/>
      <c r="EBH24" s="210"/>
      <c r="EBI24" s="210"/>
      <c r="EBJ24" s="210"/>
      <c r="EBK24" s="210"/>
      <c r="EBL24" s="210"/>
      <c r="EBM24" s="210"/>
      <c r="EBN24" s="210"/>
      <c r="EBO24" s="210"/>
      <c r="EBP24" s="210"/>
      <c r="EBQ24" s="210"/>
      <c r="EBR24" s="210"/>
      <c r="EBS24" s="210"/>
      <c r="EBT24" s="210"/>
      <c r="EBU24" s="210"/>
      <c r="EBV24" s="210"/>
      <c r="EBW24" s="210"/>
      <c r="EBX24" s="210"/>
      <c r="EBY24" s="210"/>
      <c r="EBZ24" s="210"/>
      <c r="ECA24" s="210"/>
      <c r="ECB24" s="210"/>
      <c r="ECC24" s="210"/>
      <c r="ECD24" s="210"/>
      <c r="ECE24" s="210"/>
      <c r="ECF24" s="210"/>
      <c r="ECG24" s="210"/>
      <c r="ECH24" s="210"/>
      <c r="ECI24" s="210"/>
      <c r="ECJ24" s="210"/>
      <c r="ECK24" s="210"/>
      <c r="ECL24" s="210"/>
      <c r="ECM24" s="210"/>
      <c r="ECN24" s="210"/>
      <c r="ECO24" s="210"/>
      <c r="ECP24" s="210"/>
      <c r="ECQ24" s="210"/>
      <c r="ECR24" s="210"/>
      <c r="ECS24" s="210"/>
      <c r="ECT24" s="210"/>
      <c r="ECU24" s="210"/>
      <c r="ECV24" s="210"/>
      <c r="ECW24" s="210"/>
      <c r="ECX24" s="210"/>
      <c r="ECY24" s="210"/>
      <c r="ECZ24" s="210"/>
      <c r="EDA24" s="210"/>
      <c r="EDB24" s="210"/>
      <c r="EDC24" s="210"/>
      <c r="EDD24" s="210"/>
      <c r="EDE24" s="210"/>
      <c r="EDF24" s="210"/>
      <c r="EDG24" s="210"/>
      <c r="EDH24" s="210"/>
      <c r="EDI24" s="210"/>
      <c r="EDJ24" s="210"/>
      <c r="EDK24" s="210"/>
      <c r="EDL24" s="210"/>
      <c r="EDM24" s="210"/>
      <c r="EDN24" s="210"/>
      <c r="EDO24" s="210"/>
      <c r="EDP24" s="210"/>
      <c r="EDQ24" s="210"/>
      <c r="EDR24" s="210"/>
      <c r="EDS24" s="210"/>
      <c r="EDT24" s="210"/>
      <c r="EDU24" s="210"/>
      <c r="EDV24" s="210"/>
      <c r="EDW24" s="210"/>
      <c r="EDX24" s="210"/>
      <c r="EDY24" s="210"/>
      <c r="EDZ24" s="210"/>
      <c r="EEA24" s="210"/>
      <c r="EEB24" s="210"/>
      <c r="EEC24" s="210"/>
      <c r="EED24" s="210"/>
      <c r="EEE24" s="210"/>
      <c r="EEF24" s="210"/>
      <c r="EEG24" s="210"/>
      <c r="EEH24" s="210"/>
      <c r="EEI24" s="210"/>
      <c r="EEJ24" s="210"/>
      <c r="EEK24" s="210"/>
      <c r="EEL24" s="210"/>
      <c r="EEM24" s="210"/>
      <c r="EEN24" s="210"/>
      <c r="EEO24" s="210"/>
      <c r="EEP24" s="210"/>
      <c r="EEQ24" s="210"/>
      <c r="EER24" s="210"/>
      <c r="EES24" s="210"/>
      <c r="EET24" s="210"/>
      <c r="EEU24" s="210"/>
      <c r="EEV24" s="210"/>
      <c r="EEW24" s="210"/>
      <c r="EEX24" s="210"/>
      <c r="EEY24" s="210"/>
      <c r="EEZ24" s="210"/>
      <c r="EFA24" s="210"/>
      <c r="EFB24" s="210"/>
      <c r="EFC24" s="210"/>
      <c r="EFD24" s="210"/>
      <c r="EFE24" s="210"/>
      <c r="EFF24" s="210"/>
      <c r="EFG24" s="210"/>
      <c r="EFH24" s="210"/>
      <c r="EFI24" s="210"/>
      <c r="EFJ24" s="210"/>
      <c r="EFK24" s="210"/>
      <c r="EFL24" s="210"/>
      <c r="EFM24" s="210"/>
      <c r="EFN24" s="210"/>
      <c r="EFO24" s="210"/>
      <c r="EFP24" s="210"/>
      <c r="EFQ24" s="210"/>
      <c r="EFR24" s="210"/>
      <c r="EFS24" s="210"/>
      <c r="EFT24" s="210"/>
      <c r="EFU24" s="210"/>
      <c r="EFV24" s="210"/>
      <c r="EFW24" s="210"/>
      <c r="EFX24" s="210"/>
      <c r="EFY24" s="210"/>
      <c r="EFZ24" s="210"/>
      <c r="EGA24" s="210"/>
      <c r="EGB24" s="210"/>
      <c r="EGC24" s="210"/>
      <c r="EGD24" s="210"/>
      <c r="EGE24" s="210"/>
      <c r="EGF24" s="210"/>
      <c r="EGG24" s="210"/>
      <c r="EGH24" s="210"/>
      <c r="EGI24" s="210"/>
      <c r="EGJ24" s="210"/>
      <c r="EGK24" s="210"/>
      <c r="EGL24" s="210"/>
      <c r="EGM24" s="210"/>
      <c r="EGN24" s="210"/>
      <c r="EGO24" s="210"/>
      <c r="EGP24" s="210"/>
      <c r="EGQ24" s="210"/>
      <c r="EGR24" s="210"/>
      <c r="EGS24" s="210"/>
      <c r="EGT24" s="210"/>
      <c r="EGU24" s="210"/>
      <c r="EGV24" s="210"/>
      <c r="EGW24" s="210"/>
      <c r="EGX24" s="210"/>
      <c r="EGY24" s="210"/>
      <c r="EGZ24" s="210"/>
      <c r="EHA24" s="210"/>
      <c r="EHB24" s="210"/>
      <c r="EHC24" s="210"/>
      <c r="EHD24" s="210"/>
      <c r="EHE24" s="210"/>
      <c r="EHF24" s="210"/>
      <c r="EHG24" s="210"/>
      <c r="EHH24" s="210"/>
      <c r="EHI24" s="210"/>
      <c r="EHJ24" s="210"/>
      <c r="EHK24" s="210"/>
      <c r="EHL24" s="210"/>
      <c r="EHM24" s="210"/>
      <c r="EHN24" s="210"/>
      <c r="EHO24" s="210"/>
      <c r="EHP24" s="210"/>
      <c r="EHQ24" s="210"/>
      <c r="EHR24" s="210"/>
      <c r="EHS24" s="210"/>
      <c r="EHT24" s="210"/>
      <c r="EHU24" s="210"/>
      <c r="EHV24" s="210"/>
      <c r="EHW24" s="210"/>
      <c r="EHX24" s="210"/>
      <c r="EHY24" s="210"/>
      <c r="EHZ24" s="210"/>
      <c r="EIA24" s="210"/>
      <c r="EIB24" s="210"/>
      <c r="EIC24" s="210"/>
      <c r="EID24" s="210"/>
      <c r="EIE24" s="210"/>
      <c r="EIF24" s="210"/>
      <c r="EIG24" s="210"/>
      <c r="EIH24" s="210"/>
      <c r="EII24" s="210"/>
      <c r="EIJ24" s="210"/>
      <c r="EIK24" s="210"/>
      <c r="EIL24" s="210"/>
      <c r="EIM24" s="210"/>
      <c r="EIN24" s="210"/>
      <c r="EIO24" s="210"/>
      <c r="EIP24" s="210"/>
      <c r="EIQ24" s="210"/>
      <c r="EIR24" s="210"/>
      <c r="EIS24" s="210"/>
      <c r="EIT24" s="210"/>
      <c r="EIU24" s="210"/>
      <c r="EIV24" s="210"/>
      <c r="EIW24" s="210"/>
      <c r="EIX24" s="210"/>
      <c r="EIY24" s="210"/>
      <c r="EIZ24" s="210"/>
      <c r="EJA24" s="210"/>
      <c r="EJB24" s="210"/>
      <c r="EJC24" s="210"/>
      <c r="EJD24" s="210"/>
      <c r="EJE24" s="210"/>
      <c r="EJF24" s="210"/>
      <c r="EJG24" s="210"/>
      <c r="EJH24" s="210"/>
      <c r="EJI24" s="210"/>
      <c r="EJJ24" s="210"/>
      <c r="EJK24" s="210"/>
      <c r="EJL24" s="210"/>
      <c r="EJM24" s="210"/>
      <c r="EJN24" s="210"/>
      <c r="EJO24" s="210"/>
      <c r="EJP24" s="210"/>
      <c r="EJQ24" s="210"/>
      <c r="EJR24" s="210"/>
      <c r="EJS24" s="210"/>
      <c r="EJT24" s="210"/>
      <c r="EJU24" s="210"/>
      <c r="EJV24" s="210"/>
      <c r="EJW24" s="210"/>
      <c r="EJX24" s="210"/>
      <c r="EJY24" s="210"/>
      <c r="EJZ24" s="210"/>
      <c r="EKA24" s="210"/>
      <c r="EKB24" s="210"/>
      <c r="EKC24" s="210"/>
      <c r="EKD24" s="210"/>
      <c r="EKE24" s="210"/>
      <c r="EKF24" s="210"/>
      <c r="EKG24" s="210"/>
      <c r="EKH24" s="210"/>
      <c r="EKI24" s="210"/>
      <c r="EKJ24" s="210"/>
      <c r="EKK24" s="210"/>
      <c r="EKL24" s="210"/>
      <c r="EKM24" s="210"/>
      <c r="EKN24" s="210"/>
      <c r="EKO24" s="210"/>
      <c r="EKP24" s="210"/>
      <c r="EKQ24" s="210"/>
      <c r="EKR24" s="210"/>
      <c r="EKS24" s="210"/>
      <c r="EKT24" s="210"/>
      <c r="EKU24" s="210"/>
      <c r="EKV24" s="210"/>
      <c r="EKW24" s="210"/>
      <c r="EKX24" s="210"/>
      <c r="EKY24" s="210"/>
      <c r="EKZ24" s="210"/>
      <c r="ELA24" s="210"/>
      <c r="ELB24" s="210"/>
      <c r="ELC24" s="210"/>
      <c r="ELD24" s="210"/>
      <c r="ELE24" s="210"/>
      <c r="ELF24" s="210"/>
      <c r="ELG24" s="210"/>
      <c r="ELH24" s="210"/>
      <c r="ELI24" s="210"/>
      <c r="ELJ24" s="210"/>
      <c r="ELK24" s="210"/>
      <c r="ELL24" s="210"/>
      <c r="ELM24" s="210"/>
      <c r="ELN24" s="210"/>
      <c r="ELO24" s="210"/>
      <c r="ELP24" s="210"/>
      <c r="ELQ24" s="210"/>
      <c r="ELR24" s="210"/>
      <c r="ELS24" s="210"/>
      <c r="ELT24" s="210"/>
      <c r="ELU24" s="210"/>
      <c r="ELV24" s="210"/>
      <c r="ELW24" s="210"/>
      <c r="ELX24" s="210"/>
      <c r="ELY24" s="210"/>
      <c r="ELZ24" s="210"/>
      <c r="EMA24" s="210"/>
      <c r="EMB24" s="210"/>
      <c r="EMC24" s="210"/>
      <c r="EMD24" s="210"/>
      <c r="EME24" s="210"/>
      <c r="EMF24" s="210"/>
      <c r="EMG24" s="210"/>
      <c r="EMH24" s="210"/>
      <c r="EMI24" s="210"/>
      <c r="EMJ24" s="210"/>
      <c r="EMK24" s="210"/>
      <c r="EML24" s="210"/>
      <c r="EMM24" s="210"/>
      <c r="EMN24" s="210"/>
      <c r="EMO24" s="210"/>
      <c r="EMP24" s="210"/>
      <c r="EMQ24" s="210"/>
      <c r="EMR24" s="210"/>
      <c r="EMS24" s="210"/>
      <c r="EMT24" s="210"/>
      <c r="EMU24" s="210"/>
      <c r="EMV24" s="210"/>
      <c r="EMW24" s="210"/>
      <c r="EMX24" s="210"/>
      <c r="EMY24" s="210"/>
      <c r="EMZ24" s="210"/>
      <c r="ENA24" s="210"/>
      <c r="ENB24" s="210"/>
      <c r="ENC24" s="210"/>
      <c r="END24" s="210"/>
      <c r="ENE24" s="210"/>
      <c r="ENF24" s="210"/>
      <c r="ENG24" s="210"/>
      <c r="ENH24" s="210"/>
      <c r="ENI24" s="210"/>
      <c r="ENJ24" s="210"/>
      <c r="ENK24" s="210"/>
      <c r="ENL24" s="210"/>
      <c r="ENM24" s="210"/>
      <c r="ENN24" s="210"/>
      <c r="ENO24" s="210"/>
      <c r="ENP24" s="210"/>
      <c r="ENQ24" s="210"/>
      <c r="ENR24" s="210"/>
      <c r="ENS24" s="210"/>
      <c r="ENT24" s="210"/>
      <c r="ENU24" s="210"/>
      <c r="ENV24" s="210"/>
      <c r="ENW24" s="210"/>
      <c r="ENX24" s="210"/>
      <c r="ENY24" s="210"/>
      <c r="ENZ24" s="210"/>
      <c r="EOA24" s="210"/>
      <c r="EOB24" s="210"/>
      <c r="EOC24" s="210"/>
      <c r="EOD24" s="210"/>
      <c r="EOE24" s="210"/>
      <c r="EOF24" s="210"/>
      <c r="EOG24" s="210"/>
      <c r="EOH24" s="210"/>
      <c r="EOI24" s="210"/>
      <c r="EOJ24" s="210"/>
      <c r="EOK24" s="210"/>
      <c r="EOL24" s="210"/>
      <c r="EOM24" s="210"/>
      <c r="EON24" s="210"/>
      <c r="EOO24" s="210"/>
      <c r="EOP24" s="210"/>
      <c r="EOQ24" s="210"/>
      <c r="EOR24" s="210"/>
      <c r="EOS24" s="210"/>
      <c r="EOT24" s="210"/>
      <c r="EOU24" s="210"/>
      <c r="EOV24" s="210"/>
      <c r="EOW24" s="210"/>
      <c r="EOX24" s="210"/>
      <c r="EOY24" s="210"/>
      <c r="EOZ24" s="210"/>
      <c r="EPA24" s="210"/>
      <c r="EPB24" s="210"/>
      <c r="EPC24" s="210"/>
      <c r="EPD24" s="210"/>
      <c r="EPE24" s="210"/>
      <c r="EPF24" s="210"/>
      <c r="EPG24" s="210"/>
      <c r="EPH24" s="210"/>
      <c r="EPI24" s="210"/>
      <c r="EPJ24" s="210"/>
      <c r="EPK24" s="210"/>
      <c r="EPL24" s="210"/>
      <c r="EPM24" s="210"/>
      <c r="EPN24" s="210"/>
      <c r="EPO24" s="210"/>
      <c r="EPP24" s="210"/>
      <c r="EPQ24" s="210"/>
      <c r="EPR24" s="210"/>
      <c r="EPS24" s="210"/>
      <c r="EPT24" s="210"/>
      <c r="EPU24" s="210"/>
      <c r="EPV24" s="210"/>
      <c r="EPW24" s="210"/>
      <c r="EPX24" s="210"/>
      <c r="EPY24" s="210"/>
      <c r="EPZ24" s="210"/>
      <c r="EQA24" s="210"/>
      <c r="EQB24" s="210"/>
      <c r="EQC24" s="210"/>
      <c r="EQD24" s="210"/>
      <c r="EQE24" s="210"/>
      <c r="EQF24" s="210"/>
      <c r="EQG24" s="210"/>
      <c r="EQH24" s="210"/>
      <c r="EQI24" s="210"/>
      <c r="EQJ24" s="210"/>
      <c r="EQK24" s="210"/>
      <c r="EQL24" s="210"/>
      <c r="EQM24" s="210"/>
      <c r="EQN24" s="210"/>
      <c r="EQO24" s="210"/>
      <c r="EQP24" s="210"/>
      <c r="EQQ24" s="210"/>
      <c r="EQR24" s="210"/>
      <c r="EQS24" s="210"/>
      <c r="EQT24" s="210"/>
      <c r="EQU24" s="210"/>
      <c r="EQV24" s="210"/>
      <c r="EQW24" s="210"/>
      <c r="EQX24" s="210"/>
      <c r="EQY24" s="210"/>
      <c r="EQZ24" s="210"/>
      <c r="ERA24" s="210"/>
      <c r="ERB24" s="210"/>
      <c r="ERC24" s="210"/>
      <c r="ERD24" s="210"/>
      <c r="ERE24" s="210"/>
      <c r="ERF24" s="210"/>
      <c r="ERG24" s="210"/>
      <c r="ERH24" s="210"/>
      <c r="ERI24" s="210"/>
      <c r="ERJ24" s="210"/>
      <c r="ERK24" s="210"/>
      <c r="ERL24" s="210"/>
      <c r="ERM24" s="210"/>
      <c r="ERN24" s="210"/>
      <c r="ERO24" s="210"/>
      <c r="ERP24" s="210"/>
      <c r="ERQ24" s="210"/>
      <c r="ERR24" s="210"/>
      <c r="ERS24" s="210"/>
      <c r="ERT24" s="210"/>
      <c r="ERU24" s="210"/>
      <c r="ERV24" s="210"/>
      <c r="ERW24" s="210"/>
      <c r="ERX24" s="210"/>
      <c r="ERY24" s="210"/>
      <c r="ERZ24" s="210"/>
      <c r="ESA24" s="210"/>
      <c r="ESB24" s="210"/>
      <c r="ESC24" s="210"/>
      <c r="ESD24" s="210"/>
      <c r="ESE24" s="210"/>
      <c r="ESF24" s="210"/>
      <c r="ESG24" s="210"/>
      <c r="ESH24" s="210"/>
      <c r="ESI24" s="210"/>
      <c r="ESJ24" s="210"/>
      <c r="ESK24" s="210"/>
      <c r="ESL24" s="210"/>
      <c r="ESM24" s="210"/>
      <c r="ESN24" s="210"/>
      <c r="ESO24" s="210"/>
      <c r="ESP24" s="210"/>
      <c r="ESQ24" s="210"/>
      <c r="ESR24" s="210"/>
      <c r="ESS24" s="210"/>
      <c r="EST24" s="210"/>
      <c r="ESU24" s="210"/>
      <c r="ESV24" s="210"/>
      <c r="ESW24" s="210"/>
      <c r="ESX24" s="210"/>
      <c r="ESY24" s="210"/>
      <c r="ESZ24" s="210"/>
      <c r="ETA24" s="210"/>
      <c r="ETB24" s="210"/>
      <c r="ETC24" s="210"/>
      <c r="ETD24" s="210"/>
      <c r="ETE24" s="210"/>
      <c r="ETF24" s="210"/>
      <c r="ETG24" s="210"/>
      <c r="ETH24" s="210"/>
      <c r="ETI24" s="210"/>
      <c r="ETJ24" s="210"/>
      <c r="ETK24" s="210"/>
      <c r="ETL24" s="210"/>
      <c r="ETM24" s="210"/>
      <c r="ETN24" s="210"/>
      <c r="ETO24" s="210"/>
      <c r="ETP24" s="210"/>
      <c r="ETQ24" s="210"/>
      <c r="ETR24" s="210"/>
      <c r="ETS24" s="210"/>
      <c r="ETT24" s="210"/>
      <c r="ETU24" s="210"/>
      <c r="ETV24" s="210"/>
      <c r="ETW24" s="210"/>
      <c r="ETX24" s="210"/>
      <c r="ETY24" s="210"/>
      <c r="ETZ24" s="210"/>
      <c r="EUA24" s="210"/>
      <c r="EUB24" s="210"/>
      <c r="EUC24" s="210"/>
      <c r="EUD24" s="210"/>
      <c r="EUE24" s="210"/>
      <c r="EUF24" s="210"/>
      <c r="EUG24" s="210"/>
      <c r="EUH24" s="210"/>
      <c r="EUI24" s="210"/>
      <c r="EUJ24" s="210"/>
      <c r="EUK24" s="210"/>
      <c r="EUL24" s="210"/>
      <c r="EUM24" s="210"/>
      <c r="EUN24" s="210"/>
      <c r="EUO24" s="210"/>
      <c r="EUP24" s="210"/>
      <c r="EUQ24" s="210"/>
      <c r="EUR24" s="210"/>
      <c r="EUS24" s="210"/>
      <c r="EUT24" s="210"/>
      <c r="EUU24" s="210"/>
      <c r="EUV24" s="210"/>
      <c r="EUW24" s="210"/>
      <c r="EUX24" s="210"/>
      <c r="EUY24" s="210"/>
      <c r="EUZ24" s="210"/>
      <c r="EVA24" s="210"/>
      <c r="EVB24" s="210"/>
      <c r="EVC24" s="210"/>
      <c r="EVD24" s="210"/>
      <c r="EVE24" s="210"/>
      <c r="EVF24" s="210"/>
      <c r="EVG24" s="210"/>
      <c r="EVH24" s="210"/>
      <c r="EVI24" s="210"/>
      <c r="EVJ24" s="210"/>
      <c r="EVK24" s="210"/>
      <c r="EVL24" s="210"/>
      <c r="EVM24" s="210"/>
      <c r="EVN24" s="210"/>
      <c r="EVO24" s="210"/>
      <c r="EVP24" s="210"/>
      <c r="EVQ24" s="210"/>
      <c r="EVR24" s="210"/>
      <c r="EVS24" s="210"/>
      <c r="EVT24" s="210"/>
      <c r="EVU24" s="210"/>
      <c r="EVV24" s="210"/>
      <c r="EVW24" s="210"/>
      <c r="EVX24" s="210"/>
      <c r="EVY24" s="210"/>
      <c r="EVZ24" s="210"/>
      <c r="EWA24" s="210"/>
      <c r="EWB24" s="210"/>
      <c r="EWC24" s="210"/>
      <c r="EWD24" s="210"/>
      <c r="EWE24" s="210"/>
      <c r="EWF24" s="210"/>
      <c r="EWG24" s="210"/>
      <c r="EWH24" s="210"/>
      <c r="EWI24" s="210"/>
      <c r="EWJ24" s="210"/>
      <c r="EWK24" s="210"/>
      <c r="EWL24" s="210"/>
      <c r="EWM24" s="210"/>
      <c r="EWN24" s="210"/>
      <c r="EWO24" s="210"/>
      <c r="EWP24" s="210"/>
      <c r="EWQ24" s="210"/>
      <c r="EWR24" s="210"/>
      <c r="EWS24" s="210"/>
      <c r="EWT24" s="210"/>
      <c r="EWU24" s="210"/>
      <c r="EWV24" s="210"/>
      <c r="EWW24" s="210"/>
      <c r="EWX24" s="210"/>
      <c r="EWY24" s="210"/>
      <c r="EWZ24" s="210"/>
      <c r="EXA24" s="210"/>
      <c r="EXB24" s="210"/>
      <c r="EXC24" s="210"/>
      <c r="EXD24" s="210"/>
      <c r="EXE24" s="210"/>
      <c r="EXF24" s="210"/>
      <c r="EXG24" s="210"/>
      <c r="EXH24" s="210"/>
      <c r="EXI24" s="210"/>
      <c r="EXJ24" s="210"/>
      <c r="EXK24" s="210"/>
      <c r="EXL24" s="210"/>
      <c r="EXM24" s="210"/>
      <c r="EXN24" s="210"/>
      <c r="EXO24" s="210"/>
      <c r="EXP24" s="210"/>
      <c r="EXQ24" s="210"/>
      <c r="EXR24" s="210"/>
      <c r="EXS24" s="210"/>
      <c r="EXT24" s="210"/>
      <c r="EXU24" s="210"/>
      <c r="EXV24" s="210"/>
      <c r="EXW24" s="210"/>
      <c r="EXX24" s="210"/>
      <c r="EXY24" s="210"/>
      <c r="EXZ24" s="210"/>
      <c r="EYA24" s="210"/>
      <c r="EYB24" s="210"/>
      <c r="EYC24" s="210"/>
      <c r="EYD24" s="210"/>
      <c r="EYE24" s="210"/>
      <c r="EYF24" s="210"/>
      <c r="EYG24" s="210"/>
      <c r="EYH24" s="210"/>
      <c r="EYI24" s="210"/>
      <c r="EYJ24" s="210"/>
      <c r="EYK24" s="210"/>
      <c r="EYL24" s="210"/>
      <c r="EYM24" s="210"/>
      <c r="EYN24" s="210"/>
      <c r="EYO24" s="210"/>
      <c r="EYP24" s="210"/>
      <c r="EYQ24" s="210"/>
      <c r="EYR24" s="210"/>
      <c r="EYS24" s="210"/>
      <c r="EYT24" s="210"/>
      <c r="EYU24" s="210"/>
      <c r="EYV24" s="210"/>
      <c r="EYW24" s="210"/>
      <c r="EYX24" s="210"/>
      <c r="EYY24" s="210"/>
      <c r="EYZ24" s="210"/>
      <c r="EZA24" s="210"/>
      <c r="EZB24" s="210"/>
      <c r="EZC24" s="210"/>
      <c r="EZD24" s="210"/>
      <c r="EZE24" s="210"/>
      <c r="EZF24" s="210"/>
      <c r="EZG24" s="210"/>
      <c r="EZH24" s="210"/>
      <c r="EZI24" s="210"/>
      <c r="EZJ24" s="210"/>
      <c r="EZK24" s="210"/>
      <c r="EZL24" s="210"/>
      <c r="EZM24" s="210"/>
      <c r="EZN24" s="210"/>
      <c r="EZO24" s="210"/>
      <c r="EZP24" s="210"/>
      <c r="EZQ24" s="210"/>
      <c r="EZR24" s="210"/>
      <c r="EZS24" s="210"/>
      <c r="EZT24" s="210"/>
      <c r="EZU24" s="210"/>
      <c r="EZV24" s="210"/>
      <c r="EZW24" s="210"/>
      <c r="EZX24" s="210"/>
      <c r="EZY24" s="210"/>
      <c r="EZZ24" s="210"/>
      <c r="FAA24" s="210"/>
      <c r="FAB24" s="210"/>
      <c r="FAC24" s="210"/>
      <c r="FAD24" s="210"/>
      <c r="FAE24" s="210"/>
      <c r="FAF24" s="210"/>
      <c r="FAG24" s="210"/>
      <c r="FAH24" s="210"/>
      <c r="FAI24" s="210"/>
      <c r="FAJ24" s="210"/>
      <c r="FAK24" s="210"/>
      <c r="FAL24" s="210"/>
      <c r="FAM24" s="210"/>
      <c r="FAN24" s="210"/>
      <c r="FAO24" s="210"/>
      <c r="FAP24" s="210"/>
      <c r="FAQ24" s="210"/>
      <c r="FAR24" s="210"/>
      <c r="FAS24" s="210"/>
      <c r="FAT24" s="210"/>
      <c r="FAU24" s="210"/>
      <c r="FAV24" s="210"/>
      <c r="FAW24" s="210"/>
      <c r="FAX24" s="210"/>
      <c r="FAY24" s="210"/>
      <c r="FAZ24" s="210"/>
      <c r="FBA24" s="210"/>
      <c r="FBB24" s="210"/>
      <c r="FBC24" s="210"/>
      <c r="FBD24" s="210"/>
      <c r="FBE24" s="210"/>
      <c r="FBF24" s="210"/>
      <c r="FBG24" s="210"/>
      <c r="FBH24" s="210"/>
      <c r="FBI24" s="210"/>
      <c r="FBJ24" s="210"/>
      <c r="FBK24" s="210"/>
      <c r="FBL24" s="210"/>
      <c r="FBM24" s="210"/>
      <c r="FBN24" s="210"/>
      <c r="FBO24" s="210"/>
      <c r="FBP24" s="210"/>
      <c r="FBQ24" s="210"/>
      <c r="FBR24" s="210"/>
      <c r="FBS24" s="210"/>
      <c r="FBT24" s="210"/>
      <c r="FBU24" s="210"/>
      <c r="FBV24" s="210"/>
      <c r="FBW24" s="210"/>
      <c r="FBX24" s="210"/>
      <c r="FBY24" s="210"/>
      <c r="FBZ24" s="210"/>
      <c r="FCA24" s="210"/>
      <c r="FCB24" s="210"/>
      <c r="FCC24" s="210"/>
      <c r="FCD24" s="210"/>
      <c r="FCE24" s="210"/>
      <c r="FCF24" s="210"/>
      <c r="FCG24" s="210"/>
      <c r="FCH24" s="210"/>
      <c r="FCI24" s="210"/>
      <c r="FCJ24" s="210"/>
      <c r="FCK24" s="210"/>
      <c r="FCL24" s="210"/>
      <c r="FCM24" s="210"/>
      <c r="FCN24" s="210"/>
      <c r="FCO24" s="210"/>
      <c r="FCP24" s="210"/>
      <c r="FCQ24" s="210"/>
      <c r="FCR24" s="210"/>
      <c r="FCS24" s="210"/>
      <c r="FCT24" s="210"/>
      <c r="FCU24" s="210"/>
      <c r="FCV24" s="210"/>
      <c r="FCW24" s="210"/>
      <c r="FCX24" s="210"/>
      <c r="FCY24" s="210"/>
      <c r="FCZ24" s="210"/>
      <c r="FDA24" s="210"/>
      <c r="FDB24" s="210"/>
      <c r="FDC24" s="210"/>
      <c r="FDD24" s="210"/>
      <c r="FDE24" s="210"/>
      <c r="FDF24" s="210"/>
      <c r="FDG24" s="210"/>
      <c r="FDH24" s="210"/>
      <c r="FDI24" s="210"/>
      <c r="FDJ24" s="210"/>
      <c r="FDK24" s="210"/>
      <c r="FDL24" s="210"/>
      <c r="FDM24" s="210"/>
      <c r="FDN24" s="210"/>
      <c r="FDO24" s="210"/>
      <c r="FDP24" s="210"/>
      <c r="FDQ24" s="210"/>
      <c r="FDR24" s="210"/>
      <c r="FDS24" s="210"/>
      <c r="FDT24" s="210"/>
      <c r="FDU24" s="210"/>
      <c r="FDV24" s="210"/>
      <c r="FDW24" s="210"/>
      <c r="FDX24" s="210"/>
      <c r="FDY24" s="210"/>
      <c r="FDZ24" s="210"/>
      <c r="FEA24" s="210"/>
      <c r="FEB24" s="210"/>
      <c r="FEC24" s="210"/>
      <c r="FED24" s="210"/>
      <c r="FEE24" s="210"/>
      <c r="FEF24" s="210"/>
      <c r="FEG24" s="210"/>
      <c r="FEH24" s="210"/>
      <c r="FEI24" s="210"/>
      <c r="FEJ24" s="210"/>
      <c r="FEK24" s="210"/>
      <c r="FEL24" s="210"/>
      <c r="FEM24" s="210"/>
      <c r="FEN24" s="210"/>
      <c r="FEO24" s="210"/>
      <c r="FEP24" s="210"/>
      <c r="FEQ24" s="210"/>
      <c r="FER24" s="210"/>
      <c r="FES24" s="210"/>
      <c r="FET24" s="210"/>
      <c r="FEU24" s="210"/>
      <c r="FEV24" s="210"/>
      <c r="FEW24" s="210"/>
      <c r="FEX24" s="210"/>
      <c r="FEY24" s="210"/>
      <c r="FEZ24" s="210"/>
      <c r="FFA24" s="210"/>
      <c r="FFB24" s="210"/>
      <c r="FFC24" s="210"/>
      <c r="FFD24" s="210"/>
      <c r="FFE24" s="210"/>
      <c r="FFF24" s="210"/>
      <c r="FFG24" s="210"/>
      <c r="FFH24" s="210"/>
      <c r="FFI24" s="210"/>
      <c r="FFJ24" s="210"/>
      <c r="FFK24" s="210"/>
      <c r="FFL24" s="210"/>
      <c r="FFM24" s="210"/>
      <c r="FFN24" s="210"/>
      <c r="FFO24" s="210"/>
      <c r="FFP24" s="210"/>
      <c r="FFQ24" s="210"/>
      <c r="FFR24" s="210"/>
      <c r="FFS24" s="210"/>
      <c r="FFT24" s="210"/>
      <c r="FFU24" s="210"/>
      <c r="FFV24" s="210"/>
      <c r="FFW24" s="210"/>
      <c r="FFX24" s="210"/>
      <c r="FFY24" s="210"/>
      <c r="FFZ24" s="210"/>
      <c r="FGA24" s="210"/>
      <c r="FGB24" s="210"/>
      <c r="FGC24" s="210"/>
      <c r="FGD24" s="210"/>
      <c r="FGE24" s="210"/>
      <c r="FGF24" s="210"/>
      <c r="FGG24" s="210"/>
      <c r="FGH24" s="210"/>
      <c r="FGI24" s="210"/>
      <c r="FGJ24" s="210"/>
      <c r="FGK24" s="210"/>
      <c r="FGL24" s="210"/>
      <c r="FGM24" s="210"/>
      <c r="FGN24" s="210"/>
      <c r="FGO24" s="210"/>
      <c r="FGP24" s="210"/>
      <c r="FGQ24" s="210"/>
      <c r="FGR24" s="210"/>
      <c r="FGS24" s="210"/>
      <c r="FGT24" s="210"/>
      <c r="FGU24" s="210"/>
      <c r="FGV24" s="210"/>
      <c r="FGW24" s="210"/>
      <c r="FGX24" s="210"/>
      <c r="FGY24" s="210"/>
      <c r="FGZ24" s="210"/>
      <c r="FHA24" s="210"/>
      <c r="FHB24" s="210"/>
      <c r="FHC24" s="210"/>
      <c r="FHD24" s="210"/>
      <c r="FHE24" s="210"/>
      <c r="FHF24" s="210"/>
      <c r="FHG24" s="210"/>
      <c r="FHH24" s="210"/>
      <c r="FHI24" s="210"/>
      <c r="FHJ24" s="210"/>
      <c r="FHK24" s="210"/>
      <c r="FHL24" s="210"/>
      <c r="FHM24" s="210"/>
      <c r="FHN24" s="210"/>
      <c r="FHO24" s="210"/>
      <c r="FHP24" s="210"/>
      <c r="FHQ24" s="210"/>
      <c r="FHR24" s="210"/>
      <c r="FHS24" s="210"/>
      <c r="FHT24" s="210"/>
      <c r="FHU24" s="210"/>
      <c r="FHV24" s="210"/>
      <c r="FHW24" s="210"/>
      <c r="FHX24" s="210"/>
      <c r="FHY24" s="210"/>
      <c r="FHZ24" s="210"/>
      <c r="FIA24" s="210"/>
      <c r="FIB24" s="210"/>
      <c r="FIC24" s="210"/>
      <c r="FID24" s="210"/>
      <c r="FIE24" s="210"/>
      <c r="FIF24" s="210"/>
      <c r="FIG24" s="210"/>
      <c r="FIH24" s="210"/>
      <c r="FII24" s="210"/>
      <c r="FIJ24" s="210"/>
      <c r="FIK24" s="210"/>
      <c r="FIL24" s="210"/>
      <c r="FIM24" s="210"/>
      <c r="FIN24" s="210"/>
      <c r="FIO24" s="210"/>
      <c r="FIP24" s="210"/>
      <c r="FIQ24" s="210"/>
      <c r="FIR24" s="210"/>
      <c r="FIS24" s="210"/>
      <c r="FIT24" s="210"/>
      <c r="FIU24" s="210"/>
      <c r="FIV24" s="210"/>
      <c r="FIW24" s="210"/>
      <c r="FIX24" s="210"/>
      <c r="FIY24" s="210"/>
      <c r="FIZ24" s="210"/>
      <c r="FJA24" s="210"/>
      <c r="FJB24" s="210"/>
      <c r="FJC24" s="210"/>
      <c r="FJD24" s="210"/>
      <c r="FJE24" s="210"/>
      <c r="FJF24" s="210"/>
      <c r="FJG24" s="210"/>
      <c r="FJH24" s="210"/>
      <c r="FJI24" s="210"/>
      <c r="FJJ24" s="210"/>
      <c r="FJK24" s="210"/>
      <c r="FJL24" s="210"/>
      <c r="FJM24" s="210"/>
      <c r="FJN24" s="210"/>
      <c r="FJO24" s="210"/>
      <c r="FJP24" s="210"/>
      <c r="FJQ24" s="210"/>
      <c r="FJR24" s="210"/>
      <c r="FJS24" s="210"/>
      <c r="FJT24" s="210"/>
      <c r="FJU24" s="210"/>
      <c r="FJV24" s="210"/>
      <c r="FJW24" s="210"/>
      <c r="FJX24" s="210"/>
      <c r="FJY24" s="210"/>
      <c r="FJZ24" s="210"/>
      <c r="FKA24" s="210"/>
      <c r="FKB24" s="210"/>
      <c r="FKC24" s="210"/>
      <c r="FKD24" s="210"/>
      <c r="FKE24" s="210"/>
      <c r="FKF24" s="210"/>
      <c r="FKG24" s="210"/>
      <c r="FKH24" s="210"/>
      <c r="FKI24" s="210"/>
      <c r="FKJ24" s="210"/>
      <c r="FKK24" s="210"/>
      <c r="FKL24" s="210"/>
      <c r="FKM24" s="210"/>
      <c r="FKN24" s="210"/>
      <c r="FKO24" s="210"/>
      <c r="FKP24" s="210"/>
      <c r="FKQ24" s="210"/>
      <c r="FKR24" s="210"/>
      <c r="FKS24" s="210"/>
      <c r="FKT24" s="210"/>
      <c r="FKU24" s="210"/>
      <c r="FKV24" s="210"/>
      <c r="FKW24" s="210"/>
      <c r="FKX24" s="210"/>
      <c r="FKY24" s="210"/>
      <c r="FKZ24" s="210"/>
      <c r="FLA24" s="210"/>
      <c r="FLB24" s="210"/>
      <c r="FLC24" s="210"/>
      <c r="FLD24" s="210"/>
      <c r="FLE24" s="210"/>
      <c r="FLF24" s="210"/>
      <c r="FLG24" s="210"/>
      <c r="FLH24" s="210"/>
      <c r="FLI24" s="210"/>
      <c r="FLJ24" s="210"/>
      <c r="FLK24" s="210"/>
      <c r="FLL24" s="210"/>
      <c r="FLM24" s="210"/>
      <c r="FLN24" s="210"/>
      <c r="FLO24" s="210"/>
      <c r="FLP24" s="210"/>
      <c r="FLQ24" s="210"/>
      <c r="FLR24" s="210"/>
      <c r="FLS24" s="210"/>
      <c r="FLT24" s="210"/>
      <c r="FLU24" s="210"/>
      <c r="FLV24" s="210"/>
      <c r="FLW24" s="210"/>
      <c r="FLX24" s="210"/>
      <c r="FLY24" s="210"/>
      <c r="FLZ24" s="210"/>
      <c r="FMA24" s="210"/>
      <c r="FMB24" s="210"/>
      <c r="FMC24" s="210"/>
      <c r="FMD24" s="210"/>
      <c r="FME24" s="210"/>
      <c r="FMF24" s="210"/>
      <c r="FMG24" s="210"/>
      <c r="FMH24" s="210"/>
      <c r="FMI24" s="210"/>
      <c r="FMJ24" s="210"/>
      <c r="FMK24" s="210"/>
      <c r="FML24" s="210"/>
      <c r="FMM24" s="210"/>
      <c r="FMN24" s="210"/>
      <c r="FMO24" s="210"/>
      <c r="FMP24" s="210"/>
      <c r="FMQ24" s="210"/>
      <c r="FMR24" s="210"/>
      <c r="FMS24" s="210"/>
      <c r="FMT24" s="210"/>
      <c r="FMU24" s="210"/>
      <c r="FMV24" s="210"/>
      <c r="FMW24" s="210"/>
      <c r="FMX24" s="210"/>
      <c r="FMY24" s="210"/>
      <c r="FMZ24" s="210"/>
      <c r="FNA24" s="210"/>
      <c r="FNB24" s="210"/>
      <c r="FNC24" s="210"/>
      <c r="FND24" s="210"/>
      <c r="FNE24" s="210"/>
      <c r="FNF24" s="210"/>
      <c r="FNG24" s="210"/>
      <c r="FNH24" s="210"/>
      <c r="FNI24" s="210"/>
      <c r="FNJ24" s="210"/>
      <c r="FNK24" s="210"/>
      <c r="FNL24" s="210"/>
      <c r="FNM24" s="210"/>
      <c r="FNN24" s="210"/>
      <c r="FNO24" s="210"/>
      <c r="FNP24" s="210"/>
      <c r="FNQ24" s="210"/>
      <c r="FNR24" s="210"/>
      <c r="FNS24" s="210"/>
      <c r="FNT24" s="210"/>
      <c r="FNU24" s="210"/>
      <c r="FNV24" s="210"/>
      <c r="FNW24" s="210"/>
      <c r="FNX24" s="210"/>
      <c r="FNY24" s="210"/>
      <c r="FNZ24" s="210"/>
      <c r="FOA24" s="210"/>
      <c r="FOB24" s="210"/>
      <c r="FOC24" s="210"/>
      <c r="FOD24" s="210"/>
      <c r="FOE24" s="210"/>
      <c r="FOF24" s="210"/>
      <c r="FOG24" s="210"/>
      <c r="FOH24" s="210"/>
      <c r="FOI24" s="210"/>
      <c r="FOJ24" s="210"/>
      <c r="FOK24" s="210"/>
      <c r="FOL24" s="210"/>
      <c r="FOM24" s="210"/>
      <c r="FON24" s="210"/>
      <c r="FOO24" s="210"/>
      <c r="FOP24" s="210"/>
      <c r="FOQ24" s="210"/>
      <c r="FOR24" s="210"/>
      <c r="FOS24" s="210"/>
      <c r="FOT24" s="210"/>
      <c r="FOU24" s="210"/>
      <c r="FOV24" s="210"/>
      <c r="FOW24" s="210"/>
      <c r="FOX24" s="210"/>
      <c r="FOY24" s="210"/>
      <c r="FOZ24" s="210"/>
      <c r="FPA24" s="210"/>
      <c r="FPB24" s="210"/>
      <c r="FPC24" s="210"/>
      <c r="FPD24" s="210"/>
      <c r="FPE24" s="210"/>
      <c r="FPF24" s="210"/>
      <c r="FPG24" s="210"/>
      <c r="FPH24" s="210"/>
      <c r="FPI24" s="210"/>
      <c r="FPJ24" s="210"/>
      <c r="FPK24" s="210"/>
      <c r="FPL24" s="210"/>
      <c r="FPM24" s="210"/>
      <c r="FPN24" s="210"/>
      <c r="FPO24" s="210"/>
      <c r="FPP24" s="210"/>
      <c r="FPQ24" s="210"/>
      <c r="FPR24" s="210"/>
      <c r="FPS24" s="210"/>
      <c r="FPT24" s="210"/>
      <c r="FPU24" s="210"/>
      <c r="FPV24" s="210"/>
      <c r="FPW24" s="210"/>
      <c r="FPX24" s="210"/>
      <c r="FPY24" s="210"/>
      <c r="FPZ24" s="210"/>
      <c r="FQA24" s="210"/>
      <c r="FQB24" s="210"/>
      <c r="FQC24" s="210"/>
      <c r="FQD24" s="210"/>
      <c r="FQE24" s="210"/>
      <c r="FQF24" s="210"/>
      <c r="FQG24" s="210"/>
      <c r="FQH24" s="210"/>
      <c r="FQI24" s="210"/>
      <c r="FQJ24" s="210"/>
      <c r="FQK24" s="210"/>
      <c r="FQL24" s="210"/>
      <c r="FQM24" s="210"/>
      <c r="FQN24" s="210"/>
      <c r="FQO24" s="210"/>
      <c r="FQP24" s="210"/>
      <c r="FQQ24" s="210"/>
      <c r="FQR24" s="210"/>
      <c r="FQS24" s="210"/>
      <c r="FQT24" s="210"/>
      <c r="FQU24" s="210"/>
      <c r="FQV24" s="210"/>
      <c r="FQW24" s="210"/>
      <c r="FQX24" s="210"/>
      <c r="FQY24" s="210"/>
      <c r="FQZ24" s="210"/>
      <c r="FRA24" s="210"/>
      <c r="FRB24" s="210"/>
      <c r="FRC24" s="210"/>
      <c r="FRD24" s="210"/>
      <c r="FRE24" s="210"/>
      <c r="FRF24" s="210"/>
      <c r="FRG24" s="210"/>
      <c r="FRH24" s="210"/>
      <c r="FRI24" s="210"/>
      <c r="FRJ24" s="210"/>
      <c r="FRK24" s="210"/>
      <c r="FRL24" s="210"/>
      <c r="FRM24" s="210"/>
      <c r="FRN24" s="210"/>
      <c r="FRO24" s="210"/>
      <c r="FRP24" s="210"/>
      <c r="FRQ24" s="210"/>
      <c r="FRR24" s="210"/>
      <c r="FRS24" s="210"/>
      <c r="FRT24" s="210"/>
      <c r="FRU24" s="210"/>
      <c r="FRV24" s="210"/>
      <c r="FRW24" s="210"/>
      <c r="FRX24" s="210"/>
      <c r="FRY24" s="210"/>
      <c r="FRZ24" s="210"/>
      <c r="FSA24" s="210"/>
      <c r="FSB24" s="210"/>
      <c r="FSC24" s="210"/>
      <c r="FSD24" s="210"/>
      <c r="FSE24" s="210"/>
      <c r="FSF24" s="210"/>
      <c r="FSG24" s="210"/>
      <c r="FSH24" s="210"/>
      <c r="FSI24" s="210"/>
      <c r="FSJ24" s="210"/>
      <c r="FSK24" s="210"/>
      <c r="FSL24" s="210"/>
      <c r="FSM24" s="210"/>
      <c r="FSN24" s="210"/>
      <c r="FSO24" s="210"/>
      <c r="FSP24" s="210"/>
      <c r="FSQ24" s="210"/>
      <c r="FSR24" s="210"/>
      <c r="FSS24" s="210"/>
      <c r="FST24" s="210"/>
      <c r="FSU24" s="210"/>
      <c r="FSV24" s="210"/>
      <c r="FSW24" s="210"/>
      <c r="FSX24" s="210"/>
      <c r="FSY24" s="210"/>
      <c r="FSZ24" s="210"/>
      <c r="FTA24" s="210"/>
      <c r="FTB24" s="210"/>
      <c r="FTC24" s="210"/>
      <c r="FTD24" s="210"/>
      <c r="FTE24" s="210"/>
      <c r="FTF24" s="210"/>
      <c r="FTG24" s="210"/>
      <c r="FTH24" s="210"/>
      <c r="FTI24" s="210"/>
      <c r="FTJ24" s="210"/>
      <c r="FTK24" s="210"/>
      <c r="FTL24" s="210"/>
      <c r="FTM24" s="210"/>
      <c r="FTN24" s="210"/>
      <c r="FTO24" s="210"/>
      <c r="FTP24" s="210"/>
      <c r="FTQ24" s="210"/>
      <c r="FTR24" s="210"/>
      <c r="FTS24" s="210"/>
      <c r="FTT24" s="210"/>
      <c r="FTU24" s="210"/>
      <c r="FTV24" s="210"/>
      <c r="FTW24" s="210"/>
      <c r="FTX24" s="210"/>
      <c r="FTY24" s="210"/>
      <c r="FTZ24" s="210"/>
      <c r="FUA24" s="210"/>
      <c r="FUB24" s="210"/>
      <c r="FUC24" s="210"/>
      <c r="FUD24" s="210"/>
      <c r="FUE24" s="210"/>
      <c r="FUF24" s="210"/>
      <c r="FUG24" s="210"/>
      <c r="FUH24" s="210"/>
      <c r="FUI24" s="210"/>
      <c r="FUJ24" s="210"/>
      <c r="FUK24" s="210"/>
      <c r="FUL24" s="210"/>
      <c r="FUM24" s="210"/>
      <c r="FUN24" s="210"/>
      <c r="FUO24" s="210"/>
      <c r="FUP24" s="210"/>
      <c r="FUQ24" s="210"/>
      <c r="FUR24" s="210"/>
      <c r="FUS24" s="210"/>
      <c r="FUT24" s="210"/>
      <c r="FUU24" s="210"/>
      <c r="FUV24" s="210"/>
      <c r="FUW24" s="210"/>
      <c r="FUX24" s="210"/>
      <c r="FUY24" s="210"/>
      <c r="FUZ24" s="210"/>
      <c r="FVA24" s="210"/>
      <c r="FVB24" s="210"/>
      <c r="FVC24" s="210"/>
      <c r="FVD24" s="210"/>
      <c r="FVE24" s="210"/>
      <c r="FVF24" s="210"/>
      <c r="FVG24" s="210"/>
      <c r="FVH24" s="210"/>
      <c r="FVI24" s="210"/>
      <c r="FVJ24" s="210"/>
      <c r="FVK24" s="210"/>
      <c r="FVL24" s="210"/>
      <c r="FVM24" s="210"/>
      <c r="FVN24" s="210"/>
      <c r="FVO24" s="210"/>
      <c r="FVP24" s="210"/>
      <c r="FVQ24" s="210"/>
      <c r="FVR24" s="210"/>
      <c r="FVS24" s="210"/>
      <c r="FVT24" s="210"/>
      <c r="FVU24" s="210"/>
      <c r="FVV24" s="210"/>
      <c r="FVW24" s="210"/>
      <c r="FVX24" s="210"/>
      <c r="FVY24" s="210"/>
      <c r="FVZ24" s="210"/>
      <c r="FWA24" s="210"/>
      <c r="FWB24" s="210"/>
      <c r="FWC24" s="210"/>
      <c r="FWD24" s="210"/>
      <c r="FWE24" s="210"/>
      <c r="FWF24" s="210"/>
      <c r="FWG24" s="210"/>
      <c r="FWH24" s="210"/>
      <c r="FWI24" s="210"/>
      <c r="FWJ24" s="210"/>
      <c r="FWK24" s="210"/>
      <c r="FWL24" s="210"/>
      <c r="FWM24" s="210"/>
      <c r="FWN24" s="210"/>
      <c r="FWO24" s="210"/>
      <c r="FWP24" s="210"/>
      <c r="FWQ24" s="210"/>
      <c r="FWR24" s="210"/>
      <c r="FWS24" s="210"/>
      <c r="FWT24" s="210"/>
      <c r="FWU24" s="210"/>
      <c r="FWV24" s="210"/>
      <c r="FWW24" s="210"/>
      <c r="FWX24" s="210"/>
      <c r="FWY24" s="210"/>
      <c r="FWZ24" s="210"/>
      <c r="FXA24" s="210"/>
      <c r="FXB24" s="210"/>
      <c r="FXC24" s="210"/>
      <c r="FXD24" s="210"/>
      <c r="FXE24" s="210"/>
      <c r="FXF24" s="210"/>
      <c r="FXG24" s="210"/>
      <c r="FXH24" s="210"/>
      <c r="FXI24" s="210"/>
      <c r="FXJ24" s="210"/>
      <c r="FXK24" s="210"/>
      <c r="FXL24" s="210"/>
      <c r="FXM24" s="210"/>
      <c r="FXN24" s="210"/>
      <c r="FXO24" s="210"/>
      <c r="FXP24" s="210"/>
      <c r="FXQ24" s="210"/>
      <c r="FXR24" s="210"/>
      <c r="FXS24" s="210"/>
      <c r="FXT24" s="210"/>
      <c r="FXU24" s="210"/>
      <c r="FXV24" s="210"/>
      <c r="FXW24" s="210"/>
      <c r="FXX24" s="210"/>
      <c r="FXY24" s="210"/>
      <c r="FXZ24" s="210"/>
      <c r="FYA24" s="210"/>
      <c r="FYB24" s="210"/>
      <c r="FYC24" s="210"/>
      <c r="FYD24" s="210"/>
      <c r="FYE24" s="210"/>
      <c r="FYF24" s="210"/>
      <c r="FYG24" s="210"/>
      <c r="FYH24" s="210"/>
      <c r="FYI24" s="210"/>
      <c r="FYJ24" s="210"/>
      <c r="FYK24" s="210"/>
      <c r="FYL24" s="210"/>
      <c r="FYM24" s="210"/>
      <c r="FYN24" s="210"/>
      <c r="FYO24" s="210"/>
      <c r="FYP24" s="210"/>
      <c r="FYQ24" s="210"/>
      <c r="FYR24" s="210"/>
      <c r="FYS24" s="210"/>
      <c r="FYT24" s="210"/>
      <c r="FYU24" s="210"/>
      <c r="FYV24" s="210"/>
      <c r="FYW24" s="210"/>
      <c r="FYX24" s="210"/>
      <c r="FYY24" s="210"/>
      <c r="FYZ24" s="210"/>
      <c r="FZA24" s="210"/>
      <c r="FZB24" s="210"/>
      <c r="FZC24" s="210"/>
      <c r="FZD24" s="210"/>
      <c r="FZE24" s="210"/>
      <c r="FZF24" s="210"/>
      <c r="FZG24" s="210"/>
      <c r="FZH24" s="210"/>
      <c r="FZI24" s="210"/>
      <c r="FZJ24" s="210"/>
      <c r="FZK24" s="210"/>
      <c r="FZL24" s="210"/>
      <c r="FZM24" s="210"/>
      <c r="FZN24" s="210"/>
      <c r="FZO24" s="210"/>
      <c r="FZP24" s="210"/>
      <c r="FZQ24" s="210"/>
      <c r="FZR24" s="210"/>
      <c r="FZS24" s="210"/>
      <c r="FZT24" s="210"/>
      <c r="FZU24" s="210"/>
      <c r="FZV24" s="210"/>
      <c r="FZW24" s="210"/>
      <c r="FZX24" s="210"/>
      <c r="FZY24" s="210"/>
      <c r="FZZ24" s="210"/>
      <c r="GAA24" s="210"/>
      <c r="GAB24" s="210"/>
      <c r="GAC24" s="210"/>
      <c r="GAD24" s="210"/>
      <c r="GAE24" s="210"/>
      <c r="GAF24" s="210"/>
      <c r="GAG24" s="210"/>
      <c r="GAH24" s="210"/>
      <c r="GAI24" s="210"/>
      <c r="GAJ24" s="210"/>
      <c r="GAK24" s="210"/>
      <c r="GAL24" s="210"/>
      <c r="GAM24" s="210"/>
      <c r="GAN24" s="210"/>
      <c r="GAO24" s="210"/>
      <c r="GAP24" s="210"/>
      <c r="GAQ24" s="210"/>
      <c r="GAR24" s="210"/>
      <c r="GAS24" s="210"/>
      <c r="GAT24" s="210"/>
      <c r="GAU24" s="210"/>
      <c r="GAV24" s="210"/>
      <c r="GAW24" s="210"/>
      <c r="GAX24" s="210"/>
      <c r="GAY24" s="210"/>
      <c r="GAZ24" s="210"/>
      <c r="GBA24" s="210"/>
      <c r="GBB24" s="210"/>
      <c r="GBC24" s="210"/>
      <c r="GBD24" s="210"/>
      <c r="GBE24" s="210"/>
      <c r="GBF24" s="210"/>
      <c r="GBG24" s="210"/>
      <c r="GBH24" s="210"/>
      <c r="GBI24" s="210"/>
      <c r="GBJ24" s="210"/>
      <c r="GBK24" s="210"/>
      <c r="GBL24" s="210"/>
      <c r="GBM24" s="210"/>
      <c r="GBN24" s="210"/>
      <c r="GBO24" s="210"/>
      <c r="GBP24" s="210"/>
      <c r="GBQ24" s="210"/>
      <c r="GBR24" s="210"/>
      <c r="GBS24" s="210"/>
      <c r="GBT24" s="210"/>
      <c r="GBU24" s="210"/>
      <c r="GBV24" s="210"/>
      <c r="GBW24" s="210"/>
      <c r="GBX24" s="210"/>
      <c r="GBY24" s="210"/>
      <c r="GBZ24" s="210"/>
      <c r="GCA24" s="210"/>
      <c r="GCB24" s="210"/>
      <c r="GCC24" s="210"/>
      <c r="GCD24" s="210"/>
      <c r="GCE24" s="210"/>
      <c r="GCF24" s="210"/>
      <c r="GCG24" s="210"/>
      <c r="GCH24" s="210"/>
      <c r="GCI24" s="210"/>
      <c r="GCJ24" s="210"/>
      <c r="GCK24" s="210"/>
      <c r="GCL24" s="210"/>
      <c r="GCM24" s="210"/>
      <c r="GCN24" s="210"/>
      <c r="GCO24" s="210"/>
      <c r="GCP24" s="210"/>
      <c r="GCQ24" s="210"/>
      <c r="GCR24" s="210"/>
      <c r="GCS24" s="210"/>
      <c r="GCT24" s="210"/>
      <c r="GCU24" s="210"/>
      <c r="GCV24" s="210"/>
      <c r="GCW24" s="210"/>
      <c r="GCX24" s="210"/>
      <c r="GCY24" s="210"/>
      <c r="GCZ24" s="210"/>
      <c r="GDA24" s="210"/>
      <c r="GDB24" s="210"/>
      <c r="GDC24" s="210"/>
      <c r="GDD24" s="210"/>
      <c r="GDE24" s="210"/>
      <c r="GDF24" s="210"/>
      <c r="GDG24" s="210"/>
      <c r="GDH24" s="210"/>
      <c r="GDI24" s="210"/>
      <c r="GDJ24" s="210"/>
      <c r="GDK24" s="210"/>
      <c r="GDL24" s="210"/>
      <c r="GDM24" s="210"/>
      <c r="GDN24" s="210"/>
      <c r="GDO24" s="210"/>
      <c r="GDP24" s="210"/>
      <c r="GDQ24" s="210"/>
      <c r="GDR24" s="210"/>
      <c r="GDS24" s="210"/>
      <c r="GDT24" s="210"/>
      <c r="GDU24" s="210"/>
      <c r="GDV24" s="210"/>
      <c r="GDW24" s="210"/>
      <c r="GDX24" s="210"/>
      <c r="GDY24" s="210"/>
      <c r="GDZ24" s="210"/>
      <c r="GEA24" s="210"/>
      <c r="GEB24" s="210"/>
      <c r="GEC24" s="210"/>
      <c r="GED24" s="210"/>
      <c r="GEE24" s="210"/>
      <c r="GEF24" s="210"/>
      <c r="GEG24" s="210"/>
      <c r="GEH24" s="210"/>
      <c r="GEI24" s="210"/>
      <c r="GEJ24" s="210"/>
      <c r="GEK24" s="210"/>
      <c r="GEL24" s="210"/>
      <c r="GEM24" s="210"/>
      <c r="GEN24" s="210"/>
      <c r="GEO24" s="210"/>
      <c r="GEP24" s="210"/>
      <c r="GEQ24" s="210"/>
      <c r="GER24" s="210"/>
      <c r="GES24" s="210"/>
      <c r="GET24" s="210"/>
      <c r="GEU24" s="210"/>
      <c r="GEV24" s="210"/>
      <c r="GEW24" s="210"/>
      <c r="GEX24" s="210"/>
      <c r="GEY24" s="210"/>
      <c r="GEZ24" s="210"/>
      <c r="GFA24" s="210"/>
      <c r="GFB24" s="210"/>
      <c r="GFC24" s="210"/>
      <c r="GFD24" s="210"/>
      <c r="GFE24" s="210"/>
      <c r="GFF24" s="210"/>
      <c r="GFG24" s="210"/>
      <c r="GFH24" s="210"/>
      <c r="GFI24" s="210"/>
      <c r="GFJ24" s="210"/>
      <c r="GFK24" s="210"/>
      <c r="GFL24" s="210"/>
      <c r="GFM24" s="210"/>
      <c r="GFN24" s="210"/>
      <c r="GFO24" s="210"/>
      <c r="GFP24" s="210"/>
      <c r="GFQ24" s="210"/>
      <c r="GFR24" s="210"/>
      <c r="GFS24" s="210"/>
      <c r="GFT24" s="210"/>
      <c r="GFU24" s="210"/>
      <c r="GFV24" s="210"/>
      <c r="GFW24" s="210"/>
      <c r="GFX24" s="210"/>
      <c r="GFY24" s="210"/>
      <c r="GFZ24" s="210"/>
      <c r="GGA24" s="210"/>
      <c r="GGB24" s="210"/>
      <c r="GGC24" s="210"/>
      <c r="GGD24" s="210"/>
      <c r="GGE24" s="210"/>
      <c r="GGF24" s="210"/>
      <c r="GGG24" s="210"/>
      <c r="GGH24" s="210"/>
      <c r="GGI24" s="210"/>
      <c r="GGJ24" s="210"/>
      <c r="GGK24" s="210"/>
      <c r="GGL24" s="210"/>
      <c r="GGM24" s="210"/>
      <c r="GGN24" s="210"/>
      <c r="GGO24" s="210"/>
      <c r="GGP24" s="210"/>
      <c r="GGQ24" s="210"/>
      <c r="GGR24" s="210"/>
      <c r="GGS24" s="210"/>
      <c r="GGT24" s="210"/>
      <c r="GGU24" s="210"/>
      <c r="GGV24" s="210"/>
      <c r="GGW24" s="210"/>
      <c r="GGX24" s="210"/>
      <c r="GGY24" s="210"/>
      <c r="GGZ24" s="210"/>
      <c r="GHA24" s="210"/>
      <c r="GHB24" s="210"/>
      <c r="GHC24" s="210"/>
      <c r="GHD24" s="210"/>
      <c r="GHE24" s="210"/>
      <c r="GHF24" s="210"/>
      <c r="GHG24" s="210"/>
      <c r="GHH24" s="210"/>
      <c r="GHI24" s="210"/>
      <c r="GHJ24" s="210"/>
      <c r="GHK24" s="210"/>
      <c r="GHL24" s="210"/>
      <c r="GHM24" s="210"/>
      <c r="GHN24" s="210"/>
      <c r="GHO24" s="210"/>
      <c r="GHP24" s="210"/>
      <c r="GHQ24" s="210"/>
      <c r="GHR24" s="210"/>
      <c r="GHS24" s="210"/>
      <c r="GHT24" s="210"/>
      <c r="GHU24" s="210"/>
      <c r="GHV24" s="210"/>
      <c r="GHW24" s="210"/>
      <c r="GHX24" s="210"/>
      <c r="GHY24" s="210"/>
      <c r="GHZ24" s="210"/>
      <c r="GIA24" s="210"/>
      <c r="GIB24" s="210"/>
      <c r="GIC24" s="210"/>
      <c r="GID24" s="210"/>
      <c r="GIE24" s="210"/>
      <c r="GIF24" s="210"/>
      <c r="GIG24" s="210"/>
      <c r="GIH24" s="210"/>
      <c r="GII24" s="210"/>
      <c r="GIJ24" s="210"/>
      <c r="GIK24" s="210"/>
      <c r="GIL24" s="210"/>
      <c r="GIM24" s="210"/>
      <c r="GIN24" s="210"/>
      <c r="GIO24" s="210"/>
      <c r="GIP24" s="210"/>
      <c r="GIQ24" s="210"/>
      <c r="GIR24" s="210"/>
      <c r="GIS24" s="210"/>
      <c r="GIT24" s="210"/>
      <c r="GIU24" s="210"/>
      <c r="GIV24" s="210"/>
      <c r="GIW24" s="210"/>
      <c r="GIX24" s="210"/>
      <c r="GIY24" s="210"/>
      <c r="GIZ24" s="210"/>
      <c r="GJA24" s="210"/>
      <c r="GJB24" s="210"/>
      <c r="GJC24" s="210"/>
      <c r="GJD24" s="210"/>
      <c r="GJE24" s="210"/>
      <c r="GJF24" s="210"/>
      <c r="GJG24" s="210"/>
      <c r="GJH24" s="210"/>
      <c r="GJI24" s="210"/>
      <c r="GJJ24" s="210"/>
      <c r="GJK24" s="210"/>
      <c r="GJL24" s="210"/>
      <c r="GJM24" s="210"/>
      <c r="GJN24" s="210"/>
      <c r="GJO24" s="210"/>
      <c r="GJP24" s="210"/>
      <c r="GJQ24" s="210"/>
      <c r="GJR24" s="210"/>
      <c r="GJS24" s="210"/>
      <c r="GJT24" s="210"/>
      <c r="GJU24" s="210"/>
      <c r="GJV24" s="210"/>
      <c r="GJW24" s="210"/>
      <c r="GJX24" s="210"/>
      <c r="GJY24" s="210"/>
      <c r="GJZ24" s="210"/>
      <c r="GKA24" s="210"/>
      <c r="GKB24" s="210"/>
      <c r="GKC24" s="210"/>
      <c r="GKD24" s="210"/>
      <c r="GKE24" s="210"/>
      <c r="GKF24" s="210"/>
      <c r="GKG24" s="210"/>
      <c r="GKH24" s="210"/>
      <c r="GKI24" s="210"/>
      <c r="GKJ24" s="210"/>
      <c r="GKK24" s="210"/>
      <c r="GKL24" s="210"/>
      <c r="GKM24" s="210"/>
      <c r="GKN24" s="210"/>
      <c r="GKO24" s="210"/>
      <c r="GKP24" s="210"/>
      <c r="GKQ24" s="210"/>
      <c r="GKR24" s="210"/>
      <c r="GKS24" s="210"/>
      <c r="GKT24" s="210"/>
      <c r="GKU24" s="210"/>
      <c r="GKV24" s="210"/>
      <c r="GKW24" s="210"/>
      <c r="GKX24" s="210"/>
      <c r="GKY24" s="210"/>
      <c r="GKZ24" s="210"/>
      <c r="GLA24" s="210"/>
      <c r="GLB24" s="210"/>
      <c r="GLC24" s="210"/>
      <c r="GLD24" s="210"/>
      <c r="GLE24" s="210"/>
      <c r="GLF24" s="210"/>
      <c r="GLG24" s="210"/>
      <c r="GLH24" s="210"/>
      <c r="GLI24" s="210"/>
      <c r="GLJ24" s="210"/>
      <c r="GLK24" s="210"/>
      <c r="GLL24" s="210"/>
      <c r="GLM24" s="210"/>
      <c r="GLN24" s="210"/>
      <c r="GLO24" s="210"/>
      <c r="GLP24" s="210"/>
      <c r="GLQ24" s="210"/>
      <c r="GLR24" s="210"/>
      <c r="GLS24" s="210"/>
      <c r="GLT24" s="210"/>
      <c r="GLU24" s="210"/>
      <c r="GLV24" s="210"/>
      <c r="GLW24" s="210"/>
      <c r="GLX24" s="210"/>
      <c r="GLY24" s="210"/>
      <c r="GLZ24" s="210"/>
      <c r="GMA24" s="210"/>
      <c r="GMB24" s="210"/>
      <c r="GMC24" s="210"/>
      <c r="GMD24" s="210"/>
      <c r="GME24" s="210"/>
      <c r="GMF24" s="210"/>
      <c r="GMG24" s="210"/>
      <c r="GMH24" s="210"/>
      <c r="GMI24" s="210"/>
      <c r="GMJ24" s="210"/>
      <c r="GMK24" s="210"/>
      <c r="GML24" s="210"/>
      <c r="GMM24" s="210"/>
      <c r="GMN24" s="210"/>
      <c r="GMO24" s="210"/>
      <c r="GMP24" s="210"/>
      <c r="GMQ24" s="210"/>
      <c r="GMR24" s="210"/>
      <c r="GMS24" s="210"/>
      <c r="GMT24" s="210"/>
      <c r="GMU24" s="210"/>
      <c r="GMV24" s="210"/>
      <c r="GMW24" s="210"/>
      <c r="GMX24" s="210"/>
      <c r="GMY24" s="210"/>
      <c r="GMZ24" s="210"/>
      <c r="GNA24" s="210"/>
      <c r="GNB24" s="210"/>
      <c r="GNC24" s="210"/>
      <c r="GND24" s="210"/>
      <c r="GNE24" s="210"/>
      <c r="GNF24" s="210"/>
      <c r="GNG24" s="210"/>
      <c r="GNH24" s="210"/>
      <c r="GNI24" s="210"/>
      <c r="GNJ24" s="210"/>
      <c r="GNK24" s="210"/>
      <c r="GNL24" s="210"/>
      <c r="GNM24" s="210"/>
      <c r="GNN24" s="210"/>
      <c r="GNO24" s="210"/>
      <c r="GNP24" s="210"/>
      <c r="GNQ24" s="210"/>
      <c r="GNR24" s="210"/>
      <c r="GNS24" s="210"/>
      <c r="GNT24" s="210"/>
      <c r="GNU24" s="210"/>
      <c r="GNV24" s="210"/>
      <c r="GNW24" s="210"/>
      <c r="GNX24" s="210"/>
      <c r="GNY24" s="210"/>
      <c r="GNZ24" s="210"/>
      <c r="GOA24" s="210"/>
      <c r="GOB24" s="210"/>
      <c r="GOC24" s="210"/>
      <c r="GOD24" s="210"/>
      <c r="GOE24" s="210"/>
      <c r="GOF24" s="210"/>
      <c r="GOG24" s="210"/>
      <c r="GOH24" s="210"/>
      <c r="GOI24" s="210"/>
      <c r="GOJ24" s="210"/>
      <c r="GOK24" s="210"/>
      <c r="GOL24" s="210"/>
      <c r="GOM24" s="210"/>
      <c r="GON24" s="210"/>
      <c r="GOO24" s="210"/>
      <c r="GOP24" s="210"/>
      <c r="GOQ24" s="210"/>
      <c r="GOR24" s="210"/>
      <c r="GOS24" s="210"/>
      <c r="GOT24" s="210"/>
      <c r="GOU24" s="210"/>
      <c r="GOV24" s="210"/>
      <c r="GOW24" s="210"/>
      <c r="GOX24" s="210"/>
      <c r="GOY24" s="210"/>
      <c r="GOZ24" s="210"/>
      <c r="GPA24" s="210"/>
      <c r="GPB24" s="210"/>
      <c r="GPC24" s="210"/>
      <c r="GPD24" s="210"/>
      <c r="GPE24" s="210"/>
      <c r="GPF24" s="210"/>
      <c r="GPG24" s="210"/>
      <c r="GPH24" s="210"/>
      <c r="GPI24" s="210"/>
      <c r="GPJ24" s="210"/>
      <c r="GPK24" s="210"/>
      <c r="GPL24" s="210"/>
      <c r="GPM24" s="210"/>
      <c r="GPN24" s="210"/>
      <c r="GPO24" s="210"/>
      <c r="GPP24" s="210"/>
      <c r="GPQ24" s="210"/>
      <c r="GPR24" s="210"/>
      <c r="GPS24" s="210"/>
      <c r="GPT24" s="210"/>
      <c r="GPU24" s="210"/>
      <c r="GPV24" s="210"/>
      <c r="GPW24" s="210"/>
      <c r="GPX24" s="210"/>
      <c r="GPY24" s="210"/>
      <c r="GPZ24" s="210"/>
      <c r="GQA24" s="210"/>
      <c r="GQB24" s="210"/>
      <c r="GQC24" s="210"/>
      <c r="GQD24" s="210"/>
      <c r="GQE24" s="210"/>
      <c r="GQF24" s="210"/>
      <c r="GQG24" s="210"/>
      <c r="GQH24" s="210"/>
      <c r="GQI24" s="210"/>
      <c r="GQJ24" s="210"/>
      <c r="GQK24" s="210"/>
      <c r="GQL24" s="210"/>
      <c r="GQM24" s="210"/>
      <c r="GQN24" s="210"/>
      <c r="GQO24" s="210"/>
      <c r="GQP24" s="210"/>
      <c r="GQQ24" s="210"/>
      <c r="GQR24" s="210"/>
      <c r="GQS24" s="210"/>
      <c r="GQT24" s="210"/>
      <c r="GQU24" s="210"/>
      <c r="GQV24" s="210"/>
      <c r="GQW24" s="210"/>
      <c r="GQX24" s="210"/>
      <c r="GQY24" s="210"/>
      <c r="GQZ24" s="210"/>
      <c r="GRA24" s="210"/>
      <c r="GRB24" s="210"/>
      <c r="GRC24" s="210"/>
      <c r="GRD24" s="210"/>
      <c r="GRE24" s="210"/>
      <c r="GRF24" s="210"/>
      <c r="GRG24" s="210"/>
      <c r="GRH24" s="210"/>
      <c r="GRI24" s="210"/>
      <c r="GRJ24" s="210"/>
      <c r="GRK24" s="210"/>
      <c r="GRL24" s="210"/>
      <c r="GRM24" s="210"/>
      <c r="GRN24" s="210"/>
      <c r="GRO24" s="210"/>
      <c r="GRP24" s="210"/>
      <c r="GRQ24" s="210"/>
      <c r="GRR24" s="210"/>
      <c r="GRS24" s="210"/>
      <c r="GRT24" s="210"/>
      <c r="GRU24" s="210"/>
      <c r="GRV24" s="210"/>
      <c r="GRW24" s="210"/>
      <c r="GRX24" s="210"/>
      <c r="GRY24" s="210"/>
      <c r="GRZ24" s="210"/>
      <c r="GSA24" s="210"/>
      <c r="GSB24" s="210"/>
      <c r="GSC24" s="210"/>
      <c r="GSD24" s="210"/>
      <c r="GSE24" s="210"/>
      <c r="GSF24" s="210"/>
      <c r="GSG24" s="210"/>
      <c r="GSH24" s="210"/>
      <c r="GSI24" s="210"/>
      <c r="GSJ24" s="210"/>
      <c r="GSK24" s="210"/>
      <c r="GSL24" s="210"/>
      <c r="GSM24" s="210"/>
      <c r="GSN24" s="210"/>
      <c r="GSO24" s="210"/>
      <c r="GSP24" s="210"/>
      <c r="GSQ24" s="210"/>
      <c r="GSR24" s="210"/>
      <c r="GSS24" s="210"/>
      <c r="GST24" s="210"/>
      <c r="GSU24" s="210"/>
      <c r="GSV24" s="210"/>
      <c r="GSW24" s="210"/>
      <c r="GSX24" s="210"/>
      <c r="GSY24" s="210"/>
      <c r="GSZ24" s="210"/>
      <c r="GTA24" s="210"/>
      <c r="GTB24" s="210"/>
      <c r="GTC24" s="210"/>
      <c r="GTD24" s="210"/>
      <c r="GTE24" s="210"/>
      <c r="GTF24" s="210"/>
      <c r="GTG24" s="210"/>
      <c r="GTH24" s="210"/>
      <c r="GTI24" s="210"/>
      <c r="GTJ24" s="210"/>
      <c r="GTK24" s="210"/>
      <c r="GTL24" s="210"/>
      <c r="GTM24" s="210"/>
      <c r="GTN24" s="210"/>
      <c r="GTO24" s="210"/>
      <c r="GTP24" s="210"/>
      <c r="GTQ24" s="210"/>
      <c r="GTR24" s="210"/>
      <c r="GTS24" s="210"/>
      <c r="GTT24" s="210"/>
      <c r="GTU24" s="210"/>
      <c r="GTV24" s="210"/>
      <c r="GTW24" s="210"/>
      <c r="GTX24" s="210"/>
      <c r="GTY24" s="210"/>
      <c r="GTZ24" s="210"/>
      <c r="GUA24" s="210"/>
      <c r="GUB24" s="210"/>
      <c r="GUC24" s="210"/>
      <c r="GUD24" s="210"/>
      <c r="GUE24" s="210"/>
      <c r="GUF24" s="210"/>
      <c r="GUG24" s="210"/>
      <c r="GUH24" s="210"/>
      <c r="GUI24" s="210"/>
      <c r="GUJ24" s="210"/>
      <c r="GUK24" s="210"/>
      <c r="GUL24" s="210"/>
      <c r="GUM24" s="210"/>
      <c r="GUN24" s="210"/>
      <c r="GUO24" s="210"/>
      <c r="GUP24" s="210"/>
      <c r="GUQ24" s="210"/>
      <c r="GUR24" s="210"/>
      <c r="GUS24" s="210"/>
      <c r="GUT24" s="210"/>
      <c r="GUU24" s="210"/>
      <c r="GUV24" s="210"/>
      <c r="GUW24" s="210"/>
      <c r="GUX24" s="210"/>
      <c r="GUY24" s="210"/>
      <c r="GUZ24" s="210"/>
      <c r="GVA24" s="210"/>
      <c r="GVB24" s="210"/>
      <c r="GVC24" s="210"/>
      <c r="GVD24" s="210"/>
      <c r="GVE24" s="210"/>
      <c r="GVF24" s="210"/>
      <c r="GVG24" s="210"/>
      <c r="GVH24" s="210"/>
      <c r="GVI24" s="210"/>
      <c r="GVJ24" s="210"/>
      <c r="GVK24" s="210"/>
      <c r="GVL24" s="210"/>
      <c r="GVM24" s="210"/>
      <c r="GVN24" s="210"/>
      <c r="GVO24" s="210"/>
      <c r="GVP24" s="210"/>
      <c r="GVQ24" s="210"/>
      <c r="GVR24" s="210"/>
      <c r="GVS24" s="210"/>
      <c r="GVT24" s="210"/>
      <c r="GVU24" s="210"/>
      <c r="GVV24" s="210"/>
      <c r="GVW24" s="210"/>
      <c r="GVX24" s="210"/>
      <c r="GVY24" s="210"/>
      <c r="GVZ24" s="210"/>
      <c r="GWA24" s="210"/>
      <c r="GWB24" s="210"/>
      <c r="GWC24" s="210"/>
      <c r="GWD24" s="210"/>
      <c r="GWE24" s="210"/>
      <c r="GWF24" s="210"/>
      <c r="GWG24" s="210"/>
      <c r="GWH24" s="210"/>
      <c r="GWI24" s="210"/>
      <c r="GWJ24" s="210"/>
      <c r="GWK24" s="210"/>
      <c r="GWL24" s="210"/>
      <c r="GWM24" s="210"/>
      <c r="GWN24" s="210"/>
      <c r="GWO24" s="210"/>
      <c r="GWP24" s="210"/>
      <c r="GWQ24" s="210"/>
      <c r="GWR24" s="210"/>
      <c r="GWS24" s="210"/>
      <c r="GWT24" s="210"/>
      <c r="GWU24" s="210"/>
      <c r="GWV24" s="210"/>
      <c r="GWW24" s="210"/>
      <c r="GWX24" s="210"/>
      <c r="GWY24" s="210"/>
      <c r="GWZ24" s="210"/>
      <c r="GXA24" s="210"/>
      <c r="GXB24" s="210"/>
      <c r="GXC24" s="210"/>
      <c r="GXD24" s="210"/>
      <c r="GXE24" s="210"/>
      <c r="GXF24" s="210"/>
      <c r="GXG24" s="210"/>
      <c r="GXH24" s="210"/>
      <c r="GXI24" s="210"/>
      <c r="GXJ24" s="210"/>
      <c r="GXK24" s="210"/>
      <c r="GXL24" s="210"/>
      <c r="GXM24" s="210"/>
      <c r="GXN24" s="210"/>
      <c r="GXO24" s="210"/>
      <c r="GXP24" s="210"/>
      <c r="GXQ24" s="210"/>
      <c r="GXR24" s="210"/>
      <c r="GXS24" s="210"/>
      <c r="GXT24" s="210"/>
      <c r="GXU24" s="210"/>
      <c r="GXV24" s="210"/>
      <c r="GXW24" s="210"/>
      <c r="GXX24" s="210"/>
      <c r="GXY24" s="210"/>
      <c r="GXZ24" s="210"/>
      <c r="GYA24" s="210"/>
      <c r="GYB24" s="210"/>
      <c r="GYC24" s="210"/>
      <c r="GYD24" s="210"/>
      <c r="GYE24" s="210"/>
      <c r="GYF24" s="210"/>
      <c r="GYG24" s="210"/>
      <c r="GYH24" s="210"/>
      <c r="GYI24" s="210"/>
      <c r="GYJ24" s="210"/>
      <c r="GYK24" s="210"/>
      <c r="GYL24" s="210"/>
      <c r="GYM24" s="210"/>
      <c r="GYN24" s="210"/>
      <c r="GYO24" s="210"/>
      <c r="GYP24" s="210"/>
      <c r="GYQ24" s="210"/>
      <c r="GYR24" s="210"/>
      <c r="GYS24" s="210"/>
      <c r="GYT24" s="210"/>
      <c r="GYU24" s="210"/>
      <c r="GYV24" s="210"/>
      <c r="GYW24" s="210"/>
      <c r="GYX24" s="210"/>
      <c r="GYY24" s="210"/>
      <c r="GYZ24" s="210"/>
      <c r="GZA24" s="210"/>
      <c r="GZB24" s="210"/>
      <c r="GZC24" s="210"/>
      <c r="GZD24" s="210"/>
      <c r="GZE24" s="210"/>
      <c r="GZF24" s="210"/>
      <c r="GZG24" s="210"/>
      <c r="GZH24" s="210"/>
      <c r="GZI24" s="210"/>
      <c r="GZJ24" s="210"/>
      <c r="GZK24" s="210"/>
      <c r="GZL24" s="210"/>
      <c r="GZM24" s="210"/>
      <c r="GZN24" s="210"/>
      <c r="GZO24" s="210"/>
      <c r="GZP24" s="210"/>
      <c r="GZQ24" s="210"/>
      <c r="GZR24" s="210"/>
      <c r="GZS24" s="210"/>
      <c r="GZT24" s="210"/>
      <c r="GZU24" s="210"/>
      <c r="GZV24" s="210"/>
      <c r="GZW24" s="210"/>
      <c r="GZX24" s="210"/>
      <c r="GZY24" s="210"/>
      <c r="GZZ24" s="210"/>
      <c r="HAA24" s="210"/>
      <c r="HAB24" s="210"/>
      <c r="HAC24" s="210"/>
      <c r="HAD24" s="210"/>
      <c r="HAE24" s="210"/>
      <c r="HAF24" s="210"/>
      <c r="HAG24" s="210"/>
      <c r="HAH24" s="210"/>
      <c r="HAI24" s="210"/>
      <c r="HAJ24" s="210"/>
      <c r="HAK24" s="210"/>
      <c r="HAL24" s="210"/>
      <c r="HAM24" s="210"/>
      <c r="HAN24" s="210"/>
      <c r="HAO24" s="210"/>
      <c r="HAP24" s="210"/>
      <c r="HAQ24" s="210"/>
      <c r="HAR24" s="210"/>
      <c r="HAS24" s="210"/>
      <c r="HAT24" s="210"/>
      <c r="HAU24" s="210"/>
      <c r="HAV24" s="210"/>
      <c r="HAW24" s="210"/>
      <c r="HAX24" s="210"/>
      <c r="HAY24" s="210"/>
      <c r="HAZ24" s="210"/>
      <c r="HBA24" s="210"/>
      <c r="HBB24" s="210"/>
      <c r="HBC24" s="210"/>
      <c r="HBD24" s="210"/>
      <c r="HBE24" s="210"/>
      <c r="HBF24" s="210"/>
      <c r="HBG24" s="210"/>
      <c r="HBH24" s="210"/>
      <c r="HBI24" s="210"/>
      <c r="HBJ24" s="210"/>
      <c r="HBK24" s="210"/>
      <c r="HBL24" s="210"/>
      <c r="HBM24" s="210"/>
      <c r="HBN24" s="210"/>
      <c r="HBO24" s="210"/>
      <c r="HBP24" s="210"/>
      <c r="HBQ24" s="210"/>
      <c r="HBR24" s="210"/>
      <c r="HBS24" s="210"/>
      <c r="HBT24" s="210"/>
      <c r="HBU24" s="210"/>
      <c r="HBV24" s="210"/>
      <c r="HBW24" s="210"/>
      <c r="HBX24" s="210"/>
      <c r="HBY24" s="210"/>
      <c r="HBZ24" s="210"/>
      <c r="HCA24" s="210"/>
      <c r="HCB24" s="210"/>
      <c r="HCC24" s="210"/>
      <c r="HCD24" s="210"/>
      <c r="HCE24" s="210"/>
      <c r="HCF24" s="210"/>
      <c r="HCG24" s="210"/>
      <c r="HCH24" s="210"/>
      <c r="HCI24" s="210"/>
      <c r="HCJ24" s="210"/>
      <c r="HCK24" s="210"/>
      <c r="HCL24" s="210"/>
      <c r="HCM24" s="210"/>
      <c r="HCN24" s="210"/>
      <c r="HCO24" s="210"/>
      <c r="HCP24" s="210"/>
      <c r="HCQ24" s="210"/>
      <c r="HCR24" s="210"/>
      <c r="HCS24" s="210"/>
      <c r="HCT24" s="210"/>
      <c r="HCU24" s="210"/>
      <c r="HCV24" s="210"/>
      <c r="HCW24" s="210"/>
      <c r="HCX24" s="210"/>
      <c r="HCY24" s="210"/>
      <c r="HCZ24" s="210"/>
      <c r="HDA24" s="210"/>
      <c r="HDB24" s="210"/>
      <c r="HDC24" s="210"/>
      <c r="HDD24" s="210"/>
      <c r="HDE24" s="210"/>
      <c r="HDF24" s="210"/>
      <c r="HDG24" s="210"/>
      <c r="HDH24" s="210"/>
      <c r="HDI24" s="210"/>
      <c r="HDJ24" s="210"/>
      <c r="HDK24" s="210"/>
      <c r="HDL24" s="210"/>
      <c r="HDM24" s="210"/>
      <c r="HDN24" s="210"/>
      <c r="HDO24" s="210"/>
      <c r="HDP24" s="210"/>
      <c r="HDQ24" s="210"/>
      <c r="HDR24" s="210"/>
      <c r="HDS24" s="210"/>
      <c r="HDT24" s="210"/>
      <c r="HDU24" s="210"/>
      <c r="HDV24" s="210"/>
      <c r="HDW24" s="210"/>
      <c r="HDX24" s="210"/>
      <c r="HDY24" s="210"/>
      <c r="HDZ24" s="210"/>
      <c r="HEA24" s="210"/>
      <c r="HEB24" s="210"/>
      <c r="HEC24" s="210"/>
      <c r="HED24" s="210"/>
      <c r="HEE24" s="210"/>
      <c r="HEF24" s="210"/>
      <c r="HEG24" s="210"/>
      <c r="HEH24" s="210"/>
      <c r="HEI24" s="210"/>
      <c r="HEJ24" s="210"/>
      <c r="HEK24" s="210"/>
      <c r="HEL24" s="210"/>
      <c r="HEM24" s="210"/>
      <c r="HEN24" s="210"/>
      <c r="HEO24" s="210"/>
      <c r="HEP24" s="210"/>
      <c r="HEQ24" s="210"/>
      <c r="HER24" s="210"/>
      <c r="HES24" s="210"/>
      <c r="HET24" s="210"/>
      <c r="HEU24" s="210"/>
      <c r="HEV24" s="210"/>
      <c r="HEW24" s="210"/>
      <c r="HEX24" s="210"/>
      <c r="HEY24" s="210"/>
      <c r="HEZ24" s="210"/>
      <c r="HFA24" s="210"/>
      <c r="HFB24" s="210"/>
      <c r="HFC24" s="210"/>
      <c r="HFD24" s="210"/>
      <c r="HFE24" s="210"/>
      <c r="HFF24" s="210"/>
      <c r="HFG24" s="210"/>
      <c r="HFH24" s="210"/>
      <c r="HFI24" s="210"/>
      <c r="HFJ24" s="210"/>
      <c r="HFK24" s="210"/>
      <c r="HFL24" s="210"/>
      <c r="HFM24" s="210"/>
      <c r="HFN24" s="210"/>
      <c r="HFO24" s="210"/>
      <c r="HFP24" s="210"/>
      <c r="HFQ24" s="210"/>
      <c r="HFR24" s="210"/>
      <c r="HFS24" s="210"/>
      <c r="HFT24" s="210"/>
      <c r="HFU24" s="210"/>
      <c r="HFV24" s="210"/>
      <c r="HFW24" s="210"/>
      <c r="HFX24" s="210"/>
      <c r="HFY24" s="210"/>
      <c r="HFZ24" s="210"/>
      <c r="HGA24" s="210"/>
      <c r="HGB24" s="210"/>
      <c r="HGC24" s="210"/>
      <c r="HGD24" s="210"/>
      <c r="HGE24" s="210"/>
      <c r="HGF24" s="210"/>
      <c r="HGG24" s="210"/>
      <c r="HGH24" s="210"/>
      <c r="HGI24" s="210"/>
      <c r="HGJ24" s="210"/>
      <c r="HGK24" s="210"/>
      <c r="HGL24" s="210"/>
      <c r="HGM24" s="210"/>
      <c r="HGN24" s="210"/>
      <c r="HGO24" s="210"/>
      <c r="HGP24" s="210"/>
      <c r="HGQ24" s="210"/>
      <c r="HGR24" s="210"/>
      <c r="HGS24" s="210"/>
      <c r="HGT24" s="210"/>
      <c r="HGU24" s="210"/>
      <c r="HGV24" s="210"/>
      <c r="HGW24" s="210"/>
      <c r="HGX24" s="210"/>
      <c r="HGY24" s="210"/>
      <c r="HGZ24" s="210"/>
      <c r="HHA24" s="210"/>
      <c r="HHB24" s="210"/>
      <c r="HHC24" s="210"/>
      <c r="HHD24" s="210"/>
      <c r="HHE24" s="210"/>
      <c r="HHF24" s="210"/>
      <c r="HHG24" s="210"/>
      <c r="HHH24" s="210"/>
      <c r="HHI24" s="210"/>
      <c r="HHJ24" s="210"/>
      <c r="HHK24" s="210"/>
      <c r="HHL24" s="210"/>
      <c r="HHM24" s="210"/>
      <c r="HHN24" s="210"/>
      <c r="HHO24" s="210"/>
      <c r="HHP24" s="210"/>
      <c r="HHQ24" s="210"/>
      <c r="HHR24" s="210"/>
      <c r="HHS24" s="210"/>
      <c r="HHT24" s="210"/>
      <c r="HHU24" s="210"/>
      <c r="HHV24" s="210"/>
      <c r="HHW24" s="210"/>
      <c r="HHX24" s="210"/>
      <c r="HHY24" s="210"/>
      <c r="HHZ24" s="210"/>
      <c r="HIA24" s="210"/>
      <c r="HIB24" s="210"/>
      <c r="HIC24" s="210"/>
      <c r="HID24" s="210"/>
      <c r="HIE24" s="210"/>
      <c r="HIF24" s="210"/>
      <c r="HIG24" s="210"/>
      <c r="HIH24" s="210"/>
      <c r="HII24" s="210"/>
      <c r="HIJ24" s="210"/>
      <c r="HIK24" s="210"/>
      <c r="HIL24" s="210"/>
      <c r="HIM24" s="210"/>
      <c r="HIN24" s="210"/>
      <c r="HIO24" s="210"/>
      <c r="HIP24" s="210"/>
      <c r="HIQ24" s="210"/>
      <c r="HIR24" s="210"/>
      <c r="HIS24" s="210"/>
      <c r="HIT24" s="210"/>
      <c r="HIU24" s="210"/>
      <c r="HIV24" s="210"/>
      <c r="HIW24" s="210"/>
      <c r="HIX24" s="210"/>
      <c r="HIY24" s="210"/>
      <c r="HIZ24" s="210"/>
      <c r="HJA24" s="210"/>
      <c r="HJB24" s="210"/>
      <c r="HJC24" s="210"/>
      <c r="HJD24" s="210"/>
      <c r="HJE24" s="210"/>
      <c r="HJF24" s="210"/>
      <c r="HJG24" s="210"/>
      <c r="HJH24" s="210"/>
      <c r="HJI24" s="210"/>
      <c r="HJJ24" s="210"/>
      <c r="HJK24" s="210"/>
      <c r="HJL24" s="210"/>
      <c r="HJM24" s="210"/>
      <c r="HJN24" s="210"/>
      <c r="HJO24" s="210"/>
      <c r="HJP24" s="210"/>
      <c r="HJQ24" s="210"/>
      <c r="HJR24" s="210"/>
      <c r="HJS24" s="210"/>
      <c r="HJT24" s="210"/>
      <c r="HJU24" s="210"/>
      <c r="HJV24" s="210"/>
      <c r="HJW24" s="210"/>
      <c r="HJX24" s="210"/>
      <c r="HJY24" s="210"/>
      <c r="HJZ24" s="210"/>
      <c r="HKA24" s="210"/>
      <c r="HKB24" s="210"/>
      <c r="HKC24" s="210"/>
      <c r="HKD24" s="210"/>
      <c r="HKE24" s="210"/>
      <c r="HKF24" s="210"/>
      <c r="HKG24" s="210"/>
      <c r="HKH24" s="210"/>
      <c r="HKI24" s="210"/>
      <c r="HKJ24" s="210"/>
      <c r="HKK24" s="210"/>
      <c r="HKL24" s="210"/>
      <c r="HKM24" s="210"/>
      <c r="HKN24" s="210"/>
      <c r="HKO24" s="210"/>
      <c r="HKP24" s="210"/>
      <c r="HKQ24" s="210"/>
      <c r="HKR24" s="210"/>
      <c r="HKS24" s="210"/>
      <c r="HKT24" s="210"/>
      <c r="HKU24" s="210"/>
      <c r="HKV24" s="210"/>
      <c r="HKW24" s="210"/>
      <c r="HKX24" s="210"/>
      <c r="HKY24" s="210"/>
      <c r="HKZ24" s="210"/>
      <c r="HLA24" s="210"/>
      <c r="HLB24" s="210"/>
      <c r="HLC24" s="210"/>
      <c r="HLD24" s="210"/>
      <c r="HLE24" s="210"/>
      <c r="HLF24" s="210"/>
      <c r="HLG24" s="210"/>
      <c r="HLH24" s="210"/>
      <c r="HLI24" s="210"/>
      <c r="HLJ24" s="210"/>
      <c r="HLK24" s="210"/>
      <c r="HLL24" s="210"/>
      <c r="HLM24" s="210"/>
      <c r="HLN24" s="210"/>
      <c r="HLO24" s="210"/>
      <c r="HLP24" s="210"/>
      <c r="HLQ24" s="210"/>
      <c r="HLR24" s="210"/>
      <c r="HLS24" s="210"/>
      <c r="HLT24" s="210"/>
      <c r="HLU24" s="210"/>
      <c r="HLV24" s="210"/>
      <c r="HLW24" s="210"/>
      <c r="HLX24" s="210"/>
      <c r="HLY24" s="210"/>
      <c r="HLZ24" s="210"/>
      <c r="HMA24" s="210"/>
      <c r="HMB24" s="210"/>
      <c r="HMC24" s="210"/>
      <c r="HMD24" s="210"/>
      <c r="HME24" s="210"/>
      <c r="HMF24" s="210"/>
      <c r="HMG24" s="210"/>
      <c r="HMH24" s="210"/>
      <c r="HMI24" s="210"/>
      <c r="HMJ24" s="210"/>
      <c r="HMK24" s="210"/>
      <c r="HML24" s="210"/>
      <c r="HMM24" s="210"/>
      <c r="HMN24" s="210"/>
      <c r="HMO24" s="210"/>
      <c r="HMP24" s="210"/>
      <c r="HMQ24" s="210"/>
      <c r="HMR24" s="210"/>
      <c r="HMS24" s="210"/>
      <c r="HMT24" s="210"/>
      <c r="HMU24" s="210"/>
      <c r="HMV24" s="210"/>
      <c r="HMW24" s="210"/>
      <c r="HMX24" s="210"/>
      <c r="HMY24" s="210"/>
      <c r="HMZ24" s="210"/>
      <c r="HNA24" s="210"/>
      <c r="HNB24" s="210"/>
      <c r="HNC24" s="210"/>
      <c r="HND24" s="210"/>
      <c r="HNE24" s="210"/>
      <c r="HNF24" s="210"/>
      <c r="HNG24" s="210"/>
      <c r="HNH24" s="210"/>
      <c r="HNI24" s="210"/>
      <c r="HNJ24" s="210"/>
      <c r="HNK24" s="210"/>
      <c r="HNL24" s="210"/>
      <c r="HNM24" s="210"/>
      <c r="HNN24" s="210"/>
      <c r="HNO24" s="210"/>
      <c r="HNP24" s="210"/>
      <c r="HNQ24" s="210"/>
      <c r="HNR24" s="210"/>
      <c r="HNS24" s="210"/>
      <c r="HNT24" s="210"/>
      <c r="HNU24" s="210"/>
      <c r="HNV24" s="210"/>
      <c r="HNW24" s="210"/>
      <c r="HNX24" s="210"/>
      <c r="HNY24" s="210"/>
      <c r="HNZ24" s="210"/>
      <c r="HOA24" s="210"/>
      <c r="HOB24" s="210"/>
      <c r="HOC24" s="210"/>
      <c r="HOD24" s="210"/>
      <c r="HOE24" s="210"/>
      <c r="HOF24" s="210"/>
      <c r="HOG24" s="210"/>
      <c r="HOH24" s="210"/>
      <c r="HOI24" s="210"/>
      <c r="HOJ24" s="210"/>
      <c r="HOK24" s="210"/>
      <c r="HOL24" s="210"/>
      <c r="HOM24" s="210"/>
      <c r="HON24" s="210"/>
      <c r="HOO24" s="210"/>
      <c r="HOP24" s="210"/>
      <c r="HOQ24" s="210"/>
      <c r="HOR24" s="210"/>
      <c r="HOS24" s="210"/>
      <c r="HOT24" s="210"/>
      <c r="HOU24" s="210"/>
      <c r="HOV24" s="210"/>
      <c r="HOW24" s="210"/>
      <c r="HOX24" s="210"/>
      <c r="HOY24" s="210"/>
      <c r="HOZ24" s="210"/>
      <c r="HPA24" s="210"/>
      <c r="HPB24" s="210"/>
      <c r="HPC24" s="210"/>
      <c r="HPD24" s="210"/>
      <c r="HPE24" s="210"/>
      <c r="HPF24" s="210"/>
      <c r="HPG24" s="210"/>
      <c r="HPH24" s="210"/>
      <c r="HPI24" s="210"/>
      <c r="HPJ24" s="210"/>
      <c r="HPK24" s="210"/>
      <c r="HPL24" s="210"/>
      <c r="HPM24" s="210"/>
      <c r="HPN24" s="210"/>
      <c r="HPO24" s="210"/>
      <c r="HPP24" s="210"/>
      <c r="HPQ24" s="210"/>
      <c r="HPR24" s="210"/>
      <c r="HPS24" s="210"/>
      <c r="HPT24" s="210"/>
      <c r="HPU24" s="210"/>
      <c r="HPV24" s="210"/>
      <c r="HPW24" s="210"/>
      <c r="HPX24" s="210"/>
      <c r="HPY24" s="210"/>
      <c r="HPZ24" s="210"/>
      <c r="HQA24" s="210"/>
      <c r="HQB24" s="210"/>
      <c r="HQC24" s="210"/>
      <c r="HQD24" s="210"/>
      <c r="HQE24" s="210"/>
      <c r="HQF24" s="210"/>
      <c r="HQG24" s="210"/>
      <c r="HQH24" s="210"/>
      <c r="HQI24" s="210"/>
      <c r="HQJ24" s="210"/>
      <c r="HQK24" s="210"/>
      <c r="HQL24" s="210"/>
      <c r="HQM24" s="210"/>
      <c r="HQN24" s="210"/>
      <c r="HQO24" s="210"/>
      <c r="HQP24" s="210"/>
      <c r="HQQ24" s="210"/>
      <c r="HQR24" s="210"/>
      <c r="HQS24" s="210"/>
      <c r="HQT24" s="210"/>
      <c r="HQU24" s="210"/>
      <c r="HQV24" s="210"/>
      <c r="HQW24" s="210"/>
      <c r="HQX24" s="210"/>
      <c r="HQY24" s="210"/>
      <c r="HQZ24" s="210"/>
      <c r="HRA24" s="210"/>
      <c r="HRB24" s="210"/>
      <c r="HRC24" s="210"/>
      <c r="HRD24" s="210"/>
      <c r="HRE24" s="210"/>
      <c r="HRF24" s="210"/>
      <c r="HRG24" s="210"/>
      <c r="HRH24" s="210"/>
      <c r="HRI24" s="210"/>
      <c r="HRJ24" s="210"/>
      <c r="HRK24" s="210"/>
      <c r="HRL24" s="210"/>
      <c r="HRM24" s="210"/>
      <c r="HRN24" s="210"/>
      <c r="HRO24" s="210"/>
      <c r="HRP24" s="210"/>
      <c r="HRQ24" s="210"/>
      <c r="HRR24" s="210"/>
      <c r="HRS24" s="210"/>
      <c r="HRT24" s="210"/>
      <c r="HRU24" s="210"/>
      <c r="HRV24" s="210"/>
      <c r="HRW24" s="210"/>
      <c r="HRX24" s="210"/>
      <c r="HRY24" s="210"/>
      <c r="HRZ24" s="210"/>
      <c r="HSA24" s="210"/>
      <c r="HSB24" s="210"/>
      <c r="HSC24" s="210"/>
      <c r="HSD24" s="210"/>
      <c r="HSE24" s="210"/>
      <c r="HSF24" s="210"/>
      <c r="HSG24" s="210"/>
      <c r="HSH24" s="210"/>
      <c r="HSI24" s="210"/>
      <c r="HSJ24" s="210"/>
      <c r="HSK24" s="210"/>
      <c r="HSL24" s="210"/>
      <c r="HSM24" s="210"/>
      <c r="HSN24" s="210"/>
      <c r="HSO24" s="210"/>
      <c r="HSP24" s="210"/>
      <c r="HSQ24" s="210"/>
      <c r="HSR24" s="210"/>
      <c r="HSS24" s="210"/>
      <c r="HST24" s="210"/>
      <c r="HSU24" s="210"/>
      <c r="HSV24" s="210"/>
      <c r="HSW24" s="210"/>
      <c r="HSX24" s="210"/>
      <c r="HSY24" s="210"/>
      <c r="HSZ24" s="210"/>
      <c r="HTA24" s="210"/>
      <c r="HTB24" s="210"/>
      <c r="HTC24" s="210"/>
      <c r="HTD24" s="210"/>
      <c r="HTE24" s="210"/>
      <c r="HTF24" s="210"/>
      <c r="HTG24" s="210"/>
      <c r="HTH24" s="210"/>
      <c r="HTI24" s="210"/>
      <c r="HTJ24" s="210"/>
      <c r="HTK24" s="210"/>
      <c r="HTL24" s="210"/>
      <c r="HTM24" s="210"/>
      <c r="HTN24" s="210"/>
      <c r="HTO24" s="210"/>
      <c r="HTP24" s="210"/>
      <c r="HTQ24" s="210"/>
      <c r="HTR24" s="210"/>
      <c r="HTS24" s="210"/>
      <c r="HTT24" s="210"/>
      <c r="HTU24" s="210"/>
      <c r="HTV24" s="210"/>
      <c r="HTW24" s="210"/>
      <c r="HTX24" s="210"/>
      <c r="HTY24" s="210"/>
      <c r="HTZ24" s="210"/>
      <c r="HUA24" s="210"/>
      <c r="HUB24" s="210"/>
      <c r="HUC24" s="210"/>
      <c r="HUD24" s="210"/>
      <c r="HUE24" s="210"/>
      <c r="HUF24" s="210"/>
      <c r="HUG24" s="210"/>
      <c r="HUH24" s="210"/>
      <c r="HUI24" s="210"/>
      <c r="HUJ24" s="210"/>
      <c r="HUK24" s="210"/>
      <c r="HUL24" s="210"/>
      <c r="HUM24" s="210"/>
      <c r="HUN24" s="210"/>
      <c r="HUO24" s="210"/>
      <c r="HUP24" s="210"/>
      <c r="HUQ24" s="210"/>
      <c r="HUR24" s="210"/>
      <c r="HUS24" s="210"/>
      <c r="HUT24" s="210"/>
      <c r="HUU24" s="210"/>
      <c r="HUV24" s="210"/>
      <c r="HUW24" s="210"/>
      <c r="HUX24" s="210"/>
      <c r="HUY24" s="210"/>
      <c r="HUZ24" s="210"/>
      <c r="HVA24" s="210"/>
      <c r="HVB24" s="210"/>
      <c r="HVC24" s="210"/>
      <c r="HVD24" s="210"/>
      <c r="HVE24" s="210"/>
      <c r="HVF24" s="210"/>
      <c r="HVG24" s="210"/>
      <c r="HVH24" s="210"/>
      <c r="HVI24" s="210"/>
      <c r="HVJ24" s="210"/>
      <c r="HVK24" s="210"/>
      <c r="HVL24" s="210"/>
      <c r="HVM24" s="210"/>
      <c r="HVN24" s="210"/>
      <c r="HVO24" s="210"/>
      <c r="HVP24" s="210"/>
      <c r="HVQ24" s="210"/>
      <c r="HVR24" s="210"/>
      <c r="HVS24" s="210"/>
      <c r="HVT24" s="210"/>
      <c r="HVU24" s="210"/>
      <c r="HVV24" s="210"/>
      <c r="HVW24" s="210"/>
      <c r="HVX24" s="210"/>
      <c r="HVY24" s="210"/>
      <c r="HVZ24" s="210"/>
      <c r="HWA24" s="210"/>
      <c r="HWB24" s="210"/>
      <c r="HWC24" s="210"/>
      <c r="HWD24" s="210"/>
      <c r="HWE24" s="210"/>
      <c r="HWF24" s="210"/>
      <c r="HWG24" s="210"/>
      <c r="HWH24" s="210"/>
      <c r="HWI24" s="210"/>
      <c r="HWJ24" s="210"/>
      <c r="HWK24" s="210"/>
      <c r="HWL24" s="210"/>
      <c r="HWM24" s="210"/>
      <c r="HWN24" s="210"/>
      <c r="HWO24" s="210"/>
      <c r="HWP24" s="210"/>
      <c r="HWQ24" s="210"/>
      <c r="HWR24" s="210"/>
      <c r="HWS24" s="210"/>
      <c r="HWT24" s="210"/>
      <c r="HWU24" s="210"/>
      <c r="HWV24" s="210"/>
      <c r="HWW24" s="210"/>
      <c r="HWX24" s="210"/>
      <c r="HWY24" s="210"/>
      <c r="HWZ24" s="210"/>
      <c r="HXA24" s="210"/>
      <c r="HXB24" s="210"/>
      <c r="HXC24" s="210"/>
      <c r="HXD24" s="210"/>
      <c r="HXE24" s="210"/>
      <c r="HXF24" s="210"/>
      <c r="HXG24" s="210"/>
      <c r="HXH24" s="210"/>
      <c r="HXI24" s="210"/>
      <c r="HXJ24" s="210"/>
      <c r="HXK24" s="210"/>
      <c r="HXL24" s="210"/>
      <c r="HXM24" s="210"/>
      <c r="HXN24" s="210"/>
      <c r="HXO24" s="210"/>
      <c r="HXP24" s="210"/>
      <c r="HXQ24" s="210"/>
      <c r="HXR24" s="210"/>
      <c r="HXS24" s="210"/>
      <c r="HXT24" s="210"/>
      <c r="HXU24" s="210"/>
      <c r="HXV24" s="210"/>
      <c r="HXW24" s="210"/>
      <c r="HXX24" s="210"/>
      <c r="HXY24" s="210"/>
      <c r="HXZ24" s="210"/>
      <c r="HYA24" s="210"/>
      <c r="HYB24" s="210"/>
      <c r="HYC24" s="210"/>
      <c r="HYD24" s="210"/>
      <c r="HYE24" s="210"/>
      <c r="HYF24" s="210"/>
      <c r="HYG24" s="210"/>
      <c r="HYH24" s="210"/>
      <c r="HYI24" s="210"/>
      <c r="HYJ24" s="210"/>
      <c r="HYK24" s="210"/>
      <c r="HYL24" s="210"/>
      <c r="HYM24" s="210"/>
      <c r="HYN24" s="210"/>
      <c r="HYO24" s="210"/>
      <c r="HYP24" s="210"/>
      <c r="HYQ24" s="210"/>
      <c r="HYR24" s="210"/>
      <c r="HYS24" s="210"/>
      <c r="HYT24" s="210"/>
      <c r="HYU24" s="210"/>
      <c r="HYV24" s="210"/>
      <c r="HYW24" s="210"/>
      <c r="HYX24" s="210"/>
      <c r="HYY24" s="210"/>
      <c r="HYZ24" s="210"/>
      <c r="HZA24" s="210"/>
      <c r="HZB24" s="210"/>
      <c r="HZC24" s="210"/>
      <c r="HZD24" s="210"/>
      <c r="HZE24" s="210"/>
      <c r="HZF24" s="210"/>
      <c r="HZG24" s="210"/>
      <c r="HZH24" s="210"/>
      <c r="HZI24" s="210"/>
      <c r="HZJ24" s="210"/>
      <c r="HZK24" s="210"/>
      <c r="HZL24" s="210"/>
      <c r="HZM24" s="210"/>
      <c r="HZN24" s="210"/>
      <c r="HZO24" s="210"/>
      <c r="HZP24" s="210"/>
      <c r="HZQ24" s="210"/>
      <c r="HZR24" s="210"/>
      <c r="HZS24" s="210"/>
      <c r="HZT24" s="210"/>
      <c r="HZU24" s="210"/>
      <c r="HZV24" s="210"/>
      <c r="HZW24" s="210"/>
      <c r="HZX24" s="210"/>
      <c r="HZY24" s="210"/>
      <c r="HZZ24" s="210"/>
      <c r="IAA24" s="210"/>
      <c r="IAB24" s="210"/>
      <c r="IAC24" s="210"/>
      <c r="IAD24" s="210"/>
      <c r="IAE24" s="210"/>
      <c r="IAF24" s="210"/>
      <c r="IAG24" s="210"/>
      <c r="IAH24" s="210"/>
      <c r="IAI24" s="210"/>
      <c r="IAJ24" s="210"/>
      <c r="IAK24" s="210"/>
      <c r="IAL24" s="210"/>
      <c r="IAM24" s="210"/>
      <c r="IAN24" s="210"/>
      <c r="IAO24" s="210"/>
      <c r="IAP24" s="210"/>
      <c r="IAQ24" s="210"/>
      <c r="IAR24" s="210"/>
      <c r="IAS24" s="210"/>
      <c r="IAT24" s="210"/>
      <c r="IAU24" s="210"/>
      <c r="IAV24" s="210"/>
      <c r="IAW24" s="210"/>
      <c r="IAX24" s="210"/>
      <c r="IAY24" s="210"/>
      <c r="IAZ24" s="210"/>
      <c r="IBA24" s="210"/>
      <c r="IBB24" s="210"/>
      <c r="IBC24" s="210"/>
      <c r="IBD24" s="210"/>
      <c r="IBE24" s="210"/>
      <c r="IBF24" s="210"/>
      <c r="IBG24" s="210"/>
      <c r="IBH24" s="210"/>
      <c r="IBI24" s="210"/>
      <c r="IBJ24" s="210"/>
      <c r="IBK24" s="210"/>
      <c r="IBL24" s="210"/>
      <c r="IBM24" s="210"/>
      <c r="IBN24" s="210"/>
      <c r="IBO24" s="210"/>
      <c r="IBP24" s="210"/>
      <c r="IBQ24" s="210"/>
      <c r="IBR24" s="210"/>
      <c r="IBS24" s="210"/>
      <c r="IBT24" s="210"/>
      <c r="IBU24" s="210"/>
      <c r="IBV24" s="210"/>
      <c r="IBW24" s="210"/>
      <c r="IBX24" s="210"/>
      <c r="IBY24" s="210"/>
      <c r="IBZ24" s="210"/>
      <c r="ICA24" s="210"/>
      <c r="ICB24" s="210"/>
      <c r="ICC24" s="210"/>
      <c r="ICD24" s="210"/>
      <c r="ICE24" s="210"/>
      <c r="ICF24" s="210"/>
      <c r="ICG24" s="210"/>
      <c r="ICH24" s="210"/>
      <c r="ICI24" s="210"/>
      <c r="ICJ24" s="210"/>
      <c r="ICK24" s="210"/>
      <c r="ICL24" s="210"/>
      <c r="ICM24" s="210"/>
      <c r="ICN24" s="210"/>
      <c r="ICO24" s="210"/>
      <c r="ICP24" s="210"/>
      <c r="ICQ24" s="210"/>
      <c r="ICR24" s="210"/>
      <c r="ICS24" s="210"/>
      <c r="ICT24" s="210"/>
      <c r="ICU24" s="210"/>
      <c r="ICV24" s="210"/>
      <c r="ICW24" s="210"/>
      <c r="ICX24" s="210"/>
      <c r="ICY24" s="210"/>
      <c r="ICZ24" s="210"/>
      <c r="IDA24" s="210"/>
      <c r="IDB24" s="210"/>
      <c r="IDC24" s="210"/>
      <c r="IDD24" s="210"/>
      <c r="IDE24" s="210"/>
      <c r="IDF24" s="210"/>
      <c r="IDG24" s="210"/>
      <c r="IDH24" s="210"/>
      <c r="IDI24" s="210"/>
      <c r="IDJ24" s="210"/>
      <c r="IDK24" s="210"/>
      <c r="IDL24" s="210"/>
      <c r="IDM24" s="210"/>
      <c r="IDN24" s="210"/>
      <c r="IDO24" s="210"/>
      <c r="IDP24" s="210"/>
      <c r="IDQ24" s="210"/>
      <c r="IDR24" s="210"/>
      <c r="IDS24" s="210"/>
      <c r="IDT24" s="210"/>
      <c r="IDU24" s="210"/>
      <c r="IDV24" s="210"/>
      <c r="IDW24" s="210"/>
      <c r="IDX24" s="210"/>
      <c r="IDY24" s="210"/>
      <c r="IDZ24" s="210"/>
      <c r="IEA24" s="210"/>
      <c r="IEB24" s="210"/>
      <c r="IEC24" s="210"/>
      <c r="IED24" s="210"/>
      <c r="IEE24" s="210"/>
      <c r="IEF24" s="210"/>
      <c r="IEG24" s="210"/>
      <c r="IEH24" s="210"/>
      <c r="IEI24" s="210"/>
      <c r="IEJ24" s="210"/>
      <c r="IEK24" s="210"/>
      <c r="IEL24" s="210"/>
      <c r="IEM24" s="210"/>
      <c r="IEN24" s="210"/>
      <c r="IEO24" s="210"/>
      <c r="IEP24" s="210"/>
      <c r="IEQ24" s="210"/>
      <c r="IER24" s="210"/>
      <c r="IES24" s="210"/>
      <c r="IET24" s="210"/>
      <c r="IEU24" s="210"/>
      <c r="IEV24" s="210"/>
      <c r="IEW24" s="210"/>
      <c r="IEX24" s="210"/>
      <c r="IEY24" s="210"/>
      <c r="IEZ24" s="210"/>
      <c r="IFA24" s="210"/>
      <c r="IFB24" s="210"/>
      <c r="IFC24" s="210"/>
      <c r="IFD24" s="210"/>
      <c r="IFE24" s="210"/>
      <c r="IFF24" s="210"/>
      <c r="IFG24" s="210"/>
      <c r="IFH24" s="210"/>
      <c r="IFI24" s="210"/>
      <c r="IFJ24" s="210"/>
      <c r="IFK24" s="210"/>
      <c r="IFL24" s="210"/>
      <c r="IFM24" s="210"/>
      <c r="IFN24" s="210"/>
      <c r="IFO24" s="210"/>
      <c r="IFP24" s="210"/>
      <c r="IFQ24" s="210"/>
      <c r="IFR24" s="210"/>
      <c r="IFS24" s="210"/>
      <c r="IFT24" s="210"/>
      <c r="IFU24" s="210"/>
      <c r="IFV24" s="210"/>
      <c r="IFW24" s="210"/>
      <c r="IFX24" s="210"/>
      <c r="IFY24" s="210"/>
      <c r="IFZ24" s="210"/>
      <c r="IGA24" s="210"/>
      <c r="IGB24" s="210"/>
      <c r="IGC24" s="210"/>
      <c r="IGD24" s="210"/>
      <c r="IGE24" s="210"/>
      <c r="IGF24" s="210"/>
      <c r="IGG24" s="210"/>
      <c r="IGH24" s="210"/>
      <c r="IGI24" s="210"/>
      <c r="IGJ24" s="210"/>
      <c r="IGK24" s="210"/>
      <c r="IGL24" s="210"/>
      <c r="IGM24" s="210"/>
      <c r="IGN24" s="210"/>
      <c r="IGO24" s="210"/>
      <c r="IGP24" s="210"/>
      <c r="IGQ24" s="210"/>
      <c r="IGR24" s="210"/>
      <c r="IGS24" s="210"/>
      <c r="IGT24" s="210"/>
      <c r="IGU24" s="210"/>
      <c r="IGV24" s="210"/>
      <c r="IGW24" s="210"/>
      <c r="IGX24" s="210"/>
      <c r="IGY24" s="210"/>
      <c r="IGZ24" s="210"/>
      <c r="IHA24" s="210"/>
      <c r="IHB24" s="210"/>
      <c r="IHC24" s="210"/>
      <c r="IHD24" s="210"/>
      <c r="IHE24" s="210"/>
      <c r="IHF24" s="210"/>
      <c r="IHG24" s="210"/>
      <c r="IHH24" s="210"/>
      <c r="IHI24" s="210"/>
      <c r="IHJ24" s="210"/>
      <c r="IHK24" s="210"/>
      <c r="IHL24" s="210"/>
      <c r="IHM24" s="210"/>
      <c r="IHN24" s="210"/>
      <c r="IHO24" s="210"/>
      <c r="IHP24" s="210"/>
      <c r="IHQ24" s="210"/>
      <c r="IHR24" s="210"/>
      <c r="IHS24" s="210"/>
      <c r="IHT24" s="210"/>
      <c r="IHU24" s="210"/>
      <c r="IHV24" s="210"/>
      <c r="IHW24" s="210"/>
      <c r="IHX24" s="210"/>
      <c r="IHY24" s="210"/>
      <c r="IHZ24" s="210"/>
      <c r="IIA24" s="210"/>
      <c r="IIB24" s="210"/>
      <c r="IIC24" s="210"/>
      <c r="IID24" s="210"/>
      <c r="IIE24" s="210"/>
      <c r="IIF24" s="210"/>
      <c r="IIG24" s="210"/>
      <c r="IIH24" s="210"/>
      <c r="III24" s="210"/>
      <c r="IIJ24" s="210"/>
      <c r="IIK24" s="210"/>
      <c r="IIL24" s="210"/>
      <c r="IIM24" s="210"/>
      <c r="IIN24" s="210"/>
      <c r="IIO24" s="210"/>
      <c r="IIP24" s="210"/>
      <c r="IIQ24" s="210"/>
      <c r="IIR24" s="210"/>
      <c r="IIS24" s="210"/>
      <c r="IIT24" s="210"/>
      <c r="IIU24" s="210"/>
      <c r="IIV24" s="210"/>
      <c r="IIW24" s="210"/>
      <c r="IIX24" s="210"/>
      <c r="IIY24" s="210"/>
      <c r="IIZ24" s="210"/>
      <c r="IJA24" s="210"/>
      <c r="IJB24" s="210"/>
      <c r="IJC24" s="210"/>
      <c r="IJD24" s="210"/>
      <c r="IJE24" s="210"/>
      <c r="IJF24" s="210"/>
      <c r="IJG24" s="210"/>
      <c r="IJH24" s="210"/>
      <c r="IJI24" s="210"/>
      <c r="IJJ24" s="210"/>
      <c r="IJK24" s="210"/>
      <c r="IJL24" s="210"/>
      <c r="IJM24" s="210"/>
      <c r="IJN24" s="210"/>
      <c r="IJO24" s="210"/>
      <c r="IJP24" s="210"/>
      <c r="IJQ24" s="210"/>
      <c r="IJR24" s="210"/>
      <c r="IJS24" s="210"/>
      <c r="IJT24" s="210"/>
      <c r="IJU24" s="210"/>
      <c r="IJV24" s="210"/>
      <c r="IJW24" s="210"/>
      <c r="IJX24" s="210"/>
      <c r="IJY24" s="210"/>
      <c r="IJZ24" s="210"/>
      <c r="IKA24" s="210"/>
      <c r="IKB24" s="210"/>
      <c r="IKC24" s="210"/>
      <c r="IKD24" s="210"/>
      <c r="IKE24" s="210"/>
      <c r="IKF24" s="210"/>
      <c r="IKG24" s="210"/>
      <c r="IKH24" s="210"/>
      <c r="IKI24" s="210"/>
      <c r="IKJ24" s="210"/>
      <c r="IKK24" s="210"/>
      <c r="IKL24" s="210"/>
      <c r="IKM24" s="210"/>
      <c r="IKN24" s="210"/>
      <c r="IKO24" s="210"/>
      <c r="IKP24" s="210"/>
      <c r="IKQ24" s="210"/>
      <c r="IKR24" s="210"/>
      <c r="IKS24" s="210"/>
      <c r="IKT24" s="210"/>
      <c r="IKU24" s="210"/>
      <c r="IKV24" s="210"/>
      <c r="IKW24" s="210"/>
      <c r="IKX24" s="210"/>
      <c r="IKY24" s="210"/>
      <c r="IKZ24" s="210"/>
      <c r="ILA24" s="210"/>
      <c r="ILB24" s="210"/>
      <c r="ILC24" s="210"/>
      <c r="ILD24" s="210"/>
      <c r="ILE24" s="210"/>
      <c r="ILF24" s="210"/>
      <c r="ILG24" s="210"/>
      <c r="ILH24" s="210"/>
      <c r="ILI24" s="210"/>
      <c r="ILJ24" s="210"/>
      <c r="ILK24" s="210"/>
      <c r="ILL24" s="210"/>
      <c r="ILM24" s="210"/>
      <c r="ILN24" s="210"/>
      <c r="ILO24" s="210"/>
      <c r="ILP24" s="210"/>
      <c r="ILQ24" s="210"/>
      <c r="ILR24" s="210"/>
      <c r="ILS24" s="210"/>
      <c r="ILT24" s="210"/>
      <c r="ILU24" s="210"/>
      <c r="ILV24" s="210"/>
      <c r="ILW24" s="210"/>
      <c r="ILX24" s="210"/>
      <c r="ILY24" s="210"/>
      <c r="ILZ24" s="210"/>
      <c r="IMA24" s="210"/>
      <c r="IMB24" s="210"/>
      <c r="IMC24" s="210"/>
      <c r="IMD24" s="210"/>
      <c r="IME24" s="210"/>
      <c r="IMF24" s="210"/>
      <c r="IMG24" s="210"/>
      <c r="IMH24" s="210"/>
      <c r="IMI24" s="210"/>
      <c r="IMJ24" s="210"/>
      <c r="IMK24" s="210"/>
      <c r="IML24" s="210"/>
      <c r="IMM24" s="210"/>
      <c r="IMN24" s="210"/>
      <c r="IMO24" s="210"/>
      <c r="IMP24" s="210"/>
      <c r="IMQ24" s="210"/>
      <c r="IMR24" s="210"/>
      <c r="IMS24" s="210"/>
      <c r="IMT24" s="210"/>
      <c r="IMU24" s="210"/>
      <c r="IMV24" s="210"/>
      <c r="IMW24" s="210"/>
      <c r="IMX24" s="210"/>
      <c r="IMY24" s="210"/>
      <c r="IMZ24" s="210"/>
      <c r="INA24" s="210"/>
      <c r="INB24" s="210"/>
      <c r="INC24" s="210"/>
      <c r="IND24" s="210"/>
      <c r="INE24" s="210"/>
      <c r="INF24" s="210"/>
      <c r="ING24" s="210"/>
      <c r="INH24" s="210"/>
      <c r="INI24" s="210"/>
      <c r="INJ24" s="210"/>
      <c r="INK24" s="210"/>
      <c r="INL24" s="210"/>
      <c r="INM24" s="210"/>
      <c r="INN24" s="210"/>
      <c r="INO24" s="210"/>
      <c r="INP24" s="210"/>
      <c r="INQ24" s="210"/>
      <c r="INR24" s="210"/>
      <c r="INS24" s="210"/>
      <c r="INT24" s="210"/>
      <c r="INU24" s="210"/>
      <c r="INV24" s="210"/>
      <c r="INW24" s="210"/>
      <c r="INX24" s="210"/>
      <c r="INY24" s="210"/>
      <c r="INZ24" s="210"/>
      <c r="IOA24" s="210"/>
      <c r="IOB24" s="210"/>
      <c r="IOC24" s="210"/>
      <c r="IOD24" s="210"/>
      <c r="IOE24" s="210"/>
      <c r="IOF24" s="210"/>
      <c r="IOG24" s="210"/>
      <c r="IOH24" s="210"/>
      <c r="IOI24" s="210"/>
      <c r="IOJ24" s="210"/>
      <c r="IOK24" s="210"/>
      <c r="IOL24" s="210"/>
      <c r="IOM24" s="210"/>
      <c r="ION24" s="210"/>
      <c r="IOO24" s="210"/>
      <c r="IOP24" s="210"/>
      <c r="IOQ24" s="210"/>
      <c r="IOR24" s="210"/>
      <c r="IOS24" s="210"/>
      <c r="IOT24" s="210"/>
      <c r="IOU24" s="210"/>
      <c r="IOV24" s="210"/>
      <c r="IOW24" s="210"/>
      <c r="IOX24" s="210"/>
      <c r="IOY24" s="210"/>
      <c r="IOZ24" s="210"/>
      <c r="IPA24" s="210"/>
      <c r="IPB24" s="210"/>
      <c r="IPC24" s="210"/>
      <c r="IPD24" s="210"/>
      <c r="IPE24" s="210"/>
      <c r="IPF24" s="210"/>
      <c r="IPG24" s="210"/>
      <c r="IPH24" s="210"/>
      <c r="IPI24" s="210"/>
      <c r="IPJ24" s="210"/>
      <c r="IPK24" s="210"/>
      <c r="IPL24" s="210"/>
      <c r="IPM24" s="210"/>
      <c r="IPN24" s="210"/>
      <c r="IPO24" s="210"/>
      <c r="IPP24" s="210"/>
      <c r="IPQ24" s="210"/>
      <c r="IPR24" s="210"/>
      <c r="IPS24" s="210"/>
      <c r="IPT24" s="210"/>
      <c r="IPU24" s="210"/>
      <c r="IPV24" s="210"/>
      <c r="IPW24" s="210"/>
      <c r="IPX24" s="210"/>
      <c r="IPY24" s="210"/>
      <c r="IPZ24" s="210"/>
      <c r="IQA24" s="210"/>
      <c r="IQB24" s="210"/>
      <c r="IQC24" s="210"/>
      <c r="IQD24" s="210"/>
      <c r="IQE24" s="210"/>
      <c r="IQF24" s="210"/>
      <c r="IQG24" s="210"/>
      <c r="IQH24" s="210"/>
      <c r="IQI24" s="210"/>
      <c r="IQJ24" s="210"/>
      <c r="IQK24" s="210"/>
      <c r="IQL24" s="210"/>
      <c r="IQM24" s="210"/>
      <c r="IQN24" s="210"/>
      <c r="IQO24" s="210"/>
      <c r="IQP24" s="210"/>
      <c r="IQQ24" s="210"/>
      <c r="IQR24" s="210"/>
      <c r="IQS24" s="210"/>
      <c r="IQT24" s="210"/>
      <c r="IQU24" s="210"/>
      <c r="IQV24" s="210"/>
      <c r="IQW24" s="210"/>
      <c r="IQX24" s="210"/>
      <c r="IQY24" s="210"/>
      <c r="IQZ24" s="210"/>
      <c r="IRA24" s="210"/>
      <c r="IRB24" s="210"/>
      <c r="IRC24" s="210"/>
      <c r="IRD24" s="210"/>
      <c r="IRE24" s="210"/>
      <c r="IRF24" s="210"/>
      <c r="IRG24" s="210"/>
      <c r="IRH24" s="210"/>
      <c r="IRI24" s="210"/>
      <c r="IRJ24" s="210"/>
      <c r="IRK24" s="210"/>
      <c r="IRL24" s="210"/>
      <c r="IRM24" s="210"/>
      <c r="IRN24" s="210"/>
      <c r="IRO24" s="210"/>
      <c r="IRP24" s="210"/>
      <c r="IRQ24" s="210"/>
      <c r="IRR24" s="210"/>
      <c r="IRS24" s="210"/>
      <c r="IRT24" s="210"/>
      <c r="IRU24" s="210"/>
      <c r="IRV24" s="210"/>
      <c r="IRW24" s="210"/>
      <c r="IRX24" s="210"/>
      <c r="IRY24" s="210"/>
      <c r="IRZ24" s="210"/>
      <c r="ISA24" s="210"/>
      <c r="ISB24" s="210"/>
      <c r="ISC24" s="210"/>
      <c r="ISD24" s="210"/>
      <c r="ISE24" s="210"/>
      <c r="ISF24" s="210"/>
      <c r="ISG24" s="210"/>
      <c r="ISH24" s="210"/>
      <c r="ISI24" s="210"/>
      <c r="ISJ24" s="210"/>
      <c r="ISK24" s="210"/>
      <c r="ISL24" s="210"/>
      <c r="ISM24" s="210"/>
      <c r="ISN24" s="210"/>
      <c r="ISO24" s="210"/>
      <c r="ISP24" s="210"/>
      <c r="ISQ24" s="210"/>
      <c r="ISR24" s="210"/>
      <c r="ISS24" s="210"/>
      <c r="IST24" s="210"/>
      <c r="ISU24" s="210"/>
      <c r="ISV24" s="210"/>
      <c r="ISW24" s="210"/>
      <c r="ISX24" s="210"/>
      <c r="ISY24" s="210"/>
      <c r="ISZ24" s="210"/>
      <c r="ITA24" s="210"/>
      <c r="ITB24" s="210"/>
      <c r="ITC24" s="210"/>
      <c r="ITD24" s="210"/>
      <c r="ITE24" s="210"/>
      <c r="ITF24" s="210"/>
      <c r="ITG24" s="210"/>
      <c r="ITH24" s="210"/>
      <c r="ITI24" s="210"/>
      <c r="ITJ24" s="210"/>
      <c r="ITK24" s="210"/>
      <c r="ITL24" s="210"/>
      <c r="ITM24" s="210"/>
      <c r="ITN24" s="210"/>
      <c r="ITO24" s="210"/>
      <c r="ITP24" s="210"/>
      <c r="ITQ24" s="210"/>
      <c r="ITR24" s="210"/>
      <c r="ITS24" s="210"/>
      <c r="ITT24" s="210"/>
      <c r="ITU24" s="210"/>
      <c r="ITV24" s="210"/>
      <c r="ITW24" s="210"/>
      <c r="ITX24" s="210"/>
      <c r="ITY24" s="210"/>
      <c r="ITZ24" s="210"/>
      <c r="IUA24" s="210"/>
      <c r="IUB24" s="210"/>
      <c r="IUC24" s="210"/>
      <c r="IUD24" s="210"/>
      <c r="IUE24" s="210"/>
      <c r="IUF24" s="210"/>
      <c r="IUG24" s="210"/>
      <c r="IUH24" s="210"/>
      <c r="IUI24" s="210"/>
      <c r="IUJ24" s="210"/>
      <c r="IUK24" s="210"/>
      <c r="IUL24" s="210"/>
      <c r="IUM24" s="210"/>
      <c r="IUN24" s="210"/>
      <c r="IUO24" s="210"/>
      <c r="IUP24" s="210"/>
      <c r="IUQ24" s="210"/>
      <c r="IUR24" s="210"/>
      <c r="IUS24" s="210"/>
      <c r="IUT24" s="210"/>
      <c r="IUU24" s="210"/>
      <c r="IUV24" s="210"/>
      <c r="IUW24" s="210"/>
      <c r="IUX24" s="210"/>
      <c r="IUY24" s="210"/>
      <c r="IUZ24" s="210"/>
      <c r="IVA24" s="210"/>
      <c r="IVB24" s="210"/>
      <c r="IVC24" s="210"/>
      <c r="IVD24" s="210"/>
      <c r="IVE24" s="210"/>
      <c r="IVF24" s="210"/>
      <c r="IVG24" s="210"/>
      <c r="IVH24" s="210"/>
      <c r="IVI24" s="210"/>
      <c r="IVJ24" s="210"/>
      <c r="IVK24" s="210"/>
      <c r="IVL24" s="210"/>
      <c r="IVM24" s="210"/>
      <c r="IVN24" s="210"/>
      <c r="IVO24" s="210"/>
      <c r="IVP24" s="210"/>
      <c r="IVQ24" s="210"/>
      <c r="IVR24" s="210"/>
      <c r="IVS24" s="210"/>
      <c r="IVT24" s="210"/>
      <c r="IVU24" s="210"/>
      <c r="IVV24" s="210"/>
      <c r="IVW24" s="210"/>
      <c r="IVX24" s="210"/>
      <c r="IVY24" s="210"/>
      <c r="IVZ24" s="210"/>
      <c r="IWA24" s="210"/>
      <c r="IWB24" s="210"/>
      <c r="IWC24" s="210"/>
      <c r="IWD24" s="210"/>
      <c r="IWE24" s="210"/>
      <c r="IWF24" s="210"/>
      <c r="IWG24" s="210"/>
      <c r="IWH24" s="210"/>
      <c r="IWI24" s="210"/>
      <c r="IWJ24" s="210"/>
      <c r="IWK24" s="210"/>
      <c r="IWL24" s="210"/>
      <c r="IWM24" s="210"/>
      <c r="IWN24" s="210"/>
      <c r="IWO24" s="210"/>
      <c r="IWP24" s="210"/>
      <c r="IWQ24" s="210"/>
      <c r="IWR24" s="210"/>
      <c r="IWS24" s="210"/>
      <c r="IWT24" s="210"/>
      <c r="IWU24" s="210"/>
      <c r="IWV24" s="210"/>
      <c r="IWW24" s="210"/>
      <c r="IWX24" s="210"/>
      <c r="IWY24" s="210"/>
      <c r="IWZ24" s="210"/>
      <c r="IXA24" s="210"/>
      <c r="IXB24" s="210"/>
      <c r="IXC24" s="210"/>
      <c r="IXD24" s="210"/>
      <c r="IXE24" s="210"/>
      <c r="IXF24" s="210"/>
      <c r="IXG24" s="210"/>
      <c r="IXH24" s="210"/>
      <c r="IXI24" s="210"/>
      <c r="IXJ24" s="210"/>
      <c r="IXK24" s="210"/>
      <c r="IXL24" s="210"/>
      <c r="IXM24" s="210"/>
      <c r="IXN24" s="210"/>
      <c r="IXO24" s="210"/>
      <c r="IXP24" s="210"/>
      <c r="IXQ24" s="210"/>
      <c r="IXR24" s="210"/>
      <c r="IXS24" s="210"/>
      <c r="IXT24" s="210"/>
      <c r="IXU24" s="210"/>
      <c r="IXV24" s="210"/>
      <c r="IXW24" s="210"/>
      <c r="IXX24" s="210"/>
      <c r="IXY24" s="210"/>
      <c r="IXZ24" s="210"/>
      <c r="IYA24" s="210"/>
      <c r="IYB24" s="210"/>
      <c r="IYC24" s="210"/>
      <c r="IYD24" s="210"/>
      <c r="IYE24" s="210"/>
      <c r="IYF24" s="210"/>
      <c r="IYG24" s="210"/>
      <c r="IYH24" s="210"/>
      <c r="IYI24" s="210"/>
      <c r="IYJ24" s="210"/>
      <c r="IYK24" s="210"/>
      <c r="IYL24" s="210"/>
      <c r="IYM24" s="210"/>
      <c r="IYN24" s="210"/>
      <c r="IYO24" s="210"/>
      <c r="IYP24" s="210"/>
      <c r="IYQ24" s="210"/>
      <c r="IYR24" s="210"/>
      <c r="IYS24" s="210"/>
      <c r="IYT24" s="210"/>
      <c r="IYU24" s="210"/>
      <c r="IYV24" s="210"/>
      <c r="IYW24" s="210"/>
      <c r="IYX24" s="210"/>
      <c r="IYY24" s="210"/>
      <c r="IYZ24" s="210"/>
      <c r="IZA24" s="210"/>
      <c r="IZB24" s="210"/>
      <c r="IZC24" s="210"/>
      <c r="IZD24" s="210"/>
      <c r="IZE24" s="210"/>
      <c r="IZF24" s="210"/>
      <c r="IZG24" s="210"/>
      <c r="IZH24" s="210"/>
      <c r="IZI24" s="210"/>
      <c r="IZJ24" s="210"/>
      <c r="IZK24" s="210"/>
      <c r="IZL24" s="210"/>
      <c r="IZM24" s="210"/>
      <c r="IZN24" s="210"/>
      <c r="IZO24" s="210"/>
      <c r="IZP24" s="210"/>
      <c r="IZQ24" s="210"/>
      <c r="IZR24" s="210"/>
      <c r="IZS24" s="210"/>
      <c r="IZT24" s="210"/>
      <c r="IZU24" s="210"/>
      <c r="IZV24" s="210"/>
      <c r="IZW24" s="210"/>
      <c r="IZX24" s="210"/>
      <c r="IZY24" s="210"/>
      <c r="IZZ24" s="210"/>
      <c r="JAA24" s="210"/>
      <c r="JAB24" s="210"/>
      <c r="JAC24" s="210"/>
      <c r="JAD24" s="210"/>
      <c r="JAE24" s="210"/>
      <c r="JAF24" s="210"/>
      <c r="JAG24" s="210"/>
      <c r="JAH24" s="210"/>
      <c r="JAI24" s="210"/>
      <c r="JAJ24" s="210"/>
      <c r="JAK24" s="210"/>
      <c r="JAL24" s="210"/>
      <c r="JAM24" s="210"/>
      <c r="JAN24" s="210"/>
      <c r="JAO24" s="210"/>
      <c r="JAP24" s="210"/>
      <c r="JAQ24" s="210"/>
      <c r="JAR24" s="210"/>
      <c r="JAS24" s="210"/>
      <c r="JAT24" s="210"/>
      <c r="JAU24" s="210"/>
      <c r="JAV24" s="210"/>
      <c r="JAW24" s="210"/>
      <c r="JAX24" s="210"/>
      <c r="JAY24" s="210"/>
      <c r="JAZ24" s="210"/>
      <c r="JBA24" s="210"/>
      <c r="JBB24" s="210"/>
      <c r="JBC24" s="210"/>
      <c r="JBD24" s="210"/>
      <c r="JBE24" s="210"/>
      <c r="JBF24" s="210"/>
      <c r="JBG24" s="210"/>
      <c r="JBH24" s="210"/>
      <c r="JBI24" s="210"/>
      <c r="JBJ24" s="210"/>
      <c r="JBK24" s="210"/>
      <c r="JBL24" s="210"/>
      <c r="JBM24" s="210"/>
      <c r="JBN24" s="210"/>
      <c r="JBO24" s="210"/>
      <c r="JBP24" s="210"/>
      <c r="JBQ24" s="210"/>
      <c r="JBR24" s="210"/>
      <c r="JBS24" s="210"/>
      <c r="JBT24" s="210"/>
      <c r="JBU24" s="210"/>
      <c r="JBV24" s="210"/>
      <c r="JBW24" s="210"/>
      <c r="JBX24" s="210"/>
      <c r="JBY24" s="210"/>
      <c r="JBZ24" s="210"/>
      <c r="JCA24" s="210"/>
      <c r="JCB24" s="210"/>
      <c r="JCC24" s="210"/>
      <c r="JCD24" s="210"/>
      <c r="JCE24" s="210"/>
      <c r="JCF24" s="210"/>
      <c r="JCG24" s="210"/>
      <c r="JCH24" s="210"/>
      <c r="JCI24" s="210"/>
      <c r="JCJ24" s="210"/>
      <c r="JCK24" s="210"/>
      <c r="JCL24" s="210"/>
      <c r="JCM24" s="210"/>
      <c r="JCN24" s="210"/>
      <c r="JCO24" s="210"/>
      <c r="JCP24" s="210"/>
      <c r="JCQ24" s="210"/>
      <c r="JCR24" s="210"/>
      <c r="JCS24" s="210"/>
      <c r="JCT24" s="210"/>
      <c r="JCU24" s="210"/>
      <c r="JCV24" s="210"/>
      <c r="JCW24" s="210"/>
      <c r="JCX24" s="210"/>
      <c r="JCY24" s="210"/>
      <c r="JCZ24" s="210"/>
      <c r="JDA24" s="210"/>
      <c r="JDB24" s="210"/>
      <c r="JDC24" s="210"/>
      <c r="JDD24" s="210"/>
      <c r="JDE24" s="210"/>
      <c r="JDF24" s="210"/>
      <c r="JDG24" s="210"/>
      <c r="JDH24" s="210"/>
      <c r="JDI24" s="210"/>
      <c r="JDJ24" s="210"/>
      <c r="JDK24" s="210"/>
      <c r="JDL24" s="210"/>
      <c r="JDM24" s="210"/>
      <c r="JDN24" s="210"/>
      <c r="JDO24" s="210"/>
      <c r="JDP24" s="210"/>
      <c r="JDQ24" s="210"/>
      <c r="JDR24" s="210"/>
      <c r="JDS24" s="210"/>
      <c r="JDT24" s="210"/>
      <c r="JDU24" s="210"/>
      <c r="JDV24" s="210"/>
      <c r="JDW24" s="210"/>
      <c r="JDX24" s="210"/>
      <c r="JDY24" s="210"/>
      <c r="JDZ24" s="210"/>
      <c r="JEA24" s="210"/>
      <c r="JEB24" s="210"/>
      <c r="JEC24" s="210"/>
      <c r="JED24" s="210"/>
      <c r="JEE24" s="210"/>
      <c r="JEF24" s="210"/>
      <c r="JEG24" s="210"/>
      <c r="JEH24" s="210"/>
      <c r="JEI24" s="210"/>
      <c r="JEJ24" s="210"/>
      <c r="JEK24" s="210"/>
      <c r="JEL24" s="210"/>
      <c r="JEM24" s="210"/>
      <c r="JEN24" s="210"/>
      <c r="JEO24" s="210"/>
      <c r="JEP24" s="210"/>
      <c r="JEQ24" s="210"/>
      <c r="JER24" s="210"/>
      <c r="JES24" s="210"/>
      <c r="JET24" s="210"/>
      <c r="JEU24" s="210"/>
      <c r="JEV24" s="210"/>
      <c r="JEW24" s="210"/>
      <c r="JEX24" s="210"/>
      <c r="JEY24" s="210"/>
      <c r="JEZ24" s="210"/>
      <c r="JFA24" s="210"/>
      <c r="JFB24" s="210"/>
      <c r="JFC24" s="210"/>
      <c r="JFD24" s="210"/>
      <c r="JFE24" s="210"/>
      <c r="JFF24" s="210"/>
      <c r="JFG24" s="210"/>
      <c r="JFH24" s="210"/>
      <c r="JFI24" s="210"/>
      <c r="JFJ24" s="210"/>
      <c r="JFK24" s="210"/>
      <c r="JFL24" s="210"/>
      <c r="JFM24" s="210"/>
      <c r="JFN24" s="210"/>
      <c r="JFO24" s="210"/>
      <c r="JFP24" s="210"/>
      <c r="JFQ24" s="210"/>
      <c r="JFR24" s="210"/>
      <c r="JFS24" s="210"/>
      <c r="JFT24" s="210"/>
      <c r="JFU24" s="210"/>
      <c r="JFV24" s="210"/>
      <c r="JFW24" s="210"/>
      <c r="JFX24" s="210"/>
      <c r="JFY24" s="210"/>
      <c r="JFZ24" s="210"/>
      <c r="JGA24" s="210"/>
      <c r="JGB24" s="210"/>
      <c r="JGC24" s="210"/>
      <c r="JGD24" s="210"/>
      <c r="JGE24" s="210"/>
      <c r="JGF24" s="210"/>
      <c r="JGG24" s="210"/>
      <c r="JGH24" s="210"/>
      <c r="JGI24" s="210"/>
      <c r="JGJ24" s="210"/>
      <c r="JGK24" s="210"/>
      <c r="JGL24" s="210"/>
      <c r="JGM24" s="210"/>
      <c r="JGN24" s="210"/>
      <c r="JGO24" s="210"/>
      <c r="JGP24" s="210"/>
      <c r="JGQ24" s="210"/>
      <c r="JGR24" s="210"/>
      <c r="JGS24" s="210"/>
      <c r="JGT24" s="210"/>
      <c r="JGU24" s="210"/>
      <c r="JGV24" s="210"/>
      <c r="JGW24" s="210"/>
      <c r="JGX24" s="210"/>
      <c r="JGY24" s="210"/>
      <c r="JGZ24" s="210"/>
      <c r="JHA24" s="210"/>
      <c r="JHB24" s="210"/>
      <c r="JHC24" s="210"/>
      <c r="JHD24" s="210"/>
      <c r="JHE24" s="210"/>
      <c r="JHF24" s="210"/>
      <c r="JHG24" s="210"/>
      <c r="JHH24" s="210"/>
      <c r="JHI24" s="210"/>
      <c r="JHJ24" s="210"/>
      <c r="JHK24" s="210"/>
      <c r="JHL24" s="210"/>
      <c r="JHM24" s="210"/>
      <c r="JHN24" s="210"/>
      <c r="JHO24" s="210"/>
      <c r="JHP24" s="210"/>
      <c r="JHQ24" s="210"/>
      <c r="JHR24" s="210"/>
      <c r="JHS24" s="210"/>
      <c r="JHT24" s="210"/>
      <c r="JHU24" s="210"/>
      <c r="JHV24" s="210"/>
      <c r="JHW24" s="210"/>
      <c r="JHX24" s="210"/>
      <c r="JHY24" s="210"/>
      <c r="JHZ24" s="210"/>
      <c r="JIA24" s="210"/>
      <c r="JIB24" s="210"/>
      <c r="JIC24" s="210"/>
      <c r="JID24" s="210"/>
      <c r="JIE24" s="210"/>
      <c r="JIF24" s="210"/>
      <c r="JIG24" s="210"/>
      <c r="JIH24" s="210"/>
      <c r="JII24" s="210"/>
      <c r="JIJ24" s="210"/>
      <c r="JIK24" s="210"/>
      <c r="JIL24" s="210"/>
      <c r="JIM24" s="210"/>
      <c r="JIN24" s="210"/>
      <c r="JIO24" s="210"/>
      <c r="JIP24" s="210"/>
      <c r="JIQ24" s="210"/>
      <c r="JIR24" s="210"/>
      <c r="JIS24" s="210"/>
      <c r="JIT24" s="210"/>
      <c r="JIU24" s="210"/>
      <c r="JIV24" s="210"/>
      <c r="JIW24" s="210"/>
      <c r="JIX24" s="210"/>
      <c r="JIY24" s="210"/>
      <c r="JIZ24" s="210"/>
      <c r="JJA24" s="210"/>
      <c r="JJB24" s="210"/>
      <c r="JJC24" s="210"/>
      <c r="JJD24" s="210"/>
      <c r="JJE24" s="210"/>
      <c r="JJF24" s="210"/>
      <c r="JJG24" s="210"/>
      <c r="JJH24" s="210"/>
      <c r="JJI24" s="210"/>
      <c r="JJJ24" s="210"/>
      <c r="JJK24" s="210"/>
      <c r="JJL24" s="210"/>
      <c r="JJM24" s="210"/>
      <c r="JJN24" s="210"/>
      <c r="JJO24" s="210"/>
      <c r="JJP24" s="210"/>
      <c r="JJQ24" s="210"/>
      <c r="JJR24" s="210"/>
      <c r="JJS24" s="210"/>
      <c r="JJT24" s="210"/>
      <c r="JJU24" s="210"/>
      <c r="JJV24" s="210"/>
      <c r="JJW24" s="210"/>
      <c r="JJX24" s="210"/>
      <c r="JJY24" s="210"/>
      <c r="JJZ24" s="210"/>
      <c r="JKA24" s="210"/>
      <c r="JKB24" s="210"/>
      <c r="JKC24" s="210"/>
      <c r="JKD24" s="210"/>
      <c r="JKE24" s="210"/>
      <c r="JKF24" s="210"/>
      <c r="JKG24" s="210"/>
      <c r="JKH24" s="210"/>
      <c r="JKI24" s="210"/>
      <c r="JKJ24" s="210"/>
      <c r="JKK24" s="210"/>
      <c r="JKL24" s="210"/>
      <c r="JKM24" s="210"/>
      <c r="JKN24" s="210"/>
      <c r="JKO24" s="210"/>
      <c r="JKP24" s="210"/>
      <c r="JKQ24" s="210"/>
      <c r="JKR24" s="210"/>
      <c r="JKS24" s="210"/>
      <c r="JKT24" s="210"/>
      <c r="JKU24" s="210"/>
      <c r="JKV24" s="210"/>
      <c r="JKW24" s="210"/>
      <c r="JKX24" s="210"/>
      <c r="JKY24" s="210"/>
      <c r="JKZ24" s="210"/>
      <c r="JLA24" s="210"/>
      <c r="JLB24" s="210"/>
      <c r="JLC24" s="210"/>
      <c r="JLD24" s="210"/>
      <c r="JLE24" s="210"/>
      <c r="JLF24" s="210"/>
      <c r="JLG24" s="210"/>
      <c r="JLH24" s="210"/>
      <c r="JLI24" s="210"/>
      <c r="JLJ24" s="210"/>
      <c r="JLK24" s="210"/>
      <c r="JLL24" s="210"/>
      <c r="JLM24" s="210"/>
      <c r="JLN24" s="210"/>
      <c r="JLO24" s="210"/>
      <c r="JLP24" s="210"/>
      <c r="JLQ24" s="210"/>
      <c r="JLR24" s="210"/>
      <c r="JLS24" s="210"/>
      <c r="JLT24" s="210"/>
      <c r="JLU24" s="210"/>
      <c r="JLV24" s="210"/>
      <c r="JLW24" s="210"/>
      <c r="JLX24" s="210"/>
      <c r="JLY24" s="210"/>
      <c r="JLZ24" s="210"/>
      <c r="JMA24" s="210"/>
      <c r="JMB24" s="210"/>
      <c r="JMC24" s="210"/>
      <c r="JMD24" s="210"/>
      <c r="JME24" s="210"/>
      <c r="JMF24" s="210"/>
      <c r="JMG24" s="210"/>
      <c r="JMH24" s="210"/>
      <c r="JMI24" s="210"/>
      <c r="JMJ24" s="210"/>
      <c r="JMK24" s="210"/>
      <c r="JML24" s="210"/>
      <c r="JMM24" s="210"/>
      <c r="JMN24" s="210"/>
      <c r="JMO24" s="210"/>
      <c r="JMP24" s="210"/>
      <c r="JMQ24" s="210"/>
      <c r="JMR24" s="210"/>
      <c r="JMS24" s="210"/>
      <c r="JMT24" s="210"/>
      <c r="JMU24" s="210"/>
      <c r="JMV24" s="210"/>
      <c r="JMW24" s="210"/>
      <c r="JMX24" s="210"/>
      <c r="JMY24" s="210"/>
      <c r="JMZ24" s="210"/>
      <c r="JNA24" s="210"/>
      <c r="JNB24" s="210"/>
      <c r="JNC24" s="210"/>
      <c r="JND24" s="210"/>
      <c r="JNE24" s="210"/>
      <c r="JNF24" s="210"/>
      <c r="JNG24" s="210"/>
      <c r="JNH24" s="210"/>
      <c r="JNI24" s="210"/>
      <c r="JNJ24" s="210"/>
      <c r="JNK24" s="210"/>
      <c r="JNL24" s="210"/>
      <c r="JNM24" s="210"/>
      <c r="JNN24" s="210"/>
      <c r="JNO24" s="210"/>
      <c r="JNP24" s="210"/>
      <c r="JNQ24" s="210"/>
      <c r="JNR24" s="210"/>
      <c r="JNS24" s="210"/>
      <c r="JNT24" s="210"/>
      <c r="JNU24" s="210"/>
      <c r="JNV24" s="210"/>
      <c r="JNW24" s="210"/>
      <c r="JNX24" s="210"/>
      <c r="JNY24" s="210"/>
      <c r="JNZ24" s="210"/>
      <c r="JOA24" s="210"/>
      <c r="JOB24" s="210"/>
      <c r="JOC24" s="210"/>
      <c r="JOD24" s="210"/>
      <c r="JOE24" s="210"/>
      <c r="JOF24" s="210"/>
      <c r="JOG24" s="210"/>
      <c r="JOH24" s="210"/>
      <c r="JOI24" s="210"/>
      <c r="JOJ24" s="210"/>
      <c r="JOK24" s="210"/>
      <c r="JOL24" s="210"/>
      <c r="JOM24" s="210"/>
      <c r="JON24" s="210"/>
      <c r="JOO24" s="210"/>
      <c r="JOP24" s="210"/>
      <c r="JOQ24" s="210"/>
      <c r="JOR24" s="210"/>
      <c r="JOS24" s="210"/>
      <c r="JOT24" s="210"/>
      <c r="JOU24" s="210"/>
      <c r="JOV24" s="210"/>
      <c r="JOW24" s="210"/>
      <c r="JOX24" s="210"/>
      <c r="JOY24" s="210"/>
      <c r="JOZ24" s="210"/>
      <c r="JPA24" s="210"/>
      <c r="JPB24" s="210"/>
      <c r="JPC24" s="210"/>
      <c r="JPD24" s="210"/>
      <c r="JPE24" s="210"/>
      <c r="JPF24" s="210"/>
      <c r="JPG24" s="210"/>
      <c r="JPH24" s="210"/>
      <c r="JPI24" s="210"/>
      <c r="JPJ24" s="210"/>
      <c r="JPK24" s="210"/>
      <c r="JPL24" s="210"/>
      <c r="JPM24" s="210"/>
      <c r="JPN24" s="210"/>
      <c r="JPO24" s="210"/>
      <c r="JPP24" s="210"/>
      <c r="JPQ24" s="210"/>
      <c r="JPR24" s="210"/>
      <c r="JPS24" s="210"/>
      <c r="JPT24" s="210"/>
      <c r="JPU24" s="210"/>
      <c r="JPV24" s="210"/>
      <c r="JPW24" s="210"/>
      <c r="JPX24" s="210"/>
      <c r="JPY24" s="210"/>
      <c r="JPZ24" s="210"/>
      <c r="JQA24" s="210"/>
      <c r="JQB24" s="210"/>
      <c r="JQC24" s="210"/>
      <c r="JQD24" s="210"/>
      <c r="JQE24" s="210"/>
      <c r="JQF24" s="210"/>
      <c r="JQG24" s="210"/>
      <c r="JQH24" s="210"/>
      <c r="JQI24" s="210"/>
      <c r="JQJ24" s="210"/>
      <c r="JQK24" s="210"/>
      <c r="JQL24" s="210"/>
      <c r="JQM24" s="210"/>
      <c r="JQN24" s="210"/>
      <c r="JQO24" s="210"/>
      <c r="JQP24" s="210"/>
      <c r="JQQ24" s="210"/>
      <c r="JQR24" s="210"/>
      <c r="JQS24" s="210"/>
      <c r="JQT24" s="210"/>
      <c r="JQU24" s="210"/>
      <c r="JQV24" s="210"/>
      <c r="JQW24" s="210"/>
      <c r="JQX24" s="210"/>
      <c r="JQY24" s="210"/>
      <c r="JQZ24" s="210"/>
      <c r="JRA24" s="210"/>
      <c r="JRB24" s="210"/>
      <c r="JRC24" s="210"/>
      <c r="JRD24" s="210"/>
      <c r="JRE24" s="210"/>
      <c r="JRF24" s="210"/>
      <c r="JRG24" s="210"/>
      <c r="JRH24" s="210"/>
      <c r="JRI24" s="210"/>
      <c r="JRJ24" s="210"/>
      <c r="JRK24" s="210"/>
      <c r="JRL24" s="210"/>
      <c r="JRM24" s="210"/>
      <c r="JRN24" s="210"/>
      <c r="JRO24" s="210"/>
      <c r="JRP24" s="210"/>
      <c r="JRQ24" s="210"/>
      <c r="JRR24" s="210"/>
      <c r="JRS24" s="210"/>
      <c r="JRT24" s="210"/>
      <c r="JRU24" s="210"/>
      <c r="JRV24" s="210"/>
      <c r="JRW24" s="210"/>
      <c r="JRX24" s="210"/>
      <c r="JRY24" s="210"/>
      <c r="JRZ24" s="210"/>
      <c r="JSA24" s="210"/>
      <c r="JSB24" s="210"/>
      <c r="JSC24" s="210"/>
      <c r="JSD24" s="210"/>
      <c r="JSE24" s="210"/>
      <c r="JSF24" s="210"/>
      <c r="JSG24" s="210"/>
      <c r="JSH24" s="210"/>
      <c r="JSI24" s="210"/>
      <c r="JSJ24" s="210"/>
      <c r="JSK24" s="210"/>
      <c r="JSL24" s="210"/>
      <c r="JSM24" s="210"/>
      <c r="JSN24" s="210"/>
      <c r="JSO24" s="210"/>
      <c r="JSP24" s="210"/>
      <c r="JSQ24" s="210"/>
      <c r="JSR24" s="210"/>
      <c r="JSS24" s="210"/>
      <c r="JST24" s="210"/>
      <c r="JSU24" s="210"/>
      <c r="JSV24" s="210"/>
      <c r="JSW24" s="210"/>
      <c r="JSX24" s="210"/>
      <c r="JSY24" s="210"/>
      <c r="JSZ24" s="210"/>
      <c r="JTA24" s="210"/>
      <c r="JTB24" s="210"/>
      <c r="JTC24" s="210"/>
      <c r="JTD24" s="210"/>
      <c r="JTE24" s="210"/>
      <c r="JTF24" s="210"/>
      <c r="JTG24" s="210"/>
      <c r="JTH24" s="210"/>
      <c r="JTI24" s="210"/>
      <c r="JTJ24" s="210"/>
      <c r="JTK24" s="210"/>
      <c r="JTL24" s="210"/>
      <c r="JTM24" s="210"/>
      <c r="JTN24" s="210"/>
      <c r="JTO24" s="210"/>
      <c r="JTP24" s="210"/>
      <c r="JTQ24" s="210"/>
      <c r="JTR24" s="210"/>
      <c r="JTS24" s="210"/>
      <c r="JTT24" s="210"/>
      <c r="JTU24" s="210"/>
      <c r="JTV24" s="210"/>
      <c r="JTW24" s="210"/>
      <c r="JTX24" s="210"/>
      <c r="JTY24" s="210"/>
      <c r="JTZ24" s="210"/>
      <c r="JUA24" s="210"/>
      <c r="JUB24" s="210"/>
      <c r="JUC24" s="210"/>
      <c r="JUD24" s="210"/>
      <c r="JUE24" s="210"/>
      <c r="JUF24" s="210"/>
      <c r="JUG24" s="210"/>
      <c r="JUH24" s="210"/>
      <c r="JUI24" s="210"/>
      <c r="JUJ24" s="210"/>
      <c r="JUK24" s="210"/>
      <c r="JUL24" s="210"/>
      <c r="JUM24" s="210"/>
      <c r="JUN24" s="210"/>
      <c r="JUO24" s="210"/>
      <c r="JUP24" s="210"/>
      <c r="JUQ24" s="210"/>
      <c r="JUR24" s="210"/>
      <c r="JUS24" s="210"/>
      <c r="JUT24" s="210"/>
      <c r="JUU24" s="210"/>
      <c r="JUV24" s="210"/>
      <c r="JUW24" s="210"/>
      <c r="JUX24" s="210"/>
      <c r="JUY24" s="210"/>
      <c r="JUZ24" s="210"/>
      <c r="JVA24" s="210"/>
      <c r="JVB24" s="210"/>
      <c r="JVC24" s="210"/>
      <c r="JVD24" s="210"/>
      <c r="JVE24" s="210"/>
      <c r="JVF24" s="210"/>
      <c r="JVG24" s="210"/>
      <c r="JVH24" s="210"/>
      <c r="JVI24" s="210"/>
      <c r="JVJ24" s="210"/>
      <c r="JVK24" s="210"/>
      <c r="JVL24" s="210"/>
      <c r="JVM24" s="210"/>
      <c r="JVN24" s="210"/>
      <c r="JVO24" s="210"/>
      <c r="JVP24" s="210"/>
      <c r="JVQ24" s="210"/>
      <c r="JVR24" s="210"/>
      <c r="JVS24" s="210"/>
      <c r="JVT24" s="210"/>
      <c r="JVU24" s="210"/>
      <c r="JVV24" s="210"/>
      <c r="JVW24" s="210"/>
      <c r="JVX24" s="210"/>
      <c r="JVY24" s="210"/>
      <c r="JVZ24" s="210"/>
      <c r="JWA24" s="210"/>
      <c r="JWB24" s="210"/>
      <c r="JWC24" s="210"/>
      <c r="JWD24" s="210"/>
      <c r="JWE24" s="210"/>
      <c r="JWF24" s="210"/>
      <c r="JWG24" s="210"/>
      <c r="JWH24" s="210"/>
      <c r="JWI24" s="210"/>
      <c r="JWJ24" s="210"/>
      <c r="JWK24" s="210"/>
      <c r="JWL24" s="210"/>
      <c r="JWM24" s="210"/>
      <c r="JWN24" s="210"/>
      <c r="JWO24" s="210"/>
      <c r="JWP24" s="210"/>
      <c r="JWQ24" s="210"/>
      <c r="JWR24" s="210"/>
      <c r="JWS24" s="210"/>
      <c r="JWT24" s="210"/>
      <c r="JWU24" s="210"/>
      <c r="JWV24" s="210"/>
      <c r="JWW24" s="210"/>
      <c r="JWX24" s="210"/>
      <c r="JWY24" s="210"/>
      <c r="JWZ24" s="210"/>
      <c r="JXA24" s="210"/>
      <c r="JXB24" s="210"/>
      <c r="JXC24" s="210"/>
      <c r="JXD24" s="210"/>
      <c r="JXE24" s="210"/>
      <c r="JXF24" s="210"/>
      <c r="JXG24" s="210"/>
      <c r="JXH24" s="210"/>
      <c r="JXI24" s="210"/>
      <c r="JXJ24" s="210"/>
      <c r="JXK24" s="210"/>
      <c r="JXL24" s="210"/>
      <c r="JXM24" s="210"/>
      <c r="JXN24" s="210"/>
      <c r="JXO24" s="210"/>
      <c r="JXP24" s="210"/>
      <c r="JXQ24" s="210"/>
      <c r="JXR24" s="210"/>
      <c r="JXS24" s="210"/>
      <c r="JXT24" s="210"/>
      <c r="JXU24" s="210"/>
      <c r="JXV24" s="210"/>
      <c r="JXW24" s="210"/>
      <c r="JXX24" s="210"/>
      <c r="JXY24" s="210"/>
      <c r="JXZ24" s="210"/>
      <c r="JYA24" s="210"/>
      <c r="JYB24" s="210"/>
      <c r="JYC24" s="210"/>
      <c r="JYD24" s="210"/>
      <c r="JYE24" s="210"/>
      <c r="JYF24" s="210"/>
      <c r="JYG24" s="210"/>
      <c r="JYH24" s="210"/>
      <c r="JYI24" s="210"/>
      <c r="JYJ24" s="210"/>
      <c r="JYK24" s="210"/>
      <c r="JYL24" s="210"/>
      <c r="JYM24" s="210"/>
      <c r="JYN24" s="210"/>
      <c r="JYO24" s="210"/>
      <c r="JYP24" s="210"/>
      <c r="JYQ24" s="210"/>
      <c r="JYR24" s="210"/>
      <c r="JYS24" s="210"/>
      <c r="JYT24" s="210"/>
      <c r="JYU24" s="210"/>
      <c r="JYV24" s="210"/>
      <c r="JYW24" s="210"/>
      <c r="JYX24" s="210"/>
      <c r="JYY24" s="210"/>
      <c r="JYZ24" s="210"/>
      <c r="JZA24" s="210"/>
      <c r="JZB24" s="210"/>
      <c r="JZC24" s="210"/>
      <c r="JZD24" s="210"/>
      <c r="JZE24" s="210"/>
      <c r="JZF24" s="210"/>
      <c r="JZG24" s="210"/>
      <c r="JZH24" s="210"/>
      <c r="JZI24" s="210"/>
      <c r="JZJ24" s="210"/>
      <c r="JZK24" s="210"/>
      <c r="JZL24" s="210"/>
      <c r="JZM24" s="210"/>
      <c r="JZN24" s="210"/>
      <c r="JZO24" s="210"/>
      <c r="JZP24" s="210"/>
      <c r="JZQ24" s="210"/>
      <c r="JZR24" s="210"/>
      <c r="JZS24" s="210"/>
      <c r="JZT24" s="210"/>
      <c r="JZU24" s="210"/>
      <c r="JZV24" s="210"/>
      <c r="JZW24" s="210"/>
      <c r="JZX24" s="210"/>
      <c r="JZY24" s="210"/>
      <c r="JZZ24" s="210"/>
      <c r="KAA24" s="210"/>
      <c r="KAB24" s="210"/>
      <c r="KAC24" s="210"/>
      <c r="KAD24" s="210"/>
      <c r="KAE24" s="210"/>
      <c r="KAF24" s="210"/>
      <c r="KAG24" s="210"/>
      <c r="KAH24" s="210"/>
      <c r="KAI24" s="210"/>
      <c r="KAJ24" s="210"/>
      <c r="KAK24" s="210"/>
      <c r="KAL24" s="210"/>
      <c r="KAM24" s="210"/>
      <c r="KAN24" s="210"/>
      <c r="KAO24" s="210"/>
      <c r="KAP24" s="210"/>
      <c r="KAQ24" s="210"/>
      <c r="KAR24" s="210"/>
      <c r="KAS24" s="210"/>
      <c r="KAT24" s="210"/>
      <c r="KAU24" s="210"/>
      <c r="KAV24" s="210"/>
      <c r="KAW24" s="210"/>
      <c r="KAX24" s="210"/>
      <c r="KAY24" s="210"/>
      <c r="KAZ24" s="210"/>
      <c r="KBA24" s="210"/>
      <c r="KBB24" s="210"/>
      <c r="KBC24" s="210"/>
      <c r="KBD24" s="210"/>
      <c r="KBE24" s="210"/>
      <c r="KBF24" s="210"/>
      <c r="KBG24" s="210"/>
      <c r="KBH24" s="210"/>
      <c r="KBI24" s="210"/>
      <c r="KBJ24" s="210"/>
      <c r="KBK24" s="210"/>
      <c r="KBL24" s="210"/>
      <c r="KBM24" s="210"/>
      <c r="KBN24" s="210"/>
      <c r="KBO24" s="210"/>
      <c r="KBP24" s="210"/>
      <c r="KBQ24" s="210"/>
      <c r="KBR24" s="210"/>
      <c r="KBS24" s="210"/>
      <c r="KBT24" s="210"/>
      <c r="KBU24" s="210"/>
      <c r="KBV24" s="210"/>
      <c r="KBW24" s="210"/>
      <c r="KBX24" s="210"/>
      <c r="KBY24" s="210"/>
      <c r="KBZ24" s="210"/>
      <c r="KCA24" s="210"/>
      <c r="KCB24" s="210"/>
      <c r="KCC24" s="210"/>
      <c r="KCD24" s="210"/>
      <c r="KCE24" s="210"/>
      <c r="KCF24" s="210"/>
      <c r="KCG24" s="210"/>
      <c r="KCH24" s="210"/>
      <c r="KCI24" s="210"/>
      <c r="KCJ24" s="210"/>
      <c r="KCK24" s="210"/>
      <c r="KCL24" s="210"/>
      <c r="KCM24" s="210"/>
      <c r="KCN24" s="210"/>
      <c r="KCO24" s="210"/>
      <c r="KCP24" s="210"/>
      <c r="KCQ24" s="210"/>
      <c r="KCR24" s="210"/>
      <c r="KCS24" s="210"/>
      <c r="KCT24" s="210"/>
      <c r="KCU24" s="210"/>
      <c r="KCV24" s="210"/>
      <c r="KCW24" s="210"/>
      <c r="KCX24" s="210"/>
      <c r="KCY24" s="210"/>
      <c r="KCZ24" s="210"/>
      <c r="KDA24" s="210"/>
      <c r="KDB24" s="210"/>
      <c r="KDC24" s="210"/>
      <c r="KDD24" s="210"/>
      <c r="KDE24" s="210"/>
      <c r="KDF24" s="210"/>
      <c r="KDG24" s="210"/>
      <c r="KDH24" s="210"/>
      <c r="KDI24" s="210"/>
      <c r="KDJ24" s="210"/>
      <c r="KDK24" s="210"/>
      <c r="KDL24" s="210"/>
      <c r="KDM24" s="210"/>
      <c r="KDN24" s="210"/>
      <c r="KDO24" s="210"/>
      <c r="KDP24" s="210"/>
      <c r="KDQ24" s="210"/>
      <c r="KDR24" s="210"/>
      <c r="KDS24" s="210"/>
      <c r="KDT24" s="210"/>
      <c r="KDU24" s="210"/>
      <c r="KDV24" s="210"/>
      <c r="KDW24" s="210"/>
      <c r="KDX24" s="210"/>
      <c r="KDY24" s="210"/>
      <c r="KDZ24" s="210"/>
      <c r="KEA24" s="210"/>
      <c r="KEB24" s="210"/>
      <c r="KEC24" s="210"/>
      <c r="KED24" s="210"/>
      <c r="KEE24" s="210"/>
      <c r="KEF24" s="210"/>
      <c r="KEG24" s="210"/>
      <c r="KEH24" s="210"/>
      <c r="KEI24" s="210"/>
      <c r="KEJ24" s="210"/>
      <c r="KEK24" s="210"/>
      <c r="KEL24" s="210"/>
      <c r="KEM24" s="210"/>
      <c r="KEN24" s="210"/>
      <c r="KEO24" s="210"/>
      <c r="KEP24" s="210"/>
      <c r="KEQ24" s="210"/>
      <c r="KER24" s="210"/>
      <c r="KES24" s="210"/>
      <c r="KET24" s="210"/>
      <c r="KEU24" s="210"/>
      <c r="KEV24" s="210"/>
      <c r="KEW24" s="210"/>
      <c r="KEX24" s="210"/>
      <c r="KEY24" s="210"/>
      <c r="KEZ24" s="210"/>
      <c r="KFA24" s="210"/>
      <c r="KFB24" s="210"/>
      <c r="KFC24" s="210"/>
      <c r="KFD24" s="210"/>
      <c r="KFE24" s="210"/>
      <c r="KFF24" s="210"/>
      <c r="KFG24" s="210"/>
      <c r="KFH24" s="210"/>
      <c r="KFI24" s="210"/>
      <c r="KFJ24" s="210"/>
      <c r="KFK24" s="210"/>
      <c r="KFL24" s="210"/>
      <c r="KFM24" s="210"/>
      <c r="KFN24" s="210"/>
      <c r="KFO24" s="210"/>
      <c r="KFP24" s="210"/>
      <c r="KFQ24" s="210"/>
      <c r="KFR24" s="210"/>
      <c r="KFS24" s="210"/>
      <c r="KFT24" s="210"/>
      <c r="KFU24" s="210"/>
      <c r="KFV24" s="210"/>
      <c r="KFW24" s="210"/>
      <c r="KFX24" s="210"/>
      <c r="KFY24" s="210"/>
      <c r="KFZ24" s="210"/>
      <c r="KGA24" s="210"/>
      <c r="KGB24" s="210"/>
      <c r="KGC24" s="210"/>
      <c r="KGD24" s="210"/>
      <c r="KGE24" s="210"/>
      <c r="KGF24" s="210"/>
      <c r="KGG24" s="210"/>
      <c r="KGH24" s="210"/>
      <c r="KGI24" s="210"/>
      <c r="KGJ24" s="210"/>
      <c r="KGK24" s="210"/>
      <c r="KGL24" s="210"/>
      <c r="KGM24" s="210"/>
      <c r="KGN24" s="210"/>
      <c r="KGO24" s="210"/>
      <c r="KGP24" s="210"/>
      <c r="KGQ24" s="210"/>
      <c r="KGR24" s="210"/>
      <c r="KGS24" s="210"/>
      <c r="KGT24" s="210"/>
      <c r="KGU24" s="210"/>
      <c r="KGV24" s="210"/>
      <c r="KGW24" s="210"/>
      <c r="KGX24" s="210"/>
      <c r="KGY24" s="210"/>
      <c r="KGZ24" s="210"/>
      <c r="KHA24" s="210"/>
      <c r="KHB24" s="210"/>
      <c r="KHC24" s="210"/>
      <c r="KHD24" s="210"/>
      <c r="KHE24" s="210"/>
      <c r="KHF24" s="210"/>
      <c r="KHG24" s="210"/>
      <c r="KHH24" s="210"/>
      <c r="KHI24" s="210"/>
      <c r="KHJ24" s="210"/>
      <c r="KHK24" s="210"/>
      <c r="KHL24" s="210"/>
      <c r="KHM24" s="210"/>
      <c r="KHN24" s="210"/>
      <c r="KHO24" s="210"/>
      <c r="KHP24" s="210"/>
      <c r="KHQ24" s="210"/>
      <c r="KHR24" s="210"/>
      <c r="KHS24" s="210"/>
      <c r="KHT24" s="210"/>
      <c r="KHU24" s="210"/>
      <c r="KHV24" s="210"/>
      <c r="KHW24" s="210"/>
      <c r="KHX24" s="210"/>
      <c r="KHY24" s="210"/>
      <c r="KHZ24" s="210"/>
      <c r="KIA24" s="210"/>
      <c r="KIB24" s="210"/>
      <c r="KIC24" s="210"/>
      <c r="KID24" s="210"/>
      <c r="KIE24" s="210"/>
      <c r="KIF24" s="210"/>
      <c r="KIG24" s="210"/>
      <c r="KIH24" s="210"/>
      <c r="KII24" s="210"/>
      <c r="KIJ24" s="210"/>
      <c r="KIK24" s="210"/>
      <c r="KIL24" s="210"/>
      <c r="KIM24" s="210"/>
      <c r="KIN24" s="210"/>
      <c r="KIO24" s="210"/>
      <c r="KIP24" s="210"/>
      <c r="KIQ24" s="210"/>
      <c r="KIR24" s="210"/>
      <c r="KIS24" s="210"/>
      <c r="KIT24" s="210"/>
      <c r="KIU24" s="210"/>
      <c r="KIV24" s="210"/>
      <c r="KIW24" s="210"/>
      <c r="KIX24" s="210"/>
      <c r="KIY24" s="210"/>
      <c r="KIZ24" s="210"/>
      <c r="KJA24" s="210"/>
      <c r="KJB24" s="210"/>
      <c r="KJC24" s="210"/>
      <c r="KJD24" s="210"/>
      <c r="KJE24" s="210"/>
      <c r="KJF24" s="210"/>
      <c r="KJG24" s="210"/>
      <c r="KJH24" s="210"/>
      <c r="KJI24" s="210"/>
      <c r="KJJ24" s="210"/>
      <c r="KJK24" s="210"/>
      <c r="KJL24" s="210"/>
      <c r="KJM24" s="210"/>
      <c r="KJN24" s="210"/>
      <c r="KJO24" s="210"/>
      <c r="KJP24" s="210"/>
      <c r="KJQ24" s="210"/>
      <c r="KJR24" s="210"/>
      <c r="KJS24" s="210"/>
      <c r="KJT24" s="210"/>
      <c r="KJU24" s="210"/>
      <c r="KJV24" s="210"/>
      <c r="KJW24" s="210"/>
      <c r="KJX24" s="210"/>
      <c r="KJY24" s="210"/>
      <c r="KJZ24" s="210"/>
      <c r="KKA24" s="210"/>
      <c r="KKB24" s="210"/>
      <c r="KKC24" s="210"/>
      <c r="KKD24" s="210"/>
      <c r="KKE24" s="210"/>
      <c r="KKF24" s="210"/>
      <c r="KKG24" s="210"/>
      <c r="KKH24" s="210"/>
      <c r="KKI24" s="210"/>
      <c r="KKJ24" s="210"/>
      <c r="KKK24" s="210"/>
      <c r="KKL24" s="210"/>
      <c r="KKM24" s="210"/>
      <c r="KKN24" s="210"/>
      <c r="KKO24" s="210"/>
      <c r="KKP24" s="210"/>
      <c r="KKQ24" s="210"/>
      <c r="KKR24" s="210"/>
      <c r="KKS24" s="210"/>
      <c r="KKT24" s="210"/>
      <c r="KKU24" s="210"/>
      <c r="KKV24" s="210"/>
      <c r="KKW24" s="210"/>
      <c r="KKX24" s="210"/>
      <c r="KKY24" s="210"/>
      <c r="KKZ24" s="210"/>
      <c r="KLA24" s="210"/>
      <c r="KLB24" s="210"/>
      <c r="KLC24" s="210"/>
      <c r="KLD24" s="210"/>
      <c r="KLE24" s="210"/>
      <c r="KLF24" s="210"/>
      <c r="KLG24" s="210"/>
      <c r="KLH24" s="210"/>
      <c r="KLI24" s="210"/>
      <c r="KLJ24" s="210"/>
      <c r="KLK24" s="210"/>
      <c r="KLL24" s="210"/>
      <c r="KLM24" s="210"/>
      <c r="KLN24" s="210"/>
      <c r="KLO24" s="210"/>
      <c r="KLP24" s="210"/>
      <c r="KLQ24" s="210"/>
      <c r="KLR24" s="210"/>
      <c r="KLS24" s="210"/>
      <c r="KLT24" s="210"/>
      <c r="KLU24" s="210"/>
      <c r="KLV24" s="210"/>
      <c r="KLW24" s="210"/>
      <c r="KLX24" s="210"/>
      <c r="KLY24" s="210"/>
      <c r="KLZ24" s="210"/>
      <c r="KMA24" s="210"/>
      <c r="KMB24" s="210"/>
      <c r="KMC24" s="210"/>
      <c r="KMD24" s="210"/>
      <c r="KME24" s="210"/>
      <c r="KMF24" s="210"/>
      <c r="KMG24" s="210"/>
      <c r="KMH24" s="210"/>
      <c r="KMI24" s="210"/>
      <c r="KMJ24" s="210"/>
      <c r="KMK24" s="210"/>
      <c r="KML24" s="210"/>
      <c r="KMM24" s="210"/>
      <c r="KMN24" s="210"/>
      <c r="KMO24" s="210"/>
      <c r="KMP24" s="210"/>
      <c r="KMQ24" s="210"/>
      <c r="KMR24" s="210"/>
      <c r="KMS24" s="210"/>
      <c r="KMT24" s="210"/>
      <c r="KMU24" s="210"/>
      <c r="KMV24" s="210"/>
      <c r="KMW24" s="210"/>
      <c r="KMX24" s="210"/>
      <c r="KMY24" s="210"/>
      <c r="KMZ24" s="210"/>
      <c r="KNA24" s="210"/>
      <c r="KNB24" s="210"/>
      <c r="KNC24" s="210"/>
      <c r="KND24" s="210"/>
      <c r="KNE24" s="210"/>
      <c r="KNF24" s="210"/>
      <c r="KNG24" s="210"/>
      <c r="KNH24" s="210"/>
      <c r="KNI24" s="210"/>
      <c r="KNJ24" s="210"/>
      <c r="KNK24" s="210"/>
      <c r="KNL24" s="210"/>
      <c r="KNM24" s="210"/>
      <c r="KNN24" s="210"/>
      <c r="KNO24" s="210"/>
      <c r="KNP24" s="210"/>
      <c r="KNQ24" s="210"/>
      <c r="KNR24" s="210"/>
      <c r="KNS24" s="210"/>
      <c r="KNT24" s="210"/>
      <c r="KNU24" s="210"/>
      <c r="KNV24" s="210"/>
      <c r="KNW24" s="210"/>
      <c r="KNX24" s="210"/>
      <c r="KNY24" s="210"/>
      <c r="KNZ24" s="210"/>
      <c r="KOA24" s="210"/>
      <c r="KOB24" s="210"/>
      <c r="KOC24" s="210"/>
      <c r="KOD24" s="210"/>
      <c r="KOE24" s="210"/>
      <c r="KOF24" s="210"/>
      <c r="KOG24" s="210"/>
      <c r="KOH24" s="210"/>
      <c r="KOI24" s="210"/>
      <c r="KOJ24" s="210"/>
      <c r="KOK24" s="210"/>
      <c r="KOL24" s="210"/>
      <c r="KOM24" s="210"/>
      <c r="KON24" s="210"/>
      <c r="KOO24" s="210"/>
      <c r="KOP24" s="210"/>
      <c r="KOQ24" s="210"/>
      <c r="KOR24" s="210"/>
      <c r="KOS24" s="210"/>
      <c r="KOT24" s="210"/>
      <c r="KOU24" s="210"/>
      <c r="KOV24" s="210"/>
      <c r="KOW24" s="210"/>
      <c r="KOX24" s="210"/>
      <c r="KOY24" s="210"/>
      <c r="KOZ24" s="210"/>
      <c r="KPA24" s="210"/>
      <c r="KPB24" s="210"/>
      <c r="KPC24" s="210"/>
      <c r="KPD24" s="210"/>
      <c r="KPE24" s="210"/>
      <c r="KPF24" s="210"/>
      <c r="KPG24" s="210"/>
      <c r="KPH24" s="210"/>
      <c r="KPI24" s="210"/>
      <c r="KPJ24" s="210"/>
      <c r="KPK24" s="210"/>
      <c r="KPL24" s="210"/>
      <c r="KPM24" s="210"/>
      <c r="KPN24" s="210"/>
      <c r="KPO24" s="210"/>
      <c r="KPP24" s="210"/>
      <c r="KPQ24" s="210"/>
      <c r="KPR24" s="210"/>
      <c r="KPS24" s="210"/>
      <c r="KPT24" s="210"/>
      <c r="KPU24" s="210"/>
      <c r="KPV24" s="210"/>
      <c r="KPW24" s="210"/>
      <c r="KPX24" s="210"/>
      <c r="KPY24" s="210"/>
      <c r="KPZ24" s="210"/>
      <c r="KQA24" s="210"/>
      <c r="KQB24" s="210"/>
      <c r="KQC24" s="210"/>
      <c r="KQD24" s="210"/>
      <c r="KQE24" s="210"/>
      <c r="KQF24" s="210"/>
      <c r="KQG24" s="210"/>
      <c r="KQH24" s="210"/>
      <c r="KQI24" s="210"/>
      <c r="KQJ24" s="210"/>
      <c r="KQK24" s="210"/>
      <c r="KQL24" s="210"/>
      <c r="KQM24" s="210"/>
      <c r="KQN24" s="210"/>
      <c r="KQO24" s="210"/>
      <c r="KQP24" s="210"/>
      <c r="KQQ24" s="210"/>
      <c r="KQR24" s="210"/>
      <c r="KQS24" s="210"/>
      <c r="KQT24" s="210"/>
      <c r="KQU24" s="210"/>
      <c r="KQV24" s="210"/>
      <c r="KQW24" s="210"/>
      <c r="KQX24" s="210"/>
      <c r="KQY24" s="210"/>
      <c r="KQZ24" s="210"/>
      <c r="KRA24" s="210"/>
      <c r="KRB24" s="210"/>
      <c r="KRC24" s="210"/>
      <c r="KRD24" s="210"/>
      <c r="KRE24" s="210"/>
      <c r="KRF24" s="210"/>
      <c r="KRG24" s="210"/>
      <c r="KRH24" s="210"/>
      <c r="KRI24" s="210"/>
      <c r="KRJ24" s="210"/>
      <c r="KRK24" s="210"/>
      <c r="KRL24" s="210"/>
      <c r="KRM24" s="210"/>
      <c r="KRN24" s="210"/>
      <c r="KRO24" s="210"/>
      <c r="KRP24" s="210"/>
      <c r="KRQ24" s="210"/>
      <c r="KRR24" s="210"/>
      <c r="KRS24" s="210"/>
      <c r="KRT24" s="210"/>
      <c r="KRU24" s="210"/>
      <c r="KRV24" s="210"/>
      <c r="KRW24" s="210"/>
      <c r="KRX24" s="210"/>
      <c r="KRY24" s="210"/>
      <c r="KRZ24" s="210"/>
      <c r="KSA24" s="210"/>
      <c r="KSB24" s="210"/>
      <c r="KSC24" s="210"/>
      <c r="KSD24" s="210"/>
      <c r="KSE24" s="210"/>
      <c r="KSF24" s="210"/>
      <c r="KSG24" s="210"/>
      <c r="KSH24" s="210"/>
      <c r="KSI24" s="210"/>
      <c r="KSJ24" s="210"/>
      <c r="KSK24" s="210"/>
      <c r="KSL24" s="210"/>
      <c r="KSM24" s="210"/>
      <c r="KSN24" s="210"/>
      <c r="KSO24" s="210"/>
      <c r="KSP24" s="210"/>
      <c r="KSQ24" s="210"/>
      <c r="KSR24" s="210"/>
      <c r="KSS24" s="210"/>
      <c r="KST24" s="210"/>
      <c r="KSU24" s="210"/>
      <c r="KSV24" s="210"/>
      <c r="KSW24" s="210"/>
      <c r="KSX24" s="210"/>
      <c r="KSY24" s="210"/>
      <c r="KSZ24" s="210"/>
      <c r="KTA24" s="210"/>
      <c r="KTB24" s="210"/>
      <c r="KTC24" s="210"/>
      <c r="KTD24" s="210"/>
      <c r="KTE24" s="210"/>
      <c r="KTF24" s="210"/>
      <c r="KTG24" s="210"/>
      <c r="KTH24" s="210"/>
      <c r="KTI24" s="210"/>
      <c r="KTJ24" s="210"/>
      <c r="KTK24" s="210"/>
      <c r="KTL24" s="210"/>
      <c r="KTM24" s="210"/>
      <c r="KTN24" s="210"/>
      <c r="KTO24" s="210"/>
      <c r="KTP24" s="210"/>
      <c r="KTQ24" s="210"/>
      <c r="KTR24" s="210"/>
      <c r="KTS24" s="210"/>
      <c r="KTT24" s="210"/>
      <c r="KTU24" s="210"/>
      <c r="KTV24" s="210"/>
      <c r="KTW24" s="210"/>
      <c r="KTX24" s="210"/>
      <c r="KTY24" s="210"/>
      <c r="KTZ24" s="210"/>
      <c r="KUA24" s="210"/>
      <c r="KUB24" s="210"/>
      <c r="KUC24" s="210"/>
      <c r="KUD24" s="210"/>
      <c r="KUE24" s="210"/>
      <c r="KUF24" s="210"/>
      <c r="KUG24" s="210"/>
      <c r="KUH24" s="210"/>
      <c r="KUI24" s="210"/>
      <c r="KUJ24" s="210"/>
      <c r="KUK24" s="210"/>
      <c r="KUL24" s="210"/>
      <c r="KUM24" s="210"/>
      <c r="KUN24" s="210"/>
      <c r="KUO24" s="210"/>
      <c r="KUP24" s="210"/>
      <c r="KUQ24" s="210"/>
      <c r="KUR24" s="210"/>
      <c r="KUS24" s="210"/>
      <c r="KUT24" s="210"/>
      <c r="KUU24" s="210"/>
      <c r="KUV24" s="210"/>
      <c r="KUW24" s="210"/>
      <c r="KUX24" s="210"/>
      <c r="KUY24" s="210"/>
      <c r="KUZ24" s="210"/>
      <c r="KVA24" s="210"/>
      <c r="KVB24" s="210"/>
      <c r="KVC24" s="210"/>
      <c r="KVD24" s="210"/>
      <c r="KVE24" s="210"/>
      <c r="KVF24" s="210"/>
      <c r="KVG24" s="210"/>
      <c r="KVH24" s="210"/>
      <c r="KVI24" s="210"/>
      <c r="KVJ24" s="210"/>
      <c r="KVK24" s="210"/>
      <c r="KVL24" s="210"/>
      <c r="KVM24" s="210"/>
      <c r="KVN24" s="210"/>
      <c r="KVO24" s="210"/>
      <c r="KVP24" s="210"/>
      <c r="KVQ24" s="210"/>
      <c r="KVR24" s="210"/>
      <c r="KVS24" s="210"/>
      <c r="KVT24" s="210"/>
      <c r="KVU24" s="210"/>
      <c r="KVV24" s="210"/>
      <c r="KVW24" s="210"/>
      <c r="KVX24" s="210"/>
      <c r="KVY24" s="210"/>
      <c r="KVZ24" s="210"/>
      <c r="KWA24" s="210"/>
      <c r="KWB24" s="210"/>
      <c r="KWC24" s="210"/>
      <c r="KWD24" s="210"/>
      <c r="KWE24" s="210"/>
      <c r="KWF24" s="210"/>
      <c r="KWG24" s="210"/>
      <c r="KWH24" s="210"/>
      <c r="KWI24" s="210"/>
      <c r="KWJ24" s="210"/>
      <c r="KWK24" s="210"/>
      <c r="KWL24" s="210"/>
      <c r="KWM24" s="210"/>
      <c r="KWN24" s="210"/>
      <c r="KWO24" s="210"/>
      <c r="KWP24" s="210"/>
      <c r="KWQ24" s="210"/>
      <c r="KWR24" s="210"/>
      <c r="KWS24" s="210"/>
      <c r="KWT24" s="210"/>
      <c r="KWU24" s="210"/>
      <c r="KWV24" s="210"/>
      <c r="KWW24" s="210"/>
      <c r="KWX24" s="210"/>
      <c r="KWY24" s="210"/>
      <c r="KWZ24" s="210"/>
      <c r="KXA24" s="210"/>
      <c r="KXB24" s="210"/>
      <c r="KXC24" s="210"/>
      <c r="KXD24" s="210"/>
      <c r="KXE24" s="210"/>
      <c r="KXF24" s="210"/>
      <c r="KXG24" s="210"/>
      <c r="KXH24" s="210"/>
      <c r="KXI24" s="210"/>
      <c r="KXJ24" s="210"/>
      <c r="KXK24" s="210"/>
      <c r="KXL24" s="210"/>
      <c r="KXM24" s="210"/>
      <c r="KXN24" s="210"/>
      <c r="KXO24" s="210"/>
      <c r="KXP24" s="210"/>
      <c r="KXQ24" s="210"/>
      <c r="KXR24" s="210"/>
      <c r="KXS24" s="210"/>
      <c r="KXT24" s="210"/>
      <c r="KXU24" s="210"/>
      <c r="KXV24" s="210"/>
      <c r="KXW24" s="210"/>
      <c r="KXX24" s="210"/>
      <c r="KXY24" s="210"/>
      <c r="KXZ24" s="210"/>
      <c r="KYA24" s="210"/>
      <c r="KYB24" s="210"/>
      <c r="KYC24" s="210"/>
      <c r="KYD24" s="210"/>
      <c r="KYE24" s="210"/>
      <c r="KYF24" s="210"/>
      <c r="KYG24" s="210"/>
      <c r="KYH24" s="210"/>
      <c r="KYI24" s="210"/>
      <c r="KYJ24" s="210"/>
      <c r="KYK24" s="210"/>
      <c r="KYL24" s="210"/>
      <c r="KYM24" s="210"/>
      <c r="KYN24" s="210"/>
      <c r="KYO24" s="210"/>
      <c r="KYP24" s="210"/>
      <c r="KYQ24" s="210"/>
      <c r="KYR24" s="210"/>
      <c r="KYS24" s="210"/>
      <c r="KYT24" s="210"/>
      <c r="KYU24" s="210"/>
      <c r="KYV24" s="210"/>
      <c r="KYW24" s="210"/>
      <c r="KYX24" s="210"/>
      <c r="KYY24" s="210"/>
      <c r="KYZ24" s="210"/>
      <c r="KZA24" s="210"/>
      <c r="KZB24" s="210"/>
      <c r="KZC24" s="210"/>
      <c r="KZD24" s="210"/>
      <c r="KZE24" s="210"/>
      <c r="KZF24" s="210"/>
      <c r="KZG24" s="210"/>
      <c r="KZH24" s="210"/>
      <c r="KZI24" s="210"/>
      <c r="KZJ24" s="210"/>
      <c r="KZK24" s="210"/>
      <c r="KZL24" s="210"/>
      <c r="KZM24" s="210"/>
      <c r="KZN24" s="210"/>
      <c r="KZO24" s="210"/>
      <c r="KZP24" s="210"/>
      <c r="KZQ24" s="210"/>
      <c r="KZR24" s="210"/>
      <c r="KZS24" s="210"/>
      <c r="KZT24" s="210"/>
      <c r="KZU24" s="210"/>
      <c r="KZV24" s="210"/>
      <c r="KZW24" s="210"/>
      <c r="KZX24" s="210"/>
      <c r="KZY24" s="210"/>
      <c r="KZZ24" s="210"/>
      <c r="LAA24" s="210"/>
      <c r="LAB24" s="210"/>
      <c r="LAC24" s="210"/>
      <c r="LAD24" s="210"/>
      <c r="LAE24" s="210"/>
      <c r="LAF24" s="210"/>
      <c r="LAG24" s="210"/>
      <c r="LAH24" s="210"/>
      <c r="LAI24" s="210"/>
      <c r="LAJ24" s="210"/>
      <c r="LAK24" s="210"/>
      <c r="LAL24" s="210"/>
      <c r="LAM24" s="210"/>
      <c r="LAN24" s="210"/>
      <c r="LAO24" s="210"/>
      <c r="LAP24" s="210"/>
      <c r="LAQ24" s="210"/>
      <c r="LAR24" s="210"/>
      <c r="LAS24" s="210"/>
      <c r="LAT24" s="210"/>
      <c r="LAU24" s="210"/>
      <c r="LAV24" s="210"/>
      <c r="LAW24" s="210"/>
      <c r="LAX24" s="210"/>
      <c r="LAY24" s="210"/>
      <c r="LAZ24" s="210"/>
      <c r="LBA24" s="210"/>
      <c r="LBB24" s="210"/>
      <c r="LBC24" s="210"/>
      <c r="LBD24" s="210"/>
      <c r="LBE24" s="210"/>
      <c r="LBF24" s="210"/>
      <c r="LBG24" s="210"/>
      <c r="LBH24" s="210"/>
      <c r="LBI24" s="210"/>
      <c r="LBJ24" s="210"/>
      <c r="LBK24" s="210"/>
      <c r="LBL24" s="210"/>
      <c r="LBM24" s="210"/>
      <c r="LBN24" s="210"/>
      <c r="LBO24" s="210"/>
      <c r="LBP24" s="210"/>
      <c r="LBQ24" s="210"/>
      <c r="LBR24" s="210"/>
      <c r="LBS24" s="210"/>
      <c r="LBT24" s="210"/>
      <c r="LBU24" s="210"/>
      <c r="LBV24" s="210"/>
      <c r="LBW24" s="210"/>
      <c r="LBX24" s="210"/>
      <c r="LBY24" s="210"/>
      <c r="LBZ24" s="210"/>
      <c r="LCA24" s="210"/>
      <c r="LCB24" s="210"/>
      <c r="LCC24" s="210"/>
      <c r="LCD24" s="210"/>
      <c r="LCE24" s="210"/>
      <c r="LCF24" s="210"/>
      <c r="LCG24" s="210"/>
      <c r="LCH24" s="210"/>
      <c r="LCI24" s="210"/>
      <c r="LCJ24" s="210"/>
      <c r="LCK24" s="210"/>
      <c r="LCL24" s="210"/>
      <c r="LCM24" s="210"/>
      <c r="LCN24" s="210"/>
      <c r="LCO24" s="210"/>
      <c r="LCP24" s="210"/>
      <c r="LCQ24" s="210"/>
      <c r="LCR24" s="210"/>
      <c r="LCS24" s="210"/>
      <c r="LCT24" s="210"/>
      <c r="LCU24" s="210"/>
      <c r="LCV24" s="210"/>
      <c r="LCW24" s="210"/>
      <c r="LCX24" s="210"/>
      <c r="LCY24" s="210"/>
      <c r="LCZ24" s="210"/>
      <c r="LDA24" s="210"/>
      <c r="LDB24" s="210"/>
      <c r="LDC24" s="210"/>
      <c r="LDD24" s="210"/>
      <c r="LDE24" s="210"/>
      <c r="LDF24" s="210"/>
      <c r="LDG24" s="210"/>
      <c r="LDH24" s="210"/>
      <c r="LDI24" s="210"/>
      <c r="LDJ24" s="210"/>
      <c r="LDK24" s="210"/>
      <c r="LDL24" s="210"/>
      <c r="LDM24" s="210"/>
      <c r="LDN24" s="210"/>
      <c r="LDO24" s="210"/>
      <c r="LDP24" s="210"/>
      <c r="LDQ24" s="210"/>
      <c r="LDR24" s="210"/>
      <c r="LDS24" s="210"/>
      <c r="LDT24" s="210"/>
      <c r="LDU24" s="210"/>
      <c r="LDV24" s="210"/>
      <c r="LDW24" s="210"/>
      <c r="LDX24" s="210"/>
      <c r="LDY24" s="210"/>
      <c r="LDZ24" s="210"/>
      <c r="LEA24" s="210"/>
      <c r="LEB24" s="210"/>
      <c r="LEC24" s="210"/>
      <c r="LED24" s="210"/>
      <c r="LEE24" s="210"/>
      <c r="LEF24" s="210"/>
      <c r="LEG24" s="210"/>
      <c r="LEH24" s="210"/>
      <c r="LEI24" s="210"/>
      <c r="LEJ24" s="210"/>
      <c r="LEK24" s="210"/>
      <c r="LEL24" s="210"/>
      <c r="LEM24" s="210"/>
      <c r="LEN24" s="210"/>
      <c r="LEO24" s="210"/>
      <c r="LEP24" s="210"/>
      <c r="LEQ24" s="210"/>
      <c r="LER24" s="210"/>
      <c r="LES24" s="210"/>
      <c r="LET24" s="210"/>
      <c r="LEU24" s="210"/>
      <c r="LEV24" s="210"/>
      <c r="LEW24" s="210"/>
      <c r="LEX24" s="210"/>
      <c r="LEY24" s="210"/>
      <c r="LEZ24" s="210"/>
      <c r="LFA24" s="210"/>
      <c r="LFB24" s="210"/>
      <c r="LFC24" s="210"/>
      <c r="LFD24" s="210"/>
      <c r="LFE24" s="210"/>
      <c r="LFF24" s="210"/>
      <c r="LFG24" s="210"/>
      <c r="LFH24" s="210"/>
      <c r="LFI24" s="210"/>
      <c r="LFJ24" s="210"/>
      <c r="LFK24" s="210"/>
      <c r="LFL24" s="210"/>
      <c r="LFM24" s="210"/>
      <c r="LFN24" s="210"/>
      <c r="LFO24" s="210"/>
      <c r="LFP24" s="210"/>
      <c r="LFQ24" s="210"/>
      <c r="LFR24" s="210"/>
      <c r="LFS24" s="210"/>
      <c r="LFT24" s="210"/>
      <c r="LFU24" s="210"/>
      <c r="LFV24" s="210"/>
      <c r="LFW24" s="210"/>
      <c r="LFX24" s="210"/>
      <c r="LFY24" s="210"/>
      <c r="LFZ24" s="210"/>
      <c r="LGA24" s="210"/>
      <c r="LGB24" s="210"/>
      <c r="LGC24" s="210"/>
      <c r="LGD24" s="210"/>
      <c r="LGE24" s="210"/>
      <c r="LGF24" s="210"/>
      <c r="LGG24" s="210"/>
      <c r="LGH24" s="210"/>
      <c r="LGI24" s="210"/>
      <c r="LGJ24" s="210"/>
      <c r="LGK24" s="210"/>
      <c r="LGL24" s="210"/>
      <c r="LGM24" s="210"/>
      <c r="LGN24" s="210"/>
      <c r="LGO24" s="210"/>
      <c r="LGP24" s="210"/>
      <c r="LGQ24" s="210"/>
      <c r="LGR24" s="210"/>
      <c r="LGS24" s="210"/>
      <c r="LGT24" s="210"/>
      <c r="LGU24" s="210"/>
      <c r="LGV24" s="210"/>
      <c r="LGW24" s="210"/>
      <c r="LGX24" s="210"/>
      <c r="LGY24" s="210"/>
      <c r="LGZ24" s="210"/>
      <c r="LHA24" s="210"/>
      <c r="LHB24" s="210"/>
      <c r="LHC24" s="210"/>
      <c r="LHD24" s="210"/>
      <c r="LHE24" s="210"/>
      <c r="LHF24" s="210"/>
      <c r="LHG24" s="210"/>
      <c r="LHH24" s="210"/>
      <c r="LHI24" s="210"/>
      <c r="LHJ24" s="210"/>
      <c r="LHK24" s="210"/>
      <c r="LHL24" s="210"/>
      <c r="LHM24" s="210"/>
      <c r="LHN24" s="210"/>
      <c r="LHO24" s="210"/>
      <c r="LHP24" s="210"/>
      <c r="LHQ24" s="210"/>
      <c r="LHR24" s="210"/>
      <c r="LHS24" s="210"/>
      <c r="LHT24" s="210"/>
      <c r="LHU24" s="210"/>
      <c r="LHV24" s="210"/>
      <c r="LHW24" s="210"/>
      <c r="LHX24" s="210"/>
      <c r="LHY24" s="210"/>
      <c r="LHZ24" s="210"/>
      <c r="LIA24" s="210"/>
      <c r="LIB24" s="210"/>
      <c r="LIC24" s="210"/>
      <c r="LID24" s="210"/>
      <c r="LIE24" s="210"/>
      <c r="LIF24" s="210"/>
      <c r="LIG24" s="210"/>
      <c r="LIH24" s="210"/>
      <c r="LII24" s="210"/>
      <c r="LIJ24" s="210"/>
      <c r="LIK24" s="210"/>
      <c r="LIL24" s="210"/>
      <c r="LIM24" s="210"/>
      <c r="LIN24" s="210"/>
      <c r="LIO24" s="210"/>
      <c r="LIP24" s="210"/>
      <c r="LIQ24" s="210"/>
      <c r="LIR24" s="210"/>
      <c r="LIS24" s="210"/>
      <c r="LIT24" s="210"/>
      <c r="LIU24" s="210"/>
      <c r="LIV24" s="210"/>
      <c r="LIW24" s="210"/>
      <c r="LIX24" s="210"/>
      <c r="LIY24" s="210"/>
      <c r="LIZ24" s="210"/>
      <c r="LJA24" s="210"/>
      <c r="LJB24" s="210"/>
      <c r="LJC24" s="210"/>
      <c r="LJD24" s="210"/>
      <c r="LJE24" s="210"/>
      <c r="LJF24" s="210"/>
      <c r="LJG24" s="210"/>
      <c r="LJH24" s="210"/>
      <c r="LJI24" s="210"/>
      <c r="LJJ24" s="210"/>
      <c r="LJK24" s="210"/>
      <c r="LJL24" s="210"/>
      <c r="LJM24" s="210"/>
      <c r="LJN24" s="210"/>
      <c r="LJO24" s="210"/>
      <c r="LJP24" s="210"/>
      <c r="LJQ24" s="210"/>
      <c r="LJR24" s="210"/>
      <c r="LJS24" s="210"/>
      <c r="LJT24" s="210"/>
      <c r="LJU24" s="210"/>
      <c r="LJV24" s="210"/>
      <c r="LJW24" s="210"/>
      <c r="LJX24" s="210"/>
      <c r="LJY24" s="210"/>
      <c r="LJZ24" s="210"/>
      <c r="LKA24" s="210"/>
      <c r="LKB24" s="210"/>
      <c r="LKC24" s="210"/>
      <c r="LKD24" s="210"/>
      <c r="LKE24" s="210"/>
      <c r="LKF24" s="210"/>
      <c r="LKG24" s="210"/>
      <c r="LKH24" s="210"/>
      <c r="LKI24" s="210"/>
      <c r="LKJ24" s="210"/>
      <c r="LKK24" s="210"/>
      <c r="LKL24" s="210"/>
      <c r="LKM24" s="210"/>
      <c r="LKN24" s="210"/>
      <c r="LKO24" s="210"/>
      <c r="LKP24" s="210"/>
      <c r="LKQ24" s="210"/>
      <c r="LKR24" s="210"/>
      <c r="LKS24" s="210"/>
      <c r="LKT24" s="210"/>
      <c r="LKU24" s="210"/>
      <c r="LKV24" s="210"/>
      <c r="LKW24" s="210"/>
      <c r="LKX24" s="210"/>
      <c r="LKY24" s="210"/>
      <c r="LKZ24" s="210"/>
      <c r="LLA24" s="210"/>
      <c r="LLB24" s="210"/>
      <c r="LLC24" s="210"/>
      <c r="LLD24" s="210"/>
      <c r="LLE24" s="210"/>
      <c r="LLF24" s="210"/>
      <c r="LLG24" s="210"/>
      <c r="LLH24" s="210"/>
      <c r="LLI24" s="210"/>
      <c r="LLJ24" s="210"/>
      <c r="LLK24" s="210"/>
      <c r="LLL24" s="210"/>
      <c r="LLM24" s="210"/>
      <c r="LLN24" s="210"/>
      <c r="LLO24" s="210"/>
      <c r="LLP24" s="210"/>
      <c r="LLQ24" s="210"/>
      <c r="LLR24" s="210"/>
      <c r="LLS24" s="210"/>
      <c r="LLT24" s="210"/>
      <c r="LLU24" s="210"/>
      <c r="LLV24" s="210"/>
      <c r="LLW24" s="210"/>
      <c r="LLX24" s="210"/>
      <c r="LLY24" s="210"/>
      <c r="LLZ24" s="210"/>
      <c r="LMA24" s="210"/>
      <c r="LMB24" s="210"/>
      <c r="LMC24" s="210"/>
      <c r="LMD24" s="210"/>
      <c r="LME24" s="210"/>
      <c r="LMF24" s="210"/>
      <c r="LMG24" s="210"/>
      <c r="LMH24" s="210"/>
      <c r="LMI24" s="210"/>
      <c r="LMJ24" s="210"/>
      <c r="LMK24" s="210"/>
      <c r="LML24" s="210"/>
      <c r="LMM24" s="210"/>
      <c r="LMN24" s="210"/>
      <c r="LMO24" s="210"/>
      <c r="LMP24" s="210"/>
      <c r="LMQ24" s="210"/>
      <c r="LMR24" s="210"/>
      <c r="LMS24" s="210"/>
      <c r="LMT24" s="210"/>
      <c r="LMU24" s="210"/>
      <c r="LMV24" s="210"/>
      <c r="LMW24" s="210"/>
      <c r="LMX24" s="210"/>
      <c r="LMY24" s="210"/>
      <c r="LMZ24" s="210"/>
      <c r="LNA24" s="210"/>
      <c r="LNB24" s="210"/>
      <c r="LNC24" s="210"/>
      <c r="LND24" s="210"/>
      <c r="LNE24" s="210"/>
      <c r="LNF24" s="210"/>
      <c r="LNG24" s="210"/>
      <c r="LNH24" s="210"/>
      <c r="LNI24" s="210"/>
      <c r="LNJ24" s="210"/>
      <c r="LNK24" s="210"/>
      <c r="LNL24" s="210"/>
      <c r="LNM24" s="210"/>
      <c r="LNN24" s="210"/>
      <c r="LNO24" s="210"/>
      <c r="LNP24" s="210"/>
      <c r="LNQ24" s="210"/>
      <c r="LNR24" s="210"/>
      <c r="LNS24" s="210"/>
      <c r="LNT24" s="210"/>
      <c r="LNU24" s="210"/>
      <c r="LNV24" s="210"/>
      <c r="LNW24" s="210"/>
      <c r="LNX24" s="210"/>
      <c r="LNY24" s="210"/>
      <c r="LNZ24" s="210"/>
      <c r="LOA24" s="210"/>
      <c r="LOB24" s="210"/>
      <c r="LOC24" s="210"/>
      <c r="LOD24" s="210"/>
      <c r="LOE24" s="210"/>
      <c r="LOF24" s="210"/>
      <c r="LOG24" s="210"/>
      <c r="LOH24" s="210"/>
      <c r="LOI24" s="210"/>
      <c r="LOJ24" s="210"/>
      <c r="LOK24" s="210"/>
      <c r="LOL24" s="210"/>
      <c r="LOM24" s="210"/>
      <c r="LON24" s="210"/>
      <c r="LOO24" s="210"/>
      <c r="LOP24" s="210"/>
      <c r="LOQ24" s="210"/>
      <c r="LOR24" s="210"/>
      <c r="LOS24" s="210"/>
      <c r="LOT24" s="210"/>
      <c r="LOU24" s="210"/>
      <c r="LOV24" s="210"/>
      <c r="LOW24" s="210"/>
      <c r="LOX24" s="210"/>
      <c r="LOY24" s="210"/>
      <c r="LOZ24" s="210"/>
      <c r="LPA24" s="210"/>
      <c r="LPB24" s="210"/>
      <c r="LPC24" s="210"/>
      <c r="LPD24" s="210"/>
      <c r="LPE24" s="210"/>
      <c r="LPF24" s="210"/>
      <c r="LPG24" s="210"/>
      <c r="LPH24" s="210"/>
      <c r="LPI24" s="210"/>
      <c r="LPJ24" s="210"/>
      <c r="LPK24" s="210"/>
      <c r="LPL24" s="210"/>
      <c r="LPM24" s="210"/>
      <c r="LPN24" s="210"/>
      <c r="LPO24" s="210"/>
      <c r="LPP24" s="210"/>
      <c r="LPQ24" s="210"/>
      <c r="LPR24" s="210"/>
      <c r="LPS24" s="210"/>
      <c r="LPT24" s="210"/>
      <c r="LPU24" s="210"/>
      <c r="LPV24" s="210"/>
      <c r="LPW24" s="210"/>
      <c r="LPX24" s="210"/>
      <c r="LPY24" s="210"/>
      <c r="LPZ24" s="210"/>
      <c r="LQA24" s="210"/>
      <c r="LQB24" s="210"/>
      <c r="LQC24" s="210"/>
      <c r="LQD24" s="210"/>
      <c r="LQE24" s="210"/>
      <c r="LQF24" s="210"/>
      <c r="LQG24" s="210"/>
      <c r="LQH24" s="210"/>
      <c r="LQI24" s="210"/>
      <c r="LQJ24" s="210"/>
      <c r="LQK24" s="210"/>
      <c r="LQL24" s="210"/>
      <c r="LQM24" s="210"/>
      <c r="LQN24" s="210"/>
      <c r="LQO24" s="210"/>
      <c r="LQP24" s="210"/>
      <c r="LQQ24" s="210"/>
      <c r="LQR24" s="210"/>
      <c r="LQS24" s="210"/>
      <c r="LQT24" s="210"/>
      <c r="LQU24" s="210"/>
      <c r="LQV24" s="210"/>
      <c r="LQW24" s="210"/>
      <c r="LQX24" s="210"/>
      <c r="LQY24" s="210"/>
      <c r="LQZ24" s="210"/>
      <c r="LRA24" s="210"/>
      <c r="LRB24" s="210"/>
      <c r="LRC24" s="210"/>
      <c r="LRD24" s="210"/>
      <c r="LRE24" s="210"/>
      <c r="LRF24" s="210"/>
      <c r="LRG24" s="210"/>
      <c r="LRH24" s="210"/>
      <c r="LRI24" s="210"/>
      <c r="LRJ24" s="210"/>
      <c r="LRK24" s="210"/>
      <c r="LRL24" s="210"/>
      <c r="LRM24" s="210"/>
      <c r="LRN24" s="210"/>
      <c r="LRO24" s="210"/>
      <c r="LRP24" s="210"/>
      <c r="LRQ24" s="210"/>
      <c r="LRR24" s="210"/>
      <c r="LRS24" s="210"/>
      <c r="LRT24" s="210"/>
      <c r="LRU24" s="210"/>
      <c r="LRV24" s="210"/>
      <c r="LRW24" s="210"/>
      <c r="LRX24" s="210"/>
      <c r="LRY24" s="210"/>
      <c r="LRZ24" s="210"/>
      <c r="LSA24" s="210"/>
      <c r="LSB24" s="210"/>
      <c r="LSC24" s="210"/>
      <c r="LSD24" s="210"/>
      <c r="LSE24" s="210"/>
      <c r="LSF24" s="210"/>
      <c r="LSG24" s="210"/>
      <c r="LSH24" s="210"/>
      <c r="LSI24" s="210"/>
      <c r="LSJ24" s="210"/>
      <c r="LSK24" s="210"/>
      <c r="LSL24" s="210"/>
      <c r="LSM24" s="210"/>
      <c r="LSN24" s="210"/>
      <c r="LSO24" s="210"/>
      <c r="LSP24" s="210"/>
      <c r="LSQ24" s="210"/>
      <c r="LSR24" s="210"/>
      <c r="LSS24" s="210"/>
      <c r="LST24" s="210"/>
      <c r="LSU24" s="210"/>
      <c r="LSV24" s="210"/>
      <c r="LSW24" s="210"/>
      <c r="LSX24" s="210"/>
      <c r="LSY24" s="210"/>
      <c r="LSZ24" s="210"/>
      <c r="LTA24" s="210"/>
      <c r="LTB24" s="210"/>
      <c r="LTC24" s="210"/>
      <c r="LTD24" s="210"/>
      <c r="LTE24" s="210"/>
      <c r="LTF24" s="210"/>
      <c r="LTG24" s="210"/>
      <c r="LTH24" s="210"/>
      <c r="LTI24" s="210"/>
      <c r="LTJ24" s="210"/>
      <c r="LTK24" s="210"/>
      <c r="LTL24" s="210"/>
      <c r="LTM24" s="210"/>
      <c r="LTN24" s="210"/>
      <c r="LTO24" s="210"/>
      <c r="LTP24" s="210"/>
      <c r="LTQ24" s="210"/>
      <c r="LTR24" s="210"/>
      <c r="LTS24" s="210"/>
      <c r="LTT24" s="210"/>
      <c r="LTU24" s="210"/>
      <c r="LTV24" s="210"/>
      <c r="LTW24" s="210"/>
      <c r="LTX24" s="210"/>
      <c r="LTY24" s="210"/>
      <c r="LTZ24" s="210"/>
      <c r="LUA24" s="210"/>
      <c r="LUB24" s="210"/>
      <c r="LUC24" s="210"/>
      <c r="LUD24" s="210"/>
      <c r="LUE24" s="210"/>
      <c r="LUF24" s="210"/>
      <c r="LUG24" s="210"/>
      <c r="LUH24" s="210"/>
      <c r="LUI24" s="210"/>
      <c r="LUJ24" s="210"/>
      <c r="LUK24" s="210"/>
      <c r="LUL24" s="210"/>
      <c r="LUM24" s="210"/>
      <c r="LUN24" s="210"/>
      <c r="LUO24" s="210"/>
      <c r="LUP24" s="210"/>
      <c r="LUQ24" s="210"/>
      <c r="LUR24" s="210"/>
      <c r="LUS24" s="210"/>
      <c r="LUT24" s="210"/>
      <c r="LUU24" s="210"/>
      <c r="LUV24" s="210"/>
      <c r="LUW24" s="210"/>
      <c r="LUX24" s="210"/>
      <c r="LUY24" s="210"/>
      <c r="LUZ24" s="210"/>
      <c r="LVA24" s="210"/>
      <c r="LVB24" s="210"/>
      <c r="LVC24" s="210"/>
      <c r="LVD24" s="210"/>
      <c r="LVE24" s="210"/>
      <c r="LVF24" s="210"/>
      <c r="LVG24" s="210"/>
      <c r="LVH24" s="210"/>
      <c r="LVI24" s="210"/>
      <c r="LVJ24" s="210"/>
      <c r="LVK24" s="210"/>
      <c r="LVL24" s="210"/>
      <c r="LVM24" s="210"/>
      <c r="LVN24" s="210"/>
      <c r="LVO24" s="210"/>
      <c r="LVP24" s="210"/>
      <c r="LVQ24" s="210"/>
      <c r="LVR24" s="210"/>
      <c r="LVS24" s="210"/>
      <c r="LVT24" s="210"/>
      <c r="LVU24" s="210"/>
      <c r="LVV24" s="210"/>
      <c r="LVW24" s="210"/>
      <c r="LVX24" s="210"/>
      <c r="LVY24" s="210"/>
      <c r="LVZ24" s="210"/>
      <c r="LWA24" s="210"/>
      <c r="LWB24" s="210"/>
      <c r="LWC24" s="210"/>
      <c r="LWD24" s="210"/>
      <c r="LWE24" s="210"/>
      <c r="LWF24" s="210"/>
      <c r="LWG24" s="210"/>
      <c r="LWH24" s="210"/>
      <c r="LWI24" s="210"/>
      <c r="LWJ24" s="210"/>
      <c r="LWK24" s="210"/>
      <c r="LWL24" s="210"/>
      <c r="LWM24" s="210"/>
      <c r="LWN24" s="210"/>
      <c r="LWO24" s="210"/>
      <c r="LWP24" s="210"/>
      <c r="LWQ24" s="210"/>
      <c r="LWR24" s="210"/>
      <c r="LWS24" s="210"/>
      <c r="LWT24" s="210"/>
      <c r="LWU24" s="210"/>
      <c r="LWV24" s="210"/>
      <c r="LWW24" s="210"/>
      <c r="LWX24" s="210"/>
      <c r="LWY24" s="210"/>
      <c r="LWZ24" s="210"/>
      <c r="LXA24" s="210"/>
      <c r="LXB24" s="210"/>
      <c r="LXC24" s="210"/>
      <c r="LXD24" s="210"/>
      <c r="LXE24" s="210"/>
      <c r="LXF24" s="210"/>
      <c r="LXG24" s="210"/>
      <c r="LXH24" s="210"/>
      <c r="LXI24" s="210"/>
      <c r="LXJ24" s="210"/>
      <c r="LXK24" s="210"/>
      <c r="LXL24" s="210"/>
      <c r="LXM24" s="210"/>
      <c r="LXN24" s="210"/>
      <c r="LXO24" s="210"/>
      <c r="LXP24" s="210"/>
      <c r="LXQ24" s="210"/>
      <c r="LXR24" s="210"/>
      <c r="LXS24" s="210"/>
      <c r="LXT24" s="210"/>
      <c r="LXU24" s="210"/>
      <c r="LXV24" s="210"/>
      <c r="LXW24" s="210"/>
      <c r="LXX24" s="210"/>
      <c r="LXY24" s="210"/>
      <c r="LXZ24" s="210"/>
      <c r="LYA24" s="210"/>
      <c r="LYB24" s="210"/>
      <c r="LYC24" s="210"/>
      <c r="LYD24" s="210"/>
      <c r="LYE24" s="210"/>
      <c r="LYF24" s="210"/>
      <c r="LYG24" s="210"/>
      <c r="LYH24" s="210"/>
      <c r="LYI24" s="210"/>
      <c r="LYJ24" s="210"/>
      <c r="LYK24" s="210"/>
      <c r="LYL24" s="210"/>
      <c r="LYM24" s="210"/>
      <c r="LYN24" s="210"/>
      <c r="LYO24" s="210"/>
      <c r="LYP24" s="210"/>
      <c r="LYQ24" s="210"/>
      <c r="LYR24" s="210"/>
      <c r="LYS24" s="210"/>
      <c r="LYT24" s="210"/>
      <c r="LYU24" s="210"/>
      <c r="LYV24" s="210"/>
      <c r="LYW24" s="210"/>
      <c r="LYX24" s="210"/>
      <c r="LYY24" s="210"/>
      <c r="LYZ24" s="210"/>
      <c r="LZA24" s="210"/>
      <c r="LZB24" s="210"/>
      <c r="LZC24" s="210"/>
      <c r="LZD24" s="210"/>
      <c r="LZE24" s="210"/>
      <c r="LZF24" s="210"/>
      <c r="LZG24" s="210"/>
      <c r="LZH24" s="210"/>
      <c r="LZI24" s="210"/>
      <c r="LZJ24" s="210"/>
      <c r="LZK24" s="210"/>
      <c r="LZL24" s="210"/>
      <c r="LZM24" s="210"/>
      <c r="LZN24" s="210"/>
      <c r="LZO24" s="210"/>
      <c r="LZP24" s="210"/>
      <c r="LZQ24" s="210"/>
      <c r="LZR24" s="210"/>
      <c r="LZS24" s="210"/>
      <c r="LZT24" s="210"/>
      <c r="LZU24" s="210"/>
      <c r="LZV24" s="210"/>
      <c r="LZW24" s="210"/>
      <c r="LZX24" s="210"/>
      <c r="LZY24" s="210"/>
      <c r="LZZ24" s="210"/>
      <c r="MAA24" s="210"/>
      <c r="MAB24" s="210"/>
      <c r="MAC24" s="210"/>
      <c r="MAD24" s="210"/>
      <c r="MAE24" s="210"/>
      <c r="MAF24" s="210"/>
      <c r="MAG24" s="210"/>
      <c r="MAH24" s="210"/>
      <c r="MAI24" s="210"/>
      <c r="MAJ24" s="210"/>
      <c r="MAK24" s="210"/>
      <c r="MAL24" s="210"/>
      <c r="MAM24" s="210"/>
      <c r="MAN24" s="210"/>
      <c r="MAO24" s="210"/>
      <c r="MAP24" s="210"/>
      <c r="MAQ24" s="210"/>
      <c r="MAR24" s="210"/>
      <c r="MAS24" s="210"/>
      <c r="MAT24" s="210"/>
      <c r="MAU24" s="210"/>
      <c r="MAV24" s="210"/>
      <c r="MAW24" s="210"/>
      <c r="MAX24" s="210"/>
      <c r="MAY24" s="210"/>
      <c r="MAZ24" s="210"/>
      <c r="MBA24" s="210"/>
      <c r="MBB24" s="210"/>
      <c r="MBC24" s="210"/>
      <c r="MBD24" s="210"/>
      <c r="MBE24" s="210"/>
      <c r="MBF24" s="210"/>
      <c r="MBG24" s="210"/>
      <c r="MBH24" s="210"/>
      <c r="MBI24" s="210"/>
      <c r="MBJ24" s="210"/>
      <c r="MBK24" s="210"/>
      <c r="MBL24" s="210"/>
      <c r="MBM24" s="210"/>
      <c r="MBN24" s="210"/>
      <c r="MBO24" s="210"/>
      <c r="MBP24" s="210"/>
      <c r="MBQ24" s="210"/>
      <c r="MBR24" s="210"/>
      <c r="MBS24" s="210"/>
      <c r="MBT24" s="210"/>
      <c r="MBU24" s="210"/>
      <c r="MBV24" s="210"/>
      <c r="MBW24" s="210"/>
      <c r="MBX24" s="210"/>
      <c r="MBY24" s="210"/>
      <c r="MBZ24" s="210"/>
      <c r="MCA24" s="210"/>
      <c r="MCB24" s="210"/>
      <c r="MCC24" s="210"/>
      <c r="MCD24" s="210"/>
      <c r="MCE24" s="210"/>
      <c r="MCF24" s="210"/>
      <c r="MCG24" s="210"/>
      <c r="MCH24" s="210"/>
      <c r="MCI24" s="210"/>
      <c r="MCJ24" s="210"/>
      <c r="MCK24" s="210"/>
      <c r="MCL24" s="210"/>
      <c r="MCM24" s="210"/>
      <c r="MCN24" s="210"/>
      <c r="MCO24" s="210"/>
      <c r="MCP24" s="210"/>
      <c r="MCQ24" s="210"/>
      <c r="MCR24" s="210"/>
      <c r="MCS24" s="210"/>
      <c r="MCT24" s="210"/>
      <c r="MCU24" s="210"/>
      <c r="MCV24" s="210"/>
      <c r="MCW24" s="210"/>
      <c r="MCX24" s="210"/>
      <c r="MCY24" s="210"/>
      <c r="MCZ24" s="210"/>
      <c r="MDA24" s="210"/>
      <c r="MDB24" s="210"/>
      <c r="MDC24" s="210"/>
      <c r="MDD24" s="210"/>
      <c r="MDE24" s="210"/>
      <c r="MDF24" s="210"/>
      <c r="MDG24" s="210"/>
      <c r="MDH24" s="210"/>
      <c r="MDI24" s="210"/>
      <c r="MDJ24" s="210"/>
      <c r="MDK24" s="210"/>
      <c r="MDL24" s="210"/>
      <c r="MDM24" s="210"/>
      <c r="MDN24" s="210"/>
      <c r="MDO24" s="210"/>
      <c r="MDP24" s="210"/>
      <c r="MDQ24" s="210"/>
      <c r="MDR24" s="210"/>
      <c r="MDS24" s="210"/>
      <c r="MDT24" s="210"/>
      <c r="MDU24" s="210"/>
      <c r="MDV24" s="210"/>
      <c r="MDW24" s="210"/>
      <c r="MDX24" s="210"/>
      <c r="MDY24" s="210"/>
      <c r="MDZ24" s="210"/>
      <c r="MEA24" s="210"/>
      <c r="MEB24" s="210"/>
      <c r="MEC24" s="210"/>
      <c r="MED24" s="210"/>
      <c r="MEE24" s="210"/>
      <c r="MEF24" s="210"/>
      <c r="MEG24" s="210"/>
      <c r="MEH24" s="210"/>
      <c r="MEI24" s="210"/>
      <c r="MEJ24" s="210"/>
      <c r="MEK24" s="210"/>
      <c r="MEL24" s="210"/>
      <c r="MEM24" s="210"/>
      <c r="MEN24" s="210"/>
      <c r="MEO24" s="210"/>
      <c r="MEP24" s="210"/>
      <c r="MEQ24" s="210"/>
      <c r="MER24" s="210"/>
      <c r="MES24" s="210"/>
      <c r="MET24" s="210"/>
      <c r="MEU24" s="210"/>
      <c r="MEV24" s="210"/>
      <c r="MEW24" s="210"/>
      <c r="MEX24" s="210"/>
      <c r="MEY24" s="210"/>
      <c r="MEZ24" s="210"/>
      <c r="MFA24" s="210"/>
      <c r="MFB24" s="210"/>
      <c r="MFC24" s="210"/>
      <c r="MFD24" s="210"/>
      <c r="MFE24" s="210"/>
      <c r="MFF24" s="210"/>
      <c r="MFG24" s="210"/>
      <c r="MFH24" s="210"/>
      <c r="MFI24" s="210"/>
      <c r="MFJ24" s="210"/>
      <c r="MFK24" s="210"/>
      <c r="MFL24" s="210"/>
      <c r="MFM24" s="210"/>
      <c r="MFN24" s="210"/>
      <c r="MFO24" s="210"/>
      <c r="MFP24" s="210"/>
      <c r="MFQ24" s="210"/>
      <c r="MFR24" s="210"/>
      <c r="MFS24" s="210"/>
      <c r="MFT24" s="210"/>
      <c r="MFU24" s="210"/>
      <c r="MFV24" s="210"/>
      <c r="MFW24" s="210"/>
      <c r="MFX24" s="210"/>
      <c r="MFY24" s="210"/>
      <c r="MFZ24" s="210"/>
      <c r="MGA24" s="210"/>
      <c r="MGB24" s="210"/>
      <c r="MGC24" s="210"/>
      <c r="MGD24" s="210"/>
      <c r="MGE24" s="210"/>
      <c r="MGF24" s="210"/>
      <c r="MGG24" s="210"/>
      <c r="MGH24" s="210"/>
      <c r="MGI24" s="210"/>
      <c r="MGJ24" s="210"/>
      <c r="MGK24" s="210"/>
      <c r="MGL24" s="210"/>
      <c r="MGM24" s="210"/>
      <c r="MGN24" s="210"/>
      <c r="MGO24" s="210"/>
      <c r="MGP24" s="210"/>
      <c r="MGQ24" s="210"/>
      <c r="MGR24" s="210"/>
      <c r="MGS24" s="210"/>
      <c r="MGT24" s="210"/>
      <c r="MGU24" s="210"/>
      <c r="MGV24" s="210"/>
      <c r="MGW24" s="210"/>
      <c r="MGX24" s="210"/>
      <c r="MGY24" s="210"/>
      <c r="MGZ24" s="210"/>
      <c r="MHA24" s="210"/>
      <c r="MHB24" s="210"/>
      <c r="MHC24" s="210"/>
      <c r="MHD24" s="210"/>
      <c r="MHE24" s="210"/>
      <c r="MHF24" s="210"/>
      <c r="MHG24" s="210"/>
      <c r="MHH24" s="210"/>
      <c r="MHI24" s="210"/>
      <c r="MHJ24" s="210"/>
      <c r="MHK24" s="210"/>
      <c r="MHL24" s="210"/>
      <c r="MHM24" s="210"/>
      <c r="MHN24" s="210"/>
      <c r="MHO24" s="210"/>
      <c r="MHP24" s="210"/>
      <c r="MHQ24" s="210"/>
      <c r="MHR24" s="210"/>
      <c r="MHS24" s="210"/>
      <c r="MHT24" s="210"/>
      <c r="MHU24" s="210"/>
      <c r="MHV24" s="210"/>
      <c r="MHW24" s="210"/>
      <c r="MHX24" s="210"/>
      <c r="MHY24" s="210"/>
      <c r="MHZ24" s="210"/>
      <c r="MIA24" s="210"/>
      <c r="MIB24" s="210"/>
      <c r="MIC24" s="210"/>
      <c r="MID24" s="210"/>
      <c r="MIE24" s="210"/>
      <c r="MIF24" s="210"/>
      <c r="MIG24" s="210"/>
      <c r="MIH24" s="210"/>
      <c r="MII24" s="210"/>
      <c r="MIJ24" s="210"/>
      <c r="MIK24" s="210"/>
      <c r="MIL24" s="210"/>
      <c r="MIM24" s="210"/>
      <c r="MIN24" s="210"/>
      <c r="MIO24" s="210"/>
      <c r="MIP24" s="210"/>
      <c r="MIQ24" s="210"/>
      <c r="MIR24" s="210"/>
      <c r="MIS24" s="210"/>
      <c r="MIT24" s="210"/>
      <c r="MIU24" s="210"/>
      <c r="MIV24" s="210"/>
      <c r="MIW24" s="210"/>
      <c r="MIX24" s="210"/>
      <c r="MIY24" s="210"/>
      <c r="MIZ24" s="210"/>
      <c r="MJA24" s="210"/>
      <c r="MJB24" s="210"/>
      <c r="MJC24" s="210"/>
      <c r="MJD24" s="210"/>
      <c r="MJE24" s="210"/>
      <c r="MJF24" s="210"/>
      <c r="MJG24" s="210"/>
      <c r="MJH24" s="210"/>
      <c r="MJI24" s="210"/>
      <c r="MJJ24" s="210"/>
      <c r="MJK24" s="210"/>
      <c r="MJL24" s="210"/>
      <c r="MJM24" s="210"/>
      <c r="MJN24" s="210"/>
      <c r="MJO24" s="210"/>
      <c r="MJP24" s="210"/>
      <c r="MJQ24" s="210"/>
      <c r="MJR24" s="210"/>
      <c r="MJS24" s="210"/>
      <c r="MJT24" s="210"/>
      <c r="MJU24" s="210"/>
      <c r="MJV24" s="210"/>
      <c r="MJW24" s="210"/>
      <c r="MJX24" s="210"/>
      <c r="MJY24" s="210"/>
      <c r="MJZ24" s="210"/>
      <c r="MKA24" s="210"/>
      <c r="MKB24" s="210"/>
      <c r="MKC24" s="210"/>
      <c r="MKD24" s="210"/>
      <c r="MKE24" s="210"/>
      <c r="MKF24" s="210"/>
      <c r="MKG24" s="210"/>
      <c r="MKH24" s="210"/>
      <c r="MKI24" s="210"/>
      <c r="MKJ24" s="210"/>
      <c r="MKK24" s="210"/>
      <c r="MKL24" s="210"/>
      <c r="MKM24" s="210"/>
      <c r="MKN24" s="210"/>
      <c r="MKO24" s="210"/>
      <c r="MKP24" s="210"/>
      <c r="MKQ24" s="210"/>
      <c r="MKR24" s="210"/>
      <c r="MKS24" s="210"/>
      <c r="MKT24" s="210"/>
      <c r="MKU24" s="210"/>
      <c r="MKV24" s="210"/>
      <c r="MKW24" s="210"/>
      <c r="MKX24" s="210"/>
      <c r="MKY24" s="210"/>
      <c r="MKZ24" s="210"/>
      <c r="MLA24" s="210"/>
      <c r="MLB24" s="210"/>
      <c r="MLC24" s="210"/>
      <c r="MLD24" s="210"/>
      <c r="MLE24" s="210"/>
      <c r="MLF24" s="210"/>
      <c r="MLG24" s="210"/>
      <c r="MLH24" s="210"/>
      <c r="MLI24" s="210"/>
      <c r="MLJ24" s="210"/>
      <c r="MLK24" s="210"/>
      <c r="MLL24" s="210"/>
      <c r="MLM24" s="210"/>
      <c r="MLN24" s="210"/>
      <c r="MLO24" s="210"/>
      <c r="MLP24" s="210"/>
      <c r="MLQ24" s="210"/>
      <c r="MLR24" s="210"/>
      <c r="MLS24" s="210"/>
      <c r="MLT24" s="210"/>
      <c r="MLU24" s="210"/>
      <c r="MLV24" s="210"/>
      <c r="MLW24" s="210"/>
      <c r="MLX24" s="210"/>
      <c r="MLY24" s="210"/>
      <c r="MLZ24" s="210"/>
      <c r="MMA24" s="210"/>
      <c r="MMB24" s="210"/>
      <c r="MMC24" s="210"/>
      <c r="MMD24" s="210"/>
      <c r="MME24" s="210"/>
      <c r="MMF24" s="210"/>
      <c r="MMG24" s="210"/>
      <c r="MMH24" s="210"/>
      <c r="MMI24" s="210"/>
      <c r="MMJ24" s="210"/>
      <c r="MMK24" s="210"/>
      <c r="MML24" s="210"/>
      <c r="MMM24" s="210"/>
      <c r="MMN24" s="210"/>
      <c r="MMO24" s="210"/>
      <c r="MMP24" s="210"/>
      <c r="MMQ24" s="210"/>
      <c r="MMR24" s="210"/>
      <c r="MMS24" s="210"/>
      <c r="MMT24" s="210"/>
      <c r="MMU24" s="210"/>
      <c r="MMV24" s="210"/>
      <c r="MMW24" s="210"/>
      <c r="MMX24" s="210"/>
      <c r="MMY24" s="210"/>
      <c r="MMZ24" s="210"/>
      <c r="MNA24" s="210"/>
      <c r="MNB24" s="210"/>
      <c r="MNC24" s="210"/>
      <c r="MND24" s="210"/>
      <c r="MNE24" s="210"/>
      <c r="MNF24" s="210"/>
      <c r="MNG24" s="210"/>
      <c r="MNH24" s="210"/>
      <c r="MNI24" s="210"/>
      <c r="MNJ24" s="210"/>
      <c r="MNK24" s="210"/>
      <c r="MNL24" s="210"/>
      <c r="MNM24" s="210"/>
      <c r="MNN24" s="210"/>
      <c r="MNO24" s="210"/>
      <c r="MNP24" s="210"/>
      <c r="MNQ24" s="210"/>
      <c r="MNR24" s="210"/>
      <c r="MNS24" s="210"/>
      <c r="MNT24" s="210"/>
      <c r="MNU24" s="210"/>
      <c r="MNV24" s="210"/>
      <c r="MNW24" s="210"/>
      <c r="MNX24" s="210"/>
      <c r="MNY24" s="210"/>
      <c r="MNZ24" s="210"/>
      <c r="MOA24" s="210"/>
      <c r="MOB24" s="210"/>
      <c r="MOC24" s="210"/>
      <c r="MOD24" s="210"/>
      <c r="MOE24" s="210"/>
      <c r="MOF24" s="210"/>
      <c r="MOG24" s="210"/>
      <c r="MOH24" s="210"/>
      <c r="MOI24" s="210"/>
      <c r="MOJ24" s="210"/>
      <c r="MOK24" s="210"/>
      <c r="MOL24" s="210"/>
      <c r="MOM24" s="210"/>
      <c r="MON24" s="210"/>
      <c r="MOO24" s="210"/>
      <c r="MOP24" s="210"/>
      <c r="MOQ24" s="210"/>
      <c r="MOR24" s="210"/>
      <c r="MOS24" s="210"/>
      <c r="MOT24" s="210"/>
      <c r="MOU24" s="210"/>
      <c r="MOV24" s="210"/>
      <c r="MOW24" s="210"/>
      <c r="MOX24" s="210"/>
      <c r="MOY24" s="210"/>
      <c r="MOZ24" s="210"/>
      <c r="MPA24" s="210"/>
      <c r="MPB24" s="210"/>
      <c r="MPC24" s="210"/>
      <c r="MPD24" s="210"/>
      <c r="MPE24" s="210"/>
      <c r="MPF24" s="210"/>
      <c r="MPG24" s="210"/>
      <c r="MPH24" s="210"/>
      <c r="MPI24" s="210"/>
      <c r="MPJ24" s="210"/>
      <c r="MPK24" s="210"/>
      <c r="MPL24" s="210"/>
      <c r="MPM24" s="210"/>
      <c r="MPN24" s="210"/>
      <c r="MPO24" s="210"/>
      <c r="MPP24" s="210"/>
      <c r="MPQ24" s="210"/>
      <c r="MPR24" s="210"/>
      <c r="MPS24" s="210"/>
      <c r="MPT24" s="210"/>
      <c r="MPU24" s="210"/>
      <c r="MPV24" s="210"/>
      <c r="MPW24" s="210"/>
      <c r="MPX24" s="210"/>
      <c r="MPY24" s="210"/>
      <c r="MPZ24" s="210"/>
      <c r="MQA24" s="210"/>
      <c r="MQB24" s="210"/>
      <c r="MQC24" s="210"/>
      <c r="MQD24" s="210"/>
      <c r="MQE24" s="210"/>
      <c r="MQF24" s="210"/>
      <c r="MQG24" s="210"/>
      <c r="MQH24" s="210"/>
      <c r="MQI24" s="210"/>
      <c r="MQJ24" s="210"/>
      <c r="MQK24" s="210"/>
      <c r="MQL24" s="210"/>
      <c r="MQM24" s="210"/>
      <c r="MQN24" s="210"/>
      <c r="MQO24" s="210"/>
      <c r="MQP24" s="210"/>
      <c r="MQQ24" s="210"/>
      <c r="MQR24" s="210"/>
      <c r="MQS24" s="210"/>
      <c r="MQT24" s="210"/>
      <c r="MQU24" s="210"/>
      <c r="MQV24" s="210"/>
      <c r="MQW24" s="210"/>
      <c r="MQX24" s="210"/>
      <c r="MQY24" s="210"/>
      <c r="MQZ24" s="210"/>
      <c r="MRA24" s="210"/>
      <c r="MRB24" s="210"/>
      <c r="MRC24" s="210"/>
      <c r="MRD24" s="210"/>
      <c r="MRE24" s="210"/>
      <c r="MRF24" s="210"/>
      <c r="MRG24" s="210"/>
      <c r="MRH24" s="210"/>
      <c r="MRI24" s="210"/>
      <c r="MRJ24" s="210"/>
      <c r="MRK24" s="210"/>
      <c r="MRL24" s="210"/>
      <c r="MRM24" s="210"/>
      <c r="MRN24" s="210"/>
      <c r="MRO24" s="210"/>
      <c r="MRP24" s="210"/>
      <c r="MRQ24" s="210"/>
      <c r="MRR24" s="210"/>
      <c r="MRS24" s="210"/>
      <c r="MRT24" s="210"/>
      <c r="MRU24" s="210"/>
      <c r="MRV24" s="210"/>
      <c r="MRW24" s="210"/>
      <c r="MRX24" s="210"/>
      <c r="MRY24" s="210"/>
      <c r="MRZ24" s="210"/>
      <c r="MSA24" s="210"/>
      <c r="MSB24" s="210"/>
      <c r="MSC24" s="210"/>
      <c r="MSD24" s="210"/>
      <c r="MSE24" s="210"/>
      <c r="MSF24" s="210"/>
      <c r="MSG24" s="210"/>
      <c r="MSH24" s="210"/>
      <c r="MSI24" s="210"/>
      <c r="MSJ24" s="210"/>
      <c r="MSK24" s="210"/>
      <c r="MSL24" s="210"/>
      <c r="MSM24" s="210"/>
      <c r="MSN24" s="210"/>
      <c r="MSO24" s="210"/>
      <c r="MSP24" s="210"/>
      <c r="MSQ24" s="210"/>
      <c r="MSR24" s="210"/>
      <c r="MSS24" s="210"/>
      <c r="MST24" s="210"/>
      <c r="MSU24" s="210"/>
      <c r="MSV24" s="210"/>
      <c r="MSW24" s="210"/>
      <c r="MSX24" s="210"/>
      <c r="MSY24" s="210"/>
      <c r="MSZ24" s="210"/>
      <c r="MTA24" s="210"/>
      <c r="MTB24" s="210"/>
      <c r="MTC24" s="210"/>
      <c r="MTD24" s="210"/>
      <c r="MTE24" s="210"/>
      <c r="MTF24" s="210"/>
      <c r="MTG24" s="210"/>
      <c r="MTH24" s="210"/>
      <c r="MTI24" s="210"/>
      <c r="MTJ24" s="210"/>
      <c r="MTK24" s="210"/>
      <c r="MTL24" s="210"/>
      <c r="MTM24" s="210"/>
      <c r="MTN24" s="210"/>
      <c r="MTO24" s="210"/>
      <c r="MTP24" s="210"/>
      <c r="MTQ24" s="210"/>
      <c r="MTR24" s="210"/>
      <c r="MTS24" s="210"/>
      <c r="MTT24" s="210"/>
      <c r="MTU24" s="210"/>
      <c r="MTV24" s="210"/>
      <c r="MTW24" s="210"/>
      <c r="MTX24" s="210"/>
      <c r="MTY24" s="210"/>
      <c r="MTZ24" s="210"/>
      <c r="MUA24" s="210"/>
      <c r="MUB24" s="210"/>
      <c r="MUC24" s="210"/>
      <c r="MUD24" s="210"/>
      <c r="MUE24" s="210"/>
      <c r="MUF24" s="210"/>
      <c r="MUG24" s="210"/>
      <c r="MUH24" s="210"/>
      <c r="MUI24" s="210"/>
      <c r="MUJ24" s="210"/>
      <c r="MUK24" s="210"/>
      <c r="MUL24" s="210"/>
      <c r="MUM24" s="210"/>
      <c r="MUN24" s="210"/>
      <c r="MUO24" s="210"/>
      <c r="MUP24" s="210"/>
      <c r="MUQ24" s="210"/>
      <c r="MUR24" s="210"/>
      <c r="MUS24" s="210"/>
      <c r="MUT24" s="210"/>
      <c r="MUU24" s="210"/>
      <c r="MUV24" s="210"/>
      <c r="MUW24" s="210"/>
      <c r="MUX24" s="210"/>
      <c r="MUY24" s="210"/>
      <c r="MUZ24" s="210"/>
      <c r="MVA24" s="210"/>
      <c r="MVB24" s="210"/>
      <c r="MVC24" s="210"/>
      <c r="MVD24" s="210"/>
      <c r="MVE24" s="210"/>
      <c r="MVF24" s="210"/>
      <c r="MVG24" s="210"/>
      <c r="MVH24" s="210"/>
      <c r="MVI24" s="210"/>
      <c r="MVJ24" s="210"/>
      <c r="MVK24" s="210"/>
      <c r="MVL24" s="210"/>
      <c r="MVM24" s="210"/>
      <c r="MVN24" s="210"/>
      <c r="MVO24" s="210"/>
      <c r="MVP24" s="210"/>
      <c r="MVQ24" s="210"/>
      <c r="MVR24" s="210"/>
      <c r="MVS24" s="210"/>
      <c r="MVT24" s="210"/>
      <c r="MVU24" s="210"/>
      <c r="MVV24" s="210"/>
      <c r="MVW24" s="210"/>
      <c r="MVX24" s="210"/>
      <c r="MVY24" s="210"/>
      <c r="MVZ24" s="210"/>
      <c r="MWA24" s="210"/>
      <c r="MWB24" s="210"/>
      <c r="MWC24" s="210"/>
      <c r="MWD24" s="210"/>
      <c r="MWE24" s="210"/>
      <c r="MWF24" s="210"/>
      <c r="MWG24" s="210"/>
      <c r="MWH24" s="210"/>
      <c r="MWI24" s="210"/>
      <c r="MWJ24" s="210"/>
      <c r="MWK24" s="210"/>
      <c r="MWL24" s="210"/>
      <c r="MWM24" s="210"/>
      <c r="MWN24" s="210"/>
      <c r="MWO24" s="210"/>
      <c r="MWP24" s="210"/>
      <c r="MWQ24" s="210"/>
      <c r="MWR24" s="210"/>
      <c r="MWS24" s="210"/>
      <c r="MWT24" s="210"/>
      <c r="MWU24" s="210"/>
      <c r="MWV24" s="210"/>
      <c r="MWW24" s="210"/>
      <c r="MWX24" s="210"/>
      <c r="MWY24" s="210"/>
      <c r="MWZ24" s="210"/>
      <c r="MXA24" s="210"/>
      <c r="MXB24" s="210"/>
      <c r="MXC24" s="210"/>
      <c r="MXD24" s="210"/>
      <c r="MXE24" s="210"/>
      <c r="MXF24" s="210"/>
      <c r="MXG24" s="210"/>
      <c r="MXH24" s="210"/>
      <c r="MXI24" s="210"/>
      <c r="MXJ24" s="210"/>
      <c r="MXK24" s="210"/>
      <c r="MXL24" s="210"/>
      <c r="MXM24" s="210"/>
      <c r="MXN24" s="210"/>
      <c r="MXO24" s="210"/>
      <c r="MXP24" s="210"/>
      <c r="MXQ24" s="210"/>
      <c r="MXR24" s="210"/>
      <c r="MXS24" s="210"/>
      <c r="MXT24" s="210"/>
      <c r="MXU24" s="210"/>
      <c r="MXV24" s="210"/>
      <c r="MXW24" s="210"/>
      <c r="MXX24" s="210"/>
      <c r="MXY24" s="210"/>
      <c r="MXZ24" s="210"/>
      <c r="MYA24" s="210"/>
      <c r="MYB24" s="210"/>
      <c r="MYC24" s="210"/>
      <c r="MYD24" s="210"/>
      <c r="MYE24" s="210"/>
      <c r="MYF24" s="210"/>
      <c r="MYG24" s="210"/>
      <c r="MYH24" s="210"/>
      <c r="MYI24" s="210"/>
      <c r="MYJ24" s="210"/>
      <c r="MYK24" s="210"/>
      <c r="MYL24" s="210"/>
      <c r="MYM24" s="210"/>
      <c r="MYN24" s="210"/>
      <c r="MYO24" s="210"/>
      <c r="MYP24" s="210"/>
      <c r="MYQ24" s="210"/>
      <c r="MYR24" s="210"/>
      <c r="MYS24" s="210"/>
      <c r="MYT24" s="210"/>
      <c r="MYU24" s="210"/>
      <c r="MYV24" s="210"/>
      <c r="MYW24" s="210"/>
      <c r="MYX24" s="210"/>
      <c r="MYY24" s="210"/>
      <c r="MYZ24" s="210"/>
      <c r="MZA24" s="210"/>
      <c r="MZB24" s="210"/>
      <c r="MZC24" s="210"/>
      <c r="MZD24" s="210"/>
      <c r="MZE24" s="210"/>
      <c r="MZF24" s="210"/>
      <c r="MZG24" s="210"/>
      <c r="MZH24" s="210"/>
      <c r="MZI24" s="210"/>
      <c r="MZJ24" s="210"/>
      <c r="MZK24" s="210"/>
      <c r="MZL24" s="210"/>
      <c r="MZM24" s="210"/>
      <c r="MZN24" s="210"/>
      <c r="MZO24" s="210"/>
      <c r="MZP24" s="210"/>
      <c r="MZQ24" s="210"/>
      <c r="MZR24" s="210"/>
      <c r="MZS24" s="210"/>
      <c r="MZT24" s="210"/>
      <c r="MZU24" s="210"/>
      <c r="MZV24" s="210"/>
      <c r="MZW24" s="210"/>
      <c r="MZX24" s="210"/>
      <c r="MZY24" s="210"/>
      <c r="MZZ24" s="210"/>
      <c r="NAA24" s="210"/>
      <c r="NAB24" s="210"/>
      <c r="NAC24" s="210"/>
      <c r="NAD24" s="210"/>
      <c r="NAE24" s="210"/>
      <c r="NAF24" s="210"/>
      <c r="NAG24" s="210"/>
      <c r="NAH24" s="210"/>
      <c r="NAI24" s="210"/>
      <c r="NAJ24" s="210"/>
      <c r="NAK24" s="210"/>
      <c r="NAL24" s="210"/>
      <c r="NAM24" s="210"/>
      <c r="NAN24" s="210"/>
      <c r="NAO24" s="210"/>
      <c r="NAP24" s="210"/>
      <c r="NAQ24" s="210"/>
      <c r="NAR24" s="210"/>
      <c r="NAS24" s="210"/>
      <c r="NAT24" s="210"/>
      <c r="NAU24" s="210"/>
      <c r="NAV24" s="210"/>
      <c r="NAW24" s="210"/>
      <c r="NAX24" s="210"/>
      <c r="NAY24" s="210"/>
      <c r="NAZ24" s="210"/>
      <c r="NBA24" s="210"/>
      <c r="NBB24" s="210"/>
      <c r="NBC24" s="210"/>
      <c r="NBD24" s="210"/>
      <c r="NBE24" s="210"/>
      <c r="NBF24" s="210"/>
      <c r="NBG24" s="210"/>
      <c r="NBH24" s="210"/>
      <c r="NBI24" s="210"/>
      <c r="NBJ24" s="210"/>
      <c r="NBK24" s="210"/>
      <c r="NBL24" s="210"/>
      <c r="NBM24" s="210"/>
      <c r="NBN24" s="210"/>
      <c r="NBO24" s="210"/>
      <c r="NBP24" s="210"/>
      <c r="NBQ24" s="210"/>
      <c r="NBR24" s="210"/>
      <c r="NBS24" s="210"/>
      <c r="NBT24" s="210"/>
      <c r="NBU24" s="210"/>
      <c r="NBV24" s="210"/>
      <c r="NBW24" s="210"/>
      <c r="NBX24" s="210"/>
      <c r="NBY24" s="210"/>
      <c r="NBZ24" s="210"/>
      <c r="NCA24" s="210"/>
      <c r="NCB24" s="210"/>
      <c r="NCC24" s="210"/>
      <c r="NCD24" s="210"/>
      <c r="NCE24" s="210"/>
      <c r="NCF24" s="210"/>
      <c r="NCG24" s="210"/>
      <c r="NCH24" s="210"/>
      <c r="NCI24" s="210"/>
      <c r="NCJ24" s="210"/>
      <c r="NCK24" s="210"/>
      <c r="NCL24" s="210"/>
      <c r="NCM24" s="210"/>
      <c r="NCN24" s="210"/>
      <c r="NCO24" s="210"/>
      <c r="NCP24" s="210"/>
      <c r="NCQ24" s="210"/>
      <c r="NCR24" s="210"/>
      <c r="NCS24" s="210"/>
      <c r="NCT24" s="210"/>
      <c r="NCU24" s="210"/>
      <c r="NCV24" s="210"/>
      <c r="NCW24" s="210"/>
      <c r="NCX24" s="210"/>
      <c r="NCY24" s="210"/>
      <c r="NCZ24" s="210"/>
      <c r="NDA24" s="210"/>
      <c r="NDB24" s="210"/>
      <c r="NDC24" s="210"/>
      <c r="NDD24" s="210"/>
      <c r="NDE24" s="210"/>
      <c r="NDF24" s="210"/>
      <c r="NDG24" s="210"/>
      <c r="NDH24" s="210"/>
      <c r="NDI24" s="210"/>
      <c r="NDJ24" s="210"/>
      <c r="NDK24" s="210"/>
      <c r="NDL24" s="210"/>
      <c r="NDM24" s="210"/>
      <c r="NDN24" s="210"/>
      <c r="NDO24" s="210"/>
      <c r="NDP24" s="210"/>
      <c r="NDQ24" s="210"/>
      <c r="NDR24" s="210"/>
      <c r="NDS24" s="210"/>
      <c r="NDT24" s="210"/>
      <c r="NDU24" s="210"/>
      <c r="NDV24" s="210"/>
      <c r="NDW24" s="210"/>
      <c r="NDX24" s="210"/>
      <c r="NDY24" s="210"/>
      <c r="NDZ24" s="210"/>
      <c r="NEA24" s="210"/>
      <c r="NEB24" s="210"/>
      <c r="NEC24" s="210"/>
      <c r="NED24" s="210"/>
      <c r="NEE24" s="210"/>
      <c r="NEF24" s="210"/>
      <c r="NEG24" s="210"/>
      <c r="NEH24" s="210"/>
      <c r="NEI24" s="210"/>
      <c r="NEJ24" s="210"/>
      <c r="NEK24" s="210"/>
      <c r="NEL24" s="210"/>
      <c r="NEM24" s="210"/>
      <c r="NEN24" s="210"/>
      <c r="NEO24" s="210"/>
      <c r="NEP24" s="210"/>
      <c r="NEQ24" s="210"/>
      <c r="NER24" s="210"/>
      <c r="NES24" s="210"/>
      <c r="NET24" s="210"/>
      <c r="NEU24" s="210"/>
      <c r="NEV24" s="210"/>
      <c r="NEW24" s="210"/>
      <c r="NEX24" s="210"/>
      <c r="NEY24" s="210"/>
      <c r="NEZ24" s="210"/>
      <c r="NFA24" s="210"/>
      <c r="NFB24" s="210"/>
      <c r="NFC24" s="210"/>
      <c r="NFD24" s="210"/>
      <c r="NFE24" s="210"/>
      <c r="NFF24" s="210"/>
      <c r="NFG24" s="210"/>
      <c r="NFH24" s="210"/>
      <c r="NFI24" s="210"/>
      <c r="NFJ24" s="210"/>
      <c r="NFK24" s="210"/>
      <c r="NFL24" s="210"/>
      <c r="NFM24" s="210"/>
      <c r="NFN24" s="210"/>
      <c r="NFO24" s="210"/>
      <c r="NFP24" s="210"/>
      <c r="NFQ24" s="210"/>
      <c r="NFR24" s="210"/>
      <c r="NFS24" s="210"/>
      <c r="NFT24" s="210"/>
      <c r="NFU24" s="210"/>
      <c r="NFV24" s="210"/>
      <c r="NFW24" s="210"/>
      <c r="NFX24" s="210"/>
      <c r="NFY24" s="210"/>
      <c r="NFZ24" s="210"/>
      <c r="NGA24" s="210"/>
      <c r="NGB24" s="210"/>
      <c r="NGC24" s="210"/>
      <c r="NGD24" s="210"/>
      <c r="NGE24" s="210"/>
      <c r="NGF24" s="210"/>
      <c r="NGG24" s="210"/>
      <c r="NGH24" s="210"/>
      <c r="NGI24" s="210"/>
      <c r="NGJ24" s="210"/>
      <c r="NGK24" s="210"/>
      <c r="NGL24" s="210"/>
      <c r="NGM24" s="210"/>
      <c r="NGN24" s="210"/>
      <c r="NGO24" s="210"/>
      <c r="NGP24" s="210"/>
      <c r="NGQ24" s="210"/>
      <c r="NGR24" s="210"/>
      <c r="NGS24" s="210"/>
      <c r="NGT24" s="210"/>
      <c r="NGU24" s="210"/>
      <c r="NGV24" s="210"/>
      <c r="NGW24" s="210"/>
      <c r="NGX24" s="210"/>
      <c r="NGY24" s="210"/>
      <c r="NGZ24" s="210"/>
      <c r="NHA24" s="210"/>
      <c r="NHB24" s="210"/>
      <c r="NHC24" s="210"/>
      <c r="NHD24" s="210"/>
      <c r="NHE24" s="210"/>
      <c r="NHF24" s="210"/>
      <c r="NHG24" s="210"/>
      <c r="NHH24" s="210"/>
      <c r="NHI24" s="210"/>
      <c r="NHJ24" s="210"/>
      <c r="NHK24" s="210"/>
      <c r="NHL24" s="210"/>
      <c r="NHM24" s="210"/>
      <c r="NHN24" s="210"/>
      <c r="NHO24" s="210"/>
      <c r="NHP24" s="210"/>
      <c r="NHQ24" s="210"/>
      <c r="NHR24" s="210"/>
      <c r="NHS24" s="210"/>
      <c r="NHT24" s="210"/>
      <c r="NHU24" s="210"/>
      <c r="NHV24" s="210"/>
      <c r="NHW24" s="210"/>
      <c r="NHX24" s="210"/>
      <c r="NHY24" s="210"/>
      <c r="NHZ24" s="210"/>
      <c r="NIA24" s="210"/>
      <c r="NIB24" s="210"/>
      <c r="NIC24" s="210"/>
      <c r="NID24" s="210"/>
      <c r="NIE24" s="210"/>
      <c r="NIF24" s="210"/>
      <c r="NIG24" s="210"/>
      <c r="NIH24" s="210"/>
      <c r="NII24" s="210"/>
      <c r="NIJ24" s="210"/>
      <c r="NIK24" s="210"/>
      <c r="NIL24" s="210"/>
      <c r="NIM24" s="210"/>
      <c r="NIN24" s="210"/>
      <c r="NIO24" s="210"/>
      <c r="NIP24" s="210"/>
      <c r="NIQ24" s="210"/>
      <c r="NIR24" s="210"/>
      <c r="NIS24" s="210"/>
      <c r="NIT24" s="210"/>
      <c r="NIU24" s="210"/>
      <c r="NIV24" s="210"/>
      <c r="NIW24" s="210"/>
      <c r="NIX24" s="210"/>
      <c r="NIY24" s="210"/>
      <c r="NIZ24" s="210"/>
      <c r="NJA24" s="210"/>
      <c r="NJB24" s="210"/>
      <c r="NJC24" s="210"/>
      <c r="NJD24" s="210"/>
      <c r="NJE24" s="210"/>
      <c r="NJF24" s="210"/>
      <c r="NJG24" s="210"/>
      <c r="NJH24" s="210"/>
      <c r="NJI24" s="210"/>
      <c r="NJJ24" s="210"/>
      <c r="NJK24" s="210"/>
      <c r="NJL24" s="210"/>
      <c r="NJM24" s="210"/>
      <c r="NJN24" s="210"/>
      <c r="NJO24" s="210"/>
      <c r="NJP24" s="210"/>
      <c r="NJQ24" s="210"/>
      <c r="NJR24" s="210"/>
      <c r="NJS24" s="210"/>
      <c r="NJT24" s="210"/>
      <c r="NJU24" s="210"/>
      <c r="NJV24" s="210"/>
      <c r="NJW24" s="210"/>
      <c r="NJX24" s="210"/>
      <c r="NJY24" s="210"/>
      <c r="NJZ24" s="210"/>
      <c r="NKA24" s="210"/>
      <c r="NKB24" s="210"/>
      <c r="NKC24" s="210"/>
      <c r="NKD24" s="210"/>
      <c r="NKE24" s="210"/>
      <c r="NKF24" s="210"/>
      <c r="NKG24" s="210"/>
      <c r="NKH24" s="210"/>
      <c r="NKI24" s="210"/>
      <c r="NKJ24" s="210"/>
      <c r="NKK24" s="210"/>
      <c r="NKL24" s="210"/>
      <c r="NKM24" s="210"/>
      <c r="NKN24" s="210"/>
      <c r="NKO24" s="210"/>
      <c r="NKP24" s="210"/>
      <c r="NKQ24" s="210"/>
      <c r="NKR24" s="210"/>
      <c r="NKS24" s="210"/>
      <c r="NKT24" s="210"/>
      <c r="NKU24" s="210"/>
      <c r="NKV24" s="210"/>
      <c r="NKW24" s="210"/>
      <c r="NKX24" s="210"/>
      <c r="NKY24" s="210"/>
      <c r="NKZ24" s="210"/>
      <c r="NLA24" s="210"/>
      <c r="NLB24" s="210"/>
      <c r="NLC24" s="210"/>
      <c r="NLD24" s="210"/>
      <c r="NLE24" s="210"/>
      <c r="NLF24" s="210"/>
      <c r="NLG24" s="210"/>
      <c r="NLH24" s="210"/>
      <c r="NLI24" s="210"/>
      <c r="NLJ24" s="210"/>
      <c r="NLK24" s="210"/>
      <c r="NLL24" s="210"/>
      <c r="NLM24" s="210"/>
      <c r="NLN24" s="210"/>
      <c r="NLO24" s="210"/>
      <c r="NLP24" s="210"/>
      <c r="NLQ24" s="210"/>
      <c r="NLR24" s="210"/>
      <c r="NLS24" s="210"/>
      <c r="NLT24" s="210"/>
      <c r="NLU24" s="210"/>
      <c r="NLV24" s="210"/>
      <c r="NLW24" s="210"/>
      <c r="NLX24" s="210"/>
      <c r="NLY24" s="210"/>
      <c r="NLZ24" s="210"/>
      <c r="NMA24" s="210"/>
      <c r="NMB24" s="210"/>
      <c r="NMC24" s="210"/>
      <c r="NMD24" s="210"/>
      <c r="NME24" s="210"/>
      <c r="NMF24" s="210"/>
      <c r="NMG24" s="210"/>
      <c r="NMH24" s="210"/>
      <c r="NMI24" s="210"/>
      <c r="NMJ24" s="210"/>
      <c r="NMK24" s="210"/>
      <c r="NML24" s="210"/>
      <c r="NMM24" s="210"/>
      <c r="NMN24" s="210"/>
      <c r="NMO24" s="210"/>
      <c r="NMP24" s="210"/>
      <c r="NMQ24" s="210"/>
      <c r="NMR24" s="210"/>
      <c r="NMS24" s="210"/>
      <c r="NMT24" s="210"/>
      <c r="NMU24" s="210"/>
      <c r="NMV24" s="210"/>
      <c r="NMW24" s="210"/>
      <c r="NMX24" s="210"/>
      <c r="NMY24" s="210"/>
      <c r="NMZ24" s="210"/>
      <c r="NNA24" s="210"/>
      <c r="NNB24" s="210"/>
      <c r="NNC24" s="210"/>
      <c r="NND24" s="210"/>
      <c r="NNE24" s="210"/>
      <c r="NNF24" s="210"/>
      <c r="NNG24" s="210"/>
      <c r="NNH24" s="210"/>
      <c r="NNI24" s="210"/>
      <c r="NNJ24" s="210"/>
      <c r="NNK24" s="210"/>
      <c r="NNL24" s="210"/>
      <c r="NNM24" s="210"/>
      <c r="NNN24" s="210"/>
      <c r="NNO24" s="210"/>
      <c r="NNP24" s="210"/>
      <c r="NNQ24" s="210"/>
      <c r="NNR24" s="210"/>
      <c r="NNS24" s="210"/>
      <c r="NNT24" s="210"/>
      <c r="NNU24" s="210"/>
      <c r="NNV24" s="210"/>
      <c r="NNW24" s="210"/>
      <c r="NNX24" s="210"/>
      <c r="NNY24" s="210"/>
      <c r="NNZ24" s="210"/>
      <c r="NOA24" s="210"/>
      <c r="NOB24" s="210"/>
      <c r="NOC24" s="210"/>
      <c r="NOD24" s="210"/>
      <c r="NOE24" s="210"/>
      <c r="NOF24" s="210"/>
      <c r="NOG24" s="210"/>
      <c r="NOH24" s="210"/>
      <c r="NOI24" s="210"/>
      <c r="NOJ24" s="210"/>
      <c r="NOK24" s="210"/>
      <c r="NOL24" s="210"/>
      <c r="NOM24" s="210"/>
      <c r="NON24" s="210"/>
      <c r="NOO24" s="210"/>
      <c r="NOP24" s="210"/>
      <c r="NOQ24" s="210"/>
      <c r="NOR24" s="210"/>
      <c r="NOS24" s="210"/>
      <c r="NOT24" s="210"/>
      <c r="NOU24" s="210"/>
      <c r="NOV24" s="210"/>
      <c r="NOW24" s="210"/>
      <c r="NOX24" s="210"/>
      <c r="NOY24" s="210"/>
      <c r="NOZ24" s="210"/>
      <c r="NPA24" s="210"/>
      <c r="NPB24" s="210"/>
      <c r="NPC24" s="210"/>
      <c r="NPD24" s="210"/>
      <c r="NPE24" s="210"/>
      <c r="NPF24" s="210"/>
      <c r="NPG24" s="210"/>
      <c r="NPH24" s="210"/>
      <c r="NPI24" s="210"/>
      <c r="NPJ24" s="210"/>
      <c r="NPK24" s="210"/>
      <c r="NPL24" s="210"/>
      <c r="NPM24" s="210"/>
      <c r="NPN24" s="210"/>
      <c r="NPO24" s="210"/>
      <c r="NPP24" s="210"/>
      <c r="NPQ24" s="210"/>
      <c r="NPR24" s="210"/>
      <c r="NPS24" s="210"/>
      <c r="NPT24" s="210"/>
      <c r="NPU24" s="210"/>
      <c r="NPV24" s="210"/>
      <c r="NPW24" s="210"/>
      <c r="NPX24" s="210"/>
      <c r="NPY24" s="210"/>
      <c r="NPZ24" s="210"/>
      <c r="NQA24" s="210"/>
      <c r="NQB24" s="210"/>
      <c r="NQC24" s="210"/>
      <c r="NQD24" s="210"/>
      <c r="NQE24" s="210"/>
      <c r="NQF24" s="210"/>
      <c r="NQG24" s="210"/>
      <c r="NQH24" s="210"/>
      <c r="NQI24" s="210"/>
      <c r="NQJ24" s="210"/>
      <c r="NQK24" s="210"/>
      <c r="NQL24" s="210"/>
      <c r="NQM24" s="210"/>
      <c r="NQN24" s="210"/>
      <c r="NQO24" s="210"/>
      <c r="NQP24" s="210"/>
      <c r="NQQ24" s="210"/>
      <c r="NQR24" s="210"/>
      <c r="NQS24" s="210"/>
      <c r="NQT24" s="210"/>
      <c r="NQU24" s="210"/>
      <c r="NQV24" s="210"/>
      <c r="NQW24" s="210"/>
      <c r="NQX24" s="210"/>
      <c r="NQY24" s="210"/>
      <c r="NQZ24" s="210"/>
      <c r="NRA24" s="210"/>
      <c r="NRB24" s="210"/>
      <c r="NRC24" s="210"/>
      <c r="NRD24" s="210"/>
      <c r="NRE24" s="210"/>
      <c r="NRF24" s="210"/>
      <c r="NRG24" s="210"/>
      <c r="NRH24" s="210"/>
      <c r="NRI24" s="210"/>
      <c r="NRJ24" s="210"/>
      <c r="NRK24" s="210"/>
      <c r="NRL24" s="210"/>
      <c r="NRM24" s="210"/>
      <c r="NRN24" s="210"/>
      <c r="NRO24" s="210"/>
      <c r="NRP24" s="210"/>
      <c r="NRQ24" s="210"/>
      <c r="NRR24" s="210"/>
      <c r="NRS24" s="210"/>
      <c r="NRT24" s="210"/>
      <c r="NRU24" s="210"/>
      <c r="NRV24" s="210"/>
      <c r="NRW24" s="210"/>
      <c r="NRX24" s="210"/>
      <c r="NRY24" s="210"/>
      <c r="NRZ24" s="210"/>
      <c r="NSA24" s="210"/>
      <c r="NSB24" s="210"/>
      <c r="NSC24" s="210"/>
      <c r="NSD24" s="210"/>
      <c r="NSE24" s="210"/>
      <c r="NSF24" s="210"/>
      <c r="NSG24" s="210"/>
      <c r="NSH24" s="210"/>
      <c r="NSI24" s="210"/>
      <c r="NSJ24" s="210"/>
      <c r="NSK24" s="210"/>
      <c r="NSL24" s="210"/>
      <c r="NSM24" s="210"/>
      <c r="NSN24" s="210"/>
      <c r="NSO24" s="210"/>
      <c r="NSP24" s="210"/>
      <c r="NSQ24" s="210"/>
      <c r="NSR24" s="210"/>
      <c r="NSS24" s="210"/>
      <c r="NST24" s="210"/>
      <c r="NSU24" s="210"/>
      <c r="NSV24" s="210"/>
      <c r="NSW24" s="210"/>
      <c r="NSX24" s="210"/>
      <c r="NSY24" s="210"/>
      <c r="NSZ24" s="210"/>
      <c r="NTA24" s="210"/>
      <c r="NTB24" s="210"/>
      <c r="NTC24" s="210"/>
      <c r="NTD24" s="210"/>
      <c r="NTE24" s="210"/>
      <c r="NTF24" s="210"/>
      <c r="NTG24" s="210"/>
      <c r="NTH24" s="210"/>
      <c r="NTI24" s="210"/>
      <c r="NTJ24" s="210"/>
      <c r="NTK24" s="210"/>
      <c r="NTL24" s="210"/>
      <c r="NTM24" s="210"/>
      <c r="NTN24" s="210"/>
      <c r="NTO24" s="210"/>
      <c r="NTP24" s="210"/>
      <c r="NTQ24" s="210"/>
      <c r="NTR24" s="210"/>
      <c r="NTS24" s="210"/>
      <c r="NTT24" s="210"/>
      <c r="NTU24" s="210"/>
      <c r="NTV24" s="210"/>
      <c r="NTW24" s="210"/>
      <c r="NTX24" s="210"/>
      <c r="NTY24" s="210"/>
      <c r="NTZ24" s="210"/>
      <c r="NUA24" s="210"/>
      <c r="NUB24" s="210"/>
      <c r="NUC24" s="210"/>
      <c r="NUD24" s="210"/>
      <c r="NUE24" s="210"/>
      <c r="NUF24" s="210"/>
      <c r="NUG24" s="210"/>
      <c r="NUH24" s="210"/>
      <c r="NUI24" s="210"/>
      <c r="NUJ24" s="210"/>
      <c r="NUK24" s="210"/>
      <c r="NUL24" s="210"/>
      <c r="NUM24" s="210"/>
      <c r="NUN24" s="210"/>
      <c r="NUO24" s="210"/>
      <c r="NUP24" s="210"/>
      <c r="NUQ24" s="210"/>
      <c r="NUR24" s="210"/>
      <c r="NUS24" s="210"/>
      <c r="NUT24" s="210"/>
      <c r="NUU24" s="210"/>
      <c r="NUV24" s="210"/>
      <c r="NUW24" s="210"/>
      <c r="NUX24" s="210"/>
      <c r="NUY24" s="210"/>
      <c r="NUZ24" s="210"/>
      <c r="NVA24" s="210"/>
      <c r="NVB24" s="210"/>
      <c r="NVC24" s="210"/>
      <c r="NVD24" s="210"/>
      <c r="NVE24" s="210"/>
      <c r="NVF24" s="210"/>
      <c r="NVG24" s="210"/>
      <c r="NVH24" s="210"/>
      <c r="NVI24" s="210"/>
      <c r="NVJ24" s="210"/>
      <c r="NVK24" s="210"/>
      <c r="NVL24" s="210"/>
      <c r="NVM24" s="210"/>
      <c r="NVN24" s="210"/>
      <c r="NVO24" s="210"/>
      <c r="NVP24" s="210"/>
      <c r="NVQ24" s="210"/>
      <c r="NVR24" s="210"/>
      <c r="NVS24" s="210"/>
      <c r="NVT24" s="210"/>
      <c r="NVU24" s="210"/>
      <c r="NVV24" s="210"/>
      <c r="NVW24" s="210"/>
      <c r="NVX24" s="210"/>
      <c r="NVY24" s="210"/>
      <c r="NVZ24" s="210"/>
      <c r="NWA24" s="210"/>
      <c r="NWB24" s="210"/>
      <c r="NWC24" s="210"/>
      <c r="NWD24" s="210"/>
      <c r="NWE24" s="210"/>
      <c r="NWF24" s="210"/>
      <c r="NWG24" s="210"/>
      <c r="NWH24" s="210"/>
      <c r="NWI24" s="210"/>
      <c r="NWJ24" s="210"/>
      <c r="NWK24" s="210"/>
      <c r="NWL24" s="210"/>
      <c r="NWM24" s="210"/>
      <c r="NWN24" s="210"/>
      <c r="NWO24" s="210"/>
      <c r="NWP24" s="210"/>
      <c r="NWQ24" s="210"/>
      <c r="NWR24" s="210"/>
      <c r="NWS24" s="210"/>
      <c r="NWT24" s="210"/>
      <c r="NWU24" s="210"/>
      <c r="NWV24" s="210"/>
      <c r="NWW24" s="210"/>
      <c r="NWX24" s="210"/>
      <c r="NWY24" s="210"/>
      <c r="NWZ24" s="210"/>
      <c r="NXA24" s="210"/>
      <c r="NXB24" s="210"/>
      <c r="NXC24" s="210"/>
      <c r="NXD24" s="210"/>
      <c r="NXE24" s="210"/>
      <c r="NXF24" s="210"/>
      <c r="NXG24" s="210"/>
      <c r="NXH24" s="210"/>
      <c r="NXI24" s="210"/>
      <c r="NXJ24" s="210"/>
      <c r="NXK24" s="210"/>
      <c r="NXL24" s="210"/>
      <c r="NXM24" s="210"/>
      <c r="NXN24" s="210"/>
      <c r="NXO24" s="210"/>
      <c r="NXP24" s="210"/>
      <c r="NXQ24" s="210"/>
      <c r="NXR24" s="210"/>
      <c r="NXS24" s="210"/>
      <c r="NXT24" s="210"/>
      <c r="NXU24" s="210"/>
      <c r="NXV24" s="210"/>
      <c r="NXW24" s="210"/>
      <c r="NXX24" s="210"/>
      <c r="NXY24" s="210"/>
      <c r="NXZ24" s="210"/>
      <c r="NYA24" s="210"/>
      <c r="NYB24" s="210"/>
      <c r="NYC24" s="210"/>
      <c r="NYD24" s="210"/>
      <c r="NYE24" s="210"/>
      <c r="NYF24" s="210"/>
      <c r="NYG24" s="210"/>
      <c r="NYH24" s="210"/>
      <c r="NYI24" s="210"/>
      <c r="NYJ24" s="210"/>
      <c r="NYK24" s="210"/>
      <c r="NYL24" s="210"/>
      <c r="NYM24" s="210"/>
      <c r="NYN24" s="210"/>
      <c r="NYO24" s="210"/>
      <c r="NYP24" s="210"/>
      <c r="NYQ24" s="210"/>
      <c r="NYR24" s="210"/>
      <c r="NYS24" s="210"/>
      <c r="NYT24" s="210"/>
      <c r="NYU24" s="210"/>
      <c r="NYV24" s="210"/>
      <c r="NYW24" s="210"/>
      <c r="NYX24" s="210"/>
      <c r="NYY24" s="210"/>
      <c r="NYZ24" s="210"/>
      <c r="NZA24" s="210"/>
      <c r="NZB24" s="210"/>
      <c r="NZC24" s="210"/>
      <c r="NZD24" s="210"/>
      <c r="NZE24" s="210"/>
      <c r="NZF24" s="210"/>
      <c r="NZG24" s="210"/>
      <c r="NZH24" s="210"/>
      <c r="NZI24" s="210"/>
      <c r="NZJ24" s="210"/>
      <c r="NZK24" s="210"/>
      <c r="NZL24" s="210"/>
      <c r="NZM24" s="210"/>
      <c r="NZN24" s="210"/>
      <c r="NZO24" s="210"/>
      <c r="NZP24" s="210"/>
      <c r="NZQ24" s="210"/>
      <c r="NZR24" s="210"/>
      <c r="NZS24" s="210"/>
      <c r="NZT24" s="210"/>
      <c r="NZU24" s="210"/>
      <c r="NZV24" s="210"/>
      <c r="NZW24" s="210"/>
      <c r="NZX24" s="210"/>
      <c r="NZY24" s="210"/>
      <c r="NZZ24" s="210"/>
      <c r="OAA24" s="210"/>
      <c r="OAB24" s="210"/>
      <c r="OAC24" s="210"/>
      <c r="OAD24" s="210"/>
      <c r="OAE24" s="210"/>
      <c r="OAF24" s="210"/>
      <c r="OAG24" s="210"/>
      <c r="OAH24" s="210"/>
      <c r="OAI24" s="210"/>
      <c r="OAJ24" s="210"/>
      <c r="OAK24" s="210"/>
      <c r="OAL24" s="210"/>
      <c r="OAM24" s="210"/>
      <c r="OAN24" s="210"/>
      <c r="OAO24" s="210"/>
      <c r="OAP24" s="210"/>
      <c r="OAQ24" s="210"/>
      <c r="OAR24" s="210"/>
      <c r="OAS24" s="210"/>
      <c r="OAT24" s="210"/>
      <c r="OAU24" s="210"/>
      <c r="OAV24" s="210"/>
      <c r="OAW24" s="210"/>
      <c r="OAX24" s="210"/>
      <c r="OAY24" s="210"/>
      <c r="OAZ24" s="210"/>
      <c r="OBA24" s="210"/>
      <c r="OBB24" s="210"/>
      <c r="OBC24" s="210"/>
      <c r="OBD24" s="210"/>
      <c r="OBE24" s="210"/>
      <c r="OBF24" s="210"/>
      <c r="OBG24" s="210"/>
      <c r="OBH24" s="210"/>
      <c r="OBI24" s="210"/>
      <c r="OBJ24" s="210"/>
      <c r="OBK24" s="210"/>
      <c r="OBL24" s="210"/>
      <c r="OBM24" s="210"/>
      <c r="OBN24" s="210"/>
      <c r="OBO24" s="210"/>
      <c r="OBP24" s="210"/>
      <c r="OBQ24" s="210"/>
      <c r="OBR24" s="210"/>
      <c r="OBS24" s="210"/>
      <c r="OBT24" s="210"/>
      <c r="OBU24" s="210"/>
      <c r="OBV24" s="210"/>
      <c r="OBW24" s="210"/>
      <c r="OBX24" s="210"/>
      <c r="OBY24" s="210"/>
      <c r="OBZ24" s="210"/>
      <c r="OCA24" s="210"/>
      <c r="OCB24" s="210"/>
      <c r="OCC24" s="210"/>
      <c r="OCD24" s="210"/>
      <c r="OCE24" s="210"/>
      <c r="OCF24" s="210"/>
      <c r="OCG24" s="210"/>
      <c r="OCH24" s="210"/>
      <c r="OCI24" s="210"/>
      <c r="OCJ24" s="210"/>
      <c r="OCK24" s="210"/>
      <c r="OCL24" s="210"/>
      <c r="OCM24" s="210"/>
      <c r="OCN24" s="210"/>
      <c r="OCO24" s="210"/>
      <c r="OCP24" s="210"/>
      <c r="OCQ24" s="210"/>
      <c r="OCR24" s="210"/>
      <c r="OCS24" s="210"/>
      <c r="OCT24" s="210"/>
      <c r="OCU24" s="210"/>
      <c r="OCV24" s="210"/>
      <c r="OCW24" s="210"/>
      <c r="OCX24" s="210"/>
      <c r="OCY24" s="210"/>
      <c r="OCZ24" s="210"/>
      <c r="ODA24" s="210"/>
      <c r="ODB24" s="210"/>
      <c r="ODC24" s="210"/>
      <c r="ODD24" s="210"/>
      <c r="ODE24" s="210"/>
      <c r="ODF24" s="210"/>
      <c r="ODG24" s="210"/>
      <c r="ODH24" s="210"/>
      <c r="ODI24" s="210"/>
      <c r="ODJ24" s="210"/>
      <c r="ODK24" s="210"/>
      <c r="ODL24" s="210"/>
      <c r="ODM24" s="210"/>
      <c r="ODN24" s="210"/>
      <c r="ODO24" s="210"/>
      <c r="ODP24" s="210"/>
      <c r="ODQ24" s="210"/>
      <c r="ODR24" s="210"/>
      <c r="ODS24" s="210"/>
      <c r="ODT24" s="210"/>
      <c r="ODU24" s="210"/>
      <c r="ODV24" s="210"/>
      <c r="ODW24" s="210"/>
      <c r="ODX24" s="210"/>
      <c r="ODY24" s="210"/>
      <c r="ODZ24" s="210"/>
      <c r="OEA24" s="210"/>
      <c r="OEB24" s="210"/>
      <c r="OEC24" s="210"/>
      <c r="OED24" s="210"/>
      <c r="OEE24" s="210"/>
      <c r="OEF24" s="210"/>
      <c r="OEG24" s="210"/>
      <c r="OEH24" s="210"/>
      <c r="OEI24" s="210"/>
      <c r="OEJ24" s="210"/>
      <c r="OEK24" s="210"/>
      <c r="OEL24" s="210"/>
      <c r="OEM24" s="210"/>
      <c r="OEN24" s="210"/>
      <c r="OEO24" s="210"/>
      <c r="OEP24" s="210"/>
      <c r="OEQ24" s="210"/>
      <c r="OER24" s="210"/>
      <c r="OES24" s="210"/>
      <c r="OET24" s="210"/>
      <c r="OEU24" s="210"/>
      <c r="OEV24" s="210"/>
      <c r="OEW24" s="210"/>
      <c r="OEX24" s="210"/>
      <c r="OEY24" s="210"/>
      <c r="OEZ24" s="210"/>
      <c r="OFA24" s="210"/>
      <c r="OFB24" s="210"/>
      <c r="OFC24" s="210"/>
      <c r="OFD24" s="210"/>
      <c r="OFE24" s="210"/>
      <c r="OFF24" s="210"/>
      <c r="OFG24" s="210"/>
      <c r="OFH24" s="210"/>
      <c r="OFI24" s="210"/>
      <c r="OFJ24" s="210"/>
      <c r="OFK24" s="210"/>
      <c r="OFL24" s="210"/>
      <c r="OFM24" s="210"/>
      <c r="OFN24" s="210"/>
      <c r="OFO24" s="210"/>
      <c r="OFP24" s="210"/>
      <c r="OFQ24" s="210"/>
      <c r="OFR24" s="210"/>
      <c r="OFS24" s="210"/>
      <c r="OFT24" s="210"/>
      <c r="OFU24" s="210"/>
      <c r="OFV24" s="210"/>
      <c r="OFW24" s="210"/>
      <c r="OFX24" s="210"/>
      <c r="OFY24" s="210"/>
      <c r="OFZ24" s="210"/>
      <c r="OGA24" s="210"/>
      <c r="OGB24" s="210"/>
      <c r="OGC24" s="210"/>
      <c r="OGD24" s="210"/>
      <c r="OGE24" s="210"/>
      <c r="OGF24" s="210"/>
      <c r="OGG24" s="210"/>
      <c r="OGH24" s="210"/>
      <c r="OGI24" s="210"/>
      <c r="OGJ24" s="210"/>
      <c r="OGK24" s="210"/>
      <c r="OGL24" s="210"/>
      <c r="OGM24" s="210"/>
      <c r="OGN24" s="210"/>
      <c r="OGO24" s="210"/>
      <c r="OGP24" s="210"/>
      <c r="OGQ24" s="210"/>
      <c r="OGR24" s="210"/>
      <c r="OGS24" s="210"/>
      <c r="OGT24" s="210"/>
      <c r="OGU24" s="210"/>
      <c r="OGV24" s="210"/>
      <c r="OGW24" s="210"/>
      <c r="OGX24" s="210"/>
      <c r="OGY24" s="210"/>
      <c r="OGZ24" s="210"/>
      <c r="OHA24" s="210"/>
      <c r="OHB24" s="210"/>
      <c r="OHC24" s="210"/>
      <c r="OHD24" s="210"/>
      <c r="OHE24" s="210"/>
      <c r="OHF24" s="210"/>
      <c r="OHG24" s="210"/>
      <c r="OHH24" s="210"/>
      <c r="OHI24" s="210"/>
      <c r="OHJ24" s="210"/>
      <c r="OHK24" s="210"/>
      <c r="OHL24" s="210"/>
      <c r="OHM24" s="210"/>
      <c r="OHN24" s="210"/>
      <c r="OHO24" s="210"/>
      <c r="OHP24" s="210"/>
      <c r="OHQ24" s="210"/>
      <c r="OHR24" s="210"/>
      <c r="OHS24" s="210"/>
      <c r="OHT24" s="210"/>
      <c r="OHU24" s="210"/>
      <c r="OHV24" s="210"/>
      <c r="OHW24" s="210"/>
      <c r="OHX24" s="210"/>
      <c r="OHY24" s="210"/>
      <c r="OHZ24" s="210"/>
      <c r="OIA24" s="210"/>
      <c r="OIB24" s="210"/>
      <c r="OIC24" s="210"/>
      <c r="OID24" s="210"/>
      <c r="OIE24" s="210"/>
      <c r="OIF24" s="210"/>
      <c r="OIG24" s="210"/>
      <c r="OIH24" s="210"/>
      <c r="OII24" s="210"/>
      <c r="OIJ24" s="210"/>
      <c r="OIK24" s="210"/>
      <c r="OIL24" s="210"/>
      <c r="OIM24" s="210"/>
      <c r="OIN24" s="210"/>
      <c r="OIO24" s="210"/>
      <c r="OIP24" s="210"/>
      <c r="OIQ24" s="210"/>
      <c r="OIR24" s="210"/>
      <c r="OIS24" s="210"/>
      <c r="OIT24" s="210"/>
      <c r="OIU24" s="210"/>
      <c r="OIV24" s="210"/>
      <c r="OIW24" s="210"/>
      <c r="OIX24" s="210"/>
      <c r="OIY24" s="210"/>
      <c r="OIZ24" s="210"/>
      <c r="OJA24" s="210"/>
      <c r="OJB24" s="210"/>
      <c r="OJC24" s="210"/>
      <c r="OJD24" s="210"/>
      <c r="OJE24" s="210"/>
      <c r="OJF24" s="210"/>
      <c r="OJG24" s="210"/>
      <c r="OJH24" s="210"/>
      <c r="OJI24" s="210"/>
      <c r="OJJ24" s="210"/>
      <c r="OJK24" s="210"/>
      <c r="OJL24" s="210"/>
      <c r="OJM24" s="210"/>
      <c r="OJN24" s="210"/>
      <c r="OJO24" s="210"/>
      <c r="OJP24" s="210"/>
      <c r="OJQ24" s="210"/>
      <c r="OJR24" s="210"/>
      <c r="OJS24" s="210"/>
      <c r="OJT24" s="210"/>
      <c r="OJU24" s="210"/>
      <c r="OJV24" s="210"/>
      <c r="OJW24" s="210"/>
      <c r="OJX24" s="210"/>
      <c r="OJY24" s="210"/>
      <c r="OJZ24" s="210"/>
      <c r="OKA24" s="210"/>
      <c r="OKB24" s="210"/>
      <c r="OKC24" s="210"/>
      <c r="OKD24" s="210"/>
      <c r="OKE24" s="210"/>
      <c r="OKF24" s="210"/>
      <c r="OKG24" s="210"/>
      <c r="OKH24" s="210"/>
      <c r="OKI24" s="210"/>
      <c r="OKJ24" s="210"/>
      <c r="OKK24" s="210"/>
      <c r="OKL24" s="210"/>
      <c r="OKM24" s="210"/>
      <c r="OKN24" s="210"/>
      <c r="OKO24" s="210"/>
      <c r="OKP24" s="210"/>
      <c r="OKQ24" s="210"/>
      <c r="OKR24" s="210"/>
      <c r="OKS24" s="210"/>
      <c r="OKT24" s="210"/>
      <c r="OKU24" s="210"/>
      <c r="OKV24" s="210"/>
      <c r="OKW24" s="210"/>
      <c r="OKX24" s="210"/>
      <c r="OKY24" s="210"/>
      <c r="OKZ24" s="210"/>
      <c r="OLA24" s="210"/>
      <c r="OLB24" s="210"/>
      <c r="OLC24" s="210"/>
      <c r="OLD24" s="210"/>
      <c r="OLE24" s="210"/>
      <c r="OLF24" s="210"/>
      <c r="OLG24" s="210"/>
      <c r="OLH24" s="210"/>
      <c r="OLI24" s="210"/>
      <c r="OLJ24" s="210"/>
      <c r="OLK24" s="210"/>
      <c r="OLL24" s="210"/>
      <c r="OLM24" s="210"/>
      <c r="OLN24" s="210"/>
      <c r="OLO24" s="210"/>
      <c r="OLP24" s="210"/>
      <c r="OLQ24" s="210"/>
      <c r="OLR24" s="210"/>
      <c r="OLS24" s="210"/>
      <c r="OLT24" s="210"/>
      <c r="OLU24" s="210"/>
      <c r="OLV24" s="210"/>
      <c r="OLW24" s="210"/>
      <c r="OLX24" s="210"/>
      <c r="OLY24" s="210"/>
      <c r="OLZ24" s="210"/>
      <c r="OMA24" s="210"/>
      <c r="OMB24" s="210"/>
      <c r="OMC24" s="210"/>
      <c r="OMD24" s="210"/>
      <c r="OME24" s="210"/>
      <c r="OMF24" s="210"/>
      <c r="OMG24" s="210"/>
      <c r="OMH24" s="210"/>
      <c r="OMI24" s="210"/>
      <c r="OMJ24" s="210"/>
      <c r="OMK24" s="210"/>
      <c r="OML24" s="210"/>
      <c r="OMM24" s="210"/>
      <c r="OMN24" s="210"/>
      <c r="OMO24" s="210"/>
      <c r="OMP24" s="210"/>
      <c r="OMQ24" s="210"/>
      <c r="OMR24" s="210"/>
      <c r="OMS24" s="210"/>
      <c r="OMT24" s="210"/>
      <c r="OMU24" s="210"/>
      <c r="OMV24" s="210"/>
      <c r="OMW24" s="210"/>
      <c r="OMX24" s="210"/>
      <c r="OMY24" s="210"/>
      <c r="OMZ24" s="210"/>
      <c r="ONA24" s="210"/>
      <c r="ONB24" s="210"/>
      <c r="ONC24" s="210"/>
      <c r="OND24" s="210"/>
      <c r="ONE24" s="210"/>
      <c r="ONF24" s="210"/>
      <c r="ONG24" s="210"/>
      <c r="ONH24" s="210"/>
      <c r="ONI24" s="210"/>
      <c r="ONJ24" s="210"/>
      <c r="ONK24" s="210"/>
      <c r="ONL24" s="210"/>
      <c r="ONM24" s="210"/>
      <c r="ONN24" s="210"/>
      <c r="ONO24" s="210"/>
      <c r="ONP24" s="210"/>
      <c r="ONQ24" s="210"/>
      <c r="ONR24" s="210"/>
      <c r="ONS24" s="210"/>
      <c r="ONT24" s="210"/>
      <c r="ONU24" s="210"/>
      <c r="ONV24" s="210"/>
      <c r="ONW24" s="210"/>
      <c r="ONX24" s="210"/>
      <c r="ONY24" s="210"/>
      <c r="ONZ24" s="210"/>
      <c r="OOA24" s="210"/>
      <c r="OOB24" s="210"/>
      <c r="OOC24" s="210"/>
      <c r="OOD24" s="210"/>
      <c r="OOE24" s="210"/>
      <c r="OOF24" s="210"/>
      <c r="OOG24" s="210"/>
      <c r="OOH24" s="210"/>
      <c r="OOI24" s="210"/>
      <c r="OOJ24" s="210"/>
      <c r="OOK24" s="210"/>
      <c r="OOL24" s="210"/>
      <c r="OOM24" s="210"/>
      <c r="OON24" s="210"/>
      <c r="OOO24" s="210"/>
      <c r="OOP24" s="210"/>
      <c r="OOQ24" s="210"/>
      <c r="OOR24" s="210"/>
      <c r="OOS24" s="210"/>
      <c r="OOT24" s="210"/>
      <c r="OOU24" s="210"/>
      <c r="OOV24" s="210"/>
      <c r="OOW24" s="210"/>
      <c r="OOX24" s="210"/>
      <c r="OOY24" s="210"/>
      <c r="OOZ24" s="210"/>
      <c r="OPA24" s="210"/>
      <c r="OPB24" s="210"/>
      <c r="OPC24" s="210"/>
      <c r="OPD24" s="210"/>
      <c r="OPE24" s="210"/>
      <c r="OPF24" s="210"/>
      <c r="OPG24" s="210"/>
      <c r="OPH24" s="210"/>
      <c r="OPI24" s="210"/>
      <c r="OPJ24" s="210"/>
      <c r="OPK24" s="210"/>
      <c r="OPL24" s="210"/>
      <c r="OPM24" s="210"/>
      <c r="OPN24" s="210"/>
      <c r="OPO24" s="210"/>
      <c r="OPP24" s="210"/>
      <c r="OPQ24" s="210"/>
      <c r="OPR24" s="210"/>
      <c r="OPS24" s="210"/>
      <c r="OPT24" s="210"/>
      <c r="OPU24" s="210"/>
      <c r="OPV24" s="210"/>
      <c r="OPW24" s="210"/>
      <c r="OPX24" s="210"/>
      <c r="OPY24" s="210"/>
      <c r="OPZ24" s="210"/>
      <c r="OQA24" s="210"/>
      <c r="OQB24" s="210"/>
      <c r="OQC24" s="210"/>
      <c r="OQD24" s="210"/>
      <c r="OQE24" s="210"/>
      <c r="OQF24" s="210"/>
      <c r="OQG24" s="210"/>
      <c r="OQH24" s="210"/>
      <c r="OQI24" s="210"/>
      <c r="OQJ24" s="210"/>
      <c r="OQK24" s="210"/>
      <c r="OQL24" s="210"/>
      <c r="OQM24" s="210"/>
      <c r="OQN24" s="210"/>
      <c r="OQO24" s="210"/>
      <c r="OQP24" s="210"/>
      <c r="OQQ24" s="210"/>
      <c r="OQR24" s="210"/>
      <c r="OQS24" s="210"/>
      <c r="OQT24" s="210"/>
      <c r="OQU24" s="210"/>
      <c r="OQV24" s="210"/>
      <c r="OQW24" s="210"/>
      <c r="OQX24" s="210"/>
      <c r="OQY24" s="210"/>
      <c r="OQZ24" s="210"/>
      <c r="ORA24" s="210"/>
      <c r="ORB24" s="210"/>
      <c r="ORC24" s="210"/>
      <c r="ORD24" s="210"/>
      <c r="ORE24" s="210"/>
      <c r="ORF24" s="210"/>
      <c r="ORG24" s="210"/>
      <c r="ORH24" s="210"/>
      <c r="ORI24" s="210"/>
      <c r="ORJ24" s="210"/>
      <c r="ORK24" s="210"/>
      <c r="ORL24" s="210"/>
      <c r="ORM24" s="210"/>
      <c r="ORN24" s="210"/>
      <c r="ORO24" s="210"/>
      <c r="ORP24" s="210"/>
      <c r="ORQ24" s="210"/>
      <c r="ORR24" s="210"/>
      <c r="ORS24" s="210"/>
      <c r="ORT24" s="210"/>
      <c r="ORU24" s="210"/>
      <c r="ORV24" s="210"/>
      <c r="ORW24" s="210"/>
      <c r="ORX24" s="210"/>
      <c r="ORY24" s="210"/>
      <c r="ORZ24" s="210"/>
      <c r="OSA24" s="210"/>
      <c r="OSB24" s="210"/>
      <c r="OSC24" s="210"/>
      <c r="OSD24" s="210"/>
      <c r="OSE24" s="210"/>
      <c r="OSF24" s="210"/>
      <c r="OSG24" s="210"/>
      <c r="OSH24" s="210"/>
      <c r="OSI24" s="210"/>
      <c r="OSJ24" s="210"/>
      <c r="OSK24" s="210"/>
      <c r="OSL24" s="210"/>
      <c r="OSM24" s="210"/>
      <c r="OSN24" s="210"/>
      <c r="OSO24" s="210"/>
      <c r="OSP24" s="210"/>
      <c r="OSQ24" s="210"/>
      <c r="OSR24" s="210"/>
      <c r="OSS24" s="210"/>
      <c r="OST24" s="210"/>
      <c r="OSU24" s="210"/>
      <c r="OSV24" s="210"/>
      <c r="OSW24" s="210"/>
      <c r="OSX24" s="210"/>
      <c r="OSY24" s="210"/>
      <c r="OSZ24" s="210"/>
      <c r="OTA24" s="210"/>
      <c r="OTB24" s="210"/>
      <c r="OTC24" s="210"/>
      <c r="OTD24" s="210"/>
      <c r="OTE24" s="210"/>
      <c r="OTF24" s="210"/>
      <c r="OTG24" s="210"/>
      <c r="OTH24" s="210"/>
      <c r="OTI24" s="210"/>
      <c r="OTJ24" s="210"/>
      <c r="OTK24" s="210"/>
      <c r="OTL24" s="210"/>
      <c r="OTM24" s="210"/>
      <c r="OTN24" s="210"/>
      <c r="OTO24" s="210"/>
      <c r="OTP24" s="210"/>
      <c r="OTQ24" s="210"/>
      <c r="OTR24" s="210"/>
      <c r="OTS24" s="210"/>
      <c r="OTT24" s="210"/>
      <c r="OTU24" s="210"/>
      <c r="OTV24" s="210"/>
      <c r="OTW24" s="210"/>
      <c r="OTX24" s="210"/>
      <c r="OTY24" s="210"/>
      <c r="OTZ24" s="210"/>
      <c r="OUA24" s="210"/>
      <c r="OUB24" s="210"/>
      <c r="OUC24" s="210"/>
      <c r="OUD24" s="210"/>
      <c r="OUE24" s="210"/>
      <c r="OUF24" s="210"/>
      <c r="OUG24" s="210"/>
      <c r="OUH24" s="210"/>
      <c r="OUI24" s="210"/>
      <c r="OUJ24" s="210"/>
      <c r="OUK24" s="210"/>
      <c r="OUL24" s="210"/>
      <c r="OUM24" s="210"/>
      <c r="OUN24" s="210"/>
      <c r="OUO24" s="210"/>
      <c r="OUP24" s="210"/>
      <c r="OUQ24" s="210"/>
      <c r="OUR24" s="210"/>
      <c r="OUS24" s="210"/>
      <c r="OUT24" s="210"/>
      <c r="OUU24" s="210"/>
      <c r="OUV24" s="210"/>
      <c r="OUW24" s="210"/>
      <c r="OUX24" s="210"/>
      <c r="OUY24" s="210"/>
      <c r="OUZ24" s="210"/>
      <c r="OVA24" s="210"/>
      <c r="OVB24" s="210"/>
      <c r="OVC24" s="210"/>
      <c r="OVD24" s="210"/>
      <c r="OVE24" s="210"/>
      <c r="OVF24" s="210"/>
      <c r="OVG24" s="210"/>
      <c r="OVH24" s="210"/>
      <c r="OVI24" s="210"/>
      <c r="OVJ24" s="210"/>
      <c r="OVK24" s="210"/>
      <c r="OVL24" s="210"/>
      <c r="OVM24" s="210"/>
      <c r="OVN24" s="210"/>
      <c r="OVO24" s="210"/>
      <c r="OVP24" s="210"/>
      <c r="OVQ24" s="210"/>
      <c r="OVR24" s="210"/>
      <c r="OVS24" s="210"/>
      <c r="OVT24" s="210"/>
      <c r="OVU24" s="210"/>
      <c r="OVV24" s="210"/>
      <c r="OVW24" s="210"/>
      <c r="OVX24" s="210"/>
      <c r="OVY24" s="210"/>
      <c r="OVZ24" s="210"/>
      <c r="OWA24" s="210"/>
      <c r="OWB24" s="210"/>
      <c r="OWC24" s="210"/>
      <c r="OWD24" s="210"/>
      <c r="OWE24" s="210"/>
      <c r="OWF24" s="210"/>
      <c r="OWG24" s="210"/>
      <c r="OWH24" s="210"/>
      <c r="OWI24" s="210"/>
      <c r="OWJ24" s="210"/>
      <c r="OWK24" s="210"/>
      <c r="OWL24" s="210"/>
      <c r="OWM24" s="210"/>
      <c r="OWN24" s="210"/>
      <c r="OWO24" s="210"/>
      <c r="OWP24" s="210"/>
      <c r="OWQ24" s="210"/>
      <c r="OWR24" s="210"/>
      <c r="OWS24" s="210"/>
      <c r="OWT24" s="210"/>
      <c r="OWU24" s="210"/>
      <c r="OWV24" s="210"/>
      <c r="OWW24" s="210"/>
      <c r="OWX24" s="210"/>
      <c r="OWY24" s="210"/>
      <c r="OWZ24" s="210"/>
      <c r="OXA24" s="210"/>
      <c r="OXB24" s="210"/>
      <c r="OXC24" s="210"/>
      <c r="OXD24" s="210"/>
      <c r="OXE24" s="210"/>
      <c r="OXF24" s="210"/>
      <c r="OXG24" s="210"/>
      <c r="OXH24" s="210"/>
      <c r="OXI24" s="210"/>
      <c r="OXJ24" s="210"/>
      <c r="OXK24" s="210"/>
      <c r="OXL24" s="210"/>
      <c r="OXM24" s="210"/>
      <c r="OXN24" s="210"/>
      <c r="OXO24" s="210"/>
      <c r="OXP24" s="210"/>
      <c r="OXQ24" s="210"/>
      <c r="OXR24" s="210"/>
      <c r="OXS24" s="210"/>
      <c r="OXT24" s="210"/>
      <c r="OXU24" s="210"/>
      <c r="OXV24" s="210"/>
      <c r="OXW24" s="210"/>
      <c r="OXX24" s="210"/>
      <c r="OXY24" s="210"/>
      <c r="OXZ24" s="210"/>
      <c r="OYA24" s="210"/>
      <c r="OYB24" s="210"/>
      <c r="OYC24" s="210"/>
      <c r="OYD24" s="210"/>
      <c r="OYE24" s="210"/>
      <c r="OYF24" s="210"/>
      <c r="OYG24" s="210"/>
      <c r="OYH24" s="210"/>
      <c r="OYI24" s="210"/>
      <c r="OYJ24" s="210"/>
      <c r="OYK24" s="210"/>
      <c r="OYL24" s="210"/>
      <c r="OYM24" s="210"/>
      <c r="OYN24" s="210"/>
      <c r="OYO24" s="210"/>
      <c r="OYP24" s="210"/>
      <c r="OYQ24" s="210"/>
      <c r="OYR24" s="210"/>
      <c r="OYS24" s="210"/>
      <c r="OYT24" s="210"/>
      <c r="OYU24" s="210"/>
      <c r="OYV24" s="210"/>
      <c r="OYW24" s="210"/>
      <c r="OYX24" s="210"/>
      <c r="OYY24" s="210"/>
      <c r="OYZ24" s="210"/>
      <c r="OZA24" s="210"/>
      <c r="OZB24" s="210"/>
      <c r="OZC24" s="210"/>
      <c r="OZD24" s="210"/>
      <c r="OZE24" s="210"/>
      <c r="OZF24" s="210"/>
      <c r="OZG24" s="210"/>
      <c r="OZH24" s="210"/>
      <c r="OZI24" s="210"/>
      <c r="OZJ24" s="210"/>
      <c r="OZK24" s="210"/>
      <c r="OZL24" s="210"/>
      <c r="OZM24" s="210"/>
      <c r="OZN24" s="210"/>
      <c r="OZO24" s="210"/>
      <c r="OZP24" s="210"/>
      <c r="OZQ24" s="210"/>
      <c r="OZR24" s="210"/>
      <c r="OZS24" s="210"/>
      <c r="OZT24" s="210"/>
      <c r="OZU24" s="210"/>
      <c r="OZV24" s="210"/>
      <c r="OZW24" s="210"/>
      <c r="OZX24" s="210"/>
      <c r="OZY24" s="210"/>
      <c r="OZZ24" s="210"/>
      <c r="PAA24" s="210"/>
      <c r="PAB24" s="210"/>
      <c r="PAC24" s="210"/>
      <c r="PAD24" s="210"/>
      <c r="PAE24" s="210"/>
      <c r="PAF24" s="210"/>
      <c r="PAG24" s="210"/>
      <c r="PAH24" s="210"/>
      <c r="PAI24" s="210"/>
      <c r="PAJ24" s="210"/>
      <c r="PAK24" s="210"/>
      <c r="PAL24" s="210"/>
      <c r="PAM24" s="210"/>
      <c r="PAN24" s="210"/>
      <c r="PAO24" s="210"/>
      <c r="PAP24" s="210"/>
      <c r="PAQ24" s="210"/>
      <c r="PAR24" s="210"/>
      <c r="PAS24" s="210"/>
      <c r="PAT24" s="210"/>
      <c r="PAU24" s="210"/>
      <c r="PAV24" s="210"/>
      <c r="PAW24" s="210"/>
      <c r="PAX24" s="210"/>
      <c r="PAY24" s="210"/>
      <c r="PAZ24" s="210"/>
      <c r="PBA24" s="210"/>
      <c r="PBB24" s="210"/>
      <c r="PBC24" s="210"/>
      <c r="PBD24" s="210"/>
      <c r="PBE24" s="210"/>
      <c r="PBF24" s="210"/>
      <c r="PBG24" s="210"/>
      <c r="PBH24" s="210"/>
      <c r="PBI24" s="210"/>
      <c r="PBJ24" s="210"/>
      <c r="PBK24" s="210"/>
      <c r="PBL24" s="210"/>
      <c r="PBM24" s="210"/>
      <c r="PBN24" s="210"/>
      <c r="PBO24" s="210"/>
      <c r="PBP24" s="210"/>
      <c r="PBQ24" s="210"/>
      <c r="PBR24" s="210"/>
      <c r="PBS24" s="210"/>
      <c r="PBT24" s="210"/>
      <c r="PBU24" s="210"/>
      <c r="PBV24" s="210"/>
      <c r="PBW24" s="210"/>
      <c r="PBX24" s="210"/>
      <c r="PBY24" s="210"/>
      <c r="PBZ24" s="210"/>
      <c r="PCA24" s="210"/>
      <c r="PCB24" s="210"/>
      <c r="PCC24" s="210"/>
      <c r="PCD24" s="210"/>
      <c r="PCE24" s="210"/>
      <c r="PCF24" s="210"/>
      <c r="PCG24" s="210"/>
      <c r="PCH24" s="210"/>
      <c r="PCI24" s="210"/>
      <c r="PCJ24" s="210"/>
      <c r="PCK24" s="210"/>
      <c r="PCL24" s="210"/>
      <c r="PCM24" s="210"/>
      <c r="PCN24" s="210"/>
      <c r="PCO24" s="210"/>
      <c r="PCP24" s="210"/>
      <c r="PCQ24" s="210"/>
      <c r="PCR24" s="210"/>
      <c r="PCS24" s="210"/>
      <c r="PCT24" s="210"/>
      <c r="PCU24" s="210"/>
      <c r="PCV24" s="210"/>
      <c r="PCW24" s="210"/>
      <c r="PCX24" s="210"/>
      <c r="PCY24" s="210"/>
      <c r="PCZ24" s="210"/>
      <c r="PDA24" s="210"/>
      <c r="PDB24" s="210"/>
      <c r="PDC24" s="210"/>
      <c r="PDD24" s="210"/>
      <c r="PDE24" s="210"/>
      <c r="PDF24" s="210"/>
      <c r="PDG24" s="210"/>
      <c r="PDH24" s="210"/>
      <c r="PDI24" s="210"/>
      <c r="PDJ24" s="210"/>
      <c r="PDK24" s="210"/>
      <c r="PDL24" s="210"/>
      <c r="PDM24" s="210"/>
      <c r="PDN24" s="210"/>
      <c r="PDO24" s="210"/>
      <c r="PDP24" s="210"/>
      <c r="PDQ24" s="210"/>
      <c r="PDR24" s="210"/>
      <c r="PDS24" s="210"/>
      <c r="PDT24" s="210"/>
      <c r="PDU24" s="210"/>
      <c r="PDV24" s="210"/>
      <c r="PDW24" s="210"/>
      <c r="PDX24" s="210"/>
      <c r="PDY24" s="210"/>
      <c r="PDZ24" s="210"/>
      <c r="PEA24" s="210"/>
      <c r="PEB24" s="210"/>
      <c r="PEC24" s="210"/>
      <c r="PED24" s="210"/>
      <c r="PEE24" s="210"/>
      <c r="PEF24" s="210"/>
      <c r="PEG24" s="210"/>
      <c r="PEH24" s="210"/>
      <c r="PEI24" s="210"/>
      <c r="PEJ24" s="210"/>
      <c r="PEK24" s="210"/>
      <c r="PEL24" s="210"/>
      <c r="PEM24" s="210"/>
      <c r="PEN24" s="210"/>
      <c r="PEO24" s="210"/>
      <c r="PEP24" s="210"/>
      <c r="PEQ24" s="210"/>
      <c r="PER24" s="210"/>
      <c r="PES24" s="210"/>
      <c r="PET24" s="210"/>
      <c r="PEU24" s="210"/>
      <c r="PEV24" s="210"/>
      <c r="PEW24" s="210"/>
      <c r="PEX24" s="210"/>
      <c r="PEY24" s="210"/>
      <c r="PEZ24" s="210"/>
      <c r="PFA24" s="210"/>
      <c r="PFB24" s="210"/>
      <c r="PFC24" s="210"/>
      <c r="PFD24" s="210"/>
      <c r="PFE24" s="210"/>
      <c r="PFF24" s="210"/>
      <c r="PFG24" s="210"/>
      <c r="PFH24" s="210"/>
      <c r="PFI24" s="210"/>
      <c r="PFJ24" s="210"/>
      <c r="PFK24" s="210"/>
      <c r="PFL24" s="210"/>
      <c r="PFM24" s="210"/>
      <c r="PFN24" s="210"/>
      <c r="PFO24" s="210"/>
      <c r="PFP24" s="210"/>
      <c r="PFQ24" s="210"/>
      <c r="PFR24" s="210"/>
      <c r="PFS24" s="210"/>
      <c r="PFT24" s="210"/>
      <c r="PFU24" s="210"/>
      <c r="PFV24" s="210"/>
      <c r="PFW24" s="210"/>
      <c r="PFX24" s="210"/>
      <c r="PFY24" s="210"/>
      <c r="PFZ24" s="210"/>
      <c r="PGA24" s="210"/>
      <c r="PGB24" s="210"/>
      <c r="PGC24" s="210"/>
      <c r="PGD24" s="210"/>
      <c r="PGE24" s="210"/>
      <c r="PGF24" s="210"/>
      <c r="PGG24" s="210"/>
      <c r="PGH24" s="210"/>
      <c r="PGI24" s="210"/>
      <c r="PGJ24" s="210"/>
      <c r="PGK24" s="210"/>
      <c r="PGL24" s="210"/>
      <c r="PGM24" s="210"/>
      <c r="PGN24" s="210"/>
      <c r="PGO24" s="210"/>
      <c r="PGP24" s="210"/>
      <c r="PGQ24" s="210"/>
      <c r="PGR24" s="210"/>
      <c r="PGS24" s="210"/>
      <c r="PGT24" s="210"/>
      <c r="PGU24" s="210"/>
      <c r="PGV24" s="210"/>
      <c r="PGW24" s="210"/>
      <c r="PGX24" s="210"/>
      <c r="PGY24" s="210"/>
      <c r="PGZ24" s="210"/>
      <c r="PHA24" s="210"/>
      <c r="PHB24" s="210"/>
      <c r="PHC24" s="210"/>
      <c r="PHD24" s="210"/>
      <c r="PHE24" s="210"/>
      <c r="PHF24" s="210"/>
      <c r="PHG24" s="210"/>
      <c r="PHH24" s="210"/>
      <c r="PHI24" s="210"/>
      <c r="PHJ24" s="210"/>
      <c r="PHK24" s="210"/>
      <c r="PHL24" s="210"/>
      <c r="PHM24" s="210"/>
      <c r="PHN24" s="210"/>
      <c r="PHO24" s="210"/>
      <c r="PHP24" s="210"/>
      <c r="PHQ24" s="210"/>
      <c r="PHR24" s="210"/>
      <c r="PHS24" s="210"/>
      <c r="PHT24" s="210"/>
      <c r="PHU24" s="210"/>
      <c r="PHV24" s="210"/>
      <c r="PHW24" s="210"/>
      <c r="PHX24" s="210"/>
      <c r="PHY24" s="210"/>
      <c r="PHZ24" s="210"/>
      <c r="PIA24" s="210"/>
      <c r="PIB24" s="210"/>
      <c r="PIC24" s="210"/>
      <c r="PID24" s="210"/>
      <c r="PIE24" s="210"/>
      <c r="PIF24" s="210"/>
      <c r="PIG24" s="210"/>
      <c r="PIH24" s="210"/>
      <c r="PII24" s="210"/>
      <c r="PIJ24" s="210"/>
      <c r="PIK24" s="210"/>
      <c r="PIL24" s="210"/>
      <c r="PIM24" s="210"/>
      <c r="PIN24" s="210"/>
      <c r="PIO24" s="210"/>
      <c r="PIP24" s="210"/>
      <c r="PIQ24" s="210"/>
      <c r="PIR24" s="210"/>
      <c r="PIS24" s="210"/>
      <c r="PIT24" s="210"/>
      <c r="PIU24" s="210"/>
      <c r="PIV24" s="210"/>
      <c r="PIW24" s="210"/>
      <c r="PIX24" s="210"/>
      <c r="PIY24" s="210"/>
      <c r="PIZ24" s="210"/>
      <c r="PJA24" s="210"/>
      <c r="PJB24" s="210"/>
      <c r="PJC24" s="210"/>
      <c r="PJD24" s="210"/>
      <c r="PJE24" s="210"/>
      <c r="PJF24" s="210"/>
      <c r="PJG24" s="210"/>
      <c r="PJH24" s="210"/>
      <c r="PJI24" s="210"/>
      <c r="PJJ24" s="210"/>
      <c r="PJK24" s="210"/>
      <c r="PJL24" s="210"/>
      <c r="PJM24" s="210"/>
      <c r="PJN24" s="210"/>
      <c r="PJO24" s="210"/>
      <c r="PJP24" s="210"/>
      <c r="PJQ24" s="210"/>
      <c r="PJR24" s="210"/>
      <c r="PJS24" s="210"/>
      <c r="PJT24" s="210"/>
      <c r="PJU24" s="210"/>
      <c r="PJV24" s="210"/>
      <c r="PJW24" s="210"/>
      <c r="PJX24" s="210"/>
      <c r="PJY24" s="210"/>
      <c r="PJZ24" s="210"/>
      <c r="PKA24" s="210"/>
      <c r="PKB24" s="210"/>
      <c r="PKC24" s="210"/>
      <c r="PKD24" s="210"/>
      <c r="PKE24" s="210"/>
      <c r="PKF24" s="210"/>
      <c r="PKG24" s="210"/>
      <c r="PKH24" s="210"/>
      <c r="PKI24" s="210"/>
      <c r="PKJ24" s="210"/>
      <c r="PKK24" s="210"/>
      <c r="PKL24" s="210"/>
      <c r="PKM24" s="210"/>
      <c r="PKN24" s="210"/>
      <c r="PKO24" s="210"/>
      <c r="PKP24" s="210"/>
      <c r="PKQ24" s="210"/>
      <c r="PKR24" s="210"/>
      <c r="PKS24" s="210"/>
      <c r="PKT24" s="210"/>
      <c r="PKU24" s="210"/>
      <c r="PKV24" s="210"/>
      <c r="PKW24" s="210"/>
      <c r="PKX24" s="210"/>
      <c r="PKY24" s="210"/>
      <c r="PKZ24" s="210"/>
      <c r="PLA24" s="210"/>
      <c r="PLB24" s="210"/>
      <c r="PLC24" s="210"/>
      <c r="PLD24" s="210"/>
      <c r="PLE24" s="210"/>
      <c r="PLF24" s="210"/>
      <c r="PLG24" s="210"/>
      <c r="PLH24" s="210"/>
      <c r="PLI24" s="210"/>
      <c r="PLJ24" s="210"/>
      <c r="PLK24" s="210"/>
      <c r="PLL24" s="210"/>
      <c r="PLM24" s="210"/>
      <c r="PLN24" s="210"/>
      <c r="PLO24" s="210"/>
      <c r="PLP24" s="210"/>
      <c r="PLQ24" s="210"/>
      <c r="PLR24" s="210"/>
      <c r="PLS24" s="210"/>
      <c r="PLT24" s="210"/>
      <c r="PLU24" s="210"/>
      <c r="PLV24" s="210"/>
      <c r="PLW24" s="210"/>
      <c r="PLX24" s="210"/>
      <c r="PLY24" s="210"/>
      <c r="PLZ24" s="210"/>
      <c r="PMA24" s="210"/>
      <c r="PMB24" s="210"/>
      <c r="PMC24" s="210"/>
      <c r="PMD24" s="210"/>
      <c r="PME24" s="210"/>
      <c r="PMF24" s="210"/>
      <c r="PMG24" s="210"/>
      <c r="PMH24" s="210"/>
      <c r="PMI24" s="210"/>
      <c r="PMJ24" s="210"/>
      <c r="PMK24" s="210"/>
      <c r="PML24" s="210"/>
      <c r="PMM24" s="210"/>
      <c r="PMN24" s="210"/>
      <c r="PMO24" s="210"/>
      <c r="PMP24" s="210"/>
      <c r="PMQ24" s="210"/>
      <c r="PMR24" s="210"/>
      <c r="PMS24" s="210"/>
      <c r="PMT24" s="210"/>
      <c r="PMU24" s="210"/>
      <c r="PMV24" s="210"/>
      <c r="PMW24" s="210"/>
      <c r="PMX24" s="210"/>
      <c r="PMY24" s="210"/>
      <c r="PMZ24" s="210"/>
      <c r="PNA24" s="210"/>
      <c r="PNB24" s="210"/>
      <c r="PNC24" s="210"/>
      <c r="PND24" s="210"/>
      <c r="PNE24" s="210"/>
      <c r="PNF24" s="210"/>
      <c r="PNG24" s="210"/>
      <c r="PNH24" s="210"/>
      <c r="PNI24" s="210"/>
      <c r="PNJ24" s="210"/>
      <c r="PNK24" s="210"/>
      <c r="PNL24" s="210"/>
      <c r="PNM24" s="210"/>
      <c r="PNN24" s="210"/>
      <c r="PNO24" s="210"/>
      <c r="PNP24" s="210"/>
      <c r="PNQ24" s="210"/>
      <c r="PNR24" s="210"/>
      <c r="PNS24" s="210"/>
      <c r="PNT24" s="210"/>
      <c r="PNU24" s="210"/>
      <c r="PNV24" s="210"/>
      <c r="PNW24" s="210"/>
      <c r="PNX24" s="210"/>
      <c r="PNY24" s="210"/>
      <c r="PNZ24" s="210"/>
      <c r="POA24" s="210"/>
      <c r="POB24" s="210"/>
      <c r="POC24" s="210"/>
      <c r="POD24" s="210"/>
      <c r="POE24" s="210"/>
      <c r="POF24" s="210"/>
      <c r="POG24" s="210"/>
      <c r="POH24" s="210"/>
      <c r="POI24" s="210"/>
      <c r="POJ24" s="210"/>
      <c r="POK24" s="210"/>
      <c r="POL24" s="210"/>
      <c r="POM24" s="210"/>
      <c r="PON24" s="210"/>
      <c r="POO24" s="210"/>
      <c r="POP24" s="210"/>
      <c r="POQ24" s="210"/>
      <c r="POR24" s="210"/>
      <c r="POS24" s="210"/>
      <c r="POT24" s="210"/>
      <c r="POU24" s="210"/>
      <c r="POV24" s="210"/>
      <c r="POW24" s="210"/>
      <c r="POX24" s="210"/>
      <c r="POY24" s="210"/>
      <c r="POZ24" s="210"/>
      <c r="PPA24" s="210"/>
      <c r="PPB24" s="210"/>
      <c r="PPC24" s="210"/>
      <c r="PPD24" s="210"/>
      <c r="PPE24" s="210"/>
      <c r="PPF24" s="210"/>
      <c r="PPG24" s="210"/>
      <c r="PPH24" s="210"/>
      <c r="PPI24" s="210"/>
      <c r="PPJ24" s="210"/>
      <c r="PPK24" s="210"/>
      <c r="PPL24" s="210"/>
      <c r="PPM24" s="210"/>
      <c r="PPN24" s="210"/>
      <c r="PPO24" s="210"/>
      <c r="PPP24" s="210"/>
      <c r="PPQ24" s="210"/>
      <c r="PPR24" s="210"/>
      <c r="PPS24" s="210"/>
      <c r="PPT24" s="210"/>
      <c r="PPU24" s="210"/>
      <c r="PPV24" s="210"/>
      <c r="PPW24" s="210"/>
      <c r="PPX24" s="210"/>
      <c r="PPY24" s="210"/>
      <c r="PPZ24" s="210"/>
      <c r="PQA24" s="210"/>
      <c r="PQB24" s="210"/>
      <c r="PQC24" s="210"/>
      <c r="PQD24" s="210"/>
      <c r="PQE24" s="210"/>
      <c r="PQF24" s="210"/>
      <c r="PQG24" s="210"/>
      <c r="PQH24" s="210"/>
      <c r="PQI24" s="210"/>
      <c r="PQJ24" s="210"/>
      <c r="PQK24" s="210"/>
      <c r="PQL24" s="210"/>
      <c r="PQM24" s="210"/>
      <c r="PQN24" s="210"/>
      <c r="PQO24" s="210"/>
      <c r="PQP24" s="210"/>
      <c r="PQQ24" s="210"/>
      <c r="PQR24" s="210"/>
      <c r="PQS24" s="210"/>
      <c r="PQT24" s="210"/>
      <c r="PQU24" s="210"/>
      <c r="PQV24" s="210"/>
      <c r="PQW24" s="210"/>
      <c r="PQX24" s="210"/>
      <c r="PQY24" s="210"/>
      <c r="PQZ24" s="210"/>
      <c r="PRA24" s="210"/>
      <c r="PRB24" s="210"/>
      <c r="PRC24" s="210"/>
      <c r="PRD24" s="210"/>
      <c r="PRE24" s="210"/>
      <c r="PRF24" s="210"/>
      <c r="PRG24" s="210"/>
      <c r="PRH24" s="210"/>
      <c r="PRI24" s="210"/>
      <c r="PRJ24" s="210"/>
      <c r="PRK24" s="210"/>
      <c r="PRL24" s="210"/>
      <c r="PRM24" s="210"/>
      <c r="PRN24" s="210"/>
      <c r="PRO24" s="210"/>
      <c r="PRP24" s="210"/>
      <c r="PRQ24" s="210"/>
      <c r="PRR24" s="210"/>
      <c r="PRS24" s="210"/>
      <c r="PRT24" s="210"/>
      <c r="PRU24" s="210"/>
      <c r="PRV24" s="210"/>
      <c r="PRW24" s="210"/>
      <c r="PRX24" s="210"/>
      <c r="PRY24" s="210"/>
      <c r="PRZ24" s="210"/>
      <c r="PSA24" s="210"/>
      <c r="PSB24" s="210"/>
      <c r="PSC24" s="210"/>
      <c r="PSD24" s="210"/>
      <c r="PSE24" s="210"/>
      <c r="PSF24" s="210"/>
      <c r="PSG24" s="210"/>
      <c r="PSH24" s="210"/>
      <c r="PSI24" s="210"/>
      <c r="PSJ24" s="210"/>
      <c r="PSK24" s="210"/>
      <c r="PSL24" s="210"/>
      <c r="PSM24" s="210"/>
      <c r="PSN24" s="210"/>
      <c r="PSO24" s="210"/>
      <c r="PSP24" s="210"/>
      <c r="PSQ24" s="210"/>
      <c r="PSR24" s="210"/>
      <c r="PSS24" s="210"/>
      <c r="PST24" s="210"/>
      <c r="PSU24" s="210"/>
      <c r="PSV24" s="210"/>
      <c r="PSW24" s="210"/>
      <c r="PSX24" s="210"/>
      <c r="PSY24" s="210"/>
      <c r="PSZ24" s="210"/>
      <c r="PTA24" s="210"/>
      <c r="PTB24" s="210"/>
      <c r="PTC24" s="210"/>
      <c r="PTD24" s="210"/>
      <c r="PTE24" s="210"/>
      <c r="PTF24" s="210"/>
      <c r="PTG24" s="210"/>
      <c r="PTH24" s="210"/>
      <c r="PTI24" s="210"/>
      <c r="PTJ24" s="210"/>
      <c r="PTK24" s="210"/>
      <c r="PTL24" s="210"/>
      <c r="PTM24" s="210"/>
      <c r="PTN24" s="210"/>
      <c r="PTO24" s="210"/>
      <c r="PTP24" s="210"/>
      <c r="PTQ24" s="210"/>
      <c r="PTR24" s="210"/>
      <c r="PTS24" s="210"/>
      <c r="PTT24" s="210"/>
      <c r="PTU24" s="210"/>
      <c r="PTV24" s="210"/>
      <c r="PTW24" s="210"/>
      <c r="PTX24" s="210"/>
      <c r="PTY24" s="210"/>
      <c r="PTZ24" s="210"/>
      <c r="PUA24" s="210"/>
      <c r="PUB24" s="210"/>
      <c r="PUC24" s="210"/>
      <c r="PUD24" s="210"/>
      <c r="PUE24" s="210"/>
      <c r="PUF24" s="210"/>
      <c r="PUG24" s="210"/>
      <c r="PUH24" s="210"/>
      <c r="PUI24" s="210"/>
      <c r="PUJ24" s="210"/>
      <c r="PUK24" s="210"/>
      <c r="PUL24" s="210"/>
      <c r="PUM24" s="210"/>
      <c r="PUN24" s="210"/>
      <c r="PUO24" s="210"/>
      <c r="PUP24" s="210"/>
      <c r="PUQ24" s="210"/>
      <c r="PUR24" s="210"/>
      <c r="PUS24" s="210"/>
      <c r="PUT24" s="210"/>
      <c r="PUU24" s="210"/>
      <c r="PUV24" s="210"/>
      <c r="PUW24" s="210"/>
      <c r="PUX24" s="210"/>
      <c r="PUY24" s="210"/>
      <c r="PUZ24" s="210"/>
      <c r="PVA24" s="210"/>
      <c r="PVB24" s="210"/>
      <c r="PVC24" s="210"/>
      <c r="PVD24" s="210"/>
      <c r="PVE24" s="210"/>
      <c r="PVF24" s="210"/>
      <c r="PVG24" s="210"/>
      <c r="PVH24" s="210"/>
      <c r="PVI24" s="210"/>
      <c r="PVJ24" s="210"/>
      <c r="PVK24" s="210"/>
      <c r="PVL24" s="210"/>
      <c r="PVM24" s="210"/>
      <c r="PVN24" s="210"/>
      <c r="PVO24" s="210"/>
      <c r="PVP24" s="210"/>
      <c r="PVQ24" s="210"/>
      <c r="PVR24" s="210"/>
      <c r="PVS24" s="210"/>
      <c r="PVT24" s="210"/>
      <c r="PVU24" s="210"/>
      <c r="PVV24" s="210"/>
      <c r="PVW24" s="210"/>
      <c r="PVX24" s="210"/>
      <c r="PVY24" s="210"/>
      <c r="PVZ24" s="210"/>
      <c r="PWA24" s="210"/>
      <c r="PWB24" s="210"/>
      <c r="PWC24" s="210"/>
      <c r="PWD24" s="210"/>
      <c r="PWE24" s="210"/>
      <c r="PWF24" s="210"/>
      <c r="PWG24" s="210"/>
      <c r="PWH24" s="210"/>
      <c r="PWI24" s="210"/>
      <c r="PWJ24" s="210"/>
      <c r="PWK24" s="210"/>
      <c r="PWL24" s="210"/>
      <c r="PWM24" s="210"/>
      <c r="PWN24" s="210"/>
      <c r="PWO24" s="210"/>
      <c r="PWP24" s="210"/>
      <c r="PWQ24" s="210"/>
      <c r="PWR24" s="210"/>
      <c r="PWS24" s="210"/>
      <c r="PWT24" s="210"/>
      <c r="PWU24" s="210"/>
      <c r="PWV24" s="210"/>
      <c r="PWW24" s="210"/>
      <c r="PWX24" s="210"/>
      <c r="PWY24" s="210"/>
      <c r="PWZ24" s="210"/>
      <c r="PXA24" s="210"/>
      <c r="PXB24" s="210"/>
      <c r="PXC24" s="210"/>
      <c r="PXD24" s="210"/>
      <c r="PXE24" s="210"/>
      <c r="PXF24" s="210"/>
      <c r="PXG24" s="210"/>
      <c r="PXH24" s="210"/>
      <c r="PXI24" s="210"/>
      <c r="PXJ24" s="210"/>
      <c r="PXK24" s="210"/>
      <c r="PXL24" s="210"/>
      <c r="PXM24" s="210"/>
      <c r="PXN24" s="210"/>
      <c r="PXO24" s="210"/>
      <c r="PXP24" s="210"/>
      <c r="PXQ24" s="210"/>
      <c r="PXR24" s="210"/>
      <c r="PXS24" s="210"/>
      <c r="PXT24" s="210"/>
      <c r="PXU24" s="210"/>
      <c r="PXV24" s="210"/>
      <c r="PXW24" s="210"/>
      <c r="PXX24" s="210"/>
      <c r="PXY24" s="210"/>
      <c r="PXZ24" s="210"/>
      <c r="PYA24" s="210"/>
      <c r="PYB24" s="210"/>
      <c r="PYC24" s="210"/>
      <c r="PYD24" s="210"/>
      <c r="PYE24" s="210"/>
      <c r="PYF24" s="210"/>
      <c r="PYG24" s="210"/>
      <c r="PYH24" s="210"/>
      <c r="PYI24" s="210"/>
      <c r="PYJ24" s="210"/>
      <c r="PYK24" s="210"/>
      <c r="PYL24" s="210"/>
      <c r="PYM24" s="210"/>
      <c r="PYN24" s="210"/>
      <c r="PYO24" s="210"/>
      <c r="PYP24" s="210"/>
      <c r="PYQ24" s="210"/>
      <c r="PYR24" s="210"/>
      <c r="PYS24" s="210"/>
      <c r="PYT24" s="210"/>
      <c r="PYU24" s="210"/>
      <c r="PYV24" s="210"/>
      <c r="PYW24" s="210"/>
      <c r="PYX24" s="210"/>
      <c r="PYY24" s="210"/>
      <c r="PYZ24" s="210"/>
      <c r="PZA24" s="210"/>
      <c r="PZB24" s="210"/>
      <c r="PZC24" s="210"/>
      <c r="PZD24" s="210"/>
      <c r="PZE24" s="210"/>
      <c r="PZF24" s="210"/>
      <c r="PZG24" s="210"/>
      <c r="PZH24" s="210"/>
      <c r="PZI24" s="210"/>
      <c r="PZJ24" s="210"/>
      <c r="PZK24" s="210"/>
      <c r="PZL24" s="210"/>
      <c r="PZM24" s="210"/>
      <c r="PZN24" s="210"/>
      <c r="PZO24" s="210"/>
      <c r="PZP24" s="210"/>
      <c r="PZQ24" s="210"/>
      <c r="PZR24" s="210"/>
      <c r="PZS24" s="210"/>
      <c r="PZT24" s="210"/>
      <c r="PZU24" s="210"/>
      <c r="PZV24" s="210"/>
      <c r="PZW24" s="210"/>
      <c r="PZX24" s="210"/>
      <c r="PZY24" s="210"/>
      <c r="PZZ24" s="210"/>
      <c r="QAA24" s="210"/>
      <c r="QAB24" s="210"/>
      <c r="QAC24" s="210"/>
      <c r="QAD24" s="210"/>
      <c r="QAE24" s="210"/>
      <c r="QAF24" s="210"/>
      <c r="QAG24" s="210"/>
      <c r="QAH24" s="210"/>
      <c r="QAI24" s="210"/>
      <c r="QAJ24" s="210"/>
      <c r="QAK24" s="210"/>
      <c r="QAL24" s="210"/>
      <c r="QAM24" s="210"/>
      <c r="QAN24" s="210"/>
      <c r="QAO24" s="210"/>
      <c r="QAP24" s="210"/>
      <c r="QAQ24" s="210"/>
      <c r="QAR24" s="210"/>
      <c r="QAS24" s="210"/>
      <c r="QAT24" s="210"/>
      <c r="QAU24" s="210"/>
      <c r="QAV24" s="210"/>
      <c r="QAW24" s="210"/>
      <c r="QAX24" s="210"/>
      <c r="QAY24" s="210"/>
      <c r="QAZ24" s="210"/>
      <c r="QBA24" s="210"/>
      <c r="QBB24" s="210"/>
      <c r="QBC24" s="210"/>
      <c r="QBD24" s="210"/>
      <c r="QBE24" s="210"/>
      <c r="QBF24" s="210"/>
      <c r="QBG24" s="210"/>
      <c r="QBH24" s="210"/>
      <c r="QBI24" s="210"/>
      <c r="QBJ24" s="210"/>
      <c r="QBK24" s="210"/>
      <c r="QBL24" s="210"/>
      <c r="QBM24" s="210"/>
      <c r="QBN24" s="210"/>
      <c r="QBO24" s="210"/>
      <c r="QBP24" s="210"/>
      <c r="QBQ24" s="210"/>
      <c r="QBR24" s="210"/>
      <c r="QBS24" s="210"/>
      <c r="QBT24" s="210"/>
      <c r="QBU24" s="210"/>
      <c r="QBV24" s="210"/>
      <c r="QBW24" s="210"/>
      <c r="QBX24" s="210"/>
      <c r="QBY24" s="210"/>
      <c r="QBZ24" s="210"/>
      <c r="QCA24" s="210"/>
      <c r="QCB24" s="210"/>
      <c r="QCC24" s="210"/>
      <c r="QCD24" s="210"/>
      <c r="QCE24" s="210"/>
      <c r="QCF24" s="210"/>
      <c r="QCG24" s="210"/>
      <c r="QCH24" s="210"/>
      <c r="QCI24" s="210"/>
      <c r="QCJ24" s="210"/>
      <c r="QCK24" s="210"/>
      <c r="QCL24" s="210"/>
      <c r="QCM24" s="210"/>
      <c r="QCN24" s="210"/>
      <c r="QCO24" s="210"/>
      <c r="QCP24" s="210"/>
      <c r="QCQ24" s="210"/>
      <c r="QCR24" s="210"/>
      <c r="QCS24" s="210"/>
      <c r="QCT24" s="210"/>
      <c r="QCU24" s="210"/>
      <c r="QCV24" s="210"/>
      <c r="QCW24" s="210"/>
      <c r="QCX24" s="210"/>
      <c r="QCY24" s="210"/>
      <c r="QCZ24" s="210"/>
      <c r="QDA24" s="210"/>
      <c r="QDB24" s="210"/>
      <c r="QDC24" s="210"/>
      <c r="QDD24" s="210"/>
      <c r="QDE24" s="210"/>
      <c r="QDF24" s="210"/>
      <c r="QDG24" s="210"/>
      <c r="QDH24" s="210"/>
      <c r="QDI24" s="210"/>
      <c r="QDJ24" s="210"/>
      <c r="QDK24" s="210"/>
      <c r="QDL24" s="210"/>
      <c r="QDM24" s="210"/>
      <c r="QDN24" s="210"/>
      <c r="QDO24" s="210"/>
      <c r="QDP24" s="210"/>
      <c r="QDQ24" s="210"/>
      <c r="QDR24" s="210"/>
      <c r="QDS24" s="210"/>
      <c r="QDT24" s="210"/>
      <c r="QDU24" s="210"/>
      <c r="QDV24" s="210"/>
      <c r="QDW24" s="210"/>
      <c r="QDX24" s="210"/>
      <c r="QDY24" s="210"/>
      <c r="QDZ24" s="210"/>
      <c r="QEA24" s="210"/>
      <c r="QEB24" s="210"/>
      <c r="QEC24" s="210"/>
      <c r="QED24" s="210"/>
      <c r="QEE24" s="210"/>
      <c r="QEF24" s="210"/>
      <c r="QEG24" s="210"/>
      <c r="QEH24" s="210"/>
      <c r="QEI24" s="210"/>
      <c r="QEJ24" s="210"/>
      <c r="QEK24" s="210"/>
      <c r="QEL24" s="210"/>
      <c r="QEM24" s="210"/>
      <c r="QEN24" s="210"/>
      <c r="QEO24" s="210"/>
      <c r="QEP24" s="210"/>
      <c r="QEQ24" s="210"/>
      <c r="QER24" s="210"/>
      <c r="QES24" s="210"/>
      <c r="QET24" s="210"/>
      <c r="QEU24" s="210"/>
      <c r="QEV24" s="210"/>
      <c r="QEW24" s="210"/>
      <c r="QEX24" s="210"/>
      <c r="QEY24" s="210"/>
      <c r="QEZ24" s="210"/>
      <c r="QFA24" s="210"/>
      <c r="QFB24" s="210"/>
      <c r="QFC24" s="210"/>
      <c r="QFD24" s="210"/>
      <c r="QFE24" s="210"/>
      <c r="QFF24" s="210"/>
      <c r="QFG24" s="210"/>
      <c r="QFH24" s="210"/>
      <c r="QFI24" s="210"/>
      <c r="QFJ24" s="210"/>
      <c r="QFK24" s="210"/>
      <c r="QFL24" s="210"/>
      <c r="QFM24" s="210"/>
      <c r="QFN24" s="210"/>
      <c r="QFO24" s="210"/>
      <c r="QFP24" s="210"/>
      <c r="QFQ24" s="210"/>
      <c r="QFR24" s="210"/>
      <c r="QFS24" s="210"/>
      <c r="QFT24" s="210"/>
      <c r="QFU24" s="210"/>
      <c r="QFV24" s="210"/>
      <c r="QFW24" s="210"/>
      <c r="QFX24" s="210"/>
      <c r="QFY24" s="210"/>
      <c r="QFZ24" s="210"/>
      <c r="QGA24" s="210"/>
      <c r="QGB24" s="210"/>
      <c r="QGC24" s="210"/>
      <c r="QGD24" s="210"/>
      <c r="QGE24" s="210"/>
      <c r="QGF24" s="210"/>
      <c r="QGG24" s="210"/>
      <c r="QGH24" s="210"/>
      <c r="QGI24" s="210"/>
      <c r="QGJ24" s="210"/>
      <c r="QGK24" s="210"/>
      <c r="QGL24" s="210"/>
      <c r="QGM24" s="210"/>
      <c r="QGN24" s="210"/>
      <c r="QGO24" s="210"/>
      <c r="QGP24" s="210"/>
      <c r="QGQ24" s="210"/>
      <c r="QGR24" s="210"/>
      <c r="QGS24" s="210"/>
      <c r="QGT24" s="210"/>
      <c r="QGU24" s="210"/>
      <c r="QGV24" s="210"/>
      <c r="QGW24" s="210"/>
      <c r="QGX24" s="210"/>
      <c r="QGY24" s="210"/>
      <c r="QGZ24" s="210"/>
      <c r="QHA24" s="210"/>
      <c r="QHB24" s="210"/>
      <c r="QHC24" s="210"/>
      <c r="QHD24" s="210"/>
      <c r="QHE24" s="210"/>
      <c r="QHF24" s="210"/>
      <c r="QHG24" s="210"/>
      <c r="QHH24" s="210"/>
      <c r="QHI24" s="210"/>
      <c r="QHJ24" s="210"/>
      <c r="QHK24" s="210"/>
      <c r="QHL24" s="210"/>
      <c r="QHM24" s="210"/>
      <c r="QHN24" s="210"/>
      <c r="QHO24" s="210"/>
      <c r="QHP24" s="210"/>
      <c r="QHQ24" s="210"/>
      <c r="QHR24" s="210"/>
      <c r="QHS24" s="210"/>
      <c r="QHT24" s="210"/>
      <c r="QHU24" s="210"/>
      <c r="QHV24" s="210"/>
      <c r="QHW24" s="210"/>
      <c r="QHX24" s="210"/>
      <c r="QHY24" s="210"/>
      <c r="QHZ24" s="210"/>
      <c r="QIA24" s="210"/>
      <c r="QIB24" s="210"/>
      <c r="QIC24" s="210"/>
      <c r="QID24" s="210"/>
      <c r="QIE24" s="210"/>
      <c r="QIF24" s="210"/>
      <c r="QIG24" s="210"/>
      <c r="QIH24" s="210"/>
      <c r="QII24" s="210"/>
      <c r="QIJ24" s="210"/>
      <c r="QIK24" s="210"/>
      <c r="QIL24" s="210"/>
      <c r="QIM24" s="210"/>
      <c r="QIN24" s="210"/>
      <c r="QIO24" s="210"/>
      <c r="QIP24" s="210"/>
      <c r="QIQ24" s="210"/>
      <c r="QIR24" s="210"/>
      <c r="QIS24" s="210"/>
      <c r="QIT24" s="210"/>
      <c r="QIU24" s="210"/>
      <c r="QIV24" s="210"/>
      <c r="QIW24" s="210"/>
      <c r="QIX24" s="210"/>
      <c r="QIY24" s="210"/>
      <c r="QIZ24" s="210"/>
      <c r="QJA24" s="210"/>
      <c r="QJB24" s="210"/>
      <c r="QJC24" s="210"/>
      <c r="QJD24" s="210"/>
      <c r="QJE24" s="210"/>
      <c r="QJF24" s="210"/>
      <c r="QJG24" s="210"/>
      <c r="QJH24" s="210"/>
      <c r="QJI24" s="210"/>
      <c r="QJJ24" s="210"/>
      <c r="QJK24" s="210"/>
      <c r="QJL24" s="210"/>
      <c r="QJM24" s="210"/>
      <c r="QJN24" s="210"/>
      <c r="QJO24" s="210"/>
      <c r="QJP24" s="210"/>
      <c r="QJQ24" s="210"/>
      <c r="QJR24" s="210"/>
      <c r="QJS24" s="210"/>
      <c r="QJT24" s="210"/>
      <c r="QJU24" s="210"/>
      <c r="QJV24" s="210"/>
      <c r="QJW24" s="210"/>
      <c r="QJX24" s="210"/>
      <c r="QJY24" s="210"/>
      <c r="QJZ24" s="210"/>
      <c r="QKA24" s="210"/>
      <c r="QKB24" s="210"/>
      <c r="QKC24" s="210"/>
      <c r="QKD24" s="210"/>
      <c r="QKE24" s="210"/>
      <c r="QKF24" s="210"/>
      <c r="QKG24" s="210"/>
      <c r="QKH24" s="210"/>
      <c r="QKI24" s="210"/>
      <c r="QKJ24" s="210"/>
      <c r="QKK24" s="210"/>
      <c r="QKL24" s="210"/>
      <c r="QKM24" s="210"/>
      <c r="QKN24" s="210"/>
      <c r="QKO24" s="210"/>
      <c r="QKP24" s="210"/>
      <c r="QKQ24" s="210"/>
      <c r="QKR24" s="210"/>
      <c r="QKS24" s="210"/>
      <c r="QKT24" s="210"/>
      <c r="QKU24" s="210"/>
      <c r="QKV24" s="210"/>
      <c r="QKW24" s="210"/>
      <c r="QKX24" s="210"/>
      <c r="QKY24" s="210"/>
      <c r="QKZ24" s="210"/>
      <c r="QLA24" s="210"/>
      <c r="QLB24" s="210"/>
      <c r="QLC24" s="210"/>
      <c r="QLD24" s="210"/>
      <c r="QLE24" s="210"/>
      <c r="QLF24" s="210"/>
      <c r="QLG24" s="210"/>
      <c r="QLH24" s="210"/>
      <c r="QLI24" s="210"/>
      <c r="QLJ24" s="210"/>
      <c r="QLK24" s="210"/>
      <c r="QLL24" s="210"/>
      <c r="QLM24" s="210"/>
      <c r="QLN24" s="210"/>
      <c r="QLO24" s="210"/>
      <c r="QLP24" s="210"/>
      <c r="QLQ24" s="210"/>
      <c r="QLR24" s="210"/>
      <c r="QLS24" s="210"/>
      <c r="QLT24" s="210"/>
      <c r="QLU24" s="210"/>
      <c r="QLV24" s="210"/>
      <c r="QLW24" s="210"/>
      <c r="QLX24" s="210"/>
      <c r="QLY24" s="210"/>
      <c r="QLZ24" s="210"/>
      <c r="QMA24" s="210"/>
      <c r="QMB24" s="210"/>
      <c r="QMC24" s="210"/>
      <c r="QMD24" s="210"/>
      <c r="QME24" s="210"/>
      <c r="QMF24" s="210"/>
      <c r="QMG24" s="210"/>
      <c r="QMH24" s="210"/>
      <c r="QMI24" s="210"/>
      <c r="QMJ24" s="210"/>
      <c r="QMK24" s="210"/>
      <c r="QML24" s="210"/>
      <c r="QMM24" s="210"/>
      <c r="QMN24" s="210"/>
      <c r="QMO24" s="210"/>
      <c r="QMP24" s="210"/>
      <c r="QMQ24" s="210"/>
      <c r="QMR24" s="210"/>
      <c r="QMS24" s="210"/>
      <c r="QMT24" s="210"/>
      <c r="QMU24" s="210"/>
      <c r="QMV24" s="210"/>
      <c r="QMW24" s="210"/>
      <c r="QMX24" s="210"/>
      <c r="QMY24" s="210"/>
      <c r="QMZ24" s="210"/>
      <c r="QNA24" s="210"/>
      <c r="QNB24" s="210"/>
      <c r="QNC24" s="210"/>
      <c r="QND24" s="210"/>
      <c r="QNE24" s="210"/>
      <c r="QNF24" s="210"/>
      <c r="QNG24" s="210"/>
      <c r="QNH24" s="210"/>
      <c r="QNI24" s="210"/>
      <c r="QNJ24" s="210"/>
      <c r="QNK24" s="210"/>
      <c r="QNL24" s="210"/>
      <c r="QNM24" s="210"/>
      <c r="QNN24" s="210"/>
      <c r="QNO24" s="210"/>
      <c r="QNP24" s="210"/>
      <c r="QNQ24" s="210"/>
      <c r="QNR24" s="210"/>
      <c r="QNS24" s="210"/>
      <c r="QNT24" s="210"/>
      <c r="QNU24" s="210"/>
      <c r="QNV24" s="210"/>
      <c r="QNW24" s="210"/>
      <c r="QNX24" s="210"/>
      <c r="QNY24" s="210"/>
      <c r="QNZ24" s="210"/>
      <c r="QOA24" s="210"/>
      <c r="QOB24" s="210"/>
      <c r="QOC24" s="210"/>
      <c r="QOD24" s="210"/>
      <c r="QOE24" s="210"/>
      <c r="QOF24" s="210"/>
      <c r="QOG24" s="210"/>
      <c r="QOH24" s="210"/>
      <c r="QOI24" s="210"/>
      <c r="QOJ24" s="210"/>
      <c r="QOK24" s="210"/>
      <c r="QOL24" s="210"/>
      <c r="QOM24" s="210"/>
      <c r="QON24" s="210"/>
      <c r="QOO24" s="210"/>
      <c r="QOP24" s="210"/>
      <c r="QOQ24" s="210"/>
      <c r="QOR24" s="210"/>
      <c r="QOS24" s="210"/>
      <c r="QOT24" s="210"/>
      <c r="QOU24" s="210"/>
      <c r="QOV24" s="210"/>
      <c r="QOW24" s="210"/>
      <c r="QOX24" s="210"/>
      <c r="QOY24" s="210"/>
      <c r="QOZ24" s="210"/>
      <c r="QPA24" s="210"/>
      <c r="QPB24" s="210"/>
      <c r="QPC24" s="210"/>
      <c r="QPD24" s="210"/>
      <c r="QPE24" s="210"/>
      <c r="QPF24" s="210"/>
      <c r="QPG24" s="210"/>
      <c r="QPH24" s="210"/>
      <c r="QPI24" s="210"/>
      <c r="QPJ24" s="210"/>
      <c r="QPK24" s="210"/>
      <c r="QPL24" s="210"/>
      <c r="QPM24" s="210"/>
      <c r="QPN24" s="210"/>
      <c r="QPO24" s="210"/>
      <c r="QPP24" s="210"/>
      <c r="QPQ24" s="210"/>
      <c r="QPR24" s="210"/>
      <c r="QPS24" s="210"/>
      <c r="QPT24" s="210"/>
      <c r="QPU24" s="210"/>
      <c r="QPV24" s="210"/>
      <c r="QPW24" s="210"/>
      <c r="QPX24" s="210"/>
      <c r="QPY24" s="210"/>
      <c r="QPZ24" s="210"/>
      <c r="QQA24" s="210"/>
      <c r="QQB24" s="210"/>
      <c r="QQC24" s="210"/>
      <c r="QQD24" s="210"/>
      <c r="QQE24" s="210"/>
      <c r="QQF24" s="210"/>
      <c r="QQG24" s="210"/>
      <c r="QQH24" s="210"/>
      <c r="QQI24" s="210"/>
      <c r="QQJ24" s="210"/>
      <c r="QQK24" s="210"/>
      <c r="QQL24" s="210"/>
      <c r="QQM24" s="210"/>
      <c r="QQN24" s="210"/>
      <c r="QQO24" s="210"/>
      <c r="QQP24" s="210"/>
      <c r="QQQ24" s="210"/>
      <c r="QQR24" s="210"/>
      <c r="QQS24" s="210"/>
      <c r="QQT24" s="210"/>
      <c r="QQU24" s="210"/>
      <c r="QQV24" s="210"/>
      <c r="QQW24" s="210"/>
      <c r="QQX24" s="210"/>
      <c r="QQY24" s="210"/>
      <c r="QQZ24" s="210"/>
      <c r="QRA24" s="210"/>
      <c r="QRB24" s="210"/>
      <c r="QRC24" s="210"/>
      <c r="QRD24" s="210"/>
      <c r="QRE24" s="210"/>
      <c r="QRF24" s="210"/>
      <c r="QRG24" s="210"/>
      <c r="QRH24" s="210"/>
      <c r="QRI24" s="210"/>
      <c r="QRJ24" s="210"/>
      <c r="QRK24" s="210"/>
      <c r="QRL24" s="210"/>
      <c r="QRM24" s="210"/>
      <c r="QRN24" s="210"/>
      <c r="QRO24" s="210"/>
      <c r="QRP24" s="210"/>
      <c r="QRQ24" s="210"/>
      <c r="QRR24" s="210"/>
      <c r="QRS24" s="210"/>
      <c r="QRT24" s="210"/>
      <c r="QRU24" s="210"/>
      <c r="QRV24" s="210"/>
      <c r="QRW24" s="210"/>
      <c r="QRX24" s="210"/>
      <c r="QRY24" s="210"/>
      <c r="QRZ24" s="210"/>
      <c r="QSA24" s="210"/>
      <c r="QSB24" s="210"/>
      <c r="QSC24" s="210"/>
      <c r="QSD24" s="210"/>
      <c r="QSE24" s="210"/>
      <c r="QSF24" s="210"/>
      <c r="QSG24" s="210"/>
      <c r="QSH24" s="210"/>
      <c r="QSI24" s="210"/>
      <c r="QSJ24" s="210"/>
      <c r="QSK24" s="210"/>
      <c r="QSL24" s="210"/>
      <c r="QSM24" s="210"/>
      <c r="QSN24" s="210"/>
      <c r="QSO24" s="210"/>
      <c r="QSP24" s="210"/>
      <c r="QSQ24" s="210"/>
      <c r="QSR24" s="210"/>
      <c r="QSS24" s="210"/>
      <c r="QST24" s="210"/>
      <c r="QSU24" s="210"/>
      <c r="QSV24" s="210"/>
      <c r="QSW24" s="210"/>
      <c r="QSX24" s="210"/>
      <c r="QSY24" s="210"/>
      <c r="QSZ24" s="210"/>
      <c r="QTA24" s="210"/>
      <c r="QTB24" s="210"/>
      <c r="QTC24" s="210"/>
      <c r="QTD24" s="210"/>
      <c r="QTE24" s="210"/>
      <c r="QTF24" s="210"/>
      <c r="QTG24" s="210"/>
      <c r="QTH24" s="210"/>
      <c r="QTI24" s="210"/>
      <c r="QTJ24" s="210"/>
      <c r="QTK24" s="210"/>
      <c r="QTL24" s="210"/>
      <c r="QTM24" s="210"/>
      <c r="QTN24" s="210"/>
      <c r="QTO24" s="210"/>
      <c r="QTP24" s="210"/>
      <c r="QTQ24" s="210"/>
      <c r="QTR24" s="210"/>
      <c r="QTS24" s="210"/>
      <c r="QTT24" s="210"/>
      <c r="QTU24" s="210"/>
      <c r="QTV24" s="210"/>
      <c r="QTW24" s="210"/>
      <c r="QTX24" s="210"/>
      <c r="QTY24" s="210"/>
      <c r="QTZ24" s="210"/>
      <c r="QUA24" s="210"/>
      <c r="QUB24" s="210"/>
      <c r="QUC24" s="210"/>
      <c r="QUD24" s="210"/>
      <c r="QUE24" s="210"/>
      <c r="QUF24" s="210"/>
      <c r="QUG24" s="210"/>
      <c r="QUH24" s="210"/>
      <c r="QUI24" s="210"/>
      <c r="QUJ24" s="210"/>
      <c r="QUK24" s="210"/>
      <c r="QUL24" s="210"/>
      <c r="QUM24" s="210"/>
      <c r="QUN24" s="210"/>
      <c r="QUO24" s="210"/>
      <c r="QUP24" s="210"/>
      <c r="QUQ24" s="210"/>
      <c r="QUR24" s="210"/>
      <c r="QUS24" s="210"/>
      <c r="QUT24" s="210"/>
      <c r="QUU24" s="210"/>
      <c r="QUV24" s="210"/>
      <c r="QUW24" s="210"/>
      <c r="QUX24" s="210"/>
      <c r="QUY24" s="210"/>
      <c r="QUZ24" s="210"/>
      <c r="QVA24" s="210"/>
      <c r="QVB24" s="210"/>
      <c r="QVC24" s="210"/>
      <c r="QVD24" s="210"/>
      <c r="QVE24" s="210"/>
      <c r="QVF24" s="210"/>
      <c r="QVG24" s="210"/>
      <c r="QVH24" s="210"/>
      <c r="QVI24" s="210"/>
      <c r="QVJ24" s="210"/>
      <c r="QVK24" s="210"/>
      <c r="QVL24" s="210"/>
      <c r="QVM24" s="210"/>
      <c r="QVN24" s="210"/>
      <c r="QVO24" s="210"/>
      <c r="QVP24" s="210"/>
      <c r="QVQ24" s="210"/>
      <c r="QVR24" s="210"/>
      <c r="QVS24" s="210"/>
      <c r="QVT24" s="210"/>
      <c r="QVU24" s="210"/>
      <c r="QVV24" s="210"/>
      <c r="QVW24" s="210"/>
      <c r="QVX24" s="210"/>
      <c r="QVY24" s="210"/>
      <c r="QVZ24" s="210"/>
      <c r="QWA24" s="210"/>
      <c r="QWB24" s="210"/>
      <c r="QWC24" s="210"/>
      <c r="QWD24" s="210"/>
      <c r="QWE24" s="210"/>
      <c r="QWF24" s="210"/>
      <c r="QWG24" s="210"/>
      <c r="QWH24" s="210"/>
      <c r="QWI24" s="210"/>
      <c r="QWJ24" s="210"/>
      <c r="QWK24" s="210"/>
      <c r="QWL24" s="210"/>
      <c r="QWM24" s="210"/>
      <c r="QWN24" s="210"/>
      <c r="QWO24" s="210"/>
      <c r="QWP24" s="210"/>
      <c r="QWQ24" s="210"/>
      <c r="QWR24" s="210"/>
      <c r="QWS24" s="210"/>
      <c r="QWT24" s="210"/>
      <c r="QWU24" s="210"/>
      <c r="QWV24" s="210"/>
      <c r="QWW24" s="210"/>
      <c r="QWX24" s="210"/>
      <c r="QWY24" s="210"/>
      <c r="QWZ24" s="210"/>
      <c r="QXA24" s="210"/>
      <c r="QXB24" s="210"/>
      <c r="QXC24" s="210"/>
      <c r="QXD24" s="210"/>
      <c r="QXE24" s="210"/>
      <c r="QXF24" s="210"/>
      <c r="QXG24" s="210"/>
      <c r="QXH24" s="210"/>
      <c r="QXI24" s="210"/>
      <c r="QXJ24" s="210"/>
      <c r="QXK24" s="210"/>
      <c r="QXL24" s="210"/>
      <c r="QXM24" s="210"/>
      <c r="QXN24" s="210"/>
      <c r="QXO24" s="210"/>
      <c r="QXP24" s="210"/>
      <c r="QXQ24" s="210"/>
      <c r="QXR24" s="210"/>
      <c r="QXS24" s="210"/>
      <c r="QXT24" s="210"/>
      <c r="QXU24" s="210"/>
      <c r="QXV24" s="210"/>
      <c r="QXW24" s="210"/>
      <c r="QXX24" s="210"/>
      <c r="QXY24" s="210"/>
      <c r="QXZ24" s="210"/>
      <c r="QYA24" s="210"/>
      <c r="QYB24" s="210"/>
      <c r="QYC24" s="210"/>
      <c r="QYD24" s="210"/>
      <c r="QYE24" s="210"/>
      <c r="QYF24" s="210"/>
      <c r="QYG24" s="210"/>
      <c r="QYH24" s="210"/>
      <c r="QYI24" s="210"/>
      <c r="QYJ24" s="210"/>
      <c r="QYK24" s="210"/>
      <c r="QYL24" s="210"/>
      <c r="QYM24" s="210"/>
      <c r="QYN24" s="210"/>
      <c r="QYO24" s="210"/>
      <c r="QYP24" s="210"/>
      <c r="QYQ24" s="210"/>
      <c r="QYR24" s="210"/>
      <c r="QYS24" s="210"/>
      <c r="QYT24" s="210"/>
      <c r="QYU24" s="210"/>
      <c r="QYV24" s="210"/>
      <c r="QYW24" s="210"/>
      <c r="QYX24" s="210"/>
      <c r="QYY24" s="210"/>
      <c r="QYZ24" s="210"/>
      <c r="QZA24" s="210"/>
      <c r="QZB24" s="210"/>
      <c r="QZC24" s="210"/>
      <c r="QZD24" s="210"/>
      <c r="QZE24" s="210"/>
      <c r="QZF24" s="210"/>
      <c r="QZG24" s="210"/>
      <c r="QZH24" s="210"/>
      <c r="QZI24" s="210"/>
      <c r="QZJ24" s="210"/>
      <c r="QZK24" s="210"/>
      <c r="QZL24" s="210"/>
      <c r="QZM24" s="210"/>
      <c r="QZN24" s="210"/>
      <c r="QZO24" s="210"/>
      <c r="QZP24" s="210"/>
      <c r="QZQ24" s="210"/>
      <c r="QZR24" s="210"/>
      <c r="QZS24" s="210"/>
      <c r="QZT24" s="210"/>
      <c r="QZU24" s="210"/>
      <c r="QZV24" s="210"/>
      <c r="QZW24" s="210"/>
      <c r="QZX24" s="210"/>
      <c r="QZY24" s="210"/>
      <c r="QZZ24" s="210"/>
      <c r="RAA24" s="210"/>
      <c r="RAB24" s="210"/>
      <c r="RAC24" s="210"/>
      <c r="RAD24" s="210"/>
      <c r="RAE24" s="210"/>
      <c r="RAF24" s="210"/>
      <c r="RAG24" s="210"/>
      <c r="RAH24" s="210"/>
      <c r="RAI24" s="210"/>
      <c r="RAJ24" s="210"/>
      <c r="RAK24" s="210"/>
      <c r="RAL24" s="210"/>
      <c r="RAM24" s="210"/>
      <c r="RAN24" s="210"/>
      <c r="RAO24" s="210"/>
      <c r="RAP24" s="210"/>
      <c r="RAQ24" s="210"/>
      <c r="RAR24" s="210"/>
      <c r="RAS24" s="210"/>
      <c r="RAT24" s="210"/>
      <c r="RAU24" s="210"/>
      <c r="RAV24" s="210"/>
      <c r="RAW24" s="210"/>
      <c r="RAX24" s="210"/>
      <c r="RAY24" s="210"/>
      <c r="RAZ24" s="210"/>
      <c r="RBA24" s="210"/>
      <c r="RBB24" s="210"/>
      <c r="RBC24" s="210"/>
      <c r="RBD24" s="210"/>
      <c r="RBE24" s="210"/>
      <c r="RBF24" s="210"/>
      <c r="RBG24" s="210"/>
      <c r="RBH24" s="210"/>
      <c r="RBI24" s="210"/>
      <c r="RBJ24" s="210"/>
      <c r="RBK24" s="210"/>
      <c r="RBL24" s="210"/>
      <c r="RBM24" s="210"/>
      <c r="RBN24" s="210"/>
      <c r="RBO24" s="210"/>
      <c r="RBP24" s="210"/>
      <c r="RBQ24" s="210"/>
      <c r="RBR24" s="210"/>
      <c r="RBS24" s="210"/>
      <c r="RBT24" s="210"/>
      <c r="RBU24" s="210"/>
      <c r="RBV24" s="210"/>
      <c r="RBW24" s="210"/>
      <c r="RBX24" s="210"/>
      <c r="RBY24" s="210"/>
      <c r="RBZ24" s="210"/>
      <c r="RCA24" s="210"/>
      <c r="RCB24" s="210"/>
      <c r="RCC24" s="210"/>
      <c r="RCD24" s="210"/>
      <c r="RCE24" s="210"/>
      <c r="RCF24" s="210"/>
      <c r="RCG24" s="210"/>
      <c r="RCH24" s="210"/>
      <c r="RCI24" s="210"/>
      <c r="RCJ24" s="210"/>
      <c r="RCK24" s="210"/>
      <c r="RCL24" s="210"/>
      <c r="RCM24" s="210"/>
      <c r="RCN24" s="210"/>
      <c r="RCO24" s="210"/>
      <c r="RCP24" s="210"/>
      <c r="RCQ24" s="210"/>
      <c r="RCR24" s="210"/>
      <c r="RCS24" s="210"/>
      <c r="RCT24" s="210"/>
      <c r="RCU24" s="210"/>
      <c r="RCV24" s="210"/>
      <c r="RCW24" s="210"/>
      <c r="RCX24" s="210"/>
      <c r="RCY24" s="210"/>
      <c r="RCZ24" s="210"/>
      <c r="RDA24" s="210"/>
      <c r="RDB24" s="210"/>
      <c r="RDC24" s="210"/>
      <c r="RDD24" s="210"/>
      <c r="RDE24" s="210"/>
      <c r="RDF24" s="210"/>
      <c r="RDG24" s="210"/>
      <c r="RDH24" s="210"/>
      <c r="RDI24" s="210"/>
      <c r="RDJ24" s="210"/>
      <c r="RDK24" s="210"/>
      <c r="RDL24" s="210"/>
      <c r="RDM24" s="210"/>
      <c r="RDN24" s="210"/>
      <c r="RDO24" s="210"/>
      <c r="RDP24" s="210"/>
      <c r="RDQ24" s="210"/>
      <c r="RDR24" s="210"/>
      <c r="RDS24" s="210"/>
      <c r="RDT24" s="210"/>
      <c r="RDU24" s="210"/>
      <c r="RDV24" s="210"/>
      <c r="RDW24" s="210"/>
      <c r="RDX24" s="210"/>
      <c r="RDY24" s="210"/>
      <c r="RDZ24" s="210"/>
      <c r="REA24" s="210"/>
      <c r="REB24" s="210"/>
      <c r="REC24" s="210"/>
      <c r="RED24" s="210"/>
      <c r="REE24" s="210"/>
      <c r="REF24" s="210"/>
      <c r="REG24" s="210"/>
      <c r="REH24" s="210"/>
      <c r="REI24" s="210"/>
      <c r="REJ24" s="210"/>
      <c r="REK24" s="210"/>
      <c r="REL24" s="210"/>
      <c r="REM24" s="210"/>
      <c r="REN24" s="210"/>
      <c r="REO24" s="210"/>
      <c r="REP24" s="210"/>
      <c r="REQ24" s="210"/>
      <c r="RER24" s="210"/>
      <c r="RES24" s="210"/>
      <c r="RET24" s="210"/>
      <c r="REU24" s="210"/>
      <c r="REV24" s="210"/>
      <c r="REW24" s="210"/>
      <c r="REX24" s="210"/>
      <c r="REY24" s="210"/>
      <c r="REZ24" s="210"/>
      <c r="RFA24" s="210"/>
      <c r="RFB24" s="210"/>
      <c r="RFC24" s="210"/>
      <c r="RFD24" s="210"/>
      <c r="RFE24" s="210"/>
      <c r="RFF24" s="210"/>
      <c r="RFG24" s="210"/>
      <c r="RFH24" s="210"/>
      <c r="RFI24" s="210"/>
      <c r="RFJ24" s="210"/>
      <c r="RFK24" s="210"/>
      <c r="RFL24" s="210"/>
      <c r="RFM24" s="210"/>
      <c r="RFN24" s="210"/>
      <c r="RFO24" s="210"/>
      <c r="RFP24" s="210"/>
      <c r="RFQ24" s="210"/>
      <c r="RFR24" s="210"/>
      <c r="RFS24" s="210"/>
      <c r="RFT24" s="210"/>
      <c r="RFU24" s="210"/>
      <c r="RFV24" s="210"/>
      <c r="RFW24" s="210"/>
      <c r="RFX24" s="210"/>
      <c r="RFY24" s="210"/>
      <c r="RFZ24" s="210"/>
      <c r="RGA24" s="210"/>
      <c r="RGB24" s="210"/>
      <c r="RGC24" s="210"/>
      <c r="RGD24" s="210"/>
      <c r="RGE24" s="210"/>
      <c r="RGF24" s="210"/>
      <c r="RGG24" s="210"/>
      <c r="RGH24" s="210"/>
      <c r="RGI24" s="210"/>
      <c r="RGJ24" s="210"/>
      <c r="RGK24" s="210"/>
      <c r="RGL24" s="210"/>
      <c r="RGM24" s="210"/>
      <c r="RGN24" s="210"/>
      <c r="RGO24" s="210"/>
      <c r="RGP24" s="210"/>
      <c r="RGQ24" s="210"/>
      <c r="RGR24" s="210"/>
      <c r="RGS24" s="210"/>
      <c r="RGT24" s="210"/>
      <c r="RGU24" s="210"/>
      <c r="RGV24" s="210"/>
      <c r="RGW24" s="210"/>
      <c r="RGX24" s="210"/>
      <c r="RGY24" s="210"/>
      <c r="RGZ24" s="210"/>
      <c r="RHA24" s="210"/>
      <c r="RHB24" s="210"/>
      <c r="RHC24" s="210"/>
      <c r="RHD24" s="210"/>
      <c r="RHE24" s="210"/>
      <c r="RHF24" s="210"/>
      <c r="RHG24" s="210"/>
      <c r="RHH24" s="210"/>
      <c r="RHI24" s="210"/>
      <c r="RHJ24" s="210"/>
      <c r="RHK24" s="210"/>
      <c r="RHL24" s="210"/>
      <c r="RHM24" s="210"/>
      <c r="RHN24" s="210"/>
      <c r="RHO24" s="210"/>
      <c r="RHP24" s="210"/>
      <c r="RHQ24" s="210"/>
      <c r="RHR24" s="210"/>
      <c r="RHS24" s="210"/>
      <c r="RHT24" s="210"/>
      <c r="RHU24" s="210"/>
      <c r="RHV24" s="210"/>
      <c r="RHW24" s="210"/>
      <c r="RHX24" s="210"/>
      <c r="RHY24" s="210"/>
      <c r="RHZ24" s="210"/>
      <c r="RIA24" s="210"/>
      <c r="RIB24" s="210"/>
      <c r="RIC24" s="210"/>
      <c r="RID24" s="210"/>
      <c r="RIE24" s="210"/>
      <c r="RIF24" s="210"/>
      <c r="RIG24" s="210"/>
      <c r="RIH24" s="210"/>
      <c r="RII24" s="210"/>
      <c r="RIJ24" s="210"/>
      <c r="RIK24" s="210"/>
      <c r="RIL24" s="210"/>
      <c r="RIM24" s="210"/>
      <c r="RIN24" s="210"/>
      <c r="RIO24" s="210"/>
      <c r="RIP24" s="210"/>
      <c r="RIQ24" s="210"/>
      <c r="RIR24" s="210"/>
      <c r="RIS24" s="210"/>
      <c r="RIT24" s="210"/>
      <c r="RIU24" s="210"/>
      <c r="RIV24" s="210"/>
      <c r="RIW24" s="210"/>
      <c r="RIX24" s="210"/>
      <c r="RIY24" s="210"/>
      <c r="RIZ24" s="210"/>
      <c r="RJA24" s="210"/>
      <c r="RJB24" s="210"/>
      <c r="RJC24" s="210"/>
      <c r="RJD24" s="210"/>
      <c r="RJE24" s="210"/>
      <c r="RJF24" s="210"/>
      <c r="RJG24" s="210"/>
      <c r="RJH24" s="210"/>
      <c r="RJI24" s="210"/>
      <c r="RJJ24" s="210"/>
      <c r="RJK24" s="210"/>
      <c r="RJL24" s="210"/>
      <c r="RJM24" s="210"/>
      <c r="RJN24" s="210"/>
      <c r="RJO24" s="210"/>
      <c r="RJP24" s="210"/>
      <c r="RJQ24" s="210"/>
      <c r="RJR24" s="210"/>
      <c r="RJS24" s="210"/>
      <c r="RJT24" s="210"/>
      <c r="RJU24" s="210"/>
      <c r="RJV24" s="210"/>
      <c r="RJW24" s="210"/>
      <c r="RJX24" s="210"/>
      <c r="RJY24" s="210"/>
      <c r="RJZ24" s="210"/>
      <c r="RKA24" s="210"/>
      <c r="RKB24" s="210"/>
      <c r="RKC24" s="210"/>
      <c r="RKD24" s="210"/>
      <c r="RKE24" s="210"/>
      <c r="RKF24" s="210"/>
      <c r="RKG24" s="210"/>
      <c r="RKH24" s="210"/>
      <c r="RKI24" s="210"/>
      <c r="RKJ24" s="210"/>
      <c r="RKK24" s="210"/>
      <c r="RKL24" s="210"/>
      <c r="RKM24" s="210"/>
      <c r="RKN24" s="210"/>
      <c r="RKO24" s="210"/>
      <c r="RKP24" s="210"/>
      <c r="RKQ24" s="210"/>
      <c r="RKR24" s="210"/>
      <c r="RKS24" s="210"/>
      <c r="RKT24" s="210"/>
      <c r="RKU24" s="210"/>
      <c r="RKV24" s="210"/>
      <c r="RKW24" s="210"/>
      <c r="RKX24" s="210"/>
      <c r="RKY24" s="210"/>
      <c r="RKZ24" s="210"/>
      <c r="RLA24" s="210"/>
      <c r="RLB24" s="210"/>
      <c r="RLC24" s="210"/>
      <c r="RLD24" s="210"/>
      <c r="RLE24" s="210"/>
      <c r="RLF24" s="210"/>
      <c r="RLG24" s="210"/>
      <c r="RLH24" s="210"/>
      <c r="RLI24" s="210"/>
      <c r="RLJ24" s="210"/>
      <c r="RLK24" s="210"/>
      <c r="RLL24" s="210"/>
      <c r="RLM24" s="210"/>
      <c r="RLN24" s="210"/>
      <c r="RLO24" s="210"/>
      <c r="RLP24" s="210"/>
      <c r="RLQ24" s="210"/>
      <c r="RLR24" s="210"/>
      <c r="RLS24" s="210"/>
      <c r="RLT24" s="210"/>
      <c r="RLU24" s="210"/>
      <c r="RLV24" s="210"/>
      <c r="RLW24" s="210"/>
      <c r="RLX24" s="210"/>
      <c r="RLY24" s="210"/>
      <c r="RLZ24" s="210"/>
      <c r="RMA24" s="210"/>
      <c r="RMB24" s="210"/>
      <c r="RMC24" s="210"/>
      <c r="RMD24" s="210"/>
      <c r="RME24" s="210"/>
      <c r="RMF24" s="210"/>
      <c r="RMG24" s="210"/>
      <c r="RMH24" s="210"/>
      <c r="RMI24" s="210"/>
      <c r="RMJ24" s="210"/>
      <c r="RMK24" s="210"/>
      <c r="RML24" s="210"/>
      <c r="RMM24" s="210"/>
      <c r="RMN24" s="210"/>
      <c r="RMO24" s="210"/>
      <c r="RMP24" s="210"/>
      <c r="RMQ24" s="210"/>
      <c r="RMR24" s="210"/>
      <c r="RMS24" s="210"/>
      <c r="RMT24" s="210"/>
      <c r="RMU24" s="210"/>
      <c r="RMV24" s="210"/>
      <c r="RMW24" s="210"/>
      <c r="RMX24" s="210"/>
      <c r="RMY24" s="210"/>
      <c r="RMZ24" s="210"/>
      <c r="RNA24" s="210"/>
      <c r="RNB24" s="210"/>
      <c r="RNC24" s="210"/>
      <c r="RND24" s="210"/>
      <c r="RNE24" s="210"/>
      <c r="RNF24" s="210"/>
      <c r="RNG24" s="210"/>
      <c r="RNH24" s="210"/>
      <c r="RNI24" s="210"/>
      <c r="RNJ24" s="210"/>
      <c r="RNK24" s="210"/>
      <c r="RNL24" s="210"/>
      <c r="RNM24" s="210"/>
      <c r="RNN24" s="210"/>
      <c r="RNO24" s="210"/>
      <c r="RNP24" s="210"/>
      <c r="RNQ24" s="210"/>
      <c r="RNR24" s="210"/>
      <c r="RNS24" s="210"/>
      <c r="RNT24" s="210"/>
      <c r="RNU24" s="210"/>
      <c r="RNV24" s="210"/>
      <c r="RNW24" s="210"/>
      <c r="RNX24" s="210"/>
      <c r="RNY24" s="210"/>
      <c r="RNZ24" s="210"/>
      <c r="ROA24" s="210"/>
      <c r="ROB24" s="210"/>
      <c r="ROC24" s="210"/>
      <c r="ROD24" s="210"/>
      <c r="ROE24" s="210"/>
      <c r="ROF24" s="210"/>
      <c r="ROG24" s="210"/>
      <c r="ROH24" s="210"/>
      <c r="ROI24" s="210"/>
      <c r="ROJ24" s="210"/>
      <c r="ROK24" s="210"/>
      <c r="ROL24" s="210"/>
      <c r="ROM24" s="210"/>
      <c r="RON24" s="210"/>
      <c r="ROO24" s="210"/>
      <c r="ROP24" s="210"/>
      <c r="ROQ24" s="210"/>
      <c r="ROR24" s="210"/>
      <c r="ROS24" s="210"/>
      <c r="ROT24" s="210"/>
      <c r="ROU24" s="210"/>
      <c r="ROV24" s="210"/>
      <c r="ROW24" s="210"/>
      <c r="ROX24" s="210"/>
      <c r="ROY24" s="210"/>
      <c r="ROZ24" s="210"/>
      <c r="RPA24" s="210"/>
      <c r="RPB24" s="210"/>
      <c r="RPC24" s="210"/>
      <c r="RPD24" s="210"/>
      <c r="RPE24" s="210"/>
      <c r="RPF24" s="210"/>
      <c r="RPG24" s="210"/>
      <c r="RPH24" s="210"/>
      <c r="RPI24" s="210"/>
      <c r="RPJ24" s="210"/>
      <c r="RPK24" s="210"/>
      <c r="RPL24" s="210"/>
      <c r="RPM24" s="210"/>
      <c r="RPN24" s="210"/>
      <c r="RPO24" s="210"/>
      <c r="RPP24" s="210"/>
      <c r="RPQ24" s="210"/>
      <c r="RPR24" s="210"/>
      <c r="RPS24" s="210"/>
      <c r="RPT24" s="210"/>
      <c r="RPU24" s="210"/>
      <c r="RPV24" s="210"/>
      <c r="RPW24" s="210"/>
      <c r="RPX24" s="210"/>
      <c r="RPY24" s="210"/>
      <c r="RPZ24" s="210"/>
      <c r="RQA24" s="210"/>
      <c r="RQB24" s="210"/>
      <c r="RQC24" s="210"/>
      <c r="RQD24" s="210"/>
      <c r="RQE24" s="210"/>
      <c r="RQF24" s="210"/>
      <c r="RQG24" s="210"/>
      <c r="RQH24" s="210"/>
      <c r="RQI24" s="210"/>
      <c r="RQJ24" s="210"/>
      <c r="RQK24" s="210"/>
      <c r="RQL24" s="210"/>
      <c r="RQM24" s="210"/>
      <c r="RQN24" s="210"/>
      <c r="RQO24" s="210"/>
      <c r="RQP24" s="210"/>
      <c r="RQQ24" s="210"/>
      <c r="RQR24" s="210"/>
      <c r="RQS24" s="210"/>
      <c r="RQT24" s="210"/>
      <c r="RQU24" s="210"/>
      <c r="RQV24" s="210"/>
      <c r="RQW24" s="210"/>
      <c r="RQX24" s="210"/>
      <c r="RQY24" s="210"/>
      <c r="RQZ24" s="210"/>
      <c r="RRA24" s="210"/>
      <c r="RRB24" s="210"/>
      <c r="RRC24" s="210"/>
      <c r="RRD24" s="210"/>
      <c r="RRE24" s="210"/>
      <c r="RRF24" s="210"/>
      <c r="RRG24" s="210"/>
      <c r="RRH24" s="210"/>
      <c r="RRI24" s="210"/>
      <c r="RRJ24" s="210"/>
      <c r="RRK24" s="210"/>
      <c r="RRL24" s="210"/>
      <c r="RRM24" s="210"/>
      <c r="RRN24" s="210"/>
      <c r="RRO24" s="210"/>
      <c r="RRP24" s="210"/>
      <c r="RRQ24" s="210"/>
      <c r="RRR24" s="210"/>
      <c r="RRS24" s="210"/>
      <c r="RRT24" s="210"/>
      <c r="RRU24" s="210"/>
      <c r="RRV24" s="210"/>
      <c r="RRW24" s="210"/>
      <c r="RRX24" s="210"/>
      <c r="RRY24" s="210"/>
      <c r="RRZ24" s="210"/>
      <c r="RSA24" s="210"/>
      <c r="RSB24" s="210"/>
      <c r="RSC24" s="210"/>
      <c r="RSD24" s="210"/>
      <c r="RSE24" s="210"/>
      <c r="RSF24" s="210"/>
      <c r="RSG24" s="210"/>
      <c r="RSH24" s="210"/>
      <c r="RSI24" s="210"/>
      <c r="RSJ24" s="210"/>
      <c r="RSK24" s="210"/>
      <c r="RSL24" s="210"/>
      <c r="RSM24" s="210"/>
      <c r="RSN24" s="210"/>
      <c r="RSO24" s="210"/>
      <c r="RSP24" s="210"/>
      <c r="RSQ24" s="210"/>
      <c r="RSR24" s="210"/>
      <c r="RSS24" s="210"/>
      <c r="RST24" s="210"/>
      <c r="RSU24" s="210"/>
      <c r="RSV24" s="210"/>
      <c r="RSW24" s="210"/>
      <c r="RSX24" s="210"/>
      <c r="RSY24" s="210"/>
      <c r="RSZ24" s="210"/>
      <c r="RTA24" s="210"/>
      <c r="RTB24" s="210"/>
      <c r="RTC24" s="210"/>
      <c r="RTD24" s="210"/>
      <c r="RTE24" s="210"/>
      <c r="RTF24" s="210"/>
      <c r="RTG24" s="210"/>
      <c r="RTH24" s="210"/>
      <c r="RTI24" s="210"/>
      <c r="RTJ24" s="210"/>
      <c r="RTK24" s="210"/>
      <c r="RTL24" s="210"/>
      <c r="RTM24" s="210"/>
      <c r="RTN24" s="210"/>
      <c r="RTO24" s="210"/>
      <c r="RTP24" s="210"/>
      <c r="RTQ24" s="210"/>
      <c r="RTR24" s="210"/>
      <c r="RTS24" s="210"/>
      <c r="RTT24" s="210"/>
      <c r="RTU24" s="210"/>
      <c r="RTV24" s="210"/>
      <c r="RTW24" s="210"/>
      <c r="RTX24" s="210"/>
      <c r="RTY24" s="210"/>
      <c r="RTZ24" s="210"/>
      <c r="RUA24" s="210"/>
      <c r="RUB24" s="210"/>
      <c r="RUC24" s="210"/>
      <c r="RUD24" s="210"/>
      <c r="RUE24" s="210"/>
      <c r="RUF24" s="210"/>
      <c r="RUG24" s="210"/>
      <c r="RUH24" s="210"/>
      <c r="RUI24" s="210"/>
      <c r="RUJ24" s="210"/>
      <c r="RUK24" s="210"/>
      <c r="RUL24" s="210"/>
      <c r="RUM24" s="210"/>
      <c r="RUN24" s="210"/>
      <c r="RUO24" s="210"/>
      <c r="RUP24" s="210"/>
      <c r="RUQ24" s="210"/>
      <c r="RUR24" s="210"/>
      <c r="RUS24" s="210"/>
      <c r="RUT24" s="210"/>
      <c r="RUU24" s="210"/>
      <c r="RUV24" s="210"/>
      <c r="RUW24" s="210"/>
      <c r="RUX24" s="210"/>
      <c r="RUY24" s="210"/>
      <c r="RUZ24" s="210"/>
      <c r="RVA24" s="210"/>
      <c r="RVB24" s="210"/>
      <c r="RVC24" s="210"/>
      <c r="RVD24" s="210"/>
      <c r="RVE24" s="210"/>
      <c r="RVF24" s="210"/>
      <c r="RVG24" s="210"/>
      <c r="RVH24" s="210"/>
      <c r="RVI24" s="210"/>
      <c r="RVJ24" s="210"/>
      <c r="RVK24" s="210"/>
      <c r="RVL24" s="210"/>
      <c r="RVM24" s="210"/>
      <c r="RVN24" s="210"/>
      <c r="RVO24" s="210"/>
      <c r="RVP24" s="210"/>
      <c r="RVQ24" s="210"/>
      <c r="RVR24" s="210"/>
      <c r="RVS24" s="210"/>
      <c r="RVT24" s="210"/>
      <c r="RVU24" s="210"/>
      <c r="RVV24" s="210"/>
      <c r="RVW24" s="210"/>
      <c r="RVX24" s="210"/>
      <c r="RVY24" s="210"/>
      <c r="RVZ24" s="210"/>
      <c r="RWA24" s="210"/>
      <c r="RWB24" s="210"/>
      <c r="RWC24" s="210"/>
      <c r="RWD24" s="210"/>
      <c r="RWE24" s="210"/>
      <c r="RWF24" s="210"/>
      <c r="RWG24" s="210"/>
      <c r="RWH24" s="210"/>
      <c r="RWI24" s="210"/>
      <c r="RWJ24" s="210"/>
      <c r="RWK24" s="210"/>
      <c r="RWL24" s="210"/>
      <c r="RWM24" s="210"/>
      <c r="RWN24" s="210"/>
      <c r="RWO24" s="210"/>
      <c r="RWP24" s="210"/>
      <c r="RWQ24" s="210"/>
      <c r="RWR24" s="210"/>
      <c r="RWS24" s="210"/>
      <c r="RWT24" s="210"/>
      <c r="RWU24" s="210"/>
      <c r="RWV24" s="210"/>
      <c r="RWW24" s="210"/>
      <c r="RWX24" s="210"/>
      <c r="RWY24" s="210"/>
      <c r="RWZ24" s="210"/>
      <c r="RXA24" s="210"/>
      <c r="RXB24" s="210"/>
      <c r="RXC24" s="210"/>
      <c r="RXD24" s="210"/>
      <c r="RXE24" s="210"/>
      <c r="RXF24" s="210"/>
      <c r="RXG24" s="210"/>
      <c r="RXH24" s="210"/>
      <c r="RXI24" s="210"/>
      <c r="RXJ24" s="210"/>
      <c r="RXK24" s="210"/>
      <c r="RXL24" s="210"/>
      <c r="RXM24" s="210"/>
      <c r="RXN24" s="210"/>
      <c r="RXO24" s="210"/>
      <c r="RXP24" s="210"/>
      <c r="RXQ24" s="210"/>
      <c r="RXR24" s="210"/>
      <c r="RXS24" s="210"/>
      <c r="RXT24" s="210"/>
      <c r="RXU24" s="210"/>
      <c r="RXV24" s="210"/>
      <c r="RXW24" s="210"/>
      <c r="RXX24" s="210"/>
      <c r="RXY24" s="210"/>
      <c r="RXZ24" s="210"/>
      <c r="RYA24" s="210"/>
      <c r="RYB24" s="210"/>
      <c r="RYC24" s="210"/>
      <c r="RYD24" s="210"/>
      <c r="RYE24" s="210"/>
      <c r="RYF24" s="210"/>
      <c r="RYG24" s="210"/>
      <c r="RYH24" s="210"/>
      <c r="RYI24" s="210"/>
      <c r="RYJ24" s="210"/>
      <c r="RYK24" s="210"/>
      <c r="RYL24" s="210"/>
      <c r="RYM24" s="210"/>
      <c r="RYN24" s="210"/>
      <c r="RYO24" s="210"/>
      <c r="RYP24" s="210"/>
      <c r="RYQ24" s="210"/>
      <c r="RYR24" s="210"/>
      <c r="RYS24" s="210"/>
      <c r="RYT24" s="210"/>
      <c r="RYU24" s="210"/>
      <c r="RYV24" s="210"/>
      <c r="RYW24" s="210"/>
      <c r="RYX24" s="210"/>
      <c r="RYY24" s="210"/>
      <c r="RYZ24" s="210"/>
      <c r="RZA24" s="210"/>
      <c r="RZB24" s="210"/>
      <c r="RZC24" s="210"/>
      <c r="RZD24" s="210"/>
      <c r="RZE24" s="210"/>
      <c r="RZF24" s="210"/>
      <c r="RZG24" s="210"/>
      <c r="RZH24" s="210"/>
      <c r="RZI24" s="210"/>
      <c r="RZJ24" s="210"/>
      <c r="RZK24" s="210"/>
      <c r="RZL24" s="210"/>
      <c r="RZM24" s="210"/>
      <c r="RZN24" s="210"/>
      <c r="RZO24" s="210"/>
      <c r="RZP24" s="210"/>
      <c r="RZQ24" s="210"/>
      <c r="RZR24" s="210"/>
      <c r="RZS24" s="210"/>
      <c r="RZT24" s="210"/>
      <c r="RZU24" s="210"/>
      <c r="RZV24" s="210"/>
      <c r="RZW24" s="210"/>
      <c r="RZX24" s="210"/>
      <c r="RZY24" s="210"/>
      <c r="RZZ24" s="210"/>
      <c r="SAA24" s="210"/>
      <c r="SAB24" s="210"/>
      <c r="SAC24" s="210"/>
      <c r="SAD24" s="210"/>
      <c r="SAE24" s="210"/>
      <c r="SAF24" s="210"/>
      <c r="SAG24" s="210"/>
      <c r="SAH24" s="210"/>
      <c r="SAI24" s="210"/>
      <c r="SAJ24" s="210"/>
      <c r="SAK24" s="210"/>
      <c r="SAL24" s="210"/>
      <c r="SAM24" s="210"/>
      <c r="SAN24" s="210"/>
      <c r="SAO24" s="210"/>
      <c r="SAP24" s="210"/>
      <c r="SAQ24" s="210"/>
      <c r="SAR24" s="210"/>
      <c r="SAS24" s="210"/>
      <c r="SAT24" s="210"/>
      <c r="SAU24" s="210"/>
      <c r="SAV24" s="210"/>
      <c r="SAW24" s="210"/>
      <c r="SAX24" s="210"/>
      <c r="SAY24" s="210"/>
      <c r="SAZ24" s="210"/>
      <c r="SBA24" s="210"/>
      <c r="SBB24" s="210"/>
      <c r="SBC24" s="210"/>
      <c r="SBD24" s="210"/>
      <c r="SBE24" s="210"/>
      <c r="SBF24" s="210"/>
      <c r="SBG24" s="210"/>
      <c r="SBH24" s="210"/>
      <c r="SBI24" s="210"/>
      <c r="SBJ24" s="210"/>
      <c r="SBK24" s="210"/>
      <c r="SBL24" s="210"/>
      <c r="SBM24" s="210"/>
      <c r="SBN24" s="210"/>
      <c r="SBO24" s="210"/>
      <c r="SBP24" s="210"/>
      <c r="SBQ24" s="210"/>
      <c r="SBR24" s="210"/>
      <c r="SBS24" s="210"/>
      <c r="SBT24" s="210"/>
      <c r="SBU24" s="210"/>
      <c r="SBV24" s="210"/>
      <c r="SBW24" s="210"/>
      <c r="SBX24" s="210"/>
      <c r="SBY24" s="210"/>
      <c r="SBZ24" s="210"/>
      <c r="SCA24" s="210"/>
      <c r="SCB24" s="210"/>
      <c r="SCC24" s="210"/>
      <c r="SCD24" s="210"/>
      <c r="SCE24" s="210"/>
      <c r="SCF24" s="210"/>
      <c r="SCG24" s="210"/>
      <c r="SCH24" s="210"/>
      <c r="SCI24" s="210"/>
      <c r="SCJ24" s="210"/>
      <c r="SCK24" s="210"/>
      <c r="SCL24" s="210"/>
      <c r="SCM24" s="210"/>
      <c r="SCN24" s="210"/>
      <c r="SCO24" s="210"/>
      <c r="SCP24" s="210"/>
      <c r="SCQ24" s="210"/>
      <c r="SCR24" s="210"/>
      <c r="SCS24" s="210"/>
      <c r="SCT24" s="210"/>
      <c r="SCU24" s="210"/>
      <c r="SCV24" s="210"/>
      <c r="SCW24" s="210"/>
      <c r="SCX24" s="210"/>
      <c r="SCY24" s="210"/>
      <c r="SCZ24" s="210"/>
      <c r="SDA24" s="210"/>
      <c r="SDB24" s="210"/>
      <c r="SDC24" s="210"/>
      <c r="SDD24" s="210"/>
      <c r="SDE24" s="210"/>
      <c r="SDF24" s="210"/>
      <c r="SDG24" s="210"/>
      <c r="SDH24" s="210"/>
      <c r="SDI24" s="210"/>
      <c r="SDJ24" s="210"/>
      <c r="SDK24" s="210"/>
      <c r="SDL24" s="210"/>
      <c r="SDM24" s="210"/>
      <c r="SDN24" s="210"/>
      <c r="SDO24" s="210"/>
      <c r="SDP24" s="210"/>
      <c r="SDQ24" s="210"/>
      <c r="SDR24" s="210"/>
      <c r="SDS24" s="210"/>
      <c r="SDT24" s="210"/>
      <c r="SDU24" s="210"/>
      <c r="SDV24" s="210"/>
      <c r="SDW24" s="210"/>
      <c r="SDX24" s="210"/>
      <c r="SDY24" s="210"/>
      <c r="SDZ24" s="210"/>
      <c r="SEA24" s="210"/>
      <c r="SEB24" s="210"/>
      <c r="SEC24" s="210"/>
      <c r="SED24" s="210"/>
      <c r="SEE24" s="210"/>
      <c r="SEF24" s="210"/>
      <c r="SEG24" s="210"/>
      <c r="SEH24" s="210"/>
      <c r="SEI24" s="210"/>
      <c r="SEJ24" s="210"/>
      <c r="SEK24" s="210"/>
      <c r="SEL24" s="210"/>
      <c r="SEM24" s="210"/>
      <c r="SEN24" s="210"/>
      <c r="SEO24" s="210"/>
      <c r="SEP24" s="210"/>
      <c r="SEQ24" s="210"/>
      <c r="SER24" s="210"/>
      <c r="SES24" s="210"/>
      <c r="SET24" s="210"/>
      <c r="SEU24" s="210"/>
      <c r="SEV24" s="210"/>
      <c r="SEW24" s="210"/>
      <c r="SEX24" s="210"/>
      <c r="SEY24" s="210"/>
      <c r="SEZ24" s="210"/>
      <c r="SFA24" s="210"/>
      <c r="SFB24" s="210"/>
      <c r="SFC24" s="210"/>
      <c r="SFD24" s="210"/>
      <c r="SFE24" s="210"/>
      <c r="SFF24" s="210"/>
      <c r="SFG24" s="210"/>
      <c r="SFH24" s="210"/>
      <c r="SFI24" s="210"/>
      <c r="SFJ24" s="210"/>
      <c r="SFK24" s="210"/>
      <c r="SFL24" s="210"/>
      <c r="SFM24" s="210"/>
      <c r="SFN24" s="210"/>
      <c r="SFO24" s="210"/>
      <c r="SFP24" s="210"/>
      <c r="SFQ24" s="210"/>
      <c r="SFR24" s="210"/>
      <c r="SFS24" s="210"/>
      <c r="SFT24" s="210"/>
      <c r="SFU24" s="210"/>
      <c r="SFV24" s="210"/>
      <c r="SFW24" s="210"/>
      <c r="SFX24" s="210"/>
      <c r="SFY24" s="210"/>
      <c r="SFZ24" s="210"/>
      <c r="SGA24" s="210"/>
      <c r="SGB24" s="210"/>
      <c r="SGC24" s="210"/>
      <c r="SGD24" s="210"/>
      <c r="SGE24" s="210"/>
      <c r="SGF24" s="210"/>
      <c r="SGG24" s="210"/>
      <c r="SGH24" s="210"/>
      <c r="SGI24" s="210"/>
      <c r="SGJ24" s="210"/>
      <c r="SGK24" s="210"/>
      <c r="SGL24" s="210"/>
      <c r="SGM24" s="210"/>
      <c r="SGN24" s="210"/>
      <c r="SGO24" s="210"/>
      <c r="SGP24" s="210"/>
      <c r="SGQ24" s="210"/>
      <c r="SGR24" s="210"/>
      <c r="SGS24" s="210"/>
      <c r="SGT24" s="210"/>
      <c r="SGU24" s="210"/>
      <c r="SGV24" s="210"/>
      <c r="SGW24" s="210"/>
      <c r="SGX24" s="210"/>
      <c r="SGY24" s="210"/>
      <c r="SGZ24" s="210"/>
      <c r="SHA24" s="210"/>
      <c r="SHB24" s="210"/>
      <c r="SHC24" s="210"/>
      <c r="SHD24" s="210"/>
      <c r="SHE24" s="210"/>
      <c r="SHF24" s="210"/>
      <c r="SHG24" s="210"/>
      <c r="SHH24" s="210"/>
      <c r="SHI24" s="210"/>
      <c r="SHJ24" s="210"/>
      <c r="SHK24" s="210"/>
      <c r="SHL24" s="210"/>
      <c r="SHM24" s="210"/>
      <c r="SHN24" s="210"/>
      <c r="SHO24" s="210"/>
      <c r="SHP24" s="210"/>
      <c r="SHQ24" s="210"/>
      <c r="SHR24" s="210"/>
      <c r="SHS24" s="210"/>
      <c r="SHT24" s="210"/>
      <c r="SHU24" s="210"/>
      <c r="SHV24" s="210"/>
      <c r="SHW24" s="210"/>
      <c r="SHX24" s="210"/>
      <c r="SHY24" s="210"/>
      <c r="SHZ24" s="210"/>
      <c r="SIA24" s="210"/>
      <c r="SIB24" s="210"/>
      <c r="SIC24" s="210"/>
      <c r="SID24" s="210"/>
      <c r="SIE24" s="210"/>
      <c r="SIF24" s="210"/>
      <c r="SIG24" s="210"/>
      <c r="SIH24" s="210"/>
      <c r="SII24" s="210"/>
      <c r="SIJ24" s="210"/>
      <c r="SIK24" s="210"/>
      <c r="SIL24" s="210"/>
      <c r="SIM24" s="210"/>
      <c r="SIN24" s="210"/>
      <c r="SIO24" s="210"/>
      <c r="SIP24" s="210"/>
      <c r="SIQ24" s="210"/>
      <c r="SIR24" s="210"/>
      <c r="SIS24" s="210"/>
      <c r="SIT24" s="210"/>
      <c r="SIU24" s="210"/>
      <c r="SIV24" s="210"/>
      <c r="SIW24" s="210"/>
      <c r="SIX24" s="210"/>
      <c r="SIY24" s="210"/>
      <c r="SIZ24" s="210"/>
      <c r="SJA24" s="210"/>
      <c r="SJB24" s="210"/>
      <c r="SJC24" s="210"/>
      <c r="SJD24" s="210"/>
      <c r="SJE24" s="210"/>
      <c r="SJF24" s="210"/>
      <c r="SJG24" s="210"/>
      <c r="SJH24" s="210"/>
      <c r="SJI24" s="210"/>
      <c r="SJJ24" s="210"/>
      <c r="SJK24" s="210"/>
      <c r="SJL24" s="210"/>
      <c r="SJM24" s="210"/>
      <c r="SJN24" s="210"/>
      <c r="SJO24" s="210"/>
      <c r="SJP24" s="210"/>
      <c r="SJQ24" s="210"/>
      <c r="SJR24" s="210"/>
      <c r="SJS24" s="210"/>
      <c r="SJT24" s="210"/>
      <c r="SJU24" s="210"/>
      <c r="SJV24" s="210"/>
      <c r="SJW24" s="210"/>
      <c r="SJX24" s="210"/>
      <c r="SJY24" s="210"/>
      <c r="SJZ24" s="210"/>
      <c r="SKA24" s="210"/>
      <c r="SKB24" s="210"/>
      <c r="SKC24" s="210"/>
      <c r="SKD24" s="210"/>
      <c r="SKE24" s="210"/>
      <c r="SKF24" s="210"/>
      <c r="SKG24" s="210"/>
      <c r="SKH24" s="210"/>
      <c r="SKI24" s="210"/>
      <c r="SKJ24" s="210"/>
      <c r="SKK24" s="210"/>
      <c r="SKL24" s="210"/>
      <c r="SKM24" s="210"/>
      <c r="SKN24" s="210"/>
      <c r="SKO24" s="210"/>
      <c r="SKP24" s="210"/>
      <c r="SKQ24" s="210"/>
      <c r="SKR24" s="210"/>
      <c r="SKS24" s="210"/>
      <c r="SKT24" s="210"/>
      <c r="SKU24" s="210"/>
      <c r="SKV24" s="210"/>
      <c r="SKW24" s="210"/>
      <c r="SKX24" s="210"/>
      <c r="SKY24" s="210"/>
      <c r="SKZ24" s="210"/>
      <c r="SLA24" s="210"/>
      <c r="SLB24" s="210"/>
      <c r="SLC24" s="210"/>
      <c r="SLD24" s="210"/>
      <c r="SLE24" s="210"/>
      <c r="SLF24" s="210"/>
      <c r="SLG24" s="210"/>
      <c r="SLH24" s="210"/>
      <c r="SLI24" s="210"/>
      <c r="SLJ24" s="210"/>
      <c r="SLK24" s="210"/>
      <c r="SLL24" s="210"/>
      <c r="SLM24" s="210"/>
      <c r="SLN24" s="210"/>
      <c r="SLO24" s="210"/>
      <c r="SLP24" s="210"/>
      <c r="SLQ24" s="210"/>
      <c r="SLR24" s="210"/>
      <c r="SLS24" s="210"/>
      <c r="SLT24" s="210"/>
      <c r="SLU24" s="210"/>
      <c r="SLV24" s="210"/>
      <c r="SLW24" s="210"/>
      <c r="SLX24" s="210"/>
      <c r="SLY24" s="210"/>
      <c r="SLZ24" s="210"/>
      <c r="SMA24" s="210"/>
      <c r="SMB24" s="210"/>
      <c r="SMC24" s="210"/>
      <c r="SMD24" s="210"/>
      <c r="SME24" s="210"/>
      <c r="SMF24" s="210"/>
      <c r="SMG24" s="210"/>
      <c r="SMH24" s="210"/>
      <c r="SMI24" s="210"/>
      <c r="SMJ24" s="210"/>
      <c r="SMK24" s="210"/>
      <c r="SML24" s="210"/>
      <c r="SMM24" s="210"/>
      <c r="SMN24" s="210"/>
      <c r="SMO24" s="210"/>
      <c r="SMP24" s="210"/>
      <c r="SMQ24" s="210"/>
      <c r="SMR24" s="210"/>
      <c r="SMS24" s="210"/>
      <c r="SMT24" s="210"/>
      <c r="SMU24" s="210"/>
      <c r="SMV24" s="210"/>
      <c r="SMW24" s="210"/>
      <c r="SMX24" s="210"/>
      <c r="SMY24" s="210"/>
      <c r="SMZ24" s="210"/>
      <c r="SNA24" s="210"/>
      <c r="SNB24" s="210"/>
      <c r="SNC24" s="210"/>
      <c r="SND24" s="210"/>
      <c r="SNE24" s="210"/>
      <c r="SNF24" s="210"/>
      <c r="SNG24" s="210"/>
      <c r="SNH24" s="210"/>
      <c r="SNI24" s="210"/>
      <c r="SNJ24" s="210"/>
      <c r="SNK24" s="210"/>
      <c r="SNL24" s="210"/>
      <c r="SNM24" s="210"/>
      <c r="SNN24" s="210"/>
      <c r="SNO24" s="210"/>
      <c r="SNP24" s="210"/>
      <c r="SNQ24" s="210"/>
      <c r="SNR24" s="210"/>
      <c r="SNS24" s="210"/>
      <c r="SNT24" s="210"/>
      <c r="SNU24" s="210"/>
      <c r="SNV24" s="210"/>
      <c r="SNW24" s="210"/>
      <c r="SNX24" s="210"/>
      <c r="SNY24" s="210"/>
      <c r="SNZ24" s="210"/>
      <c r="SOA24" s="210"/>
      <c r="SOB24" s="210"/>
      <c r="SOC24" s="210"/>
      <c r="SOD24" s="210"/>
      <c r="SOE24" s="210"/>
      <c r="SOF24" s="210"/>
      <c r="SOG24" s="210"/>
      <c r="SOH24" s="210"/>
      <c r="SOI24" s="210"/>
      <c r="SOJ24" s="210"/>
      <c r="SOK24" s="210"/>
      <c r="SOL24" s="210"/>
      <c r="SOM24" s="210"/>
      <c r="SON24" s="210"/>
      <c r="SOO24" s="210"/>
      <c r="SOP24" s="210"/>
      <c r="SOQ24" s="210"/>
      <c r="SOR24" s="210"/>
      <c r="SOS24" s="210"/>
      <c r="SOT24" s="210"/>
      <c r="SOU24" s="210"/>
      <c r="SOV24" s="210"/>
      <c r="SOW24" s="210"/>
      <c r="SOX24" s="210"/>
      <c r="SOY24" s="210"/>
      <c r="SOZ24" s="210"/>
      <c r="SPA24" s="210"/>
      <c r="SPB24" s="210"/>
      <c r="SPC24" s="210"/>
      <c r="SPD24" s="210"/>
      <c r="SPE24" s="210"/>
      <c r="SPF24" s="210"/>
      <c r="SPG24" s="210"/>
      <c r="SPH24" s="210"/>
      <c r="SPI24" s="210"/>
      <c r="SPJ24" s="210"/>
      <c r="SPK24" s="210"/>
      <c r="SPL24" s="210"/>
      <c r="SPM24" s="210"/>
      <c r="SPN24" s="210"/>
      <c r="SPO24" s="210"/>
      <c r="SPP24" s="210"/>
      <c r="SPQ24" s="210"/>
      <c r="SPR24" s="210"/>
      <c r="SPS24" s="210"/>
      <c r="SPT24" s="210"/>
      <c r="SPU24" s="210"/>
      <c r="SPV24" s="210"/>
      <c r="SPW24" s="210"/>
      <c r="SPX24" s="210"/>
      <c r="SPY24" s="210"/>
      <c r="SPZ24" s="210"/>
      <c r="SQA24" s="210"/>
      <c r="SQB24" s="210"/>
      <c r="SQC24" s="210"/>
      <c r="SQD24" s="210"/>
      <c r="SQE24" s="210"/>
      <c r="SQF24" s="210"/>
      <c r="SQG24" s="210"/>
      <c r="SQH24" s="210"/>
      <c r="SQI24" s="210"/>
      <c r="SQJ24" s="210"/>
      <c r="SQK24" s="210"/>
      <c r="SQL24" s="210"/>
      <c r="SQM24" s="210"/>
      <c r="SQN24" s="210"/>
      <c r="SQO24" s="210"/>
      <c r="SQP24" s="210"/>
      <c r="SQQ24" s="210"/>
      <c r="SQR24" s="210"/>
      <c r="SQS24" s="210"/>
      <c r="SQT24" s="210"/>
      <c r="SQU24" s="210"/>
      <c r="SQV24" s="210"/>
      <c r="SQW24" s="210"/>
      <c r="SQX24" s="210"/>
      <c r="SQY24" s="210"/>
      <c r="SQZ24" s="210"/>
      <c r="SRA24" s="210"/>
      <c r="SRB24" s="210"/>
      <c r="SRC24" s="210"/>
      <c r="SRD24" s="210"/>
      <c r="SRE24" s="210"/>
      <c r="SRF24" s="210"/>
      <c r="SRG24" s="210"/>
      <c r="SRH24" s="210"/>
      <c r="SRI24" s="210"/>
      <c r="SRJ24" s="210"/>
      <c r="SRK24" s="210"/>
      <c r="SRL24" s="210"/>
      <c r="SRM24" s="210"/>
      <c r="SRN24" s="210"/>
      <c r="SRO24" s="210"/>
      <c r="SRP24" s="210"/>
      <c r="SRQ24" s="210"/>
      <c r="SRR24" s="210"/>
      <c r="SRS24" s="210"/>
      <c r="SRT24" s="210"/>
      <c r="SRU24" s="210"/>
      <c r="SRV24" s="210"/>
      <c r="SRW24" s="210"/>
      <c r="SRX24" s="210"/>
      <c r="SRY24" s="210"/>
      <c r="SRZ24" s="210"/>
      <c r="SSA24" s="210"/>
      <c r="SSB24" s="210"/>
      <c r="SSC24" s="210"/>
      <c r="SSD24" s="210"/>
      <c r="SSE24" s="210"/>
      <c r="SSF24" s="210"/>
      <c r="SSG24" s="210"/>
      <c r="SSH24" s="210"/>
      <c r="SSI24" s="210"/>
      <c r="SSJ24" s="210"/>
      <c r="SSK24" s="210"/>
      <c r="SSL24" s="210"/>
      <c r="SSM24" s="210"/>
      <c r="SSN24" s="210"/>
      <c r="SSO24" s="210"/>
      <c r="SSP24" s="210"/>
      <c r="SSQ24" s="210"/>
      <c r="SSR24" s="210"/>
      <c r="SSS24" s="210"/>
      <c r="SST24" s="210"/>
      <c r="SSU24" s="210"/>
      <c r="SSV24" s="210"/>
      <c r="SSW24" s="210"/>
      <c r="SSX24" s="210"/>
      <c r="SSY24" s="210"/>
      <c r="SSZ24" s="210"/>
      <c r="STA24" s="210"/>
      <c r="STB24" s="210"/>
      <c r="STC24" s="210"/>
      <c r="STD24" s="210"/>
      <c r="STE24" s="210"/>
      <c r="STF24" s="210"/>
      <c r="STG24" s="210"/>
      <c r="STH24" s="210"/>
      <c r="STI24" s="210"/>
      <c r="STJ24" s="210"/>
      <c r="STK24" s="210"/>
      <c r="STL24" s="210"/>
      <c r="STM24" s="210"/>
      <c r="STN24" s="210"/>
      <c r="STO24" s="210"/>
      <c r="STP24" s="210"/>
      <c r="STQ24" s="210"/>
      <c r="STR24" s="210"/>
      <c r="STS24" s="210"/>
      <c r="STT24" s="210"/>
      <c r="STU24" s="210"/>
      <c r="STV24" s="210"/>
      <c r="STW24" s="210"/>
      <c r="STX24" s="210"/>
      <c r="STY24" s="210"/>
      <c r="STZ24" s="210"/>
      <c r="SUA24" s="210"/>
      <c r="SUB24" s="210"/>
      <c r="SUC24" s="210"/>
      <c r="SUD24" s="210"/>
      <c r="SUE24" s="210"/>
      <c r="SUF24" s="210"/>
      <c r="SUG24" s="210"/>
      <c r="SUH24" s="210"/>
      <c r="SUI24" s="210"/>
      <c r="SUJ24" s="210"/>
      <c r="SUK24" s="210"/>
      <c r="SUL24" s="210"/>
      <c r="SUM24" s="210"/>
      <c r="SUN24" s="210"/>
      <c r="SUO24" s="210"/>
      <c r="SUP24" s="210"/>
      <c r="SUQ24" s="210"/>
      <c r="SUR24" s="210"/>
      <c r="SUS24" s="210"/>
      <c r="SUT24" s="210"/>
      <c r="SUU24" s="210"/>
      <c r="SUV24" s="210"/>
      <c r="SUW24" s="210"/>
      <c r="SUX24" s="210"/>
      <c r="SUY24" s="210"/>
      <c r="SUZ24" s="210"/>
      <c r="SVA24" s="210"/>
      <c r="SVB24" s="210"/>
      <c r="SVC24" s="210"/>
      <c r="SVD24" s="210"/>
      <c r="SVE24" s="210"/>
      <c r="SVF24" s="210"/>
      <c r="SVG24" s="210"/>
      <c r="SVH24" s="210"/>
      <c r="SVI24" s="210"/>
      <c r="SVJ24" s="210"/>
      <c r="SVK24" s="210"/>
      <c r="SVL24" s="210"/>
      <c r="SVM24" s="210"/>
      <c r="SVN24" s="210"/>
      <c r="SVO24" s="210"/>
      <c r="SVP24" s="210"/>
      <c r="SVQ24" s="210"/>
      <c r="SVR24" s="210"/>
      <c r="SVS24" s="210"/>
      <c r="SVT24" s="210"/>
      <c r="SVU24" s="210"/>
      <c r="SVV24" s="210"/>
      <c r="SVW24" s="210"/>
      <c r="SVX24" s="210"/>
      <c r="SVY24" s="210"/>
      <c r="SVZ24" s="210"/>
      <c r="SWA24" s="210"/>
      <c r="SWB24" s="210"/>
      <c r="SWC24" s="210"/>
      <c r="SWD24" s="210"/>
      <c r="SWE24" s="210"/>
      <c r="SWF24" s="210"/>
      <c r="SWG24" s="210"/>
      <c r="SWH24" s="210"/>
      <c r="SWI24" s="210"/>
      <c r="SWJ24" s="210"/>
      <c r="SWK24" s="210"/>
      <c r="SWL24" s="210"/>
      <c r="SWM24" s="210"/>
      <c r="SWN24" s="210"/>
      <c r="SWO24" s="210"/>
      <c r="SWP24" s="210"/>
      <c r="SWQ24" s="210"/>
      <c r="SWR24" s="210"/>
      <c r="SWS24" s="210"/>
      <c r="SWT24" s="210"/>
      <c r="SWU24" s="210"/>
      <c r="SWV24" s="210"/>
      <c r="SWW24" s="210"/>
      <c r="SWX24" s="210"/>
      <c r="SWY24" s="210"/>
      <c r="SWZ24" s="210"/>
      <c r="SXA24" s="210"/>
      <c r="SXB24" s="210"/>
      <c r="SXC24" s="210"/>
      <c r="SXD24" s="210"/>
      <c r="SXE24" s="210"/>
      <c r="SXF24" s="210"/>
      <c r="SXG24" s="210"/>
      <c r="SXH24" s="210"/>
      <c r="SXI24" s="210"/>
      <c r="SXJ24" s="210"/>
      <c r="SXK24" s="210"/>
      <c r="SXL24" s="210"/>
      <c r="SXM24" s="210"/>
      <c r="SXN24" s="210"/>
      <c r="SXO24" s="210"/>
      <c r="SXP24" s="210"/>
      <c r="SXQ24" s="210"/>
      <c r="SXR24" s="210"/>
      <c r="SXS24" s="210"/>
      <c r="SXT24" s="210"/>
      <c r="SXU24" s="210"/>
      <c r="SXV24" s="210"/>
      <c r="SXW24" s="210"/>
      <c r="SXX24" s="210"/>
      <c r="SXY24" s="210"/>
      <c r="SXZ24" s="210"/>
      <c r="SYA24" s="210"/>
      <c r="SYB24" s="210"/>
      <c r="SYC24" s="210"/>
      <c r="SYD24" s="210"/>
      <c r="SYE24" s="210"/>
      <c r="SYF24" s="210"/>
      <c r="SYG24" s="210"/>
      <c r="SYH24" s="210"/>
      <c r="SYI24" s="210"/>
      <c r="SYJ24" s="210"/>
      <c r="SYK24" s="210"/>
      <c r="SYL24" s="210"/>
      <c r="SYM24" s="210"/>
      <c r="SYN24" s="210"/>
      <c r="SYO24" s="210"/>
      <c r="SYP24" s="210"/>
      <c r="SYQ24" s="210"/>
      <c r="SYR24" s="210"/>
      <c r="SYS24" s="210"/>
      <c r="SYT24" s="210"/>
      <c r="SYU24" s="210"/>
      <c r="SYV24" s="210"/>
      <c r="SYW24" s="210"/>
      <c r="SYX24" s="210"/>
      <c r="SYY24" s="210"/>
      <c r="SYZ24" s="210"/>
      <c r="SZA24" s="210"/>
      <c r="SZB24" s="210"/>
      <c r="SZC24" s="210"/>
      <c r="SZD24" s="210"/>
      <c r="SZE24" s="210"/>
      <c r="SZF24" s="210"/>
      <c r="SZG24" s="210"/>
      <c r="SZH24" s="210"/>
      <c r="SZI24" s="210"/>
      <c r="SZJ24" s="210"/>
      <c r="SZK24" s="210"/>
      <c r="SZL24" s="210"/>
      <c r="SZM24" s="210"/>
      <c r="SZN24" s="210"/>
      <c r="SZO24" s="210"/>
      <c r="SZP24" s="210"/>
      <c r="SZQ24" s="210"/>
      <c r="SZR24" s="210"/>
      <c r="SZS24" s="210"/>
      <c r="SZT24" s="210"/>
      <c r="SZU24" s="210"/>
      <c r="SZV24" s="210"/>
      <c r="SZW24" s="210"/>
      <c r="SZX24" s="210"/>
      <c r="SZY24" s="210"/>
      <c r="SZZ24" s="210"/>
      <c r="TAA24" s="210"/>
      <c r="TAB24" s="210"/>
      <c r="TAC24" s="210"/>
      <c r="TAD24" s="210"/>
      <c r="TAE24" s="210"/>
      <c r="TAF24" s="210"/>
      <c r="TAG24" s="210"/>
      <c r="TAH24" s="210"/>
      <c r="TAI24" s="210"/>
      <c r="TAJ24" s="210"/>
      <c r="TAK24" s="210"/>
      <c r="TAL24" s="210"/>
      <c r="TAM24" s="210"/>
      <c r="TAN24" s="210"/>
      <c r="TAO24" s="210"/>
      <c r="TAP24" s="210"/>
      <c r="TAQ24" s="210"/>
      <c r="TAR24" s="210"/>
      <c r="TAS24" s="210"/>
      <c r="TAT24" s="210"/>
      <c r="TAU24" s="210"/>
      <c r="TAV24" s="210"/>
      <c r="TAW24" s="210"/>
      <c r="TAX24" s="210"/>
      <c r="TAY24" s="210"/>
      <c r="TAZ24" s="210"/>
      <c r="TBA24" s="210"/>
      <c r="TBB24" s="210"/>
      <c r="TBC24" s="210"/>
      <c r="TBD24" s="210"/>
      <c r="TBE24" s="210"/>
      <c r="TBF24" s="210"/>
      <c r="TBG24" s="210"/>
      <c r="TBH24" s="210"/>
      <c r="TBI24" s="210"/>
      <c r="TBJ24" s="210"/>
      <c r="TBK24" s="210"/>
      <c r="TBL24" s="210"/>
      <c r="TBM24" s="210"/>
      <c r="TBN24" s="210"/>
      <c r="TBO24" s="210"/>
      <c r="TBP24" s="210"/>
      <c r="TBQ24" s="210"/>
      <c r="TBR24" s="210"/>
      <c r="TBS24" s="210"/>
      <c r="TBT24" s="210"/>
      <c r="TBU24" s="210"/>
      <c r="TBV24" s="210"/>
      <c r="TBW24" s="210"/>
      <c r="TBX24" s="210"/>
      <c r="TBY24" s="210"/>
      <c r="TBZ24" s="210"/>
      <c r="TCA24" s="210"/>
      <c r="TCB24" s="210"/>
      <c r="TCC24" s="210"/>
      <c r="TCD24" s="210"/>
      <c r="TCE24" s="210"/>
      <c r="TCF24" s="210"/>
      <c r="TCG24" s="210"/>
      <c r="TCH24" s="210"/>
      <c r="TCI24" s="210"/>
      <c r="TCJ24" s="210"/>
      <c r="TCK24" s="210"/>
      <c r="TCL24" s="210"/>
      <c r="TCM24" s="210"/>
      <c r="TCN24" s="210"/>
      <c r="TCO24" s="210"/>
      <c r="TCP24" s="210"/>
      <c r="TCQ24" s="210"/>
      <c r="TCR24" s="210"/>
      <c r="TCS24" s="210"/>
      <c r="TCT24" s="210"/>
      <c r="TCU24" s="210"/>
      <c r="TCV24" s="210"/>
      <c r="TCW24" s="210"/>
      <c r="TCX24" s="210"/>
      <c r="TCY24" s="210"/>
      <c r="TCZ24" s="210"/>
      <c r="TDA24" s="210"/>
      <c r="TDB24" s="210"/>
      <c r="TDC24" s="210"/>
      <c r="TDD24" s="210"/>
      <c r="TDE24" s="210"/>
      <c r="TDF24" s="210"/>
      <c r="TDG24" s="210"/>
      <c r="TDH24" s="210"/>
      <c r="TDI24" s="210"/>
      <c r="TDJ24" s="210"/>
      <c r="TDK24" s="210"/>
      <c r="TDL24" s="210"/>
      <c r="TDM24" s="210"/>
      <c r="TDN24" s="210"/>
      <c r="TDO24" s="210"/>
      <c r="TDP24" s="210"/>
      <c r="TDQ24" s="210"/>
      <c r="TDR24" s="210"/>
      <c r="TDS24" s="210"/>
      <c r="TDT24" s="210"/>
      <c r="TDU24" s="210"/>
      <c r="TDV24" s="210"/>
      <c r="TDW24" s="210"/>
      <c r="TDX24" s="210"/>
      <c r="TDY24" s="210"/>
      <c r="TDZ24" s="210"/>
      <c r="TEA24" s="210"/>
      <c r="TEB24" s="210"/>
      <c r="TEC24" s="210"/>
      <c r="TED24" s="210"/>
      <c r="TEE24" s="210"/>
      <c r="TEF24" s="210"/>
      <c r="TEG24" s="210"/>
      <c r="TEH24" s="210"/>
      <c r="TEI24" s="210"/>
      <c r="TEJ24" s="210"/>
      <c r="TEK24" s="210"/>
      <c r="TEL24" s="210"/>
      <c r="TEM24" s="210"/>
      <c r="TEN24" s="210"/>
      <c r="TEO24" s="210"/>
      <c r="TEP24" s="210"/>
      <c r="TEQ24" s="210"/>
      <c r="TER24" s="210"/>
      <c r="TES24" s="210"/>
      <c r="TET24" s="210"/>
      <c r="TEU24" s="210"/>
      <c r="TEV24" s="210"/>
      <c r="TEW24" s="210"/>
      <c r="TEX24" s="210"/>
      <c r="TEY24" s="210"/>
      <c r="TEZ24" s="210"/>
      <c r="TFA24" s="210"/>
      <c r="TFB24" s="210"/>
      <c r="TFC24" s="210"/>
      <c r="TFD24" s="210"/>
      <c r="TFE24" s="210"/>
      <c r="TFF24" s="210"/>
      <c r="TFG24" s="210"/>
      <c r="TFH24" s="210"/>
      <c r="TFI24" s="210"/>
      <c r="TFJ24" s="210"/>
      <c r="TFK24" s="210"/>
      <c r="TFL24" s="210"/>
      <c r="TFM24" s="210"/>
      <c r="TFN24" s="210"/>
      <c r="TFO24" s="210"/>
      <c r="TFP24" s="210"/>
      <c r="TFQ24" s="210"/>
      <c r="TFR24" s="210"/>
      <c r="TFS24" s="210"/>
      <c r="TFT24" s="210"/>
      <c r="TFU24" s="210"/>
      <c r="TFV24" s="210"/>
      <c r="TFW24" s="210"/>
      <c r="TFX24" s="210"/>
      <c r="TFY24" s="210"/>
      <c r="TFZ24" s="210"/>
      <c r="TGA24" s="210"/>
      <c r="TGB24" s="210"/>
      <c r="TGC24" s="210"/>
      <c r="TGD24" s="210"/>
      <c r="TGE24" s="210"/>
      <c r="TGF24" s="210"/>
      <c r="TGG24" s="210"/>
      <c r="TGH24" s="210"/>
      <c r="TGI24" s="210"/>
      <c r="TGJ24" s="210"/>
      <c r="TGK24" s="210"/>
      <c r="TGL24" s="210"/>
      <c r="TGM24" s="210"/>
      <c r="TGN24" s="210"/>
      <c r="TGO24" s="210"/>
      <c r="TGP24" s="210"/>
      <c r="TGQ24" s="210"/>
      <c r="TGR24" s="210"/>
      <c r="TGS24" s="210"/>
      <c r="TGT24" s="210"/>
      <c r="TGU24" s="210"/>
      <c r="TGV24" s="210"/>
      <c r="TGW24" s="210"/>
      <c r="TGX24" s="210"/>
      <c r="TGY24" s="210"/>
      <c r="TGZ24" s="210"/>
      <c r="THA24" s="210"/>
      <c r="THB24" s="210"/>
      <c r="THC24" s="210"/>
      <c r="THD24" s="210"/>
      <c r="THE24" s="210"/>
      <c r="THF24" s="210"/>
      <c r="THG24" s="210"/>
      <c r="THH24" s="210"/>
      <c r="THI24" s="210"/>
      <c r="THJ24" s="210"/>
      <c r="THK24" s="210"/>
      <c r="THL24" s="210"/>
      <c r="THM24" s="210"/>
      <c r="THN24" s="210"/>
      <c r="THO24" s="210"/>
      <c r="THP24" s="210"/>
      <c r="THQ24" s="210"/>
      <c r="THR24" s="210"/>
      <c r="THS24" s="210"/>
      <c r="THT24" s="210"/>
      <c r="THU24" s="210"/>
      <c r="THV24" s="210"/>
      <c r="THW24" s="210"/>
      <c r="THX24" s="210"/>
      <c r="THY24" s="210"/>
      <c r="THZ24" s="210"/>
      <c r="TIA24" s="210"/>
      <c r="TIB24" s="210"/>
      <c r="TIC24" s="210"/>
      <c r="TID24" s="210"/>
      <c r="TIE24" s="210"/>
      <c r="TIF24" s="210"/>
      <c r="TIG24" s="210"/>
      <c r="TIH24" s="210"/>
      <c r="TII24" s="210"/>
      <c r="TIJ24" s="210"/>
      <c r="TIK24" s="210"/>
      <c r="TIL24" s="210"/>
      <c r="TIM24" s="210"/>
      <c r="TIN24" s="210"/>
      <c r="TIO24" s="210"/>
      <c r="TIP24" s="210"/>
      <c r="TIQ24" s="210"/>
      <c r="TIR24" s="210"/>
      <c r="TIS24" s="210"/>
      <c r="TIT24" s="210"/>
      <c r="TIU24" s="210"/>
      <c r="TIV24" s="210"/>
      <c r="TIW24" s="210"/>
      <c r="TIX24" s="210"/>
      <c r="TIY24" s="210"/>
      <c r="TIZ24" s="210"/>
      <c r="TJA24" s="210"/>
      <c r="TJB24" s="210"/>
      <c r="TJC24" s="210"/>
      <c r="TJD24" s="210"/>
      <c r="TJE24" s="210"/>
      <c r="TJF24" s="210"/>
      <c r="TJG24" s="210"/>
      <c r="TJH24" s="210"/>
      <c r="TJI24" s="210"/>
      <c r="TJJ24" s="210"/>
      <c r="TJK24" s="210"/>
      <c r="TJL24" s="210"/>
      <c r="TJM24" s="210"/>
      <c r="TJN24" s="210"/>
      <c r="TJO24" s="210"/>
      <c r="TJP24" s="210"/>
      <c r="TJQ24" s="210"/>
      <c r="TJR24" s="210"/>
      <c r="TJS24" s="210"/>
      <c r="TJT24" s="210"/>
      <c r="TJU24" s="210"/>
      <c r="TJV24" s="210"/>
      <c r="TJW24" s="210"/>
      <c r="TJX24" s="210"/>
      <c r="TJY24" s="210"/>
      <c r="TJZ24" s="210"/>
      <c r="TKA24" s="210"/>
      <c r="TKB24" s="210"/>
      <c r="TKC24" s="210"/>
      <c r="TKD24" s="210"/>
      <c r="TKE24" s="210"/>
      <c r="TKF24" s="210"/>
      <c r="TKG24" s="210"/>
      <c r="TKH24" s="210"/>
      <c r="TKI24" s="210"/>
      <c r="TKJ24" s="210"/>
      <c r="TKK24" s="210"/>
      <c r="TKL24" s="210"/>
      <c r="TKM24" s="210"/>
      <c r="TKN24" s="210"/>
      <c r="TKO24" s="210"/>
      <c r="TKP24" s="210"/>
      <c r="TKQ24" s="210"/>
      <c r="TKR24" s="210"/>
      <c r="TKS24" s="210"/>
      <c r="TKT24" s="210"/>
      <c r="TKU24" s="210"/>
      <c r="TKV24" s="210"/>
      <c r="TKW24" s="210"/>
      <c r="TKX24" s="210"/>
      <c r="TKY24" s="210"/>
      <c r="TKZ24" s="210"/>
      <c r="TLA24" s="210"/>
      <c r="TLB24" s="210"/>
      <c r="TLC24" s="210"/>
      <c r="TLD24" s="210"/>
      <c r="TLE24" s="210"/>
      <c r="TLF24" s="210"/>
      <c r="TLG24" s="210"/>
      <c r="TLH24" s="210"/>
      <c r="TLI24" s="210"/>
      <c r="TLJ24" s="210"/>
      <c r="TLK24" s="210"/>
      <c r="TLL24" s="210"/>
      <c r="TLM24" s="210"/>
      <c r="TLN24" s="210"/>
      <c r="TLO24" s="210"/>
      <c r="TLP24" s="210"/>
      <c r="TLQ24" s="210"/>
      <c r="TLR24" s="210"/>
      <c r="TLS24" s="210"/>
      <c r="TLT24" s="210"/>
      <c r="TLU24" s="210"/>
      <c r="TLV24" s="210"/>
      <c r="TLW24" s="210"/>
      <c r="TLX24" s="210"/>
      <c r="TLY24" s="210"/>
      <c r="TLZ24" s="210"/>
      <c r="TMA24" s="210"/>
      <c r="TMB24" s="210"/>
      <c r="TMC24" s="210"/>
      <c r="TMD24" s="210"/>
      <c r="TME24" s="210"/>
      <c r="TMF24" s="210"/>
      <c r="TMG24" s="210"/>
      <c r="TMH24" s="210"/>
      <c r="TMI24" s="210"/>
      <c r="TMJ24" s="210"/>
      <c r="TMK24" s="210"/>
      <c r="TML24" s="210"/>
      <c r="TMM24" s="210"/>
      <c r="TMN24" s="210"/>
      <c r="TMO24" s="210"/>
      <c r="TMP24" s="210"/>
      <c r="TMQ24" s="210"/>
      <c r="TMR24" s="210"/>
      <c r="TMS24" s="210"/>
      <c r="TMT24" s="210"/>
      <c r="TMU24" s="210"/>
      <c r="TMV24" s="210"/>
      <c r="TMW24" s="210"/>
      <c r="TMX24" s="210"/>
      <c r="TMY24" s="210"/>
      <c r="TMZ24" s="210"/>
      <c r="TNA24" s="210"/>
      <c r="TNB24" s="210"/>
      <c r="TNC24" s="210"/>
      <c r="TND24" s="210"/>
      <c r="TNE24" s="210"/>
      <c r="TNF24" s="210"/>
      <c r="TNG24" s="210"/>
      <c r="TNH24" s="210"/>
      <c r="TNI24" s="210"/>
      <c r="TNJ24" s="210"/>
      <c r="TNK24" s="210"/>
      <c r="TNL24" s="210"/>
      <c r="TNM24" s="210"/>
      <c r="TNN24" s="210"/>
      <c r="TNO24" s="210"/>
      <c r="TNP24" s="210"/>
      <c r="TNQ24" s="210"/>
      <c r="TNR24" s="210"/>
      <c r="TNS24" s="210"/>
      <c r="TNT24" s="210"/>
      <c r="TNU24" s="210"/>
      <c r="TNV24" s="210"/>
      <c r="TNW24" s="210"/>
      <c r="TNX24" s="210"/>
      <c r="TNY24" s="210"/>
      <c r="TNZ24" s="210"/>
      <c r="TOA24" s="210"/>
      <c r="TOB24" s="210"/>
      <c r="TOC24" s="210"/>
      <c r="TOD24" s="210"/>
      <c r="TOE24" s="210"/>
      <c r="TOF24" s="210"/>
      <c r="TOG24" s="210"/>
      <c r="TOH24" s="210"/>
      <c r="TOI24" s="210"/>
      <c r="TOJ24" s="210"/>
      <c r="TOK24" s="210"/>
      <c r="TOL24" s="210"/>
      <c r="TOM24" s="210"/>
      <c r="TON24" s="210"/>
      <c r="TOO24" s="210"/>
      <c r="TOP24" s="210"/>
      <c r="TOQ24" s="210"/>
      <c r="TOR24" s="210"/>
      <c r="TOS24" s="210"/>
      <c r="TOT24" s="210"/>
      <c r="TOU24" s="210"/>
      <c r="TOV24" s="210"/>
      <c r="TOW24" s="210"/>
      <c r="TOX24" s="210"/>
      <c r="TOY24" s="210"/>
      <c r="TOZ24" s="210"/>
      <c r="TPA24" s="210"/>
      <c r="TPB24" s="210"/>
      <c r="TPC24" s="210"/>
      <c r="TPD24" s="210"/>
      <c r="TPE24" s="210"/>
      <c r="TPF24" s="210"/>
      <c r="TPG24" s="210"/>
      <c r="TPH24" s="210"/>
      <c r="TPI24" s="210"/>
      <c r="TPJ24" s="210"/>
      <c r="TPK24" s="210"/>
      <c r="TPL24" s="210"/>
      <c r="TPM24" s="210"/>
      <c r="TPN24" s="210"/>
      <c r="TPO24" s="210"/>
      <c r="TPP24" s="210"/>
      <c r="TPQ24" s="210"/>
      <c r="TPR24" s="210"/>
      <c r="TPS24" s="210"/>
      <c r="TPT24" s="210"/>
      <c r="TPU24" s="210"/>
      <c r="TPV24" s="210"/>
      <c r="TPW24" s="210"/>
      <c r="TPX24" s="210"/>
      <c r="TPY24" s="210"/>
      <c r="TPZ24" s="210"/>
      <c r="TQA24" s="210"/>
      <c r="TQB24" s="210"/>
      <c r="TQC24" s="210"/>
      <c r="TQD24" s="210"/>
      <c r="TQE24" s="210"/>
      <c r="TQF24" s="210"/>
      <c r="TQG24" s="210"/>
      <c r="TQH24" s="210"/>
      <c r="TQI24" s="210"/>
      <c r="TQJ24" s="210"/>
      <c r="TQK24" s="210"/>
      <c r="TQL24" s="210"/>
      <c r="TQM24" s="210"/>
      <c r="TQN24" s="210"/>
      <c r="TQO24" s="210"/>
      <c r="TQP24" s="210"/>
      <c r="TQQ24" s="210"/>
      <c r="TQR24" s="210"/>
      <c r="TQS24" s="210"/>
      <c r="TQT24" s="210"/>
      <c r="TQU24" s="210"/>
      <c r="TQV24" s="210"/>
      <c r="TQW24" s="210"/>
      <c r="TQX24" s="210"/>
      <c r="TQY24" s="210"/>
      <c r="TQZ24" s="210"/>
      <c r="TRA24" s="210"/>
      <c r="TRB24" s="210"/>
      <c r="TRC24" s="210"/>
      <c r="TRD24" s="210"/>
      <c r="TRE24" s="210"/>
      <c r="TRF24" s="210"/>
      <c r="TRG24" s="210"/>
      <c r="TRH24" s="210"/>
      <c r="TRI24" s="210"/>
      <c r="TRJ24" s="210"/>
      <c r="TRK24" s="210"/>
      <c r="TRL24" s="210"/>
      <c r="TRM24" s="210"/>
      <c r="TRN24" s="210"/>
      <c r="TRO24" s="210"/>
      <c r="TRP24" s="210"/>
      <c r="TRQ24" s="210"/>
      <c r="TRR24" s="210"/>
      <c r="TRS24" s="210"/>
      <c r="TRT24" s="210"/>
      <c r="TRU24" s="210"/>
      <c r="TRV24" s="210"/>
      <c r="TRW24" s="210"/>
      <c r="TRX24" s="210"/>
      <c r="TRY24" s="210"/>
      <c r="TRZ24" s="210"/>
      <c r="TSA24" s="210"/>
      <c r="TSB24" s="210"/>
      <c r="TSC24" s="210"/>
      <c r="TSD24" s="210"/>
      <c r="TSE24" s="210"/>
      <c r="TSF24" s="210"/>
      <c r="TSG24" s="210"/>
      <c r="TSH24" s="210"/>
      <c r="TSI24" s="210"/>
      <c r="TSJ24" s="210"/>
      <c r="TSK24" s="210"/>
      <c r="TSL24" s="210"/>
      <c r="TSM24" s="210"/>
      <c r="TSN24" s="210"/>
      <c r="TSO24" s="210"/>
      <c r="TSP24" s="210"/>
      <c r="TSQ24" s="210"/>
      <c r="TSR24" s="210"/>
      <c r="TSS24" s="210"/>
      <c r="TST24" s="210"/>
      <c r="TSU24" s="210"/>
      <c r="TSV24" s="210"/>
      <c r="TSW24" s="210"/>
      <c r="TSX24" s="210"/>
      <c r="TSY24" s="210"/>
      <c r="TSZ24" s="210"/>
      <c r="TTA24" s="210"/>
      <c r="TTB24" s="210"/>
      <c r="TTC24" s="210"/>
      <c r="TTD24" s="210"/>
      <c r="TTE24" s="210"/>
      <c r="TTF24" s="210"/>
      <c r="TTG24" s="210"/>
      <c r="TTH24" s="210"/>
      <c r="TTI24" s="210"/>
      <c r="TTJ24" s="210"/>
      <c r="TTK24" s="210"/>
      <c r="TTL24" s="210"/>
      <c r="TTM24" s="210"/>
      <c r="TTN24" s="210"/>
      <c r="TTO24" s="210"/>
      <c r="TTP24" s="210"/>
      <c r="TTQ24" s="210"/>
      <c r="TTR24" s="210"/>
      <c r="TTS24" s="210"/>
      <c r="TTT24" s="210"/>
      <c r="TTU24" s="210"/>
      <c r="TTV24" s="210"/>
      <c r="TTW24" s="210"/>
      <c r="TTX24" s="210"/>
      <c r="TTY24" s="210"/>
      <c r="TTZ24" s="210"/>
      <c r="TUA24" s="210"/>
      <c r="TUB24" s="210"/>
      <c r="TUC24" s="210"/>
      <c r="TUD24" s="210"/>
      <c r="TUE24" s="210"/>
      <c r="TUF24" s="210"/>
      <c r="TUG24" s="210"/>
      <c r="TUH24" s="210"/>
      <c r="TUI24" s="210"/>
      <c r="TUJ24" s="210"/>
      <c r="TUK24" s="210"/>
      <c r="TUL24" s="210"/>
      <c r="TUM24" s="210"/>
      <c r="TUN24" s="210"/>
      <c r="TUO24" s="210"/>
      <c r="TUP24" s="210"/>
      <c r="TUQ24" s="210"/>
      <c r="TUR24" s="210"/>
      <c r="TUS24" s="210"/>
      <c r="TUT24" s="210"/>
      <c r="TUU24" s="210"/>
      <c r="TUV24" s="210"/>
      <c r="TUW24" s="210"/>
      <c r="TUX24" s="210"/>
      <c r="TUY24" s="210"/>
      <c r="TUZ24" s="210"/>
      <c r="TVA24" s="210"/>
      <c r="TVB24" s="210"/>
      <c r="TVC24" s="210"/>
      <c r="TVD24" s="210"/>
      <c r="TVE24" s="210"/>
      <c r="TVF24" s="210"/>
      <c r="TVG24" s="210"/>
      <c r="TVH24" s="210"/>
      <c r="TVI24" s="210"/>
      <c r="TVJ24" s="210"/>
      <c r="TVK24" s="210"/>
      <c r="TVL24" s="210"/>
      <c r="TVM24" s="210"/>
      <c r="TVN24" s="210"/>
      <c r="TVO24" s="210"/>
      <c r="TVP24" s="210"/>
      <c r="TVQ24" s="210"/>
      <c r="TVR24" s="210"/>
      <c r="TVS24" s="210"/>
      <c r="TVT24" s="210"/>
      <c r="TVU24" s="210"/>
      <c r="TVV24" s="210"/>
      <c r="TVW24" s="210"/>
      <c r="TVX24" s="210"/>
      <c r="TVY24" s="210"/>
      <c r="TVZ24" s="210"/>
      <c r="TWA24" s="210"/>
      <c r="TWB24" s="210"/>
      <c r="TWC24" s="210"/>
      <c r="TWD24" s="210"/>
      <c r="TWE24" s="210"/>
      <c r="TWF24" s="210"/>
      <c r="TWG24" s="210"/>
      <c r="TWH24" s="210"/>
      <c r="TWI24" s="210"/>
      <c r="TWJ24" s="210"/>
      <c r="TWK24" s="210"/>
      <c r="TWL24" s="210"/>
      <c r="TWM24" s="210"/>
      <c r="TWN24" s="210"/>
      <c r="TWO24" s="210"/>
      <c r="TWP24" s="210"/>
      <c r="TWQ24" s="210"/>
      <c r="TWR24" s="210"/>
      <c r="TWS24" s="210"/>
      <c r="TWT24" s="210"/>
      <c r="TWU24" s="210"/>
      <c r="TWV24" s="210"/>
      <c r="TWW24" s="210"/>
      <c r="TWX24" s="210"/>
      <c r="TWY24" s="210"/>
      <c r="TWZ24" s="210"/>
      <c r="TXA24" s="210"/>
      <c r="TXB24" s="210"/>
      <c r="TXC24" s="210"/>
      <c r="TXD24" s="210"/>
      <c r="TXE24" s="210"/>
      <c r="TXF24" s="210"/>
      <c r="TXG24" s="210"/>
      <c r="TXH24" s="210"/>
      <c r="TXI24" s="210"/>
      <c r="TXJ24" s="210"/>
      <c r="TXK24" s="210"/>
      <c r="TXL24" s="210"/>
      <c r="TXM24" s="210"/>
      <c r="TXN24" s="210"/>
      <c r="TXO24" s="210"/>
      <c r="TXP24" s="210"/>
      <c r="TXQ24" s="210"/>
      <c r="TXR24" s="210"/>
      <c r="TXS24" s="210"/>
      <c r="TXT24" s="210"/>
      <c r="TXU24" s="210"/>
      <c r="TXV24" s="210"/>
      <c r="TXW24" s="210"/>
      <c r="TXX24" s="210"/>
      <c r="TXY24" s="210"/>
      <c r="TXZ24" s="210"/>
      <c r="TYA24" s="210"/>
      <c r="TYB24" s="210"/>
      <c r="TYC24" s="210"/>
      <c r="TYD24" s="210"/>
      <c r="TYE24" s="210"/>
      <c r="TYF24" s="210"/>
      <c r="TYG24" s="210"/>
      <c r="TYH24" s="210"/>
      <c r="TYI24" s="210"/>
      <c r="TYJ24" s="210"/>
      <c r="TYK24" s="210"/>
      <c r="TYL24" s="210"/>
      <c r="TYM24" s="210"/>
      <c r="TYN24" s="210"/>
      <c r="TYO24" s="210"/>
      <c r="TYP24" s="210"/>
      <c r="TYQ24" s="210"/>
      <c r="TYR24" s="210"/>
      <c r="TYS24" s="210"/>
      <c r="TYT24" s="210"/>
      <c r="TYU24" s="210"/>
      <c r="TYV24" s="210"/>
      <c r="TYW24" s="210"/>
      <c r="TYX24" s="210"/>
      <c r="TYY24" s="210"/>
      <c r="TYZ24" s="210"/>
      <c r="TZA24" s="210"/>
      <c r="TZB24" s="210"/>
      <c r="TZC24" s="210"/>
      <c r="TZD24" s="210"/>
      <c r="TZE24" s="210"/>
      <c r="TZF24" s="210"/>
      <c r="TZG24" s="210"/>
      <c r="TZH24" s="210"/>
      <c r="TZI24" s="210"/>
      <c r="TZJ24" s="210"/>
      <c r="TZK24" s="210"/>
      <c r="TZL24" s="210"/>
      <c r="TZM24" s="210"/>
      <c r="TZN24" s="210"/>
      <c r="TZO24" s="210"/>
      <c r="TZP24" s="210"/>
      <c r="TZQ24" s="210"/>
      <c r="TZR24" s="210"/>
      <c r="TZS24" s="210"/>
      <c r="TZT24" s="210"/>
      <c r="TZU24" s="210"/>
      <c r="TZV24" s="210"/>
      <c r="TZW24" s="210"/>
      <c r="TZX24" s="210"/>
      <c r="TZY24" s="210"/>
      <c r="TZZ24" s="210"/>
      <c r="UAA24" s="210"/>
      <c r="UAB24" s="210"/>
      <c r="UAC24" s="210"/>
      <c r="UAD24" s="210"/>
      <c r="UAE24" s="210"/>
      <c r="UAF24" s="210"/>
      <c r="UAG24" s="210"/>
      <c r="UAH24" s="210"/>
      <c r="UAI24" s="210"/>
      <c r="UAJ24" s="210"/>
      <c r="UAK24" s="210"/>
      <c r="UAL24" s="210"/>
      <c r="UAM24" s="210"/>
      <c r="UAN24" s="210"/>
      <c r="UAO24" s="210"/>
      <c r="UAP24" s="210"/>
      <c r="UAQ24" s="210"/>
      <c r="UAR24" s="210"/>
      <c r="UAS24" s="210"/>
      <c r="UAT24" s="210"/>
      <c r="UAU24" s="210"/>
      <c r="UAV24" s="210"/>
      <c r="UAW24" s="210"/>
      <c r="UAX24" s="210"/>
      <c r="UAY24" s="210"/>
      <c r="UAZ24" s="210"/>
      <c r="UBA24" s="210"/>
      <c r="UBB24" s="210"/>
      <c r="UBC24" s="210"/>
      <c r="UBD24" s="210"/>
      <c r="UBE24" s="210"/>
      <c r="UBF24" s="210"/>
      <c r="UBG24" s="210"/>
      <c r="UBH24" s="210"/>
      <c r="UBI24" s="210"/>
      <c r="UBJ24" s="210"/>
      <c r="UBK24" s="210"/>
      <c r="UBL24" s="210"/>
      <c r="UBM24" s="210"/>
      <c r="UBN24" s="210"/>
      <c r="UBO24" s="210"/>
      <c r="UBP24" s="210"/>
      <c r="UBQ24" s="210"/>
      <c r="UBR24" s="210"/>
      <c r="UBS24" s="210"/>
      <c r="UBT24" s="210"/>
      <c r="UBU24" s="210"/>
      <c r="UBV24" s="210"/>
      <c r="UBW24" s="210"/>
      <c r="UBX24" s="210"/>
      <c r="UBY24" s="210"/>
      <c r="UBZ24" s="210"/>
      <c r="UCA24" s="210"/>
      <c r="UCB24" s="210"/>
      <c r="UCC24" s="210"/>
      <c r="UCD24" s="210"/>
      <c r="UCE24" s="210"/>
      <c r="UCF24" s="210"/>
      <c r="UCG24" s="210"/>
      <c r="UCH24" s="210"/>
      <c r="UCI24" s="210"/>
      <c r="UCJ24" s="210"/>
      <c r="UCK24" s="210"/>
      <c r="UCL24" s="210"/>
      <c r="UCM24" s="210"/>
      <c r="UCN24" s="210"/>
      <c r="UCO24" s="210"/>
      <c r="UCP24" s="210"/>
      <c r="UCQ24" s="210"/>
      <c r="UCR24" s="210"/>
      <c r="UCS24" s="210"/>
      <c r="UCT24" s="210"/>
      <c r="UCU24" s="210"/>
      <c r="UCV24" s="210"/>
      <c r="UCW24" s="210"/>
      <c r="UCX24" s="210"/>
      <c r="UCY24" s="210"/>
      <c r="UCZ24" s="210"/>
      <c r="UDA24" s="210"/>
      <c r="UDB24" s="210"/>
      <c r="UDC24" s="210"/>
      <c r="UDD24" s="210"/>
      <c r="UDE24" s="210"/>
      <c r="UDF24" s="210"/>
      <c r="UDG24" s="210"/>
      <c r="UDH24" s="210"/>
      <c r="UDI24" s="210"/>
      <c r="UDJ24" s="210"/>
      <c r="UDK24" s="210"/>
      <c r="UDL24" s="210"/>
      <c r="UDM24" s="210"/>
      <c r="UDN24" s="210"/>
      <c r="UDO24" s="210"/>
      <c r="UDP24" s="210"/>
      <c r="UDQ24" s="210"/>
      <c r="UDR24" s="210"/>
      <c r="UDS24" s="210"/>
      <c r="UDT24" s="210"/>
      <c r="UDU24" s="210"/>
      <c r="UDV24" s="210"/>
      <c r="UDW24" s="210"/>
      <c r="UDX24" s="210"/>
      <c r="UDY24" s="210"/>
      <c r="UDZ24" s="210"/>
      <c r="UEA24" s="210"/>
      <c r="UEB24" s="210"/>
      <c r="UEC24" s="210"/>
      <c r="UED24" s="210"/>
      <c r="UEE24" s="210"/>
      <c r="UEF24" s="210"/>
      <c r="UEG24" s="210"/>
      <c r="UEH24" s="210"/>
      <c r="UEI24" s="210"/>
      <c r="UEJ24" s="210"/>
      <c r="UEK24" s="210"/>
      <c r="UEL24" s="210"/>
      <c r="UEM24" s="210"/>
      <c r="UEN24" s="210"/>
      <c r="UEO24" s="210"/>
      <c r="UEP24" s="210"/>
      <c r="UEQ24" s="210"/>
      <c r="UER24" s="210"/>
      <c r="UES24" s="210"/>
      <c r="UET24" s="210"/>
      <c r="UEU24" s="210"/>
      <c r="UEV24" s="210"/>
      <c r="UEW24" s="210"/>
      <c r="UEX24" s="210"/>
      <c r="UEY24" s="210"/>
      <c r="UEZ24" s="210"/>
      <c r="UFA24" s="210"/>
      <c r="UFB24" s="210"/>
      <c r="UFC24" s="210"/>
      <c r="UFD24" s="210"/>
      <c r="UFE24" s="210"/>
      <c r="UFF24" s="210"/>
      <c r="UFG24" s="210"/>
      <c r="UFH24" s="210"/>
      <c r="UFI24" s="210"/>
      <c r="UFJ24" s="210"/>
      <c r="UFK24" s="210"/>
      <c r="UFL24" s="210"/>
      <c r="UFM24" s="210"/>
      <c r="UFN24" s="210"/>
      <c r="UFO24" s="210"/>
      <c r="UFP24" s="210"/>
      <c r="UFQ24" s="210"/>
      <c r="UFR24" s="210"/>
      <c r="UFS24" s="210"/>
      <c r="UFT24" s="210"/>
      <c r="UFU24" s="210"/>
      <c r="UFV24" s="210"/>
      <c r="UFW24" s="210"/>
      <c r="UFX24" s="210"/>
      <c r="UFY24" s="210"/>
      <c r="UFZ24" s="210"/>
      <c r="UGA24" s="210"/>
      <c r="UGB24" s="210"/>
      <c r="UGC24" s="210"/>
      <c r="UGD24" s="210"/>
      <c r="UGE24" s="210"/>
      <c r="UGF24" s="210"/>
      <c r="UGG24" s="210"/>
      <c r="UGH24" s="210"/>
      <c r="UGI24" s="210"/>
      <c r="UGJ24" s="210"/>
      <c r="UGK24" s="210"/>
      <c r="UGL24" s="210"/>
      <c r="UGM24" s="210"/>
      <c r="UGN24" s="210"/>
      <c r="UGO24" s="210"/>
      <c r="UGP24" s="210"/>
      <c r="UGQ24" s="210"/>
      <c r="UGR24" s="210"/>
      <c r="UGS24" s="210"/>
      <c r="UGT24" s="210"/>
      <c r="UGU24" s="210"/>
      <c r="UGV24" s="210"/>
      <c r="UGW24" s="210"/>
      <c r="UGX24" s="210"/>
      <c r="UGY24" s="210"/>
      <c r="UGZ24" s="210"/>
      <c r="UHA24" s="210"/>
      <c r="UHB24" s="210"/>
      <c r="UHC24" s="210"/>
      <c r="UHD24" s="210"/>
      <c r="UHE24" s="210"/>
      <c r="UHF24" s="210"/>
      <c r="UHG24" s="210"/>
      <c r="UHH24" s="210"/>
      <c r="UHI24" s="210"/>
      <c r="UHJ24" s="210"/>
      <c r="UHK24" s="210"/>
      <c r="UHL24" s="210"/>
      <c r="UHM24" s="210"/>
      <c r="UHN24" s="210"/>
      <c r="UHO24" s="210"/>
      <c r="UHP24" s="210"/>
      <c r="UHQ24" s="210"/>
      <c r="UHR24" s="210"/>
      <c r="UHS24" s="210"/>
      <c r="UHT24" s="210"/>
      <c r="UHU24" s="210"/>
      <c r="UHV24" s="210"/>
      <c r="UHW24" s="210"/>
      <c r="UHX24" s="210"/>
      <c r="UHY24" s="210"/>
      <c r="UHZ24" s="210"/>
      <c r="UIA24" s="210"/>
      <c r="UIB24" s="210"/>
      <c r="UIC24" s="210"/>
      <c r="UID24" s="210"/>
      <c r="UIE24" s="210"/>
      <c r="UIF24" s="210"/>
      <c r="UIG24" s="210"/>
      <c r="UIH24" s="210"/>
      <c r="UII24" s="210"/>
      <c r="UIJ24" s="210"/>
      <c r="UIK24" s="210"/>
      <c r="UIL24" s="210"/>
      <c r="UIM24" s="210"/>
      <c r="UIN24" s="210"/>
      <c r="UIO24" s="210"/>
      <c r="UIP24" s="210"/>
      <c r="UIQ24" s="210"/>
      <c r="UIR24" s="210"/>
      <c r="UIS24" s="210"/>
      <c r="UIT24" s="210"/>
      <c r="UIU24" s="210"/>
      <c r="UIV24" s="210"/>
      <c r="UIW24" s="210"/>
      <c r="UIX24" s="210"/>
      <c r="UIY24" s="210"/>
      <c r="UIZ24" s="210"/>
      <c r="UJA24" s="210"/>
      <c r="UJB24" s="210"/>
      <c r="UJC24" s="210"/>
      <c r="UJD24" s="210"/>
      <c r="UJE24" s="210"/>
      <c r="UJF24" s="210"/>
      <c r="UJG24" s="210"/>
      <c r="UJH24" s="210"/>
      <c r="UJI24" s="210"/>
      <c r="UJJ24" s="210"/>
      <c r="UJK24" s="210"/>
      <c r="UJL24" s="210"/>
      <c r="UJM24" s="210"/>
      <c r="UJN24" s="210"/>
      <c r="UJO24" s="210"/>
      <c r="UJP24" s="210"/>
      <c r="UJQ24" s="210"/>
      <c r="UJR24" s="210"/>
      <c r="UJS24" s="210"/>
      <c r="UJT24" s="210"/>
      <c r="UJU24" s="210"/>
      <c r="UJV24" s="210"/>
      <c r="UJW24" s="210"/>
      <c r="UJX24" s="210"/>
      <c r="UJY24" s="210"/>
      <c r="UJZ24" s="210"/>
      <c r="UKA24" s="210"/>
      <c r="UKB24" s="210"/>
      <c r="UKC24" s="210"/>
      <c r="UKD24" s="210"/>
      <c r="UKE24" s="210"/>
      <c r="UKF24" s="210"/>
      <c r="UKG24" s="210"/>
      <c r="UKH24" s="210"/>
      <c r="UKI24" s="210"/>
      <c r="UKJ24" s="210"/>
      <c r="UKK24" s="210"/>
      <c r="UKL24" s="210"/>
      <c r="UKM24" s="210"/>
      <c r="UKN24" s="210"/>
      <c r="UKO24" s="210"/>
      <c r="UKP24" s="210"/>
      <c r="UKQ24" s="210"/>
      <c r="UKR24" s="210"/>
      <c r="UKS24" s="210"/>
      <c r="UKT24" s="210"/>
      <c r="UKU24" s="210"/>
      <c r="UKV24" s="210"/>
      <c r="UKW24" s="210"/>
      <c r="UKX24" s="210"/>
      <c r="UKY24" s="210"/>
      <c r="UKZ24" s="210"/>
      <c r="ULA24" s="210"/>
      <c r="ULB24" s="210"/>
      <c r="ULC24" s="210"/>
      <c r="ULD24" s="210"/>
      <c r="ULE24" s="210"/>
      <c r="ULF24" s="210"/>
      <c r="ULG24" s="210"/>
      <c r="ULH24" s="210"/>
      <c r="ULI24" s="210"/>
      <c r="ULJ24" s="210"/>
      <c r="ULK24" s="210"/>
      <c r="ULL24" s="210"/>
      <c r="ULM24" s="210"/>
      <c r="ULN24" s="210"/>
      <c r="ULO24" s="210"/>
      <c r="ULP24" s="210"/>
      <c r="ULQ24" s="210"/>
      <c r="ULR24" s="210"/>
      <c r="ULS24" s="210"/>
      <c r="ULT24" s="210"/>
      <c r="ULU24" s="210"/>
      <c r="ULV24" s="210"/>
      <c r="ULW24" s="210"/>
      <c r="ULX24" s="210"/>
      <c r="ULY24" s="210"/>
      <c r="ULZ24" s="210"/>
      <c r="UMA24" s="210"/>
      <c r="UMB24" s="210"/>
      <c r="UMC24" s="210"/>
      <c r="UMD24" s="210"/>
      <c r="UME24" s="210"/>
      <c r="UMF24" s="210"/>
      <c r="UMG24" s="210"/>
      <c r="UMH24" s="210"/>
      <c r="UMI24" s="210"/>
      <c r="UMJ24" s="210"/>
      <c r="UMK24" s="210"/>
      <c r="UML24" s="210"/>
      <c r="UMM24" s="210"/>
      <c r="UMN24" s="210"/>
      <c r="UMO24" s="210"/>
      <c r="UMP24" s="210"/>
      <c r="UMQ24" s="210"/>
      <c r="UMR24" s="210"/>
      <c r="UMS24" s="210"/>
      <c r="UMT24" s="210"/>
      <c r="UMU24" s="210"/>
      <c r="UMV24" s="210"/>
      <c r="UMW24" s="210"/>
      <c r="UMX24" s="210"/>
      <c r="UMY24" s="210"/>
      <c r="UMZ24" s="210"/>
      <c r="UNA24" s="210"/>
      <c r="UNB24" s="210"/>
      <c r="UNC24" s="210"/>
      <c r="UND24" s="210"/>
      <c r="UNE24" s="210"/>
      <c r="UNF24" s="210"/>
      <c r="UNG24" s="210"/>
      <c r="UNH24" s="210"/>
      <c r="UNI24" s="210"/>
      <c r="UNJ24" s="210"/>
      <c r="UNK24" s="210"/>
      <c r="UNL24" s="210"/>
      <c r="UNM24" s="210"/>
      <c r="UNN24" s="210"/>
      <c r="UNO24" s="210"/>
      <c r="UNP24" s="210"/>
      <c r="UNQ24" s="210"/>
      <c r="UNR24" s="210"/>
      <c r="UNS24" s="210"/>
      <c r="UNT24" s="210"/>
      <c r="UNU24" s="210"/>
      <c r="UNV24" s="210"/>
      <c r="UNW24" s="210"/>
      <c r="UNX24" s="210"/>
      <c r="UNY24" s="210"/>
      <c r="UNZ24" s="210"/>
      <c r="UOA24" s="210"/>
      <c r="UOB24" s="210"/>
      <c r="UOC24" s="210"/>
      <c r="UOD24" s="210"/>
      <c r="UOE24" s="210"/>
      <c r="UOF24" s="210"/>
      <c r="UOG24" s="210"/>
      <c r="UOH24" s="210"/>
      <c r="UOI24" s="210"/>
      <c r="UOJ24" s="210"/>
      <c r="UOK24" s="210"/>
      <c r="UOL24" s="210"/>
      <c r="UOM24" s="210"/>
      <c r="UON24" s="210"/>
      <c r="UOO24" s="210"/>
      <c r="UOP24" s="210"/>
      <c r="UOQ24" s="210"/>
      <c r="UOR24" s="210"/>
      <c r="UOS24" s="210"/>
      <c r="UOT24" s="210"/>
      <c r="UOU24" s="210"/>
      <c r="UOV24" s="210"/>
      <c r="UOW24" s="210"/>
      <c r="UOX24" s="210"/>
      <c r="UOY24" s="210"/>
      <c r="UOZ24" s="210"/>
      <c r="UPA24" s="210"/>
      <c r="UPB24" s="210"/>
      <c r="UPC24" s="210"/>
      <c r="UPD24" s="210"/>
      <c r="UPE24" s="210"/>
      <c r="UPF24" s="210"/>
      <c r="UPG24" s="210"/>
      <c r="UPH24" s="210"/>
      <c r="UPI24" s="210"/>
      <c r="UPJ24" s="210"/>
      <c r="UPK24" s="210"/>
      <c r="UPL24" s="210"/>
      <c r="UPM24" s="210"/>
      <c r="UPN24" s="210"/>
      <c r="UPO24" s="210"/>
      <c r="UPP24" s="210"/>
      <c r="UPQ24" s="210"/>
      <c r="UPR24" s="210"/>
      <c r="UPS24" s="210"/>
      <c r="UPT24" s="210"/>
      <c r="UPU24" s="210"/>
      <c r="UPV24" s="210"/>
      <c r="UPW24" s="210"/>
      <c r="UPX24" s="210"/>
      <c r="UPY24" s="210"/>
      <c r="UPZ24" s="210"/>
      <c r="UQA24" s="210"/>
      <c r="UQB24" s="210"/>
      <c r="UQC24" s="210"/>
      <c r="UQD24" s="210"/>
      <c r="UQE24" s="210"/>
      <c r="UQF24" s="210"/>
      <c r="UQG24" s="210"/>
      <c r="UQH24" s="210"/>
      <c r="UQI24" s="210"/>
      <c r="UQJ24" s="210"/>
      <c r="UQK24" s="210"/>
      <c r="UQL24" s="210"/>
      <c r="UQM24" s="210"/>
      <c r="UQN24" s="210"/>
      <c r="UQO24" s="210"/>
      <c r="UQP24" s="210"/>
      <c r="UQQ24" s="210"/>
      <c r="UQR24" s="210"/>
      <c r="UQS24" s="210"/>
      <c r="UQT24" s="210"/>
      <c r="UQU24" s="210"/>
      <c r="UQV24" s="210"/>
      <c r="UQW24" s="210"/>
      <c r="UQX24" s="210"/>
      <c r="UQY24" s="210"/>
      <c r="UQZ24" s="210"/>
      <c r="URA24" s="210"/>
      <c r="URB24" s="210"/>
      <c r="URC24" s="210"/>
      <c r="URD24" s="210"/>
      <c r="URE24" s="210"/>
      <c r="URF24" s="210"/>
      <c r="URG24" s="210"/>
      <c r="URH24" s="210"/>
      <c r="URI24" s="210"/>
      <c r="URJ24" s="210"/>
      <c r="URK24" s="210"/>
      <c r="URL24" s="210"/>
      <c r="URM24" s="210"/>
      <c r="URN24" s="210"/>
      <c r="URO24" s="210"/>
      <c r="URP24" s="210"/>
      <c r="URQ24" s="210"/>
      <c r="URR24" s="210"/>
      <c r="URS24" s="210"/>
      <c r="URT24" s="210"/>
      <c r="URU24" s="210"/>
      <c r="URV24" s="210"/>
      <c r="URW24" s="210"/>
      <c r="URX24" s="210"/>
      <c r="URY24" s="210"/>
      <c r="URZ24" s="210"/>
      <c r="USA24" s="210"/>
      <c r="USB24" s="210"/>
      <c r="USC24" s="210"/>
      <c r="USD24" s="210"/>
      <c r="USE24" s="210"/>
      <c r="USF24" s="210"/>
      <c r="USG24" s="210"/>
      <c r="USH24" s="210"/>
      <c r="USI24" s="210"/>
      <c r="USJ24" s="210"/>
      <c r="USK24" s="210"/>
      <c r="USL24" s="210"/>
      <c r="USM24" s="210"/>
      <c r="USN24" s="210"/>
      <c r="USO24" s="210"/>
      <c r="USP24" s="210"/>
      <c r="USQ24" s="210"/>
      <c r="USR24" s="210"/>
      <c r="USS24" s="210"/>
      <c r="UST24" s="210"/>
      <c r="USU24" s="210"/>
      <c r="USV24" s="210"/>
      <c r="USW24" s="210"/>
      <c r="USX24" s="210"/>
      <c r="USY24" s="210"/>
      <c r="USZ24" s="210"/>
      <c r="UTA24" s="210"/>
      <c r="UTB24" s="210"/>
      <c r="UTC24" s="210"/>
      <c r="UTD24" s="210"/>
      <c r="UTE24" s="210"/>
      <c r="UTF24" s="210"/>
      <c r="UTG24" s="210"/>
      <c r="UTH24" s="210"/>
      <c r="UTI24" s="210"/>
      <c r="UTJ24" s="210"/>
      <c r="UTK24" s="210"/>
      <c r="UTL24" s="210"/>
      <c r="UTM24" s="210"/>
      <c r="UTN24" s="210"/>
      <c r="UTO24" s="210"/>
      <c r="UTP24" s="210"/>
      <c r="UTQ24" s="210"/>
      <c r="UTR24" s="210"/>
      <c r="UTS24" s="210"/>
      <c r="UTT24" s="210"/>
      <c r="UTU24" s="210"/>
      <c r="UTV24" s="210"/>
      <c r="UTW24" s="210"/>
      <c r="UTX24" s="210"/>
      <c r="UTY24" s="210"/>
      <c r="UTZ24" s="210"/>
      <c r="UUA24" s="210"/>
      <c r="UUB24" s="210"/>
      <c r="UUC24" s="210"/>
      <c r="UUD24" s="210"/>
      <c r="UUE24" s="210"/>
      <c r="UUF24" s="210"/>
      <c r="UUG24" s="210"/>
      <c r="UUH24" s="210"/>
      <c r="UUI24" s="210"/>
      <c r="UUJ24" s="210"/>
      <c r="UUK24" s="210"/>
      <c r="UUL24" s="210"/>
      <c r="UUM24" s="210"/>
      <c r="UUN24" s="210"/>
      <c r="UUO24" s="210"/>
      <c r="UUP24" s="210"/>
      <c r="UUQ24" s="210"/>
      <c r="UUR24" s="210"/>
      <c r="UUS24" s="210"/>
      <c r="UUT24" s="210"/>
      <c r="UUU24" s="210"/>
      <c r="UUV24" s="210"/>
      <c r="UUW24" s="210"/>
      <c r="UUX24" s="210"/>
      <c r="UUY24" s="210"/>
      <c r="UUZ24" s="210"/>
      <c r="UVA24" s="210"/>
      <c r="UVB24" s="210"/>
      <c r="UVC24" s="210"/>
      <c r="UVD24" s="210"/>
      <c r="UVE24" s="210"/>
      <c r="UVF24" s="210"/>
      <c r="UVG24" s="210"/>
      <c r="UVH24" s="210"/>
      <c r="UVI24" s="210"/>
      <c r="UVJ24" s="210"/>
      <c r="UVK24" s="210"/>
      <c r="UVL24" s="210"/>
      <c r="UVM24" s="210"/>
      <c r="UVN24" s="210"/>
      <c r="UVO24" s="210"/>
      <c r="UVP24" s="210"/>
      <c r="UVQ24" s="210"/>
      <c r="UVR24" s="210"/>
      <c r="UVS24" s="210"/>
      <c r="UVT24" s="210"/>
      <c r="UVU24" s="210"/>
      <c r="UVV24" s="210"/>
      <c r="UVW24" s="210"/>
      <c r="UVX24" s="210"/>
      <c r="UVY24" s="210"/>
      <c r="UVZ24" s="210"/>
      <c r="UWA24" s="210"/>
      <c r="UWB24" s="210"/>
      <c r="UWC24" s="210"/>
      <c r="UWD24" s="210"/>
      <c r="UWE24" s="210"/>
      <c r="UWF24" s="210"/>
      <c r="UWG24" s="210"/>
      <c r="UWH24" s="210"/>
      <c r="UWI24" s="210"/>
      <c r="UWJ24" s="210"/>
      <c r="UWK24" s="210"/>
      <c r="UWL24" s="210"/>
      <c r="UWM24" s="210"/>
      <c r="UWN24" s="210"/>
      <c r="UWO24" s="210"/>
      <c r="UWP24" s="210"/>
      <c r="UWQ24" s="210"/>
      <c r="UWR24" s="210"/>
      <c r="UWS24" s="210"/>
      <c r="UWT24" s="210"/>
      <c r="UWU24" s="210"/>
      <c r="UWV24" s="210"/>
      <c r="UWW24" s="210"/>
      <c r="UWX24" s="210"/>
      <c r="UWY24" s="210"/>
      <c r="UWZ24" s="210"/>
      <c r="UXA24" s="210"/>
      <c r="UXB24" s="210"/>
      <c r="UXC24" s="210"/>
      <c r="UXD24" s="210"/>
      <c r="UXE24" s="210"/>
      <c r="UXF24" s="210"/>
      <c r="UXG24" s="210"/>
      <c r="UXH24" s="210"/>
      <c r="UXI24" s="210"/>
      <c r="UXJ24" s="210"/>
      <c r="UXK24" s="210"/>
      <c r="UXL24" s="210"/>
      <c r="UXM24" s="210"/>
      <c r="UXN24" s="210"/>
      <c r="UXO24" s="210"/>
      <c r="UXP24" s="210"/>
      <c r="UXQ24" s="210"/>
      <c r="UXR24" s="210"/>
      <c r="UXS24" s="210"/>
      <c r="UXT24" s="210"/>
      <c r="UXU24" s="210"/>
      <c r="UXV24" s="210"/>
      <c r="UXW24" s="210"/>
      <c r="UXX24" s="210"/>
      <c r="UXY24" s="210"/>
      <c r="UXZ24" s="210"/>
      <c r="UYA24" s="210"/>
      <c r="UYB24" s="210"/>
      <c r="UYC24" s="210"/>
      <c r="UYD24" s="210"/>
      <c r="UYE24" s="210"/>
      <c r="UYF24" s="210"/>
      <c r="UYG24" s="210"/>
      <c r="UYH24" s="210"/>
      <c r="UYI24" s="210"/>
      <c r="UYJ24" s="210"/>
      <c r="UYK24" s="210"/>
      <c r="UYL24" s="210"/>
      <c r="UYM24" s="210"/>
      <c r="UYN24" s="210"/>
      <c r="UYO24" s="210"/>
      <c r="UYP24" s="210"/>
      <c r="UYQ24" s="210"/>
      <c r="UYR24" s="210"/>
      <c r="UYS24" s="210"/>
      <c r="UYT24" s="210"/>
      <c r="UYU24" s="210"/>
      <c r="UYV24" s="210"/>
      <c r="UYW24" s="210"/>
      <c r="UYX24" s="210"/>
      <c r="UYY24" s="210"/>
      <c r="UYZ24" s="210"/>
      <c r="UZA24" s="210"/>
      <c r="UZB24" s="210"/>
      <c r="UZC24" s="210"/>
      <c r="UZD24" s="210"/>
      <c r="UZE24" s="210"/>
      <c r="UZF24" s="210"/>
      <c r="UZG24" s="210"/>
      <c r="UZH24" s="210"/>
      <c r="UZI24" s="210"/>
      <c r="UZJ24" s="210"/>
      <c r="UZK24" s="210"/>
      <c r="UZL24" s="210"/>
      <c r="UZM24" s="210"/>
      <c r="UZN24" s="210"/>
      <c r="UZO24" s="210"/>
      <c r="UZP24" s="210"/>
      <c r="UZQ24" s="210"/>
      <c r="UZR24" s="210"/>
      <c r="UZS24" s="210"/>
      <c r="UZT24" s="210"/>
      <c r="UZU24" s="210"/>
      <c r="UZV24" s="210"/>
      <c r="UZW24" s="210"/>
      <c r="UZX24" s="210"/>
      <c r="UZY24" s="210"/>
      <c r="UZZ24" s="210"/>
      <c r="VAA24" s="210"/>
      <c r="VAB24" s="210"/>
      <c r="VAC24" s="210"/>
      <c r="VAD24" s="210"/>
      <c r="VAE24" s="210"/>
      <c r="VAF24" s="210"/>
      <c r="VAG24" s="210"/>
      <c r="VAH24" s="210"/>
      <c r="VAI24" s="210"/>
      <c r="VAJ24" s="210"/>
      <c r="VAK24" s="210"/>
      <c r="VAL24" s="210"/>
      <c r="VAM24" s="210"/>
      <c r="VAN24" s="210"/>
      <c r="VAO24" s="210"/>
      <c r="VAP24" s="210"/>
      <c r="VAQ24" s="210"/>
      <c r="VAR24" s="210"/>
      <c r="VAS24" s="210"/>
      <c r="VAT24" s="210"/>
      <c r="VAU24" s="210"/>
      <c r="VAV24" s="210"/>
      <c r="VAW24" s="210"/>
      <c r="VAX24" s="210"/>
      <c r="VAY24" s="210"/>
      <c r="VAZ24" s="210"/>
      <c r="VBA24" s="210"/>
      <c r="VBB24" s="210"/>
      <c r="VBC24" s="210"/>
      <c r="VBD24" s="210"/>
      <c r="VBE24" s="210"/>
      <c r="VBF24" s="210"/>
      <c r="VBG24" s="210"/>
      <c r="VBH24" s="210"/>
      <c r="VBI24" s="210"/>
      <c r="VBJ24" s="210"/>
      <c r="VBK24" s="210"/>
      <c r="VBL24" s="210"/>
      <c r="VBM24" s="210"/>
      <c r="VBN24" s="210"/>
      <c r="VBO24" s="210"/>
      <c r="VBP24" s="210"/>
      <c r="VBQ24" s="210"/>
      <c r="VBR24" s="210"/>
      <c r="VBS24" s="210"/>
      <c r="VBT24" s="210"/>
      <c r="VBU24" s="210"/>
      <c r="VBV24" s="210"/>
      <c r="VBW24" s="210"/>
      <c r="VBX24" s="210"/>
      <c r="VBY24" s="210"/>
      <c r="VBZ24" s="210"/>
      <c r="VCA24" s="210"/>
      <c r="VCB24" s="210"/>
      <c r="VCC24" s="210"/>
      <c r="VCD24" s="210"/>
      <c r="VCE24" s="210"/>
      <c r="VCF24" s="210"/>
      <c r="VCG24" s="210"/>
      <c r="VCH24" s="210"/>
      <c r="VCI24" s="210"/>
      <c r="VCJ24" s="210"/>
      <c r="VCK24" s="210"/>
      <c r="VCL24" s="210"/>
      <c r="VCM24" s="210"/>
      <c r="VCN24" s="210"/>
      <c r="VCO24" s="210"/>
      <c r="VCP24" s="210"/>
      <c r="VCQ24" s="210"/>
      <c r="VCR24" s="210"/>
      <c r="VCS24" s="210"/>
      <c r="VCT24" s="210"/>
      <c r="VCU24" s="210"/>
      <c r="VCV24" s="210"/>
      <c r="VCW24" s="210"/>
      <c r="VCX24" s="210"/>
      <c r="VCY24" s="210"/>
      <c r="VCZ24" s="210"/>
      <c r="VDA24" s="210"/>
      <c r="VDB24" s="210"/>
      <c r="VDC24" s="210"/>
      <c r="VDD24" s="210"/>
      <c r="VDE24" s="210"/>
      <c r="VDF24" s="210"/>
      <c r="VDG24" s="210"/>
      <c r="VDH24" s="210"/>
      <c r="VDI24" s="210"/>
      <c r="VDJ24" s="210"/>
      <c r="VDK24" s="210"/>
      <c r="VDL24" s="210"/>
      <c r="VDM24" s="210"/>
      <c r="VDN24" s="210"/>
      <c r="VDO24" s="210"/>
      <c r="VDP24" s="210"/>
      <c r="VDQ24" s="210"/>
      <c r="VDR24" s="210"/>
      <c r="VDS24" s="210"/>
      <c r="VDT24" s="210"/>
      <c r="VDU24" s="210"/>
      <c r="VDV24" s="210"/>
      <c r="VDW24" s="210"/>
      <c r="VDX24" s="210"/>
      <c r="VDY24" s="210"/>
      <c r="VDZ24" s="210"/>
      <c r="VEA24" s="210"/>
      <c r="VEB24" s="210"/>
      <c r="VEC24" s="210"/>
      <c r="VED24" s="210"/>
      <c r="VEE24" s="210"/>
      <c r="VEF24" s="210"/>
      <c r="VEG24" s="210"/>
      <c r="VEH24" s="210"/>
      <c r="VEI24" s="210"/>
      <c r="VEJ24" s="210"/>
      <c r="VEK24" s="210"/>
      <c r="VEL24" s="210"/>
      <c r="VEM24" s="210"/>
      <c r="VEN24" s="210"/>
      <c r="VEO24" s="210"/>
      <c r="VEP24" s="210"/>
      <c r="VEQ24" s="210"/>
      <c r="VER24" s="210"/>
      <c r="VES24" s="210"/>
      <c r="VET24" s="210"/>
      <c r="VEU24" s="210"/>
      <c r="VEV24" s="210"/>
      <c r="VEW24" s="210"/>
      <c r="VEX24" s="210"/>
      <c r="VEY24" s="210"/>
      <c r="VEZ24" s="210"/>
      <c r="VFA24" s="210"/>
      <c r="VFB24" s="210"/>
      <c r="VFC24" s="210"/>
      <c r="VFD24" s="210"/>
      <c r="VFE24" s="210"/>
      <c r="VFF24" s="210"/>
      <c r="VFG24" s="210"/>
      <c r="VFH24" s="210"/>
      <c r="VFI24" s="210"/>
      <c r="VFJ24" s="210"/>
      <c r="VFK24" s="210"/>
      <c r="VFL24" s="210"/>
      <c r="VFM24" s="210"/>
      <c r="VFN24" s="210"/>
      <c r="VFO24" s="210"/>
      <c r="VFP24" s="210"/>
      <c r="VFQ24" s="210"/>
      <c r="VFR24" s="210"/>
      <c r="VFS24" s="210"/>
      <c r="VFT24" s="210"/>
      <c r="VFU24" s="210"/>
      <c r="VFV24" s="210"/>
      <c r="VFW24" s="210"/>
      <c r="VFX24" s="210"/>
      <c r="VFY24" s="210"/>
      <c r="VFZ24" s="210"/>
      <c r="VGA24" s="210"/>
      <c r="VGB24" s="210"/>
      <c r="VGC24" s="210"/>
      <c r="VGD24" s="210"/>
      <c r="VGE24" s="210"/>
      <c r="VGF24" s="210"/>
      <c r="VGG24" s="210"/>
      <c r="VGH24" s="210"/>
      <c r="VGI24" s="210"/>
      <c r="VGJ24" s="210"/>
      <c r="VGK24" s="210"/>
      <c r="VGL24" s="210"/>
      <c r="VGM24" s="210"/>
      <c r="VGN24" s="210"/>
      <c r="VGO24" s="210"/>
      <c r="VGP24" s="210"/>
      <c r="VGQ24" s="210"/>
      <c r="VGR24" s="210"/>
      <c r="VGS24" s="210"/>
      <c r="VGT24" s="210"/>
      <c r="VGU24" s="210"/>
      <c r="VGV24" s="210"/>
      <c r="VGW24" s="210"/>
      <c r="VGX24" s="210"/>
      <c r="VGY24" s="210"/>
      <c r="VGZ24" s="210"/>
      <c r="VHA24" s="210"/>
      <c r="VHB24" s="210"/>
      <c r="VHC24" s="210"/>
      <c r="VHD24" s="210"/>
      <c r="VHE24" s="210"/>
      <c r="VHF24" s="210"/>
      <c r="VHG24" s="210"/>
      <c r="VHH24" s="210"/>
      <c r="VHI24" s="210"/>
      <c r="VHJ24" s="210"/>
      <c r="VHK24" s="210"/>
      <c r="VHL24" s="210"/>
      <c r="VHM24" s="210"/>
      <c r="VHN24" s="210"/>
      <c r="VHO24" s="210"/>
      <c r="VHP24" s="210"/>
      <c r="VHQ24" s="210"/>
      <c r="VHR24" s="210"/>
      <c r="VHS24" s="210"/>
      <c r="VHT24" s="210"/>
      <c r="VHU24" s="210"/>
      <c r="VHV24" s="210"/>
      <c r="VHW24" s="210"/>
      <c r="VHX24" s="210"/>
      <c r="VHY24" s="210"/>
      <c r="VHZ24" s="210"/>
      <c r="VIA24" s="210"/>
      <c r="VIB24" s="210"/>
      <c r="VIC24" s="210"/>
      <c r="VID24" s="210"/>
      <c r="VIE24" s="210"/>
      <c r="VIF24" s="210"/>
      <c r="VIG24" s="210"/>
      <c r="VIH24" s="210"/>
      <c r="VII24" s="210"/>
      <c r="VIJ24" s="210"/>
      <c r="VIK24" s="210"/>
      <c r="VIL24" s="210"/>
      <c r="VIM24" s="210"/>
      <c r="VIN24" s="210"/>
      <c r="VIO24" s="210"/>
      <c r="VIP24" s="210"/>
      <c r="VIQ24" s="210"/>
      <c r="VIR24" s="210"/>
      <c r="VIS24" s="210"/>
      <c r="VIT24" s="210"/>
      <c r="VIU24" s="210"/>
      <c r="VIV24" s="210"/>
      <c r="VIW24" s="210"/>
      <c r="VIX24" s="210"/>
      <c r="VIY24" s="210"/>
      <c r="VIZ24" s="210"/>
      <c r="VJA24" s="210"/>
      <c r="VJB24" s="210"/>
      <c r="VJC24" s="210"/>
      <c r="VJD24" s="210"/>
      <c r="VJE24" s="210"/>
      <c r="VJF24" s="210"/>
      <c r="VJG24" s="210"/>
      <c r="VJH24" s="210"/>
      <c r="VJI24" s="210"/>
      <c r="VJJ24" s="210"/>
      <c r="VJK24" s="210"/>
      <c r="VJL24" s="210"/>
      <c r="VJM24" s="210"/>
      <c r="VJN24" s="210"/>
      <c r="VJO24" s="210"/>
      <c r="VJP24" s="210"/>
      <c r="VJQ24" s="210"/>
      <c r="VJR24" s="210"/>
      <c r="VJS24" s="210"/>
      <c r="VJT24" s="210"/>
      <c r="VJU24" s="210"/>
      <c r="VJV24" s="210"/>
      <c r="VJW24" s="210"/>
      <c r="VJX24" s="210"/>
      <c r="VJY24" s="210"/>
      <c r="VJZ24" s="210"/>
      <c r="VKA24" s="210"/>
      <c r="VKB24" s="210"/>
      <c r="VKC24" s="210"/>
      <c r="VKD24" s="210"/>
      <c r="VKE24" s="210"/>
      <c r="VKF24" s="210"/>
      <c r="VKG24" s="210"/>
      <c r="VKH24" s="210"/>
      <c r="VKI24" s="210"/>
      <c r="VKJ24" s="210"/>
      <c r="VKK24" s="210"/>
      <c r="VKL24" s="210"/>
      <c r="VKM24" s="210"/>
      <c r="VKN24" s="210"/>
      <c r="VKO24" s="210"/>
      <c r="VKP24" s="210"/>
      <c r="VKQ24" s="210"/>
      <c r="VKR24" s="210"/>
      <c r="VKS24" s="210"/>
      <c r="VKT24" s="210"/>
      <c r="VKU24" s="210"/>
      <c r="VKV24" s="210"/>
      <c r="VKW24" s="210"/>
      <c r="VKX24" s="210"/>
      <c r="VKY24" s="210"/>
      <c r="VKZ24" s="210"/>
      <c r="VLA24" s="210"/>
      <c r="VLB24" s="210"/>
      <c r="VLC24" s="210"/>
      <c r="VLD24" s="210"/>
      <c r="VLE24" s="210"/>
      <c r="VLF24" s="210"/>
      <c r="VLG24" s="210"/>
      <c r="VLH24" s="210"/>
      <c r="VLI24" s="210"/>
      <c r="VLJ24" s="210"/>
      <c r="VLK24" s="210"/>
      <c r="VLL24" s="210"/>
      <c r="VLM24" s="210"/>
      <c r="VLN24" s="210"/>
      <c r="VLO24" s="210"/>
      <c r="VLP24" s="210"/>
      <c r="VLQ24" s="210"/>
      <c r="VLR24" s="210"/>
      <c r="VLS24" s="210"/>
      <c r="VLT24" s="210"/>
      <c r="VLU24" s="210"/>
      <c r="VLV24" s="210"/>
      <c r="VLW24" s="210"/>
      <c r="VLX24" s="210"/>
      <c r="VLY24" s="210"/>
      <c r="VLZ24" s="210"/>
      <c r="VMA24" s="210"/>
      <c r="VMB24" s="210"/>
      <c r="VMC24" s="210"/>
      <c r="VMD24" s="210"/>
      <c r="VME24" s="210"/>
      <c r="VMF24" s="210"/>
      <c r="VMG24" s="210"/>
      <c r="VMH24" s="210"/>
      <c r="VMI24" s="210"/>
      <c r="VMJ24" s="210"/>
      <c r="VMK24" s="210"/>
      <c r="VML24" s="210"/>
      <c r="VMM24" s="210"/>
      <c r="VMN24" s="210"/>
      <c r="VMO24" s="210"/>
      <c r="VMP24" s="210"/>
      <c r="VMQ24" s="210"/>
      <c r="VMR24" s="210"/>
      <c r="VMS24" s="210"/>
      <c r="VMT24" s="210"/>
      <c r="VMU24" s="210"/>
      <c r="VMV24" s="210"/>
      <c r="VMW24" s="210"/>
      <c r="VMX24" s="210"/>
      <c r="VMY24" s="210"/>
      <c r="VMZ24" s="210"/>
      <c r="VNA24" s="210"/>
      <c r="VNB24" s="210"/>
      <c r="VNC24" s="210"/>
      <c r="VND24" s="210"/>
      <c r="VNE24" s="210"/>
      <c r="VNF24" s="210"/>
      <c r="VNG24" s="210"/>
      <c r="VNH24" s="210"/>
      <c r="VNI24" s="210"/>
      <c r="VNJ24" s="210"/>
      <c r="VNK24" s="210"/>
      <c r="VNL24" s="210"/>
      <c r="VNM24" s="210"/>
      <c r="VNN24" s="210"/>
      <c r="VNO24" s="210"/>
      <c r="VNP24" s="210"/>
      <c r="VNQ24" s="210"/>
      <c r="VNR24" s="210"/>
      <c r="VNS24" s="210"/>
      <c r="VNT24" s="210"/>
      <c r="VNU24" s="210"/>
      <c r="VNV24" s="210"/>
      <c r="VNW24" s="210"/>
      <c r="VNX24" s="210"/>
      <c r="VNY24" s="210"/>
      <c r="VNZ24" s="210"/>
      <c r="VOA24" s="210"/>
      <c r="VOB24" s="210"/>
      <c r="VOC24" s="210"/>
      <c r="VOD24" s="210"/>
      <c r="VOE24" s="210"/>
      <c r="VOF24" s="210"/>
      <c r="VOG24" s="210"/>
      <c r="VOH24" s="210"/>
      <c r="VOI24" s="210"/>
      <c r="VOJ24" s="210"/>
      <c r="VOK24" s="210"/>
      <c r="VOL24" s="210"/>
      <c r="VOM24" s="210"/>
      <c r="VON24" s="210"/>
      <c r="VOO24" s="210"/>
      <c r="VOP24" s="210"/>
      <c r="VOQ24" s="210"/>
      <c r="VOR24" s="210"/>
      <c r="VOS24" s="210"/>
      <c r="VOT24" s="210"/>
      <c r="VOU24" s="210"/>
      <c r="VOV24" s="210"/>
      <c r="VOW24" s="210"/>
      <c r="VOX24" s="210"/>
      <c r="VOY24" s="210"/>
      <c r="VOZ24" s="210"/>
      <c r="VPA24" s="210"/>
      <c r="VPB24" s="210"/>
      <c r="VPC24" s="210"/>
      <c r="VPD24" s="210"/>
      <c r="VPE24" s="210"/>
      <c r="VPF24" s="210"/>
      <c r="VPG24" s="210"/>
      <c r="VPH24" s="210"/>
      <c r="VPI24" s="210"/>
      <c r="VPJ24" s="210"/>
      <c r="VPK24" s="210"/>
      <c r="VPL24" s="210"/>
      <c r="VPM24" s="210"/>
      <c r="VPN24" s="210"/>
      <c r="VPO24" s="210"/>
      <c r="VPP24" s="210"/>
      <c r="VPQ24" s="210"/>
      <c r="VPR24" s="210"/>
      <c r="VPS24" s="210"/>
      <c r="VPT24" s="210"/>
      <c r="VPU24" s="210"/>
      <c r="VPV24" s="210"/>
      <c r="VPW24" s="210"/>
      <c r="VPX24" s="210"/>
      <c r="VPY24" s="210"/>
      <c r="VPZ24" s="210"/>
      <c r="VQA24" s="210"/>
      <c r="VQB24" s="210"/>
      <c r="VQC24" s="210"/>
      <c r="VQD24" s="210"/>
      <c r="VQE24" s="210"/>
      <c r="VQF24" s="210"/>
      <c r="VQG24" s="210"/>
      <c r="VQH24" s="210"/>
      <c r="VQI24" s="210"/>
      <c r="VQJ24" s="210"/>
      <c r="VQK24" s="210"/>
      <c r="VQL24" s="210"/>
      <c r="VQM24" s="210"/>
      <c r="VQN24" s="210"/>
      <c r="VQO24" s="210"/>
      <c r="VQP24" s="210"/>
      <c r="VQQ24" s="210"/>
      <c r="VQR24" s="210"/>
      <c r="VQS24" s="210"/>
      <c r="VQT24" s="210"/>
      <c r="VQU24" s="210"/>
      <c r="VQV24" s="210"/>
      <c r="VQW24" s="210"/>
      <c r="VQX24" s="210"/>
      <c r="VQY24" s="210"/>
      <c r="VQZ24" s="210"/>
      <c r="VRA24" s="210"/>
      <c r="VRB24" s="210"/>
      <c r="VRC24" s="210"/>
      <c r="VRD24" s="210"/>
      <c r="VRE24" s="210"/>
      <c r="VRF24" s="210"/>
      <c r="VRG24" s="210"/>
      <c r="VRH24" s="210"/>
      <c r="VRI24" s="210"/>
      <c r="VRJ24" s="210"/>
      <c r="VRK24" s="210"/>
      <c r="VRL24" s="210"/>
      <c r="VRM24" s="210"/>
      <c r="VRN24" s="210"/>
      <c r="VRO24" s="210"/>
      <c r="VRP24" s="210"/>
      <c r="VRQ24" s="210"/>
      <c r="VRR24" s="210"/>
      <c r="VRS24" s="210"/>
      <c r="VRT24" s="210"/>
      <c r="VRU24" s="210"/>
      <c r="VRV24" s="210"/>
      <c r="VRW24" s="210"/>
      <c r="VRX24" s="210"/>
      <c r="VRY24" s="210"/>
      <c r="VRZ24" s="210"/>
      <c r="VSA24" s="210"/>
      <c r="VSB24" s="210"/>
      <c r="VSC24" s="210"/>
      <c r="VSD24" s="210"/>
      <c r="VSE24" s="210"/>
      <c r="VSF24" s="210"/>
      <c r="VSG24" s="210"/>
      <c r="VSH24" s="210"/>
      <c r="VSI24" s="210"/>
      <c r="VSJ24" s="210"/>
      <c r="VSK24" s="210"/>
      <c r="VSL24" s="210"/>
      <c r="VSM24" s="210"/>
      <c r="VSN24" s="210"/>
      <c r="VSO24" s="210"/>
      <c r="VSP24" s="210"/>
      <c r="VSQ24" s="210"/>
      <c r="VSR24" s="210"/>
      <c r="VSS24" s="210"/>
      <c r="VST24" s="210"/>
      <c r="VSU24" s="210"/>
      <c r="VSV24" s="210"/>
      <c r="VSW24" s="210"/>
      <c r="VSX24" s="210"/>
      <c r="VSY24" s="210"/>
      <c r="VSZ24" s="210"/>
      <c r="VTA24" s="210"/>
      <c r="VTB24" s="210"/>
      <c r="VTC24" s="210"/>
      <c r="VTD24" s="210"/>
      <c r="VTE24" s="210"/>
      <c r="VTF24" s="210"/>
      <c r="VTG24" s="210"/>
      <c r="VTH24" s="210"/>
      <c r="VTI24" s="210"/>
      <c r="VTJ24" s="210"/>
      <c r="VTK24" s="210"/>
      <c r="VTL24" s="210"/>
      <c r="VTM24" s="210"/>
      <c r="VTN24" s="210"/>
      <c r="VTO24" s="210"/>
      <c r="VTP24" s="210"/>
      <c r="VTQ24" s="210"/>
      <c r="VTR24" s="210"/>
      <c r="VTS24" s="210"/>
      <c r="VTT24" s="210"/>
      <c r="VTU24" s="210"/>
      <c r="VTV24" s="210"/>
      <c r="VTW24" s="210"/>
      <c r="VTX24" s="210"/>
      <c r="VTY24" s="210"/>
      <c r="VTZ24" s="210"/>
      <c r="VUA24" s="210"/>
      <c r="VUB24" s="210"/>
      <c r="VUC24" s="210"/>
      <c r="VUD24" s="210"/>
      <c r="VUE24" s="210"/>
      <c r="VUF24" s="210"/>
      <c r="VUG24" s="210"/>
      <c r="VUH24" s="210"/>
      <c r="VUI24" s="210"/>
      <c r="VUJ24" s="210"/>
      <c r="VUK24" s="210"/>
      <c r="VUL24" s="210"/>
      <c r="VUM24" s="210"/>
      <c r="VUN24" s="210"/>
      <c r="VUO24" s="210"/>
      <c r="VUP24" s="210"/>
      <c r="VUQ24" s="210"/>
      <c r="VUR24" s="210"/>
      <c r="VUS24" s="210"/>
      <c r="VUT24" s="210"/>
      <c r="VUU24" s="210"/>
      <c r="VUV24" s="210"/>
      <c r="VUW24" s="210"/>
      <c r="VUX24" s="210"/>
      <c r="VUY24" s="210"/>
      <c r="VUZ24" s="210"/>
      <c r="VVA24" s="210"/>
      <c r="VVB24" s="210"/>
      <c r="VVC24" s="210"/>
      <c r="VVD24" s="210"/>
      <c r="VVE24" s="210"/>
      <c r="VVF24" s="210"/>
      <c r="VVG24" s="210"/>
      <c r="VVH24" s="210"/>
      <c r="VVI24" s="210"/>
      <c r="VVJ24" s="210"/>
      <c r="VVK24" s="210"/>
      <c r="VVL24" s="210"/>
      <c r="VVM24" s="210"/>
      <c r="VVN24" s="210"/>
      <c r="VVO24" s="210"/>
      <c r="VVP24" s="210"/>
      <c r="VVQ24" s="210"/>
      <c r="VVR24" s="210"/>
      <c r="VVS24" s="210"/>
      <c r="VVT24" s="210"/>
      <c r="VVU24" s="210"/>
      <c r="VVV24" s="210"/>
      <c r="VVW24" s="210"/>
      <c r="VVX24" s="210"/>
      <c r="VVY24" s="210"/>
      <c r="VVZ24" s="210"/>
      <c r="VWA24" s="210"/>
      <c r="VWB24" s="210"/>
      <c r="VWC24" s="210"/>
      <c r="VWD24" s="210"/>
      <c r="VWE24" s="210"/>
      <c r="VWF24" s="210"/>
      <c r="VWG24" s="210"/>
      <c r="VWH24" s="210"/>
      <c r="VWI24" s="210"/>
      <c r="VWJ24" s="210"/>
      <c r="VWK24" s="210"/>
      <c r="VWL24" s="210"/>
      <c r="VWM24" s="210"/>
      <c r="VWN24" s="210"/>
      <c r="VWO24" s="210"/>
      <c r="VWP24" s="210"/>
      <c r="VWQ24" s="210"/>
      <c r="VWR24" s="210"/>
      <c r="VWS24" s="210"/>
      <c r="VWT24" s="210"/>
      <c r="VWU24" s="210"/>
      <c r="VWV24" s="210"/>
      <c r="VWW24" s="210"/>
      <c r="VWX24" s="210"/>
      <c r="VWY24" s="210"/>
      <c r="VWZ24" s="210"/>
      <c r="VXA24" s="210"/>
      <c r="VXB24" s="210"/>
      <c r="VXC24" s="210"/>
      <c r="VXD24" s="210"/>
      <c r="VXE24" s="210"/>
      <c r="VXF24" s="210"/>
      <c r="VXG24" s="210"/>
      <c r="VXH24" s="210"/>
      <c r="VXI24" s="210"/>
      <c r="VXJ24" s="210"/>
      <c r="VXK24" s="210"/>
      <c r="VXL24" s="210"/>
      <c r="VXM24" s="210"/>
      <c r="VXN24" s="210"/>
      <c r="VXO24" s="210"/>
      <c r="VXP24" s="210"/>
      <c r="VXQ24" s="210"/>
      <c r="VXR24" s="210"/>
      <c r="VXS24" s="210"/>
      <c r="VXT24" s="210"/>
      <c r="VXU24" s="210"/>
      <c r="VXV24" s="210"/>
      <c r="VXW24" s="210"/>
      <c r="VXX24" s="210"/>
      <c r="VXY24" s="210"/>
      <c r="VXZ24" s="210"/>
      <c r="VYA24" s="210"/>
      <c r="VYB24" s="210"/>
      <c r="VYC24" s="210"/>
      <c r="VYD24" s="210"/>
      <c r="VYE24" s="210"/>
      <c r="VYF24" s="210"/>
      <c r="VYG24" s="210"/>
      <c r="VYH24" s="210"/>
      <c r="VYI24" s="210"/>
      <c r="VYJ24" s="210"/>
      <c r="VYK24" s="210"/>
      <c r="VYL24" s="210"/>
      <c r="VYM24" s="210"/>
      <c r="VYN24" s="210"/>
      <c r="VYO24" s="210"/>
      <c r="VYP24" s="210"/>
      <c r="VYQ24" s="210"/>
      <c r="VYR24" s="210"/>
      <c r="VYS24" s="210"/>
      <c r="VYT24" s="210"/>
      <c r="VYU24" s="210"/>
      <c r="VYV24" s="210"/>
      <c r="VYW24" s="210"/>
      <c r="VYX24" s="210"/>
      <c r="VYY24" s="210"/>
      <c r="VYZ24" s="210"/>
      <c r="VZA24" s="210"/>
      <c r="VZB24" s="210"/>
      <c r="VZC24" s="210"/>
      <c r="VZD24" s="210"/>
      <c r="VZE24" s="210"/>
      <c r="VZF24" s="210"/>
      <c r="VZG24" s="210"/>
      <c r="VZH24" s="210"/>
      <c r="VZI24" s="210"/>
      <c r="VZJ24" s="210"/>
      <c r="VZK24" s="210"/>
      <c r="VZL24" s="210"/>
      <c r="VZM24" s="210"/>
      <c r="VZN24" s="210"/>
      <c r="VZO24" s="210"/>
      <c r="VZP24" s="210"/>
      <c r="VZQ24" s="210"/>
      <c r="VZR24" s="210"/>
      <c r="VZS24" s="210"/>
      <c r="VZT24" s="210"/>
      <c r="VZU24" s="210"/>
      <c r="VZV24" s="210"/>
      <c r="VZW24" s="210"/>
      <c r="VZX24" s="210"/>
      <c r="VZY24" s="210"/>
      <c r="VZZ24" s="210"/>
      <c r="WAA24" s="210"/>
      <c r="WAB24" s="210"/>
      <c r="WAC24" s="210"/>
      <c r="WAD24" s="210"/>
      <c r="WAE24" s="210"/>
      <c r="WAF24" s="210"/>
      <c r="WAG24" s="210"/>
      <c r="WAH24" s="210"/>
      <c r="WAI24" s="210"/>
      <c r="WAJ24" s="210"/>
      <c r="WAK24" s="210"/>
      <c r="WAL24" s="210"/>
      <c r="WAM24" s="210"/>
      <c r="WAN24" s="210"/>
      <c r="WAO24" s="210"/>
      <c r="WAP24" s="210"/>
      <c r="WAQ24" s="210"/>
      <c r="WAR24" s="210"/>
      <c r="WAS24" s="210"/>
      <c r="WAT24" s="210"/>
      <c r="WAU24" s="210"/>
      <c r="WAV24" s="210"/>
      <c r="WAW24" s="210"/>
      <c r="WAX24" s="210"/>
      <c r="WAY24" s="210"/>
      <c r="WAZ24" s="210"/>
      <c r="WBA24" s="210"/>
      <c r="WBB24" s="210"/>
      <c r="WBC24" s="210"/>
      <c r="WBD24" s="210"/>
      <c r="WBE24" s="210"/>
      <c r="WBF24" s="210"/>
      <c r="WBG24" s="210"/>
      <c r="WBH24" s="210"/>
      <c r="WBI24" s="210"/>
      <c r="WBJ24" s="210"/>
      <c r="WBK24" s="210"/>
      <c r="WBL24" s="210"/>
      <c r="WBM24" s="210"/>
      <c r="WBN24" s="210"/>
      <c r="WBO24" s="210"/>
      <c r="WBP24" s="210"/>
      <c r="WBQ24" s="210"/>
      <c r="WBR24" s="210"/>
      <c r="WBS24" s="210"/>
      <c r="WBT24" s="210"/>
      <c r="WBU24" s="210"/>
      <c r="WBV24" s="210"/>
      <c r="WBW24" s="210"/>
      <c r="WBX24" s="210"/>
      <c r="WBY24" s="210"/>
      <c r="WBZ24" s="210"/>
      <c r="WCA24" s="210"/>
      <c r="WCB24" s="210"/>
      <c r="WCC24" s="210"/>
      <c r="WCD24" s="210"/>
      <c r="WCE24" s="210"/>
      <c r="WCF24" s="210"/>
      <c r="WCG24" s="210"/>
      <c r="WCH24" s="210"/>
      <c r="WCI24" s="210"/>
      <c r="WCJ24" s="210"/>
      <c r="WCK24" s="210"/>
      <c r="WCL24" s="210"/>
      <c r="WCM24" s="210"/>
      <c r="WCN24" s="210"/>
      <c r="WCO24" s="210"/>
      <c r="WCP24" s="210"/>
      <c r="WCQ24" s="210"/>
      <c r="WCR24" s="210"/>
      <c r="WCS24" s="210"/>
      <c r="WCT24" s="210"/>
      <c r="WCU24" s="210"/>
      <c r="WCV24" s="210"/>
      <c r="WCW24" s="210"/>
      <c r="WCX24" s="210"/>
      <c r="WCY24" s="210"/>
      <c r="WCZ24" s="210"/>
      <c r="WDA24" s="210"/>
      <c r="WDB24" s="210"/>
      <c r="WDC24" s="210"/>
      <c r="WDD24" s="210"/>
      <c r="WDE24" s="210"/>
      <c r="WDF24" s="210"/>
      <c r="WDG24" s="210"/>
      <c r="WDH24" s="210"/>
      <c r="WDI24" s="210"/>
      <c r="WDJ24" s="210"/>
      <c r="WDK24" s="210"/>
      <c r="WDL24" s="210"/>
      <c r="WDM24" s="210"/>
      <c r="WDN24" s="210"/>
      <c r="WDO24" s="210"/>
      <c r="WDP24" s="210"/>
      <c r="WDQ24" s="210"/>
      <c r="WDR24" s="210"/>
      <c r="WDS24" s="210"/>
      <c r="WDT24" s="210"/>
      <c r="WDU24" s="210"/>
      <c r="WDV24" s="210"/>
      <c r="WDW24" s="210"/>
      <c r="WDX24" s="210"/>
      <c r="WDY24" s="210"/>
      <c r="WDZ24" s="210"/>
      <c r="WEA24" s="210"/>
      <c r="WEB24" s="210"/>
      <c r="WEC24" s="210"/>
      <c r="WED24" s="210"/>
      <c r="WEE24" s="210"/>
      <c r="WEF24" s="210"/>
      <c r="WEG24" s="210"/>
      <c r="WEH24" s="210"/>
      <c r="WEI24" s="210"/>
      <c r="WEJ24" s="210"/>
      <c r="WEK24" s="210"/>
      <c r="WEL24" s="210"/>
      <c r="WEM24" s="210"/>
      <c r="WEN24" s="210"/>
      <c r="WEO24" s="210"/>
      <c r="WEP24" s="210"/>
      <c r="WEQ24" s="210"/>
      <c r="WER24" s="210"/>
      <c r="WES24" s="210"/>
      <c r="WET24" s="210"/>
      <c r="WEU24" s="210"/>
      <c r="WEV24" s="210"/>
      <c r="WEW24" s="210"/>
      <c r="WEX24" s="210"/>
      <c r="WEY24" s="210"/>
      <c r="WEZ24" s="210"/>
      <c r="WFA24" s="210"/>
      <c r="WFB24" s="210"/>
      <c r="WFC24" s="210"/>
      <c r="WFD24" s="210"/>
      <c r="WFE24" s="210"/>
      <c r="WFF24" s="210"/>
      <c r="WFG24" s="210"/>
      <c r="WFH24" s="210"/>
      <c r="WFI24" s="210"/>
      <c r="WFJ24" s="210"/>
      <c r="WFK24" s="210"/>
      <c r="WFL24" s="210"/>
      <c r="WFM24" s="210"/>
      <c r="WFN24" s="210"/>
      <c r="WFO24" s="210"/>
      <c r="WFP24" s="210"/>
      <c r="WFQ24" s="210"/>
      <c r="WFR24" s="210"/>
      <c r="WFS24" s="210"/>
      <c r="WFT24" s="210"/>
      <c r="WFU24" s="210"/>
      <c r="WFV24" s="210"/>
      <c r="WFW24" s="210"/>
      <c r="WFX24" s="210"/>
      <c r="WFY24" s="210"/>
      <c r="WFZ24" s="210"/>
      <c r="WGA24" s="210"/>
      <c r="WGB24" s="210"/>
      <c r="WGC24" s="210"/>
      <c r="WGD24" s="210"/>
      <c r="WGE24" s="210"/>
      <c r="WGF24" s="210"/>
      <c r="WGG24" s="210"/>
      <c r="WGH24" s="210"/>
      <c r="WGI24" s="210"/>
      <c r="WGJ24" s="210"/>
      <c r="WGK24" s="210"/>
      <c r="WGL24" s="210"/>
      <c r="WGM24" s="210"/>
      <c r="WGN24" s="210"/>
      <c r="WGO24" s="210"/>
      <c r="WGP24" s="210"/>
      <c r="WGQ24" s="210"/>
      <c r="WGR24" s="210"/>
      <c r="WGS24" s="210"/>
      <c r="WGT24" s="210"/>
      <c r="WGU24" s="210"/>
      <c r="WGV24" s="210"/>
      <c r="WGW24" s="210"/>
      <c r="WGX24" s="210"/>
      <c r="WGY24" s="210"/>
      <c r="WGZ24" s="210"/>
      <c r="WHA24" s="210"/>
      <c r="WHB24" s="210"/>
      <c r="WHC24" s="210"/>
      <c r="WHD24" s="210"/>
      <c r="WHE24" s="210"/>
      <c r="WHF24" s="210"/>
      <c r="WHG24" s="210"/>
      <c r="WHH24" s="210"/>
      <c r="WHI24" s="210"/>
      <c r="WHJ24" s="210"/>
      <c r="WHK24" s="210"/>
      <c r="WHL24" s="210"/>
      <c r="WHM24" s="210"/>
      <c r="WHN24" s="210"/>
      <c r="WHO24" s="210"/>
      <c r="WHP24" s="210"/>
      <c r="WHQ24" s="210"/>
      <c r="WHR24" s="210"/>
      <c r="WHS24" s="210"/>
      <c r="WHT24" s="210"/>
      <c r="WHU24" s="210"/>
      <c r="WHV24" s="210"/>
      <c r="WHW24" s="210"/>
      <c r="WHX24" s="210"/>
      <c r="WHY24" s="210"/>
      <c r="WHZ24" s="210"/>
      <c r="WIA24" s="210"/>
      <c r="WIB24" s="210"/>
      <c r="WIC24" s="210"/>
      <c r="WID24" s="210"/>
      <c r="WIE24" s="210"/>
      <c r="WIF24" s="210"/>
      <c r="WIG24" s="210"/>
      <c r="WIH24" s="210"/>
      <c r="WII24" s="210"/>
      <c r="WIJ24" s="210"/>
      <c r="WIK24" s="210"/>
      <c r="WIL24" s="210"/>
      <c r="WIM24" s="210"/>
      <c r="WIN24" s="210"/>
      <c r="WIO24" s="210"/>
      <c r="WIP24" s="210"/>
      <c r="WIQ24" s="210"/>
      <c r="WIR24" s="210"/>
      <c r="WIS24" s="210"/>
      <c r="WIT24" s="210"/>
      <c r="WIU24" s="210"/>
      <c r="WIV24" s="210"/>
      <c r="WIW24" s="210"/>
      <c r="WIX24" s="210"/>
      <c r="WIY24" s="210"/>
      <c r="WIZ24" s="210"/>
      <c r="WJA24" s="210"/>
      <c r="WJB24" s="210"/>
      <c r="WJC24" s="210"/>
      <c r="WJD24" s="210"/>
      <c r="WJE24" s="210"/>
      <c r="WJF24" s="210"/>
      <c r="WJG24" s="210"/>
      <c r="WJH24" s="210"/>
      <c r="WJI24" s="210"/>
      <c r="WJJ24" s="210"/>
      <c r="WJK24" s="210"/>
      <c r="WJL24" s="210"/>
      <c r="WJM24" s="210"/>
      <c r="WJN24" s="210"/>
      <c r="WJO24" s="210"/>
      <c r="WJP24" s="210"/>
      <c r="WJQ24" s="210"/>
      <c r="WJR24" s="210"/>
      <c r="WJS24" s="210"/>
      <c r="WJT24" s="210"/>
      <c r="WJU24" s="210"/>
      <c r="WJV24" s="210"/>
      <c r="WJW24" s="210"/>
      <c r="WJX24" s="210"/>
      <c r="WJY24" s="210"/>
      <c r="WJZ24" s="210"/>
      <c r="WKA24" s="210"/>
      <c r="WKB24" s="210"/>
      <c r="WKC24" s="210"/>
      <c r="WKD24" s="210"/>
      <c r="WKE24" s="210"/>
      <c r="WKF24" s="210"/>
      <c r="WKG24" s="210"/>
      <c r="WKH24" s="210"/>
      <c r="WKI24" s="210"/>
      <c r="WKJ24" s="210"/>
      <c r="WKK24" s="210"/>
      <c r="WKL24" s="210"/>
      <c r="WKM24" s="210"/>
      <c r="WKN24" s="210"/>
      <c r="WKO24" s="210"/>
      <c r="WKP24" s="210"/>
      <c r="WKQ24" s="210"/>
      <c r="WKR24" s="210"/>
      <c r="WKS24" s="210"/>
      <c r="WKT24" s="210"/>
      <c r="WKU24" s="210"/>
      <c r="WKV24" s="210"/>
      <c r="WKW24" s="210"/>
      <c r="WKX24" s="210"/>
      <c r="WKY24" s="210"/>
      <c r="WKZ24" s="210"/>
      <c r="WLA24" s="210"/>
      <c r="WLB24" s="210"/>
      <c r="WLC24" s="210"/>
      <c r="WLD24" s="210"/>
      <c r="WLE24" s="210"/>
      <c r="WLF24" s="210"/>
      <c r="WLG24" s="210"/>
      <c r="WLH24" s="210"/>
      <c r="WLI24" s="210"/>
      <c r="WLJ24" s="210"/>
      <c r="WLK24" s="210"/>
      <c r="WLL24" s="210"/>
      <c r="WLM24" s="210"/>
      <c r="WLN24" s="210"/>
      <c r="WLO24" s="210"/>
      <c r="WLP24" s="210"/>
      <c r="WLQ24" s="210"/>
      <c r="WLR24" s="210"/>
      <c r="WLS24" s="210"/>
      <c r="WLT24" s="210"/>
      <c r="WLU24" s="210"/>
      <c r="WLV24" s="210"/>
      <c r="WLW24" s="210"/>
      <c r="WLX24" s="210"/>
      <c r="WLY24" s="210"/>
      <c r="WLZ24" s="210"/>
      <c r="WMA24" s="210"/>
      <c r="WMB24" s="210"/>
      <c r="WMC24" s="210"/>
      <c r="WMD24" s="210"/>
      <c r="WME24" s="210"/>
      <c r="WMF24" s="210"/>
      <c r="WMG24" s="210"/>
      <c r="WMH24" s="210"/>
      <c r="WMI24" s="210"/>
      <c r="WMJ24" s="210"/>
      <c r="WMK24" s="210"/>
      <c r="WML24" s="210"/>
      <c r="WMM24" s="210"/>
      <c r="WMN24" s="210"/>
      <c r="WMO24" s="210"/>
      <c r="WMP24" s="210"/>
      <c r="WMQ24" s="210"/>
      <c r="WMR24" s="210"/>
      <c r="WMS24" s="210"/>
      <c r="WMT24" s="210"/>
      <c r="WMU24" s="210"/>
      <c r="WMV24" s="210"/>
      <c r="WMW24" s="210"/>
      <c r="WMX24" s="210"/>
      <c r="WMY24" s="210"/>
      <c r="WMZ24" s="210"/>
      <c r="WNA24" s="210"/>
      <c r="WNB24" s="210"/>
      <c r="WNC24" s="210"/>
      <c r="WND24" s="210"/>
      <c r="WNE24" s="210"/>
      <c r="WNF24" s="210"/>
      <c r="WNG24" s="210"/>
      <c r="WNH24" s="210"/>
      <c r="WNI24" s="210"/>
      <c r="WNJ24" s="210"/>
      <c r="WNK24" s="210"/>
      <c r="WNL24" s="210"/>
      <c r="WNM24" s="210"/>
      <c r="WNN24" s="210"/>
      <c r="WNO24" s="210"/>
      <c r="WNP24" s="210"/>
      <c r="WNQ24" s="210"/>
      <c r="WNR24" s="210"/>
      <c r="WNS24" s="210"/>
      <c r="WNT24" s="210"/>
      <c r="WNU24" s="210"/>
      <c r="WNV24" s="210"/>
      <c r="WNW24" s="210"/>
      <c r="WNX24" s="210"/>
      <c r="WNY24" s="210"/>
      <c r="WNZ24" s="210"/>
      <c r="WOA24" s="210"/>
      <c r="WOB24" s="210"/>
      <c r="WOC24" s="210"/>
      <c r="WOD24" s="210"/>
      <c r="WOE24" s="210"/>
      <c r="WOF24" s="210"/>
      <c r="WOG24" s="210"/>
      <c r="WOH24" s="210"/>
      <c r="WOI24" s="210"/>
      <c r="WOJ24" s="210"/>
      <c r="WOK24" s="210"/>
      <c r="WOL24" s="210"/>
      <c r="WOM24" s="210"/>
      <c r="WON24" s="210"/>
      <c r="WOO24" s="210"/>
      <c r="WOP24" s="210"/>
      <c r="WOQ24" s="210"/>
      <c r="WOR24" s="210"/>
      <c r="WOS24" s="210"/>
      <c r="WOT24" s="210"/>
      <c r="WOU24" s="210"/>
      <c r="WOV24" s="210"/>
      <c r="WOW24" s="210"/>
      <c r="WOX24" s="210"/>
      <c r="WOY24" s="210"/>
      <c r="WOZ24" s="210"/>
      <c r="WPA24" s="210"/>
      <c r="WPB24" s="210"/>
      <c r="WPC24" s="210"/>
      <c r="WPD24" s="210"/>
      <c r="WPE24" s="210"/>
      <c r="WPF24" s="210"/>
      <c r="WPG24" s="210"/>
      <c r="WPH24" s="210"/>
      <c r="WPI24" s="210"/>
      <c r="WPJ24" s="210"/>
      <c r="WPK24" s="210"/>
      <c r="WPL24" s="210"/>
      <c r="WPM24" s="210"/>
      <c r="WPN24" s="210"/>
      <c r="WPO24" s="210"/>
      <c r="WPP24" s="210"/>
      <c r="WPQ24" s="210"/>
      <c r="WPR24" s="210"/>
      <c r="WPS24" s="210"/>
      <c r="WPT24" s="210"/>
      <c r="WPU24" s="210"/>
      <c r="WPV24" s="210"/>
      <c r="WPW24" s="210"/>
      <c r="WPX24" s="210"/>
      <c r="WPY24" s="210"/>
      <c r="WPZ24" s="210"/>
      <c r="WQA24" s="210"/>
      <c r="WQB24" s="210"/>
      <c r="WQC24" s="210"/>
      <c r="WQD24" s="210"/>
      <c r="WQE24" s="210"/>
      <c r="WQF24" s="210"/>
      <c r="WQG24" s="210"/>
      <c r="WQH24" s="210"/>
      <c r="WQI24" s="210"/>
      <c r="WQJ24" s="210"/>
      <c r="WQK24" s="210"/>
      <c r="WQL24" s="210"/>
      <c r="WQM24" s="210"/>
      <c r="WQN24" s="210"/>
      <c r="WQO24" s="210"/>
      <c r="WQP24" s="210"/>
      <c r="WQQ24" s="210"/>
      <c r="WQR24" s="210"/>
      <c r="WQS24" s="210"/>
      <c r="WQT24" s="210"/>
      <c r="WQU24" s="210"/>
      <c r="WQV24" s="210"/>
      <c r="WQW24" s="210"/>
      <c r="WQX24" s="210"/>
      <c r="WQY24" s="210"/>
      <c r="WQZ24" s="210"/>
      <c r="WRA24" s="210"/>
      <c r="WRB24" s="210"/>
      <c r="WRC24" s="210"/>
      <c r="WRD24" s="210"/>
      <c r="WRE24" s="210"/>
      <c r="WRF24" s="210"/>
      <c r="WRG24" s="210"/>
      <c r="WRH24" s="210"/>
      <c r="WRI24" s="210"/>
      <c r="WRJ24" s="210"/>
      <c r="WRK24" s="210"/>
      <c r="WRL24" s="210"/>
      <c r="WRM24" s="210"/>
      <c r="WRN24" s="210"/>
      <c r="WRO24" s="210"/>
      <c r="WRP24" s="210"/>
      <c r="WRQ24" s="210"/>
      <c r="WRR24" s="210"/>
      <c r="WRS24" s="210"/>
      <c r="WRT24" s="210"/>
      <c r="WRU24" s="210"/>
      <c r="WRV24" s="210"/>
      <c r="WRW24" s="210"/>
      <c r="WRX24" s="210"/>
      <c r="WRY24" s="210"/>
      <c r="WRZ24" s="210"/>
      <c r="WSA24" s="210"/>
      <c r="WSB24" s="210"/>
      <c r="WSC24" s="210"/>
      <c r="WSD24" s="210"/>
      <c r="WSE24" s="210"/>
      <c r="WSF24" s="210"/>
      <c r="WSG24" s="210"/>
      <c r="WSH24" s="210"/>
      <c r="WSI24" s="210"/>
      <c r="WSJ24" s="210"/>
      <c r="WSK24" s="210"/>
      <c r="WSL24" s="210"/>
      <c r="WSM24" s="210"/>
      <c r="WSN24" s="210"/>
      <c r="WSO24" s="210"/>
      <c r="WSP24" s="210"/>
      <c r="WSQ24" s="210"/>
      <c r="WSR24" s="210"/>
      <c r="WSS24" s="210"/>
      <c r="WST24" s="210"/>
      <c r="WSU24" s="210"/>
      <c r="WSV24" s="210"/>
      <c r="WSW24" s="210"/>
      <c r="WSX24" s="210"/>
      <c r="WSY24" s="210"/>
      <c r="WSZ24" s="210"/>
      <c r="WTA24" s="210"/>
      <c r="WTB24" s="210"/>
      <c r="WTC24" s="210"/>
      <c r="WTD24" s="210"/>
      <c r="WTE24" s="210"/>
      <c r="WTF24" s="210"/>
      <c r="WTG24" s="210"/>
      <c r="WTH24" s="210"/>
      <c r="WTI24" s="210"/>
      <c r="WTJ24" s="210"/>
      <c r="WTK24" s="210"/>
      <c r="WTL24" s="210"/>
      <c r="WTM24" s="210"/>
      <c r="WTN24" s="210"/>
      <c r="WTO24" s="210"/>
      <c r="WTP24" s="210"/>
      <c r="WTQ24" s="210"/>
      <c r="WTR24" s="210"/>
      <c r="WTS24" s="210"/>
      <c r="WTT24" s="210"/>
      <c r="WTU24" s="210"/>
      <c r="WTV24" s="210"/>
      <c r="WTW24" s="210"/>
      <c r="WTX24" s="210"/>
      <c r="WTY24" s="210"/>
      <c r="WTZ24" s="210"/>
      <c r="WUA24" s="210"/>
      <c r="WUB24" s="210"/>
      <c r="WUC24" s="210"/>
      <c r="WUD24" s="210"/>
      <c r="WUE24" s="210"/>
      <c r="WUF24" s="210"/>
      <c r="WUG24" s="210"/>
      <c r="WUH24" s="210"/>
      <c r="WUI24" s="210"/>
      <c r="WUJ24" s="210"/>
      <c r="WUK24" s="210"/>
      <c r="WUL24" s="210"/>
      <c r="WUM24" s="210"/>
      <c r="WUN24" s="210"/>
      <c r="WUO24" s="210"/>
      <c r="WUP24" s="210"/>
      <c r="WUQ24" s="210"/>
      <c r="WUR24" s="210"/>
      <c r="WUS24" s="210"/>
      <c r="WUT24" s="210"/>
      <c r="WUU24" s="210"/>
      <c r="WUV24" s="210"/>
      <c r="WUW24" s="210"/>
      <c r="WUX24" s="210"/>
      <c r="WUY24" s="210"/>
      <c r="WUZ24" s="210"/>
      <c r="WVA24" s="210"/>
      <c r="WVB24" s="210"/>
      <c r="WVC24" s="210"/>
      <c r="WVD24" s="210"/>
      <c r="WVE24" s="210"/>
      <c r="WVF24" s="210"/>
      <c r="WVG24" s="210"/>
      <c r="WVH24" s="210"/>
      <c r="WVI24" s="210"/>
      <c r="WVJ24" s="210"/>
      <c r="WVK24" s="210"/>
      <c r="WVL24" s="210"/>
      <c r="WVM24" s="210"/>
      <c r="WVN24" s="210"/>
      <c r="WVO24" s="210"/>
      <c r="WVP24" s="210"/>
      <c r="WVQ24" s="210"/>
      <c r="WVR24" s="210"/>
      <c r="WVS24" s="210"/>
      <c r="WVT24" s="210"/>
      <c r="WVU24" s="210"/>
      <c r="WVV24" s="210"/>
      <c r="WVW24" s="210"/>
      <c r="WVX24" s="210"/>
      <c r="WVY24" s="210"/>
      <c r="WVZ24" s="210"/>
      <c r="WWA24" s="210"/>
      <c r="WWB24" s="210"/>
      <c r="WWC24" s="210"/>
      <c r="WWD24" s="210"/>
      <c r="WWE24" s="210"/>
      <c r="WWF24" s="210"/>
      <c r="WWG24" s="210"/>
      <c r="WWH24" s="210"/>
      <c r="WWI24" s="210"/>
      <c r="WWJ24" s="210"/>
      <c r="WWK24" s="210"/>
      <c r="WWL24" s="210"/>
      <c r="WWM24" s="210"/>
      <c r="WWN24" s="210"/>
      <c r="WWO24" s="210"/>
      <c r="WWP24" s="210"/>
      <c r="WWQ24" s="210"/>
      <c r="WWR24" s="210"/>
      <c r="WWS24" s="210"/>
      <c r="WWT24" s="210"/>
      <c r="WWU24" s="210"/>
      <c r="WWV24" s="210"/>
      <c r="WWW24" s="210"/>
      <c r="WWX24" s="210"/>
      <c r="WWY24" s="210"/>
      <c r="WWZ24" s="210"/>
      <c r="WXA24" s="210"/>
      <c r="WXB24" s="210"/>
      <c r="WXC24" s="210"/>
      <c r="WXD24" s="210"/>
      <c r="WXE24" s="210"/>
      <c r="WXF24" s="210"/>
      <c r="WXG24" s="210"/>
      <c r="WXH24" s="210"/>
      <c r="WXI24" s="210"/>
      <c r="WXJ24" s="210"/>
      <c r="WXK24" s="210"/>
      <c r="WXL24" s="210"/>
      <c r="WXM24" s="210"/>
      <c r="WXN24" s="210"/>
      <c r="WXO24" s="210"/>
      <c r="WXP24" s="210"/>
      <c r="WXQ24" s="210"/>
      <c r="WXR24" s="210"/>
      <c r="WXS24" s="210"/>
      <c r="WXT24" s="210"/>
      <c r="WXU24" s="210"/>
      <c r="WXV24" s="210"/>
      <c r="WXW24" s="210"/>
      <c r="WXX24" s="210"/>
      <c r="WXY24" s="210"/>
      <c r="WXZ24" s="210"/>
      <c r="WYA24" s="210"/>
      <c r="WYB24" s="210"/>
      <c r="WYC24" s="210"/>
      <c r="WYD24" s="210"/>
      <c r="WYE24" s="210"/>
      <c r="WYF24" s="210"/>
      <c r="WYG24" s="210"/>
      <c r="WYH24" s="210"/>
      <c r="WYI24" s="210"/>
      <c r="WYJ24" s="210"/>
      <c r="WYK24" s="210"/>
      <c r="WYL24" s="210"/>
      <c r="WYM24" s="210"/>
      <c r="WYN24" s="210"/>
      <c r="WYO24" s="210"/>
      <c r="WYP24" s="210"/>
      <c r="WYQ24" s="210"/>
      <c r="WYR24" s="210"/>
      <c r="WYS24" s="210"/>
      <c r="WYT24" s="210"/>
      <c r="WYU24" s="210"/>
      <c r="WYV24" s="210"/>
      <c r="WYW24" s="210"/>
      <c r="WYX24" s="210"/>
      <c r="WYY24" s="210"/>
      <c r="WYZ24" s="210"/>
      <c r="WZA24" s="210"/>
      <c r="WZB24" s="210"/>
      <c r="WZC24" s="210"/>
      <c r="WZD24" s="210"/>
      <c r="WZE24" s="210"/>
      <c r="WZF24" s="210"/>
      <c r="WZG24" s="210"/>
      <c r="WZH24" s="210"/>
      <c r="WZI24" s="210"/>
      <c r="WZJ24" s="210"/>
      <c r="WZK24" s="210"/>
      <c r="WZL24" s="210"/>
      <c r="WZM24" s="210"/>
      <c r="WZN24" s="210"/>
      <c r="WZO24" s="210"/>
      <c r="WZP24" s="210"/>
      <c r="WZQ24" s="210"/>
      <c r="WZR24" s="210"/>
      <c r="WZS24" s="210"/>
      <c r="WZT24" s="210"/>
      <c r="WZU24" s="210"/>
      <c r="WZV24" s="210"/>
      <c r="WZW24" s="210"/>
      <c r="WZX24" s="210"/>
      <c r="WZY24" s="210"/>
      <c r="WZZ24" s="210"/>
      <c r="XAA24" s="210"/>
      <c r="XAB24" s="210"/>
      <c r="XAC24" s="210"/>
      <c r="XAD24" s="210"/>
      <c r="XAE24" s="210"/>
      <c r="XAF24" s="210"/>
      <c r="XAG24" s="210"/>
      <c r="XAH24" s="210"/>
      <c r="XAI24" s="210"/>
      <c r="XAJ24" s="210"/>
      <c r="XAK24" s="210"/>
      <c r="XAL24" s="210"/>
      <c r="XAM24" s="210"/>
      <c r="XAN24" s="210"/>
      <c r="XAO24" s="210"/>
      <c r="XAP24" s="210"/>
      <c r="XAQ24" s="210"/>
      <c r="XAR24" s="210"/>
      <c r="XAS24" s="210"/>
      <c r="XAT24" s="210"/>
      <c r="XAU24" s="210"/>
      <c r="XAV24" s="210"/>
      <c r="XAW24" s="210"/>
      <c r="XAX24" s="210"/>
      <c r="XAY24" s="210"/>
      <c r="XAZ24" s="210"/>
      <c r="XBA24" s="210"/>
      <c r="XBB24" s="210"/>
      <c r="XBC24" s="210"/>
      <c r="XBD24" s="210"/>
      <c r="XBE24" s="210"/>
      <c r="XBF24" s="210"/>
      <c r="XBG24" s="210"/>
      <c r="XBH24" s="210"/>
      <c r="XBI24" s="210"/>
      <c r="XBJ24" s="210"/>
      <c r="XBK24" s="210"/>
      <c r="XBL24" s="210"/>
      <c r="XBM24" s="210"/>
      <c r="XBN24" s="210"/>
      <c r="XBO24" s="210"/>
      <c r="XBP24" s="210"/>
      <c r="XBQ24" s="210"/>
      <c r="XBR24" s="210"/>
      <c r="XBS24" s="210"/>
      <c r="XBT24" s="210"/>
      <c r="XBU24" s="210"/>
      <c r="XBV24" s="210"/>
      <c r="XBW24" s="210"/>
      <c r="XBX24" s="210"/>
      <c r="XBY24" s="210"/>
      <c r="XBZ24" s="210"/>
      <c r="XCA24" s="210"/>
      <c r="XCB24" s="210"/>
      <c r="XCC24" s="210"/>
      <c r="XCD24" s="210"/>
      <c r="XCE24" s="210"/>
      <c r="XCF24" s="210"/>
      <c r="XCG24" s="210"/>
      <c r="XCH24" s="210"/>
      <c r="XCI24" s="210"/>
      <c r="XCJ24" s="210"/>
      <c r="XCK24" s="210"/>
      <c r="XCL24" s="210"/>
      <c r="XCM24" s="210"/>
      <c r="XCN24" s="210"/>
      <c r="XCO24" s="210"/>
      <c r="XCP24" s="210"/>
      <c r="XCQ24" s="210"/>
      <c r="XCR24" s="210"/>
      <c r="XCS24" s="210"/>
      <c r="XCT24" s="210"/>
      <c r="XCU24" s="210"/>
      <c r="XCV24" s="210"/>
      <c r="XCW24" s="210"/>
      <c r="XCX24" s="210"/>
      <c r="XCY24" s="210"/>
      <c r="XCZ24" s="210"/>
      <c r="XDA24" s="210"/>
      <c r="XDB24" s="210"/>
      <c r="XDC24" s="210"/>
      <c r="XDD24" s="210"/>
      <c r="XDE24" s="210"/>
      <c r="XDF24" s="210"/>
      <c r="XDG24" s="210"/>
      <c r="XDH24" s="210"/>
      <c r="XDI24" s="210"/>
      <c r="XDJ24" s="210"/>
      <c r="XDK24" s="210"/>
      <c r="XDL24" s="210"/>
      <c r="XDM24" s="210"/>
      <c r="XDN24" s="210"/>
      <c r="XDO24" s="210"/>
      <c r="XDP24" s="210"/>
      <c r="XDQ24" s="210"/>
      <c r="XDR24" s="210"/>
      <c r="XDS24" s="210"/>
      <c r="XDT24" s="210"/>
      <c r="XDU24" s="210"/>
      <c r="XDV24" s="210"/>
      <c r="XDW24" s="210"/>
      <c r="XDX24" s="210"/>
      <c r="XDY24" s="210"/>
      <c r="XDZ24" s="210"/>
      <c r="XEA24" s="210"/>
      <c r="XEB24" s="210"/>
      <c r="XEC24" s="210"/>
      <c r="XED24" s="210"/>
      <c r="XEE24" s="210"/>
      <c r="XEF24" s="210"/>
      <c r="XEG24" s="210"/>
      <c r="XEH24" s="210"/>
      <c r="XEI24" s="210"/>
      <c r="XEJ24" s="210"/>
      <c r="XEK24" s="210"/>
      <c r="XEL24" s="210"/>
      <c r="XEM24" s="210"/>
      <c r="XEN24" s="210"/>
      <c r="XEO24" s="210"/>
      <c r="XEP24" s="210"/>
      <c r="XEQ24" s="210"/>
      <c r="XER24" s="210"/>
      <c r="XES24" s="210"/>
      <c r="XET24" s="210"/>
      <c r="XEU24" s="210"/>
      <c r="XEV24" s="210"/>
      <c r="XEW24" s="210"/>
      <c r="XEX24" s="210"/>
      <c r="XEY24" s="210"/>
      <c r="XEZ24" s="210"/>
      <c r="XFA24" s="210"/>
      <c r="XFB24" s="210"/>
      <c r="XFC24" s="210"/>
      <c r="XFD24" s="210"/>
    </row>
    <row r="25" spans="1:16384" s="210" customFormat="1" ht="21" customHeight="1" x14ac:dyDescent="0.15">
      <c r="A25" s="473">
        <v>60006024</v>
      </c>
      <c r="B25" s="28">
        <v>0</v>
      </c>
      <c r="C25" s="28">
        <v>60</v>
      </c>
      <c r="D25" s="28">
        <v>100</v>
      </c>
      <c r="E25" s="28">
        <v>90</v>
      </c>
      <c r="F25" s="28" t="s">
        <v>53</v>
      </c>
      <c r="G25" s="28">
        <v>1</v>
      </c>
      <c r="H25" s="28" t="s">
        <v>53</v>
      </c>
      <c r="I25" s="28" t="s">
        <v>53</v>
      </c>
      <c r="J25" s="484">
        <f t="shared" si="6"/>
        <v>100</v>
      </c>
      <c r="K25" s="470"/>
    </row>
    <row r="26" spans="1:16384" s="210" customFormat="1" ht="21" customHeight="1" x14ac:dyDescent="0.15">
      <c r="A26" s="473">
        <v>60006025</v>
      </c>
      <c r="B26" s="28">
        <v>0</v>
      </c>
      <c r="C26" s="28">
        <v>80</v>
      </c>
      <c r="D26" s="28">
        <v>100</v>
      </c>
      <c r="E26" s="28">
        <v>70</v>
      </c>
      <c r="F26" s="28" t="s">
        <v>53</v>
      </c>
      <c r="G26" s="28">
        <v>1</v>
      </c>
      <c r="H26" s="28" t="s">
        <v>53</v>
      </c>
      <c r="I26" s="28" t="s">
        <v>53</v>
      </c>
      <c r="J26" s="484">
        <f t="shared" si="6"/>
        <v>100</v>
      </c>
      <c r="K26" s="470"/>
    </row>
    <row r="27" spans="1:16384" s="208" customFormat="1" ht="21" customHeight="1" thickBot="1" x14ac:dyDescent="0.2">
      <c r="A27" s="473">
        <v>60006026</v>
      </c>
      <c r="B27" s="28">
        <v>0</v>
      </c>
      <c r="C27" s="28">
        <v>100</v>
      </c>
      <c r="D27" s="28">
        <v>100</v>
      </c>
      <c r="E27" s="28">
        <v>50</v>
      </c>
      <c r="F27" s="28" t="s">
        <v>53</v>
      </c>
      <c r="G27" s="28">
        <v>1</v>
      </c>
      <c r="H27" s="28" t="s">
        <v>53</v>
      </c>
      <c r="I27" s="28" t="s">
        <v>53</v>
      </c>
      <c r="J27" s="484">
        <f t="shared" si="6"/>
        <v>100</v>
      </c>
      <c r="K27" s="468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210"/>
      <c r="AA27" s="210"/>
      <c r="AB27" s="210"/>
      <c r="AC27" s="210"/>
      <c r="AD27" s="210"/>
      <c r="AE27" s="210"/>
      <c r="AF27" s="210"/>
      <c r="AG27" s="210"/>
      <c r="AH27" s="210"/>
      <c r="AI27" s="210"/>
      <c r="AJ27" s="210"/>
      <c r="AK27" s="210"/>
      <c r="AL27" s="210"/>
      <c r="AM27" s="210"/>
      <c r="AN27" s="210"/>
      <c r="AO27" s="210"/>
      <c r="AP27" s="210"/>
      <c r="AQ27" s="210"/>
      <c r="AR27" s="210"/>
      <c r="XAM27" s="210"/>
      <c r="XAN27" s="210"/>
      <c r="XAO27" s="210"/>
      <c r="XAP27" s="210"/>
      <c r="XAQ27" s="210"/>
      <c r="XAR27" s="210"/>
      <c r="XAS27" s="210"/>
      <c r="XAT27" s="210"/>
      <c r="XAU27" s="210"/>
      <c r="XAV27" s="210"/>
      <c r="XAW27" s="210"/>
      <c r="XAX27" s="210"/>
      <c r="XAY27" s="210"/>
      <c r="XAZ27" s="210"/>
      <c r="XBA27" s="210"/>
      <c r="XBB27" s="210"/>
      <c r="XBC27" s="210"/>
      <c r="XBD27" s="210"/>
      <c r="XBE27" s="210"/>
      <c r="XBF27" s="210"/>
      <c r="XBG27" s="210"/>
      <c r="XBH27" s="210"/>
      <c r="XBI27" s="210"/>
      <c r="XBJ27" s="210"/>
      <c r="XBK27" s="210"/>
      <c r="XBL27" s="210"/>
      <c r="XBM27" s="210"/>
      <c r="XBN27" s="210"/>
      <c r="XBO27" s="210"/>
      <c r="XBP27" s="210"/>
      <c r="XBQ27" s="210"/>
      <c r="XBR27" s="210"/>
      <c r="XBS27" s="210"/>
      <c r="XBT27" s="210"/>
      <c r="XBU27" s="210"/>
      <c r="XBV27" s="210"/>
      <c r="XBW27" s="210"/>
      <c r="XBX27" s="210"/>
      <c r="XBY27" s="210"/>
      <c r="XBZ27" s="210"/>
      <c r="XCA27" s="210"/>
      <c r="XCB27" s="210"/>
      <c r="XCC27" s="210"/>
      <c r="XCD27" s="210"/>
      <c r="XCE27" s="210"/>
      <c r="XCF27" s="210"/>
      <c r="XCG27" s="210"/>
      <c r="XCH27" s="210"/>
      <c r="XCI27" s="210"/>
      <c r="XCJ27" s="210"/>
      <c r="XCK27" s="210"/>
      <c r="XCL27" s="210"/>
      <c r="XCM27" s="210"/>
      <c r="XCN27" s="210"/>
      <c r="XCO27" s="210"/>
      <c r="XCP27" s="210"/>
      <c r="XCQ27" s="210"/>
      <c r="XCR27" s="210"/>
      <c r="XCS27" s="210"/>
      <c r="XCT27" s="210"/>
      <c r="XCU27" s="210"/>
      <c r="XCV27" s="210"/>
      <c r="XCW27" s="210"/>
      <c r="XCX27" s="210"/>
      <c r="XCY27" s="210"/>
      <c r="XCZ27" s="210"/>
      <c r="XDA27" s="210"/>
      <c r="XDB27" s="210"/>
      <c r="XDC27" s="210"/>
      <c r="XDD27" s="210"/>
      <c r="XDE27" s="210"/>
      <c r="XDF27" s="210"/>
      <c r="XDG27" s="210"/>
      <c r="XDH27" s="210"/>
      <c r="XDI27" s="210"/>
      <c r="XDJ27" s="210"/>
      <c r="XDK27" s="210"/>
      <c r="XDL27" s="210"/>
      <c r="XDM27" s="210"/>
      <c r="XDN27" s="210"/>
      <c r="XDO27" s="210"/>
      <c r="XDP27" s="210"/>
      <c r="XDQ27" s="210"/>
      <c r="XDR27" s="210"/>
      <c r="XDS27" s="210"/>
      <c r="XDT27" s="210"/>
      <c r="XDU27" s="210"/>
      <c r="XDV27" s="210"/>
      <c r="XDW27" s="210"/>
      <c r="XDX27" s="210"/>
      <c r="XDY27" s="210"/>
      <c r="XDZ27" s="210"/>
      <c r="XEA27" s="210"/>
      <c r="XEB27" s="210"/>
      <c r="XEC27" s="210"/>
      <c r="XED27" s="210"/>
      <c r="XEE27" s="210"/>
      <c r="XEF27" s="210"/>
      <c r="XEG27" s="210"/>
      <c r="XEH27" s="210"/>
      <c r="XEI27" s="210"/>
      <c r="XEJ27" s="210"/>
      <c r="XEK27" s="210"/>
      <c r="XEL27" s="210"/>
      <c r="XEM27" s="210"/>
      <c r="XEN27" s="210"/>
      <c r="XEO27" s="210"/>
      <c r="XEP27" s="210"/>
      <c r="XEQ27" s="210"/>
      <c r="XER27" s="210"/>
      <c r="XES27" s="210"/>
      <c r="XET27" s="210"/>
      <c r="XEU27" s="210"/>
      <c r="XEV27" s="210"/>
      <c r="XEW27" s="210"/>
      <c r="XEX27" s="210"/>
      <c r="XEY27" s="210"/>
      <c r="XEZ27" s="210"/>
      <c r="XFA27" s="210"/>
      <c r="XFB27" s="210"/>
      <c r="XFC27" s="210"/>
      <c r="XFD27" s="210"/>
    </row>
    <row r="28" spans="1:16384" s="208" customFormat="1" ht="21" customHeight="1" thickBot="1" x14ac:dyDescent="0.2">
      <c r="A28" s="473">
        <v>60006027</v>
      </c>
      <c r="B28" s="28">
        <v>1</v>
      </c>
      <c r="C28" s="28" t="s">
        <v>53</v>
      </c>
      <c r="D28" s="28">
        <v>100</v>
      </c>
      <c r="E28" s="28" t="s">
        <v>382</v>
      </c>
      <c r="F28" s="28" t="s">
        <v>53</v>
      </c>
      <c r="G28" s="28">
        <v>1</v>
      </c>
      <c r="H28" s="28" t="s">
        <v>53</v>
      </c>
      <c r="I28" s="28" t="s">
        <v>53</v>
      </c>
      <c r="J28" s="484">
        <f t="shared" ref="J28:J30" si="9">D28</f>
        <v>100</v>
      </c>
      <c r="K28" s="468"/>
      <c r="L28" s="210"/>
      <c r="M28" s="210"/>
      <c r="N28" s="210"/>
      <c r="O28" s="210"/>
      <c r="P28" s="210"/>
      <c r="Q28" s="210"/>
      <c r="R28" s="210"/>
      <c r="S28" s="210"/>
      <c r="T28" s="210"/>
      <c r="U28" s="210"/>
      <c r="V28" s="210"/>
      <c r="W28" s="210"/>
      <c r="X28" s="210"/>
      <c r="Y28" s="210"/>
      <c r="Z28" s="210"/>
      <c r="AA28" s="210"/>
      <c r="AB28" s="210"/>
      <c r="AC28" s="210"/>
      <c r="AD28" s="210"/>
      <c r="AE28" s="210"/>
      <c r="AF28" s="210"/>
      <c r="AG28" s="210"/>
      <c r="AH28" s="210"/>
      <c r="AI28" s="210"/>
      <c r="AJ28" s="210"/>
      <c r="AK28" s="210"/>
      <c r="AL28" s="210"/>
      <c r="AM28" s="210"/>
      <c r="AN28" s="210"/>
      <c r="AO28" s="210"/>
      <c r="AP28" s="210"/>
      <c r="AQ28" s="210"/>
      <c r="AR28" s="210"/>
      <c r="XAM28" s="210"/>
      <c r="XAN28" s="210"/>
      <c r="XAO28" s="210"/>
      <c r="XAP28" s="210"/>
      <c r="XAQ28" s="210"/>
      <c r="XAR28" s="210"/>
      <c r="XAS28" s="210"/>
      <c r="XAT28" s="210"/>
      <c r="XAU28" s="210"/>
      <c r="XAV28" s="210"/>
      <c r="XAW28" s="210"/>
      <c r="XAX28" s="210"/>
      <c r="XAY28" s="210"/>
      <c r="XAZ28" s="210"/>
      <c r="XBA28" s="210"/>
      <c r="XBB28" s="210"/>
      <c r="XBC28" s="210"/>
      <c r="XBD28" s="210"/>
      <c r="XBE28" s="210"/>
      <c r="XBF28" s="210"/>
      <c r="XBG28" s="210"/>
      <c r="XBH28" s="210"/>
      <c r="XBI28" s="210"/>
      <c r="XBJ28" s="210"/>
      <c r="XBK28" s="210"/>
      <c r="XBL28" s="210"/>
      <c r="XBM28" s="210"/>
      <c r="XBN28" s="210"/>
      <c r="XBO28" s="210"/>
      <c r="XBP28" s="210"/>
      <c r="XBQ28" s="210"/>
      <c r="XBR28" s="210"/>
      <c r="XBS28" s="210"/>
      <c r="XBT28" s="210"/>
      <c r="XBU28" s="210"/>
      <c r="XBV28" s="210"/>
      <c r="XBW28" s="210"/>
      <c r="XBX28" s="210"/>
      <c r="XBY28" s="210"/>
      <c r="XBZ28" s="210"/>
      <c r="XCA28" s="210"/>
      <c r="XCB28" s="210"/>
      <c r="XCC28" s="210"/>
      <c r="XCD28" s="210"/>
      <c r="XCE28" s="210"/>
      <c r="XCF28" s="210"/>
      <c r="XCG28" s="210"/>
      <c r="XCH28" s="210"/>
      <c r="XCI28" s="210"/>
      <c r="XCJ28" s="210"/>
      <c r="XCK28" s="210"/>
      <c r="XCL28" s="210"/>
      <c r="XCM28" s="210"/>
      <c r="XCN28" s="210"/>
      <c r="XCO28" s="210"/>
      <c r="XCP28" s="210"/>
      <c r="XCQ28" s="210"/>
      <c r="XCR28" s="210"/>
      <c r="XCS28" s="210"/>
      <c r="XCT28" s="210"/>
      <c r="XCU28" s="210"/>
      <c r="XCV28" s="210"/>
      <c r="XCW28" s="210"/>
      <c r="XCX28" s="210"/>
      <c r="XCY28" s="210"/>
      <c r="XCZ28" s="210"/>
      <c r="XDA28" s="210"/>
      <c r="XDB28" s="210"/>
      <c r="XDC28" s="210"/>
      <c r="XDD28" s="210"/>
      <c r="XDE28" s="210"/>
      <c r="XDF28" s="210"/>
      <c r="XDG28" s="210"/>
      <c r="XDH28" s="210"/>
      <c r="XDI28" s="210"/>
      <c r="XDJ28" s="210"/>
      <c r="XDK28" s="210"/>
      <c r="XDL28" s="210"/>
      <c r="XDM28" s="210"/>
      <c r="XDN28" s="210"/>
      <c r="XDO28" s="210"/>
      <c r="XDP28" s="210"/>
      <c r="XDQ28" s="210"/>
      <c r="XDR28" s="210"/>
      <c r="XDS28" s="210"/>
      <c r="XDT28" s="210"/>
      <c r="XDU28" s="210"/>
      <c r="XDV28" s="210"/>
      <c r="XDW28" s="210"/>
      <c r="XDX28" s="210"/>
      <c r="XDY28" s="210"/>
      <c r="XDZ28" s="210"/>
      <c r="XEA28" s="210"/>
      <c r="XEB28" s="210"/>
      <c r="XEC28" s="210"/>
      <c r="XED28" s="210"/>
      <c r="XEE28" s="210"/>
      <c r="XEF28" s="210"/>
      <c r="XEG28" s="210"/>
      <c r="XEH28" s="210"/>
      <c r="XEI28" s="210"/>
      <c r="XEJ28" s="210"/>
      <c r="XEK28" s="210"/>
      <c r="XEL28" s="210"/>
      <c r="XEM28" s="210"/>
      <c r="XEN28" s="210"/>
      <c r="XEO28" s="210"/>
      <c r="XEP28" s="210"/>
      <c r="XEQ28" s="210"/>
      <c r="XER28" s="210"/>
      <c r="XES28" s="210"/>
      <c r="XET28" s="210"/>
      <c r="XEU28" s="210"/>
      <c r="XEV28" s="210"/>
      <c r="XEW28" s="210"/>
      <c r="XEX28" s="210"/>
      <c r="XEY28" s="210"/>
      <c r="XEZ28" s="210"/>
      <c r="XFA28" s="210"/>
      <c r="XFB28" s="210"/>
      <c r="XFC28" s="210"/>
      <c r="XFD28" s="210"/>
    </row>
    <row r="29" spans="1:16384" s="210" customFormat="1" ht="21" customHeight="1" x14ac:dyDescent="0.15">
      <c r="A29" s="473">
        <v>60006028</v>
      </c>
      <c r="B29" s="28">
        <v>0</v>
      </c>
      <c r="C29" s="28">
        <v>110</v>
      </c>
      <c r="D29" s="28">
        <v>100</v>
      </c>
      <c r="E29" s="28">
        <v>33</v>
      </c>
      <c r="F29" s="28" t="s">
        <v>53</v>
      </c>
      <c r="G29" s="28">
        <v>1</v>
      </c>
      <c r="H29" s="28" t="s">
        <v>53</v>
      </c>
      <c r="I29" s="28" t="s">
        <v>53</v>
      </c>
      <c r="J29" s="484">
        <f t="shared" si="9"/>
        <v>100</v>
      </c>
      <c r="K29" s="470"/>
    </row>
    <row r="30" spans="1:16384" ht="21" customHeight="1" x14ac:dyDescent="0.15">
      <c r="A30" s="473">
        <v>60006029</v>
      </c>
      <c r="B30" s="28">
        <v>0</v>
      </c>
      <c r="C30" s="28">
        <v>99</v>
      </c>
      <c r="D30" s="28">
        <v>100</v>
      </c>
      <c r="E30" s="28">
        <v>50</v>
      </c>
      <c r="F30" s="28" t="s">
        <v>53</v>
      </c>
      <c r="G30" s="28">
        <v>1</v>
      </c>
      <c r="H30" s="28" t="s">
        <v>53</v>
      </c>
      <c r="I30" s="28" t="s">
        <v>53</v>
      </c>
      <c r="J30" s="484">
        <f t="shared" si="9"/>
        <v>100</v>
      </c>
      <c r="L30" s="471"/>
      <c r="M30" s="471"/>
      <c r="N30" s="471"/>
      <c r="O30" s="471"/>
      <c r="P30" s="471"/>
      <c r="Q30" s="471"/>
      <c r="R30" s="471"/>
      <c r="S30" s="471"/>
      <c r="T30" s="471"/>
      <c r="U30" s="471"/>
      <c r="V30" s="471"/>
      <c r="W30" s="471"/>
      <c r="X30" s="471"/>
      <c r="Y30" s="471"/>
      <c r="Z30" s="471"/>
      <c r="AA30" s="471"/>
      <c r="AB30" s="471"/>
      <c r="AC30" s="471"/>
      <c r="AD30" s="471"/>
      <c r="AE30" s="471"/>
      <c r="AF30" s="471"/>
      <c r="AG30" s="471"/>
      <c r="AH30" s="471"/>
      <c r="AI30" s="471"/>
      <c r="AJ30" s="471"/>
      <c r="AK30" s="471"/>
      <c r="AL30" s="471"/>
      <c r="AM30" s="471"/>
      <c r="AN30" s="471"/>
      <c r="AO30" s="471"/>
      <c r="AP30" s="471"/>
      <c r="AQ30" s="471"/>
      <c r="AR30" s="471"/>
      <c r="XAM30" s="471"/>
      <c r="XAN30" s="471"/>
      <c r="XAO30" s="471"/>
      <c r="XAP30" s="471"/>
      <c r="XAQ30" s="471"/>
      <c r="XAR30" s="471"/>
      <c r="XAS30" s="471"/>
      <c r="XAT30" s="471"/>
      <c r="XAU30" s="471"/>
      <c r="XAV30" s="471"/>
      <c r="XAW30" s="471"/>
      <c r="XAX30" s="471"/>
      <c r="XAY30" s="471"/>
      <c r="XAZ30" s="471"/>
      <c r="XBA30" s="471"/>
      <c r="XBB30" s="471"/>
      <c r="XBC30" s="471"/>
      <c r="XBD30" s="471"/>
      <c r="XBE30" s="471"/>
      <c r="XBF30" s="471"/>
      <c r="XBG30" s="471"/>
      <c r="XBH30" s="471"/>
      <c r="XBI30" s="471"/>
      <c r="XBJ30" s="471"/>
      <c r="XBK30" s="471"/>
      <c r="XBL30" s="471"/>
      <c r="XBM30" s="471"/>
      <c r="XBN30" s="471"/>
      <c r="XBO30" s="471"/>
      <c r="XBP30" s="471"/>
      <c r="XBQ30" s="471"/>
      <c r="XBR30" s="471"/>
      <c r="XBS30" s="471"/>
      <c r="XBT30" s="471"/>
      <c r="XBU30" s="471"/>
      <c r="XBV30" s="471"/>
      <c r="XBW30" s="471"/>
      <c r="XBX30" s="471"/>
      <c r="XBY30" s="471"/>
      <c r="XBZ30" s="471"/>
      <c r="XCA30" s="471"/>
      <c r="XCB30" s="471"/>
      <c r="XCC30" s="471"/>
      <c r="XCD30" s="471"/>
      <c r="XCE30" s="471"/>
      <c r="XCF30" s="471"/>
      <c r="XCG30" s="471"/>
      <c r="XCH30" s="471"/>
      <c r="XCI30" s="471"/>
      <c r="XCJ30" s="471"/>
      <c r="XCK30" s="471"/>
      <c r="XCL30" s="471"/>
      <c r="XCM30" s="471"/>
      <c r="XCN30" s="471"/>
      <c r="XCO30" s="471"/>
      <c r="XCP30" s="471"/>
      <c r="XCQ30" s="471"/>
      <c r="XCR30" s="471"/>
      <c r="XCS30" s="471"/>
      <c r="XCT30" s="471"/>
      <c r="XCU30" s="471"/>
      <c r="XCV30" s="471"/>
      <c r="XCW30" s="471"/>
      <c r="XCX30" s="471"/>
      <c r="XCY30" s="471"/>
      <c r="XCZ30" s="471"/>
      <c r="XDA30" s="471"/>
      <c r="XDB30" s="471"/>
      <c r="XDC30" s="471"/>
      <c r="XDD30" s="471"/>
      <c r="XDE30" s="471"/>
      <c r="XDF30" s="471"/>
      <c r="XDG30" s="471"/>
      <c r="XDH30" s="471"/>
      <c r="XDI30" s="471"/>
      <c r="XDJ30" s="471"/>
      <c r="XDK30" s="471"/>
      <c r="XDL30" s="471"/>
      <c r="XDM30" s="471"/>
      <c r="XDN30" s="471"/>
      <c r="XDO30" s="471"/>
      <c r="XDP30" s="471"/>
      <c r="XDQ30" s="471"/>
      <c r="XDR30" s="471"/>
      <c r="XDS30" s="471"/>
      <c r="XDT30" s="471"/>
      <c r="XDU30" s="471"/>
      <c r="XDV30" s="471"/>
      <c r="XDW30" s="471"/>
      <c r="XDX30" s="471"/>
      <c r="XDY30" s="471"/>
      <c r="XDZ30" s="471"/>
      <c r="XEA30" s="471"/>
      <c r="XEB30" s="471"/>
      <c r="XEC30" s="471"/>
      <c r="XED30" s="471"/>
      <c r="XEE30" s="471"/>
      <c r="XEF30" s="471"/>
      <c r="XEG30" s="471"/>
      <c r="XEH30" s="471"/>
      <c r="XEI30" s="471"/>
      <c r="XEJ30" s="471"/>
      <c r="XEK30" s="471"/>
      <c r="XEL30" s="471"/>
      <c r="XEM30" s="471"/>
      <c r="XEN30" s="471"/>
      <c r="XEO30" s="471"/>
      <c r="XEP30" s="471"/>
      <c r="XEQ30" s="471"/>
      <c r="XER30" s="471"/>
      <c r="XES30" s="471"/>
      <c r="XET30" s="471"/>
      <c r="XEU30" s="471"/>
      <c r="XEV30" s="471"/>
      <c r="XEW30" s="471"/>
      <c r="XEX30" s="471"/>
      <c r="XEY30" s="471"/>
      <c r="XEZ30" s="471"/>
      <c r="XFA30" s="471"/>
      <c r="XFB30" s="471"/>
      <c r="XFC30" s="471"/>
      <c r="XFD30" s="471"/>
    </row>
    <row r="31" spans="1:16384" ht="21" customHeight="1" x14ac:dyDescent="0.15">
      <c r="L31" s="471"/>
      <c r="M31" s="471"/>
      <c r="N31" s="471"/>
      <c r="O31" s="471"/>
      <c r="P31" s="471"/>
      <c r="Q31" s="471"/>
      <c r="R31" s="471"/>
      <c r="S31" s="471"/>
      <c r="T31" s="471"/>
      <c r="U31" s="471"/>
      <c r="V31" s="471"/>
      <c r="W31" s="471"/>
      <c r="X31" s="471"/>
      <c r="Y31" s="471"/>
      <c r="Z31" s="471"/>
      <c r="AA31" s="471"/>
      <c r="AB31" s="471"/>
      <c r="AC31" s="471"/>
      <c r="AD31" s="471"/>
      <c r="AE31" s="471"/>
      <c r="AF31" s="471"/>
      <c r="AG31" s="471"/>
      <c r="AH31" s="471"/>
      <c r="AI31" s="471"/>
      <c r="AJ31" s="471"/>
      <c r="AK31" s="471"/>
      <c r="AL31" s="471"/>
      <c r="AM31" s="471"/>
      <c r="AN31" s="471"/>
      <c r="AO31" s="471"/>
      <c r="AP31" s="471"/>
      <c r="AQ31" s="471"/>
      <c r="AR31" s="471"/>
      <c r="XAM31" s="471"/>
      <c r="XAN31" s="471"/>
      <c r="XAO31" s="471"/>
      <c r="XAP31" s="471"/>
      <c r="XAQ31" s="471"/>
      <c r="XAR31" s="471"/>
      <c r="XAS31" s="471"/>
      <c r="XAT31" s="471"/>
      <c r="XAU31" s="471"/>
      <c r="XAV31" s="471"/>
      <c r="XAW31" s="471"/>
      <c r="XAX31" s="471"/>
      <c r="XAY31" s="471"/>
      <c r="XAZ31" s="471"/>
      <c r="XBA31" s="471"/>
      <c r="XBB31" s="471"/>
      <c r="XBC31" s="471"/>
      <c r="XBD31" s="471"/>
      <c r="XBE31" s="471"/>
      <c r="XBF31" s="471"/>
      <c r="XBG31" s="471"/>
      <c r="XBH31" s="471"/>
      <c r="XBI31" s="471"/>
      <c r="XBJ31" s="471"/>
      <c r="XBK31" s="471"/>
      <c r="XBL31" s="471"/>
      <c r="XBM31" s="471"/>
      <c r="XBN31" s="471"/>
      <c r="XBO31" s="471"/>
      <c r="XBP31" s="471"/>
      <c r="XBQ31" s="471"/>
      <c r="XBR31" s="471"/>
      <c r="XBS31" s="471"/>
      <c r="XBT31" s="471"/>
      <c r="XBU31" s="471"/>
      <c r="XBV31" s="471"/>
      <c r="XBW31" s="471"/>
      <c r="XBX31" s="471"/>
      <c r="XBY31" s="471"/>
      <c r="XBZ31" s="471"/>
      <c r="XCA31" s="471"/>
      <c r="XCB31" s="471"/>
      <c r="XCC31" s="471"/>
      <c r="XCD31" s="471"/>
      <c r="XCE31" s="471"/>
      <c r="XCF31" s="471"/>
      <c r="XCG31" s="471"/>
      <c r="XCH31" s="471"/>
      <c r="XCI31" s="471"/>
      <c r="XCJ31" s="471"/>
      <c r="XCK31" s="471"/>
      <c r="XCL31" s="471"/>
      <c r="XCM31" s="471"/>
      <c r="XCN31" s="471"/>
      <c r="XCO31" s="471"/>
      <c r="XCP31" s="471"/>
      <c r="XCQ31" s="471"/>
      <c r="XCR31" s="471"/>
      <c r="XCS31" s="471"/>
      <c r="XCT31" s="471"/>
      <c r="XCU31" s="471"/>
      <c r="XCV31" s="471"/>
      <c r="XCW31" s="471"/>
      <c r="XCX31" s="471"/>
      <c r="XCY31" s="471"/>
      <c r="XCZ31" s="471"/>
      <c r="XDA31" s="471"/>
      <c r="XDB31" s="471"/>
      <c r="XDC31" s="471"/>
      <c r="XDD31" s="471"/>
      <c r="XDE31" s="471"/>
      <c r="XDF31" s="471"/>
      <c r="XDG31" s="471"/>
      <c r="XDH31" s="471"/>
      <c r="XDI31" s="471"/>
      <c r="XDJ31" s="471"/>
      <c r="XDK31" s="471"/>
      <c r="XDL31" s="471"/>
      <c r="XDM31" s="471"/>
      <c r="XDN31" s="471"/>
      <c r="XDO31" s="471"/>
      <c r="XDP31" s="471"/>
      <c r="XDQ31" s="471"/>
      <c r="XDR31" s="471"/>
      <c r="XDS31" s="471"/>
      <c r="XDT31" s="471"/>
      <c r="XDU31" s="471"/>
      <c r="XDV31" s="471"/>
      <c r="XDW31" s="471"/>
      <c r="XDX31" s="471"/>
      <c r="XDY31" s="471"/>
      <c r="XDZ31" s="471"/>
      <c r="XEA31" s="471"/>
      <c r="XEB31" s="471"/>
      <c r="XEC31" s="471"/>
      <c r="XED31" s="471"/>
      <c r="XEE31" s="471"/>
      <c r="XEF31" s="471"/>
      <c r="XEG31" s="471"/>
      <c r="XEH31" s="471"/>
      <c r="XEI31" s="471"/>
      <c r="XEJ31" s="471"/>
      <c r="XEK31" s="471"/>
      <c r="XEL31" s="471"/>
      <c r="XEM31" s="471"/>
      <c r="XEN31" s="471"/>
      <c r="XEO31" s="471"/>
      <c r="XEP31" s="471"/>
      <c r="XEQ31" s="471"/>
      <c r="XER31" s="471"/>
      <c r="XES31" s="471"/>
      <c r="XET31" s="471"/>
      <c r="XEU31" s="471"/>
      <c r="XEV31" s="471"/>
      <c r="XEW31" s="471"/>
      <c r="XEX31" s="471"/>
      <c r="XEY31" s="471"/>
      <c r="XEZ31" s="471"/>
      <c r="XFA31" s="471"/>
      <c r="XFB31" s="471"/>
      <c r="XFC31" s="471"/>
      <c r="XFD31" s="471"/>
    </row>
    <row r="32" spans="1:16384" ht="21" customHeight="1" x14ac:dyDescent="0.15">
      <c r="L32" s="471"/>
      <c r="M32" s="471"/>
      <c r="N32" s="471"/>
      <c r="O32" s="471"/>
      <c r="P32" s="471"/>
      <c r="Q32" s="471"/>
      <c r="R32" s="471"/>
      <c r="S32" s="471"/>
      <c r="T32" s="471"/>
      <c r="U32" s="471"/>
      <c r="V32" s="471"/>
      <c r="W32" s="471"/>
      <c r="X32" s="471"/>
      <c r="Y32" s="471"/>
      <c r="Z32" s="471"/>
      <c r="AA32" s="471"/>
      <c r="AB32" s="471"/>
      <c r="AC32" s="471"/>
      <c r="AD32" s="471"/>
      <c r="AE32" s="471"/>
      <c r="AF32" s="471"/>
      <c r="AG32" s="471"/>
      <c r="AH32" s="471"/>
      <c r="AI32" s="471"/>
      <c r="AJ32" s="471"/>
      <c r="AK32" s="471"/>
      <c r="AL32" s="471"/>
      <c r="AM32" s="471"/>
      <c r="AN32" s="471"/>
      <c r="AO32" s="471"/>
      <c r="AP32" s="471"/>
      <c r="AQ32" s="471"/>
      <c r="AR32" s="471"/>
      <c r="XAM32" s="471"/>
      <c r="XAN32" s="471"/>
      <c r="XAO32" s="471"/>
      <c r="XAP32" s="471"/>
      <c r="XAQ32" s="471"/>
      <c r="XAR32" s="471"/>
      <c r="XAS32" s="471"/>
      <c r="XAT32" s="471"/>
      <c r="XAU32" s="471"/>
      <c r="XAV32" s="471"/>
      <c r="XAW32" s="471"/>
      <c r="XAX32" s="471"/>
      <c r="XAY32" s="471"/>
      <c r="XAZ32" s="471"/>
      <c r="XBA32" s="471"/>
      <c r="XBB32" s="471"/>
      <c r="XBC32" s="471"/>
      <c r="XBD32" s="471"/>
      <c r="XBE32" s="471"/>
      <c r="XBF32" s="471"/>
      <c r="XBG32" s="471"/>
      <c r="XBH32" s="471"/>
      <c r="XBI32" s="471"/>
      <c r="XBJ32" s="471"/>
      <c r="XBK32" s="471"/>
      <c r="XBL32" s="471"/>
      <c r="XBM32" s="471"/>
      <c r="XBN32" s="471"/>
      <c r="XBO32" s="471"/>
      <c r="XBP32" s="471"/>
      <c r="XBQ32" s="471"/>
      <c r="XBR32" s="471"/>
      <c r="XBS32" s="471"/>
      <c r="XBT32" s="471"/>
      <c r="XBU32" s="471"/>
      <c r="XBV32" s="471"/>
      <c r="XBW32" s="471"/>
      <c r="XBX32" s="471"/>
      <c r="XBY32" s="471"/>
      <c r="XBZ32" s="471"/>
      <c r="XCA32" s="471"/>
      <c r="XCB32" s="471"/>
      <c r="XCC32" s="471"/>
      <c r="XCD32" s="471"/>
      <c r="XCE32" s="471"/>
      <c r="XCF32" s="471"/>
      <c r="XCG32" s="471"/>
      <c r="XCH32" s="471"/>
      <c r="XCI32" s="471"/>
      <c r="XCJ32" s="471"/>
      <c r="XCK32" s="471"/>
      <c r="XCL32" s="471"/>
      <c r="XCM32" s="471"/>
      <c r="XCN32" s="471"/>
      <c r="XCO32" s="471"/>
      <c r="XCP32" s="471"/>
      <c r="XCQ32" s="471"/>
      <c r="XCR32" s="471"/>
      <c r="XCS32" s="471"/>
      <c r="XCT32" s="471"/>
      <c r="XCU32" s="471"/>
      <c r="XCV32" s="471"/>
      <c r="XCW32" s="471"/>
      <c r="XCX32" s="471"/>
      <c r="XCY32" s="471"/>
      <c r="XCZ32" s="471"/>
      <c r="XDA32" s="471"/>
      <c r="XDB32" s="471"/>
      <c r="XDC32" s="471"/>
      <c r="XDD32" s="471"/>
      <c r="XDE32" s="471"/>
      <c r="XDF32" s="471"/>
      <c r="XDG32" s="471"/>
      <c r="XDH32" s="471"/>
      <c r="XDI32" s="471"/>
      <c r="XDJ32" s="471"/>
      <c r="XDK32" s="471"/>
      <c r="XDL32" s="471"/>
      <c r="XDM32" s="471"/>
      <c r="XDN32" s="471"/>
      <c r="XDO32" s="471"/>
      <c r="XDP32" s="471"/>
      <c r="XDQ32" s="471"/>
      <c r="XDR32" s="471"/>
      <c r="XDS32" s="471"/>
      <c r="XDT32" s="471"/>
      <c r="XDU32" s="471"/>
      <c r="XDV32" s="471"/>
      <c r="XDW32" s="471"/>
      <c r="XDX32" s="471"/>
      <c r="XDY32" s="471"/>
      <c r="XDZ32" s="471"/>
      <c r="XEA32" s="471"/>
      <c r="XEB32" s="471"/>
      <c r="XEC32" s="471"/>
      <c r="XED32" s="471"/>
      <c r="XEE32" s="471"/>
      <c r="XEF32" s="471"/>
      <c r="XEG32" s="471"/>
      <c r="XEH32" s="471"/>
      <c r="XEI32" s="471"/>
      <c r="XEJ32" s="471"/>
      <c r="XEK32" s="471"/>
      <c r="XEL32" s="471"/>
      <c r="XEM32" s="471"/>
      <c r="XEN32" s="471"/>
      <c r="XEO32" s="471"/>
      <c r="XEP32" s="471"/>
      <c r="XEQ32" s="471"/>
      <c r="XER32" s="471"/>
      <c r="XES32" s="471"/>
      <c r="XET32" s="471"/>
      <c r="XEU32" s="471"/>
      <c r="XEV32" s="471"/>
      <c r="XEW32" s="471"/>
      <c r="XEX32" s="471"/>
      <c r="XEY32" s="471"/>
      <c r="XEZ32" s="471"/>
      <c r="XFA32" s="471"/>
      <c r="XFB32" s="471"/>
      <c r="XFC32" s="471"/>
      <c r="XFD32" s="471"/>
    </row>
    <row r="33" spans="12:44 16263:16384" ht="21" customHeight="1" x14ac:dyDescent="0.15">
      <c r="L33" s="471"/>
      <c r="M33" s="471"/>
      <c r="N33" s="471"/>
      <c r="O33" s="471"/>
      <c r="P33" s="471"/>
      <c r="Q33" s="471"/>
      <c r="R33" s="471"/>
      <c r="S33" s="471"/>
      <c r="T33" s="471"/>
      <c r="U33" s="471"/>
      <c r="V33" s="471"/>
      <c r="W33" s="471"/>
      <c r="X33" s="471"/>
      <c r="Y33" s="471"/>
      <c r="Z33" s="471"/>
      <c r="AA33" s="471"/>
      <c r="AB33" s="471"/>
      <c r="AC33" s="471"/>
      <c r="AD33" s="471"/>
      <c r="AE33" s="471"/>
      <c r="AF33" s="471"/>
      <c r="AG33" s="471"/>
      <c r="AH33" s="471"/>
      <c r="AI33" s="471"/>
      <c r="AJ33" s="471"/>
      <c r="AK33" s="471"/>
      <c r="AL33" s="471"/>
      <c r="AM33" s="471"/>
      <c r="AN33" s="471"/>
      <c r="AO33" s="471"/>
      <c r="AP33" s="471"/>
      <c r="AQ33" s="471"/>
      <c r="AR33" s="471"/>
      <c r="XAM33" s="471"/>
      <c r="XAN33" s="471"/>
      <c r="XAO33" s="471"/>
      <c r="XAP33" s="471"/>
      <c r="XAQ33" s="471"/>
      <c r="XAR33" s="471"/>
      <c r="XAS33" s="471"/>
      <c r="XAT33" s="471"/>
      <c r="XAU33" s="471"/>
      <c r="XAV33" s="471"/>
      <c r="XAW33" s="471"/>
      <c r="XAX33" s="471"/>
      <c r="XAY33" s="471"/>
      <c r="XAZ33" s="471"/>
      <c r="XBA33" s="471"/>
      <c r="XBB33" s="471"/>
      <c r="XBC33" s="471"/>
      <c r="XBD33" s="471"/>
      <c r="XBE33" s="471"/>
      <c r="XBF33" s="471"/>
      <c r="XBG33" s="471"/>
      <c r="XBH33" s="471"/>
      <c r="XBI33" s="471"/>
      <c r="XBJ33" s="471"/>
      <c r="XBK33" s="471"/>
      <c r="XBL33" s="471"/>
      <c r="XBM33" s="471"/>
      <c r="XBN33" s="471"/>
      <c r="XBO33" s="471"/>
      <c r="XBP33" s="471"/>
      <c r="XBQ33" s="471"/>
      <c r="XBR33" s="471"/>
      <c r="XBS33" s="471"/>
      <c r="XBT33" s="471"/>
      <c r="XBU33" s="471"/>
      <c r="XBV33" s="471"/>
      <c r="XBW33" s="471"/>
      <c r="XBX33" s="471"/>
      <c r="XBY33" s="471"/>
      <c r="XBZ33" s="471"/>
      <c r="XCA33" s="471"/>
      <c r="XCB33" s="471"/>
      <c r="XCC33" s="471"/>
      <c r="XCD33" s="471"/>
      <c r="XCE33" s="471"/>
      <c r="XCF33" s="471"/>
      <c r="XCG33" s="471"/>
      <c r="XCH33" s="471"/>
      <c r="XCI33" s="471"/>
      <c r="XCJ33" s="471"/>
      <c r="XCK33" s="471"/>
      <c r="XCL33" s="471"/>
      <c r="XCM33" s="471"/>
      <c r="XCN33" s="471"/>
      <c r="XCO33" s="471"/>
      <c r="XCP33" s="471"/>
      <c r="XCQ33" s="471"/>
      <c r="XCR33" s="471"/>
      <c r="XCS33" s="471"/>
      <c r="XCT33" s="471"/>
      <c r="XCU33" s="471"/>
      <c r="XCV33" s="471"/>
      <c r="XCW33" s="471"/>
      <c r="XCX33" s="471"/>
      <c r="XCY33" s="471"/>
      <c r="XCZ33" s="471"/>
      <c r="XDA33" s="471"/>
      <c r="XDB33" s="471"/>
      <c r="XDC33" s="471"/>
      <c r="XDD33" s="471"/>
      <c r="XDE33" s="471"/>
      <c r="XDF33" s="471"/>
      <c r="XDG33" s="471"/>
      <c r="XDH33" s="471"/>
      <c r="XDI33" s="471"/>
      <c r="XDJ33" s="471"/>
      <c r="XDK33" s="471"/>
      <c r="XDL33" s="471"/>
      <c r="XDM33" s="471"/>
      <c r="XDN33" s="471"/>
      <c r="XDO33" s="471"/>
      <c r="XDP33" s="471"/>
      <c r="XDQ33" s="471"/>
      <c r="XDR33" s="471"/>
      <c r="XDS33" s="471"/>
      <c r="XDT33" s="471"/>
      <c r="XDU33" s="471"/>
      <c r="XDV33" s="471"/>
      <c r="XDW33" s="471"/>
      <c r="XDX33" s="471"/>
      <c r="XDY33" s="471"/>
      <c r="XDZ33" s="471"/>
      <c r="XEA33" s="471"/>
      <c r="XEB33" s="471"/>
      <c r="XEC33" s="471"/>
      <c r="XED33" s="471"/>
      <c r="XEE33" s="471"/>
      <c r="XEF33" s="471"/>
      <c r="XEG33" s="471"/>
      <c r="XEH33" s="471"/>
      <c r="XEI33" s="471"/>
      <c r="XEJ33" s="471"/>
      <c r="XEK33" s="471"/>
      <c r="XEL33" s="471"/>
      <c r="XEM33" s="471"/>
      <c r="XEN33" s="471"/>
      <c r="XEO33" s="471"/>
      <c r="XEP33" s="471"/>
      <c r="XEQ33" s="471"/>
      <c r="XER33" s="471"/>
      <c r="XES33" s="471"/>
      <c r="XET33" s="471"/>
      <c r="XEU33" s="471"/>
      <c r="XEV33" s="471"/>
      <c r="XEW33" s="471"/>
      <c r="XEX33" s="471"/>
      <c r="XEY33" s="471"/>
      <c r="XEZ33" s="471"/>
      <c r="XFA33" s="471"/>
      <c r="XFB33" s="471"/>
      <c r="XFC33" s="471"/>
      <c r="XFD33" s="471"/>
    </row>
    <row r="34" spans="12:44 16263:16384" ht="21" customHeight="1" x14ac:dyDescent="0.15">
      <c r="L34" s="471"/>
      <c r="M34" s="471"/>
      <c r="N34" s="471"/>
      <c r="O34" s="471"/>
      <c r="P34" s="471"/>
      <c r="Q34" s="471"/>
      <c r="R34" s="471"/>
      <c r="S34" s="471"/>
      <c r="T34" s="471"/>
      <c r="U34" s="471"/>
      <c r="V34" s="471"/>
      <c r="W34" s="471"/>
      <c r="X34" s="471"/>
      <c r="Y34" s="471"/>
      <c r="Z34" s="471"/>
      <c r="AA34" s="471"/>
      <c r="AB34" s="471"/>
      <c r="AC34" s="471"/>
      <c r="AD34" s="471"/>
      <c r="AE34" s="471"/>
      <c r="AF34" s="471"/>
      <c r="AG34" s="471"/>
      <c r="AH34" s="471"/>
      <c r="AI34" s="471"/>
      <c r="AJ34" s="471"/>
      <c r="AK34" s="471"/>
      <c r="AL34" s="471"/>
      <c r="AM34" s="471"/>
      <c r="AN34" s="471"/>
      <c r="AO34" s="471"/>
      <c r="AP34" s="471"/>
      <c r="AQ34" s="471"/>
      <c r="AR34" s="471"/>
    </row>
    <row r="35" spans="12:44 16263:16384" ht="21" customHeight="1" x14ac:dyDescent="0.15">
      <c r="L35" s="471"/>
      <c r="M35" s="471"/>
      <c r="N35" s="471"/>
      <c r="O35" s="471"/>
      <c r="P35" s="471"/>
      <c r="Q35" s="471"/>
      <c r="R35" s="471"/>
      <c r="S35" s="471"/>
      <c r="T35" s="471"/>
      <c r="U35" s="471"/>
      <c r="V35" s="471"/>
      <c r="W35" s="471"/>
      <c r="X35" s="471"/>
      <c r="Y35" s="471"/>
      <c r="Z35" s="471"/>
      <c r="AA35" s="471"/>
      <c r="AB35" s="471"/>
      <c r="AC35" s="471"/>
      <c r="AD35" s="471"/>
      <c r="AE35" s="471"/>
      <c r="AF35" s="471"/>
      <c r="AG35" s="471"/>
      <c r="AH35" s="471"/>
      <c r="AI35" s="471"/>
      <c r="AJ35" s="471"/>
      <c r="AK35" s="471"/>
      <c r="AL35" s="471"/>
      <c r="AM35" s="471"/>
      <c r="AN35" s="471"/>
      <c r="AO35" s="471"/>
      <c r="AP35" s="471"/>
      <c r="AQ35" s="471"/>
      <c r="AR35" s="471"/>
    </row>
    <row r="36" spans="12:44 16263:16384" ht="21" customHeight="1" x14ac:dyDescent="0.15">
      <c r="L36" s="471"/>
      <c r="M36" s="471"/>
      <c r="N36" s="471"/>
      <c r="O36" s="471"/>
      <c r="P36" s="471"/>
      <c r="Q36" s="471"/>
      <c r="R36" s="471"/>
      <c r="S36" s="471"/>
      <c r="T36" s="471"/>
      <c r="U36" s="471"/>
      <c r="V36" s="471"/>
      <c r="W36" s="471"/>
      <c r="X36" s="471"/>
      <c r="Y36" s="471"/>
      <c r="Z36" s="471"/>
      <c r="AA36" s="471"/>
      <c r="AB36" s="471"/>
      <c r="AC36" s="471"/>
      <c r="AD36" s="471"/>
      <c r="AE36" s="471"/>
      <c r="AF36" s="471"/>
      <c r="AG36" s="471"/>
      <c r="AH36" s="471"/>
      <c r="AI36" s="471"/>
      <c r="AJ36" s="471"/>
      <c r="AK36" s="471"/>
      <c r="AL36" s="471"/>
      <c r="AM36" s="471"/>
      <c r="AN36" s="471"/>
      <c r="AO36" s="471"/>
      <c r="AP36" s="471"/>
      <c r="AQ36" s="471"/>
      <c r="AR36" s="471"/>
    </row>
    <row r="37" spans="12:44 16263:16384" ht="21" customHeight="1" x14ac:dyDescent="0.15">
      <c r="L37" s="471"/>
      <c r="M37" s="471"/>
      <c r="N37" s="471"/>
      <c r="O37" s="471"/>
      <c r="P37" s="471"/>
      <c r="Q37" s="471"/>
      <c r="R37" s="471"/>
      <c r="S37" s="471"/>
      <c r="T37" s="471"/>
      <c r="U37" s="471"/>
      <c r="V37" s="471"/>
      <c r="W37" s="471"/>
      <c r="X37" s="471"/>
      <c r="Y37" s="471"/>
      <c r="Z37" s="471"/>
      <c r="AA37" s="471"/>
      <c r="AB37" s="471"/>
      <c r="AC37" s="471"/>
      <c r="AD37" s="471"/>
      <c r="AE37" s="471"/>
      <c r="AF37" s="471"/>
      <c r="AG37" s="471"/>
      <c r="AH37" s="471"/>
      <c r="AI37" s="471"/>
      <c r="AJ37" s="471"/>
      <c r="AK37" s="471"/>
      <c r="AL37" s="471"/>
      <c r="AM37" s="471"/>
      <c r="AN37" s="471"/>
      <c r="AO37" s="471"/>
      <c r="AP37" s="471"/>
      <c r="AQ37" s="471"/>
      <c r="AR37" s="471"/>
    </row>
    <row r="38" spans="12:44 16263:16384" ht="21" customHeight="1" x14ac:dyDescent="0.15">
      <c r="L38" s="471"/>
      <c r="M38" s="471"/>
      <c r="N38" s="471"/>
      <c r="O38" s="471"/>
      <c r="P38" s="471"/>
      <c r="Q38" s="471"/>
      <c r="R38" s="471"/>
      <c r="S38" s="471"/>
      <c r="T38" s="471"/>
      <c r="U38" s="471"/>
      <c r="V38" s="471"/>
      <c r="W38" s="471"/>
      <c r="X38" s="471"/>
      <c r="Y38" s="471"/>
      <c r="Z38" s="471"/>
      <c r="AA38" s="471"/>
      <c r="AB38" s="471"/>
      <c r="AC38" s="471"/>
      <c r="AD38" s="471"/>
      <c r="AE38" s="471"/>
      <c r="AF38" s="471"/>
      <c r="AG38" s="471"/>
      <c r="AH38" s="471"/>
      <c r="AI38" s="471"/>
      <c r="AJ38" s="471"/>
      <c r="AK38" s="471"/>
      <c r="AL38" s="471"/>
      <c r="AM38" s="471"/>
      <c r="AN38" s="471"/>
      <c r="AO38" s="471"/>
      <c r="AP38" s="471"/>
      <c r="AQ38" s="471"/>
      <c r="AR38" s="471"/>
    </row>
    <row r="39" spans="12:44 16263:16384" ht="21" customHeight="1" x14ac:dyDescent="0.15">
      <c r="L39" s="471"/>
      <c r="M39" s="471"/>
      <c r="N39" s="471"/>
      <c r="O39" s="471"/>
      <c r="P39" s="471"/>
      <c r="Q39" s="471"/>
      <c r="R39" s="471"/>
      <c r="S39" s="471"/>
      <c r="T39" s="471"/>
      <c r="U39" s="471"/>
      <c r="V39" s="471"/>
      <c r="W39" s="471"/>
      <c r="X39" s="471"/>
      <c r="Y39" s="471"/>
      <c r="Z39" s="471"/>
      <c r="AA39" s="471"/>
      <c r="AB39" s="471"/>
      <c r="AC39" s="471"/>
      <c r="AD39" s="471"/>
      <c r="AE39" s="471"/>
      <c r="AF39" s="471"/>
      <c r="AG39" s="471"/>
      <c r="AH39" s="471"/>
      <c r="AI39" s="471"/>
      <c r="AJ39" s="471"/>
      <c r="AK39" s="471"/>
      <c r="AL39" s="471"/>
      <c r="AM39" s="471"/>
      <c r="AN39" s="471"/>
      <c r="AO39" s="471"/>
      <c r="AP39" s="471"/>
      <c r="AQ39" s="471"/>
      <c r="AR39" s="471"/>
    </row>
  </sheetData>
  <autoFilter ref="A1:G1"/>
  <phoneticPr fontId="6"/>
  <conditionalFormatting sqref="K19:K27 K1:K2 K30:K1048576">
    <cfRule type="duplicateValues" dxfId="18" priority="19"/>
  </conditionalFormatting>
  <conditionalFormatting sqref="K3">
    <cfRule type="duplicateValues" dxfId="17" priority="18"/>
  </conditionalFormatting>
  <conditionalFormatting sqref="K4">
    <cfRule type="duplicateValues" dxfId="16" priority="17"/>
  </conditionalFormatting>
  <conditionalFormatting sqref="K5">
    <cfRule type="duplicateValues" dxfId="15" priority="16"/>
  </conditionalFormatting>
  <conditionalFormatting sqref="K7">
    <cfRule type="duplicateValues" dxfId="14" priority="15"/>
  </conditionalFormatting>
  <conditionalFormatting sqref="K8">
    <cfRule type="duplicateValues" dxfId="13" priority="14"/>
  </conditionalFormatting>
  <conditionalFormatting sqref="K9">
    <cfRule type="duplicateValues" dxfId="12" priority="13"/>
  </conditionalFormatting>
  <conditionalFormatting sqref="K10">
    <cfRule type="duplicateValues" dxfId="11" priority="12"/>
  </conditionalFormatting>
  <conditionalFormatting sqref="K11">
    <cfRule type="duplicateValues" dxfId="10" priority="11"/>
  </conditionalFormatting>
  <conditionalFormatting sqref="K12">
    <cfRule type="duplicateValues" dxfId="9" priority="10"/>
  </conditionalFormatting>
  <conditionalFormatting sqref="K13">
    <cfRule type="duplicateValues" dxfId="8" priority="9"/>
  </conditionalFormatting>
  <conditionalFormatting sqref="K14">
    <cfRule type="duplicateValues" dxfId="7" priority="8"/>
  </conditionalFormatting>
  <conditionalFormatting sqref="K15">
    <cfRule type="duplicateValues" dxfId="6" priority="7"/>
  </conditionalFormatting>
  <conditionalFormatting sqref="K16">
    <cfRule type="duplicateValues" dxfId="5" priority="6"/>
  </conditionalFormatting>
  <conditionalFormatting sqref="K17">
    <cfRule type="duplicateValues" dxfId="4" priority="5"/>
  </conditionalFormatting>
  <conditionalFormatting sqref="K18">
    <cfRule type="duplicateValues" dxfId="3" priority="4"/>
  </conditionalFormatting>
  <conditionalFormatting sqref="K6">
    <cfRule type="duplicateValues" dxfId="2" priority="3"/>
  </conditionalFormatting>
  <conditionalFormatting sqref="K28">
    <cfRule type="duplicateValues" dxfId="1" priority="2"/>
  </conditionalFormatting>
  <conditionalFormatting sqref="K2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"/>
  <sheetViews>
    <sheetView workbookViewId="0">
      <selection activeCell="L22" sqref="L2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41" t="s">
        <v>151</v>
      </c>
      <c r="B1" s="41" t="s">
        <v>152</v>
      </c>
      <c r="C1" s="42" t="s">
        <v>153</v>
      </c>
      <c r="D1" s="48" t="s">
        <v>154</v>
      </c>
      <c r="E1" s="43" t="s">
        <v>155</v>
      </c>
      <c r="F1" s="41" t="s">
        <v>156</v>
      </c>
      <c r="G1" s="41" t="s">
        <v>157</v>
      </c>
      <c r="H1" s="41" t="s">
        <v>158</v>
      </c>
      <c r="I1" s="41" t="s">
        <v>159</v>
      </c>
      <c r="J1" s="41" t="s">
        <v>160</v>
      </c>
      <c r="K1" s="41" t="s">
        <v>161</v>
      </c>
      <c r="L1" s="41" t="s">
        <v>162</v>
      </c>
      <c r="M1" s="41" t="s">
        <v>163</v>
      </c>
      <c r="N1" s="41" t="s">
        <v>164</v>
      </c>
      <c r="O1" s="41" t="s">
        <v>165</v>
      </c>
      <c r="P1" s="41" t="s">
        <v>166</v>
      </c>
      <c r="Q1" s="41" t="s">
        <v>167</v>
      </c>
      <c r="R1" s="41" t="s">
        <v>168</v>
      </c>
    </row>
    <row r="2" spans="1:18" x14ac:dyDescent="0.1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</row>
    <row r="3" spans="1:18" x14ac:dyDescent="0.1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</row>
  </sheetData>
  <phoneticPr fontId="6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21"/>
  <sheetViews>
    <sheetView showGridLines="0" workbookViewId="0">
      <pane ySplit="1" topLeftCell="A62" activePane="bottomLeft" state="frozen"/>
      <selection pane="bottomLeft" activeCell="P32" sqref="P32"/>
    </sheetView>
  </sheetViews>
  <sheetFormatPr baseColWidth="12" defaultColWidth="13" defaultRowHeight="15" outlineLevelCol="1" x14ac:dyDescent="0.15"/>
  <cols>
    <col min="1" max="1" width="13" style="6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53" t="s">
        <v>185</v>
      </c>
      <c r="B1" s="49" t="s">
        <v>186</v>
      </c>
      <c r="C1" s="54" t="s">
        <v>187</v>
      </c>
      <c r="D1" s="54" t="s">
        <v>33</v>
      </c>
      <c r="E1" s="49" t="s">
        <v>188</v>
      </c>
      <c r="F1" s="54" t="s">
        <v>189</v>
      </c>
      <c r="G1" s="54" t="s">
        <v>33</v>
      </c>
      <c r="H1" s="49" t="s">
        <v>190</v>
      </c>
      <c r="I1" s="69" t="s">
        <v>192</v>
      </c>
      <c r="J1" s="56" t="s">
        <v>127</v>
      </c>
      <c r="K1" s="55" t="s">
        <v>184</v>
      </c>
      <c r="L1" s="70" t="s">
        <v>183</v>
      </c>
      <c r="M1" s="57" t="s">
        <v>193</v>
      </c>
    </row>
    <row r="2" spans="1:13" x14ac:dyDescent="0.15">
      <c r="A2" s="58" t="s">
        <v>195</v>
      </c>
      <c r="B2" s="59">
        <f>floors!$C$2</f>
        <v>60006</v>
      </c>
      <c r="C2" s="60" t="str">
        <f ca="1">VLOOKUP($B2,OFFSET([2]quests!$A$1,0,0,COUNTA([2]quests!$A:$A),MATCH(C$1,[2]quests!$1:$1,0)-MATCH($B$1,[2]quests!$1:$1,0)+1),MATCH(C$1,[2]quests!$1:$1,0)-MATCH($B$1,[2]quests!$1:$1,0)+1,FALSE)</f>
        <v>オイラーチャレンジ</v>
      </c>
      <c r="D2" s="60" t="str">
        <f ca="1">VLOOKUP($B2,OFFSET([2]quests!$A$1,0,0,COUNTA([2]quests!$A:$A),MATCH(D$1,[2]quests!$1:$1,0)-MATCH($B$1,[2]quests!$1:$1,0)+1),MATCH(D$1,[2]quests!$1:$1,0)-MATCH($B$1,[2]quests!$1:$1,0)+1,FALSE)</f>
        <v>ランキング1（本番実装用）</v>
      </c>
      <c r="E2" s="64">
        <v>1</v>
      </c>
      <c r="F2" s="60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" s="60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ランキング1（本番実装用）</v>
      </c>
      <c r="H2" s="62">
        <v>0</v>
      </c>
      <c r="I2">
        <v>3</v>
      </c>
      <c r="J2" s="61" t="s">
        <v>194</v>
      </c>
      <c r="K2" s="71" t="str">
        <f>VLOOKUP(I2,[6]stage_hints!$A:$C,3,FALSE)</f>
        <v>ターゲット</v>
      </c>
      <c r="L2" s="72" t="str">
        <f>VLOOKUP(I2,[6]stage_hints!$A:$D,4,FALSE)</f>
        <v>敵ユニットをタップすると_x000D_その敵を狙い撃ちできます</v>
      </c>
      <c r="M2" s="35" t="s">
        <v>205</v>
      </c>
    </row>
    <row r="3" spans="1:13" x14ac:dyDescent="0.15">
      <c r="A3" s="58" t="s">
        <v>195</v>
      </c>
      <c r="B3" s="59">
        <f>floors!$C$2</f>
        <v>60006</v>
      </c>
      <c r="C3" s="60" t="str">
        <f ca="1">VLOOKUP($B3,OFFSET([2]quests!$A$1,0,0,COUNTA([2]quests!$A:$A),MATCH(C$1,[2]quests!$1:$1,0)-MATCH($B$1,[2]quests!$1:$1,0)+1),MATCH(C$1,[2]quests!$1:$1,0)-MATCH($B$1,[2]quests!$1:$1,0)+1,FALSE)</f>
        <v>オイラーチャレンジ</v>
      </c>
      <c r="D3" s="60" t="str">
        <f ca="1">VLOOKUP($B3,OFFSET([2]quests!$A$1,0,0,COUNTA([2]quests!$A:$A),MATCH(D$1,[2]quests!$1:$1,0)-MATCH($B$1,[2]quests!$1:$1,0)+1),MATCH(D$1,[2]quests!$1:$1,0)-MATCH($B$1,[2]quests!$1:$1,0)+1,FALSE)</f>
        <v>ランキング1（本番実装用）</v>
      </c>
      <c r="E3" s="64">
        <v>1</v>
      </c>
      <c r="F3" s="60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3" s="60" t="str">
        <f ca="1">VLOOKUP($B3&amp;"_"&amp;$E3,OFFSET([2]stages!$A$1,0,0,COUNTA([2]stages!$A:$A),MATCH(G$1,[2]stages!$2:$2,0)-MATCH("temp_stage",[2]stages!$2:$2,0)+1),MATCH(G$1,[2]stages!$2:$2,0)-MATCH("temp_stage",[2]stages!$2:$2,0)+1,FALSE)</f>
        <v>ランキング1（本番実装用）</v>
      </c>
      <c r="H3" s="62">
        <v>0</v>
      </c>
      <c r="I3">
        <v>6</v>
      </c>
      <c r="J3" s="61" t="s">
        <v>194</v>
      </c>
      <c r="K3" s="71" t="str">
        <f>VLOOKUP(I3,[6]stage_hints!$A:$C,3,FALSE)</f>
        <v>ユニット強化の属性ボーナス</v>
      </c>
      <c r="L3" s="72" t="str">
        <f>VLOOKUP(I3,[6]stage_hints!$A:$D,4,FALSE)</f>
        <v>同属性ユニットを強化素材にすると_x000D_経験値が多くもらえます</v>
      </c>
      <c r="M3" s="35" t="s">
        <v>205</v>
      </c>
    </row>
    <row r="4" spans="1:13" x14ac:dyDescent="0.15">
      <c r="A4" s="58" t="s">
        <v>195</v>
      </c>
      <c r="B4" s="59">
        <f>floors!$C$2</f>
        <v>60006</v>
      </c>
      <c r="C4" s="60" t="str">
        <f ca="1">VLOOKUP($B4,OFFSET([2]quests!$A$1,0,0,COUNTA([2]quests!$A:$A),MATCH(C$1,[2]quests!$1:$1,0)-MATCH($B$1,[2]quests!$1:$1,0)+1),MATCH(C$1,[2]quests!$1:$1,0)-MATCH($B$1,[2]quests!$1:$1,0)+1,FALSE)</f>
        <v>オイラーチャレンジ</v>
      </c>
      <c r="D4" s="60" t="str">
        <f ca="1">VLOOKUP($B4,OFFSET([2]quests!$A$1,0,0,COUNTA([2]quests!$A:$A),MATCH(D$1,[2]quests!$1:$1,0)-MATCH($B$1,[2]quests!$1:$1,0)+1),MATCH(D$1,[2]quests!$1:$1,0)-MATCH($B$1,[2]quests!$1:$1,0)+1,FALSE)</f>
        <v>ランキング1（本番実装用）</v>
      </c>
      <c r="E4" s="64">
        <v>1</v>
      </c>
      <c r="F4" s="60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4" s="60" t="str">
        <f ca="1">VLOOKUP($B4&amp;"_"&amp;$E4,OFFSET([2]stages!$A$1,0,0,COUNTA([2]stages!$A:$A),MATCH(G$1,[2]stages!$2:$2,0)-MATCH("temp_stage",[2]stages!$2:$2,0)+1),MATCH(G$1,[2]stages!$2:$2,0)-MATCH("temp_stage",[2]stages!$2:$2,0)+1,FALSE)</f>
        <v>ランキング1（本番実装用）</v>
      </c>
      <c r="H4" s="62">
        <v>0</v>
      </c>
      <c r="I4">
        <v>7</v>
      </c>
      <c r="J4" s="61" t="s">
        <v>194</v>
      </c>
      <c r="K4" s="71" t="str">
        <f>VLOOKUP(I4,[6]stage_hints!$A:$C,3,FALSE)</f>
        <v>メタルダックで経験値を獲得</v>
      </c>
      <c r="L4" s="72" t="str">
        <f>VLOOKUP(I4,[6]stage_hints!$A:$D,4,FALSE)</f>
        <v>「メタルなアヒル」を強化素材にすると_x000D_大量の経験値がもらえます</v>
      </c>
      <c r="M4" s="35" t="s">
        <v>205</v>
      </c>
    </row>
    <row r="5" spans="1:13" x14ac:dyDescent="0.15">
      <c r="A5" s="58" t="s">
        <v>195</v>
      </c>
      <c r="B5" s="59">
        <f>floors!$C$2</f>
        <v>60006</v>
      </c>
      <c r="C5" s="60" t="str">
        <f ca="1">VLOOKUP($B5,OFFSET([2]quests!$A$1,0,0,COUNTA([2]quests!$A:$A),MATCH(C$1,[2]quests!$1:$1,0)-MATCH($B$1,[2]quests!$1:$1,0)+1),MATCH(C$1,[2]quests!$1:$1,0)-MATCH($B$1,[2]quests!$1:$1,0)+1,FALSE)</f>
        <v>オイラーチャレンジ</v>
      </c>
      <c r="D5" s="60" t="str">
        <f ca="1">VLOOKUP($B5,OFFSET([2]quests!$A$1,0,0,COUNTA([2]quests!$A:$A),MATCH(D$1,[2]quests!$1:$1,0)-MATCH($B$1,[2]quests!$1:$1,0)+1),MATCH(D$1,[2]quests!$1:$1,0)-MATCH($B$1,[2]quests!$1:$1,0)+1,FALSE)</f>
        <v>ランキング1（本番実装用）</v>
      </c>
      <c r="E5" s="64">
        <v>1</v>
      </c>
      <c r="F5" s="60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5" s="60" t="str">
        <f ca="1">VLOOKUP($B5&amp;"_"&amp;$E5,OFFSET([2]stages!$A$1,0,0,COUNTA([2]stages!$A:$A),MATCH(G$1,[2]stages!$2:$2,0)-MATCH("temp_stage",[2]stages!$2:$2,0)+1),MATCH(G$1,[2]stages!$2:$2,0)-MATCH("temp_stage",[2]stages!$2:$2,0)+1,FALSE)</f>
        <v>ランキング1（本番実装用）</v>
      </c>
      <c r="H5" s="62">
        <v>0</v>
      </c>
      <c r="I5">
        <v>8</v>
      </c>
      <c r="J5" s="61" t="s">
        <v>194</v>
      </c>
      <c r="K5" s="71" t="str">
        <f>VLOOKUP(I5,[6]stage_hints!$A:$C,3,FALSE)</f>
        <v>ゲリラクエストは要チェック</v>
      </c>
      <c r="L5" s="72" t="str">
        <f>VLOOKUP(I5,[6]stage_hints!$A:$D,4,FALSE)</f>
        <v>時間限定の「アヒル捕獲作戦」では_x000D_経験値素材ユニットが多く手に入ります</v>
      </c>
      <c r="M5" s="35" t="s">
        <v>205</v>
      </c>
    </row>
    <row r="6" spans="1:13" x14ac:dyDescent="0.15">
      <c r="A6" s="58" t="s">
        <v>195</v>
      </c>
      <c r="B6" s="59">
        <f>floors!$C$2</f>
        <v>60006</v>
      </c>
      <c r="C6" s="60" t="str">
        <f ca="1">VLOOKUP($B6,OFFSET([2]quests!$A$1,0,0,COUNTA([2]quests!$A:$A),MATCH(C$1,[2]quests!$1:$1,0)-MATCH($B$1,[2]quests!$1:$1,0)+1),MATCH(C$1,[2]quests!$1:$1,0)-MATCH($B$1,[2]quests!$1:$1,0)+1,FALSE)</f>
        <v>オイラーチャレンジ</v>
      </c>
      <c r="D6" s="60" t="str">
        <f ca="1">VLOOKUP($B6,OFFSET([2]quests!$A$1,0,0,COUNTA([2]quests!$A:$A),MATCH(D$1,[2]quests!$1:$1,0)-MATCH($B$1,[2]quests!$1:$1,0)+1),MATCH(D$1,[2]quests!$1:$1,0)-MATCH($B$1,[2]quests!$1:$1,0)+1,FALSE)</f>
        <v>ランキング1（本番実装用）</v>
      </c>
      <c r="E6" s="64">
        <v>1</v>
      </c>
      <c r="F6" s="60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6" s="60" t="str">
        <f ca="1">VLOOKUP($B6&amp;"_"&amp;$E6,OFFSET([2]stages!$A$1,0,0,COUNTA([2]stages!$A:$A),MATCH(G$1,[2]stages!$2:$2,0)-MATCH("temp_stage",[2]stages!$2:$2,0)+1),MATCH(G$1,[2]stages!$2:$2,0)-MATCH("temp_stage",[2]stages!$2:$2,0)+1,FALSE)</f>
        <v>ランキング1（本番実装用）</v>
      </c>
      <c r="H6" s="62">
        <v>0</v>
      </c>
      <c r="I6">
        <v>9</v>
      </c>
      <c r="J6" s="61" t="s">
        <v>194</v>
      </c>
      <c r="K6" s="71" t="str">
        <f>VLOOKUP(I6,[6]stage_hints!$A:$C,3,FALSE)</f>
        <v>ゴールドダックでビットを獲得</v>
      </c>
      <c r="L6" s="72" t="str">
        <f>VLOOKUP(I6,[6]stage_hints!$A:$D,4,FALSE)</f>
        <v>「ゴールドなアヒル」を売却すると_x000D_大量のビットがもらえます</v>
      </c>
      <c r="M6" s="35" t="s">
        <v>205</v>
      </c>
    </row>
    <row r="7" spans="1:13" x14ac:dyDescent="0.15">
      <c r="A7" s="58" t="s">
        <v>195</v>
      </c>
      <c r="B7" s="59">
        <f>floors!$C$2</f>
        <v>60006</v>
      </c>
      <c r="C7" s="60" t="str">
        <f ca="1">VLOOKUP($B7,OFFSET([2]quests!$A$1,0,0,COUNTA([2]quests!$A:$A),MATCH(C$1,[2]quests!$1:$1,0)-MATCH($B$1,[2]quests!$1:$1,0)+1),MATCH(C$1,[2]quests!$1:$1,0)-MATCH($B$1,[2]quests!$1:$1,0)+1,FALSE)</f>
        <v>オイラーチャレンジ</v>
      </c>
      <c r="D7" s="60" t="str">
        <f ca="1">VLOOKUP($B7,OFFSET([2]quests!$A$1,0,0,COUNTA([2]quests!$A:$A),MATCH(D$1,[2]quests!$1:$1,0)-MATCH($B$1,[2]quests!$1:$1,0)+1),MATCH(D$1,[2]quests!$1:$1,0)-MATCH($B$1,[2]quests!$1:$1,0)+1,FALSE)</f>
        <v>ランキング1（本番実装用）</v>
      </c>
      <c r="E7" s="64">
        <v>1</v>
      </c>
      <c r="F7" s="60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" s="60" t="str">
        <f ca="1">VLOOKUP($B7&amp;"_"&amp;$E7,OFFSET([2]stages!$A$1,0,0,COUNTA([2]stages!$A:$A),MATCH(G$1,[2]stages!$2:$2,0)-MATCH("temp_stage",[2]stages!$2:$2,0)+1),MATCH(G$1,[2]stages!$2:$2,0)-MATCH("temp_stage",[2]stages!$2:$2,0)+1,FALSE)</f>
        <v>ランキング1（本番実装用）</v>
      </c>
      <c r="H7" s="62">
        <v>0</v>
      </c>
      <c r="I7">
        <v>10</v>
      </c>
      <c r="J7" s="61" t="s">
        <v>194</v>
      </c>
      <c r="K7" s="71" t="str">
        <f>VLOOKUP(I7,[6]stage_hints!$A:$C,3,FALSE)</f>
        <v>土日に大量のビットを獲得</v>
      </c>
      <c r="L7" s="72" t="str">
        <f>VLOOKUP(I7,[6]stage_hints!$A:$D,4,FALSE)</f>
        <v>土日限定の「ゴールドカジノ」では_x000D_売却素材ユニットが多く手に入ります</v>
      </c>
      <c r="M7" s="35" t="s">
        <v>205</v>
      </c>
    </row>
    <row r="8" spans="1:13" x14ac:dyDescent="0.15">
      <c r="A8" s="58" t="s">
        <v>195</v>
      </c>
      <c r="B8" s="59">
        <f>floors!$C$2</f>
        <v>60006</v>
      </c>
      <c r="C8" s="60" t="str">
        <f ca="1">VLOOKUP($B8,OFFSET([2]quests!$A$1,0,0,COUNTA([2]quests!$A:$A),MATCH(C$1,[2]quests!$1:$1,0)-MATCH($B$1,[2]quests!$1:$1,0)+1),MATCH(C$1,[2]quests!$1:$1,0)-MATCH($B$1,[2]quests!$1:$1,0)+1,FALSE)</f>
        <v>オイラーチャレンジ</v>
      </c>
      <c r="D8" s="60" t="str">
        <f ca="1">VLOOKUP($B8,OFFSET([2]quests!$A$1,0,0,COUNTA([2]quests!$A:$A),MATCH(D$1,[2]quests!$1:$1,0)-MATCH($B$1,[2]quests!$1:$1,0)+1),MATCH(D$1,[2]quests!$1:$1,0)-MATCH($B$1,[2]quests!$1:$1,0)+1,FALSE)</f>
        <v>ランキング1（本番実装用）</v>
      </c>
      <c r="E8" s="64">
        <v>1</v>
      </c>
      <c r="F8" s="60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" s="60" t="str">
        <f ca="1">VLOOKUP($B8&amp;"_"&amp;$E8,OFFSET([2]stages!$A$1,0,0,COUNTA([2]stages!$A:$A),MATCH(G$1,[2]stages!$2:$2,0)-MATCH("temp_stage",[2]stages!$2:$2,0)+1),MATCH(G$1,[2]stages!$2:$2,0)-MATCH("temp_stage",[2]stages!$2:$2,0)+1,FALSE)</f>
        <v>ランキング1（本番実装用）</v>
      </c>
      <c r="H8" s="62">
        <v>0</v>
      </c>
      <c r="I8">
        <v>11</v>
      </c>
      <c r="J8" s="61" t="s">
        <v>194</v>
      </c>
      <c r="K8" s="71" t="str">
        <f>VLOOKUP(I8,[6]stage_hints!$A:$C,3,FALSE)</f>
        <v>ランク解放クエスト</v>
      </c>
      <c r="L8" s="72" t="str">
        <f>VLOOKUP(I8,[6]stage_hints!$A:$D,4,FALSE)</f>
        <v>一定ランクに到達すると_x000D_報酬付きのランク開放クエストが現れます</v>
      </c>
      <c r="M8" s="35" t="s">
        <v>205</v>
      </c>
    </row>
    <row r="9" spans="1:13" x14ac:dyDescent="0.15">
      <c r="A9" s="58" t="s">
        <v>195</v>
      </c>
      <c r="B9" s="59">
        <f>floors!$C$2</f>
        <v>60006</v>
      </c>
      <c r="C9" s="60" t="str">
        <f ca="1">VLOOKUP($B9,OFFSET([2]quests!$A$1,0,0,COUNTA([2]quests!$A:$A),MATCH(C$1,[2]quests!$1:$1,0)-MATCH($B$1,[2]quests!$1:$1,0)+1),MATCH(C$1,[2]quests!$1:$1,0)-MATCH($B$1,[2]quests!$1:$1,0)+1,FALSE)</f>
        <v>オイラーチャレンジ</v>
      </c>
      <c r="D9" s="60" t="str">
        <f ca="1">VLOOKUP($B9,OFFSET([2]quests!$A$1,0,0,COUNTA([2]quests!$A:$A),MATCH(D$1,[2]quests!$1:$1,0)-MATCH($B$1,[2]quests!$1:$1,0)+1),MATCH(D$1,[2]quests!$1:$1,0)-MATCH($B$1,[2]quests!$1:$1,0)+1,FALSE)</f>
        <v>ランキング1（本番実装用）</v>
      </c>
      <c r="E9" s="64">
        <v>1</v>
      </c>
      <c r="F9" s="60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9" s="60" t="str">
        <f ca="1">VLOOKUP($B9&amp;"_"&amp;$E9,OFFSET([2]stages!$A$1,0,0,COUNTA([2]stages!$A:$A),MATCH(G$1,[2]stages!$2:$2,0)-MATCH("temp_stage",[2]stages!$2:$2,0)+1),MATCH(G$1,[2]stages!$2:$2,0)-MATCH("temp_stage",[2]stages!$2:$2,0)+1,FALSE)</f>
        <v>ランキング1（本番実装用）</v>
      </c>
      <c r="H9" s="62">
        <v>0</v>
      </c>
      <c r="I9">
        <v>12</v>
      </c>
      <c r="J9" s="61" t="s">
        <v>194</v>
      </c>
      <c r="K9" s="71" t="str">
        <f>VLOOKUP(I9,[6]stage_hints!$A:$C,3,FALSE)</f>
        <v>ユニットのお気に入り登録</v>
      </c>
      <c r="L9" s="72" t="str">
        <f>VLOOKUP(I9,[6]stage_hints!$A:$D,4,FALSE)</f>
        <v>大事なユニットを誤って消さないように_x000D_フォルダから「お気に入り登録」しましょう</v>
      </c>
      <c r="M9" s="35" t="s">
        <v>205</v>
      </c>
    </row>
    <row r="10" spans="1:13" x14ac:dyDescent="0.15">
      <c r="A10" s="58" t="s">
        <v>195</v>
      </c>
      <c r="B10" s="59">
        <f>floors!$C$2</f>
        <v>60006</v>
      </c>
      <c r="C10" s="60" t="str">
        <f ca="1">VLOOKUP($B10,OFFSET([2]quests!$A$1,0,0,COUNTA([2]quests!$A:$A),MATCH(C$1,[2]quests!$1:$1,0)-MATCH($B$1,[2]quests!$1:$1,0)+1),MATCH(C$1,[2]quests!$1:$1,0)-MATCH($B$1,[2]quests!$1:$1,0)+1,FALSE)</f>
        <v>オイラーチャレンジ</v>
      </c>
      <c r="D10" s="60" t="str">
        <f ca="1">VLOOKUP($B10,OFFSET([2]quests!$A$1,0,0,COUNTA([2]quests!$A:$A),MATCH(D$1,[2]quests!$1:$1,0)-MATCH($B$1,[2]quests!$1:$1,0)+1),MATCH(D$1,[2]quests!$1:$1,0)-MATCH($B$1,[2]quests!$1:$1,0)+1,FALSE)</f>
        <v>ランキング1（本番実装用）</v>
      </c>
      <c r="E10" s="64">
        <v>1</v>
      </c>
      <c r="F10" s="60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0" s="60" t="str">
        <f ca="1">VLOOKUP($B10&amp;"_"&amp;$E10,OFFSET([2]stages!$A$1,0,0,COUNTA([2]stages!$A:$A),MATCH(G$1,[2]stages!$2:$2,0)-MATCH("temp_stage",[2]stages!$2:$2,0)+1),MATCH(G$1,[2]stages!$2:$2,0)-MATCH("temp_stage",[2]stages!$2:$2,0)+1,FALSE)</f>
        <v>ランキング1（本番実装用）</v>
      </c>
      <c r="H10" s="62">
        <v>0</v>
      </c>
      <c r="I10">
        <v>13</v>
      </c>
      <c r="J10" s="61" t="s">
        <v>194</v>
      </c>
      <c r="K10" s="71" t="str">
        <f>VLOOKUP(I10,[6]stage_hints!$A:$C,3,FALSE)</f>
        <v>ユニットの覚醒</v>
      </c>
      <c r="L10" s="72" t="str">
        <f>VLOOKUP(I10,[6]stage_hints!$A:$D,4,FALSE)</f>
        <v>ユニットを覚醒させると_x000D_比べものにならない強さが手に入ります</v>
      </c>
      <c r="M10" s="35" t="s">
        <v>205</v>
      </c>
    </row>
    <row r="11" spans="1:13" x14ac:dyDescent="0.15">
      <c r="A11" s="58" t="s">
        <v>195</v>
      </c>
      <c r="B11" s="59">
        <f>floors!$C$2</f>
        <v>60006</v>
      </c>
      <c r="C11" s="60" t="str">
        <f ca="1">VLOOKUP($B11,OFFSET([2]quests!$A$1,0,0,COUNTA([2]quests!$A:$A),MATCH(C$1,[2]quests!$1:$1,0)-MATCH($B$1,[2]quests!$1:$1,0)+1),MATCH(C$1,[2]quests!$1:$1,0)-MATCH($B$1,[2]quests!$1:$1,0)+1,FALSE)</f>
        <v>オイラーチャレンジ</v>
      </c>
      <c r="D11" s="60" t="str">
        <f ca="1">VLOOKUP($B11,OFFSET([2]quests!$A$1,0,0,COUNTA([2]quests!$A:$A),MATCH(D$1,[2]quests!$1:$1,0)-MATCH($B$1,[2]quests!$1:$1,0)+1),MATCH(D$1,[2]quests!$1:$1,0)-MATCH($B$1,[2]quests!$1:$1,0)+1,FALSE)</f>
        <v>ランキング1（本番実装用）</v>
      </c>
      <c r="E11" s="64">
        <v>1</v>
      </c>
      <c r="F11" s="60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1" s="60" t="str">
        <f ca="1">VLOOKUP($B11&amp;"_"&amp;$E11,OFFSET([2]stages!$A$1,0,0,COUNTA([2]stages!$A:$A),MATCH(G$1,[2]stages!$2:$2,0)-MATCH("temp_stage",[2]stages!$2:$2,0)+1),MATCH(G$1,[2]stages!$2:$2,0)-MATCH("temp_stage",[2]stages!$2:$2,0)+1,FALSE)</f>
        <v>ランキング1（本番実装用）</v>
      </c>
      <c r="H11" s="62">
        <v>0</v>
      </c>
      <c r="I11">
        <v>14</v>
      </c>
      <c r="J11" s="61" t="s">
        <v>194</v>
      </c>
      <c r="K11" s="71" t="str">
        <f>VLOOKUP(I11,[6]stage_hints!$A:$C,3,FALSE)</f>
        <v>覚醒するにはレベルを最大に</v>
      </c>
      <c r="L11" s="72" t="str">
        <f>VLOOKUP(I11,[6]stage_hints!$A:$D,4,FALSE)</f>
        <v>覚醒するにはユニットのレベルを_x000D_最大まで上げる必要があります</v>
      </c>
      <c r="M11" s="35" t="s">
        <v>205</v>
      </c>
    </row>
    <row r="12" spans="1:13" x14ac:dyDescent="0.15">
      <c r="A12" s="58" t="s">
        <v>195</v>
      </c>
      <c r="B12" s="59">
        <f>floors!$C$2</f>
        <v>60006</v>
      </c>
      <c r="C12" s="60" t="str">
        <f ca="1">VLOOKUP($B12,OFFSET([2]quests!$A$1,0,0,COUNTA([2]quests!$A:$A),MATCH(C$1,[2]quests!$1:$1,0)-MATCH($B$1,[2]quests!$1:$1,0)+1),MATCH(C$1,[2]quests!$1:$1,0)-MATCH($B$1,[2]quests!$1:$1,0)+1,FALSE)</f>
        <v>オイラーチャレンジ</v>
      </c>
      <c r="D12" s="60" t="str">
        <f ca="1">VLOOKUP($B12,OFFSET([2]quests!$A$1,0,0,COUNTA([2]quests!$A:$A),MATCH(D$1,[2]quests!$1:$1,0)-MATCH($B$1,[2]quests!$1:$1,0)+1),MATCH(D$1,[2]quests!$1:$1,0)-MATCH($B$1,[2]quests!$1:$1,0)+1,FALSE)</f>
        <v>ランキング1（本番実装用）</v>
      </c>
      <c r="E12" s="64">
        <v>1</v>
      </c>
      <c r="F12" s="60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2" s="60" t="str">
        <f ca="1">VLOOKUP($B12&amp;"_"&amp;$E12,OFFSET([2]stages!$A$1,0,0,COUNTA([2]stages!$A:$A),MATCH(G$1,[2]stages!$2:$2,0)-MATCH("temp_stage",[2]stages!$2:$2,0)+1),MATCH(G$1,[2]stages!$2:$2,0)-MATCH("temp_stage",[2]stages!$2:$2,0)+1,FALSE)</f>
        <v>ランキング1（本番実装用）</v>
      </c>
      <c r="H12" s="62">
        <v>0</v>
      </c>
      <c r="I12">
        <v>15</v>
      </c>
      <c r="J12" s="61" t="s">
        <v>194</v>
      </c>
      <c r="K12" s="71" t="str">
        <f>VLOOKUP(I12,[6]stage_hints!$A:$C,3,FALSE)</f>
        <v>覚醒素材を獲得</v>
      </c>
      <c r="L12" s="72" t="str">
        <f>VLOOKUP(I12,[6]stage_hints!$A:$D,4,FALSE)</f>
        <v>「曜日クエスト」では_x000D_ユニットの覚醒に必要な素材が手に入ります</v>
      </c>
      <c r="M12" s="35" t="s">
        <v>205</v>
      </c>
    </row>
    <row r="13" spans="1:13" x14ac:dyDescent="0.15">
      <c r="A13" s="58" t="s">
        <v>195</v>
      </c>
      <c r="B13" s="59">
        <f>floors!$C$2</f>
        <v>60006</v>
      </c>
      <c r="C13" s="60" t="str">
        <f ca="1">VLOOKUP($B13,OFFSET([2]quests!$A$1,0,0,COUNTA([2]quests!$A:$A),MATCH(C$1,[2]quests!$1:$1,0)-MATCH($B$1,[2]quests!$1:$1,0)+1),MATCH(C$1,[2]quests!$1:$1,0)-MATCH($B$1,[2]quests!$1:$1,0)+1,FALSE)</f>
        <v>オイラーチャレンジ</v>
      </c>
      <c r="D13" s="60" t="str">
        <f ca="1">VLOOKUP($B13,OFFSET([2]quests!$A$1,0,0,COUNTA([2]quests!$A:$A),MATCH(D$1,[2]quests!$1:$1,0)-MATCH($B$1,[2]quests!$1:$1,0)+1),MATCH(D$1,[2]quests!$1:$1,0)-MATCH($B$1,[2]quests!$1:$1,0)+1,FALSE)</f>
        <v>ランキング1（本番実装用）</v>
      </c>
      <c r="E13" s="64">
        <v>1</v>
      </c>
      <c r="F13" s="60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3" s="60" t="str">
        <f ca="1">VLOOKUP($B13&amp;"_"&amp;$E13,OFFSET([2]stages!$A$1,0,0,COUNTA([2]stages!$A:$A),MATCH(G$1,[2]stages!$2:$2,0)-MATCH("temp_stage",[2]stages!$2:$2,0)+1),MATCH(G$1,[2]stages!$2:$2,0)-MATCH("temp_stage",[2]stages!$2:$2,0)+1,FALSE)</f>
        <v>ランキング1（本番実装用）</v>
      </c>
      <c r="H13" s="62">
        <v>0</v>
      </c>
      <c r="I13">
        <v>16</v>
      </c>
      <c r="J13" s="61" t="s">
        <v>194</v>
      </c>
      <c r="K13" s="71" t="str">
        <f>VLOOKUP(I13,[6]stage_hints!$A:$C,3,FALSE)</f>
        <v>マルチプレイのメリット（その1）</v>
      </c>
      <c r="L13" s="72" t="str">
        <f>VLOOKUP(I13,[6]stage_hints!$A:$D,4,FALSE)</f>
        <v>他のプレイヤーとマルチプレイで遊ぶと_x000D_ポリゴンがもらえます（100人まで）</v>
      </c>
      <c r="M13" s="35" t="s">
        <v>205</v>
      </c>
    </row>
    <row r="14" spans="1:13" x14ac:dyDescent="0.15">
      <c r="A14" s="58" t="s">
        <v>195</v>
      </c>
      <c r="B14" s="59">
        <f>floors!$C$2</f>
        <v>60006</v>
      </c>
      <c r="C14" s="60" t="str">
        <f ca="1">VLOOKUP($B14,OFFSET([2]quests!$A$1,0,0,COUNTA([2]quests!$A:$A),MATCH(C$1,[2]quests!$1:$1,0)-MATCH($B$1,[2]quests!$1:$1,0)+1),MATCH(C$1,[2]quests!$1:$1,0)-MATCH($B$1,[2]quests!$1:$1,0)+1,FALSE)</f>
        <v>オイラーチャレンジ</v>
      </c>
      <c r="D14" s="60" t="str">
        <f ca="1">VLOOKUP($B14,OFFSET([2]quests!$A$1,0,0,COUNTA([2]quests!$A:$A),MATCH(D$1,[2]quests!$1:$1,0)-MATCH($B$1,[2]quests!$1:$1,0)+1),MATCH(D$1,[2]quests!$1:$1,0)-MATCH($B$1,[2]quests!$1:$1,0)+1,FALSE)</f>
        <v>ランキング1（本番実装用）</v>
      </c>
      <c r="E14" s="64">
        <v>1</v>
      </c>
      <c r="F14" s="60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4" s="60" t="str">
        <f ca="1">VLOOKUP($B14&amp;"_"&amp;$E14,OFFSET([2]stages!$A$1,0,0,COUNTA([2]stages!$A:$A),MATCH(G$1,[2]stages!$2:$2,0)-MATCH("temp_stage",[2]stages!$2:$2,0)+1),MATCH(G$1,[2]stages!$2:$2,0)-MATCH("temp_stage",[2]stages!$2:$2,0)+1,FALSE)</f>
        <v>ランキング1（本番実装用）</v>
      </c>
      <c r="H14" s="62">
        <v>0</v>
      </c>
      <c r="I14">
        <v>17</v>
      </c>
      <c r="J14" s="61" t="s">
        <v>194</v>
      </c>
      <c r="K14" s="71" t="str">
        <f>VLOOKUP(I14,[6]stage_hints!$A:$C,3,FALSE)</f>
        <v>リンクガチャ</v>
      </c>
      <c r="L14" s="72" t="str">
        <f>VLOOKUP(I14,[6]stage_hints!$A:$D,4,FALSE)</f>
        <v>無料のリンクガチャを回して_x000D_経験値素材や売却素材を獲得しましょう</v>
      </c>
      <c r="M14" s="35" t="s">
        <v>205</v>
      </c>
    </row>
    <row r="15" spans="1:13" x14ac:dyDescent="0.15">
      <c r="A15" s="58" t="s">
        <v>195</v>
      </c>
      <c r="B15" s="59">
        <f>floors!$C$2</f>
        <v>60006</v>
      </c>
      <c r="C15" s="60" t="str">
        <f ca="1">VLOOKUP($B15,OFFSET([2]quests!$A$1,0,0,COUNTA([2]quests!$A:$A),MATCH(C$1,[2]quests!$1:$1,0)-MATCH($B$1,[2]quests!$1:$1,0)+1),MATCH(C$1,[2]quests!$1:$1,0)-MATCH($B$1,[2]quests!$1:$1,0)+1,FALSE)</f>
        <v>オイラーチャレンジ</v>
      </c>
      <c r="D15" s="60" t="str">
        <f ca="1">VLOOKUP($B15,OFFSET([2]quests!$A$1,0,0,COUNTA([2]quests!$A:$A),MATCH(D$1,[2]quests!$1:$1,0)-MATCH($B$1,[2]quests!$1:$1,0)+1),MATCH(D$1,[2]quests!$1:$1,0)-MATCH($B$1,[2]quests!$1:$1,0)+1,FALSE)</f>
        <v>ランキング1（本番実装用）</v>
      </c>
      <c r="E15" s="64">
        <v>1</v>
      </c>
      <c r="F15" s="60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5" s="60" t="str">
        <f ca="1">VLOOKUP($B15&amp;"_"&amp;$E15,OFFSET([2]stages!$A$1,0,0,COUNTA([2]stages!$A:$A),MATCH(G$1,[2]stages!$2:$2,0)-MATCH("temp_stage",[2]stages!$2:$2,0)+1),MATCH(G$1,[2]stages!$2:$2,0)-MATCH("temp_stage",[2]stages!$2:$2,0)+1,FALSE)</f>
        <v>ランキング1（本番実装用）</v>
      </c>
      <c r="H15" s="62">
        <v>0</v>
      </c>
      <c r="I15">
        <v>18</v>
      </c>
      <c r="J15" s="61" t="s">
        <v>194</v>
      </c>
      <c r="K15" s="71" t="str">
        <f>VLOOKUP(I15,[6]stage_hints!$A:$C,3,FALSE)</f>
        <v>マルチプレイのメリット（その2）</v>
      </c>
      <c r="L15" s="72" t="str">
        <f>VLOOKUP(I15,[6]stage_hints!$A:$D,4,FALSE)</f>
        <v>マルチプレイならリンクが2倍もらえます_x000D_リンクガチャをたくさん回しましょう</v>
      </c>
      <c r="M15" s="35" t="s">
        <v>205</v>
      </c>
    </row>
    <row r="16" spans="1:13" x14ac:dyDescent="0.15">
      <c r="A16" s="58" t="s">
        <v>195</v>
      </c>
      <c r="B16" s="59">
        <f>floors!$C$2</f>
        <v>60006</v>
      </c>
      <c r="C16" s="60" t="str">
        <f ca="1">VLOOKUP($B16,OFFSET([2]quests!$A$1,0,0,COUNTA([2]quests!$A:$A),MATCH(C$1,[2]quests!$1:$1,0)-MATCH($B$1,[2]quests!$1:$1,0)+1),MATCH(C$1,[2]quests!$1:$1,0)-MATCH($B$1,[2]quests!$1:$1,0)+1,FALSE)</f>
        <v>オイラーチャレンジ</v>
      </c>
      <c r="D16" s="60" t="str">
        <f ca="1">VLOOKUP($B16,OFFSET([2]quests!$A$1,0,0,COUNTA([2]quests!$A:$A),MATCH(D$1,[2]quests!$1:$1,0)-MATCH($B$1,[2]quests!$1:$1,0)+1),MATCH(D$1,[2]quests!$1:$1,0)-MATCH($B$1,[2]quests!$1:$1,0)+1,FALSE)</f>
        <v>ランキング1（本番実装用）</v>
      </c>
      <c r="E16" s="64">
        <v>1</v>
      </c>
      <c r="F16" s="60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6" s="60" t="str">
        <f ca="1">VLOOKUP($B16&amp;"_"&amp;$E16,OFFSET([2]stages!$A$1,0,0,COUNTA([2]stages!$A:$A),MATCH(G$1,[2]stages!$2:$2,0)-MATCH("temp_stage",[2]stages!$2:$2,0)+1),MATCH(G$1,[2]stages!$2:$2,0)-MATCH("temp_stage",[2]stages!$2:$2,0)+1,FALSE)</f>
        <v>ランキング1（本番実装用）</v>
      </c>
      <c r="H16" s="62">
        <v>0</v>
      </c>
      <c r="I16">
        <v>19</v>
      </c>
      <c r="J16" s="61" t="s">
        <v>194</v>
      </c>
      <c r="K16" s="71" t="str">
        <f>VLOOKUP(I16,[6]stage_hints!$A:$C,3,FALSE)</f>
        <v>ソロ専用チャレンジタワー</v>
      </c>
      <c r="L16" s="72" t="str">
        <f>VLOOKUP(I16,[6]stage_hints!$A:$D,4,FALSE)</f>
        <v>ソロ専用の「チャレンジタワー」では_x000D_各フロアごとにクリア報酬がもらえます</v>
      </c>
      <c r="M16" s="35" t="s">
        <v>205</v>
      </c>
    </row>
    <row r="17" spans="1:13" x14ac:dyDescent="0.15">
      <c r="A17" s="58" t="s">
        <v>195</v>
      </c>
      <c r="B17" s="59">
        <f>floors!$C$2</f>
        <v>60006</v>
      </c>
      <c r="C17" s="60" t="str">
        <f ca="1">VLOOKUP($B17,OFFSET([2]quests!$A$1,0,0,COUNTA([2]quests!$A:$A),MATCH(C$1,[2]quests!$1:$1,0)-MATCH($B$1,[2]quests!$1:$1,0)+1),MATCH(C$1,[2]quests!$1:$1,0)-MATCH($B$1,[2]quests!$1:$1,0)+1,FALSE)</f>
        <v>オイラーチャレンジ</v>
      </c>
      <c r="D17" s="60" t="str">
        <f ca="1">VLOOKUP($B17,OFFSET([2]quests!$A$1,0,0,COUNTA([2]quests!$A:$A),MATCH(D$1,[2]quests!$1:$1,0)-MATCH($B$1,[2]quests!$1:$1,0)+1),MATCH(D$1,[2]quests!$1:$1,0)-MATCH($B$1,[2]quests!$1:$1,0)+1,FALSE)</f>
        <v>ランキング1（本番実装用）</v>
      </c>
      <c r="E17" s="64">
        <v>1</v>
      </c>
      <c r="F17" s="60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7" s="60" t="str">
        <f ca="1">VLOOKUP($B17&amp;"_"&amp;$E17,OFFSET([2]stages!$A$1,0,0,COUNTA([2]stages!$A:$A),MATCH(G$1,[2]stages!$2:$2,0)-MATCH("temp_stage",[2]stages!$2:$2,0)+1),MATCH(G$1,[2]stages!$2:$2,0)-MATCH("temp_stage",[2]stages!$2:$2,0)+1,FALSE)</f>
        <v>ランキング1（本番実装用）</v>
      </c>
      <c r="H17" s="62">
        <v>0</v>
      </c>
      <c r="I17">
        <v>20</v>
      </c>
      <c r="J17" s="61" t="s">
        <v>194</v>
      </c>
      <c r="K17" s="71" t="str">
        <f>VLOOKUP(I17,[6]stage_hints!$A:$C,3,FALSE)</f>
        <v>マルチプレイのメリット（その3）</v>
      </c>
      <c r="L17" s="72" t="str">
        <f>VLOOKUP(I17,[6]stage_hints!$A:$D,4,FALSE)</f>
        <v>マルチプレイへの参加はエナジー消費ゼロ_x000D_いつでも好きなだけ遊ぶことができます</v>
      </c>
      <c r="M17" s="35" t="s">
        <v>205</v>
      </c>
    </row>
    <row r="18" spans="1:13" x14ac:dyDescent="0.15">
      <c r="A18" s="58" t="s">
        <v>195</v>
      </c>
      <c r="B18" s="59">
        <f>floors!$C$2</f>
        <v>60006</v>
      </c>
      <c r="C18" s="60" t="str">
        <f ca="1">VLOOKUP($B18,OFFSET([2]quests!$A$1,0,0,COUNTA([2]quests!$A:$A),MATCH(C$1,[2]quests!$1:$1,0)-MATCH($B$1,[2]quests!$1:$1,0)+1),MATCH(C$1,[2]quests!$1:$1,0)-MATCH($B$1,[2]quests!$1:$1,0)+1,FALSE)</f>
        <v>オイラーチャレンジ</v>
      </c>
      <c r="D18" s="60" t="str">
        <f ca="1">VLOOKUP($B18,OFFSET([2]quests!$A$1,0,0,COUNTA([2]quests!$A:$A),MATCH(D$1,[2]quests!$1:$1,0)-MATCH($B$1,[2]quests!$1:$1,0)+1),MATCH(D$1,[2]quests!$1:$1,0)-MATCH($B$1,[2]quests!$1:$1,0)+1,FALSE)</f>
        <v>ランキング1（本番実装用）</v>
      </c>
      <c r="E18" s="64">
        <v>1</v>
      </c>
      <c r="F18" s="60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8" s="60" t="str">
        <f ca="1">VLOOKUP($B18&amp;"_"&amp;$E18,OFFSET([2]stages!$A$1,0,0,COUNTA([2]stages!$A:$A),MATCH(G$1,[2]stages!$2:$2,0)-MATCH("temp_stage",[2]stages!$2:$2,0)+1),MATCH(G$1,[2]stages!$2:$2,0)-MATCH("temp_stage",[2]stages!$2:$2,0)+1,FALSE)</f>
        <v>ランキング1（本番実装用）</v>
      </c>
      <c r="H18" s="62">
        <v>0</v>
      </c>
      <c r="I18">
        <v>21</v>
      </c>
      <c r="J18" s="61" t="s">
        <v>194</v>
      </c>
      <c r="K18" s="71" t="str">
        <f>VLOOKUP(I18,[6]stage_hints!$A:$C,3,FALSE)</f>
        <v>スキルを有効に</v>
      </c>
      <c r="L18" s="72" t="str">
        <f>VLOOKUP(I18,[6]stage_hints!$A:$D,4,FALSE)</f>
        <v>ターン経過でユニットのスキルが使えます_x000D_強力スキルでバトルを有利に進めましょう</v>
      </c>
      <c r="M18" s="35" t="s">
        <v>205</v>
      </c>
    </row>
    <row r="19" spans="1:13" x14ac:dyDescent="0.15">
      <c r="A19" s="58" t="s">
        <v>195</v>
      </c>
      <c r="B19" s="59">
        <f>floors!$C$2</f>
        <v>60006</v>
      </c>
      <c r="C19" s="60" t="str">
        <f ca="1">VLOOKUP($B19,OFFSET([2]quests!$A$1,0,0,COUNTA([2]quests!$A:$A),MATCH(C$1,[2]quests!$1:$1,0)-MATCH($B$1,[2]quests!$1:$1,0)+1),MATCH(C$1,[2]quests!$1:$1,0)-MATCH($B$1,[2]quests!$1:$1,0)+1,FALSE)</f>
        <v>オイラーチャレンジ</v>
      </c>
      <c r="D19" s="60" t="str">
        <f ca="1">VLOOKUP($B19,OFFSET([2]quests!$A$1,0,0,COUNTA([2]quests!$A:$A),MATCH(D$1,[2]quests!$1:$1,0)-MATCH($B$1,[2]quests!$1:$1,0)+1),MATCH(D$1,[2]quests!$1:$1,0)-MATCH($B$1,[2]quests!$1:$1,0)+1,FALSE)</f>
        <v>ランキング1（本番実装用）</v>
      </c>
      <c r="E19" s="64">
        <v>1</v>
      </c>
      <c r="F19" s="60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19" s="60" t="str">
        <f ca="1">VLOOKUP($B19&amp;"_"&amp;$E19,OFFSET([2]stages!$A$1,0,0,COUNTA([2]stages!$A:$A),MATCH(G$1,[2]stages!$2:$2,0)-MATCH("temp_stage",[2]stages!$2:$2,0)+1),MATCH(G$1,[2]stages!$2:$2,0)-MATCH("temp_stage",[2]stages!$2:$2,0)+1,FALSE)</f>
        <v>ランキング1（本番実装用）</v>
      </c>
      <c r="H19" s="62">
        <v>0</v>
      </c>
      <c r="I19">
        <v>22</v>
      </c>
      <c r="J19" s="61" t="s">
        <v>194</v>
      </c>
      <c r="K19" s="71" t="str">
        <f>VLOOKUP(I19,[6]stage_hints!$A:$C,3,FALSE)</f>
        <v>フィーバーで一発逆転（その1）</v>
      </c>
      <c r="L19" s="72" t="str">
        <f>VLOOKUP(I19,[6]stage_hints!$A:$D,4,FALSE)</f>
        <v>フィーバーは攻撃と回復を兼ね備えます_x000D_ピンチからの一発逆転を狙いましょう</v>
      </c>
      <c r="M19" s="35" t="s">
        <v>205</v>
      </c>
    </row>
    <row r="20" spans="1:13" x14ac:dyDescent="0.15">
      <c r="A20" s="58" t="s">
        <v>195</v>
      </c>
      <c r="B20" s="59">
        <f>floors!$C$2</f>
        <v>60006</v>
      </c>
      <c r="C20" s="60" t="str">
        <f ca="1">VLOOKUP($B20,OFFSET([2]quests!$A$1,0,0,COUNTA([2]quests!$A:$A),MATCH(C$1,[2]quests!$1:$1,0)-MATCH($B$1,[2]quests!$1:$1,0)+1),MATCH(C$1,[2]quests!$1:$1,0)-MATCH($B$1,[2]quests!$1:$1,0)+1,FALSE)</f>
        <v>オイラーチャレンジ</v>
      </c>
      <c r="D20" s="60" t="str">
        <f ca="1">VLOOKUP($B20,OFFSET([2]quests!$A$1,0,0,COUNTA([2]quests!$A:$A),MATCH(D$1,[2]quests!$1:$1,0)-MATCH($B$1,[2]quests!$1:$1,0)+1),MATCH(D$1,[2]quests!$1:$1,0)-MATCH($B$1,[2]quests!$1:$1,0)+1,FALSE)</f>
        <v>ランキング1（本番実装用）</v>
      </c>
      <c r="E20" s="64">
        <v>1</v>
      </c>
      <c r="F20" s="60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0" s="60" t="str">
        <f ca="1">VLOOKUP($B20&amp;"_"&amp;$E20,OFFSET([2]stages!$A$1,0,0,COUNTA([2]stages!$A:$A),MATCH(G$1,[2]stages!$2:$2,0)-MATCH("temp_stage",[2]stages!$2:$2,0)+1),MATCH(G$1,[2]stages!$2:$2,0)-MATCH("temp_stage",[2]stages!$2:$2,0)+1,FALSE)</f>
        <v>ランキング1（本番実装用）</v>
      </c>
      <c r="H20" s="62">
        <v>0</v>
      </c>
      <c r="I20">
        <v>23</v>
      </c>
      <c r="J20" s="61" t="s">
        <v>194</v>
      </c>
      <c r="K20" s="71" t="str">
        <f>VLOOKUP(I20,[6]stage_hints!$A:$C,3,FALSE)</f>
        <v>フィーバーで一発逆転（その2）</v>
      </c>
      <c r="L20" s="72" t="str">
        <f>VLOOKUP(I20,[6]stage_hints!$A:$D,4,FALSE)</f>
        <v>フィーバー中は虹色のボムパネルを狙って_x000D_画面上のパネルを一気に破壊しましょう</v>
      </c>
      <c r="M20" s="35" t="s">
        <v>205</v>
      </c>
    </row>
    <row r="21" spans="1:13" x14ac:dyDescent="0.15">
      <c r="A21" s="58" t="s">
        <v>195</v>
      </c>
      <c r="B21" s="59">
        <f>floors!$C$2</f>
        <v>60006</v>
      </c>
      <c r="C21" s="60" t="str">
        <f ca="1">VLOOKUP($B21,OFFSET([2]quests!$A$1,0,0,COUNTA([2]quests!$A:$A),MATCH(C$1,[2]quests!$1:$1,0)-MATCH($B$1,[2]quests!$1:$1,0)+1),MATCH(C$1,[2]quests!$1:$1,0)-MATCH($B$1,[2]quests!$1:$1,0)+1,FALSE)</f>
        <v>オイラーチャレンジ</v>
      </c>
      <c r="D21" s="60" t="str">
        <f ca="1">VLOOKUP($B21,OFFSET([2]quests!$A$1,0,0,COUNTA([2]quests!$A:$A),MATCH(D$1,[2]quests!$1:$1,0)-MATCH($B$1,[2]quests!$1:$1,0)+1),MATCH(D$1,[2]quests!$1:$1,0)-MATCH($B$1,[2]quests!$1:$1,0)+1,FALSE)</f>
        <v>ランキング1（本番実装用）</v>
      </c>
      <c r="E21" s="64">
        <v>1</v>
      </c>
      <c r="F21" s="60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1" s="60" t="str">
        <f ca="1">VLOOKUP($B21&amp;"_"&amp;$E21,OFFSET([2]stages!$A$1,0,0,COUNTA([2]stages!$A:$A),MATCH(G$1,[2]stages!$2:$2,0)-MATCH("temp_stage",[2]stages!$2:$2,0)+1),MATCH(G$1,[2]stages!$2:$2,0)-MATCH("temp_stage",[2]stages!$2:$2,0)+1,FALSE)</f>
        <v>ランキング1（本番実装用）</v>
      </c>
      <c r="H21" s="62">
        <v>0</v>
      </c>
      <c r="I21">
        <v>24</v>
      </c>
      <c r="J21" s="61" t="s">
        <v>194</v>
      </c>
      <c r="K21" s="71" t="str">
        <f>VLOOKUP(I21,[6]stage_hints!$A:$C,3,FALSE)</f>
        <v>りんごを使って限界突破</v>
      </c>
      <c r="L21" s="72" t="str">
        <f>VLOOKUP(I21,[6]stage_hints!$A:$D,4,FALSE)</f>
        <v>赤りんご(攻撃力) 青りんご(回復力)_x000D_緑りんご(体力)をユニット強化に使うと_x000D_ステータスが限界突破します（計99個迄）</v>
      </c>
      <c r="M21" s="35" t="s">
        <v>205</v>
      </c>
    </row>
    <row r="22" spans="1:13" x14ac:dyDescent="0.15">
      <c r="A22" s="58" t="s">
        <v>195</v>
      </c>
      <c r="B22" s="59">
        <f>floors!$C$2</f>
        <v>60006</v>
      </c>
      <c r="C22" s="60" t="str">
        <f ca="1">VLOOKUP($B22,OFFSET([2]quests!$A$1,0,0,COUNTA([2]quests!$A:$A),MATCH(C$1,[2]quests!$1:$1,0)-MATCH($B$1,[2]quests!$1:$1,0)+1),MATCH(C$1,[2]quests!$1:$1,0)-MATCH($B$1,[2]quests!$1:$1,0)+1,FALSE)</f>
        <v>オイラーチャレンジ</v>
      </c>
      <c r="D22" s="60" t="str">
        <f ca="1">VLOOKUP($B22,OFFSET([2]quests!$A$1,0,0,COUNTA([2]quests!$A:$A),MATCH(D$1,[2]quests!$1:$1,0)-MATCH($B$1,[2]quests!$1:$1,0)+1),MATCH(D$1,[2]quests!$1:$1,0)-MATCH($B$1,[2]quests!$1:$1,0)+1,FALSE)</f>
        <v>ランキング1（本番実装用）</v>
      </c>
      <c r="E22" s="64">
        <v>1</v>
      </c>
      <c r="F22" s="60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2" s="60" t="str">
        <f ca="1">VLOOKUP($B22&amp;"_"&amp;$E22,OFFSET([2]stages!$A$1,0,0,COUNTA([2]stages!$A:$A),MATCH(G$1,[2]stages!$2:$2,0)-MATCH("temp_stage",[2]stages!$2:$2,0)+1),MATCH(G$1,[2]stages!$2:$2,0)-MATCH("temp_stage",[2]stages!$2:$2,0)+1,FALSE)</f>
        <v>ランキング1（本番実装用）</v>
      </c>
      <c r="H22" s="62">
        <v>0</v>
      </c>
      <c r="I22">
        <v>25</v>
      </c>
      <c r="J22" s="61" t="s">
        <v>194</v>
      </c>
      <c r="K22" s="71" t="str">
        <f>VLOOKUP(I22,[6]stage_hints!$A:$C,3,FALSE)</f>
        <v>スキルレベルアップ</v>
      </c>
      <c r="L22" s="72" t="str">
        <f>VLOOKUP(I22,[6]stage_hints!$A:$D,4,FALSE)</f>
        <v>「クリスタルのりんご」を強化に使うと_x000D_スキルレベルを上げることができます</v>
      </c>
      <c r="M22" s="35" t="s">
        <v>205</v>
      </c>
    </row>
    <row r="23" spans="1:13" x14ac:dyDescent="0.15">
      <c r="A23" s="58" t="s">
        <v>195</v>
      </c>
      <c r="B23" s="59">
        <f>floors!$C$2</f>
        <v>60006</v>
      </c>
      <c r="C23" s="60" t="str">
        <f ca="1">VLOOKUP($B23,OFFSET([2]quests!$A$1,0,0,COUNTA([2]quests!$A:$A),MATCH(C$1,[2]quests!$1:$1,0)-MATCH($B$1,[2]quests!$1:$1,0)+1),MATCH(C$1,[2]quests!$1:$1,0)-MATCH($B$1,[2]quests!$1:$1,0)+1,FALSE)</f>
        <v>オイラーチャレンジ</v>
      </c>
      <c r="D23" s="60" t="str">
        <f ca="1">VLOOKUP($B23,OFFSET([2]quests!$A$1,0,0,COUNTA([2]quests!$A:$A),MATCH(D$1,[2]quests!$1:$1,0)-MATCH($B$1,[2]quests!$1:$1,0)+1),MATCH(D$1,[2]quests!$1:$1,0)-MATCH($B$1,[2]quests!$1:$1,0)+1,FALSE)</f>
        <v>ランキング1（本番実装用）</v>
      </c>
      <c r="E23" s="64">
        <v>1</v>
      </c>
      <c r="F23" s="60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3" s="60" t="str">
        <f ca="1">VLOOKUP($B23&amp;"_"&amp;$E23,OFFSET([2]stages!$A$1,0,0,COUNTA([2]stages!$A:$A),MATCH(G$1,[2]stages!$2:$2,0)-MATCH("temp_stage",[2]stages!$2:$2,0)+1),MATCH(G$1,[2]stages!$2:$2,0)-MATCH("temp_stage",[2]stages!$2:$2,0)+1,FALSE)</f>
        <v>ランキング1（本番実装用）</v>
      </c>
      <c r="H23" s="62">
        <v>0</v>
      </c>
      <c r="I23">
        <v>26</v>
      </c>
      <c r="J23" s="61" t="s">
        <v>194</v>
      </c>
      <c r="K23" s="71" t="str">
        <f>VLOOKUP(I23,[6]stage_hints!$A:$C,3,FALSE)</f>
        <v>スキルレベルの効果</v>
      </c>
      <c r="L23" s="72" t="str">
        <f>VLOOKUP(I23,[6]stage_hints!$A:$D,4,FALSE)</f>
        <v>スキルレベルが上がると_x000D_短いターンでスキルを使うことができます</v>
      </c>
      <c r="M23" s="35" t="s">
        <v>205</v>
      </c>
    </row>
    <row r="24" spans="1:13" x14ac:dyDescent="0.15">
      <c r="A24" s="58" t="s">
        <v>195</v>
      </c>
      <c r="B24" s="59">
        <f>floors!$C$2</f>
        <v>60006</v>
      </c>
      <c r="C24" s="60" t="str">
        <f ca="1">VLOOKUP($B24,OFFSET([2]quests!$A$1,0,0,COUNTA([2]quests!$A:$A),MATCH(C$1,[2]quests!$1:$1,0)-MATCH($B$1,[2]quests!$1:$1,0)+1),MATCH(C$1,[2]quests!$1:$1,0)-MATCH($B$1,[2]quests!$1:$1,0)+1,FALSE)</f>
        <v>オイラーチャレンジ</v>
      </c>
      <c r="D24" s="60" t="str">
        <f ca="1">VLOOKUP($B24,OFFSET([2]quests!$A$1,0,0,COUNTA([2]quests!$A:$A),MATCH(D$1,[2]quests!$1:$1,0)-MATCH($B$1,[2]quests!$1:$1,0)+1),MATCH(D$1,[2]quests!$1:$1,0)-MATCH($B$1,[2]quests!$1:$1,0)+1,FALSE)</f>
        <v>ランキング1（本番実装用）</v>
      </c>
      <c r="E24" s="64">
        <v>1</v>
      </c>
      <c r="F24" s="60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4" s="60" t="str">
        <f ca="1">VLOOKUP($B24&amp;"_"&amp;$E24,OFFSET([2]stages!$A$1,0,0,COUNTA([2]stages!$A:$A),MATCH(G$1,[2]stages!$2:$2,0)-MATCH("temp_stage",[2]stages!$2:$2,0)+1),MATCH(G$1,[2]stages!$2:$2,0)-MATCH("temp_stage",[2]stages!$2:$2,0)+1,FALSE)</f>
        <v>ランキング1（本番実装用）</v>
      </c>
      <c r="H24" s="62">
        <v>0</v>
      </c>
      <c r="I24">
        <v>27</v>
      </c>
      <c r="J24" s="61" t="s">
        <v>194</v>
      </c>
      <c r="K24" s="71" t="str">
        <f>VLOOKUP(I24,[6]stage_hints!$A:$C,3,FALSE)</f>
        <v>ホーム画面からデッキを編成</v>
      </c>
      <c r="L24" s="72" t="str">
        <f>VLOOKUP(I24,[6]stage_hints!$A:$D,4,FALSE)</f>
        <v>ホーム画面でユニットを長押しすると_x000D_すぐにパーティ編成に移動できます</v>
      </c>
      <c r="M24" s="35" t="s">
        <v>205</v>
      </c>
    </row>
    <row r="25" spans="1:13" x14ac:dyDescent="0.15">
      <c r="A25" s="58" t="s">
        <v>195</v>
      </c>
      <c r="B25" s="59">
        <f>floors!$C$2</f>
        <v>60006</v>
      </c>
      <c r="C25" s="60" t="str">
        <f ca="1">VLOOKUP($B25,OFFSET([2]quests!$A$1,0,0,COUNTA([2]quests!$A:$A),MATCH(C$1,[2]quests!$1:$1,0)-MATCH($B$1,[2]quests!$1:$1,0)+1),MATCH(C$1,[2]quests!$1:$1,0)-MATCH($B$1,[2]quests!$1:$1,0)+1,FALSE)</f>
        <v>オイラーチャレンジ</v>
      </c>
      <c r="D25" s="60" t="str">
        <f ca="1">VLOOKUP($B25,OFFSET([2]quests!$A$1,0,0,COUNTA([2]quests!$A:$A),MATCH(D$1,[2]quests!$1:$1,0)-MATCH($B$1,[2]quests!$1:$1,0)+1),MATCH(D$1,[2]quests!$1:$1,0)-MATCH($B$1,[2]quests!$1:$1,0)+1,FALSE)</f>
        <v>ランキング1（本番実装用）</v>
      </c>
      <c r="E25" s="64">
        <v>1</v>
      </c>
      <c r="F25" s="60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5" s="60" t="str">
        <f ca="1">VLOOKUP($B25&amp;"_"&amp;$E25,OFFSET([2]stages!$A$1,0,0,COUNTA([2]stages!$A:$A),MATCH(G$1,[2]stages!$2:$2,0)-MATCH("temp_stage",[2]stages!$2:$2,0)+1),MATCH(G$1,[2]stages!$2:$2,0)-MATCH("temp_stage",[2]stages!$2:$2,0)+1,FALSE)</f>
        <v>ランキング1（本番実装用）</v>
      </c>
      <c r="H25" s="62">
        <v>0</v>
      </c>
      <c r="I25">
        <v>28</v>
      </c>
      <c r="J25" s="61" t="s">
        <v>194</v>
      </c>
      <c r="K25" s="71" t="str">
        <f>VLOOKUP(I25,[6]stage_hints!$A:$C,3,FALSE)</f>
        <v>ステータス情報は長押しで</v>
      </c>
      <c r="L25" s="72" t="str">
        <f>VLOOKUP(I25,[6]stage_hints!$A:$D,4,FALSE)</f>
        <v>ユニットのアイコンを長押しすると_x000D_ステータス情報を確認することができます</v>
      </c>
      <c r="M25" s="35" t="s">
        <v>205</v>
      </c>
    </row>
    <row r="26" spans="1:13" x14ac:dyDescent="0.15">
      <c r="A26" s="58" t="s">
        <v>195</v>
      </c>
      <c r="B26" s="59">
        <f>floors!$C$2</f>
        <v>60006</v>
      </c>
      <c r="C26" s="60" t="str">
        <f ca="1">VLOOKUP($B26,OFFSET([2]quests!$A$1,0,0,COUNTA([2]quests!$A:$A),MATCH(C$1,[2]quests!$1:$1,0)-MATCH($B$1,[2]quests!$1:$1,0)+1),MATCH(C$1,[2]quests!$1:$1,0)-MATCH($B$1,[2]quests!$1:$1,0)+1,FALSE)</f>
        <v>オイラーチャレンジ</v>
      </c>
      <c r="D26" s="60" t="str">
        <f ca="1">VLOOKUP($B26,OFFSET([2]quests!$A$1,0,0,COUNTA([2]quests!$A:$A),MATCH(D$1,[2]quests!$1:$1,0)-MATCH($B$1,[2]quests!$1:$1,0)+1),MATCH(D$1,[2]quests!$1:$1,0)-MATCH($B$1,[2]quests!$1:$1,0)+1,FALSE)</f>
        <v>ランキング1（本番実装用）</v>
      </c>
      <c r="E26" s="64">
        <v>1</v>
      </c>
      <c r="F26" s="60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6" s="60" t="str">
        <f ca="1">VLOOKUP($B26&amp;"_"&amp;$E26,OFFSET([2]stages!$A$1,0,0,COUNTA([2]stages!$A:$A),MATCH(G$1,[2]stages!$2:$2,0)-MATCH("temp_stage",[2]stages!$2:$2,0)+1),MATCH(G$1,[2]stages!$2:$2,0)-MATCH("temp_stage",[2]stages!$2:$2,0)+1,FALSE)</f>
        <v>ランキング1（本番実装用）</v>
      </c>
      <c r="H26" s="62">
        <v>0</v>
      </c>
      <c r="I26">
        <v>29</v>
      </c>
      <c r="J26" s="61" t="s">
        <v>194</v>
      </c>
      <c r="K26" s="71" t="str">
        <f>VLOOKUP(I26,[6]stage_hints!$A:$C,3,FALSE)</f>
        <v>「バグ」のメリット</v>
      </c>
      <c r="L26" s="72" t="str">
        <f>VLOOKUP(I26,[6]stage_hints!$A:$D,4,FALSE)</f>
        <v>ユニットの「バグ」を増やすと_x000D_報酬をもらえる確率がアップします</v>
      </c>
      <c r="M26" s="35" t="s">
        <v>205</v>
      </c>
    </row>
    <row r="27" spans="1:13" x14ac:dyDescent="0.15">
      <c r="A27" s="58" t="s">
        <v>195</v>
      </c>
      <c r="B27" s="59">
        <f>floors!$C$2</f>
        <v>60006</v>
      </c>
      <c r="C27" s="60" t="str">
        <f ca="1">VLOOKUP($B27,OFFSET([2]quests!$A$1,0,0,COUNTA([2]quests!$A:$A),MATCH(C$1,[2]quests!$1:$1,0)-MATCH($B$1,[2]quests!$1:$1,0)+1),MATCH(C$1,[2]quests!$1:$1,0)-MATCH($B$1,[2]quests!$1:$1,0)+1,FALSE)</f>
        <v>オイラーチャレンジ</v>
      </c>
      <c r="D27" s="60" t="str">
        <f ca="1">VLOOKUP($B27,OFFSET([2]quests!$A$1,0,0,COUNTA([2]quests!$A:$A),MATCH(D$1,[2]quests!$1:$1,0)-MATCH($B$1,[2]quests!$1:$1,0)+1),MATCH(D$1,[2]quests!$1:$1,0)-MATCH($B$1,[2]quests!$1:$1,0)+1,FALSE)</f>
        <v>ランキング1（本番実装用）</v>
      </c>
      <c r="E27" s="64">
        <v>1</v>
      </c>
      <c r="F27" s="60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7" s="60" t="str">
        <f ca="1">VLOOKUP($B27&amp;"_"&amp;$E27,OFFSET([2]stages!$A$1,0,0,COUNTA([2]stages!$A:$A),MATCH(G$1,[2]stages!$2:$2,0)-MATCH("temp_stage",[2]stages!$2:$2,0)+1),MATCH(G$1,[2]stages!$2:$2,0)-MATCH("temp_stage",[2]stages!$2:$2,0)+1,FALSE)</f>
        <v>ランキング1（本番実装用）</v>
      </c>
      <c r="H27" s="62">
        <v>0</v>
      </c>
      <c r="I27">
        <v>30</v>
      </c>
      <c r="J27" s="61" t="s">
        <v>194</v>
      </c>
      <c r="K27" s="71" t="str">
        <f>VLOOKUP(I27,[6]stage_hints!$A:$C,3,FALSE)</f>
        <v>「バグ」の増やし方</v>
      </c>
      <c r="L27" s="72" t="str">
        <f>VLOOKUP(I27,[6]stage_hints!$A:$D,4,FALSE)</f>
        <v>同じユニット同士を強化で合成すると_x000D_「バグ」を増やすことができます</v>
      </c>
      <c r="M27" s="35" t="s">
        <v>205</v>
      </c>
    </row>
    <row r="28" spans="1:13" x14ac:dyDescent="0.15">
      <c r="A28" s="58" t="s">
        <v>195</v>
      </c>
      <c r="B28" s="59">
        <f>floors!$C$2</f>
        <v>60006</v>
      </c>
      <c r="C28" s="60" t="str">
        <f ca="1">VLOOKUP($B28,OFFSET([2]quests!$A$1,0,0,COUNTA([2]quests!$A:$A),MATCH(C$1,[2]quests!$1:$1,0)-MATCH($B$1,[2]quests!$1:$1,0)+1),MATCH(C$1,[2]quests!$1:$1,0)-MATCH($B$1,[2]quests!$1:$1,0)+1,FALSE)</f>
        <v>オイラーチャレンジ</v>
      </c>
      <c r="D28" s="60" t="str">
        <f ca="1">VLOOKUP($B28,OFFSET([2]quests!$A$1,0,0,COUNTA([2]quests!$A:$A),MATCH(D$1,[2]quests!$1:$1,0)-MATCH($B$1,[2]quests!$1:$1,0)+1),MATCH(D$1,[2]quests!$1:$1,0)-MATCH($B$1,[2]quests!$1:$1,0)+1,FALSE)</f>
        <v>ランキング1（本番実装用）</v>
      </c>
      <c r="E28" s="64">
        <v>1</v>
      </c>
      <c r="F28" s="60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8" s="60" t="str">
        <f ca="1">VLOOKUP($B28&amp;"_"&amp;$E28,OFFSET([2]stages!$A$1,0,0,COUNTA([2]stages!$A:$A),MATCH(G$1,[2]stages!$2:$2,0)-MATCH("temp_stage",[2]stages!$2:$2,0)+1),MATCH(G$1,[2]stages!$2:$2,0)-MATCH("temp_stage",[2]stages!$2:$2,0)+1,FALSE)</f>
        <v>ランキング1（本番実装用）</v>
      </c>
      <c r="H28" s="62">
        <v>0</v>
      </c>
      <c r="I28">
        <v>31</v>
      </c>
      <c r="J28" s="61" t="s">
        <v>194</v>
      </c>
      <c r="K28" s="71" t="str">
        <f>VLOOKUP(I28,[6]stage_hints!$A:$C,3,FALSE)</f>
        <v>イベントはお知らせでチェック</v>
      </c>
      <c r="L28" s="72" t="str">
        <f>VLOOKUP(I28,[6]stage_hints!$A:$D,4,FALSE)</f>
        <v>イベント限定ユニットを取り忘れないように_x000D_お知らせをこまめにチェックしましょう</v>
      </c>
      <c r="M28" s="35" t="s">
        <v>205</v>
      </c>
    </row>
    <row r="29" spans="1:13" x14ac:dyDescent="0.15">
      <c r="A29" s="58" t="s">
        <v>195</v>
      </c>
      <c r="B29" s="59">
        <f>floors!$C$2</f>
        <v>60006</v>
      </c>
      <c r="C29" s="60" t="str">
        <f ca="1">VLOOKUP($B29,OFFSET([2]quests!$A$1,0,0,COUNTA([2]quests!$A:$A),MATCH(C$1,[2]quests!$1:$1,0)-MATCH($B$1,[2]quests!$1:$1,0)+1),MATCH(C$1,[2]quests!$1:$1,0)-MATCH($B$1,[2]quests!$1:$1,0)+1,FALSE)</f>
        <v>オイラーチャレンジ</v>
      </c>
      <c r="D29" s="60" t="str">
        <f ca="1">VLOOKUP($B29,OFFSET([2]quests!$A$1,0,0,COUNTA([2]quests!$A:$A),MATCH(D$1,[2]quests!$1:$1,0)-MATCH($B$1,[2]quests!$1:$1,0)+1),MATCH(D$1,[2]quests!$1:$1,0)-MATCH($B$1,[2]quests!$1:$1,0)+1,FALSE)</f>
        <v>ランキング1（本番実装用）</v>
      </c>
      <c r="E29" s="64">
        <v>1</v>
      </c>
      <c r="F29" s="60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29" s="60" t="str">
        <f ca="1">VLOOKUP($B29&amp;"_"&amp;$E29,OFFSET([2]stages!$A$1,0,0,COUNTA([2]stages!$A:$A),MATCH(G$1,[2]stages!$2:$2,0)-MATCH("temp_stage",[2]stages!$2:$2,0)+1),MATCH(G$1,[2]stages!$2:$2,0)-MATCH("temp_stage",[2]stages!$2:$2,0)+1,FALSE)</f>
        <v>ランキング1（本番実装用）</v>
      </c>
      <c r="H29" s="62">
        <v>0</v>
      </c>
      <c r="I29">
        <v>32</v>
      </c>
      <c r="J29" s="61" t="s">
        <v>194</v>
      </c>
      <c r="K29" s="71" t="str">
        <f>VLOOKUP(I29,[6]stage_hints!$A:$C,3,FALSE)</f>
        <v>敵の連続攻撃には</v>
      </c>
      <c r="L29" s="72" t="str">
        <f>VLOOKUP(I29,[6]stage_hints!$A:$D,4,FALSE)</f>
        <v>カウンタースキルを持つユニットがいれば_x000D_ダメージ回数分の反撃ができます</v>
      </c>
      <c r="M29" s="35" t="s">
        <v>205</v>
      </c>
    </row>
    <row r="30" spans="1:13" x14ac:dyDescent="0.15">
      <c r="A30" s="58" t="s">
        <v>195</v>
      </c>
      <c r="B30" s="59">
        <f>floors!$C$2</f>
        <v>60006</v>
      </c>
      <c r="C30" s="60" t="str">
        <f ca="1">VLOOKUP($B30,OFFSET([2]quests!$A$1,0,0,COUNTA([2]quests!$A:$A),MATCH(C$1,[2]quests!$1:$1,0)-MATCH($B$1,[2]quests!$1:$1,0)+1),MATCH(C$1,[2]quests!$1:$1,0)-MATCH($B$1,[2]quests!$1:$1,0)+1,FALSE)</f>
        <v>オイラーチャレンジ</v>
      </c>
      <c r="D30" s="60" t="str">
        <f ca="1">VLOOKUP($B30,OFFSET([2]quests!$A$1,0,0,COUNTA([2]quests!$A:$A),MATCH(D$1,[2]quests!$1:$1,0)-MATCH($B$1,[2]quests!$1:$1,0)+1),MATCH(D$1,[2]quests!$1:$1,0)-MATCH($B$1,[2]quests!$1:$1,0)+1,FALSE)</f>
        <v>ランキング1（本番実装用）</v>
      </c>
      <c r="E30" s="64">
        <v>1</v>
      </c>
      <c r="F30" s="60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30" s="60" t="str">
        <f ca="1">VLOOKUP($B30&amp;"_"&amp;$E30,OFFSET([2]stages!$A$1,0,0,COUNTA([2]stages!$A:$A),MATCH(G$1,[2]stages!$2:$2,0)-MATCH("temp_stage",[2]stages!$2:$2,0)+1),MATCH(G$1,[2]stages!$2:$2,0)-MATCH("temp_stage",[2]stages!$2:$2,0)+1,FALSE)</f>
        <v>ランキング1（本番実装用）</v>
      </c>
      <c r="H30" s="62">
        <v>0</v>
      </c>
      <c r="I30">
        <v>33</v>
      </c>
      <c r="J30" s="61" t="s">
        <v>194</v>
      </c>
      <c r="K30" s="71" t="str">
        <f>VLOOKUP(I30,[6]stage_hints!$A:$C,3,FALSE)</f>
        <v>敵のカウンター攻撃には</v>
      </c>
      <c r="L30" s="72" t="str">
        <f>VLOOKUP(I30,[6]stage_hints!$A:$D,4,FALSE)</f>
        <v>カウンターブレイクスキルを持っていれば_x000D_敵のカウンターを解除して攻撃ができます</v>
      </c>
      <c r="M30" s="35" t="s">
        <v>205</v>
      </c>
    </row>
    <row r="31" spans="1:13" x14ac:dyDescent="0.15">
      <c r="A31" s="58" t="s">
        <v>195</v>
      </c>
      <c r="B31" s="59">
        <f>floors!$C$2</f>
        <v>60006</v>
      </c>
      <c r="C31" s="60" t="str">
        <f ca="1">VLOOKUP($B31,OFFSET([2]quests!$A$1,0,0,COUNTA([2]quests!$A:$A),MATCH(C$1,[2]quests!$1:$1,0)-MATCH($B$1,[2]quests!$1:$1,0)+1),MATCH(C$1,[2]quests!$1:$1,0)-MATCH($B$1,[2]quests!$1:$1,0)+1,FALSE)</f>
        <v>オイラーチャレンジ</v>
      </c>
      <c r="D31" s="60" t="str">
        <f ca="1">VLOOKUP($B31,OFFSET([2]quests!$A$1,0,0,COUNTA([2]quests!$A:$A),MATCH(D$1,[2]quests!$1:$1,0)-MATCH($B$1,[2]quests!$1:$1,0)+1),MATCH(D$1,[2]quests!$1:$1,0)-MATCH($B$1,[2]quests!$1:$1,0)+1,FALSE)</f>
        <v>ランキング1（本番実装用）</v>
      </c>
      <c r="E31" s="64">
        <v>1</v>
      </c>
      <c r="F31" s="60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31" s="60" t="str">
        <f ca="1">VLOOKUP($B31&amp;"_"&amp;$E31,OFFSET([2]stages!$A$1,0,0,COUNTA([2]stages!$A:$A),MATCH(G$1,[2]stages!$2:$2,0)-MATCH("temp_stage",[2]stages!$2:$2,0)+1),MATCH(G$1,[2]stages!$2:$2,0)-MATCH("temp_stage",[2]stages!$2:$2,0)+1,FALSE)</f>
        <v>ランキング1（本番実装用）</v>
      </c>
      <c r="H31" s="62">
        <v>0</v>
      </c>
      <c r="I31">
        <v>34</v>
      </c>
      <c r="J31" s="61" t="s">
        <v>194</v>
      </c>
      <c r="K31" s="71" t="str">
        <f>VLOOKUP(I31,[6]stage_hints!$A:$C,3,FALSE)</f>
        <v>ステータスをスキルで下げられたら</v>
      </c>
      <c r="L31" s="72" t="str">
        <f>VLOOKUP(I31,[6]stage_hints!$A:$D,4,FALSE)</f>
        <v>ステータスダウンのスキルを受けたら_x000D_ステータスアップスキルで上書きしましょう</v>
      </c>
      <c r="M31" s="35" t="s">
        <v>205</v>
      </c>
    </row>
    <row r="32" spans="1:13" x14ac:dyDescent="0.15">
      <c r="A32" s="58" t="s">
        <v>195</v>
      </c>
      <c r="B32" s="59">
        <f>floors!$C$2</f>
        <v>60006</v>
      </c>
      <c r="C32" s="60" t="str">
        <f ca="1">VLOOKUP($B32,OFFSET([2]quests!$A$1,0,0,COUNTA([2]quests!$A:$A),MATCH(C$1,[2]quests!$1:$1,0)-MATCH($B$1,[2]quests!$1:$1,0)+1),MATCH(C$1,[2]quests!$1:$1,0)-MATCH($B$1,[2]quests!$1:$1,0)+1,FALSE)</f>
        <v>オイラーチャレンジ</v>
      </c>
      <c r="D32" s="60" t="str">
        <f ca="1">VLOOKUP($B32,OFFSET([2]quests!$A$1,0,0,COUNTA([2]quests!$A:$A),MATCH(D$1,[2]quests!$1:$1,0)-MATCH($B$1,[2]quests!$1:$1,0)+1),MATCH(D$1,[2]quests!$1:$1,0)-MATCH($B$1,[2]quests!$1:$1,0)+1,FALSE)</f>
        <v>ランキング1（本番実装用）</v>
      </c>
      <c r="E32" s="64">
        <v>1</v>
      </c>
      <c r="F32" s="60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32" s="60" t="str">
        <f ca="1">VLOOKUP($B32&amp;"_"&amp;$E32,OFFSET([2]stages!$A$1,0,0,COUNTA([2]stages!$A:$A),MATCH(G$1,[2]stages!$2:$2,0)-MATCH("temp_stage",[2]stages!$2:$2,0)+1),MATCH(G$1,[2]stages!$2:$2,0)-MATCH("temp_stage",[2]stages!$2:$2,0)+1,FALSE)</f>
        <v>ランキング1（本番実装用）</v>
      </c>
      <c r="H32" s="62">
        <v>0</v>
      </c>
      <c r="I32">
        <v>35</v>
      </c>
      <c r="J32" s="61" t="s">
        <v>194</v>
      </c>
      <c r="K32" s="71" t="str">
        <f>VLOOKUP(I32,[6]stage_hints!$A:$C,3,FALSE)</f>
        <v>敵のステータスがスキルで上がったら</v>
      </c>
      <c r="L32" s="72" t="str">
        <f>VLOOKUP(I32,[6]stage_hints!$A:$D,4,FALSE)</f>
        <v>敵のステータスがスキルでアップしたときは_x000D_ステータスダウンスキルで上書きしましょう</v>
      </c>
      <c r="M32" s="35" t="s">
        <v>205</v>
      </c>
    </row>
    <row r="33" spans="1:13" x14ac:dyDescent="0.15">
      <c r="A33" s="58" t="s">
        <v>195</v>
      </c>
      <c r="B33" s="59">
        <f>floors!$C$2</f>
        <v>60006</v>
      </c>
      <c r="C33" s="60" t="str">
        <f ca="1">VLOOKUP($B33,OFFSET([2]quests!$A$1,0,0,COUNTA([2]quests!$A:$A),MATCH(C$1,[2]quests!$1:$1,0)-MATCH($B$1,[2]quests!$1:$1,0)+1),MATCH(C$1,[2]quests!$1:$1,0)-MATCH($B$1,[2]quests!$1:$1,0)+1,FALSE)</f>
        <v>オイラーチャレンジ</v>
      </c>
      <c r="D33" s="60" t="str">
        <f ca="1">VLOOKUP($B33,OFFSET([2]quests!$A$1,0,0,COUNTA([2]quests!$A:$A),MATCH(D$1,[2]quests!$1:$1,0)-MATCH($B$1,[2]quests!$1:$1,0)+1),MATCH(D$1,[2]quests!$1:$1,0)-MATCH($B$1,[2]quests!$1:$1,0)+1,FALSE)</f>
        <v>ランキング1（本番実装用）</v>
      </c>
      <c r="E33" s="64">
        <v>1</v>
      </c>
      <c r="F33" s="60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33" s="60" t="str">
        <f ca="1">VLOOKUP($B33&amp;"_"&amp;$E33,OFFSET([2]stages!$A$1,0,0,COUNTA([2]stages!$A:$A),MATCH(G$1,[2]stages!$2:$2,0)-MATCH("temp_stage",[2]stages!$2:$2,0)+1),MATCH(G$1,[2]stages!$2:$2,0)-MATCH("temp_stage",[2]stages!$2:$2,0)+1,FALSE)</f>
        <v>ランキング1（本番実装用）</v>
      </c>
      <c r="H33" s="62">
        <v>0</v>
      </c>
      <c r="I33">
        <v>39</v>
      </c>
      <c r="J33" s="61" t="s">
        <v>194</v>
      </c>
      <c r="K33" s="71" t="str">
        <f>VLOOKUP(I33,[6]stage_hints!$A:$C,3,FALSE)</f>
        <v>システム適合者を確認</v>
      </c>
      <c r="L33" s="72" t="str">
        <f>VLOOKUP(I33,[6]stage_hints!$A:$D,4,FALSE)</f>
        <v>ALICEが「アナタ」を呼んでいます</v>
      </c>
      <c r="M33" s="35" t="s">
        <v>205</v>
      </c>
    </row>
    <row r="34" spans="1:13" x14ac:dyDescent="0.15">
      <c r="A34" s="58" t="s">
        <v>195</v>
      </c>
      <c r="B34" s="59">
        <f>floors!$C$2</f>
        <v>60006</v>
      </c>
      <c r="C34" s="60" t="str">
        <f ca="1">VLOOKUP($B34,OFFSET([2]quests!$A$1,0,0,COUNTA([2]quests!$A:$A),MATCH(C$1,[2]quests!$1:$1,0)-MATCH($B$1,[2]quests!$1:$1,0)+1),MATCH(C$1,[2]quests!$1:$1,0)-MATCH($B$1,[2]quests!$1:$1,0)+1,FALSE)</f>
        <v>オイラーチャレンジ</v>
      </c>
      <c r="D34" s="60" t="str">
        <f ca="1">VLOOKUP($B34,OFFSET([2]quests!$A$1,0,0,COUNTA([2]quests!$A:$A),MATCH(D$1,[2]quests!$1:$1,0)-MATCH($B$1,[2]quests!$1:$1,0)+1),MATCH(D$1,[2]quests!$1:$1,0)-MATCH($B$1,[2]quests!$1:$1,0)+1,FALSE)</f>
        <v>ランキング1（本番実装用）</v>
      </c>
      <c r="E34" s="64">
        <v>2</v>
      </c>
      <c r="F34" s="60" t="str">
        <f ca="1">VLOOKUP($B34&amp;"_"&amp;$E34,OFFSET([2]stages!$A$1,0,0,COUNTA([2]stages!$A:$A),MATCH(F$1,[2]stages!$2:$2,0)-MATCH("temp_stage",[2]stages!$2:$2,0)+1),MATCH(F$1,[2]stages!$2:$2,0)-MATCH("temp_stage",[2]stages!$2:$2,0)+1,FALSE)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4" s="60" t="str">
        <f ca="1">VLOOKUP($B34&amp;"_"&amp;$E34,OFFSET([2]stages!$A$1,0,0,COUNTA([2]stages!$A:$A),MATCH(G$1,[2]stages!$2:$2,0)-MATCH("temp_stage",[2]stages!$2:$2,0)+1),MATCH(G$1,[2]stages!$2:$2,0)-MATCH("temp_stage",[2]stages!$2:$2,0)+1,FALSE)</f>
        <v>ランキング1（本番実装用）</v>
      </c>
      <c r="H34" s="62">
        <v>0</v>
      </c>
      <c r="I34">
        <v>12</v>
      </c>
      <c r="J34" s="61" t="s">
        <v>194</v>
      </c>
      <c r="K34" s="71" t="str">
        <f>VLOOKUP(I34,[6]stage_hints!$A:$C,3,FALSE)</f>
        <v>ユニットのお気に入り登録</v>
      </c>
      <c r="L34" s="72" t="str">
        <f>VLOOKUP(I34,[6]stage_hints!$A:$D,4,FALSE)</f>
        <v>大事なユニットを誤って消さないように_x000D_フォルダから「お気に入り登録」しましょう</v>
      </c>
      <c r="M34" s="35" t="s">
        <v>205</v>
      </c>
    </row>
    <row r="35" spans="1:13" x14ac:dyDescent="0.15">
      <c r="A35" s="58" t="s">
        <v>195</v>
      </c>
      <c r="B35" s="59">
        <f>floors!$C$2</f>
        <v>60006</v>
      </c>
      <c r="C35" s="60" t="str">
        <f ca="1">VLOOKUP($B35,OFFSET([2]quests!$A$1,0,0,COUNTA([2]quests!$A:$A),MATCH(C$1,[2]quests!$1:$1,0)-MATCH($B$1,[2]quests!$1:$1,0)+1),MATCH(C$1,[2]quests!$1:$1,0)-MATCH($B$1,[2]quests!$1:$1,0)+1,FALSE)</f>
        <v>オイラーチャレンジ</v>
      </c>
      <c r="D35" s="60" t="str">
        <f ca="1">VLOOKUP($B35,OFFSET([2]quests!$A$1,0,0,COUNTA([2]quests!$A:$A),MATCH(D$1,[2]quests!$1:$1,0)-MATCH($B$1,[2]quests!$1:$1,0)+1),MATCH(D$1,[2]quests!$1:$1,0)-MATCH($B$1,[2]quests!$1:$1,0)+1,FALSE)</f>
        <v>ランキング1（本番実装用）</v>
      </c>
      <c r="E35" s="64">
        <v>2</v>
      </c>
      <c r="F35" s="60" t="str">
        <f ca="1">VLOOKUP($B35&amp;"_"&amp;$E35,OFFSET([2]stages!$A$1,0,0,COUNTA([2]stages!$A:$A),MATCH(F$1,[2]stages!$2:$2,0)-MATCH("temp_stage",[2]stages!$2:$2,0)+1),MATCH(F$1,[2]stages!$2:$2,0)-MATCH("temp_stage",[2]stages!$2:$2,0)+1,FALSE)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5" s="60" t="str">
        <f ca="1">VLOOKUP($B35&amp;"_"&amp;$E35,OFFSET([2]stages!$A$1,0,0,COUNTA([2]stages!$A:$A),MATCH(G$1,[2]stages!$2:$2,0)-MATCH("temp_stage",[2]stages!$2:$2,0)+1),MATCH(G$1,[2]stages!$2:$2,0)-MATCH("temp_stage",[2]stages!$2:$2,0)+1,FALSE)</f>
        <v>ランキング1（本番実装用）</v>
      </c>
      <c r="H35" s="62">
        <v>0</v>
      </c>
      <c r="I35">
        <v>17</v>
      </c>
      <c r="J35" s="61" t="s">
        <v>194</v>
      </c>
      <c r="K35" s="71" t="str">
        <f>VLOOKUP(I35,[6]stage_hints!$A:$C,3,FALSE)</f>
        <v>リンクガチャ</v>
      </c>
      <c r="L35" s="72" t="str">
        <f>VLOOKUP(I35,[6]stage_hints!$A:$D,4,FALSE)</f>
        <v>無料のリンクガチャを回して_x000D_経験値素材や売却素材を獲得しましょう</v>
      </c>
      <c r="M35" s="35" t="s">
        <v>205</v>
      </c>
    </row>
    <row r="36" spans="1:13" x14ac:dyDescent="0.15">
      <c r="A36" s="58" t="s">
        <v>195</v>
      </c>
      <c r="B36" s="59">
        <f>floors!$C$2</f>
        <v>60006</v>
      </c>
      <c r="C36" s="60" t="str">
        <f ca="1">VLOOKUP($B36,OFFSET([2]quests!$A$1,0,0,COUNTA([2]quests!$A:$A),MATCH(C$1,[2]quests!$1:$1,0)-MATCH($B$1,[2]quests!$1:$1,0)+1),MATCH(C$1,[2]quests!$1:$1,0)-MATCH($B$1,[2]quests!$1:$1,0)+1,FALSE)</f>
        <v>オイラーチャレンジ</v>
      </c>
      <c r="D36" s="60" t="str">
        <f ca="1">VLOOKUP($B36,OFFSET([2]quests!$A$1,0,0,COUNTA([2]quests!$A:$A),MATCH(D$1,[2]quests!$1:$1,0)-MATCH($B$1,[2]quests!$1:$1,0)+1),MATCH(D$1,[2]quests!$1:$1,0)-MATCH($B$1,[2]quests!$1:$1,0)+1,FALSE)</f>
        <v>ランキング1（本番実装用）</v>
      </c>
      <c r="E36" s="64">
        <v>2</v>
      </c>
      <c r="F36" s="60" t="str">
        <f ca="1">VLOOKUP($B36&amp;"_"&amp;$E36,OFFSET([2]stages!$A$1,0,0,COUNTA([2]stages!$A:$A),MATCH(F$1,[2]stages!$2:$2,0)-MATCH("temp_stage",[2]stages!$2:$2,0)+1),MATCH(F$1,[2]stages!$2:$2,0)-MATCH("temp_stage",[2]stages!$2:$2,0)+1,FALSE)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6" s="60" t="str">
        <f ca="1">VLOOKUP($B36&amp;"_"&amp;$E36,OFFSET([2]stages!$A$1,0,0,COUNTA([2]stages!$A:$A),MATCH(G$1,[2]stages!$2:$2,0)-MATCH("temp_stage",[2]stages!$2:$2,0)+1),MATCH(G$1,[2]stages!$2:$2,0)-MATCH("temp_stage",[2]stages!$2:$2,0)+1,FALSE)</f>
        <v>ランキング1（本番実装用）</v>
      </c>
      <c r="H36" s="62">
        <v>0</v>
      </c>
      <c r="I36">
        <v>19</v>
      </c>
      <c r="J36" s="61" t="s">
        <v>194</v>
      </c>
      <c r="K36" s="71" t="str">
        <f>VLOOKUP(I36,[6]stage_hints!$A:$C,3,FALSE)</f>
        <v>ソロ専用チャレンジタワー</v>
      </c>
      <c r="L36" s="72" t="str">
        <f>VLOOKUP(I36,[6]stage_hints!$A:$D,4,FALSE)</f>
        <v>ソロ専用の「チャレンジタワー」では_x000D_各フロアごとにクリア報酬がもらえます</v>
      </c>
      <c r="M36" s="35" t="s">
        <v>205</v>
      </c>
    </row>
    <row r="37" spans="1:13" x14ac:dyDescent="0.15">
      <c r="A37" s="58" t="s">
        <v>195</v>
      </c>
      <c r="B37" s="59">
        <f>floors!$C$2</f>
        <v>60006</v>
      </c>
      <c r="C37" s="60" t="str">
        <f ca="1">VLOOKUP($B37,OFFSET([2]quests!$A$1,0,0,COUNTA([2]quests!$A:$A),MATCH(C$1,[2]quests!$1:$1,0)-MATCH($B$1,[2]quests!$1:$1,0)+1),MATCH(C$1,[2]quests!$1:$1,0)-MATCH($B$1,[2]quests!$1:$1,0)+1,FALSE)</f>
        <v>オイラーチャレンジ</v>
      </c>
      <c r="D37" s="60" t="str">
        <f ca="1">VLOOKUP($B37,OFFSET([2]quests!$A$1,0,0,COUNTA([2]quests!$A:$A),MATCH(D$1,[2]quests!$1:$1,0)-MATCH($B$1,[2]quests!$1:$1,0)+1),MATCH(D$1,[2]quests!$1:$1,0)-MATCH($B$1,[2]quests!$1:$1,0)+1,FALSE)</f>
        <v>ランキング1（本番実装用）</v>
      </c>
      <c r="E37" s="64">
        <v>2</v>
      </c>
      <c r="F37" s="60" t="str">
        <f ca="1">VLOOKUP($B37&amp;"_"&amp;$E37,OFFSET([2]stages!$A$1,0,0,COUNTA([2]stages!$A:$A),MATCH(F$1,[2]stages!$2:$2,0)-MATCH("temp_stage",[2]stages!$2:$2,0)+1),MATCH(F$1,[2]stages!$2:$2,0)-MATCH("temp_stage",[2]stages!$2:$2,0)+1,FALSE)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7" s="60" t="str">
        <f ca="1">VLOOKUP($B37&amp;"_"&amp;$E37,OFFSET([2]stages!$A$1,0,0,COUNTA([2]stages!$A:$A),MATCH(G$1,[2]stages!$2:$2,0)-MATCH("temp_stage",[2]stages!$2:$2,0)+1),MATCH(G$1,[2]stages!$2:$2,0)-MATCH("temp_stage",[2]stages!$2:$2,0)+1,FALSE)</f>
        <v>ランキング1（本番実装用）</v>
      </c>
      <c r="H37" s="62">
        <v>0</v>
      </c>
      <c r="I37">
        <v>21</v>
      </c>
      <c r="J37" s="61" t="s">
        <v>194</v>
      </c>
      <c r="K37" s="71" t="str">
        <f>VLOOKUP(I37,[6]stage_hints!$A:$C,3,FALSE)</f>
        <v>スキルを有効に</v>
      </c>
      <c r="L37" s="72" t="str">
        <f>VLOOKUP(I37,[6]stage_hints!$A:$D,4,FALSE)</f>
        <v>ターン経過でユニットのスキルが使えます_x000D_強力スキルでバトルを有利に進めましょう</v>
      </c>
      <c r="M37" s="35" t="s">
        <v>205</v>
      </c>
    </row>
    <row r="38" spans="1:13" x14ac:dyDescent="0.15">
      <c r="A38" s="58" t="s">
        <v>195</v>
      </c>
      <c r="B38" s="59">
        <f>floors!$C$2</f>
        <v>60006</v>
      </c>
      <c r="C38" s="60" t="str">
        <f ca="1">VLOOKUP($B38,OFFSET([2]quests!$A$1,0,0,COUNTA([2]quests!$A:$A),MATCH(C$1,[2]quests!$1:$1,0)-MATCH($B$1,[2]quests!$1:$1,0)+1),MATCH(C$1,[2]quests!$1:$1,0)-MATCH($B$1,[2]quests!$1:$1,0)+1,FALSE)</f>
        <v>オイラーチャレンジ</v>
      </c>
      <c r="D38" s="60" t="str">
        <f ca="1">VLOOKUP($B38,OFFSET([2]quests!$A$1,0,0,COUNTA([2]quests!$A:$A),MATCH(D$1,[2]quests!$1:$1,0)-MATCH($B$1,[2]quests!$1:$1,0)+1),MATCH(D$1,[2]quests!$1:$1,0)-MATCH($B$1,[2]quests!$1:$1,0)+1,FALSE)</f>
        <v>ランキング1（本番実装用）</v>
      </c>
      <c r="E38" s="64">
        <v>2</v>
      </c>
      <c r="F38" s="60" t="str">
        <f ca="1">VLOOKUP($B38&amp;"_"&amp;$E38,OFFSET([2]stages!$A$1,0,0,COUNTA([2]stages!$A:$A),MATCH(F$1,[2]stages!$2:$2,0)-MATCH("temp_stage",[2]stages!$2:$2,0)+1),MATCH(F$1,[2]stages!$2:$2,0)-MATCH("temp_stage",[2]stages!$2:$2,0)+1,FALSE)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8" s="60" t="str">
        <f ca="1">VLOOKUP($B38&amp;"_"&amp;$E38,OFFSET([2]stages!$A$1,0,0,COUNTA([2]stages!$A:$A),MATCH(G$1,[2]stages!$2:$2,0)-MATCH("temp_stage",[2]stages!$2:$2,0)+1),MATCH(G$1,[2]stages!$2:$2,0)-MATCH("temp_stage",[2]stages!$2:$2,0)+1,FALSE)</f>
        <v>ランキング1（本番実装用）</v>
      </c>
      <c r="H38" s="62">
        <v>0</v>
      </c>
      <c r="I38">
        <v>27</v>
      </c>
      <c r="J38" s="61" t="s">
        <v>194</v>
      </c>
      <c r="K38" s="71" t="str">
        <f>VLOOKUP(I38,[6]stage_hints!$A:$C,3,FALSE)</f>
        <v>ホーム画面からデッキを編成</v>
      </c>
      <c r="L38" s="72" t="str">
        <f>VLOOKUP(I38,[6]stage_hints!$A:$D,4,FALSE)</f>
        <v>ホーム画面でユニットを長押しすると_x000D_すぐにパーティ編成に移動できます</v>
      </c>
      <c r="M38" s="35" t="s">
        <v>205</v>
      </c>
    </row>
    <row r="39" spans="1:13" x14ac:dyDescent="0.15">
      <c r="A39" s="58" t="s">
        <v>195</v>
      </c>
      <c r="B39" s="59">
        <f>floors!$C$2</f>
        <v>60006</v>
      </c>
      <c r="C39" s="60" t="str">
        <f ca="1">VLOOKUP($B39,OFFSET([2]quests!$A$1,0,0,COUNTA([2]quests!$A:$A),MATCH(C$1,[2]quests!$1:$1,0)-MATCH($B$1,[2]quests!$1:$1,0)+1),MATCH(C$1,[2]quests!$1:$1,0)-MATCH($B$1,[2]quests!$1:$1,0)+1,FALSE)</f>
        <v>オイラーチャレンジ</v>
      </c>
      <c r="D39" s="60" t="str">
        <f ca="1">VLOOKUP($B39,OFFSET([2]quests!$A$1,0,0,COUNTA([2]quests!$A:$A),MATCH(D$1,[2]quests!$1:$1,0)-MATCH($B$1,[2]quests!$1:$1,0)+1),MATCH(D$1,[2]quests!$1:$1,0)-MATCH($B$1,[2]quests!$1:$1,0)+1,FALSE)</f>
        <v>ランキング1（本番実装用）</v>
      </c>
      <c r="E39" s="64">
        <v>2</v>
      </c>
      <c r="F39" s="60" t="str">
        <f ca="1">VLOOKUP($B39&amp;"_"&amp;$E39,OFFSET([2]stages!$A$1,0,0,COUNTA([2]stages!$A:$A),MATCH(F$1,[2]stages!$2:$2,0)-MATCH("temp_stage",[2]stages!$2:$2,0)+1),MATCH(F$1,[2]stages!$2:$2,0)-MATCH("temp_stage",[2]stages!$2:$2,0)+1,FALSE)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39" s="60" t="str">
        <f ca="1">VLOOKUP($B39&amp;"_"&amp;$E39,OFFSET([2]stages!$A$1,0,0,COUNTA([2]stages!$A:$A),MATCH(G$1,[2]stages!$2:$2,0)-MATCH("temp_stage",[2]stages!$2:$2,0)+1),MATCH(G$1,[2]stages!$2:$2,0)-MATCH("temp_stage",[2]stages!$2:$2,0)+1,FALSE)</f>
        <v>ランキング1（本番実装用）</v>
      </c>
      <c r="H39" s="62">
        <v>0</v>
      </c>
      <c r="I39">
        <v>28</v>
      </c>
      <c r="J39" s="61" t="s">
        <v>194</v>
      </c>
      <c r="K39" s="71" t="str">
        <f>VLOOKUP(I39,[6]stage_hints!$A:$C,3,FALSE)</f>
        <v>ステータス情報は長押しで</v>
      </c>
      <c r="L39" s="72" t="str">
        <f>VLOOKUP(I39,[6]stage_hints!$A:$D,4,FALSE)</f>
        <v>ユニットのアイコンを長押しすると_x000D_ステータス情報を確認することができます</v>
      </c>
      <c r="M39" s="35" t="s">
        <v>205</v>
      </c>
    </row>
    <row r="40" spans="1:13" x14ac:dyDescent="0.15">
      <c r="A40" s="58" t="s">
        <v>195</v>
      </c>
      <c r="B40" s="59">
        <f>floors!$C$2</f>
        <v>60006</v>
      </c>
      <c r="C40" s="60" t="str">
        <f ca="1">VLOOKUP($B40,OFFSET([2]quests!$A$1,0,0,COUNTA([2]quests!$A:$A),MATCH(C$1,[2]quests!$1:$1,0)-MATCH($B$1,[2]quests!$1:$1,0)+1),MATCH(C$1,[2]quests!$1:$1,0)-MATCH($B$1,[2]quests!$1:$1,0)+1,FALSE)</f>
        <v>オイラーチャレンジ</v>
      </c>
      <c r="D40" s="60" t="str">
        <f ca="1">VLOOKUP($B40,OFFSET([2]quests!$A$1,0,0,COUNTA([2]quests!$A:$A),MATCH(D$1,[2]quests!$1:$1,0)-MATCH($B$1,[2]quests!$1:$1,0)+1),MATCH(D$1,[2]quests!$1:$1,0)-MATCH($B$1,[2]quests!$1:$1,0)+1,FALSE)</f>
        <v>ランキング1（本番実装用）</v>
      </c>
      <c r="E40" s="64">
        <v>2</v>
      </c>
      <c r="F40" s="60" t="str">
        <f ca="1">VLOOKUP($B40&amp;"_"&amp;$E40,OFFSET([2]stages!$A$1,0,0,COUNTA([2]stages!$A:$A),MATCH(F$1,[2]stages!$2:$2,0)-MATCH("temp_stage",[2]stages!$2:$2,0)+1),MATCH(F$1,[2]stages!$2:$2,0)-MATCH("temp_stage",[2]stages!$2:$2,0)+1,FALSE)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0" s="60" t="str">
        <f ca="1">VLOOKUP($B40&amp;"_"&amp;$E40,OFFSET([2]stages!$A$1,0,0,COUNTA([2]stages!$A:$A),MATCH(G$1,[2]stages!$2:$2,0)-MATCH("temp_stage",[2]stages!$2:$2,0)+1),MATCH(G$1,[2]stages!$2:$2,0)-MATCH("temp_stage",[2]stages!$2:$2,0)+1,FALSE)</f>
        <v>ランキング1（本番実装用）</v>
      </c>
      <c r="H40" s="62">
        <v>0</v>
      </c>
      <c r="I40">
        <v>29</v>
      </c>
      <c r="J40" s="61" t="s">
        <v>194</v>
      </c>
      <c r="K40" s="71" t="str">
        <f>VLOOKUP(I40,[6]stage_hints!$A:$C,3,FALSE)</f>
        <v>「バグ」のメリット</v>
      </c>
      <c r="L40" s="72" t="str">
        <f>VLOOKUP(I40,[6]stage_hints!$A:$D,4,FALSE)</f>
        <v>ユニットの「バグ」を増やすと_x000D_報酬をもらえる確率がアップします</v>
      </c>
      <c r="M40" s="35" t="s">
        <v>205</v>
      </c>
    </row>
    <row r="41" spans="1:13" x14ac:dyDescent="0.15">
      <c r="A41" s="58" t="s">
        <v>195</v>
      </c>
      <c r="B41" s="59">
        <f>floors!$C$2</f>
        <v>60006</v>
      </c>
      <c r="C41" s="60" t="str">
        <f ca="1">VLOOKUP($B41,OFFSET([2]quests!$A$1,0,0,COUNTA([2]quests!$A:$A),MATCH(C$1,[2]quests!$1:$1,0)-MATCH($B$1,[2]quests!$1:$1,0)+1),MATCH(C$1,[2]quests!$1:$1,0)-MATCH($B$1,[2]quests!$1:$1,0)+1,FALSE)</f>
        <v>オイラーチャレンジ</v>
      </c>
      <c r="D41" s="60" t="str">
        <f ca="1">VLOOKUP($B41,OFFSET([2]quests!$A$1,0,0,COUNTA([2]quests!$A:$A),MATCH(D$1,[2]quests!$1:$1,0)-MATCH($B$1,[2]quests!$1:$1,0)+1),MATCH(D$1,[2]quests!$1:$1,0)-MATCH($B$1,[2]quests!$1:$1,0)+1,FALSE)</f>
        <v>ランキング1（本番実装用）</v>
      </c>
      <c r="E41" s="64">
        <v>2</v>
      </c>
      <c r="F41" s="60" t="str">
        <f ca="1">VLOOKUP($B41&amp;"_"&amp;$E41,OFFSET([2]stages!$A$1,0,0,COUNTA([2]stages!$A:$A),MATCH(F$1,[2]stages!$2:$2,0)-MATCH("temp_stage",[2]stages!$2:$2,0)+1),MATCH(F$1,[2]stages!$2:$2,0)-MATCH("temp_stage",[2]stages!$2:$2,0)+1,FALSE)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1" s="60" t="str">
        <f ca="1">VLOOKUP($B41&amp;"_"&amp;$E41,OFFSET([2]stages!$A$1,0,0,COUNTA([2]stages!$A:$A),MATCH(G$1,[2]stages!$2:$2,0)-MATCH("temp_stage",[2]stages!$2:$2,0)+1),MATCH(G$1,[2]stages!$2:$2,0)-MATCH("temp_stage",[2]stages!$2:$2,0)+1,FALSE)</f>
        <v>ランキング1（本番実装用）</v>
      </c>
      <c r="H41" s="62">
        <v>0</v>
      </c>
      <c r="I41">
        <v>30</v>
      </c>
      <c r="J41" s="61" t="s">
        <v>194</v>
      </c>
      <c r="K41" s="71" t="str">
        <f>VLOOKUP(I41,[6]stage_hints!$A:$C,3,FALSE)</f>
        <v>「バグ」の増やし方</v>
      </c>
      <c r="L41" s="72" t="str">
        <f>VLOOKUP(I41,[6]stage_hints!$A:$D,4,FALSE)</f>
        <v>同じユニット同士を強化で合成すると_x000D_「バグ」を増やすことができます</v>
      </c>
      <c r="M41" s="35" t="s">
        <v>205</v>
      </c>
    </row>
    <row r="42" spans="1:13" x14ac:dyDescent="0.15">
      <c r="A42" s="58" t="s">
        <v>195</v>
      </c>
      <c r="B42" s="59">
        <f>floors!$C$2</f>
        <v>60006</v>
      </c>
      <c r="C42" s="60" t="str">
        <f ca="1">VLOOKUP($B42,OFFSET([2]quests!$A$1,0,0,COUNTA([2]quests!$A:$A),MATCH(C$1,[2]quests!$1:$1,0)-MATCH($B$1,[2]quests!$1:$1,0)+1),MATCH(C$1,[2]quests!$1:$1,0)-MATCH($B$1,[2]quests!$1:$1,0)+1,FALSE)</f>
        <v>オイラーチャレンジ</v>
      </c>
      <c r="D42" s="60" t="str">
        <f ca="1">VLOOKUP($B42,OFFSET([2]quests!$A$1,0,0,COUNTA([2]quests!$A:$A),MATCH(D$1,[2]quests!$1:$1,0)-MATCH($B$1,[2]quests!$1:$1,0)+1),MATCH(D$1,[2]quests!$1:$1,0)-MATCH($B$1,[2]quests!$1:$1,0)+1,FALSE)</f>
        <v>ランキング1（本番実装用）</v>
      </c>
      <c r="E42" s="64">
        <v>2</v>
      </c>
      <c r="F42" s="60" t="str">
        <f ca="1">VLOOKUP($B42&amp;"_"&amp;$E42,OFFSET([2]stages!$A$1,0,0,COUNTA([2]stages!$A:$A),MATCH(F$1,[2]stages!$2:$2,0)-MATCH("temp_stage",[2]stages!$2:$2,0)+1),MATCH(F$1,[2]stages!$2:$2,0)-MATCH("temp_stage",[2]stages!$2:$2,0)+1,FALSE)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2" s="60" t="str">
        <f ca="1">VLOOKUP($B42&amp;"_"&amp;$E42,OFFSET([2]stages!$A$1,0,0,COUNTA([2]stages!$A:$A),MATCH(G$1,[2]stages!$2:$2,0)-MATCH("temp_stage",[2]stages!$2:$2,0)+1),MATCH(G$1,[2]stages!$2:$2,0)-MATCH("temp_stage",[2]stages!$2:$2,0)+1,FALSE)</f>
        <v>ランキング1（本番実装用）</v>
      </c>
      <c r="H42" s="62">
        <v>0</v>
      </c>
      <c r="I42">
        <v>32</v>
      </c>
      <c r="J42" s="61" t="s">
        <v>194</v>
      </c>
      <c r="K42" s="71" t="str">
        <f>VLOOKUP(I42,[6]stage_hints!$A:$C,3,FALSE)</f>
        <v>敵の連続攻撃には</v>
      </c>
      <c r="L42" s="72" t="str">
        <f>VLOOKUP(I42,[6]stage_hints!$A:$D,4,FALSE)</f>
        <v>カウンタースキルを持つユニットがいれば_x000D_ダメージ回数分の反撃ができます</v>
      </c>
      <c r="M42" s="35" t="s">
        <v>205</v>
      </c>
    </row>
    <row r="43" spans="1:13" x14ac:dyDescent="0.15">
      <c r="A43" s="58" t="s">
        <v>195</v>
      </c>
      <c r="B43" s="59">
        <f>floors!$C$2</f>
        <v>60006</v>
      </c>
      <c r="C43" s="60" t="str">
        <f ca="1">VLOOKUP($B43,OFFSET([2]quests!$A$1,0,0,COUNTA([2]quests!$A:$A),MATCH(C$1,[2]quests!$1:$1,0)-MATCH($B$1,[2]quests!$1:$1,0)+1),MATCH(C$1,[2]quests!$1:$1,0)-MATCH($B$1,[2]quests!$1:$1,0)+1,FALSE)</f>
        <v>オイラーチャレンジ</v>
      </c>
      <c r="D43" s="60" t="str">
        <f ca="1">VLOOKUP($B43,OFFSET([2]quests!$A$1,0,0,COUNTA([2]quests!$A:$A),MATCH(D$1,[2]quests!$1:$1,0)-MATCH($B$1,[2]quests!$1:$1,0)+1),MATCH(D$1,[2]quests!$1:$1,0)-MATCH($B$1,[2]quests!$1:$1,0)+1,FALSE)</f>
        <v>ランキング1（本番実装用）</v>
      </c>
      <c r="E43" s="64">
        <v>2</v>
      </c>
      <c r="F43" s="60" t="str">
        <f ca="1">VLOOKUP($B43&amp;"_"&amp;$E43,OFFSET([2]stages!$A$1,0,0,COUNTA([2]stages!$A:$A),MATCH(F$1,[2]stages!$2:$2,0)-MATCH("temp_stage",[2]stages!$2:$2,0)+1),MATCH(F$1,[2]stages!$2:$2,0)-MATCH("temp_stage",[2]stages!$2:$2,0)+1,FALSE)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3" s="60" t="str">
        <f ca="1">VLOOKUP($B43&amp;"_"&amp;$E43,OFFSET([2]stages!$A$1,0,0,COUNTA([2]stages!$A:$A),MATCH(G$1,[2]stages!$2:$2,0)-MATCH("temp_stage",[2]stages!$2:$2,0)+1),MATCH(G$1,[2]stages!$2:$2,0)-MATCH("temp_stage",[2]stages!$2:$2,0)+1,FALSE)</f>
        <v>ランキング1（本番実装用）</v>
      </c>
      <c r="H43" s="62">
        <v>0</v>
      </c>
      <c r="I43">
        <v>33</v>
      </c>
      <c r="J43" s="61" t="s">
        <v>194</v>
      </c>
      <c r="K43" s="71" t="str">
        <f>VLOOKUP(I43,[6]stage_hints!$A:$C,3,FALSE)</f>
        <v>敵のカウンター攻撃には</v>
      </c>
      <c r="L43" s="72" t="str">
        <f>VLOOKUP(I43,[6]stage_hints!$A:$D,4,FALSE)</f>
        <v>カウンターブレイクスキルを持っていれば_x000D_敵のカウンターを解除して攻撃ができます</v>
      </c>
      <c r="M43" s="35" t="s">
        <v>205</v>
      </c>
    </row>
    <row r="44" spans="1:13" x14ac:dyDescent="0.15">
      <c r="A44" s="58" t="s">
        <v>195</v>
      </c>
      <c r="B44" s="59">
        <f>floors!$C$2</f>
        <v>60006</v>
      </c>
      <c r="C44" s="60" t="str">
        <f ca="1">VLOOKUP($B44,OFFSET([2]quests!$A$1,0,0,COUNTA([2]quests!$A:$A),MATCH(C$1,[2]quests!$1:$1,0)-MATCH($B$1,[2]quests!$1:$1,0)+1),MATCH(C$1,[2]quests!$1:$1,0)-MATCH($B$1,[2]quests!$1:$1,0)+1,FALSE)</f>
        <v>オイラーチャレンジ</v>
      </c>
      <c r="D44" s="60" t="str">
        <f ca="1">VLOOKUP($B44,OFFSET([2]quests!$A$1,0,0,COUNTA([2]quests!$A:$A),MATCH(D$1,[2]quests!$1:$1,0)-MATCH($B$1,[2]quests!$1:$1,0)+1),MATCH(D$1,[2]quests!$1:$1,0)-MATCH($B$1,[2]quests!$1:$1,0)+1,FALSE)</f>
        <v>ランキング1（本番実装用）</v>
      </c>
      <c r="E44" s="64">
        <v>2</v>
      </c>
      <c r="F44" s="60" t="str">
        <f ca="1">VLOOKUP($B44&amp;"_"&amp;$E44,OFFSET([2]stages!$A$1,0,0,COUNTA([2]stages!$A:$A),MATCH(F$1,[2]stages!$2:$2,0)-MATCH("temp_stage",[2]stages!$2:$2,0)+1),MATCH(F$1,[2]stages!$2:$2,0)-MATCH("temp_stage",[2]stages!$2:$2,0)+1,FALSE)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4" s="60" t="str">
        <f ca="1">VLOOKUP($B44&amp;"_"&amp;$E44,OFFSET([2]stages!$A$1,0,0,COUNTA([2]stages!$A:$A),MATCH(G$1,[2]stages!$2:$2,0)-MATCH("temp_stage",[2]stages!$2:$2,0)+1),MATCH(G$1,[2]stages!$2:$2,0)-MATCH("temp_stage",[2]stages!$2:$2,0)+1,FALSE)</f>
        <v>ランキング1（本番実装用）</v>
      </c>
      <c r="H44" s="62">
        <v>0</v>
      </c>
      <c r="I44">
        <v>34</v>
      </c>
      <c r="J44" s="61" t="s">
        <v>194</v>
      </c>
      <c r="K44" s="71" t="str">
        <f>VLOOKUP(I44,[6]stage_hints!$A:$C,3,FALSE)</f>
        <v>ステータスをスキルで下げられたら</v>
      </c>
      <c r="L44" s="72" t="str">
        <f>VLOOKUP(I44,[6]stage_hints!$A:$D,4,FALSE)</f>
        <v>ステータスダウンのスキルを受けたら_x000D_ステータスアップスキルで上書きしましょう</v>
      </c>
      <c r="M44" s="35" t="s">
        <v>205</v>
      </c>
    </row>
    <row r="45" spans="1:13" x14ac:dyDescent="0.15">
      <c r="A45" s="58" t="s">
        <v>195</v>
      </c>
      <c r="B45" s="59">
        <f>floors!$C$2</f>
        <v>60006</v>
      </c>
      <c r="C45" s="60" t="str">
        <f ca="1">VLOOKUP($B45,OFFSET([2]quests!$A$1,0,0,COUNTA([2]quests!$A:$A),MATCH(C$1,[2]quests!$1:$1,0)-MATCH($B$1,[2]quests!$1:$1,0)+1),MATCH(C$1,[2]quests!$1:$1,0)-MATCH($B$1,[2]quests!$1:$1,0)+1,FALSE)</f>
        <v>オイラーチャレンジ</v>
      </c>
      <c r="D45" s="60" t="str">
        <f ca="1">VLOOKUP($B45,OFFSET([2]quests!$A$1,0,0,COUNTA([2]quests!$A:$A),MATCH(D$1,[2]quests!$1:$1,0)-MATCH($B$1,[2]quests!$1:$1,0)+1),MATCH(D$1,[2]quests!$1:$1,0)-MATCH($B$1,[2]quests!$1:$1,0)+1,FALSE)</f>
        <v>ランキング1（本番実装用）</v>
      </c>
      <c r="E45" s="64">
        <v>2</v>
      </c>
      <c r="F45" s="60" t="str">
        <f ca="1">VLOOKUP($B45&amp;"_"&amp;$E45,OFFSET([2]stages!$A$1,0,0,COUNTA([2]stages!$A:$A),MATCH(F$1,[2]stages!$2:$2,0)-MATCH("temp_stage",[2]stages!$2:$2,0)+1),MATCH(F$1,[2]stages!$2:$2,0)-MATCH("temp_stage",[2]stages!$2:$2,0)+1,FALSE)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5" s="60" t="str">
        <f ca="1">VLOOKUP($B45&amp;"_"&amp;$E45,OFFSET([2]stages!$A$1,0,0,COUNTA([2]stages!$A:$A),MATCH(G$1,[2]stages!$2:$2,0)-MATCH("temp_stage",[2]stages!$2:$2,0)+1),MATCH(G$1,[2]stages!$2:$2,0)-MATCH("temp_stage",[2]stages!$2:$2,0)+1,FALSE)</f>
        <v>ランキング1（本番実装用）</v>
      </c>
      <c r="H45" s="62">
        <v>0</v>
      </c>
      <c r="I45">
        <v>35</v>
      </c>
      <c r="J45" s="61" t="s">
        <v>194</v>
      </c>
      <c r="K45" s="71" t="str">
        <f>VLOOKUP(I45,[6]stage_hints!$A:$C,3,FALSE)</f>
        <v>敵のステータスがスキルで上がったら</v>
      </c>
      <c r="L45" s="72" t="str">
        <f>VLOOKUP(I45,[6]stage_hints!$A:$D,4,FALSE)</f>
        <v>敵のステータスがスキルでアップしたときは_x000D_ステータスダウンスキルで上書きしましょう</v>
      </c>
      <c r="M45" s="35" t="s">
        <v>205</v>
      </c>
    </row>
    <row r="46" spans="1:13" x14ac:dyDescent="0.15">
      <c r="A46" s="58" t="s">
        <v>195</v>
      </c>
      <c r="B46" s="59">
        <f>floors!$C$2</f>
        <v>60006</v>
      </c>
      <c r="C46" s="60" t="str">
        <f ca="1">VLOOKUP($B46,OFFSET([2]quests!$A$1,0,0,COUNTA([2]quests!$A:$A),MATCH(C$1,[2]quests!$1:$1,0)-MATCH($B$1,[2]quests!$1:$1,0)+1),MATCH(C$1,[2]quests!$1:$1,0)-MATCH($B$1,[2]quests!$1:$1,0)+1,FALSE)</f>
        <v>オイラーチャレンジ</v>
      </c>
      <c r="D46" s="60" t="str">
        <f ca="1">VLOOKUP($B46,OFFSET([2]quests!$A$1,0,0,COUNTA([2]quests!$A:$A),MATCH(D$1,[2]quests!$1:$1,0)-MATCH($B$1,[2]quests!$1:$1,0)+1),MATCH(D$1,[2]quests!$1:$1,0)-MATCH($B$1,[2]quests!$1:$1,0)+1,FALSE)</f>
        <v>ランキング1（本番実装用）</v>
      </c>
      <c r="E46" s="64">
        <v>2</v>
      </c>
      <c r="F46" s="60" t="str">
        <f ca="1">VLOOKUP($B46&amp;"_"&amp;$E46,OFFSET([2]stages!$A$1,0,0,COUNTA([2]stages!$A:$A),MATCH(F$1,[2]stages!$2:$2,0)-MATCH("temp_stage",[2]stages!$2:$2,0)+1),MATCH(F$1,[2]stages!$2:$2,0)-MATCH("temp_stage",[2]stages!$2:$2,0)+1,FALSE)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6" s="60" t="str">
        <f ca="1">VLOOKUP($B46&amp;"_"&amp;$E46,OFFSET([2]stages!$A$1,0,0,COUNTA([2]stages!$A:$A),MATCH(G$1,[2]stages!$2:$2,0)-MATCH("temp_stage",[2]stages!$2:$2,0)+1),MATCH(G$1,[2]stages!$2:$2,0)-MATCH("temp_stage",[2]stages!$2:$2,0)+1,FALSE)</f>
        <v>ランキング1（本番実装用）</v>
      </c>
      <c r="H46" s="62">
        <v>0</v>
      </c>
      <c r="I46">
        <v>36</v>
      </c>
      <c r="J46" s="61" t="s">
        <v>194</v>
      </c>
      <c r="K46" s="71" t="str">
        <f>VLOOKUP(I46,[6]stage_hints!$A:$C,3,FALSE)</f>
        <v>チャレンジタワーのボス</v>
      </c>
      <c r="L46" s="72" t="str">
        <f>VLOOKUP(I46,[6]stage_hints!$A:$D,4,FALSE)</f>
        <v>チャレンジタワーでのみ登場するボスは_x000D_一定確率で獲得することができます</v>
      </c>
      <c r="M46" s="35" t="s">
        <v>205</v>
      </c>
    </row>
    <row r="47" spans="1:13" x14ac:dyDescent="0.15">
      <c r="A47" s="58" t="s">
        <v>195</v>
      </c>
      <c r="B47" s="59">
        <f>floors!$C$2</f>
        <v>60006</v>
      </c>
      <c r="C47" s="60" t="str">
        <f ca="1">VLOOKUP($B47,OFFSET([2]quests!$A$1,0,0,COUNTA([2]quests!$A:$A),MATCH(C$1,[2]quests!$1:$1,0)-MATCH($B$1,[2]quests!$1:$1,0)+1),MATCH(C$1,[2]quests!$1:$1,0)-MATCH($B$1,[2]quests!$1:$1,0)+1,FALSE)</f>
        <v>オイラーチャレンジ</v>
      </c>
      <c r="D47" s="60" t="str">
        <f ca="1">VLOOKUP($B47,OFFSET([2]quests!$A$1,0,0,COUNTA([2]quests!$A:$A),MATCH(D$1,[2]quests!$1:$1,0)-MATCH($B$1,[2]quests!$1:$1,0)+1),MATCH(D$1,[2]quests!$1:$1,0)-MATCH($B$1,[2]quests!$1:$1,0)+1,FALSE)</f>
        <v>ランキング1（本番実装用）</v>
      </c>
      <c r="E47" s="64">
        <v>2</v>
      </c>
      <c r="F47" s="60" t="str">
        <f ca="1">VLOOKUP($B47&amp;"_"&amp;$E47,OFFSET([2]stages!$A$1,0,0,COUNTA([2]stages!$A:$A),MATCH(F$1,[2]stages!$2:$2,0)-MATCH("temp_stage",[2]stages!$2:$2,0)+1),MATCH(F$1,[2]stages!$2:$2,0)-MATCH("temp_stage",[2]stages!$2:$2,0)+1,FALSE)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7" s="60" t="str">
        <f ca="1">VLOOKUP($B47&amp;"_"&amp;$E47,OFFSET([2]stages!$A$1,0,0,COUNTA([2]stages!$A:$A),MATCH(G$1,[2]stages!$2:$2,0)-MATCH("temp_stage",[2]stages!$2:$2,0)+1),MATCH(G$1,[2]stages!$2:$2,0)-MATCH("temp_stage",[2]stages!$2:$2,0)+1,FALSE)</f>
        <v>ランキング1（本番実装用）</v>
      </c>
      <c r="H47" s="62">
        <v>0</v>
      </c>
      <c r="I47">
        <v>37</v>
      </c>
      <c r="J47" s="61" t="s">
        <v>194</v>
      </c>
      <c r="K47" s="71" t="str">
        <f>VLOOKUP(I47,[6]stage_hints!$A:$C,3,FALSE)</f>
        <v>限界突破値の引き継ぎ</v>
      </c>
      <c r="L47" s="72" t="str">
        <f>VLOOKUP(I47,[6]stage_hints!$A:$D,4,FALSE)</f>
        <v>同じユニットを強化で合成すると_x000D_限界突破値を引き継げます（覚醒前後も可）</v>
      </c>
      <c r="M47" s="35" t="s">
        <v>205</v>
      </c>
    </row>
    <row r="48" spans="1:13" x14ac:dyDescent="0.15">
      <c r="A48" s="58" t="s">
        <v>195</v>
      </c>
      <c r="B48" s="59">
        <f>floors!$C$2</f>
        <v>60006</v>
      </c>
      <c r="C48" s="60" t="str">
        <f ca="1">VLOOKUP($B48,OFFSET([2]quests!$A$1,0,0,COUNTA([2]quests!$A:$A),MATCH(C$1,[2]quests!$1:$1,0)-MATCH($B$1,[2]quests!$1:$1,0)+1),MATCH(C$1,[2]quests!$1:$1,0)-MATCH($B$1,[2]quests!$1:$1,0)+1,FALSE)</f>
        <v>オイラーチャレンジ</v>
      </c>
      <c r="D48" s="60" t="str">
        <f ca="1">VLOOKUP($B48,OFFSET([2]quests!$A$1,0,0,COUNTA([2]quests!$A:$A),MATCH(D$1,[2]quests!$1:$1,0)-MATCH($B$1,[2]quests!$1:$1,0)+1),MATCH(D$1,[2]quests!$1:$1,0)-MATCH($B$1,[2]quests!$1:$1,0)+1,FALSE)</f>
        <v>ランキング1（本番実装用）</v>
      </c>
      <c r="E48" s="64">
        <v>2</v>
      </c>
      <c r="F48" s="60" t="str">
        <f ca="1">VLOOKUP($B48&amp;"_"&amp;$E48,OFFSET([2]stages!$A$1,0,0,COUNTA([2]stages!$A:$A),MATCH(F$1,[2]stages!$2:$2,0)-MATCH("temp_stage",[2]stages!$2:$2,0)+1),MATCH(F$1,[2]stages!$2:$2,0)-MATCH("temp_stage",[2]stages!$2:$2,0)+1,FALSE)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48" s="60" t="str">
        <f ca="1">VLOOKUP($B48&amp;"_"&amp;$E48,OFFSET([2]stages!$A$1,0,0,COUNTA([2]stages!$A:$A),MATCH(G$1,[2]stages!$2:$2,0)-MATCH("temp_stage",[2]stages!$2:$2,0)+1),MATCH(G$1,[2]stages!$2:$2,0)-MATCH("temp_stage",[2]stages!$2:$2,0)+1,FALSE)</f>
        <v>ランキング1（本番実装用）</v>
      </c>
      <c r="H48" s="62">
        <v>0</v>
      </c>
      <c r="I48">
        <v>39</v>
      </c>
      <c r="J48" s="61" t="s">
        <v>194</v>
      </c>
      <c r="K48" s="71" t="str">
        <f>VLOOKUP(I48,[6]stage_hints!$A:$C,3,FALSE)</f>
        <v>システム適合者を確認</v>
      </c>
      <c r="L48" s="72" t="str">
        <f>VLOOKUP(I48,[6]stage_hints!$A:$D,4,FALSE)</f>
        <v>ALICEが「アナタ」を呼んでいます</v>
      </c>
      <c r="M48" s="35" t="s">
        <v>205</v>
      </c>
    </row>
    <row r="49" spans="1:13" x14ac:dyDescent="0.15">
      <c r="A49" s="58" t="s">
        <v>195</v>
      </c>
      <c r="B49" s="59">
        <f>floors!$C$2</f>
        <v>60006</v>
      </c>
      <c r="C49" s="60" t="str">
        <f ca="1">VLOOKUP($B49,OFFSET([2]quests!$A$1,0,0,COUNTA([2]quests!$A:$A),MATCH(C$1,[2]quests!$1:$1,0)-MATCH($B$1,[2]quests!$1:$1,0)+1),MATCH(C$1,[2]quests!$1:$1,0)-MATCH($B$1,[2]quests!$1:$1,0)+1,FALSE)</f>
        <v>オイラーチャレンジ</v>
      </c>
      <c r="D49" s="60" t="str">
        <f ca="1">VLOOKUP($B49,OFFSET([2]quests!$A$1,0,0,COUNTA([2]quests!$A:$A),MATCH(D$1,[2]quests!$1:$1,0)-MATCH($B$1,[2]quests!$1:$1,0)+1),MATCH(D$1,[2]quests!$1:$1,0)-MATCH($B$1,[2]quests!$1:$1,0)+1,FALSE)</f>
        <v>ランキング1（本番実装用）</v>
      </c>
      <c r="E49" s="64">
        <v>3</v>
      </c>
      <c r="F49" s="60" t="str">
        <f ca="1">VLOOKUP($B49&amp;"_"&amp;$E49,OFFSET([2]stages!$A$1,0,0,COUNTA([2]stages!$A:$A),MATCH(F$1,[2]stages!$2:$2,0)-MATCH("temp_stage",[2]stages!$2:$2,0)+1),MATCH(F$1,[2]stages!$2:$2,0)-MATCH("temp_stage",[2]stages!$2:$2,0)+1,FALSE)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49" s="60" t="str">
        <f ca="1">VLOOKUP($B49&amp;"_"&amp;$E49,OFFSET([2]stages!$A$1,0,0,COUNTA([2]stages!$A:$A),MATCH(G$1,[2]stages!$2:$2,0)-MATCH("temp_stage",[2]stages!$2:$2,0)+1),MATCH(G$1,[2]stages!$2:$2,0)-MATCH("temp_stage",[2]stages!$2:$2,0)+1,FALSE)</f>
        <v>ランキング1（本番実装用）</v>
      </c>
      <c r="H49" s="62">
        <v>0</v>
      </c>
      <c r="I49">
        <v>12</v>
      </c>
      <c r="J49" s="61" t="s">
        <v>194</v>
      </c>
      <c r="K49" s="71" t="str">
        <f>VLOOKUP(I49,[6]stage_hints!$A:$C,3,FALSE)</f>
        <v>ユニットのお気に入り登録</v>
      </c>
      <c r="L49" s="72" t="str">
        <f>VLOOKUP(I49,[6]stage_hints!$A:$D,4,FALSE)</f>
        <v>大事なユニットを誤って消さないように_x000D_フォルダから「お気に入り登録」しましょう</v>
      </c>
      <c r="M49" s="35" t="s">
        <v>205</v>
      </c>
    </row>
    <row r="50" spans="1:13" x14ac:dyDescent="0.15">
      <c r="A50" s="58" t="s">
        <v>195</v>
      </c>
      <c r="B50" s="59">
        <f>floors!$C$2</f>
        <v>60006</v>
      </c>
      <c r="C50" s="60" t="str">
        <f ca="1">VLOOKUP($B50,OFFSET([2]quests!$A$1,0,0,COUNTA([2]quests!$A:$A),MATCH(C$1,[2]quests!$1:$1,0)-MATCH($B$1,[2]quests!$1:$1,0)+1),MATCH(C$1,[2]quests!$1:$1,0)-MATCH($B$1,[2]quests!$1:$1,0)+1,FALSE)</f>
        <v>オイラーチャレンジ</v>
      </c>
      <c r="D50" s="60" t="str">
        <f ca="1">VLOOKUP($B50,OFFSET([2]quests!$A$1,0,0,COUNTA([2]quests!$A:$A),MATCH(D$1,[2]quests!$1:$1,0)-MATCH($B$1,[2]quests!$1:$1,0)+1),MATCH(D$1,[2]quests!$1:$1,0)-MATCH($B$1,[2]quests!$1:$1,0)+1,FALSE)</f>
        <v>ランキング1（本番実装用）</v>
      </c>
      <c r="E50" s="64">
        <v>3</v>
      </c>
      <c r="F50" s="60" t="str">
        <f ca="1">VLOOKUP($B50&amp;"_"&amp;$E50,OFFSET([2]stages!$A$1,0,0,COUNTA([2]stages!$A:$A),MATCH(F$1,[2]stages!$2:$2,0)-MATCH("temp_stage",[2]stages!$2:$2,0)+1),MATCH(F$1,[2]stages!$2:$2,0)-MATCH("temp_stage",[2]stages!$2:$2,0)+1,FALSE)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0" s="60" t="str">
        <f ca="1">VLOOKUP($B50&amp;"_"&amp;$E50,OFFSET([2]stages!$A$1,0,0,COUNTA([2]stages!$A:$A),MATCH(G$1,[2]stages!$2:$2,0)-MATCH("temp_stage",[2]stages!$2:$2,0)+1),MATCH(G$1,[2]stages!$2:$2,0)-MATCH("temp_stage",[2]stages!$2:$2,0)+1,FALSE)</f>
        <v>ランキング1（本番実装用）</v>
      </c>
      <c r="H50" s="62">
        <v>0</v>
      </c>
      <c r="I50">
        <v>17</v>
      </c>
      <c r="J50" s="61" t="s">
        <v>194</v>
      </c>
      <c r="K50" s="71" t="str">
        <f>VLOOKUP(I50,[6]stage_hints!$A:$C,3,FALSE)</f>
        <v>リンクガチャ</v>
      </c>
      <c r="L50" s="72" t="str">
        <f>VLOOKUP(I50,[6]stage_hints!$A:$D,4,FALSE)</f>
        <v>無料のリンクガチャを回して_x000D_経験値素材や売却素材を獲得しましょう</v>
      </c>
      <c r="M50" s="35" t="s">
        <v>205</v>
      </c>
    </row>
    <row r="51" spans="1:13" x14ac:dyDescent="0.15">
      <c r="A51" s="58" t="s">
        <v>195</v>
      </c>
      <c r="B51" s="59">
        <f>floors!$C$2</f>
        <v>60006</v>
      </c>
      <c r="C51" s="60" t="str">
        <f ca="1">VLOOKUP($B51,OFFSET([2]quests!$A$1,0,0,COUNTA([2]quests!$A:$A),MATCH(C$1,[2]quests!$1:$1,0)-MATCH($B$1,[2]quests!$1:$1,0)+1),MATCH(C$1,[2]quests!$1:$1,0)-MATCH($B$1,[2]quests!$1:$1,0)+1,FALSE)</f>
        <v>オイラーチャレンジ</v>
      </c>
      <c r="D51" s="60" t="str">
        <f ca="1">VLOOKUP($B51,OFFSET([2]quests!$A$1,0,0,COUNTA([2]quests!$A:$A),MATCH(D$1,[2]quests!$1:$1,0)-MATCH($B$1,[2]quests!$1:$1,0)+1),MATCH(D$1,[2]quests!$1:$1,0)-MATCH($B$1,[2]quests!$1:$1,0)+1,FALSE)</f>
        <v>ランキング1（本番実装用）</v>
      </c>
      <c r="E51" s="64">
        <v>3</v>
      </c>
      <c r="F51" s="60" t="str">
        <f ca="1">VLOOKUP($B51&amp;"_"&amp;$E51,OFFSET([2]stages!$A$1,0,0,COUNTA([2]stages!$A:$A),MATCH(F$1,[2]stages!$2:$2,0)-MATCH("temp_stage",[2]stages!$2:$2,0)+1),MATCH(F$1,[2]stages!$2:$2,0)-MATCH("temp_stage",[2]stages!$2:$2,0)+1,FALSE)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1" s="60" t="str">
        <f ca="1">VLOOKUP($B51&amp;"_"&amp;$E51,OFFSET([2]stages!$A$1,0,0,COUNTA([2]stages!$A:$A),MATCH(G$1,[2]stages!$2:$2,0)-MATCH("temp_stage",[2]stages!$2:$2,0)+1),MATCH(G$1,[2]stages!$2:$2,0)-MATCH("temp_stage",[2]stages!$2:$2,0)+1,FALSE)</f>
        <v>ランキング1（本番実装用）</v>
      </c>
      <c r="H51" s="62">
        <v>0</v>
      </c>
      <c r="I51">
        <v>19</v>
      </c>
      <c r="J51" s="61" t="s">
        <v>194</v>
      </c>
      <c r="K51" s="71" t="str">
        <f>VLOOKUP(I51,[6]stage_hints!$A:$C,3,FALSE)</f>
        <v>ソロ専用チャレンジタワー</v>
      </c>
      <c r="L51" s="72" t="str">
        <f>VLOOKUP(I51,[6]stage_hints!$A:$D,4,FALSE)</f>
        <v>ソロ専用の「チャレンジタワー」では_x000D_各フロアごとにクリア報酬がもらえます</v>
      </c>
      <c r="M51" s="35" t="s">
        <v>205</v>
      </c>
    </row>
    <row r="52" spans="1:13" x14ac:dyDescent="0.15">
      <c r="A52" s="58" t="s">
        <v>195</v>
      </c>
      <c r="B52" s="59">
        <f>floors!$C$2</f>
        <v>60006</v>
      </c>
      <c r="C52" s="60" t="str">
        <f ca="1">VLOOKUP($B52,OFFSET([2]quests!$A$1,0,0,COUNTA([2]quests!$A:$A),MATCH(C$1,[2]quests!$1:$1,0)-MATCH($B$1,[2]quests!$1:$1,0)+1),MATCH(C$1,[2]quests!$1:$1,0)-MATCH($B$1,[2]quests!$1:$1,0)+1,FALSE)</f>
        <v>オイラーチャレンジ</v>
      </c>
      <c r="D52" s="60" t="str">
        <f ca="1">VLOOKUP($B52,OFFSET([2]quests!$A$1,0,0,COUNTA([2]quests!$A:$A),MATCH(D$1,[2]quests!$1:$1,0)-MATCH($B$1,[2]quests!$1:$1,0)+1),MATCH(D$1,[2]quests!$1:$1,0)-MATCH($B$1,[2]quests!$1:$1,0)+1,FALSE)</f>
        <v>ランキング1（本番実装用）</v>
      </c>
      <c r="E52" s="64">
        <v>3</v>
      </c>
      <c r="F52" s="60" t="str">
        <f ca="1">VLOOKUP($B52&amp;"_"&amp;$E52,OFFSET([2]stages!$A$1,0,0,COUNTA([2]stages!$A:$A),MATCH(F$1,[2]stages!$2:$2,0)-MATCH("temp_stage",[2]stages!$2:$2,0)+1),MATCH(F$1,[2]stages!$2:$2,0)-MATCH("temp_stage",[2]stages!$2:$2,0)+1,FALSE)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2" s="60" t="str">
        <f ca="1">VLOOKUP($B52&amp;"_"&amp;$E52,OFFSET([2]stages!$A$1,0,0,COUNTA([2]stages!$A:$A),MATCH(G$1,[2]stages!$2:$2,0)-MATCH("temp_stage",[2]stages!$2:$2,0)+1),MATCH(G$1,[2]stages!$2:$2,0)-MATCH("temp_stage",[2]stages!$2:$2,0)+1,FALSE)</f>
        <v>ランキング1（本番実装用）</v>
      </c>
      <c r="H52" s="62">
        <v>0</v>
      </c>
      <c r="I52">
        <v>21</v>
      </c>
      <c r="J52" s="61" t="s">
        <v>194</v>
      </c>
      <c r="K52" s="71" t="str">
        <f>VLOOKUP(I52,[6]stage_hints!$A:$C,3,FALSE)</f>
        <v>スキルを有効に</v>
      </c>
      <c r="L52" s="72" t="str">
        <f>VLOOKUP(I52,[6]stage_hints!$A:$D,4,FALSE)</f>
        <v>ターン経過でユニットのスキルが使えます_x000D_強力スキルでバトルを有利に進めましょう</v>
      </c>
      <c r="M52" s="35" t="s">
        <v>205</v>
      </c>
    </row>
    <row r="53" spans="1:13" x14ac:dyDescent="0.15">
      <c r="A53" s="58" t="s">
        <v>195</v>
      </c>
      <c r="B53" s="59">
        <f>floors!$C$2</f>
        <v>60006</v>
      </c>
      <c r="C53" s="60" t="str">
        <f ca="1">VLOOKUP($B53,OFFSET([2]quests!$A$1,0,0,COUNTA([2]quests!$A:$A),MATCH(C$1,[2]quests!$1:$1,0)-MATCH($B$1,[2]quests!$1:$1,0)+1),MATCH(C$1,[2]quests!$1:$1,0)-MATCH($B$1,[2]quests!$1:$1,0)+1,FALSE)</f>
        <v>オイラーチャレンジ</v>
      </c>
      <c r="D53" s="60" t="str">
        <f ca="1">VLOOKUP($B53,OFFSET([2]quests!$A$1,0,0,COUNTA([2]quests!$A:$A),MATCH(D$1,[2]quests!$1:$1,0)-MATCH($B$1,[2]quests!$1:$1,0)+1),MATCH(D$1,[2]quests!$1:$1,0)-MATCH($B$1,[2]quests!$1:$1,0)+1,FALSE)</f>
        <v>ランキング1（本番実装用）</v>
      </c>
      <c r="E53" s="64">
        <v>3</v>
      </c>
      <c r="F53" s="60" t="str">
        <f ca="1">VLOOKUP($B53&amp;"_"&amp;$E53,OFFSET([2]stages!$A$1,0,0,COUNTA([2]stages!$A:$A),MATCH(F$1,[2]stages!$2:$2,0)-MATCH("temp_stage",[2]stages!$2:$2,0)+1),MATCH(F$1,[2]stages!$2:$2,0)-MATCH("temp_stage",[2]stages!$2:$2,0)+1,FALSE)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3" s="60" t="str">
        <f ca="1">VLOOKUP($B53&amp;"_"&amp;$E53,OFFSET([2]stages!$A$1,0,0,COUNTA([2]stages!$A:$A),MATCH(G$1,[2]stages!$2:$2,0)-MATCH("temp_stage",[2]stages!$2:$2,0)+1),MATCH(G$1,[2]stages!$2:$2,0)-MATCH("temp_stage",[2]stages!$2:$2,0)+1,FALSE)</f>
        <v>ランキング1（本番実装用）</v>
      </c>
      <c r="H53" s="62">
        <v>0</v>
      </c>
      <c r="I53">
        <v>29</v>
      </c>
      <c r="J53" s="61" t="s">
        <v>194</v>
      </c>
      <c r="K53" s="71" t="str">
        <f>VLOOKUP(I53,[6]stage_hints!$A:$C,3,FALSE)</f>
        <v>「バグ」のメリット</v>
      </c>
      <c r="L53" s="72" t="str">
        <f>VLOOKUP(I53,[6]stage_hints!$A:$D,4,FALSE)</f>
        <v>ユニットの「バグ」を増やすと_x000D_報酬をもらえる確率がアップします</v>
      </c>
      <c r="M53" s="35" t="s">
        <v>205</v>
      </c>
    </row>
    <row r="54" spans="1:13" x14ac:dyDescent="0.15">
      <c r="A54" s="58" t="s">
        <v>195</v>
      </c>
      <c r="B54" s="59">
        <f>floors!$C$2</f>
        <v>60006</v>
      </c>
      <c r="C54" s="60" t="str">
        <f ca="1">VLOOKUP($B54,OFFSET([2]quests!$A$1,0,0,COUNTA([2]quests!$A:$A),MATCH(C$1,[2]quests!$1:$1,0)-MATCH($B$1,[2]quests!$1:$1,0)+1),MATCH(C$1,[2]quests!$1:$1,0)-MATCH($B$1,[2]quests!$1:$1,0)+1,FALSE)</f>
        <v>オイラーチャレンジ</v>
      </c>
      <c r="D54" s="60" t="str">
        <f ca="1">VLOOKUP($B54,OFFSET([2]quests!$A$1,0,0,COUNTA([2]quests!$A:$A),MATCH(D$1,[2]quests!$1:$1,0)-MATCH($B$1,[2]quests!$1:$1,0)+1),MATCH(D$1,[2]quests!$1:$1,0)-MATCH($B$1,[2]quests!$1:$1,0)+1,FALSE)</f>
        <v>ランキング1（本番実装用）</v>
      </c>
      <c r="E54" s="64">
        <v>3</v>
      </c>
      <c r="F54" s="60" t="str">
        <f ca="1">VLOOKUP($B54&amp;"_"&amp;$E54,OFFSET([2]stages!$A$1,0,0,COUNTA([2]stages!$A:$A),MATCH(F$1,[2]stages!$2:$2,0)-MATCH("temp_stage",[2]stages!$2:$2,0)+1),MATCH(F$1,[2]stages!$2:$2,0)-MATCH("temp_stage",[2]stages!$2:$2,0)+1,FALSE)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4" s="60" t="str">
        <f ca="1">VLOOKUP($B54&amp;"_"&amp;$E54,OFFSET([2]stages!$A$1,0,0,COUNTA([2]stages!$A:$A),MATCH(G$1,[2]stages!$2:$2,0)-MATCH("temp_stage",[2]stages!$2:$2,0)+1),MATCH(G$1,[2]stages!$2:$2,0)-MATCH("temp_stage",[2]stages!$2:$2,0)+1,FALSE)</f>
        <v>ランキング1（本番実装用）</v>
      </c>
      <c r="H54" s="62">
        <v>0</v>
      </c>
      <c r="I54">
        <v>30</v>
      </c>
      <c r="J54" s="61" t="s">
        <v>194</v>
      </c>
      <c r="K54" s="71" t="str">
        <f>VLOOKUP(I54,[6]stage_hints!$A:$C,3,FALSE)</f>
        <v>「バグ」の増やし方</v>
      </c>
      <c r="L54" s="72" t="str">
        <f>VLOOKUP(I54,[6]stage_hints!$A:$D,4,FALSE)</f>
        <v>同じユニット同士を強化で合成すると_x000D_「バグ」を増やすことができます</v>
      </c>
      <c r="M54" s="35" t="s">
        <v>205</v>
      </c>
    </row>
    <row r="55" spans="1:13" x14ac:dyDescent="0.15">
      <c r="A55" s="58" t="s">
        <v>195</v>
      </c>
      <c r="B55" s="59">
        <f>floors!$C$2</f>
        <v>60006</v>
      </c>
      <c r="C55" s="60" t="str">
        <f ca="1">VLOOKUP($B55,OFFSET([2]quests!$A$1,0,0,COUNTA([2]quests!$A:$A),MATCH(C$1,[2]quests!$1:$1,0)-MATCH($B$1,[2]quests!$1:$1,0)+1),MATCH(C$1,[2]quests!$1:$1,0)-MATCH($B$1,[2]quests!$1:$1,0)+1,FALSE)</f>
        <v>オイラーチャレンジ</v>
      </c>
      <c r="D55" s="60" t="str">
        <f ca="1">VLOOKUP($B55,OFFSET([2]quests!$A$1,0,0,COUNTA([2]quests!$A:$A),MATCH(D$1,[2]quests!$1:$1,0)-MATCH($B$1,[2]quests!$1:$1,0)+1),MATCH(D$1,[2]quests!$1:$1,0)-MATCH($B$1,[2]quests!$1:$1,0)+1,FALSE)</f>
        <v>ランキング1（本番実装用）</v>
      </c>
      <c r="E55" s="64">
        <v>3</v>
      </c>
      <c r="F55" s="60" t="str">
        <f ca="1">VLOOKUP($B55&amp;"_"&amp;$E55,OFFSET([2]stages!$A$1,0,0,COUNTA([2]stages!$A:$A),MATCH(F$1,[2]stages!$2:$2,0)-MATCH("temp_stage",[2]stages!$2:$2,0)+1),MATCH(F$1,[2]stages!$2:$2,0)-MATCH("temp_stage",[2]stages!$2:$2,0)+1,FALSE)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5" s="60" t="str">
        <f ca="1">VLOOKUP($B55&amp;"_"&amp;$E55,OFFSET([2]stages!$A$1,0,0,COUNTA([2]stages!$A:$A),MATCH(G$1,[2]stages!$2:$2,0)-MATCH("temp_stage",[2]stages!$2:$2,0)+1),MATCH(G$1,[2]stages!$2:$2,0)-MATCH("temp_stage",[2]stages!$2:$2,0)+1,FALSE)</f>
        <v>ランキング1（本番実装用）</v>
      </c>
      <c r="H55" s="62">
        <v>0</v>
      </c>
      <c r="I55">
        <v>32</v>
      </c>
      <c r="J55" s="61" t="s">
        <v>194</v>
      </c>
      <c r="K55" s="71" t="str">
        <f>VLOOKUP(I55,[6]stage_hints!$A:$C,3,FALSE)</f>
        <v>敵の連続攻撃には</v>
      </c>
      <c r="L55" s="72" t="str">
        <f>VLOOKUP(I55,[6]stage_hints!$A:$D,4,FALSE)</f>
        <v>カウンタースキルを持つユニットがいれば_x000D_ダメージ回数分の反撃ができます</v>
      </c>
      <c r="M55" s="35" t="s">
        <v>205</v>
      </c>
    </row>
    <row r="56" spans="1:13" x14ac:dyDescent="0.15">
      <c r="A56" s="58" t="s">
        <v>195</v>
      </c>
      <c r="B56" s="59">
        <f>floors!$C$2</f>
        <v>60006</v>
      </c>
      <c r="C56" s="60" t="str">
        <f ca="1">VLOOKUP($B56,OFFSET([2]quests!$A$1,0,0,COUNTA([2]quests!$A:$A),MATCH(C$1,[2]quests!$1:$1,0)-MATCH($B$1,[2]quests!$1:$1,0)+1),MATCH(C$1,[2]quests!$1:$1,0)-MATCH($B$1,[2]quests!$1:$1,0)+1,FALSE)</f>
        <v>オイラーチャレンジ</v>
      </c>
      <c r="D56" s="60" t="str">
        <f ca="1">VLOOKUP($B56,OFFSET([2]quests!$A$1,0,0,COUNTA([2]quests!$A:$A),MATCH(D$1,[2]quests!$1:$1,0)-MATCH($B$1,[2]quests!$1:$1,0)+1),MATCH(D$1,[2]quests!$1:$1,0)-MATCH($B$1,[2]quests!$1:$1,0)+1,FALSE)</f>
        <v>ランキング1（本番実装用）</v>
      </c>
      <c r="E56" s="64">
        <v>3</v>
      </c>
      <c r="F56" s="60" t="str">
        <f ca="1">VLOOKUP($B56&amp;"_"&amp;$E56,OFFSET([2]stages!$A$1,0,0,COUNTA([2]stages!$A:$A),MATCH(F$1,[2]stages!$2:$2,0)-MATCH("temp_stage",[2]stages!$2:$2,0)+1),MATCH(F$1,[2]stages!$2:$2,0)-MATCH("temp_stage",[2]stages!$2:$2,0)+1,FALSE)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6" s="60" t="str">
        <f ca="1">VLOOKUP($B56&amp;"_"&amp;$E56,OFFSET([2]stages!$A$1,0,0,COUNTA([2]stages!$A:$A),MATCH(G$1,[2]stages!$2:$2,0)-MATCH("temp_stage",[2]stages!$2:$2,0)+1),MATCH(G$1,[2]stages!$2:$2,0)-MATCH("temp_stage",[2]stages!$2:$2,0)+1,FALSE)</f>
        <v>ランキング1（本番実装用）</v>
      </c>
      <c r="H56" s="62">
        <v>0</v>
      </c>
      <c r="I56">
        <v>33</v>
      </c>
      <c r="J56" s="61" t="s">
        <v>194</v>
      </c>
      <c r="K56" s="71" t="str">
        <f>VLOOKUP(I56,[6]stage_hints!$A:$C,3,FALSE)</f>
        <v>敵のカウンター攻撃には</v>
      </c>
      <c r="L56" s="72" t="str">
        <f>VLOOKUP(I56,[6]stage_hints!$A:$D,4,FALSE)</f>
        <v>カウンターブレイクスキルを持っていれば_x000D_敵のカウンターを解除して攻撃ができます</v>
      </c>
      <c r="M56" s="35" t="s">
        <v>205</v>
      </c>
    </row>
    <row r="57" spans="1:13" x14ac:dyDescent="0.15">
      <c r="A57" s="58" t="s">
        <v>195</v>
      </c>
      <c r="B57" s="59">
        <f>floors!$C$2</f>
        <v>60006</v>
      </c>
      <c r="C57" s="60" t="str">
        <f ca="1">VLOOKUP($B57,OFFSET([2]quests!$A$1,0,0,COUNTA([2]quests!$A:$A),MATCH(C$1,[2]quests!$1:$1,0)-MATCH($B$1,[2]quests!$1:$1,0)+1),MATCH(C$1,[2]quests!$1:$1,0)-MATCH($B$1,[2]quests!$1:$1,0)+1,FALSE)</f>
        <v>オイラーチャレンジ</v>
      </c>
      <c r="D57" s="60" t="str">
        <f ca="1">VLOOKUP($B57,OFFSET([2]quests!$A$1,0,0,COUNTA([2]quests!$A:$A),MATCH(D$1,[2]quests!$1:$1,0)-MATCH($B$1,[2]quests!$1:$1,0)+1),MATCH(D$1,[2]quests!$1:$1,0)-MATCH($B$1,[2]quests!$1:$1,0)+1,FALSE)</f>
        <v>ランキング1（本番実装用）</v>
      </c>
      <c r="E57" s="64">
        <v>3</v>
      </c>
      <c r="F57" s="60" t="str">
        <f ca="1">VLOOKUP($B57&amp;"_"&amp;$E57,OFFSET([2]stages!$A$1,0,0,COUNTA([2]stages!$A:$A),MATCH(F$1,[2]stages!$2:$2,0)-MATCH("temp_stage",[2]stages!$2:$2,0)+1),MATCH(F$1,[2]stages!$2:$2,0)-MATCH("temp_stage",[2]stages!$2:$2,0)+1,FALSE)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7" s="60" t="str">
        <f ca="1">VLOOKUP($B57&amp;"_"&amp;$E57,OFFSET([2]stages!$A$1,0,0,COUNTA([2]stages!$A:$A),MATCH(G$1,[2]stages!$2:$2,0)-MATCH("temp_stage",[2]stages!$2:$2,0)+1),MATCH(G$1,[2]stages!$2:$2,0)-MATCH("temp_stage",[2]stages!$2:$2,0)+1,FALSE)</f>
        <v>ランキング1（本番実装用）</v>
      </c>
      <c r="H57" s="62">
        <v>0</v>
      </c>
      <c r="I57">
        <v>34</v>
      </c>
      <c r="J57" s="61" t="s">
        <v>194</v>
      </c>
      <c r="K57" s="71" t="str">
        <f>VLOOKUP(I57,[6]stage_hints!$A:$C,3,FALSE)</f>
        <v>ステータスをスキルで下げられたら</v>
      </c>
      <c r="L57" s="72" t="str">
        <f>VLOOKUP(I57,[6]stage_hints!$A:$D,4,FALSE)</f>
        <v>ステータスダウンのスキルを受けたら_x000D_ステータスアップスキルで上書きしましょう</v>
      </c>
      <c r="M57" s="35" t="s">
        <v>205</v>
      </c>
    </row>
    <row r="58" spans="1:13" x14ac:dyDescent="0.15">
      <c r="A58" s="58" t="s">
        <v>195</v>
      </c>
      <c r="B58" s="59">
        <f>floors!$C$2</f>
        <v>60006</v>
      </c>
      <c r="C58" s="60" t="str">
        <f ca="1">VLOOKUP($B58,OFFSET([2]quests!$A$1,0,0,COUNTA([2]quests!$A:$A),MATCH(C$1,[2]quests!$1:$1,0)-MATCH($B$1,[2]quests!$1:$1,0)+1),MATCH(C$1,[2]quests!$1:$1,0)-MATCH($B$1,[2]quests!$1:$1,0)+1,FALSE)</f>
        <v>オイラーチャレンジ</v>
      </c>
      <c r="D58" s="60" t="str">
        <f ca="1">VLOOKUP($B58,OFFSET([2]quests!$A$1,0,0,COUNTA([2]quests!$A:$A),MATCH(D$1,[2]quests!$1:$1,0)-MATCH($B$1,[2]quests!$1:$1,0)+1),MATCH(D$1,[2]quests!$1:$1,0)-MATCH($B$1,[2]quests!$1:$1,0)+1,FALSE)</f>
        <v>ランキング1（本番実装用）</v>
      </c>
      <c r="E58" s="64">
        <v>3</v>
      </c>
      <c r="F58" s="60" t="str">
        <f ca="1">VLOOKUP($B58&amp;"_"&amp;$E58,OFFSET([2]stages!$A$1,0,0,COUNTA([2]stages!$A:$A),MATCH(F$1,[2]stages!$2:$2,0)-MATCH("temp_stage",[2]stages!$2:$2,0)+1),MATCH(F$1,[2]stages!$2:$2,0)-MATCH("temp_stage",[2]stages!$2:$2,0)+1,FALSE)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8" s="60" t="str">
        <f ca="1">VLOOKUP($B58&amp;"_"&amp;$E58,OFFSET([2]stages!$A$1,0,0,COUNTA([2]stages!$A:$A),MATCH(G$1,[2]stages!$2:$2,0)-MATCH("temp_stage",[2]stages!$2:$2,0)+1),MATCH(G$1,[2]stages!$2:$2,0)-MATCH("temp_stage",[2]stages!$2:$2,0)+1,FALSE)</f>
        <v>ランキング1（本番実装用）</v>
      </c>
      <c r="H58" s="62">
        <v>0</v>
      </c>
      <c r="I58">
        <v>35</v>
      </c>
      <c r="J58" s="61" t="s">
        <v>194</v>
      </c>
      <c r="K58" s="71" t="str">
        <f>VLOOKUP(I58,[6]stage_hints!$A:$C,3,FALSE)</f>
        <v>敵のステータスがスキルで上がったら</v>
      </c>
      <c r="L58" s="72" t="str">
        <f>VLOOKUP(I58,[6]stage_hints!$A:$D,4,FALSE)</f>
        <v>敵のステータスがスキルでアップしたときは_x000D_ステータスダウンスキルで上書きしましょう</v>
      </c>
      <c r="M58" s="35" t="s">
        <v>205</v>
      </c>
    </row>
    <row r="59" spans="1:13" x14ac:dyDescent="0.15">
      <c r="A59" s="58" t="s">
        <v>195</v>
      </c>
      <c r="B59" s="59">
        <f>floors!$C$2</f>
        <v>60006</v>
      </c>
      <c r="C59" s="60" t="str">
        <f ca="1">VLOOKUP($B59,OFFSET([2]quests!$A$1,0,0,COUNTA([2]quests!$A:$A),MATCH(C$1,[2]quests!$1:$1,0)-MATCH($B$1,[2]quests!$1:$1,0)+1),MATCH(C$1,[2]quests!$1:$1,0)-MATCH($B$1,[2]quests!$1:$1,0)+1,FALSE)</f>
        <v>オイラーチャレンジ</v>
      </c>
      <c r="D59" s="60" t="str">
        <f ca="1">VLOOKUP($B59,OFFSET([2]quests!$A$1,0,0,COUNTA([2]quests!$A:$A),MATCH(D$1,[2]quests!$1:$1,0)-MATCH($B$1,[2]quests!$1:$1,0)+1),MATCH(D$1,[2]quests!$1:$1,0)-MATCH($B$1,[2]quests!$1:$1,0)+1,FALSE)</f>
        <v>ランキング1（本番実装用）</v>
      </c>
      <c r="E59" s="64">
        <v>3</v>
      </c>
      <c r="F59" s="60" t="str">
        <f ca="1">VLOOKUP($B59&amp;"_"&amp;$E59,OFFSET([2]stages!$A$1,0,0,COUNTA([2]stages!$A:$A),MATCH(F$1,[2]stages!$2:$2,0)-MATCH("temp_stage",[2]stages!$2:$2,0)+1),MATCH(F$1,[2]stages!$2:$2,0)-MATCH("temp_stage",[2]stages!$2:$2,0)+1,FALSE)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59" s="60" t="str">
        <f ca="1">VLOOKUP($B59&amp;"_"&amp;$E59,OFFSET([2]stages!$A$1,0,0,COUNTA([2]stages!$A:$A),MATCH(G$1,[2]stages!$2:$2,0)-MATCH("temp_stage",[2]stages!$2:$2,0)+1),MATCH(G$1,[2]stages!$2:$2,0)-MATCH("temp_stage",[2]stages!$2:$2,0)+1,FALSE)</f>
        <v>ランキング1（本番実装用）</v>
      </c>
      <c r="H59" s="62">
        <v>0</v>
      </c>
      <c r="I59">
        <v>36</v>
      </c>
      <c r="J59" s="61" t="s">
        <v>194</v>
      </c>
      <c r="K59" s="71" t="str">
        <f>VLOOKUP(I59,[6]stage_hints!$A:$C,3,FALSE)</f>
        <v>チャレンジタワーのボス</v>
      </c>
      <c r="L59" s="72" t="str">
        <f>VLOOKUP(I59,[6]stage_hints!$A:$D,4,FALSE)</f>
        <v>チャレンジタワーでのみ登場するボスは_x000D_一定確率で獲得することができます</v>
      </c>
      <c r="M59" s="35" t="s">
        <v>205</v>
      </c>
    </row>
    <row r="60" spans="1:13" x14ac:dyDescent="0.15">
      <c r="A60" s="58" t="s">
        <v>195</v>
      </c>
      <c r="B60" s="59">
        <f>floors!$C$2</f>
        <v>60006</v>
      </c>
      <c r="C60" s="60" t="str">
        <f ca="1">VLOOKUP($B60,OFFSET([2]quests!$A$1,0,0,COUNTA([2]quests!$A:$A),MATCH(C$1,[2]quests!$1:$1,0)-MATCH($B$1,[2]quests!$1:$1,0)+1),MATCH(C$1,[2]quests!$1:$1,0)-MATCH($B$1,[2]quests!$1:$1,0)+1,FALSE)</f>
        <v>オイラーチャレンジ</v>
      </c>
      <c r="D60" s="60" t="str">
        <f ca="1">VLOOKUP($B60,OFFSET([2]quests!$A$1,0,0,COUNTA([2]quests!$A:$A),MATCH(D$1,[2]quests!$1:$1,0)-MATCH($B$1,[2]quests!$1:$1,0)+1),MATCH(D$1,[2]quests!$1:$1,0)-MATCH($B$1,[2]quests!$1:$1,0)+1,FALSE)</f>
        <v>ランキング1（本番実装用）</v>
      </c>
      <c r="E60" s="64">
        <v>3</v>
      </c>
      <c r="F60" s="60" t="str">
        <f ca="1">VLOOKUP($B60&amp;"_"&amp;$E60,OFFSET([2]stages!$A$1,0,0,COUNTA([2]stages!$A:$A),MATCH(F$1,[2]stages!$2:$2,0)-MATCH("temp_stage",[2]stages!$2:$2,0)+1),MATCH(F$1,[2]stages!$2:$2,0)-MATCH("temp_stage",[2]stages!$2:$2,0)+1,FALSE)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60" s="60" t="str">
        <f ca="1">VLOOKUP($B60&amp;"_"&amp;$E60,OFFSET([2]stages!$A$1,0,0,COUNTA([2]stages!$A:$A),MATCH(G$1,[2]stages!$2:$2,0)-MATCH("temp_stage",[2]stages!$2:$2,0)+1),MATCH(G$1,[2]stages!$2:$2,0)-MATCH("temp_stage",[2]stages!$2:$2,0)+1,FALSE)</f>
        <v>ランキング1（本番実装用）</v>
      </c>
      <c r="H60" s="62">
        <v>0</v>
      </c>
      <c r="I60">
        <v>37</v>
      </c>
      <c r="J60" s="61" t="s">
        <v>194</v>
      </c>
      <c r="K60" s="71" t="str">
        <f>VLOOKUP(I60,[6]stage_hints!$A:$C,3,FALSE)</f>
        <v>限界突破値の引き継ぎ</v>
      </c>
      <c r="L60" s="72" t="str">
        <f>VLOOKUP(I60,[6]stage_hints!$A:$D,4,FALSE)</f>
        <v>同じユニットを強化で合成すると_x000D_限界突破値を引き継げます（覚醒前後も可）</v>
      </c>
      <c r="M60" s="35" t="s">
        <v>205</v>
      </c>
    </row>
    <row r="61" spans="1:13" x14ac:dyDescent="0.15">
      <c r="A61" s="58" t="s">
        <v>195</v>
      </c>
      <c r="B61" s="59">
        <f>floors!$C$2</f>
        <v>60006</v>
      </c>
      <c r="C61" s="60" t="str">
        <f ca="1">VLOOKUP($B61,OFFSET([2]quests!$A$1,0,0,COUNTA([2]quests!$A:$A),MATCH(C$1,[2]quests!$1:$1,0)-MATCH($B$1,[2]quests!$1:$1,0)+1),MATCH(C$1,[2]quests!$1:$1,0)-MATCH($B$1,[2]quests!$1:$1,0)+1,FALSE)</f>
        <v>オイラーチャレンジ</v>
      </c>
      <c r="D61" s="60" t="str">
        <f ca="1">VLOOKUP($B61,OFFSET([2]quests!$A$1,0,0,COUNTA([2]quests!$A:$A),MATCH(D$1,[2]quests!$1:$1,0)-MATCH($B$1,[2]quests!$1:$1,0)+1),MATCH(D$1,[2]quests!$1:$1,0)-MATCH($B$1,[2]quests!$1:$1,0)+1,FALSE)</f>
        <v>ランキング1（本番実装用）</v>
      </c>
      <c r="E61" s="64">
        <v>3</v>
      </c>
      <c r="F61" s="60" t="str">
        <f ca="1">VLOOKUP($B61&amp;"_"&amp;$E61,OFFSET([2]stages!$A$1,0,0,COUNTA([2]stages!$A:$A),MATCH(F$1,[2]stages!$2:$2,0)-MATCH("temp_stage",[2]stages!$2:$2,0)+1),MATCH(F$1,[2]stages!$2:$2,0)-MATCH("temp_stage",[2]stages!$2:$2,0)+1,FALSE)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61" s="60" t="str">
        <f ca="1">VLOOKUP($B61&amp;"_"&amp;$E61,OFFSET([2]stages!$A$1,0,0,COUNTA([2]stages!$A:$A),MATCH(G$1,[2]stages!$2:$2,0)-MATCH("temp_stage",[2]stages!$2:$2,0)+1),MATCH(G$1,[2]stages!$2:$2,0)-MATCH("temp_stage",[2]stages!$2:$2,0)+1,FALSE)</f>
        <v>ランキング1（本番実装用）</v>
      </c>
      <c r="H61" s="62">
        <v>0</v>
      </c>
      <c r="I61">
        <v>39</v>
      </c>
      <c r="J61" s="61" t="s">
        <v>194</v>
      </c>
      <c r="K61" s="71" t="str">
        <f>VLOOKUP(I61,[6]stage_hints!$A:$C,3,FALSE)</f>
        <v>システム適合者を確認</v>
      </c>
      <c r="L61" s="72" t="str">
        <f>VLOOKUP(I61,[6]stage_hints!$A:$D,4,FALSE)</f>
        <v>ALICEが「アナタ」を呼んでいます</v>
      </c>
      <c r="M61" s="35" t="s">
        <v>205</v>
      </c>
    </row>
    <row r="62" spans="1:13" x14ac:dyDescent="0.15">
      <c r="A62" s="58" t="s">
        <v>195</v>
      </c>
      <c r="B62" s="59">
        <v>60007</v>
      </c>
      <c r="C62" s="60" t="str">
        <f ca="1">VLOOKUP($B62,OFFSET([2]quests!$A$1,0,0,COUNTA([2]quests!$A:$A),MATCH(C$1,[2]quests!$1:$1,0)-MATCH($B$1,[2]quests!$1:$1,0)+1),MATCH(C$1,[2]quests!$1:$1,0)-MATCH($B$1,[2]quests!$1:$1,0)+1,FALSE)</f>
        <v>オイラーチャレンジ</v>
      </c>
      <c r="D62" s="60" t="str">
        <f ca="1">VLOOKUP($B62,OFFSET([2]quests!$A$1,0,0,COUNTA([2]quests!$A:$A),MATCH(D$1,[2]quests!$1:$1,0)-MATCH($B$1,[2]quests!$1:$1,0)+1),MATCH(D$1,[2]quests!$1:$1,0)-MATCH($B$1,[2]quests!$1:$1,0)+1,FALSE)</f>
        <v>ランキング1（改修版）</v>
      </c>
      <c r="E62" s="64">
        <v>1</v>
      </c>
      <c r="F62" s="60" t="str">
        <f ca="1">VLOOKUP($B62&amp;"_"&amp;$E62,OFFSET([2]stages!$A$1,0,0,COUNTA([2]stages!$A:$A),MATCH(F$1,[2]stages!$2:$2,0)-MATCH("temp_stage",[2]stages!$2:$2,0)+1),MATCH(F$1,[2]stages!$2:$2,0)-MATCH("temp_stage",[2]stages!$2:$2,0)+1,FALSE)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62" s="60" t="str">
        <f ca="1">VLOOKUP($B62&amp;"_"&amp;$E62,OFFSET([2]stages!$A$1,0,0,COUNTA([2]stages!$A:$A),MATCH(G$1,[2]stages!$2:$2,0)-MATCH("temp_stage",[2]stages!$2:$2,0)+1),MATCH(G$1,[2]stages!$2:$2,0)-MATCH("temp_stage",[2]stages!$2:$2,0)+1,FALSE)</f>
        <v>ランキング1（改修版）</v>
      </c>
      <c r="H62" s="62">
        <v>0</v>
      </c>
      <c r="I62">
        <v>3</v>
      </c>
      <c r="J62" s="61" t="s">
        <v>194</v>
      </c>
      <c r="K62" s="71" t="str">
        <f>VLOOKUP(I62,[6]stage_hints!$A:$C,3,FALSE)</f>
        <v>ターゲット</v>
      </c>
      <c r="L62" s="72" t="str">
        <f>VLOOKUP(I62,[6]stage_hints!$A:$D,4,FALSE)</f>
        <v>敵ユニットをタップすると_x000D_その敵を狙い撃ちできます</v>
      </c>
      <c r="M62" s="35" t="s">
        <v>205</v>
      </c>
    </row>
    <row r="63" spans="1:13" x14ac:dyDescent="0.15">
      <c r="A63" s="58" t="s">
        <v>195</v>
      </c>
      <c r="B63" s="59">
        <v>60007</v>
      </c>
      <c r="C63" s="60" t="str">
        <f ca="1">VLOOKUP($B63,OFFSET([2]quests!$A$1,0,0,COUNTA([2]quests!$A:$A),MATCH(C$1,[2]quests!$1:$1,0)-MATCH($B$1,[2]quests!$1:$1,0)+1),MATCH(C$1,[2]quests!$1:$1,0)-MATCH($B$1,[2]quests!$1:$1,0)+1,FALSE)</f>
        <v>オイラーチャレンジ</v>
      </c>
      <c r="D63" s="60" t="str">
        <f ca="1">VLOOKUP($B63,OFFSET([2]quests!$A$1,0,0,COUNTA([2]quests!$A:$A),MATCH(D$1,[2]quests!$1:$1,0)-MATCH($B$1,[2]quests!$1:$1,0)+1),MATCH(D$1,[2]quests!$1:$1,0)-MATCH($B$1,[2]quests!$1:$1,0)+1,FALSE)</f>
        <v>ランキング1（改修版）</v>
      </c>
      <c r="E63" s="64">
        <v>1</v>
      </c>
      <c r="F63" s="60" t="str">
        <f ca="1">VLOOKUP($B63&amp;"_"&amp;$E63,OFFSET([2]stages!$A$1,0,0,COUNTA([2]stages!$A:$A),MATCH(F$1,[2]stages!$2:$2,0)-MATCH("temp_stage",[2]stages!$2:$2,0)+1),MATCH(F$1,[2]stages!$2:$2,0)-MATCH("temp_stage",[2]stages!$2:$2,0)+1,FALSE)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63" s="60" t="str">
        <f ca="1">VLOOKUP($B63&amp;"_"&amp;$E63,OFFSET([2]stages!$A$1,0,0,COUNTA([2]stages!$A:$A),MATCH(G$1,[2]stages!$2:$2,0)-MATCH("temp_stage",[2]stages!$2:$2,0)+1),MATCH(G$1,[2]stages!$2:$2,0)-MATCH("temp_stage",[2]stages!$2:$2,0)+1,FALSE)</f>
        <v>ランキング1（改修版）</v>
      </c>
      <c r="H63" s="62">
        <v>0</v>
      </c>
      <c r="I63">
        <v>6</v>
      </c>
      <c r="J63" s="61" t="s">
        <v>194</v>
      </c>
      <c r="K63" s="71" t="str">
        <f>VLOOKUP(I63,[6]stage_hints!$A:$C,3,FALSE)</f>
        <v>ユニット強化の属性ボーナス</v>
      </c>
      <c r="L63" s="72" t="str">
        <f>VLOOKUP(I63,[6]stage_hints!$A:$D,4,FALSE)</f>
        <v>同属性ユニットを強化素材にすると_x000D_経験値が多くもらえます</v>
      </c>
      <c r="M63" s="35" t="s">
        <v>205</v>
      </c>
    </row>
    <row r="64" spans="1:13" x14ac:dyDescent="0.15">
      <c r="A64" s="58" t="s">
        <v>195</v>
      </c>
      <c r="B64" s="59">
        <v>60007</v>
      </c>
      <c r="C64" s="60" t="str">
        <f ca="1">VLOOKUP($B64,OFFSET([2]quests!$A$1,0,0,COUNTA([2]quests!$A:$A),MATCH(C$1,[2]quests!$1:$1,0)-MATCH($B$1,[2]quests!$1:$1,0)+1),MATCH(C$1,[2]quests!$1:$1,0)-MATCH($B$1,[2]quests!$1:$1,0)+1,FALSE)</f>
        <v>オイラーチャレンジ</v>
      </c>
      <c r="D64" s="60" t="str">
        <f ca="1">VLOOKUP($B64,OFFSET([2]quests!$A$1,0,0,COUNTA([2]quests!$A:$A),MATCH(D$1,[2]quests!$1:$1,0)-MATCH($B$1,[2]quests!$1:$1,0)+1),MATCH(D$1,[2]quests!$1:$1,0)-MATCH($B$1,[2]quests!$1:$1,0)+1,FALSE)</f>
        <v>ランキング1（改修版）</v>
      </c>
      <c r="E64" s="64">
        <v>1</v>
      </c>
      <c r="F64" s="60" t="str">
        <f ca="1">VLOOKUP($B64&amp;"_"&amp;$E64,OFFSET([2]stages!$A$1,0,0,COUNTA([2]stages!$A:$A),MATCH(F$1,[2]stages!$2:$2,0)-MATCH("temp_stage",[2]stages!$2:$2,0)+1),MATCH(F$1,[2]stages!$2:$2,0)-MATCH("temp_stage",[2]stages!$2:$2,0)+1,FALSE)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64" s="60" t="str">
        <f ca="1">VLOOKUP($B64&amp;"_"&amp;$E64,OFFSET([2]stages!$A$1,0,0,COUNTA([2]stages!$A:$A),MATCH(G$1,[2]stages!$2:$2,0)-MATCH("temp_stage",[2]stages!$2:$2,0)+1),MATCH(G$1,[2]stages!$2:$2,0)-MATCH("temp_stage",[2]stages!$2:$2,0)+1,FALSE)</f>
        <v>ランキング1（改修版）</v>
      </c>
      <c r="H64" s="62">
        <v>0</v>
      </c>
      <c r="I64">
        <v>7</v>
      </c>
      <c r="J64" s="61" t="s">
        <v>194</v>
      </c>
      <c r="K64" s="71" t="str">
        <f>VLOOKUP(I64,[6]stage_hints!$A:$C,3,FALSE)</f>
        <v>メタルダックで経験値を獲得</v>
      </c>
      <c r="L64" s="72" t="str">
        <f>VLOOKUP(I64,[6]stage_hints!$A:$D,4,FALSE)</f>
        <v>「メタルなアヒル」を強化素材にすると_x000D_大量の経験値がもらえます</v>
      </c>
      <c r="M64" s="35" t="s">
        <v>205</v>
      </c>
    </row>
    <row r="65" spans="1:13" x14ac:dyDescent="0.15">
      <c r="A65" s="58" t="s">
        <v>195</v>
      </c>
      <c r="B65" s="59">
        <v>60007</v>
      </c>
      <c r="C65" s="60" t="str">
        <f ca="1">VLOOKUP($B65,OFFSET([2]quests!$A$1,0,0,COUNTA([2]quests!$A:$A),MATCH(C$1,[2]quests!$1:$1,0)-MATCH($B$1,[2]quests!$1:$1,0)+1),MATCH(C$1,[2]quests!$1:$1,0)-MATCH($B$1,[2]quests!$1:$1,0)+1,FALSE)</f>
        <v>オイラーチャレンジ</v>
      </c>
      <c r="D65" s="60" t="str">
        <f ca="1">VLOOKUP($B65,OFFSET([2]quests!$A$1,0,0,COUNTA([2]quests!$A:$A),MATCH(D$1,[2]quests!$1:$1,0)-MATCH($B$1,[2]quests!$1:$1,0)+1),MATCH(D$1,[2]quests!$1:$1,0)-MATCH($B$1,[2]quests!$1:$1,0)+1,FALSE)</f>
        <v>ランキング1（改修版）</v>
      </c>
      <c r="E65" s="64">
        <v>1</v>
      </c>
      <c r="F65" s="60" t="str">
        <f ca="1">VLOOKUP($B65&amp;"_"&amp;$E65,OFFSET([2]stages!$A$1,0,0,COUNTA([2]stages!$A:$A),MATCH(F$1,[2]stages!$2:$2,0)-MATCH("temp_stage",[2]stages!$2:$2,0)+1),MATCH(F$1,[2]stages!$2:$2,0)-MATCH("temp_stage",[2]stages!$2:$2,0)+1,FALSE)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65" s="60" t="str">
        <f ca="1">VLOOKUP($B65&amp;"_"&amp;$E65,OFFSET([2]stages!$A$1,0,0,COUNTA([2]stages!$A:$A),MATCH(G$1,[2]stages!$2:$2,0)-MATCH("temp_stage",[2]stages!$2:$2,0)+1),MATCH(G$1,[2]stages!$2:$2,0)-MATCH("temp_stage",[2]stages!$2:$2,0)+1,FALSE)</f>
        <v>ランキング1（改修版）</v>
      </c>
      <c r="H65" s="62">
        <v>0</v>
      </c>
      <c r="I65">
        <v>8</v>
      </c>
      <c r="J65" s="61" t="s">
        <v>194</v>
      </c>
      <c r="K65" s="71" t="str">
        <f>VLOOKUP(I65,[6]stage_hints!$A:$C,3,FALSE)</f>
        <v>ゲリラクエストは要チェック</v>
      </c>
      <c r="L65" s="72" t="str">
        <f>VLOOKUP(I65,[6]stage_hints!$A:$D,4,FALSE)</f>
        <v>時間限定の「アヒル捕獲作戦」では_x000D_経験値素材ユニットが多く手に入ります</v>
      </c>
      <c r="M65" s="35" t="s">
        <v>205</v>
      </c>
    </row>
    <row r="66" spans="1:13" x14ac:dyDescent="0.15">
      <c r="A66" s="58" t="s">
        <v>195</v>
      </c>
      <c r="B66" s="59">
        <v>60007</v>
      </c>
      <c r="C66" s="60" t="str">
        <f ca="1">VLOOKUP($B66,OFFSET([2]quests!$A$1,0,0,COUNTA([2]quests!$A:$A),MATCH(C$1,[2]quests!$1:$1,0)-MATCH($B$1,[2]quests!$1:$1,0)+1),MATCH(C$1,[2]quests!$1:$1,0)-MATCH($B$1,[2]quests!$1:$1,0)+1,FALSE)</f>
        <v>オイラーチャレンジ</v>
      </c>
      <c r="D66" s="60" t="str">
        <f ca="1">VLOOKUP($B66,OFFSET([2]quests!$A$1,0,0,COUNTA([2]quests!$A:$A),MATCH(D$1,[2]quests!$1:$1,0)-MATCH($B$1,[2]quests!$1:$1,0)+1),MATCH(D$1,[2]quests!$1:$1,0)-MATCH($B$1,[2]quests!$1:$1,0)+1,FALSE)</f>
        <v>ランキング1（改修版）</v>
      </c>
      <c r="E66" s="64">
        <v>1</v>
      </c>
      <c r="F66" s="60" t="str">
        <f ca="1">VLOOKUP($B66&amp;"_"&amp;$E66,OFFSET([2]stages!$A$1,0,0,COUNTA([2]stages!$A:$A),MATCH(F$1,[2]stages!$2:$2,0)-MATCH("temp_stage",[2]stages!$2:$2,0)+1),MATCH(F$1,[2]stages!$2:$2,0)-MATCH("temp_stage",[2]stages!$2:$2,0)+1,FALSE)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66" s="60" t="str">
        <f ca="1">VLOOKUP($B66&amp;"_"&amp;$E66,OFFSET([2]stages!$A$1,0,0,COUNTA([2]stages!$A:$A),MATCH(G$1,[2]stages!$2:$2,0)-MATCH("temp_stage",[2]stages!$2:$2,0)+1),MATCH(G$1,[2]stages!$2:$2,0)-MATCH("temp_stage",[2]stages!$2:$2,0)+1,FALSE)</f>
        <v>ランキング1（改修版）</v>
      </c>
      <c r="H66" s="62">
        <v>0</v>
      </c>
      <c r="I66">
        <v>9</v>
      </c>
      <c r="J66" s="61" t="s">
        <v>194</v>
      </c>
      <c r="K66" s="71" t="str">
        <f>VLOOKUP(I66,[6]stage_hints!$A:$C,3,FALSE)</f>
        <v>ゴールドダックでビットを獲得</v>
      </c>
      <c r="L66" s="72" t="str">
        <f>VLOOKUP(I66,[6]stage_hints!$A:$D,4,FALSE)</f>
        <v>「ゴールドなアヒル」を売却すると_x000D_大量のビットがもらえます</v>
      </c>
      <c r="M66" s="35" t="s">
        <v>205</v>
      </c>
    </row>
    <row r="67" spans="1:13" x14ac:dyDescent="0.15">
      <c r="A67" s="58" t="s">
        <v>195</v>
      </c>
      <c r="B67" s="59">
        <v>60007</v>
      </c>
      <c r="C67" s="60" t="str">
        <f ca="1">VLOOKUP($B67,OFFSET([2]quests!$A$1,0,0,COUNTA([2]quests!$A:$A),MATCH(C$1,[2]quests!$1:$1,0)-MATCH($B$1,[2]quests!$1:$1,0)+1),MATCH(C$1,[2]quests!$1:$1,0)-MATCH($B$1,[2]quests!$1:$1,0)+1,FALSE)</f>
        <v>オイラーチャレンジ</v>
      </c>
      <c r="D67" s="60" t="str">
        <f ca="1">VLOOKUP($B67,OFFSET([2]quests!$A$1,0,0,COUNTA([2]quests!$A:$A),MATCH(D$1,[2]quests!$1:$1,0)-MATCH($B$1,[2]quests!$1:$1,0)+1),MATCH(D$1,[2]quests!$1:$1,0)-MATCH($B$1,[2]quests!$1:$1,0)+1,FALSE)</f>
        <v>ランキング1（改修版）</v>
      </c>
      <c r="E67" s="64">
        <v>1</v>
      </c>
      <c r="F67" s="60" t="str">
        <f ca="1">VLOOKUP($B67&amp;"_"&amp;$E67,OFFSET([2]stages!$A$1,0,0,COUNTA([2]stages!$A:$A),MATCH(F$1,[2]stages!$2:$2,0)-MATCH("temp_stage",[2]stages!$2:$2,0)+1),MATCH(F$1,[2]stages!$2:$2,0)-MATCH("temp_stage",[2]stages!$2:$2,0)+1,FALSE)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67" s="60" t="str">
        <f ca="1">VLOOKUP($B67&amp;"_"&amp;$E67,OFFSET([2]stages!$A$1,0,0,COUNTA([2]stages!$A:$A),MATCH(G$1,[2]stages!$2:$2,0)-MATCH("temp_stage",[2]stages!$2:$2,0)+1),MATCH(G$1,[2]stages!$2:$2,0)-MATCH("temp_stage",[2]stages!$2:$2,0)+1,FALSE)</f>
        <v>ランキング1（改修版）</v>
      </c>
      <c r="H67" s="62">
        <v>0</v>
      </c>
      <c r="I67">
        <v>10</v>
      </c>
      <c r="J67" s="61" t="s">
        <v>194</v>
      </c>
      <c r="K67" s="71" t="str">
        <f>VLOOKUP(I67,[6]stage_hints!$A:$C,3,FALSE)</f>
        <v>土日に大量のビットを獲得</v>
      </c>
      <c r="L67" s="72" t="str">
        <f>VLOOKUP(I67,[6]stage_hints!$A:$D,4,FALSE)</f>
        <v>土日限定の「ゴールドカジノ」では_x000D_売却素材ユニットが多く手に入ります</v>
      </c>
      <c r="M67" s="35" t="s">
        <v>205</v>
      </c>
    </row>
    <row r="68" spans="1:13" x14ac:dyDescent="0.15">
      <c r="A68" s="58" t="s">
        <v>195</v>
      </c>
      <c r="B68" s="59">
        <v>60007</v>
      </c>
      <c r="C68" s="60" t="str">
        <f ca="1">VLOOKUP($B68,OFFSET([2]quests!$A$1,0,0,COUNTA([2]quests!$A:$A),MATCH(C$1,[2]quests!$1:$1,0)-MATCH($B$1,[2]quests!$1:$1,0)+1),MATCH(C$1,[2]quests!$1:$1,0)-MATCH($B$1,[2]quests!$1:$1,0)+1,FALSE)</f>
        <v>オイラーチャレンジ</v>
      </c>
      <c r="D68" s="60" t="str">
        <f ca="1">VLOOKUP($B68,OFFSET([2]quests!$A$1,0,0,COUNTA([2]quests!$A:$A),MATCH(D$1,[2]quests!$1:$1,0)-MATCH($B$1,[2]quests!$1:$1,0)+1),MATCH(D$1,[2]quests!$1:$1,0)-MATCH($B$1,[2]quests!$1:$1,0)+1,FALSE)</f>
        <v>ランキング1（改修版）</v>
      </c>
      <c r="E68" s="64">
        <v>1</v>
      </c>
      <c r="F68" s="60" t="str">
        <f ca="1">VLOOKUP($B68&amp;"_"&amp;$E68,OFFSET([2]stages!$A$1,0,0,COUNTA([2]stages!$A:$A),MATCH(F$1,[2]stages!$2:$2,0)-MATCH("temp_stage",[2]stages!$2:$2,0)+1),MATCH(F$1,[2]stages!$2:$2,0)-MATCH("temp_stage",[2]stages!$2:$2,0)+1,FALSE)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68" s="60" t="str">
        <f ca="1">VLOOKUP($B68&amp;"_"&amp;$E68,OFFSET([2]stages!$A$1,0,0,COUNTA([2]stages!$A:$A),MATCH(G$1,[2]stages!$2:$2,0)-MATCH("temp_stage",[2]stages!$2:$2,0)+1),MATCH(G$1,[2]stages!$2:$2,0)-MATCH("temp_stage",[2]stages!$2:$2,0)+1,FALSE)</f>
        <v>ランキング1（改修版）</v>
      </c>
      <c r="H68" s="62">
        <v>0</v>
      </c>
      <c r="I68">
        <v>11</v>
      </c>
      <c r="J68" s="61" t="s">
        <v>194</v>
      </c>
      <c r="K68" s="71" t="str">
        <f>VLOOKUP(I68,[6]stage_hints!$A:$C,3,FALSE)</f>
        <v>ランク解放クエスト</v>
      </c>
      <c r="L68" s="72" t="str">
        <f>VLOOKUP(I68,[6]stage_hints!$A:$D,4,FALSE)</f>
        <v>一定ランクに到達すると_x000D_報酬付きのランク開放クエストが現れます</v>
      </c>
      <c r="M68" s="35" t="s">
        <v>205</v>
      </c>
    </row>
    <row r="69" spans="1:13" x14ac:dyDescent="0.15">
      <c r="A69" s="58" t="s">
        <v>195</v>
      </c>
      <c r="B69" s="59">
        <v>60007</v>
      </c>
      <c r="C69" s="60" t="str">
        <f ca="1">VLOOKUP($B69,OFFSET([2]quests!$A$1,0,0,COUNTA([2]quests!$A:$A),MATCH(C$1,[2]quests!$1:$1,0)-MATCH($B$1,[2]quests!$1:$1,0)+1),MATCH(C$1,[2]quests!$1:$1,0)-MATCH($B$1,[2]quests!$1:$1,0)+1,FALSE)</f>
        <v>オイラーチャレンジ</v>
      </c>
      <c r="D69" s="60" t="str">
        <f ca="1">VLOOKUP($B69,OFFSET([2]quests!$A$1,0,0,COUNTA([2]quests!$A:$A),MATCH(D$1,[2]quests!$1:$1,0)-MATCH($B$1,[2]quests!$1:$1,0)+1),MATCH(D$1,[2]quests!$1:$1,0)-MATCH($B$1,[2]quests!$1:$1,0)+1,FALSE)</f>
        <v>ランキング1（改修版）</v>
      </c>
      <c r="E69" s="64">
        <v>1</v>
      </c>
      <c r="F69" s="60" t="str">
        <f ca="1">VLOOKUP($B69&amp;"_"&amp;$E69,OFFSET([2]stages!$A$1,0,0,COUNTA([2]stages!$A:$A),MATCH(F$1,[2]stages!$2:$2,0)-MATCH("temp_stage",[2]stages!$2:$2,0)+1),MATCH(F$1,[2]stages!$2:$2,0)-MATCH("temp_stage",[2]stages!$2:$2,0)+1,FALSE)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69" s="60" t="str">
        <f ca="1">VLOOKUP($B69&amp;"_"&amp;$E69,OFFSET([2]stages!$A$1,0,0,COUNTA([2]stages!$A:$A),MATCH(G$1,[2]stages!$2:$2,0)-MATCH("temp_stage",[2]stages!$2:$2,0)+1),MATCH(G$1,[2]stages!$2:$2,0)-MATCH("temp_stage",[2]stages!$2:$2,0)+1,FALSE)</f>
        <v>ランキング1（改修版）</v>
      </c>
      <c r="H69" s="62">
        <v>0</v>
      </c>
      <c r="I69">
        <v>12</v>
      </c>
      <c r="J69" s="61" t="s">
        <v>194</v>
      </c>
      <c r="K69" s="71" t="str">
        <f>VLOOKUP(I69,[6]stage_hints!$A:$C,3,FALSE)</f>
        <v>ユニットのお気に入り登録</v>
      </c>
      <c r="L69" s="72" t="str">
        <f>VLOOKUP(I69,[6]stage_hints!$A:$D,4,FALSE)</f>
        <v>大事なユニットを誤って消さないように_x000D_フォルダから「お気に入り登録」しましょう</v>
      </c>
      <c r="M69" s="35" t="s">
        <v>205</v>
      </c>
    </row>
    <row r="70" spans="1:13" x14ac:dyDescent="0.15">
      <c r="A70" s="58" t="s">
        <v>195</v>
      </c>
      <c r="B70" s="59">
        <v>60007</v>
      </c>
      <c r="C70" s="60" t="str">
        <f ca="1">VLOOKUP($B70,OFFSET([2]quests!$A$1,0,0,COUNTA([2]quests!$A:$A),MATCH(C$1,[2]quests!$1:$1,0)-MATCH($B$1,[2]quests!$1:$1,0)+1),MATCH(C$1,[2]quests!$1:$1,0)-MATCH($B$1,[2]quests!$1:$1,0)+1,FALSE)</f>
        <v>オイラーチャレンジ</v>
      </c>
      <c r="D70" s="60" t="str">
        <f ca="1">VLOOKUP($B70,OFFSET([2]quests!$A$1,0,0,COUNTA([2]quests!$A:$A),MATCH(D$1,[2]quests!$1:$1,0)-MATCH($B$1,[2]quests!$1:$1,0)+1),MATCH(D$1,[2]quests!$1:$1,0)-MATCH($B$1,[2]quests!$1:$1,0)+1,FALSE)</f>
        <v>ランキング1（改修版）</v>
      </c>
      <c r="E70" s="64">
        <v>1</v>
      </c>
      <c r="F70" s="60" t="str">
        <f ca="1">VLOOKUP($B70&amp;"_"&amp;$E70,OFFSET([2]stages!$A$1,0,0,COUNTA([2]stages!$A:$A),MATCH(F$1,[2]stages!$2:$2,0)-MATCH("temp_stage",[2]stages!$2:$2,0)+1),MATCH(F$1,[2]stages!$2:$2,0)-MATCH("temp_stage",[2]stages!$2:$2,0)+1,FALSE)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0" s="60" t="str">
        <f ca="1">VLOOKUP($B70&amp;"_"&amp;$E70,OFFSET([2]stages!$A$1,0,0,COUNTA([2]stages!$A:$A),MATCH(G$1,[2]stages!$2:$2,0)-MATCH("temp_stage",[2]stages!$2:$2,0)+1),MATCH(G$1,[2]stages!$2:$2,0)-MATCH("temp_stage",[2]stages!$2:$2,0)+1,FALSE)</f>
        <v>ランキング1（改修版）</v>
      </c>
      <c r="H70" s="62">
        <v>0</v>
      </c>
      <c r="I70">
        <v>13</v>
      </c>
      <c r="J70" s="61" t="s">
        <v>194</v>
      </c>
      <c r="K70" s="71" t="str">
        <f>VLOOKUP(I70,[6]stage_hints!$A:$C,3,FALSE)</f>
        <v>ユニットの覚醒</v>
      </c>
      <c r="L70" s="72" t="str">
        <f>VLOOKUP(I70,[6]stage_hints!$A:$D,4,FALSE)</f>
        <v>ユニットを覚醒させると_x000D_比べものにならない強さが手に入ります</v>
      </c>
      <c r="M70" s="35" t="s">
        <v>205</v>
      </c>
    </row>
    <row r="71" spans="1:13" x14ac:dyDescent="0.15">
      <c r="A71" s="58" t="s">
        <v>195</v>
      </c>
      <c r="B71" s="59">
        <v>60007</v>
      </c>
      <c r="C71" s="60" t="str">
        <f ca="1">VLOOKUP($B71,OFFSET([2]quests!$A$1,0,0,COUNTA([2]quests!$A:$A),MATCH(C$1,[2]quests!$1:$1,0)-MATCH($B$1,[2]quests!$1:$1,0)+1),MATCH(C$1,[2]quests!$1:$1,0)-MATCH($B$1,[2]quests!$1:$1,0)+1,FALSE)</f>
        <v>オイラーチャレンジ</v>
      </c>
      <c r="D71" s="60" t="str">
        <f ca="1">VLOOKUP($B71,OFFSET([2]quests!$A$1,0,0,COUNTA([2]quests!$A:$A),MATCH(D$1,[2]quests!$1:$1,0)-MATCH($B$1,[2]quests!$1:$1,0)+1),MATCH(D$1,[2]quests!$1:$1,0)-MATCH($B$1,[2]quests!$1:$1,0)+1,FALSE)</f>
        <v>ランキング1（改修版）</v>
      </c>
      <c r="E71" s="64">
        <v>1</v>
      </c>
      <c r="F71" s="60" t="str">
        <f ca="1">VLOOKUP($B71&amp;"_"&amp;$E71,OFFSET([2]stages!$A$1,0,0,COUNTA([2]stages!$A:$A),MATCH(F$1,[2]stages!$2:$2,0)-MATCH("temp_stage",[2]stages!$2:$2,0)+1),MATCH(F$1,[2]stages!$2:$2,0)-MATCH("temp_stage",[2]stages!$2:$2,0)+1,FALSE)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1" s="60" t="str">
        <f ca="1">VLOOKUP($B71&amp;"_"&amp;$E71,OFFSET([2]stages!$A$1,0,0,COUNTA([2]stages!$A:$A),MATCH(G$1,[2]stages!$2:$2,0)-MATCH("temp_stage",[2]stages!$2:$2,0)+1),MATCH(G$1,[2]stages!$2:$2,0)-MATCH("temp_stage",[2]stages!$2:$2,0)+1,FALSE)</f>
        <v>ランキング1（改修版）</v>
      </c>
      <c r="H71" s="62">
        <v>0</v>
      </c>
      <c r="I71">
        <v>14</v>
      </c>
      <c r="J71" s="61" t="s">
        <v>194</v>
      </c>
      <c r="K71" s="71" t="str">
        <f>VLOOKUP(I71,[6]stage_hints!$A:$C,3,FALSE)</f>
        <v>覚醒するにはレベルを最大に</v>
      </c>
      <c r="L71" s="72" t="str">
        <f>VLOOKUP(I71,[6]stage_hints!$A:$D,4,FALSE)</f>
        <v>覚醒するにはユニットのレベルを_x000D_最大まで上げる必要があります</v>
      </c>
      <c r="M71" s="35" t="s">
        <v>205</v>
      </c>
    </row>
    <row r="72" spans="1:13" x14ac:dyDescent="0.15">
      <c r="A72" s="58" t="s">
        <v>195</v>
      </c>
      <c r="B72" s="59">
        <v>60007</v>
      </c>
      <c r="C72" s="60" t="str">
        <f ca="1">VLOOKUP($B72,OFFSET([2]quests!$A$1,0,0,COUNTA([2]quests!$A:$A),MATCH(C$1,[2]quests!$1:$1,0)-MATCH($B$1,[2]quests!$1:$1,0)+1),MATCH(C$1,[2]quests!$1:$1,0)-MATCH($B$1,[2]quests!$1:$1,0)+1,FALSE)</f>
        <v>オイラーチャレンジ</v>
      </c>
      <c r="D72" s="60" t="str">
        <f ca="1">VLOOKUP($B72,OFFSET([2]quests!$A$1,0,0,COUNTA([2]quests!$A:$A),MATCH(D$1,[2]quests!$1:$1,0)-MATCH($B$1,[2]quests!$1:$1,0)+1),MATCH(D$1,[2]quests!$1:$1,0)-MATCH($B$1,[2]quests!$1:$1,0)+1,FALSE)</f>
        <v>ランキング1（改修版）</v>
      </c>
      <c r="E72" s="64">
        <v>1</v>
      </c>
      <c r="F72" s="60" t="str">
        <f ca="1">VLOOKUP($B72&amp;"_"&amp;$E72,OFFSET([2]stages!$A$1,0,0,COUNTA([2]stages!$A:$A),MATCH(F$1,[2]stages!$2:$2,0)-MATCH("temp_stage",[2]stages!$2:$2,0)+1),MATCH(F$1,[2]stages!$2:$2,0)-MATCH("temp_stage",[2]stages!$2:$2,0)+1,FALSE)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2" s="60" t="str">
        <f ca="1">VLOOKUP($B72&amp;"_"&amp;$E72,OFFSET([2]stages!$A$1,0,0,COUNTA([2]stages!$A:$A),MATCH(G$1,[2]stages!$2:$2,0)-MATCH("temp_stage",[2]stages!$2:$2,0)+1),MATCH(G$1,[2]stages!$2:$2,0)-MATCH("temp_stage",[2]stages!$2:$2,0)+1,FALSE)</f>
        <v>ランキング1（改修版）</v>
      </c>
      <c r="H72" s="62">
        <v>0</v>
      </c>
      <c r="I72">
        <v>15</v>
      </c>
      <c r="J72" s="61" t="s">
        <v>194</v>
      </c>
      <c r="K72" s="71" t="str">
        <f>VLOOKUP(I72,[6]stage_hints!$A:$C,3,FALSE)</f>
        <v>覚醒素材を獲得</v>
      </c>
      <c r="L72" s="72" t="str">
        <f>VLOOKUP(I72,[6]stage_hints!$A:$D,4,FALSE)</f>
        <v>「曜日クエスト」では_x000D_ユニットの覚醒に必要な素材が手に入ります</v>
      </c>
      <c r="M72" s="35" t="s">
        <v>205</v>
      </c>
    </row>
    <row r="73" spans="1:13" x14ac:dyDescent="0.15">
      <c r="A73" s="58" t="s">
        <v>195</v>
      </c>
      <c r="B73" s="59">
        <v>60007</v>
      </c>
      <c r="C73" s="60" t="str">
        <f ca="1">VLOOKUP($B73,OFFSET([2]quests!$A$1,0,0,COUNTA([2]quests!$A:$A),MATCH(C$1,[2]quests!$1:$1,0)-MATCH($B$1,[2]quests!$1:$1,0)+1),MATCH(C$1,[2]quests!$1:$1,0)-MATCH($B$1,[2]quests!$1:$1,0)+1,FALSE)</f>
        <v>オイラーチャレンジ</v>
      </c>
      <c r="D73" s="60" t="str">
        <f ca="1">VLOOKUP($B73,OFFSET([2]quests!$A$1,0,0,COUNTA([2]quests!$A:$A),MATCH(D$1,[2]quests!$1:$1,0)-MATCH($B$1,[2]quests!$1:$1,0)+1),MATCH(D$1,[2]quests!$1:$1,0)-MATCH($B$1,[2]quests!$1:$1,0)+1,FALSE)</f>
        <v>ランキング1（改修版）</v>
      </c>
      <c r="E73" s="64">
        <v>1</v>
      </c>
      <c r="F73" s="60" t="str">
        <f ca="1">VLOOKUP($B73&amp;"_"&amp;$E73,OFFSET([2]stages!$A$1,0,0,COUNTA([2]stages!$A:$A),MATCH(F$1,[2]stages!$2:$2,0)-MATCH("temp_stage",[2]stages!$2:$2,0)+1),MATCH(F$1,[2]stages!$2:$2,0)-MATCH("temp_stage",[2]stages!$2:$2,0)+1,FALSE)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3" s="60" t="str">
        <f ca="1">VLOOKUP($B73&amp;"_"&amp;$E73,OFFSET([2]stages!$A$1,0,0,COUNTA([2]stages!$A:$A),MATCH(G$1,[2]stages!$2:$2,0)-MATCH("temp_stage",[2]stages!$2:$2,0)+1),MATCH(G$1,[2]stages!$2:$2,0)-MATCH("temp_stage",[2]stages!$2:$2,0)+1,FALSE)</f>
        <v>ランキング1（改修版）</v>
      </c>
      <c r="H73" s="62">
        <v>0</v>
      </c>
      <c r="I73">
        <v>16</v>
      </c>
      <c r="J73" s="61" t="s">
        <v>194</v>
      </c>
      <c r="K73" s="71" t="str">
        <f>VLOOKUP(I73,[6]stage_hints!$A:$C,3,FALSE)</f>
        <v>マルチプレイのメリット（その1）</v>
      </c>
      <c r="L73" s="72" t="str">
        <f>VLOOKUP(I73,[6]stage_hints!$A:$D,4,FALSE)</f>
        <v>他のプレイヤーとマルチプレイで遊ぶと_x000D_ポリゴンがもらえます（100人まで）</v>
      </c>
      <c r="M73" s="35" t="s">
        <v>205</v>
      </c>
    </row>
    <row r="74" spans="1:13" x14ac:dyDescent="0.15">
      <c r="A74" s="58" t="s">
        <v>195</v>
      </c>
      <c r="B74" s="59">
        <v>60007</v>
      </c>
      <c r="C74" s="60" t="str">
        <f ca="1">VLOOKUP($B74,OFFSET([2]quests!$A$1,0,0,COUNTA([2]quests!$A:$A),MATCH(C$1,[2]quests!$1:$1,0)-MATCH($B$1,[2]quests!$1:$1,0)+1),MATCH(C$1,[2]quests!$1:$1,0)-MATCH($B$1,[2]quests!$1:$1,0)+1,FALSE)</f>
        <v>オイラーチャレンジ</v>
      </c>
      <c r="D74" s="60" t="str">
        <f ca="1">VLOOKUP($B74,OFFSET([2]quests!$A$1,0,0,COUNTA([2]quests!$A:$A),MATCH(D$1,[2]quests!$1:$1,0)-MATCH($B$1,[2]quests!$1:$1,0)+1),MATCH(D$1,[2]quests!$1:$1,0)-MATCH($B$1,[2]quests!$1:$1,0)+1,FALSE)</f>
        <v>ランキング1（改修版）</v>
      </c>
      <c r="E74" s="64">
        <v>1</v>
      </c>
      <c r="F74" s="60" t="str">
        <f ca="1">VLOOKUP($B74&amp;"_"&amp;$E74,OFFSET([2]stages!$A$1,0,0,COUNTA([2]stages!$A:$A),MATCH(F$1,[2]stages!$2:$2,0)-MATCH("temp_stage",[2]stages!$2:$2,0)+1),MATCH(F$1,[2]stages!$2:$2,0)-MATCH("temp_stage",[2]stages!$2:$2,0)+1,FALSE)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4" s="60" t="str">
        <f ca="1">VLOOKUP($B74&amp;"_"&amp;$E74,OFFSET([2]stages!$A$1,0,0,COUNTA([2]stages!$A:$A),MATCH(G$1,[2]stages!$2:$2,0)-MATCH("temp_stage",[2]stages!$2:$2,0)+1),MATCH(G$1,[2]stages!$2:$2,0)-MATCH("temp_stage",[2]stages!$2:$2,0)+1,FALSE)</f>
        <v>ランキング1（改修版）</v>
      </c>
      <c r="H74" s="62">
        <v>0</v>
      </c>
      <c r="I74">
        <v>17</v>
      </c>
      <c r="J74" s="61" t="s">
        <v>194</v>
      </c>
      <c r="K74" s="71" t="str">
        <f>VLOOKUP(I74,[6]stage_hints!$A:$C,3,FALSE)</f>
        <v>リンクガチャ</v>
      </c>
      <c r="L74" s="72" t="str">
        <f>VLOOKUP(I74,[6]stage_hints!$A:$D,4,FALSE)</f>
        <v>無料のリンクガチャを回して_x000D_経験値素材や売却素材を獲得しましょう</v>
      </c>
      <c r="M74" s="35" t="s">
        <v>205</v>
      </c>
    </row>
    <row r="75" spans="1:13" x14ac:dyDescent="0.15">
      <c r="A75" s="58" t="s">
        <v>195</v>
      </c>
      <c r="B75" s="59">
        <v>60007</v>
      </c>
      <c r="C75" s="60" t="str">
        <f ca="1">VLOOKUP($B75,OFFSET([2]quests!$A$1,0,0,COUNTA([2]quests!$A:$A),MATCH(C$1,[2]quests!$1:$1,0)-MATCH($B$1,[2]quests!$1:$1,0)+1),MATCH(C$1,[2]quests!$1:$1,0)-MATCH($B$1,[2]quests!$1:$1,0)+1,FALSE)</f>
        <v>オイラーチャレンジ</v>
      </c>
      <c r="D75" s="60" t="str">
        <f ca="1">VLOOKUP($B75,OFFSET([2]quests!$A$1,0,0,COUNTA([2]quests!$A:$A),MATCH(D$1,[2]quests!$1:$1,0)-MATCH($B$1,[2]quests!$1:$1,0)+1),MATCH(D$1,[2]quests!$1:$1,0)-MATCH($B$1,[2]quests!$1:$1,0)+1,FALSE)</f>
        <v>ランキング1（改修版）</v>
      </c>
      <c r="E75" s="64">
        <v>1</v>
      </c>
      <c r="F75" s="60" t="str">
        <f ca="1">VLOOKUP($B75&amp;"_"&amp;$E75,OFFSET([2]stages!$A$1,0,0,COUNTA([2]stages!$A:$A),MATCH(F$1,[2]stages!$2:$2,0)-MATCH("temp_stage",[2]stages!$2:$2,0)+1),MATCH(F$1,[2]stages!$2:$2,0)-MATCH("temp_stage",[2]stages!$2:$2,0)+1,FALSE)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5" s="60" t="str">
        <f ca="1">VLOOKUP($B75&amp;"_"&amp;$E75,OFFSET([2]stages!$A$1,0,0,COUNTA([2]stages!$A:$A),MATCH(G$1,[2]stages!$2:$2,0)-MATCH("temp_stage",[2]stages!$2:$2,0)+1),MATCH(G$1,[2]stages!$2:$2,0)-MATCH("temp_stage",[2]stages!$2:$2,0)+1,FALSE)</f>
        <v>ランキング1（改修版）</v>
      </c>
      <c r="H75" s="62">
        <v>0</v>
      </c>
      <c r="I75">
        <v>18</v>
      </c>
      <c r="J75" s="61" t="s">
        <v>194</v>
      </c>
      <c r="K75" s="71" t="str">
        <f>VLOOKUP(I75,[6]stage_hints!$A:$C,3,FALSE)</f>
        <v>マルチプレイのメリット（その2）</v>
      </c>
      <c r="L75" s="72" t="str">
        <f>VLOOKUP(I75,[6]stage_hints!$A:$D,4,FALSE)</f>
        <v>マルチプレイならリンクが2倍もらえます_x000D_リンクガチャをたくさん回しましょう</v>
      </c>
      <c r="M75" s="35" t="s">
        <v>205</v>
      </c>
    </row>
    <row r="76" spans="1:13" x14ac:dyDescent="0.15">
      <c r="A76" s="58" t="s">
        <v>195</v>
      </c>
      <c r="B76" s="59">
        <v>60007</v>
      </c>
      <c r="C76" s="60" t="str">
        <f ca="1">VLOOKUP($B76,OFFSET([2]quests!$A$1,0,0,COUNTA([2]quests!$A:$A),MATCH(C$1,[2]quests!$1:$1,0)-MATCH($B$1,[2]quests!$1:$1,0)+1),MATCH(C$1,[2]quests!$1:$1,0)-MATCH($B$1,[2]quests!$1:$1,0)+1,FALSE)</f>
        <v>オイラーチャレンジ</v>
      </c>
      <c r="D76" s="60" t="str">
        <f ca="1">VLOOKUP($B76,OFFSET([2]quests!$A$1,0,0,COUNTA([2]quests!$A:$A),MATCH(D$1,[2]quests!$1:$1,0)-MATCH($B$1,[2]quests!$1:$1,0)+1),MATCH(D$1,[2]quests!$1:$1,0)-MATCH($B$1,[2]quests!$1:$1,0)+1,FALSE)</f>
        <v>ランキング1（改修版）</v>
      </c>
      <c r="E76" s="64">
        <v>1</v>
      </c>
      <c r="F76" s="60" t="str">
        <f ca="1">VLOOKUP($B76&amp;"_"&amp;$E76,OFFSET([2]stages!$A$1,0,0,COUNTA([2]stages!$A:$A),MATCH(F$1,[2]stages!$2:$2,0)-MATCH("temp_stage",[2]stages!$2:$2,0)+1),MATCH(F$1,[2]stages!$2:$2,0)-MATCH("temp_stage",[2]stages!$2:$2,0)+1,FALSE)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6" s="60" t="str">
        <f ca="1">VLOOKUP($B76&amp;"_"&amp;$E76,OFFSET([2]stages!$A$1,0,0,COUNTA([2]stages!$A:$A),MATCH(G$1,[2]stages!$2:$2,0)-MATCH("temp_stage",[2]stages!$2:$2,0)+1),MATCH(G$1,[2]stages!$2:$2,0)-MATCH("temp_stage",[2]stages!$2:$2,0)+1,FALSE)</f>
        <v>ランキング1（改修版）</v>
      </c>
      <c r="H76" s="62">
        <v>0</v>
      </c>
      <c r="I76">
        <v>19</v>
      </c>
      <c r="J76" s="61" t="s">
        <v>194</v>
      </c>
      <c r="K76" s="71" t="str">
        <f>VLOOKUP(I76,[6]stage_hints!$A:$C,3,FALSE)</f>
        <v>ソロ専用チャレンジタワー</v>
      </c>
      <c r="L76" s="72" t="str">
        <f>VLOOKUP(I76,[6]stage_hints!$A:$D,4,FALSE)</f>
        <v>ソロ専用の「チャレンジタワー」では_x000D_各フロアごとにクリア報酬がもらえます</v>
      </c>
      <c r="M76" s="35" t="s">
        <v>205</v>
      </c>
    </row>
    <row r="77" spans="1:13" x14ac:dyDescent="0.15">
      <c r="A77" s="58" t="s">
        <v>195</v>
      </c>
      <c r="B77" s="59">
        <v>60007</v>
      </c>
      <c r="C77" s="60" t="str">
        <f ca="1">VLOOKUP($B77,OFFSET([2]quests!$A$1,0,0,COUNTA([2]quests!$A:$A),MATCH(C$1,[2]quests!$1:$1,0)-MATCH($B$1,[2]quests!$1:$1,0)+1),MATCH(C$1,[2]quests!$1:$1,0)-MATCH($B$1,[2]quests!$1:$1,0)+1,FALSE)</f>
        <v>オイラーチャレンジ</v>
      </c>
      <c r="D77" s="60" t="str">
        <f ca="1">VLOOKUP($B77,OFFSET([2]quests!$A$1,0,0,COUNTA([2]quests!$A:$A),MATCH(D$1,[2]quests!$1:$1,0)-MATCH($B$1,[2]quests!$1:$1,0)+1),MATCH(D$1,[2]quests!$1:$1,0)-MATCH($B$1,[2]quests!$1:$1,0)+1,FALSE)</f>
        <v>ランキング1（改修版）</v>
      </c>
      <c r="E77" s="64">
        <v>1</v>
      </c>
      <c r="F77" s="60" t="str">
        <f ca="1">VLOOKUP($B77&amp;"_"&amp;$E77,OFFSET([2]stages!$A$1,0,0,COUNTA([2]stages!$A:$A),MATCH(F$1,[2]stages!$2:$2,0)-MATCH("temp_stage",[2]stages!$2:$2,0)+1),MATCH(F$1,[2]stages!$2:$2,0)-MATCH("temp_stage",[2]stages!$2:$2,0)+1,FALSE)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7" s="60" t="str">
        <f ca="1">VLOOKUP($B77&amp;"_"&amp;$E77,OFFSET([2]stages!$A$1,0,0,COUNTA([2]stages!$A:$A),MATCH(G$1,[2]stages!$2:$2,0)-MATCH("temp_stage",[2]stages!$2:$2,0)+1),MATCH(G$1,[2]stages!$2:$2,0)-MATCH("temp_stage",[2]stages!$2:$2,0)+1,FALSE)</f>
        <v>ランキング1（改修版）</v>
      </c>
      <c r="H77" s="62">
        <v>0</v>
      </c>
      <c r="I77">
        <v>20</v>
      </c>
      <c r="J77" s="61" t="s">
        <v>194</v>
      </c>
      <c r="K77" s="71" t="str">
        <f>VLOOKUP(I77,[6]stage_hints!$A:$C,3,FALSE)</f>
        <v>マルチプレイのメリット（その3）</v>
      </c>
      <c r="L77" s="72" t="str">
        <f>VLOOKUP(I77,[6]stage_hints!$A:$D,4,FALSE)</f>
        <v>マルチプレイへの参加はエナジー消費ゼロ_x000D_いつでも好きなだけ遊ぶことができます</v>
      </c>
      <c r="M77" s="35" t="s">
        <v>205</v>
      </c>
    </row>
    <row r="78" spans="1:13" x14ac:dyDescent="0.15">
      <c r="A78" s="58" t="s">
        <v>195</v>
      </c>
      <c r="B78" s="59">
        <v>60007</v>
      </c>
      <c r="C78" s="60" t="str">
        <f ca="1">VLOOKUP($B78,OFFSET([2]quests!$A$1,0,0,COUNTA([2]quests!$A:$A),MATCH(C$1,[2]quests!$1:$1,0)-MATCH($B$1,[2]quests!$1:$1,0)+1),MATCH(C$1,[2]quests!$1:$1,0)-MATCH($B$1,[2]quests!$1:$1,0)+1,FALSE)</f>
        <v>オイラーチャレンジ</v>
      </c>
      <c r="D78" s="60" t="str">
        <f ca="1">VLOOKUP($B78,OFFSET([2]quests!$A$1,0,0,COUNTA([2]quests!$A:$A),MATCH(D$1,[2]quests!$1:$1,0)-MATCH($B$1,[2]quests!$1:$1,0)+1),MATCH(D$1,[2]quests!$1:$1,0)-MATCH($B$1,[2]quests!$1:$1,0)+1,FALSE)</f>
        <v>ランキング1（改修版）</v>
      </c>
      <c r="E78" s="64">
        <v>1</v>
      </c>
      <c r="F78" s="60" t="str">
        <f ca="1">VLOOKUP($B78&amp;"_"&amp;$E78,OFFSET([2]stages!$A$1,0,0,COUNTA([2]stages!$A:$A),MATCH(F$1,[2]stages!$2:$2,0)-MATCH("temp_stage",[2]stages!$2:$2,0)+1),MATCH(F$1,[2]stages!$2:$2,0)-MATCH("temp_stage",[2]stages!$2:$2,0)+1,FALSE)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8" s="60" t="str">
        <f ca="1">VLOOKUP($B78&amp;"_"&amp;$E78,OFFSET([2]stages!$A$1,0,0,COUNTA([2]stages!$A:$A),MATCH(G$1,[2]stages!$2:$2,0)-MATCH("temp_stage",[2]stages!$2:$2,0)+1),MATCH(G$1,[2]stages!$2:$2,0)-MATCH("temp_stage",[2]stages!$2:$2,0)+1,FALSE)</f>
        <v>ランキング1（改修版）</v>
      </c>
      <c r="H78" s="62">
        <v>0</v>
      </c>
      <c r="I78">
        <v>21</v>
      </c>
      <c r="J78" s="61" t="s">
        <v>194</v>
      </c>
      <c r="K78" s="71" t="str">
        <f>VLOOKUP(I78,[6]stage_hints!$A:$C,3,FALSE)</f>
        <v>スキルを有効に</v>
      </c>
      <c r="L78" s="72" t="str">
        <f>VLOOKUP(I78,[6]stage_hints!$A:$D,4,FALSE)</f>
        <v>ターン経過でユニットのスキルが使えます_x000D_強力スキルでバトルを有利に進めましょう</v>
      </c>
      <c r="M78" s="35" t="s">
        <v>205</v>
      </c>
    </row>
    <row r="79" spans="1:13" x14ac:dyDescent="0.15">
      <c r="A79" s="58" t="s">
        <v>195</v>
      </c>
      <c r="B79" s="59">
        <v>60007</v>
      </c>
      <c r="C79" s="60" t="str">
        <f ca="1">VLOOKUP($B79,OFFSET([2]quests!$A$1,0,0,COUNTA([2]quests!$A:$A),MATCH(C$1,[2]quests!$1:$1,0)-MATCH($B$1,[2]quests!$1:$1,0)+1),MATCH(C$1,[2]quests!$1:$1,0)-MATCH($B$1,[2]quests!$1:$1,0)+1,FALSE)</f>
        <v>オイラーチャレンジ</v>
      </c>
      <c r="D79" s="60" t="str">
        <f ca="1">VLOOKUP($B79,OFFSET([2]quests!$A$1,0,0,COUNTA([2]quests!$A:$A),MATCH(D$1,[2]quests!$1:$1,0)-MATCH($B$1,[2]quests!$1:$1,0)+1),MATCH(D$1,[2]quests!$1:$1,0)-MATCH($B$1,[2]quests!$1:$1,0)+1,FALSE)</f>
        <v>ランキング1（改修版）</v>
      </c>
      <c r="E79" s="64">
        <v>1</v>
      </c>
      <c r="F79" s="60" t="str">
        <f ca="1">VLOOKUP($B79&amp;"_"&amp;$E79,OFFSET([2]stages!$A$1,0,0,COUNTA([2]stages!$A:$A),MATCH(F$1,[2]stages!$2:$2,0)-MATCH("temp_stage",[2]stages!$2:$2,0)+1),MATCH(F$1,[2]stages!$2:$2,0)-MATCH("temp_stage",[2]stages!$2:$2,0)+1,FALSE)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79" s="60" t="str">
        <f ca="1">VLOOKUP($B79&amp;"_"&amp;$E79,OFFSET([2]stages!$A$1,0,0,COUNTA([2]stages!$A:$A),MATCH(G$1,[2]stages!$2:$2,0)-MATCH("temp_stage",[2]stages!$2:$2,0)+1),MATCH(G$1,[2]stages!$2:$2,0)-MATCH("temp_stage",[2]stages!$2:$2,0)+1,FALSE)</f>
        <v>ランキング1（改修版）</v>
      </c>
      <c r="H79" s="62">
        <v>0</v>
      </c>
      <c r="I79">
        <v>22</v>
      </c>
      <c r="J79" s="61" t="s">
        <v>194</v>
      </c>
      <c r="K79" s="71" t="str">
        <f>VLOOKUP(I79,[6]stage_hints!$A:$C,3,FALSE)</f>
        <v>フィーバーで一発逆転（その1）</v>
      </c>
      <c r="L79" s="72" t="str">
        <f>VLOOKUP(I79,[6]stage_hints!$A:$D,4,FALSE)</f>
        <v>フィーバーは攻撃と回復を兼ね備えます_x000D_ピンチからの一発逆転を狙いましょう</v>
      </c>
      <c r="M79" s="35" t="s">
        <v>205</v>
      </c>
    </row>
    <row r="80" spans="1:13" x14ac:dyDescent="0.15">
      <c r="A80" s="58" t="s">
        <v>195</v>
      </c>
      <c r="B80" s="59">
        <v>60007</v>
      </c>
      <c r="C80" s="60" t="str">
        <f ca="1">VLOOKUP($B80,OFFSET([2]quests!$A$1,0,0,COUNTA([2]quests!$A:$A),MATCH(C$1,[2]quests!$1:$1,0)-MATCH($B$1,[2]quests!$1:$1,0)+1),MATCH(C$1,[2]quests!$1:$1,0)-MATCH($B$1,[2]quests!$1:$1,0)+1,FALSE)</f>
        <v>オイラーチャレンジ</v>
      </c>
      <c r="D80" s="60" t="str">
        <f ca="1">VLOOKUP($B80,OFFSET([2]quests!$A$1,0,0,COUNTA([2]quests!$A:$A),MATCH(D$1,[2]quests!$1:$1,0)-MATCH($B$1,[2]quests!$1:$1,0)+1),MATCH(D$1,[2]quests!$1:$1,0)-MATCH($B$1,[2]quests!$1:$1,0)+1,FALSE)</f>
        <v>ランキング1（改修版）</v>
      </c>
      <c r="E80" s="64">
        <v>1</v>
      </c>
      <c r="F80" s="60" t="str">
        <f ca="1">VLOOKUP($B80&amp;"_"&amp;$E80,OFFSET([2]stages!$A$1,0,0,COUNTA([2]stages!$A:$A),MATCH(F$1,[2]stages!$2:$2,0)-MATCH("temp_stage",[2]stages!$2:$2,0)+1),MATCH(F$1,[2]stages!$2:$2,0)-MATCH("temp_stage",[2]stages!$2:$2,0)+1,FALSE)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0" s="60" t="str">
        <f ca="1">VLOOKUP($B80&amp;"_"&amp;$E80,OFFSET([2]stages!$A$1,0,0,COUNTA([2]stages!$A:$A),MATCH(G$1,[2]stages!$2:$2,0)-MATCH("temp_stage",[2]stages!$2:$2,0)+1),MATCH(G$1,[2]stages!$2:$2,0)-MATCH("temp_stage",[2]stages!$2:$2,0)+1,FALSE)</f>
        <v>ランキング1（改修版）</v>
      </c>
      <c r="H80" s="62">
        <v>0</v>
      </c>
      <c r="I80">
        <v>23</v>
      </c>
      <c r="J80" s="61" t="s">
        <v>194</v>
      </c>
      <c r="K80" s="71" t="str">
        <f>VLOOKUP(I80,[6]stage_hints!$A:$C,3,FALSE)</f>
        <v>フィーバーで一発逆転（その2）</v>
      </c>
      <c r="L80" s="72" t="str">
        <f>VLOOKUP(I80,[6]stage_hints!$A:$D,4,FALSE)</f>
        <v>フィーバー中は虹色のボムパネルを狙って_x000D_画面上のパネルを一気に破壊しましょう</v>
      </c>
      <c r="M80" s="35" t="s">
        <v>205</v>
      </c>
    </row>
    <row r="81" spans="1:13" x14ac:dyDescent="0.15">
      <c r="A81" s="58" t="s">
        <v>195</v>
      </c>
      <c r="B81" s="59">
        <v>60007</v>
      </c>
      <c r="C81" s="60" t="str">
        <f ca="1">VLOOKUP($B81,OFFSET([2]quests!$A$1,0,0,COUNTA([2]quests!$A:$A),MATCH(C$1,[2]quests!$1:$1,0)-MATCH($B$1,[2]quests!$1:$1,0)+1),MATCH(C$1,[2]quests!$1:$1,0)-MATCH($B$1,[2]quests!$1:$1,0)+1,FALSE)</f>
        <v>オイラーチャレンジ</v>
      </c>
      <c r="D81" s="60" t="str">
        <f ca="1">VLOOKUP($B81,OFFSET([2]quests!$A$1,0,0,COUNTA([2]quests!$A:$A),MATCH(D$1,[2]quests!$1:$1,0)-MATCH($B$1,[2]quests!$1:$1,0)+1),MATCH(D$1,[2]quests!$1:$1,0)-MATCH($B$1,[2]quests!$1:$1,0)+1,FALSE)</f>
        <v>ランキング1（改修版）</v>
      </c>
      <c r="E81" s="64">
        <v>1</v>
      </c>
      <c r="F81" s="60" t="str">
        <f ca="1">VLOOKUP($B81&amp;"_"&amp;$E81,OFFSET([2]stages!$A$1,0,0,COUNTA([2]stages!$A:$A),MATCH(F$1,[2]stages!$2:$2,0)-MATCH("temp_stage",[2]stages!$2:$2,0)+1),MATCH(F$1,[2]stages!$2:$2,0)-MATCH("temp_stage",[2]stages!$2:$2,0)+1,FALSE)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1" s="60" t="str">
        <f ca="1">VLOOKUP($B81&amp;"_"&amp;$E81,OFFSET([2]stages!$A$1,0,0,COUNTA([2]stages!$A:$A),MATCH(G$1,[2]stages!$2:$2,0)-MATCH("temp_stage",[2]stages!$2:$2,0)+1),MATCH(G$1,[2]stages!$2:$2,0)-MATCH("temp_stage",[2]stages!$2:$2,0)+1,FALSE)</f>
        <v>ランキング1（改修版）</v>
      </c>
      <c r="H81" s="62">
        <v>0</v>
      </c>
      <c r="I81">
        <v>24</v>
      </c>
      <c r="J81" s="61" t="s">
        <v>194</v>
      </c>
      <c r="K81" s="71" t="str">
        <f>VLOOKUP(I81,[6]stage_hints!$A:$C,3,FALSE)</f>
        <v>りんごを使って限界突破</v>
      </c>
      <c r="L81" s="72" t="str">
        <f>VLOOKUP(I81,[6]stage_hints!$A:$D,4,FALSE)</f>
        <v>赤りんご(攻撃力) 青りんご(回復力)_x000D_緑りんご(体力)をユニット強化に使うと_x000D_ステータスが限界突破します（計99個迄）</v>
      </c>
      <c r="M81" s="35" t="s">
        <v>205</v>
      </c>
    </row>
    <row r="82" spans="1:13" x14ac:dyDescent="0.15">
      <c r="A82" s="58" t="s">
        <v>195</v>
      </c>
      <c r="B82" s="59">
        <v>60007</v>
      </c>
      <c r="C82" s="60" t="str">
        <f ca="1">VLOOKUP($B82,OFFSET([2]quests!$A$1,0,0,COUNTA([2]quests!$A:$A),MATCH(C$1,[2]quests!$1:$1,0)-MATCH($B$1,[2]quests!$1:$1,0)+1),MATCH(C$1,[2]quests!$1:$1,0)-MATCH($B$1,[2]quests!$1:$1,0)+1,FALSE)</f>
        <v>オイラーチャレンジ</v>
      </c>
      <c r="D82" s="60" t="str">
        <f ca="1">VLOOKUP($B82,OFFSET([2]quests!$A$1,0,0,COUNTA([2]quests!$A:$A),MATCH(D$1,[2]quests!$1:$1,0)-MATCH($B$1,[2]quests!$1:$1,0)+1),MATCH(D$1,[2]quests!$1:$1,0)-MATCH($B$1,[2]quests!$1:$1,0)+1,FALSE)</f>
        <v>ランキング1（改修版）</v>
      </c>
      <c r="E82" s="64">
        <v>1</v>
      </c>
      <c r="F82" s="60" t="str">
        <f ca="1">VLOOKUP($B82&amp;"_"&amp;$E82,OFFSET([2]stages!$A$1,0,0,COUNTA([2]stages!$A:$A),MATCH(F$1,[2]stages!$2:$2,0)-MATCH("temp_stage",[2]stages!$2:$2,0)+1),MATCH(F$1,[2]stages!$2:$2,0)-MATCH("temp_stage",[2]stages!$2:$2,0)+1,FALSE)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2" s="60" t="str">
        <f ca="1">VLOOKUP($B82&amp;"_"&amp;$E82,OFFSET([2]stages!$A$1,0,0,COUNTA([2]stages!$A:$A),MATCH(G$1,[2]stages!$2:$2,0)-MATCH("temp_stage",[2]stages!$2:$2,0)+1),MATCH(G$1,[2]stages!$2:$2,0)-MATCH("temp_stage",[2]stages!$2:$2,0)+1,FALSE)</f>
        <v>ランキング1（改修版）</v>
      </c>
      <c r="H82" s="62">
        <v>0</v>
      </c>
      <c r="I82">
        <v>25</v>
      </c>
      <c r="J82" s="61" t="s">
        <v>194</v>
      </c>
      <c r="K82" s="71" t="str">
        <f>VLOOKUP(I82,[6]stage_hints!$A:$C,3,FALSE)</f>
        <v>スキルレベルアップ</v>
      </c>
      <c r="L82" s="72" t="str">
        <f>VLOOKUP(I82,[6]stage_hints!$A:$D,4,FALSE)</f>
        <v>「クリスタルのりんご」を強化に使うと_x000D_スキルレベルを上げることができます</v>
      </c>
      <c r="M82" s="35" t="s">
        <v>205</v>
      </c>
    </row>
    <row r="83" spans="1:13" x14ac:dyDescent="0.15">
      <c r="A83" s="58" t="s">
        <v>195</v>
      </c>
      <c r="B83" s="59">
        <v>60007</v>
      </c>
      <c r="C83" s="60" t="str">
        <f ca="1">VLOOKUP($B83,OFFSET([2]quests!$A$1,0,0,COUNTA([2]quests!$A:$A),MATCH(C$1,[2]quests!$1:$1,0)-MATCH($B$1,[2]quests!$1:$1,0)+1),MATCH(C$1,[2]quests!$1:$1,0)-MATCH($B$1,[2]quests!$1:$1,0)+1,FALSE)</f>
        <v>オイラーチャレンジ</v>
      </c>
      <c r="D83" s="60" t="str">
        <f ca="1">VLOOKUP($B83,OFFSET([2]quests!$A$1,0,0,COUNTA([2]quests!$A:$A),MATCH(D$1,[2]quests!$1:$1,0)-MATCH($B$1,[2]quests!$1:$1,0)+1),MATCH(D$1,[2]quests!$1:$1,0)-MATCH($B$1,[2]quests!$1:$1,0)+1,FALSE)</f>
        <v>ランキング1（改修版）</v>
      </c>
      <c r="E83" s="64">
        <v>1</v>
      </c>
      <c r="F83" s="60" t="str">
        <f ca="1">VLOOKUP($B83&amp;"_"&amp;$E83,OFFSET([2]stages!$A$1,0,0,COUNTA([2]stages!$A:$A),MATCH(F$1,[2]stages!$2:$2,0)-MATCH("temp_stage",[2]stages!$2:$2,0)+1),MATCH(F$1,[2]stages!$2:$2,0)-MATCH("temp_stage",[2]stages!$2:$2,0)+1,FALSE)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3" s="60" t="str">
        <f ca="1">VLOOKUP($B83&amp;"_"&amp;$E83,OFFSET([2]stages!$A$1,0,0,COUNTA([2]stages!$A:$A),MATCH(G$1,[2]stages!$2:$2,0)-MATCH("temp_stage",[2]stages!$2:$2,0)+1),MATCH(G$1,[2]stages!$2:$2,0)-MATCH("temp_stage",[2]stages!$2:$2,0)+1,FALSE)</f>
        <v>ランキング1（改修版）</v>
      </c>
      <c r="H83" s="62">
        <v>0</v>
      </c>
      <c r="I83">
        <v>26</v>
      </c>
      <c r="J83" s="61" t="s">
        <v>194</v>
      </c>
      <c r="K83" s="71" t="str">
        <f>VLOOKUP(I83,[6]stage_hints!$A:$C,3,FALSE)</f>
        <v>スキルレベルの効果</v>
      </c>
      <c r="L83" s="72" t="str">
        <f>VLOOKUP(I83,[6]stage_hints!$A:$D,4,FALSE)</f>
        <v>スキルレベルが上がると_x000D_短いターンでスキルを使うことができます</v>
      </c>
      <c r="M83" s="35" t="s">
        <v>205</v>
      </c>
    </row>
    <row r="84" spans="1:13" x14ac:dyDescent="0.15">
      <c r="A84" s="58" t="s">
        <v>195</v>
      </c>
      <c r="B84" s="59">
        <v>60007</v>
      </c>
      <c r="C84" s="60" t="str">
        <f ca="1">VLOOKUP($B84,OFFSET([2]quests!$A$1,0,0,COUNTA([2]quests!$A:$A),MATCH(C$1,[2]quests!$1:$1,0)-MATCH($B$1,[2]quests!$1:$1,0)+1),MATCH(C$1,[2]quests!$1:$1,0)-MATCH($B$1,[2]quests!$1:$1,0)+1,FALSE)</f>
        <v>オイラーチャレンジ</v>
      </c>
      <c r="D84" s="60" t="str">
        <f ca="1">VLOOKUP($B84,OFFSET([2]quests!$A$1,0,0,COUNTA([2]quests!$A:$A),MATCH(D$1,[2]quests!$1:$1,0)-MATCH($B$1,[2]quests!$1:$1,0)+1),MATCH(D$1,[2]quests!$1:$1,0)-MATCH($B$1,[2]quests!$1:$1,0)+1,FALSE)</f>
        <v>ランキング1（改修版）</v>
      </c>
      <c r="E84" s="64">
        <v>1</v>
      </c>
      <c r="F84" s="60" t="str">
        <f ca="1">VLOOKUP($B84&amp;"_"&amp;$E84,OFFSET([2]stages!$A$1,0,0,COUNTA([2]stages!$A:$A),MATCH(F$1,[2]stages!$2:$2,0)-MATCH("temp_stage",[2]stages!$2:$2,0)+1),MATCH(F$1,[2]stages!$2:$2,0)-MATCH("temp_stage",[2]stages!$2:$2,0)+1,FALSE)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4" s="60" t="str">
        <f ca="1">VLOOKUP($B84&amp;"_"&amp;$E84,OFFSET([2]stages!$A$1,0,0,COUNTA([2]stages!$A:$A),MATCH(G$1,[2]stages!$2:$2,0)-MATCH("temp_stage",[2]stages!$2:$2,0)+1),MATCH(G$1,[2]stages!$2:$2,0)-MATCH("temp_stage",[2]stages!$2:$2,0)+1,FALSE)</f>
        <v>ランキング1（改修版）</v>
      </c>
      <c r="H84" s="62">
        <v>0</v>
      </c>
      <c r="I84">
        <v>27</v>
      </c>
      <c r="J84" s="61" t="s">
        <v>194</v>
      </c>
      <c r="K84" s="71" t="str">
        <f>VLOOKUP(I84,[6]stage_hints!$A:$C,3,FALSE)</f>
        <v>ホーム画面からデッキを編成</v>
      </c>
      <c r="L84" s="72" t="str">
        <f>VLOOKUP(I84,[6]stage_hints!$A:$D,4,FALSE)</f>
        <v>ホーム画面でユニットを長押しすると_x000D_すぐにパーティ編成に移動できます</v>
      </c>
      <c r="M84" s="35" t="s">
        <v>205</v>
      </c>
    </row>
    <row r="85" spans="1:13" x14ac:dyDescent="0.15">
      <c r="A85" s="58" t="s">
        <v>195</v>
      </c>
      <c r="B85" s="59">
        <v>60007</v>
      </c>
      <c r="C85" s="60" t="str">
        <f ca="1">VLOOKUP($B85,OFFSET([2]quests!$A$1,0,0,COUNTA([2]quests!$A:$A),MATCH(C$1,[2]quests!$1:$1,0)-MATCH($B$1,[2]quests!$1:$1,0)+1),MATCH(C$1,[2]quests!$1:$1,0)-MATCH($B$1,[2]quests!$1:$1,0)+1,FALSE)</f>
        <v>オイラーチャレンジ</v>
      </c>
      <c r="D85" s="60" t="str">
        <f ca="1">VLOOKUP($B85,OFFSET([2]quests!$A$1,0,0,COUNTA([2]quests!$A:$A),MATCH(D$1,[2]quests!$1:$1,0)-MATCH($B$1,[2]quests!$1:$1,0)+1),MATCH(D$1,[2]quests!$1:$1,0)-MATCH($B$1,[2]quests!$1:$1,0)+1,FALSE)</f>
        <v>ランキング1（改修版）</v>
      </c>
      <c r="E85" s="64">
        <v>1</v>
      </c>
      <c r="F85" s="60" t="str">
        <f ca="1">VLOOKUP($B85&amp;"_"&amp;$E85,OFFSET([2]stages!$A$1,0,0,COUNTA([2]stages!$A:$A),MATCH(F$1,[2]stages!$2:$2,0)-MATCH("temp_stage",[2]stages!$2:$2,0)+1),MATCH(F$1,[2]stages!$2:$2,0)-MATCH("temp_stage",[2]stages!$2:$2,0)+1,FALSE)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5" s="60" t="str">
        <f ca="1">VLOOKUP($B85&amp;"_"&amp;$E85,OFFSET([2]stages!$A$1,0,0,COUNTA([2]stages!$A:$A),MATCH(G$1,[2]stages!$2:$2,0)-MATCH("temp_stage",[2]stages!$2:$2,0)+1),MATCH(G$1,[2]stages!$2:$2,0)-MATCH("temp_stage",[2]stages!$2:$2,0)+1,FALSE)</f>
        <v>ランキング1（改修版）</v>
      </c>
      <c r="H85" s="62">
        <v>0</v>
      </c>
      <c r="I85">
        <v>28</v>
      </c>
      <c r="J85" s="61" t="s">
        <v>194</v>
      </c>
      <c r="K85" s="71" t="str">
        <f>VLOOKUP(I85,[6]stage_hints!$A:$C,3,FALSE)</f>
        <v>ステータス情報は長押しで</v>
      </c>
      <c r="L85" s="72" t="str">
        <f>VLOOKUP(I85,[6]stage_hints!$A:$D,4,FALSE)</f>
        <v>ユニットのアイコンを長押しすると_x000D_ステータス情報を確認することができます</v>
      </c>
      <c r="M85" s="35" t="s">
        <v>205</v>
      </c>
    </row>
    <row r="86" spans="1:13" x14ac:dyDescent="0.15">
      <c r="A86" s="58" t="s">
        <v>195</v>
      </c>
      <c r="B86" s="59">
        <v>60007</v>
      </c>
      <c r="C86" s="60" t="str">
        <f ca="1">VLOOKUP($B86,OFFSET([2]quests!$A$1,0,0,COUNTA([2]quests!$A:$A),MATCH(C$1,[2]quests!$1:$1,0)-MATCH($B$1,[2]quests!$1:$1,0)+1),MATCH(C$1,[2]quests!$1:$1,0)-MATCH($B$1,[2]quests!$1:$1,0)+1,FALSE)</f>
        <v>オイラーチャレンジ</v>
      </c>
      <c r="D86" s="60" t="str">
        <f ca="1">VLOOKUP($B86,OFFSET([2]quests!$A$1,0,0,COUNTA([2]quests!$A:$A),MATCH(D$1,[2]quests!$1:$1,0)-MATCH($B$1,[2]quests!$1:$1,0)+1),MATCH(D$1,[2]quests!$1:$1,0)-MATCH($B$1,[2]quests!$1:$1,0)+1,FALSE)</f>
        <v>ランキング1（改修版）</v>
      </c>
      <c r="E86" s="64">
        <v>1</v>
      </c>
      <c r="F86" s="60" t="str">
        <f ca="1">VLOOKUP($B86&amp;"_"&amp;$E86,OFFSET([2]stages!$A$1,0,0,COUNTA([2]stages!$A:$A),MATCH(F$1,[2]stages!$2:$2,0)-MATCH("temp_stage",[2]stages!$2:$2,0)+1),MATCH(F$1,[2]stages!$2:$2,0)-MATCH("temp_stage",[2]stages!$2:$2,0)+1,FALSE)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6" s="60" t="str">
        <f ca="1">VLOOKUP($B86&amp;"_"&amp;$E86,OFFSET([2]stages!$A$1,0,0,COUNTA([2]stages!$A:$A),MATCH(G$1,[2]stages!$2:$2,0)-MATCH("temp_stage",[2]stages!$2:$2,0)+1),MATCH(G$1,[2]stages!$2:$2,0)-MATCH("temp_stage",[2]stages!$2:$2,0)+1,FALSE)</f>
        <v>ランキング1（改修版）</v>
      </c>
      <c r="H86" s="62">
        <v>0</v>
      </c>
      <c r="I86">
        <v>29</v>
      </c>
      <c r="J86" s="61" t="s">
        <v>194</v>
      </c>
      <c r="K86" s="71" t="str">
        <f>VLOOKUP(I86,[6]stage_hints!$A:$C,3,FALSE)</f>
        <v>「バグ」のメリット</v>
      </c>
      <c r="L86" s="72" t="str">
        <f>VLOOKUP(I86,[6]stage_hints!$A:$D,4,FALSE)</f>
        <v>ユニットの「バグ」を増やすと_x000D_報酬をもらえる確率がアップします</v>
      </c>
      <c r="M86" s="35" t="s">
        <v>205</v>
      </c>
    </row>
    <row r="87" spans="1:13" x14ac:dyDescent="0.15">
      <c r="A87" s="58" t="s">
        <v>195</v>
      </c>
      <c r="B87" s="59">
        <v>60007</v>
      </c>
      <c r="C87" s="60" t="str">
        <f ca="1">VLOOKUP($B87,OFFSET([2]quests!$A$1,0,0,COUNTA([2]quests!$A:$A),MATCH(C$1,[2]quests!$1:$1,0)-MATCH($B$1,[2]quests!$1:$1,0)+1),MATCH(C$1,[2]quests!$1:$1,0)-MATCH($B$1,[2]quests!$1:$1,0)+1,FALSE)</f>
        <v>オイラーチャレンジ</v>
      </c>
      <c r="D87" s="60" t="str">
        <f ca="1">VLOOKUP($B87,OFFSET([2]quests!$A$1,0,0,COUNTA([2]quests!$A:$A),MATCH(D$1,[2]quests!$1:$1,0)-MATCH($B$1,[2]quests!$1:$1,0)+1),MATCH(D$1,[2]quests!$1:$1,0)-MATCH($B$1,[2]quests!$1:$1,0)+1,FALSE)</f>
        <v>ランキング1（改修版）</v>
      </c>
      <c r="E87" s="64">
        <v>1</v>
      </c>
      <c r="F87" s="60" t="str">
        <f ca="1">VLOOKUP($B87&amp;"_"&amp;$E87,OFFSET([2]stages!$A$1,0,0,COUNTA([2]stages!$A:$A),MATCH(F$1,[2]stages!$2:$2,0)-MATCH("temp_stage",[2]stages!$2:$2,0)+1),MATCH(F$1,[2]stages!$2:$2,0)-MATCH("temp_stage",[2]stages!$2:$2,0)+1,FALSE)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7" s="60" t="str">
        <f ca="1">VLOOKUP($B87&amp;"_"&amp;$E87,OFFSET([2]stages!$A$1,0,0,COUNTA([2]stages!$A:$A),MATCH(G$1,[2]stages!$2:$2,0)-MATCH("temp_stage",[2]stages!$2:$2,0)+1),MATCH(G$1,[2]stages!$2:$2,0)-MATCH("temp_stage",[2]stages!$2:$2,0)+1,FALSE)</f>
        <v>ランキング1（改修版）</v>
      </c>
      <c r="H87" s="62">
        <v>0</v>
      </c>
      <c r="I87">
        <v>30</v>
      </c>
      <c r="J87" s="61" t="s">
        <v>194</v>
      </c>
      <c r="K87" s="71" t="str">
        <f>VLOOKUP(I87,[6]stage_hints!$A:$C,3,FALSE)</f>
        <v>「バグ」の増やし方</v>
      </c>
      <c r="L87" s="72" t="str">
        <f>VLOOKUP(I87,[6]stage_hints!$A:$D,4,FALSE)</f>
        <v>同じユニット同士を強化で合成すると_x000D_「バグ」を増やすことができます</v>
      </c>
      <c r="M87" s="35" t="s">
        <v>205</v>
      </c>
    </row>
    <row r="88" spans="1:13" x14ac:dyDescent="0.15">
      <c r="A88" s="58" t="s">
        <v>195</v>
      </c>
      <c r="B88" s="59">
        <v>60007</v>
      </c>
      <c r="C88" s="60" t="str">
        <f ca="1">VLOOKUP($B88,OFFSET([2]quests!$A$1,0,0,COUNTA([2]quests!$A:$A),MATCH(C$1,[2]quests!$1:$1,0)-MATCH($B$1,[2]quests!$1:$1,0)+1),MATCH(C$1,[2]quests!$1:$1,0)-MATCH($B$1,[2]quests!$1:$1,0)+1,FALSE)</f>
        <v>オイラーチャレンジ</v>
      </c>
      <c r="D88" s="60" t="str">
        <f ca="1">VLOOKUP($B88,OFFSET([2]quests!$A$1,0,0,COUNTA([2]quests!$A:$A),MATCH(D$1,[2]quests!$1:$1,0)-MATCH($B$1,[2]quests!$1:$1,0)+1),MATCH(D$1,[2]quests!$1:$1,0)-MATCH($B$1,[2]quests!$1:$1,0)+1,FALSE)</f>
        <v>ランキング1（改修版）</v>
      </c>
      <c r="E88" s="64">
        <v>1</v>
      </c>
      <c r="F88" s="60" t="str">
        <f ca="1">VLOOKUP($B88&amp;"_"&amp;$E88,OFFSET([2]stages!$A$1,0,0,COUNTA([2]stages!$A:$A),MATCH(F$1,[2]stages!$2:$2,0)-MATCH("temp_stage",[2]stages!$2:$2,0)+1),MATCH(F$1,[2]stages!$2:$2,0)-MATCH("temp_stage",[2]stages!$2:$2,0)+1,FALSE)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8" s="60" t="str">
        <f ca="1">VLOOKUP($B88&amp;"_"&amp;$E88,OFFSET([2]stages!$A$1,0,0,COUNTA([2]stages!$A:$A),MATCH(G$1,[2]stages!$2:$2,0)-MATCH("temp_stage",[2]stages!$2:$2,0)+1),MATCH(G$1,[2]stages!$2:$2,0)-MATCH("temp_stage",[2]stages!$2:$2,0)+1,FALSE)</f>
        <v>ランキング1（改修版）</v>
      </c>
      <c r="H88" s="62">
        <v>0</v>
      </c>
      <c r="I88">
        <v>31</v>
      </c>
      <c r="J88" s="61" t="s">
        <v>194</v>
      </c>
      <c r="K88" s="71" t="str">
        <f>VLOOKUP(I88,[6]stage_hints!$A:$C,3,FALSE)</f>
        <v>イベントはお知らせでチェック</v>
      </c>
      <c r="L88" s="72" t="str">
        <f>VLOOKUP(I88,[6]stage_hints!$A:$D,4,FALSE)</f>
        <v>イベント限定ユニットを取り忘れないように_x000D_お知らせをこまめにチェックしましょう</v>
      </c>
      <c r="M88" s="35" t="s">
        <v>205</v>
      </c>
    </row>
    <row r="89" spans="1:13" x14ac:dyDescent="0.15">
      <c r="A89" s="58" t="s">
        <v>195</v>
      </c>
      <c r="B89" s="59">
        <v>60007</v>
      </c>
      <c r="C89" s="60" t="str">
        <f ca="1">VLOOKUP($B89,OFFSET([2]quests!$A$1,0,0,COUNTA([2]quests!$A:$A),MATCH(C$1,[2]quests!$1:$1,0)-MATCH($B$1,[2]quests!$1:$1,0)+1),MATCH(C$1,[2]quests!$1:$1,0)-MATCH($B$1,[2]quests!$1:$1,0)+1,FALSE)</f>
        <v>オイラーチャレンジ</v>
      </c>
      <c r="D89" s="60" t="str">
        <f ca="1">VLOOKUP($B89,OFFSET([2]quests!$A$1,0,0,COUNTA([2]quests!$A:$A),MATCH(D$1,[2]quests!$1:$1,0)-MATCH($B$1,[2]quests!$1:$1,0)+1),MATCH(D$1,[2]quests!$1:$1,0)-MATCH($B$1,[2]quests!$1:$1,0)+1,FALSE)</f>
        <v>ランキング1（改修版）</v>
      </c>
      <c r="E89" s="64">
        <v>1</v>
      </c>
      <c r="F89" s="60" t="str">
        <f ca="1">VLOOKUP($B89&amp;"_"&amp;$E89,OFFSET([2]stages!$A$1,0,0,COUNTA([2]stages!$A:$A),MATCH(F$1,[2]stages!$2:$2,0)-MATCH("temp_stage",[2]stages!$2:$2,0)+1),MATCH(F$1,[2]stages!$2:$2,0)-MATCH("temp_stage",[2]stages!$2:$2,0)+1,FALSE)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89" s="60" t="str">
        <f ca="1">VLOOKUP($B89&amp;"_"&amp;$E89,OFFSET([2]stages!$A$1,0,0,COUNTA([2]stages!$A:$A),MATCH(G$1,[2]stages!$2:$2,0)-MATCH("temp_stage",[2]stages!$2:$2,0)+1),MATCH(G$1,[2]stages!$2:$2,0)-MATCH("temp_stage",[2]stages!$2:$2,0)+1,FALSE)</f>
        <v>ランキング1（改修版）</v>
      </c>
      <c r="H89" s="62">
        <v>0</v>
      </c>
      <c r="I89">
        <v>32</v>
      </c>
      <c r="J89" s="61" t="s">
        <v>194</v>
      </c>
      <c r="K89" s="71" t="str">
        <f>VLOOKUP(I89,[6]stage_hints!$A:$C,3,FALSE)</f>
        <v>敵の連続攻撃には</v>
      </c>
      <c r="L89" s="72" t="str">
        <f>VLOOKUP(I89,[6]stage_hints!$A:$D,4,FALSE)</f>
        <v>カウンタースキルを持つユニットがいれば_x000D_ダメージ回数分の反撃ができます</v>
      </c>
      <c r="M89" s="35" t="s">
        <v>205</v>
      </c>
    </row>
    <row r="90" spans="1:13" x14ac:dyDescent="0.15">
      <c r="A90" s="58" t="s">
        <v>195</v>
      </c>
      <c r="B90" s="59">
        <v>60007</v>
      </c>
      <c r="C90" s="60" t="str">
        <f ca="1">VLOOKUP($B90,OFFSET([2]quests!$A$1,0,0,COUNTA([2]quests!$A:$A),MATCH(C$1,[2]quests!$1:$1,0)-MATCH($B$1,[2]quests!$1:$1,0)+1),MATCH(C$1,[2]quests!$1:$1,0)-MATCH($B$1,[2]quests!$1:$1,0)+1,FALSE)</f>
        <v>オイラーチャレンジ</v>
      </c>
      <c r="D90" s="60" t="str">
        <f ca="1">VLOOKUP($B90,OFFSET([2]quests!$A$1,0,0,COUNTA([2]quests!$A:$A),MATCH(D$1,[2]quests!$1:$1,0)-MATCH($B$1,[2]quests!$1:$1,0)+1),MATCH(D$1,[2]quests!$1:$1,0)-MATCH($B$1,[2]quests!$1:$1,0)+1,FALSE)</f>
        <v>ランキング1（改修版）</v>
      </c>
      <c r="E90" s="64">
        <v>1</v>
      </c>
      <c r="F90" s="60" t="str">
        <f ca="1">VLOOKUP($B90&amp;"_"&amp;$E90,OFFSET([2]stages!$A$1,0,0,COUNTA([2]stages!$A:$A),MATCH(F$1,[2]stages!$2:$2,0)-MATCH("temp_stage",[2]stages!$2:$2,0)+1),MATCH(F$1,[2]stages!$2:$2,0)-MATCH("temp_stage",[2]stages!$2:$2,0)+1,FALSE)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90" s="60" t="str">
        <f ca="1">VLOOKUP($B90&amp;"_"&amp;$E90,OFFSET([2]stages!$A$1,0,0,COUNTA([2]stages!$A:$A),MATCH(G$1,[2]stages!$2:$2,0)-MATCH("temp_stage",[2]stages!$2:$2,0)+1),MATCH(G$1,[2]stages!$2:$2,0)-MATCH("temp_stage",[2]stages!$2:$2,0)+1,FALSE)</f>
        <v>ランキング1（改修版）</v>
      </c>
      <c r="H90" s="62">
        <v>0</v>
      </c>
      <c r="I90">
        <v>33</v>
      </c>
      <c r="J90" s="61" t="s">
        <v>194</v>
      </c>
      <c r="K90" s="71" t="str">
        <f>VLOOKUP(I90,[6]stage_hints!$A:$C,3,FALSE)</f>
        <v>敵のカウンター攻撃には</v>
      </c>
      <c r="L90" s="72" t="str">
        <f>VLOOKUP(I90,[6]stage_hints!$A:$D,4,FALSE)</f>
        <v>カウンターブレイクスキルを持っていれば_x000D_敵のカウンターを解除して攻撃ができます</v>
      </c>
      <c r="M90" s="35" t="s">
        <v>205</v>
      </c>
    </row>
    <row r="91" spans="1:13" x14ac:dyDescent="0.15">
      <c r="A91" s="58" t="s">
        <v>195</v>
      </c>
      <c r="B91" s="59">
        <v>60007</v>
      </c>
      <c r="C91" s="60" t="str">
        <f ca="1">VLOOKUP($B91,OFFSET([2]quests!$A$1,0,0,COUNTA([2]quests!$A:$A),MATCH(C$1,[2]quests!$1:$1,0)-MATCH($B$1,[2]quests!$1:$1,0)+1),MATCH(C$1,[2]quests!$1:$1,0)-MATCH($B$1,[2]quests!$1:$1,0)+1,FALSE)</f>
        <v>オイラーチャレンジ</v>
      </c>
      <c r="D91" s="60" t="str">
        <f ca="1">VLOOKUP($B91,OFFSET([2]quests!$A$1,0,0,COUNTA([2]quests!$A:$A),MATCH(D$1,[2]quests!$1:$1,0)-MATCH($B$1,[2]quests!$1:$1,0)+1),MATCH(D$1,[2]quests!$1:$1,0)-MATCH($B$1,[2]quests!$1:$1,0)+1,FALSE)</f>
        <v>ランキング1（改修版）</v>
      </c>
      <c r="E91" s="64">
        <v>1</v>
      </c>
      <c r="F91" s="60" t="str">
        <f ca="1">VLOOKUP($B91&amp;"_"&amp;$E91,OFFSET([2]stages!$A$1,0,0,COUNTA([2]stages!$A:$A),MATCH(F$1,[2]stages!$2:$2,0)-MATCH("temp_stage",[2]stages!$2:$2,0)+1),MATCH(F$1,[2]stages!$2:$2,0)-MATCH("temp_stage",[2]stages!$2:$2,0)+1,FALSE)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91" s="60" t="str">
        <f ca="1">VLOOKUP($B91&amp;"_"&amp;$E91,OFFSET([2]stages!$A$1,0,0,COUNTA([2]stages!$A:$A),MATCH(G$1,[2]stages!$2:$2,0)-MATCH("temp_stage",[2]stages!$2:$2,0)+1),MATCH(G$1,[2]stages!$2:$2,0)-MATCH("temp_stage",[2]stages!$2:$2,0)+1,FALSE)</f>
        <v>ランキング1（改修版）</v>
      </c>
      <c r="H91" s="62">
        <v>0</v>
      </c>
      <c r="I91">
        <v>34</v>
      </c>
      <c r="J91" s="61" t="s">
        <v>194</v>
      </c>
      <c r="K91" s="71" t="str">
        <f>VLOOKUP(I91,[6]stage_hints!$A:$C,3,FALSE)</f>
        <v>ステータスをスキルで下げられたら</v>
      </c>
      <c r="L91" s="72" t="str">
        <f>VLOOKUP(I91,[6]stage_hints!$A:$D,4,FALSE)</f>
        <v>ステータスダウンのスキルを受けたら_x000D_ステータスアップスキルで上書きしましょう</v>
      </c>
      <c r="M91" s="35" t="s">
        <v>205</v>
      </c>
    </row>
    <row r="92" spans="1:13" x14ac:dyDescent="0.15">
      <c r="A92" s="58" t="s">
        <v>195</v>
      </c>
      <c r="B92" s="59">
        <v>60007</v>
      </c>
      <c r="C92" s="60" t="str">
        <f ca="1">VLOOKUP($B92,OFFSET([2]quests!$A$1,0,0,COUNTA([2]quests!$A:$A),MATCH(C$1,[2]quests!$1:$1,0)-MATCH($B$1,[2]quests!$1:$1,0)+1),MATCH(C$1,[2]quests!$1:$1,0)-MATCH($B$1,[2]quests!$1:$1,0)+1,FALSE)</f>
        <v>オイラーチャレンジ</v>
      </c>
      <c r="D92" s="60" t="str">
        <f ca="1">VLOOKUP($B92,OFFSET([2]quests!$A$1,0,0,COUNTA([2]quests!$A:$A),MATCH(D$1,[2]quests!$1:$1,0)-MATCH($B$1,[2]quests!$1:$1,0)+1),MATCH(D$1,[2]quests!$1:$1,0)-MATCH($B$1,[2]quests!$1:$1,0)+1,FALSE)</f>
        <v>ランキング1（改修版）</v>
      </c>
      <c r="E92" s="64">
        <v>1</v>
      </c>
      <c r="F92" s="60" t="str">
        <f ca="1">VLOOKUP($B92&amp;"_"&amp;$E92,OFFSET([2]stages!$A$1,0,0,COUNTA([2]stages!$A:$A),MATCH(F$1,[2]stages!$2:$2,0)-MATCH("temp_stage",[2]stages!$2:$2,0)+1),MATCH(F$1,[2]stages!$2:$2,0)-MATCH("temp_stage",[2]stages!$2:$2,0)+1,FALSE)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92" s="60" t="str">
        <f ca="1">VLOOKUP($B92&amp;"_"&amp;$E92,OFFSET([2]stages!$A$1,0,0,COUNTA([2]stages!$A:$A),MATCH(G$1,[2]stages!$2:$2,0)-MATCH("temp_stage",[2]stages!$2:$2,0)+1),MATCH(G$1,[2]stages!$2:$2,0)-MATCH("temp_stage",[2]stages!$2:$2,0)+1,FALSE)</f>
        <v>ランキング1（改修版）</v>
      </c>
      <c r="H92" s="62">
        <v>0</v>
      </c>
      <c r="I92">
        <v>35</v>
      </c>
      <c r="J92" s="61" t="s">
        <v>194</v>
      </c>
      <c r="K92" s="71" t="str">
        <f>VLOOKUP(I92,[6]stage_hints!$A:$C,3,FALSE)</f>
        <v>敵のステータスがスキルで上がったら</v>
      </c>
      <c r="L92" s="72" t="str">
        <f>VLOOKUP(I92,[6]stage_hints!$A:$D,4,FALSE)</f>
        <v>敵のステータスがスキルでアップしたときは_x000D_ステータスダウンスキルで上書きしましょう</v>
      </c>
      <c r="M92" s="35" t="s">
        <v>205</v>
      </c>
    </row>
    <row r="93" spans="1:13" x14ac:dyDescent="0.15">
      <c r="A93" s="58" t="s">
        <v>195</v>
      </c>
      <c r="B93" s="59">
        <v>60007</v>
      </c>
      <c r="C93" s="60" t="str">
        <f ca="1">VLOOKUP($B93,OFFSET([2]quests!$A$1,0,0,COUNTA([2]quests!$A:$A),MATCH(C$1,[2]quests!$1:$1,0)-MATCH($B$1,[2]quests!$1:$1,0)+1),MATCH(C$1,[2]quests!$1:$1,0)-MATCH($B$1,[2]quests!$1:$1,0)+1,FALSE)</f>
        <v>オイラーチャレンジ</v>
      </c>
      <c r="D93" s="60" t="str">
        <f ca="1">VLOOKUP($B93,OFFSET([2]quests!$A$1,0,0,COUNTA([2]quests!$A:$A),MATCH(D$1,[2]quests!$1:$1,0)-MATCH($B$1,[2]quests!$1:$1,0)+1),MATCH(D$1,[2]quests!$1:$1,0)-MATCH($B$1,[2]quests!$1:$1,0)+1,FALSE)</f>
        <v>ランキング1（改修版）</v>
      </c>
      <c r="E93" s="64">
        <v>1</v>
      </c>
      <c r="F93" s="60" t="str">
        <f ca="1">VLOOKUP($B93&amp;"_"&amp;$E93,OFFSET([2]stages!$A$1,0,0,COUNTA([2]stages!$A:$A),MATCH(F$1,[2]stages!$2:$2,0)-MATCH("temp_stage",[2]stages!$2:$2,0)+1),MATCH(F$1,[2]stages!$2:$2,0)-MATCH("temp_stage",[2]stages!$2:$2,0)+1,FALSE)</f>
        <v>【中級】オイラーチャレンジ</v>
      </c>
      <c r="G93" s="60" t="str">
        <f ca="1">VLOOKUP($B93&amp;"_"&amp;$E93,OFFSET([2]stages!$A$1,0,0,COUNTA([2]stages!$A:$A),MATCH(G$1,[2]stages!$2:$2,0)-MATCH("temp_stage",[2]stages!$2:$2,0)+1),MATCH(G$1,[2]stages!$2:$2,0)-MATCH("temp_stage",[2]stages!$2:$2,0)+1,FALSE)</f>
        <v>ランキング1（改修版）</v>
      </c>
      <c r="H93" s="62">
        <v>0</v>
      </c>
      <c r="I93">
        <v>39</v>
      </c>
      <c r="J93" s="61" t="s">
        <v>194</v>
      </c>
      <c r="K93" s="71" t="str">
        <f>VLOOKUP(I93,[6]stage_hints!$A:$C,3,FALSE)</f>
        <v>システム適合者を確認</v>
      </c>
      <c r="L93" s="72" t="str">
        <f>VLOOKUP(I93,[6]stage_hints!$A:$D,4,FALSE)</f>
        <v>ALICEが「アナタ」を呼んでいます</v>
      </c>
      <c r="M93" s="35" t="s">
        <v>205</v>
      </c>
    </row>
    <row r="94" spans="1:13" x14ac:dyDescent="0.15">
      <c r="A94" s="58" t="s">
        <v>195</v>
      </c>
      <c r="B94" s="59">
        <v>60007</v>
      </c>
      <c r="C94" s="60" t="str">
        <f ca="1">VLOOKUP($B94,OFFSET([2]quests!$A$1,0,0,COUNTA([2]quests!$A:$A),MATCH(C$1,[2]quests!$1:$1,0)-MATCH($B$1,[2]quests!$1:$1,0)+1),MATCH(C$1,[2]quests!$1:$1,0)-MATCH($B$1,[2]quests!$1:$1,0)+1,FALSE)</f>
        <v>オイラーチャレンジ</v>
      </c>
      <c r="D94" s="60" t="str">
        <f ca="1">VLOOKUP($B94,OFFSET([2]quests!$A$1,0,0,COUNTA([2]quests!$A:$A),MATCH(D$1,[2]quests!$1:$1,0)-MATCH($B$1,[2]quests!$1:$1,0)+1),MATCH(D$1,[2]quests!$1:$1,0)-MATCH($B$1,[2]quests!$1:$1,0)+1,FALSE)</f>
        <v>ランキング1（改修版）</v>
      </c>
      <c r="E94" s="64">
        <v>2</v>
      </c>
      <c r="F94" s="60" t="str">
        <f ca="1">VLOOKUP($B94&amp;"_"&amp;$E94,OFFSET([2]stages!$A$1,0,0,COUNTA([2]stages!$A:$A),MATCH(F$1,[2]stages!$2:$2,0)-MATCH("temp_stage",[2]stages!$2:$2,0)+1),MATCH(F$1,[2]stages!$2:$2,0)-MATCH("temp_stage",[2]stages!$2:$2,0)+1,FALSE)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94" s="60" t="str">
        <f ca="1">VLOOKUP($B94&amp;"_"&amp;$E94,OFFSET([2]stages!$A$1,0,0,COUNTA([2]stages!$A:$A),MATCH(G$1,[2]stages!$2:$2,0)-MATCH("temp_stage",[2]stages!$2:$2,0)+1),MATCH(G$1,[2]stages!$2:$2,0)-MATCH("temp_stage",[2]stages!$2:$2,0)+1,FALSE)</f>
        <v>ランキング1（改修版）</v>
      </c>
      <c r="H94" s="62">
        <v>0</v>
      </c>
      <c r="I94">
        <v>12</v>
      </c>
      <c r="J94" s="61" t="s">
        <v>194</v>
      </c>
      <c r="K94" s="71" t="str">
        <f>VLOOKUP(I94,[6]stage_hints!$A:$C,3,FALSE)</f>
        <v>ユニットのお気に入り登録</v>
      </c>
      <c r="L94" s="72" t="str">
        <f>VLOOKUP(I94,[6]stage_hints!$A:$D,4,FALSE)</f>
        <v>大事なユニットを誤って消さないように_x000D_フォルダから「お気に入り登録」しましょう</v>
      </c>
      <c r="M94" s="35" t="s">
        <v>205</v>
      </c>
    </row>
    <row r="95" spans="1:13" x14ac:dyDescent="0.15">
      <c r="A95" s="58" t="s">
        <v>195</v>
      </c>
      <c r="B95" s="59">
        <v>60007</v>
      </c>
      <c r="C95" s="60" t="str">
        <f ca="1">VLOOKUP($B95,OFFSET([2]quests!$A$1,0,0,COUNTA([2]quests!$A:$A),MATCH(C$1,[2]quests!$1:$1,0)-MATCH($B$1,[2]quests!$1:$1,0)+1),MATCH(C$1,[2]quests!$1:$1,0)-MATCH($B$1,[2]quests!$1:$1,0)+1,FALSE)</f>
        <v>オイラーチャレンジ</v>
      </c>
      <c r="D95" s="60" t="str">
        <f ca="1">VLOOKUP($B95,OFFSET([2]quests!$A$1,0,0,COUNTA([2]quests!$A:$A),MATCH(D$1,[2]quests!$1:$1,0)-MATCH($B$1,[2]quests!$1:$1,0)+1),MATCH(D$1,[2]quests!$1:$1,0)-MATCH($B$1,[2]quests!$1:$1,0)+1,FALSE)</f>
        <v>ランキング1（改修版）</v>
      </c>
      <c r="E95" s="64">
        <v>2</v>
      </c>
      <c r="F95" s="60" t="str">
        <f ca="1">VLOOKUP($B95&amp;"_"&amp;$E95,OFFSET([2]stages!$A$1,0,0,COUNTA([2]stages!$A:$A),MATCH(F$1,[2]stages!$2:$2,0)-MATCH("temp_stage",[2]stages!$2:$2,0)+1),MATCH(F$1,[2]stages!$2:$2,0)-MATCH("temp_stage",[2]stages!$2:$2,0)+1,FALSE)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95" s="60" t="str">
        <f ca="1">VLOOKUP($B95&amp;"_"&amp;$E95,OFFSET([2]stages!$A$1,0,0,COUNTA([2]stages!$A:$A),MATCH(G$1,[2]stages!$2:$2,0)-MATCH("temp_stage",[2]stages!$2:$2,0)+1),MATCH(G$1,[2]stages!$2:$2,0)-MATCH("temp_stage",[2]stages!$2:$2,0)+1,FALSE)</f>
        <v>ランキング1（改修版）</v>
      </c>
      <c r="H95" s="62">
        <v>0</v>
      </c>
      <c r="I95">
        <v>17</v>
      </c>
      <c r="J95" s="61" t="s">
        <v>194</v>
      </c>
      <c r="K95" s="71" t="str">
        <f>VLOOKUP(I95,[6]stage_hints!$A:$C,3,FALSE)</f>
        <v>リンクガチャ</v>
      </c>
      <c r="L95" s="72" t="str">
        <f>VLOOKUP(I95,[6]stage_hints!$A:$D,4,FALSE)</f>
        <v>無料のリンクガチャを回して_x000D_経験値素材や売却素材を獲得しましょう</v>
      </c>
      <c r="M95" s="35" t="s">
        <v>205</v>
      </c>
    </row>
    <row r="96" spans="1:13" x14ac:dyDescent="0.15">
      <c r="A96" s="58" t="s">
        <v>195</v>
      </c>
      <c r="B96" s="59">
        <v>60007</v>
      </c>
      <c r="C96" s="60" t="str">
        <f ca="1">VLOOKUP($B96,OFFSET([2]quests!$A$1,0,0,COUNTA([2]quests!$A:$A),MATCH(C$1,[2]quests!$1:$1,0)-MATCH($B$1,[2]quests!$1:$1,0)+1),MATCH(C$1,[2]quests!$1:$1,0)-MATCH($B$1,[2]quests!$1:$1,0)+1,FALSE)</f>
        <v>オイラーチャレンジ</v>
      </c>
      <c r="D96" s="60" t="str">
        <f ca="1">VLOOKUP($B96,OFFSET([2]quests!$A$1,0,0,COUNTA([2]quests!$A:$A),MATCH(D$1,[2]quests!$1:$1,0)-MATCH($B$1,[2]quests!$1:$1,0)+1),MATCH(D$1,[2]quests!$1:$1,0)-MATCH($B$1,[2]quests!$1:$1,0)+1,FALSE)</f>
        <v>ランキング1（改修版）</v>
      </c>
      <c r="E96" s="64">
        <v>2</v>
      </c>
      <c r="F96" s="60" t="str">
        <f ca="1">VLOOKUP($B96&amp;"_"&amp;$E96,OFFSET([2]stages!$A$1,0,0,COUNTA([2]stages!$A:$A),MATCH(F$1,[2]stages!$2:$2,0)-MATCH("temp_stage",[2]stages!$2:$2,0)+1),MATCH(F$1,[2]stages!$2:$2,0)-MATCH("temp_stage",[2]stages!$2:$2,0)+1,FALSE)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96" s="60" t="str">
        <f ca="1">VLOOKUP($B96&amp;"_"&amp;$E96,OFFSET([2]stages!$A$1,0,0,COUNTA([2]stages!$A:$A),MATCH(G$1,[2]stages!$2:$2,0)-MATCH("temp_stage",[2]stages!$2:$2,0)+1),MATCH(G$1,[2]stages!$2:$2,0)-MATCH("temp_stage",[2]stages!$2:$2,0)+1,FALSE)</f>
        <v>ランキング1（改修版）</v>
      </c>
      <c r="H96" s="62">
        <v>0</v>
      </c>
      <c r="I96">
        <v>19</v>
      </c>
      <c r="J96" s="61" t="s">
        <v>194</v>
      </c>
      <c r="K96" s="71" t="str">
        <f>VLOOKUP(I96,[6]stage_hints!$A:$C,3,FALSE)</f>
        <v>ソロ専用チャレンジタワー</v>
      </c>
      <c r="L96" s="72" t="str">
        <f>VLOOKUP(I96,[6]stage_hints!$A:$D,4,FALSE)</f>
        <v>ソロ専用の「チャレンジタワー」では_x000D_各フロアごとにクリア報酬がもらえます</v>
      </c>
      <c r="M96" s="35" t="s">
        <v>205</v>
      </c>
    </row>
    <row r="97" spans="1:13" x14ac:dyDescent="0.15">
      <c r="A97" s="58" t="s">
        <v>195</v>
      </c>
      <c r="B97" s="59">
        <v>60007</v>
      </c>
      <c r="C97" s="60" t="str">
        <f ca="1">VLOOKUP($B97,OFFSET([2]quests!$A$1,0,0,COUNTA([2]quests!$A:$A),MATCH(C$1,[2]quests!$1:$1,0)-MATCH($B$1,[2]quests!$1:$1,0)+1),MATCH(C$1,[2]quests!$1:$1,0)-MATCH($B$1,[2]quests!$1:$1,0)+1,FALSE)</f>
        <v>オイラーチャレンジ</v>
      </c>
      <c r="D97" s="60" t="str">
        <f ca="1">VLOOKUP($B97,OFFSET([2]quests!$A$1,0,0,COUNTA([2]quests!$A:$A),MATCH(D$1,[2]quests!$1:$1,0)-MATCH($B$1,[2]quests!$1:$1,0)+1),MATCH(D$1,[2]quests!$1:$1,0)-MATCH($B$1,[2]quests!$1:$1,0)+1,FALSE)</f>
        <v>ランキング1（改修版）</v>
      </c>
      <c r="E97" s="64">
        <v>2</v>
      </c>
      <c r="F97" s="60" t="str">
        <f ca="1">VLOOKUP($B97&amp;"_"&amp;$E97,OFFSET([2]stages!$A$1,0,0,COUNTA([2]stages!$A:$A),MATCH(F$1,[2]stages!$2:$2,0)-MATCH("temp_stage",[2]stages!$2:$2,0)+1),MATCH(F$1,[2]stages!$2:$2,0)-MATCH("temp_stage",[2]stages!$2:$2,0)+1,FALSE)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97" s="60" t="str">
        <f ca="1">VLOOKUP($B97&amp;"_"&amp;$E97,OFFSET([2]stages!$A$1,0,0,COUNTA([2]stages!$A:$A),MATCH(G$1,[2]stages!$2:$2,0)-MATCH("temp_stage",[2]stages!$2:$2,0)+1),MATCH(G$1,[2]stages!$2:$2,0)-MATCH("temp_stage",[2]stages!$2:$2,0)+1,FALSE)</f>
        <v>ランキング1（改修版）</v>
      </c>
      <c r="H97" s="62">
        <v>0</v>
      </c>
      <c r="I97">
        <v>21</v>
      </c>
      <c r="J97" s="61" t="s">
        <v>194</v>
      </c>
      <c r="K97" s="71" t="str">
        <f>VLOOKUP(I97,[6]stage_hints!$A:$C,3,FALSE)</f>
        <v>スキルを有効に</v>
      </c>
      <c r="L97" s="72" t="str">
        <f>VLOOKUP(I97,[6]stage_hints!$A:$D,4,FALSE)</f>
        <v>ターン経過でユニットのスキルが使えます_x000D_強力スキルでバトルを有利に進めましょう</v>
      </c>
      <c r="M97" s="35" t="s">
        <v>205</v>
      </c>
    </row>
    <row r="98" spans="1:13" x14ac:dyDescent="0.15">
      <c r="A98" s="58" t="s">
        <v>195</v>
      </c>
      <c r="B98" s="59">
        <v>60007</v>
      </c>
      <c r="C98" s="60" t="str">
        <f ca="1">VLOOKUP($B98,OFFSET([2]quests!$A$1,0,0,COUNTA([2]quests!$A:$A),MATCH(C$1,[2]quests!$1:$1,0)-MATCH($B$1,[2]quests!$1:$1,0)+1),MATCH(C$1,[2]quests!$1:$1,0)-MATCH($B$1,[2]quests!$1:$1,0)+1,FALSE)</f>
        <v>オイラーチャレンジ</v>
      </c>
      <c r="D98" s="60" t="str">
        <f ca="1">VLOOKUP($B98,OFFSET([2]quests!$A$1,0,0,COUNTA([2]quests!$A:$A),MATCH(D$1,[2]quests!$1:$1,0)-MATCH($B$1,[2]quests!$1:$1,0)+1),MATCH(D$1,[2]quests!$1:$1,0)-MATCH($B$1,[2]quests!$1:$1,0)+1,FALSE)</f>
        <v>ランキング1（改修版）</v>
      </c>
      <c r="E98" s="64">
        <v>2</v>
      </c>
      <c r="F98" s="60" t="str">
        <f ca="1">VLOOKUP($B98&amp;"_"&amp;$E98,OFFSET([2]stages!$A$1,0,0,COUNTA([2]stages!$A:$A),MATCH(F$1,[2]stages!$2:$2,0)-MATCH("temp_stage",[2]stages!$2:$2,0)+1),MATCH(F$1,[2]stages!$2:$2,0)-MATCH("temp_stage",[2]stages!$2:$2,0)+1,FALSE)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98" s="60" t="str">
        <f ca="1">VLOOKUP($B98&amp;"_"&amp;$E98,OFFSET([2]stages!$A$1,0,0,COUNTA([2]stages!$A:$A),MATCH(G$1,[2]stages!$2:$2,0)-MATCH("temp_stage",[2]stages!$2:$2,0)+1),MATCH(G$1,[2]stages!$2:$2,0)-MATCH("temp_stage",[2]stages!$2:$2,0)+1,FALSE)</f>
        <v>ランキング1（改修版）</v>
      </c>
      <c r="H98" s="62">
        <v>0</v>
      </c>
      <c r="I98">
        <v>27</v>
      </c>
      <c r="J98" s="61" t="s">
        <v>194</v>
      </c>
      <c r="K98" s="71" t="str">
        <f>VLOOKUP(I98,[6]stage_hints!$A:$C,3,FALSE)</f>
        <v>ホーム画面からデッキを編成</v>
      </c>
      <c r="L98" s="72" t="str">
        <f>VLOOKUP(I98,[6]stage_hints!$A:$D,4,FALSE)</f>
        <v>ホーム画面でユニットを長押しすると_x000D_すぐにパーティ編成に移動できます</v>
      </c>
      <c r="M98" s="35" t="s">
        <v>205</v>
      </c>
    </row>
    <row r="99" spans="1:13" x14ac:dyDescent="0.15">
      <c r="A99" s="58" t="s">
        <v>195</v>
      </c>
      <c r="B99" s="59">
        <v>60007</v>
      </c>
      <c r="C99" s="60" t="str">
        <f ca="1">VLOOKUP($B99,OFFSET([2]quests!$A$1,0,0,COUNTA([2]quests!$A:$A),MATCH(C$1,[2]quests!$1:$1,0)-MATCH($B$1,[2]quests!$1:$1,0)+1),MATCH(C$1,[2]quests!$1:$1,0)-MATCH($B$1,[2]quests!$1:$1,0)+1,FALSE)</f>
        <v>オイラーチャレンジ</v>
      </c>
      <c r="D99" s="60" t="str">
        <f ca="1">VLOOKUP($B99,OFFSET([2]quests!$A$1,0,0,COUNTA([2]quests!$A:$A),MATCH(D$1,[2]quests!$1:$1,0)-MATCH($B$1,[2]quests!$1:$1,0)+1),MATCH(D$1,[2]quests!$1:$1,0)-MATCH($B$1,[2]quests!$1:$1,0)+1,FALSE)</f>
        <v>ランキング1（改修版）</v>
      </c>
      <c r="E99" s="64">
        <v>2</v>
      </c>
      <c r="F99" s="60" t="str">
        <f ca="1">VLOOKUP($B99&amp;"_"&amp;$E99,OFFSET([2]stages!$A$1,0,0,COUNTA([2]stages!$A:$A),MATCH(F$1,[2]stages!$2:$2,0)-MATCH("temp_stage",[2]stages!$2:$2,0)+1),MATCH(F$1,[2]stages!$2:$2,0)-MATCH("temp_stage",[2]stages!$2:$2,0)+1,FALSE)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99" s="60" t="str">
        <f ca="1">VLOOKUP($B99&amp;"_"&amp;$E99,OFFSET([2]stages!$A$1,0,0,COUNTA([2]stages!$A:$A),MATCH(G$1,[2]stages!$2:$2,0)-MATCH("temp_stage",[2]stages!$2:$2,0)+1),MATCH(G$1,[2]stages!$2:$2,0)-MATCH("temp_stage",[2]stages!$2:$2,0)+1,FALSE)</f>
        <v>ランキング1（改修版）</v>
      </c>
      <c r="H99" s="62">
        <v>0</v>
      </c>
      <c r="I99">
        <v>28</v>
      </c>
      <c r="J99" s="61" t="s">
        <v>194</v>
      </c>
      <c r="K99" s="71" t="str">
        <f>VLOOKUP(I99,[6]stage_hints!$A:$C,3,FALSE)</f>
        <v>ステータス情報は長押しで</v>
      </c>
      <c r="L99" s="72" t="str">
        <f>VLOOKUP(I99,[6]stage_hints!$A:$D,4,FALSE)</f>
        <v>ユニットのアイコンを長押しすると_x000D_ステータス情報を確認することができます</v>
      </c>
      <c r="M99" s="35" t="s">
        <v>205</v>
      </c>
    </row>
    <row r="100" spans="1:13" x14ac:dyDescent="0.15">
      <c r="A100" s="58" t="s">
        <v>195</v>
      </c>
      <c r="B100" s="59">
        <v>60007</v>
      </c>
      <c r="C100" s="60" t="str">
        <f ca="1">VLOOKUP($B100,OFFSET([2]quests!$A$1,0,0,COUNTA([2]quests!$A:$A),MATCH(C$1,[2]quests!$1:$1,0)-MATCH($B$1,[2]quests!$1:$1,0)+1),MATCH(C$1,[2]quests!$1:$1,0)-MATCH($B$1,[2]quests!$1:$1,0)+1,FALSE)</f>
        <v>オイラーチャレンジ</v>
      </c>
      <c r="D100" s="60" t="str">
        <f ca="1">VLOOKUP($B100,OFFSET([2]quests!$A$1,0,0,COUNTA([2]quests!$A:$A),MATCH(D$1,[2]quests!$1:$1,0)-MATCH($B$1,[2]quests!$1:$1,0)+1),MATCH(D$1,[2]quests!$1:$1,0)-MATCH($B$1,[2]quests!$1:$1,0)+1,FALSE)</f>
        <v>ランキング1（改修版）</v>
      </c>
      <c r="E100" s="64">
        <v>2</v>
      </c>
      <c r="F100" s="60" t="str">
        <f ca="1">VLOOKUP($B100&amp;"_"&amp;$E100,OFFSET([2]stages!$A$1,0,0,COUNTA([2]stages!$A:$A),MATCH(F$1,[2]stages!$2:$2,0)-MATCH("temp_stage",[2]stages!$2:$2,0)+1),MATCH(F$1,[2]stages!$2:$2,0)-MATCH("temp_stage",[2]stages!$2:$2,0)+1,FALSE)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100" s="60" t="str">
        <f ca="1">VLOOKUP($B100&amp;"_"&amp;$E100,OFFSET([2]stages!$A$1,0,0,COUNTA([2]stages!$A:$A),MATCH(G$1,[2]stages!$2:$2,0)-MATCH("temp_stage",[2]stages!$2:$2,0)+1),MATCH(G$1,[2]stages!$2:$2,0)-MATCH("temp_stage",[2]stages!$2:$2,0)+1,FALSE)</f>
        <v>ランキング1（改修版）</v>
      </c>
      <c r="H100" s="62">
        <v>0</v>
      </c>
      <c r="I100">
        <v>29</v>
      </c>
      <c r="J100" s="61" t="s">
        <v>194</v>
      </c>
      <c r="K100" s="71" t="str">
        <f>VLOOKUP(I100,[6]stage_hints!$A:$C,3,FALSE)</f>
        <v>「バグ」のメリット</v>
      </c>
      <c r="L100" s="72" t="str">
        <f>VLOOKUP(I100,[6]stage_hints!$A:$D,4,FALSE)</f>
        <v>ユニットの「バグ」を増やすと_x000D_報酬をもらえる確率がアップします</v>
      </c>
      <c r="M100" s="35" t="s">
        <v>205</v>
      </c>
    </row>
    <row r="101" spans="1:13" x14ac:dyDescent="0.15">
      <c r="A101" s="58" t="s">
        <v>195</v>
      </c>
      <c r="B101" s="59">
        <v>60007</v>
      </c>
      <c r="C101" s="60" t="str">
        <f ca="1">VLOOKUP($B101,OFFSET([2]quests!$A$1,0,0,COUNTA([2]quests!$A:$A),MATCH(C$1,[2]quests!$1:$1,0)-MATCH($B$1,[2]quests!$1:$1,0)+1),MATCH(C$1,[2]quests!$1:$1,0)-MATCH($B$1,[2]quests!$1:$1,0)+1,FALSE)</f>
        <v>オイラーチャレンジ</v>
      </c>
      <c r="D101" s="60" t="str">
        <f ca="1">VLOOKUP($B101,OFFSET([2]quests!$A$1,0,0,COUNTA([2]quests!$A:$A),MATCH(D$1,[2]quests!$1:$1,0)-MATCH($B$1,[2]quests!$1:$1,0)+1),MATCH(D$1,[2]quests!$1:$1,0)-MATCH($B$1,[2]quests!$1:$1,0)+1,FALSE)</f>
        <v>ランキング1（改修版）</v>
      </c>
      <c r="E101" s="64">
        <v>2</v>
      </c>
      <c r="F101" s="60" t="str">
        <f ca="1">VLOOKUP($B101&amp;"_"&amp;$E101,OFFSET([2]stages!$A$1,0,0,COUNTA([2]stages!$A:$A),MATCH(F$1,[2]stages!$2:$2,0)-MATCH("temp_stage",[2]stages!$2:$2,0)+1),MATCH(F$1,[2]stages!$2:$2,0)-MATCH("temp_stage",[2]stages!$2:$2,0)+1,FALSE)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101" s="60" t="str">
        <f ca="1">VLOOKUP($B101&amp;"_"&amp;$E101,OFFSET([2]stages!$A$1,0,0,COUNTA([2]stages!$A:$A),MATCH(G$1,[2]stages!$2:$2,0)-MATCH("temp_stage",[2]stages!$2:$2,0)+1),MATCH(G$1,[2]stages!$2:$2,0)-MATCH("temp_stage",[2]stages!$2:$2,0)+1,FALSE)</f>
        <v>ランキング1（改修版）</v>
      </c>
      <c r="H101" s="62">
        <v>0</v>
      </c>
      <c r="I101">
        <v>30</v>
      </c>
      <c r="J101" s="61" t="s">
        <v>194</v>
      </c>
      <c r="K101" s="71" t="str">
        <f>VLOOKUP(I101,[6]stage_hints!$A:$C,3,FALSE)</f>
        <v>「バグ」の増やし方</v>
      </c>
      <c r="L101" s="72" t="str">
        <f>VLOOKUP(I101,[6]stage_hints!$A:$D,4,FALSE)</f>
        <v>同じユニット同士を強化で合成すると_x000D_「バグ」を増やすことができます</v>
      </c>
      <c r="M101" s="35" t="s">
        <v>205</v>
      </c>
    </row>
    <row r="102" spans="1:13" x14ac:dyDescent="0.15">
      <c r="A102" s="58" t="s">
        <v>195</v>
      </c>
      <c r="B102" s="59">
        <v>60007</v>
      </c>
      <c r="C102" s="60" t="str">
        <f ca="1">VLOOKUP($B102,OFFSET([2]quests!$A$1,0,0,COUNTA([2]quests!$A:$A),MATCH(C$1,[2]quests!$1:$1,0)-MATCH($B$1,[2]quests!$1:$1,0)+1),MATCH(C$1,[2]quests!$1:$1,0)-MATCH($B$1,[2]quests!$1:$1,0)+1,FALSE)</f>
        <v>オイラーチャレンジ</v>
      </c>
      <c r="D102" s="60" t="str">
        <f ca="1">VLOOKUP($B102,OFFSET([2]quests!$A$1,0,0,COUNTA([2]quests!$A:$A),MATCH(D$1,[2]quests!$1:$1,0)-MATCH($B$1,[2]quests!$1:$1,0)+1),MATCH(D$1,[2]quests!$1:$1,0)-MATCH($B$1,[2]quests!$1:$1,0)+1,FALSE)</f>
        <v>ランキング1（改修版）</v>
      </c>
      <c r="E102" s="64">
        <v>2</v>
      </c>
      <c r="F102" s="60" t="str">
        <f ca="1">VLOOKUP($B102&amp;"_"&amp;$E102,OFFSET([2]stages!$A$1,0,0,COUNTA([2]stages!$A:$A),MATCH(F$1,[2]stages!$2:$2,0)-MATCH("temp_stage",[2]stages!$2:$2,0)+1),MATCH(F$1,[2]stages!$2:$2,0)-MATCH("temp_stage",[2]stages!$2:$2,0)+1,FALSE)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102" s="60" t="str">
        <f ca="1">VLOOKUP($B102&amp;"_"&amp;$E102,OFFSET([2]stages!$A$1,0,0,COUNTA([2]stages!$A:$A),MATCH(G$1,[2]stages!$2:$2,0)-MATCH("temp_stage",[2]stages!$2:$2,0)+1),MATCH(G$1,[2]stages!$2:$2,0)-MATCH("temp_stage",[2]stages!$2:$2,0)+1,FALSE)</f>
        <v>ランキング1（改修版）</v>
      </c>
      <c r="H102" s="62">
        <v>0</v>
      </c>
      <c r="I102">
        <v>32</v>
      </c>
      <c r="J102" s="61" t="s">
        <v>194</v>
      </c>
      <c r="K102" s="71" t="str">
        <f>VLOOKUP(I102,[6]stage_hints!$A:$C,3,FALSE)</f>
        <v>敵の連続攻撃には</v>
      </c>
      <c r="L102" s="72" t="str">
        <f>VLOOKUP(I102,[6]stage_hints!$A:$D,4,FALSE)</f>
        <v>カウンタースキルを持つユニットがいれば_x000D_ダメージ回数分の反撃ができます</v>
      </c>
      <c r="M102" s="35" t="s">
        <v>205</v>
      </c>
    </row>
    <row r="103" spans="1:13" x14ac:dyDescent="0.15">
      <c r="A103" s="58" t="s">
        <v>195</v>
      </c>
      <c r="B103" s="59">
        <v>60007</v>
      </c>
      <c r="C103" s="60" t="str">
        <f ca="1">VLOOKUP($B103,OFFSET([2]quests!$A$1,0,0,COUNTA([2]quests!$A:$A),MATCH(C$1,[2]quests!$1:$1,0)-MATCH($B$1,[2]quests!$1:$1,0)+1),MATCH(C$1,[2]quests!$1:$1,0)-MATCH($B$1,[2]quests!$1:$1,0)+1,FALSE)</f>
        <v>オイラーチャレンジ</v>
      </c>
      <c r="D103" s="60" t="str">
        <f ca="1">VLOOKUP($B103,OFFSET([2]quests!$A$1,0,0,COUNTA([2]quests!$A:$A),MATCH(D$1,[2]quests!$1:$1,0)-MATCH($B$1,[2]quests!$1:$1,0)+1),MATCH(D$1,[2]quests!$1:$1,0)-MATCH($B$1,[2]quests!$1:$1,0)+1,FALSE)</f>
        <v>ランキング1（改修版）</v>
      </c>
      <c r="E103" s="64">
        <v>2</v>
      </c>
      <c r="F103" s="60" t="str">
        <f ca="1">VLOOKUP($B103&amp;"_"&amp;$E103,OFFSET([2]stages!$A$1,0,0,COUNTA([2]stages!$A:$A),MATCH(F$1,[2]stages!$2:$2,0)-MATCH("temp_stage",[2]stages!$2:$2,0)+1),MATCH(F$1,[2]stages!$2:$2,0)-MATCH("temp_stage",[2]stages!$2:$2,0)+1,FALSE)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103" s="60" t="str">
        <f ca="1">VLOOKUP($B103&amp;"_"&amp;$E103,OFFSET([2]stages!$A$1,0,0,COUNTA([2]stages!$A:$A),MATCH(G$1,[2]stages!$2:$2,0)-MATCH("temp_stage",[2]stages!$2:$2,0)+1),MATCH(G$1,[2]stages!$2:$2,0)-MATCH("temp_stage",[2]stages!$2:$2,0)+1,FALSE)</f>
        <v>ランキング1（改修版）</v>
      </c>
      <c r="H103" s="62">
        <v>0</v>
      </c>
      <c r="I103">
        <v>33</v>
      </c>
      <c r="J103" s="61" t="s">
        <v>194</v>
      </c>
      <c r="K103" s="71" t="str">
        <f>VLOOKUP(I103,[6]stage_hints!$A:$C,3,FALSE)</f>
        <v>敵のカウンター攻撃には</v>
      </c>
      <c r="L103" s="72" t="str">
        <f>VLOOKUP(I103,[6]stage_hints!$A:$D,4,FALSE)</f>
        <v>カウンターブレイクスキルを持っていれば_x000D_敵のカウンターを解除して攻撃ができます</v>
      </c>
      <c r="M103" s="35" t="s">
        <v>205</v>
      </c>
    </row>
    <row r="104" spans="1:13" x14ac:dyDescent="0.15">
      <c r="A104" s="58" t="s">
        <v>195</v>
      </c>
      <c r="B104" s="59">
        <v>60007</v>
      </c>
      <c r="C104" s="60" t="str">
        <f ca="1">VLOOKUP($B104,OFFSET([2]quests!$A$1,0,0,COUNTA([2]quests!$A:$A),MATCH(C$1,[2]quests!$1:$1,0)-MATCH($B$1,[2]quests!$1:$1,0)+1),MATCH(C$1,[2]quests!$1:$1,0)-MATCH($B$1,[2]quests!$1:$1,0)+1,FALSE)</f>
        <v>オイラーチャレンジ</v>
      </c>
      <c r="D104" s="60" t="str">
        <f ca="1">VLOOKUP($B104,OFFSET([2]quests!$A$1,0,0,COUNTA([2]quests!$A:$A),MATCH(D$1,[2]quests!$1:$1,0)-MATCH($B$1,[2]quests!$1:$1,0)+1),MATCH(D$1,[2]quests!$1:$1,0)-MATCH($B$1,[2]quests!$1:$1,0)+1,FALSE)</f>
        <v>ランキング1（改修版）</v>
      </c>
      <c r="E104" s="64">
        <v>2</v>
      </c>
      <c r="F104" s="60" t="str">
        <f ca="1">VLOOKUP($B104&amp;"_"&amp;$E104,OFFSET([2]stages!$A$1,0,0,COUNTA([2]stages!$A:$A),MATCH(F$1,[2]stages!$2:$2,0)-MATCH("temp_stage",[2]stages!$2:$2,0)+1),MATCH(F$1,[2]stages!$2:$2,0)-MATCH("temp_stage",[2]stages!$2:$2,0)+1,FALSE)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104" s="60" t="str">
        <f ca="1">VLOOKUP($B104&amp;"_"&amp;$E104,OFFSET([2]stages!$A$1,0,0,COUNTA([2]stages!$A:$A),MATCH(G$1,[2]stages!$2:$2,0)-MATCH("temp_stage",[2]stages!$2:$2,0)+1),MATCH(G$1,[2]stages!$2:$2,0)-MATCH("temp_stage",[2]stages!$2:$2,0)+1,FALSE)</f>
        <v>ランキング1（改修版）</v>
      </c>
      <c r="H104" s="62">
        <v>0</v>
      </c>
      <c r="I104">
        <v>34</v>
      </c>
      <c r="J104" s="61" t="s">
        <v>194</v>
      </c>
      <c r="K104" s="71" t="str">
        <f>VLOOKUP(I104,[6]stage_hints!$A:$C,3,FALSE)</f>
        <v>ステータスをスキルで下げられたら</v>
      </c>
      <c r="L104" s="72" t="str">
        <f>VLOOKUP(I104,[6]stage_hints!$A:$D,4,FALSE)</f>
        <v>ステータスダウンのスキルを受けたら_x000D_ステータスアップスキルで上書きしましょう</v>
      </c>
      <c r="M104" s="35" t="s">
        <v>205</v>
      </c>
    </row>
    <row r="105" spans="1:13" x14ac:dyDescent="0.15">
      <c r="A105" s="58" t="s">
        <v>195</v>
      </c>
      <c r="B105" s="59">
        <v>60007</v>
      </c>
      <c r="C105" s="60" t="str">
        <f ca="1">VLOOKUP($B105,OFFSET([2]quests!$A$1,0,0,COUNTA([2]quests!$A:$A),MATCH(C$1,[2]quests!$1:$1,0)-MATCH($B$1,[2]quests!$1:$1,0)+1),MATCH(C$1,[2]quests!$1:$1,0)-MATCH($B$1,[2]quests!$1:$1,0)+1,FALSE)</f>
        <v>オイラーチャレンジ</v>
      </c>
      <c r="D105" s="60" t="str">
        <f ca="1">VLOOKUP($B105,OFFSET([2]quests!$A$1,0,0,COUNTA([2]quests!$A:$A),MATCH(D$1,[2]quests!$1:$1,0)-MATCH($B$1,[2]quests!$1:$1,0)+1),MATCH(D$1,[2]quests!$1:$1,0)-MATCH($B$1,[2]quests!$1:$1,0)+1,FALSE)</f>
        <v>ランキング1（改修版）</v>
      </c>
      <c r="E105" s="64">
        <v>2</v>
      </c>
      <c r="F105" s="60" t="str">
        <f ca="1">VLOOKUP($B105&amp;"_"&amp;$E105,OFFSET([2]stages!$A$1,0,0,COUNTA([2]stages!$A:$A),MATCH(F$1,[2]stages!$2:$2,0)-MATCH("temp_stage",[2]stages!$2:$2,0)+1),MATCH(F$1,[2]stages!$2:$2,0)-MATCH("temp_stage",[2]stages!$2:$2,0)+1,FALSE)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105" s="60" t="str">
        <f ca="1">VLOOKUP($B105&amp;"_"&amp;$E105,OFFSET([2]stages!$A$1,0,0,COUNTA([2]stages!$A:$A),MATCH(G$1,[2]stages!$2:$2,0)-MATCH("temp_stage",[2]stages!$2:$2,0)+1),MATCH(G$1,[2]stages!$2:$2,0)-MATCH("temp_stage",[2]stages!$2:$2,0)+1,FALSE)</f>
        <v>ランキング1（改修版）</v>
      </c>
      <c r="H105" s="62">
        <v>0</v>
      </c>
      <c r="I105">
        <v>35</v>
      </c>
      <c r="J105" s="61" t="s">
        <v>194</v>
      </c>
      <c r="K105" s="71" t="str">
        <f>VLOOKUP(I105,[6]stage_hints!$A:$C,3,FALSE)</f>
        <v>敵のステータスがスキルで上がったら</v>
      </c>
      <c r="L105" s="72" t="str">
        <f>VLOOKUP(I105,[6]stage_hints!$A:$D,4,FALSE)</f>
        <v>敵のステータスがスキルでアップしたときは_x000D_ステータスダウンスキルで上書きしましょう</v>
      </c>
      <c r="M105" s="35" t="s">
        <v>205</v>
      </c>
    </row>
    <row r="106" spans="1:13" x14ac:dyDescent="0.15">
      <c r="A106" s="58" t="s">
        <v>195</v>
      </c>
      <c r="B106" s="59">
        <v>60007</v>
      </c>
      <c r="C106" s="60" t="str">
        <f ca="1">VLOOKUP($B106,OFFSET([2]quests!$A$1,0,0,COUNTA([2]quests!$A:$A),MATCH(C$1,[2]quests!$1:$1,0)-MATCH($B$1,[2]quests!$1:$1,0)+1),MATCH(C$1,[2]quests!$1:$1,0)-MATCH($B$1,[2]quests!$1:$1,0)+1,FALSE)</f>
        <v>オイラーチャレンジ</v>
      </c>
      <c r="D106" s="60" t="str">
        <f ca="1">VLOOKUP($B106,OFFSET([2]quests!$A$1,0,0,COUNTA([2]quests!$A:$A),MATCH(D$1,[2]quests!$1:$1,0)-MATCH($B$1,[2]quests!$1:$1,0)+1),MATCH(D$1,[2]quests!$1:$1,0)-MATCH($B$1,[2]quests!$1:$1,0)+1,FALSE)</f>
        <v>ランキング1（改修版）</v>
      </c>
      <c r="E106" s="64">
        <v>2</v>
      </c>
      <c r="F106" s="60" t="str">
        <f ca="1">VLOOKUP($B106&amp;"_"&amp;$E106,OFFSET([2]stages!$A$1,0,0,COUNTA([2]stages!$A:$A),MATCH(F$1,[2]stages!$2:$2,0)-MATCH("temp_stage",[2]stages!$2:$2,0)+1),MATCH(F$1,[2]stages!$2:$2,0)-MATCH("temp_stage",[2]stages!$2:$2,0)+1,FALSE)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106" s="60" t="str">
        <f ca="1">VLOOKUP($B106&amp;"_"&amp;$E106,OFFSET([2]stages!$A$1,0,0,COUNTA([2]stages!$A:$A),MATCH(G$1,[2]stages!$2:$2,0)-MATCH("temp_stage",[2]stages!$2:$2,0)+1),MATCH(G$1,[2]stages!$2:$2,0)-MATCH("temp_stage",[2]stages!$2:$2,0)+1,FALSE)</f>
        <v>ランキング1（改修版）</v>
      </c>
      <c r="H106" s="62">
        <v>0</v>
      </c>
      <c r="I106">
        <v>36</v>
      </c>
      <c r="J106" s="61" t="s">
        <v>194</v>
      </c>
      <c r="K106" s="71" t="str">
        <f>VLOOKUP(I106,[6]stage_hints!$A:$C,3,FALSE)</f>
        <v>チャレンジタワーのボス</v>
      </c>
      <c r="L106" s="72" t="str">
        <f>VLOOKUP(I106,[6]stage_hints!$A:$D,4,FALSE)</f>
        <v>チャレンジタワーでのみ登場するボスは_x000D_一定確率で獲得することができます</v>
      </c>
      <c r="M106" s="35" t="s">
        <v>205</v>
      </c>
    </row>
    <row r="107" spans="1:13" x14ac:dyDescent="0.15">
      <c r="A107" s="58" t="s">
        <v>195</v>
      </c>
      <c r="B107" s="59">
        <v>60007</v>
      </c>
      <c r="C107" s="60" t="str">
        <f ca="1">VLOOKUP($B107,OFFSET([2]quests!$A$1,0,0,COUNTA([2]quests!$A:$A),MATCH(C$1,[2]quests!$1:$1,0)-MATCH($B$1,[2]quests!$1:$1,0)+1),MATCH(C$1,[2]quests!$1:$1,0)-MATCH($B$1,[2]quests!$1:$1,0)+1,FALSE)</f>
        <v>オイラーチャレンジ</v>
      </c>
      <c r="D107" s="60" t="str">
        <f ca="1">VLOOKUP($B107,OFFSET([2]quests!$A$1,0,0,COUNTA([2]quests!$A:$A),MATCH(D$1,[2]quests!$1:$1,0)-MATCH($B$1,[2]quests!$1:$1,0)+1),MATCH(D$1,[2]quests!$1:$1,0)-MATCH($B$1,[2]quests!$1:$1,0)+1,FALSE)</f>
        <v>ランキング1（改修版）</v>
      </c>
      <c r="E107" s="64">
        <v>2</v>
      </c>
      <c r="F107" s="60" t="str">
        <f ca="1">VLOOKUP($B107&amp;"_"&amp;$E107,OFFSET([2]stages!$A$1,0,0,COUNTA([2]stages!$A:$A),MATCH(F$1,[2]stages!$2:$2,0)-MATCH("temp_stage",[2]stages!$2:$2,0)+1),MATCH(F$1,[2]stages!$2:$2,0)-MATCH("temp_stage",[2]stages!$2:$2,0)+1,FALSE)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107" s="60" t="str">
        <f ca="1">VLOOKUP($B107&amp;"_"&amp;$E107,OFFSET([2]stages!$A$1,0,0,COUNTA([2]stages!$A:$A),MATCH(G$1,[2]stages!$2:$2,0)-MATCH("temp_stage",[2]stages!$2:$2,0)+1),MATCH(G$1,[2]stages!$2:$2,0)-MATCH("temp_stage",[2]stages!$2:$2,0)+1,FALSE)</f>
        <v>ランキング1（改修版）</v>
      </c>
      <c r="H107" s="62">
        <v>0</v>
      </c>
      <c r="I107">
        <v>37</v>
      </c>
      <c r="J107" s="61" t="s">
        <v>194</v>
      </c>
      <c r="K107" s="71" t="str">
        <f>VLOOKUP(I107,[6]stage_hints!$A:$C,3,FALSE)</f>
        <v>限界突破値の引き継ぎ</v>
      </c>
      <c r="L107" s="72" t="str">
        <f>VLOOKUP(I107,[6]stage_hints!$A:$D,4,FALSE)</f>
        <v>同じユニットを強化で合成すると_x000D_限界突破値を引き継げます（覚醒前後も可）</v>
      </c>
      <c r="M107" s="35" t="s">
        <v>205</v>
      </c>
    </row>
    <row r="108" spans="1:13" x14ac:dyDescent="0.15">
      <c r="A108" s="58" t="s">
        <v>195</v>
      </c>
      <c r="B108" s="59">
        <v>60007</v>
      </c>
      <c r="C108" s="60" t="str">
        <f ca="1">VLOOKUP($B108,OFFSET([2]quests!$A$1,0,0,COUNTA([2]quests!$A:$A),MATCH(C$1,[2]quests!$1:$1,0)-MATCH($B$1,[2]quests!$1:$1,0)+1),MATCH(C$1,[2]quests!$1:$1,0)-MATCH($B$1,[2]quests!$1:$1,0)+1,FALSE)</f>
        <v>オイラーチャレンジ</v>
      </c>
      <c r="D108" s="60" t="str">
        <f ca="1">VLOOKUP($B108,OFFSET([2]quests!$A$1,0,0,COUNTA([2]quests!$A:$A),MATCH(D$1,[2]quests!$1:$1,0)-MATCH($B$1,[2]quests!$1:$1,0)+1),MATCH(D$1,[2]quests!$1:$1,0)-MATCH($B$1,[2]quests!$1:$1,0)+1,FALSE)</f>
        <v>ランキング1（改修版）</v>
      </c>
      <c r="E108" s="64">
        <v>2</v>
      </c>
      <c r="F108" s="60" t="str">
        <f ca="1">VLOOKUP($B108&amp;"_"&amp;$E108,OFFSET([2]stages!$A$1,0,0,COUNTA([2]stages!$A:$A),MATCH(F$1,[2]stages!$2:$2,0)-MATCH("temp_stage",[2]stages!$2:$2,0)+1),MATCH(F$1,[2]stages!$2:$2,0)-MATCH("temp_stage",[2]stages!$2:$2,0)+1,FALSE)</f>
        <v>【超級】オイラーチャレンジ</v>
      </c>
      <c r="G108" s="60" t="str">
        <f ca="1">VLOOKUP($B108&amp;"_"&amp;$E108,OFFSET([2]stages!$A$1,0,0,COUNTA([2]stages!$A:$A),MATCH(G$1,[2]stages!$2:$2,0)-MATCH("temp_stage",[2]stages!$2:$2,0)+1),MATCH(G$1,[2]stages!$2:$2,0)-MATCH("temp_stage",[2]stages!$2:$2,0)+1,FALSE)</f>
        <v>ランキング1（改修版）</v>
      </c>
      <c r="H108" s="62">
        <v>0</v>
      </c>
      <c r="I108">
        <v>39</v>
      </c>
      <c r="J108" s="61" t="s">
        <v>194</v>
      </c>
      <c r="K108" s="71" t="str">
        <f>VLOOKUP(I108,[6]stage_hints!$A:$C,3,FALSE)</f>
        <v>システム適合者を確認</v>
      </c>
      <c r="L108" s="72" t="str">
        <f>VLOOKUP(I108,[6]stage_hints!$A:$D,4,FALSE)</f>
        <v>ALICEが「アナタ」を呼んでいます</v>
      </c>
      <c r="M108" s="35" t="s">
        <v>205</v>
      </c>
    </row>
    <row r="109" spans="1:13" x14ac:dyDescent="0.15">
      <c r="A109" s="58" t="s">
        <v>195</v>
      </c>
      <c r="B109" s="59">
        <v>60007</v>
      </c>
      <c r="C109" s="60" t="str">
        <f ca="1">VLOOKUP($B109,OFFSET([2]quests!$A$1,0,0,COUNTA([2]quests!$A:$A),MATCH(C$1,[2]quests!$1:$1,0)-MATCH($B$1,[2]quests!$1:$1,0)+1),MATCH(C$1,[2]quests!$1:$1,0)-MATCH($B$1,[2]quests!$1:$1,0)+1,FALSE)</f>
        <v>オイラーチャレンジ</v>
      </c>
      <c r="D109" s="60" t="str">
        <f ca="1">VLOOKUP($B109,OFFSET([2]quests!$A$1,0,0,COUNTA([2]quests!$A:$A),MATCH(D$1,[2]quests!$1:$1,0)-MATCH($B$1,[2]quests!$1:$1,0)+1),MATCH(D$1,[2]quests!$1:$1,0)-MATCH($B$1,[2]quests!$1:$1,0)+1,FALSE)</f>
        <v>ランキング1（改修版）</v>
      </c>
      <c r="E109" s="64">
        <v>3</v>
      </c>
      <c r="F109" s="60" t="str">
        <f ca="1">VLOOKUP($B109&amp;"_"&amp;$E109,OFFSET([2]stages!$A$1,0,0,COUNTA([2]stages!$A:$A),MATCH(F$1,[2]stages!$2:$2,0)-MATCH("temp_stage",[2]stages!$2:$2,0)+1),MATCH(F$1,[2]stages!$2:$2,0)-MATCH("temp_stage",[2]stages!$2:$2,0)+1,FALSE)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09" s="60" t="str">
        <f ca="1">VLOOKUP($B109&amp;"_"&amp;$E109,OFFSET([2]stages!$A$1,0,0,COUNTA([2]stages!$A:$A),MATCH(G$1,[2]stages!$2:$2,0)-MATCH("temp_stage",[2]stages!$2:$2,0)+1),MATCH(G$1,[2]stages!$2:$2,0)-MATCH("temp_stage",[2]stages!$2:$2,0)+1,FALSE)</f>
        <v>ランキング1（改修版）</v>
      </c>
      <c r="H109" s="62">
        <v>0</v>
      </c>
      <c r="I109">
        <v>12</v>
      </c>
      <c r="J109" s="61" t="s">
        <v>194</v>
      </c>
      <c r="K109" s="71" t="str">
        <f>VLOOKUP(I109,[6]stage_hints!$A:$C,3,FALSE)</f>
        <v>ユニットのお気に入り登録</v>
      </c>
      <c r="L109" s="72" t="str">
        <f>VLOOKUP(I109,[6]stage_hints!$A:$D,4,FALSE)</f>
        <v>大事なユニットを誤って消さないように_x000D_フォルダから「お気に入り登録」しましょう</v>
      </c>
      <c r="M109" s="35" t="s">
        <v>205</v>
      </c>
    </row>
    <row r="110" spans="1:13" x14ac:dyDescent="0.15">
      <c r="A110" s="58" t="s">
        <v>195</v>
      </c>
      <c r="B110" s="59">
        <v>60007</v>
      </c>
      <c r="C110" s="60" t="str">
        <f ca="1">VLOOKUP($B110,OFFSET([2]quests!$A$1,0,0,COUNTA([2]quests!$A:$A),MATCH(C$1,[2]quests!$1:$1,0)-MATCH($B$1,[2]quests!$1:$1,0)+1),MATCH(C$1,[2]quests!$1:$1,0)-MATCH($B$1,[2]quests!$1:$1,0)+1,FALSE)</f>
        <v>オイラーチャレンジ</v>
      </c>
      <c r="D110" s="60" t="str">
        <f ca="1">VLOOKUP($B110,OFFSET([2]quests!$A$1,0,0,COUNTA([2]quests!$A:$A),MATCH(D$1,[2]quests!$1:$1,0)-MATCH($B$1,[2]quests!$1:$1,0)+1),MATCH(D$1,[2]quests!$1:$1,0)-MATCH($B$1,[2]quests!$1:$1,0)+1,FALSE)</f>
        <v>ランキング1（改修版）</v>
      </c>
      <c r="E110" s="64">
        <v>3</v>
      </c>
      <c r="F110" s="60" t="str">
        <f ca="1">VLOOKUP($B110&amp;"_"&amp;$E110,OFFSET([2]stages!$A$1,0,0,COUNTA([2]stages!$A:$A),MATCH(F$1,[2]stages!$2:$2,0)-MATCH("temp_stage",[2]stages!$2:$2,0)+1),MATCH(F$1,[2]stages!$2:$2,0)-MATCH("temp_stage",[2]stages!$2:$2,0)+1,FALSE)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10" s="60" t="str">
        <f ca="1">VLOOKUP($B110&amp;"_"&amp;$E110,OFFSET([2]stages!$A$1,0,0,COUNTA([2]stages!$A:$A),MATCH(G$1,[2]stages!$2:$2,0)-MATCH("temp_stage",[2]stages!$2:$2,0)+1),MATCH(G$1,[2]stages!$2:$2,0)-MATCH("temp_stage",[2]stages!$2:$2,0)+1,FALSE)</f>
        <v>ランキング1（改修版）</v>
      </c>
      <c r="H110" s="62">
        <v>0</v>
      </c>
      <c r="I110">
        <v>17</v>
      </c>
      <c r="J110" s="61" t="s">
        <v>194</v>
      </c>
      <c r="K110" s="71" t="str">
        <f>VLOOKUP(I110,[6]stage_hints!$A:$C,3,FALSE)</f>
        <v>リンクガチャ</v>
      </c>
      <c r="L110" s="72" t="str">
        <f>VLOOKUP(I110,[6]stage_hints!$A:$D,4,FALSE)</f>
        <v>無料のリンクガチャを回して_x000D_経験値素材や売却素材を獲得しましょう</v>
      </c>
      <c r="M110" s="35" t="s">
        <v>205</v>
      </c>
    </row>
    <row r="111" spans="1:13" x14ac:dyDescent="0.15">
      <c r="A111" s="58" t="s">
        <v>195</v>
      </c>
      <c r="B111" s="59">
        <v>60007</v>
      </c>
      <c r="C111" s="60" t="str">
        <f ca="1">VLOOKUP($B111,OFFSET([2]quests!$A$1,0,0,COUNTA([2]quests!$A:$A),MATCH(C$1,[2]quests!$1:$1,0)-MATCH($B$1,[2]quests!$1:$1,0)+1),MATCH(C$1,[2]quests!$1:$1,0)-MATCH($B$1,[2]quests!$1:$1,0)+1,FALSE)</f>
        <v>オイラーチャレンジ</v>
      </c>
      <c r="D111" s="60" t="str">
        <f ca="1">VLOOKUP($B111,OFFSET([2]quests!$A$1,0,0,COUNTA([2]quests!$A:$A),MATCH(D$1,[2]quests!$1:$1,0)-MATCH($B$1,[2]quests!$1:$1,0)+1),MATCH(D$1,[2]quests!$1:$1,0)-MATCH($B$1,[2]quests!$1:$1,0)+1,FALSE)</f>
        <v>ランキング1（改修版）</v>
      </c>
      <c r="E111" s="64">
        <v>3</v>
      </c>
      <c r="F111" s="60" t="str">
        <f ca="1">VLOOKUP($B111&amp;"_"&amp;$E111,OFFSET([2]stages!$A$1,0,0,COUNTA([2]stages!$A:$A),MATCH(F$1,[2]stages!$2:$2,0)-MATCH("temp_stage",[2]stages!$2:$2,0)+1),MATCH(F$1,[2]stages!$2:$2,0)-MATCH("temp_stage",[2]stages!$2:$2,0)+1,FALSE)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11" s="60" t="str">
        <f ca="1">VLOOKUP($B111&amp;"_"&amp;$E111,OFFSET([2]stages!$A$1,0,0,COUNTA([2]stages!$A:$A),MATCH(G$1,[2]stages!$2:$2,0)-MATCH("temp_stage",[2]stages!$2:$2,0)+1),MATCH(G$1,[2]stages!$2:$2,0)-MATCH("temp_stage",[2]stages!$2:$2,0)+1,FALSE)</f>
        <v>ランキング1（改修版）</v>
      </c>
      <c r="H111" s="62">
        <v>0</v>
      </c>
      <c r="I111">
        <v>19</v>
      </c>
      <c r="J111" s="61" t="s">
        <v>194</v>
      </c>
      <c r="K111" s="71" t="str">
        <f>VLOOKUP(I111,[6]stage_hints!$A:$C,3,FALSE)</f>
        <v>ソロ専用チャレンジタワー</v>
      </c>
      <c r="L111" s="72" t="str">
        <f>VLOOKUP(I111,[6]stage_hints!$A:$D,4,FALSE)</f>
        <v>ソロ専用の「チャレンジタワー」では_x000D_各フロアごとにクリア報酬がもらえます</v>
      </c>
      <c r="M111" s="35" t="s">
        <v>205</v>
      </c>
    </row>
    <row r="112" spans="1:13" x14ac:dyDescent="0.15">
      <c r="A112" s="58" t="s">
        <v>195</v>
      </c>
      <c r="B112" s="59">
        <v>60007</v>
      </c>
      <c r="C112" s="60" t="str">
        <f ca="1">VLOOKUP($B112,OFFSET([2]quests!$A$1,0,0,COUNTA([2]quests!$A:$A),MATCH(C$1,[2]quests!$1:$1,0)-MATCH($B$1,[2]quests!$1:$1,0)+1),MATCH(C$1,[2]quests!$1:$1,0)-MATCH($B$1,[2]quests!$1:$1,0)+1,FALSE)</f>
        <v>オイラーチャレンジ</v>
      </c>
      <c r="D112" s="60" t="str">
        <f ca="1">VLOOKUP($B112,OFFSET([2]quests!$A$1,0,0,COUNTA([2]quests!$A:$A),MATCH(D$1,[2]quests!$1:$1,0)-MATCH($B$1,[2]quests!$1:$1,0)+1),MATCH(D$1,[2]quests!$1:$1,0)-MATCH($B$1,[2]quests!$1:$1,0)+1,FALSE)</f>
        <v>ランキング1（改修版）</v>
      </c>
      <c r="E112" s="64">
        <v>3</v>
      </c>
      <c r="F112" s="60" t="str">
        <f ca="1">VLOOKUP($B112&amp;"_"&amp;$E112,OFFSET([2]stages!$A$1,0,0,COUNTA([2]stages!$A:$A),MATCH(F$1,[2]stages!$2:$2,0)-MATCH("temp_stage",[2]stages!$2:$2,0)+1),MATCH(F$1,[2]stages!$2:$2,0)-MATCH("temp_stage",[2]stages!$2:$2,0)+1,FALSE)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12" s="60" t="str">
        <f ca="1">VLOOKUP($B112&amp;"_"&amp;$E112,OFFSET([2]stages!$A$1,0,0,COUNTA([2]stages!$A:$A),MATCH(G$1,[2]stages!$2:$2,0)-MATCH("temp_stage",[2]stages!$2:$2,0)+1),MATCH(G$1,[2]stages!$2:$2,0)-MATCH("temp_stage",[2]stages!$2:$2,0)+1,FALSE)</f>
        <v>ランキング1（改修版）</v>
      </c>
      <c r="H112" s="62">
        <v>0</v>
      </c>
      <c r="I112">
        <v>21</v>
      </c>
      <c r="J112" s="61" t="s">
        <v>194</v>
      </c>
      <c r="K112" s="71" t="str">
        <f>VLOOKUP(I112,[6]stage_hints!$A:$C,3,FALSE)</f>
        <v>スキルを有効に</v>
      </c>
      <c r="L112" s="72" t="str">
        <f>VLOOKUP(I112,[6]stage_hints!$A:$D,4,FALSE)</f>
        <v>ターン経過でユニットのスキルが使えます_x000D_強力スキルでバトルを有利に進めましょう</v>
      </c>
      <c r="M112" s="35" t="s">
        <v>205</v>
      </c>
    </row>
    <row r="113" spans="1:13" x14ac:dyDescent="0.15">
      <c r="A113" s="58" t="s">
        <v>195</v>
      </c>
      <c r="B113" s="59">
        <v>60007</v>
      </c>
      <c r="C113" s="60" t="str">
        <f ca="1">VLOOKUP($B113,OFFSET([2]quests!$A$1,0,0,COUNTA([2]quests!$A:$A),MATCH(C$1,[2]quests!$1:$1,0)-MATCH($B$1,[2]quests!$1:$1,0)+1),MATCH(C$1,[2]quests!$1:$1,0)-MATCH($B$1,[2]quests!$1:$1,0)+1,FALSE)</f>
        <v>オイラーチャレンジ</v>
      </c>
      <c r="D113" s="60" t="str">
        <f ca="1">VLOOKUP($B113,OFFSET([2]quests!$A$1,0,0,COUNTA([2]quests!$A:$A),MATCH(D$1,[2]quests!$1:$1,0)-MATCH($B$1,[2]quests!$1:$1,0)+1),MATCH(D$1,[2]quests!$1:$1,0)-MATCH($B$1,[2]quests!$1:$1,0)+1,FALSE)</f>
        <v>ランキング1（改修版）</v>
      </c>
      <c r="E113" s="64">
        <v>3</v>
      </c>
      <c r="F113" s="60" t="str">
        <f ca="1">VLOOKUP($B113&amp;"_"&amp;$E113,OFFSET([2]stages!$A$1,0,0,COUNTA([2]stages!$A:$A),MATCH(F$1,[2]stages!$2:$2,0)-MATCH("temp_stage",[2]stages!$2:$2,0)+1),MATCH(F$1,[2]stages!$2:$2,0)-MATCH("temp_stage",[2]stages!$2:$2,0)+1,FALSE)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13" s="60" t="str">
        <f ca="1">VLOOKUP($B113&amp;"_"&amp;$E113,OFFSET([2]stages!$A$1,0,0,COUNTA([2]stages!$A:$A),MATCH(G$1,[2]stages!$2:$2,0)-MATCH("temp_stage",[2]stages!$2:$2,0)+1),MATCH(G$1,[2]stages!$2:$2,0)-MATCH("temp_stage",[2]stages!$2:$2,0)+1,FALSE)</f>
        <v>ランキング1（改修版）</v>
      </c>
      <c r="H113" s="62">
        <v>0</v>
      </c>
      <c r="I113">
        <v>29</v>
      </c>
      <c r="J113" s="61" t="s">
        <v>194</v>
      </c>
      <c r="K113" s="71" t="str">
        <f>VLOOKUP(I113,[6]stage_hints!$A:$C,3,FALSE)</f>
        <v>「バグ」のメリット</v>
      </c>
      <c r="L113" s="72" t="str">
        <f>VLOOKUP(I113,[6]stage_hints!$A:$D,4,FALSE)</f>
        <v>ユニットの「バグ」を増やすと_x000D_報酬をもらえる確率がアップします</v>
      </c>
      <c r="M113" s="35" t="s">
        <v>205</v>
      </c>
    </row>
    <row r="114" spans="1:13" x14ac:dyDescent="0.15">
      <c r="A114" s="58" t="s">
        <v>195</v>
      </c>
      <c r="B114" s="59">
        <v>60007</v>
      </c>
      <c r="C114" s="60" t="str">
        <f ca="1">VLOOKUP($B114,OFFSET([2]quests!$A$1,0,0,COUNTA([2]quests!$A:$A),MATCH(C$1,[2]quests!$1:$1,0)-MATCH($B$1,[2]quests!$1:$1,0)+1),MATCH(C$1,[2]quests!$1:$1,0)-MATCH($B$1,[2]quests!$1:$1,0)+1,FALSE)</f>
        <v>オイラーチャレンジ</v>
      </c>
      <c r="D114" s="60" t="str">
        <f ca="1">VLOOKUP($B114,OFFSET([2]quests!$A$1,0,0,COUNTA([2]quests!$A:$A),MATCH(D$1,[2]quests!$1:$1,0)-MATCH($B$1,[2]quests!$1:$1,0)+1),MATCH(D$1,[2]quests!$1:$1,0)-MATCH($B$1,[2]quests!$1:$1,0)+1,FALSE)</f>
        <v>ランキング1（改修版）</v>
      </c>
      <c r="E114" s="64">
        <v>3</v>
      </c>
      <c r="F114" s="60" t="str">
        <f ca="1">VLOOKUP($B114&amp;"_"&amp;$E114,OFFSET([2]stages!$A$1,0,0,COUNTA([2]stages!$A:$A),MATCH(F$1,[2]stages!$2:$2,0)-MATCH("temp_stage",[2]stages!$2:$2,0)+1),MATCH(F$1,[2]stages!$2:$2,0)-MATCH("temp_stage",[2]stages!$2:$2,0)+1,FALSE)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14" s="60" t="str">
        <f ca="1">VLOOKUP($B114&amp;"_"&amp;$E114,OFFSET([2]stages!$A$1,0,0,COUNTA([2]stages!$A:$A),MATCH(G$1,[2]stages!$2:$2,0)-MATCH("temp_stage",[2]stages!$2:$2,0)+1),MATCH(G$1,[2]stages!$2:$2,0)-MATCH("temp_stage",[2]stages!$2:$2,0)+1,FALSE)</f>
        <v>ランキング1（改修版）</v>
      </c>
      <c r="H114" s="62">
        <v>0</v>
      </c>
      <c r="I114">
        <v>30</v>
      </c>
      <c r="J114" s="61" t="s">
        <v>194</v>
      </c>
      <c r="K114" s="71" t="str">
        <f>VLOOKUP(I114,[6]stage_hints!$A:$C,3,FALSE)</f>
        <v>「バグ」の増やし方</v>
      </c>
      <c r="L114" s="72" t="str">
        <f>VLOOKUP(I114,[6]stage_hints!$A:$D,4,FALSE)</f>
        <v>同じユニット同士を強化で合成すると_x000D_「バグ」を増やすことができます</v>
      </c>
      <c r="M114" s="35" t="s">
        <v>205</v>
      </c>
    </row>
    <row r="115" spans="1:13" x14ac:dyDescent="0.15">
      <c r="A115" s="58" t="s">
        <v>195</v>
      </c>
      <c r="B115" s="59">
        <v>60007</v>
      </c>
      <c r="C115" s="60" t="str">
        <f ca="1">VLOOKUP($B115,OFFSET([2]quests!$A$1,0,0,COUNTA([2]quests!$A:$A),MATCH(C$1,[2]quests!$1:$1,0)-MATCH($B$1,[2]quests!$1:$1,0)+1),MATCH(C$1,[2]quests!$1:$1,0)-MATCH($B$1,[2]quests!$1:$1,0)+1,FALSE)</f>
        <v>オイラーチャレンジ</v>
      </c>
      <c r="D115" s="60" t="str">
        <f ca="1">VLOOKUP($B115,OFFSET([2]quests!$A$1,0,0,COUNTA([2]quests!$A:$A),MATCH(D$1,[2]quests!$1:$1,0)-MATCH($B$1,[2]quests!$1:$1,0)+1),MATCH(D$1,[2]quests!$1:$1,0)-MATCH($B$1,[2]quests!$1:$1,0)+1,FALSE)</f>
        <v>ランキング1（改修版）</v>
      </c>
      <c r="E115" s="64">
        <v>3</v>
      </c>
      <c r="F115" s="60" t="str">
        <f ca="1">VLOOKUP($B115&amp;"_"&amp;$E115,OFFSET([2]stages!$A$1,0,0,COUNTA([2]stages!$A:$A),MATCH(F$1,[2]stages!$2:$2,0)-MATCH("temp_stage",[2]stages!$2:$2,0)+1),MATCH(F$1,[2]stages!$2:$2,0)-MATCH("temp_stage",[2]stages!$2:$2,0)+1,FALSE)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15" s="60" t="str">
        <f ca="1">VLOOKUP($B115&amp;"_"&amp;$E115,OFFSET([2]stages!$A$1,0,0,COUNTA([2]stages!$A:$A),MATCH(G$1,[2]stages!$2:$2,0)-MATCH("temp_stage",[2]stages!$2:$2,0)+1),MATCH(G$1,[2]stages!$2:$2,0)-MATCH("temp_stage",[2]stages!$2:$2,0)+1,FALSE)</f>
        <v>ランキング1（改修版）</v>
      </c>
      <c r="H115" s="62">
        <v>0</v>
      </c>
      <c r="I115">
        <v>32</v>
      </c>
      <c r="J115" s="61" t="s">
        <v>194</v>
      </c>
      <c r="K115" s="71" t="str">
        <f>VLOOKUP(I115,[6]stage_hints!$A:$C,3,FALSE)</f>
        <v>敵の連続攻撃には</v>
      </c>
      <c r="L115" s="72" t="str">
        <f>VLOOKUP(I115,[6]stage_hints!$A:$D,4,FALSE)</f>
        <v>カウンタースキルを持つユニットがいれば_x000D_ダメージ回数分の反撃ができます</v>
      </c>
      <c r="M115" s="35" t="s">
        <v>205</v>
      </c>
    </row>
    <row r="116" spans="1:13" x14ac:dyDescent="0.15">
      <c r="A116" s="58" t="s">
        <v>195</v>
      </c>
      <c r="B116" s="59">
        <v>60007</v>
      </c>
      <c r="C116" s="60" t="str">
        <f ca="1">VLOOKUP($B116,OFFSET([2]quests!$A$1,0,0,COUNTA([2]quests!$A:$A),MATCH(C$1,[2]quests!$1:$1,0)-MATCH($B$1,[2]quests!$1:$1,0)+1),MATCH(C$1,[2]quests!$1:$1,0)-MATCH($B$1,[2]quests!$1:$1,0)+1,FALSE)</f>
        <v>オイラーチャレンジ</v>
      </c>
      <c r="D116" s="60" t="str">
        <f ca="1">VLOOKUP($B116,OFFSET([2]quests!$A$1,0,0,COUNTA([2]quests!$A:$A),MATCH(D$1,[2]quests!$1:$1,0)-MATCH($B$1,[2]quests!$1:$1,0)+1),MATCH(D$1,[2]quests!$1:$1,0)-MATCH($B$1,[2]quests!$1:$1,0)+1,FALSE)</f>
        <v>ランキング1（改修版）</v>
      </c>
      <c r="E116" s="64">
        <v>3</v>
      </c>
      <c r="F116" s="60" t="str">
        <f ca="1">VLOOKUP($B116&amp;"_"&amp;$E116,OFFSET([2]stages!$A$1,0,0,COUNTA([2]stages!$A:$A),MATCH(F$1,[2]stages!$2:$2,0)-MATCH("temp_stage",[2]stages!$2:$2,0)+1),MATCH(F$1,[2]stages!$2:$2,0)-MATCH("temp_stage",[2]stages!$2:$2,0)+1,FALSE)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16" s="60" t="str">
        <f ca="1">VLOOKUP($B116&amp;"_"&amp;$E116,OFFSET([2]stages!$A$1,0,0,COUNTA([2]stages!$A:$A),MATCH(G$1,[2]stages!$2:$2,0)-MATCH("temp_stage",[2]stages!$2:$2,0)+1),MATCH(G$1,[2]stages!$2:$2,0)-MATCH("temp_stage",[2]stages!$2:$2,0)+1,FALSE)</f>
        <v>ランキング1（改修版）</v>
      </c>
      <c r="H116" s="62">
        <v>0</v>
      </c>
      <c r="I116">
        <v>33</v>
      </c>
      <c r="J116" s="61" t="s">
        <v>194</v>
      </c>
      <c r="K116" s="71" t="str">
        <f>VLOOKUP(I116,[6]stage_hints!$A:$C,3,FALSE)</f>
        <v>敵のカウンター攻撃には</v>
      </c>
      <c r="L116" s="72" t="str">
        <f>VLOOKUP(I116,[6]stage_hints!$A:$D,4,FALSE)</f>
        <v>カウンターブレイクスキルを持っていれば_x000D_敵のカウンターを解除して攻撃ができます</v>
      </c>
      <c r="M116" s="35" t="s">
        <v>205</v>
      </c>
    </row>
    <row r="117" spans="1:13" x14ac:dyDescent="0.15">
      <c r="A117" s="58" t="s">
        <v>195</v>
      </c>
      <c r="B117" s="59">
        <v>60007</v>
      </c>
      <c r="C117" s="60" t="str">
        <f ca="1">VLOOKUP($B117,OFFSET([2]quests!$A$1,0,0,COUNTA([2]quests!$A:$A),MATCH(C$1,[2]quests!$1:$1,0)-MATCH($B$1,[2]quests!$1:$1,0)+1),MATCH(C$1,[2]quests!$1:$1,0)-MATCH($B$1,[2]quests!$1:$1,0)+1,FALSE)</f>
        <v>オイラーチャレンジ</v>
      </c>
      <c r="D117" s="60" t="str">
        <f ca="1">VLOOKUP($B117,OFFSET([2]quests!$A$1,0,0,COUNTA([2]quests!$A:$A),MATCH(D$1,[2]quests!$1:$1,0)-MATCH($B$1,[2]quests!$1:$1,0)+1),MATCH(D$1,[2]quests!$1:$1,0)-MATCH($B$1,[2]quests!$1:$1,0)+1,FALSE)</f>
        <v>ランキング1（改修版）</v>
      </c>
      <c r="E117" s="64">
        <v>3</v>
      </c>
      <c r="F117" s="60" t="str">
        <f ca="1">VLOOKUP($B117&amp;"_"&amp;$E117,OFFSET([2]stages!$A$1,0,0,COUNTA([2]stages!$A:$A),MATCH(F$1,[2]stages!$2:$2,0)-MATCH("temp_stage",[2]stages!$2:$2,0)+1),MATCH(F$1,[2]stages!$2:$2,0)-MATCH("temp_stage",[2]stages!$2:$2,0)+1,FALSE)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17" s="60" t="str">
        <f ca="1">VLOOKUP($B117&amp;"_"&amp;$E117,OFFSET([2]stages!$A$1,0,0,COUNTA([2]stages!$A:$A),MATCH(G$1,[2]stages!$2:$2,0)-MATCH("temp_stage",[2]stages!$2:$2,0)+1),MATCH(G$1,[2]stages!$2:$2,0)-MATCH("temp_stage",[2]stages!$2:$2,0)+1,FALSE)</f>
        <v>ランキング1（改修版）</v>
      </c>
      <c r="H117" s="62">
        <v>0</v>
      </c>
      <c r="I117">
        <v>34</v>
      </c>
      <c r="J117" s="61" t="s">
        <v>194</v>
      </c>
      <c r="K117" s="71" t="str">
        <f>VLOOKUP(I117,[6]stage_hints!$A:$C,3,FALSE)</f>
        <v>ステータスをスキルで下げられたら</v>
      </c>
      <c r="L117" s="72" t="str">
        <f>VLOOKUP(I117,[6]stage_hints!$A:$D,4,FALSE)</f>
        <v>ステータスダウンのスキルを受けたら_x000D_ステータスアップスキルで上書きしましょう</v>
      </c>
      <c r="M117" s="35" t="s">
        <v>205</v>
      </c>
    </row>
    <row r="118" spans="1:13" x14ac:dyDescent="0.15">
      <c r="A118" s="58" t="s">
        <v>195</v>
      </c>
      <c r="B118" s="59">
        <v>60007</v>
      </c>
      <c r="C118" s="60" t="str">
        <f ca="1">VLOOKUP($B118,OFFSET([2]quests!$A$1,0,0,COUNTA([2]quests!$A:$A),MATCH(C$1,[2]quests!$1:$1,0)-MATCH($B$1,[2]quests!$1:$1,0)+1),MATCH(C$1,[2]quests!$1:$1,0)-MATCH($B$1,[2]quests!$1:$1,0)+1,FALSE)</f>
        <v>オイラーチャレンジ</v>
      </c>
      <c r="D118" s="60" t="str">
        <f ca="1">VLOOKUP($B118,OFFSET([2]quests!$A$1,0,0,COUNTA([2]quests!$A:$A),MATCH(D$1,[2]quests!$1:$1,0)-MATCH($B$1,[2]quests!$1:$1,0)+1),MATCH(D$1,[2]quests!$1:$1,0)-MATCH($B$1,[2]quests!$1:$1,0)+1,FALSE)</f>
        <v>ランキング1（改修版）</v>
      </c>
      <c r="E118" s="64">
        <v>3</v>
      </c>
      <c r="F118" s="60" t="str">
        <f ca="1">VLOOKUP($B118&amp;"_"&amp;$E118,OFFSET([2]stages!$A$1,0,0,COUNTA([2]stages!$A:$A),MATCH(F$1,[2]stages!$2:$2,0)-MATCH("temp_stage",[2]stages!$2:$2,0)+1),MATCH(F$1,[2]stages!$2:$2,0)-MATCH("temp_stage",[2]stages!$2:$2,0)+1,FALSE)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18" s="60" t="str">
        <f ca="1">VLOOKUP($B118&amp;"_"&amp;$E118,OFFSET([2]stages!$A$1,0,0,COUNTA([2]stages!$A:$A),MATCH(G$1,[2]stages!$2:$2,0)-MATCH("temp_stage",[2]stages!$2:$2,0)+1),MATCH(G$1,[2]stages!$2:$2,0)-MATCH("temp_stage",[2]stages!$2:$2,0)+1,FALSE)</f>
        <v>ランキング1（改修版）</v>
      </c>
      <c r="H118" s="62">
        <v>0</v>
      </c>
      <c r="I118">
        <v>35</v>
      </c>
      <c r="J118" s="61" t="s">
        <v>194</v>
      </c>
      <c r="K118" s="71" t="str">
        <f>VLOOKUP(I118,[6]stage_hints!$A:$C,3,FALSE)</f>
        <v>敵のステータスがスキルで上がったら</v>
      </c>
      <c r="L118" s="72" t="str">
        <f>VLOOKUP(I118,[6]stage_hints!$A:$D,4,FALSE)</f>
        <v>敵のステータスがスキルでアップしたときは_x000D_ステータスダウンスキルで上書きしましょう</v>
      </c>
      <c r="M118" s="35" t="s">
        <v>205</v>
      </c>
    </row>
    <row r="119" spans="1:13" x14ac:dyDescent="0.15">
      <c r="A119" s="58" t="s">
        <v>195</v>
      </c>
      <c r="B119" s="59">
        <v>60007</v>
      </c>
      <c r="C119" s="60" t="str">
        <f ca="1">VLOOKUP($B119,OFFSET([2]quests!$A$1,0,0,COUNTA([2]quests!$A:$A),MATCH(C$1,[2]quests!$1:$1,0)-MATCH($B$1,[2]quests!$1:$1,0)+1),MATCH(C$1,[2]quests!$1:$1,0)-MATCH($B$1,[2]quests!$1:$1,0)+1,FALSE)</f>
        <v>オイラーチャレンジ</v>
      </c>
      <c r="D119" s="60" t="str">
        <f ca="1">VLOOKUP($B119,OFFSET([2]quests!$A$1,0,0,COUNTA([2]quests!$A:$A),MATCH(D$1,[2]quests!$1:$1,0)-MATCH($B$1,[2]quests!$1:$1,0)+1),MATCH(D$1,[2]quests!$1:$1,0)-MATCH($B$1,[2]quests!$1:$1,0)+1,FALSE)</f>
        <v>ランキング1（改修版）</v>
      </c>
      <c r="E119" s="64">
        <v>3</v>
      </c>
      <c r="F119" s="60" t="str">
        <f ca="1">VLOOKUP($B119&amp;"_"&amp;$E119,OFFSET([2]stages!$A$1,0,0,COUNTA([2]stages!$A:$A),MATCH(F$1,[2]stages!$2:$2,0)-MATCH("temp_stage",[2]stages!$2:$2,0)+1),MATCH(F$1,[2]stages!$2:$2,0)-MATCH("temp_stage",[2]stages!$2:$2,0)+1,FALSE)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19" s="60" t="str">
        <f ca="1">VLOOKUP($B119&amp;"_"&amp;$E119,OFFSET([2]stages!$A$1,0,0,COUNTA([2]stages!$A:$A),MATCH(G$1,[2]stages!$2:$2,0)-MATCH("temp_stage",[2]stages!$2:$2,0)+1),MATCH(G$1,[2]stages!$2:$2,0)-MATCH("temp_stage",[2]stages!$2:$2,0)+1,FALSE)</f>
        <v>ランキング1（改修版）</v>
      </c>
      <c r="H119" s="62">
        <v>0</v>
      </c>
      <c r="I119">
        <v>36</v>
      </c>
      <c r="J119" s="61" t="s">
        <v>194</v>
      </c>
      <c r="K119" s="71" t="str">
        <f>VLOOKUP(I119,[6]stage_hints!$A:$C,3,FALSE)</f>
        <v>チャレンジタワーのボス</v>
      </c>
      <c r="L119" s="72" t="str">
        <f>VLOOKUP(I119,[6]stage_hints!$A:$D,4,FALSE)</f>
        <v>チャレンジタワーでのみ登場するボスは_x000D_一定確率で獲得することができます</v>
      </c>
      <c r="M119" s="35" t="s">
        <v>205</v>
      </c>
    </row>
    <row r="120" spans="1:13" x14ac:dyDescent="0.15">
      <c r="A120" s="58" t="s">
        <v>195</v>
      </c>
      <c r="B120" s="59">
        <v>60007</v>
      </c>
      <c r="C120" s="60" t="str">
        <f ca="1">VLOOKUP($B120,OFFSET([2]quests!$A$1,0,0,COUNTA([2]quests!$A:$A),MATCH(C$1,[2]quests!$1:$1,0)-MATCH($B$1,[2]quests!$1:$1,0)+1),MATCH(C$1,[2]quests!$1:$1,0)-MATCH($B$1,[2]quests!$1:$1,0)+1,FALSE)</f>
        <v>オイラーチャレンジ</v>
      </c>
      <c r="D120" s="60" t="str">
        <f ca="1">VLOOKUP($B120,OFFSET([2]quests!$A$1,0,0,COUNTA([2]quests!$A:$A),MATCH(D$1,[2]quests!$1:$1,0)-MATCH($B$1,[2]quests!$1:$1,0)+1),MATCH(D$1,[2]quests!$1:$1,0)-MATCH($B$1,[2]quests!$1:$1,0)+1,FALSE)</f>
        <v>ランキング1（改修版）</v>
      </c>
      <c r="E120" s="64">
        <v>3</v>
      </c>
      <c r="F120" s="60" t="str">
        <f ca="1">VLOOKUP($B120&amp;"_"&amp;$E120,OFFSET([2]stages!$A$1,0,0,COUNTA([2]stages!$A:$A),MATCH(F$1,[2]stages!$2:$2,0)-MATCH("temp_stage",[2]stages!$2:$2,0)+1),MATCH(F$1,[2]stages!$2:$2,0)-MATCH("temp_stage",[2]stages!$2:$2,0)+1,FALSE)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20" s="60" t="str">
        <f ca="1">VLOOKUP($B120&amp;"_"&amp;$E120,OFFSET([2]stages!$A$1,0,0,COUNTA([2]stages!$A:$A),MATCH(G$1,[2]stages!$2:$2,0)-MATCH("temp_stage",[2]stages!$2:$2,0)+1),MATCH(G$1,[2]stages!$2:$2,0)-MATCH("temp_stage",[2]stages!$2:$2,0)+1,FALSE)</f>
        <v>ランキング1（改修版）</v>
      </c>
      <c r="H120" s="62">
        <v>0</v>
      </c>
      <c r="I120">
        <v>37</v>
      </c>
      <c r="J120" s="61" t="s">
        <v>194</v>
      </c>
      <c r="K120" s="71" t="str">
        <f>VLOOKUP(I120,[6]stage_hints!$A:$C,3,FALSE)</f>
        <v>限界突破値の引き継ぎ</v>
      </c>
      <c r="L120" s="72" t="str">
        <f>VLOOKUP(I120,[6]stage_hints!$A:$D,4,FALSE)</f>
        <v>同じユニットを強化で合成すると_x000D_限界突破値を引き継げます（覚醒前後も可）</v>
      </c>
      <c r="M120" s="35" t="s">
        <v>205</v>
      </c>
    </row>
    <row r="121" spans="1:13" x14ac:dyDescent="0.15">
      <c r="A121" s="58" t="s">
        <v>195</v>
      </c>
      <c r="B121" s="59">
        <v>60007</v>
      </c>
      <c r="C121" s="60" t="str">
        <f ca="1">VLOOKUP($B121,OFFSET([2]quests!$A$1,0,0,COUNTA([2]quests!$A:$A),MATCH(C$1,[2]quests!$1:$1,0)-MATCH($B$1,[2]quests!$1:$1,0)+1),MATCH(C$1,[2]quests!$1:$1,0)-MATCH($B$1,[2]quests!$1:$1,0)+1,FALSE)</f>
        <v>オイラーチャレンジ</v>
      </c>
      <c r="D121" s="60" t="str">
        <f ca="1">VLOOKUP($B121,OFFSET([2]quests!$A$1,0,0,COUNTA([2]quests!$A:$A),MATCH(D$1,[2]quests!$1:$1,0)-MATCH($B$1,[2]quests!$1:$1,0)+1),MATCH(D$1,[2]quests!$1:$1,0)-MATCH($B$1,[2]quests!$1:$1,0)+1,FALSE)</f>
        <v>ランキング1（改修版）</v>
      </c>
      <c r="E121" s="64">
        <v>3</v>
      </c>
      <c r="F121" s="60" t="str">
        <f ca="1">VLOOKUP($B121&amp;"_"&amp;$E121,OFFSET([2]stages!$A$1,0,0,COUNTA([2]stages!$A:$A),MATCH(F$1,[2]stages!$2:$2,0)-MATCH("temp_stage",[2]stages!$2:$2,0)+1),MATCH(F$1,[2]stages!$2:$2,0)-MATCH("temp_stage",[2]stages!$2:$2,0)+1,FALSE)</f>
        <v>【ウィザード級】オイラーチャレンジ</v>
      </c>
      <c r="G121" s="60" t="str">
        <f ca="1">VLOOKUP($B121&amp;"_"&amp;$E121,OFFSET([2]stages!$A$1,0,0,COUNTA([2]stages!$A:$A),MATCH(G$1,[2]stages!$2:$2,0)-MATCH("temp_stage",[2]stages!$2:$2,0)+1),MATCH(G$1,[2]stages!$2:$2,0)-MATCH("temp_stage",[2]stages!$2:$2,0)+1,FALSE)</f>
        <v>ランキング1（改修版）</v>
      </c>
      <c r="H121" s="62">
        <v>0</v>
      </c>
      <c r="I121">
        <v>39</v>
      </c>
      <c r="J121" s="61" t="s">
        <v>194</v>
      </c>
      <c r="K121" s="71" t="str">
        <f>VLOOKUP(I121,[6]stage_hints!$A:$C,3,FALSE)</f>
        <v>システム適合者を確認</v>
      </c>
      <c r="L121" s="72" t="str">
        <f>VLOOKUP(I121,[6]stage_hints!$A:$D,4,FALSE)</f>
        <v>ALICEが「アナタ」を呼んでいます</v>
      </c>
      <c r="M121" s="35" t="s">
        <v>205</v>
      </c>
    </row>
  </sheetData>
  <phoneticPr fontId="6"/>
  <dataValidations count="1">
    <dataValidation type="list" allowBlank="1" showInputMessage="1" showErrorMessage="1" sqref="A2:A1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G12" sqref="G12"/>
    </sheetView>
  </sheetViews>
  <sheetFormatPr baseColWidth="12" defaultColWidth="13" defaultRowHeight="15" outlineLevelCol="1" x14ac:dyDescent="0.15"/>
  <cols>
    <col min="1" max="1" width="13" style="66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53" t="s">
        <v>185</v>
      </c>
      <c r="B1" s="49" t="s">
        <v>151</v>
      </c>
      <c r="C1" s="54" t="s">
        <v>187</v>
      </c>
      <c r="D1" s="54" t="s">
        <v>33</v>
      </c>
      <c r="E1" s="49" t="s">
        <v>188</v>
      </c>
      <c r="F1" s="54" t="s">
        <v>18</v>
      </c>
      <c r="G1" s="54" t="s">
        <v>33</v>
      </c>
      <c r="H1" s="49" t="s">
        <v>190</v>
      </c>
      <c r="I1" s="67" t="s">
        <v>191</v>
      </c>
      <c r="J1" s="69" t="s">
        <v>192</v>
      </c>
      <c r="K1" s="56" t="s">
        <v>127</v>
      </c>
      <c r="L1" s="55" t="s">
        <v>184</v>
      </c>
      <c r="M1" s="70" t="s">
        <v>183</v>
      </c>
      <c r="N1" s="57" t="s">
        <v>193</v>
      </c>
    </row>
    <row r="2" spans="1:14" x14ac:dyDescent="0.15">
      <c r="A2" s="58"/>
      <c r="B2" s="59"/>
      <c r="C2" s="60"/>
      <c r="D2" s="60"/>
      <c r="E2" s="61"/>
      <c r="F2" s="60"/>
      <c r="G2" s="60"/>
      <c r="H2" s="62"/>
      <c r="I2" s="68"/>
      <c r="J2" s="63"/>
      <c r="K2" s="61"/>
      <c r="L2" s="64"/>
      <c r="M2" s="65"/>
      <c r="N2" s="35"/>
    </row>
  </sheetData>
  <phoneticPr fontId="6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2016-05-06T08:28:28Z</dcterms:modified>
</cp:coreProperties>
</file>