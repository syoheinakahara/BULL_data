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580" yWindow="460" windowWidth="27220" windowHeight="161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5" i="57" l="1"/>
  <c r="E5" i="57"/>
  <c r="B5" i="57"/>
  <c r="H3" i="23"/>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16" i="23"/>
  <c r="BR16" i="23"/>
  <c r="H17" i="23"/>
  <c r="BR17" i="23"/>
  <c r="H2" i="23"/>
  <c r="BR2" i="23"/>
  <c r="E32" i="54"/>
  <c r="D32" i="54"/>
  <c r="B32" i="54"/>
  <c r="E33" i="54"/>
  <c r="D33" i="54"/>
  <c r="B33" i="54"/>
  <c r="E34" i="54"/>
  <c r="D34" i="54"/>
  <c r="B34" i="54"/>
  <c r="E31" i="54"/>
  <c r="D31" i="54"/>
  <c r="B31" i="54"/>
  <c r="E29" i="54"/>
  <c r="D29" i="54"/>
  <c r="B29" i="54"/>
  <c r="E28" i="54"/>
  <c r="D28" i="54"/>
  <c r="B28" i="54"/>
  <c r="E30" i="54"/>
  <c r="D30" i="54"/>
  <c r="B30" i="54"/>
  <c r="F9" i="57"/>
  <c r="E9" i="57"/>
  <c r="B9" i="57"/>
  <c r="F8" i="57"/>
  <c r="E8" i="57"/>
  <c r="B8" i="57"/>
  <c r="J17" i="3"/>
  <c r="J15" i="3"/>
  <c r="J14" i="3"/>
  <c r="J7" i="52"/>
  <c r="E68" i="54"/>
  <c r="D68" i="54"/>
  <c r="B68" i="54"/>
  <c r="E64" i="54"/>
  <c r="D64" i="54"/>
  <c r="B64" i="54"/>
  <c r="E59" i="54"/>
  <c r="D59" i="54"/>
  <c r="B59" i="54"/>
  <c r="E55" i="54"/>
  <c r="D55" i="54"/>
  <c r="B55" i="54"/>
  <c r="E52" i="54"/>
  <c r="D52" i="54"/>
  <c r="B52" i="54"/>
  <c r="E47" i="54"/>
  <c r="D47" i="54"/>
  <c r="B47" i="54"/>
  <c r="E43" i="54"/>
  <c r="D43" i="54"/>
  <c r="B43" i="54"/>
  <c r="E38" i="54"/>
  <c r="D38" i="54"/>
  <c r="B38" i="54"/>
  <c r="E24" i="54"/>
  <c r="D24" i="54"/>
  <c r="B24" i="54"/>
  <c r="E20" i="54"/>
  <c r="D20" i="54"/>
  <c r="B20" i="54"/>
  <c r="E15" i="54"/>
  <c r="D15" i="54"/>
  <c r="B15" i="54"/>
  <c r="E11" i="54"/>
  <c r="D11" i="54"/>
  <c r="B11" i="54"/>
  <c r="E69" i="54"/>
  <c r="D69" i="54"/>
  <c r="B69" i="54"/>
  <c r="E61" i="54"/>
  <c r="D61" i="54"/>
  <c r="B61" i="54"/>
  <c r="E56" i="54"/>
  <c r="D56" i="54"/>
  <c r="B56" i="54"/>
  <c r="E51" i="54"/>
  <c r="D51" i="54"/>
  <c r="B51" i="54"/>
  <c r="E46" i="54"/>
  <c r="D46" i="54"/>
  <c r="B46" i="54"/>
  <c r="E41" i="54"/>
  <c r="D41" i="54"/>
  <c r="B41" i="54"/>
  <c r="E37" i="54"/>
  <c r="D37" i="54"/>
  <c r="B37" i="54"/>
  <c r="E23" i="54"/>
  <c r="D23" i="54"/>
  <c r="B23" i="54"/>
  <c r="E19" i="54"/>
  <c r="D19" i="54"/>
  <c r="B19" i="54"/>
  <c r="E16" i="54"/>
  <c r="D16" i="54"/>
  <c r="B16" i="54"/>
  <c r="E12" i="54"/>
  <c r="D12" i="54"/>
  <c r="B12" i="54"/>
  <c r="E6" i="54"/>
  <c r="D6" i="54"/>
  <c r="B6" i="54"/>
  <c r="E4" i="54"/>
  <c r="D4" i="54"/>
  <c r="B4" i="54"/>
  <c r="E66" i="54"/>
  <c r="D66" i="54"/>
  <c r="B66" i="54"/>
  <c r="E65" i="54"/>
  <c r="D65" i="54"/>
  <c r="B65" i="54"/>
  <c r="E62" i="54"/>
  <c r="D62" i="54"/>
  <c r="B62" i="54"/>
  <c r="E58" i="54"/>
  <c r="D58" i="54"/>
  <c r="B58" i="54"/>
  <c r="E57" i="54"/>
  <c r="D57" i="54"/>
  <c r="B57" i="54"/>
  <c r="E53" i="54"/>
  <c r="D53" i="54"/>
  <c r="B53" i="54"/>
  <c r="E50" i="54"/>
  <c r="D50" i="54"/>
  <c r="B50" i="54"/>
  <c r="E49" i="54"/>
  <c r="D49" i="54"/>
  <c r="B49" i="54"/>
  <c r="E42" i="54"/>
  <c r="D42" i="54"/>
  <c r="B42" i="54"/>
  <c r="E44" i="54"/>
  <c r="D44" i="54"/>
  <c r="B44" i="54"/>
  <c r="E40" i="54"/>
  <c r="D40" i="54"/>
  <c r="B40" i="54"/>
  <c r="E39" i="54"/>
  <c r="D39" i="54"/>
  <c r="B39" i="54"/>
  <c r="E26" i="54"/>
  <c r="D26" i="54"/>
  <c r="B26" i="54"/>
  <c r="E22" i="54"/>
  <c r="D22" i="54"/>
  <c r="B22" i="54"/>
  <c r="E21" i="54"/>
  <c r="D21" i="54"/>
  <c r="B21" i="54"/>
  <c r="E17" i="54"/>
  <c r="D17" i="54"/>
  <c r="B17" i="54"/>
  <c r="E13" i="54"/>
  <c r="D13" i="54"/>
  <c r="B13" i="54"/>
  <c r="E10" i="54"/>
  <c r="D10" i="54"/>
  <c r="B10" i="54"/>
  <c r="E8" i="54"/>
  <c r="D8" i="54"/>
  <c r="B8" i="54"/>
  <c r="E5" i="54"/>
  <c r="D5" i="54"/>
  <c r="B5" i="54"/>
  <c r="E3" i="54"/>
  <c r="D3" i="54"/>
  <c r="B3" i="54"/>
  <c r="F4" i="57"/>
  <c r="E4" i="57"/>
  <c r="G15" i="23"/>
  <c r="BC15" i="23"/>
  <c r="BD15" i="23"/>
  <c r="Q15" i="23"/>
  <c r="S15" i="23"/>
  <c r="W15" i="23"/>
  <c r="AA15" i="23"/>
  <c r="I15" i="23"/>
  <c r="J15" i="23"/>
  <c r="BK15" i="23"/>
  <c r="H15" i="52"/>
  <c r="E15" i="52"/>
  <c r="E14" i="52"/>
  <c r="AV15" i="23"/>
  <c r="G14" i="23"/>
  <c r="BC14" i="23"/>
  <c r="BD14" i="23"/>
  <c r="Q14" i="23"/>
  <c r="S14" i="23"/>
  <c r="W14" i="23"/>
  <c r="AA14" i="23"/>
  <c r="I14" i="23"/>
  <c r="J14" i="23"/>
  <c r="BK14" i="23"/>
  <c r="J18" i="3"/>
  <c r="H18" i="3"/>
  <c r="C18" i="3"/>
  <c r="F18" i="3"/>
  <c r="E18" i="3"/>
  <c r="D18" i="3"/>
  <c r="A18" i="3"/>
  <c r="H17" i="3"/>
  <c r="C17" i="3"/>
  <c r="F17" i="3"/>
  <c r="E17" i="3"/>
  <c r="D17" i="3"/>
  <c r="A17" i="3"/>
  <c r="J13" i="3"/>
  <c r="H13" i="3"/>
  <c r="C13" i="3"/>
  <c r="F13" i="3"/>
  <c r="E13" i="3"/>
  <c r="D13" i="3"/>
  <c r="A13" i="3"/>
  <c r="A3" i="3"/>
  <c r="A4" i="3"/>
  <c r="A5" i="3"/>
  <c r="A6" i="3"/>
  <c r="A7" i="3"/>
  <c r="A8" i="3"/>
  <c r="A9" i="3"/>
  <c r="A10" i="3"/>
  <c r="A11" i="3"/>
  <c r="A12" i="3"/>
  <c r="A14" i="3"/>
  <c r="A15" i="3"/>
  <c r="A16" i="3"/>
  <c r="A19" i="3"/>
  <c r="A20" i="3"/>
  <c r="A21" i="3"/>
  <c r="A22" i="3"/>
  <c r="A23" i="3"/>
  <c r="A24" i="3"/>
  <c r="A25" i="3"/>
  <c r="A26" i="3"/>
  <c r="A27" i="3"/>
  <c r="A28" i="3"/>
  <c r="A29" i="3"/>
  <c r="A30" i="3"/>
  <c r="A31" i="3"/>
  <c r="A32" i="3"/>
  <c r="A33" i="3"/>
  <c r="A34" i="3"/>
  <c r="A35" i="3"/>
  <c r="A36" i="3"/>
  <c r="J9" i="3"/>
  <c r="H9" i="3"/>
  <c r="C9" i="3"/>
  <c r="F9" i="3"/>
  <c r="E9" i="3"/>
  <c r="D9" i="3"/>
  <c r="J5" i="3"/>
  <c r="H5" i="3"/>
  <c r="C5" i="3"/>
  <c r="F5" i="3"/>
  <c r="E5" i="3"/>
  <c r="D5" i="3"/>
  <c r="J2" i="3"/>
  <c r="J34" i="3"/>
  <c r="J36" i="3"/>
  <c r="H36" i="3"/>
  <c r="C36" i="3"/>
  <c r="F36" i="3"/>
  <c r="E36" i="3"/>
  <c r="D36" i="3"/>
  <c r="J32" i="3"/>
  <c r="J31" i="3"/>
  <c r="J33" i="3"/>
  <c r="J30" i="3"/>
  <c r="J29" i="3"/>
  <c r="J27" i="3"/>
  <c r="J26" i="3"/>
  <c r="J25" i="3"/>
  <c r="J24" i="3"/>
  <c r="J28" i="3"/>
  <c r="J21" i="3"/>
  <c r="J20" i="3"/>
  <c r="J23" i="3"/>
  <c r="J19" i="3"/>
  <c r="H33" i="3"/>
  <c r="C33" i="3"/>
  <c r="F33" i="3"/>
  <c r="E33" i="3"/>
  <c r="D33" i="3"/>
  <c r="H32" i="3"/>
  <c r="C32" i="3"/>
  <c r="F32" i="3"/>
  <c r="E32" i="3"/>
  <c r="D32" i="3"/>
  <c r="H31" i="3"/>
  <c r="C31" i="3"/>
  <c r="F31" i="3"/>
  <c r="E31" i="3"/>
  <c r="D31" i="3"/>
  <c r="H28" i="3"/>
  <c r="C28" i="3"/>
  <c r="F28" i="3"/>
  <c r="E28" i="3"/>
  <c r="D28" i="3"/>
  <c r="H27" i="3"/>
  <c r="C27" i="3"/>
  <c r="F27" i="3"/>
  <c r="E27" i="3"/>
  <c r="D27" i="3"/>
  <c r="H26" i="3"/>
  <c r="C26" i="3"/>
  <c r="F26" i="3"/>
  <c r="E26" i="3"/>
  <c r="D26" i="3"/>
  <c r="H23" i="3"/>
  <c r="C23" i="3"/>
  <c r="F23" i="3"/>
  <c r="E23" i="3"/>
  <c r="D23" i="3"/>
  <c r="J22" i="3"/>
  <c r="H22" i="3"/>
  <c r="C22" i="3"/>
  <c r="F22" i="3"/>
  <c r="E22" i="3"/>
  <c r="D22" i="3"/>
  <c r="E6" i="57"/>
  <c r="F7" i="57"/>
  <c r="E7" i="57"/>
  <c r="G3" i="23"/>
  <c r="BC3" i="23"/>
  <c r="BD3" i="23"/>
  <c r="Q3" i="23"/>
  <c r="T3" i="23"/>
  <c r="W3" i="23"/>
  <c r="AB3" i="23"/>
  <c r="I3" i="23"/>
  <c r="K3" i="23"/>
  <c r="BL3" i="23"/>
  <c r="G2" i="23"/>
  <c r="BC2" i="23"/>
  <c r="BD2" i="23"/>
  <c r="Q2" i="23"/>
  <c r="T2" i="23"/>
  <c r="W2" i="23"/>
  <c r="AB2" i="23"/>
  <c r="I2" i="23"/>
  <c r="K2" i="23"/>
  <c r="BL2" i="23"/>
  <c r="V3" i="23"/>
  <c r="AD3" i="23"/>
  <c r="M3" i="23"/>
  <c r="BN3" i="23"/>
  <c r="V2" i="23"/>
  <c r="AD2" i="23"/>
  <c r="M2" i="23"/>
  <c r="BN2" i="23"/>
  <c r="B7" i="57"/>
  <c r="S2" i="23"/>
  <c r="AA2" i="23"/>
  <c r="J2" i="23"/>
  <c r="BK2" i="23"/>
  <c r="S3" i="23"/>
  <c r="AA3" i="23"/>
  <c r="J3" i="23"/>
  <c r="BK3" i="23"/>
  <c r="V15" i="23"/>
  <c r="AD15" i="23"/>
  <c r="M15" i="23"/>
  <c r="BN15" i="23"/>
  <c r="T15" i="23"/>
  <c r="AB15" i="23"/>
  <c r="K15" i="23"/>
  <c r="BL15" i="23"/>
  <c r="R15" i="23"/>
  <c r="R14" i="23"/>
  <c r="AL3" i="23"/>
  <c r="E12" i="53"/>
  <c r="G5" i="23"/>
  <c r="BC5" i="23"/>
  <c r="BD5" i="23"/>
  <c r="Q5" i="23"/>
  <c r="V5" i="23"/>
  <c r="W5" i="23"/>
  <c r="AD5" i="23"/>
  <c r="I5" i="23"/>
  <c r="M5" i="23"/>
  <c r="BN5" i="23"/>
  <c r="S5" i="23"/>
  <c r="AA5" i="23"/>
  <c r="J5" i="23"/>
  <c r="BK5" i="23"/>
  <c r="T5" i="23"/>
  <c r="AB5" i="23"/>
  <c r="K5" i="23"/>
  <c r="BL5" i="23"/>
  <c r="E11" i="52"/>
  <c r="E10" i="52"/>
  <c r="E5" i="52"/>
  <c r="E4" i="52"/>
  <c r="F6" i="57"/>
  <c r="B6" i="57"/>
  <c r="B4" i="57"/>
  <c r="E13" i="52"/>
  <c r="E2" i="57"/>
  <c r="B3" i="57"/>
  <c r="B2" i="57"/>
  <c r="F3" i="57"/>
  <c r="E3" i="57"/>
  <c r="F2" i="57"/>
  <c r="C25" i="3"/>
  <c r="E25" i="3"/>
  <c r="C7" i="3"/>
  <c r="D7" i="3"/>
  <c r="E7" i="3"/>
  <c r="F7" i="3"/>
  <c r="H7" i="3"/>
  <c r="J7" i="3"/>
  <c r="J35" i="3"/>
  <c r="G9" i="58"/>
  <c r="U9" i="58"/>
  <c r="S9" i="58"/>
  <c r="T9" i="58"/>
  <c r="R9" i="58"/>
  <c r="P9" i="58"/>
  <c r="O9" i="58"/>
  <c r="N9" i="58"/>
  <c r="M9" i="58"/>
  <c r="L9" i="58"/>
  <c r="J9" i="58"/>
  <c r="K9" i="58"/>
  <c r="I9" i="58"/>
  <c r="H9" i="58"/>
  <c r="F9" i="58"/>
  <c r="E9" i="58"/>
  <c r="D9" i="58"/>
  <c r="C9" i="58"/>
  <c r="B9" i="58"/>
  <c r="G8" i="58"/>
  <c r="U8" i="58"/>
  <c r="S8" i="58"/>
  <c r="T8" i="58"/>
  <c r="R8" i="58"/>
  <c r="P8" i="58"/>
  <c r="O8" i="58"/>
  <c r="N8" i="58"/>
  <c r="M8" i="58"/>
  <c r="L8" i="58"/>
  <c r="J8" i="58"/>
  <c r="K8" i="58"/>
  <c r="I8" i="58"/>
  <c r="H8" i="58"/>
  <c r="F8" i="58"/>
  <c r="E8" i="58"/>
  <c r="D8" i="58"/>
  <c r="C8" i="58"/>
  <c r="B8" i="58"/>
  <c r="B7" i="58"/>
  <c r="C7" i="58"/>
  <c r="D7" i="58"/>
  <c r="E7" i="58"/>
  <c r="F7" i="58"/>
  <c r="G7" i="58"/>
  <c r="H7" i="58"/>
  <c r="I7" i="58"/>
  <c r="J7" i="58"/>
  <c r="K7" i="58"/>
  <c r="L7" i="58"/>
  <c r="M7" i="58"/>
  <c r="N7" i="58"/>
  <c r="O7" i="58"/>
  <c r="P7" i="58"/>
  <c r="R7" i="58"/>
  <c r="S7" i="58"/>
  <c r="T7" i="58"/>
  <c r="U7" i="58"/>
  <c r="B6" i="58"/>
  <c r="C6" i="58"/>
  <c r="D6" i="58"/>
  <c r="E6" i="58"/>
  <c r="F6" i="58"/>
  <c r="G6" i="58"/>
  <c r="H6" i="58"/>
  <c r="I6" i="58"/>
  <c r="J6" i="58"/>
  <c r="K6" i="58"/>
  <c r="L6" i="58"/>
  <c r="M6" i="58"/>
  <c r="N6" i="58"/>
  <c r="O6" i="58"/>
  <c r="P6" i="58"/>
  <c r="R6" i="58"/>
  <c r="S6" i="58"/>
  <c r="T6" i="58"/>
  <c r="U6" i="58"/>
  <c r="B5" i="58"/>
  <c r="C5" i="58"/>
  <c r="D5" i="58"/>
  <c r="E5" i="58"/>
  <c r="F5" i="58"/>
  <c r="G5" i="58"/>
  <c r="H5" i="58"/>
  <c r="I5" i="58"/>
  <c r="J5" i="58"/>
  <c r="K5" i="58"/>
  <c r="L5" i="58"/>
  <c r="M5" i="58"/>
  <c r="N5" i="58"/>
  <c r="O5" i="58"/>
  <c r="P5" i="58"/>
  <c r="R5" i="58"/>
  <c r="S5" i="58"/>
  <c r="T5" i="58"/>
  <c r="U5" i="58"/>
  <c r="G4" i="58"/>
  <c r="U4" i="58"/>
  <c r="S4" i="58"/>
  <c r="T4" i="58"/>
  <c r="R4" i="58"/>
  <c r="P4" i="58"/>
  <c r="O4" i="58"/>
  <c r="N4" i="58"/>
  <c r="M4" i="58"/>
  <c r="L4" i="58"/>
  <c r="J4" i="58"/>
  <c r="K4" i="58"/>
  <c r="I4" i="58"/>
  <c r="H4" i="58"/>
  <c r="F4" i="58"/>
  <c r="E4" i="58"/>
  <c r="D4" i="58"/>
  <c r="C4" i="58"/>
  <c r="B4" i="58"/>
  <c r="H35" i="3"/>
  <c r="C35" i="3"/>
  <c r="F35" i="3"/>
  <c r="E35" i="3"/>
  <c r="D35" i="3"/>
  <c r="H34" i="3"/>
  <c r="C34" i="3"/>
  <c r="F34" i="3"/>
  <c r="E34" i="3"/>
  <c r="D34" i="3"/>
  <c r="H30" i="3"/>
  <c r="C30" i="3"/>
  <c r="F30" i="3"/>
  <c r="E30" i="3"/>
  <c r="D30" i="3"/>
  <c r="H29" i="3"/>
  <c r="C29" i="3"/>
  <c r="F29" i="3"/>
  <c r="E29" i="3"/>
  <c r="D29" i="3"/>
  <c r="H25" i="3"/>
  <c r="F25" i="3"/>
  <c r="D25" i="3"/>
  <c r="H24" i="3"/>
  <c r="C24" i="3"/>
  <c r="F24" i="3"/>
  <c r="E24" i="3"/>
  <c r="D24" i="3"/>
  <c r="H21" i="3"/>
  <c r="C21" i="3"/>
  <c r="F21" i="3"/>
  <c r="E21" i="3"/>
  <c r="D21" i="3"/>
  <c r="H20" i="3"/>
  <c r="C20" i="3"/>
  <c r="F20" i="3"/>
  <c r="E20" i="3"/>
  <c r="D20" i="3"/>
  <c r="H19" i="3"/>
  <c r="C19" i="3"/>
  <c r="F19" i="3"/>
  <c r="E19" i="3"/>
  <c r="D19" i="3"/>
  <c r="J16" i="3"/>
  <c r="H16" i="3"/>
  <c r="C16" i="3"/>
  <c r="F16" i="3"/>
  <c r="E16" i="3"/>
  <c r="D16" i="3"/>
  <c r="H15" i="3"/>
  <c r="C15" i="3"/>
  <c r="F15" i="3"/>
  <c r="E15" i="3"/>
  <c r="D15" i="3"/>
  <c r="H14" i="3"/>
  <c r="C14" i="3"/>
  <c r="F14" i="3"/>
  <c r="E14" i="3"/>
  <c r="D14" i="3"/>
  <c r="J12" i="3"/>
  <c r="H12" i="3"/>
  <c r="C12" i="3"/>
  <c r="F12" i="3"/>
  <c r="E12" i="3"/>
  <c r="D12" i="3"/>
  <c r="J11" i="3"/>
  <c r="H11" i="3"/>
  <c r="C11" i="3"/>
  <c r="F11" i="3"/>
  <c r="E11" i="3"/>
  <c r="D11" i="3"/>
  <c r="J10" i="3"/>
  <c r="H10" i="3"/>
  <c r="C10" i="3"/>
  <c r="F10" i="3"/>
  <c r="E10" i="3"/>
  <c r="D10" i="3"/>
  <c r="H6" i="3"/>
  <c r="H2" i="3"/>
  <c r="J8" i="3"/>
  <c r="H8" i="3"/>
  <c r="C8" i="3"/>
  <c r="F8" i="3"/>
  <c r="E8" i="3"/>
  <c r="D8" i="3"/>
  <c r="G2" i="58"/>
  <c r="U2" i="58"/>
  <c r="G3" i="58"/>
  <c r="U3" i="58"/>
  <c r="S3" i="58"/>
  <c r="T3" i="58"/>
  <c r="S2" i="58"/>
  <c r="T2" i="58"/>
  <c r="R3" i="58"/>
  <c r="R2" i="58"/>
  <c r="B3" i="58"/>
  <c r="B2" i="58"/>
  <c r="Q4" i="23"/>
  <c r="T4" i="23"/>
  <c r="S4" i="23"/>
  <c r="Q6" i="23"/>
  <c r="S6" i="23"/>
  <c r="D67" i="54"/>
  <c r="D63" i="54"/>
  <c r="D60" i="54"/>
  <c r="D54" i="54"/>
  <c r="D48" i="54"/>
  <c r="D45" i="54"/>
  <c r="D36" i="54"/>
  <c r="D35" i="54"/>
  <c r="D27" i="54"/>
  <c r="D25" i="54"/>
  <c r="D18" i="54"/>
  <c r="D14" i="54"/>
  <c r="D9" i="54"/>
  <c r="D7" i="54"/>
  <c r="D2" i="54"/>
  <c r="E67" i="54"/>
  <c r="E63" i="54"/>
  <c r="E60" i="54"/>
  <c r="E54" i="54"/>
  <c r="E48" i="54"/>
  <c r="E45" i="54"/>
  <c r="E36" i="54"/>
  <c r="E35" i="54"/>
  <c r="E27" i="54"/>
  <c r="E25" i="54"/>
  <c r="E18" i="54"/>
  <c r="E14" i="54"/>
  <c r="E9" i="54"/>
  <c r="E7" i="54"/>
  <c r="E2" i="54"/>
  <c r="B2" i="54"/>
  <c r="B67" i="54"/>
  <c r="B63" i="54"/>
  <c r="B60" i="54"/>
  <c r="B54" i="54"/>
  <c r="B48" i="54"/>
  <c r="B45" i="54"/>
  <c r="B36" i="54"/>
  <c r="B35" i="54"/>
  <c r="B27" i="54"/>
  <c r="B25" i="54"/>
  <c r="B18" i="54"/>
  <c r="B14" i="54"/>
  <c r="B9" i="54"/>
  <c r="G2" i="53"/>
  <c r="G6" i="53"/>
  <c r="H17" i="53"/>
  <c r="G17" i="53"/>
  <c r="E17" i="53"/>
  <c r="H16" i="53"/>
  <c r="G16" i="53"/>
  <c r="E16" i="53"/>
  <c r="H15" i="53"/>
  <c r="G15" i="53"/>
  <c r="E15" i="53"/>
  <c r="H14" i="53"/>
  <c r="G14" i="53"/>
  <c r="E14" i="53"/>
  <c r="H13" i="53"/>
  <c r="G13" i="53"/>
  <c r="E13" i="53"/>
  <c r="H12" i="53"/>
  <c r="G12" i="53"/>
  <c r="H11" i="53"/>
  <c r="G11" i="53"/>
  <c r="E11" i="53"/>
  <c r="H10" i="53"/>
  <c r="G10" i="53"/>
  <c r="E10" i="53"/>
  <c r="H9" i="53"/>
  <c r="G9" i="53"/>
  <c r="E9" i="53"/>
  <c r="H8" i="53"/>
  <c r="G8" i="53"/>
  <c r="E8" i="53"/>
  <c r="H7" i="53"/>
  <c r="G7" i="53"/>
  <c r="E7" i="53"/>
  <c r="H6" i="53"/>
  <c r="E6" i="53"/>
  <c r="H5" i="53"/>
  <c r="G5" i="53"/>
  <c r="E5" i="53"/>
  <c r="H4" i="53"/>
  <c r="G4" i="53"/>
  <c r="E4" i="53"/>
  <c r="K17" i="52"/>
  <c r="J17" i="52"/>
  <c r="H17" i="52"/>
  <c r="E17" i="52"/>
  <c r="K16" i="52"/>
  <c r="J16" i="52"/>
  <c r="H16" i="52"/>
  <c r="E16" i="52"/>
  <c r="K15" i="52"/>
  <c r="J15" i="52"/>
  <c r="K14" i="52"/>
  <c r="J14" i="52"/>
  <c r="H14" i="52"/>
  <c r="K13" i="52"/>
  <c r="J13" i="52"/>
  <c r="H13" i="52"/>
  <c r="K12" i="52"/>
  <c r="J12" i="52"/>
  <c r="H12" i="52"/>
  <c r="E12" i="52"/>
  <c r="K11" i="52"/>
  <c r="J11" i="52"/>
  <c r="H11" i="52"/>
  <c r="K10" i="52"/>
  <c r="J10" i="52"/>
  <c r="H10" i="52"/>
  <c r="K9" i="52"/>
  <c r="J9" i="52"/>
  <c r="H9" i="52"/>
  <c r="E9" i="52"/>
  <c r="K8" i="52"/>
  <c r="J8" i="52"/>
  <c r="H8" i="52"/>
  <c r="E8" i="52"/>
  <c r="K7" i="52"/>
  <c r="H7" i="52"/>
  <c r="E7" i="52"/>
  <c r="K6" i="52"/>
  <c r="J6" i="52"/>
  <c r="H6" i="52"/>
  <c r="E6" i="52"/>
  <c r="K5" i="52"/>
  <c r="J5" i="52"/>
  <c r="H5" i="52"/>
  <c r="K4" i="52"/>
  <c r="J4" i="52"/>
  <c r="H4" i="52"/>
  <c r="AH17" i="23"/>
  <c r="AH16" i="23"/>
  <c r="AH15" i="23"/>
  <c r="AH14" i="23"/>
  <c r="AH13" i="23"/>
  <c r="AH12" i="23"/>
  <c r="AH11" i="23"/>
  <c r="AH10" i="23"/>
  <c r="AH9" i="23"/>
  <c r="AH8" i="23"/>
  <c r="AH7" i="23"/>
  <c r="AH6" i="23"/>
  <c r="AH5" i="23"/>
  <c r="AH4" i="23"/>
  <c r="AH3" i="23"/>
  <c r="AH2" i="23"/>
  <c r="B12" i="23"/>
  <c r="B17" i="23"/>
  <c r="B16" i="23"/>
  <c r="B15" i="23"/>
  <c r="B14" i="23"/>
  <c r="B13" i="23"/>
  <c r="B11" i="23"/>
  <c r="B10" i="23"/>
  <c r="B9" i="23"/>
  <c r="B8" i="23"/>
  <c r="B7" i="23"/>
  <c r="B6" i="23"/>
  <c r="G17" i="23"/>
  <c r="BC17" i="23"/>
  <c r="BD17" i="23"/>
  <c r="Q17" i="23"/>
  <c r="V17" i="23"/>
  <c r="W17" i="23"/>
  <c r="AD17" i="23"/>
  <c r="I17" i="23"/>
  <c r="M17" i="23"/>
  <c r="BN17" i="23"/>
  <c r="U17" i="23"/>
  <c r="AC17" i="23"/>
  <c r="L17" i="23"/>
  <c r="BM17" i="23"/>
  <c r="T17" i="23"/>
  <c r="AB17" i="23"/>
  <c r="K17" i="23"/>
  <c r="BL17" i="23"/>
  <c r="S17" i="23"/>
  <c r="AA17" i="23"/>
  <c r="J17" i="23"/>
  <c r="BK17" i="23"/>
  <c r="G16" i="23"/>
  <c r="BC16" i="23"/>
  <c r="BE17" i="23"/>
  <c r="BJ17" i="23"/>
  <c r="BI17" i="23"/>
  <c r="BH17" i="23"/>
  <c r="BG17" i="23"/>
  <c r="I16" i="23"/>
  <c r="J16" i="23"/>
  <c r="BF17" i="23"/>
  <c r="AX17" i="23"/>
  <c r="AW17" i="23"/>
  <c r="AV17" i="23"/>
  <c r="AU17" i="23"/>
  <c r="AS17" i="23"/>
  <c r="AR17" i="23"/>
  <c r="AQ17" i="23"/>
  <c r="AN17" i="23"/>
  <c r="AM17" i="23"/>
  <c r="AL17" i="23"/>
  <c r="AK17" i="23"/>
  <c r="AI17" i="23"/>
  <c r="AF17" i="23"/>
  <c r="Y17" i="23"/>
  <c r="Z17" i="23"/>
  <c r="X17" i="23"/>
  <c r="R17" i="23"/>
  <c r="P17" i="23"/>
  <c r="O17" i="23"/>
  <c r="G10" i="13"/>
  <c r="G11" i="13"/>
  <c r="N17" i="23"/>
  <c r="F17" i="23"/>
  <c r="E17" i="23"/>
  <c r="D17" i="23"/>
  <c r="C17" i="23"/>
  <c r="BD16" i="23"/>
  <c r="Q16" i="23"/>
  <c r="V16" i="23"/>
  <c r="W16" i="23"/>
  <c r="AD16" i="23"/>
  <c r="M16" i="23"/>
  <c r="BN16" i="23"/>
  <c r="U16" i="23"/>
  <c r="AC16" i="23"/>
  <c r="L16" i="23"/>
  <c r="BM16" i="23"/>
  <c r="T16" i="23"/>
  <c r="AB16" i="23"/>
  <c r="K16" i="23"/>
  <c r="BL16" i="23"/>
  <c r="S16" i="23"/>
  <c r="AA16" i="23"/>
  <c r="BK16" i="23"/>
  <c r="BE16" i="23"/>
  <c r="BJ16" i="23"/>
  <c r="BI16" i="23"/>
  <c r="BH16" i="23"/>
  <c r="BG16" i="23"/>
  <c r="BF16" i="23"/>
  <c r="AX16" i="23"/>
  <c r="AW16" i="23"/>
  <c r="AV16" i="23"/>
  <c r="AU16" i="23"/>
  <c r="AS16" i="23"/>
  <c r="AR16" i="23"/>
  <c r="AQ16" i="23"/>
  <c r="AN16" i="23"/>
  <c r="AM16" i="23"/>
  <c r="AL16" i="23"/>
  <c r="AK16" i="23"/>
  <c r="AI16" i="23"/>
  <c r="AF16" i="23"/>
  <c r="Y16" i="23"/>
  <c r="Z16" i="23"/>
  <c r="X16" i="23"/>
  <c r="R16" i="23"/>
  <c r="P16" i="23"/>
  <c r="O16" i="23"/>
  <c r="N16" i="23"/>
  <c r="F16" i="23"/>
  <c r="E16" i="23"/>
  <c r="D16" i="23"/>
  <c r="C16" i="23"/>
  <c r="U15" i="23"/>
  <c r="AC15" i="23"/>
  <c r="L15" i="23"/>
  <c r="BM15" i="23"/>
  <c r="BE15" i="23"/>
  <c r="BJ15" i="23"/>
  <c r="BI15" i="23"/>
  <c r="BH15" i="23"/>
  <c r="BG15" i="23"/>
  <c r="BF15" i="23"/>
  <c r="AX15" i="23"/>
  <c r="AW15" i="23"/>
  <c r="AU15" i="23"/>
  <c r="AS15" i="23"/>
  <c r="AR15" i="23"/>
  <c r="AQ15" i="23"/>
  <c r="AN15" i="23"/>
  <c r="AM15" i="23"/>
  <c r="AL15" i="23"/>
  <c r="AK15" i="23"/>
  <c r="AI15" i="23"/>
  <c r="AF15" i="23"/>
  <c r="Y15" i="23"/>
  <c r="Z15" i="23"/>
  <c r="X15" i="23"/>
  <c r="P15" i="23"/>
  <c r="O15" i="23"/>
  <c r="N15" i="23"/>
  <c r="F15" i="23"/>
  <c r="E15" i="23"/>
  <c r="D15" i="23"/>
  <c r="C15" i="23"/>
  <c r="V14" i="23"/>
  <c r="AD14" i="23"/>
  <c r="M14" i="23"/>
  <c r="BN14" i="23"/>
  <c r="U14" i="23"/>
  <c r="AC14" i="23"/>
  <c r="L14" i="23"/>
  <c r="BM14" i="23"/>
  <c r="T14" i="23"/>
  <c r="AB14" i="23"/>
  <c r="K14" i="23"/>
  <c r="BL14" i="23"/>
  <c r="BE14" i="23"/>
  <c r="BJ14" i="23"/>
  <c r="BI14" i="23"/>
  <c r="BH14" i="23"/>
  <c r="BG14" i="23"/>
  <c r="BF14" i="23"/>
  <c r="AX14" i="23"/>
  <c r="AW14" i="23"/>
  <c r="AV14" i="23"/>
  <c r="AU14" i="23"/>
  <c r="AS14" i="23"/>
  <c r="AR14" i="23"/>
  <c r="AQ14" i="23"/>
  <c r="AN14" i="23"/>
  <c r="AM14" i="23"/>
  <c r="AL14" i="23"/>
  <c r="AK14" i="23"/>
  <c r="AI14" i="23"/>
  <c r="AF14" i="23"/>
  <c r="Y14" i="23"/>
  <c r="Z14" i="23"/>
  <c r="X14" i="23"/>
  <c r="P14" i="23"/>
  <c r="O14" i="23"/>
  <c r="N14" i="23"/>
  <c r="F14" i="23"/>
  <c r="E14" i="23"/>
  <c r="D14" i="23"/>
  <c r="C14" i="23"/>
  <c r="G13" i="23"/>
  <c r="BC13" i="23"/>
  <c r="BD13" i="23"/>
  <c r="Q13" i="23"/>
  <c r="V13" i="23"/>
  <c r="W13" i="23"/>
  <c r="AD13" i="23"/>
  <c r="I13" i="23"/>
  <c r="M13" i="23"/>
  <c r="BN13" i="23"/>
  <c r="U13" i="23"/>
  <c r="AC13" i="23"/>
  <c r="L13" i="23"/>
  <c r="BM13" i="23"/>
  <c r="T13" i="23"/>
  <c r="AB13" i="23"/>
  <c r="K13" i="23"/>
  <c r="BL13" i="23"/>
  <c r="S13" i="23"/>
  <c r="AA13" i="23"/>
  <c r="J13" i="23"/>
  <c r="BK13" i="23"/>
  <c r="G12" i="23"/>
  <c r="BC12" i="23"/>
  <c r="BE13" i="23"/>
  <c r="BJ13" i="23"/>
  <c r="BI13" i="23"/>
  <c r="BH13" i="23"/>
  <c r="BG13" i="23"/>
  <c r="I12" i="23"/>
  <c r="J12" i="23"/>
  <c r="BF13" i="23"/>
  <c r="AX13" i="23"/>
  <c r="AW13" i="23"/>
  <c r="AV13" i="23"/>
  <c r="AU13" i="23"/>
  <c r="AS13" i="23"/>
  <c r="AR13" i="23"/>
  <c r="AQ13" i="23"/>
  <c r="AN13" i="23"/>
  <c r="AM13" i="23"/>
  <c r="AL13" i="23"/>
  <c r="AK13" i="23"/>
  <c r="AI13" i="23"/>
  <c r="AF13" i="23"/>
  <c r="Y13" i="23"/>
  <c r="Z13" i="23"/>
  <c r="X13" i="23"/>
  <c r="R13" i="23"/>
  <c r="P13" i="23"/>
  <c r="O13" i="23"/>
  <c r="N13" i="23"/>
  <c r="F13" i="23"/>
  <c r="E13" i="23"/>
  <c r="D13" i="23"/>
  <c r="C13"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F12" i="23"/>
  <c r="Y12" i="23"/>
  <c r="Z12" i="23"/>
  <c r="X12" i="23"/>
  <c r="R12" i="23"/>
  <c r="P12" i="23"/>
  <c r="O12" i="23"/>
  <c r="N12" i="23"/>
  <c r="F12" i="23"/>
  <c r="E12" i="23"/>
  <c r="D12" i="23"/>
  <c r="C12" i="23"/>
  <c r="G11" i="23"/>
  <c r="BC11" i="23"/>
  <c r="BD11" i="23"/>
  <c r="Q11" i="23"/>
  <c r="V11" i="23"/>
  <c r="W11" i="23"/>
  <c r="AD11" i="23"/>
  <c r="I11" i="23"/>
  <c r="M11" i="23"/>
  <c r="BN11" i="23"/>
  <c r="U11" i="23"/>
  <c r="AC11" i="23"/>
  <c r="L11" i="23"/>
  <c r="BM11" i="23"/>
  <c r="T11" i="23"/>
  <c r="AB11" i="23"/>
  <c r="K11" i="23"/>
  <c r="BL11" i="23"/>
  <c r="S11" i="23"/>
  <c r="AA11" i="23"/>
  <c r="J11" i="23"/>
  <c r="BK11" i="23"/>
  <c r="G10" i="23"/>
  <c r="BC10" i="23"/>
  <c r="BE11" i="23"/>
  <c r="BJ11" i="23"/>
  <c r="BI11" i="23"/>
  <c r="BH11" i="23"/>
  <c r="BG11" i="23"/>
  <c r="I10" i="23"/>
  <c r="J10" i="23"/>
  <c r="BF11" i="23"/>
  <c r="AX11" i="23"/>
  <c r="AW11" i="23"/>
  <c r="AV11" i="23"/>
  <c r="AU11" i="23"/>
  <c r="AS11" i="23"/>
  <c r="AR11" i="23"/>
  <c r="AQ11" i="23"/>
  <c r="AN11" i="23"/>
  <c r="AM11" i="23"/>
  <c r="AL11" i="23"/>
  <c r="AK11" i="23"/>
  <c r="AI11" i="23"/>
  <c r="AF11" i="23"/>
  <c r="Y11" i="23"/>
  <c r="Z11" i="23"/>
  <c r="X11" i="23"/>
  <c r="R11" i="23"/>
  <c r="P11" i="23"/>
  <c r="O11" i="23"/>
  <c r="G9" i="13"/>
  <c r="N11" i="23"/>
  <c r="F11" i="23"/>
  <c r="E11" i="23"/>
  <c r="D11" i="23"/>
  <c r="C11"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F10" i="23"/>
  <c r="Y10" i="23"/>
  <c r="Z10" i="23"/>
  <c r="X10" i="23"/>
  <c r="R10" i="23"/>
  <c r="P10" i="23"/>
  <c r="O10" i="23"/>
  <c r="N10" i="23"/>
  <c r="F10" i="23"/>
  <c r="E10" i="23"/>
  <c r="D10" i="23"/>
  <c r="C10" i="23"/>
  <c r="B5" i="23"/>
  <c r="B4" i="23"/>
  <c r="B2" i="23"/>
  <c r="B3" i="23"/>
  <c r="G9" i="23"/>
  <c r="BC9" i="23"/>
  <c r="BD9" i="23"/>
  <c r="Q9" i="23"/>
  <c r="V9" i="23"/>
  <c r="W9" i="23"/>
  <c r="AD9" i="23"/>
  <c r="I9" i="23"/>
  <c r="M9" i="23"/>
  <c r="BN9" i="23"/>
  <c r="U9" i="23"/>
  <c r="AC9" i="23"/>
  <c r="L9" i="23"/>
  <c r="BM9" i="23"/>
  <c r="T9" i="23"/>
  <c r="AB9" i="23"/>
  <c r="K9" i="23"/>
  <c r="BL9" i="23"/>
  <c r="S9" i="23"/>
  <c r="AA9" i="23"/>
  <c r="J9" i="23"/>
  <c r="BK9" i="23"/>
  <c r="G8" i="23"/>
  <c r="BC8" i="23"/>
  <c r="BE9" i="23"/>
  <c r="BJ9" i="23"/>
  <c r="BI9" i="23"/>
  <c r="BH9" i="23"/>
  <c r="BG9" i="23"/>
  <c r="I8" i="23"/>
  <c r="J8" i="23"/>
  <c r="BF9" i="23"/>
  <c r="AX9" i="23"/>
  <c r="AW9" i="23"/>
  <c r="AV9" i="23"/>
  <c r="AU9" i="23"/>
  <c r="AS9" i="23"/>
  <c r="AR9" i="23"/>
  <c r="AQ9" i="23"/>
  <c r="AN9" i="23"/>
  <c r="AM9" i="23"/>
  <c r="AL9" i="23"/>
  <c r="AK9" i="23"/>
  <c r="AI9" i="23"/>
  <c r="AF9" i="23"/>
  <c r="Y9" i="23"/>
  <c r="Z9" i="23"/>
  <c r="X9" i="23"/>
  <c r="R9" i="23"/>
  <c r="P9" i="23"/>
  <c r="O9" i="23"/>
  <c r="G3" i="13"/>
  <c r="N9" i="23"/>
  <c r="F9" i="23"/>
  <c r="E9" i="23"/>
  <c r="D9" i="23"/>
  <c r="C9"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F8" i="23"/>
  <c r="Y8" i="23"/>
  <c r="Z8" i="23"/>
  <c r="X8" i="23"/>
  <c r="R8" i="23"/>
  <c r="P8" i="23"/>
  <c r="O8" i="23"/>
  <c r="N8" i="23"/>
  <c r="F8" i="23"/>
  <c r="E8" i="23"/>
  <c r="D8" i="23"/>
  <c r="C8" i="23"/>
  <c r="G7" i="23"/>
  <c r="BC7" i="23"/>
  <c r="BD7" i="23"/>
  <c r="Q7" i="23"/>
  <c r="V7" i="23"/>
  <c r="W7" i="23"/>
  <c r="AD7" i="23"/>
  <c r="I7" i="23"/>
  <c r="M7" i="23"/>
  <c r="BN7" i="23"/>
  <c r="U7" i="23"/>
  <c r="AC7" i="23"/>
  <c r="L7" i="23"/>
  <c r="BM7" i="23"/>
  <c r="T7" i="23"/>
  <c r="AB7" i="23"/>
  <c r="K7" i="23"/>
  <c r="BL7" i="23"/>
  <c r="S7" i="23"/>
  <c r="AA7" i="23"/>
  <c r="J7" i="23"/>
  <c r="BK7" i="23"/>
  <c r="G6" i="23"/>
  <c r="BC6" i="23"/>
  <c r="BE7" i="23"/>
  <c r="BJ7" i="23"/>
  <c r="BI7" i="23"/>
  <c r="BH7" i="23"/>
  <c r="BG7" i="23"/>
  <c r="I6" i="23"/>
  <c r="J6" i="23"/>
  <c r="BF7" i="23"/>
  <c r="AX7" i="23"/>
  <c r="AW7" i="23"/>
  <c r="AV7" i="23"/>
  <c r="AU7" i="23"/>
  <c r="AS7" i="23"/>
  <c r="AR7" i="23"/>
  <c r="AQ7" i="23"/>
  <c r="AN7" i="23"/>
  <c r="AM7" i="23"/>
  <c r="AL7" i="23"/>
  <c r="AK7" i="23"/>
  <c r="AI7" i="23"/>
  <c r="AF7" i="23"/>
  <c r="Y7" i="23"/>
  <c r="Z7" i="23"/>
  <c r="X7" i="23"/>
  <c r="R7" i="23"/>
  <c r="P7" i="23"/>
  <c r="O7" i="23"/>
  <c r="G4" i="13"/>
  <c r="N7" i="23"/>
  <c r="F7" i="23"/>
  <c r="E7" i="23"/>
  <c r="D7" i="23"/>
  <c r="C7" i="23"/>
  <c r="BD6" i="23"/>
  <c r="V6" i="23"/>
  <c r="W6" i="23"/>
  <c r="AD6" i="23"/>
  <c r="M6" i="23"/>
  <c r="BN6" i="23"/>
  <c r="U6" i="23"/>
  <c r="AC6" i="23"/>
  <c r="L6" i="23"/>
  <c r="BM6" i="23"/>
  <c r="T6" i="23"/>
  <c r="AB6" i="23"/>
  <c r="K6" i="23"/>
  <c r="BL6" i="23"/>
  <c r="AA6" i="23"/>
  <c r="BK6" i="23"/>
  <c r="BE6" i="23"/>
  <c r="BJ6" i="23"/>
  <c r="BI6" i="23"/>
  <c r="BH6" i="23"/>
  <c r="BG6" i="23"/>
  <c r="BF6" i="23"/>
  <c r="AX6" i="23"/>
  <c r="AW6" i="23"/>
  <c r="AV6" i="23"/>
  <c r="AU6" i="23"/>
  <c r="AS6" i="23"/>
  <c r="AR6" i="23"/>
  <c r="AQ6" i="23"/>
  <c r="AN6" i="23"/>
  <c r="AM6" i="23"/>
  <c r="AL6" i="23"/>
  <c r="AK6" i="23"/>
  <c r="AI6" i="23"/>
  <c r="AF6" i="23"/>
  <c r="Y6" i="23"/>
  <c r="Z6" i="23"/>
  <c r="X6" i="23"/>
  <c r="R6" i="23"/>
  <c r="P6" i="23"/>
  <c r="O6" i="23"/>
  <c r="N6" i="23"/>
  <c r="F6" i="23"/>
  <c r="E6" i="23"/>
  <c r="D6" i="23"/>
  <c r="C6" i="23"/>
  <c r="U5" i="23"/>
  <c r="AC5" i="23"/>
  <c r="L5" i="23"/>
  <c r="BM5" i="23"/>
  <c r="G4" i="23"/>
  <c r="BC4" i="23"/>
  <c r="BE5" i="23"/>
  <c r="BJ5" i="23"/>
  <c r="BI5" i="23"/>
  <c r="BH5" i="23"/>
  <c r="BG5" i="23"/>
  <c r="I4" i="23"/>
  <c r="J4" i="23"/>
  <c r="BF5" i="23"/>
  <c r="AX5" i="23"/>
  <c r="AW5" i="23"/>
  <c r="AV5" i="23"/>
  <c r="AU5" i="23"/>
  <c r="AS5" i="23"/>
  <c r="AR5" i="23"/>
  <c r="AQ5" i="23"/>
  <c r="AN5" i="23"/>
  <c r="AM5" i="23"/>
  <c r="AL5" i="23"/>
  <c r="AK5" i="23"/>
  <c r="AI5" i="23"/>
  <c r="AF5" i="23"/>
  <c r="Y5" i="23"/>
  <c r="Z5" i="23"/>
  <c r="X5" i="23"/>
  <c r="R5" i="23"/>
  <c r="P5" i="23"/>
  <c r="O5" i="23"/>
  <c r="N5" i="23"/>
  <c r="F5" i="23"/>
  <c r="E5" i="23"/>
  <c r="D5" i="23"/>
  <c r="C5" i="23"/>
  <c r="BD4" i="23"/>
  <c r="V4" i="23"/>
  <c r="W4" i="23"/>
  <c r="AD4" i="23"/>
  <c r="M4" i="23"/>
  <c r="BN4" i="23"/>
  <c r="U4" i="23"/>
  <c r="AC4" i="23"/>
  <c r="L4" i="23"/>
  <c r="BM4" i="23"/>
  <c r="AB4" i="23"/>
  <c r="K4" i="23"/>
  <c r="BL4" i="23"/>
  <c r="AA4" i="23"/>
  <c r="BK4" i="23"/>
  <c r="BE4" i="23"/>
  <c r="BJ4" i="23"/>
  <c r="BI4" i="23"/>
  <c r="BH4" i="23"/>
  <c r="BG4" i="23"/>
  <c r="BF4" i="23"/>
  <c r="AX4" i="23"/>
  <c r="AW4" i="23"/>
  <c r="AV4" i="23"/>
  <c r="AU4" i="23"/>
  <c r="AS4" i="23"/>
  <c r="AR4" i="23"/>
  <c r="AQ4" i="23"/>
  <c r="AN4" i="23"/>
  <c r="AM4" i="23"/>
  <c r="AL4" i="23"/>
  <c r="AK4" i="23"/>
  <c r="AI4" i="23"/>
  <c r="AF4" i="23"/>
  <c r="Y4" i="23"/>
  <c r="Z4" i="23"/>
  <c r="X4" i="23"/>
  <c r="R4" i="23"/>
  <c r="P4" i="23"/>
  <c r="O4" i="23"/>
  <c r="N4" i="23"/>
  <c r="F4" i="23"/>
  <c r="E4" i="23"/>
  <c r="D4" i="23"/>
  <c r="C4" i="23"/>
  <c r="R3" i="23"/>
  <c r="R2" i="23"/>
  <c r="J2" i="52"/>
  <c r="AQ2" i="23"/>
  <c r="H2" i="53"/>
  <c r="J6" i="3"/>
  <c r="C6" i="3"/>
  <c r="F6" i="3"/>
  <c r="E6" i="3"/>
  <c r="D6" i="3"/>
  <c r="J4" i="3"/>
  <c r="H4" i="3"/>
  <c r="C4" i="3"/>
  <c r="F4" i="3"/>
  <c r="E4" i="3"/>
  <c r="D4" i="3"/>
  <c r="J3" i="3"/>
  <c r="H3" i="3"/>
  <c r="C3" i="3"/>
  <c r="F3" i="3"/>
  <c r="E3" i="3"/>
  <c r="D3" i="3"/>
  <c r="P3" i="58"/>
  <c r="O3" i="58"/>
  <c r="N3" i="58"/>
  <c r="M3" i="58"/>
  <c r="L3" i="58"/>
  <c r="J3" i="58"/>
  <c r="K3" i="58"/>
  <c r="I3" i="58"/>
  <c r="H3" i="58"/>
  <c r="F3" i="58"/>
  <c r="E3" i="58"/>
  <c r="D3" i="58"/>
  <c r="C3" i="58"/>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C2" i="3"/>
  <c r="F2" i="3"/>
  <c r="E2" i="3"/>
  <c r="D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7" i="54"/>
  <c r="E2" i="53"/>
  <c r="H2" i="52"/>
  <c r="E2" i="52"/>
  <c r="E10" i="49"/>
  <c r="E9" i="49"/>
  <c r="E8" i="49"/>
  <c r="E7" i="49"/>
  <c r="E11" i="49"/>
  <c r="E12" i="49"/>
  <c r="E4" i="49"/>
  <c r="E6" i="49"/>
  <c r="E2" i="49"/>
</calcChain>
</file>

<file path=xl/sharedStrings.xml><?xml version="1.0" encoding="utf-8"?>
<sst xmlns="http://schemas.openxmlformats.org/spreadsheetml/2006/main" count="1297" uniqueCount="487">
  <si>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</si>
  <si>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</si>
  <si>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</si>
  <si>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</si>
  <si>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</si>
  <si>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</si>
  <si>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</si>
  <si>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</si>
  <si>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</si>
  <si>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</si>
  <si>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</si>
  <si>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</si>
  <si>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</si>
  <si>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</si>
  <si>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</si>
  <si>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</si>
  <si>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</si>
  <si>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</si>
  <si>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</si>
  <si>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</si>
  <si>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</si>
  <si>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</si>
  <si>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</si>
  <si>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</si>
  <si>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</si>
  <si>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</si>
  <si>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</si>
  <si>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</si>
  <si>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</si>
  <si>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</si>
  <si>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</si>
  <si>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</si>
  <si>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</si>
  <si>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</si>
  <si>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</si>
  <si>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</si>
  <si>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</si>
  <si>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</si>
  <si>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</si>
  <si>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</si>
  <si>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</si>
  <si>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</si>
  <si>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</si>
  <si>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</si>
  <si>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</si>
  <si>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</si>
  <si>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</si>
  <si>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</si>
  <si>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</si>
  <si>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</si>
  <si>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</si>
  <si>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</si>
  <si>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</si>
  <si>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</si>
  <si>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</si>
  <si>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</si>
  <si>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</si>
  <si>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</si>
  <si>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</si>
  <si>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</si>
  <si>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</si>
  <si>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</si>
  <si>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</si>
  <si>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</si>
  <si>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</si>
  <si>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</si>
  <si>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</si>
  <si>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</si>
  <si>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</si>
  <si>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</si>
  <si>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</si>
  <si>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</si>
  <si>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</si>
  <si>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</si>
  <si>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</si>
  <si>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</si>
  <si>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</si>
  <si>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</si>
  <si>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</si>
  <si>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</si>
  <si>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</si>
  <si>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</si>
  <si>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</si>
  <si>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</si>
  <si>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</si>
  <si>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</si>
  <si>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</si>
  <si>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</si>
  <si>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</si>
  <si>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</si>
  <si>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</si>
  <si>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</si>
  <si>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</si>
  <si>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</si>
  <si>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</si>
  <si>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</si>
  <si>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</si>
  <si>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</si>
  <si>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</si>
  <si>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</si>
  <si>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</si>
  <si>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</si>
  <si>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</si>
  <si>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</si>
  <si>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</si>
  <si>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</si>
  <si>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</si>
  <si>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</si>
  <si>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</si>
  <si>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</si>
  <si>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</si>
  <si>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</si>
  <si>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</si>
  <si>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</si>
  <si>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</si>
  <si>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</si>
  <si>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</si>
  <si>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</si>
  <si>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</si>
  <si>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</si>
  <si>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</si>
  <si>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</si>
  <si>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</si>
  <si>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</si>
  <si>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</si>
  <si>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</si>
  <si>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</si>
  <si>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</si>
  <si>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</si>
  <si>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</si>
  <si>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</si>
  <si>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</si>
  <si>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</si>
  <si>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</si>
  <si>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</si>
  <si>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</si>
  <si>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</si>
  <si>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</si>
  <si>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</si>
  <si>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</si>
  <si>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</si>
  <si>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</si>
  <si>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</si>
  <si>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</si>
  <si>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</si>
  <si>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</si>
  <si>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</si>
  <si>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</si>
  <si>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</si>
  <si>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</si>
  <si>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</si>
  <si>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</si>
  <si>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</si>
  <si>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</si>
  <si>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</si>
  <si>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</si>
  <si>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</si>
  <si>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</si>
  <si>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</si>
  <si>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</si>
  <si>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</si>
  <si>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</si>
  <si>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</si>
  <si>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</si>
  <si>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</si>
  <si>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</si>
  <si>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</si>
  <si>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</si>
  <si>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</si>
  <si>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</si>
  <si>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</si>
  <si>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</si>
  <si>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</si>
  <si>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</si>
  <si>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</si>
  <si>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</si>
  <si>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</si>
  <si>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</si>
  <si>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</si>
  <si>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</si>
  <si>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</si>
  <si>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</si>
  <si>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</si>
  <si>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</si>
  <si>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</si>
  <si>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</si>
  <si>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</si>
  <si>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</si>
  <si>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</si>
  <si>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</si>
  <si>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</si>
  <si>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</si>
  <si>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</si>
  <si>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</si>
  <si>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</si>
  <si>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</si>
  <si>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</si>
  <si>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</si>
  <si>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</si>
  <si>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</si>
  <si>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</si>
  <si>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</si>
  <si>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</si>
  <si>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</si>
  <si>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</si>
  <si>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</si>
  <si>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</si>
  <si>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</si>
  <si>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</si>
  <si>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</si>
  <si>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</si>
  <si>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</si>
  <si>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</si>
  <si>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</si>
  <si>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</si>
  <si>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</si>
  <si>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</si>
  <si>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</si>
  <si>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</si>
  <si>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</si>
  <si>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</si>
  <si>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</si>
  <si>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</si>
  <si>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</si>
  <si>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</si>
  <si>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</si>
  <si>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</si>
  <si>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</si>
  <si>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</si>
  <si>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</si>
  <si>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</si>
  <si>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</si>
  <si>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</si>
  <si>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</si>
  <si>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</si>
  <si>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</si>
  <si>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</si>
  <si>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</si>
  <si>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</si>
  <si>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</si>
  <si>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</si>
  <si>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</si>
  <si>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</si>
  <si>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</si>
  <si>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</si>
  <si>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</si>
  <si>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</si>
  <si>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</si>
  <si>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</si>
  <si>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</si>
  <si>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</si>
  <si>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</si>
  <si>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</si>
  <si>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</si>
  <si>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</si>
  <si>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</si>
  <si>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</si>
  <si>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</si>
  <si>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</si>
  <si>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</si>
  <si>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</si>
  <si>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</si>
  <si>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</si>
  <si>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</si>
  <si>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</si>
  <si>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</si>
  <si>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</si>
  <si>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</si>
  <si>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</si>
  <si>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</si>
  <si>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</si>
  <si>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</si>
  <si>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</si>
  <si>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</si>
  <si>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</si>
  <si>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</si>
  <si>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</si>
  <si>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</si>
  <si>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</si>
  <si>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</si>
  <si>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</si>
  <si>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</si>
  <si>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</si>
  <si>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</si>
  <si>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</si>
  <si>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</si>
  <si>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</si>
  <si>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</si>
  <si>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</si>
  <si>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</si>
  <si>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</si>
  <si>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</si>
  <si>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</si>
  <si>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</si>
  <si>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</si>
  <si>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</si>
  <si>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</si>
  <si>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</si>
  <si>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</si>
  <si>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</si>
  <si>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</si>
  <si>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</si>
  <si>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</si>
  <si>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</si>
  <si>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</si>
  <si>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</si>
  <si>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</si>
  <si>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</si>
  <si>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</si>
  <si>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</si>
  <si>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</si>
  <si>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</si>
  <si>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</si>
  <si>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</si>
  <si>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</si>
  <si>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</si>
  <si>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old</t>
  </si>
  <si>
    <t>sangokushi01</t>
    <phoneticPr fontId="22"/>
  </si>
  <si>
    <t>[effect:damage_anti_tribe, target:enemy_one, tribe:human, val1:2.375, val2:1.2, animation:damage_one_red03],[effect:damage_anti_tribe, target:enemy_one, tribe:animal, val1:2.375, val2:1.2, animation:damage_one_red03]</t>
    <phoneticPr fontId="22"/>
  </si>
  <si>
    <t>[effect:damage_anti_tribe, target:enemy_one, tribe:human, val1:2.375, val2:1.2, animation:damage_one_red03],[effect:damage_anti_tribe, target:enemy_one, tribe:animal, val1:2.375, val2:1.2, animation:damage_one_red03]</t>
    <phoneticPr fontId="22"/>
  </si>
  <si>
    <t>30</t>
    <phoneticPr fontId="22"/>
  </si>
  <si>
    <t>[effect:damage_fix_pierce, target:enemy_one, color:green, val:3000]</t>
    <phoneticPr fontId="22"/>
  </si>
  <si>
    <t>[effect:damage_fix_pierce, target:enemy_one, color:green, val:6000]</t>
    <phoneticPr fontId="22"/>
  </si>
  <si>
    <t>単体に2回大ダメージ</t>
    <phoneticPr fontId="22"/>
  </si>
  <si>
    <t>単体に2回大ダメージ</t>
    <phoneticPr fontId="22"/>
  </si>
  <si>
    <t>[effect:force_change_block, new_block:crack_bomb, target:block_yellow, color:block_yellow, count:0, val:12, animation:change_block],[effect:force_change_block, new_block:crack_bomb, target:block_heart, color:block_heart, count:0, val:12, animation:change_block]</t>
    <phoneticPr fontId="22"/>
  </si>
  <si>
    <t>[effect:force_change_block, new_block:crack_bomb, target:block_yellow, color:block_yellow, count:0, val:12, animation:change_block],[effect:force_change_block, new_block:crack_bomb, target:block_heart, color:block_heart, count:0, val:12, animation:change_block]</t>
    <phoneticPr fontId="22"/>
  </si>
  <si>
    <t>[effect:damage_anti_tribe, target:enemy_one, tribe:animal, val1:2.25, val2:1.2, animation:damage_one_yellow03]</t>
    <phoneticPr fontId="22"/>
  </si>
  <si>
    <t>[effect:damage_anti_tribe, target:enemy_one, tribe:animal, val1:3.375, val2:1.5, animation:damage_one_yellow03]</t>
    <phoneticPr fontId="22"/>
  </si>
  <si>
    <t>[effect:damage_anti_tribe, target:enemy_one, tribe:samurai, val1:2.25, val2:1.5, animation:damage_one_red03]</t>
    <phoneticPr fontId="22"/>
  </si>
  <si>
    <t>[effect:damage_anti_tribe, target:enemy_one, tribe:samurai, val1:3.375, val2:1.5, animation:damage_one_red03]</t>
    <phoneticPr fontId="22"/>
  </si>
  <si>
    <t>[effect:damage, target:enemy_one, color:blue, val:2.25, animation:damage_one_blue04],[effect:heal_ratio, val:0.3, animation:heal_unit, animation:heal03_unit01]</t>
    <phoneticPr fontId="22"/>
  </si>
  <si>
    <t>[effect:damage, target:enemy_one, color:blue, val:2.25, animation:damage_one_blue04],[effect:heal_ratio, val:0.3, animation:heal_unit, animation:heal03_unit01]</t>
    <phoneticPr fontId="22"/>
  </si>
  <si>
    <t>オイラがイチバンだ！</t>
    <phoneticPr fontId="22"/>
  </si>
  <si>
    <t>kumo</t>
  </si>
  <si>
    <t>ブッちぎってやる！</t>
  </si>
  <si>
    <t>ブッちぎってやる！</t>
    <phoneticPr fontId="22"/>
  </si>
  <si>
    <t>おそすぎー！！！</t>
  </si>
  <si>
    <t>おそすぎー！！！</t>
    <phoneticPr fontId="22"/>
  </si>
  <si>
    <t>オイラの走りについてこい！</t>
    <phoneticPr fontId="22"/>
  </si>
  <si>
    <t>トップギアだー！</t>
  </si>
  <si>
    <t>おやぁ？怖いのですか？</t>
  </si>
  <si>
    <t>あぁ…いい表情だ…！！</t>
  </si>
  <si>
    <t>痛みで歪ませてあげますよ</t>
  </si>
  <si>
    <t>いい声で鳴いてください…</t>
  </si>
  <si>
    <t>いい度胸してますねぇ…？</t>
  </si>
  <si>
    <t>どうか…どうかお側に…</t>
  </si>
  <si>
    <t>さぁ…果てなさい</t>
  </si>
  <si>
    <t>あの方のために…！</t>
  </si>
  <si>
    <t>この身が朽ち果てても…！</t>
  </si>
  <si>
    <t>さーて何作ろっかなー？？</t>
  </si>
  <si>
    <t>もー！気が散っちゃうよ！</t>
  </si>
  <si>
    <t>ひーらめーいたっ！</t>
  </si>
  <si>
    <t>行けー！駆け抜けろー！</t>
  </si>
  <si>
    <t>規則違反は見逃さん！！</t>
  </si>
  <si>
    <t>僕の手で正してあげます</t>
  </si>
  <si>
    <t>静粛に！</t>
  </si>
  <si>
    <t>粛清対象のようですね</t>
  </si>
  <si>
    <t>皆！出陣だ！</t>
  </si>
  <si>
    <t>この采配にかける！</t>
  </si>
  <si>
    <t>戦の手はずは整ったよ</t>
  </si>
  <si>
    <t>計画通りだよ…！</t>
  </si>
  <si>
    <t>さて手合わせと行こうか</t>
  </si>
  <si>
    <t>まだこんなもんじゃないぞ</t>
  </si>
  <si>
    <t>ほぉ…見くびられたもんだ</t>
  </si>
  <si>
    <t>その顔…最高ですねぇ……！</t>
  </si>
  <si>
    <t>酔わせてあげますよ…？</t>
  </si>
  <si>
    <t>罪なお方ですね…</t>
  </si>
  <si>
    <t>お主の本気見せてもらおうか</t>
  </si>
  <si>
    <t>わしに本気を出させるとは…</t>
  </si>
  <si>
    <t>愚策だな…！</t>
  </si>
  <si>
    <t>勝利の一手は見えてるよ</t>
  </si>
  <si>
    <t>規律を重んじなさい！</t>
  </si>
  <si>
    <t>そこ！風紀が乱れてるぞ！</t>
  </si>
  <si>
    <t>暴兎的イグニッション</t>
  </si>
  <si>
    <t>暴兎的オーバーテイク</t>
  </si>
  <si>
    <t>狂暴性パラノイア</t>
  </si>
  <si>
    <t>狂壊性エスカレーション</t>
  </si>
  <si>
    <t>羞花閉月の型</t>
  </si>
  <si>
    <t>清歌妙舞の型</t>
  </si>
  <si>
    <t>臥竜鳳雛の構え</t>
  </si>
  <si>
    <t>絶対粛清の宣誓</t>
  </si>
  <si>
    <t>オートマチック・ロイド</t>
  </si>
  <si>
    <t>オートマチック・ロデオ</t>
  </si>
  <si>
    <t>秘技•落天雷穹</t>
  </si>
  <si>
    <t>秘技•絶界天穹</t>
  </si>
  <si>
    <t>ラビット•ターボ</t>
  </si>
  <si>
    <t>ラビット•ドリフト</t>
  </si>
  <si>
    <t>暴欲呷る狂将</t>
  </si>
  <si>
    <t>終焉導く暴墜</t>
  </si>
  <si>
    <t>禁愛的陶酔感</t>
  </si>
  <si>
    <t>五月雨の弦音</t>
  </si>
  <si>
    <t>雷氷雨の弦音</t>
  </si>
  <si>
    <t>タクティシャントラップ</t>
  </si>
  <si>
    <t>閃龍・涯角槍</t>
  </si>
  <si>
    <t>械闘☆乱磨</t>
  </si>
  <si>
    <t>黄パネルを黄ボムパネルに、ハートパネルをハートのボムパネルに変換する</t>
    <rPh sb="5" eb="6">
      <t>キイロ</t>
    </rPh>
    <phoneticPr fontId="22"/>
  </si>
  <si>
    <t>1ターン敵からダメージ30%軽減、全ユニットの攻撃力UP(青・ハート吸収で効果UP)、Cパネル生成短縮(効果特大)</t>
    <phoneticPr fontId="22"/>
  </si>
  <si>
    <t>2ターン敵からダメージ30%軽減、全ユニットの攻撃力UP(青・ハート吸収で効果UP)、Cパネル生成短縮(効果特大)</t>
    <phoneticPr fontId="22"/>
  </si>
  <si>
    <t>1ターンの間、全ユニットの攻撃力UP(ハートとお邪魔パネルをすべて吸収して効果UP)</t>
    <rPh sb="37" eb="39">
      <t>コウカ</t>
    </rPh>
    <phoneticPr fontId="22"/>
  </si>
  <si>
    <t>2ターンの間、全ユニットの攻撃力UP(ハートとお邪魔パネルをすべて吸収して効果UP)</t>
    <rPh sb="37" eb="39">
      <t>コウカ</t>
    </rPh>
    <phoneticPr fontId="22"/>
  </si>
  <si>
    <t>1体にダメージ
アニマルに効果大</t>
    <phoneticPr fontId="22"/>
  </si>
  <si>
    <t>1体に大ダメージ
アニマルに効果特大</t>
    <phoneticPr fontId="22"/>
  </si>
  <si>
    <t>giza</t>
  </si>
  <si>
    <t>1体に防御力を無視した固定威力特大ダメージ</t>
    <phoneticPr fontId="22"/>
  </si>
  <si>
    <t>絶対矯清の誓断</t>
    <phoneticPr fontId="22"/>
  </si>
  <si>
    <t>七縦七擒の構え</t>
    <phoneticPr fontId="22"/>
  </si>
  <si>
    <t>1体に大ダメージ
サムライに効果特大</t>
    <phoneticPr fontId="22"/>
  </si>
  <si>
    <t>1体に大ダメージ
サムライに効果大</t>
    <phoneticPr fontId="22"/>
  </si>
  <si>
    <t>[effect:enhance_unit, target:unit_samurai/unit_animal, turn:2, status:attack, val:0.255, calc:mul, animation:enhance_unit_all_attack03] ,[effect:enhance_unit, target:unit_samurai/unit_animal, turn:2, status:action, val:1, calc:add, animation:enhance_unit_one_action01]</t>
    <phoneticPr fontId="22"/>
  </si>
  <si>
    <t>[effect:enhance_unit, target:unit_samurai/unit_animal, turn:2, status:attack, val:0.2125, calc:mul, animation:enhance_unit_all_attack03],[effect:enhance_unit, target:unit_samurai/unit_animal, turn:2, status:action, val:1, calc:add, animation:enhance_unit_one_action01]</t>
    <phoneticPr fontId="22"/>
  </si>
  <si>
    <t>[effect:damage_gravity, target:enemy_one, val:0.1, animation:damage_gravity_one03],[effect:enhance_unit, target:unit_samurai, turn:2, status:attack, val:0.175, calc:mul, animation:enhance_unit_all_attack02],[effect:sp_boost, target:unit_samurai, val:1, animation:sp_boost_one03]</t>
    <phoneticPr fontId="22"/>
  </si>
  <si>
    <t>[effect:damage_gravity, target:enemy_one, val:0.1, animation:damage_gravity_one03],[effect:enhance_unit, target:unit_samurai, turn:2, status:attack, val:0.21, calc:mul, animation:enhance_unit_all_attack03],[effect:sp_boost, target:unit_samurai, val:1, animation:sp_boost_one03]</t>
    <phoneticPr fontId="22"/>
  </si>
  <si>
    <t>[effect:break_enchance_unit, target:unit_all, val:0.005, lowest_val:0.2, count :-1, status:attack, turn:2, block01:block_heart, block02:jammer, calc:mul, animation:enhance_unit_all_attack04]</t>
    <phoneticPr fontId="22"/>
  </si>
  <si>
    <t>ヒューマンに効果超大の単体大ダメージ
+アニマルに効果超大の単体大ダメージ</t>
    <phoneticPr fontId="22"/>
  </si>
  <si>
    <t>ヒューマンに効果超大の単体大ダメージ
+アニマルに効果超大の単体大ダメージ</t>
    <phoneticPr fontId="22"/>
  </si>
  <si>
    <t>よし！設計通り！</t>
    <phoneticPr fontId="22"/>
  </si>
  <si>
    <t>ウチの腕はピカイチだよ！</t>
    <phoneticPr fontId="22"/>
  </si>
  <si>
    <t>2ターンの間、サムライとアニマルの攻撃力を大アップし、タップ回数を1増やす</t>
    <phoneticPr fontId="22"/>
  </si>
  <si>
    <t>2ターンの間、サムライとアニマルの攻撃力を特大アップし、タップ回数を1増やす</t>
    <phoneticPr fontId="22"/>
  </si>
  <si>
    <t>時限式ダメージパネルと黄パネルをハートボムパネル変換、2ターン全ユニットの攻撃力を超大UPし、回復力特大UP</t>
    <phoneticPr fontId="22"/>
  </si>
  <si>
    <t>時限式ダメージパネルと黄パネルをハートボムパネル変換、1ターン全ユニットの攻撃力を特大UPし、回復力大UP</t>
    <phoneticPr fontId="22"/>
  </si>
  <si>
    <t>[effect:break_enchance_unit, target:unit_all, val:0.005, lowest_val:0.2, count :-1, status:attack, turn:1, block01:block_heart, block02:jammer, calc:mul, animation:enhance_unit_all_attack04]</t>
    <phoneticPr fontId="22"/>
  </si>
  <si>
    <t>[effect:force_change_block, new_block:crack_bomb, target:time_bomb, color:block_heart, count:0, val:12,  animation:change_block],[effect:force_change_block, new_block:crack_bomb, target:block_yellow, color:block_heart, count:0, val:12,  animation:change_block],[effect:enhance_unit, target:unit_all, turn:1, status:attack, val:0.21, calc:mul, animation:enhance_unit_all_attack02],[effect:enhance_unit, target:unit_all, turn:1, status:heal, val:0.315, calc:mul, animation:enhance_unit_all_heal02_unit01]</t>
    <phoneticPr fontId="22"/>
  </si>
  <si>
    <t>[effect:force_change_block, new_block:crack_bomb, target:time_bomb, color:block_heart, count:0, val:12,  animation:change_block],[effect:force_change_block, new_block:crack_bomb, target:block_yellow, color:block_heart, count:0, val:12,  animation:change_block],[effect:enhance_unit, target:unit_all, turn:2, status:attack, val:0.25, calc:mul, animation:enhance_unit_all_attack02],[effect:enhance_unit, target:unit_all, turn:2, status:heal, val:0.45, calc:mul, animation:enhance_unit_all_heal03_unit01]</t>
    <phoneticPr fontId="22"/>
  </si>
  <si>
    <t>[effect:damage_anger, target:enemy_one, color:green, val1:1.6, val2:2.0, val3:2.6, val4:3.2, val5:4.0, animation:damage_one_green05]</t>
    <phoneticPr fontId="22"/>
  </si>
  <si>
    <t>[effect:damage_anger, target:enemy_one, color:green, val1:1.6, val2:2.0, val3:2.6, val4:3.2, val5:4.0, animation:damage_one_green05]</t>
    <phoneticPr fontId="22"/>
  </si>
  <si>
    <t>1体に大ダメージ
残HPが少ないほど威力UP</t>
    <phoneticPr fontId="22"/>
  </si>
  <si>
    <t>1体に大ダメージ
残HPが少ないほど威力UP</t>
    <phoneticPr fontId="22"/>
  </si>
  <si>
    <t>[effect:force_change_block, new_block:crash, target:jammer, count:0, val:6, animation:change_block],[effect:force_change_block, new_block:block_green, target:block_yellow, count:0, val:0, animation:change_block],[effect:enhance_unit, target:myself, turn:2, status:attack, val:0.21, calc:mul, animation:enhance_unit_all_attack02]</t>
    <phoneticPr fontId="22"/>
  </si>
  <si>
    <t>1体に特大ダメージ+
HP大回復</t>
    <phoneticPr fontId="22"/>
  </si>
  <si>
    <t>1体に特大ダメージ+
HP大回復</t>
    <phoneticPr fontId="22"/>
  </si>
  <si>
    <t>1体に防御力を無視した固定威力大ダメージ</t>
    <phoneticPr fontId="22"/>
  </si>
  <si>
    <t>1</t>
    <phoneticPr fontId="22"/>
  </si>
  <si>
    <t>[effect:force_change_block, new_block:crash, target:block_heart, ignore01:time_bomb, ignore02:crash, ignore03:color_break, count:0, val:6, animation:change_block]</t>
    <phoneticPr fontId="22"/>
  </si>
  <si>
    <t>ハートパネルを全てCパネルに変換する</t>
    <phoneticPr fontId="22"/>
  </si>
  <si>
    <t>百騎繚乱•天下無双</t>
  </si>
  <si>
    <t>方天画戟</t>
    <phoneticPr fontId="22"/>
  </si>
  <si>
    <t>赤兎式•方天画戟</t>
  </si>
  <si>
    <t>力無き者は裏切るのみ！</t>
    <phoneticPr fontId="22"/>
  </si>
  <si>
    <t>これが頂点に立つ者の力だ</t>
    <phoneticPr fontId="22"/>
  </si>
  <si>
    <t>我を失望させてくれるなよ</t>
    <phoneticPr fontId="22"/>
  </si>
  <si>
    <t>共に行くぞ！赤兎馬！</t>
    <phoneticPr fontId="22"/>
  </si>
  <si>
    <t>唸れ、我が右腕！</t>
    <phoneticPr fontId="22"/>
  </si>
  <si>
    <t>我が一撃は天をも貫く！</t>
    <phoneticPr fontId="22"/>
  </si>
  <si>
    <t>giza</t>
    <phoneticPr fontId="22"/>
  </si>
  <si>
    <t>1体に大ダメージ</t>
    <phoneticPr fontId="22"/>
  </si>
  <si>
    <t>1体に特大ダメージ</t>
    <phoneticPr fontId="22"/>
  </si>
  <si>
    <t>一騎当千･国士無双</t>
    <phoneticPr fontId="22"/>
  </si>
  <si>
    <t>[effect:damage, target:enemy_one, color:green, val:2.25, animation:damage_one_green04]</t>
    <phoneticPr fontId="22"/>
  </si>
  <si>
    <t>[effect:damage, target:enemy_one, color:green, val:2, animation:damage_one_green03]</t>
    <phoneticPr fontId="22"/>
  </si>
  <si>
    <t>15</t>
    <phoneticPr fontId="22"/>
  </si>
  <si>
    <t>[effect:reduction, target:unit_all, turn:2, val:0.3, animation:reduction_one03],[effect:break_enchance_unit, target:unit_all, val:0.005, lowest_val:0.2, count :-1, status:attack, turn:2, block01:block_heart, block02:block_blue, calc:mul, animation:enhance_unit_all_attack04],[effect:crash_condition, target:unit_all, val:-4, turn:2, animation:crash_panel_reduce03]</t>
    <phoneticPr fontId="22"/>
  </si>
  <si>
    <t>[effect:reduction, target:unit_all, turn:1, val:0.3, animation:reduction_one03],[effect:break_enchance_unit, target:unit_all, val:0.005, lowest_val:0.2, count :-1, status:attack, turn:1, block01:block_heart, block02:block_blue, calc:mul, animation:enhance_unit_all_attack04],[effect:crash_condition, target:unit_all, val:-4, turn:1, animation:crash_panel_reduce03]</t>
    <phoneticPr fontId="22"/>
  </si>
  <si>
    <t>sell_ghosts</t>
    <phoneticPr fontId="22"/>
  </si>
  <si>
    <t>sell_ghosts</t>
    <phoneticPr fontId="10"/>
  </si>
  <si>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</si>
  <si>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</si>
  <si>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</si>
  <si>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</si>
  <si>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</si>
  <si>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</si>
  <si>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</si>
  <si>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</si>
  <si>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</si>
  <si>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</si>
  <si>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</si>
  <si>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</si>
  <si>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</si>
  <si>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</si>
  <si>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</si>
  <si>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</si>
  <si>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</si>
  <si>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</si>
  <si>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</si>
  <si>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</si>
  <si>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skip</t>
    <phoneticPr fontId="22"/>
  </si>
  <si>
    <t>skip</t>
    <phoneticPr fontId="22"/>
  </si>
  <si>
    <t>[effect:damage, target:enemy_one, color:yellow, val:1.35, animation:damage_one_yellow03],
[effect:damage, target:enemy_one, color:yellow, val:1.35, animation:damage_one_yellow03]</t>
    <phoneticPr fontId="22"/>
  </si>
  <si>
    <t>青を緑ボムに、ハートをCパネルに変換+3ターン自身のタップ回数を2増やし、攻撃力を特大UP+1ターンハートパネルが出現しない</t>
    <phoneticPr fontId="22"/>
  </si>
  <si>
    <t>[effect:force_change_block, new_block:crack_bomb, target:block_blue, color:green, count:0, val:12, animation:change_block],[effect:force_change_block, new_block:crash, target:block_heart, count:0, val:6, animation:change_block],[effect:enhance_unit, target:myself, turn:3, status:action, val:2, calc:add, animation:enhance_unit_one_action02],[effect:enhance_unit, target:myself, turn:3, status:attack, val:0.255, calc:mul, animation:enhance_unit_all_attack04_unit01],[effect:change_panel_ratio, turn:1, block_type:heal, val:0, animation:block_incidence04]</t>
    <phoneticPr fontId="22"/>
  </si>
  <si>
    <t>[effect:force_change_block, new_block:crash, target:jammer, count:0, val:6, animation:change_block],[effect:force_change_block, new_block:crash, target:block_green, count:0, val:6, animation:change_block],[effect:force_change_block, new_block:block_green, target:block_yellow, count:0, val:0, animation:change_block],[effect:enhance_unit, target:myself, turn:5, status:attack, val:0.25, calc:mul, animation:enhance_unit_all_attack03]</t>
    <phoneticPr fontId="22"/>
  </si>
  <si>
    <t>お邪魔・緑パネルをCパネルに、黄パネルを緑パネルに変換+5ターン自身の攻撃力を超大UP</t>
    <phoneticPr fontId="22"/>
  </si>
  <si>
    <t>お邪魔パネルをCパネルに、黄パネルを緑パネルに変換+2ターン自身の攻撃力を特大UP</t>
    <phoneticPr fontId="22"/>
  </si>
  <si>
    <t>敵1体のHPを10%減少+種族サムライのスキルターン1短縮+2ターンの間種族サムライの攻撃力を大UP</t>
    <phoneticPr fontId="22"/>
  </si>
  <si>
    <t>敵1体のHPを10%減少+種族サムライのスキルターン1短縮+2ターンの間種族サムライの攻撃力を特大UP</t>
    <phoneticPr fontId="22"/>
  </si>
  <si>
    <t>old</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</si>
</sst>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2"/>
      <color theme="1"/>
      <name val="MS PGothic"/>
      <family val="3"/>
      <charset val="128"/>
    </font>
    <font>
      <sz val="10"/>
      <color theme="1"/>
      <name val="MS PGothic"/>
      <family val="3"/>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0" borderId="4" xfId="0" applyFont="1" applyFill="1" applyBorder="1"/>
    <xf numFmtId="0" fontId="16" fillId="7" borderId="18" xfId="0" applyFont="1" applyFill="1" applyBorder="1" applyAlignment="1">
      <alignment horizontal="left" vertical="center"/>
    </xf>
    <xf numFmtId="0" fontId="13" fillId="0" borderId="4" xfId="0" applyFont="1" applyBorder="1" applyAlignment="1">
      <alignment vertical="center"/>
    </xf>
    <xf numFmtId="0" fontId="29" fillId="0" borderId="4" xfId="0" applyFont="1" applyBorder="1"/>
    <xf numFmtId="0" fontId="30" fillId="0" borderId="4" xfId="0" applyFont="1" applyBorder="1"/>
    <xf numFmtId="0" fontId="26" fillId="0" borderId="4" xfId="0" applyFont="1" applyFill="1" applyBorder="1" applyAlignment="1">
      <alignment horizontal="right" vertical="center" wrapText="1"/>
    </xf>
    <xf numFmtId="0" fontId="26" fillId="0" borderId="4" xfId="0" applyFont="1" applyFill="1" applyBorder="1" applyAlignment="1">
      <alignment horizontal="left" vertical="center" wrapText="1"/>
    </xf>
    <xf numFmtId="0" fontId="13" fillId="0" borderId="4" xfId="0" applyFont="1" applyBorder="1" applyAlignment="1">
      <alignment vertical="center" wrapText="1"/>
    </xf>
    <xf numFmtId="0" fontId="14" fillId="0" borderId="4" xfId="0" applyFont="1" applyFill="1" applyBorder="1" applyAlignment="1">
      <alignment horizontal="left" vertical="top" wrapText="1"/>
    </xf>
    <xf numFmtId="0" fontId="29" fillId="0" borderId="0" xfId="0" applyFont="1"/>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64">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16" sqref="A16"/>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5" t="s">
        <v>125</v>
      </c>
      <c r="B1" s="105" t="s">
        <v>116</v>
      </c>
      <c r="C1" s="105" t="s">
        <v>117</v>
      </c>
      <c r="D1" s="105" t="s">
        <v>118</v>
      </c>
      <c r="E1" s="105" t="s">
        <v>119</v>
      </c>
      <c r="F1" s="105" t="s">
        <v>120</v>
      </c>
      <c r="G1" s="105" t="s">
        <v>121</v>
      </c>
      <c r="H1" s="105"/>
      <c r="I1" s="105"/>
      <c r="J1" s="105"/>
      <c r="K1" s="105"/>
      <c r="L1" s="106"/>
      <c r="M1" s="106"/>
      <c r="N1" s="106"/>
      <c r="O1" s="106"/>
      <c r="P1" s="106"/>
      <c r="Q1" s="106"/>
      <c r="R1" s="106"/>
      <c r="S1" s="106"/>
      <c r="T1" s="106"/>
      <c r="U1" s="106"/>
      <c r="V1" s="106"/>
      <c r="W1" s="106"/>
    </row>
    <row r="2" spans="1:29" x14ac:dyDescent="0.15">
      <c r="A2" s="107" t="s">
        <v>316</v>
      </c>
      <c r="B2" s="107" t="s">
        <v>129</v>
      </c>
      <c r="C2" s="165" t="s">
        <v>317</v>
      </c>
      <c r="D2" s="107" t="s">
        <v>128</v>
      </c>
      <c r="E2" s="106" t="str">
        <f>B2&amp;C2&amp;D2</f>
        <v>units_sangokushi01.tmp</v>
      </c>
      <c r="F2" s="107" t="s">
        <v>124</v>
      </c>
      <c r="G2" s="61" t="s">
        <v>17</v>
      </c>
      <c r="H2" s="62" t="s">
        <v>96</v>
      </c>
      <c r="I2" s="62" t="s">
        <v>1</v>
      </c>
      <c r="J2" s="62" t="s">
        <v>3</v>
      </c>
      <c r="K2" s="62" t="s">
        <v>2</v>
      </c>
      <c r="L2" s="62" t="s">
        <v>98</v>
      </c>
      <c r="M2" s="62" t="s">
        <v>20</v>
      </c>
      <c r="N2" s="62" t="s">
        <v>103</v>
      </c>
      <c r="O2" s="62" t="s">
        <v>101</v>
      </c>
      <c r="P2" s="62" t="s">
        <v>39</v>
      </c>
      <c r="Q2" s="62" t="s">
        <v>57</v>
      </c>
      <c r="R2" s="107" t="s">
        <v>454</v>
      </c>
      <c r="S2" s="107"/>
      <c r="T2" s="107"/>
      <c r="U2" s="107"/>
      <c r="V2" s="107"/>
      <c r="W2" s="107"/>
    </row>
    <row r="3" spans="1:29" x14ac:dyDescent="0.15">
      <c r="A3" s="107" t="s">
        <v>476</v>
      </c>
      <c r="B3" s="107" t="s">
        <v>294</v>
      </c>
      <c r="C3" s="165" t="s">
        <v>317</v>
      </c>
      <c r="D3" s="107" t="s">
        <v>128</v>
      </c>
      <c r="E3" s="106" t="str">
        <f>B3&amp;C3&amp;D3</f>
        <v>fork_awake_units_sangokushi01.tmp</v>
      </c>
      <c r="F3" s="107" t="s">
        <v>295</v>
      </c>
      <c r="G3" s="61" t="s">
        <v>17</v>
      </c>
      <c r="H3" s="62" t="s">
        <v>296</v>
      </c>
      <c r="I3" s="62" t="s">
        <v>297</v>
      </c>
      <c r="J3" s="62" t="s">
        <v>298</v>
      </c>
      <c r="K3" s="110"/>
      <c r="L3" s="110"/>
      <c r="M3" s="110"/>
      <c r="N3" s="110"/>
      <c r="O3" s="110"/>
      <c r="P3" s="110"/>
      <c r="Q3" s="110"/>
      <c r="R3" s="110"/>
      <c r="S3" s="110"/>
      <c r="T3" s="110"/>
      <c r="U3" s="110"/>
      <c r="V3" s="110"/>
      <c r="W3" s="110"/>
    </row>
    <row r="4" spans="1:29" x14ac:dyDescent="0.15">
      <c r="A4" s="107" t="s">
        <v>477</v>
      </c>
      <c r="B4" s="107" t="s">
        <v>130</v>
      </c>
      <c r="C4" s="165" t="s">
        <v>317</v>
      </c>
      <c r="D4" s="107" t="s">
        <v>128</v>
      </c>
      <c r="E4" s="106" t="str">
        <f>B4&amp;C4&amp;D4</f>
        <v>awake_materials_sangokushi01.tmp</v>
      </c>
      <c r="F4" s="107" t="s">
        <v>123</v>
      </c>
      <c r="G4" s="108" t="s">
        <v>38</v>
      </c>
      <c r="H4" s="109" t="s">
        <v>36</v>
      </c>
      <c r="I4" s="109" t="s">
        <v>37</v>
      </c>
      <c r="J4" s="111" t="s">
        <v>126</v>
      </c>
      <c r="K4" s="110"/>
      <c r="L4" s="110"/>
      <c r="M4" s="110"/>
      <c r="N4" s="110"/>
      <c r="O4" s="110"/>
      <c r="P4" s="110"/>
      <c r="Q4" s="110"/>
      <c r="R4" s="110"/>
      <c r="S4" s="110"/>
      <c r="T4" s="110"/>
      <c r="U4" s="110"/>
      <c r="V4" s="110"/>
      <c r="W4" s="110"/>
    </row>
    <row r="5" spans="1:29" x14ac:dyDescent="0.15">
      <c r="A5" s="107" t="s">
        <v>477</v>
      </c>
      <c r="B5" s="107" t="s">
        <v>293</v>
      </c>
      <c r="C5" s="165" t="s">
        <v>317</v>
      </c>
      <c r="D5" s="107" t="s">
        <v>128</v>
      </c>
      <c r="E5" s="106" t="str">
        <f>B5&amp;C5&amp;D5</f>
        <v>fork_awake_materials_sangokushi01.tmp</v>
      </c>
      <c r="F5" s="107" t="s">
        <v>123</v>
      </c>
      <c r="G5" s="185" t="s">
        <v>299</v>
      </c>
      <c r="H5" s="185" t="s">
        <v>300</v>
      </c>
      <c r="I5" s="185" t="s">
        <v>36</v>
      </c>
      <c r="J5" s="185" t="s">
        <v>37</v>
      </c>
      <c r="K5" s="185" t="s">
        <v>301</v>
      </c>
      <c r="L5" s="185" t="s">
        <v>302</v>
      </c>
      <c r="M5" s="110"/>
      <c r="N5" s="110"/>
      <c r="O5" s="110"/>
      <c r="P5" s="110"/>
      <c r="Q5" s="110"/>
      <c r="R5" s="110"/>
      <c r="S5" s="110"/>
      <c r="T5" s="110"/>
      <c r="U5" s="110"/>
      <c r="V5" s="110"/>
      <c r="W5" s="110"/>
    </row>
    <row r="6" spans="1:29" x14ac:dyDescent="0.15">
      <c r="A6" s="107" t="s">
        <v>477</v>
      </c>
      <c r="B6" s="107" t="s">
        <v>131</v>
      </c>
      <c r="C6" s="165" t="s">
        <v>317</v>
      </c>
      <c r="D6" s="107" t="s">
        <v>132</v>
      </c>
      <c r="E6" s="106" t="str">
        <f t="shared" ref="E6" si="0">B6&amp;C6&amp;D6</f>
        <v>unit_levels_calc_sangokushi01.tmp</v>
      </c>
      <c r="F6" s="107" t="s">
        <v>122</v>
      </c>
      <c r="G6" s="57" t="s">
        <v>17</v>
      </c>
      <c r="H6" s="58" t="s">
        <v>2</v>
      </c>
      <c r="I6" s="59" t="s">
        <v>79</v>
      </c>
      <c r="J6" s="59" t="s">
        <v>80</v>
      </c>
      <c r="K6" s="59" t="s">
        <v>81</v>
      </c>
      <c r="L6" s="59" t="s">
        <v>82</v>
      </c>
      <c r="M6" s="59" t="s">
        <v>87</v>
      </c>
      <c r="N6" s="59" t="s">
        <v>88</v>
      </c>
      <c r="O6" s="59" t="s">
        <v>89</v>
      </c>
      <c r="P6" s="59" t="s">
        <v>90</v>
      </c>
      <c r="Q6" s="59" t="s">
        <v>91</v>
      </c>
      <c r="R6" s="59" t="s">
        <v>94</v>
      </c>
      <c r="S6" s="59" t="s">
        <v>92</v>
      </c>
      <c r="T6" s="59" t="s">
        <v>93</v>
      </c>
      <c r="U6" s="59" t="s">
        <v>83</v>
      </c>
      <c r="V6" s="59" t="s">
        <v>84</v>
      </c>
      <c r="W6" s="59" t="s">
        <v>85</v>
      </c>
    </row>
    <row r="7" spans="1:29" x14ac:dyDescent="0.15">
      <c r="A7" s="107" t="s">
        <v>316</v>
      </c>
      <c r="B7" s="107" t="s">
        <v>143</v>
      </c>
      <c r="C7" s="165" t="s">
        <v>317</v>
      </c>
      <c r="D7" s="107" t="s">
        <v>144</v>
      </c>
      <c r="E7" s="106" t="str">
        <f>B7&amp;C7&amp;D7</f>
        <v>unit_skills_data_sangokushi01.tmp</v>
      </c>
      <c r="F7" s="107" t="s">
        <v>145</v>
      </c>
      <c r="G7" s="115" t="s">
        <v>20</v>
      </c>
      <c r="H7" s="115" t="s">
        <v>146</v>
      </c>
      <c r="I7" s="115" t="s">
        <v>2</v>
      </c>
      <c r="J7" s="115" t="s">
        <v>147</v>
      </c>
      <c r="K7" s="115" t="s">
        <v>148</v>
      </c>
      <c r="L7" s="115" t="s">
        <v>4</v>
      </c>
      <c r="M7" s="59"/>
      <c r="N7" s="59"/>
      <c r="O7" s="59"/>
      <c r="P7" s="59"/>
      <c r="Q7" s="59"/>
      <c r="R7" s="59"/>
      <c r="S7" s="59"/>
      <c r="T7" s="59"/>
      <c r="U7" s="59"/>
      <c r="V7" s="59"/>
      <c r="W7" s="59"/>
    </row>
    <row r="8" spans="1:29" x14ac:dyDescent="0.15">
      <c r="A8" s="107" t="s">
        <v>316</v>
      </c>
      <c r="B8" s="107" t="s">
        <v>149</v>
      </c>
      <c r="C8" s="165" t="s">
        <v>317</v>
      </c>
      <c r="D8" s="107" t="s">
        <v>128</v>
      </c>
      <c r="E8" s="106" t="str">
        <f>B8&amp;C8&amp;D8</f>
        <v>unit_skills_i18n_sangokushi01.tmp</v>
      </c>
      <c r="F8" s="107" t="s">
        <v>145</v>
      </c>
      <c r="G8" s="115" t="s">
        <v>150</v>
      </c>
      <c r="H8" s="115" t="s">
        <v>134</v>
      </c>
      <c r="I8" s="115" t="s">
        <v>151</v>
      </c>
      <c r="J8" s="115" t="s">
        <v>152</v>
      </c>
      <c r="K8" s="110"/>
      <c r="L8" s="110"/>
      <c r="M8" s="59"/>
      <c r="N8" s="59"/>
      <c r="O8" s="59"/>
      <c r="P8" s="59"/>
      <c r="Q8" s="59"/>
      <c r="R8" s="59"/>
      <c r="S8" s="59"/>
      <c r="T8" s="59"/>
      <c r="U8" s="59"/>
      <c r="V8" s="59"/>
      <c r="W8" s="59"/>
    </row>
    <row r="9" spans="1:29" x14ac:dyDescent="0.15">
      <c r="A9" s="107" t="s">
        <v>316</v>
      </c>
      <c r="B9" s="107" t="s">
        <v>153</v>
      </c>
      <c r="C9" s="165" t="s">
        <v>317</v>
      </c>
      <c r="D9" s="107" t="s">
        <v>154</v>
      </c>
      <c r="E9" s="106" t="str">
        <f>B9&amp;C9&amp;D9</f>
        <v>crash_skills_data_sangokushi01.tmp</v>
      </c>
      <c r="F9" s="107" t="s">
        <v>155</v>
      </c>
      <c r="G9" s="115" t="s">
        <v>156</v>
      </c>
      <c r="H9" s="115" t="s">
        <v>148</v>
      </c>
      <c r="I9" s="115" t="s">
        <v>4</v>
      </c>
      <c r="J9" s="110"/>
      <c r="K9" s="110"/>
      <c r="L9" s="110"/>
      <c r="M9" s="59"/>
      <c r="N9" s="59"/>
      <c r="O9" s="59"/>
      <c r="P9" s="59"/>
      <c r="Q9" s="59"/>
      <c r="R9" s="59"/>
      <c r="S9" s="59"/>
      <c r="T9" s="59"/>
      <c r="U9" s="59"/>
      <c r="V9" s="59"/>
      <c r="W9" s="59"/>
    </row>
    <row r="10" spans="1:29" x14ac:dyDescent="0.15">
      <c r="A10" s="107" t="s">
        <v>316</v>
      </c>
      <c r="B10" s="107" t="s">
        <v>157</v>
      </c>
      <c r="C10" s="165" t="s">
        <v>317</v>
      </c>
      <c r="D10" s="107" t="s">
        <v>158</v>
      </c>
      <c r="E10" s="106" t="str">
        <f t="shared" ref="E10" si="1">B10&amp;C10&amp;D10</f>
        <v>crash_skills_i18n_sangokushi01.tmp</v>
      </c>
      <c r="F10" s="107" t="s">
        <v>155</v>
      </c>
      <c r="G10" s="115" t="s">
        <v>159</v>
      </c>
      <c r="H10" s="115" t="s">
        <v>160</v>
      </c>
      <c r="I10" s="115" t="s">
        <v>161</v>
      </c>
      <c r="J10" s="115" t="s">
        <v>162</v>
      </c>
      <c r="K10" s="116"/>
      <c r="L10" s="116"/>
      <c r="M10" s="59"/>
      <c r="N10" s="59"/>
      <c r="O10" s="59"/>
      <c r="P10" s="59"/>
      <c r="Q10" s="59"/>
      <c r="R10" s="59"/>
      <c r="S10" s="59"/>
      <c r="T10" s="59"/>
      <c r="U10" s="59"/>
      <c r="V10" s="59"/>
      <c r="W10" s="59"/>
    </row>
    <row r="11" spans="1:29" x14ac:dyDescent="0.15">
      <c r="A11" s="107" t="s">
        <v>477</v>
      </c>
      <c r="B11" s="110" t="s">
        <v>135</v>
      </c>
      <c r="C11" s="165" t="s">
        <v>317</v>
      </c>
      <c r="D11" s="107" t="s">
        <v>158</v>
      </c>
      <c r="E11" s="106" t="str">
        <f t="shared" ref="E11:E12" si="2">B11&amp;C11&amp;D11</f>
        <v>unit_serifs_data_sangokushi01.tmp</v>
      </c>
      <c r="F11" s="110" t="s">
        <v>137</v>
      </c>
      <c r="G11" s="114" t="s">
        <v>138</v>
      </c>
      <c r="H11" s="115" t="s">
        <v>139</v>
      </c>
      <c r="I11" s="115" t="s">
        <v>133</v>
      </c>
      <c r="J11" s="113" t="s">
        <v>190</v>
      </c>
      <c r="K11" s="107"/>
      <c r="L11" s="107"/>
      <c r="M11" s="107"/>
      <c r="N11" s="107"/>
      <c r="O11" s="107"/>
      <c r="P11" s="107"/>
      <c r="Q11" s="107"/>
      <c r="R11" s="107"/>
      <c r="S11" s="107"/>
      <c r="T11" s="107"/>
      <c r="U11" s="107"/>
      <c r="V11" s="107"/>
      <c r="W11" s="107"/>
    </row>
    <row r="12" spans="1:29" x14ac:dyDescent="0.15">
      <c r="A12" s="107" t="s">
        <v>477</v>
      </c>
      <c r="B12" s="110" t="s">
        <v>136</v>
      </c>
      <c r="C12" s="165" t="s">
        <v>317</v>
      </c>
      <c r="D12" s="107" t="s">
        <v>158</v>
      </c>
      <c r="E12" s="106" t="str">
        <f t="shared" si="2"/>
        <v>unit_serifs_i18n_sangokushi01.tmp</v>
      </c>
      <c r="F12" s="110" t="s">
        <v>137</v>
      </c>
      <c r="G12" s="114" t="s">
        <v>140</v>
      </c>
      <c r="H12" s="115" t="s">
        <v>141</v>
      </c>
      <c r="I12" s="115" t="s">
        <v>142</v>
      </c>
      <c r="J12" s="107"/>
      <c r="K12" s="107"/>
      <c r="L12" s="107"/>
      <c r="M12" s="107"/>
      <c r="N12" s="107"/>
      <c r="O12" s="107"/>
      <c r="P12" s="107"/>
      <c r="Q12" s="107"/>
      <c r="R12" s="107"/>
      <c r="S12" s="107"/>
      <c r="T12" s="107"/>
      <c r="U12" s="107"/>
      <c r="V12" s="107"/>
      <c r="W12" s="107"/>
    </row>
    <row r="13" spans="1:29" x14ac:dyDescent="0.15">
      <c r="A13" s="107" t="s">
        <v>477</v>
      </c>
      <c r="B13" s="107" t="s">
        <v>253</v>
      </c>
      <c r="C13" s="165" t="s">
        <v>317</v>
      </c>
      <c r="D13" s="107" t="s">
        <v>254</v>
      </c>
      <c r="E13" s="106" t="str">
        <f>B13&amp;C13&amp;D13</f>
        <v>abilities_sangokushi01.tmp</v>
      </c>
      <c r="F13" s="107" t="s">
        <v>255</v>
      </c>
      <c r="G13" s="166" t="s">
        <v>256</v>
      </c>
      <c r="H13" s="166" t="s">
        <v>257</v>
      </c>
      <c r="I13" s="166" t="s">
        <v>258</v>
      </c>
      <c r="J13" s="166"/>
      <c r="K13" s="167"/>
      <c r="L13" s="107"/>
      <c r="M13" s="107"/>
      <c r="N13" s="107"/>
      <c r="O13" s="107"/>
      <c r="P13" s="107"/>
      <c r="Q13" s="107"/>
      <c r="R13" s="107"/>
      <c r="S13" s="107"/>
      <c r="T13" s="107"/>
      <c r="U13" s="107"/>
      <c r="V13" s="107"/>
      <c r="W13" s="107"/>
      <c r="X13" s="107"/>
      <c r="Y13" s="107"/>
      <c r="Z13" s="107"/>
      <c r="AA13" s="107"/>
      <c r="AB13" s="107"/>
      <c r="AC13" s="107"/>
    </row>
    <row r="14" spans="1:29" x14ac:dyDescent="0.15">
      <c r="A14" s="107" t="s">
        <v>477</v>
      </c>
      <c r="B14" s="107" t="s">
        <v>316</v>
      </c>
      <c r="C14" s="165" t="s">
        <v>317</v>
      </c>
      <c r="D14" s="107" t="s">
        <v>128</v>
      </c>
      <c r="E14" s="106" t="str">
        <f>B14&amp;C14&amp;D14</f>
        <v>oldsangokushi01.tmp</v>
      </c>
      <c r="F14" s="107" t="s">
        <v>259</v>
      </c>
      <c r="G14" s="166" t="s">
        <v>256</v>
      </c>
      <c r="H14" s="166" t="s">
        <v>141</v>
      </c>
      <c r="I14" s="166" t="s">
        <v>260</v>
      </c>
      <c r="J14" s="166" t="s">
        <v>152</v>
      </c>
      <c r="K14" s="167"/>
      <c r="L14" s="107"/>
      <c r="M14" s="107"/>
      <c r="N14" s="107"/>
      <c r="O14" s="107"/>
      <c r="P14" s="107"/>
      <c r="Q14" s="107"/>
      <c r="R14" s="107"/>
      <c r="S14" s="107"/>
      <c r="T14" s="107"/>
      <c r="U14" s="107"/>
      <c r="V14" s="107"/>
      <c r="W14" s="107"/>
      <c r="X14" s="107"/>
      <c r="Y14" s="107"/>
      <c r="Z14" s="107"/>
      <c r="AA14" s="107"/>
      <c r="AB14" s="107"/>
      <c r="AC14" s="107"/>
    </row>
    <row r="15" spans="1:29" x14ac:dyDescent="0.15">
      <c r="A15" s="107" t="s">
        <v>486</v>
      </c>
      <c r="B15" s="107" t="s">
        <v>261</v>
      </c>
      <c r="C15" s="165" t="s">
        <v>317</v>
      </c>
      <c r="D15" s="107" t="s">
        <v>128</v>
      </c>
      <c r="E15" s="106" t="str">
        <f>B15&amp;C15&amp;D15</f>
        <v>unit_abilities_sangokushi01.tmp</v>
      </c>
      <c r="F15" s="107" t="s">
        <v>262</v>
      </c>
      <c r="G15" s="166" t="s">
        <v>138</v>
      </c>
      <c r="H15" s="168" t="s">
        <v>263</v>
      </c>
      <c r="I15" s="168" t="s">
        <v>264</v>
      </c>
      <c r="J15" s="169" t="s">
        <v>265</v>
      </c>
      <c r="K15" s="166" t="s">
        <v>266</v>
      </c>
      <c r="L15" s="107"/>
      <c r="M15" s="107"/>
      <c r="N15" s="107"/>
      <c r="O15" s="107"/>
      <c r="P15" s="107"/>
      <c r="Q15" s="107"/>
      <c r="R15" s="107"/>
      <c r="S15" s="107"/>
      <c r="T15" s="107"/>
      <c r="U15" s="107"/>
      <c r="V15" s="107"/>
      <c r="W15" s="107"/>
      <c r="X15" s="107"/>
      <c r="Y15" s="107"/>
      <c r="Z15" s="107"/>
      <c r="AA15" s="107"/>
      <c r="AB15" s="107"/>
      <c r="AC15" s="107"/>
    </row>
  </sheetData>
  <phoneticPr fontId="22"/>
  <dataValidations count="1">
    <dataValidation type="list" allowBlank="1" showInputMessage="1" showErrorMessage="1" sqref="A14:B14 A15 A2:A13">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workbookViewId="0">
      <pane xSplit="9" ySplit="1" topLeftCell="AC2" activePane="bottomRight" state="frozen"/>
      <selection pane="topRight" activeCell="J1" sqref="J1"/>
      <selection pane="bottomLeft" activeCell="A3" sqref="A3"/>
      <selection pane="bottomRight" activeCell="BN7" sqref="BN7"/>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4"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79" t="s">
        <v>108</v>
      </c>
      <c r="B1" s="81" t="s">
        <v>44</v>
      </c>
      <c r="C1" s="84" t="s">
        <v>27</v>
      </c>
      <c r="D1" s="84" t="s">
        <v>30</v>
      </c>
      <c r="E1" s="84" t="s">
        <v>28</v>
      </c>
      <c r="F1" s="84" t="s">
        <v>29</v>
      </c>
      <c r="G1" s="79" t="s">
        <v>1</v>
      </c>
      <c r="H1" s="82" t="s">
        <v>19</v>
      </c>
      <c r="I1" s="83" t="s">
        <v>0</v>
      </c>
      <c r="J1" s="85" t="s">
        <v>49</v>
      </c>
      <c r="K1" s="85" t="s">
        <v>48</v>
      </c>
      <c r="L1" s="85" t="s">
        <v>50</v>
      </c>
      <c r="M1" s="85" t="s">
        <v>51</v>
      </c>
      <c r="N1" s="79" t="s">
        <v>3</v>
      </c>
      <c r="O1" s="86" t="s">
        <v>2</v>
      </c>
      <c r="P1" s="79" t="s">
        <v>97</v>
      </c>
      <c r="Q1" s="87" t="s">
        <v>18</v>
      </c>
      <c r="R1" s="78" t="s">
        <v>52</v>
      </c>
      <c r="S1" s="88" t="s">
        <v>23</v>
      </c>
      <c r="T1" s="88" t="s">
        <v>24</v>
      </c>
      <c r="U1" s="88" t="s">
        <v>26</v>
      </c>
      <c r="V1" s="88" t="s">
        <v>25</v>
      </c>
      <c r="W1" s="83" t="s">
        <v>32</v>
      </c>
      <c r="X1" s="84" t="s">
        <v>53</v>
      </c>
      <c r="Y1" s="83" t="s">
        <v>33</v>
      </c>
      <c r="Z1" s="84" t="s">
        <v>53</v>
      </c>
      <c r="AA1" s="85" t="s">
        <v>23</v>
      </c>
      <c r="AB1" s="85" t="s">
        <v>24</v>
      </c>
      <c r="AC1" s="85" t="s">
        <v>26</v>
      </c>
      <c r="AD1" s="85" t="s">
        <v>25</v>
      </c>
      <c r="AE1" s="89" t="s">
        <v>100</v>
      </c>
      <c r="AF1" s="78" t="s">
        <v>45</v>
      </c>
      <c r="AG1" s="90" t="s">
        <v>58</v>
      </c>
      <c r="AH1" s="78" t="s">
        <v>45</v>
      </c>
      <c r="AI1" s="90" t="s">
        <v>46</v>
      </c>
      <c r="AJ1" s="80" t="s">
        <v>67</v>
      </c>
      <c r="AK1" s="78" t="s">
        <v>21</v>
      </c>
      <c r="AL1" s="91" t="s">
        <v>68</v>
      </c>
      <c r="AM1" s="92" t="s">
        <v>66</v>
      </c>
      <c r="AN1" s="92" t="s">
        <v>69</v>
      </c>
      <c r="AO1" s="93" t="s">
        <v>31</v>
      </c>
      <c r="AP1" s="89" t="s">
        <v>20</v>
      </c>
      <c r="AQ1" s="94" t="s">
        <v>113</v>
      </c>
      <c r="AR1" s="94" t="s">
        <v>107</v>
      </c>
      <c r="AS1" s="78" t="s">
        <v>104</v>
      </c>
      <c r="AT1" s="89" t="s">
        <v>102</v>
      </c>
      <c r="AU1" s="78" t="s">
        <v>110</v>
      </c>
      <c r="AV1" s="94" t="s">
        <v>107</v>
      </c>
      <c r="AW1" s="78" t="s">
        <v>104</v>
      </c>
      <c r="AX1" s="84" t="s">
        <v>4</v>
      </c>
      <c r="AY1" s="95" t="s">
        <v>54</v>
      </c>
      <c r="AZ1" s="95" t="s">
        <v>55</v>
      </c>
      <c r="BA1" s="95" t="s">
        <v>114</v>
      </c>
      <c r="BB1" s="95" t="s">
        <v>56</v>
      </c>
      <c r="BC1" s="5" t="s">
        <v>22</v>
      </c>
      <c r="BD1" s="98" t="s">
        <v>34</v>
      </c>
      <c r="BE1" s="96" t="s">
        <v>5</v>
      </c>
      <c r="BF1" s="97" t="s">
        <v>6</v>
      </c>
      <c r="BG1" s="99" t="s">
        <v>70</v>
      </c>
      <c r="BH1" s="99" t="s">
        <v>71</v>
      </c>
      <c r="BI1" s="99" t="s">
        <v>72</v>
      </c>
      <c r="BJ1" s="99" t="s">
        <v>73</v>
      </c>
      <c r="BK1" s="100" t="s">
        <v>74</v>
      </c>
      <c r="BL1" s="100" t="s">
        <v>95</v>
      </c>
      <c r="BM1" s="100" t="s">
        <v>75</v>
      </c>
      <c r="BN1" s="100" t="s">
        <v>76</v>
      </c>
      <c r="BO1" s="101" t="s">
        <v>77</v>
      </c>
      <c r="BP1" s="102" t="s">
        <v>78</v>
      </c>
      <c r="BQ1" s="80" t="s">
        <v>86</v>
      </c>
      <c r="BR1" s="10" t="s">
        <v>455</v>
      </c>
    </row>
    <row r="2" spans="1:70" ht="26" customHeight="1" x14ac:dyDescent="0.15">
      <c r="A2" s="12">
        <v>1129</v>
      </c>
      <c r="B2" s="55" t="str">
        <f ca="1">VLOOKUP($A2,OFFSET([1]characters!$A$1,0,0,COUNTA([1]characters!$A:$A),MATCH(B$1,[1]characters!$1:$1,0)-MATCH($A$1,[1]characters!$1:$1,0)+1),MATCH(B$1,[1]characters!$1:$1,0)-MATCH($A$1,[1]characters!$1:$1,0)+1,FALSE)</f>
        <v>赤兎馬</v>
      </c>
      <c r="C2" s="55" t="str">
        <f ca="1">VLOOKUP($A2,OFFSET([1]characters!$A$1,0,0,COUNTA([1]characters!$A:$A),MATCH(C$1,[1]characters!$1:$1,0)-MATCH($A$1,[1]characters!$1:$1,0)+1),MATCH(C$1,[1]characters!$1:$1,0)-MATCH($A$1,[1]characters!$1:$1,0)+1,FALSE)</f>
        <v>未定</v>
      </c>
      <c r="D2" s="55" t="str">
        <f ca="1">VLOOKUP($A2,OFFSET([1]characters!$A$1,0,0,COUNTA([1]characters!$A:$A),MATCH(D$1,[1]characters!$1:$1,0)-MATCH($A$1,[1]characters!$1:$1,0)+1),MATCH(D$1,[1]characters!$1:$1,0)-MATCH($A$1,[1]characters!$1:$1,0)+1,FALSE)</f>
        <v>アリス</v>
      </c>
      <c r="E2" s="55" t="str">
        <f ca="1">VLOOKUP($A2,OFFSET([1]characters!$A$1,0,0,COUNTA([1]characters!$A:$A),MATCH(E$1,[1]characters!$1:$1,0)-MATCH($A$1,[1]characters!$1:$1,0)+1),MATCH(E$1,[1]characters!$1:$1,0)-MATCH($A$1,[1]characters!$1:$1,0)+1,FALSE)</f>
        <v>世界観</v>
      </c>
      <c r="F2" s="55" t="str">
        <f ca="1">VLOOKUP($A2,OFFSET([1]characters!$A$1,0,0,COUNTA([1]characters!$A:$A),MATCH(F$1,[1]characters!$1:$1,0)-MATCH($A$1,[1]characters!$1:$1,0)+1),MATCH(F$1,[1]characters!$1:$1,0)-MATCH($A$1,[1]characters!$1:$1,0)+1,FALSE)</f>
        <v>不明</v>
      </c>
      <c r="G2" s="55">
        <f ca="1">VLOOKUP($A2,OFFSET([1]characters!$A$1,0,0,COUNTA([1]characters!$A:$A),MATCH(G$1,[1]characters!$1:$1,0)-MATCH($A$1,[1]characters!$1:$1,0)+1),MATCH(G$1,[1]characters!$1:$1,0)-MATCH($A$1,[1]characters!$1:$1,0)+1,FALSE)</f>
        <v>4</v>
      </c>
      <c r="H2" s="55" t="str">
        <f ca="1">VLOOKUP($A2,OFFSET([1]characters!$A$1,0,0,COUNTA([1]characters!$A:$A),MATCH(H$1,[1]characters!$1:$1,0)-MATCH($A$1,[1]characters!$1:$1,0)+1),MATCH(H$1,[1]characters!$1:$1,0)-MATCH($A$1,[1]characters!$1:$1,0)+1,FALSE)</f>
        <v>Drop2N</v>
      </c>
      <c r="I2" s="55"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17</v>
      </c>
      <c r="O2" s="11">
        <f ca="1">INDEX(レベル!$A$1:$I$22,MATCH(H2,レベル!$A$1:$A$22,FALSE),MATCH(G2,レベル!$A$1:$I$1,FALSE))</f>
        <v>60</v>
      </c>
      <c r="P2" s="46">
        <f t="shared" ref="P2:P17" ca="1" si="0">IF(G2 &gt;= 6, 99,G2*15)</f>
        <v>60</v>
      </c>
      <c r="Q2" s="55" t="str">
        <f ca="1">VLOOKUP($A2,OFFSET([1]characters!$A$1,0,0,COUNTA([1]characters!$A:$A),MATCH(Q$1,[1]characters!$1:$1,0)-MATCH($A$1,[1]characters!$1:$1,0)+1),MATCH(Q$1,[1]characters!$1:$1,0)-MATCH($A$1,[1]characters!$1:$1,0)+1,FALSE)</f>
        <v>attack</v>
      </c>
      <c r="R2" s="5" t="str">
        <f ca="1">VLOOKUP(Q2,[1]character_type_i18n!$A:$H,3,FALSE)</f>
        <v>攻撃タイプ</v>
      </c>
      <c r="S2" s="11">
        <f ca="1">VLOOKUP(Q2,[1]character_type_i18n!$A:$H,4,FALSE)</f>
        <v>1</v>
      </c>
      <c r="T2" s="11">
        <f ca="1">VLOOKUP(Q2,[1]character_type_i18n!$A:$H,5,FALSE)</f>
        <v>1.33</v>
      </c>
      <c r="U2" s="11">
        <f ca="1">VLOOKUP(Q2,[1]character_type_i18n!$A:$H,6,FALSE)</f>
        <v>1</v>
      </c>
      <c r="V2" s="11">
        <f ca="1">VLOOKUP(Q2,[1]character_type_i18n!$A:$H,7,FALSE)</f>
        <v>0.67</v>
      </c>
      <c r="W2" s="55" t="str">
        <f ca="1">VLOOKUP($A2,OFFSET([1]characters!$A$1,0,0,COUNTA([1]characters!$A:$A),MATCH(W$1,[1]characters!$1:$1,0)-MATCH($A$1,[1]characters!$1:$1,0)+1),MATCH(W$1,[1]characters!$1:$1,0)-MATCH($A$1,[1]characters!$1:$1,0)+1,FALSE)</f>
        <v>animal</v>
      </c>
      <c r="X2" s="5" t="str">
        <f ca="1">VLOOKUP(W2,[1]character_tribe_i18n!$A:$H,3,FALSE)</f>
        <v>アニマル</v>
      </c>
      <c r="Y2" s="55"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1</v>
      </c>
      <c r="AB2" s="11">
        <f ca="1">VLOOKUP(W2,[1]character_tribe_i18n!$A:$H,5,FALSE)</f>
        <v>1.1000000000000001</v>
      </c>
      <c r="AC2" s="11">
        <f ca="1">VLOOKUP(W2,[1]character_tribe_i18n!$A:$H,6,FALSE)</f>
        <v>1</v>
      </c>
      <c r="AD2" s="11">
        <f ca="1">VLOOKUP(W2,[1]character_tribe_i18n!$A:$H,7,FALSE)</f>
        <v>0.9</v>
      </c>
      <c r="AE2" s="9">
        <v>1130</v>
      </c>
      <c r="AF2" s="60" t="str">
        <f ca="1">IF(AE2="NULL","",VLOOKUP($AE2,OFFSET([1]characters!$A$1,0,0,COUNTA([1]characters!$A:$A),MATCH(AF$1,[1]characters!$1:$1,0)-MATCH($A$1,[1]characters!$1:$1,0)+1),MATCH(AF$1,[1]characters!$1:$1,0)-MATCH($A$1,[1]characters!$1:$1,0)+1,FALSE))</f>
        <v>紅鋼の疾躁獣 赤兎馬</v>
      </c>
      <c r="AG2" s="5">
        <v>1129</v>
      </c>
      <c r="AH2" s="60" t="str">
        <f ca="1">VLOOKUP($AG2,OFFSET([1]characters!$A$1,0,0,COUNTA([1]characters!$A:$A),MATCH(AH$1,[1]characters!$1:$1,0)-MATCH($A$1,[1]characters!$1:$1,0)+1),MATCH(AH$1,[1]characters!$1:$1,0)-MATCH($A$1,[1]characters!$1:$1,0)+1,FALSE)</f>
        <v>赤兎馬</v>
      </c>
      <c r="AI2" s="11">
        <f ca="1">IF(AE2="NULL","NULL",VLOOKUP(G2,ビット!$A$2:$B$7,2))</f>
        <v>50000</v>
      </c>
      <c r="AJ2" s="6">
        <v>2</v>
      </c>
      <c r="AK2" s="7" t="str">
        <f t="shared" ref="AK2" si="1">IF(AJ2=1,"早熟",IF(AJ2=2,"普通",IF(AJ2=3,"晩成","")))</f>
        <v>普通</v>
      </c>
      <c r="AL2" s="11" t="str">
        <f ca="1">INDEX(経験値!$A$1:$I$21,MATCH(H2,経験値!$A$1:$A$21,FALSE),MATCH(G2,経験値!$A$1:$I$1,FALSE))</f>
        <v>required_exp_200</v>
      </c>
      <c r="AM2" s="8">
        <f ca="1">VLOOKUP(G2,経験値!$A$28:$B$32,2)</f>
        <v>3400</v>
      </c>
      <c r="AN2" s="17">
        <f ca="1">VLOOKUP(G2,ビット!$G$2:$H$7,2)</f>
        <v>600</v>
      </c>
      <c r="AO2" s="43"/>
      <c r="AP2" s="65">
        <v>1129</v>
      </c>
      <c r="AQ2" s="55" t="str">
        <f ca="1">VLOOKUP($AP2,OFFSET(unit_skills!$A$1,0,0,COUNTA(unit_skills!$A:$A),MATCH(AQ$1,unit_skills!$1:$1,0)-MATCH($AP$1,unit_skills!$1:$1,0)+1),MATCH(AQ$1,unit_skills!$1:$1,0)-MATCH($AP$1,unit_skills!$1:$1,0)+1,FALSE)</f>
        <v>暴兎的イグニッション</v>
      </c>
      <c r="AR2" s="55" t="str">
        <f ca="1">VLOOKUP($AP2,OFFSET(unit_skills!$A$1,0,0,COUNTA(unit_skills!$A:$A),MATCH(AR$1,unit_skills!$1:$1,0)-MATCH($AP$1,unit_skills!$1:$1,0)+1),MATCH(AR$1,unit_skills!$1:$1,0)-MATCH($AP$1,unit_skills!$1:$1,0)+1,FALSE)</f>
        <v>2ターンの間、サムライとアニマルの攻撃力を大アップし、タップ回数を1増やす</v>
      </c>
      <c r="AS2" s="55">
        <f ca="1">VLOOKUP($AP2,OFFSET(unit_skills!$A$1,0,0,COUNTA(unit_skills!$A:$A),MATCH(AS$1,unit_skills!$1:$1,0)-MATCH($AP$1,unit_skills!$1:$1,0)+1),MATCH(AS$1,unit_skills!$1:$1,0)-MATCH($AP$1,unit_skills!$1:$1,0)+1,FALSE)</f>
        <v>0</v>
      </c>
      <c r="AT2" s="40">
        <v>1129</v>
      </c>
      <c r="AU2" s="55" t="str">
        <f ca="1">VLOOKUP($AT2,OFFSET(crash_skills!$A$1,0,0,COUNTA(crash_skills!$A:$A),MATCH(AU$1,crash_skills!$1:$1,0)-MATCH($AT$1,crash_skills!$1:$1,0)+1),MATCH(AU$1,crash_skills!$1:$1,0)-MATCH($AT$1,crash_skills!$1:$1,0)+1,FALSE)</f>
        <v>ラビット•ターボ</v>
      </c>
      <c r="AV2" s="55" t="str">
        <f ca="1">VLOOKUP($AT2,OFFSET(crash_skills!$A$1,0,0,COUNTA(crash_skills!$A:$A),MATCH(AV$1,crash_skills!$1:$1,0)-MATCH($AT$1,crash_skills!$1:$1,0)+1),MATCH(AV$1,crash_skills!$1:$1,0)-MATCH($AT$1,crash_skills!$1:$1,0)+1,FALSE)</f>
        <v>1体に大ダメージ_x000D_サムライに効果大</v>
      </c>
      <c r="AW2" s="55">
        <f ca="1">VLOOKUP($AT2,OFFSET(crash_skills!$A$1,0,0,COUNTA(crash_skills!$A:$A),MATCH(AW$1,crash_skills!$1:$1,0)-MATCH($AT$1,crash_skills!$1:$1,0)+1),MATCH(AW$1,crash_skills!$1:$1,0)-MATCH($AT$1,crash_skills!$1:$1,0)+1,FALSE)</f>
        <v>0</v>
      </c>
      <c r="AX2" s="56">
        <f ca="1">VLOOKUP($A2,OFFSET([1]characters!$A$1,0,0,COUNTA([1]characters!$A:$A),MATCH(AX$1,[1]characters!$1:$1,0)-MATCH($A$1,[1]characters!$1:$1,0)+1),MATCH(AX$1,[1]characters!$1:$1,0)-MATCH($A$1,[1]characters!$1:$1,0)+1,FALSE)</f>
        <v>3</v>
      </c>
      <c r="AY2" s="66">
        <v>1.2</v>
      </c>
      <c r="AZ2" s="66">
        <v>1.2</v>
      </c>
      <c r="BA2" s="66">
        <v>0</v>
      </c>
      <c r="BB2" s="66">
        <v>0.9</v>
      </c>
      <c r="BC2" s="11">
        <f ca="1">INDEX('RC6SV'!$A$1:$G$21,MATCH(H2,'RC6SV'!$A$1:$A$21,FALSE),MATCH(G2,'RC6SV'!$A$1:$G$1,FALSE))</f>
        <v>5800</v>
      </c>
      <c r="BD2" s="46">
        <f t="shared" ref="BD2" ca="1" si="2">ROUND(BC2*IF(AJ2=1,0.95,IF(AJ2=2,1,IF(AJ2,1.05,0))),0)</f>
        <v>5800</v>
      </c>
      <c r="BE2" s="11">
        <f t="shared" ref="BE2:BE17" ca="1" si="3">ROUND(IFERROR(INDIRECT(ADDRESS(MATCH($A2,$AE:$AE,0),MATCH($BC$1,$1:$1,0))),0),0)</f>
        <v>0</v>
      </c>
      <c r="BF2" s="11">
        <f t="shared" ref="BF2:BF17" ca="1" si="4">ROUND(IFERROR(INDIRECT(ADDRESS(MATCH($A2,$AE:$AE,0),10)),INDIRECT(ADDRESS(MATCH($A2,$A:$A,0),10))),0)</f>
        <v>1</v>
      </c>
      <c r="BG2" s="16">
        <f ca="1">IF($BE2&lt;=0,ROUND(BK2*0.5,0), ROUND($BE2*S2*AA2*J2*AY2*0.8*[1]ステータス!$B$2,0))</f>
        <v>1740</v>
      </c>
      <c r="BH2" s="16">
        <f ca="1">IF($BE2&lt;=0,ROUND(BL2*0.5,0), ROUND($BE2*T2*AB2*K2*AZ2*0.8*[1]ステータス!$C$2,0))</f>
        <v>1558</v>
      </c>
      <c r="BI2" s="16">
        <f ca="1">IF($BE2&lt;=0,ROUND(BM2*0.5,0), ROUND($BE2*U2*AC2*L2*BA2*0.8*[1]ステータス!$D$2,0))</f>
        <v>0</v>
      </c>
      <c r="BJ2" s="16">
        <f ca="1">IF($BE2&lt;=0,ROUND(BN2*0.5,0), ROUND($BE2*V2*AD2*M2*BB2*0.8*[1]ステータス!$E$2,0))</f>
        <v>386</v>
      </c>
      <c r="BK2" s="11">
        <f ca="1">ROUND(BD2*S2*AA2*J2*AY2*[1]ステータス!$B$2,0)</f>
        <v>3480</v>
      </c>
      <c r="BL2" s="11">
        <f ca="1">ROUND(BD2*T2*AB2*K2*AZ2*[1]ステータス!$C$2,0)</f>
        <v>3116</v>
      </c>
      <c r="BM2" s="11">
        <f ca="1">ROUND(BD2*U2*AC2*L2*BA2*[1]ステータス!$D$2,0)</f>
        <v>0</v>
      </c>
      <c r="BN2" s="11">
        <f ca="1">ROUND(BD2*V2*AD2*M2*BB2*[1]ステータス!$E$2,0)</f>
        <v>771</v>
      </c>
      <c r="BO2" s="10">
        <v>0</v>
      </c>
      <c r="BP2" s="10">
        <v>1</v>
      </c>
      <c r="BQ2" s="10" t="s">
        <v>47</v>
      </c>
      <c r="BR2" s="10">
        <f ca="1">VLOOKUP(H2,ghosts_label!$A$2:$B$19,2,FALSE)</f>
        <v>1</v>
      </c>
    </row>
    <row r="3" spans="1:70" ht="26" customHeight="1" x14ac:dyDescent="0.15">
      <c r="A3" s="12">
        <v>1130</v>
      </c>
      <c r="B3" s="55" t="str">
        <f ca="1">VLOOKUP($A3,OFFSET([1]characters!$A$1,0,0,COUNTA([1]characters!$A:$A),MATCH(B$1,[1]characters!$1:$1,0)-MATCH($A$1,[1]characters!$1:$1,0)+1),MATCH(B$1,[1]characters!$1:$1,0)-MATCH($A$1,[1]characters!$1:$1,0)+1,FALSE)</f>
        <v>紅鋼の疾躁獣 赤兎馬</v>
      </c>
      <c r="C3" s="55" t="str">
        <f ca="1">VLOOKUP($A3,OFFSET([1]characters!$A$1,0,0,COUNTA([1]characters!$A:$A),MATCH(C$1,[1]characters!$1:$1,0)-MATCH($A$1,[1]characters!$1:$1,0)+1),MATCH(C$1,[1]characters!$1:$1,0)-MATCH($A$1,[1]characters!$1:$1,0)+1,FALSE)</f>
        <v>未定</v>
      </c>
      <c r="D3" s="55" t="str">
        <f ca="1">VLOOKUP($A3,OFFSET([1]characters!$A$1,0,0,COUNTA([1]characters!$A:$A),MATCH(D$1,[1]characters!$1:$1,0)-MATCH($A$1,[1]characters!$1:$1,0)+1),MATCH(D$1,[1]characters!$1:$1,0)-MATCH($A$1,[1]characters!$1:$1,0)+1,FALSE)</f>
        <v>アリス</v>
      </c>
      <c r="E3" s="55" t="str">
        <f ca="1">VLOOKUP($A3,OFFSET([1]characters!$A$1,0,0,COUNTA([1]characters!$A:$A),MATCH(E$1,[1]characters!$1:$1,0)-MATCH($A$1,[1]characters!$1:$1,0)+1),MATCH(E$1,[1]characters!$1:$1,0)-MATCH($A$1,[1]characters!$1:$1,0)+1,FALSE)</f>
        <v>世界観</v>
      </c>
      <c r="F3" s="55" t="str">
        <f ca="1">VLOOKUP($A3,OFFSET([1]characters!$A$1,0,0,COUNTA([1]characters!$A:$A),MATCH(F$1,[1]characters!$1:$1,0)-MATCH($A$1,[1]characters!$1:$1,0)+1),MATCH(F$1,[1]characters!$1:$1,0)-MATCH($A$1,[1]characters!$1:$1,0)+1,FALSE)</f>
        <v>不明</v>
      </c>
      <c r="G3" s="55">
        <f ca="1">VLOOKUP($A3,OFFSET([1]characters!$A$1,0,0,COUNTA([1]characters!$A:$A),MATCH(G$1,[1]characters!$1:$1,0)-MATCH($A$1,[1]characters!$1:$1,0)+1),MATCH(G$1,[1]characters!$1:$1,0)-MATCH($A$1,[1]characters!$1:$1,0)+1,FALSE)</f>
        <v>5</v>
      </c>
      <c r="H3" s="55" t="str">
        <f ca="1">VLOOKUP($A3,OFFSET([1]characters!$A$1,0,0,COUNTA([1]characters!$A:$A),MATCH(H$1,[1]characters!$1:$1,0)-MATCH($A$1,[1]characters!$1:$1,0)+1),MATCH(H$1,[1]characters!$1:$1,0)-MATCH($A$1,[1]characters!$1:$1,0)+1,FALSE)</f>
        <v>Drop2N</v>
      </c>
      <c r="I3" s="55"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INDEX(コスト!$A$1:$I$21,MATCH(H3,コスト!$A$1:$A$21,FALSE),MATCH(G3,コスト!$A$1:$I$1,FALSE))</f>
        <v>26</v>
      </c>
      <c r="O3" s="11">
        <f ca="1">INDEX(レベル!$A$1:$I$22,MATCH(H3,レベル!$A$1:$A$22,FALSE),MATCH(G3,レベル!$A$1:$I$1,FALSE))</f>
        <v>80</v>
      </c>
      <c r="P3" s="46">
        <f t="shared" ca="1" si="0"/>
        <v>75</v>
      </c>
      <c r="Q3" s="55" t="str">
        <f ca="1">VLOOKUP($A3,OFFSET([1]characters!$A$1,0,0,COUNTA([1]characters!$A:$A),MATCH(Q$1,[1]characters!$1:$1,0)-MATCH($A$1,[1]characters!$1:$1,0)+1),MATCH(Q$1,[1]characters!$1:$1,0)-MATCH($A$1,[1]characters!$1:$1,0)+1,FALSE)</f>
        <v>attack</v>
      </c>
      <c r="R3" s="5" t="str">
        <f ca="1">VLOOKUP(Q3,[1]character_type_i18n!$A:$H,3,FALSE)</f>
        <v>攻撃タイプ</v>
      </c>
      <c r="S3" s="11">
        <f ca="1">VLOOKUP(Q3,[1]character_type_i18n!$A:$H,4,FALSE)</f>
        <v>1</v>
      </c>
      <c r="T3" s="11">
        <f ca="1">VLOOKUP(Q3,[1]character_type_i18n!$A:$H,5,FALSE)</f>
        <v>1.33</v>
      </c>
      <c r="U3" s="11">
        <f ca="1">VLOOKUP(Q3,[1]character_type_i18n!$A:$H,6,FALSE)</f>
        <v>1</v>
      </c>
      <c r="V3" s="11">
        <f ca="1">VLOOKUP(Q3,[1]character_type_i18n!$A:$H,7,FALSE)</f>
        <v>0.67</v>
      </c>
      <c r="W3" s="55" t="str">
        <f ca="1">VLOOKUP($A3,OFFSET([1]characters!$A$1,0,0,COUNTA([1]characters!$A:$A),MATCH(W$1,[1]characters!$1:$1,0)-MATCH($A$1,[1]characters!$1:$1,0)+1),MATCH(W$1,[1]characters!$1:$1,0)-MATCH($A$1,[1]characters!$1:$1,0)+1,FALSE)</f>
        <v>animal</v>
      </c>
      <c r="X3" s="5" t="str">
        <f ca="1">VLOOKUP(W3,[1]character_tribe_i18n!$A:$H,3,FALSE)</f>
        <v>アニマル</v>
      </c>
      <c r="Y3" s="55"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1</v>
      </c>
      <c r="AB3" s="11">
        <f ca="1">VLOOKUP(W3,[1]character_tribe_i18n!$A:$H,5,FALSE)</f>
        <v>1.1000000000000001</v>
      </c>
      <c r="AC3" s="11">
        <f ca="1">VLOOKUP(W3,[1]character_tribe_i18n!$A:$H,6,FALSE)</f>
        <v>1</v>
      </c>
      <c r="AD3" s="11">
        <f ca="1">VLOOKUP(W3,[1]character_tribe_i18n!$A:$H,7,FALSE)</f>
        <v>0.9</v>
      </c>
      <c r="AE3" s="9" t="s">
        <v>183</v>
      </c>
      <c r="AF3" s="60" t="str">
        <f ca="1">IF(AE3="NULL","",VLOOKUP($AE3,OFFSET([1]characters!$A$1,0,0,COUNTA([1]characters!$A:$A),MATCH(AF$1,[1]characters!$1:$1,0)-MATCH($A$1,[1]characters!$1:$1,0)+1),MATCH(AF$1,[1]characters!$1:$1,0)-MATCH($A$1,[1]characters!$1:$1,0)+1,FALSE))</f>
        <v/>
      </c>
      <c r="AG3" s="5">
        <v>1129</v>
      </c>
      <c r="AH3" s="60" t="str">
        <f ca="1">VLOOKUP($AG3,OFFSET([1]characters!$A$1,0,0,COUNTA([1]characters!$A:$A),MATCH(AH$1,[1]characters!$1:$1,0)-MATCH($A$1,[1]characters!$1:$1,0)+1),MATCH(AH$1,[1]characters!$1:$1,0)-MATCH($A$1,[1]characters!$1:$1,0)+1,FALSE)</f>
        <v>赤兎馬</v>
      </c>
      <c r="AI3" s="11" t="str">
        <f>IF(AE3="NULL","NULL",VLOOKUP(G3,ビット!$A$2:$B$7,2))</f>
        <v>NULL</v>
      </c>
      <c r="AJ3" s="6">
        <v>2</v>
      </c>
      <c r="AK3" s="7" t="str">
        <f t="shared" ref="AK3:AK4" si="5">IF(AJ3=1,"早熟",IF(AJ3=2,"普通",IF(AJ3=3,"晩成","")))</f>
        <v>普通</v>
      </c>
      <c r="AL3" s="11" t="str">
        <f ca="1">INDEX(経験値!$A$1:$I$21,MATCH(H3,経験値!$A$1:$A$21,FALSE),MATCH(G3,経験値!$A$1:$I$1,FALSE))</f>
        <v>required_exp_200</v>
      </c>
      <c r="AM3" s="8">
        <f ca="1">VLOOKUP(G3,経験値!$A$28:$B$32,2)</f>
        <v>6400</v>
      </c>
      <c r="AN3" s="17">
        <f ca="1">VLOOKUP(G3,ビット!$G$2:$H$7,2)</f>
        <v>900</v>
      </c>
      <c r="AO3" s="43"/>
      <c r="AP3" s="65">
        <v>1130</v>
      </c>
      <c r="AQ3" s="55" t="str">
        <f ca="1">VLOOKUP($AP3,OFFSET(unit_skills!$A$1,0,0,COUNTA(unit_skills!$A:$A),MATCH(AQ$1,unit_skills!$1:$1,0)-MATCH($AP$1,unit_skills!$1:$1,0)+1),MATCH(AQ$1,unit_skills!$1:$1,0)-MATCH($AP$1,unit_skills!$1:$1,0)+1,FALSE)</f>
        <v>暴兎的オーバーテイク</v>
      </c>
      <c r="AR3" s="55" t="str">
        <f ca="1">VLOOKUP($AP3,OFFSET(unit_skills!$A$1,0,0,COUNTA(unit_skills!$A:$A),MATCH(AR$1,unit_skills!$1:$1,0)-MATCH($AP$1,unit_skills!$1:$1,0)+1),MATCH(AR$1,unit_skills!$1:$1,0)-MATCH($AP$1,unit_skills!$1:$1,0)+1,FALSE)</f>
        <v>2ターンの間、サムライとアニマルの攻撃力を特大アップし、タップ回数を1増やす</v>
      </c>
      <c r="AS3" s="55">
        <f ca="1">VLOOKUP($AP3,OFFSET(unit_skills!$A$1,0,0,COUNTA(unit_skills!$A:$A),MATCH(AS$1,unit_skills!$1:$1,0)-MATCH($AP$1,unit_skills!$1:$1,0)+1),MATCH(AS$1,unit_skills!$1:$1,0)-MATCH($AP$1,unit_skills!$1:$1,0)+1,FALSE)</f>
        <v>0</v>
      </c>
      <c r="AT3" s="40">
        <v>1130</v>
      </c>
      <c r="AU3" s="55" t="str">
        <f ca="1">VLOOKUP($AT3,OFFSET(crash_skills!$A$1,0,0,COUNTA(crash_skills!$A:$A),MATCH(AU$1,crash_skills!$1:$1,0)-MATCH($AT$1,crash_skills!$1:$1,0)+1),MATCH(AU$1,crash_skills!$1:$1,0)-MATCH($AT$1,crash_skills!$1:$1,0)+1,FALSE)</f>
        <v>ラビット•ドリフト</v>
      </c>
      <c r="AV3" s="55" t="str">
        <f ca="1">VLOOKUP($AT3,OFFSET(crash_skills!$A$1,0,0,COUNTA(crash_skills!$A:$A),MATCH(AV$1,crash_skills!$1:$1,0)-MATCH($AT$1,crash_skills!$1:$1,0)+1),MATCH(AV$1,crash_skills!$1:$1,0)-MATCH($AT$1,crash_skills!$1:$1,0)+1,FALSE)</f>
        <v>1体に大ダメージ_x000D_サムライに効果特大</v>
      </c>
      <c r="AW3" s="55">
        <f ca="1">VLOOKUP($AT3,OFFSET(crash_skills!$A$1,0,0,COUNTA(crash_skills!$A:$A),MATCH(AW$1,crash_skills!$1:$1,0)-MATCH($AT$1,crash_skills!$1:$1,0)+1),MATCH(AW$1,crash_skills!$1:$1,0)-MATCH($AT$1,crash_skills!$1:$1,0)+1,FALSE)</f>
        <v>0</v>
      </c>
      <c r="AX3" s="56">
        <f ca="1">VLOOKUP($A3,OFFSET([1]characters!$A$1,0,0,COUNTA([1]characters!$A:$A),MATCH(AX$1,[1]characters!$1:$1,0)-MATCH($A$1,[1]characters!$1:$1,0)+1),MATCH(AX$1,[1]characters!$1:$1,0)-MATCH($A$1,[1]characters!$1:$1,0)+1,FALSE)</f>
        <v>3</v>
      </c>
      <c r="AY3" s="66">
        <v>1.2</v>
      </c>
      <c r="AZ3" s="66">
        <v>1.2</v>
      </c>
      <c r="BA3" s="66">
        <v>0</v>
      </c>
      <c r="BB3" s="66">
        <v>0.9</v>
      </c>
      <c r="BC3" s="11">
        <f ca="1">INDEX('RC6SV'!$A$1:$G$21,MATCH(H3,'RC6SV'!$A$1:$A$21,FALSE),MATCH(G3,'RC6SV'!$A$1:$G$1,FALSE))</f>
        <v>7600</v>
      </c>
      <c r="BD3" s="46">
        <f t="shared" ref="BD3:BD4" ca="1" si="6">ROUND(BC3*IF(AJ3=1,0.95,IF(AJ3=2,1,IF(AJ3,1.05,0))),0)</f>
        <v>7600</v>
      </c>
      <c r="BE3" s="11">
        <f t="shared" ca="1" si="3"/>
        <v>5800</v>
      </c>
      <c r="BF3" s="11">
        <f t="shared" ca="1" si="4"/>
        <v>1</v>
      </c>
      <c r="BG3" s="16">
        <f ca="1">IF($BE3&lt;=0,ROUND(BK3*0.5,0), ROUND($BE3*S3*AA3*J3*AY3*0.8*[1]ステータス!$B$2,0))</f>
        <v>2784</v>
      </c>
      <c r="BH3" s="16">
        <f ca="1">IF($BE3&lt;=0,ROUND(BL3*0.5,0), ROUND($BE3*T3*AB3*K3*AZ3*0.8*[1]ステータス!$C$2,0))</f>
        <v>2493</v>
      </c>
      <c r="BI3" s="16">
        <f ca="1">IF($BE3&lt;=0,ROUND(BM3*0.5,0), ROUND($BE3*U3*AC3*L3*BA3*0.8*[1]ステータス!$D$2,0))</f>
        <v>0</v>
      </c>
      <c r="BJ3" s="16">
        <f ca="1">IF($BE3&lt;=0,ROUND(BN3*0.5,0), ROUND($BE3*V3*AD3*M3*BB3*0.8*[1]ステータス!$E$2,0))</f>
        <v>617</v>
      </c>
      <c r="BK3" s="11">
        <f ca="1">ROUND(BD3*S3*AA3*J3*AY3*[1]ステータス!$B$2,0)</f>
        <v>4560</v>
      </c>
      <c r="BL3" s="11">
        <f ca="1">ROUND(BD3*T3*AB3*K3*AZ3*[1]ステータス!$C$2,0)</f>
        <v>4083</v>
      </c>
      <c r="BM3" s="11">
        <f ca="1">ROUND(BD3*U3*AC3*L3*BA3*[1]ステータス!$D$2,0)</f>
        <v>0</v>
      </c>
      <c r="BN3" s="11">
        <f ca="1">ROUND(BD3*V3*AD3*M3*BB3*[1]ステータス!$E$2,0)</f>
        <v>1011</v>
      </c>
      <c r="BO3" s="10">
        <v>0</v>
      </c>
      <c r="BP3" s="10">
        <v>1</v>
      </c>
      <c r="BQ3" s="10" t="s">
        <v>47</v>
      </c>
      <c r="BR3" s="10">
        <f ca="1">VLOOKUP(H3,ghosts_label!$A$2:$B$19,2,FALSE)</f>
        <v>1</v>
      </c>
    </row>
    <row r="4" spans="1:70" ht="26" customHeight="1" x14ac:dyDescent="0.15">
      <c r="A4" s="12">
        <v>1131</v>
      </c>
      <c r="B4" s="55" t="str">
        <f ca="1">VLOOKUP($A4,OFFSET([1]characters!$A$1,0,0,COUNTA([1]characters!$A:$A),MATCH(B$1,[1]characters!$1:$1,0)-MATCH($A$1,[1]characters!$1:$1,0)+1),MATCH(B$1,[1]characters!$1:$1,0)-MATCH($A$1,[1]characters!$1:$1,0)+1,FALSE)</f>
        <v>董卓</v>
      </c>
      <c r="C4" s="55" t="str">
        <f ca="1">VLOOKUP($A4,OFFSET([1]characters!$A$1,0,0,COUNTA([1]characters!$A:$A),MATCH(C$1,[1]characters!$1:$1,0)-MATCH($A$1,[1]characters!$1:$1,0)+1),MATCH(C$1,[1]characters!$1:$1,0)-MATCH($A$1,[1]characters!$1:$1,0)+1,FALSE)</f>
        <v>未定</v>
      </c>
      <c r="D4" s="55" t="str">
        <f ca="1">VLOOKUP($A4,OFFSET([1]characters!$A$1,0,0,COUNTA([1]characters!$A:$A),MATCH(D$1,[1]characters!$1:$1,0)-MATCH($A$1,[1]characters!$1:$1,0)+1),MATCH(D$1,[1]characters!$1:$1,0)-MATCH($A$1,[1]characters!$1:$1,0)+1,FALSE)</f>
        <v>アリス</v>
      </c>
      <c r="E4" s="55" t="str">
        <f ca="1">VLOOKUP($A4,OFFSET([1]characters!$A$1,0,0,COUNTA([1]characters!$A:$A),MATCH(E$1,[1]characters!$1:$1,0)-MATCH($A$1,[1]characters!$1:$1,0)+1),MATCH(E$1,[1]characters!$1:$1,0)-MATCH($A$1,[1]characters!$1:$1,0)+1,FALSE)</f>
        <v>世界観</v>
      </c>
      <c r="F4" s="55" t="str">
        <f ca="1">VLOOKUP($A4,OFFSET([1]characters!$A$1,0,0,COUNTA([1]characters!$A:$A),MATCH(F$1,[1]characters!$1:$1,0)-MATCH($A$1,[1]characters!$1:$1,0)+1),MATCH(F$1,[1]characters!$1:$1,0)-MATCH($A$1,[1]characters!$1:$1,0)+1,FALSE)</f>
        <v>不明</v>
      </c>
      <c r="G4" s="55">
        <f ca="1">VLOOKUP($A4,OFFSET([1]characters!$A$1,0,0,COUNTA([1]characters!$A:$A),MATCH(G$1,[1]characters!$1:$1,0)-MATCH($A$1,[1]characters!$1:$1,0)+1),MATCH(G$1,[1]characters!$1:$1,0)-MATCH($A$1,[1]characters!$1:$1,0)+1,FALSE)</f>
        <v>5</v>
      </c>
      <c r="H4" s="55" t="str">
        <f ca="1">VLOOKUP($A4,OFFSET([1]characters!$A$1,0,0,COUNTA([1]characters!$A:$A),MATCH(H$1,[1]characters!$1:$1,0)-MATCH($A$1,[1]characters!$1:$1,0)+1),MATCH(H$1,[1]characters!$1:$1,0)-MATCH($A$1,[1]characters!$1:$1,0)+1,FALSE)</f>
        <v>DropWizS</v>
      </c>
      <c r="I4" s="55" t="str">
        <f ca="1">VLOOKUP($A4,OFFSET([1]characters!$A$1,0,0,COUNTA([1]characters!$A:$A),MATCH(I$1,[1]characters!$1:$1,0)-MATCH($A$1,[1]characters!$1:$1,0)+1),MATCH(I$1,[1]characters!$1:$1,0)-MATCH($A$1,[1]characters!$1:$1,0)+1,FALSE)</f>
        <v>green</v>
      </c>
      <c r="J4" s="11">
        <f ca="1">VLOOKUP(I4,[1]属性!$A:$E,2,FALSE)</f>
        <v>1.02</v>
      </c>
      <c r="K4" s="11">
        <f ca="1">VLOOKUP(I4,[1]属性!$A:$E,3,FALSE)</f>
        <v>0.98</v>
      </c>
      <c r="L4" s="11">
        <f ca="1">VLOOKUP(I4,[1]属性!$A:$E,4,FALSE)</f>
        <v>1</v>
      </c>
      <c r="M4" s="11">
        <f ca="1">VLOOKUP(I4,[1]属性!$A:$E,5,FALSE)</f>
        <v>1</v>
      </c>
      <c r="N4" s="11">
        <f ca="1">INDEX(コスト!$A$1:$I$21,MATCH(H4,コスト!$A$1:$A$21,FALSE),MATCH(G4,コスト!$A$1:$I$1,FALSE))</f>
        <v>30</v>
      </c>
      <c r="O4" s="11">
        <f ca="1">INDEX(レベル!$A$1:$I$22,MATCH(H4,レベル!$A$1:$A$22,FALSE),MATCH(G4,レベル!$A$1:$I$1,FALSE))</f>
        <v>80</v>
      </c>
      <c r="P4" s="46">
        <f t="shared" ca="1" si="0"/>
        <v>75</v>
      </c>
      <c r="Q4" s="55" t="str">
        <f ca="1">VLOOKUP($A4,OFFSET([1]characters!$A$1,0,0,COUNTA([1]characters!$A:$A),MATCH(Q$1,[1]characters!$1:$1,0)-MATCH($A$1,[1]characters!$1:$1,0)+1),MATCH(Q$1,[1]characters!$1:$1,0)-MATCH($A$1,[1]characters!$1:$1,0)+1,FALSE)</f>
        <v>hp</v>
      </c>
      <c r="R4" s="5" t="str">
        <f ca="1">VLOOKUP(Q4,[1]character_type_i18n!$A:$H,3,FALSE)</f>
        <v>体力タイプ</v>
      </c>
      <c r="S4" s="11">
        <f ca="1">VLOOKUP(Q4,[1]character_type_i18n!$A:$H,4,FALSE)</f>
        <v>1.45</v>
      </c>
      <c r="T4" s="11">
        <f ca="1">VLOOKUP(Q4,[1]character_type_i18n!$A:$H,5,FALSE)</f>
        <v>0.85</v>
      </c>
      <c r="U4" s="11">
        <f ca="1">VLOOKUP(Q4,[1]character_type_i18n!$A:$H,6,FALSE)</f>
        <v>1</v>
      </c>
      <c r="V4" s="11">
        <f ca="1">VLOOKUP(Q4,[1]character_type_i18n!$A:$H,7,FALSE)</f>
        <v>0.7</v>
      </c>
      <c r="W4" s="55" t="str">
        <f ca="1">VLOOKUP($A4,OFFSET([1]characters!$A$1,0,0,COUNTA([1]characters!$A:$A),MATCH(W$1,[1]characters!$1:$1,0)-MATCH($A$1,[1]characters!$1:$1,0)+1),MATCH(W$1,[1]characters!$1:$1,0)-MATCH($A$1,[1]characters!$1:$1,0)+1,FALSE)</f>
        <v>samurai</v>
      </c>
      <c r="X4" s="5" t="str">
        <f ca="1">VLOOKUP(W4,[1]character_tribe_i18n!$A:$H,3,FALSE)</f>
        <v>サムライ</v>
      </c>
      <c r="Y4" s="55" t="str">
        <f ca="1">VLOOKUP($A4,OFFSET([1]characters!$A$1,0,0,COUNTA([1]characters!$A:$A),MATCH(Y$1,[1]characters!$1:$1,0)-MATCH($A$1,[1]characters!$1:$1,0)+1),MATCH(Y$1,[1]characters!$1:$1,0)-MATCH($A$1,[1]characters!$1:$1,0)+1,FALSE)</f>
        <v>human</v>
      </c>
      <c r="Z4" s="5" t="str">
        <f ca="1">VLOOKUP(Y4,[1]character_tribe_i18n!$A:$H,3,FALSE)</f>
        <v>ヒューマン</v>
      </c>
      <c r="AA4" s="11">
        <f ca="1">VLOOKUP(W4,[1]character_tribe_i18n!$A:$H,4,FALSE)</f>
        <v>1</v>
      </c>
      <c r="AB4" s="11">
        <f ca="1">VLOOKUP(W4,[1]character_tribe_i18n!$A:$H,5,FALSE)</f>
        <v>1</v>
      </c>
      <c r="AC4" s="11">
        <f ca="1">VLOOKUP(W4,[1]character_tribe_i18n!$A:$H,6,FALSE)</f>
        <v>1</v>
      </c>
      <c r="AD4" s="11">
        <f ca="1">VLOOKUP(W4,[1]character_tribe_i18n!$A:$H,7,FALSE)</f>
        <v>1</v>
      </c>
      <c r="AE4" s="9">
        <v>1132</v>
      </c>
      <c r="AF4" s="60" t="str">
        <f ca="1">IF(AE4="NULL","",VLOOKUP($AE4,OFFSET([1]characters!$A$1,0,0,COUNTA([1]characters!$A:$A),MATCH(AF$1,[1]characters!$1:$1,0)-MATCH($A$1,[1]characters!$1:$1,0)+1),MATCH(AF$1,[1]characters!$1:$1,0)-MATCH($A$1,[1]characters!$1:$1,0)+1,FALSE))</f>
        <v>偏執なる狂騒君 董卓</v>
      </c>
      <c r="AG4" s="5">
        <v>1131</v>
      </c>
      <c r="AH4" s="60" t="str">
        <f ca="1">VLOOKUP($AG4,OFFSET([1]characters!$A$1,0,0,COUNTA([1]characters!$A:$A),MATCH(AH$1,[1]characters!$1:$1,0)-MATCH($A$1,[1]characters!$1:$1,0)+1),MATCH(AH$1,[1]characters!$1:$1,0)-MATCH($A$1,[1]characters!$1:$1,0)+1,FALSE)</f>
        <v>董卓</v>
      </c>
      <c r="AI4" s="11">
        <f ca="1">IF(AE4="NULL","NULL",VLOOKUP(G4,ビット!$A$2:$B$7,2))</f>
        <v>200000</v>
      </c>
      <c r="AJ4" s="6">
        <v>2</v>
      </c>
      <c r="AK4" s="7" t="str">
        <f t="shared" si="5"/>
        <v>普通</v>
      </c>
      <c r="AL4" s="11" t="str">
        <f ca="1">INDEX(経験値!$A$1:$I$21,MATCH(H4,経験値!$A$1:$A$21,FALSE),MATCH(G4,経験値!$A$1:$I$1,FALSE))</f>
        <v>required_exp_200</v>
      </c>
      <c r="AM4" s="8">
        <f ca="1">VLOOKUP(G4,経験値!$A$28:$B$32,2)</f>
        <v>6400</v>
      </c>
      <c r="AN4" s="17">
        <f ca="1">VLOOKUP(G4,ビット!$G$2:$H$7,2)</f>
        <v>900</v>
      </c>
      <c r="AO4" s="43"/>
      <c r="AP4" s="65">
        <v>1131</v>
      </c>
      <c r="AQ4" s="55" t="str">
        <f ca="1">VLOOKUP($AP4,OFFSET(unit_skills!$A$1,0,0,COUNTA(unit_skills!$A:$A),MATCH(AQ$1,unit_skills!$1:$1,0)-MATCH($AP$1,unit_skills!$1:$1,0)+1),MATCH(AQ$1,unit_skills!$1:$1,0)-MATCH($AP$1,unit_skills!$1:$1,0)+1,FALSE)</f>
        <v>狂暴性パラノイア</v>
      </c>
      <c r="AR4" s="55" t="str">
        <f ca="1">VLOOKUP($AP4,OFFSET(unit_skills!$A$1,0,0,COUNTA(unit_skills!$A:$A),MATCH(AR$1,unit_skills!$1:$1,0)-MATCH($AP$1,unit_skills!$1:$1,0)+1),MATCH(AR$1,unit_skills!$1:$1,0)-MATCH($AP$1,unit_skills!$1:$1,0)+1,FALSE)</f>
        <v>敵1体のHPを10%減少+種族サムライのスキルターン1短縮+2ターンの間種族サムライの攻撃力を大UP</v>
      </c>
      <c r="AS4" s="55">
        <f ca="1">VLOOKUP($AP4,OFFSET(unit_skills!$A$1,0,0,COUNTA(unit_skills!$A:$A),MATCH(AS$1,unit_skills!$1:$1,0)-MATCH($AP$1,unit_skills!$1:$1,0)+1),MATCH(AS$1,unit_skills!$1:$1,0)-MATCH($AP$1,unit_skills!$1:$1,0)+1,FALSE)</f>
        <v>0</v>
      </c>
      <c r="AT4" s="40">
        <v>1131</v>
      </c>
      <c r="AU4" s="55" t="str">
        <f ca="1">VLOOKUP($AT4,OFFSET(crash_skills!$A$1,0,0,COUNTA(crash_skills!$A:$A),MATCH(AU$1,crash_skills!$1:$1,0)-MATCH($AT$1,crash_skills!$1:$1,0)+1),MATCH(AU$1,crash_skills!$1:$1,0)-MATCH($AT$1,crash_skills!$1:$1,0)+1,FALSE)</f>
        <v>暴欲呷る狂将</v>
      </c>
      <c r="AV4" s="55" t="str">
        <f ca="1">VLOOKUP($AT4,OFFSET(crash_skills!$A$1,0,0,COUNTA(crash_skills!$A:$A),MATCH(AV$1,crash_skills!$1:$1,0)-MATCH($AT$1,crash_skills!$1:$1,0)+1),MATCH(AV$1,crash_skills!$1:$1,0)-MATCH($AT$1,crash_skills!$1:$1,0)+1,FALSE)</f>
        <v>1体に防御力を無視した固定威力大ダメージ</v>
      </c>
      <c r="AW4" s="55">
        <f ca="1">VLOOKUP($AT4,OFFSET(crash_skills!$A$1,0,0,COUNTA(crash_skills!$A:$A),MATCH(AW$1,crash_skills!$1:$1,0)-MATCH($AT$1,crash_skills!$1:$1,0)+1),MATCH(AW$1,crash_skills!$1:$1,0)-MATCH($AT$1,crash_skills!$1:$1,0)+1,FALSE)</f>
        <v>0</v>
      </c>
      <c r="AX4" s="56">
        <f ca="1">VLOOKUP($A4,OFFSET([1]characters!$A$1,0,0,COUNTA([1]characters!$A:$A),MATCH(AX$1,[1]characters!$1:$1,0)-MATCH($A$1,[1]characters!$1:$1,0)+1),MATCH(AX$1,[1]characters!$1:$1,0)-MATCH($A$1,[1]characters!$1:$1,0)+1,FALSE)</f>
        <v>3</v>
      </c>
      <c r="AY4" s="66">
        <v>1</v>
      </c>
      <c r="AZ4" s="66">
        <v>1.08</v>
      </c>
      <c r="BA4" s="66">
        <v>0</v>
      </c>
      <c r="BB4" s="66">
        <v>0.97</v>
      </c>
      <c r="BC4" s="11">
        <f ca="1">INDEX('RC6SV'!$A$1:$G$21,MATCH(H4,'RC6SV'!$A$1:$A$21,FALSE),MATCH(G4,'RC6SV'!$A$1:$G$1,FALSE))</f>
        <v>9000</v>
      </c>
      <c r="BD4" s="46">
        <f t="shared" ca="1" si="6"/>
        <v>9000</v>
      </c>
      <c r="BE4" s="11">
        <f t="shared" ca="1" si="3"/>
        <v>0</v>
      </c>
      <c r="BF4" s="11">
        <f t="shared" ca="1" si="4"/>
        <v>1</v>
      </c>
      <c r="BG4" s="16">
        <f ca="1">IF($BE4&lt;=0,ROUND(BK4*0.5,0), ROUND($BE4*S4*AA4*J4*AY4*0.8*[1]ステータス!$B$2,0))</f>
        <v>3328</v>
      </c>
      <c r="BH4" s="16">
        <f ca="1">IF($BE4&lt;=0,ROUND(BL4*0.5,0), ROUND($BE4*T4*AB4*K4*AZ4*0.8*[1]ステータス!$C$2,0))</f>
        <v>1215</v>
      </c>
      <c r="BI4" s="16">
        <f ca="1">IF($BE4&lt;=0,ROUND(BM4*0.5,0), ROUND($BE4*U4*AC4*L4*BA4*0.8*[1]ステータス!$D$2,0))</f>
        <v>0</v>
      </c>
      <c r="BJ4" s="16">
        <f ca="1">IF($BE4&lt;=0,ROUND(BN4*0.5,0), ROUND($BE4*V4*AD4*M4*BB4*0.8*[1]ステータス!$E$2,0))</f>
        <v>764</v>
      </c>
      <c r="BK4" s="11">
        <f ca="1">ROUND(BD4*S4*AA4*J4*AY4*[1]ステータス!$B$2,0)</f>
        <v>6656</v>
      </c>
      <c r="BL4" s="11">
        <f ca="1">ROUND(BD4*T4*AB4*K4*AZ4*[1]ステータス!$C$2,0)</f>
        <v>2429</v>
      </c>
      <c r="BM4" s="11">
        <f ca="1">ROUND(BD4*U4*AC4*L4*BA4*[1]ステータス!$D$2,0)</f>
        <v>0</v>
      </c>
      <c r="BN4" s="11">
        <f ca="1">ROUND(BD4*V4*AD4*M4*BB4*[1]ステータス!$E$2,0)</f>
        <v>1528</v>
      </c>
      <c r="BO4" s="10">
        <v>0</v>
      </c>
      <c r="BP4" s="10">
        <v>1</v>
      </c>
      <c r="BQ4" s="10" t="s">
        <v>47</v>
      </c>
      <c r="BR4" s="10">
        <f ca="1">VLOOKUP(H4,ghosts_label!$A$2:$B$19,2,FALSE)</f>
        <v>1</v>
      </c>
    </row>
    <row r="5" spans="1:70" ht="26" customHeight="1" x14ac:dyDescent="0.15">
      <c r="A5" s="12">
        <v>1132</v>
      </c>
      <c r="B5" s="55" t="str">
        <f ca="1">VLOOKUP($A5,OFFSET([1]characters!$A$1,0,0,COUNTA([1]characters!$A:$A),MATCH(B$1,[1]characters!$1:$1,0)-MATCH($A$1,[1]characters!$1:$1,0)+1),MATCH(B$1,[1]characters!$1:$1,0)-MATCH($A$1,[1]characters!$1:$1,0)+1,FALSE)</f>
        <v>偏執なる狂騒君 董卓</v>
      </c>
      <c r="C5" s="55" t="str">
        <f ca="1">VLOOKUP($A5,OFFSET([1]characters!$A$1,0,0,COUNTA([1]characters!$A:$A),MATCH(C$1,[1]characters!$1:$1,0)-MATCH($A$1,[1]characters!$1:$1,0)+1),MATCH(C$1,[1]characters!$1:$1,0)-MATCH($A$1,[1]characters!$1:$1,0)+1,FALSE)</f>
        <v>未定</v>
      </c>
      <c r="D5" s="55" t="str">
        <f ca="1">VLOOKUP($A5,OFFSET([1]characters!$A$1,0,0,COUNTA([1]characters!$A:$A),MATCH(D$1,[1]characters!$1:$1,0)-MATCH($A$1,[1]characters!$1:$1,0)+1),MATCH(D$1,[1]characters!$1:$1,0)-MATCH($A$1,[1]characters!$1:$1,0)+1,FALSE)</f>
        <v>アリス</v>
      </c>
      <c r="E5" s="55" t="str">
        <f ca="1">VLOOKUP($A5,OFFSET([1]characters!$A$1,0,0,COUNTA([1]characters!$A:$A),MATCH(E$1,[1]characters!$1:$1,0)-MATCH($A$1,[1]characters!$1:$1,0)+1),MATCH(E$1,[1]characters!$1:$1,0)-MATCH($A$1,[1]characters!$1:$1,0)+1,FALSE)</f>
        <v>世界観</v>
      </c>
      <c r="F5" s="55" t="str">
        <f ca="1">VLOOKUP($A5,OFFSET([1]characters!$A$1,0,0,COUNTA([1]characters!$A:$A),MATCH(F$1,[1]characters!$1:$1,0)-MATCH($A$1,[1]characters!$1:$1,0)+1),MATCH(F$1,[1]characters!$1:$1,0)-MATCH($A$1,[1]characters!$1:$1,0)+1,FALSE)</f>
        <v>不明</v>
      </c>
      <c r="G5" s="55">
        <f ca="1">VLOOKUP($A5,OFFSET([1]characters!$A$1,0,0,COUNTA([1]characters!$A:$A),MATCH(G$1,[1]characters!$1:$1,0)-MATCH($A$1,[1]characters!$1:$1,0)+1),MATCH(G$1,[1]characters!$1:$1,0)-MATCH($A$1,[1]characters!$1:$1,0)+1,FALSE)</f>
        <v>6</v>
      </c>
      <c r="H5" s="55" t="str">
        <f ca="1">VLOOKUP($A5,OFFSET([1]characters!$A$1,0,0,COUNTA([1]characters!$A:$A),MATCH(H$1,[1]characters!$1:$1,0)-MATCH($A$1,[1]characters!$1:$1,0)+1),MATCH(H$1,[1]characters!$1:$1,0)-MATCH($A$1,[1]characters!$1:$1,0)+1,FALSE)</f>
        <v>DropWizS</v>
      </c>
      <c r="I5" s="55" t="str">
        <f ca="1">VLOOKUP($A5,OFFSET([1]characters!$A$1,0,0,COUNTA([1]characters!$A:$A),MATCH(I$1,[1]characters!$1:$1,0)-MATCH($A$1,[1]characters!$1:$1,0)+1),MATCH(I$1,[1]characters!$1:$1,0)-MATCH($A$1,[1]characters!$1:$1,0)+1,FALSE)</f>
        <v>green</v>
      </c>
      <c r="J5" s="11">
        <f ca="1">VLOOKUP(I5,[1]属性!$A:$E,2,FALSE)</f>
        <v>1.02</v>
      </c>
      <c r="K5" s="11">
        <f ca="1">VLOOKUP(I5,[1]属性!$A:$E,3,FALSE)</f>
        <v>0.98</v>
      </c>
      <c r="L5" s="11">
        <f ca="1">VLOOKUP(I5,[1]属性!$A:$E,4,FALSE)</f>
        <v>1</v>
      </c>
      <c r="M5" s="11">
        <f ca="1">VLOOKUP(I5,[1]属性!$A:$E,5,FALSE)</f>
        <v>1</v>
      </c>
      <c r="N5" s="11">
        <f ca="1">INDEX(コスト!$A$1:$I$21,MATCH(H5,コスト!$A$1:$A$21,FALSE),MATCH(G5,コスト!$A$1:$I$1,FALSE))</f>
        <v>45</v>
      </c>
      <c r="O5" s="11">
        <f ca="1">INDEX(レベル!$A$1:$I$22,MATCH(H5,レベル!$A$1:$A$22,FALSE),MATCH(G5,レベル!$A$1:$I$1,FALSE))</f>
        <v>99</v>
      </c>
      <c r="P5" s="46">
        <f t="shared" ca="1" si="0"/>
        <v>99</v>
      </c>
      <c r="Q5" s="55" t="str">
        <f ca="1">VLOOKUP($A5,OFFSET([1]characters!$A$1,0,0,COUNTA([1]characters!$A:$A),MATCH(Q$1,[1]characters!$1:$1,0)-MATCH($A$1,[1]characters!$1:$1,0)+1),MATCH(Q$1,[1]characters!$1:$1,0)-MATCH($A$1,[1]characters!$1:$1,0)+1,FALSE)</f>
        <v>hp</v>
      </c>
      <c r="R5" s="5" t="str">
        <f ca="1">VLOOKUP(Q5,[1]character_type_i18n!$A:$H,3,FALSE)</f>
        <v>体力タイプ</v>
      </c>
      <c r="S5" s="11">
        <f ca="1">VLOOKUP(Q5,[1]character_type_i18n!$A:$H,4,FALSE)</f>
        <v>1.45</v>
      </c>
      <c r="T5" s="11">
        <f ca="1">VLOOKUP(Q5,[1]character_type_i18n!$A:$H,5,FALSE)</f>
        <v>0.85</v>
      </c>
      <c r="U5" s="11">
        <f ca="1">VLOOKUP(Q5,[1]character_type_i18n!$A:$H,6,FALSE)</f>
        <v>1</v>
      </c>
      <c r="V5" s="11">
        <f ca="1">VLOOKUP(Q5,[1]character_type_i18n!$A:$H,7,FALSE)</f>
        <v>0.7</v>
      </c>
      <c r="W5" s="55" t="str">
        <f ca="1">VLOOKUP($A5,OFFSET([1]characters!$A$1,0,0,COUNTA([1]characters!$A:$A),MATCH(W$1,[1]characters!$1:$1,0)-MATCH($A$1,[1]characters!$1:$1,0)+1),MATCH(W$1,[1]characters!$1:$1,0)-MATCH($A$1,[1]characters!$1:$1,0)+1,FALSE)</f>
        <v>samurai</v>
      </c>
      <c r="X5" s="5" t="str">
        <f ca="1">VLOOKUP(W5,[1]character_tribe_i18n!$A:$H,3,FALSE)</f>
        <v>サムライ</v>
      </c>
      <c r="Y5" s="55" t="str">
        <f ca="1">VLOOKUP($A5,OFFSET([1]characters!$A$1,0,0,COUNTA([1]characters!$A:$A),MATCH(Y$1,[1]characters!$1:$1,0)-MATCH($A$1,[1]characters!$1:$1,0)+1),MATCH(Y$1,[1]characters!$1:$1,0)-MATCH($A$1,[1]characters!$1:$1,0)+1,FALSE)</f>
        <v>human</v>
      </c>
      <c r="Z5" s="5" t="str">
        <f ca="1">VLOOKUP(Y5,[1]character_tribe_i18n!$A:$H,3,FALSE)</f>
        <v>ヒューマン</v>
      </c>
      <c r="AA5" s="11">
        <f ca="1">VLOOKUP(W5,[1]character_tribe_i18n!$A:$H,4,FALSE)</f>
        <v>1</v>
      </c>
      <c r="AB5" s="11">
        <f ca="1">VLOOKUP(W5,[1]character_tribe_i18n!$A:$H,5,FALSE)</f>
        <v>1</v>
      </c>
      <c r="AC5" s="11">
        <f ca="1">VLOOKUP(W5,[1]character_tribe_i18n!$A:$H,6,FALSE)</f>
        <v>1</v>
      </c>
      <c r="AD5" s="11">
        <f ca="1">VLOOKUP(W5,[1]character_tribe_i18n!$A:$H,7,FALSE)</f>
        <v>1</v>
      </c>
      <c r="AE5" s="9" t="s">
        <v>183</v>
      </c>
      <c r="AF5" s="60" t="str">
        <f ca="1">IF(AE5="NULL","",VLOOKUP($AE5,OFFSET([1]characters!$A$1,0,0,COUNTA([1]characters!$A:$A),MATCH(AF$1,[1]characters!$1:$1,0)-MATCH($A$1,[1]characters!$1:$1,0)+1),MATCH(AF$1,[1]characters!$1:$1,0)-MATCH($A$1,[1]characters!$1:$1,0)+1,FALSE))</f>
        <v/>
      </c>
      <c r="AG5" s="5">
        <v>1131</v>
      </c>
      <c r="AH5" s="60" t="str">
        <f ca="1">VLOOKUP($AG5,OFFSET([1]characters!$A$1,0,0,COUNTA([1]characters!$A:$A),MATCH(AH$1,[1]characters!$1:$1,0)-MATCH($A$1,[1]characters!$1:$1,0)+1),MATCH(AH$1,[1]characters!$1:$1,0)-MATCH($A$1,[1]characters!$1:$1,0)+1,FALSE)</f>
        <v>董卓</v>
      </c>
      <c r="AI5" s="11" t="str">
        <f>IF(AE5="NULL","NULL",VLOOKUP(G5,ビット!$A$2:$B$7,2))</f>
        <v>NULL</v>
      </c>
      <c r="AJ5" s="6">
        <v>2</v>
      </c>
      <c r="AK5" s="7" t="str">
        <f t="shared" ref="AK5:AK8" si="7">IF(AJ5=1,"早熟",IF(AJ5=2,"普通",IF(AJ5=3,"晩成","")))</f>
        <v>普通</v>
      </c>
      <c r="AL5" s="11" t="str">
        <f ca="1">INDEX(経験値!$A$1:$I$21,MATCH(H5,経験値!$A$1:$A$21,FALSE),MATCH(G5,経験値!$A$1:$I$1,FALSE))</f>
        <v>required_exp_250</v>
      </c>
      <c r="AM5" s="8">
        <f ca="1">VLOOKUP(G5,経験値!$A$28:$B$32,2)</f>
        <v>6400</v>
      </c>
      <c r="AN5" s="17">
        <f ca="1">VLOOKUP(G5,ビット!$G$2:$H$7,2)</f>
        <v>900</v>
      </c>
      <c r="AO5" s="43"/>
      <c r="AP5" s="65">
        <v>1132</v>
      </c>
      <c r="AQ5" s="55" t="str">
        <f ca="1">VLOOKUP($AP5,OFFSET(unit_skills!$A$1,0,0,COUNTA(unit_skills!$A:$A),MATCH(AQ$1,unit_skills!$1:$1,0)-MATCH($AP$1,unit_skills!$1:$1,0)+1),MATCH(AQ$1,unit_skills!$1:$1,0)-MATCH($AP$1,unit_skills!$1:$1,0)+1,FALSE)</f>
        <v>狂壊性エスカレーション</v>
      </c>
      <c r="AR5" s="55" t="str">
        <f ca="1">VLOOKUP($AP5,OFFSET(unit_skills!$A$1,0,0,COUNTA(unit_skills!$A:$A),MATCH(AR$1,unit_skills!$1:$1,0)-MATCH($AP$1,unit_skills!$1:$1,0)+1),MATCH(AR$1,unit_skills!$1:$1,0)-MATCH($AP$1,unit_skills!$1:$1,0)+1,FALSE)</f>
        <v>敵1体のHPを10%減少+種族サムライのスキルターン1短縮+2ターンの間種族サムライの攻撃力を特大UP</v>
      </c>
      <c r="AS5" s="55">
        <f ca="1">VLOOKUP($AP5,OFFSET(unit_skills!$A$1,0,0,COUNTA(unit_skills!$A:$A),MATCH(AS$1,unit_skills!$1:$1,0)-MATCH($AP$1,unit_skills!$1:$1,0)+1),MATCH(AS$1,unit_skills!$1:$1,0)-MATCH($AP$1,unit_skills!$1:$1,0)+1,FALSE)</f>
        <v>0</v>
      </c>
      <c r="AT5" s="40">
        <v>1132</v>
      </c>
      <c r="AU5" s="55" t="str">
        <f ca="1">VLOOKUP($AT5,OFFSET(crash_skills!$A$1,0,0,COUNTA(crash_skills!$A:$A),MATCH(AU$1,crash_skills!$1:$1,0)-MATCH($AT$1,crash_skills!$1:$1,0)+1),MATCH(AU$1,crash_skills!$1:$1,0)-MATCH($AT$1,crash_skills!$1:$1,0)+1,FALSE)</f>
        <v>終焉導く暴墜</v>
      </c>
      <c r="AV5" s="55" t="str">
        <f ca="1">VLOOKUP($AT5,OFFSET(crash_skills!$A$1,0,0,COUNTA(crash_skills!$A:$A),MATCH(AV$1,crash_skills!$1:$1,0)-MATCH($AT$1,crash_skills!$1:$1,0)+1),MATCH(AV$1,crash_skills!$1:$1,0)-MATCH($AT$1,crash_skills!$1:$1,0)+1,FALSE)</f>
        <v>1体に防御力を無視した固定威力特大ダメージ</v>
      </c>
      <c r="AW5" s="55">
        <f ca="1">VLOOKUP($AT5,OFFSET(crash_skills!$A$1,0,0,COUNTA(crash_skills!$A:$A),MATCH(AW$1,crash_skills!$1:$1,0)-MATCH($AT$1,crash_skills!$1:$1,0)+1),MATCH(AW$1,crash_skills!$1:$1,0)-MATCH($AT$1,crash_skills!$1:$1,0)+1,FALSE)</f>
        <v>0</v>
      </c>
      <c r="AX5" s="56">
        <f ca="1">VLOOKUP($A5,OFFSET([1]characters!$A$1,0,0,COUNTA([1]characters!$A:$A),MATCH(AX$1,[1]characters!$1:$1,0)-MATCH($A$1,[1]characters!$1:$1,0)+1),MATCH(AX$1,[1]characters!$1:$1,0)-MATCH($A$1,[1]characters!$1:$1,0)+1,FALSE)</f>
        <v>3</v>
      </c>
      <c r="AY5" s="66">
        <v>1</v>
      </c>
      <c r="AZ5" s="66">
        <v>1.08</v>
      </c>
      <c r="BA5" s="66">
        <v>0</v>
      </c>
      <c r="BB5" s="66">
        <v>0.97</v>
      </c>
      <c r="BC5" s="11">
        <f ca="1">INDEX('RC6SV'!$A$1:$G$21,MATCH(H5,'RC6SV'!$A$1:$A$21,FALSE),MATCH(G5,'RC6SV'!$A$1:$G$1,FALSE))</f>
        <v>12000</v>
      </c>
      <c r="BD5" s="46">
        <f t="shared" ref="BD5:BD8" ca="1" si="8">ROUND(BC5*IF(AJ5=1,0.95,IF(AJ5=2,1,IF(AJ5,1.05,0))),0)</f>
        <v>12000</v>
      </c>
      <c r="BE5" s="11">
        <f t="shared" ca="1" si="3"/>
        <v>9000</v>
      </c>
      <c r="BF5" s="11">
        <f t="shared" ca="1" si="4"/>
        <v>1</v>
      </c>
      <c r="BG5" s="16">
        <f ca="1">IF($BE5&lt;=0,ROUND(BK5*0.5,0), ROUND($BE5*S5*AA5*J5*AY5*0.8*[1]ステータス!$B$2,0))</f>
        <v>5324</v>
      </c>
      <c r="BH5" s="16">
        <f ca="1">IF($BE5&lt;=0,ROUND(BL5*0.5,0), ROUND($BE5*T5*AB5*K5*AZ5*0.8*[1]ステータス!$C$2,0))</f>
        <v>1943</v>
      </c>
      <c r="BI5" s="16">
        <f ca="1">IF($BE5&lt;=0,ROUND(BM5*0.5,0), ROUND($BE5*U5*AC5*L5*BA5*0.8*[1]ステータス!$D$2,0))</f>
        <v>0</v>
      </c>
      <c r="BJ5" s="16">
        <f ca="1">IF($BE5&lt;=0,ROUND(BN5*0.5,0), ROUND($BE5*V5*AD5*M5*BB5*0.8*[1]ステータス!$E$2,0))</f>
        <v>1222</v>
      </c>
      <c r="BK5" s="11">
        <f ca="1">ROUND(BD5*S5*AA5*J5*AY5*[1]ステータス!$B$2,0)</f>
        <v>8874</v>
      </c>
      <c r="BL5" s="11">
        <f ca="1">ROUND(BD5*T5*AB5*K5*AZ5*[1]ステータス!$C$2,0)</f>
        <v>3239</v>
      </c>
      <c r="BM5" s="11">
        <f ca="1">ROUND(BD5*U5*AC5*L5*BA5*[1]ステータス!$D$2,0)</f>
        <v>0</v>
      </c>
      <c r="BN5" s="11">
        <f ca="1">ROUND(BD5*V5*AD5*M5*BB5*[1]ステータス!$E$2,0)</f>
        <v>2037</v>
      </c>
      <c r="BO5" s="10">
        <v>0</v>
      </c>
      <c r="BP5" s="10">
        <v>1</v>
      </c>
      <c r="BQ5" s="10" t="s">
        <v>47</v>
      </c>
      <c r="BR5" s="10">
        <f ca="1">VLOOKUP(H5,ghosts_label!$A$2:$B$19,2,FALSE)</f>
        <v>1</v>
      </c>
    </row>
    <row r="6" spans="1:70" ht="26" customHeight="1" x14ac:dyDescent="0.15">
      <c r="A6" s="12">
        <v>1133</v>
      </c>
      <c r="B6" s="55" t="str">
        <f ca="1">VLOOKUP($A6,OFFSET([1]characters!$A$1,0,0,COUNTA([1]characters!$A:$A),MATCH(B$1,[1]characters!$1:$1,0)-MATCH($A$1,[1]characters!$1:$1,0)+1),MATCH(B$1,[1]characters!$1:$1,0)-MATCH($A$1,[1]characters!$1:$1,0)+1,FALSE)</f>
        <v>貂蝉</v>
      </c>
      <c r="C6" s="55" t="str">
        <f ca="1">VLOOKUP($A6,OFFSET([1]characters!$A$1,0,0,COUNTA([1]characters!$A:$A),MATCH(C$1,[1]characters!$1:$1,0)-MATCH($A$1,[1]characters!$1:$1,0)+1),MATCH(C$1,[1]characters!$1:$1,0)-MATCH($A$1,[1]characters!$1:$1,0)+1,FALSE)</f>
        <v>未定</v>
      </c>
      <c r="D6" s="55" t="str">
        <f ca="1">VLOOKUP($A6,OFFSET([1]characters!$A$1,0,0,COUNTA([1]characters!$A:$A),MATCH(D$1,[1]characters!$1:$1,0)-MATCH($A$1,[1]characters!$1:$1,0)+1),MATCH(D$1,[1]characters!$1:$1,0)-MATCH($A$1,[1]characters!$1:$1,0)+1,FALSE)</f>
        <v>アリス</v>
      </c>
      <c r="E6" s="55" t="str">
        <f ca="1">VLOOKUP($A6,OFFSET([1]characters!$A$1,0,0,COUNTA([1]characters!$A:$A),MATCH(E$1,[1]characters!$1:$1,0)-MATCH($A$1,[1]characters!$1:$1,0)+1),MATCH(E$1,[1]characters!$1:$1,0)-MATCH($A$1,[1]characters!$1:$1,0)+1,FALSE)</f>
        <v>世界観</v>
      </c>
      <c r="F6" s="55" t="str">
        <f ca="1">VLOOKUP($A6,OFFSET([1]characters!$A$1,0,0,COUNTA([1]characters!$A:$A),MATCH(F$1,[1]characters!$1:$1,0)-MATCH($A$1,[1]characters!$1:$1,0)+1),MATCH(F$1,[1]characters!$1:$1,0)-MATCH($A$1,[1]characters!$1:$1,0)+1,FALSE)</f>
        <v>不明</v>
      </c>
      <c r="G6" s="55">
        <f ca="1">VLOOKUP($A6,OFFSET([1]characters!$A$1,0,0,COUNTA([1]characters!$A:$A),MATCH(G$1,[1]characters!$1:$1,0)-MATCH($A$1,[1]characters!$1:$1,0)+1),MATCH(G$1,[1]characters!$1:$1,0)-MATCH($A$1,[1]characters!$1:$1,0)+1,FALSE)</f>
        <v>5</v>
      </c>
      <c r="H6" s="55" t="str">
        <f ca="1">VLOOKUP($A6,OFFSET([1]characters!$A$1,0,0,COUNTA([1]characters!$A:$A),MATCH(H$1,[1]characters!$1:$1,0)-MATCH($A$1,[1]characters!$1:$1,0)+1),MATCH(H$1,[1]characters!$1:$1,0)-MATCH($A$1,[1]characters!$1:$1,0)+1,FALSE)</f>
        <v>DropWizS</v>
      </c>
      <c r="I6" s="55" t="str">
        <f ca="1">VLOOKUP($A6,OFFSET([1]characters!$A$1,0,0,COUNTA([1]characters!$A:$A),MATCH(I$1,[1]characters!$1:$1,0)-MATCH($A$1,[1]characters!$1:$1,0)+1),MATCH(I$1,[1]characters!$1:$1,0)-MATCH($A$1,[1]characters!$1:$1,0)+1,FALSE)</f>
        <v>yellow</v>
      </c>
      <c r="J6" s="11">
        <f ca="1">VLOOKUP(I6,[1]属性!$A:$E,2,FALSE)</f>
        <v>0.98</v>
      </c>
      <c r="K6" s="11">
        <f ca="1">VLOOKUP(I6,[1]属性!$A:$E,3,FALSE)</f>
        <v>1.01</v>
      </c>
      <c r="L6" s="11">
        <f ca="1">VLOOKUP(I6,[1]属性!$A:$E,4,FALSE)</f>
        <v>1</v>
      </c>
      <c r="M6" s="11">
        <f ca="1">VLOOKUP(I6,[1]属性!$A:$E,5,FALSE)</f>
        <v>1.01</v>
      </c>
      <c r="N6" s="11">
        <f ca="1">INDEX(コスト!$A$1:$I$21,MATCH(H6,コスト!$A$1:$A$21,FALSE),MATCH(G6,コスト!$A$1:$I$1,FALSE))</f>
        <v>30</v>
      </c>
      <c r="O6" s="11">
        <f ca="1">INDEX(レベル!$A$1:$I$22,MATCH(H6,レベル!$A$1:$A$22,FALSE),MATCH(G6,レベル!$A$1:$I$1,FALSE))</f>
        <v>80</v>
      </c>
      <c r="P6" s="46">
        <f t="shared" ca="1" si="0"/>
        <v>75</v>
      </c>
      <c r="Q6" s="55" t="str">
        <f ca="1">VLOOKUP($A6,OFFSET([1]characters!$A$1,0,0,COUNTA([1]characters!$A:$A),MATCH(Q$1,[1]characters!$1:$1,0)-MATCH($A$1,[1]characters!$1:$1,0)+1),MATCH(Q$1,[1]characters!$1:$1,0)-MATCH($A$1,[1]characters!$1:$1,0)+1,FALSE)</f>
        <v>technical</v>
      </c>
      <c r="R6" s="5" t="str">
        <f ca="1">VLOOKUP(Q6,[1]character_type_i18n!$A:$H,3,FALSE)</f>
        <v>テクニカルタイプ</v>
      </c>
      <c r="S6" s="11">
        <f ca="1">VLOOKUP(Q6,[1]character_type_i18n!$A:$H,4,FALSE)</f>
        <v>0.9</v>
      </c>
      <c r="T6" s="11">
        <f ca="1">VLOOKUP(Q6,[1]character_type_i18n!$A:$H,5,FALSE)</f>
        <v>0.9</v>
      </c>
      <c r="U6" s="11">
        <f ca="1">VLOOKUP(Q6,[1]character_type_i18n!$A:$H,6,FALSE)</f>
        <v>1</v>
      </c>
      <c r="V6" s="11">
        <f ca="1">VLOOKUP(Q6,[1]character_type_i18n!$A:$H,7,FALSE)</f>
        <v>0.9</v>
      </c>
      <c r="W6" s="55" t="str">
        <f ca="1">VLOOKUP($A6,OFFSET([1]characters!$A$1,0,0,COUNTA([1]characters!$A:$A),MATCH(W$1,[1]characters!$1:$1,0)-MATCH($A$1,[1]characters!$1:$1,0)+1),MATCH(W$1,[1]characters!$1:$1,0)-MATCH($A$1,[1]characters!$1:$1,0)+1,FALSE)</f>
        <v>samurai</v>
      </c>
      <c r="X6" s="5" t="str">
        <f ca="1">VLOOKUP(W6,[1]character_tribe_i18n!$A:$H,3,FALSE)</f>
        <v>サムライ</v>
      </c>
      <c r="Y6" s="55" t="str">
        <f ca="1">VLOOKUP($A6,OFFSET([1]characters!$A$1,0,0,COUNTA([1]characters!$A:$A),MATCH(Y$1,[1]characters!$1:$1,0)-MATCH($A$1,[1]characters!$1:$1,0)+1),MATCH(Y$1,[1]characters!$1:$1,0)-MATCH($A$1,[1]characters!$1:$1,0)+1,FALSE)</f>
        <v>human</v>
      </c>
      <c r="Z6" s="5" t="str">
        <f ca="1">VLOOKUP(Y6,[1]character_tribe_i18n!$A:$H,3,FALSE)</f>
        <v>ヒューマン</v>
      </c>
      <c r="AA6" s="11">
        <f ca="1">VLOOKUP(W6,[1]character_tribe_i18n!$A:$H,4,FALSE)</f>
        <v>1</v>
      </c>
      <c r="AB6" s="11">
        <f ca="1">VLOOKUP(W6,[1]character_tribe_i18n!$A:$H,5,FALSE)</f>
        <v>1</v>
      </c>
      <c r="AC6" s="11">
        <f ca="1">VLOOKUP(W6,[1]character_tribe_i18n!$A:$H,6,FALSE)</f>
        <v>1</v>
      </c>
      <c r="AD6" s="11">
        <f ca="1">VLOOKUP(W6,[1]character_tribe_i18n!$A:$H,7,FALSE)</f>
        <v>1</v>
      </c>
      <c r="AE6" s="9">
        <v>1134</v>
      </c>
      <c r="AF6" s="60" t="str">
        <f ca="1">IF(AE6="NULL","",VLOOKUP($AE6,OFFSET([1]characters!$A$1,0,0,COUNTA([1]characters!$A:$A),MATCH(AF$1,[1]characters!$1:$1,0)-MATCH($A$1,[1]characters!$1:$1,0)+1),MATCH(AF$1,[1]characters!$1:$1,0)-MATCH($A$1,[1]characters!$1:$1,0)+1,FALSE))</f>
        <v>月隠れの美麗酔 貂蝉</v>
      </c>
      <c r="AG6" s="5">
        <v>1133</v>
      </c>
      <c r="AH6" s="60" t="str">
        <f ca="1">VLOOKUP($AG6,OFFSET([1]characters!$A$1,0,0,COUNTA([1]characters!$A:$A),MATCH(AH$1,[1]characters!$1:$1,0)-MATCH($A$1,[1]characters!$1:$1,0)+1),MATCH(AH$1,[1]characters!$1:$1,0)-MATCH($A$1,[1]characters!$1:$1,0)+1,FALSE)</f>
        <v>貂蝉</v>
      </c>
      <c r="AI6" s="11">
        <f ca="1">IF(AE6="NULL","NULL",VLOOKUP(G6,ビット!$A$2:$B$7,2))</f>
        <v>200000</v>
      </c>
      <c r="AJ6" s="6">
        <v>2</v>
      </c>
      <c r="AK6" s="7" t="str">
        <f t="shared" si="7"/>
        <v>普通</v>
      </c>
      <c r="AL6" s="11" t="str">
        <f ca="1">INDEX(経験値!$A$1:$I$21,MATCH(H6,経験値!$A$1:$A$21,FALSE),MATCH(G6,経験値!$A$1:$I$1,FALSE))</f>
        <v>required_exp_200</v>
      </c>
      <c r="AM6" s="8">
        <f ca="1">VLOOKUP(G6,経験値!$A$28:$B$32,2)</f>
        <v>6400</v>
      </c>
      <c r="AN6" s="17">
        <f ca="1">VLOOKUP(G6,ビット!$G$2:$H$7,2)</f>
        <v>900</v>
      </c>
      <c r="AO6" s="43"/>
      <c r="AP6" s="65">
        <v>1133</v>
      </c>
      <c r="AQ6" s="55" t="str">
        <f ca="1">VLOOKUP($AP6,OFFSET(unit_skills!$A$1,0,0,COUNTA(unit_skills!$A:$A),MATCH(AQ$1,unit_skills!$1:$1,0)-MATCH($AP$1,unit_skills!$1:$1,0)+1),MATCH(AQ$1,unit_skills!$1:$1,0)-MATCH($AP$1,unit_skills!$1:$1,0)+1,FALSE)</f>
        <v>羞花閉月の型</v>
      </c>
      <c r="AR6" s="55" t="str">
        <f ca="1">VLOOKUP($AP6,OFFSET(unit_skills!$A$1,0,0,COUNTA(unit_skills!$A:$A),MATCH(AR$1,unit_skills!$1:$1,0)-MATCH($AP$1,unit_skills!$1:$1,0)+1),MATCH(AR$1,unit_skills!$1:$1,0)-MATCH($AP$1,unit_skills!$1:$1,0)+1,FALSE)</f>
        <v>黄パネルを黄ボムパネルに、ハートパネルをハートのボムパネルに変換する</v>
      </c>
      <c r="AS6" s="55">
        <f ca="1">VLOOKUP($AP6,OFFSET(unit_skills!$A$1,0,0,COUNTA(unit_skills!$A:$A),MATCH(AS$1,unit_skills!$1:$1,0)-MATCH($AP$1,unit_skills!$1:$1,0)+1),MATCH(AS$1,unit_skills!$1:$1,0)-MATCH($AP$1,unit_skills!$1:$1,0)+1,FALSE)</f>
        <v>0</v>
      </c>
      <c r="AT6" s="40">
        <v>1133</v>
      </c>
      <c r="AU6" s="55" t="str">
        <f ca="1">VLOOKUP($AT6,OFFSET(crash_skills!$A$1,0,0,COUNTA(crash_skills!$A:$A),MATCH(AU$1,crash_skills!$1:$1,0)-MATCH($AT$1,crash_skills!$1:$1,0)+1),MATCH(AU$1,crash_skills!$1:$1,0)-MATCH($AT$1,crash_skills!$1:$1,0)+1,FALSE)</f>
        <v>禁愛的陶酔感</v>
      </c>
      <c r="AV6" s="55" t="str">
        <f ca="1">VLOOKUP($AT6,OFFSET(crash_skills!$A$1,0,0,COUNTA(crash_skills!$A:$A),MATCH(AV$1,crash_skills!$1:$1,0)-MATCH($AT$1,crash_skills!$1:$1,0)+1),MATCH(AV$1,crash_skills!$1:$1,0)-MATCH($AT$1,crash_skills!$1:$1,0)+1,FALSE)</f>
        <v>単体に2回大ダメージ</v>
      </c>
      <c r="AW6" s="55">
        <f ca="1">VLOOKUP($AT6,OFFSET(crash_skills!$A$1,0,0,COUNTA(crash_skills!$A:$A),MATCH(AW$1,crash_skills!$1:$1,0)-MATCH($AT$1,crash_skills!$1:$1,0)+1),MATCH(AW$1,crash_skills!$1:$1,0)-MATCH($AT$1,crash_skills!$1:$1,0)+1,FALSE)</f>
        <v>0</v>
      </c>
      <c r="AX6" s="56">
        <f ca="1">VLOOKUP($A6,OFFSET([1]characters!$A$1,0,0,COUNTA([1]characters!$A:$A),MATCH(AX$1,[1]characters!$1:$1,0)-MATCH($A$1,[1]characters!$1:$1,0)+1),MATCH(AX$1,[1]characters!$1:$1,0)-MATCH($A$1,[1]characters!$1:$1,0)+1,FALSE)</f>
        <v>3</v>
      </c>
      <c r="AY6" s="66">
        <v>1</v>
      </c>
      <c r="AZ6" s="66">
        <v>1.2</v>
      </c>
      <c r="BA6" s="66">
        <v>0</v>
      </c>
      <c r="BB6" s="66">
        <v>1</v>
      </c>
      <c r="BC6" s="11">
        <f ca="1">INDEX('RC6SV'!$A$1:$G$21,MATCH(H6,'RC6SV'!$A$1:$A$21,FALSE),MATCH(G6,'RC6SV'!$A$1:$G$1,FALSE))</f>
        <v>9000</v>
      </c>
      <c r="BD6" s="46">
        <f t="shared" ca="1" si="8"/>
        <v>9000</v>
      </c>
      <c r="BE6" s="11">
        <f t="shared" ca="1" si="3"/>
        <v>0</v>
      </c>
      <c r="BF6" s="11">
        <f t="shared" ca="1" si="4"/>
        <v>1</v>
      </c>
      <c r="BG6" s="16">
        <f ca="1">IF($BE6&lt;=0,ROUND(BK6*0.5,0), ROUND($BE6*S6*AA6*J6*AY6*0.8*[1]ステータス!$B$2,0))</f>
        <v>1985</v>
      </c>
      <c r="BH6" s="16">
        <f ca="1">IF($BE6&lt;=0,ROUND(BL6*0.5,0), ROUND($BE6*T6*AB6*K6*AZ6*0.8*[1]ステータス!$C$2,0))</f>
        <v>1473</v>
      </c>
      <c r="BI6" s="16">
        <f ca="1">IF($BE6&lt;=0,ROUND(BM6*0.5,0), ROUND($BE6*U6*AC6*L6*BA6*0.8*[1]ステータス!$D$2,0))</f>
        <v>0</v>
      </c>
      <c r="BJ6" s="16">
        <f ca="1">IF($BE6&lt;=0,ROUND(BN6*0.5,0), ROUND($BE6*V6*AD6*M6*BB6*0.8*[1]ステータス!$E$2,0))</f>
        <v>1023</v>
      </c>
      <c r="BK6" s="11">
        <f ca="1">ROUND(BD6*S6*AA6*J6*AY6*[1]ステータス!$B$2,0)</f>
        <v>3969</v>
      </c>
      <c r="BL6" s="11">
        <f ca="1">ROUND(BD6*T6*AB6*K6*AZ6*[1]ステータス!$C$2,0)</f>
        <v>2945</v>
      </c>
      <c r="BM6" s="11">
        <f ca="1">ROUND(BD6*U6*AC6*L6*BA6*[1]ステータス!$D$2,0)</f>
        <v>0</v>
      </c>
      <c r="BN6" s="11">
        <f ca="1">ROUND(BD6*V6*AD6*M6*BB6*[1]ステータス!$E$2,0)</f>
        <v>2045</v>
      </c>
      <c r="BO6" s="10">
        <v>0</v>
      </c>
      <c r="BP6" s="10">
        <v>1</v>
      </c>
      <c r="BQ6" s="10" t="s">
        <v>47</v>
      </c>
      <c r="BR6" s="10">
        <f ca="1">VLOOKUP(H6,ghosts_label!$A$2:$B$19,2,FALSE)</f>
        <v>1</v>
      </c>
    </row>
    <row r="7" spans="1:70" ht="26" customHeight="1" x14ac:dyDescent="0.15">
      <c r="A7" s="12">
        <v>1134</v>
      </c>
      <c r="B7" s="55" t="str">
        <f ca="1">VLOOKUP($A7,OFFSET([1]characters!$A$1,0,0,COUNTA([1]characters!$A:$A),MATCH(B$1,[1]characters!$1:$1,0)-MATCH($A$1,[1]characters!$1:$1,0)+1),MATCH(B$1,[1]characters!$1:$1,0)-MATCH($A$1,[1]characters!$1:$1,0)+1,FALSE)</f>
        <v>月隠れの美麗酔 貂蝉</v>
      </c>
      <c r="C7" s="55" t="str">
        <f ca="1">VLOOKUP($A7,OFFSET([1]characters!$A$1,0,0,COUNTA([1]characters!$A:$A),MATCH(C$1,[1]characters!$1:$1,0)-MATCH($A$1,[1]characters!$1:$1,0)+1),MATCH(C$1,[1]characters!$1:$1,0)-MATCH($A$1,[1]characters!$1:$1,0)+1,FALSE)</f>
        <v>未定</v>
      </c>
      <c r="D7" s="55" t="str">
        <f ca="1">VLOOKUP($A7,OFFSET([1]characters!$A$1,0,0,COUNTA([1]characters!$A:$A),MATCH(D$1,[1]characters!$1:$1,0)-MATCH($A$1,[1]characters!$1:$1,0)+1),MATCH(D$1,[1]characters!$1:$1,0)-MATCH($A$1,[1]characters!$1:$1,0)+1,FALSE)</f>
        <v>アリス</v>
      </c>
      <c r="E7" s="55" t="str">
        <f ca="1">VLOOKUP($A7,OFFSET([1]characters!$A$1,0,0,COUNTA([1]characters!$A:$A),MATCH(E$1,[1]characters!$1:$1,0)-MATCH($A$1,[1]characters!$1:$1,0)+1),MATCH(E$1,[1]characters!$1:$1,0)-MATCH($A$1,[1]characters!$1:$1,0)+1,FALSE)</f>
        <v>世界観</v>
      </c>
      <c r="F7" s="55" t="str">
        <f ca="1">VLOOKUP($A7,OFFSET([1]characters!$A$1,0,0,COUNTA([1]characters!$A:$A),MATCH(F$1,[1]characters!$1:$1,0)-MATCH($A$1,[1]characters!$1:$1,0)+1),MATCH(F$1,[1]characters!$1:$1,0)-MATCH($A$1,[1]characters!$1:$1,0)+1,FALSE)</f>
        <v>不明</v>
      </c>
      <c r="G7" s="55">
        <f ca="1">VLOOKUP($A7,OFFSET([1]characters!$A$1,0,0,COUNTA([1]characters!$A:$A),MATCH(G$1,[1]characters!$1:$1,0)-MATCH($A$1,[1]characters!$1:$1,0)+1),MATCH(G$1,[1]characters!$1:$1,0)-MATCH($A$1,[1]characters!$1:$1,0)+1,FALSE)</f>
        <v>6</v>
      </c>
      <c r="H7" s="55" t="str">
        <f ca="1">VLOOKUP($A7,OFFSET([1]characters!$A$1,0,0,COUNTA([1]characters!$A:$A),MATCH(H$1,[1]characters!$1:$1,0)-MATCH($A$1,[1]characters!$1:$1,0)+1),MATCH(H$1,[1]characters!$1:$1,0)-MATCH($A$1,[1]characters!$1:$1,0)+1,FALSE)</f>
        <v>DropWizS</v>
      </c>
      <c r="I7" s="55" t="str">
        <f ca="1">VLOOKUP($A7,OFFSET([1]characters!$A$1,0,0,COUNTA([1]characters!$A:$A),MATCH(I$1,[1]characters!$1:$1,0)-MATCH($A$1,[1]characters!$1:$1,0)+1),MATCH(I$1,[1]characters!$1:$1,0)-MATCH($A$1,[1]characters!$1:$1,0)+1,FALSE)</f>
        <v>yellow</v>
      </c>
      <c r="J7" s="11">
        <f ca="1">VLOOKUP(I7,[1]属性!$A:$E,2,FALSE)</f>
        <v>0.98</v>
      </c>
      <c r="K7" s="11">
        <f ca="1">VLOOKUP(I7,[1]属性!$A:$E,3,FALSE)</f>
        <v>1.01</v>
      </c>
      <c r="L7" s="11">
        <f ca="1">VLOOKUP(I7,[1]属性!$A:$E,4,FALSE)</f>
        <v>1</v>
      </c>
      <c r="M7" s="11">
        <f ca="1">VLOOKUP(I7,[1]属性!$A:$E,5,FALSE)</f>
        <v>1.01</v>
      </c>
      <c r="N7" s="11">
        <f ca="1">INDEX(コスト!$A$1:$I$21,MATCH(H7,コスト!$A$1:$A$21,FALSE),MATCH(G7,コスト!$A$1:$I$1,FALSE))</f>
        <v>45</v>
      </c>
      <c r="O7" s="11">
        <f ca="1">INDEX(レベル!$A$1:$I$22,MATCH(H7,レベル!$A$1:$A$22,FALSE),MATCH(G7,レベル!$A$1:$I$1,FALSE))</f>
        <v>99</v>
      </c>
      <c r="P7" s="46">
        <f t="shared" ca="1" si="0"/>
        <v>99</v>
      </c>
      <c r="Q7" s="55" t="str">
        <f ca="1">VLOOKUP($A7,OFFSET([1]characters!$A$1,0,0,COUNTA([1]characters!$A:$A),MATCH(Q$1,[1]characters!$1:$1,0)-MATCH($A$1,[1]characters!$1:$1,0)+1),MATCH(Q$1,[1]characters!$1:$1,0)-MATCH($A$1,[1]characters!$1:$1,0)+1,FALSE)</f>
        <v>technical</v>
      </c>
      <c r="R7" s="5" t="str">
        <f ca="1">VLOOKUP(Q7,[1]character_type_i18n!$A:$H,3,FALSE)</f>
        <v>テクニカルタイプ</v>
      </c>
      <c r="S7" s="11">
        <f ca="1">VLOOKUP(Q7,[1]character_type_i18n!$A:$H,4,FALSE)</f>
        <v>0.9</v>
      </c>
      <c r="T7" s="11">
        <f ca="1">VLOOKUP(Q7,[1]character_type_i18n!$A:$H,5,FALSE)</f>
        <v>0.9</v>
      </c>
      <c r="U7" s="11">
        <f ca="1">VLOOKUP(Q7,[1]character_type_i18n!$A:$H,6,FALSE)</f>
        <v>1</v>
      </c>
      <c r="V7" s="11">
        <f ca="1">VLOOKUP(Q7,[1]character_type_i18n!$A:$H,7,FALSE)</f>
        <v>0.9</v>
      </c>
      <c r="W7" s="55" t="str">
        <f ca="1">VLOOKUP($A7,OFFSET([1]characters!$A$1,0,0,COUNTA([1]characters!$A:$A),MATCH(W$1,[1]characters!$1:$1,0)-MATCH($A$1,[1]characters!$1:$1,0)+1),MATCH(W$1,[1]characters!$1:$1,0)-MATCH($A$1,[1]characters!$1:$1,0)+1,FALSE)</f>
        <v>samurai</v>
      </c>
      <c r="X7" s="5" t="str">
        <f ca="1">VLOOKUP(W7,[1]character_tribe_i18n!$A:$H,3,FALSE)</f>
        <v>サムライ</v>
      </c>
      <c r="Y7" s="55" t="str">
        <f ca="1">VLOOKUP($A7,OFFSET([1]characters!$A$1,0,0,COUNTA([1]characters!$A:$A),MATCH(Y$1,[1]characters!$1:$1,0)-MATCH($A$1,[1]characters!$1:$1,0)+1),MATCH(Y$1,[1]characters!$1:$1,0)-MATCH($A$1,[1]characters!$1:$1,0)+1,FALSE)</f>
        <v>human</v>
      </c>
      <c r="Z7" s="5" t="str">
        <f ca="1">VLOOKUP(Y7,[1]character_tribe_i18n!$A:$H,3,FALSE)</f>
        <v>ヒューマン</v>
      </c>
      <c r="AA7" s="11">
        <f ca="1">VLOOKUP(W7,[1]character_tribe_i18n!$A:$H,4,FALSE)</f>
        <v>1</v>
      </c>
      <c r="AB7" s="11">
        <f ca="1">VLOOKUP(W7,[1]character_tribe_i18n!$A:$H,5,FALSE)</f>
        <v>1</v>
      </c>
      <c r="AC7" s="11">
        <f ca="1">VLOOKUP(W7,[1]character_tribe_i18n!$A:$H,6,FALSE)</f>
        <v>1</v>
      </c>
      <c r="AD7" s="11">
        <f ca="1">VLOOKUP(W7,[1]character_tribe_i18n!$A:$H,7,FALSE)</f>
        <v>1</v>
      </c>
      <c r="AE7" s="9" t="s">
        <v>183</v>
      </c>
      <c r="AF7" s="60" t="str">
        <f ca="1">IF(AE7="NULL","",VLOOKUP($AE7,OFFSET([1]characters!$A$1,0,0,COUNTA([1]characters!$A:$A),MATCH(AF$1,[1]characters!$1:$1,0)-MATCH($A$1,[1]characters!$1:$1,0)+1),MATCH(AF$1,[1]characters!$1:$1,0)-MATCH($A$1,[1]characters!$1:$1,0)+1,FALSE))</f>
        <v/>
      </c>
      <c r="AG7" s="5">
        <v>1133</v>
      </c>
      <c r="AH7" s="60" t="str">
        <f ca="1">VLOOKUP($AG7,OFFSET([1]characters!$A$1,0,0,COUNTA([1]characters!$A:$A),MATCH(AH$1,[1]characters!$1:$1,0)-MATCH($A$1,[1]characters!$1:$1,0)+1),MATCH(AH$1,[1]characters!$1:$1,0)-MATCH($A$1,[1]characters!$1:$1,0)+1,FALSE)</f>
        <v>貂蝉</v>
      </c>
      <c r="AI7" s="11" t="str">
        <f>IF(AE7="NULL","NULL",VLOOKUP(G7,ビット!$A$2:$B$7,2))</f>
        <v>NULL</v>
      </c>
      <c r="AJ7" s="6">
        <v>2</v>
      </c>
      <c r="AK7" s="7" t="str">
        <f t="shared" si="7"/>
        <v>普通</v>
      </c>
      <c r="AL7" s="11" t="str">
        <f ca="1">INDEX(経験値!$A$1:$I$21,MATCH(H7,経験値!$A$1:$A$21,FALSE),MATCH(G7,経験値!$A$1:$I$1,FALSE))</f>
        <v>required_exp_250</v>
      </c>
      <c r="AM7" s="8">
        <f ca="1">VLOOKUP(G7,経験値!$A$28:$B$32,2)</f>
        <v>6400</v>
      </c>
      <c r="AN7" s="17">
        <f ca="1">VLOOKUP(G7,ビット!$G$2:$H$7,2)</f>
        <v>900</v>
      </c>
      <c r="AO7" s="43"/>
      <c r="AP7" s="65">
        <v>1134</v>
      </c>
      <c r="AQ7" s="55" t="str">
        <f ca="1">VLOOKUP($AP7,OFFSET(unit_skills!$A$1,0,0,COUNTA(unit_skills!$A:$A),MATCH(AQ$1,unit_skills!$1:$1,0)-MATCH($AP$1,unit_skills!$1:$1,0)+1),MATCH(AQ$1,unit_skills!$1:$1,0)-MATCH($AP$1,unit_skills!$1:$1,0)+1,FALSE)</f>
        <v>清歌妙舞の型</v>
      </c>
      <c r="AR7" s="55" t="str">
        <f ca="1">VLOOKUP($AP7,OFFSET(unit_skills!$A$1,0,0,COUNTA(unit_skills!$A:$A),MATCH(AR$1,unit_skills!$1:$1,0)-MATCH($AP$1,unit_skills!$1:$1,0)+1),MATCH(AR$1,unit_skills!$1:$1,0)-MATCH($AP$1,unit_skills!$1:$1,0)+1,FALSE)</f>
        <v>黄パネルを黄ボムパネルに、ハートパネルをハートのボムパネルに変換する</v>
      </c>
      <c r="AS7" s="55">
        <f ca="1">VLOOKUP($AP7,OFFSET(unit_skills!$A$1,0,0,COUNTA(unit_skills!$A:$A),MATCH(AS$1,unit_skills!$1:$1,0)-MATCH($AP$1,unit_skills!$1:$1,0)+1),MATCH(AS$1,unit_skills!$1:$1,0)-MATCH($AP$1,unit_skills!$1:$1,0)+1,FALSE)</f>
        <v>0</v>
      </c>
      <c r="AT7" s="40">
        <v>1134</v>
      </c>
      <c r="AU7" s="55" t="str">
        <f ca="1">VLOOKUP($AT7,OFFSET(crash_skills!$A$1,0,0,COUNTA(crash_skills!$A:$A),MATCH(AU$1,crash_skills!$1:$1,0)-MATCH($AT$1,crash_skills!$1:$1,0)+1),MATCH(AU$1,crash_skills!$1:$1,0)-MATCH($AT$1,crash_skills!$1:$1,0)+1,FALSE)</f>
        <v>禁愛的陶酔感</v>
      </c>
      <c r="AV7" s="55" t="str">
        <f ca="1">VLOOKUP($AT7,OFFSET(crash_skills!$A$1,0,0,COUNTA(crash_skills!$A:$A),MATCH(AV$1,crash_skills!$1:$1,0)-MATCH($AT$1,crash_skills!$1:$1,0)+1),MATCH(AV$1,crash_skills!$1:$1,0)-MATCH($AT$1,crash_skills!$1:$1,0)+1,FALSE)</f>
        <v>単体に2回大ダメージ</v>
      </c>
      <c r="AW7" s="55">
        <f ca="1">VLOOKUP($AT7,OFFSET(crash_skills!$A$1,0,0,COUNTA(crash_skills!$A:$A),MATCH(AW$1,crash_skills!$1:$1,0)-MATCH($AT$1,crash_skills!$1:$1,0)+1),MATCH(AW$1,crash_skills!$1:$1,0)-MATCH($AT$1,crash_skills!$1:$1,0)+1,FALSE)</f>
        <v>0</v>
      </c>
      <c r="AX7" s="56">
        <f ca="1">VLOOKUP($A7,OFFSET([1]characters!$A$1,0,0,COUNTA([1]characters!$A:$A),MATCH(AX$1,[1]characters!$1:$1,0)-MATCH($A$1,[1]characters!$1:$1,0)+1),MATCH(AX$1,[1]characters!$1:$1,0)-MATCH($A$1,[1]characters!$1:$1,0)+1,FALSE)</f>
        <v>3</v>
      </c>
      <c r="AY7" s="66">
        <v>1</v>
      </c>
      <c r="AZ7" s="66">
        <v>1.28</v>
      </c>
      <c r="BA7" s="66">
        <v>0</v>
      </c>
      <c r="BB7" s="66">
        <v>1.18</v>
      </c>
      <c r="BC7" s="11">
        <f ca="1">INDEX('RC6SV'!$A$1:$G$21,MATCH(H7,'RC6SV'!$A$1:$A$21,FALSE),MATCH(G7,'RC6SV'!$A$1:$G$1,FALSE))</f>
        <v>12000</v>
      </c>
      <c r="BD7" s="46">
        <f t="shared" ca="1" si="8"/>
        <v>12000</v>
      </c>
      <c r="BE7" s="11">
        <f t="shared" ca="1" si="3"/>
        <v>9000</v>
      </c>
      <c r="BF7" s="11">
        <f t="shared" ca="1" si="4"/>
        <v>1</v>
      </c>
      <c r="BG7" s="16">
        <f ca="1">IF($BE7&lt;=0,ROUND(BK7*0.5,0), ROUND($BE7*S7*AA7*J7*AY7*0.8*[1]ステータス!$B$2,0))</f>
        <v>3175</v>
      </c>
      <c r="BH7" s="16">
        <f ca="1">IF($BE7&lt;=0,ROUND(BL7*0.5,0), ROUND($BE7*T7*AB7*K7*AZ7*0.8*[1]ステータス!$C$2,0))</f>
        <v>2513</v>
      </c>
      <c r="BI7" s="16">
        <f ca="1">IF($BE7&lt;=0,ROUND(BM7*0.5,0), ROUND($BE7*U7*AC7*L7*BA7*0.8*[1]ステータス!$D$2,0))</f>
        <v>0</v>
      </c>
      <c r="BJ7" s="16">
        <f ca="1">IF($BE7&lt;=0,ROUND(BN7*0.5,0), ROUND($BE7*V7*AD7*M7*BB7*0.8*[1]ステータス!$E$2,0))</f>
        <v>1931</v>
      </c>
      <c r="BK7" s="11">
        <f ca="1">ROUND(BD7*S7*AA7*J7*AY7*[1]ステータス!$B$2,0)</f>
        <v>5292</v>
      </c>
      <c r="BL7" s="11">
        <f ca="1">ROUND(BD7*T7*AB7*K7*AZ7*[1]ステータス!$C$2,0)</f>
        <v>4189</v>
      </c>
      <c r="BM7" s="11">
        <f ca="1">ROUND(BD7*U7*AC7*L7*BA7*[1]ステータス!$D$2,0)</f>
        <v>0</v>
      </c>
      <c r="BN7" s="11">
        <f ca="1">ROUND(BD7*V7*AD7*M7*BB7*[1]ステータス!$E$2,0)</f>
        <v>3218</v>
      </c>
      <c r="BO7" s="10">
        <v>0</v>
      </c>
      <c r="BP7" s="10">
        <v>1</v>
      </c>
      <c r="BQ7" s="10" t="s">
        <v>47</v>
      </c>
      <c r="BR7" s="10">
        <f ca="1">VLOOKUP(H7,ghosts_label!$A$2:$B$19,2,FALSE)</f>
        <v>1</v>
      </c>
    </row>
    <row r="8" spans="1:70" ht="26" customHeight="1" x14ac:dyDescent="0.15">
      <c r="A8" s="12">
        <v>1135</v>
      </c>
      <c r="B8" s="55" t="str">
        <f ca="1">VLOOKUP($A8,OFFSET([1]characters!$A$1,0,0,COUNTA([1]characters!$A:$A),MATCH(B$1,[1]characters!$1:$1,0)-MATCH($A$1,[1]characters!$1:$1,0)+1),MATCH(B$1,[1]characters!$1:$1,0)-MATCH($A$1,[1]characters!$1:$1,0)+1,FALSE)</f>
        <v>呂布</v>
      </c>
      <c r="C8" s="55" t="str">
        <f ca="1">VLOOKUP($A8,OFFSET([1]characters!$A$1,0,0,COUNTA([1]characters!$A:$A),MATCH(C$1,[1]characters!$1:$1,0)-MATCH($A$1,[1]characters!$1:$1,0)+1),MATCH(C$1,[1]characters!$1:$1,0)-MATCH($A$1,[1]characters!$1:$1,0)+1,FALSE)</f>
        <v>未定</v>
      </c>
      <c r="D8" s="55" t="str">
        <f ca="1">VLOOKUP($A8,OFFSET([1]characters!$A$1,0,0,COUNTA([1]characters!$A:$A),MATCH(D$1,[1]characters!$1:$1,0)-MATCH($A$1,[1]characters!$1:$1,0)+1),MATCH(D$1,[1]characters!$1:$1,0)-MATCH($A$1,[1]characters!$1:$1,0)+1,FALSE)</f>
        <v>アリス</v>
      </c>
      <c r="E8" s="55" t="str">
        <f ca="1">VLOOKUP($A8,OFFSET([1]characters!$A$1,0,0,COUNTA([1]characters!$A:$A),MATCH(E$1,[1]characters!$1:$1,0)-MATCH($A$1,[1]characters!$1:$1,0)+1),MATCH(E$1,[1]characters!$1:$1,0)-MATCH($A$1,[1]characters!$1:$1,0)+1,FALSE)</f>
        <v>世界観</v>
      </c>
      <c r="F8" s="55" t="str">
        <f ca="1">VLOOKUP($A8,OFFSET([1]characters!$A$1,0,0,COUNTA([1]characters!$A:$A),MATCH(F$1,[1]characters!$1:$1,0)-MATCH($A$1,[1]characters!$1:$1,0)+1),MATCH(F$1,[1]characters!$1:$1,0)-MATCH($A$1,[1]characters!$1:$1,0)+1,FALSE)</f>
        <v>不明</v>
      </c>
      <c r="G8" s="55">
        <f ca="1">VLOOKUP($A8,OFFSET([1]characters!$A$1,0,0,COUNTA([1]characters!$A:$A),MATCH(G$1,[1]characters!$1:$1,0)-MATCH($A$1,[1]characters!$1:$1,0)+1),MATCH(G$1,[1]characters!$1:$1,0)-MATCH($A$1,[1]characters!$1:$1,0)+1,FALSE)</f>
        <v>5</v>
      </c>
      <c r="H8" s="55" t="str">
        <f ca="1">VLOOKUP($A8,OFFSET([1]characters!$A$1,0,0,COUNTA([1]characters!$A:$A),MATCH(H$1,[1]characters!$1:$1,0)-MATCH($A$1,[1]characters!$1:$1,0)+1),MATCH(H$1,[1]characters!$1:$1,0)-MATCH($A$1,[1]characters!$1:$1,0)+1,FALSE)</f>
        <v>DropWizSS</v>
      </c>
      <c r="I8" s="55" t="str">
        <f ca="1">VLOOKUP($A8,OFFSET([1]characters!$A$1,0,0,COUNTA([1]characters!$A:$A),MATCH(I$1,[1]characters!$1:$1,0)-MATCH($A$1,[1]characters!$1:$1,0)+1),MATCH(I$1,[1]characters!$1:$1,0)-MATCH($A$1,[1]characters!$1:$1,0)+1,FALSE)</f>
        <v>green</v>
      </c>
      <c r="J8" s="11">
        <f ca="1">VLOOKUP(I8,[1]属性!$A:$E,2,FALSE)</f>
        <v>1.02</v>
      </c>
      <c r="K8" s="11">
        <f ca="1">VLOOKUP(I8,[1]属性!$A:$E,3,FALSE)</f>
        <v>0.98</v>
      </c>
      <c r="L8" s="11">
        <f ca="1">VLOOKUP(I8,[1]属性!$A:$E,4,FALSE)</f>
        <v>1</v>
      </c>
      <c r="M8" s="11">
        <f ca="1">VLOOKUP(I8,[1]属性!$A:$E,5,FALSE)</f>
        <v>1</v>
      </c>
      <c r="N8" s="11">
        <f ca="1">INDEX(コスト!$A$1:$I$21,MATCH(H8,コスト!$A$1:$A$21,FALSE),MATCH(G8,コスト!$A$1:$I$1,FALSE))</f>
        <v>35</v>
      </c>
      <c r="O8" s="11">
        <f ca="1">INDEX(レベル!$A$1:$I$22,MATCH(H8,レベル!$A$1:$A$22,FALSE),MATCH(G8,レベル!$A$1:$I$1,FALSE))</f>
        <v>80</v>
      </c>
      <c r="P8" s="46">
        <f t="shared" ca="1" si="0"/>
        <v>75</v>
      </c>
      <c r="Q8" s="55"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5" t="str">
        <f ca="1">VLOOKUP($A8,OFFSET([1]characters!$A$1,0,0,COUNTA([1]characters!$A:$A),MATCH(W$1,[1]characters!$1:$1,0)-MATCH($A$1,[1]characters!$1:$1,0)+1),MATCH(W$1,[1]characters!$1:$1,0)-MATCH($A$1,[1]characters!$1:$1,0)+1,FALSE)</f>
        <v>samurai</v>
      </c>
      <c r="X8" s="5" t="str">
        <f ca="1">VLOOKUP(W8,[1]character_tribe_i18n!$A:$H,3,FALSE)</f>
        <v>サムライ</v>
      </c>
      <c r="Y8" s="55" t="str">
        <f ca="1">VLOOKUP($A8,OFFSET([1]characters!$A$1,0,0,COUNTA([1]characters!$A:$A),MATCH(Y$1,[1]characters!$1:$1,0)-MATCH($A$1,[1]characters!$1:$1,0)+1),MATCH(Y$1,[1]characters!$1:$1,0)-MATCH($A$1,[1]characters!$1:$1,0)+1,FALSE)</f>
        <v>human</v>
      </c>
      <c r="Z8" s="5" t="str">
        <f ca="1">VLOOKUP(Y8,[1]character_tribe_i18n!$A:$H,3,FALSE)</f>
        <v>ヒューマン</v>
      </c>
      <c r="AA8" s="11">
        <f ca="1">VLOOKUP(W8,[1]character_tribe_i18n!$A:$H,4,FALSE)</f>
        <v>1</v>
      </c>
      <c r="AB8" s="11">
        <f ca="1">VLOOKUP(W8,[1]character_tribe_i18n!$A:$H,5,FALSE)</f>
        <v>1</v>
      </c>
      <c r="AC8" s="11">
        <f ca="1">VLOOKUP(W8,[1]character_tribe_i18n!$A:$H,6,FALSE)</f>
        <v>1</v>
      </c>
      <c r="AD8" s="11">
        <f ca="1">VLOOKUP(W8,[1]character_tribe_i18n!$A:$H,7,FALSE)</f>
        <v>1</v>
      </c>
      <c r="AE8" s="9">
        <v>1136</v>
      </c>
      <c r="AF8" s="60" t="str">
        <f ca="1">IF(AE8="NULL","",VLOOKUP($AE8,OFFSET([1]characters!$A$1,0,0,COUNTA([1]characters!$A:$A),MATCH(AF$1,[1]characters!$1:$1,0)-MATCH($A$1,[1]characters!$1:$1,0)+1),MATCH(AF$1,[1]characters!$1:$1,0)-MATCH($A$1,[1]characters!$1:$1,0)+1,FALSE))</f>
        <v>豪拳烈創の激将 呂布</v>
      </c>
      <c r="AG8" s="5">
        <v>1135</v>
      </c>
      <c r="AH8" s="60" t="str">
        <f ca="1">VLOOKUP($AG8,OFFSET([1]characters!$A$1,0,0,COUNTA([1]characters!$A:$A),MATCH(AH$1,[1]characters!$1:$1,0)-MATCH($A$1,[1]characters!$1:$1,0)+1),MATCH(AH$1,[1]characters!$1:$1,0)-MATCH($A$1,[1]characters!$1:$1,0)+1,FALSE)</f>
        <v>呂布</v>
      </c>
      <c r="AI8" s="11">
        <f ca="1">IF(AE8="NULL","NULL",VLOOKUP(G8,ビット!$A$2:$B$7,2))</f>
        <v>200000</v>
      </c>
      <c r="AJ8" s="6">
        <v>2</v>
      </c>
      <c r="AK8" s="7" t="str">
        <f t="shared" si="7"/>
        <v>普通</v>
      </c>
      <c r="AL8" s="11" t="str">
        <f ca="1">INDEX(経験値!$A$1:$I$21,MATCH(H8,経験値!$A$1:$A$21,FALSE),MATCH(G8,経験値!$A$1:$I$1,FALSE))</f>
        <v>required_exp_200</v>
      </c>
      <c r="AM8" s="8">
        <f ca="1">VLOOKUP(G8,経験値!$A$28:$B$32,2)</f>
        <v>6400</v>
      </c>
      <c r="AN8" s="17">
        <f ca="1">VLOOKUP(G8,ビット!$G$2:$H$7,2)</f>
        <v>900</v>
      </c>
      <c r="AO8" s="43"/>
      <c r="AP8" s="65">
        <v>1135</v>
      </c>
      <c r="AQ8" s="55" t="str">
        <f ca="1">VLOOKUP($AP8,OFFSET(unit_skills!$A$1,0,0,COUNTA(unit_skills!$A:$A),MATCH(AQ$1,unit_skills!$1:$1,0)-MATCH($AP$1,unit_skills!$1:$1,0)+1),MATCH(AQ$1,unit_skills!$1:$1,0)-MATCH($AP$1,unit_skills!$1:$1,0)+1,FALSE)</f>
        <v>一騎当千･国士無双</v>
      </c>
      <c r="AR8" s="55" t="str">
        <f ca="1">VLOOKUP($AP8,OFFSET(unit_skills!$A$1,0,0,COUNTA(unit_skills!$A:$A),MATCH(AR$1,unit_skills!$1:$1,0)-MATCH($AP$1,unit_skills!$1:$1,0)+1),MATCH(AR$1,unit_skills!$1:$1,0)-MATCH($AP$1,unit_skills!$1:$1,0)+1,FALSE)</f>
        <v>ハートパネルを全てCパネルに変換する</v>
      </c>
      <c r="AS8" s="55">
        <f ca="1">VLOOKUP($AP8,OFFSET(unit_skills!$A$1,0,0,COUNTA(unit_skills!$A:$A),MATCH(AS$1,unit_skills!$1:$1,0)-MATCH($AP$1,unit_skills!$1:$1,0)+1),MATCH(AS$1,unit_skills!$1:$1,0)-MATCH($AP$1,unit_skills!$1:$1,0)+1,FALSE)</f>
        <v>0</v>
      </c>
      <c r="AT8" s="40">
        <v>1135</v>
      </c>
      <c r="AU8" s="55" t="str">
        <f ca="1">VLOOKUP($AT8,OFFSET(crash_skills!$A$1,0,0,COUNTA(crash_skills!$A:$A),MATCH(AU$1,crash_skills!$1:$1,0)-MATCH($AT$1,crash_skills!$1:$1,0)+1),MATCH(AU$1,crash_skills!$1:$1,0)-MATCH($AT$1,crash_skills!$1:$1,0)+1,FALSE)</f>
        <v>方天画戟</v>
      </c>
      <c r="AV8" s="55" t="str">
        <f ca="1">VLOOKUP($AT8,OFFSET(crash_skills!$A$1,0,0,COUNTA(crash_skills!$A:$A),MATCH(AV$1,crash_skills!$1:$1,0)-MATCH($AT$1,crash_skills!$1:$1,0)+1),MATCH(AV$1,crash_skills!$1:$1,0)-MATCH($AT$1,crash_skills!$1:$1,0)+1,FALSE)</f>
        <v>1体に大ダメージ</v>
      </c>
      <c r="AW8" s="55">
        <f ca="1">VLOOKUP($AT8,OFFSET(crash_skills!$A$1,0,0,COUNTA(crash_skills!$A:$A),MATCH(AW$1,crash_skills!$1:$1,0)-MATCH($AT$1,crash_skills!$1:$1,0)+1),MATCH(AW$1,crash_skills!$1:$1,0)-MATCH($AT$1,crash_skills!$1:$1,0)+1,FALSE)</f>
        <v>0</v>
      </c>
      <c r="AX8" s="56">
        <f ca="1">VLOOKUP($A8,OFFSET([1]characters!$A$1,0,0,COUNTA([1]characters!$A:$A),MATCH(AX$1,[1]characters!$1:$1,0)-MATCH($A$1,[1]characters!$1:$1,0)+1),MATCH(AX$1,[1]characters!$1:$1,0)-MATCH($A$1,[1]characters!$1:$1,0)+1,FALSE)</f>
        <v>3</v>
      </c>
      <c r="AY8" s="66">
        <v>1.03</v>
      </c>
      <c r="AZ8" s="66">
        <v>1.18</v>
      </c>
      <c r="BA8" s="66">
        <v>0</v>
      </c>
      <c r="BB8" s="66">
        <v>0.79</v>
      </c>
      <c r="BC8" s="11">
        <f ca="1">INDEX('RC6SV'!$A$1:$G$21,MATCH(H8,'RC6SV'!$A$1:$A$21,FALSE),MATCH(G8,'RC6SV'!$A$1:$G$1,FALSE))</f>
        <v>9500</v>
      </c>
      <c r="BD8" s="46">
        <f t="shared" ca="1" si="8"/>
        <v>9500</v>
      </c>
      <c r="BE8" s="11">
        <f t="shared" ca="1" si="3"/>
        <v>0</v>
      </c>
      <c r="BF8" s="11">
        <f t="shared" ca="1" si="4"/>
        <v>1</v>
      </c>
      <c r="BG8" s="16">
        <f ca="1">IF($BE8&lt;=0,ROUND(BK8*0.5,0), ROUND($BE8*S8*AA8*J8*AY8*0.8*[1]ステータス!$B$2,0))</f>
        <v>2495</v>
      </c>
      <c r="BH8" s="16">
        <f ca="1">IF($BE8&lt;=0,ROUND(BL8*0.5,0), ROUND($BE8*T8*AB8*K8*AZ8*0.8*[1]ステータス!$C$2,0))</f>
        <v>2192</v>
      </c>
      <c r="BI8" s="16">
        <f ca="1">IF($BE8&lt;=0,ROUND(BM8*0.5,0), ROUND($BE8*U8*AC8*L8*BA8*0.8*[1]ステータス!$D$2,0))</f>
        <v>0</v>
      </c>
      <c r="BJ8" s="16">
        <f ca="1">IF($BE8&lt;=0,ROUND(BN8*0.5,0), ROUND($BE8*V8*AD8*M8*BB8*0.8*[1]ステータス!$E$2,0))</f>
        <v>629</v>
      </c>
      <c r="BK8" s="11">
        <f ca="1">ROUND(BD8*S8*AA8*J8*AY8*[1]ステータス!$B$2,0)</f>
        <v>4990</v>
      </c>
      <c r="BL8" s="11">
        <f ca="1">ROUND(BD8*T8*AB8*K8*AZ8*[1]ステータス!$C$2,0)</f>
        <v>4383</v>
      </c>
      <c r="BM8" s="11">
        <f ca="1">ROUND(BD8*U8*AC8*L8*BA8*[1]ステータス!$D$2,0)</f>
        <v>0</v>
      </c>
      <c r="BN8" s="11">
        <f ca="1">ROUND(BD8*V8*AD8*M8*BB8*[1]ステータス!$E$2,0)</f>
        <v>1257</v>
      </c>
      <c r="BO8" s="10">
        <v>0</v>
      </c>
      <c r="BP8" s="10">
        <v>1</v>
      </c>
      <c r="BQ8" s="10" t="s">
        <v>47</v>
      </c>
      <c r="BR8" s="10">
        <f ca="1">VLOOKUP(H8,ghosts_label!$A$2:$B$19,2,FALSE)</f>
        <v>1</v>
      </c>
    </row>
    <row r="9" spans="1:70" ht="26" customHeight="1" x14ac:dyDescent="0.15">
      <c r="A9" s="12">
        <v>1136</v>
      </c>
      <c r="B9" s="55" t="str">
        <f ca="1">VLOOKUP($A9,OFFSET([1]characters!$A$1,0,0,COUNTA([1]characters!$A:$A),MATCH(B$1,[1]characters!$1:$1,0)-MATCH($A$1,[1]characters!$1:$1,0)+1),MATCH(B$1,[1]characters!$1:$1,0)-MATCH($A$1,[1]characters!$1:$1,0)+1,FALSE)</f>
        <v>豪拳烈創の激将 呂布</v>
      </c>
      <c r="C9" s="55" t="str">
        <f ca="1">VLOOKUP($A9,OFFSET([1]characters!$A$1,0,0,COUNTA([1]characters!$A:$A),MATCH(C$1,[1]characters!$1:$1,0)-MATCH($A$1,[1]characters!$1:$1,0)+1),MATCH(C$1,[1]characters!$1:$1,0)-MATCH($A$1,[1]characters!$1:$1,0)+1,FALSE)</f>
        <v>未定</v>
      </c>
      <c r="D9" s="55" t="str">
        <f ca="1">VLOOKUP($A9,OFFSET([1]characters!$A$1,0,0,COUNTA([1]characters!$A:$A),MATCH(D$1,[1]characters!$1:$1,0)-MATCH($A$1,[1]characters!$1:$1,0)+1),MATCH(D$1,[1]characters!$1:$1,0)-MATCH($A$1,[1]characters!$1:$1,0)+1,FALSE)</f>
        <v>アリス</v>
      </c>
      <c r="E9" s="55" t="str">
        <f ca="1">VLOOKUP($A9,OFFSET([1]characters!$A$1,0,0,COUNTA([1]characters!$A:$A),MATCH(E$1,[1]characters!$1:$1,0)-MATCH($A$1,[1]characters!$1:$1,0)+1),MATCH(E$1,[1]characters!$1:$1,0)-MATCH($A$1,[1]characters!$1:$1,0)+1,FALSE)</f>
        <v>世界観</v>
      </c>
      <c r="F9" s="55" t="str">
        <f ca="1">VLOOKUP($A9,OFFSET([1]characters!$A$1,0,0,COUNTA([1]characters!$A:$A),MATCH(F$1,[1]characters!$1:$1,0)-MATCH($A$1,[1]characters!$1:$1,0)+1),MATCH(F$1,[1]characters!$1:$1,0)-MATCH($A$1,[1]characters!$1:$1,0)+1,FALSE)</f>
        <v>不明</v>
      </c>
      <c r="G9" s="55">
        <f ca="1">VLOOKUP($A9,OFFSET([1]characters!$A$1,0,0,COUNTA([1]characters!$A:$A),MATCH(G$1,[1]characters!$1:$1,0)-MATCH($A$1,[1]characters!$1:$1,0)+1),MATCH(G$1,[1]characters!$1:$1,0)-MATCH($A$1,[1]characters!$1:$1,0)+1,FALSE)</f>
        <v>6</v>
      </c>
      <c r="H9" s="55" t="str">
        <f ca="1">VLOOKUP($A9,OFFSET([1]characters!$A$1,0,0,COUNTA([1]characters!$A:$A),MATCH(H$1,[1]characters!$1:$1,0)-MATCH($A$1,[1]characters!$1:$1,0)+1),MATCH(H$1,[1]characters!$1:$1,0)-MATCH($A$1,[1]characters!$1:$1,0)+1,FALSE)</f>
        <v>DropWizSS</v>
      </c>
      <c r="I9" s="55" t="str">
        <f ca="1">VLOOKUP($A9,OFFSET([1]characters!$A$1,0,0,COUNTA([1]characters!$A:$A),MATCH(I$1,[1]characters!$1:$1,0)-MATCH($A$1,[1]characters!$1:$1,0)+1),MATCH(I$1,[1]characters!$1:$1,0)-MATCH($A$1,[1]characters!$1:$1,0)+1,FALSE)</f>
        <v>green</v>
      </c>
      <c r="J9" s="11">
        <f ca="1">VLOOKUP(I9,[1]属性!$A:$E,2,FALSE)</f>
        <v>1.02</v>
      </c>
      <c r="K9" s="11">
        <f ca="1">VLOOKUP(I9,[1]属性!$A:$E,3,FALSE)</f>
        <v>0.98</v>
      </c>
      <c r="L9" s="11">
        <f ca="1">VLOOKUP(I9,[1]属性!$A:$E,4,FALSE)</f>
        <v>1</v>
      </c>
      <c r="M9" s="11">
        <f ca="1">VLOOKUP(I9,[1]属性!$A:$E,5,FALSE)</f>
        <v>1</v>
      </c>
      <c r="N9" s="11">
        <f ca="1">INDEX(コスト!$A$1:$I$21,MATCH(H9,コスト!$A$1:$A$21,FALSE),MATCH(G9,コスト!$A$1:$I$1,FALSE))</f>
        <v>50</v>
      </c>
      <c r="O9" s="11">
        <f ca="1">INDEX(レベル!$A$1:$I$22,MATCH(H9,レベル!$A$1:$A$22,FALSE),MATCH(G9,レベル!$A$1:$I$1,FALSE))</f>
        <v>99</v>
      </c>
      <c r="P9" s="46">
        <f t="shared" ca="1" si="0"/>
        <v>99</v>
      </c>
      <c r="Q9" s="55"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5" t="str">
        <f ca="1">VLOOKUP($A9,OFFSET([1]characters!$A$1,0,0,COUNTA([1]characters!$A:$A),MATCH(W$1,[1]characters!$1:$1,0)-MATCH($A$1,[1]characters!$1:$1,0)+1),MATCH(W$1,[1]characters!$1:$1,0)-MATCH($A$1,[1]characters!$1:$1,0)+1,FALSE)</f>
        <v>samurai</v>
      </c>
      <c r="X9" s="5" t="str">
        <f ca="1">VLOOKUP(W9,[1]character_tribe_i18n!$A:$H,3,FALSE)</f>
        <v>サムライ</v>
      </c>
      <c r="Y9" s="55" t="str">
        <f ca="1">VLOOKUP($A9,OFFSET([1]characters!$A$1,0,0,COUNTA([1]characters!$A:$A),MATCH(Y$1,[1]characters!$1:$1,0)-MATCH($A$1,[1]characters!$1:$1,0)+1),MATCH(Y$1,[1]characters!$1:$1,0)-MATCH($A$1,[1]characters!$1:$1,0)+1,FALSE)</f>
        <v>human</v>
      </c>
      <c r="Z9" s="5" t="str">
        <f ca="1">VLOOKUP(Y9,[1]character_tribe_i18n!$A:$H,3,FALSE)</f>
        <v>ヒューマン</v>
      </c>
      <c r="AA9" s="11">
        <f ca="1">VLOOKUP(W9,[1]character_tribe_i18n!$A:$H,4,FALSE)</f>
        <v>1</v>
      </c>
      <c r="AB9" s="11">
        <f ca="1">VLOOKUP(W9,[1]character_tribe_i18n!$A:$H,5,FALSE)</f>
        <v>1</v>
      </c>
      <c r="AC9" s="11">
        <f ca="1">VLOOKUP(W9,[1]character_tribe_i18n!$A:$H,6,FALSE)</f>
        <v>1</v>
      </c>
      <c r="AD9" s="11">
        <f ca="1">VLOOKUP(W9,[1]character_tribe_i18n!$A:$H,7,FALSE)</f>
        <v>1</v>
      </c>
      <c r="AE9" s="9" t="s">
        <v>183</v>
      </c>
      <c r="AF9" s="60" t="str">
        <f ca="1">IF(AE9="NULL","",VLOOKUP($AE9,OFFSET([1]characters!$A$1,0,0,COUNTA([1]characters!$A:$A),MATCH(AF$1,[1]characters!$1:$1,0)-MATCH($A$1,[1]characters!$1:$1,0)+1),MATCH(AF$1,[1]characters!$1:$1,0)-MATCH($A$1,[1]characters!$1:$1,0)+1,FALSE))</f>
        <v/>
      </c>
      <c r="AG9" s="5">
        <v>1135</v>
      </c>
      <c r="AH9" s="60" t="str">
        <f ca="1">VLOOKUP($AG9,OFFSET([1]characters!$A$1,0,0,COUNTA([1]characters!$A:$A),MATCH(AH$1,[1]characters!$1:$1,0)-MATCH($A$1,[1]characters!$1:$1,0)+1),MATCH(AH$1,[1]characters!$1:$1,0)-MATCH($A$1,[1]characters!$1:$1,0)+1,FALSE)</f>
        <v>呂布</v>
      </c>
      <c r="AI9" s="11" t="str">
        <f>IF(AE9="NULL","NULL",VLOOKUP(G9,ビット!$A$2:$B$7,2))</f>
        <v>NULL</v>
      </c>
      <c r="AJ9" s="6">
        <v>2</v>
      </c>
      <c r="AK9" s="7" t="str">
        <f t="shared" ref="AK9:AK16" si="9">IF(AJ9=1,"早熟",IF(AJ9=2,"普通",IF(AJ9=3,"晩成","")))</f>
        <v>普通</v>
      </c>
      <c r="AL9" s="11" t="str">
        <f ca="1">INDEX(経験値!$A$1:$I$21,MATCH(H9,経験値!$A$1:$A$21,FALSE),MATCH(G9,経験値!$A$1:$I$1,FALSE))</f>
        <v>required_exp_250</v>
      </c>
      <c r="AM9" s="8">
        <f ca="1">VLOOKUP(G9,経験値!$A$28:$B$32,2)</f>
        <v>6400</v>
      </c>
      <c r="AN9" s="17">
        <f ca="1">VLOOKUP(G9,ビット!$G$2:$H$7,2)</f>
        <v>900</v>
      </c>
      <c r="AO9" s="43"/>
      <c r="AP9" s="65">
        <v>1136</v>
      </c>
      <c r="AQ9" s="55" t="str">
        <f ca="1">VLOOKUP($AP9,OFFSET(unit_skills!$A$1,0,0,COUNTA(unit_skills!$A:$A),MATCH(AQ$1,unit_skills!$1:$1,0)-MATCH($AP$1,unit_skills!$1:$1,0)+1),MATCH(AQ$1,unit_skills!$1:$1,0)-MATCH($AP$1,unit_skills!$1:$1,0)+1,FALSE)</f>
        <v>百騎繚乱•天下無双</v>
      </c>
      <c r="AR9" s="55" t="str">
        <f ca="1">VLOOKUP($AP9,OFFSET(unit_skills!$A$1,0,0,COUNTA(unit_skills!$A:$A),MATCH(AR$1,unit_skills!$1:$1,0)-MATCH($AP$1,unit_skills!$1:$1,0)+1),MATCH(AR$1,unit_skills!$1:$1,0)-MATCH($AP$1,unit_skills!$1:$1,0)+1,FALSE)</f>
        <v>青を緑ボムに、ハートをCパネルに変換+3ターン自身のタップ回数を2増やし、攻撃力を特大UP+1ターンハートパネルが出現しない</v>
      </c>
      <c r="AS9" s="55">
        <f ca="1">VLOOKUP($AP9,OFFSET(unit_skills!$A$1,0,0,COUNTA(unit_skills!$A:$A),MATCH(AS$1,unit_skills!$1:$1,0)-MATCH($AP$1,unit_skills!$1:$1,0)+1),MATCH(AS$1,unit_skills!$1:$1,0)-MATCH($AP$1,unit_skills!$1:$1,0)+1,FALSE)</f>
        <v>0</v>
      </c>
      <c r="AT9" s="40">
        <v>1136</v>
      </c>
      <c r="AU9" s="55" t="str">
        <f ca="1">VLOOKUP($AT9,OFFSET(crash_skills!$A$1,0,0,COUNTA(crash_skills!$A:$A),MATCH(AU$1,crash_skills!$1:$1,0)-MATCH($AT$1,crash_skills!$1:$1,0)+1),MATCH(AU$1,crash_skills!$1:$1,0)-MATCH($AT$1,crash_skills!$1:$1,0)+1,FALSE)</f>
        <v>赤兎式•方天画戟</v>
      </c>
      <c r="AV9" s="55" t="str">
        <f ca="1">VLOOKUP($AT9,OFFSET(crash_skills!$A$1,0,0,COUNTA(crash_skills!$A:$A),MATCH(AV$1,crash_skills!$1:$1,0)-MATCH($AT$1,crash_skills!$1:$1,0)+1),MATCH(AV$1,crash_skills!$1:$1,0)-MATCH($AT$1,crash_skills!$1:$1,0)+1,FALSE)</f>
        <v>1体に特大ダメージ</v>
      </c>
      <c r="AW9" s="55">
        <f ca="1">VLOOKUP($AT9,OFFSET(crash_skills!$A$1,0,0,COUNTA(crash_skills!$A:$A),MATCH(AW$1,crash_skills!$1:$1,0)-MATCH($AT$1,crash_skills!$1:$1,0)+1),MATCH(AW$1,crash_skills!$1:$1,0)-MATCH($AT$1,crash_skills!$1:$1,0)+1,FALSE)</f>
        <v>0</v>
      </c>
      <c r="AX9" s="56">
        <f ca="1">VLOOKUP($A9,OFFSET([1]characters!$A$1,0,0,COUNTA([1]characters!$A:$A),MATCH(AX$1,[1]characters!$1:$1,0)-MATCH($A$1,[1]characters!$1:$1,0)+1),MATCH(AX$1,[1]characters!$1:$1,0)-MATCH($A$1,[1]characters!$1:$1,0)+1,FALSE)</f>
        <v>3</v>
      </c>
      <c r="AY9" s="66">
        <v>1.03</v>
      </c>
      <c r="AZ9" s="66">
        <v>1.18</v>
      </c>
      <c r="BA9" s="66">
        <v>0</v>
      </c>
      <c r="BB9" s="66">
        <v>0.79</v>
      </c>
      <c r="BC9" s="11">
        <f ca="1">INDEX('RC6SV'!$A$1:$G$21,MATCH(H9,'RC6SV'!$A$1:$A$21,FALSE),MATCH(G9,'RC6SV'!$A$1:$G$1,FALSE))</f>
        <v>13000</v>
      </c>
      <c r="BD9" s="46">
        <f t="shared" ref="BD9:BD16" ca="1" si="10">ROUND(BC9*IF(AJ9=1,0.95,IF(AJ9=2,1,IF(AJ9,1.05,0))),0)</f>
        <v>13000</v>
      </c>
      <c r="BE9" s="11">
        <f t="shared" ca="1" si="3"/>
        <v>9500</v>
      </c>
      <c r="BF9" s="11">
        <f t="shared" ca="1" si="4"/>
        <v>1</v>
      </c>
      <c r="BG9" s="16">
        <f ca="1">IF($BE9&lt;=0,ROUND(BK9*0.5,0), ROUND($BE9*S9*AA9*J9*AY9*0.8*[1]ステータス!$B$2,0))</f>
        <v>3992</v>
      </c>
      <c r="BH9" s="16">
        <f ca="1">IF($BE9&lt;=0,ROUND(BL9*0.5,0), ROUND($BE9*T9*AB9*K9*AZ9*0.8*[1]ステータス!$C$2,0))</f>
        <v>3507</v>
      </c>
      <c r="BI9" s="16">
        <f ca="1">IF($BE9&lt;=0,ROUND(BM9*0.5,0), ROUND($BE9*U9*AC9*L9*BA9*0.8*[1]ステータス!$D$2,0))</f>
        <v>0</v>
      </c>
      <c r="BJ9" s="16">
        <f ca="1">IF($BE9&lt;=0,ROUND(BN9*0.5,0), ROUND($BE9*V9*AD9*M9*BB9*0.8*[1]ステータス!$E$2,0))</f>
        <v>1006</v>
      </c>
      <c r="BK9" s="11">
        <f ca="1">ROUND(BD9*S9*AA9*J9*AY9*[1]ステータス!$B$2,0)</f>
        <v>6829</v>
      </c>
      <c r="BL9" s="11">
        <f ca="1">ROUND(BD9*T9*AB9*K9*AZ9*[1]ステータス!$C$2,0)</f>
        <v>5998</v>
      </c>
      <c r="BM9" s="11">
        <f ca="1">ROUND(BD9*U9*AC9*L9*BA9*[1]ステータス!$D$2,0)</f>
        <v>0</v>
      </c>
      <c r="BN9" s="11">
        <f ca="1">ROUND(BD9*V9*AD9*M9*BB9*[1]ステータス!$E$2,0)</f>
        <v>1720</v>
      </c>
      <c r="BO9" s="10">
        <v>0</v>
      </c>
      <c r="BP9" s="10">
        <v>1</v>
      </c>
      <c r="BQ9" s="10" t="s">
        <v>47</v>
      </c>
      <c r="BR9" s="10">
        <f ca="1">VLOOKUP(H9,ghosts_label!$A$2:$B$19,2,FALSE)</f>
        <v>1</v>
      </c>
    </row>
    <row r="10" spans="1:70" ht="26" customHeight="1" x14ac:dyDescent="0.15">
      <c r="A10" s="12">
        <v>1137</v>
      </c>
      <c r="B10" s="55" t="str">
        <f ca="1">VLOOKUP($A10,OFFSET([1]characters!$A$1,0,0,COUNTA([1]characters!$A:$A),MATCH(B$1,[1]characters!$1:$1,0)-MATCH($A$1,[1]characters!$1:$1,0)+1),MATCH(B$1,[1]characters!$1:$1,0)-MATCH($A$1,[1]characters!$1:$1,0)+1,FALSE)</f>
        <v>諸葛亮</v>
      </c>
      <c r="C10" s="55" t="str">
        <f ca="1">VLOOKUP($A10,OFFSET([1]characters!$A$1,0,0,COUNTA([1]characters!$A:$A),MATCH(C$1,[1]characters!$1:$1,0)-MATCH($A$1,[1]characters!$1:$1,0)+1),MATCH(C$1,[1]characters!$1:$1,0)-MATCH($A$1,[1]characters!$1:$1,0)+1,FALSE)</f>
        <v>未定</v>
      </c>
      <c r="D10" s="55" t="str">
        <f ca="1">VLOOKUP($A10,OFFSET([1]characters!$A$1,0,0,COUNTA([1]characters!$A:$A),MATCH(D$1,[1]characters!$1:$1,0)-MATCH($A$1,[1]characters!$1:$1,0)+1),MATCH(D$1,[1]characters!$1:$1,0)-MATCH($A$1,[1]characters!$1:$1,0)+1,FALSE)</f>
        <v>アリス</v>
      </c>
      <c r="E10" s="55" t="str">
        <f ca="1">VLOOKUP($A10,OFFSET([1]characters!$A$1,0,0,COUNTA([1]characters!$A:$A),MATCH(E$1,[1]characters!$1:$1,0)-MATCH($A$1,[1]characters!$1:$1,0)+1),MATCH(E$1,[1]characters!$1:$1,0)-MATCH($A$1,[1]characters!$1:$1,0)+1,FALSE)</f>
        <v>世界観</v>
      </c>
      <c r="F10" s="55" t="str">
        <f ca="1">VLOOKUP($A10,OFFSET([1]characters!$A$1,0,0,COUNTA([1]characters!$A:$A),MATCH(F$1,[1]characters!$1:$1,0)-MATCH($A$1,[1]characters!$1:$1,0)+1),MATCH(F$1,[1]characters!$1:$1,0)-MATCH($A$1,[1]characters!$1:$1,0)+1,FALSE)</f>
        <v>不明</v>
      </c>
      <c r="G10" s="55">
        <f ca="1">VLOOKUP($A10,OFFSET([1]characters!$A$1,0,0,COUNTA([1]characters!$A:$A),MATCH(G$1,[1]characters!$1:$1,0)-MATCH($A$1,[1]characters!$1:$1,0)+1),MATCH(G$1,[1]characters!$1:$1,0)-MATCH($A$1,[1]characters!$1:$1,0)+1,FALSE)</f>
        <v>5</v>
      </c>
      <c r="H10" s="55" t="str">
        <f ca="1">VLOOKUP($A10,OFFSET([1]characters!$A$1,0,0,COUNTA([1]characters!$A:$A),MATCH(H$1,[1]characters!$1:$1,0)-MATCH($A$1,[1]characters!$1:$1,0)+1),MATCH(H$1,[1]characters!$1:$1,0)-MATCH($A$1,[1]characters!$1:$1,0)+1,FALSE)</f>
        <v>PremiumSSw</v>
      </c>
      <c r="I10" s="55" t="str">
        <f ca="1">VLOOKUP($A10,OFFSET([1]characters!$A$1,0,0,COUNTA([1]characters!$A:$A),MATCH(I$1,[1]characters!$1:$1,0)-MATCH($A$1,[1]characters!$1:$1,0)+1),MATCH(I$1,[1]characters!$1:$1,0)-MATCH($A$1,[1]characters!$1:$1,0)+1,FALSE)</f>
        <v>red</v>
      </c>
      <c r="J10" s="11">
        <f ca="1">VLOOKUP(I10,[1]属性!$A:$E,2,FALSE)</f>
        <v>1</v>
      </c>
      <c r="K10" s="11">
        <f ca="1">VLOOKUP(I10,[1]属性!$A:$E,3,FALSE)</f>
        <v>1.02</v>
      </c>
      <c r="L10" s="11">
        <f ca="1">VLOOKUP(I10,[1]属性!$A:$E,4,FALSE)</f>
        <v>1</v>
      </c>
      <c r="M10" s="11">
        <f ca="1">VLOOKUP(I10,[1]属性!$A:$E,5,FALSE)</f>
        <v>0.98</v>
      </c>
      <c r="N10" s="11">
        <f ca="1">INDEX(コスト!$A$1:$I$21,MATCH(H10,コスト!$A$1:$A$21,FALSE),MATCH(G10,コスト!$A$1:$I$1,FALSE))</f>
        <v>38</v>
      </c>
      <c r="O10" s="11">
        <f ca="1">INDEX(レベル!$A$1:$I$22,MATCH(H10,レベル!$A$1:$A$22,FALSE),MATCH(G10,レベル!$A$1:$I$1,FALSE))</f>
        <v>80</v>
      </c>
      <c r="P10" s="46">
        <f t="shared" ca="1" si="0"/>
        <v>75</v>
      </c>
      <c r="Q10" s="55" t="str">
        <f ca="1">VLOOKUP($A10,OFFSET([1]characters!$A$1,0,0,COUNTA([1]characters!$A:$A),MATCH(Q$1,[1]characters!$1:$1,0)-MATCH($A$1,[1]characters!$1:$1,0)+1),MATCH(Q$1,[1]characters!$1:$1,0)-MATCH($A$1,[1]characters!$1:$1,0)+1,FALSE)</f>
        <v>technical</v>
      </c>
      <c r="R10" s="5" t="str">
        <f ca="1">VLOOKUP(Q10,[1]character_type_i18n!$A:$H,3,FALSE)</f>
        <v>テクニカルタイプ</v>
      </c>
      <c r="S10" s="11">
        <f ca="1">VLOOKUP(Q10,[1]character_type_i18n!$A:$H,4,FALSE)</f>
        <v>0.9</v>
      </c>
      <c r="T10" s="11">
        <f ca="1">VLOOKUP(Q10,[1]character_type_i18n!$A:$H,5,FALSE)</f>
        <v>0.9</v>
      </c>
      <c r="U10" s="11">
        <f ca="1">VLOOKUP(Q10,[1]character_type_i18n!$A:$H,6,FALSE)</f>
        <v>1</v>
      </c>
      <c r="V10" s="11">
        <f ca="1">VLOOKUP(Q10,[1]character_type_i18n!$A:$H,7,FALSE)</f>
        <v>0.9</v>
      </c>
      <c r="W10" s="55" t="str">
        <f ca="1">VLOOKUP($A10,OFFSET([1]characters!$A$1,0,0,COUNTA([1]characters!$A:$A),MATCH(W$1,[1]characters!$1:$1,0)-MATCH($A$1,[1]characters!$1:$1,0)+1),MATCH(W$1,[1]characters!$1:$1,0)-MATCH($A$1,[1]characters!$1:$1,0)+1,FALSE)</f>
        <v>samurai</v>
      </c>
      <c r="X10" s="5" t="str">
        <f ca="1">VLOOKUP(W10,[1]character_tribe_i18n!$A:$H,3,FALSE)</f>
        <v>サムライ</v>
      </c>
      <c r="Y10" s="55" t="str">
        <f ca="1">VLOOKUP($A10,OFFSET([1]characters!$A$1,0,0,COUNTA([1]characters!$A:$A),MATCH(Y$1,[1]characters!$1:$1,0)-MATCH($A$1,[1]characters!$1:$1,0)+1),MATCH(Y$1,[1]characters!$1:$1,0)-MATCH($A$1,[1]characters!$1:$1,0)+1,FALSE)</f>
        <v>human</v>
      </c>
      <c r="Z10" s="5" t="str">
        <f ca="1">VLOOKUP(Y10,[1]character_tribe_i18n!$A:$H,3,FALSE)</f>
        <v>ヒューマン</v>
      </c>
      <c r="AA10" s="11">
        <f ca="1">VLOOKUP(W10,[1]character_tribe_i18n!$A:$H,4,FALSE)</f>
        <v>1</v>
      </c>
      <c r="AB10" s="11">
        <f ca="1">VLOOKUP(W10,[1]character_tribe_i18n!$A:$H,5,FALSE)</f>
        <v>1</v>
      </c>
      <c r="AC10" s="11">
        <f ca="1">VLOOKUP(W10,[1]character_tribe_i18n!$A:$H,6,FALSE)</f>
        <v>1</v>
      </c>
      <c r="AD10" s="11">
        <f ca="1">VLOOKUP(W10,[1]character_tribe_i18n!$A:$H,7,FALSE)</f>
        <v>1</v>
      </c>
      <c r="AE10" s="9">
        <v>1138</v>
      </c>
      <c r="AF10" s="60" t="str">
        <f ca="1">IF(AE10="NULL","",VLOOKUP($AE10,OFFSET([1]characters!$A$1,0,0,COUNTA([1]characters!$A:$A),MATCH(AF$1,[1]characters!$1:$1,0)-MATCH($A$1,[1]characters!$1:$1,0)+1),MATCH(AF$1,[1]characters!$1:$1,0)-MATCH($A$1,[1]characters!$1:$1,0)+1,FALSE))</f>
        <v>神算鬼謀の宰相 諸葛亮</v>
      </c>
      <c r="AG10" s="5">
        <v>1137</v>
      </c>
      <c r="AH10" s="60" t="str">
        <f ca="1">VLOOKUP($AG10,OFFSET([1]characters!$A$1,0,0,COUNTA([1]characters!$A:$A),MATCH(AH$1,[1]characters!$1:$1,0)-MATCH($A$1,[1]characters!$1:$1,0)+1),MATCH(AH$1,[1]characters!$1:$1,0)-MATCH($A$1,[1]characters!$1:$1,0)+1,FALSE)</f>
        <v>諸葛亮</v>
      </c>
      <c r="AI10" s="11">
        <f ca="1">IF(AE10="NULL","NULL",VLOOKUP(G10,ビット!$A$2:$B$7,2))</f>
        <v>200000</v>
      </c>
      <c r="AJ10" s="6">
        <v>2</v>
      </c>
      <c r="AK10" s="7" t="str">
        <f t="shared" si="9"/>
        <v>普通</v>
      </c>
      <c r="AL10" s="11" t="str">
        <f ca="1">INDEX(経験値!$A$1:$I$21,MATCH(H10,経験値!$A$1:$A$21,FALSE),MATCH(G10,経験値!$A$1:$I$1,FALSE))</f>
        <v>required_exp_200</v>
      </c>
      <c r="AM10" s="8">
        <f ca="1">VLOOKUP(G10,経験値!$A$28:$B$32,2)</f>
        <v>6400</v>
      </c>
      <c r="AN10" s="17">
        <f ca="1">VLOOKUP(G10,ビット!$G$2:$H$7,2)</f>
        <v>900</v>
      </c>
      <c r="AO10" s="43"/>
      <c r="AP10" s="65">
        <v>1137</v>
      </c>
      <c r="AQ10" s="55" t="str">
        <f ca="1">VLOOKUP($AP10,OFFSET(unit_skills!$A$1,0,0,COUNTA(unit_skills!$A:$A),MATCH(AQ$1,unit_skills!$1:$1,0)-MATCH($AP$1,unit_skills!$1:$1,0)+1),MATCH(AQ$1,unit_skills!$1:$1,0)-MATCH($AP$1,unit_skills!$1:$1,0)+1,FALSE)</f>
        <v>七縦七擒の構え</v>
      </c>
      <c r="AR10" s="55" t="str">
        <f ca="1">VLOOKUP($AP10,OFFSET(unit_skills!$A$1,0,0,COUNTA(unit_skills!$A:$A),MATCH(AR$1,unit_skills!$1:$1,0)-MATCH($AP$1,unit_skills!$1:$1,0)+1),MATCH(AR$1,unit_skills!$1:$1,0)-MATCH($AP$1,unit_skills!$1:$1,0)+1,FALSE)</f>
        <v>1ターン敵からダメージ30%軽減、全ユニットの攻撃力UP(青・ハート吸収で効果UP)、Cパネル生成短縮(効果特大)</v>
      </c>
      <c r="AS10" s="55">
        <f ca="1">VLOOKUP($AP10,OFFSET(unit_skills!$A$1,0,0,COUNTA(unit_skills!$A:$A),MATCH(AS$1,unit_skills!$1:$1,0)-MATCH($AP$1,unit_skills!$1:$1,0)+1),MATCH(AS$1,unit_skills!$1:$1,0)-MATCH($AP$1,unit_skills!$1:$1,0)+1,FALSE)</f>
        <v>0</v>
      </c>
      <c r="AT10" s="40">
        <v>1137</v>
      </c>
      <c r="AU10" s="55" t="str">
        <f ca="1">VLOOKUP($AT10,OFFSET(crash_skills!$A$1,0,0,COUNTA(crash_skills!$A:$A),MATCH(AU$1,crash_skills!$1:$1,0)-MATCH($AT$1,crash_skills!$1:$1,0)+1),MATCH(AU$1,crash_skills!$1:$1,0)-MATCH($AT$1,crash_skills!$1:$1,0)+1,FALSE)</f>
        <v>タクティシャントラップ</v>
      </c>
      <c r="AV10" s="55" t="str">
        <f ca="1">VLOOKUP($AT10,OFFSET(crash_skills!$A$1,0,0,COUNTA(crash_skills!$A:$A),MATCH(AV$1,crash_skills!$1:$1,0)-MATCH($AT$1,crash_skills!$1:$1,0)+1),MATCH(AV$1,crash_skills!$1:$1,0)-MATCH($AT$1,crash_skills!$1:$1,0)+1,FALSE)</f>
        <v>ヒューマンに効果超大の単体大ダメージ_x000D_+アニマルに効果超大の単体大ダメージ</v>
      </c>
      <c r="AW10" s="55">
        <f ca="1">VLOOKUP($AT10,OFFSET(crash_skills!$A$1,0,0,COUNTA(crash_skills!$A:$A),MATCH(AW$1,crash_skills!$1:$1,0)-MATCH($AT$1,crash_skills!$1:$1,0)+1),MATCH(AW$1,crash_skills!$1:$1,0)-MATCH($AT$1,crash_skills!$1:$1,0)+1,FALSE)</f>
        <v>0</v>
      </c>
      <c r="AX10" s="56">
        <f ca="1">VLOOKUP($A10,OFFSET([1]characters!$A$1,0,0,COUNTA([1]characters!$A:$A),MATCH(AX$1,[1]characters!$1:$1,0)-MATCH($A$1,[1]characters!$1:$1,0)+1),MATCH(AX$1,[1]characters!$1:$1,0)-MATCH($A$1,[1]characters!$1:$1,0)+1,FALSE)</f>
        <v>3</v>
      </c>
      <c r="AY10" s="66">
        <v>1.07</v>
      </c>
      <c r="AZ10" s="66">
        <v>1.17</v>
      </c>
      <c r="BA10" s="66">
        <v>0</v>
      </c>
      <c r="BB10" s="66">
        <v>1</v>
      </c>
      <c r="BC10" s="11">
        <f ca="1">INDEX('RC6SV'!$A$1:$G$21,MATCH(H10,'RC6SV'!$A$1:$A$21,FALSE),MATCH(G10,'RC6SV'!$A$1:$G$1,FALSE))</f>
        <v>10000</v>
      </c>
      <c r="BD10" s="46">
        <f t="shared" ca="1" si="10"/>
        <v>10000</v>
      </c>
      <c r="BE10" s="11">
        <f t="shared" ca="1" si="3"/>
        <v>0</v>
      </c>
      <c r="BF10" s="11">
        <f t="shared" ca="1" si="4"/>
        <v>1</v>
      </c>
      <c r="BG10" s="16">
        <f ca="1">IF($BE10&lt;=0,ROUND(BK10*0.5,0), ROUND($BE10*S10*AA10*J10*AY10*0.8*[1]ステータス!$B$2,0))</f>
        <v>2408</v>
      </c>
      <c r="BH10" s="16">
        <f ca="1">IF($BE10&lt;=0,ROUND(BL10*0.5,0), ROUND($BE10*T10*AB10*K10*AZ10*0.8*[1]ステータス!$C$2,0))</f>
        <v>1611</v>
      </c>
      <c r="BI10" s="16">
        <f ca="1">IF($BE10&lt;=0,ROUND(BM10*0.5,0), ROUND($BE10*U10*AC10*L10*BA10*0.8*[1]ステータス!$D$2,0))</f>
        <v>0</v>
      </c>
      <c r="BJ10" s="16">
        <f ca="1">IF($BE10&lt;=0,ROUND(BN10*0.5,0), ROUND($BE10*V10*AD10*M10*BB10*0.8*[1]ステータス!$E$2,0))</f>
        <v>1103</v>
      </c>
      <c r="BK10" s="11">
        <f ca="1">ROUND(BD10*S10*AA10*J10*AY10*[1]ステータス!$B$2,0)</f>
        <v>4815</v>
      </c>
      <c r="BL10" s="11">
        <f ca="1">ROUND(BD10*T10*AB10*K10*AZ10*[1]ステータス!$C$2,0)</f>
        <v>3222</v>
      </c>
      <c r="BM10" s="11">
        <f ca="1">ROUND(BD10*U10*AC10*L10*BA10*[1]ステータス!$D$2,0)</f>
        <v>0</v>
      </c>
      <c r="BN10" s="11">
        <f ca="1">ROUND(BD10*V10*AD10*M10*BB10*[1]ステータス!$E$2,0)</f>
        <v>2205</v>
      </c>
      <c r="BO10" s="10">
        <v>0</v>
      </c>
      <c r="BP10" s="10">
        <v>1</v>
      </c>
      <c r="BQ10" s="10" t="s">
        <v>47</v>
      </c>
      <c r="BR10" s="10">
        <f ca="1">VLOOKUP(H10,ghosts_label!$A$2:$B$19,2,FALSE)</f>
        <v>6000</v>
      </c>
    </row>
    <row r="11" spans="1:70" ht="26" customHeight="1" x14ac:dyDescent="0.15">
      <c r="A11" s="12">
        <v>1138</v>
      </c>
      <c r="B11" s="55" t="str">
        <f ca="1">VLOOKUP($A11,OFFSET([1]characters!$A$1,0,0,COUNTA([1]characters!$A:$A),MATCH(B$1,[1]characters!$1:$1,0)-MATCH($A$1,[1]characters!$1:$1,0)+1),MATCH(B$1,[1]characters!$1:$1,0)-MATCH($A$1,[1]characters!$1:$1,0)+1,FALSE)</f>
        <v>神算鬼謀の宰相 諸葛亮</v>
      </c>
      <c r="C11" s="55" t="str">
        <f ca="1">VLOOKUP($A11,OFFSET([1]characters!$A$1,0,0,COUNTA([1]characters!$A:$A),MATCH(C$1,[1]characters!$1:$1,0)-MATCH($A$1,[1]characters!$1:$1,0)+1),MATCH(C$1,[1]characters!$1:$1,0)-MATCH($A$1,[1]characters!$1:$1,0)+1,FALSE)</f>
        <v>未定</v>
      </c>
      <c r="D11" s="55" t="str">
        <f ca="1">VLOOKUP($A11,OFFSET([1]characters!$A$1,0,0,COUNTA([1]characters!$A:$A),MATCH(D$1,[1]characters!$1:$1,0)-MATCH($A$1,[1]characters!$1:$1,0)+1),MATCH(D$1,[1]characters!$1:$1,0)-MATCH($A$1,[1]characters!$1:$1,0)+1,FALSE)</f>
        <v>アリス</v>
      </c>
      <c r="E11" s="55" t="str">
        <f ca="1">VLOOKUP($A11,OFFSET([1]characters!$A$1,0,0,COUNTA([1]characters!$A:$A),MATCH(E$1,[1]characters!$1:$1,0)-MATCH($A$1,[1]characters!$1:$1,0)+1),MATCH(E$1,[1]characters!$1:$1,0)-MATCH($A$1,[1]characters!$1:$1,0)+1,FALSE)</f>
        <v>世界観</v>
      </c>
      <c r="F11" s="55" t="str">
        <f ca="1">VLOOKUP($A11,OFFSET([1]characters!$A$1,0,0,COUNTA([1]characters!$A:$A),MATCH(F$1,[1]characters!$1:$1,0)-MATCH($A$1,[1]characters!$1:$1,0)+1),MATCH(F$1,[1]characters!$1:$1,0)-MATCH($A$1,[1]characters!$1:$1,0)+1,FALSE)</f>
        <v>不明</v>
      </c>
      <c r="G11" s="55">
        <f ca="1">VLOOKUP($A11,OFFSET([1]characters!$A$1,0,0,COUNTA([1]characters!$A:$A),MATCH(G$1,[1]characters!$1:$1,0)-MATCH($A$1,[1]characters!$1:$1,0)+1),MATCH(G$1,[1]characters!$1:$1,0)-MATCH($A$1,[1]characters!$1:$1,0)+1,FALSE)</f>
        <v>6</v>
      </c>
      <c r="H11" s="55" t="str">
        <f ca="1">VLOOKUP($A11,OFFSET([1]characters!$A$1,0,0,COUNTA([1]characters!$A:$A),MATCH(H$1,[1]characters!$1:$1,0)-MATCH($A$1,[1]characters!$1:$1,0)+1),MATCH(H$1,[1]characters!$1:$1,0)-MATCH($A$1,[1]characters!$1:$1,0)+1,FALSE)</f>
        <v>PremiumSSw</v>
      </c>
      <c r="I11" s="55" t="str">
        <f ca="1">VLOOKUP($A11,OFFSET([1]characters!$A$1,0,0,COUNTA([1]characters!$A:$A),MATCH(I$1,[1]characters!$1:$1,0)-MATCH($A$1,[1]characters!$1:$1,0)+1),MATCH(I$1,[1]characters!$1:$1,0)-MATCH($A$1,[1]characters!$1:$1,0)+1,FALSE)</f>
        <v>red</v>
      </c>
      <c r="J11" s="11">
        <f ca="1">VLOOKUP(I11,[1]属性!$A:$E,2,FALSE)</f>
        <v>1</v>
      </c>
      <c r="K11" s="11">
        <f ca="1">VLOOKUP(I11,[1]属性!$A:$E,3,FALSE)</f>
        <v>1.02</v>
      </c>
      <c r="L11" s="11">
        <f ca="1">VLOOKUP(I11,[1]属性!$A:$E,4,FALSE)</f>
        <v>1</v>
      </c>
      <c r="M11" s="11">
        <f ca="1">VLOOKUP(I11,[1]属性!$A:$E,5,FALSE)</f>
        <v>0.98</v>
      </c>
      <c r="N11" s="11">
        <f ca="1">INDEX(コスト!$A$1:$I$21,MATCH(H11,コスト!$A$1:$A$21,FALSE),MATCH(G11,コスト!$A$1:$I$1,FALSE))</f>
        <v>53</v>
      </c>
      <c r="O11" s="11">
        <f ca="1">INDEX(レベル!$A$1:$I$22,MATCH(H11,レベル!$A$1:$A$22,FALSE),MATCH(G11,レベル!$A$1:$I$1,FALSE))</f>
        <v>99</v>
      </c>
      <c r="P11" s="46">
        <f t="shared" ca="1" si="0"/>
        <v>99</v>
      </c>
      <c r="Q11" s="55" t="str">
        <f ca="1">VLOOKUP($A11,OFFSET([1]characters!$A$1,0,0,COUNTA([1]characters!$A:$A),MATCH(Q$1,[1]characters!$1:$1,0)-MATCH($A$1,[1]characters!$1:$1,0)+1),MATCH(Q$1,[1]characters!$1:$1,0)-MATCH($A$1,[1]characters!$1:$1,0)+1,FALSE)</f>
        <v>technical</v>
      </c>
      <c r="R11" s="5" t="str">
        <f ca="1">VLOOKUP(Q11,[1]character_type_i18n!$A:$H,3,FALSE)</f>
        <v>テクニカルタイプ</v>
      </c>
      <c r="S11" s="11">
        <f ca="1">VLOOKUP(Q11,[1]character_type_i18n!$A:$H,4,FALSE)</f>
        <v>0.9</v>
      </c>
      <c r="T11" s="11">
        <f ca="1">VLOOKUP(Q11,[1]character_type_i18n!$A:$H,5,FALSE)</f>
        <v>0.9</v>
      </c>
      <c r="U11" s="11">
        <f ca="1">VLOOKUP(Q11,[1]character_type_i18n!$A:$H,6,FALSE)</f>
        <v>1</v>
      </c>
      <c r="V11" s="11">
        <f ca="1">VLOOKUP(Q11,[1]character_type_i18n!$A:$H,7,FALSE)</f>
        <v>0.9</v>
      </c>
      <c r="W11" s="55" t="str">
        <f ca="1">VLOOKUP($A11,OFFSET([1]characters!$A$1,0,0,COUNTA([1]characters!$A:$A),MATCH(W$1,[1]characters!$1:$1,0)-MATCH($A$1,[1]characters!$1:$1,0)+1),MATCH(W$1,[1]characters!$1:$1,0)-MATCH($A$1,[1]characters!$1:$1,0)+1,FALSE)</f>
        <v>samurai</v>
      </c>
      <c r="X11" s="5" t="str">
        <f ca="1">VLOOKUP(W11,[1]character_tribe_i18n!$A:$H,3,FALSE)</f>
        <v>サムライ</v>
      </c>
      <c r="Y11" s="55" t="str">
        <f ca="1">VLOOKUP($A11,OFFSET([1]characters!$A$1,0,0,COUNTA([1]characters!$A:$A),MATCH(Y$1,[1]characters!$1:$1,0)-MATCH($A$1,[1]characters!$1:$1,0)+1),MATCH(Y$1,[1]characters!$1:$1,0)-MATCH($A$1,[1]characters!$1:$1,0)+1,FALSE)</f>
        <v>human</v>
      </c>
      <c r="Z11" s="5" t="str">
        <f ca="1">VLOOKUP(Y11,[1]character_tribe_i18n!$A:$H,3,FALSE)</f>
        <v>ヒューマン</v>
      </c>
      <c r="AA11" s="11">
        <f ca="1">VLOOKUP(W11,[1]character_tribe_i18n!$A:$H,4,FALSE)</f>
        <v>1</v>
      </c>
      <c r="AB11" s="11">
        <f ca="1">VLOOKUP(W11,[1]character_tribe_i18n!$A:$H,5,FALSE)</f>
        <v>1</v>
      </c>
      <c r="AC11" s="11">
        <f ca="1">VLOOKUP(W11,[1]character_tribe_i18n!$A:$H,6,FALSE)</f>
        <v>1</v>
      </c>
      <c r="AD11" s="11">
        <f ca="1">VLOOKUP(W11,[1]character_tribe_i18n!$A:$H,7,FALSE)</f>
        <v>1</v>
      </c>
      <c r="AE11" s="9" t="s">
        <v>183</v>
      </c>
      <c r="AF11" s="60" t="str">
        <f ca="1">IF(AE11="NULL","",VLOOKUP($AE11,OFFSET([1]characters!$A$1,0,0,COUNTA([1]characters!$A:$A),MATCH(AF$1,[1]characters!$1:$1,0)-MATCH($A$1,[1]characters!$1:$1,0)+1),MATCH(AF$1,[1]characters!$1:$1,0)-MATCH($A$1,[1]characters!$1:$1,0)+1,FALSE))</f>
        <v/>
      </c>
      <c r="AG11" s="5">
        <v>1137</v>
      </c>
      <c r="AH11" s="60" t="str">
        <f ca="1">VLOOKUP($AG11,OFFSET([1]characters!$A$1,0,0,COUNTA([1]characters!$A:$A),MATCH(AH$1,[1]characters!$1:$1,0)-MATCH($A$1,[1]characters!$1:$1,0)+1),MATCH(AH$1,[1]characters!$1:$1,0)-MATCH($A$1,[1]characters!$1:$1,0)+1,FALSE)</f>
        <v>諸葛亮</v>
      </c>
      <c r="AI11" s="11" t="str">
        <f>IF(AE11="NULL","NULL",VLOOKUP(G11,ビット!$A$2:$B$7,2))</f>
        <v>NULL</v>
      </c>
      <c r="AJ11" s="6">
        <v>2</v>
      </c>
      <c r="AK11" s="7" t="str">
        <f t="shared" si="9"/>
        <v>普通</v>
      </c>
      <c r="AL11" s="11" t="str">
        <f ca="1">INDEX(経験値!$A$1:$I$21,MATCH(H11,経験値!$A$1:$A$21,FALSE),MATCH(G11,経験値!$A$1:$I$1,FALSE))</f>
        <v>required_exp_250</v>
      </c>
      <c r="AM11" s="8">
        <f ca="1">VLOOKUP(G11,経験値!$A$28:$B$32,2)</f>
        <v>6400</v>
      </c>
      <c r="AN11" s="17">
        <f ca="1">VLOOKUP(G11,ビット!$G$2:$H$7,2)</f>
        <v>900</v>
      </c>
      <c r="AO11" s="43"/>
      <c r="AP11" s="65">
        <v>1138</v>
      </c>
      <c r="AQ11" s="55" t="str">
        <f ca="1">VLOOKUP($AP11,OFFSET(unit_skills!$A$1,0,0,COUNTA(unit_skills!$A:$A),MATCH(AQ$1,unit_skills!$1:$1,0)-MATCH($AP$1,unit_skills!$1:$1,0)+1),MATCH(AQ$1,unit_skills!$1:$1,0)-MATCH($AP$1,unit_skills!$1:$1,0)+1,FALSE)</f>
        <v>臥竜鳳雛の構え</v>
      </c>
      <c r="AR11" s="55" t="str">
        <f ca="1">VLOOKUP($AP11,OFFSET(unit_skills!$A$1,0,0,COUNTA(unit_skills!$A:$A),MATCH(AR$1,unit_skills!$1:$1,0)-MATCH($AP$1,unit_skills!$1:$1,0)+1),MATCH(AR$1,unit_skills!$1:$1,0)-MATCH($AP$1,unit_skills!$1:$1,0)+1,FALSE)</f>
        <v>2ターン敵からダメージ30%軽減、全ユニットの攻撃力UP(青・ハート吸収で効果UP)、Cパネル生成短縮(効果特大)</v>
      </c>
      <c r="AS11" s="55">
        <f ca="1">VLOOKUP($AP11,OFFSET(unit_skills!$A$1,0,0,COUNTA(unit_skills!$A:$A),MATCH(AS$1,unit_skills!$1:$1,0)-MATCH($AP$1,unit_skills!$1:$1,0)+1),MATCH(AS$1,unit_skills!$1:$1,0)-MATCH($AP$1,unit_skills!$1:$1,0)+1,FALSE)</f>
        <v>0</v>
      </c>
      <c r="AT11" s="40">
        <v>1138</v>
      </c>
      <c r="AU11" s="55" t="str">
        <f ca="1">VLOOKUP($AT11,OFFSET(crash_skills!$A$1,0,0,COUNTA(crash_skills!$A:$A),MATCH(AU$1,crash_skills!$1:$1,0)-MATCH($AT$1,crash_skills!$1:$1,0)+1),MATCH(AU$1,crash_skills!$1:$1,0)-MATCH($AT$1,crash_skills!$1:$1,0)+1,FALSE)</f>
        <v>タクティシャントラップ</v>
      </c>
      <c r="AV11" s="55" t="str">
        <f ca="1">VLOOKUP($AT11,OFFSET(crash_skills!$A$1,0,0,COUNTA(crash_skills!$A:$A),MATCH(AV$1,crash_skills!$1:$1,0)-MATCH($AT$1,crash_skills!$1:$1,0)+1),MATCH(AV$1,crash_skills!$1:$1,0)-MATCH($AT$1,crash_skills!$1:$1,0)+1,FALSE)</f>
        <v>ヒューマンに効果超大の単体大ダメージ_x000D_+アニマルに効果超大の単体大ダメージ</v>
      </c>
      <c r="AW11" s="55">
        <f ca="1">VLOOKUP($AT11,OFFSET(crash_skills!$A$1,0,0,COUNTA(crash_skills!$A:$A),MATCH(AW$1,crash_skills!$1:$1,0)-MATCH($AT$1,crash_skills!$1:$1,0)+1),MATCH(AW$1,crash_skills!$1:$1,0)-MATCH($AT$1,crash_skills!$1:$1,0)+1,FALSE)</f>
        <v>0</v>
      </c>
      <c r="AX11" s="56">
        <f ca="1">VLOOKUP($A11,OFFSET([1]characters!$A$1,0,0,COUNTA([1]characters!$A:$A),MATCH(AX$1,[1]characters!$1:$1,0)-MATCH($A$1,[1]characters!$1:$1,0)+1),MATCH(AX$1,[1]characters!$1:$1,0)-MATCH($A$1,[1]characters!$1:$1,0)+1,FALSE)</f>
        <v>3</v>
      </c>
      <c r="AY11" s="66">
        <v>1.07</v>
      </c>
      <c r="AZ11" s="66">
        <v>1.18</v>
      </c>
      <c r="BA11" s="66">
        <v>0</v>
      </c>
      <c r="BB11" s="66">
        <v>1</v>
      </c>
      <c r="BC11" s="11">
        <f ca="1">INDEX('RC6SV'!$A$1:$G$21,MATCH(H11,'RC6SV'!$A$1:$A$21,FALSE),MATCH(G11,'RC6SV'!$A$1:$G$1,FALSE))</f>
        <v>14000</v>
      </c>
      <c r="BD11" s="46">
        <f t="shared" ca="1" si="10"/>
        <v>14000</v>
      </c>
      <c r="BE11" s="11">
        <f t="shared" ca="1" si="3"/>
        <v>10000</v>
      </c>
      <c r="BF11" s="11">
        <f t="shared" ca="1" si="4"/>
        <v>1</v>
      </c>
      <c r="BG11" s="16">
        <f ca="1">IF($BE11&lt;=0,ROUND(BK11*0.5,0), ROUND($BE11*S11*AA11*J11*AY11*0.8*[1]ステータス!$B$2,0))</f>
        <v>3852</v>
      </c>
      <c r="BH11" s="16">
        <f ca="1">IF($BE11&lt;=0,ROUND(BL11*0.5,0), ROUND($BE11*T11*AB11*K11*AZ11*0.8*[1]ステータス!$C$2,0))</f>
        <v>2600</v>
      </c>
      <c r="BI11" s="16">
        <f ca="1">IF($BE11&lt;=0,ROUND(BM11*0.5,0), ROUND($BE11*U11*AC11*L11*BA11*0.8*[1]ステータス!$D$2,0))</f>
        <v>0</v>
      </c>
      <c r="BJ11" s="16">
        <f ca="1">IF($BE11&lt;=0,ROUND(BN11*0.5,0), ROUND($BE11*V11*AD11*M11*BB11*0.8*[1]ステータス!$E$2,0))</f>
        <v>1764</v>
      </c>
      <c r="BK11" s="11">
        <f ca="1">ROUND(BD11*S11*AA11*J11*AY11*[1]ステータス!$B$2,0)</f>
        <v>6741</v>
      </c>
      <c r="BL11" s="11">
        <f ca="1">ROUND(BD11*T11*AB11*K11*AZ11*[1]ステータス!$C$2,0)</f>
        <v>4550</v>
      </c>
      <c r="BM11" s="11">
        <f ca="1">ROUND(BD11*U11*AC11*L11*BA11*[1]ステータス!$D$2,0)</f>
        <v>0</v>
      </c>
      <c r="BN11" s="11">
        <f ca="1">ROUND(BD11*V11*AD11*M11*BB11*[1]ステータス!$E$2,0)</f>
        <v>3087</v>
      </c>
      <c r="BO11" s="10">
        <v>0</v>
      </c>
      <c r="BP11" s="10">
        <v>1</v>
      </c>
      <c r="BQ11" s="10" t="s">
        <v>47</v>
      </c>
      <c r="BR11" s="10">
        <f ca="1">VLOOKUP(H11,ghosts_label!$A$2:$B$19,2,FALSE)</f>
        <v>6000</v>
      </c>
    </row>
    <row r="12" spans="1:70" ht="26" customHeight="1" x14ac:dyDescent="0.15">
      <c r="A12" s="12">
        <v>1139</v>
      </c>
      <c r="B12" s="55" t="str">
        <f ca="1">VLOOKUP($A12,OFFSET([1]characters!$A$1,0,0,COUNTA([1]characters!$A:$A),MATCH(B$1,[1]characters!$1:$1,0)-MATCH($A$1,[1]characters!$1:$1,0)+1),MATCH(B$1,[1]characters!$1:$1,0)-MATCH($A$1,[1]characters!$1:$1,0)+1,FALSE)</f>
        <v>趙雲</v>
      </c>
      <c r="C12" s="55" t="str">
        <f ca="1">VLOOKUP($A12,OFFSET([1]characters!$A$1,0,0,COUNTA([1]characters!$A:$A),MATCH(C$1,[1]characters!$1:$1,0)-MATCH($A$1,[1]characters!$1:$1,0)+1),MATCH(C$1,[1]characters!$1:$1,0)-MATCH($A$1,[1]characters!$1:$1,0)+1,FALSE)</f>
        <v>未定</v>
      </c>
      <c r="D12" s="55" t="str">
        <f ca="1">VLOOKUP($A12,OFFSET([1]characters!$A$1,0,0,COUNTA([1]characters!$A:$A),MATCH(D$1,[1]characters!$1:$1,0)-MATCH($A$1,[1]characters!$1:$1,0)+1),MATCH(D$1,[1]characters!$1:$1,0)-MATCH($A$1,[1]characters!$1:$1,0)+1,FALSE)</f>
        <v>アリス</v>
      </c>
      <c r="E12" s="55" t="str">
        <f ca="1">VLOOKUP($A12,OFFSET([1]characters!$A$1,0,0,COUNTA([1]characters!$A:$A),MATCH(E$1,[1]characters!$1:$1,0)-MATCH($A$1,[1]characters!$1:$1,0)+1),MATCH(E$1,[1]characters!$1:$1,0)-MATCH($A$1,[1]characters!$1:$1,0)+1,FALSE)</f>
        <v>世界観</v>
      </c>
      <c r="F12" s="55" t="str">
        <f ca="1">VLOOKUP($A12,OFFSET([1]characters!$A$1,0,0,COUNTA([1]characters!$A:$A),MATCH(F$1,[1]characters!$1:$1,0)-MATCH($A$1,[1]characters!$1:$1,0)+1),MATCH(F$1,[1]characters!$1:$1,0)-MATCH($A$1,[1]characters!$1:$1,0)+1,FALSE)</f>
        <v>不明</v>
      </c>
      <c r="G12" s="55">
        <f ca="1">VLOOKUP($A12,OFFSET([1]characters!$A$1,0,0,COUNTA([1]characters!$A:$A),MATCH(G$1,[1]characters!$1:$1,0)-MATCH($A$1,[1]characters!$1:$1,0)+1),MATCH(G$1,[1]characters!$1:$1,0)-MATCH($A$1,[1]characters!$1:$1,0)+1,FALSE)</f>
        <v>5</v>
      </c>
      <c r="H12" s="55" t="str">
        <f ca="1">VLOOKUP($A12,OFFSET([1]characters!$A$1,0,0,COUNTA([1]characters!$A:$A),MATCH(H$1,[1]characters!$1:$1,0)-MATCH($A$1,[1]characters!$1:$1,0)+1),MATCH(H$1,[1]characters!$1:$1,0)-MATCH($A$1,[1]characters!$1:$1,0)+1,FALSE)</f>
        <v>PremiumSS</v>
      </c>
      <c r="I12" s="55" t="str">
        <f ca="1">VLOOKUP($A12,OFFSET([1]characters!$A$1,0,0,COUNTA([1]characters!$A:$A),MATCH(I$1,[1]characters!$1:$1,0)-MATCH($A$1,[1]characters!$1:$1,0)+1),MATCH(I$1,[1]characters!$1:$1,0)-MATCH($A$1,[1]characters!$1:$1,0)+1,FALSE)</f>
        <v>green</v>
      </c>
      <c r="J12" s="11">
        <f ca="1">VLOOKUP(I12,[1]属性!$A:$E,2,FALSE)</f>
        <v>1.02</v>
      </c>
      <c r="K12" s="11">
        <f ca="1">VLOOKUP(I12,[1]属性!$A:$E,3,FALSE)</f>
        <v>0.98</v>
      </c>
      <c r="L12" s="11">
        <f ca="1">VLOOKUP(I12,[1]属性!$A:$E,4,FALSE)</f>
        <v>1</v>
      </c>
      <c r="M12" s="11">
        <f ca="1">VLOOKUP(I12,[1]属性!$A:$E,5,FALSE)</f>
        <v>1</v>
      </c>
      <c r="N12" s="11">
        <f ca="1">INDEX(コスト!$A$1:$I$21,MATCH(H12,コスト!$A$1:$A$21,FALSE),MATCH(G12,コスト!$A$1:$I$1,FALSE))</f>
        <v>35</v>
      </c>
      <c r="O12" s="11">
        <f ca="1">INDEX(レベル!$A$1:$I$22,MATCH(H12,レベル!$A$1:$A$22,FALSE),MATCH(G12,レベル!$A$1:$I$1,FALSE))</f>
        <v>80</v>
      </c>
      <c r="P12" s="46">
        <f t="shared" ca="1" si="0"/>
        <v>75</v>
      </c>
      <c r="Q12" s="55" t="str">
        <f ca="1">VLOOKUP($A12,OFFSET([1]characters!$A$1,0,0,COUNTA([1]characters!$A:$A),MATCH(Q$1,[1]characters!$1:$1,0)-MATCH($A$1,[1]characters!$1:$1,0)+1),MATCH(Q$1,[1]characters!$1:$1,0)-MATCH($A$1,[1]characters!$1:$1,0)+1,FALSE)</f>
        <v>balance</v>
      </c>
      <c r="R12" s="5" t="str">
        <f ca="1">VLOOKUP(Q12,[1]character_type_i18n!$A:$H,3,FALSE)</f>
        <v>バランスタイプ</v>
      </c>
      <c r="S12" s="11">
        <f ca="1">VLOOKUP(Q12,[1]character_type_i18n!$A:$H,4,FALSE)</f>
        <v>1</v>
      </c>
      <c r="T12" s="11">
        <f ca="1">VLOOKUP(Q12,[1]character_type_i18n!$A:$H,5,FALSE)</f>
        <v>1</v>
      </c>
      <c r="U12" s="11">
        <f ca="1">VLOOKUP(Q12,[1]character_type_i18n!$A:$H,6,FALSE)</f>
        <v>1</v>
      </c>
      <c r="V12" s="11">
        <f ca="1">VLOOKUP(Q12,[1]character_type_i18n!$A:$H,7,FALSE)</f>
        <v>1</v>
      </c>
      <c r="W12" s="55" t="str">
        <f ca="1">VLOOKUP($A12,OFFSET([1]characters!$A$1,0,0,COUNTA([1]characters!$A:$A),MATCH(W$1,[1]characters!$1:$1,0)-MATCH($A$1,[1]characters!$1:$1,0)+1),MATCH(W$1,[1]characters!$1:$1,0)-MATCH($A$1,[1]characters!$1:$1,0)+1,FALSE)</f>
        <v>samurai</v>
      </c>
      <c r="X12" s="5" t="str">
        <f ca="1">VLOOKUP(W12,[1]character_tribe_i18n!$A:$H,3,FALSE)</f>
        <v>サムライ</v>
      </c>
      <c r="Y12" s="55" t="str">
        <f ca="1">VLOOKUP($A12,OFFSET([1]characters!$A$1,0,0,COUNTA([1]characters!$A:$A),MATCH(Y$1,[1]characters!$1:$1,0)-MATCH($A$1,[1]characters!$1:$1,0)+1),MATCH(Y$1,[1]characters!$1:$1,0)-MATCH($A$1,[1]characters!$1:$1,0)+1,FALSE)</f>
        <v>human</v>
      </c>
      <c r="Z12" s="5" t="str">
        <f ca="1">VLOOKUP(Y12,[1]character_tribe_i18n!$A:$H,3,FALSE)</f>
        <v>ヒューマン</v>
      </c>
      <c r="AA12" s="11">
        <f ca="1">VLOOKUP(W12,[1]character_tribe_i18n!$A:$H,4,FALSE)</f>
        <v>1</v>
      </c>
      <c r="AB12" s="11">
        <f ca="1">VLOOKUP(W12,[1]character_tribe_i18n!$A:$H,5,FALSE)</f>
        <v>1</v>
      </c>
      <c r="AC12" s="11">
        <f ca="1">VLOOKUP(W12,[1]character_tribe_i18n!$A:$H,6,FALSE)</f>
        <v>1</v>
      </c>
      <c r="AD12" s="11">
        <f ca="1">VLOOKUP(W12,[1]character_tribe_i18n!$A:$H,7,FALSE)</f>
        <v>1</v>
      </c>
      <c r="AE12" s="9">
        <v>1140</v>
      </c>
      <c r="AF12" s="60" t="str">
        <f ca="1">IF(AE12="NULL","",VLOOKUP($AE12,OFFSET([1]characters!$A$1,0,0,COUNTA([1]characters!$A:$A),MATCH(AF$1,[1]characters!$1:$1,0)-MATCH($A$1,[1]characters!$1:$1,0)+1),MATCH(AF$1,[1]characters!$1:$1,0)-MATCH($A$1,[1]characters!$1:$1,0)+1,FALSE))</f>
        <v>綱紀粛正の傑璧 趙雲</v>
      </c>
      <c r="AG12" s="5">
        <v>1139</v>
      </c>
      <c r="AH12" s="60" t="str">
        <f ca="1">VLOOKUP($AG12,OFFSET([1]characters!$A$1,0,0,COUNTA([1]characters!$A:$A),MATCH(AH$1,[1]characters!$1:$1,0)-MATCH($A$1,[1]characters!$1:$1,0)+1),MATCH(AH$1,[1]characters!$1:$1,0)-MATCH($A$1,[1]characters!$1:$1,0)+1,FALSE)</f>
        <v>趙雲</v>
      </c>
      <c r="AI12" s="11">
        <f ca="1">IF(AE12="NULL","NULL",VLOOKUP(G12,ビット!$A$2:$B$7,2))</f>
        <v>200000</v>
      </c>
      <c r="AJ12" s="6">
        <v>2</v>
      </c>
      <c r="AK12" s="7" t="str">
        <f t="shared" si="9"/>
        <v>普通</v>
      </c>
      <c r="AL12" s="11" t="str">
        <f ca="1">INDEX(経験値!$A$1:$I$21,MATCH(H12,経験値!$A$1:$A$21,FALSE),MATCH(G12,経験値!$A$1:$I$1,FALSE))</f>
        <v>required_exp_200</v>
      </c>
      <c r="AM12" s="8">
        <f ca="1">VLOOKUP(G12,経験値!$A$28:$B$32,2)</f>
        <v>6400</v>
      </c>
      <c r="AN12" s="17">
        <f ca="1">VLOOKUP(G12,ビット!$G$2:$H$7,2)</f>
        <v>900</v>
      </c>
      <c r="AO12" s="43"/>
      <c r="AP12" s="65">
        <v>1139</v>
      </c>
      <c r="AQ12" s="55" t="str">
        <f ca="1">VLOOKUP($AP12,OFFSET(unit_skills!$A$1,0,0,COUNTA(unit_skills!$A:$A),MATCH(AQ$1,unit_skills!$1:$1,0)-MATCH($AP$1,unit_skills!$1:$1,0)+1),MATCH(AQ$1,unit_skills!$1:$1,0)-MATCH($AP$1,unit_skills!$1:$1,0)+1,FALSE)</f>
        <v>絶対矯清の誓断</v>
      </c>
      <c r="AR12" s="55" t="str">
        <f ca="1">VLOOKUP($AP12,OFFSET(unit_skills!$A$1,0,0,COUNTA(unit_skills!$A:$A),MATCH(AR$1,unit_skills!$1:$1,0)-MATCH($AP$1,unit_skills!$1:$1,0)+1),MATCH(AR$1,unit_skills!$1:$1,0)-MATCH($AP$1,unit_skills!$1:$1,0)+1,FALSE)</f>
        <v>お邪魔パネルをCパネルに、黄パネルを緑パネルに変換+2ターン自身の攻撃力を特大UP</v>
      </c>
      <c r="AS12" s="55">
        <f ca="1">VLOOKUP($AP12,OFFSET(unit_skills!$A$1,0,0,COUNTA(unit_skills!$A:$A),MATCH(AS$1,unit_skills!$1:$1,0)-MATCH($AP$1,unit_skills!$1:$1,0)+1),MATCH(AS$1,unit_skills!$1:$1,0)-MATCH($AP$1,unit_skills!$1:$1,0)+1,FALSE)</f>
        <v>0</v>
      </c>
      <c r="AT12" s="40">
        <v>1139</v>
      </c>
      <c r="AU12" s="55" t="str">
        <f ca="1">VLOOKUP($AT12,OFFSET(crash_skills!$A$1,0,0,COUNTA(crash_skills!$A:$A),MATCH(AU$1,crash_skills!$1:$1,0)-MATCH($AT$1,crash_skills!$1:$1,0)+1),MATCH(AU$1,crash_skills!$1:$1,0)-MATCH($AT$1,crash_skills!$1:$1,0)+1,FALSE)</f>
        <v>閃龍・涯角槍</v>
      </c>
      <c r="AV12" s="55" t="str">
        <f ca="1">VLOOKUP($AT12,OFFSET(crash_skills!$A$1,0,0,COUNTA(crash_skills!$A:$A),MATCH(AV$1,crash_skills!$1:$1,0)-MATCH($AT$1,crash_skills!$1:$1,0)+1),MATCH(AV$1,crash_skills!$1:$1,0)-MATCH($AT$1,crash_skills!$1:$1,0)+1,FALSE)</f>
        <v>1体に大ダメージ_x000D_残HPが少ないほど威力UP</v>
      </c>
      <c r="AW12" s="55">
        <f ca="1">VLOOKUP($AT12,OFFSET(crash_skills!$A$1,0,0,COUNTA(crash_skills!$A:$A),MATCH(AW$1,crash_skills!$1:$1,0)-MATCH($AT$1,crash_skills!$1:$1,0)+1),MATCH(AW$1,crash_skills!$1:$1,0)-MATCH($AT$1,crash_skills!$1:$1,0)+1,FALSE)</f>
        <v>0</v>
      </c>
      <c r="AX12" s="56">
        <f ca="1">VLOOKUP($A12,OFFSET([1]characters!$A$1,0,0,COUNTA([1]characters!$A:$A),MATCH(AX$1,[1]characters!$1:$1,0)-MATCH($A$1,[1]characters!$1:$1,0)+1),MATCH(AX$1,[1]characters!$1:$1,0)-MATCH($A$1,[1]characters!$1:$1,0)+1,FALSE)</f>
        <v>3</v>
      </c>
      <c r="AY12" s="66">
        <v>1</v>
      </c>
      <c r="AZ12" s="66">
        <v>1.07</v>
      </c>
      <c r="BA12" s="66">
        <v>0</v>
      </c>
      <c r="BB12" s="66">
        <v>1</v>
      </c>
      <c r="BC12" s="11">
        <f ca="1">INDEX('RC6SV'!$A$1:$G$21,MATCH(H12,'RC6SV'!$A$1:$A$21,FALSE),MATCH(G12,'RC6SV'!$A$1:$G$1,FALSE))</f>
        <v>9500</v>
      </c>
      <c r="BD12" s="46">
        <f t="shared" ca="1" si="10"/>
        <v>9500</v>
      </c>
      <c r="BE12" s="11">
        <f t="shared" ca="1" si="3"/>
        <v>0</v>
      </c>
      <c r="BF12" s="11">
        <f t="shared" ca="1" si="4"/>
        <v>1</v>
      </c>
      <c r="BG12" s="16">
        <f ca="1">IF($BE12&lt;=0,ROUND(BK12*0.5,0), ROUND($BE12*S12*AA12*J12*AY12*0.8*[1]ステータス!$B$2,0))</f>
        <v>2423</v>
      </c>
      <c r="BH12" s="16">
        <f ca="1">IF($BE12&lt;=0,ROUND(BL12*0.5,0), ROUND($BE12*T12*AB12*K12*AZ12*0.8*[1]ステータス!$C$2,0))</f>
        <v>1495</v>
      </c>
      <c r="BI12" s="16">
        <f ca="1">IF($BE12&lt;=0,ROUND(BM12*0.5,0), ROUND($BE12*U12*AC12*L12*BA12*0.8*[1]ステータス!$D$2,0))</f>
        <v>0</v>
      </c>
      <c r="BJ12" s="16">
        <f ca="1">IF($BE12&lt;=0,ROUND(BN12*0.5,0), ROUND($BE12*V12*AD12*M12*BB12*0.8*[1]ステータス!$E$2,0))</f>
        <v>1188</v>
      </c>
      <c r="BK12" s="11">
        <f ca="1">ROUND(BD12*S12*AA12*J12*AY12*[1]ステータス!$B$2,0)</f>
        <v>4845</v>
      </c>
      <c r="BL12" s="11">
        <f ca="1">ROUND(BD12*T12*AB12*K12*AZ12*[1]ステータス!$C$2,0)</f>
        <v>2989</v>
      </c>
      <c r="BM12" s="11">
        <f ca="1">ROUND(BD12*U12*AC12*L12*BA12*[1]ステータス!$D$2,0)</f>
        <v>0</v>
      </c>
      <c r="BN12" s="11">
        <f ca="1">ROUND(BD12*V12*AD12*M12*BB12*[1]ステータス!$E$2,0)</f>
        <v>2375</v>
      </c>
      <c r="BO12" s="10">
        <v>0</v>
      </c>
      <c r="BP12" s="10">
        <v>1</v>
      </c>
      <c r="BQ12" s="10" t="s">
        <v>47</v>
      </c>
      <c r="BR12" s="10">
        <f ca="1">VLOOKUP(H12,ghosts_label!$A$2:$B$19,2,FALSE)</f>
        <v>5500</v>
      </c>
    </row>
    <row r="13" spans="1:70" ht="26" customHeight="1" x14ac:dyDescent="0.15">
      <c r="A13" s="12">
        <v>1140</v>
      </c>
      <c r="B13" s="55" t="str">
        <f ca="1">VLOOKUP($A13,OFFSET([1]characters!$A$1,0,0,COUNTA([1]characters!$A:$A),MATCH(B$1,[1]characters!$1:$1,0)-MATCH($A$1,[1]characters!$1:$1,0)+1),MATCH(B$1,[1]characters!$1:$1,0)-MATCH($A$1,[1]characters!$1:$1,0)+1,FALSE)</f>
        <v>綱紀粛正の傑璧 趙雲</v>
      </c>
      <c r="C13" s="55" t="str">
        <f ca="1">VLOOKUP($A13,OFFSET([1]characters!$A$1,0,0,COUNTA([1]characters!$A:$A),MATCH(C$1,[1]characters!$1:$1,0)-MATCH($A$1,[1]characters!$1:$1,0)+1),MATCH(C$1,[1]characters!$1:$1,0)-MATCH($A$1,[1]characters!$1:$1,0)+1,FALSE)</f>
        <v>未定</v>
      </c>
      <c r="D13" s="55" t="str">
        <f ca="1">VLOOKUP($A13,OFFSET([1]characters!$A$1,0,0,COUNTA([1]characters!$A:$A),MATCH(D$1,[1]characters!$1:$1,0)-MATCH($A$1,[1]characters!$1:$1,0)+1),MATCH(D$1,[1]characters!$1:$1,0)-MATCH($A$1,[1]characters!$1:$1,0)+1,FALSE)</f>
        <v>アリス</v>
      </c>
      <c r="E13" s="55" t="str">
        <f ca="1">VLOOKUP($A13,OFFSET([1]characters!$A$1,0,0,COUNTA([1]characters!$A:$A),MATCH(E$1,[1]characters!$1:$1,0)-MATCH($A$1,[1]characters!$1:$1,0)+1),MATCH(E$1,[1]characters!$1:$1,0)-MATCH($A$1,[1]characters!$1:$1,0)+1,FALSE)</f>
        <v>世界観</v>
      </c>
      <c r="F13" s="55" t="str">
        <f ca="1">VLOOKUP($A13,OFFSET([1]characters!$A$1,0,0,COUNTA([1]characters!$A:$A),MATCH(F$1,[1]characters!$1:$1,0)-MATCH($A$1,[1]characters!$1:$1,0)+1),MATCH(F$1,[1]characters!$1:$1,0)-MATCH($A$1,[1]characters!$1:$1,0)+1,FALSE)</f>
        <v>不明</v>
      </c>
      <c r="G13" s="55">
        <f ca="1">VLOOKUP($A13,OFFSET([1]characters!$A$1,0,0,COUNTA([1]characters!$A:$A),MATCH(G$1,[1]characters!$1:$1,0)-MATCH($A$1,[1]characters!$1:$1,0)+1),MATCH(G$1,[1]characters!$1:$1,0)-MATCH($A$1,[1]characters!$1:$1,0)+1,FALSE)</f>
        <v>6</v>
      </c>
      <c r="H13" s="55" t="str">
        <f ca="1">VLOOKUP($A13,OFFSET([1]characters!$A$1,0,0,COUNTA([1]characters!$A:$A),MATCH(H$1,[1]characters!$1:$1,0)-MATCH($A$1,[1]characters!$1:$1,0)+1),MATCH(H$1,[1]characters!$1:$1,0)-MATCH($A$1,[1]characters!$1:$1,0)+1,FALSE)</f>
        <v>PremiumSS</v>
      </c>
      <c r="I13" s="55" t="str">
        <f ca="1">VLOOKUP($A13,OFFSET([1]characters!$A$1,0,0,COUNTA([1]characters!$A:$A),MATCH(I$1,[1]characters!$1:$1,0)-MATCH($A$1,[1]characters!$1:$1,0)+1),MATCH(I$1,[1]characters!$1:$1,0)-MATCH($A$1,[1]characters!$1:$1,0)+1,FALSE)</f>
        <v>green</v>
      </c>
      <c r="J13" s="11">
        <f ca="1">VLOOKUP(I13,[1]属性!$A:$E,2,FALSE)</f>
        <v>1.02</v>
      </c>
      <c r="K13" s="11">
        <f ca="1">VLOOKUP(I13,[1]属性!$A:$E,3,FALSE)</f>
        <v>0.98</v>
      </c>
      <c r="L13" s="11">
        <f ca="1">VLOOKUP(I13,[1]属性!$A:$E,4,FALSE)</f>
        <v>1</v>
      </c>
      <c r="M13" s="11">
        <f ca="1">VLOOKUP(I13,[1]属性!$A:$E,5,FALSE)</f>
        <v>1</v>
      </c>
      <c r="N13" s="11">
        <f ca="1">INDEX(コスト!$A$1:$I$21,MATCH(H13,コスト!$A$1:$A$21,FALSE),MATCH(G13,コスト!$A$1:$I$1,FALSE))</f>
        <v>50</v>
      </c>
      <c r="O13" s="11">
        <f ca="1">INDEX(レベル!$A$1:$I$22,MATCH(H13,レベル!$A$1:$A$22,FALSE),MATCH(G13,レベル!$A$1:$I$1,FALSE))</f>
        <v>99</v>
      </c>
      <c r="P13" s="46">
        <f t="shared" ca="1" si="0"/>
        <v>99</v>
      </c>
      <c r="Q13" s="55" t="str">
        <f ca="1">VLOOKUP($A13,OFFSET([1]characters!$A$1,0,0,COUNTA([1]characters!$A:$A),MATCH(Q$1,[1]characters!$1:$1,0)-MATCH($A$1,[1]characters!$1:$1,0)+1),MATCH(Q$1,[1]characters!$1:$1,0)-MATCH($A$1,[1]characters!$1:$1,0)+1,FALSE)</f>
        <v>balance</v>
      </c>
      <c r="R13" s="5" t="str">
        <f ca="1">VLOOKUP(Q13,[1]character_type_i18n!$A:$H,3,FALSE)</f>
        <v>バランスタイプ</v>
      </c>
      <c r="S13" s="11">
        <f ca="1">VLOOKUP(Q13,[1]character_type_i18n!$A:$H,4,FALSE)</f>
        <v>1</v>
      </c>
      <c r="T13" s="11">
        <f ca="1">VLOOKUP(Q13,[1]character_type_i18n!$A:$H,5,FALSE)</f>
        <v>1</v>
      </c>
      <c r="U13" s="11">
        <f ca="1">VLOOKUP(Q13,[1]character_type_i18n!$A:$H,6,FALSE)</f>
        <v>1</v>
      </c>
      <c r="V13" s="11">
        <f ca="1">VLOOKUP(Q13,[1]character_type_i18n!$A:$H,7,FALSE)</f>
        <v>1</v>
      </c>
      <c r="W13" s="55" t="str">
        <f ca="1">VLOOKUP($A13,OFFSET([1]characters!$A$1,0,0,COUNTA([1]characters!$A:$A),MATCH(W$1,[1]characters!$1:$1,0)-MATCH($A$1,[1]characters!$1:$1,0)+1),MATCH(W$1,[1]characters!$1:$1,0)-MATCH($A$1,[1]characters!$1:$1,0)+1,FALSE)</f>
        <v>samurai</v>
      </c>
      <c r="X13" s="5" t="str">
        <f ca="1">VLOOKUP(W13,[1]character_tribe_i18n!$A:$H,3,FALSE)</f>
        <v>サムライ</v>
      </c>
      <c r="Y13" s="55" t="str">
        <f ca="1">VLOOKUP($A13,OFFSET([1]characters!$A$1,0,0,COUNTA([1]characters!$A:$A),MATCH(Y$1,[1]characters!$1:$1,0)-MATCH($A$1,[1]characters!$1:$1,0)+1),MATCH(Y$1,[1]characters!$1:$1,0)-MATCH($A$1,[1]characters!$1:$1,0)+1,FALSE)</f>
        <v>human</v>
      </c>
      <c r="Z13" s="5" t="str">
        <f ca="1">VLOOKUP(Y13,[1]character_tribe_i18n!$A:$H,3,FALSE)</f>
        <v>ヒューマン</v>
      </c>
      <c r="AA13" s="11">
        <f ca="1">VLOOKUP(W13,[1]character_tribe_i18n!$A:$H,4,FALSE)</f>
        <v>1</v>
      </c>
      <c r="AB13" s="11">
        <f ca="1">VLOOKUP(W13,[1]character_tribe_i18n!$A:$H,5,FALSE)</f>
        <v>1</v>
      </c>
      <c r="AC13" s="11">
        <f ca="1">VLOOKUP(W13,[1]character_tribe_i18n!$A:$H,6,FALSE)</f>
        <v>1</v>
      </c>
      <c r="AD13" s="11">
        <f ca="1">VLOOKUP(W13,[1]character_tribe_i18n!$A:$H,7,FALSE)</f>
        <v>1</v>
      </c>
      <c r="AE13" s="9" t="s">
        <v>183</v>
      </c>
      <c r="AF13" s="60" t="str">
        <f ca="1">IF(AE13="NULL","",VLOOKUP($AE13,OFFSET([1]characters!$A$1,0,0,COUNTA([1]characters!$A:$A),MATCH(AF$1,[1]characters!$1:$1,0)-MATCH($A$1,[1]characters!$1:$1,0)+1),MATCH(AF$1,[1]characters!$1:$1,0)-MATCH($A$1,[1]characters!$1:$1,0)+1,FALSE))</f>
        <v/>
      </c>
      <c r="AG13" s="5">
        <v>1139</v>
      </c>
      <c r="AH13" s="60" t="str">
        <f ca="1">VLOOKUP($AG13,OFFSET([1]characters!$A$1,0,0,COUNTA([1]characters!$A:$A),MATCH(AH$1,[1]characters!$1:$1,0)-MATCH($A$1,[1]characters!$1:$1,0)+1),MATCH(AH$1,[1]characters!$1:$1,0)-MATCH($A$1,[1]characters!$1:$1,0)+1,FALSE)</f>
        <v>趙雲</v>
      </c>
      <c r="AI13" s="11" t="str">
        <f>IF(AE13="NULL","NULL",VLOOKUP(G13,ビット!$A$2:$B$7,2))</f>
        <v>NULL</v>
      </c>
      <c r="AJ13" s="6">
        <v>2</v>
      </c>
      <c r="AK13" s="7" t="str">
        <f t="shared" si="9"/>
        <v>普通</v>
      </c>
      <c r="AL13" s="11" t="str">
        <f ca="1">INDEX(経験値!$A$1:$I$21,MATCH(H13,経験値!$A$1:$A$21,FALSE),MATCH(G13,経験値!$A$1:$I$1,FALSE))</f>
        <v>required_exp_250</v>
      </c>
      <c r="AM13" s="8">
        <f ca="1">VLOOKUP(G13,経験値!$A$28:$B$32,2)</f>
        <v>6400</v>
      </c>
      <c r="AN13" s="17">
        <f ca="1">VLOOKUP(G13,ビット!$G$2:$H$7,2)</f>
        <v>900</v>
      </c>
      <c r="AO13" s="43"/>
      <c r="AP13" s="65">
        <v>1140</v>
      </c>
      <c r="AQ13" s="55" t="str">
        <f ca="1">VLOOKUP($AP13,OFFSET(unit_skills!$A$1,0,0,COUNTA(unit_skills!$A:$A),MATCH(AQ$1,unit_skills!$1:$1,0)-MATCH($AP$1,unit_skills!$1:$1,0)+1),MATCH(AQ$1,unit_skills!$1:$1,0)-MATCH($AP$1,unit_skills!$1:$1,0)+1,FALSE)</f>
        <v>絶対粛清の宣誓</v>
      </c>
      <c r="AR13" s="55" t="str">
        <f ca="1">VLOOKUP($AP13,OFFSET(unit_skills!$A$1,0,0,COUNTA(unit_skills!$A:$A),MATCH(AR$1,unit_skills!$1:$1,0)-MATCH($AP$1,unit_skills!$1:$1,0)+1),MATCH(AR$1,unit_skills!$1:$1,0)-MATCH($AP$1,unit_skills!$1:$1,0)+1,FALSE)</f>
        <v>お邪魔・緑パネルをCパネルに、黄パネルを緑パネルに変換+5ターン自身の攻撃力を超大UP</v>
      </c>
      <c r="AS13" s="55">
        <f ca="1">VLOOKUP($AP13,OFFSET(unit_skills!$A$1,0,0,COUNTA(unit_skills!$A:$A),MATCH(AS$1,unit_skills!$1:$1,0)-MATCH($AP$1,unit_skills!$1:$1,0)+1),MATCH(AS$1,unit_skills!$1:$1,0)-MATCH($AP$1,unit_skills!$1:$1,0)+1,FALSE)</f>
        <v>0</v>
      </c>
      <c r="AT13" s="40">
        <v>1140</v>
      </c>
      <c r="AU13" s="55" t="str">
        <f ca="1">VLOOKUP($AT13,OFFSET(crash_skills!$A$1,0,0,COUNTA(crash_skills!$A:$A),MATCH(AU$1,crash_skills!$1:$1,0)-MATCH($AT$1,crash_skills!$1:$1,0)+1),MATCH(AU$1,crash_skills!$1:$1,0)-MATCH($AT$1,crash_skills!$1:$1,0)+1,FALSE)</f>
        <v>閃龍・涯角槍</v>
      </c>
      <c r="AV13" s="55" t="str">
        <f ca="1">VLOOKUP($AT13,OFFSET(crash_skills!$A$1,0,0,COUNTA(crash_skills!$A:$A),MATCH(AV$1,crash_skills!$1:$1,0)-MATCH($AT$1,crash_skills!$1:$1,0)+1),MATCH(AV$1,crash_skills!$1:$1,0)-MATCH($AT$1,crash_skills!$1:$1,0)+1,FALSE)</f>
        <v>1体に大ダメージ_x000D_残HPが少ないほど威力UP</v>
      </c>
      <c r="AW13" s="55">
        <f ca="1">VLOOKUP($AT13,OFFSET(crash_skills!$A$1,0,0,COUNTA(crash_skills!$A:$A),MATCH(AW$1,crash_skills!$1:$1,0)-MATCH($AT$1,crash_skills!$1:$1,0)+1),MATCH(AW$1,crash_skills!$1:$1,0)-MATCH($AT$1,crash_skills!$1:$1,0)+1,FALSE)</f>
        <v>0</v>
      </c>
      <c r="AX13" s="56">
        <f ca="1">VLOOKUP($A13,OFFSET([1]characters!$A$1,0,0,COUNTA([1]characters!$A:$A),MATCH(AX$1,[1]characters!$1:$1,0)-MATCH($A$1,[1]characters!$1:$1,0)+1),MATCH(AX$1,[1]characters!$1:$1,0)-MATCH($A$1,[1]characters!$1:$1,0)+1,FALSE)</f>
        <v>3</v>
      </c>
      <c r="AY13" s="66">
        <v>1</v>
      </c>
      <c r="AZ13" s="66">
        <v>1.07</v>
      </c>
      <c r="BA13" s="66">
        <v>0</v>
      </c>
      <c r="BB13" s="66">
        <v>1</v>
      </c>
      <c r="BC13" s="11">
        <f ca="1">INDEX('RC6SV'!$A$1:$G$21,MATCH(H13,'RC6SV'!$A$1:$A$21,FALSE),MATCH(G13,'RC6SV'!$A$1:$G$1,FALSE))</f>
        <v>13000</v>
      </c>
      <c r="BD13" s="46">
        <f t="shared" ca="1" si="10"/>
        <v>13000</v>
      </c>
      <c r="BE13" s="11">
        <f t="shared" ca="1" si="3"/>
        <v>9500</v>
      </c>
      <c r="BF13" s="11">
        <f t="shared" ca="1" si="4"/>
        <v>1</v>
      </c>
      <c r="BG13" s="16">
        <f ca="1">IF($BE13&lt;=0,ROUND(BK13*0.5,0), ROUND($BE13*S13*AA13*J13*AY13*0.8*[1]ステータス!$B$2,0))</f>
        <v>3876</v>
      </c>
      <c r="BH13" s="16">
        <f ca="1">IF($BE13&lt;=0,ROUND(BL13*0.5,0), ROUND($BE13*T13*AB13*K13*AZ13*0.8*[1]ステータス!$C$2,0))</f>
        <v>2391</v>
      </c>
      <c r="BI13" s="16">
        <f ca="1">IF($BE13&lt;=0,ROUND(BM13*0.5,0), ROUND($BE13*U13*AC13*L13*BA13*0.8*[1]ステータス!$D$2,0))</f>
        <v>0</v>
      </c>
      <c r="BJ13" s="16">
        <f ca="1">IF($BE13&lt;=0,ROUND(BN13*0.5,0), ROUND($BE13*V13*AD13*M13*BB13*0.8*[1]ステータス!$E$2,0))</f>
        <v>1900</v>
      </c>
      <c r="BK13" s="11">
        <f ca="1">ROUND(BD13*S13*AA13*J13*AY13*[1]ステータス!$B$2,0)</f>
        <v>6630</v>
      </c>
      <c r="BL13" s="11">
        <f ca="1">ROUND(BD13*T13*AB13*K13*AZ13*[1]ステータス!$C$2,0)</f>
        <v>4090</v>
      </c>
      <c r="BM13" s="11">
        <f ca="1">ROUND(BD13*U13*AC13*L13*BA13*[1]ステータス!$D$2,0)</f>
        <v>0</v>
      </c>
      <c r="BN13" s="11">
        <f ca="1">ROUND(BD13*V13*AD13*M13*BB13*[1]ステータス!$E$2,0)</f>
        <v>3250</v>
      </c>
      <c r="BO13" s="10">
        <v>0</v>
      </c>
      <c r="BP13" s="10">
        <v>1</v>
      </c>
      <c r="BQ13" s="10" t="s">
        <v>47</v>
      </c>
      <c r="BR13" s="10">
        <f ca="1">VLOOKUP(H13,ghosts_label!$A$2:$B$19,2,FALSE)</f>
        <v>5500</v>
      </c>
    </row>
    <row r="14" spans="1:70" ht="26" customHeight="1" x14ac:dyDescent="0.15">
      <c r="A14" s="12">
        <v>1141</v>
      </c>
      <c r="B14" s="55" t="str">
        <f ca="1">VLOOKUP($A14,OFFSET([1]characters!$A$1,0,0,COUNTA([1]characters!$A:$A),MATCH(B$1,[1]characters!$1:$1,0)-MATCH($A$1,[1]characters!$1:$1,0)+1),MATCH(B$1,[1]characters!$1:$1,0)-MATCH($A$1,[1]characters!$1:$1,0)+1,FALSE)</f>
        <v>月英</v>
      </c>
      <c r="C14" s="55" t="str">
        <f ca="1">VLOOKUP($A14,OFFSET([1]characters!$A$1,0,0,COUNTA([1]characters!$A:$A),MATCH(C$1,[1]characters!$1:$1,0)-MATCH($A$1,[1]characters!$1:$1,0)+1),MATCH(C$1,[1]characters!$1:$1,0)-MATCH($A$1,[1]characters!$1:$1,0)+1,FALSE)</f>
        <v>未定</v>
      </c>
      <c r="D14" s="55" t="str">
        <f ca="1">VLOOKUP($A14,OFFSET([1]characters!$A$1,0,0,COUNTA([1]characters!$A:$A),MATCH(D$1,[1]characters!$1:$1,0)-MATCH($A$1,[1]characters!$1:$1,0)+1),MATCH(D$1,[1]characters!$1:$1,0)-MATCH($A$1,[1]characters!$1:$1,0)+1,FALSE)</f>
        <v>アリス</v>
      </c>
      <c r="E14" s="55" t="str">
        <f ca="1">VLOOKUP($A14,OFFSET([1]characters!$A$1,0,0,COUNTA([1]characters!$A:$A),MATCH(E$1,[1]characters!$1:$1,0)-MATCH($A$1,[1]characters!$1:$1,0)+1),MATCH(E$1,[1]characters!$1:$1,0)-MATCH($A$1,[1]characters!$1:$1,0)+1,FALSE)</f>
        <v>世界観</v>
      </c>
      <c r="F14" s="55" t="str">
        <f ca="1">VLOOKUP($A14,OFFSET([1]characters!$A$1,0,0,COUNTA([1]characters!$A:$A),MATCH(F$1,[1]characters!$1:$1,0)-MATCH($A$1,[1]characters!$1:$1,0)+1),MATCH(F$1,[1]characters!$1:$1,0)-MATCH($A$1,[1]characters!$1:$1,0)+1,FALSE)</f>
        <v>不明</v>
      </c>
      <c r="G14" s="55">
        <f ca="1">VLOOKUP($A14,OFFSET([1]characters!$A$1,0,0,COUNTA([1]characters!$A:$A),MATCH(G$1,[1]characters!$1:$1,0)-MATCH($A$1,[1]characters!$1:$1,0)+1),MATCH(G$1,[1]characters!$1:$1,0)-MATCH($A$1,[1]characters!$1:$1,0)+1,FALSE)</f>
        <v>5</v>
      </c>
      <c r="H14" s="55" t="str">
        <f ca="1">VLOOKUP($A14,OFFSET([1]characters!$A$1,0,0,COUNTA([1]characters!$A:$A),MATCH(H$1,[1]characters!$1:$1,0)-MATCH($A$1,[1]characters!$1:$1,0)+1),MATCH(H$1,[1]characters!$1:$1,0)-MATCH($A$1,[1]characters!$1:$1,0)+1,FALSE)</f>
        <v>PremiumSS</v>
      </c>
      <c r="I14" s="55" t="str">
        <f ca="1">VLOOKUP($A14,OFFSET([1]characters!$A$1,0,0,COUNTA([1]characters!$A:$A),MATCH(I$1,[1]characters!$1:$1,0)-MATCH($A$1,[1]characters!$1:$1,0)+1),MATCH(I$1,[1]characters!$1:$1,0)-MATCH($A$1,[1]characters!$1:$1,0)+1,FALSE)</f>
        <v>blue</v>
      </c>
      <c r="J14" s="11">
        <f ca="1">VLOOKUP(I14,[1]属性!$A:$E,2,FALSE)</f>
        <v>1</v>
      </c>
      <c r="K14" s="11">
        <f ca="1">VLOOKUP(I14,[1]属性!$A:$E,3,FALSE)</f>
        <v>0.98</v>
      </c>
      <c r="L14" s="11">
        <f ca="1">VLOOKUP(I14,[1]属性!$A:$E,4,FALSE)</f>
        <v>1</v>
      </c>
      <c r="M14" s="11">
        <f ca="1">VLOOKUP(I14,[1]属性!$A:$E,5,FALSE)</f>
        <v>1.02</v>
      </c>
      <c r="N14" s="11">
        <f ca="1">INDEX(コスト!$A$1:$I$21,MATCH(H14,コスト!$A$1:$A$21,FALSE),MATCH(G14,コスト!$A$1:$I$1,FALSE))</f>
        <v>35</v>
      </c>
      <c r="O14" s="11">
        <f ca="1">INDEX(レベル!$A$1:$I$22,MATCH(H14,レベル!$A$1:$A$22,FALSE),MATCH(G14,レベル!$A$1:$I$1,FALSE))</f>
        <v>80</v>
      </c>
      <c r="P14" s="46">
        <f t="shared" ca="1" si="0"/>
        <v>75</v>
      </c>
      <c r="Q14" s="55" t="str">
        <f ca="1">VLOOKUP($A14,OFFSET([1]characters!$A$1,0,0,COUNTA([1]characters!$A:$A),MATCH(Q$1,[1]characters!$1:$1,0)-MATCH($A$1,[1]characters!$1:$1,0)+1),MATCH(Q$1,[1]characters!$1:$1,0)-MATCH($A$1,[1]characters!$1:$1,0)+1,FALSE)</f>
        <v>balance</v>
      </c>
      <c r="R14" s="5" t="str">
        <f ca="1">VLOOKUP(Q14,[1]character_type_i18n!$A:$H,3,FALSE)</f>
        <v>バランスタイプ</v>
      </c>
      <c r="S14" s="11">
        <f ca="1">VLOOKUP(Q14,[1]character_type_i18n!$A:$H,4,FALSE)</f>
        <v>1</v>
      </c>
      <c r="T14" s="11">
        <f ca="1">VLOOKUP(Q14,[1]character_type_i18n!$A:$H,5,FALSE)</f>
        <v>1</v>
      </c>
      <c r="U14" s="11">
        <f ca="1">VLOOKUP(Q14,[1]character_type_i18n!$A:$H,6,FALSE)</f>
        <v>1</v>
      </c>
      <c r="V14" s="11">
        <f ca="1">VLOOKUP(Q14,[1]character_type_i18n!$A:$H,7,FALSE)</f>
        <v>1</v>
      </c>
      <c r="W14" s="55" t="str">
        <f ca="1">VLOOKUP($A14,OFFSET([1]characters!$A$1,0,0,COUNTA([1]characters!$A:$A),MATCH(W$1,[1]characters!$1:$1,0)-MATCH($A$1,[1]characters!$1:$1,0)+1),MATCH(W$1,[1]characters!$1:$1,0)-MATCH($A$1,[1]characters!$1:$1,0)+1,FALSE)</f>
        <v>human</v>
      </c>
      <c r="X14" s="5" t="str">
        <f ca="1">VLOOKUP(W14,[1]character_tribe_i18n!$A:$H,3,FALSE)</f>
        <v>ヒューマン</v>
      </c>
      <c r="Y14" s="55" t="str">
        <f ca="1">VLOOKUP($A14,OFFSET([1]characters!$A$1,0,0,COUNTA([1]characters!$A:$A),MATCH(Y$1,[1]characters!$1:$1,0)-MATCH($A$1,[1]characters!$1:$1,0)+1),MATCH(Y$1,[1]characters!$1:$1,0)-MATCH($A$1,[1]characters!$1:$1,0)+1,FALSE)</f>
        <v>machine</v>
      </c>
      <c r="Z14" s="5" t="str">
        <f ca="1">VLOOKUP(Y14,[1]character_tribe_i18n!$A:$H,3,FALSE)</f>
        <v>マシン</v>
      </c>
      <c r="AA14" s="11">
        <f ca="1">VLOOKUP(W14,[1]character_tribe_i18n!$A:$H,4,FALSE)</f>
        <v>0.94</v>
      </c>
      <c r="AB14" s="11">
        <f ca="1">VLOOKUP(W14,[1]character_tribe_i18n!$A:$H,5,FALSE)</f>
        <v>0.99</v>
      </c>
      <c r="AC14" s="11">
        <f ca="1">VLOOKUP(W14,[1]character_tribe_i18n!$A:$H,6,FALSE)</f>
        <v>1</v>
      </c>
      <c r="AD14" s="11">
        <f ca="1">VLOOKUP(W14,[1]character_tribe_i18n!$A:$H,7,FALSE)</f>
        <v>1.07</v>
      </c>
      <c r="AE14" s="9">
        <v>1142</v>
      </c>
      <c r="AF14" s="60" t="str">
        <f ca="1">IF(AE14="NULL","",VLOOKUP($AE14,OFFSET([1]characters!$A$1,0,0,COUNTA([1]characters!$A:$A),MATCH(AF$1,[1]characters!$1:$1,0)-MATCH($A$1,[1]characters!$1:$1,0)+1),MATCH(AF$1,[1]characters!$1:$1,0)-MATCH($A$1,[1]characters!$1:$1,0)+1,FALSE))</f>
        <v>蒼明な機鋼士 月英</v>
      </c>
      <c r="AG14" s="5">
        <v>1141</v>
      </c>
      <c r="AH14" s="60" t="str">
        <f ca="1">VLOOKUP($AG14,OFFSET([1]characters!$A$1,0,0,COUNTA([1]characters!$A:$A),MATCH(AH$1,[1]characters!$1:$1,0)-MATCH($A$1,[1]characters!$1:$1,0)+1),MATCH(AH$1,[1]characters!$1:$1,0)-MATCH($A$1,[1]characters!$1:$1,0)+1,FALSE)</f>
        <v>月英</v>
      </c>
      <c r="AI14" s="11">
        <f ca="1">IF(AE14="NULL","NULL",VLOOKUP(G14,ビット!$A$2:$B$7,2))</f>
        <v>200000</v>
      </c>
      <c r="AJ14" s="6">
        <v>2</v>
      </c>
      <c r="AK14" s="7" t="str">
        <f t="shared" si="9"/>
        <v>普通</v>
      </c>
      <c r="AL14" s="11" t="str">
        <f ca="1">INDEX(経験値!$A$1:$I$21,MATCH(H14,経験値!$A$1:$A$21,FALSE),MATCH(G14,経験値!$A$1:$I$1,FALSE))</f>
        <v>required_exp_200</v>
      </c>
      <c r="AM14" s="8">
        <f ca="1">VLOOKUP(G14,経験値!$A$28:$B$32,2)</f>
        <v>6400</v>
      </c>
      <c r="AN14" s="17">
        <f ca="1">VLOOKUP(G14,ビット!$G$2:$H$7,2)</f>
        <v>900</v>
      </c>
      <c r="AO14" s="43"/>
      <c r="AP14" s="65">
        <v>1141</v>
      </c>
      <c r="AQ14" s="55" t="str">
        <f ca="1">VLOOKUP($AP14,OFFSET(unit_skills!$A$1,0,0,COUNTA(unit_skills!$A:$A),MATCH(AQ$1,unit_skills!$1:$1,0)-MATCH($AP$1,unit_skills!$1:$1,0)+1),MATCH(AQ$1,unit_skills!$1:$1,0)-MATCH($AP$1,unit_skills!$1:$1,0)+1,FALSE)</f>
        <v>オートマチック・ロイド</v>
      </c>
      <c r="AR14" s="55" t="str">
        <f ca="1">VLOOKUP($AP14,OFFSET(unit_skills!$A$1,0,0,COUNTA(unit_skills!$A:$A),MATCH(AR$1,unit_skills!$1:$1,0)-MATCH($AP$1,unit_skills!$1:$1,0)+1),MATCH(AR$1,unit_skills!$1:$1,0)-MATCH($AP$1,unit_skills!$1:$1,0)+1,FALSE)</f>
        <v>時限式ダメージパネルと黄パネルをハートボムパネル変換、1ターン全ユニットの攻撃力を特大UPし、回復力大UP</v>
      </c>
      <c r="AS14" s="55">
        <f ca="1">VLOOKUP($AP14,OFFSET(unit_skills!$A$1,0,0,COUNTA(unit_skills!$A:$A),MATCH(AS$1,unit_skills!$1:$1,0)-MATCH($AP$1,unit_skills!$1:$1,0)+1),MATCH(AS$1,unit_skills!$1:$1,0)-MATCH($AP$1,unit_skills!$1:$1,0)+1,FALSE)</f>
        <v>0</v>
      </c>
      <c r="AT14" s="40">
        <v>1141</v>
      </c>
      <c r="AU14" s="55" t="str">
        <f ca="1">VLOOKUP($AT14,OFFSET(crash_skills!$A$1,0,0,COUNTA(crash_skills!$A:$A),MATCH(AU$1,crash_skills!$1:$1,0)-MATCH($AT$1,crash_skills!$1:$1,0)+1),MATCH(AU$1,crash_skills!$1:$1,0)-MATCH($AT$1,crash_skills!$1:$1,0)+1,FALSE)</f>
        <v>械闘☆乱磨</v>
      </c>
      <c r="AV14" s="55" t="str">
        <f ca="1">VLOOKUP($AT14,OFFSET(crash_skills!$A$1,0,0,COUNTA(crash_skills!$A:$A),MATCH(AV$1,crash_skills!$1:$1,0)-MATCH($AT$1,crash_skills!$1:$1,0)+1),MATCH(AV$1,crash_skills!$1:$1,0)-MATCH($AT$1,crash_skills!$1:$1,0)+1,FALSE)</f>
        <v>1体に特大ダメージ+_x000D_HP大回復</v>
      </c>
      <c r="AW14" s="55">
        <f ca="1">VLOOKUP($AT14,OFFSET(crash_skills!$A$1,0,0,COUNTA(crash_skills!$A:$A),MATCH(AW$1,crash_skills!$1:$1,0)-MATCH($AT$1,crash_skills!$1:$1,0)+1),MATCH(AW$1,crash_skills!$1:$1,0)-MATCH($AT$1,crash_skills!$1:$1,0)+1,FALSE)</f>
        <v>0</v>
      </c>
      <c r="AX14" s="56">
        <f ca="1">VLOOKUP($A14,OFFSET([1]characters!$A$1,0,0,COUNTA([1]characters!$A:$A),MATCH(AX$1,[1]characters!$1:$1,0)-MATCH($A$1,[1]characters!$1:$1,0)+1),MATCH(AX$1,[1]characters!$1:$1,0)-MATCH($A$1,[1]characters!$1:$1,0)+1,FALSE)</f>
        <v>3</v>
      </c>
      <c r="AY14" s="66">
        <v>0.98</v>
      </c>
      <c r="AZ14" s="66">
        <v>1.1499999999999999</v>
      </c>
      <c r="BA14" s="66">
        <v>0</v>
      </c>
      <c r="BB14" s="66">
        <v>0.95</v>
      </c>
      <c r="BC14" s="11">
        <f ca="1">INDEX('RC6SV'!$A$1:$G$21,MATCH(H14,'RC6SV'!$A$1:$A$21,FALSE),MATCH(G14,'RC6SV'!$A$1:$G$1,FALSE))</f>
        <v>9500</v>
      </c>
      <c r="BD14" s="46">
        <f t="shared" ca="1" si="10"/>
        <v>9500</v>
      </c>
      <c r="BE14" s="11">
        <f t="shared" ca="1" si="3"/>
        <v>0</v>
      </c>
      <c r="BF14" s="11">
        <f t="shared" ca="1" si="4"/>
        <v>1</v>
      </c>
      <c r="BG14" s="16">
        <f ca="1">IF($BE14&lt;=0,ROUND(BK14*0.5,0), ROUND($BE14*S14*AA14*J14*AY14*0.8*[1]ステータス!$B$2,0))</f>
        <v>2188</v>
      </c>
      <c r="BH14" s="16">
        <f ca="1">IF($BE14&lt;=0,ROUND(BL14*0.5,0), ROUND($BE14*T14*AB14*K14*AZ14*0.8*[1]ステータス!$C$2,0))</f>
        <v>1590</v>
      </c>
      <c r="BI14" s="16">
        <f ca="1">IF($BE14&lt;=0,ROUND(BM14*0.5,0), ROUND($BE14*U14*AC14*L14*BA14*0.8*[1]ステータス!$D$2,0))</f>
        <v>0</v>
      </c>
      <c r="BJ14" s="16">
        <f ca="1">IF($BE14&lt;=0,ROUND(BN14*0.5,0), ROUND($BE14*V14*AD14*M14*BB14*0.8*[1]ステータス!$E$2,0))</f>
        <v>1231</v>
      </c>
      <c r="BK14" s="11">
        <f ca="1">ROUND(BD14*S14*AA14*J14*AY14*[1]ステータス!$B$2,0)</f>
        <v>4376</v>
      </c>
      <c r="BL14" s="11">
        <f ca="1">ROUND(BD14*T14*AB14*K14*AZ14*[1]ステータス!$C$2,0)</f>
        <v>3180</v>
      </c>
      <c r="BM14" s="11">
        <f ca="1">ROUND(BD14*U14*AC14*L14*BA14*[1]ステータス!$D$2,0)</f>
        <v>0</v>
      </c>
      <c r="BN14" s="11">
        <f ca="1">ROUND(BD14*V14*AD14*M14*BB14*[1]ステータス!$E$2,0)</f>
        <v>2462</v>
      </c>
      <c r="BO14" s="10">
        <v>0</v>
      </c>
      <c r="BP14" s="10">
        <v>1</v>
      </c>
      <c r="BQ14" s="10" t="s">
        <v>47</v>
      </c>
      <c r="BR14" s="10">
        <f ca="1">VLOOKUP(H14,ghosts_label!$A$2:$B$19,2,FALSE)</f>
        <v>5500</v>
      </c>
    </row>
    <row r="15" spans="1:70" ht="26" customHeight="1" x14ac:dyDescent="0.15">
      <c r="A15" s="12">
        <v>1142</v>
      </c>
      <c r="B15" s="55" t="str">
        <f ca="1">VLOOKUP($A15,OFFSET([1]characters!$A$1,0,0,COUNTA([1]characters!$A:$A),MATCH(B$1,[1]characters!$1:$1,0)-MATCH($A$1,[1]characters!$1:$1,0)+1),MATCH(B$1,[1]characters!$1:$1,0)-MATCH($A$1,[1]characters!$1:$1,0)+1,FALSE)</f>
        <v>蒼明な機鋼士 月英</v>
      </c>
      <c r="C15" s="55" t="str">
        <f ca="1">VLOOKUP($A15,OFFSET([1]characters!$A$1,0,0,COUNTA([1]characters!$A:$A),MATCH(C$1,[1]characters!$1:$1,0)-MATCH($A$1,[1]characters!$1:$1,0)+1),MATCH(C$1,[1]characters!$1:$1,0)-MATCH($A$1,[1]characters!$1:$1,0)+1,FALSE)</f>
        <v>未定</v>
      </c>
      <c r="D15" s="55" t="str">
        <f ca="1">VLOOKUP($A15,OFFSET([1]characters!$A$1,0,0,COUNTA([1]characters!$A:$A),MATCH(D$1,[1]characters!$1:$1,0)-MATCH($A$1,[1]characters!$1:$1,0)+1),MATCH(D$1,[1]characters!$1:$1,0)-MATCH($A$1,[1]characters!$1:$1,0)+1,FALSE)</f>
        <v>アリス</v>
      </c>
      <c r="E15" s="55" t="str">
        <f ca="1">VLOOKUP($A15,OFFSET([1]characters!$A$1,0,0,COUNTA([1]characters!$A:$A),MATCH(E$1,[1]characters!$1:$1,0)-MATCH($A$1,[1]characters!$1:$1,0)+1),MATCH(E$1,[1]characters!$1:$1,0)-MATCH($A$1,[1]characters!$1:$1,0)+1,FALSE)</f>
        <v>世界観</v>
      </c>
      <c r="F15" s="55" t="str">
        <f ca="1">VLOOKUP($A15,OFFSET([1]characters!$A$1,0,0,COUNTA([1]characters!$A:$A),MATCH(F$1,[1]characters!$1:$1,0)-MATCH($A$1,[1]characters!$1:$1,0)+1),MATCH(F$1,[1]characters!$1:$1,0)-MATCH($A$1,[1]characters!$1:$1,0)+1,FALSE)</f>
        <v>不明</v>
      </c>
      <c r="G15" s="55">
        <f ca="1">VLOOKUP($A15,OFFSET([1]characters!$A$1,0,0,COUNTA([1]characters!$A:$A),MATCH(G$1,[1]characters!$1:$1,0)-MATCH($A$1,[1]characters!$1:$1,0)+1),MATCH(G$1,[1]characters!$1:$1,0)-MATCH($A$1,[1]characters!$1:$1,0)+1,FALSE)</f>
        <v>6</v>
      </c>
      <c r="H15" s="55" t="str">
        <f ca="1">VLOOKUP($A15,OFFSET([1]characters!$A$1,0,0,COUNTA([1]characters!$A:$A),MATCH(H$1,[1]characters!$1:$1,0)-MATCH($A$1,[1]characters!$1:$1,0)+1),MATCH(H$1,[1]characters!$1:$1,0)-MATCH($A$1,[1]characters!$1:$1,0)+1,FALSE)</f>
        <v>PremiumSS</v>
      </c>
      <c r="I15" s="55" t="str">
        <f ca="1">VLOOKUP($A15,OFFSET([1]characters!$A$1,0,0,COUNTA([1]characters!$A:$A),MATCH(I$1,[1]characters!$1:$1,0)-MATCH($A$1,[1]characters!$1:$1,0)+1),MATCH(I$1,[1]characters!$1:$1,0)-MATCH($A$1,[1]characters!$1:$1,0)+1,FALSE)</f>
        <v>blue</v>
      </c>
      <c r="J15" s="11">
        <f ca="1">VLOOKUP(I15,[1]属性!$A:$E,2,FALSE)</f>
        <v>1</v>
      </c>
      <c r="K15" s="11">
        <f ca="1">VLOOKUP(I15,[1]属性!$A:$E,3,FALSE)</f>
        <v>0.98</v>
      </c>
      <c r="L15" s="11">
        <f ca="1">VLOOKUP(I15,[1]属性!$A:$E,4,FALSE)</f>
        <v>1</v>
      </c>
      <c r="M15" s="11">
        <f ca="1">VLOOKUP(I15,[1]属性!$A:$E,5,FALSE)</f>
        <v>1.02</v>
      </c>
      <c r="N15" s="11">
        <f ca="1">INDEX(コスト!$A$1:$I$21,MATCH(H15,コスト!$A$1:$A$21,FALSE),MATCH(G15,コスト!$A$1:$I$1,FALSE))</f>
        <v>50</v>
      </c>
      <c r="O15" s="11">
        <f ca="1">INDEX(レベル!$A$1:$I$22,MATCH(H15,レベル!$A$1:$A$22,FALSE),MATCH(G15,レベル!$A$1:$I$1,FALSE))</f>
        <v>99</v>
      </c>
      <c r="P15" s="46">
        <f t="shared" ca="1" si="0"/>
        <v>99</v>
      </c>
      <c r="Q15" s="55" t="str">
        <f ca="1">VLOOKUP($A15,OFFSET([1]characters!$A$1,0,0,COUNTA([1]characters!$A:$A),MATCH(Q$1,[1]characters!$1:$1,0)-MATCH($A$1,[1]characters!$1:$1,0)+1),MATCH(Q$1,[1]characters!$1:$1,0)-MATCH($A$1,[1]characters!$1:$1,0)+1,FALSE)</f>
        <v>balance</v>
      </c>
      <c r="R15" s="5" t="str">
        <f ca="1">VLOOKUP(Q15,[1]character_type_i18n!$A:$H,3,FALSE)</f>
        <v>バランスタイプ</v>
      </c>
      <c r="S15" s="11">
        <f ca="1">VLOOKUP(Q15,[1]character_type_i18n!$A:$H,4,FALSE)</f>
        <v>1</v>
      </c>
      <c r="T15" s="11">
        <f ca="1">VLOOKUP(Q15,[1]character_type_i18n!$A:$H,5,FALSE)</f>
        <v>1</v>
      </c>
      <c r="U15" s="11">
        <f ca="1">VLOOKUP(Q15,[1]character_type_i18n!$A:$H,6,FALSE)</f>
        <v>1</v>
      </c>
      <c r="V15" s="11">
        <f ca="1">VLOOKUP(Q15,[1]character_type_i18n!$A:$H,7,FALSE)</f>
        <v>1</v>
      </c>
      <c r="W15" s="55" t="str">
        <f ca="1">VLOOKUP($A15,OFFSET([1]characters!$A$1,0,0,COUNTA([1]characters!$A:$A),MATCH(W$1,[1]characters!$1:$1,0)-MATCH($A$1,[1]characters!$1:$1,0)+1),MATCH(W$1,[1]characters!$1:$1,0)-MATCH($A$1,[1]characters!$1:$1,0)+1,FALSE)</f>
        <v>human</v>
      </c>
      <c r="X15" s="5" t="str">
        <f ca="1">VLOOKUP(W15,[1]character_tribe_i18n!$A:$H,3,FALSE)</f>
        <v>ヒューマン</v>
      </c>
      <c r="Y15" s="55" t="str">
        <f ca="1">VLOOKUP($A15,OFFSET([1]characters!$A$1,0,0,COUNTA([1]characters!$A:$A),MATCH(Y$1,[1]characters!$1:$1,0)-MATCH($A$1,[1]characters!$1:$1,0)+1),MATCH(Y$1,[1]characters!$1:$1,0)-MATCH($A$1,[1]characters!$1:$1,0)+1,FALSE)</f>
        <v>machine</v>
      </c>
      <c r="Z15" s="5" t="str">
        <f ca="1">VLOOKUP(Y15,[1]character_tribe_i18n!$A:$H,3,FALSE)</f>
        <v>マシン</v>
      </c>
      <c r="AA15" s="11">
        <f ca="1">VLOOKUP(W15,[1]character_tribe_i18n!$A:$H,4,FALSE)</f>
        <v>0.94</v>
      </c>
      <c r="AB15" s="11">
        <f ca="1">VLOOKUP(W15,[1]character_tribe_i18n!$A:$H,5,FALSE)</f>
        <v>0.99</v>
      </c>
      <c r="AC15" s="11">
        <f ca="1">VLOOKUP(W15,[1]character_tribe_i18n!$A:$H,6,FALSE)</f>
        <v>1</v>
      </c>
      <c r="AD15" s="11">
        <f ca="1">VLOOKUP(W15,[1]character_tribe_i18n!$A:$H,7,FALSE)</f>
        <v>1.07</v>
      </c>
      <c r="AE15" s="9" t="s">
        <v>183</v>
      </c>
      <c r="AF15" s="60" t="str">
        <f ca="1">IF(AE15="NULL","",VLOOKUP($AE15,OFFSET([1]characters!$A$1,0,0,COUNTA([1]characters!$A:$A),MATCH(AF$1,[1]characters!$1:$1,0)-MATCH($A$1,[1]characters!$1:$1,0)+1),MATCH(AF$1,[1]characters!$1:$1,0)-MATCH($A$1,[1]characters!$1:$1,0)+1,FALSE))</f>
        <v/>
      </c>
      <c r="AG15" s="5">
        <v>1141</v>
      </c>
      <c r="AH15" s="60" t="str">
        <f ca="1">VLOOKUP($AG15,OFFSET([1]characters!$A$1,0,0,COUNTA([1]characters!$A:$A),MATCH(AH$1,[1]characters!$1:$1,0)-MATCH($A$1,[1]characters!$1:$1,0)+1),MATCH(AH$1,[1]characters!$1:$1,0)-MATCH($A$1,[1]characters!$1:$1,0)+1,FALSE)</f>
        <v>月英</v>
      </c>
      <c r="AI15" s="11" t="str">
        <f>IF(AE15="NULL","NULL",VLOOKUP(G15,ビット!$A$2:$B$7,2))</f>
        <v>NULL</v>
      </c>
      <c r="AJ15" s="6">
        <v>2</v>
      </c>
      <c r="AK15" s="7" t="str">
        <f t="shared" si="9"/>
        <v>普通</v>
      </c>
      <c r="AL15" s="11" t="str">
        <f ca="1">INDEX(経験値!$A$1:$I$21,MATCH(H15,経験値!$A$1:$A$21,FALSE),MATCH(G15,経験値!$A$1:$I$1,FALSE))</f>
        <v>required_exp_250</v>
      </c>
      <c r="AM15" s="8">
        <f ca="1">VLOOKUP(G15,経験値!$A$28:$B$32,2)</f>
        <v>6400</v>
      </c>
      <c r="AN15" s="17">
        <f ca="1">VLOOKUP(G15,ビット!$G$2:$H$7,2)</f>
        <v>900</v>
      </c>
      <c r="AO15" s="43"/>
      <c r="AP15" s="65">
        <v>1142</v>
      </c>
      <c r="AQ15" s="55" t="str">
        <f ca="1">VLOOKUP($AP15,OFFSET(unit_skills!$A$1,0,0,COUNTA(unit_skills!$A:$A),MATCH(AQ$1,unit_skills!$1:$1,0)-MATCH($AP$1,unit_skills!$1:$1,0)+1),MATCH(AQ$1,unit_skills!$1:$1,0)-MATCH($AP$1,unit_skills!$1:$1,0)+1,FALSE)</f>
        <v>オートマチック・ロデオ</v>
      </c>
      <c r="AR15" s="55" t="str">
        <f ca="1">VLOOKUP($AP15,OFFSET(unit_skills!$A$1,0,0,COUNTA(unit_skills!$A:$A),MATCH(AR$1,unit_skills!$1:$1,0)-MATCH($AP$1,unit_skills!$1:$1,0)+1),MATCH(AR$1,unit_skills!$1:$1,0)-MATCH($AP$1,unit_skills!$1:$1,0)+1,FALSE)</f>
        <v>時限式ダメージパネルと黄パネルをハートボムパネル変換、2ターン全ユニットの攻撃力を超大UPし、回復力特大UP</v>
      </c>
      <c r="AS15" s="55">
        <f ca="1">VLOOKUP($AP15,OFFSET(unit_skills!$A$1,0,0,COUNTA(unit_skills!$A:$A),MATCH(AS$1,unit_skills!$1:$1,0)-MATCH($AP$1,unit_skills!$1:$1,0)+1),MATCH(AS$1,unit_skills!$1:$1,0)-MATCH($AP$1,unit_skills!$1:$1,0)+1,FALSE)</f>
        <v>0</v>
      </c>
      <c r="AT15" s="40">
        <v>1142</v>
      </c>
      <c r="AU15" s="55" t="str">
        <f ca="1">VLOOKUP($AT15,OFFSET(crash_skills!$A$1,0,0,COUNTA(crash_skills!$A:$A),MATCH(AU$1,crash_skills!$1:$1,0)-MATCH($AT$1,crash_skills!$1:$1,0)+1),MATCH(AU$1,crash_skills!$1:$1,0)-MATCH($AT$1,crash_skills!$1:$1,0)+1,FALSE)</f>
        <v>械闘☆乱磨</v>
      </c>
      <c r="AV15" s="55" t="str">
        <f ca="1">VLOOKUP($AT15,OFFSET(crash_skills!$A$1,0,0,COUNTA(crash_skills!$A:$A),MATCH(AV$1,crash_skills!$1:$1,0)-MATCH($AT$1,crash_skills!$1:$1,0)+1),MATCH(AV$1,crash_skills!$1:$1,0)-MATCH($AT$1,crash_skills!$1:$1,0)+1,FALSE)</f>
        <v>1体に特大ダメージ+_x000D_HP大回復</v>
      </c>
      <c r="AW15" s="55">
        <f ca="1">VLOOKUP($AT15,OFFSET(crash_skills!$A$1,0,0,COUNTA(crash_skills!$A:$A),MATCH(AW$1,crash_skills!$1:$1,0)-MATCH($AT$1,crash_skills!$1:$1,0)+1),MATCH(AW$1,crash_skills!$1:$1,0)-MATCH($AT$1,crash_skills!$1:$1,0)+1,FALSE)</f>
        <v>0</v>
      </c>
      <c r="AX15" s="56">
        <f ca="1">VLOOKUP($A15,OFFSET([1]characters!$A$1,0,0,COUNTA([1]characters!$A:$A),MATCH(AX$1,[1]characters!$1:$1,0)-MATCH($A$1,[1]characters!$1:$1,0)+1),MATCH(AX$1,[1]characters!$1:$1,0)-MATCH($A$1,[1]characters!$1:$1,0)+1,FALSE)</f>
        <v>3</v>
      </c>
      <c r="AY15" s="66">
        <v>0.98</v>
      </c>
      <c r="AZ15" s="66">
        <v>1.1499999999999999</v>
      </c>
      <c r="BA15" s="66">
        <v>0</v>
      </c>
      <c r="BB15" s="66">
        <v>0.95</v>
      </c>
      <c r="BC15" s="11">
        <f ca="1">INDEX('RC6SV'!$A$1:$G$21,MATCH(H15,'RC6SV'!$A$1:$A$21,FALSE),MATCH(G15,'RC6SV'!$A$1:$G$1,FALSE))</f>
        <v>13000</v>
      </c>
      <c r="BD15" s="46">
        <f t="shared" ca="1" si="10"/>
        <v>13000</v>
      </c>
      <c r="BE15" s="11">
        <f t="shared" ca="1" si="3"/>
        <v>9500</v>
      </c>
      <c r="BF15" s="11">
        <f t="shared" ca="1" si="4"/>
        <v>1</v>
      </c>
      <c r="BG15" s="16">
        <f ca="1">IF($BE15&lt;=0,ROUND(BK15*0.5,0), ROUND($BE15*S15*AA15*J15*AY15*0.8*[1]ステータス!$B$2,0))</f>
        <v>3501</v>
      </c>
      <c r="BH15" s="16">
        <f ca="1">IF($BE15&lt;=0,ROUND(BL15*0.5,0), ROUND($BE15*T15*AB15*K15*AZ15*0.8*[1]ステータス!$C$2,0))</f>
        <v>2544</v>
      </c>
      <c r="BI15" s="16">
        <f ca="1">IF($BE15&lt;=0,ROUND(BM15*0.5,0), ROUND($BE15*U15*AC15*L15*BA15*0.8*[1]ステータス!$D$2,0))</f>
        <v>0</v>
      </c>
      <c r="BJ15" s="16">
        <f ca="1">IF($BE15&lt;=0,ROUND(BN15*0.5,0), ROUND($BE15*V15*AD15*M15*BB15*0.8*[1]ステータス!$E$2,0))</f>
        <v>1970</v>
      </c>
      <c r="BK15" s="11">
        <f ca="1">ROUND(BD15*S15*AA15*J15*AY15*[1]ステータス!$B$2,0)</f>
        <v>5988</v>
      </c>
      <c r="BL15" s="11">
        <f ca="1">ROUND(BD15*T15*AB15*K15*AZ15*[1]ステータス!$C$2,0)</f>
        <v>4351</v>
      </c>
      <c r="BM15" s="11">
        <f ca="1">ROUND(BD15*U15*AC15*L15*BA15*[1]ステータス!$D$2,0)</f>
        <v>0</v>
      </c>
      <c r="BN15" s="11">
        <f ca="1">ROUND(BD15*V15*AD15*M15*BB15*[1]ステータス!$E$2,0)</f>
        <v>3370</v>
      </c>
      <c r="BO15" s="10">
        <v>0</v>
      </c>
      <c r="BP15" s="10">
        <v>1</v>
      </c>
      <c r="BQ15" s="10" t="s">
        <v>47</v>
      </c>
      <c r="BR15" s="10">
        <f ca="1">VLOOKUP(H15,ghosts_label!$A$2:$B$19,2,FALSE)</f>
        <v>5500</v>
      </c>
    </row>
    <row r="16" spans="1:70" ht="26" customHeight="1" x14ac:dyDescent="0.15">
      <c r="A16" s="12">
        <v>1143</v>
      </c>
      <c r="B16" s="55" t="str">
        <f ca="1">VLOOKUP($A16,OFFSET([1]characters!$A$1,0,0,COUNTA([1]characters!$A:$A),MATCH(B$1,[1]characters!$1:$1,0)-MATCH($A$1,[1]characters!$1:$1,0)+1),MATCH(B$1,[1]characters!$1:$1,0)-MATCH($A$1,[1]characters!$1:$1,0)+1,FALSE)</f>
        <v>黄忠</v>
      </c>
      <c r="C16" s="55" t="str">
        <f ca="1">VLOOKUP($A16,OFFSET([1]characters!$A$1,0,0,COUNTA([1]characters!$A:$A),MATCH(C$1,[1]characters!$1:$1,0)-MATCH($A$1,[1]characters!$1:$1,0)+1),MATCH(C$1,[1]characters!$1:$1,0)-MATCH($A$1,[1]characters!$1:$1,0)+1,FALSE)</f>
        <v>未定</v>
      </c>
      <c r="D16" s="55" t="str">
        <f ca="1">VLOOKUP($A16,OFFSET([1]characters!$A$1,0,0,COUNTA([1]characters!$A:$A),MATCH(D$1,[1]characters!$1:$1,0)-MATCH($A$1,[1]characters!$1:$1,0)+1),MATCH(D$1,[1]characters!$1:$1,0)-MATCH($A$1,[1]characters!$1:$1,0)+1,FALSE)</f>
        <v>アリス</v>
      </c>
      <c r="E16" s="55" t="str">
        <f ca="1">VLOOKUP($A16,OFFSET([1]characters!$A$1,0,0,COUNTA([1]characters!$A:$A),MATCH(E$1,[1]characters!$1:$1,0)-MATCH($A$1,[1]characters!$1:$1,0)+1),MATCH(E$1,[1]characters!$1:$1,0)-MATCH($A$1,[1]characters!$1:$1,0)+1,FALSE)</f>
        <v>世界観</v>
      </c>
      <c r="F16" s="55" t="str">
        <f ca="1">VLOOKUP($A16,OFFSET([1]characters!$A$1,0,0,COUNTA([1]characters!$A:$A),MATCH(F$1,[1]characters!$1:$1,0)-MATCH($A$1,[1]characters!$1:$1,0)+1),MATCH(F$1,[1]characters!$1:$1,0)-MATCH($A$1,[1]characters!$1:$1,0)+1,FALSE)</f>
        <v>不明</v>
      </c>
      <c r="G16" s="55">
        <f ca="1">VLOOKUP($A16,OFFSET([1]characters!$A$1,0,0,COUNTA([1]characters!$A:$A),MATCH(G$1,[1]characters!$1:$1,0)-MATCH($A$1,[1]characters!$1:$1,0)+1),MATCH(G$1,[1]characters!$1:$1,0)-MATCH($A$1,[1]characters!$1:$1,0)+1,FALSE)</f>
        <v>4</v>
      </c>
      <c r="H16" s="55" t="str">
        <f ca="1">VLOOKUP($A16,OFFSET([1]characters!$A$1,0,0,COUNTA([1]characters!$A:$A),MATCH(H$1,[1]characters!$1:$1,0)-MATCH($A$1,[1]characters!$1:$1,0)+1),MATCH(H$1,[1]characters!$1:$1,0)-MATCH($A$1,[1]characters!$1:$1,0)+1,FALSE)</f>
        <v>PremiumS</v>
      </c>
      <c r="I16" s="55" t="str">
        <f ca="1">VLOOKUP($A16,OFFSET([1]characters!$A$1,0,0,COUNTA([1]characters!$A:$A),MATCH(I$1,[1]characters!$1:$1,0)-MATCH($A$1,[1]characters!$1:$1,0)+1),MATCH(I$1,[1]characters!$1:$1,0)-MATCH($A$1,[1]characters!$1:$1,0)+1,FALSE)</f>
        <v>yellow</v>
      </c>
      <c r="J16" s="11">
        <f ca="1">VLOOKUP(I16,[1]属性!$A:$E,2,FALSE)</f>
        <v>0.98</v>
      </c>
      <c r="K16" s="11">
        <f ca="1">VLOOKUP(I16,[1]属性!$A:$E,3,FALSE)</f>
        <v>1.01</v>
      </c>
      <c r="L16" s="11">
        <f ca="1">VLOOKUP(I16,[1]属性!$A:$E,4,FALSE)</f>
        <v>1</v>
      </c>
      <c r="M16" s="11">
        <f ca="1">VLOOKUP(I16,[1]属性!$A:$E,5,FALSE)</f>
        <v>1.01</v>
      </c>
      <c r="N16" s="11">
        <f ca="1">INDEX(コスト!$A$1:$I$21,MATCH(H16,コスト!$A$1:$A$21,FALSE),MATCH(G16,コスト!$A$1:$I$1,FALSE))</f>
        <v>20</v>
      </c>
      <c r="O16" s="11">
        <f ca="1">INDEX(レベル!$A$1:$I$22,MATCH(H16,レベル!$A$1:$A$22,FALSE),MATCH(G16,レベル!$A$1:$I$1,FALSE))</f>
        <v>60</v>
      </c>
      <c r="P16" s="46">
        <f t="shared" ca="1" si="0"/>
        <v>60</v>
      </c>
      <c r="Q16" s="55" t="str">
        <f ca="1">VLOOKUP($A16,OFFSET([1]characters!$A$1,0,0,COUNTA([1]characters!$A:$A),MATCH(Q$1,[1]characters!$1:$1,0)-MATCH($A$1,[1]characters!$1:$1,0)+1),MATCH(Q$1,[1]characters!$1:$1,0)-MATCH($A$1,[1]characters!$1:$1,0)+1,FALSE)</f>
        <v>technical</v>
      </c>
      <c r="R16" s="5" t="str">
        <f ca="1">VLOOKUP(Q16,[1]character_type_i18n!$A:$H,3,FALSE)</f>
        <v>テクニカルタイプ</v>
      </c>
      <c r="S16" s="11">
        <f ca="1">VLOOKUP(Q16,[1]character_type_i18n!$A:$H,4,FALSE)</f>
        <v>0.9</v>
      </c>
      <c r="T16" s="11">
        <f ca="1">VLOOKUP(Q16,[1]character_type_i18n!$A:$H,5,FALSE)</f>
        <v>0.9</v>
      </c>
      <c r="U16" s="11">
        <f ca="1">VLOOKUP(Q16,[1]character_type_i18n!$A:$H,6,FALSE)</f>
        <v>1</v>
      </c>
      <c r="V16" s="11">
        <f ca="1">VLOOKUP(Q16,[1]character_type_i18n!$A:$H,7,FALSE)</f>
        <v>0.9</v>
      </c>
      <c r="W16" s="55" t="str">
        <f ca="1">VLOOKUP($A16,OFFSET([1]characters!$A$1,0,0,COUNTA([1]characters!$A:$A),MATCH(W$1,[1]characters!$1:$1,0)-MATCH($A$1,[1]characters!$1:$1,0)+1),MATCH(W$1,[1]characters!$1:$1,0)-MATCH($A$1,[1]characters!$1:$1,0)+1,FALSE)</f>
        <v>samurai</v>
      </c>
      <c r="X16" s="5" t="str">
        <f ca="1">VLOOKUP(W16,[1]character_tribe_i18n!$A:$H,3,FALSE)</f>
        <v>サムライ</v>
      </c>
      <c r="Y16" s="55" t="str">
        <f ca="1">VLOOKUP($A16,OFFSET([1]characters!$A$1,0,0,COUNTA([1]characters!$A:$A),MATCH(Y$1,[1]characters!$1:$1,0)-MATCH($A$1,[1]characters!$1:$1,0)+1),MATCH(Y$1,[1]characters!$1:$1,0)-MATCH($A$1,[1]characters!$1:$1,0)+1,FALSE)</f>
        <v>human</v>
      </c>
      <c r="Z16" s="5" t="str">
        <f ca="1">VLOOKUP(Y16,[1]character_tribe_i18n!$A:$H,3,FALSE)</f>
        <v>ヒューマン</v>
      </c>
      <c r="AA16" s="11">
        <f ca="1">VLOOKUP(W16,[1]character_tribe_i18n!$A:$H,4,FALSE)</f>
        <v>1</v>
      </c>
      <c r="AB16" s="11">
        <f ca="1">VLOOKUP(W16,[1]character_tribe_i18n!$A:$H,5,FALSE)</f>
        <v>1</v>
      </c>
      <c r="AC16" s="11">
        <f ca="1">VLOOKUP(W16,[1]character_tribe_i18n!$A:$H,6,FALSE)</f>
        <v>1</v>
      </c>
      <c r="AD16" s="11">
        <f ca="1">VLOOKUP(W16,[1]character_tribe_i18n!$A:$H,7,FALSE)</f>
        <v>1</v>
      </c>
      <c r="AE16" s="9">
        <v>1144</v>
      </c>
      <c r="AF16" s="60" t="str">
        <f ca="1">IF(AE16="NULL","",VLOOKUP($AE16,OFFSET([1]characters!$A$1,0,0,COUNTA([1]characters!$A:$A),MATCH(AF$1,[1]characters!$1:$1,0)-MATCH($A$1,[1]characters!$1:$1,0)+1),MATCH(AF$1,[1]characters!$1:$1,0)-MATCH($A$1,[1]characters!$1:$1,0)+1,FALSE))</f>
        <v>白星を射る老将 黄忠</v>
      </c>
      <c r="AG16" s="5">
        <v>1143</v>
      </c>
      <c r="AH16" s="60" t="str">
        <f ca="1">VLOOKUP($AG16,OFFSET([1]characters!$A$1,0,0,COUNTA([1]characters!$A:$A),MATCH(AH$1,[1]characters!$1:$1,0)-MATCH($A$1,[1]characters!$1:$1,0)+1),MATCH(AH$1,[1]characters!$1:$1,0)-MATCH($A$1,[1]characters!$1:$1,0)+1,FALSE)</f>
        <v>黄忠</v>
      </c>
      <c r="AI16" s="11">
        <f ca="1">IF(AE16="NULL","NULL",VLOOKUP(G16,ビット!$A$2:$B$7,2))</f>
        <v>50000</v>
      </c>
      <c r="AJ16" s="6">
        <v>2</v>
      </c>
      <c r="AK16" s="7" t="str">
        <f t="shared" si="9"/>
        <v>普通</v>
      </c>
      <c r="AL16" s="11" t="str">
        <f ca="1">INDEX(経験値!$A$1:$I$21,MATCH(H16,経験値!$A$1:$A$21,FALSE),MATCH(G16,経験値!$A$1:$I$1,FALSE))</f>
        <v>required_exp_200</v>
      </c>
      <c r="AM16" s="8">
        <f ca="1">VLOOKUP(G16,経験値!$A$28:$B$32,2)</f>
        <v>3400</v>
      </c>
      <c r="AN16" s="17">
        <f ca="1">VLOOKUP(G16,ビット!$G$2:$H$7,2)</f>
        <v>600</v>
      </c>
      <c r="AO16" s="43"/>
      <c r="AP16" s="65">
        <v>1143</v>
      </c>
      <c r="AQ16" s="55" t="str">
        <f ca="1">VLOOKUP($AP16,OFFSET(unit_skills!$A$1,0,0,COUNTA(unit_skills!$A:$A),MATCH(AQ$1,unit_skills!$1:$1,0)-MATCH($AP$1,unit_skills!$1:$1,0)+1),MATCH(AQ$1,unit_skills!$1:$1,0)-MATCH($AP$1,unit_skills!$1:$1,0)+1,FALSE)</f>
        <v>秘技•落天雷穹</v>
      </c>
      <c r="AR16" s="55" t="str">
        <f ca="1">VLOOKUP($AP16,OFFSET(unit_skills!$A$1,0,0,COUNTA(unit_skills!$A:$A),MATCH(AR$1,unit_skills!$1:$1,0)-MATCH($AP$1,unit_skills!$1:$1,0)+1),MATCH(AR$1,unit_skills!$1:$1,0)-MATCH($AP$1,unit_skills!$1:$1,0)+1,FALSE)</f>
        <v>1ターンの間、全ユニットの攻撃力UP(ハートとお邪魔パネルをすべて吸収して効果UP)</v>
      </c>
      <c r="AS16" s="55">
        <f ca="1">VLOOKUP($AP16,OFFSET(unit_skills!$A$1,0,0,COUNTA(unit_skills!$A:$A),MATCH(AS$1,unit_skills!$1:$1,0)-MATCH($AP$1,unit_skills!$1:$1,0)+1),MATCH(AS$1,unit_skills!$1:$1,0)-MATCH($AP$1,unit_skills!$1:$1,0)+1,FALSE)</f>
        <v>0</v>
      </c>
      <c r="AT16" s="40">
        <v>1143</v>
      </c>
      <c r="AU16" s="55" t="str">
        <f ca="1">VLOOKUP($AT16,OFFSET(crash_skills!$A$1,0,0,COUNTA(crash_skills!$A:$A),MATCH(AU$1,crash_skills!$1:$1,0)-MATCH($AT$1,crash_skills!$1:$1,0)+1),MATCH(AU$1,crash_skills!$1:$1,0)-MATCH($AT$1,crash_skills!$1:$1,0)+1,FALSE)</f>
        <v>五月雨の弦音</v>
      </c>
      <c r="AV16" s="55" t="str">
        <f ca="1">VLOOKUP($AT16,OFFSET(crash_skills!$A$1,0,0,COUNTA(crash_skills!$A:$A),MATCH(AV$1,crash_skills!$1:$1,0)-MATCH($AT$1,crash_skills!$1:$1,0)+1),MATCH(AV$1,crash_skills!$1:$1,0)-MATCH($AT$1,crash_skills!$1:$1,0)+1,FALSE)</f>
        <v>1体にダメージ_x000D_アニマルに効果大</v>
      </c>
      <c r="AW16" s="55">
        <f ca="1">VLOOKUP($AT16,OFFSET(crash_skills!$A$1,0,0,COUNTA(crash_skills!$A:$A),MATCH(AW$1,crash_skills!$1:$1,0)-MATCH($AT$1,crash_skills!$1:$1,0)+1),MATCH(AW$1,crash_skills!$1:$1,0)-MATCH($AT$1,crash_skills!$1:$1,0)+1,FALSE)</f>
        <v>0</v>
      </c>
      <c r="AX16" s="56">
        <f ca="1">VLOOKUP($A16,OFFSET([1]characters!$A$1,0,0,COUNTA([1]characters!$A:$A),MATCH(AX$1,[1]characters!$1:$1,0)-MATCH($A$1,[1]characters!$1:$1,0)+1),MATCH(AX$1,[1]characters!$1:$1,0)-MATCH($A$1,[1]characters!$1:$1,0)+1,FALSE)</f>
        <v>3</v>
      </c>
      <c r="AY16" s="66">
        <v>1.1000000000000001</v>
      </c>
      <c r="AZ16" s="66">
        <v>1.2</v>
      </c>
      <c r="BA16" s="66">
        <v>0</v>
      </c>
      <c r="BB16" s="66">
        <v>1</v>
      </c>
      <c r="BC16" s="11">
        <f ca="1">INDEX('RC6SV'!$A$1:$G$21,MATCH(H16,'RC6SV'!$A$1:$A$21,FALSE),MATCH(G16,'RC6SV'!$A$1:$G$1,FALSE))</f>
        <v>7000</v>
      </c>
      <c r="BD16" s="46">
        <f t="shared" ca="1" si="10"/>
        <v>7000</v>
      </c>
      <c r="BE16" s="11">
        <f t="shared" ca="1" si="3"/>
        <v>0</v>
      </c>
      <c r="BF16" s="11">
        <f t="shared" ca="1" si="4"/>
        <v>1</v>
      </c>
      <c r="BG16" s="16">
        <f ca="1">IF($BE16&lt;=0,ROUND(BK16*0.5,0), ROUND($BE16*S16*AA16*J16*AY16*0.8*[1]ステータス!$B$2,0))</f>
        <v>1698</v>
      </c>
      <c r="BH16" s="16">
        <f ca="1">IF($BE16&lt;=0,ROUND(BL16*0.5,0), ROUND($BE16*T16*AB16*K16*AZ16*0.8*[1]ステータス!$C$2,0))</f>
        <v>1146</v>
      </c>
      <c r="BI16" s="16">
        <f ca="1">IF($BE16&lt;=0,ROUND(BM16*0.5,0), ROUND($BE16*U16*AC16*L16*BA16*0.8*[1]ステータス!$D$2,0))</f>
        <v>0</v>
      </c>
      <c r="BJ16" s="16">
        <f ca="1">IF($BE16&lt;=0,ROUND(BN16*0.5,0), ROUND($BE16*V16*AD16*M16*BB16*0.8*[1]ステータス!$E$2,0))</f>
        <v>796</v>
      </c>
      <c r="BK16" s="11">
        <f ca="1">ROUND(BD16*S16*AA16*J16*AY16*[1]ステータス!$B$2,0)</f>
        <v>3396</v>
      </c>
      <c r="BL16" s="11">
        <f ca="1">ROUND(BD16*T16*AB16*K16*AZ16*[1]ステータス!$C$2,0)</f>
        <v>2291</v>
      </c>
      <c r="BM16" s="11">
        <f ca="1">ROUND(BD16*U16*AC16*L16*BA16*[1]ステータス!$D$2,0)</f>
        <v>0</v>
      </c>
      <c r="BN16" s="11">
        <f ca="1">ROUND(BD16*V16*AD16*M16*BB16*[1]ステータス!$E$2,0)</f>
        <v>1591</v>
      </c>
      <c r="BO16" s="10">
        <v>0</v>
      </c>
      <c r="BP16" s="10">
        <v>1</v>
      </c>
      <c r="BQ16" s="10" t="s">
        <v>47</v>
      </c>
      <c r="BR16" s="10">
        <f ca="1">VLOOKUP(H16,ghosts_label!$A$2:$B$19,2,FALSE)</f>
        <v>700</v>
      </c>
    </row>
    <row r="17" spans="1:70" ht="26" customHeight="1" x14ac:dyDescent="0.15">
      <c r="A17" s="12">
        <v>1144</v>
      </c>
      <c r="B17" s="55" t="str">
        <f ca="1">VLOOKUP($A17,OFFSET([1]characters!$A$1,0,0,COUNTA([1]characters!$A:$A),MATCH(B$1,[1]characters!$1:$1,0)-MATCH($A$1,[1]characters!$1:$1,0)+1),MATCH(B$1,[1]characters!$1:$1,0)-MATCH($A$1,[1]characters!$1:$1,0)+1,FALSE)</f>
        <v>白星を射る老将 黄忠</v>
      </c>
      <c r="C17" s="55" t="str">
        <f ca="1">VLOOKUP($A17,OFFSET([1]characters!$A$1,0,0,COUNTA([1]characters!$A:$A),MATCH(C$1,[1]characters!$1:$1,0)-MATCH($A$1,[1]characters!$1:$1,0)+1),MATCH(C$1,[1]characters!$1:$1,0)-MATCH($A$1,[1]characters!$1:$1,0)+1,FALSE)</f>
        <v>未定</v>
      </c>
      <c r="D17" s="55" t="str">
        <f ca="1">VLOOKUP($A17,OFFSET([1]characters!$A$1,0,0,COUNTA([1]characters!$A:$A),MATCH(D$1,[1]characters!$1:$1,0)-MATCH($A$1,[1]characters!$1:$1,0)+1),MATCH(D$1,[1]characters!$1:$1,0)-MATCH($A$1,[1]characters!$1:$1,0)+1,FALSE)</f>
        <v>アリス</v>
      </c>
      <c r="E17" s="55" t="str">
        <f ca="1">VLOOKUP($A17,OFFSET([1]characters!$A$1,0,0,COUNTA([1]characters!$A:$A),MATCH(E$1,[1]characters!$1:$1,0)-MATCH($A$1,[1]characters!$1:$1,0)+1),MATCH(E$1,[1]characters!$1:$1,0)-MATCH($A$1,[1]characters!$1:$1,0)+1,FALSE)</f>
        <v>世界観</v>
      </c>
      <c r="F17" s="55" t="str">
        <f ca="1">VLOOKUP($A17,OFFSET([1]characters!$A$1,0,0,COUNTA([1]characters!$A:$A),MATCH(F$1,[1]characters!$1:$1,0)-MATCH($A$1,[1]characters!$1:$1,0)+1),MATCH(F$1,[1]characters!$1:$1,0)-MATCH($A$1,[1]characters!$1:$1,0)+1,FALSE)</f>
        <v>不明</v>
      </c>
      <c r="G17" s="55">
        <f ca="1">VLOOKUP($A17,OFFSET([1]characters!$A$1,0,0,COUNTA([1]characters!$A:$A),MATCH(G$1,[1]characters!$1:$1,0)-MATCH($A$1,[1]characters!$1:$1,0)+1),MATCH(G$1,[1]characters!$1:$1,0)-MATCH($A$1,[1]characters!$1:$1,0)+1,FALSE)</f>
        <v>5</v>
      </c>
      <c r="H17" s="55" t="str">
        <f ca="1">VLOOKUP($A17,OFFSET([1]characters!$A$1,0,0,COUNTA([1]characters!$A:$A),MATCH(H$1,[1]characters!$1:$1,0)-MATCH($A$1,[1]characters!$1:$1,0)+1),MATCH(H$1,[1]characters!$1:$1,0)-MATCH($A$1,[1]characters!$1:$1,0)+1,FALSE)</f>
        <v>PremiumS</v>
      </c>
      <c r="I17" s="55" t="str">
        <f ca="1">VLOOKUP($A17,OFFSET([1]characters!$A$1,0,0,COUNTA([1]characters!$A:$A),MATCH(I$1,[1]characters!$1:$1,0)-MATCH($A$1,[1]characters!$1:$1,0)+1),MATCH(I$1,[1]characters!$1:$1,0)-MATCH($A$1,[1]characters!$1:$1,0)+1,FALSE)</f>
        <v>yellow</v>
      </c>
      <c r="J17" s="11">
        <f ca="1">VLOOKUP(I17,[1]属性!$A:$E,2,FALSE)</f>
        <v>0.98</v>
      </c>
      <c r="K17" s="11">
        <f ca="1">VLOOKUP(I17,[1]属性!$A:$E,3,FALSE)</f>
        <v>1.01</v>
      </c>
      <c r="L17" s="11">
        <f ca="1">VLOOKUP(I17,[1]属性!$A:$E,4,FALSE)</f>
        <v>1</v>
      </c>
      <c r="M17" s="11">
        <f ca="1">VLOOKUP(I17,[1]属性!$A:$E,5,FALSE)</f>
        <v>1.01</v>
      </c>
      <c r="N17" s="11">
        <f ca="1">INDEX(コスト!$A$1:$I$21,MATCH(H17,コスト!$A$1:$A$21,FALSE),MATCH(G17,コスト!$A$1:$I$1,FALSE))</f>
        <v>30</v>
      </c>
      <c r="O17" s="11">
        <f ca="1">INDEX(レベル!$A$1:$I$22,MATCH(H17,レベル!$A$1:$A$22,FALSE),MATCH(G17,レベル!$A$1:$I$1,FALSE))</f>
        <v>80</v>
      </c>
      <c r="P17" s="46">
        <f t="shared" ca="1" si="0"/>
        <v>75</v>
      </c>
      <c r="Q17" s="55" t="str">
        <f ca="1">VLOOKUP($A17,OFFSET([1]characters!$A$1,0,0,COUNTA([1]characters!$A:$A),MATCH(Q$1,[1]characters!$1:$1,0)-MATCH($A$1,[1]characters!$1:$1,0)+1),MATCH(Q$1,[1]characters!$1:$1,0)-MATCH($A$1,[1]characters!$1:$1,0)+1,FALSE)</f>
        <v>technical</v>
      </c>
      <c r="R17" s="5" t="str">
        <f ca="1">VLOOKUP(Q17,[1]character_type_i18n!$A:$H,3,FALSE)</f>
        <v>テクニカルタイプ</v>
      </c>
      <c r="S17" s="11">
        <f ca="1">VLOOKUP(Q17,[1]character_type_i18n!$A:$H,4,FALSE)</f>
        <v>0.9</v>
      </c>
      <c r="T17" s="11">
        <f ca="1">VLOOKUP(Q17,[1]character_type_i18n!$A:$H,5,FALSE)</f>
        <v>0.9</v>
      </c>
      <c r="U17" s="11">
        <f ca="1">VLOOKUP(Q17,[1]character_type_i18n!$A:$H,6,FALSE)</f>
        <v>1</v>
      </c>
      <c r="V17" s="11">
        <f ca="1">VLOOKUP(Q17,[1]character_type_i18n!$A:$H,7,FALSE)</f>
        <v>0.9</v>
      </c>
      <c r="W17" s="55" t="str">
        <f ca="1">VLOOKUP($A17,OFFSET([1]characters!$A$1,0,0,COUNTA([1]characters!$A:$A),MATCH(W$1,[1]characters!$1:$1,0)-MATCH($A$1,[1]characters!$1:$1,0)+1),MATCH(W$1,[1]characters!$1:$1,0)-MATCH($A$1,[1]characters!$1:$1,0)+1,FALSE)</f>
        <v>samurai</v>
      </c>
      <c r="X17" s="5" t="str">
        <f ca="1">VLOOKUP(W17,[1]character_tribe_i18n!$A:$H,3,FALSE)</f>
        <v>サムライ</v>
      </c>
      <c r="Y17" s="55" t="str">
        <f ca="1">VLOOKUP($A17,OFFSET([1]characters!$A$1,0,0,COUNTA([1]characters!$A:$A),MATCH(Y$1,[1]characters!$1:$1,0)-MATCH($A$1,[1]characters!$1:$1,0)+1),MATCH(Y$1,[1]characters!$1:$1,0)-MATCH($A$1,[1]characters!$1:$1,0)+1,FALSE)</f>
        <v>human</v>
      </c>
      <c r="Z17" s="5" t="str">
        <f ca="1">VLOOKUP(Y17,[1]character_tribe_i18n!$A:$H,3,FALSE)</f>
        <v>ヒューマン</v>
      </c>
      <c r="AA17" s="11">
        <f ca="1">VLOOKUP(W17,[1]character_tribe_i18n!$A:$H,4,FALSE)</f>
        <v>1</v>
      </c>
      <c r="AB17" s="11">
        <f ca="1">VLOOKUP(W17,[1]character_tribe_i18n!$A:$H,5,FALSE)</f>
        <v>1</v>
      </c>
      <c r="AC17" s="11">
        <f ca="1">VLOOKUP(W17,[1]character_tribe_i18n!$A:$H,6,FALSE)</f>
        <v>1</v>
      </c>
      <c r="AD17" s="11">
        <f ca="1">VLOOKUP(W17,[1]character_tribe_i18n!$A:$H,7,FALSE)</f>
        <v>1</v>
      </c>
      <c r="AE17" s="9" t="s">
        <v>183</v>
      </c>
      <c r="AF17" s="60" t="str">
        <f ca="1">IF(AE17="NULL","",VLOOKUP($AE17,OFFSET([1]characters!$A$1,0,0,COUNTA([1]characters!$A:$A),MATCH(AF$1,[1]characters!$1:$1,0)-MATCH($A$1,[1]characters!$1:$1,0)+1),MATCH(AF$1,[1]characters!$1:$1,0)-MATCH($A$1,[1]characters!$1:$1,0)+1,FALSE))</f>
        <v/>
      </c>
      <c r="AG17" s="5">
        <v>1143</v>
      </c>
      <c r="AH17" s="60" t="str">
        <f ca="1">VLOOKUP($AG17,OFFSET([1]characters!$A$1,0,0,COUNTA([1]characters!$A:$A),MATCH(AH$1,[1]characters!$1:$1,0)-MATCH($A$1,[1]characters!$1:$1,0)+1),MATCH(AH$1,[1]characters!$1:$1,0)-MATCH($A$1,[1]characters!$1:$1,0)+1,FALSE)</f>
        <v>黄忠</v>
      </c>
      <c r="AI17" s="11" t="str">
        <f>IF(AE17="NULL","NULL",VLOOKUP(G17,ビット!$A$2:$B$7,2))</f>
        <v>NULL</v>
      </c>
      <c r="AJ17" s="6">
        <v>2</v>
      </c>
      <c r="AK17" s="7" t="str">
        <f t="shared" ref="AK17" si="11">IF(AJ17=1,"早熟",IF(AJ17=2,"普通",IF(AJ17=3,"晩成","")))</f>
        <v>普通</v>
      </c>
      <c r="AL17" s="11" t="str">
        <f ca="1">INDEX(経験値!$A$1:$I$21,MATCH(H17,経験値!$A$1:$A$21,FALSE),MATCH(G17,経験値!$A$1:$I$1,FALSE))</f>
        <v>required_exp_200</v>
      </c>
      <c r="AM17" s="8">
        <f ca="1">VLOOKUP(G17,経験値!$A$28:$B$32,2)</f>
        <v>6400</v>
      </c>
      <c r="AN17" s="17">
        <f ca="1">VLOOKUP(G17,ビット!$G$2:$H$7,2)</f>
        <v>900</v>
      </c>
      <c r="AO17" s="43"/>
      <c r="AP17" s="65">
        <v>1144</v>
      </c>
      <c r="AQ17" s="55" t="str">
        <f ca="1">VLOOKUP($AP17,OFFSET(unit_skills!$A$1,0,0,COUNTA(unit_skills!$A:$A),MATCH(AQ$1,unit_skills!$1:$1,0)-MATCH($AP$1,unit_skills!$1:$1,0)+1),MATCH(AQ$1,unit_skills!$1:$1,0)-MATCH($AP$1,unit_skills!$1:$1,0)+1,FALSE)</f>
        <v>秘技•絶界天穹</v>
      </c>
      <c r="AR17" s="55" t="str">
        <f ca="1">VLOOKUP($AP17,OFFSET(unit_skills!$A$1,0,0,COUNTA(unit_skills!$A:$A),MATCH(AR$1,unit_skills!$1:$1,0)-MATCH($AP$1,unit_skills!$1:$1,0)+1),MATCH(AR$1,unit_skills!$1:$1,0)-MATCH($AP$1,unit_skills!$1:$1,0)+1,FALSE)</f>
        <v>2ターンの間、全ユニットの攻撃力UP(ハートとお邪魔パネルをすべて吸収して効果UP)</v>
      </c>
      <c r="AS17" s="55">
        <f ca="1">VLOOKUP($AP17,OFFSET(unit_skills!$A$1,0,0,COUNTA(unit_skills!$A:$A),MATCH(AS$1,unit_skills!$1:$1,0)-MATCH($AP$1,unit_skills!$1:$1,0)+1),MATCH(AS$1,unit_skills!$1:$1,0)-MATCH($AP$1,unit_skills!$1:$1,0)+1,FALSE)</f>
        <v>0</v>
      </c>
      <c r="AT17" s="40">
        <v>1144</v>
      </c>
      <c r="AU17" s="55" t="str">
        <f ca="1">VLOOKUP($AT17,OFFSET(crash_skills!$A$1,0,0,COUNTA(crash_skills!$A:$A),MATCH(AU$1,crash_skills!$1:$1,0)-MATCH($AT$1,crash_skills!$1:$1,0)+1),MATCH(AU$1,crash_skills!$1:$1,0)-MATCH($AT$1,crash_skills!$1:$1,0)+1,FALSE)</f>
        <v>雷氷雨の弦音</v>
      </c>
      <c r="AV17" s="55" t="str">
        <f ca="1">VLOOKUP($AT17,OFFSET(crash_skills!$A$1,0,0,COUNTA(crash_skills!$A:$A),MATCH(AV$1,crash_skills!$1:$1,0)-MATCH($AT$1,crash_skills!$1:$1,0)+1),MATCH(AV$1,crash_skills!$1:$1,0)-MATCH($AT$1,crash_skills!$1:$1,0)+1,FALSE)</f>
        <v>1体に大ダメージ_x000D_アニマルに効果特大</v>
      </c>
      <c r="AW17" s="55">
        <f ca="1">VLOOKUP($AT17,OFFSET(crash_skills!$A$1,0,0,COUNTA(crash_skills!$A:$A),MATCH(AW$1,crash_skills!$1:$1,0)-MATCH($AT$1,crash_skills!$1:$1,0)+1),MATCH(AW$1,crash_skills!$1:$1,0)-MATCH($AT$1,crash_skills!$1:$1,0)+1,FALSE)</f>
        <v>0</v>
      </c>
      <c r="AX17" s="56">
        <f ca="1">VLOOKUP($A17,OFFSET([1]characters!$A$1,0,0,COUNTA([1]characters!$A:$A),MATCH(AX$1,[1]characters!$1:$1,0)-MATCH($A$1,[1]characters!$1:$1,0)+1),MATCH(AX$1,[1]characters!$1:$1,0)-MATCH($A$1,[1]characters!$1:$1,0)+1,FALSE)</f>
        <v>3</v>
      </c>
      <c r="AY17" s="66">
        <v>1.1000000000000001</v>
      </c>
      <c r="AZ17" s="66">
        <v>1.2</v>
      </c>
      <c r="BA17" s="66">
        <v>0</v>
      </c>
      <c r="BB17" s="66">
        <v>1</v>
      </c>
      <c r="BC17" s="11">
        <f ca="1">INDEX('RC6SV'!$A$1:$G$21,MATCH(H17,'RC6SV'!$A$1:$A$21,FALSE),MATCH(G17,'RC6SV'!$A$1:$G$1,FALSE))</f>
        <v>9000</v>
      </c>
      <c r="BD17" s="46">
        <f t="shared" ref="BD17" ca="1" si="12">ROUND(BC17*IF(AJ17=1,0.95,IF(AJ17=2,1,IF(AJ17,1.05,0))),0)</f>
        <v>9000</v>
      </c>
      <c r="BE17" s="11">
        <f t="shared" ca="1" si="3"/>
        <v>7000</v>
      </c>
      <c r="BF17" s="11">
        <f t="shared" ca="1" si="4"/>
        <v>1</v>
      </c>
      <c r="BG17" s="16">
        <f ca="1">IF($BE17&lt;=0,ROUND(BK17*0.5,0), ROUND($BE17*S17*AA17*J17*AY17*0.8*[1]ステータス!$B$2,0))</f>
        <v>2717</v>
      </c>
      <c r="BH17" s="16">
        <f ca="1">IF($BE17&lt;=0,ROUND(BL17*0.5,0), ROUND($BE17*T17*AB17*K17*AZ17*0.8*[1]ステータス!$C$2,0))</f>
        <v>1833</v>
      </c>
      <c r="BI17" s="16">
        <f ca="1">IF($BE17&lt;=0,ROUND(BM17*0.5,0), ROUND($BE17*U17*AC17*L17*BA17*0.8*[1]ステータス!$D$2,0))</f>
        <v>0</v>
      </c>
      <c r="BJ17" s="16">
        <f ca="1">IF($BE17&lt;=0,ROUND(BN17*0.5,0), ROUND($BE17*V17*AD17*M17*BB17*0.8*[1]ステータス!$E$2,0))</f>
        <v>1273</v>
      </c>
      <c r="BK17" s="11">
        <f ca="1">ROUND(BD17*S17*AA17*J17*AY17*[1]ステータス!$B$2,0)</f>
        <v>4366</v>
      </c>
      <c r="BL17" s="11">
        <f ca="1">ROUND(BD17*T17*AB17*K17*AZ17*[1]ステータス!$C$2,0)</f>
        <v>2945</v>
      </c>
      <c r="BM17" s="11">
        <f ca="1">ROUND(BD17*U17*AC17*L17*BA17*[1]ステータス!$D$2,0)</f>
        <v>0</v>
      </c>
      <c r="BN17" s="11">
        <f ca="1">ROUND(BD17*V17*AD17*M17*BB17*[1]ステータス!$E$2,0)</f>
        <v>2045</v>
      </c>
      <c r="BO17" s="10">
        <v>0</v>
      </c>
      <c r="BP17" s="10">
        <v>1</v>
      </c>
      <c r="BQ17" s="10" t="s">
        <v>47</v>
      </c>
      <c r="BR17" s="10">
        <f ca="1">VLOOKUP(H17,ghosts_label!$A$2:$B$19,2,FALSE)</f>
        <v>700</v>
      </c>
    </row>
  </sheetData>
  <autoFilter ref="A1:BQ1"/>
  <phoneticPr fontId="10"/>
  <conditionalFormatting sqref="BO1">
    <cfRule type="cellIs" dxfId="63" priority="120" stopIfTrue="1" operator="equal">
      <formula>1</formula>
    </cfRule>
  </conditionalFormatting>
  <conditionalFormatting sqref="BQ1">
    <cfRule type="cellIs" dxfId="62"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2" sqref="A2"/>
      <selection pane="bottomRight" activeCell="D5" sqref="D5"/>
    </sheetView>
  </sheetViews>
  <sheetFormatPr baseColWidth="12" defaultColWidth="13" defaultRowHeight="21" customHeight="1" outlineLevelCol="1" x14ac:dyDescent="0.15"/>
  <cols>
    <col min="1" max="1" width="16.1640625" style="129" bestFit="1" customWidth="1"/>
    <col min="2" max="2" width="13" style="129" bestFit="1" customWidth="1"/>
    <col min="3" max="3" width="21.83203125" style="129" customWidth="1"/>
    <col min="4" max="4" width="41.83203125" style="129" customWidth="1"/>
    <col min="5" max="5" width="9" style="129" customWidth="1"/>
    <col min="6" max="6" width="7.83203125" style="129" bestFit="1" customWidth="1"/>
    <col min="7" max="7" width="8.1640625" style="129" bestFit="1" customWidth="1"/>
    <col min="8" max="8" width="13.6640625" style="129" bestFit="1" customWidth="1"/>
    <col min="9" max="10" width="51.6640625" style="129" customWidth="1"/>
    <col min="11" max="11" width="10.83203125" style="129" customWidth="1" outlineLevel="1"/>
    <col min="12" max="17" width="9.5" style="128" customWidth="1" outlineLevel="1"/>
    <col min="18" max="18" width="20.33203125" style="129" customWidth="1" outlineLevel="1"/>
    <col min="19" max="19" width="10.33203125" style="129" bestFit="1" customWidth="1"/>
    <col min="20" max="16384" width="13" style="129"/>
  </cols>
  <sheetData>
    <row r="1" spans="1:19" s="128" customFormat="1" ht="21" customHeight="1" x14ac:dyDescent="0.15">
      <c r="A1" s="117" t="s">
        <v>20</v>
      </c>
      <c r="B1" s="118" t="s">
        <v>134</v>
      </c>
      <c r="C1" s="119" t="s">
        <v>40</v>
      </c>
      <c r="D1" s="120" t="s">
        <v>163</v>
      </c>
      <c r="E1" s="120" t="s">
        <v>164</v>
      </c>
      <c r="F1" s="117" t="s">
        <v>146</v>
      </c>
      <c r="G1" s="121" t="s">
        <v>2</v>
      </c>
      <c r="H1" s="121" t="s">
        <v>165</v>
      </c>
      <c r="I1" s="121" t="s">
        <v>166</v>
      </c>
      <c r="J1" s="122" t="s">
        <v>184</v>
      </c>
      <c r="K1" s="121" t="s">
        <v>4</v>
      </c>
      <c r="L1" s="123" t="s">
        <v>167</v>
      </c>
      <c r="M1" s="124" t="s">
        <v>168</v>
      </c>
      <c r="N1" s="124" t="s">
        <v>169</v>
      </c>
      <c r="O1" s="124" t="s">
        <v>170</v>
      </c>
      <c r="P1" s="124" t="s">
        <v>171</v>
      </c>
      <c r="Q1" s="125" t="s">
        <v>172</v>
      </c>
      <c r="R1" s="126" t="s">
        <v>173</v>
      </c>
      <c r="S1" s="127" t="s">
        <v>174</v>
      </c>
    </row>
    <row r="2" spans="1:19" ht="21" customHeight="1" x14ac:dyDescent="0.15">
      <c r="A2" s="12">
        <v>1129</v>
      </c>
      <c r="B2" s="132" t="s">
        <v>185</v>
      </c>
      <c r="C2" s="194" t="s">
        <v>374</v>
      </c>
      <c r="D2" s="133" t="s">
        <v>418</v>
      </c>
      <c r="E2" s="134">
        <f t="shared" ref="E2" si="0">LEN(D2)</f>
        <v>37</v>
      </c>
      <c r="F2" s="116">
        <v>14</v>
      </c>
      <c r="G2" s="116">
        <v>5</v>
      </c>
      <c r="H2" s="135">
        <f>2001</f>
        <v>2001</v>
      </c>
      <c r="I2" s="135" t="s">
        <v>410</v>
      </c>
      <c r="J2" s="55" t="str">
        <f ca="1">VLOOKUP($A2,OFFSET([1]characters!$A$1,0,0,COUNTA([1]characters!$A:$A),MATCH("name",[1]characters!$1:$1,0)-MATCH("character_id",[1]characters!$1:$1,0)+1),MATCH("name",[1]characters!$1:$1,0)-MATCH("character_id",[1]characters!$1:$1,0)+1,FALSE)</f>
        <v>赤兎馬</v>
      </c>
      <c r="K2" s="136">
        <f>IFERROR(VLOOKUP(A2,[1]characters!$A:$R,18),0)</f>
        <v>3</v>
      </c>
      <c r="L2" s="137"/>
      <c r="M2" s="138"/>
      <c r="N2" s="138"/>
      <c r="O2" s="138"/>
      <c r="P2" s="138"/>
      <c r="Q2" s="138"/>
      <c r="R2" s="133"/>
      <c r="S2" s="139"/>
    </row>
    <row r="3" spans="1:19" ht="21" customHeight="1" x14ac:dyDescent="0.15">
      <c r="A3" s="12">
        <v>1130</v>
      </c>
      <c r="B3" s="132" t="s">
        <v>185</v>
      </c>
      <c r="C3" s="194" t="s">
        <v>375</v>
      </c>
      <c r="D3" s="133" t="s">
        <v>419</v>
      </c>
      <c r="E3" s="134">
        <f t="shared" ref="E3" si="1">LEN(D3)</f>
        <v>38</v>
      </c>
      <c r="F3" s="116">
        <v>14</v>
      </c>
      <c r="G3" s="116">
        <v>5</v>
      </c>
      <c r="H3" s="135">
        <f>2001</f>
        <v>2001</v>
      </c>
      <c r="I3" s="135" t="s">
        <v>409</v>
      </c>
      <c r="J3" s="55" t="str">
        <f ca="1">VLOOKUP($A3,OFFSET([1]characters!$A$1,0,0,COUNTA([1]characters!$A:$A),MATCH("name",[1]characters!$1:$1,0)-MATCH("character_id",[1]characters!$1:$1,0)+1),MATCH("name",[1]characters!$1:$1,0)-MATCH("character_id",[1]characters!$1:$1,0)+1,FALSE)</f>
        <v>紅鋼の疾躁獣 赤兎馬</v>
      </c>
      <c r="K3" s="136">
        <f>IFERROR(VLOOKUP(A3,[1]characters!$A:$R,18),0)</f>
        <v>3</v>
      </c>
      <c r="L3" s="137"/>
      <c r="M3" s="138"/>
      <c r="N3" s="138"/>
      <c r="O3" s="138"/>
      <c r="P3" s="138"/>
      <c r="Q3" s="138"/>
      <c r="R3" s="133"/>
      <c r="S3" s="139"/>
    </row>
    <row r="4" spans="1:19" ht="21" customHeight="1" x14ac:dyDescent="0.15">
      <c r="A4" s="12">
        <v>1131</v>
      </c>
      <c r="B4" s="132" t="s">
        <v>185</v>
      </c>
      <c r="C4" s="194" t="s">
        <v>376</v>
      </c>
      <c r="D4" s="133" t="s">
        <v>484</v>
      </c>
      <c r="E4" s="134">
        <f>LEN(D4)</f>
        <v>50</v>
      </c>
      <c r="F4" s="116">
        <v>15</v>
      </c>
      <c r="G4" s="116">
        <v>7</v>
      </c>
      <c r="H4" s="135">
        <f>2001</f>
        <v>2001</v>
      </c>
      <c r="I4" s="135" t="s">
        <v>411</v>
      </c>
      <c r="J4" s="55" t="str">
        <f ca="1">VLOOKUP($A4,OFFSET([1]characters!$A$1,0,0,COUNTA([1]characters!$A:$A),MATCH("name",[1]characters!$1:$1,0)-MATCH("character_id",[1]characters!$1:$1,0)+1),MATCH("name",[1]characters!$1:$1,0)-MATCH("character_id",[1]characters!$1:$1,0)+1,FALSE)</f>
        <v>董卓</v>
      </c>
      <c r="K4" s="136">
        <f>IFERROR(VLOOKUP(A4,[1]characters!$A:$R,18),0)</f>
        <v>3</v>
      </c>
      <c r="L4" s="137"/>
      <c r="M4" s="138"/>
      <c r="N4" s="138"/>
      <c r="O4" s="138"/>
      <c r="P4" s="138"/>
      <c r="Q4" s="138"/>
      <c r="R4" s="133"/>
      <c r="S4" s="139"/>
    </row>
    <row r="5" spans="1:19" ht="21" customHeight="1" x14ac:dyDescent="0.15">
      <c r="A5" s="12">
        <v>1132</v>
      </c>
      <c r="B5" s="132" t="s">
        <v>185</v>
      </c>
      <c r="C5" s="194" t="s">
        <v>377</v>
      </c>
      <c r="D5" s="133" t="s">
        <v>485</v>
      </c>
      <c r="E5" s="134">
        <f>LEN(D5)</f>
        <v>51</v>
      </c>
      <c r="F5" s="116">
        <v>15</v>
      </c>
      <c r="G5" s="116">
        <v>7</v>
      </c>
      <c r="H5" s="135">
        <f>2001</f>
        <v>2001</v>
      </c>
      <c r="I5" s="135" t="s">
        <v>412</v>
      </c>
      <c r="J5" s="55" t="str">
        <f ca="1">VLOOKUP($A5,OFFSET([1]characters!$A$1,0,0,COUNTA([1]characters!$A:$A),MATCH("name",[1]characters!$1:$1,0)-MATCH("character_id",[1]characters!$1:$1,0)+1),MATCH("name",[1]characters!$1:$1,0)-MATCH("character_id",[1]characters!$1:$1,0)+1,FALSE)</f>
        <v>偏執なる狂騒君 董卓</v>
      </c>
      <c r="K5" s="136">
        <f>IFERROR(VLOOKUP(A5,[1]characters!$A:$R,18),0)</f>
        <v>3</v>
      </c>
      <c r="L5" s="137"/>
      <c r="M5" s="138"/>
      <c r="N5" s="138"/>
      <c r="O5" s="138"/>
      <c r="P5" s="138"/>
      <c r="Q5" s="138"/>
      <c r="R5" s="133"/>
      <c r="S5" s="139"/>
    </row>
    <row r="6" spans="1:19" ht="21" customHeight="1" x14ac:dyDescent="0.15">
      <c r="A6" s="12">
        <v>1133</v>
      </c>
      <c r="B6" s="132" t="s">
        <v>185</v>
      </c>
      <c r="C6" s="194" t="s">
        <v>378</v>
      </c>
      <c r="D6" s="133" t="s">
        <v>396</v>
      </c>
      <c r="E6" s="134">
        <f t="shared" ref="E6:E8" si="2">LEN(D6)</f>
        <v>34</v>
      </c>
      <c r="F6" s="116">
        <v>15</v>
      </c>
      <c r="G6" s="116">
        <v>7</v>
      </c>
      <c r="H6" s="135">
        <f>2001</f>
        <v>2001</v>
      </c>
      <c r="I6" s="135" t="s">
        <v>325</v>
      </c>
      <c r="J6" s="55" t="str">
        <f ca="1">VLOOKUP($A6,OFFSET([1]characters!$A$1,0,0,COUNTA([1]characters!$A:$A),MATCH("name",[1]characters!$1:$1,0)-MATCH("character_id",[1]characters!$1:$1,0)+1),MATCH("name",[1]characters!$1:$1,0)-MATCH("character_id",[1]characters!$1:$1,0)+1,FALSE)</f>
        <v>貂蝉</v>
      </c>
      <c r="K6" s="136">
        <f>IFERROR(VLOOKUP(A6,[1]characters!$A:$R,18),0)</f>
        <v>3</v>
      </c>
      <c r="L6" s="137"/>
      <c r="M6" s="138"/>
      <c r="N6" s="138"/>
      <c r="O6" s="138"/>
      <c r="P6" s="138"/>
      <c r="Q6" s="138"/>
      <c r="R6" s="133"/>
      <c r="S6" s="139"/>
    </row>
    <row r="7" spans="1:19" ht="21" customHeight="1" x14ac:dyDescent="0.15">
      <c r="A7" s="12">
        <v>1134</v>
      </c>
      <c r="B7" s="132" t="s">
        <v>185</v>
      </c>
      <c r="C7" s="194" t="s">
        <v>379</v>
      </c>
      <c r="D7" s="133" t="s">
        <v>396</v>
      </c>
      <c r="E7" s="134">
        <f t="shared" si="2"/>
        <v>34</v>
      </c>
      <c r="F7" s="116">
        <v>14</v>
      </c>
      <c r="G7" s="116">
        <v>7</v>
      </c>
      <c r="H7" s="135">
        <f>2001</f>
        <v>2001</v>
      </c>
      <c r="I7" s="135" t="s">
        <v>326</v>
      </c>
      <c r="J7" s="55" t="str">
        <f ca="1">VLOOKUP($A7,OFFSET([1]characters!$A$1,0,0,COUNTA([1]characters!$A:$A),MATCH("name",[1]characters!$1:$1,0)-MATCH("character_id",[1]characters!$1:$1,0)+1),MATCH("name",[1]characters!$1:$1,0)-MATCH("character_id",[1]characters!$1:$1,0)+1,FALSE)</f>
        <v>月隠れの美麗酔 貂蝉</v>
      </c>
      <c r="K7" s="136">
        <f>IFERROR(VLOOKUP(A7,[1]characters!$A:$R,18),0)</f>
        <v>3</v>
      </c>
      <c r="L7" s="137"/>
      <c r="M7" s="138"/>
      <c r="N7" s="138"/>
      <c r="O7" s="138"/>
      <c r="P7" s="138"/>
      <c r="Q7" s="138"/>
      <c r="R7" s="133"/>
      <c r="S7" s="139"/>
    </row>
    <row r="8" spans="1:19" ht="21" customHeight="1" x14ac:dyDescent="0.15">
      <c r="A8" s="12">
        <v>1135</v>
      </c>
      <c r="B8" s="132" t="s">
        <v>185</v>
      </c>
      <c r="C8" s="133" t="s">
        <v>448</v>
      </c>
      <c r="D8" s="133" t="s">
        <v>435</v>
      </c>
      <c r="E8" s="134">
        <f t="shared" si="2"/>
        <v>18</v>
      </c>
      <c r="F8" s="116">
        <v>26</v>
      </c>
      <c r="G8" s="116">
        <v>17</v>
      </c>
      <c r="H8" s="135">
        <f>2001</f>
        <v>2001</v>
      </c>
      <c r="I8" s="135" t="s">
        <v>434</v>
      </c>
      <c r="J8" s="55" t="str">
        <f ca="1">VLOOKUP($A8,OFFSET([1]characters!$A$1,0,0,COUNTA([1]characters!$A:$A),MATCH("name",[1]characters!$1:$1,0)-MATCH("character_id",[1]characters!$1:$1,0)+1),MATCH("name",[1]characters!$1:$1,0)-MATCH("character_id",[1]characters!$1:$1,0)+1,FALSE)</f>
        <v>呂布</v>
      </c>
      <c r="K8" s="136">
        <f>IFERROR(VLOOKUP(A8,[1]characters!$A:$R,18),0)</f>
        <v>3</v>
      </c>
      <c r="L8" s="137"/>
      <c r="M8" s="138"/>
      <c r="N8" s="138"/>
      <c r="O8" s="138"/>
      <c r="P8" s="138"/>
      <c r="Q8" s="138"/>
      <c r="R8" s="133"/>
      <c r="S8" s="139"/>
    </row>
    <row r="9" spans="1:19" ht="21" customHeight="1" x14ac:dyDescent="0.15">
      <c r="A9" s="12">
        <v>1136</v>
      </c>
      <c r="B9" s="132" t="s">
        <v>185</v>
      </c>
      <c r="C9" s="133" t="s">
        <v>436</v>
      </c>
      <c r="D9" s="133" t="s">
        <v>479</v>
      </c>
      <c r="E9" s="134">
        <f t="shared" ref="E9:E16" si="3">LEN(D9)</f>
        <v>62</v>
      </c>
      <c r="F9" s="116">
        <v>25</v>
      </c>
      <c r="G9" s="116">
        <v>17</v>
      </c>
      <c r="H9" s="135">
        <f>2001</f>
        <v>2001</v>
      </c>
      <c r="I9" s="135" t="s">
        <v>480</v>
      </c>
      <c r="J9" s="55" t="str">
        <f ca="1">VLOOKUP($A9,OFFSET([1]characters!$A$1,0,0,COUNTA([1]characters!$A:$A),MATCH("name",[1]characters!$1:$1,0)-MATCH("character_id",[1]characters!$1:$1,0)+1),MATCH("name",[1]characters!$1:$1,0)-MATCH("character_id",[1]characters!$1:$1,0)+1,FALSE)</f>
        <v>豪拳烈創の激将 呂布</v>
      </c>
      <c r="K9" s="136">
        <f>IFERROR(VLOOKUP(A9,[1]characters!$A:$R,18),0)</f>
        <v>3</v>
      </c>
      <c r="L9" s="137"/>
      <c r="M9" s="138"/>
      <c r="N9" s="138"/>
      <c r="O9" s="138"/>
      <c r="P9" s="138"/>
      <c r="Q9" s="138"/>
      <c r="R9" s="133"/>
      <c r="S9" s="139"/>
    </row>
    <row r="10" spans="1:19" ht="21" customHeight="1" x14ac:dyDescent="0.15">
      <c r="A10" s="12">
        <v>1137</v>
      </c>
      <c r="B10" s="132" t="s">
        <v>185</v>
      </c>
      <c r="C10" s="194" t="s">
        <v>406</v>
      </c>
      <c r="D10" s="133" t="s">
        <v>397</v>
      </c>
      <c r="E10" s="134">
        <f>LEN(D10)</f>
        <v>57</v>
      </c>
      <c r="F10" s="116">
        <v>12</v>
      </c>
      <c r="G10" s="116">
        <v>5</v>
      </c>
      <c r="H10" s="135">
        <f>2001</f>
        <v>2001</v>
      </c>
      <c r="I10" s="135" t="s">
        <v>453</v>
      </c>
      <c r="J10" s="55" t="str">
        <f ca="1">VLOOKUP($A10,OFFSET([1]characters!$A$1,0,0,COUNTA([1]characters!$A:$A),MATCH("name",[1]characters!$1:$1,0)-MATCH("character_id",[1]characters!$1:$1,0)+1),MATCH("name",[1]characters!$1:$1,0)-MATCH("character_id",[1]characters!$1:$1,0)+1,FALSE)</f>
        <v>諸葛亮</v>
      </c>
      <c r="K10" s="136">
        <f>IFERROR(VLOOKUP(A10,[1]characters!$A:$R,18),0)</f>
        <v>3</v>
      </c>
      <c r="L10" s="137"/>
      <c r="M10" s="138"/>
      <c r="N10" s="138"/>
      <c r="O10" s="138"/>
      <c r="P10" s="138"/>
      <c r="Q10" s="138"/>
      <c r="R10" s="133"/>
      <c r="S10" s="139"/>
    </row>
    <row r="11" spans="1:19" ht="21" customHeight="1" x14ac:dyDescent="0.15">
      <c r="A11" s="12">
        <v>1138</v>
      </c>
      <c r="B11" s="132" t="s">
        <v>185</v>
      </c>
      <c r="C11" s="194" t="s">
        <v>380</v>
      </c>
      <c r="D11" s="133" t="s">
        <v>398</v>
      </c>
      <c r="E11" s="134">
        <f>LEN(D11)</f>
        <v>57</v>
      </c>
      <c r="F11" s="116">
        <v>11</v>
      </c>
      <c r="G11" s="116">
        <v>5</v>
      </c>
      <c r="H11" s="135">
        <f>2001</f>
        <v>2001</v>
      </c>
      <c r="I11" s="135" t="s">
        <v>452</v>
      </c>
      <c r="J11" s="55" t="str">
        <f ca="1">VLOOKUP($A11,OFFSET([1]characters!$A$1,0,0,COUNTA([1]characters!$A:$A),MATCH("name",[1]characters!$1:$1,0)-MATCH("character_id",[1]characters!$1:$1,0)+1),MATCH("name",[1]characters!$1:$1,0)-MATCH("character_id",[1]characters!$1:$1,0)+1,FALSE)</f>
        <v>神算鬼謀の宰相 諸葛亮</v>
      </c>
      <c r="K11" s="136">
        <f>IFERROR(VLOOKUP(A11,[1]characters!$A:$R,18),0)</f>
        <v>3</v>
      </c>
      <c r="L11" s="137"/>
      <c r="M11" s="138"/>
      <c r="N11" s="138"/>
      <c r="O11" s="138"/>
      <c r="P11" s="138"/>
      <c r="Q11" s="138"/>
      <c r="R11" s="133"/>
      <c r="S11" s="139"/>
    </row>
    <row r="12" spans="1:19" ht="21" customHeight="1" x14ac:dyDescent="0.15">
      <c r="A12" s="12">
        <v>1139</v>
      </c>
      <c r="B12" s="132" t="s">
        <v>185</v>
      </c>
      <c r="C12" s="194" t="s">
        <v>405</v>
      </c>
      <c r="D12" s="133" t="s">
        <v>483</v>
      </c>
      <c r="E12" s="134">
        <f t="shared" si="3"/>
        <v>41</v>
      </c>
      <c r="F12" s="116">
        <v>11</v>
      </c>
      <c r="G12" s="116">
        <v>5</v>
      </c>
      <c r="H12" s="135">
        <f>2001</f>
        <v>2001</v>
      </c>
      <c r="I12" s="135" t="s">
        <v>429</v>
      </c>
      <c r="J12" s="55" t="str">
        <f ca="1">VLOOKUP($A12,OFFSET([1]characters!$A$1,0,0,COUNTA([1]characters!$A:$A),MATCH("name",[1]characters!$1:$1,0)-MATCH("character_id",[1]characters!$1:$1,0)+1),MATCH("name",[1]characters!$1:$1,0)-MATCH("character_id",[1]characters!$1:$1,0)+1,FALSE)</f>
        <v>趙雲</v>
      </c>
      <c r="K12" s="136">
        <f>IFERROR(VLOOKUP(A12,[1]characters!$A:$R,18),0)</f>
        <v>3</v>
      </c>
      <c r="L12" s="137"/>
      <c r="M12" s="138"/>
      <c r="N12" s="138"/>
      <c r="O12" s="138"/>
      <c r="P12" s="138"/>
      <c r="Q12" s="138"/>
      <c r="R12" s="133"/>
      <c r="S12" s="139"/>
    </row>
    <row r="13" spans="1:19" ht="21" customHeight="1" x14ac:dyDescent="0.15">
      <c r="A13" s="12">
        <v>1140</v>
      </c>
      <c r="B13" s="132" t="s">
        <v>185</v>
      </c>
      <c r="C13" s="194" t="s">
        <v>381</v>
      </c>
      <c r="D13" s="133" t="s">
        <v>482</v>
      </c>
      <c r="E13" s="134">
        <f t="shared" si="3"/>
        <v>43</v>
      </c>
      <c r="F13" s="116">
        <v>11</v>
      </c>
      <c r="G13" s="116">
        <v>5</v>
      </c>
      <c r="H13" s="135">
        <f>2001</f>
        <v>2001</v>
      </c>
      <c r="I13" s="135" t="s">
        <v>481</v>
      </c>
      <c r="J13" s="55" t="str">
        <f ca="1">VLOOKUP($A13,OFFSET([1]characters!$A$1,0,0,COUNTA([1]characters!$A:$A),MATCH("name",[1]characters!$1:$1,0)-MATCH("character_id",[1]characters!$1:$1,0)+1),MATCH("name",[1]characters!$1:$1,0)-MATCH("character_id",[1]characters!$1:$1,0)+1,FALSE)</f>
        <v>綱紀粛正の傑璧 趙雲</v>
      </c>
      <c r="K13" s="136">
        <f>IFERROR(VLOOKUP(A13,[1]characters!$A:$R,18),0)</f>
        <v>3</v>
      </c>
      <c r="L13" s="137"/>
      <c r="M13" s="138"/>
      <c r="N13" s="138"/>
      <c r="O13" s="138"/>
      <c r="P13" s="138"/>
      <c r="Q13" s="138"/>
      <c r="R13" s="133"/>
      <c r="S13" s="139"/>
    </row>
    <row r="14" spans="1:19" ht="21" customHeight="1" x14ac:dyDescent="0.15">
      <c r="A14" s="12">
        <v>1141</v>
      </c>
      <c r="B14" s="132" t="s">
        <v>185</v>
      </c>
      <c r="C14" s="194" t="s">
        <v>382</v>
      </c>
      <c r="D14" s="133" t="s">
        <v>421</v>
      </c>
      <c r="E14" s="134">
        <f>LEN(D14)</f>
        <v>53</v>
      </c>
      <c r="F14" s="116">
        <v>13</v>
      </c>
      <c r="G14" s="116">
        <v>5</v>
      </c>
      <c r="H14" s="135">
        <f>2001</f>
        <v>2001</v>
      </c>
      <c r="I14" s="135" t="s">
        <v>423</v>
      </c>
      <c r="J14" s="55" t="str">
        <f ca="1">VLOOKUP($A14,OFFSET([1]characters!$A$1,0,0,COUNTA([1]characters!$A:$A),MATCH("name",[1]characters!$1:$1,0)-MATCH("character_id",[1]characters!$1:$1,0)+1),MATCH("name",[1]characters!$1:$1,0)-MATCH("character_id",[1]characters!$1:$1,0)+1,FALSE)</f>
        <v>月英</v>
      </c>
      <c r="K14" s="136">
        <f>IFERROR(VLOOKUP(A14,[1]characters!$A:$R,18),0)</f>
        <v>3</v>
      </c>
      <c r="L14" s="137"/>
      <c r="M14" s="138"/>
      <c r="N14" s="138"/>
      <c r="O14" s="138"/>
      <c r="P14" s="138"/>
      <c r="Q14" s="138"/>
      <c r="R14" s="133"/>
      <c r="S14" s="139"/>
    </row>
    <row r="15" spans="1:19" ht="21" customHeight="1" x14ac:dyDescent="0.15">
      <c r="A15" s="12">
        <v>1142</v>
      </c>
      <c r="B15" s="132" t="s">
        <v>185</v>
      </c>
      <c r="C15" s="194" t="s">
        <v>383</v>
      </c>
      <c r="D15" s="133" t="s">
        <v>420</v>
      </c>
      <c r="E15" s="134">
        <f>LEN(D15)</f>
        <v>54</v>
      </c>
      <c r="F15" s="116">
        <v>12</v>
      </c>
      <c r="G15" s="116">
        <v>5</v>
      </c>
      <c r="H15" s="135">
        <f>2001</f>
        <v>2001</v>
      </c>
      <c r="I15" s="135" t="s">
        <v>424</v>
      </c>
      <c r="J15" s="55" t="str">
        <f ca="1">VLOOKUP($A15,OFFSET([1]characters!$A$1,0,0,COUNTA([1]characters!$A:$A),MATCH("name",[1]characters!$1:$1,0)-MATCH("character_id",[1]characters!$1:$1,0)+1),MATCH("name",[1]characters!$1:$1,0)-MATCH("character_id",[1]characters!$1:$1,0)+1,FALSE)</f>
        <v>蒼明な機鋼士 月英</v>
      </c>
      <c r="K15" s="136">
        <f>IFERROR(VLOOKUP(A15,[1]characters!$A:$R,18),0)</f>
        <v>3</v>
      </c>
      <c r="L15" s="137"/>
      <c r="M15" s="138"/>
      <c r="N15" s="138"/>
      <c r="O15" s="138"/>
      <c r="P15" s="138"/>
      <c r="Q15" s="138"/>
      <c r="R15" s="133"/>
      <c r="S15" s="139"/>
    </row>
    <row r="16" spans="1:19" ht="21" customHeight="1" x14ac:dyDescent="0.15">
      <c r="A16" s="12">
        <v>1143</v>
      </c>
      <c r="B16" s="132" t="s">
        <v>185</v>
      </c>
      <c r="C16" s="194" t="s">
        <v>384</v>
      </c>
      <c r="D16" s="133" t="s">
        <v>399</v>
      </c>
      <c r="E16" s="134">
        <f t="shared" si="3"/>
        <v>42</v>
      </c>
      <c r="F16" s="116">
        <v>12</v>
      </c>
      <c r="G16" s="116">
        <v>5</v>
      </c>
      <c r="H16" s="135">
        <f>2001</f>
        <v>2001</v>
      </c>
      <c r="I16" s="135" t="s">
        <v>422</v>
      </c>
      <c r="J16" s="55" t="str">
        <f ca="1">VLOOKUP($A16,OFFSET([1]characters!$A$1,0,0,COUNTA([1]characters!$A:$A),MATCH("name",[1]characters!$1:$1,0)-MATCH("character_id",[1]characters!$1:$1,0)+1),MATCH("name",[1]characters!$1:$1,0)-MATCH("character_id",[1]characters!$1:$1,0)+1,FALSE)</f>
        <v>黄忠</v>
      </c>
      <c r="K16" s="136">
        <f>IFERROR(VLOOKUP(A16,[1]characters!$A:$R,18),0)</f>
        <v>3</v>
      </c>
      <c r="L16" s="137"/>
      <c r="M16" s="138"/>
      <c r="N16" s="138"/>
      <c r="O16" s="138"/>
      <c r="P16" s="138"/>
      <c r="Q16" s="138"/>
      <c r="R16" s="133"/>
      <c r="S16" s="139"/>
    </row>
    <row r="17" spans="1:19" ht="21" customHeight="1" x14ac:dyDescent="0.15">
      <c r="A17" s="12">
        <v>1144</v>
      </c>
      <c r="B17" s="132" t="s">
        <v>185</v>
      </c>
      <c r="C17" s="194" t="s">
        <v>385</v>
      </c>
      <c r="D17" s="198" t="s">
        <v>400</v>
      </c>
      <c r="E17" s="134">
        <f t="shared" ref="E17" si="4">LEN(D17)</f>
        <v>42</v>
      </c>
      <c r="F17" s="116">
        <v>11</v>
      </c>
      <c r="G17" s="116">
        <v>5</v>
      </c>
      <c r="H17" s="135">
        <f>2001</f>
        <v>2001</v>
      </c>
      <c r="I17" s="135" t="s">
        <v>413</v>
      </c>
      <c r="J17" s="55" t="str">
        <f ca="1">VLOOKUP($A17,OFFSET([1]characters!$A$1,0,0,COUNTA([1]characters!$A:$A),MATCH("name",[1]characters!$1:$1,0)-MATCH("character_id",[1]characters!$1:$1,0)+1),MATCH("name",[1]characters!$1:$1,0)-MATCH("character_id",[1]characters!$1:$1,0)+1,FALSE)</f>
        <v>白星を射る老将 黄忠</v>
      </c>
      <c r="K17" s="136">
        <f>IFERROR(VLOOKUP(A17,[1]characters!$A:$R,18),0)</f>
        <v>3</v>
      </c>
      <c r="L17" s="137"/>
      <c r="M17" s="138"/>
      <c r="N17" s="138"/>
      <c r="O17" s="138"/>
      <c r="P17" s="138"/>
      <c r="Q17" s="138"/>
      <c r="R17" s="133"/>
      <c r="S17" s="139"/>
    </row>
  </sheetData>
  <sheetProtection selectLockedCells="1" selectUnlockedCells="1"/>
  <autoFilter ref="A1:S1">
    <sortState ref="A2:T432">
      <sortCondition ref="A1:A432"/>
    </sortState>
  </autoFilter>
  <phoneticPr fontId="22"/>
  <conditionalFormatting sqref="E1 E18:E1048576">
    <cfRule type="cellIs" dxfId="61" priority="22" operator="greaterThan">
      <formula>41</formula>
    </cfRule>
  </conditionalFormatting>
  <conditionalFormatting sqref="E2">
    <cfRule type="cellIs" dxfId="60" priority="16" operator="greaterThan">
      <formula>41</formula>
    </cfRule>
  </conditionalFormatting>
  <conditionalFormatting sqref="E3">
    <cfRule type="cellIs" dxfId="59" priority="15" operator="greaterThan">
      <formula>41</formula>
    </cfRule>
  </conditionalFormatting>
  <conditionalFormatting sqref="E4">
    <cfRule type="cellIs" dxfId="58" priority="14" operator="greaterThan">
      <formula>41</formula>
    </cfRule>
  </conditionalFormatting>
  <conditionalFormatting sqref="E5">
    <cfRule type="cellIs" dxfId="57" priority="13" operator="greaterThan">
      <formula>41</formula>
    </cfRule>
  </conditionalFormatting>
  <conditionalFormatting sqref="E6">
    <cfRule type="cellIs" dxfId="56" priority="12" operator="greaterThan">
      <formula>41</formula>
    </cfRule>
  </conditionalFormatting>
  <conditionalFormatting sqref="E7">
    <cfRule type="cellIs" dxfId="55" priority="11" operator="greaterThan">
      <formula>41</formula>
    </cfRule>
  </conditionalFormatting>
  <conditionalFormatting sqref="E8">
    <cfRule type="cellIs" dxfId="54" priority="10" operator="greaterThan">
      <formula>41</formula>
    </cfRule>
  </conditionalFormatting>
  <conditionalFormatting sqref="E9">
    <cfRule type="cellIs" dxfId="53" priority="9" operator="greaterThan">
      <formula>41</formula>
    </cfRule>
  </conditionalFormatting>
  <conditionalFormatting sqref="E10">
    <cfRule type="cellIs" dxfId="52" priority="8" operator="greaterThan">
      <formula>41</formula>
    </cfRule>
  </conditionalFormatting>
  <conditionalFormatting sqref="E11">
    <cfRule type="cellIs" dxfId="51" priority="7" operator="greaterThan">
      <formula>41</formula>
    </cfRule>
  </conditionalFormatting>
  <conditionalFormatting sqref="E12">
    <cfRule type="cellIs" dxfId="50" priority="6" operator="greaterThan">
      <formula>41</formula>
    </cfRule>
  </conditionalFormatting>
  <conditionalFormatting sqref="E13">
    <cfRule type="cellIs" dxfId="49" priority="5" operator="greaterThan">
      <formula>41</formula>
    </cfRule>
  </conditionalFormatting>
  <conditionalFormatting sqref="E14">
    <cfRule type="cellIs" dxfId="48" priority="4" operator="greaterThan">
      <formula>41</formula>
    </cfRule>
  </conditionalFormatting>
  <conditionalFormatting sqref="E15">
    <cfRule type="cellIs" dxfId="47" priority="3" operator="greaterThan">
      <formula>41</formula>
    </cfRule>
  </conditionalFormatting>
  <conditionalFormatting sqref="E16">
    <cfRule type="cellIs" dxfId="46" priority="2" operator="greaterThan">
      <formula>41</formula>
    </cfRule>
  </conditionalFormatting>
  <conditionalFormatting sqref="E17">
    <cfRule type="cellIs" dxfId="45"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3" sqref="A3"/>
      <selection pane="bottomRight" activeCell="F7" sqref="F7"/>
    </sheetView>
  </sheetViews>
  <sheetFormatPr baseColWidth="12" defaultColWidth="13" defaultRowHeight="21" customHeight="1" x14ac:dyDescent="0.15"/>
  <cols>
    <col min="1" max="2" width="12.1640625" style="129" customWidth="1"/>
    <col min="3" max="3" width="48.83203125" style="130" customWidth="1"/>
    <col min="4" max="4" width="23.83203125" style="130" customWidth="1"/>
    <col min="5" max="5" width="10.5" style="130" customWidth="1"/>
    <col min="6" max="7" width="59.1640625" style="130" customWidth="1"/>
    <col min="8" max="8" width="6.83203125" style="129" bestFit="1" customWidth="1"/>
    <col min="9" max="9" width="20.33203125" style="129" customWidth="1"/>
    <col min="10" max="10" width="5" style="129" bestFit="1" customWidth="1"/>
    <col min="11" max="16384" width="13" style="129"/>
  </cols>
  <sheetData>
    <row r="1" spans="1:19" ht="21" customHeight="1" x14ac:dyDescent="0.15">
      <c r="A1" s="117" t="s">
        <v>182</v>
      </c>
      <c r="B1" s="118" t="s">
        <v>181</v>
      </c>
      <c r="C1" s="119" t="s">
        <v>180</v>
      </c>
      <c r="D1" s="120" t="s">
        <v>179</v>
      </c>
      <c r="E1" s="120" t="s">
        <v>178</v>
      </c>
      <c r="F1" s="121" t="s">
        <v>177</v>
      </c>
      <c r="G1" s="122" t="s">
        <v>184</v>
      </c>
      <c r="H1" s="121" t="s">
        <v>176</v>
      </c>
      <c r="I1" s="122" t="s">
        <v>175</v>
      </c>
      <c r="J1" s="126" t="s">
        <v>174</v>
      </c>
    </row>
    <row r="2" spans="1:19" ht="21" customHeight="1" x14ac:dyDescent="0.15">
      <c r="A2" s="12">
        <v>1129</v>
      </c>
      <c r="B2" s="195" t="s">
        <v>186</v>
      </c>
      <c r="C2" s="194" t="s">
        <v>386</v>
      </c>
      <c r="D2" s="133" t="s">
        <v>408</v>
      </c>
      <c r="E2" s="196">
        <f t="shared" ref="E2" si="0">LEN(D2)</f>
        <v>17</v>
      </c>
      <c r="F2" s="192" t="s">
        <v>329</v>
      </c>
      <c r="G2" s="191" t="str">
        <f ca="1">VLOOKUP($A2,OFFSET([1]characters!$A$1,0,0,COUNTA([1]characters!$A:$A),MATCH("name",[1]characters!$1:$1,0)-MATCH("character_id",[1]characters!$1:$1,0)+1),MATCH("name",[1]characters!$1:$1,0)-MATCH("character_id",[1]characters!$1:$1,0)+1,FALSE)</f>
        <v>赤兎馬</v>
      </c>
      <c r="H2" s="135">
        <f>IFERROR(VLOOKUP(A2,[1]characters!$A:$R,18),0)</f>
        <v>3</v>
      </c>
      <c r="I2" s="135"/>
      <c r="J2" s="140"/>
      <c r="K2" s="136">
        <v>1</v>
      </c>
      <c r="L2" s="137"/>
      <c r="M2" s="138"/>
      <c r="N2" s="138"/>
      <c r="O2" s="138"/>
      <c r="P2" s="138"/>
      <c r="Q2" s="138"/>
      <c r="R2" s="133"/>
      <c r="S2" s="139"/>
    </row>
    <row r="3" spans="1:19" ht="21" customHeight="1" x14ac:dyDescent="0.15">
      <c r="A3" s="12">
        <v>1130</v>
      </c>
      <c r="B3" s="195" t="s">
        <v>186</v>
      </c>
      <c r="C3" s="194" t="s">
        <v>387</v>
      </c>
      <c r="D3" s="133" t="s">
        <v>407</v>
      </c>
      <c r="E3" s="196">
        <f t="shared" ref="E3:E4" si="1">LEN(D3)</f>
        <v>18</v>
      </c>
      <c r="F3" s="116" t="s">
        <v>330</v>
      </c>
      <c r="G3" s="191" t="str">
        <f ca="1">VLOOKUP($A3,OFFSET([1]characters!$A$1,0,0,COUNTA([1]characters!$A:$A),MATCH("name",[1]characters!$1:$1,0)-MATCH("character_id",[1]characters!$1:$1,0)+1),MATCH("name",[1]characters!$1:$1,0)-MATCH("character_id",[1]characters!$1:$1,0)+1,FALSE)</f>
        <v>紅鋼の疾躁獣 赤兎馬</v>
      </c>
      <c r="H3" s="135">
        <f>IFERROR(VLOOKUP(A3,[1]characters!$A:$R,18),0)</f>
        <v>3</v>
      </c>
      <c r="I3" s="135"/>
      <c r="J3" s="140"/>
      <c r="K3" s="136">
        <v>1</v>
      </c>
      <c r="L3" s="137"/>
      <c r="M3" s="138"/>
      <c r="N3" s="138"/>
      <c r="O3" s="138"/>
      <c r="P3" s="138"/>
      <c r="Q3" s="138"/>
      <c r="R3" s="133"/>
      <c r="S3" s="139"/>
    </row>
    <row r="4" spans="1:19" ht="21" customHeight="1" x14ac:dyDescent="0.15">
      <c r="A4" s="12">
        <v>1131</v>
      </c>
      <c r="B4" s="195" t="s">
        <v>185</v>
      </c>
      <c r="C4" s="194" t="s">
        <v>388</v>
      </c>
      <c r="D4" s="133" t="s">
        <v>432</v>
      </c>
      <c r="E4" s="196">
        <f t="shared" si="1"/>
        <v>20</v>
      </c>
      <c r="F4" s="197" t="s">
        <v>321</v>
      </c>
      <c r="G4" s="191" t="str">
        <f ca="1">VLOOKUP($A4,OFFSET([1]characters!$A$1,0,0,COUNTA([1]characters!$A:$A),MATCH("name",[1]characters!$1:$1,0)-MATCH("character_id",[1]characters!$1:$1,0)+1),MATCH("name",[1]characters!$1:$1,0)-MATCH("character_id",[1]characters!$1:$1,0)+1,FALSE)</f>
        <v>董卓</v>
      </c>
      <c r="H4" s="135">
        <f>IFERROR(VLOOKUP(A4,[1]characters!$A:$R,18),0)</f>
        <v>3</v>
      </c>
      <c r="I4" s="135"/>
      <c r="J4" s="140"/>
      <c r="K4" s="136">
        <v>1</v>
      </c>
      <c r="L4" s="137"/>
      <c r="M4" s="138"/>
      <c r="N4" s="138"/>
      <c r="O4" s="138"/>
      <c r="P4" s="138"/>
      <c r="Q4" s="138"/>
      <c r="R4" s="133"/>
      <c r="S4" s="139"/>
    </row>
    <row r="5" spans="1:19" ht="21" customHeight="1" x14ac:dyDescent="0.15">
      <c r="A5" s="12">
        <v>1132</v>
      </c>
      <c r="B5" s="195" t="s">
        <v>185</v>
      </c>
      <c r="C5" s="194" t="s">
        <v>389</v>
      </c>
      <c r="D5" s="133" t="s">
        <v>404</v>
      </c>
      <c r="E5" s="196">
        <f t="shared" ref="E5:E8" si="2">LEN(D5)</f>
        <v>21</v>
      </c>
      <c r="F5" s="116" t="s">
        <v>322</v>
      </c>
      <c r="G5" s="191" t="str">
        <f ca="1">VLOOKUP($A5,OFFSET([1]characters!$A$1,0,0,COUNTA([1]characters!$A:$A),MATCH("name",[1]characters!$1:$1,0)-MATCH("character_id",[1]characters!$1:$1,0)+1),MATCH("name",[1]characters!$1:$1,0)-MATCH("character_id",[1]characters!$1:$1,0)+1,FALSE)</f>
        <v>偏執なる狂騒君 董卓</v>
      </c>
      <c r="H5" s="135">
        <f>IFERROR(VLOOKUP(A5,[1]characters!$A:$R,18),0)</f>
        <v>3</v>
      </c>
      <c r="I5" s="135"/>
      <c r="J5" s="140"/>
      <c r="K5" s="136">
        <v>1</v>
      </c>
      <c r="L5" s="137"/>
      <c r="M5" s="138"/>
      <c r="N5" s="138"/>
      <c r="O5" s="138"/>
      <c r="P5" s="138"/>
      <c r="Q5" s="138"/>
      <c r="R5" s="133"/>
      <c r="S5" s="139"/>
    </row>
    <row r="6" spans="1:19" ht="21" customHeight="1" x14ac:dyDescent="0.15">
      <c r="A6" s="12">
        <v>1133</v>
      </c>
      <c r="B6" s="195" t="s">
        <v>185</v>
      </c>
      <c r="C6" s="194" t="s">
        <v>390</v>
      </c>
      <c r="D6" s="133" t="s">
        <v>323</v>
      </c>
      <c r="E6" s="196">
        <f t="shared" si="2"/>
        <v>10</v>
      </c>
      <c r="F6" s="197" t="s">
        <v>478</v>
      </c>
      <c r="G6" s="191" t="str">
        <f ca="1">VLOOKUP($A6,OFFSET([1]characters!$A$1,0,0,COUNTA([1]characters!$A:$A),MATCH("name",[1]characters!$1:$1,0)-MATCH("character_id",[1]characters!$1:$1,0)+1),MATCH("name",[1]characters!$1:$1,0)-MATCH("character_id",[1]characters!$1:$1,0)+1,FALSE)</f>
        <v>貂蝉</v>
      </c>
      <c r="H6" s="135">
        <f>IFERROR(VLOOKUP(A6,[1]characters!$A:$R,18),0)</f>
        <v>3</v>
      </c>
      <c r="I6" s="135"/>
      <c r="J6" s="140"/>
      <c r="K6" s="136">
        <v>1</v>
      </c>
      <c r="L6" s="137"/>
      <c r="M6" s="138"/>
      <c r="N6" s="138"/>
      <c r="O6" s="138"/>
      <c r="P6" s="138"/>
      <c r="Q6" s="138"/>
      <c r="R6" s="133"/>
      <c r="S6" s="139"/>
    </row>
    <row r="7" spans="1:19" ht="21" customHeight="1" x14ac:dyDescent="0.15">
      <c r="A7" s="12">
        <v>1134</v>
      </c>
      <c r="B7" s="195" t="s">
        <v>185</v>
      </c>
      <c r="C7" s="194" t="s">
        <v>390</v>
      </c>
      <c r="D7" s="133" t="s">
        <v>324</v>
      </c>
      <c r="E7" s="196">
        <f t="shared" si="2"/>
        <v>10</v>
      </c>
      <c r="F7" s="197" t="s">
        <v>478</v>
      </c>
      <c r="G7" s="191" t="str">
        <f ca="1">VLOOKUP($A7,OFFSET([1]characters!$A$1,0,0,COUNTA([1]characters!$A:$A),MATCH("name",[1]characters!$1:$1,0)-MATCH("character_id",[1]characters!$1:$1,0)+1),MATCH("name",[1]characters!$1:$1,0)-MATCH("character_id",[1]characters!$1:$1,0)+1,FALSE)</f>
        <v>月隠れの美麗酔 貂蝉</v>
      </c>
      <c r="H7" s="135">
        <f>IFERROR(VLOOKUP(A7,[1]characters!$A:$R,18),0)</f>
        <v>3</v>
      </c>
      <c r="I7" s="135"/>
      <c r="J7" s="140"/>
      <c r="K7" s="136">
        <v>1</v>
      </c>
      <c r="L7" s="137"/>
      <c r="M7" s="138"/>
      <c r="N7" s="138"/>
      <c r="O7" s="138"/>
      <c r="P7" s="138"/>
      <c r="Q7" s="138"/>
      <c r="R7" s="133"/>
      <c r="S7" s="139"/>
    </row>
    <row r="8" spans="1:19" ht="21" customHeight="1" x14ac:dyDescent="0.15">
      <c r="A8" s="12">
        <v>1135</v>
      </c>
      <c r="B8" s="195" t="s">
        <v>185</v>
      </c>
      <c r="C8" s="133" t="s">
        <v>437</v>
      </c>
      <c r="D8" s="133" t="s">
        <v>446</v>
      </c>
      <c r="E8" s="196">
        <f t="shared" si="2"/>
        <v>8</v>
      </c>
      <c r="F8" s="192" t="s">
        <v>450</v>
      </c>
      <c r="G8" s="191" t="str">
        <f ca="1">VLOOKUP($A8,OFFSET([1]characters!$A$1,0,0,COUNTA([1]characters!$A:$A),MATCH("name",[1]characters!$1:$1,0)-MATCH("character_id",[1]characters!$1:$1,0)+1),MATCH("name",[1]characters!$1:$1,0)-MATCH("character_id",[1]characters!$1:$1,0)+1,FALSE)</f>
        <v>呂布</v>
      </c>
      <c r="H8" s="135">
        <f>IFERROR(VLOOKUP(A8,[1]characters!$A:$R,18),0)</f>
        <v>3</v>
      </c>
      <c r="I8" s="135"/>
      <c r="J8" s="140"/>
      <c r="K8" s="136">
        <v>1</v>
      </c>
      <c r="L8" s="137"/>
      <c r="M8" s="138"/>
      <c r="N8" s="138"/>
      <c r="O8" s="138"/>
      <c r="P8" s="138"/>
      <c r="Q8" s="138"/>
      <c r="R8" s="133"/>
      <c r="S8" s="139"/>
    </row>
    <row r="9" spans="1:19" ht="21" customHeight="1" x14ac:dyDescent="0.15">
      <c r="A9" s="12">
        <v>1136</v>
      </c>
      <c r="B9" s="195" t="s">
        <v>185</v>
      </c>
      <c r="C9" s="133" t="s">
        <v>438</v>
      </c>
      <c r="D9" s="133" t="s">
        <v>447</v>
      </c>
      <c r="E9" s="196">
        <f t="shared" ref="E9:E16" si="3">LEN(D9)</f>
        <v>9</v>
      </c>
      <c r="F9" s="192" t="s">
        <v>449</v>
      </c>
      <c r="G9" s="191" t="str">
        <f ca="1">VLOOKUP($A9,OFFSET([1]characters!$A$1,0,0,COUNTA([1]characters!$A:$A),MATCH("name",[1]characters!$1:$1,0)-MATCH("character_id",[1]characters!$1:$1,0)+1),MATCH("name",[1]characters!$1:$1,0)-MATCH("character_id",[1]characters!$1:$1,0)+1,FALSE)</f>
        <v>豪拳烈創の激将 呂布</v>
      </c>
      <c r="H9" s="135">
        <f>IFERROR(VLOOKUP(A9,[1]characters!$A:$R,18),0)</f>
        <v>3</v>
      </c>
      <c r="I9" s="135"/>
      <c r="J9" s="140"/>
      <c r="K9" s="136">
        <v>1</v>
      </c>
      <c r="L9" s="137"/>
      <c r="M9" s="138"/>
      <c r="N9" s="138"/>
      <c r="O9" s="138"/>
      <c r="P9" s="138"/>
      <c r="Q9" s="138"/>
      <c r="R9" s="133"/>
      <c r="S9" s="139"/>
    </row>
    <row r="10" spans="1:19" ht="21" customHeight="1" x14ac:dyDescent="0.15">
      <c r="A10" s="12">
        <v>1137</v>
      </c>
      <c r="B10" s="195" t="s">
        <v>185</v>
      </c>
      <c r="C10" s="194" t="s">
        <v>393</v>
      </c>
      <c r="D10" s="133" t="s">
        <v>414</v>
      </c>
      <c r="E10" s="196">
        <f t="shared" si="3"/>
        <v>37</v>
      </c>
      <c r="F10" s="192" t="s">
        <v>319</v>
      </c>
      <c r="G10" s="191" t="str">
        <f ca="1">VLOOKUP($A10,OFFSET([1]characters!$A$1,0,0,COUNTA([1]characters!$A:$A),MATCH("name",[1]characters!$1:$1,0)-MATCH("character_id",[1]characters!$1:$1,0)+1),MATCH("name",[1]characters!$1:$1,0)-MATCH("character_id",[1]characters!$1:$1,0)+1,FALSE)</f>
        <v>諸葛亮</v>
      </c>
      <c r="H10" s="135">
        <f>IFERROR(VLOOKUP(A10,[1]characters!$A:$R,18),0)</f>
        <v>3</v>
      </c>
      <c r="I10" s="135"/>
      <c r="J10" s="140"/>
      <c r="K10" s="136">
        <v>1</v>
      </c>
      <c r="L10" s="137"/>
      <c r="M10" s="138"/>
      <c r="N10" s="138"/>
      <c r="O10" s="138"/>
      <c r="P10" s="138"/>
      <c r="Q10" s="138"/>
      <c r="R10" s="133"/>
      <c r="S10" s="139"/>
    </row>
    <row r="11" spans="1:19" ht="21" customHeight="1" x14ac:dyDescent="0.15">
      <c r="A11" s="12">
        <v>1138</v>
      </c>
      <c r="B11" s="195" t="s">
        <v>185</v>
      </c>
      <c r="C11" s="194" t="s">
        <v>393</v>
      </c>
      <c r="D11" s="133" t="s">
        <v>415</v>
      </c>
      <c r="E11" s="196">
        <f t="shared" si="3"/>
        <v>37</v>
      </c>
      <c r="F11" s="116" t="s">
        <v>318</v>
      </c>
      <c r="G11" s="191" t="str">
        <f ca="1">VLOOKUP($A11,OFFSET([1]characters!$A$1,0,0,COUNTA([1]characters!$A:$A),MATCH("name",[1]characters!$1:$1,0)-MATCH("character_id",[1]characters!$1:$1,0)+1),MATCH("name",[1]characters!$1:$1,0)-MATCH("character_id",[1]characters!$1:$1,0)+1,FALSE)</f>
        <v>神算鬼謀の宰相 諸葛亮</v>
      </c>
      <c r="H11" s="135">
        <f>IFERROR(VLOOKUP(A11,[1]characters!$A:$R,18),0)</f>
        <v>3</v>
      </c>
      <c r="I11" s="135"/>
      <c r="J11" s="140"/>
      <c r="K11" s="136">
        <v>1</v>
      </c>
      <c r="L11" s="137"/>
      <c r="M11" s="138"/>
      <c r="N11" s="138"/>
      <c r="O11" s="138"/>
      <c r="P11" s="138"/>
      <c r="Q11" s="138"/>
      <c r="R11" s="133"/>
      <c r="S11" s="139"/>
    </row>
    <row r="12" spans="1:19" ht="21" customHeight="1" x14ac:dyDescent="0.15">
      <c r="A12" s="12">
        <v>1139</v>
      </c>
      <c r="B12" s="195" t="s">
        <v>185</v>
      </c>
      <c r="C12" s="194" t="s">
        <v>394</v>
      </c>
      <c r="D12" s="133" t="s">
        <v>428</v>
      </c>
      <c r="E12" s="196">
        <f>LEN(D12)</f>
        <v>22</v>
      </c>
      <c r="F12" s="192" t="s">
        <v>425</v>
      </c>
      <c r="G12" s="191" t="str">
        <f ca="1">VLOOKUP($A12,OFFSET([1]characters!$A$1,0,0,COUNTA([1]characters!$A:$A),MATCH("name",[1]characters!$1:$1,0)-MATCH("character_id",[1]characters!$1:$1,0)+1),MATCH("name",[1]characters!$1:$1,0)-MATCH("character_id",[1]characters!$1:$1,0)+1,FALSE)</f>
        <v>趙雲</v>
      </c>
      <c r="H12" s="135">
        <f>IFERROR(VLOOKUP(A12,[1]characters!$A:$R,18),0)</f>
        <v>3</v>
      </c>
      <c r="I12" s="135"/>
      <c r="J12" s="140"/>
      <c r="K12" s="136">
        <v>1</v>
      </c>
      <c r="L12" s="137"/>
      <c r="M12" s="138"/>
      <c r="N12" s="138"/>
      <c r="O12" s="138"/>
      <c r="P12" s="138"/>
      <c r="Q12" s="138"/>
      <c r="R12" s="133"/>
      <c r="S12" s="139"/>
    </row>
    <row r="13" spans="1:19" ht="21" customHeight="1" x14ac:dyDescent="0.15">
      <c r="A13" s="12">
        <v>1140</v>
      </c>
      <c r="B13" s="195" t="s">
        <v>185</v>
      </c>
      <c r="C13" s="194" t="s">
        <v>394</v>
      </c>
      <c r="D13" s="133" t="s">
        <v>427</v>
      </c>
      <c r="E13" s="196">
        <f t="shared" si="3"/>
        <v>22</v>
      </c>
      <c r="F13" s="192" t="s">
        <v>426</v>
      </c>
      <c r="G13" s="191" t="str">
        <f ca="1">VLOOKUP($A13,OFFSET([1]characters!$A$1,0,0,COUNTA([1]characters!$A:$A),MATCH("name",[1]characters!$1:$1,0)-MATCH("character_id",[1]characters!$1:$1,0)+1),MATCH("name",[1]characters!$1:$1,0)-MATCH("character_id",[1]characters!$1:$1,0)+1,FALSE)</f>
        <v>綱紀粛正の傑璧 趙雲</v>
      </c>
      <c r="H13" s="135">
        <f>IFERROR(VLOOKUP(A13,[1]characters!$A:$R,18),0)</f>
        <v>3</v>
      </c>
      <c r="I13" s="135"/>
      <c r="J13" s="140"/>
      <c r="K13" s="136">
        <v>1</v>
      </c>
      <c r="L13" s="137"/>
      <c r="M13" s="138"/>
      <c r="N13" s="138"/>
      <c r="O13" s="138"/>
      <c r="P13" s="138"/>
      <c r="Q13" s="138"/>
      <c r="R13" s="133"/>
      <c r="S13" s="139"/>
    </row>
    <row r="14" spans="1:19" ht="21" customHeight="1" x14ac:dyDescent="0.15">
      <c r="A14" s="12">
        <v>1141</v>
      </c>
      <c r="B14" s="195" t="s">
        <v>185</v>
      </c>
      <c r="C14" s="194" t="s">
        <v>395</v>
      </c>
      <c r="D14" s="133" t="s">
        <v>430</v>
      </c>
      <c r="E14" s="196">
        <f t="shared" si="3"/>
        <v>16</v>
      </c>
      <c r="F14" s="192" t="s">
        <v>332</v>
      </c>
      <c r="G14" s="191" t="str">
        <f ca="1">VLOOKUP($A14,OFFSET([1]characters!$A$1,0,0,COUNTA([1]characters!$A:$A),MATCH("name",[1]characters!$1:$1,0)-MATCH("character_id",[1]characters!$1:$1,0)+1),MATCH("name",[1]characters!$1:$1,0)-MATCH("character_id",[1]characters!$1:$1,0)+1,FALSE)</f>
        <v>月英</v>
      </c>
      <c r="H14" s="135">
        <f>IFERROR(VLOOKUP(A14,[1]characters!$A:$R,18),0)</f>
        <v>3</v>
      </c>
      <c r="I14" s="135"/>
      <c r="J14" s="140"/>
      <c r="K14" s="136">
        <v>1</v>
      </c>
      <c r="L14" s="137"/>
      <c r="M14" s="138"/>
      <c r="N14" s="138"/>
      <c r="O14" s="138"/>
      <c r="P14" s="138"/>
      <c r="Q14" s="138"/>
      <c r="R14" s="133"/>
      <c r="S14" s="139"/>
    </row>
    <row r="15" spans="1:19" ht="21" customHeight="1" x14ac:dyDescent="0.15">
      <c r="A15" s="12">
        <v>1142</v>
      </c>
      <c r="B15" s="195" t="s">
        <v>185</v>
      </c>
      <c r="C15" s="194" t="s">
        <v>395</v>
      </c>
      <c r="D15" s="133" t="s">
        <v>431</v>
      </c>
      <c r="E15" s="196">
        <f t="shared" si="3"/>
        <v>16</v>
      </c>
      <c r="F15" s="192" t="s">
        <v>331</v>
      </c>
      <c r="G15" s="191" t="str">
        <f ca="1">VLOOKUP($A15,OFFSET([1]characters!$A$1,0,0,COUNTA([1]characters!$A:$A),MATCH("name",[1]characters!$1:$1,0)-MATCH("character_id",[1]characters!$1:$1,0)+1),MATCH("name",[1]characters!$1:$1,0)-MATCH("character_id",[1]characters!$1:$1,0)+1,FALSE)</f>
        <v>蒼明な機鋼士 月英</v>
      </c>
      <c r="H15" s="135">
        <f>IFERROR(VLOOKUP(A15,[1]characters!$A:$R,18),0)</f>
        <v>3</v>
      </c>
      <c r="I15" s="135"/>
      <c r="J15" s="140"/>
      <c r="K15" s="136">
        <v>1</v>
      </c>
      <c r="L15" s="137"/>
      <c r="M15" s="138"/>
      <c r="N15" s="138"/>
      <c r="O15" s="138"/>
      <c r="P15" s="138"/>
      <c r="Q15" s="138"/>
      <c r="R15" s="133"/>
      <c r="S15" s="139"/>
    </row>
    <row r="16" spans="1:19" ht="21" customHeight="1" x14ac:dyDescent="0.15">
      <c r="A16" s="12">
        <v>1143</v>
      </c>
      <c r="B16" s="195" t="s">
        <v>185</v>
      </c>
      <c r="C16" s="194" t="s">
        <v>391</v>
      </c>
      <c r="D16" s="133" t="s">
        <v>401</v>
      </c>
      <c r="E16" s="196">
        <f t="shared" si="3"/>
        <v>16</v>
      </c>
      <c r="F16" s="192" t="s">
        <v>327</v>
      </c>
      <c r="G16" s="191" t="str">
        <f ca="1">VLOOKUP($A16,OFFSET([1]characters!$A$1,0,0,COUNTA([1]characters!$A:$A),MATCH("name",[1]characters!$1:$1,0)-MATCH("character_id",[1]characters!$1:$1,0)+1),MATCH("name",[1]characters!$1:$1,0)-MATCH("character_id",[1]characters!$1:$1,0)+1,FALSE)</f>
        <v>黄忠</v>
      </c>
      <c r="H16" s="135">
        <f>IFERROR(VLOOKUP(A16,[1]characters!$A:$R,18),0)</f>
        <v>3</v>
      </c>
      <c r="I16" s="135"/>
      <c r="J16" s="140"/>
      <c r="K16" s="136">
        <v>1</v>
      </c>
      <c r="L16" s="137"/>
      <c r="M16" s="138"/>
      <c r="N16" s="138"/>
      <c r="O16" s="138"/>
      <c r="P16" s="138"/>
      <c r="Q16" s="138"/>
      <c r="R16" s="133"/>
      <c r="S16" s="139"/>
    </row>
    <row r="17" spans="1:19" ht="21" customHeight="1" x14ac:dyDescent="0.15">
      <c r="A17" s="12">
        <v>1144</v>
      </c>
      <c r="B17" s="195" t="s">
        <v>185</v>
      </c>
      <c r="C17" s="194" t="s">
        <v>392</v>
      </c>
      <c r="D17" s="133" t="s">
        <v>402</v>
      </c>
      <c r="E17" s="196">
        <f t="shared" ref="E17" si="4">LEN(D17)</f>
        <v>18</v>
      </c>
      <c r="F17" s="192" t="s">
        <v>328</v>
      </c>
      <c r="G17" s="191" t="str">
        <f ca="1">VLOOKUP($A17,OFFSET([1]characters!$A$1,0,0,COUNTA([1]characters!$A:$A),MATCH("name",[1]characters!$1:$1,0)-MATCH("character_id",[1]characters!$1:$1,0)+1),MATCH("name",[1]characters!$1:$1,0)-MATCH("character_id",[1]characters!$1:$1,0)+1,FALSE)</f>
        <v>白星を射る老将 黄忠</v>
      </c>
      <c r="H17" s="135">
        <f>IFERROR(VLOOKUP(A17,[1]characters!$A:$R,18),0)</f>
        <v>3</v>
      </c>
      <c r="I17" s="135"/>
      <c r="J17" s="140"/>
      <c r="K17" s="136">
        <v>1</v>
      </c>
      <c r="L17" s="137"/>
      <c r="M17" s="138"/>
      <c r="N17" s="138"/>
      <c r="O17" s="138"/>
      <c r="P17" s="138"/>
      <c r="Q17" s="138"/>
      <c r="R17" s="133"/>
      <c r="S17" s="139"/>
    </row>
  </sheetData>
  <sheetProtection selectLockedCells="1" selectUnlockedCells="1"/>
  <autoFilter ref="A1:J1"/>
  <phoneticPr fontId="22"/>
  <conditionalFormatting sqref="E2">
    <cfRule type="cellIs" dxfId="44" priority="16" operator="greaterThan">
      <formula>41</formula>
    </cfRule>
  </conditionalFormatting>
  <conditionalFormatting sqref="E3">
    <cfRule type="cellIs" dxfId="43" priority="15" operator="greaterThan">
      <formula>41</formula>
    </cfRule>
  </conditionalFormatting>
  <conditionalFormatting sqref="E4">
    <cfRule type="cellIs" dxfId="42" priority="14" operator="greaterThan">
      <formula>41</formula>
    </cfRule>
  </conditionalFormatting>
  <conditionalFormatting sqref="E5">
    <cfRule type="cellIs" dxfId="41" priority="13" operator="greaterThan">
      <formula>41</formula>
    </cfRule>
  </conditionalFormatting>
  <conditionalFormatting sqref="E6">
    <cfRule type="cellIs" dxfId="40" priority="12" operator="greaterThan">
      <formula>41</formula>
    </cfRule>
  </conditionalFormatting>
  <conditionalFormatting sqref="E7">
    <cfRule type="cellIs" dxfId="39" priority="11" operator="greaterThan">
      <formula>41</formula>
    </cfRule>
  </conditionalFormatting>
  <conditionalFormatting sqref="E8">
    <cfRule type="cellIs" dxfId="38" priority="10" operator="greaterThan">
      <formula>41</formula>
    </cfRule>
  </conditionalFormatting>
  <conditionalFormatting sqref="E9">
    <cfRule type="cellIs" dxfId="37" priority="9" operator="greaterThan">
      <formula>41</formula>
    </cfRule>
  </conditionalFormatting>
  <conditionalFormatting sqref="E10">
    <cfRule type="cellIs" dxfId="36" priority="8" operator="greaterThan">
      <formula>41</formula>
    </cfRule>
  </conditionalFormatting>
  <conditionalFormatting sqref="E11">
    <cfRule type="cellIs" dxfId="35" priority="7" operator="greaterThan">
      <formula>41</formula>
    </cfRule>
  </conditionalFormatting>
  <conditionalFormatting sqref="E12">
    <cfRule type="cellIs" dxfId="34" priority="6" operator="greaterThan">
      <formula>41</formula>
    </cfRule>
  </conditionalFormatting>
  <conditionalFormatting sqref="E13">
    <cfRule type="cellIs" dxfId="33" priority="5" operator="greaterThan">
      <formula>41</formula>
    </cfRule>
  </conditionalFormatting>
  <conditionalFormatting sqref="E14">
    <cfRule type="cellIs" dxfId="32" priority="4" operator="greaterThan">
      <formula>41</formula>
    </cfRule>
  </conditionalFormatting>
  <conditionalFormatting sqref="E15">
    <cfRule type="cellIs" dxfId="31" priority="3" operator="greaterThan">
      <formula>41</formula>
    </cfRule>
  </conditionalFormatting>
  <conditionalFormatting sqref="E16">
    <cfRule type="cellIs" dxfId="30" priority="2" operator="greaterThan">
      <formula>41</formula>
    </cfRule>
  </conditionalFormatting>
  <conditionalFormatting sqref="E17">
    <cfRule type="cellIs" dxfId="29"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77"/>
  <sheetViews>
    <sheetView workbookViewId="0">
      <selection activeCell="G34" sqref="G34"/>
    </sheetView>
  </sheetViews>
  <sheetFormatPr baseColWidth="12" defaultRowHeight="15" outlineLevelCol="1" x14ac:dyDescent="0.15"/>
  <cols>
    <col min="2" max="2" width="12.83203125" style="142"/>
    <col min="4" max="4" width="12.83203125" style="142" customWidth="1" outlineLevel="1"/>
    <col min="5" max="5" width="12.83203125" style="142"/>
    <col min="8" max="8" width="26.5" bestFit="1" customWidth="1"/>
  </cols>
  <sheetData>
    <row r="1" spans="1:8" x14ac:dyDescent="0.15">
      <c r="A1" s="113" t="s">
        <v>187</v>
      </c>
      <c r="B1" s="141" t="s">
        <v>188</v>
      </c>
      <c r="C1" s="113" t="s">
        <v>189</v>
      </c>
      <c r="D1" s="141" t="s">
        <v>191</v>
      </c>
      <c r="E1" s="141" t="s">
        <v>192</v>
      </c>
      <c r="F1" s="111" t="s">
        <v>193</v>
      </c>
      <c r="G1" s="113" t="s">
        <v>190</v>
      </c>
      <c r="H1" s="111" t="s">
        <v>194</v>
      </c>
    </row>
    <row r="2" spans="1:8" x14ac:dyDescent="0.15">
      <c r="A2" s="107">
        <v>1129</v>
      </c>
      <c r="B2" s="141" t="str">
        <f>VLOOKUP(A2,[1]characters!$A:$C,3,FALSE)</f>
        <v>赤兎馬</v>
      </c>
      <c r="C2" s="107" t="s">
        <v>195</v>
      </c>
      <c r="D2" s="141" t="str">
        <f t="shared" ref="D2:D69" si="0">A2&amp;C2</f>
        <v>1129skill</v>
      </c>
      <c r="E2" s="141" t="str">
        <f>A2&amp;+(COUNTIF(A2:A$86,A2)-1)</f>
        <v>11292</v>
      </c>
      <c r="F2" s="107" t="s">
        <v>197</v>
      </c>
      <c r="G2" s="107" t="s">
        <v>334</v>
      </c>
      <c r="H2" s="107" t="s">
        <v>333</v>
      </c>
    </row>
    <row r="3" spans="1:8" x14ac:dyDescent="0.15">
      <c r="A3" s="107">
        <v>1129</v>
      </c>
      <c r="B3" s="141" t="str">
        <f>VLOOKUP(A3,[1]characters!$A:$C,3,FALSE)</f>
        <v>赤兎馬</v>
      </c>
      <c r="C3" s="107" t="s">
        <v>198</v>
      </c>
      <c r="D3" s="141" t="str">
        <f t="shared" ref="D3:D6" si="1">A3&amp;C3</f>
        <v>1129cskill</v>
      </c>
      <c r="E3" s="141" t="str">
        <f>A3&amp;+(COUNTIF(A3:A$86,A3)-1)</f>
        <v>11291</v>
      </c>
      <c r="F3" s="107" t="s">
        <v>186</v>
      </c>
      <c r="G3" s="107" t="s">
        <v>403</v>
      </c>
      <c r="H3" s="107" t="s">
        <v>336</v>
      </c>
    </row>
    <row r="4" spans="1:8" x14ac:dyDescent="0.15">
      <c r="A4" s="107">
        <v>1129</v>
      </c>
      <c r="B4" s="141" t="str">
        <f>VLOOKUP(A4,[1]characters!$A:$C,3,FALSE)</f>
        <v>赤兎馬</v>
      </c>
      <c r="C4" s="107" t="s">
        <v>198</v>
      </c>
      <c r="D4" s="141" t="str">
        <f t="shared" ref="D4" si="2">A4&amp;C4</f>
        <v>1129cskill</v>
      </c>
      <c r="E4" s="141" t="str">
        <f>A4&amp;+(COUNTIF(A4:A$86,A4)-1)</f>
        <v>11290</v>
      </c>
      <c r="F4" s="107" t="s">
        <v>186</v>
      </c>
      <c r="G4" s="107" t="s">
        <v>403</v>
      </c>
      <c r="H4" s="107" t="s">
        <v>338</v>
      </c>
    </row>
    <row r="5" spans="1:8" x14ac:dyDescent="0.15">
      <c r="A5" s="107">
        <v>1130</v>
      </c>
      <c r="B5" s="141" t="str">
        <f>VLOOKUP(A5,[1]characters!$A:$C,3,FALSE)</f>
        <v>紅鋼の疾躁獣 赤兎馬</v>
      </c>
      <c r="C5" s="107" t="s">
        <v>195</v>
      </c>
      <c r="D5" s="141" t="str">
        <f t="shared" si="1"/>
        <v>1130skill</v>
      </c>
      <c r="E5" s="141" t="str">
        <f>A5&amp;+(COUNTIF(A5:A$86,A5)-1)</f>
        <v>11303</v>
      </c>
      <c r="F5" s="107" t="s">
        <v>186</v>
      </c>
      <c r="G5" s="107" t="s">
        <v>403</v>
      </c>
      <c r="H5" s="107" t="s">
        <v>339</v>
      </c>
    </row>
    <row r="6" spans="1:8" x14ac:dyDescent="0.15">
      <c r="A6" s="107">
        <v>1130</v>
      </c>
      <c r="B6" s="141" t="str">
        <f>VLOOKUP(A6,[1]characters!$A:$C,3,FALSE)</f>
        <v>紅鋼の疾躁獣 赤兎馬</v>
      </c>
      <c r="C6" s="107" t="s">
        <v>198</v>
      </c>
      <c r="D6" s="141" t="str">
        <f t="shared" si="1"/>
        <v>1130cskill</v>
      </c>
      <c r="E6" s="141" t="str">
        <f>A6&amp;+(COUNTIF(A6:A$86,A6)-1)</f>
        <v>11302</v>
      </c>
      <c r="F6" s="107" t="s">
        <v>186</v>
      </c>
      <c r="G6" s="107" t="s">
        <v>403</v>
      </c>
      <c r="H6" s="193" t="s">
        <v>335</v>
      </c>
    </row>
    <row r="7" spans="1:8" x14ac:dyDescent="0.15">
      <c r="A7" s="107">
        <v>1130</v>
      </c>
      <c r="B7" s="141" t="str">
        <f>VLOOKUP(A7,[1]characters!$A:$C,3,FALSE)</f>
        <v>紅鋼の疾躁獣 赤兎馬</v>
      </c>
      <c r="C7" s="107" t="s">
        <v>198</v>
      </c>
      <c r="D7" s="141" t="str">
        <f t="shared" si="0"/>
        <v>1130cskill</v>
      </c>
      <c r="E7" s="141" t="str">
        <f>A7&amp;+(COUNTIF(A7:A$86,A7)-1)</f>
        <v>11301</v>
      </c>
      <c r="F7" s="107" t="s">
        <v>197</v>
      </c>
      <c r="G7" s="107" t="s">
        <v>403</v>
      </c>
      <c r="H7" s="193" t="s">
        <v>337</v>
      </c>
    </row>
    <row r="8" spans="1:8" x14ac:dyDescent="0.15">
      <c r="A8" s="107">
        <v>1130</v>
      </c>
      <c r="B8" s="141" t="str">
        <f>VLOOKUP(A8,[1]characters!$A:$C,3,FALSE)</f>
        <v>紅鋼の疾躁獣 赤兎馬</v>
      </c>
      <c r="C8" s="107" t="s">
        <v>198</v>
      </c>
      <c r="D8" s="141" t="str">
        <f t="shared" ref="D8" si="3">A8&amp;C8</f>
        <v>1130cskill</v>
      </c>
      <c r="E8" s="141" t="str">
        <f>A8&amp;+(COUNTIF(A8:A$86,A8)-1)</f>
        <v>11300</v>
      </c>
      <c r="F8" s="107" t="s">
        <v>186</v>
      </c>
      <c r="G8" s="107" t="s">
        <v>334</v>
      </c>
      <c r="H8" s="193" t="s">
        <v>340</v>
      </c>
    </row>
    <row r="9" spans="1:8" x14ac:dyDescent="0.15">
      <c r="A9" s="107">
        <v>1131</v>
      </c>
      <c r="B9" s="141" t="str">
        <f>VLOOKUP(A9,[1]characters!$A:$C,3,FALSE)</f>
        <v>董卓</v>
      </c>
      <c r="C9" s="107" t="s">
        <v>195</v>
      </c>
      <c r="D9" s="141" t="str">
        <f t="shared" si="0"/>
        <v>1131skill</v>
      </c>
      <c r="E9" s="141" t="str">
        <f>A9&amp;+(COUNTIF(A9:A$86,A9)-1)</f>
        <v>11313</v>
      </c>
      <c r="F9" s="107" t="s">
        <v>197</v>
      </c>
      <c r="G9" s="107" t="s">
        <v>196</v>
      </c>
      <c r="H9" s="193" t="s">
        <v>342</v>
      </c>
    </row>
    <row r="10" spans="1:8" x14ac:dyDescent="0.15">
      <c r="A10" s="107">
        <v>1131</v>
      </c>
      <c r="B10" s="141" t="str">
        <f>VLOOKUP(A10,[1]characters!$A:$C,3,FALSE)</f>
        <v>董卓</v>
      </c>
      <c r="C10" s="107" t="s">
        <v>198</v>
      </c>
      <c r="D10" s="141" t="str">
        <f t="shared" ref="D10:D13" si="4">A10&amp;C10</f>
        <v>1131cskill</v>
      </c>
      <c r="E10" s="141" t="str">
        <f>A10&amp;+(COUNTIF(A10:A$86,A10)-1)</f>
        <v>11312</v>
      </c>
      <c r="F10" s="107" t="s">
        <v>186</v>
      </c>
      <c r="G10" s="107" t="s">
        <v>196</v>
      </c>
      <c r="H10" s="193" t="s">
        <v>343</v>
      </c>
    </row>
    <row r="11" spans="1:8" x14ac:dyDescent="0.15">
      <c r="A11" s="107">
        <v>1131</v>
      </c>
      <c r="B11" s="141" t="str">
        <f>VLOOKUP(A11,[1]characters!$A:$C,3,FALSE)</f>
        <v>董卓</v>
      </c>
      <c r="C11" s="107" t="s">
        <v>198</v>
      </c>
      <c r="D11" s="141" t="str">
        <f t="shared" si="4"/>
        <v>1131cskill</v>
      </c>
      <c r="E11" s="141" t="str">
        <f>A11&amp;+(COUNTIF(A11:A$86,A11)-1)</f>
        <v>11311</v>
      </c>
      <c r="F11" s="107" t="s">
        <v>186</v>
      </c>
      <c r="G11" s="107" t="s">
        <v>196</v>
      </c>
      <c r="H11" s="193" t="s">
        <v>344</v>
      </c>
    </row>
    <row r="12" spans="1:8" x14ac:dyDescent="0.15">
      <c r="A12" s="107">
        <v>1131</v>
      </c>
      <c r="B12" s="141" t="str">
        <f>VLOOKUP(A12,[1]characters!$A:$C,3,FALSE)</f>
        <v>董卓</v>
      </c>
      <c r="C12" s="107" t="s">
        <v>198</v>
      </c>
      <c r="D12" s="141" t="str">
        <f t="shared" ref="D12" si="5">A12&amp;C12</f>
        <v>1131cskill</v>
      </c>
      <c r="E12" s="141" t="str">
        <f>A12&amp;+(COUNTIF(A12:A$86,A12)-1)</f>
        <v>11310</v>
      </c>
      <c r="F12" s="107" t="s">
        <v>186</v>
      </c>
      <c r="G12" s="107" t="s">
        <v>196</v>
      </c>
      <c r="H12" s="193" t="s">
        <v>341</v>
      </c>
    </row>
    <row r="13" spans="1:8" x14ac:dyDescent="0.15">
      <c r="A13" s="107">
        <v>1132</v>
      </c>
      <c r="B13" s="141" t="str">
        <f>VLOOKUP(A13,[1]characters!$A:$C,3,FALSE)</f>
        <v>偏執なる狂騒君 董卓</v>
      </c>
      <c r="C13" s="107" t="s">
        <v>195</v>
      </c>
      <c r="D13" s="141" t="str">
        <f t="shared" si="4"/>
        <v>1132skill</v>
      </c>
      <c r="E13" s="141" t="str">
        <f>A13&amp;+(COUNTIF(A13:A$86,A13)-1)</f>
        <v>11324</v>
      </c>
      <c r="F13" s="107" t="s">
        <v>186</v>
      </c>
      <c r="G13" s="107" t="s">
        <v>403</v>
      </c>
      <c r="H13" s="193" t="s">
        <v>365</v>
      </c>
    </row>
    <row r="14" spans="1:8" x14ac:dyDescent="0.15">
      <c r="A14" s="107">
        <v>1132</v>
      </c>
      <c r="B14" s="141" t="str">
        <f>VLOOKUP(A14,[1]characters!$A:$C,3,FALSE)</f>
        <v>偏執なる狂騒君 董卓</v>
      </c>
      <c r="C14" s="107" t="s">
        <v>198</v>
      </c>
      <c r="D14" s="141" t="str">
        <f t="shared" si="0"/>
        <v>1132cskill</v>
      </c>
      <c r="E14" s="141" t="str">
        <f>A14&amp;+(COUNTIF(A14:A$86,A14)-1)</f>
        <v>11323</v>
      </c>
      <c r="F14" s="107" t="s">
        <v>197</v>
      </c>
      <c r="G14" s="107" t="s">
        <v>196</v>
      </c>
      <c r="H14" s="193" t="s">
        <v>343</v>
      </c>
    </row>
    <row r="15" spans="1:8" x14ac:dyDescent="0.15">
      <c r="A15" s="107">
        <v>1132</v>
      </c>
      <c r="B15" s="141" t="str">
        <f>VLOOKUP(A15,[1]characters!$A:$C,3,FALSE)</f>
        <v>偏執なる狂騒君 董卓</v>
      </c>
      <c r="C15" s="107" t="s">
        <v>198</v>
      </c>
      <c r="D15" s="141" t="str">
        <f t="shared" ref="D15" si="6">A15&amp;C15</f>
        <v>1132cskill</v>
      </c>
      <c r="E15" s="141" t="str">
        <f>A15&amp;+(COUNTIF(A15:A$86,A15)-1)</f>
        <v>11322</v>
      </c>
      <c r="F15" s="107" t="s">
        <v>186</v>
      </c>
      <c r="G15" s="107" t="s">
        <v>196</v>
      </c>
      <c r="H15" s="193" t="s">
        <v>344</v>
      </c>
    </row>
    <row r="16" spans="1:8" x14ac:dyDescent="0.15">
      <c r="A16" s="107">
        <v>1132</v>
      </c>
      <c r="B16" s="141" t="str">
        <f>VLOOKUP(A16,[1]characters!$A:$C,3,FALSE)</f>
        <v>偏執なる狂騒君 董卓</v>
      </c>
      <c r="C16" s="107" t="s">
        <v>198</v>
      </c>
      <c r="D16" s="141" t="str">
        <f t="shared" si="0"/>
        <v>1132cskill</v>
      </c>
      <c r="E16" s="141" t="str">
        <f>A16&amp;+(COUNTIF(A16:A$86,A16)-1)</f>
        <v>11321</v>
      </c>
      <c r="F16" s="107" t="s">
        <v>186</v>
      </c>
      <c r="G16" s="107" t="s">
        <v>196</v>
      </c>
      <c r="H16" s="193" t="s">
        <v>341</v>
      </c>
    </row>
    <row r="17" spans="1:8" x14ac:dyDescent="0.15">
      <c r="A17" s="107">
        <v>1132</v>
      </c>
      <c r="B17" s="141" t="str">
        <f>VLOOKUP(A17,[1]characters!$A:$C,3,FALSE)</f>
        <v>偏執なる狂騒君 董卓</v>
      </c>
      <c r="C17" s="107" t="s">
        <v>198</v>
      </c>
      <c r="D17" s="141" t="str">
        <f t="shared" ref="D17" si="7">A17&amp;C17</f>
        <v>1132cskill</v>
      </c>
      <c r="E17" s="141" t="str">
        <f>A17&amp;+(COUNTIF(A17:A$86,A17)-1)</f>
        <v>11320</v>
      </c>
      <c r="F17" s="107" t="s">
        <v>186</v>
      </c>
      <c r="G17" s="107" t="s">
        <v>196</v>
      </c>
      <c r="H17" s="193" t="s">
        <v>345</v>
      </c>
    </row>
    <row r="18" spans="1:8" x14ac:dyDescent="0.15">
      <c r="A18" s="107">
        <v>1133</v>
      </c>
      <c r="B18" s="141" t="str">
        <f>VLOOKUP(A18,[1]characters!$A:$C,3,FALSE)</f>
        <v>貂蝉</v>
      </c>
      <c r="C18" s="107" t="s">
        <v>195</v>
      </c>
      <c r="D18" s="141" t="str">
        <f t="shared" si="0"/>
        <v>1133skill</v>
      </c>
      <c r="E18" s="141" t="str">
        <f>A18&amp;+(COUNTIF(A18:A$86,A18)-1)</f>
        <v>11333</v>
      </c>
      <c r="F18" s="107" t="s">
        <v>197</v>
      </c>
      <c r="G18" s="107" t="s">
        <v>334</v>
      </c>
      <c r="H18" s="193" t="s">
        <v>366</v>
      </c>
    </row>
    <row r="19" spans="1:8" x14ac:dyDescent="0.15">
      <c r="A19" s="107">
        <v>1133</v>
      </c>
      <c r="B19" s="141" t="str">
        <f>VLOOKUP(A19,[1]characters!$A:$C,3,FALSE)</f>
        <v>貂蝉</v>
      </c>
      <c r="C19" s="107" t="s">
        <v>198</v>
      </c>
      <c r="D19" s="141" t="str">
        <f t="shared" si="0"/>
        <v>1133cskill</v>
      </c>
      <c r="E19" s="141" t="str">
        <f>A19&amp;+(COUNTIF(A19:A$86,A19)-1)</f>
        <v>11332</v>
      </c>
      <c r="F19" s="107" t="s">
        <v>186</v>
      </c>
      <c r="G19" s="107" t="s">
        <v>196</v>
      </c>
      <c r="H19" s="193" t="s">
        <v>346</v>
      </c>
    </row>
    <row r="20" spans="1:8" x14ac:dyDescent="0.15">
      <c r="A20" s="107">
        <v>1133</v>
      </c>
      <c r="B20" s="141" t="str">
        <f>VLOOKUP(A20,[1]characters!$A:$C,3,FALSE)</f>
        <v>貂蝉</v>
      </c>
      <c r="C20" s="107" t="s">
        <v>198</v>
      </c>
      <c r="D20" s="141" t="str">
        <f t="shared" si="0"/>
        <v>1133cskill</v>
      </c>
      <c r="E20" s="141" t="str">
        <f>A20&amp;+(COUNTIF(A20:A$86,A20)-1)</f>
        <v>11331</v>
      </c>
      <c r="F20" s="107" t="s">
        <v>186</v>
      </c>
      <c r="G20" s="107" t="s">
        <v>196</v>
      </c>
      <c r="H20" s="193" t="s">
        <v>347</v>
      </c>
    </row>
    <row r="21" spans="1:8" x14ac:dyDescent="0.15">
      <c r="A21" s="107">
        <v>1133</v>
      </c>
      <c r="B21" s="141" t="str">
        <f>VLOOKUP(A21,[1]characters!$A:$C,3,FALSE)</f>
        <v>貂蝉</v>
      </c>
      <c r="C21" s="107" t="s">
        <v>198</v>
      </c>
      <c r="D21" s="141" t="str">
        <f t="shared" ref="D21:D24" si="8">A21&amp;C21</f>
        <v>1133cskill</v>
      </c>
      <c r="E21" s="141" t="str">
        <f>A21&amp;+(COUNTIF(A21:A$86,A21)-1)</f>
        <v>11330</v>
      </c>
      <c r="F21" s="107" t="s">
        <v>186</v>
      </c>
      <c r="G21" s="107" t="s">
        <v>196</v>
      </c>
      <c r="H21" s="193" t="s">
        <v>348</v>
      </c>
    </row>
    <row r="22" spans="1:8" x14ac:dyDescent="0.15">
      <c r="A22" s="107">
        <v>1134</v>
      </c>
      <c r="B22" s="141" t="str">
        <f>VLOOKUP(A22,[1]characters!$A:$C,3,FALSE)</f>
        <v>月隠れの美麗酔 貂蝉</v>
      </c>
      <c r="C22" s="107" t="s">
        <v>195</v>
      </c>
      <c r="D22" s="141" t="str">
        <f t="shared" si="8"/>
        <v>1134skill</v>
      </c>
      <c r="E22" s="141" t="str">
        <f>A22&amp;+(COUNTIF(A22:A$86,A22)-1)</f>
        <v>11344</v>
      </c>
      <c r="F22" s="107" t="s">
        <v>186</v>
      </c>
      <c r="G22" s="107" t="s">
        <v>196</v>
      </c>
      <c r="H22" s="193" t="s">
        <v>367</v>
      </c>
    </row>
    <row r="23" spans="1:8" x14ac:dyDescent="0.15">
      <c r="A23" s="107">
        <v>1134</v>
      </c>
      <c r="B23" s="141" t="str">
        <f>VLOOKUP(A23,[1]characters!$A:$C,3,FALSE)</f>
        <v>月隠れの美麗酔 貂蝉</v>
      </c>
      <c r="C23" s="107" t="s">
        <v>198</v>
      </c>
      <c r="D23" s="141" t="str">
        <f t="shared" si="8"/>
        <v>1134cskill</v>
      </c>
      <c r="E23" s="141" t="str">
        <f>A23&amp;+(COUNTIF(A23:A$86,A23)-1)</f>
        <v>11343</v>
      </c>
      <c r="F23" s="107" t="s">
        <v>186</v>
      </c>
      <c r="G23" s="107" t="s">
        <v>196</v>
      </c>
      <c r="H23" s="193" t="s">
        <v>346</v>
      </c>
    </row>
    <row r="24" spans="1:8" x14ac:dyDescent="0.15">
      <c r="A24" s="107">
        <v>1134</v>
      </c>
      <c r="B24" s="141" t="str">
        <f>VLOOKUP(A24,[1]characters!$A:$C,3,FALSE)</f>
        <v>月隠れの美麗酔 貂蝉</v>
      </c>
      <c r="C24" s="107" t="s">
        <v>198</v>
      </c>
      <c r="D24" s="141" t="str">
        <f t="shared" si="8"/>
        <v>1134cskill</v>
      </c>
      <c r="E24" s="141" t="str">
        <f>A24&amp;+(COUNTIF(A24:A$86,A24)-1)</f>
        <v>11342</v>
      </c>
      <c r="F24" s="107" t="s">
        <v>186</v>
      </c>
      <c r="G24" s="107" t="s">
        <v>196</v>
      </c>
      <c r="H24" s="193" t="s">
        <v>347</v>
      </c>
    </row>
    <row r="25" spans="1:8" x14ac:dyDescent="0.15">
      <c r="A25" s="107">
        <v>1134</v>
      </c>
      <c r="B25" s="141" t="str">
        <f>VLOOKUP(A25,[1]characters!$A:$C,3,FALSE)</f>
        <v>月隠れの美麗酔 貂蝉</v>
      </c>
      <c r="C25" s="107" t="s">
        <v>198</v>
      </c>
      <c r="D25" s="141" t="str">
        <f t="shared" si="0"/>
        <v>1134cskill</v>
      </c>
      <c r="E25" s="141" t="str">
        <f>A25&amp;+(COUNTIF(A25:A$86,A25)-1)</f>
        <v>11341</v>
      </c>
      <c r="F25" s="107" t="s">
        <v>197</v>
      </c>
      <c r="G25" s="107" t="s">
        <v>196</v>
      </c>
      <c r="H25" s="193" t="s">
        <v>348</v>
      </c>
    </row>
    <row r="26" spans="1:8" x14ac:dyDescent="0.15">
      <c r="A26" s="107">
        <v>1134</v>
      </c>
      <c r="B26" s="141" t="str">
        <f>VLOOKUP(A26,[1]characters!$A:$C,3,FALSE)</f>
        <v>月隠れの美麗酔 貂蝉</v>
      </c>
      <c r="C26" s="107" t="s">
        <v>198</v>
      </c>
      <c r="D26" s="141" t="str">
        <f t="shared" ref="D26" si="9">A26&amp;C26</f>
        <v>1134cskill</v>
      </c>
      <c r="E26" s="141" t="str">
        <f>A26&amp;+(COUNTIF(A26:A$86,A26)-1)</f>
        <v>11340</v>
      </c>
      <c r="F26" s="107" t="s">
        <v>186</v>
      </c>
      <c r="G26" s="107" t="s">
        <v>403</v>
      </c>
      <c r="H26" s="193" t="s">
        <v>349</v>
      </c>
    </row>
    <row r="27" spans="1:8" x14ac:dyDescent="0.15">
      <c r="A27" s="107">
        <v>1135</v>
      </c>
      <c r="B27" s="141" t="str">
        <f>VLOOKUP(A27,[1]characters!$A:$C,3,FALSE)</f>
        <v>呂布</v>
      </c>
      <c r="C27" s="107" t="s">
        <v>195</v>
      </c>
      <c r="D27" s="141" t="str">
        <f t="shared" si="0"/>
        <v>1135skill</v>
      </c>
      <c r="E27" s="141" t="str">
        <f>A27&amp;+(COUNTIF(A27:A$86,A27)-1)</f>
        <v>11353</v>
      </c>
      <c r="F27" s="107" t="s">
        <v>197</v>
      </c>
      <c r="G27" s="107" t="s">
        <v>445</v>
      </c>
      <c r="H27" s="107" t="s">
        <v>442</v>
      </c>
    </row>
    <row r="28" spans="1:8" x14ac:dyDescent="0.15">
      <c r="A28" s="107">
        <v>1135</v>
      </c>
      <c r="B28" s="141" t="str">
        <f>VLOOKUP(A28,[1]characters!$A:$C,3,FALSE)</f>
        <v>呂布</v>
      </c>
      <c r="C28" s="107" t="s">
        <v>198</v>
      </c>
      <c r="D28" s="141" t="str">
        <f t="shared" ref="D28:D29" si="10">A28&amp;C28</f>
        <v>1135cskill</v>
      </c>
      <c r="E28" s="141" t="str">
        <f>A28&amp;+(COUNTIF(A28:A$86,A28)-1)</f>
        <v>11352</v>
      </c>
      <c r="F28" s="107" t="s">
        <v>197</v>
      </c>
      <c r="G28" s="107" t="s">
        <v>445</v>
      </c>
      <c r="H28" s="107" t="s">
        <v>439</v>
      </c>
    </row>
    <row r="29" spans="1:8" x14ac:dyDescent="0.15">
      <c r="A29" s="107">
        <v>1135</v>
      </c>
      <c r="B29" s="141" t="str">
        <f>VLOOKUP(A29,[1]characters!$A:$C,3,FALSE)</f>
        <v>呂布</v>
      </c>
      <c r="C29" s="107" t="s">
        <v>198</v>
      </c>
      <c r="D29" s="141" t="str">
        <f t="shared" si="10"/>
        <v>1135cskill</v>
      </c>
      <c r="E29" s="141" t="str">
        <f>A29&amp;+(COUNTIF(A29:A$86,A29)-1)</f>
        <v>11351</v>
      </c>
      <c r="F29" s="107" t="s">
        <v>197</v>
      </c>
      <c r="G29" s="107" t="s">
        <v>196</v>
      </c>
      <c r="H29" s="107" t="s">
        <v>440</v>
      </c>
    </row>
    <row r="30" spans="1:8" x14ac:dyDescent="0.15">
      <c r="A30" s="107">
        <v>1135</v>
      </c>
      <c r="B30" s="141" t="str">
        <f>VLOOKUP(A30,[1]characters!$A:$C,3,FALSE)</f>
        <v>呂布</v>
      </c>
      <c r="C30" s="107" t="s">
        <v>198</v>
      </c>
      <c r="D30" s="141" t="str">
        <f t="shared" si="0"/>
        <v>1135cskill</v>
      </c>
      <c r="E30" s="141" t="str">
        <f>A30&amp;+(COUNTIF(A30:A$86,A30)-1)</f>
        <v>11350</v>
      </c>
      <c r="F30" s="107" t="s">
        <v>197</v>
      </c>
      <c r="G30" s="107" t="s">
        <v>196</v>
      </c>
      <c r="H30" s="107" t="s">
        <v>441</v>
      </c>
    </row>
    <row r="31" spans="1:8" x14ac:dyDescent="0.15">
      <c r="A31" s="107">
        <v>1136</v>
      </c>
      <c r="B31" s="141" t="str">
        <f>VLOOKUP(A31,[1]characters!$A:$C,3,FALSE)</f>
        <v>豪拳烈創の激将 呂布</v>
      </c>
      <c r="C31" s="107" t="s">
        <v>195</v>
      </c>
      <c r="D31" s="141" t="str">
        <f t="shared" ref="D31:D34" si="11">A31&amp;C31</f>
        <v>1136skill</v>
      </c>
      <c r="E31" s="141" t="str">
        <f>A31&amp;+(COUNTIF(A31:A$86,A31)-1)</f>
        <v>11364</v>
      </c>
      <c r="F31" s="107" t="s">
        <v>197</v>
      </c>
      <c r="G31" s="107" t="s">
        <v>445</v>
      </c>
      <c r="H31" s="107" t="s">
        <v>444</v>
      </c>
    </row>
    <row r="32" spans="1:8" x14ac:dyDescent="0.15">
      <c r="A32" s="107">
        <v>1136</v>
      </c>
      <c r="B32" s="141" t="str">
        <f>VLOOKUP(A32,[1]characters!$A:$C,3,FALSE)</f>
        <v>豪拳烈創の激将 呂布</v>
      </c>
      <c r="C32" s="107" t="s">
        <v>198</v>
      </c>
      <c r="D32" s="141" t="str">
        <f t="shared" si="11"/>
        <v>1136cskill</v>
      </c>
      <c r="E32" s="141" t="str">
        <f>A32&amp;+(COUNTIF(A32:A$86,A32)-1)</f>
        <v>11363</v>
      </c>
      <c r="F32" s="107" t="s">
        <v>197</v>
      </c>
      <c r="G32" s="107" t="s">
        <v>445</v>
      </c>
      <c r="H32" s="107" t="s">
        <v>439</v>
      </c>
    </row>
    <row r="33" spans="1:8" x14ac:dyDescent="0.15">
      <c r="A33" s="107">
        <v>1136</v>
      </c>
      <c r="B33" s="141" t="str">
        <f>VLOOKUP(A33,[1]characters!$A:$C,3,FALSE)</f>
        <v>豪拳烈創の激将 呂布</v>
      </c>
      <c r="C33" s="107" t="s">
        <v>198</v>
      </c>
      <c r="D33" s="141" t="str">
        <f t="shared" ref="D33" si="12">A33&amp;C33</f>
        <v>1136cskill</v>
      </c>
      <c r="E33" s="141" t="str">
        <f>A33&amp;+(COUNTIF(A33:A$86,A33)-1)</f>
        <v>11362</v>
      </c>
      <c r="F33" s="107" t="s">
        <v>197</v>
      </c>
      <c r="G33" s="107" t="s">
        <v>196</v>
      </c>
      <c r="H33" s="107" t="s">
        <v>440</v>
      </c>
    </row>
    <row r="34" spans="1:8" x14ac:dyDescent="0.15">
      <c r="A34" s="107">
        <v>1136</v>
      </c>
      <c r="B34" s="141" t="str">
        <f>VLOOKUP(A34,[1]characters!$A:$C,3,FALSE)</f>
        <v>豪拳烈創の激将 呂布</v>
      </c>
      <c r="C34" s="107" t="s">
        <v>198</v>
      </c>
      <c r="D34" s="141" t="str">
        <f t="shared" si="11"/>
        <v>1136cskill</v>
      </c>
      <c r="E34" s="141" t="str">
        <f>A34&amp;+(COUNTIF(A34:A$86,A34)-1)</f>
        <v>11361</v>
      </c>
      <c r="F34" s="107" t="s">
        <v>197</v>
      </c>
      <c r="G34" s="107" t="s">
        <v>196</v>
      </c>
      <c r="H34" s="107" t="s">
        <v>441</v>
      </c>
    </row>
    <row r="35" spans="1:8" x14ac:dyDescent="0.15">
      <c r="A35" s="107">
        <v>1136</v>
      </c>
      <c r="B35" s="141" t="str">
        <f>VLOOKUP(A35,[1]characters!$A:$C,3,FALSE)</f>
        <v>豪拳烈創の激将 呂布</v>
      </c>
      <c r="C35" s="107" t="s">
        <v>198</v>
      </c>
      <c r="D35" s="141" t="str">
        <f t="shared" si="0"/>
        <v>1136cskill</v>
      </c>
      <c r="E35" s="141" t="str">
        <f>A35&amp;+(COUNTIF(A35:A$86,A35)-1)</f>
        <v>11360</v>
      </c>
      <c r="F35" s="107" t="s">
        <v>197</v>
      </c>
      <c r="G35" s="107" t="s">
        <v>445</v>
      </c>
      <c r="H35" s="107" t="s">
        <v>443</v>
      </c>
    </row>
    <row r="36" spans="1:8" x14ac:dyDescent="0.15">
      <c r="A36" s="107">
        <v>1137</v>
      </c>
      <c r="B36" s="141" t="str">
        <f>VLOOKUP(A36,[1]characters!$A:$C,3,FALSE)</f>
        <v>諸葛亮</v>
      </c>
      <c r="C36" s="107" t="s">
        <v>195</v>
      </c>
      <c r="D36" s="141" t="str">
        <f t="shared" si="0"/>
        <v>1137skill</v>
      </c>
      <c r="E36" s="141" t="str">
        <f>A36&amp;+(COUNTIF(A36:A$86,A36)-1)</f>
        <v>11373</v>
      </c>
      <c r="F36" s="107" t="s">
        <v>197</v>
      </c>
      <c r="G36" s="107" t="s">
        <v>196</v>
      </c>
      <c r="H36" s="193" t="s">
        <v>370</v>
      </c>
    </row>
    <row r="37" spans="1:8" x14ac:dyDescent="0.15">
      <c r="A37" s="107">
        <v>1137</v>
      </c>
      <c r="B37" s="141" t="str">
        <f>VLOOKUP(A37,[1]characters!$A:$C,3,FALSE)</f>
        <v>諸葛亮</v>
      </c>
      <c r="C37" s="107" t="s">
        <v>198</v>
      </c>
      <c r="D37" s="141" t="str">
        <f t="shared" si="0"/>
        <v>1137cskill</v>
      </c>
      <c r="E37" s="141" t="str">
        <f>A37&amp;+(COUNTIF(A37:A$86,A37)-1)</f>
        <v>11372</v>
      </c>
      <c r="F37" s="107" t="s">
        <v>186</v>
      </c>
      <c r="G37" s="107" t="s">
        <v>403</v>
      </c>
      <c r="H37" s="193" t="s">
        <v>358</v>
      </c>
    </row>
    <row r="38" spans="1:8" x14ac:dyDescent="0.15">
      <c r="A38" s="107">
        <v>1137</v>
      </c>
      <c r="B38" s="141" t="str">
        <f>VLOOKUP(A38,[1]characters!$A:$C,3,FALSE)</f>
        <v>諸葛亮</v>
      </c>
      <c r="C38" s="107" t="s">
        <v>198</v>
      </c>
      <c r="D38" s="141" t="str">
        <f t="shared" si="0"/>
        <v>1137cskill</v>
      </c>
      <c r="E38" s="141" t="str">
        <f>A38&amp;+(COUNTIF(A38:A$86,A38)-1)</f>
        <v>11371</v>
      </c>
      <c r="F38" s="107" t="s">
        <v>186</v>
      </c>
      <c r="G38" s="107" t="s">
        <v>196</v>
      </c>
      <c r="H38" s="193" t="s">
        <v>359</v>
      </c>
    </row>
    <row r="39" spans="1:8" x14ac:dyDescent="0.15">
      <c r="A39" s="107">
        <v>1137</v>
      </c>
      <c r="B39" s="141" t="str">
        <f>VLOOKUP(A39,[1]characters!$A:$C,3,FALSE)</f>
        <v>諸葛亮</v>
      </c>
      <c r="C39" s="107" t="s">
        <v>198</v>
      </c>
      <c r="D39" s="141" t="str">
        <f t="shared" ref="D39:D41" si="13">A39&amp;C39</f>
        <v>1137cskill</v>
      </c>
      <c r="E39" s="141" t="str">
        <f>A39&amp;+(COUNTIF(A39:A$86,A39)-1)</f>
        <v>11370</v>
      </c>
      <c r="F39" s="107" t="s">
        <v>186</v>
      </c>
      <c r="G39" s="107" t="s">
        <v>196</v>
      </c>
      <c r="H39" s="193" t="s">
        <v>360</v>
      </c>
    </row>
    <row r="40" spans="1:8" x14ac:dyDescent="0.15">
      <c r="A40" s="107">
        <v>1138</v>
      </c>
      <c r="B40" s="141" t="str">
        <f>VLOOKUP(A40,[1]characters!$A:$C,3,FALSE)</f>
        <v>神算鬼謀の宰相 諸葛亮</v>
      </c>
      <c r="C40" s="107" t="s">
        <v>195</v>
      </c>
      <c r="D40" s="141" t="str">
        <f t="shared" si="13"/>
        <v>1138skill</v>
      </c>
      <c r="E40" s="141" t="str">
        <f>A40&amp;+(COUNTIF(A40:A$86,A40)-1)</f>
        <v>11384</v>
      </c>
      <c r="F40" s="107" t="s">
        <v>186</v>
      </c>
      <c r="G40" s="107" t="s">
        <v>196</v>
      </c>
      <c r="H40" s="193" t="s">
        <v>371</v>
      </c>
    </row>
    <row r="41" spans="1:8" x14ac:dyDescent="0.15">
      <c r="A41" s="107">
        <v>1138</v>
      </c>
      <c r="B41" s="141" t="str">
        <f>VLOOKUP(A41,[1]characters!$A:$C,3,FALSE)</f>
        <v>神算鬼謀の宰相 諸葛亮</v>
      </c>
      <c r="C41" s="107" t="s">
        <v>198</v>
      </c>
      <c r="D41" s="141" t="str">
        <f t="shared" si="13"/>
        <v>1138cskill</v>
      </c>
      <c r="E41" s="141" t="str">
        <f>A41&amp;+(COUNTIF(A41:A$86,A41)-1)</f>
        <v>11383</v>
      </c>
      <c r="F41" s="107" t="s">
        <v>186</v>
      </c>
      <c r="G41" s="107" t="s">
        <v>403</v>
      </c>
      <c r="H41" s="193" t="s">
        <v>358</v>
      </c>
    </row>
    <row r="42" spans="1:8" x14ac:dyDescent="0.15">
      <c r="A42" s="107">
        <v>1138</v>
      </c>
      <c r="B42" s="141" t="str">
        <f>VLOOKUP(A42,[1]characters!$A:$C,3,FALSE)</f>
        <v>神算鬼謀の宰相 諸葛亮</v>
      </c>
      <c r="C42" s="107" t="s">
        <v>198</v>
      </c>
      <c r="D42" s="141" t="str">
        <f t="shared" si="0"/>
        <v>1138cskill</v>
      </c>
      <c r="E42" s="141" t="str">
        <f>A42&amp;+(COUNTIF(A42:A$86,A42)-1)</f>
        <v>11382</v>
      </c>
      <c r="F42" s="107" t="s">
        <v>186</v>
      </c>
      <c r="G42" s="107" t="s">
        <v>196</v>
      </c>
      <c r="H42" s="193" t="s">
        <v>359</v>
      </c>
    </row>
    <row r="43" spans="1:8" x14ac:dyDescent="0.15">
      <c r="A43" s="107">
        <v>1138</v>
      </c>
      <c r="B43" s="141" t="str">
        <f>VLOOKUP(A43,[1]characters!$A:$C,3,FALSE)</f>
        <v>神算鬼謀の宰相 諸葛亮</v>
      </c>
      <c r="C43" s="107" t="s">
        <v>198</v>
      </c>
      <c r="D43" s="141" t="str">
        <f t="shared" si="0"/>
        <v>1138cskill</v>
      </c>
      <c r="E43" s="141" t="str">
        <f>A43&amp;+(COUNTIF(A43:A$86,A43)-1)</f>
        <v>11381</v>
      </c>
      <c r="F43" s="107" t="s">
        <v>186</v>
      </c>
      <c r="G43" s="107" t="s">
        <v>196</v>
      </c>
      <c r="H43" s="193" t="s">
        <v>360</v>
      </c>
    </row>
    <row r="44" spans="1:8" x14ac:dyDescent="0.15">
      <c r="A44" s="107">
        <v>1138</v>
      </c>
      <c r="B44" s="141" t="str">
        <f>VLOOKUP(A44,[1]characters!$A:$C,3,FALSE)</f>
        <v>神算鬼謀の宰相 諸葛亮</v>
      </c>
      <c r="C44" s="107" t="s">
        <v>198</v>
      </c>
      <c r="D44" s="141" t="str">
        <f t="shared" ref="D44" si="14">A44&amp;C44</f>
        <v>1138cskill</v>
      </c>
      <c r="E44" s="141" t="str">
        <f>A44&amp;+(COUNTIF(A44:A$86,A44)-1)</f>
        <v>11380</v>
      </c>
      <c r="F44" s="107" t="s">
        <v>186</v>
      </c>
      <c r="G44" s="107" t="s">
        <v>196</v>
      </c>
      <c r="H44" s="193" t="s">
        <v>361</v>
      </c>
    </row>
    <row r="45" spans="1:8" x14ac:dyDescent="0.15">
      <c r="A45" s="107">
        <v>1139</v>
      </c>
      <c r="B45" s="141" t="str">
        <f>VLOOKUP(A45,[1]characters!$A:$C,3,FALSE)</f>
        <v>趙雲</v>
      </c>
      <c r="C45" s="107" t="s">
        <v>195</v>
      </c>
      <c r="D45" s="141" t="str">
        <f t="shared" si="0"/>
        <v>1139skill</v>
      </c>
      <c r="E45" s="141" t="str">
        <f>A45&amp;+(COUNTIF(A45:A$86,A45)-1)</f>
        <v>11393</v>
      </c>
      <c r="F45" s="107" t="s">
        <v>197</v>
      </c>
      <c r="G45" s="107" t="s">
        <v>196</v>
      </c>
      <c r="H45" s="193" t="s">
        <v>372</v>
      </c>
    </row>
    <row r="46" spans="1:8" x14ac:dyDescent="0.15">
      <c r="A46" s="107">
        <v>1139</v>
      </c>
      <c r="B46" s="141" t="str">
        <f>VLOOKUP(A46,[1]characters!$A:$C,3,FALSE)</f>
        <v>趙雲</v>
      </c>
      <c r="C46" s="107" t="s">
        <v>198</v>
      </c>
      <c r="D46" s="141" t="str">
        <f t="shared" ref="D46:D47" si="15">A46&amp;C46</f>
        <v>1139cskill</v>
      </c>
      <c r="E46" s="141" t="str">
        <f>A46&amp;+(COUNTIF(A46:A$86,A46)-1)</f>
        <v>11392</v>
      </c>
      <c r="F46" s="107" t="s">
        <v>186</v>
      </c>
      <c r="G46" s="107" t="s">
        <v>403</v>
      </c>
      <c r="H46" s="193" t="s">
        <v>354</v>
      </c>
    </row>
    <row r="47" spans="1:8" x14ac:dyDescent="0.15">
      <c r="A47" s="107">
        <v>1139</v>
      </c>
      <c r="B47" s="141" t="str">
        <f>VLOOKUP(A47,[1]characters!$A:$C,3,FALSE)</f>
        <v>趙雲</v>
      </c>
      <c r="C47" s="107" t="s">
        <v>198</v>
      </c>
      <c r="D47" s="141" t="str">
        <f t="shared" si="15"/>
        <v>1139cskill</v>
      </c>
      <c r="E47" s="141" t="str">
        <f>A47&amp;+(COUNTIF(A47:A$86,A47)-1)</f>
        <v>11391</v>
      </c>
      <c r="F47" s="107" t="s">
        <v>186</v>
      </c>
      <c r="G47" s="107" t="s">
        <v>196</v>
      </c>
      <c r="H47" s="193" t="s">
        <v>355</v>
      </c>
    </row>
    <row r="48" spans="1:8" x14ac:dyDescent="0.15">
      <c r="A48" s="107">
        <v>1139</v>
      </c>
      <c r="B48" s="141" t="str">
        <f>VLOOKUP(A48,[1]characters!$A:$C,3,FALSE)</f>
        <v>趙雲</v>
      </c>
      <c r="C48" s="107" t="s">
        <v>198</v>
      </c>
      <c r="D48" s="141" t="str">
        <f t="shared" si="0"/>
        <v>1139cskill</v>
      </c>
      <c r="E48" s="141" t="str">
        <f>A48&amp;+(COUNTIF(A48:A$86,A48)-1)</f>
        <v>11390</v>
      </c>
      <c r="F48" s="107" t="s">
        <v>197</v>
      </c>
      <c r="G48" s="107" t="s">
        <v>403</v>
      </c>
      <c r="H48" s="193" t="s">
        <v>356</v>
      </c>
    </row>
    <row r="49" spans="1:8" x14ac:dyDescent="0.15">
      <c r="A49" s="107">
        <v>1140</v>
      </c>
      <c r="B49" s="141" t="str">
        <f>VLOOKUP(A49,[1]characters!$A:$C,3,FALSE)</f>
        <v>綱紀粛正の傑璧 趙雲</v>
      </c>
      <c r="C49" s="107" t="s">
        <v>195</v>
      </c>
      <c r="D49" s="141" t="str">
        <f t="shared" ref="D49:D52" si="16">A49&amp;C49</f>
        <v>1140skill</v>
      </c>
      <c r="E49" s="141" t="str">
        <f>A49&amp;+(COUNTIF(A49:A$86,A49)-1)</f>
        <v>11404</v>
      </c>
      <c r="F49" s="107" t="s">
        <v>186</v>
      </c>
      <c r="G49" s="107" t="s">
        <v>403</v>
      </c>
      <c r="H49" s="193" t="s">
        <v>373</v>
      </c>
    </row>
    <row r="50" spans="1:8" x14ac:dyDescent="0.15">
      <c r="A50" s="107">
        <v>1140</v>
      </c>
      <c r="B50" s="141" t="str">
        <f>VLOOKUP(A50,[1]characters!$A:$C,3,FALSE)</f>
        <v>綱紀粛正の傑璧 趙雲</v>
      </c>
      <c r="C50" s="107" t="s">
        <v>198</v>
      </c>
      <c r="D50" s="141" t="str">
        <f t="shared" si="16"/>
        <v>1140cskill</v>
      </c>
      <c r="E50" s="141" t="str">
        <f>A50&amp;+(COUNTIF(A50:A$86,A50)-1)</f>
        <v>11403</v>
      </c>
      <c r="F50" s="107" t="s">
        <v>186</v>
      </c>
      <c r="G50" s="107" t="s">
        <v>403</v>
      </c>
      <c r="H50" s="193" t="s">
        <v>354</v>
      </c>
    </row>
    <row r="51" spans="1:8" x14ac:dyDescent="0.15">
      <c r="A51" s="107">
        <v>1140</v>
      </c>
      <c r="B51" s="141" t="str">
        <f>VLOOKUP(A51,[1]characters!$A:$C,3,FALSE)</f>
        <v>綱紀粛正の傑璧 趙雲</v>
      </c>
      <c r="C51" s="107" t="s">
        <v>198</v>
      </c>
      <c r="D51" s="141" t="str">
        <f t="shared" si="16"/>
        <v>1140cskill</v>
      </c>
      <c r="E51" s="141" t="str">
        <f>A51&amp;+(COUNTIF(A51:A$86,A51)-1)</f>
        <v>11402</v>
      </c>
      <c r="F51" s="107" t="s">
        <v>186</v>
      </c>
      <c r="G51" s="107" t="s">
        <v>196</v>
      </c>
      <c r="H51" s="193" t="s">
        <v>355</v>
      </c>
    </row>
    <row r="52" spans="1:8" x14ac:dyDescent="0.15">
      <c r="A52" s="107">
        <v>1140</v>
      </c>
      <c r="B52" s="141" t="str">
        <f>VLOOKUP(A52,[1]characters!$A:$C,3,FALSE)</f>
        <v>綱紀粛正の傑璧 趙雲</v>
      </c>
      <c r="C52" s="107" t="s">
        <v>198</v>
      </c>
      <c r="D52" s="141" t="str">
        <f t="shared" si="16"/>
        <v>1140cskill</v>
      </c>
      <c r="E52" s="141" t="str">
        <f>A52&amp;+(COUNTIF(A52:A$86,A52)-1)</f>
        <v>11401</v>
      </c>
      <c r="F52" s="107" t="s">
        <v>186</v>
      </c>
      <c r="G52" s="107" t="s">
        <v>403</v>
      </c>
      <c r="H52" s="193" t="s">
        <v>356</v>
      </c>
    </row>
    <row r="53" spans="1:8" x14ac:dyDescent="0.15">
      <c r="A53" s="107">
        <v>1140</v>
      </c>
      <c r="B53" s="141" t="str">
        <f>VLOOKUP(A53,[1]characters!$A:$C,3,FALSE)</f>
        <v>綱紀粛正の傑璧 趙雲</v>
      </c>
      <c r="C53" s="107" t="s">
        <v>198</v>
      </c>
      <c r="D53" s="141" t="str">
        <f t="shared" ref="D53" si="17">A53&amp;C53</f>
        <v>1140cskill</v>
      </c>
      <c r="E53" s="141" t="str">
        <f>A53&amp;+(COUNTIF(A53:A$86,A53)-1)</f>
        <v>11400</v>
      </c>
      <c r="F53" s="107" t="s">
        <v>186</v>
      </c>
      <c r="G53" s="107" t="s">
        <v>196</v>
      </c>
      <c r="H53" s="193" t="s">
        <v>357</v>
      </c>
    </row>
    <row r="54" spans="1:8" x14ac:dyDescent="0.15">
      <c r="A54" s="107">
        <v>1141</v>
      </c>
      <c r="B54" s="141" t="str">
        <f>VLOOKUP(A54,[1]characters!$A:$C,3,FALSE)</f>
        <v>月英</v>
      </c>
      <c r="C54" s="107" t="s">
        <v>195</v>
      </c>
      <c r="D54" s="141" t="str">
        <f t="shared" si="0"/>
        <v>1141skill</v>
      </c>
      <c r="E54" s="141" t="str">
        <f>A54&amp;+(COUNTIF(A54:A$86,A54)-1)</f>
        <v>11413</v>
      </c>
      <c r="F54" s="107" t="s">
        <v>197</v>
      </c>
      <c r="G54" s="107" t="s">
        <v>403</v>
      </c>
      <c r="H54" s="107" t="s">
        <v>416</v>
      </c>
    </row>
    <row r="55" spans="1:8" x14ac:dyDescent="0.15">
      <c r="A55" s="107">
        <v>1141</v>
      </c>
      <c r="B55" s="141" t="str">
        <f>VLOOKUP(A55,[1]characters!$A:$C,3,FALSE)</f>
        <v>月英</v>
      </c>
      <c r="C55" s="107" t="s">
        <v>198</v>
      </c>
      <c r="D55" s="141" t="str">
        <f t="shared" ref="D55" si="18">A55&amp;C55</f>
        <v>1141cskill</v>
      </c>
      <c r="E55" s="141" t="str">
        <f>A55&amp;+(COUNTIF(A55:A$86,A55)-1)</f>
        <v>11412</v>
      </c>
      <c r="F55" s="107" t="s">
        <v>186</v>
      </c>
      <c r="G55" s="107" t="s">
        <v>334</v>
      </c>
      <c r="H55" s="193" t="s">
        <v>350</v>
      </c>
    </row>
    <row r="56" spans="1:8" x14ac:dyDescent="0.15">
      <c r="A56" s="107">
        <v>1141</v>
      </c>
      <c r="B56" s="141" t="str">
        <f>VLOOKUP(A56,[1]characters!$A:$C,3,FALSE)</f>
        <v>月英</v>
      </c>
      <c r="C56" s="107" t="s">
        <v>198</v>
      </c>
      <c r="D56" s="141" t="str">
        <f t="shared" si="0"/>
        <v>1141cskill</v>
      </c>
      <c r="E56" s="141" t="str">
        <f>A56&amp;+(COUNTIF(A56:A$86,A56)-1)</f>
        <v>11411</v>
      </c>
      <c r="F56" s="107" t="s">
        <v>186</v>
      </c>
      <c r="G56" s="107" t="s">
        <v>403</v>
      </c>
      <c r="H56" s="193" t="s">
        <v>351</v>
      </c>
    </row>
    <row r="57" spans="1:8" x14ac:dyDescent="0.15">
      <c r="A57" s="107">
        <v>1141</v>
      </c>
      <c r="B57" s="141" t="str">
        <f>VLOOKUP(A57,[1]characters!$A:$C,3,FALSE)</f>
        <v>月英</v>
      </c>
      <c r="C57" s="107" t="s">
        <v>198</v>
      </c>
      <c r="D57" s="141" t="str">
        <f t="shared" ref="D57:D59" si="19">A57&amp;C57</f>
        <v>1141cskill</v>
      </c>
      <c r="E57" s="141" t="str">
        <f>A57&amp;+(COUNTIF(A57:A$86,A57)-1)</f>
        <v>11410</v>
      </c>
      <c r="F57" s="107" t="s">
        <v>186</v>
      </c>
      <c r="G57" s="107" t="s">
        <v>334</v>
      </c>
      <c r="H57" s="193" t="s">
        <v>352</v>
      </c>
    </row>
    <row r="58" spans="1:8" x14ac:dyDescent="0.15">
      <c r="A58" s="107">
        <v>1142</v>
      </c>
      <c r="B58" s="141" t="str">
        <f>VLOOKUP(A58,[1]characters!$A:$C,3,FALSE)</f>
        <v>蒼明な機鋼士 月英</v>
      </c>
      <c r="C58" s="107" t="s">
        <v>195</v>
      </c>
      <c r="D58" s="141" t="str">
        <f t="shared" si="19"/>
        <v>1142skill</v>
      </c>
      <c r="E58" s="141" t="str">
        <f>A58&amp;+(COUNTIF(A58:A$86,A58)-1)</f>
        <v>11424</v>
      </c>
      <c r="F58" s="107" t="s">
        <v>186</v>
      </c>
      <c r="G58" s="107" t="s">
        <v>403</v>
      </c>
      <c r="H58" s="107" t="s">
        <v>417</v>
      </c>
    </row>
    <row r="59" spans="1:8" x14ac:dyDescent="0.15">
      <c r="A59" s="107">
        <v>1142</v>
      </c>
      <c r="B59" s="141" t="str">
        <f>VLOOKUP(A59,[1]characters!$A:$C,3,FALSE)</f>
        <v>蒼明な機鋼士 月英</v>
      </c>
      <c r="C59" s="107" t="s">
        <v>198</v>
      </c>
      <c r="D59" s="141" t="str">
        <f t="shared" si="19"/>
        <v>1142cskill</v>
      </c>
      <c r="E59" s="141" t="str">
        <f>A59&amp;+(COUNTIF(A59:A$86,A59)-1)</f>
        <v>11423</v>
      </c>
      <c r="F59" s="107" t="s">
        <v>186</v>
      </c>
      <c r="G59" s="107" t="s">
        <v>334</v>
      </c>
      <c r="H59" s="193" t="s">
        <v>350</v>
      </c>
    </row>
    <row r="60" spans="1:8" x14ac:dyDescent="0.15">
      <c r="A60" s="107">
        <v>1142</v>
      </c>
      <c r="B60" s="141" t="str">
        <f>VLOOKUP(A60,[1]characters!$A:$C,3,FALSE)</f>
        <v>蒼明な機鋼士 月英</v>
      </c>
      <c r="C60" s="107" t="s">
        <v>198</v>
      </c>
      <c r="D60" s="141" t="str">
        <f t="shared" si="0"/>
        <v>1142cskill</v>
      </c>
      <c r="E60" s="141" t="str">
        <f>A60&amp;+(COUNTIF(A60:A$86,A60)-1)</f>
        <v>11422</v>
      </c>
      <c r="F60" s="107" t="s">
        <v>197</v>
      </c>
      <c r="G60" s="107" t="s">
        <v>403</v>
      </c>
      <c r="H60" s="193" t="s">
        <v>351</v>
      </c>
    </row>
    <row r="61" spans="1:8" x14ac:dyDescent="0.15">
      <c r="A61" s="107">
        <v>1142</v>
      </c>
      <c r="B61" s="141" t="str">
        <f>VLOOKUP(A61,[1]characters!$A:$C,3,FALSE)</f>
        <v>蒼明な機鋼士 月英</v>
      </c>
      <c r="C61" s="107" t="s">
        <v>198</v>
      </c>
      <c r="D61" s="141" t="str">
        <f t="shared" si="0"/>
        <v>1142cskill</v>
      </c>
      <c r="E61" s="141" t="str">
        <f>A61&amp;+(COUNTIF(A61:A$86,A61)-1)</f>
        <v>11421</v>
      </c>
      <c r="F61" s="107" t="s">
        <v>186</v>
      </c>
      <c r="G61" s="107" t="s">
        <v>334</v>
      </c>
      <c r="H61" s="193" t="s">
        <v>352</v>
      </c>
    </row>
    <row r="62" spans="1:8" x14ac:dyDescent="0.15">
      <c r="A62" s="107">
        <v>1142</v>
      </c>
      <c r="B62" s="141" t="str">
        <f>VLOOKUP(A62,[1]characters!$A:$C,3,FALSE)</f>
        <v>蒼明な機鋼士 月英</v>
      </c>
      <c r="C62" s="107" t="s">
        <v>198</v>
      </c>
      <c r="D62" s="141" t="str">
        <f t="shared" ref="D62" si="20">A62&amp;C62</f>
        <v>1142cskill</v>
      </c>
      <c r="E62" s="141" t="str">
        <f>A62&amp;+(COUNTIF(A62:A$86,A62)-1)</f>
        <v>11420</v>
      </c>
      <c r="F62" s="107" t="s">
        <v>186</v>
      </c>
      <c r="G62" s="199" t="s">
        <v>334</v>
      </c>
      <c r="H62" s="193" t="s">
        <v>353</v>
      </c>
    </row>
    <row r="63" spans="1:8" x14ac:dyDescent="0.15">
      <c r="A63" s="107">
        <v>1143</v>
      </c>
      <c r="B63" s="141" t="str">
        <f>VLOOKUP(A63,[1]characters!$A:$C,3,FALSE)</f>
        <v>黄忠</v>
      </c>
      <c r="C63" s="107" t="s">
        <v>195</v>
      </c>
      <c r="D63" s="141" t="str">
        <f t="shared" si="0"/>
        <v>1143skill</v>
      </c>
      <c r="E63" s="141" t="str">
        <f>A63&amp;+(COUNTIF(A63:A$86,A63)-1)</f>
        <v>11432</v>
      </c>
      <c r="F63" s="107" t="s">
        <v>197</v>
      </c>
      <c r="G63" s="107" t="s">
        <v>196</v>
      </c>
      <c r="H63" s="193" t="s">
        <v>368</v>
      </c>
    </row>
    <row r="64" spans="1:8" x14ac:dyDescent="0.15">
      <c r="A64" s="107">
        <v>1143</v>
      </c>
      <c r="B64" s="141" t="str">
        <f>VLOOKUP(A64,[1]characters!$A:$C,3,FALSE)</f>
        <v>黄忠</v>
      </c>
      <c r="C64" s="107" t="s">
        <v>198</v>
      </c>
      <c r="D64" s="141" t="str">
        <f t="shared" ref="D64" si="21">A64&amp;C64</f>
        <v>1143cskill</v>
      </c>
      <c r="E64" s="141" t="str">
        <f>A64&amp;+(COUNTIF(A64:A$86,A64)-1)</f>
        <v>11431</v>
      </c>
      <c r="F64" s="107" t="s">
        <v>186</v>
      </c>
      <c r="G64" s="107" t="s">
        <v>196</v>
      </c>
      <c r="H64" s="193" t="s">
        <v>362</v>
      </c>
    </row>
    <row r="65" spans="1:8" x14ac:dyDescent="0.15">
      <c r="A65" s="107">
        <v>1143</v>
      </c>
      <c r="B65" s="141" t="str">
        <f>VLOOKUP(A65,[1]characters!$A:$C,3,FALSE)</f>
        <v>黄忠</v>
      </c>
      <c r="C65" s="107" t="s">
        <v>198</v>
      </c>
      <c r="D65" s="141" t="str">
        <f t="shared" ref="D65:D66" si="22">A65&amp;C65</f>
        <v>1143cskill</v>
      </c>
      <c r="E65" s="141" t="str">
        <f>A65&amp;+(COUNTIF(A65:A$86,A65)-1)</f>
        <v>11430</v>
      </c>
      <c r="F65" s="107" t="s">
        <v>186</v>
      </c>
      <c r="G65" s="107" t="s">
        <v>196</v>
      </c>
      <c r="H65" s="193" t="s">
        <v>363</v>
      </c>
    </row>
    <row r="66" spans="1:8" x14ac:dyDescent="0.15">
      <c r="A66" s="107">
        <v>1144</v>
      </c>
      <c r="B66" s="141" t="str">
        <f>VLOOKUP(A66,[1]characters!$A:$C,3,FALSE)</f>
        <v>白星を射る老将 黄忠</v>
      </c>
      <c r="C66" s="107" t="s">
        <v>195</v>
      </c>
      <c r="D66" s="141" t="str">
        <f t="shared" si="22"/>
        <v>1144skill</v>
      </c>
      <c r="E66" s="141" t="str">
        <f>A66&amp;+(COUNTIF(A66:A$86,A66)-1)</f>
        <v>11443</v>
      </c>
      <c r="F66" s="107" t="s">
        <v>186</v>
      </c>
      <c r="G66" s="107" t="s">
        <v>196</v>
      </c>
      <c r="H66" s="193" t="s">
        <v>369</v>
      </c>
    </row>
    <row r="67" spans="1:8" x14ac:dyDescent="0.15">
      <c r="A67" s="107">
        <v>1144</v>
      </c>
      <c r="B67" s="141" t="str">
        <f>VLOOKUP(A67,[1]characters!$A:$C,3,FALSE)</f>
        <v>白星を射る老将 黄忠</v>
      </c>
      <c r="C67" s="107" t="s">
        <v>198</v>
      </c>
      <c r="D67" s="141" t="str">
        <f t="shared" si="0"/>
        <v>1144cskill</v>
      </c>
      <c r="E67" s="141" t="str">
        <f>A67&amp;+(COUNTIF(A67:A$86,A67)-1)</f>
        <v>11442</v>
      </c>
      <c r="F67" s="107" t="s">
        <v>197</v>
      </c>
      <c r="G67" s="107" t="s">
        <v>196</v>
      </c>
      <c r="H67" s="193" t="s">
        <v>362</v>
      </c>
    </row>
    <row r="68" spans="1:8" x14ac:dyDescent="0.15">
      <c r="A68" s="107">
        <v>1144</v>
      </c>
      <c r="B68" s="141" t="str">
        <f>VLOOKUP(A68,[1]characters!$A:$C,3,FALSE)</f>
        <v>白星を射る老将 黄忠</v>
      </c>
      <c r="C68" s="107" t="s">
        <v>198</v>
      </c>
      <c r="D68" s="141" t="str">
        <f t="shared" ref="D68" si="23">A68&amp;C68</f>
        <v>1144cskill</v>
      </c>
      <c r="E68" s="141" t="str">
        <f>A68&amp;+(COUNTIF(A68:A$86,A68)-1)</f>
        <v>11441</v>
      </c>
      <c r="F68" s="107" t="s">
        <v>186</v>
      </c>
      <c r="G68" s="107" t="s">
        <v>196</v>
      </c>
      <c r="H68" s="193" t="s">
        <v>363</v>
      </c>
    </row>
    <row r="69" spans="1:8" x14ac:dyDescent="0.15">
      <c r="A69" s="107">
        <v>1144</v>
      </c>
      <c r="B69" s="141" t="str">
        <f>VLOOKUP(A69,[1]characters!$A:$C,3,FALSE)</f>
        <v>白星を射る老将 黄忠</v>
      </c>
      <c r="C69" s="107" t="s">
        <v>198</v>
      </c>
      <c r="D69" s="141" t="str">
        <f t="shared" si="0"/>
        <v>1144cskill</v>
      </c>
      <c r="E69" s="141" t="str">
        <f>A69&amp;+(COUNTIF(A69:A$86,A69)-1)</f>
        <v>11440</v>
      </c>
      <c r="F69" s="107" t="s">
        <v>186</v>
      </c>
      <c r="G69" s="107" t="s">
        <v>196</v>
      </c>
      <c r="H69" s="193" t="s">
        <v>364</v>
      </c>
    </row>
    <row r="70" spans="1:8" x14ac:dyDescent="0.15">
      <c r="A70" s="107"/>
      <c r="B70" s="141"/>
      <c r="C70" s="107"/>
      <c r="D70" s="141"/>
      <c r="E70" s="141"/>
      <c r="F70" s="107"/>
      <c r="G70" s="107"/>
      <c r="H70" s="107"/>
    </row>
    <row r="71" spans="1:8" x14ac:dyDescent="0.15">
      <c r="A71" s="107"/>
      <c r="B71" s="141"/>
      <c r="C71" s="107"/>
      <c r="D71" s="141"/>
      <c r="E71" s="141"/>
      <c r="F71" s="107"/>
      <c r="G71" s="107"/>
      <c r="H71" s="107"/>
    </row>
    <row r="72" spans="1:8" x14ac:dyDescent="0.15">
      <c r="A72" s="107"/>
      <c r="B72" s="141"/>
      <c r="C72" s="107"/>
      <c r="D72" s="141"/>
      <c r="E72" s="141"/>
      <c r="F72" s="107"/>
      <c r="G72" s="107"/>
      <c r="H72" s="107"/>
    </row>
    <row r="73" spans="1:8" x14ac:dyDescent="0.15">
      <c r="A73" s="107"/>
      <c r="B73" s="141"/>
      <c r="C73" s="107"/>
      <c r="D73" s="141"/>
      <c r="E73" s="141"/>
      <c r="F73" s="107"/>
      <c r="G73" s="107"/>
      <c r="H73" s="107"/>
    </row>
    <row r="74" spans="1:8" x14ac:dyDescent="0.15">
      <c r="A74" s="107"/>
      <c r="B74" s="141"/>
      <c r="C74" s="107"/>
      <c r="D74" s="141"/>
      <c r="E74" s="141"/>
      <c r="F74" s="107"/>
      <c r="G74" s="107"/>
      <c r="H74" s="107"/>
    </row>
    <row r="75" spans="1:8" x14ac:dyDescent="0.15">
      <c r="A75" s="107"/>
      <c r="B75" s="141"/>
      <c r="C75" s="107"/>
      <c r="D75" s="141"/>
      <c r="E75" s="141"/>
      <c r="F75" s="107"/>
      <c r="G75" s="107"/>
      <c r="H75" s="107"/>
    </row>
    <row r="76" spans="1:8" x14ac:dyDescent="0.15">
      <c r="A76" s="107"/>
      <c r="B76" s="141"/>
      <c r="C76" s="107"/>
      <c r="D76" s="141"/>
      <c r="E76" s="141"/>
      <c r="F76" s="107"/>
      <c r="G76" s="107"/>
      <c r="H76" s="107"/>
    </row>
    <row r="77" spans="1:8" x14ac:dyDescent="0.15">
      <c r="A77" s="107"/>
      <c r="B77" s="141"/>
      <c r="C77" s="107"/>
      <c r="D77" s="141"/>
      <c r="E77" s="141"/>
      <c r="F77" s="107"/>
      <c r="G77" s="107"/>
      <c r="H77" s="107"/>
    </row>
  </sheetData>
  <phoneticPr fontId="22"/>
  <dataValidations count="2">
    <dataValidation type="list" allowBlank="1" showInputMessage="1" showErrorMessage="1" sqref="G63:G69 G2:G61">
      <formula1>"maru,giza,kumo"</formula1>
    </dataValidation>
    <dataValidation type="list" allowBlank="1" showInputMessage="1" showErrorMessage="1" sqref="C2:C6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9"/>
  <sheetViews>
    <sheetView showGridLines="0" workbookViewId="0">
      <pane xSplit="9" ySplit="1" topLeftCell="P2" activePane="bottomRight" state="frozen"/>
      <selection pane="topRight" activeCell="J1" sqref="J1"/>
      <selection pane="bottomLeft" activeCell="A3" sqref="A3"/>
      <selection pane="bottomRight" activeCell="X2" sqref="X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79" t="s">
        <v>276</v>
      </c>
      <c r="B1" s="93" t="s">
        <v>277</v>
      </c>
      <c r="C1" s="84" t="s">
        <v>278</v>
      </c>
      <c r="D1" s="84" t="s">
        <v>279</v>
      </c>
      <c r="E1" s="84" t="s">
        <v>280</v>
      </c>
      <c r="F1" s="84" t="s">
        <v>281</v>
      </c>
      <c r="G1" s="84" t="s">
        <v>1</v>
      </c>
      <c r="H1" s="178" t="s">
        <v>19</v>
      </c>
      <c r="I1" s="84" t="s">
        <v>0</v>
      </c>
      <c r="J1" s="83" t="s">
        <v>282</v>
      </c>
      <c r="K1" s="84" t="s">
        <v>277</v>
      </c>
      <c r="L1" s="85" t="s">
        <v>49</v>
      </c>
      <c r="M1" s="85" t="s">
        <v>48</v>
      </c>
      <c r="N1" s="85" t="s">
        <v>283</v>
      </c>
      <c r="O1" s="85" t="s">
        <v>284</v>
      </c>
      <c r="P1" s="90" t="s">
        <v>285</v>
      </c>
      <c r="Q1" s="89" t="s">
        <v>286</v>
      </c>
      <c r="R1" s="78" t="s">
        <v>277</v>
      </c>
      <c r="S1" s="90" t="s">
        <v>287</v>
      </c>
      <c r="T1" s="78" t="s">
        <v>277</v>
      </c>
      <c r="U1" s="90" t="s">
        <v>288</v>
      </c>
    </row>
    <row r="2" spans="1:21" ht="21" customHeight="1" x14ac:dyDescent="0.15">
      <c r="A2" s="179">
        <v>1129</v>
      </c>
      <c r="B2" s="55" t="str">
        <f ca="1">VLOOKUP($A2,OFFSET([1]characters!$A$1,0,0,COUNTA([1]characters!$A:$A),MATCH(B$1,[1]characters!$1:$1,0)-MATCH($A$1,[1]characters!$1:$1,0)+1),MATCH(B$1,[1]characters!$1:$1,0)-MATCH($A$1,[1]characters!$1:$1,0)+1,FALSE)</f>
        <v>赤兎馬</v>
      </c>
      <c r="C2" s="55" t="str">
        <f ca="1">VLOOKUP($A2,OFFSET([1]characters!$A$1,0,0,COUNTA([1]characters!$A:$A),MATCH(C$1,[1]characters!$1:$1,0)-MATCH($A$1,[1]characters!$1:$1,0)+1),MATCH(C$1,[1]characters!$1:$1,0)-MATCH($A$1,[1]characters!$1:$1,0)+1,FALSE)</f>
        <v>未定</v>
      </c>
      <c r="D2" s="55" t="str">
        <f ca="1">VLOOKUP($A2,OFFSET([1]characters!$A$1,0,0,COUNTA([1]characters!$A:$A),MATCH(D$1,[1]characters!$1:$1,0)-MATCH($A$1,[1]characters!$1:$1,0)+1),MATCH(D$1,[1]characters!$1:$1,0)-MATCH($A$1,[1]characters!$1:$1,0)+1,FALSE)</f>
        <v>アリス</v>
      </c>
      <c r="E2" s="55" t="str">
        <f ca="1">VLOOKUP($A2,OFFSET([1]characters!$A$1,0,0,COUNTA([1]characters!$A:$A),MATCH(E$1,[1]characters!$1:$1,0)-MATCH($A$1,[1]characters!$1:$1,0)+1),MATCH(E$1,[1]characters!$1:$1,0)-MATCH($A$1,[1]characters!$1:$1,0)+1,FALSE)</f>
        <v>世界観</v>
      </c>
      <c r="F2" s="55" t="str">
        <f ca="1">VLOOKUP($A2,OFFSET([1]characters!$A$1,0,0,COUNTA([1]characters!$A:$A),MATCH(F$1,[1]characters!$1:$1,0)-MATCH($A$1,[1]characters!$1:$1,0)+1),MATCH(F$1,[1]characters!$1:$1,0)-MATCH($A$1,[1]characters!$1:$1,0)+1,FALSE)</f>
        <v>不明</v>
      </c>
      <c r="G2" s="55">
        <f ca="1">VLOOKUP($A2,OFFSET([1]characters!$A$1,0,0,COUNTA([1]characters!$A:$A),MATCH(G$1,[1]characters!$1:$1,0)-MATCH($A$1,[1]characters!$1:$1,0)+1),MATCH(G$1,[1]characters!$1:$1,0)-MATCH($A$1,[1]characters!$1:$1,0)+1,FALSE)</f>
        <v>4</v>
      </c>
      <c r="H2" s="55" t="str">
        <f ca="1">VLOOKUP($A2,OFFSET([1]characters!$A$1,0,0,COUNTA([1]characters!$A:$A),MATCH(H$1,[1]characters!$1:$1,0)-MATCH($A$1,[1]characters!$1:$1,0)+1),MATCH(H$1,[1]characters!$1:$1,0)-MATCH($A$1,[1]characters!$1:$1,0)+1,FALSE)</f>
        <v>Drop2N</v>
      </c>
      <c r="I2" s="55" t="str">
        <f ca="1">VLOOKUP($A2,OFFSET([1]characters!$A$1,0,0,COUNTA([1]characters!$A:$A),MATCH(I$1,[1]characters!$1:$1,0)-MATCH($A$1,[1]characters!$1:$1,0)+1),MATCH(I$1,[1]characters!$1:$1,0)-MATCH($A$1,[1]characters!$1:$1,0)+1,FALSE)</f>
        <v>red</v>
      </c>
      <c r="J2" s="55"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79" t="str">
        <f>VLOOKUP(Q2,[1]characters!$A:$AC,20)</f>
        <v>normal</v>
      </c>
      <c r="Q2" s="9">
        <v>1130</v>
      </c>
      <c r="R2" s="60" t="str">
        <f ca="1">IF(Q2="NULL","",VLOOKUP($Q2,OFFSET([1]characters!$A$1,0,0,COUNTA([1]characters!$A:$A),MATCH(R$1,[1]characters!$1:$1,0)-MATCH($A$1,[1]characters!$1:$1,0)+1),MATCH(R$1,[1]characters!$1:$1,0)-MATCH($A$1,[1]characters!$1:$1,0)+1,FALSE))</f>
        <v>紅鋼の疾躁獣 赤兎馬</v>
      </c>
      <c r="S2" s="5">
        <f t="shared" ref="S2:S9" ca="1" si="0">IF(ISNA(MATCH(A2,Q:Q,0)),A2,INDIRECT(ADDRESS(MATCH(A2,Q:Q,0),COLUMN())))</f>
        <v>1129</v>
      </c>
      <c r="T2" s="60" t="str">
        <f ca="1">VLOOKUP($S2,OFFSET([1]characters!$A$1,0,0,COUNTA([1]characters!$A:$A),MATCH(T$1,[1]characters!$1:$1,0)-MATCH($A$1,[1]characters!$1:$1,0)+1),MATCH(T$1,[1]characters!$1:$1,0)-MATCH($A$1,[1]characters!$1:$1,0)+1,FALSE)</f>
        <v>赤兎馬</v>
      </c>
      <c r="U2" s="11">
        <f ca="1">IF(Q2="NULL","NULL",VLOOKUP(G2,[2]ビット!$A$2:$B$7,2))</f>
        <v>50000</v>
      </c>
    </row>
    <row r="3" spans="1:21" ht="21" customHeight="1" x14ac:dyDescent="0.15">
      <c r="A3" s="179">
        <v>1131</v>
      </c>
      <c r="B3" s="55" t="str">
        <f ca="1">VLOOKUP($A3,OFFSET([1]characters!$A$1,0,0,COUNTA([1]characters!$A:$A),MATCH(B$1,[1]characters!$1:$1,0)-MATCH($A$1,[1]characters!$1:$1,0)+1),MATCH(B$1,[1]characters!$1:$1,0)-MATCH($A$1,[1]characters!$1:$1,0)+1,FALSE)</f>
        <v>董卓</v>
      </c>
      <c r="C3" s="55" t="str">
        <f ca="1">VLOOKUP($A3,OFFSET([1]characters!$A$1,0,0,COUNTA([1]characters!$A:$A),MATCH(C$1,[1]characters!$1:$1,0)-MATCH($A$1,[1]characters!$1:$1,0)+1),MATCH(C$1,[1]characters!$1:$1,0)-MATCH($A$1,[1]characters!$1:$1,0)+1,FALSE)</f>
        <v>未定</v>
      </c>
      <c r="D3" s="55" t="str">
        <f ca="1">VLOOKUP($A3,OFFSET([1]characters!$A$1,0,0,COUNTA([1]characters!$A:$A),MATCH(D$1,[1]characters!$1:$1,0)-MATCH($A$1,[1]characters!$1:$1,0)+1),MATCH(D$1,[1]characters!$1:$1,0)-MATCH($A$1,[1]characters!$1:$1,0)+1,FALSE)</f>
        <v>アリス</v>
      </c>
      <c r="E3" s="55" t="str">
        <f ca="1">VLOOKUP($A3,OFFSET([1]characters!$A$1,0,0,COUNTA([1]characters!$A:$A),MATCH(E$1,[1]characters!$1:$1,0)-MATCH($A$1,[1]characters!$1:$1,0)+1),MATCH(E$1,[1]characters!$1:$1,0)-MATCH($A$1,[1]characters!$1:$1,0)+1,FALSE)</f>
        <v>世界観</v>
      </c>
      <c r="F3" s="55" t="str">
        <f ca="1">VLOOKUP($A3,OFFSET([1]characters!$A$1,0,0,COUNTA([1]characters!$A:$A),MATCH(F$1,[1]characters!$1:$1,0)-MATCH($A$1,[1]characters!$1:$1,0)+1),MATCH(F$1,[1]characters!$1:$1,0)-MATCH($A$1,[1]characters!$1:$1,0)+1,FALSE)</f>
        <v>不明</v>
      </c>
      <c r="G3" s="55">
        <f ca="1">VLOOKUP($A3,OFFSET([1]characters!$A$1,0,0,COUNTA([1]characters!$A:$A),MATCH(G$1,[1]characters!$1:$1,0)-MATCH($A$1,[1]characters!$1:$1,0)+1),MATCH(G$1,[1]characters!$1:$1,0)-MATCH($A$1,[1]characters!$1:$1,0)+1,FALSE)</f>
        <v>5</v>
      </c>
      <c r="H3" s="55" t="str">
        <f ca="1">VLOOKUP($A3,OFFSET([1]characters!$A$1,0,0,COUNTA([1]characters!$A:$A),MATCH(H$1,[1]characters!$1:$1,0)-MATCH($A$1,[1]characters!$1:$1,0)+1),MATCH(H$1,[1]characters!$1:$1,0)-MATCH($A$1,[1]characters!$1:$1,0)+1,FALSE)</f>
        <v>DropWizS</v>
      </c>
      <c r="I3" s="55" t="str">
        <f ca="1">VLOOKUP($A3,OFFSET([1]characters!$A$1,0,0,COUNTA([1]characters!$A:$A),MATCH(I$1,[1]characters!$1:$1,0)-MATCH($A$1,[1]characters!$1:$1,0)+1),MATCH(I$1,[1]characters!$1:$1,0)-MATCH($A$1,[1]characters!$1:$1,0)+1,FALSE)</f>
        <v>green</v>
      </c>
      <c r="J3" s="55" t="str">
        <f ca="1">VLOOKUP($A3,OFFSET([1]characters!$A$1,0,0,COUNTA([1]characters!$A:$A),MATCH(J$1,[1]characters!$1:$1,0)-MATCH($A$1,[1]characters!$1:$1,0)+1),MATCH(J$1,[1]characters!$1:$1,0)-MATCH($A$1,[1]characters!$1:$1,0)+1,FALSE)</f>
        <v>human</v>
      </c>
      <c r="K3" s="5" t="str">
        <f ca="1">VLOOKUP(J3,[1]character_tribe_i18n!$A:$H,3,FALSE)</f>
        <v>ヒューマン</v>
      </c>
      <c r="L3" s="11" t="e">
        <f>VLOOKUP(#REF!,[1]character_tribe_i18n!$A:$H,4,FALSE)</f>
        <v>#REF!</v>
      </c>
      <c r="M3" s="11" t="e">
        <f>VLOOKUP(#REF!,[1]character_tribe_i18n!$A:$H,5,FALSE)</f>
        <v>#REF!</v>
      </c>
      <c r="N3" s="11" t="e">
        <f>VLOOKUP(#REF!,[1]character_tribe_i18n!$A:$H,6,FALSE)</f>
        <v>#REF!</v>
      </c>
      <c r="O3" s="11" t="e">
        <f>VLOOKUP(#REF!,[1]character_tribe_i18n!$A:$H,7,FALSE)</f>
        <v>#REF!</v>
      </c>
      <c r="P3" s="179" t="str">
        <f>VLOOKUP(Q3,[1]characters!$A:$AC,20)</f>
        <v>normal</v>
      </c>
      <c r="Q3" s="9">
        <v>1132</v>
      </c>
      <c r="R3" s="60" t="str">
        <f ca="1">IF(Q3="NULL","",VLOOKUP($Q3,OFFSET([1]characters!$A$1,0,0,COUNTA([1]characters!$A:$A),MATCH(R$1,[1]characters!$1:$1,0)-MATCH($A$1,[1]characters!$1:$1,0)+1),MATCH(R$1,[1]characters!$1:$1,0)-MATCH($A$1,[1]characters!$1:$1,0)+1,FALSE))</f>
        <v>偏執なる狂騒君 董卓</v>
      </c>
      <c r="S3" s="5">
        <f t="shared" ca="1" si="0"/>
        <v>1131</v>
      </c>
      <c r="T3" s="60" t="str">
        <f ca="1">VLOOKUP($S3,OFFSET([1]characters!$A$1,0,0,COUNTA([1]characters!$A:$A),MATCH(T$1,[1]characters!$1:$1,0)-MATCH($A$1,[1]characters!$1:$1,0)+1),MATCH(T$1,[1]characters!$1:$1,0)-MATCH($A$1,[1]characters!$1:$1,0)+1,FALSE)</f>
        <v>董卓</v>
      </c>
      <c r="U3" s="11">
        <f ca="1">IF(Q3="NULL","NULL",VLOOKUP(G3,[2]ビット!$A$2:$B$7,2))</f>
        <v>200000</v>
      </c>
    </row>
    <row r="4" spans="1:21" ht="21" customHeight="1" x14ac:dyDescent="0.15">
      <c r="A4" s="179">
        <v>1133</v>
      </c>
      <c r="B4" s="55" t="str">
        <f ca="1">VLOOKUP($A4,OFFSET([1]characters!$A$1,0,0,COUNTA([1]characters!$A:$A),MATCH(B$1,[1]characters!$1:$1,0)-MATCH($A$1,[1]characters!$1:$1,0)+1),MATCH(B$1,[1]characters!$1:$1,0)-MATCH($A$1,[1]characters!$1:$1,0)+1,FALSE)</f>
        <v>貂蝉</v>
      </c>
      <c r="C4" s="55" t="str">
        <f ca="1">VLOOKUP($A4,OFFSET([1]characters!$A$1,0,0,COUNTA([1]characters!$A:$A),MATCH(C$1,[1]characters!$1:$1,0)-MATCH($A$1,[1]characters!$1:$1,0)+1),MATCH(C$1,[1]characters!$1:$1,0)-MATCH($A$1,[1]characters!$1:$1,0)+1,FALSE)</f>
        <v>未定</v>
      </c>
      <c r="D4" s="55" t="str">
        <f ca="1">VLOOKUP($A4,OFFSET([1]characters!$A$1,0,0,COUNTA([1]characters!$A:$A),MATCH(D$1,[1]characters!$1:$1,0)-MATCH($A$1,[1]characters!$1:$1,0)+1),MATCH(D$1,[1]characters!$1:$1,0)-MATCH($A$1,[1]characters!$1:$1,0)+1,FALSE)</f>
        <v>アリス</v>
      </c>
      <c r="E4" s="55" t="str">
        <f ca="1">VLOOKUP($A4,OFFSET([1]characters!$A$1,0,0,COUNTA([1]characters!$A:$A),MATCH(E$1,[1]characters!$1:$1,0)-MATCH($A$1,[1]characters!$1:$1,0)+1),MATCH(E$1,[1]characters!$1:$1,0)-MATCH($A$1,[1]characters!$1:$1,0)+1,FALSE)</f>
        <v>世界観</v>
      </c>
      <c r="F4" s="55" t="str">
        <f ca="1">VLOOKUP($A4,OFFSET([1]characters!$A$1,0,0,COUNTA([1]characters!$A:$A),MATCH(F$1,[1]characters!$1:$1,0)-MATCH($A$1,[1]characters!$1:$1,0)+1),MATCH(F$1,[1]characters!$1:$1,0)-MATCH($A$1,[1]characters!$1:$1,0)+1,FALSE)</f>
        <v>不明</v>
      </c>
      <c r="G4" s="55">
        <f ca="1">VLOOKUP($A4,OFFSET([1]characters!$A$1,0,0,COUNTA([1]characters!$A:$A),MATCH(G$1,[1]characters!$1:$1,0)-MATCH($A$1,[1]characters!$1:$1,0)+1),MATCH(G$1,[1]characters!$1:$1,0)-MATCH($A$1,[1]characters!$1:$1,0)+1,FALSE)</f>
        <v>5</v>
      </c>
      <c r="H4" s="55" t="str">
        <f ca="1">VLOOKUP($A4,OFFSET([1]characters!$A$1,0,0,COUNTA([1]characters!$A:$A),MATCH(H$1,[1]characters!$1:$1,0)-MATCH($A$1,[1]characters!$1:$1,0)+1),MATCH(H$1,[1]characters!$1:$1,0)-MATCH($A$1,[1]characters!$1:$1,0)+1,FALSE)</f>
        <v>DropWizS</v>
      </c>
      <c r="I4" s="55" t="str">
        <f ca="1">VLOOKUP($A4,OFFSET([1]characters!$A$1,0,0,COUNTA([1]characters!$A:$A),MATCH(I$1,[1]characters!$1:$1,0)-MATCH($A$1,[1]characters!$1:$1,0)+1),MATCH(I$1,[1]characters!$1:$1,0)-MATCH($A$1,[1]characters!$1:$1,0)+1,FALSE)</f>
        <v>yellow</v>
      </c>
      <c r="J4" s="55" t="str">
        <f ca="1">VLOOKUP($A4,OFFSET([1]characters!$A$1,0,0,COUNTA([1]characters!$A:$A),MATCH(J$1,[1]characters!$1:$1,0)-MATCH($A$1,[1]characters!$1:$1,0)+1),MATCH(J$1,[1]characters!$1:$1,0)-MATCH($A$1,[1]characters!$1:$1,0)+1,FALSE)</f>
        <v>human</v>
      </c>
      <c r="K4" s="5" t="str">
        <f ca="1">VLOOKUP(J4,[1]character_tribe_i18n!$A:$H,3,FALSE)</f>
        <v>ヒューマン</v>
      </c>
      <c r="L4" s="11" t="e">
        <f>VLOOKUP(#REF!,[1]character_tribe_i18n!$A:$H,4,FALSE)</f>
        <v>#REF!</v>
      </c>
      <c r="M4" s="11" t="e">
        <f>VLOOKUP(#REF!,[1]character_tribe_i18n!$A:$H,5,FALSE)</f>
        <v>#REF!</v>
      </c>
      <c r="N4" s="11" t="e">
        <f>VLOOKUP(#REF!,[1]character_tribe_i18n!$A:$H,6,FALSE)</f>
        <v>#REF!</v>
      </c>
      <c r="O4" s="11" t="e">
        <f>VLOOKUP(#REF!,[1]character_tribe_i18n!$A:$H,7,FALSE)</f>
        <v>#REF!</v>
      </c>
      <c r="P4" s="179" t="str">
        <f>VLOOKUP(Q4,[1]characters!$A:$AC,20)</f>
        <v>normal</v>
      </c>
      <c r="Q4" s="9">
        <v>1134</v>
      </c>
      <c r="R4" s="60" t="str">
        <f ca="1">IF(Q4="NULL","",VLOOKUP($Q4,OFFSET([1]characters!$A$1,0,0,COUNTA([1]characters!$A:$A),MATCH(R$1,[1]characters!$1:$1,0)-MATCH($A$1,[1]characters!$1:$1,0)+1),MATCH(R$1,[1]characters!$1:$1,0)-MATCH($A$1,[1]characters!$1:$1,0)+1,FALSE))</f>
        <v>月隠れの美麗酔 貂蝉</v>
      </c>
      <c r="S4" s="5">
        <f t="shared" ca="1" si="0"/>
        <v>1133</v>
      </c>
      <c r="T4" s="60" t="str">
        <f ca="1">VLOOKUP($S4,OFFSET([1]characters!$A$1,0,0,COUNTA([1]characters!$A:$A),MATCH(T$1,[1]characters!$1:$1,0)-MATCH($A$1,[1]characters!$1:$1,0)+1),MATCH(T$1,[1]characters!$1:$1,0)-MATCH($A$1,[1]characters!$1:$1,0)+1,FALSE)</f>
        <v>貂蝉</v>
      </c>
      <c r="U4" s="11">
        <f ca="1">IF(Q4="NULL","NULL",VLOOKUP(G4,[2]ビット!$A$2:$B$7,2))</f>
        <v>200000</v>
      </c>
    </row>
    <row r="5" spans="1:21" ht="21" customHeight="1" x14ac:dyDescent="0.15">
      <c r="A5" s="179">
        <v>1135</v>
      </c>
      <c r="B5" s="55" t="str">
        <f ca="1">VLOOKUP($A5,OFFSET([1]characters!$A$1,0,0,COUNTA([1]characters!$A:$A),MATCH(B$1,[1]characters!$1:$1,0)-MATCH($A$1,[1]characters!$1:$1,0)+1),MATCH(B$1,[1]characters!$1:$1,0)-MATCH($A$1,[1]characters!$1:$1,0)+1,FALSE)</f>
        <v>呂布</v>
      </c>
      <c r="C5" s="55" t="str">
        <f ca="1">VLOOKUP($A5,OFFSET([1]characters!$A$1,0,0,COUNTA([1]characters!$A:$A),MATCH(C$1,[1]characters!$1:$1,0)-MATCH($A$1,[1]characters!$1:$1,0)+1),MATCH(C$1,[1]characters!$1:$1,0)-MATCH($A$1,[1]characters!$1:$1,0)+1,FALSE)</f>
        <v>未定</v>
      </c>
      <c r="D5" s="55" t="str">
        <f ca="1">VLOOKUP($A5,OFFSET([1]characters!$A$1,0,0,COUNTA([1]characters!$A:$A),MATCH(D$1,[1]characters!$1:$1,0)-MATCH($A$1,[1]characters!$1:$1,0)+1),MATCH(D$1,[1]characters!$1:$1,0)-MATCH($A$1,[1]characters!$1:$1,0)+1,FALSE)</f>
        <v>アリス</v>
      </c>
      <c r="E5" s="55" t="str">
        <f ca="1">VLOOKUP($A5,OFFSET([1]characters!$A$1,0,0,COUNTA([1]characters!$A:$A),MATCH(E$1,[1]characters!$1:$1,0)-MATCH($A$1,[1]characters!$1:$1,0)+1),MATCH(E$1,[1]characters!$1:$1,0)-MATCH($A$1,[1]characters!$1:$1,0)+1,FALSE)</f>
        <v>世界観</v>
      </c>
      <c r="F5" s="55" t="str">
        <f ca="1">VLOOKUP($A5,OFFSET([1]characters!$A$1,0,0,COUNTA([1]characters!$A:$A),MATCH(F$1,[1]characters!$1:$1,0)-MATCH($A$1,[1]characters!$1:$1,0)+1),MATCH(F$1,[1]characters!$1:$1,0)-MATCH($A$1,[1]characters!$1:$1,0)+1,FALSE)</f>
        <v>不明</v>
      </c>
      <c r="G5" s="55">
        <f ca="1">VLOOKUP($A5,OFFSET([1]characters!$A$1,0,0,COUNTA([1]characters!$A:$A),MATCH(G$1,[1]characters!$1:$1,0)-MATCH($A$1,[1]characters!$1:$1,0)+1),MATCH(G$1,[1]characters!$1:$1,0)-MATCH($A$1,[1]characters!$1:$1,0)+1,FALSE)</f>
        <v>5</v>
      </c>
      <c r="H5" s="55" t="str">
        <f ca="1">VLOOKUP($A5,OFFSET([1]characters!$A$1,0,0,COUNTA([1]characters!$A:$A),MATCH(H$1,[1]characters!$1:$1,0)-MATCH($A$1,[1]characters!$1:$1,0)+1),MATCH(H$1,[1]characters!$1:$1,0)-MATCH($A$1,[1]characters!$1:$1,0)+1,FALSE)</f>
        <v>DropWizSS</v>
      </c>
      <c r="I5" s="55" t="str">
        <f ca="1">VLOOKUP($A5,OFFSET([1]characters!$A$1,0,0,COUNTA([1]characters!$A:$A),MATCH(I$1,[1]characters!$1:$1,0)-MATCH($A$1,[1]characters!$1:$1,0)+1),MATCH(I$1,[1]characters!$1:$1,0)-MATCH($A$1,[1]characters!$1:$1,0)+1,FALSE)</f>
        <v>green</v>
      </c>
      <c r="J5" s="55" t="str">
        <f ca="1">VLOOKUP($A5,OFFSET([1]characters!$A$1,0,0,COUNTA([1]characters!$A:$A),MATCH(J$1,[1]characters!$1:$1,0)-MATCH($A$1,[1]characters!$1:$1,0)+1),MATCH(J$1,[1]characters!$1:$1,0)-MATCH($A$1,[1]characters!$1:$1,0)+1,FALSE)</f>
        <v>human</v>
      </c>
      <c r="K5" s="5" t="str">
        <f ca="1">VLOOKUP(J5,[1]character_tribe_i18n!$A:$H,3,FALSE)</f>
        <v>ヒューマン</v>
      </c>
      <c r="L5" s="11" t="e">
        <f>VLOOKUP(#REF!,[1]character_tribe_i18n!$A:$H,4,FALSE)</f>
        <v>#REF!</v>
      </c>
      <c r="M5" s="11" t="e">
        <f>VLOOKUP(#REF!,[1]character_tribe_i18n!$A:$H,5,FALSE)</f>
        <v>#REF!</v>
      </c>
      <c r="N5" s="11" t="e">
        <f>VLOOKUP(#REF!,[1]character_tribe_i18n!$A:$H,6,FALSE)</f>
        <v>#REF!</v>
      </c>
      <c r="O5" s="11" t="e">
        <f>VLOOKUP(#REF!,[1]character_tribe_i18n!$A:$H,7,FALSE)</f>
        <v>#REF!</v>
      </c>
      <c r="P5" s="179" t="str">
        <f>VLOOKUP(Q5,[1]characters!$A:$AC,20)</f>
        <v>normal</v>
      </c>
      <c r="Q5" s="9">
        <v>1136</v>
      </c>
      <c r="R5" s="60" t="str">
        <f ca="1">IF(Q5="NULL","",VLOOKUP($Q5,OFFSET([1]characters!$A$1,0,0,COUNTA([1]characters!$A:$A),MATCH(R$1,[1]characters!$1:$1,0)-MATCH($A$1,[1]characters!$1:$1,0)+1),MATCH(R$1,[1]characters!$1:$1,0)-MATCH($A$1,[1]characters!$1:$1,0)+1,FALSE))</f>
        <v>豪拳烈創の激将 呂布</v>
      </c>
      <c r="S5" s="5">
        <f t="shared" ca="1" si="0"/>
        <v>1135</v>
      </c>
      <c r="T5" s="60" t="str">
        <f ca="1">VLOOKUP($S5,OFFSET([1]characters!$A$1,0,0,COUNTA([1]characters!$A:$A),MATCH(T$1,[1]characters!$1:$1,0)-MATCH($A$1,[1]characters!$1:$1,0)+1),MATCH(T$1,[1]characters!$1:$1,0)-MATCH($A$1,[1]characters!$1:$1,0)+1,FALSE)</f>
        <v>呂布</v>
      </c>
      <c r="U5" s="11">
        <f ca="1">IF(Q5="NULL","NULL",VLOOKUP(G5,[2]ビット!$A$2:$B$7,2))</f>
        <v>200000</v>
      </c>
    </row>
    <row r="6" spans="1:21" ht="21" customHeight="1" x14ac:dyDescent="0.15">
      <c r="A6" s="179">
        <v>1137</v>
      </c>
      <c r="B6" s="55" t="str">
        <f ca="1">VLOOKUP($A6,OFFSET([1]characters!$A$1,0,0,COUNTA([1]characters!$A:$A),MATCH(B$1,[1]characters!$1:$1,0)-MATCH($A$1,[1]characters!$1:$1,0)+1),MATCH(B$1,[1]characters!$1:$1,0)-MATCH($A$1,[1]characters!$1:$1,0)+1,FALSE)</f>
        <v>諸葛亮</v>
      </c>
      <c r="C6" s="55" t="str">
        <f ca="1">VLOOKUP($A6,OFFSET([1]characters!$A$1,0,0,COUNTA([1]characters!$A:$A),MATCH(C$1,[1]characters!$1:$1,0)-MATCH($A$1,[1]characters!$1:$1,0)+1),MATCH(C$1,[1]characters!$1:$1,0)-MATCH($A$1,[1]characters!$1:$1,0)+1,FALSE)</f>
        <v>未定</v>
      </c>
      <c r="D6" s="55" t="str">
        <f ca="1">VLOOKUP($A6,OFFSET([1]characters!$A$1,0,0,COUNTA([1]characters!$A:$A),MATCH(D$1,[1]characters!$1:$1,0)-MATCH($A$1,[1]characters!$1:$1,0)+1),MATCH(D$1,[1]characters!$1:$1,0)-MATCH($A$1,[1]characters!$1:$1,0)+1,FALSE)</f>
        <v>アリス</v>
      </c>
      <c r="E6" s="55" t="str">
        <f ca="1">VLOOKUP($A6,OFFSET([1]characters!$A$1,0,0,COUNTA([1]characters!$A:$A),MATCH(E$1,[1]characters!$1:$1,0)-MATCH($A$1,[1]characters!$1:$1,0)+1),MATCH(E$1,[1]characters!$1:$1,0)-MATCH($A$1,[1]characters!$1:$1,0)+1,FALSE)</f>
        <v>世界観</v>
      </c>
      <c r="F6" s="55" t="str">
        <f ca="1">VLOOKUP($A6,OFFSET([1]characters!$A$1,0,0,COUNTA([1]characters!$A:$A),MATCH(F$1,[1]characters!$1:$1,0)-MATCH($A$1,[1]characters!$1:$1,0)+1),MATCH(F$1,[1]characters!$1:$1,0)-MATCH($A$1,[1]characters!$1:$1,0)+1,FALSE)</f>
        <v>不明</v>
      </c>
      <c r="G6" s="55">
        <f ca="1">VLOOKUP($A6,OFFSET([1]characters!$A$1,0,0,COUNTA([1]characters!$A:$A),MATCH(G$1,[1]characters!$1:$1,0)-MATCH($A$1,[1]characters!$1:$1,0)+1),MATCH(G$1,[1]characters!$1:$1,0)-MATCH($A$1,[1]characters!$1:$1,0)+1,FALSE)</f>
        <v>5</v>
      </c>
      <c r="H6" s="55" t="str">
        <f ca="1">VLOOKUP($A6,OFFSET([1]characters!$A$1,0,0,COUNTA([1]characters!$A:$A),MATCH(H$1,[1]characters!$1:$1,0)-MATCH($A$1,[1]characters!$1:$1,0)+1),MATCH(H$1,[1]characters!$1:$1,0)-MATCH($A$1,[1]characters!$1:$1,0)+1,FALSE)</f>
        <v>PremiumSSw</v>
      </c>
      <c r="I6" s="55" t="str">
        <f ca="1">VLOOKUP($A6,OFFSET([1]characters!$A$1,0,0,COUNTA([1]characters!$A:$A),MATCH(I$1,[1]characters!$1:$1,0)-MATCH($A$1,[1]characters!$1:$1,0)+1),MATCH(I$1,[1]characters!$1:$1,0)-MATCH($A$1,[1]characters!$1:$1,0)+1,FALSE)</f>
        <v>red</v>
      </c>
      <c r="J6" s="55" t="str">
        <f ca="1">VLOOKUP($A6,OFFSET([1]characters!$A$1,0,0,COUNTA([1]characters!$A:$A),MATCH(J$1,[1]characters!$1:$1,0)-MATCH($A$1,[1]characters!$1:$1,0)+1),MATCH(J$1,[1]characters!$1:$1,0)-MATCH($A$1,[1]characters!$1:$1,0)+1,FALSE)</f>
        <v>human</v>
      </c>
      <c r="K6" s="5" t="str">
        <f ca="1">VLOOKUP(J6,[1]character_tribe_i18n!$A:$H,3,FALSE)</f>
        <v>ヒューマン</v>
      </c>
      <c r="L6" s="11" t="e">
        <f>VLOOKUP(#REF!,[1]character_tribe_i18n!$A:$H,4,FALSE)</f>
        <v>#REF!</v>
      </c>
      <c r="M6" s="11" t="e">
        <f>VLOOKUP(#REF!,[1]character_tribe_i18n!$A:$H,5,FALSE)</f>
        <v>#REF!</v>
      </c>
      <c r="N6" s="11" t="e">
        <f>VLOOKUP(#REF!,[1]character_tribe_i18n!$A:$H,6,FALSE)</f>
        <v>#REF!</v>
      </c>
      <c r="O6" s="11" t="e">
        <f>VLOOKUP(#REF!,[1]character_tribe_i18n!$A:$H,7,FALSE)</f>
        <v>#REF!</v>
      </c>
      <c r="P6" s="179" t="str">
        <f>VLOOKUP(Q6,[1]characters!$A:$AC,20)</f>
        <v>normal</v>
      </c>
      <c r="Q6" s="9">
        <v>1138</v>
      </c>
      <c r="R6" s="60" t="str">
        <f ca="1">IF(Q6="NULL","",VLOOKUP($Q6,OFFSET([1]characters!$A$1,0,0,COUNTA([1]characters!$A:$A),MATCH(R$1,[1]characters!$1:$1,0)-MATCH($A$1,[1]characters!$1:$1,0)+1),MATCH(R$1,[1]characters!$1:$1,0)-MATCH($A$1,[1]characters!$1:$1,0)+1,FALSE))</f>
        <v>神算鬼謀の宰相 諸葛亮</v>
      </c>
      <c r="S6" s="5">
        <f t="shared" ca="1" si="0"/>
        <v>1137</v>
      </c>
      <c r="T6" s="60" t="str">
        <f ca="1">VLOOKUP($S6,OFFSET([1]characters!$A$1,0,0,COUNTA([1]characters!$A:$A),MATCH(T$1,[1]characters!$1:$1,0)-MATCH($A$1,[1]characters!$1:$1,0)+1),MATCH(T$1,[1]characters!$1:$1,0)-MATCH($A$1,[1]characters!$1:$1,0)+1,FALSE)</f>
        <v>諸葛亮</v>
      </c>
      <c r="U6" s="11">
        <f ca="1">IF(Q6="NULL","NULL",VLOOKUP(G6,[2]ビット!$A$2:$B$7,2))</f>
        <v>200000</v>
      </c>
    </row>
    <row r="7" spans="1:21" ht="21" customHeight="1" x14ac:dyDescent="0.15">
      <c r="A7" s="179">
        <v>1139</v>
      </c>
      <c r="B7" s="55" t="str">
        <f ca="1">VLOOKUP($A7,OFFSET([1]characters!$A$1,0,0,COUNTA([1]characters!$A:$A),MATCH(B$1,[1]characters!$1:$1,0)-MATCH($A$1,[1]characters!$1:$1,0)+1),MATCH(B$1,[1]characters!$1:$1,0)-MATCH($A$1,[1]characters!$1:$1,0)+1,FALSE)</f>
        <v>趙雲</v>
      </c>
      <c r="C7" s="55" t="str">
        <f ca="1">VLOOKUP($A7,OFFSET([1]characters!$A$1,0,0,COUNTA([1]characters!$A:$A),MATCH(C$1,[1]characters!$1:$1,0)-MATCH($A$1,[1]characters!$1:$1,0)+1),MATCH(C$1,[1]characters!$1:$1,0)-MATCH($A$1,[1]characters!$1:$1,0)+1,FALSE)</f>
        <v>未定</v>
      </c>
      <c r="D7" s="55" t="str">
        <f ca="1">VLOOKUP($A7,OFFSET([1]characters!$A$1,0,0,COUNTA([1]characters!$A:$A),MATCH(D$1,[1]characters!$1:$1,0)-MATCH($A$1,[1]characters!$1:$1,0)+1),MATCH(D$1,[1]characters!$1:$1,0)-MATCH($A$1,[1]characters!$1:$1,0)+1,FALSE)</f>
        <v>アリス</v>
      </c>
      <c r="E7" s="55" t="str">
        <f ca="1">VLOOKUP($A7,OFFSET([1]characters!$A$1,0,0,COUNTA([1]characters!$A:$A),MATCH(E$1,[1]characters!$1:$1,0)-MATCH($A$1,[1]characters!$1:$1,0)+1),MATCH(E$1,[1]characters!$1:$1,0)-MATCH($A$1,[1]characters!$1:$1,0)+1,FALSE)</f>
        <v>世界観</v>
      </c>
      <c r="F7" s="55" t="str">
        <f ca="1">VLOOKUP($A7,OFFSET([1]characters!$A$1,0,0,COUNTA([1]characters!$A:$A),MATCH(F$1,[1]characters!$1:$1,0)-MATCH($A$1,[1]characters!$1:$1,0)+1),MATCH(F$1,[1]characters!$1:$1,0)-MATCH($A$1,[1]characters!$1:$1,0)+1,FALSE)</f>
        <v>不明</v>
      </c>
      <c r="G7" s="55">
        <f ca="1">VLOOKUP($A7,OFFSET([1]characters!$A$1,0,0,COUNTA([1]characters!$A:$A),MATCH(G$1,[1]characters!$1:$1,0)-MATCH($A$1,[1]characters!$1:$1,0)+1),MATCH(G$1,[1]characters!$1:$1,0)-MATCH($A$1,[1]characters!$1:$1,0)+1,FALSE)</f>
        <v>5</v>
      </c>
      <c r="H7" s="55" t="str">
        <f ca="1">VLOOKUP($A7,OFFSET([1]characters!$A$1,0,0,COUNTA([1]characters!$A:$A),MATCH(H$1,[1]characters!$1:$1,0)-MATCH($A$1,[1]characters!$1:$1,0)+1),MATCH(H$1,[1]characters!$1:$1,0)-MATCH($A$1,[1]characters!$1:$1,0)+1,FALSE)</f>
        <v>PremiumSS</v>
      </c>
      <c r="I7" s="55" t="str">
        <f ca="1">VLOOKUP($A7,OFFSET([1]characters!$A$1,0,0,COUNTA([1]characters!$A:$A),MATCH(I$1,[1]characters!$1:$1,0)-MATCH($A$1,[1]characters!$1:$1,0)+1),MATCH(I$1,[1]characters!$1:$1,0)-MATCH($A$1,[1]characters!$1:$1,0)+1,FALSE)</f>
        <v>green</v>
      </c>
      <c r="J7" s="55" t="str">
        <f ca="1">VLOOKUP($A7,OFFSET([1]characters!$A$1,0,0,COUNTA([1]characters!$A:$A),MATCH(J$1,[1]characters!$1:$1,0)-MATCH($A$1,[1]characters!$1:$1,0)+1),MATCH(J$1,[1]characters!$1:$1,0)-MATCH($A$1,[1]characters!$1:$1,0)+1,FALSE)</f>
        <v>human</v>
      </c>
      <c r="K7" s="5" t="str">
        <f ca="1">VLOOKUP(J7,[1]character_tribe_i18n!$A:$H,3,FALSE)</f>
        <v>ヒューマン</v>
      </c>
      <c r="L7" s="11" t="e">
        <f>VLOOKUP(#REF!,[1]character_tribe_i18n!$A:$H,4,FALSE)</f>
        <v>#REF!</v>
      </c>
      <c r="M7" s="11" t="e">
        <f>VLOOKUP(#REF!,[1]character_tribe_i18n!$A:$H,5,FALSE)</f>
        <v>#REF!</v>
      </c>
      <c r="N7" s="11" t="e">
        <f>VLOOKUP(#REF!,[1]character_tribe_i18n!$A:$H,6,FALSE)</f>
        <v>#REF!</v>
      </c>
      <c r="O7" s="11" t="e">
        <f>VLOOKUP(#REF!,[1]character_tribe_i18n!$A:$H,7,FALSE)</f>
        <v>#REF!</v>
      </c>
      <c r="P7" s="179" t="str">
        <f>VLOOKUP(Q7,[1]characters!$A:$AC,20)</f>
        <v>normal</v>
      </c>
      <c r="Q7" s="9">
        <v>1140</v>
      </c>
      <c r="R7" s="60" t="str">
        <f ca="1">IF(Q7="NULL","",VLOOKUP($Q7,OFFSET([1]characters!$A$1,0,0,COUNTA([1]characters!$A:$A),MATCH(R$1,[1]characters!$1:$1,0)-MATCH($A$1,[1]characters!$1:$1,0)+1),MATCH(R$1,[1]characters!$1:$1,0)-MATCH($A$1,[1]characters!$1:$1,0)+1,FALSE))</f>
        <v>綱紀粛正の傑璧 趙雲</v>
      </c>
      <c r="S7" s="5">
        <f t="shared" ca="1" si="0"/>
        <v>1139</v>
      </c>
      <c r="T7" s="60" t="str">
        <f ca="1">VLOOKUP($S7,OFFSET([1]characters!$A$1,0,0,COUNTA([1]characters!$A:$A),MATCH(T$1,[1]characters!$1:$1,0)-MATCH($A$1,[1]characters!$1:$1,0)+1),MATCH(T$1,[1]characters!$1:$1,0)-MATCH($A$1,[1]characters!$1:$1,0)+1,FALSE)</f>
        <v>趙雲</v>
      </c>
      <c r="U7" s="11">
        <f ca="1">IF(Q7="NULL","NULL",VLOOKUP(G7,[2]ビット!$A$2:$B$7,2))</f>
        <v>200000</v>
      </c>
    </row>
    <row r="8" spans="1:21" ht="21" customHeight="1" x14ac:dyDescent="0.15">
      <c r="A8" s="179">
        <v>1141</v>
      </c>
      <c r="B8" s="55" t="str">
        <f ca="1">VLOOKUP($A8,OFFSET([1]characters!$A$1,0,0,COUNTA([1]characters!$A:$A),MATCH(B$1,[1]characters!$1:$1,0)-MATCH($A$1,[1]characters!$1:$1,0)+1),MATCH(B$1,[1]characters!$1:$1,0)-MATCH($A$1,[1]characters!$1:$1,0)+1,FALSE)</f>
        <v>月英</v>
      </c>
      <c r="C8" s="55" t="str">
        <f ca="1">VLOOKUP($A8,OFFSET([1]characters!$A$1,0,0,COUNTA([1]characters!$A:$A),MATCH(C$1,[1]characters!$1:$1,0)-MATCH($A$1,[1]characters!$1:$1,0)+1),MATCH(C$1,[1]characters!$1:$1,0)-MATCH($A$1,[1]characters!$1:$1,0)+1,FALSE)</f>
        <v>未定</v>
      </c>
      <c r="D8" s="55" t="str">
        <f ca="1">VLOOKUP($A8,OFFSET([1]characters!$A$1,0,0,COUNTA([1]characters!$A:$A),MATCH(D$1,[1]characters!$1:$1,0)-MATCH($A$1,[1]characters!$1:$1,0)+1),MATCH(D$1,[1]characters!$1:$1,0)-MATCH($A$1,[1]characters!$1:$1,0)+1,FALSE)</f>
        <v>アリス</v>
      </c>
      <c r="E8" s="55" t="str">
        <f ca="1">VLOOKUP($A8,OFFSET([1]characters!$A$1,0,0,COUNTA([1]characters!$A:$A),MATCH(E$1,[1]characters!$1:$1,0)-MATCH($A$1,[1]characters!$1:$1,0)+1),MATCH(E$1,[1]characters!$1:$1,0)-MATCH($A$1,[1]characters!$1:$1,0)+1,FALSE)</f>
        <v>世界観</v>
      </c>
      <c r="F8" s="55" t="str">
        <f ca="1">VLOOKUP($A8,OFFSET([1]characters!$A$1,0,0,COUNTA([1]characters!$A:$A),MATCH(F$1,[1]characters!$1:$1,0)-MATCH($A$1,[1]characters!$1:$1,0)+1),MATCH(F$1,[1]characters!$1:$1,0)-MATCH($A$1,[1]characters!$1:$1,0)+1,FALSE)</f>
        <v>不明</v>
      </c>
      <c r="G8" s="55">
        <f ca="1">VLOOKUP($A8,OFFSET([1]characters!$A$1,0,0,COUNTA([1]characters!$A:$A),MATCH(G$1,[1]characters!$1:$1,0)-MATCH($A$1,[1]characters!$1:$1,0)+1),MATCH(G$1,[1]characters!$1:$1,0)-MATCH($A$1,[1]characters!$1:$1,0)+1,FALSE)</f>
        <v>5</v>
      </c>
      <c r="H8" s="55" t="str">
        <f ca="1">VLOOKUP($A8,OFFSET([1]characters!$A$1,0,0,COUNTA([1]characters!$A:$A),MATCH(H$1,[1]characters!$1:$1,0)-MATCH($A$1,[1]characters!$1:$1,0)+1),MATCH(H$1,[1]characters!$1:$1,0)-MATCH($A$1,[1]characters!$1:$1,0)+1,FALSE)</f>
        <v>PremiumSS</v>
      </c>
      <c r="I8" s="55" t="str">
        <f ca="1">VLOOKUP($A8,OFFSET([1]characters!$A$1,0,0,COUNTA([1]characters!$A:$A),MATCH(I$1,[1]characters!$1:$1,0)-MATCH($A$1,[1]characters!$1:$1,0)+1),MATCH(I$1,[1]characters!$1:$1,0)-MATCH($A$1,[1]characters!$1:$1,0)+1,FALSE)</f>
        <v>blue</v>
      </c>
      <c r="J8" s="55" t="str">
        <f ca="1">VLOOKUP($A8,OFFSET([1]characters!$A$1,0,0,COUNTA([1]characters!$A:$A),MATCH(J$1,[1]characters!$1:$1,0)-MATCH($A$1,[1]characters!$1:$1,0)+1),MATCH(J$1,[1]characters!$1:$1,0)-MATCH($A$1,[1]characters!$1:$1,0)+1,FALSE)</f>
        <v>machine</v>
      </c>
      <c r="K8" s="5" t="str">
        <f ca="1">VLOOKUP(J8,[1]character_tribe_i18n!$A:$H,3,FALSE)</f>
        <v>マシン</v>
      </c>
      <c r="L8" s="11" t="e">
        <f>VLOOKUP(#REF!,[1]character_tribe_i18n!$A:$H,4,FALSE)</f>
        <v>#REF!</v>
      </c>
      <c r="M8" s="11" t="e">
        <f>VLOOKUP(#REF!,[1]character_tribe_i18n!$A:$H,5,FALSE)</f>
        <v>#REF!</v>
      </c>
      <c r="N8" s="11" t="e">
        <f>VLOOKUP(#REF!,[1]character_tribe_i18n!$A:$H,6,FALSE)</f>
        <v>#REF!</v>
      </c>
      <c r="O8" s="11" t="e">
        <f>VLOOKUP(#REF!,[1]character_tribe_i18n!$A:$H,7,FALSE)</f>
        <v>#REF!</v>
      </c>
      <c r="P8" s="179" t="str">
        <f>VLOOKUP(Q8,[1]characters!$A:$AC,20)</f>
        <v>normal</v>
      </c>
      <c r="Q8" s="9">
        <v>1142</v>
      </c>
      <c r="R8" s="60" t="str">
        <f ca="1">IF(Q8="NULL","",VLOOKUP($Q8,OFFSET([1]characters!$A$1,0,0,COUNTA([1]characters!$A:$A),MATCH(R$1,[1]characters!$1:$1,0)-MATCH($A$1,[1]characters!$1:$1,0)+1),MATCH(R$1,[1]characters!$1:$1,0)-MATCH($A$1,[1]characters!$1:$1,0)+1,FALSE))</f>
        <v>蒼明な機鋼士 月英</v>
      </c>
      <c r="S8" s="5">
        <f t="shared" ca="1" si="0"/>
        <v>1141</v>
      </c>
      <c r="T8" s="60" t="str">
        <f ca="1">VLOOKUP($S8,OFFSET([1]characters!$A$1,0,0,COUNTA([1]characters!$A:$A),MATCH(T$1,[1]characters!$1:$1,0)-MATCH($A$1,[1]characters!$1:$1,0)+1),MATCH(T$1,[1]characters!$1:$1,0)-MATCH($A$1,[1]characters!$1:$1,0)+1,FALSE)</f>
        <v>月英</v>
      </c>
      <c r="U8" s="11">
        <f ca="1">IF(Q8="NULL","NULL",VLOOKUP(G8,[2]ビット!$A$2:$B$7,2))</f>
        <v>200000</v>
      </c>
    </row>
    <row r="9" spans="1:21" ht="21" customHeight="1" x14ac:dyDescent="0.15">
      <c r="A9" s="179">
        <v>1143</v>
      </c>
      <c r="B9" s="55" t="str">
        <f ca="1">VLOOKUP($A9,OFFSET([1]characters!$A$1,0,0,COUNTA([1]characters!$A:$A),MATCH(B$1,[1]characters!$1:$1,0)-MATCH($A$1,[1]characters!$1:$1,0)+1),MATCH(B$1,[1]characters!$1:$1,0)-MATCH($A$1,[1]characters!$1:$1,0)+1,FALSE)</f>
        <v>黄忠</v>
      </c>
      <c r="C9" s="55" t="str">
        <f ca="1">VLOOKUP($A9,OFFSET([1]characters!$A$1,0,0,COUNTA([1]characters!$A:$A),MATCH(C$1,[1]characters!$1:$1,0)-MATCH($A$1,[1]characters!$1:$1,0)+1),MATCH(C$1,[1]characters!$1:$1,0)-MATCH($A$1,[1]characters!$1:$1,0)+1,FALSE)</f>
        <v>未定</v>
      </c>
      <c r="D9" s="55" t="str">
        <f ca="1">VLOOKUP($A9,OFFSET([1]characters!$A$1,0,0,COUNTA([1]characters!$A:$A),MATCH(D$1,[1]characters!$1:$1,0)-MATCH($A$1,[1]characters!$1:$1,0)+1),MATCH(D$1,[1]characters!$1:$1,0)-MATCH($A$1,[1]characters!$1:$1,0)+1,FALSE)</f>
        <v>アリス</v>
      </c>
      <c r="E9" s="55" t="str">
        <f ca="1">VLOOKUP($A9,OFFSET([1]characters!$A$1,0,0,COUNTA([1]characters!$A:$A),MATCH(E$1,[1]characters!$1:$1,0)-MATCH($A$1,[1]characters!$1:$1,0)+1),MATCH(E$1,[1]characters!$1:$1,0)-MATCH($A$1,[1]characters!$1:$1,0)+1,FALSE)</f>
        <v>世界観</v>
      </c>
      <c r="F9" s="55" t="str">
        <f ca="1">VLOOKUP($A9,OFFSET([1]characters!$A$1,0,0,COUNTA([1]characters!$A:$A),MATCH(F$1,[1]characters!$1:$1,0)-MATCH($A$1,[1]characters!$1:$1,0)+1),MATCH(F$1,[1]characters!$1:$1,0)-MATCH($A$1,[1]characters!$1:$1,0)+1,FALSE)</f>
        <v>不明</v>
      </c>
      <c r="G9" s="55">
        <f ca="1">VLOOKUP($A9,OFFSET([1]characters!$A$1,0,0,COUNTA([1]characters!$A:$A),MATCH(G$1,[1]characters!$1:$1,0)-MATCH($A$1,[1]characters!$1:$1,0)+1),MATCH(G$1,[1]characters!$1:$1,0)-MATCH($A$1,[1]characters!$1:$1,0)+1,FALSE)</f>
        <v>4</v>
      </c>
      <c r="H9" s="55" t="str">
        <f ca="1">VLOOKUP($A9,OFFSET([1]characters!$A$1,0,0,COUNTA([1]characters!$A:$A),MATCH(H$1,[1]characters!$1:$1,0)-MATCH($A$1,[1]characters!$1:$1,0)+1),MATCH(H$1,[1]characters!$1:$1,0)-MATCH($A$1,[1]characters!$1:$1,0)+1,FALSE)</f>
        <v>PremiumS</v>
      </c>
      <c r="I9" s="55" t="str">
        <f ca="1">VLOOKUP($A9,OFFSET([1]characters!$A$1,0,0,COUNTA([1]characters!$A:$A),MATCH(I$1,[1]characters!$1:$1,0)-MATCH($A$1,[1]characters!$1:$1,0)+1),MATCH(I$1,[1]characters!$1:$1,0)-MATCH($A$1,[1]characters!$1:$1,0)+1,FALSE)</f>
        <v>yellow</v>
      </c>
      <c r="J9" s="55" t="str">
        <f ca="1">VLOOKUP($A9,OFFSET([1]characters!$A$1,0,0,COUNTA([1]characters!$A:$A),MATCH(J$1,[1]characters!$1:$1,0)-MATCH($A$1,[1]characters!$1:$1,0)+1),MATCH(J$1,[1]characters!$1:$1,0)-MATCH($A$1,[1]characters!$1:$1,0)+1,FALSE)</f>
        <v>human</v>
      </c>
      <c r="K9" s="5" t="str">
        <f ca="1">VLOOKUP(J9,[1]character_tribe_i18n!$A:$H,3,FALSE)</f>
        <v>ヒューマン</v>
      </c>
      <c r="L9" s="11" t="e">
        <f>VLOOKUP(#REF!,[1]character_tribe_i18n!$A:$H,4,FALSE)</f>
        <v>#REF!</v>
      </c>
      <c r="M9" s="11" t="e">
        <f>VLOOKUP(#REF!,[1]character_tribe_i18n!$A:$H,5,FALSE)</f>
        <v>#REF!</v>
      </c>
      <c r="N9" s="11" t="e">
        <f>VLOOKUP(#REF!,[1]character_tribe_i18n!$A:$H,6,FALSE)</f>
        <v>#REF!</v>
      </c>
      <c r="O9" s="11" t="e">
        <f>VLOOKUP(#REF!,[1]character_tribe_i18n!$A:$H,7,FALSE)</f>
        <v>#REF!</v>
      </c>
      <c r="P9" s="179" t="str">
        <f>VLOOKUP(Q9,[1]characters!$A:$AC,20)</f>
        <v>normal</v>
      </c>
      <c r="Q9" s="9">
        <v>1144</v>
      </c>
      <c r="R9" s="60" t="str">
        <f ca="1">IF(Q9="NULL","",VLOOKUP($Q9,OFFSET([1]characters!$A$1,0,0,COUNTA([1]characters!$A:$A),MATCH(R$1,[1]characters!$1:$1,0)-MATCH($A$1,[1]characters!$1:$1,0)+1),MATCH(R$1,[1]characters!$1:$1,0)-MATCH($A$1,[1]characters!$1:$1,0)+1,FALSE))</f>
        <v>白星を射る老将 黄忠</v>
      </c>
      <c r="S9" s="5">
        <f t="shared" ca="1" si="0"/>
        <v>1143</v>
      </c>
      <c r="T9" s="60" t="str">
        <f ca="1">VLOOKUP($S9,OFFSET([1]characters!$A$1,0,0,COUNTA([1]characters!$A:$A),MATCH(T$1,[1]characters!$1:$1,0)-MATCH($A$1,[1]characters!$1:$1,0)+1),MATCH(T$1,[1]characters!$1:$1,0)-MATCH($A$1,[1]characters!$1:$1,0)+1,FALSE)</f>
        <v>黄忠</v>
      </c>
      <c r="U9" s="11">
        <f ca="1">IF(Q9="NULL","NULL",VLOOKUP(G9,[2]ビット!$A$2:$B$7,2))</f>
        <v>50000</v>
      </c>
    </row>
  </sheetData>
  <autoFilter ref="A1:U2"/>
  <phoneticPr fontId="22"/>
  <conditionalFormatting sqref="W1:W2 W10:W1048576">
    <cfRule type="cellIs" dxfId="28" priority="5" operator="equal">
      <formula>"FALSE"</formula>
    </cfRule>
  </conditionalFormatting>
  <conditionalFormatting sqref="W3">
    <cfRule type="cellIs" dxfId="27" priority="4" operator="equal">
      <formula>"FALSE"</formula>
    </cfRule>
  </conditionalFormatting>
  <conditionalFormatting sqref="W4:W7">
    <cfRule type="cellIs" dxfId="26" priority="3" operator="equal">
      <formula>"FALSE"</formula>
    </cfRule>
  </conditionalFormatting>
  <conditionalFormatting sqref="W8">
    <cfRule type="cellIs" dxfId="25" priority="2" operator="equal">
      <formula>"FALSE"</formula>
    </cfRule>
  </conditionalFormatting>
  <conditionalFormatting sqref="W9">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6"/>
  <sheetViews>
    <sheetView showGridLines="0" workbookViewId="0">
      <pane ySplit="1" topLeftCell="A2" activePane="bottomLeft" state="frozen"/>
      <selection pane="bottomLeft" activeCell="E43" sqref="E43"/>
    </sheetView>
  </sheetViews>
  <sheetFormatPr baseColWidth="12" defaultColWidth="13" defaultRowHeight="15" x14ac:dyDescent="0.15"/>
  <cols>
    <col min="1" max="1" width="11.5" style="63"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3" t="s">
        <v>99</v>
      </c>
      <c r="B1" s="41" t="s">
        <v>38</v>
      </c>
      <c r="C1" s="180" t="s">
        <v>289</v>
      </c>
      <c r="D1" s="20" t="s">
        <v>40</v>
      </c>
      <c r="E1" s="20" t="s">
        <v>42</v>
      </c>
      <c r="F1" s="20" t="s">
        <v>43</v>
      </c>
      <c r="G1" s="180" t="s">
        <v>290</v>
      </c>
      <c r="H1" s="20" t="s">
        <v>40</v>
      </c>
      <c r="I1" s="42" t="s">
        <v>36</v>
      </c>
      <c r="J1" s="20" t="s">
        <v>41</v>
      </c>
      <c r="K1" s="19" t="s">
        <v>37</v>
      </c>
      <c r="L1" s="183" t="s">
        <v>127</v>
      </c>
      <c r="M1" s="184" t="s">
        <v>292</v>
      </c>
    </row>
    <row r="2" spans="1:14" ht="21" customHeight="1" x14ac:dyDescent="0.15">
      <c r="A2" s="63" t="str">
        <f>B2&amp;"_"&amp;I2</f>
        <v>1129_101</v>
      </c>
      <c r="B2" s="182">
        <v>1129</v>
      </c>
      <c r="C2" s="181">
        <f>B2</f>
        <v>1129</v>
      </c>
      <c r="D2" s="55" t="str">
        <f ca="1">VLOOKUP($C2,OFFSET([1]characters!$A$1,0,0,COUNTA([1]characters!$A:$A),MATCH(D$1,[1]characters!$1:$1,0)-MATCH($C$1,[1]characters!$1:$1,0)+1),MATCH(D$1,[1]characters!$1:$1,0)-MATCH($C$1,[1]characters!$1:$1,0)+1,FALSE)</f>
        <v>赤兎馬</v>
      </c>
      <c r="E2" s="55">
        <f ca="1">VLOOKUP($C2,OFFSET([1]characters!$A$1,0,0,COUNTA([1]characters!$A:$A),MATCH(E$1,[1]characters!$1:$1,0)-MATCH($C$1,[1]characters!$1:$1,0)+1),MATCH(E$1,[1]characters!$1:$1,0)-MATCH($C$1,[1]characters!$1:$1,0)+1,FALSE)</f>
        <v>4</v>
      </c>
      <c r="F2" s="55" t="str">
        <f ca="1">VLOOKUP($C2,OFFSET([1]characters!$A$1,0,0,COUNTA([1]characters!$A:$A),MATCH(F$1,[1]characters!$1:$1,0)-MATCH($C$1,[1]characters!$1:$1,0)+1),MATCH(F$1,[1]characters!$1:$1,0)-MATCH($C$1,[1]characters!$1:$1,0)+1,FALSE)</f>
        <v>Drop2N</v>
      </c>
      <c r="G2" s="182">
        <v>1130</v>
      </c>
      <c r="H2" s="55" t="str">
        <f ca="1">VLOOKUP($G2,OFFSET([1]characters!$A$1,0,0,COUNTA([1]characters!$A:$A),MATCH(H$1,[1]characters!$1:$1,0)-MATCH($C$1,[1]characters!$1:$1,0)+1),MATCH(H$1,[1]characters!$1:$1,0)-MATCH($C$1,[1]characters!$1:$1,0)+1,FALSE)</f>
        <v>紅鋼の疾躁獣 赤兎馬</v>
      </c>
      <c r="I2" s="190">
        <v>101</v>
      </c>
      <c r="J2" s="55" t="str">
        <f ca="1">VLOOKUP($I2,OFFSET([1]characters!$A$1,0,0,COUNTA([1]characters!$A:$A),MATCH(J$1,[1]characters!$1:$1,0)-MATCH($C$1,[1]characters!$1:$1,0)+1),MATCH(J$1,[1]characters!$1:$1,0)-MATCH($C$1,[1]characters!$1:$1,0)+1,FALSE)</f>
        <v>レッドチェシャ</v>
      </c>
      <c r="K2" s="18">
        <v>1</v>
      </c>
      <c r="L2" s="112">
        <v>1</v>
      </c>
      <c r="M2" s="112">
        <v>10</v>
      </c>
      <c r="N2" s="2" t="s">
        <v>291</v>
      </c>
    </row>
    <row r="3" spans="1:14" ht="21" customHeight="1" x14ac:dyDescent="0.15">
      <c r="A3" s="63" t="str">
        <f t="shared" ref="A3:A4" si="0">B3&amp;"_"&amp;I3</f>
        <v>1129_102</v>
      </c>
      <c r="B3" s="182">
        <v>1129</v>
      </c>
      <c r="C3" s="181">
        <f t="shared" ref="C3:C7" si="1">B3</f>
        <v>1129</v>
      </c>
      <c r="D3" s="55" t="str">
        <f ca="1">VLOOKUP($C3,OFFSET([1]characters!$A$1,0,0,COUNTA([1]characters!$A:$A),MATCH(D$1,[1]characters!$1:$1,0)-MATCH($C$1,[1]characters!$1:$1,0)+1),MATCH(D$1,[1]characters!$1:$1,0)-MATCH($C$1,[1]characters!$1:$1,0)+1,FALSE)</f>
        <v>赤兎馬</v>
      </c>
      <c r="E3" s="55">
        <f ca="1">VLOOKUP($C3,OFFSET([1]characters!$A$1,0,0,COUNTA([1]characters!$A:$A),MATCH(E$1,[1]characters!$1:$1,0)-MATCH($C$1,[1]characters!$1:$1,0)+1),MATCH(E$1,[1]characters!$1:$1,0)-MATCH($C$1,[1]characters!$1:$1,0)+1,FALSE)</f>
        <v>4</v>
      </c>
      <c r="F3" s="55" t="str">
        <f ca="1">VLOOKUP($C3,OFFSET([1]characters!$A$1,0,0,COUNTA([1]characters!$A:$A),MATCH(F$1,[1]characters!$1:$1,0)-MATCH($C$1,[1]characters!$1:$1,0)+1),MATCH(F$1,[1]characters!$1:$1,0)-MATCH($C$1,[1]characters!$1:$1,0)+1,FALSE)</f>
        <v>Drop2N</v>
      </c>
      <c r="G3" s="182">
        <v>1130</v>
      </c>
      <c r="H3" s="55" t="str">
        <f ca="1">VLOOKUP($G3,OFFSET([1]characters!$A$1,0,0,COUNTA([1]characters!$A:$A),MATCH(H$1,[1]characters!$1:$1,0)-MATCH($C$1,[1]characters!$1:$1,0)+1),MATCH(H$1,[1]characters!$1:$1,0)-MATCH($C$1,[1]characters!$1:$1,0)+1,FALSE)</f>
        <v>紅鋼の疾躁獣 赤兎馬</v>
      </c>
      <c r="I3" s="190">
        <v>102</v>
      </c>
      <c r="J3" s="55" t="str">
        <f ca="1">VLOOKUP($I3,OFFSET([1]characters!$A$1,0,0,COUNTA([1]characters!$A:$A),MATCH(J$1,[1]characters!$1:$1,0)-MATCH($C$1,[1]characters!$1:$1,0)+1),MATCH(J$1,[1]characters!$1:$1,0)-MATCH($C$1,[1]characters!$1:$1,0)+1,FALSE)</f>
        <v>レッドラビット</v>
      </c>
      <c r="K3" s="18">
        <v>2</v>
      </c>
      <c r="L3" s="112">
        <v>1</v>
      </c>
      <c r="M3" s="112">
        <v>10</v>
      </c>
      <c r="N3" s="2" t="s">
        <v>291</v>
      </c>
    </row>
    <row r="4" spans="1:14" ht="21" customHeight="1" x14ac:dyDescent="0.15">
      <c r="A4" s="63" t="str">
        <f t="shared" si="0"/>
        <v>1129_103</v>
      </c>
      <c r="B4" s="182">
        <v>1129</v>
      </c>
      <c r="C4" s="181">
        <f t="shared" si="1"/>
        <v>1129</v>
      </c>
      <c r="D4" s="55" t="str">
        <f ca="1">VLOOKUP($C4,OFFSET([1]characters!$A$1,0,0,COUNTA([1]characters!$A:$A),MATCH(D$1,[1]characters!$1:$1,0)-MATCH($C$1,[1]characters!$1:$1,0)+1),MATCH(D$1,[1]characters!$1:$1,0)-MATCH($C$1,[1]characters!$1:$1,0)+1,FALSE)</f>
        <v>赤兎馬</v>
      </c>
      <c r="E4" s="55">
        <f ca="1">VLOOKUP($C4,OFFSET([1]characters!$A$1,0,0,COUNTA([1]characters!$A:$A),MATCH(E$1,[1]characters!$1:$1,0)-MATCH($C$1,[1]characters!$1:$1,0)+1),MATCH(E$1,[1]characters!$1:$1,0)-MATCH($C$1,[1]characters!$1:$1,0)+1,FALSE)</f>
        <v>4</v>
      </c>
      <c r="F4" s="55" t="str">
        <f ca="1">VLOOKUP($C4,OFFSET([1]characters!$A$1,0,0,COUNTA([1]characters!$A:$A),MATCH(F$1,[1]characters!$1:$1,0)-MATCH($C$1,[1]characters!$1:$1,0)+1),MATCH(F$1,[1]characters!$1:$1,0)-MATCH($C$1,[1]characters!$1:$1,0)+1,FALSE)</f>
        <v>Drop2N</v>
      </c>
      <c r="G4" s="182">
        <v>1130</v>
      </c>
      <c r="H4" s="55" t="str">
        <f ca="1">VLOOKUP($G4,OFFSET([1]characters!$A$1,0,0,COUNTA([1]characters!$A:$A),MATCH(H$1,[1]characters!$1:$1,0)-MATCH($C$1,[1]characters!$1:$1,0)+1),MATCH(H$1,[1]characters!$1:$1,0)-MATCH($C$1,[1]characters!$1:$1,0)+1,FALSE)</f>
        <v>紅鋼の疾躁獣 赤兎馬</v>
      </c>
      <c r="I4" s="190">
        <v>103</v>
      </c>
      <c r="J4" s="55" t="str">
        <f ca="1">VLOOKUP($I4,OFFSET([1]characters!$A$1,0,0,COUNTA([1]characters!$A:$A),MATCH(J$1,[1]characters!$1:$1,0)-MATCH($C$1,[1]characters!$1:$1,0)+1),MATCH(J$1,[1]characters!$1:$1,0)-MATCH($C$1,[1]characters!$1:$1,0)+1,FALSE)</f>
        <v>レッドキャタップ</v>
      </c>
      <c r="K4" s="18">
        <v>1</v>
      </c>
      <c r="L4" s="112">
        <v>1</v>
      </c>
      <c r="M4" s="112">
        <v>10</v>
      </c>
      <c r="N4" s="2" t="s">
        <v>291</v>
      </c>
    </row>
    <row r="5" spans="1:14" ht="21" customHeight="1" x14ac:dyDescent="0.15">
      <c r="A5" s="63" t="str">
        <f t="shared" ref="A5" si="2">B5&amp;"_"&amp;I5</f>
        <v>1129_104</v>
      </c>
      <c r="B5" s="182">
        <v>1129</v>
      </c>
      <c r="C5" s="181">
        <f t="shared" ref="C5" si="3">B5</f>
        <v>1129</v>
      </c>
      <c r="D5" s="55" t="str">
        <f ca="1">VLOOKUP($C5,OFFSET([1]characters!$A$1,0,0,COUNTA([1]characters!$A:$A),MATCH(D$1,[1]characters!$1:$1,0)-MATCH($C$1,[1]characters!$1:$1,0)+1),MATCH(D$1,[1]characters!$1:$1,0)-MATCH($C$1,[1]characters!$1:$1,0)+1,FALSE)</f>
        <v>赤兎馬</v>
      </c>
      <c r="E5" s="55">
        <f ca="1">VLOOKUP($C5,OFFSET([1]characters!$A$1,0,0,COUNTA([1]characters!$A:$A),MATCH(E$1,[1]characters!$1:$1,0)-MATCH($C$1,[1]characters!$1:$1,0)+1),MATCH(E$1,[1]characters!$1:$1,0)-MATCH($C$1,[1]characters!$1:$1,0)+1,FALSE)</f>
        <v>4</v>
      </c>
      <c r="F5" s="55" t="str">
        <f ca="1">VLOOKUP($C5,OFFSET([1]characters!$A$1,0,0,COUNTA([1]characters!$A:$A),MATCH(F$1,[1]characters!$1:$1,0)-MATCH($C$1,[1]characters!$1:$1,0)+1),MATCH(F$1,[1]characters!$1:$1,0)-MATCH($C$1,[1]characters!$1:$1,0)+1,FALSE)</f>
        <v>Drop2N</v>
      </c>
      <c r="G5" s="182">
        <v>1130</v>
      </c>
      <c r="H5" s="55" t="str">
        <f ca="1">VLOOKUP($G5,OFFSET([1]characters!$A$1,0,0,COUNTA([1]characters!$A:$A),MATCH(H$1,[1]characters!$1:$1,0)-MATCH($C$1,[1]characters!$1:$1,0)+1),MATCH(H$1,[1]characters!$1:$1,0)-MATCH($C$1,[1]characters!$1:$1,0)+1,FALSE)</f>
        <v>紅鋼の疾躁獣 赤兎馬</v>
      </c>
      <c r="I5" s="190">
        <v>104</v>
      </c>
      <c r="J5" s="55" t="str">
        <f ca="1">VLOOKUP($I5,OFFSET([1]characters!$A$1,0,0,COUNTA([1]characters!$A:$A),MATCH(J$1,[1]characters!$1:$1,0)-MATCH($C$1,[1]characters!$1:$1,0)+1),MATCH(J$1,[1]characters!$1:$1,0)-MATCH($C$1,[1]characters!$1:$1,0)+1,FALSE)</f>
        <v>炎のマッドハッター</v>
      </c>
      <c r="K5" s="18">
        <v>1</v>
      </c>
      <c r="L5" s="112">
        <v>1</v>
      </c>
      <c r="M5" s="112">
        <v>10</v>
      </c>
      <c r="N5" s="2" t="s">
        <v>291</v>
      </c>
    </row>
    <row r="6" spans="1:14" ht="21" customHeight="1" x14ac:dyDescent="0.15">
      <c r="A6" s="63" t="str">
        <f>B6&amp;"_"&amp;I6</f>
        <v>1131_108</v>
      </c>
      <c r="B6" s="182">
        <v>1131</v>
      </c>
      <c r="C6" s="181">
        <f>B6</f>
        <v>1131</v>
      </c>
      <c r="D6" s="55" t="str">
        <f ca="1">VLOOKUP($C6,OFFSET([1]characters!$A$1,0,0,COUNTA([1]characters!$A:$A),MATCH(D$1,[1]characters!$1:$1,0)-MATCH($C$1,[1]characters!$1:$1,0)+1),MATCH(D$1,[1]characters!$1:$1,0)-MATCH($C$1,[1]characters!$1:$1,0)+1,FALSE)</f>
        <v>董卓</v>
      </c>
      <c r="E6" s="55">
        <f ca="1">VLOOKUP($C6,OFFSET([1]characters!$A$1,0,0,COUNTA([1]characters!$A:$A),MATCH(E$1,[1]characters!$1:$1,0)-MATCH($C$1,[1]characters!$1:$1,0)+1),MATCH(E$1,[1]characters!$1:$1,0)-MATCH($C$1,[1]characters!$1:$1,0)+1,FALSE)</f>
        <v>5</v>
      </c>
      <c r="F6" s="55" t="str">
        <f ca="1">VLOOKUP($C6,OFFSET([1]characters!$A$1,0,0,COUNTA([1]characters!$A:$A),MATCH(F$1,[1]characters!$1:$1,0)-MATCH($C$1,[1]characters!$1:$1,0)+1),MATCH(F$1,[1]characters!$1:$1,0)-MATCH($C$1,[1]characters!$1:$1,0)+1,FALSE)</f>
        <v>DropWizS</v>
      </c>
      <c r="G6" s="182">
        <v>1132</v>
      </c>
      <c r="H6" s="55" t="str">
        <f ca="1">VLOOKUP($G6,OFFSET([1]characters!$A$1,0,0,COUNTA([1]characters!$A:$A),MATCH(H$1,[1]characters!$1:$1,0)-MATCH($C$1,[1]characters!$1:$1,0)+1),MATCH(H$1,[1]characters!$1:$1,0)-MATCH($C$1,[1]characters!$1:$1,0)+1,FALSE)</f>
        <v>偏執なる狂騒君 董卓</v>
      </c>
      <c r="I6" s="190">
        <v>108</v>
      </c>
      <c r="J6" s="55" t="str">
        <f ca="1">VLOOKUP($I6,OFFSET([1]characters!$A$1,0,0,COUNTA([1]characters!$A:$A),MATCH(J$1,[1]characters!$1:$1,0)-MATCH($C$1,[1]characters!$1:$1,0)+1),MATCH(J$1,[1]characters!$1:$1,0)-MATCH($C$1,[1]characters!$1:$1,0)+1,FALSE)</f>
        <v>森のマッドハッター</v>
      </c>
      <c r="K6" s="18">
        <v>1</v>
      </c>
      <c r="L6" s="112">
        <v>1</v>
      </c>
      <c r="M6" s="112">
        <v>10</v>
      </c>
      <c r="N6" s="2" t="s">
        <v>291</v>
      </c>
    </row>
    <row r="7" spans="1:14" ht="21" customHeight="1" x14ac:dyDescent="0.15">
      <c r="A7" s="63" t="str">
        <f t="shared" ref="A7" si="4">B7&amp;"_"&amp;I7</f>
        <v>1131_1129</v>
      </c>
      <c r="B7" s="182">
        <v>1131</v>
      </c>
      <c r="C7" s="181">
        <f t="shared" si="1"/>
        <v>1131</v>
      </c>
      <c r="D7" s="55" t="str">
        <f ca="1">VLOOKUP($C7,OFFSET([1]characters!$A$1,0,0,COUNTA([1]characters!$A:$A),MATCH(D$1,[1]characters!$1:$1,0)-MATCH($C$1,[1]characters!$1:$1,0)+1),MATCH(D$1,[1]characters!$1:$1,0)-MATCH($C$1,[1]characters!$1:$1,0)+1,FALSE)</f>
        <v>董卓</v>
      </c>
      <c r="E7" s="55">
        <f ca="1">VLOOKUP($C7,OFFSET([1]characters!$A$1,0,0,COUNTA([1]characters!$A:$A),MATCH(E$1,[1]characters!$1:$1,0)-MATCH($C$1,[1]characters!$1:$1,0)+1),MATCH(E$1,[1]characters!$1:$1,0)-MATCH($C$1,[1]characters!$1:$1,0)+1,FALSE)</f>
        <v>5</v>
      </c>
      <c r="F7" s="55" t="str">
        <f ca="1">VLOOKUP($C7,OFFSET([1]characters!$A$1,0,0,COUNTA([1]characters!$A:$A),MATCH(F$1,[1]characters!$1:$1,0)-MATCH($C$1,[1]characters!$1:$1,0)+1),MATCH(F$1,[1]characters!$1:$1,0)-MATCH($C$1,[1]characters!$1:$1,0)+1,FALSE)</f>
        <v>DropWizS</v>
      </c>
      <c r="G7" s="182">
        <v>1132</v>
      </c>
      <c r="H7" s="55" t="str">
        <f ca="1">VLOOKUP($G7,OFFSET([1]characters!$A$1,0,0,COUNTA([1]characters!$A:$A),MATCH(H$1,[1]characters!$1:$1,0)-MATCH($C$1,[1]characters!$1:$1,0)+1),MATCH(H$1,[1]characters!$1:$1,0)-MATCH($C$1,[1]characters!$1:$1,0)+1,FALSE)</f>
        <v>偏執なる狂騒君 董卓</v>
      </c>
      <c r="I7" s="190">
        <v>1129</v>
      </c>
      <c r="J7" s="55" t="str">
        <f ca="1">VLOOKUP($I7,OFFSET([1]characters!$A$1,0,0,COUNTA([1]characters!$A:$A),MATCH(J$1,[1]characters!$1:$1,0)-MATCH($C$1,[1]characters!$1:$1,0)+1),MATCH(J$1,[1]characters!$1:$1,0)-MATCH($C$1,[1]characters!$1:$1,0)+1,FALSE)</f>
        <v>赤兎馬</v>
      </c>
      <c r="K7" s="18">
        <v>1</v>
      </c>
      <c r="L7" s="112">
        <v>2</v>
      </c>
      <c r="M7" s="112">
        <v>100</v>
      </c>
      <c r="N7" s="2" t="s">
        <v>291</v>
      </c>
    </row>
    <row r="8" spans="1:14" ht="21" customHeight="1" x14ac:dyDescent="0.15">
      <c r="A8" s="63" t="str">
        <f t="shared" ref="A8:A9" si="5">B8&amp;"_"&amp;I8</f>
        <v>1131_420</v>
      </c>
      <c r="B8" s="182">
        <v>1131</v>
      </c>
      <c r="C8" s="181">
        <f t="shared" ref="C8:C9" si="6">B8</f>
        <v>1131</v>
      </c>
      <c r="D8" s="55" t="str">
        <f ca="1">VLOOKUP($C8,OFFSET([1]characters!$A$1,0,0,COUNTA([1]characters!$A:$A),MATCH(D$1,[1]characters!$1:$1,0)-MATCH($C$1,[1]characters!$1:$1,0)+1),MATCH(D$1,[1]characters!$1:$1,0)-MATCH($C$1,[1]characters!$1:$1,0)+1,FALSE)</f>
        <v>董卓</v>
      </c>
      <c r="E8" s="55">
        <f ca="1">VLOOKUP($C8,OFFSET([1]characters!$A$1,0,0,COUNTA([1]characters!$A:$A),MATCH(E$1,[1]characters!$1:$1,0)-MATCH($C$1,[1]characters!$1:$1,0)+1),MATCH(E$1,[1]characters!$1:$1,0)-MATCH($C$1,[1]characters!$1:$1,0)+1,FALSE)</f>
        <v>5</v>
      </c>
      <c r="F8" s="55" t="str">
        <f ca="1">VLOOKUP($C8,OFFSET([1]characters!$A$1,0,0,COUNTA([1]characters!$A:$A),MATCH(F$1,[1]characters!$1:$1,0)-MATCH($C$1,[1]characters!$1:$1,0)+1),MATCH(F$1,[1]characters!$1:$1,0)-MATCH($C$1,[1]characters!$1:$1,0)+1,FALSE)</f>
        <v>DropWizS</v>
      </c>
      <c r="G8" s="182">
        <v>1132</v>
      </c>
      <c r="H8" s="55" t="str">
        <f ca="1">VLOOKUP($G8,OFFSET([1]characters!$A$1,0,0,COUNTA([1]characters!$A:$A),MATCH(H$1,[1]characters!$1:$1,0)-MATCH($C$1,[1]characters!$1:$1,0)+1),MATCH(H$1,[1]characters!$1:$1,0)-MATCH($C$1,[1]characters!$1:$1,0)+1,FALSE)</f>
        <v>偏執なる狂騒君 董卓</v>
      </c>
      <c r="I8" s="190">
        <v>420</v>
      </c>
      <c r="J8" s="55" t="str">
        <f ca="1">VLOOKUP($I8,OFFSET([1]characters!$A$1,0,0,COUNTA([1]characters!$A:$A),MATCH(J$1,[1]characters!$1:$1,0)-MATCH($C$1,[1]characters!$1:$1,0)+1),MATCH(J$1,[1]characters!$1:$1,0)-MATCH($C$1,[1]characters!$1:$1,0)+1,FALSE)</f>
        <v>カエデ</v>
      </c>
      <c r="K8" s="18">
        <v>1</v>
      </c>
      <c r="L8" s="112">
        <v>3</v>
      </c>
      <c r="M8" s="112">
        <v>100</v>
      </c>
      <c r="N8" s="2" t="s">
        <v>291</v>
      </c>
    </row>
    <row r="9" spans="1:14" ht="21" customHeight="1" x14ac:dyDescent="0.15">
      <c r="A9" s="63" t="str">
        <f t="shared" si="5"/>
        <v>1131_837</v>
      </c>
      <c r="B9" s="182">
        <v>1131</v>
      </c>
      <c r="C9" s="181">
        <f t="shared" si="6"/>
        <v>1131</v>
      </c>
      <c r="D9" s="55" t="str">
        <f ca="1">VLOOKUP($C9,OFFSET([1]characters!$A$1,0,0,COUNTA([1]characters!$A:$A),MATCH(D$1,[1]characters!$1:$1,0)-MATCH($C$1,[1]characters!$1:$1,0)+1),MATCH(D$1,[1]characters!$1:$1,0)-MATCH($C$1,[1]characters!$1:$1,0)+1,FALSE)</f>
        <v>董卓</v>
      </c>
      <c r="E9" s="55">
        <f ca="1">VLOOKUP($C9,OFFSET([1]characters!$A$1,0,0,COUNTA([1]characters!$A:$A),MATCH(E$1,[1]characters!$1:$1,0)-MATCH($C$1,[1]characters!$1:$1,0)+1),MATCH(E$1,[1]characters!$1:$1,0)-MATCH($C$1,[1]characters!$1:$1,0)+1,FALSE)</f>
        <v>5</v>
      </c>
      <c r="F9" s="55" t="str">
        <f ca="1">VLOOKUP($C9,OFFSET([1]characters!$A$1,0,0,COUNTA([1]characters!$A:$A),MATCH(F$1,[1]characters!$1:$1,0)-MATCH($C$1,[1]characters!$1:$1,0)+1),MATCH(F$1,[1]characters!$1:$1,0)-MATCH($C$1,[1]characters!$1:$1,0)+1,FALSE)</f>
        <v>DropWizS</v>
      </c>
      <c r="G9" s="182">
        <v>1132</v>
      </c>
      <c r="H9" s="55" t="str">
        <f ca="1">VLOOKUP($G9,OFFSET([1]characters!$A$1,0,0,COUNTA([1]characters!$A:$A),MATCH(H$1,[1]characters!$1:$1,0)-MATCH($C$1,[1]characters!$1:$1,0)+1),MATCH(H$1,[1]characters!$1:$1,0)-MATCH($C$1,[1]characters!$1:$1,0)+1,FALSE)</f>
        <v>偏執なる狂騒君 董卓</v>
      </c>
      <c r="I9" s="190">
        <v>837</v>
      </c>
      <c r="J9" s="55" t="str">
        <f ca="1">VLOOKUP($I9,OFFSET([1]characters!$A$1,0,0,COUNTA([1]characters!$A:$A),MATCH(J$1,[1]characters!$1:$1,0)-MATCH($C$1,[1]characters!$1:$1,0)+1),MATCH(J$1,[1]characters!$1:$1,0)-MATCH($C$1,[1]characters!$1:$1,0)+1,FALSE)</f>
        <v>リトルハンプティ</v>
      </c>
      <c r="K9" s="18">
        <v>1</v>
      </c>
      <c r="L9" s="112">
        <v>1</v>
      </c>
      <c r="M9" s="112">
        <v>1000</v>
      </c>
      <c r="N9" s="2" t="s">
        <v>291</v>
      </c>
    </row>
    <row r="10" spans="1:14" ht="21" customHeight="1" x14ac:dyDescent="0.15">
      <c r="A10" s="63" t="str">
        <f>B10&amp;"_"&amp;I10</f>
        <v>1133_116</v>
      </c>
      <c r="B10" s="182">
        <v>1133</v>
      </c>
      <c r="C10" s="181">
        <f>B10</f>
        <v>1133</v>
      </c>
      <c r="D10" s="55" t="str">
        <f ca="1">VLOOKUP($C10,OFFSET([1]characters!$A$1,0,0,COUNTA([1]characters!$A:$A),MATCH(D$1,[1]characters!$1:$1,0)-MATCH($C$1,[1]characters!$1:$1,0)+1),MATCH(D$1,[1]characters!$1:$1,0)-MATCH($C$1,[1]characters!$1:$1,0)+1,FALSE)</f>
        <v>貂蝉</v>
      </c>
      <c r="E10" s="55">
        <f ca="1">VLOOKUP($C10,OFFSET([1]characters!$A$1,0,0,COUNTA([1]characters!$A:$A),MATCH(E$1,[1]characters!$1:$1,0)-MATCH($C$1,[1]characters!$1:$1,0)+1),MATCH(E$1,[1]characters!$1:$1,0)-MATCH($C$1,[1]characters!$1:$1,0)+1,FALSE)</f>
        <v>5</v>
      </c>
      <c r="F10" s="55" t="str">
        <f ca="1">VLOOKUP($C10,OFFSET([1]characters!$A$1,0,0,COUNTA([1]characters!$A:$A),MATCH(F$1,[1]characters!$1:$1,0)-MATCH($C$1,[1]characters!$1:$1,0)+1),MATCH(F$1,[1]characters!$1:$1,0)-MATCH($C$1,[1]characters!$1:$1,0)+1,FALSE)</f>
        <v>DropWizS</v>
      </c>
      <c r="G10" s="182">
        <v>1134</v>
      </c>
      <c r="H10" s="55" t="str">
        <f ca="1">VLOOKUP($G10,OFFSET([1]characters!$A$1,0,0,COUNTA([1]characters!$A:$A),MATCH(H$1,[1]characters!$1:$1,0)-MATCH($C$1,[1]characters!$1:$1,0)+1),MATCH(H$1,[1]characters!$1:$1,0)-MATCH($C$1,[1]characters!$1:$1,0)+1,FALSE)</f>
        <v>月隠れの美麗酔 貂蝉</v>
      </c>
      <c r="I10" s="190">
        <v>116</v>
      </c>
      <c r="J10" s="55" t="str">
        <f ca="1">VLOOKUP($I10,OFFSET([1]characters!$A$1,0,0,COUNTA([1]characters!$A:$A),MATCH(J$1,[1]characters!$1:$1,0)-MATCH($C$1,[1]characters!$1:$1,0)+1),MATCH(J$1,[1]characters!$1:$1,0)-MATCH($C$1,[1]characters!$1:$1,0)+1,FALSE)</f>
        <v>雷のマッドハッター</v>
      </c>
      <c r="K10" s="18">
        <v>1</v>
      </c>
      <c r="L10" s="112">
        <v>1</v>
      </c>
      <c r="M10" s="112">
        <v>10</v>
      </c>
      <c r="N10" s="2" t="s">
        <v>291</v>
      </c>
    </row>
    <row r="11" spans="1:14" ht="21" customHeight="1" x14ac:dyDescent="0.15">
      <c r="A11" s="63" t="str">
        <f t="shared" ref="A11:A12" si="7">B11&amp;"_"&amp;I11</f>
        <v>1133_1129</v>
      </c>
      <c r="B11" s="182">
        <v>1133</v>
      </c>
      <c r="C11" s="181">
        <f t="shared" ref="C11:C12" si="8">B11</f>
        <v>1133</v>
      </c>
      <c r="D11" s="55" t="str">
        <f ca="1">VLOOKUP($C11,OFFSET([1]characters!$A$1,0,0,COUNTA([1]characters!$A:$A),MATCH(D$1,[1]characters!$1:$1,0)-MATCH($C$1,[1]characters!$1:$1,0)+1),MATCH(D$1,[1]characters!$1:$1,0)-MATCH($C$1,[1]characters!$1:$1,0)+1,FALSE)</f>
        <v>貂蝉</v>
      </c>
      <c r="E11" s="55">
        <f ca="1">VLOOKUP($C11,OFFSET([1]characters!$A$1,0,0,COUNTA([1]characters!$A:$A),MATCH(E$1,[1]characters!$1:$1,0)-MATCH($C$1,[1]characters!$1:$1,0)+1),MATCH(E$1,[1]characters!$1:$1,0)-MATCH($C$1,[1]characters!$1:$1,0)+1,FALSE)</f>
        <v>5</v>
      </c>
      <c r="F11" s="55" t="str">
        <f ca="1">VLOOKUP($C11,OFFSET([1]characters!$A$1,0,0,COUNTA([1]characters!$A:$A),MATCH(F$1,[1]characters!$1:$1,0)-MATCH($C$1,[1]characters!$1:$1,0)+1),MATCH(F$1,[1]characters!$1:$1,0)-MATCH($C$1,[1]characters!$1:$1,0)+1,FALSE)</f>
        <v>DropWizS</v>
      </c>
      <c r="G11" s="182">
        <v>1134</v>
      </c>
      <c r="H11" s="55" t="str">
        <f ca="1">VLOOKUP($G11,OFFSET([1]characters!$A$1,0,0,COUNTA([1]characters!$A:$A),MATCH(H$1,[1]characters!$1:$1,0)-MATCH($C$1,[1]characters!$1:$1,0)+1),MATCH(H$1,[1]characters!$1:$1,0)-MATCH($C$1,[1]characters!$1:$1,0)+1,FALSE)</f>
        <v>月隠れの美麗酔 貂蝉</v>
      </c>
      <c r="I11" s="190">
        <v>1129</v>
      </c>
      <c r="J11" s="55" t="str">
        <f ca="1">VLOOKUP($I11,OFFSET([1]characters!$A$1,0,0,COUNTA([1]characters!$A:$A),MATCH(J$1,[1]characters!$1:$1,0)-MATCH($C$1,[1]characters!$1:$1,0)+1),MATCH(J$1,[1]characters!$1:$1,0)-MATCH($C$1,[1]characters!$1:$1,0)+1,FALSE)</f>
        <v>赤兎馬</v>
      </c>
      <c r="K11" s="18">
        <v>1</v>
      </c>
      <c r="L11" s="112">
        <v>2</v>
      </c>
      <c r="M11" s="112">
        <v>100</v>
      </c>
      <c r="N11" s="2" t="s">
        <v>291</v>
      </c>
    </row>
    <row r="12" spans="1:14" ht="21" customHeight="1" x14ac:dyDescent="0.15">
      <c r="A12" s="63" t="str">
        <f t="shared" si="7"/>
        <v>1133_1094</v>
      </c>
      <c r="B12" s="182">
        <v>1133</v>
      </c>
      <c r="C12" s="181">
        <f t="shared" si="8"/>
        <v>1133</v>
      </c>
      <c r="D12" s="55" t="str">
        <f ca="1">VLOOKUP($C12,OFFSET([1]characters!$A$1,0,0,COUNTA([1]characters!$A:$A),MATCH(D$1,[1]characters!$1:$1,0)-MATCH($C$1,[1]characters!$1:$1,0)+1),MATCH(D$1,[1]characters!$1:$1,0)-MATCH($C$1,[1]characters!$1:$1,0)+1,FALSE)</f>
        <v>貂蝉</v>
      </c>
      <c r="E12" s="55">
        <f ca="1">VLOOKUP($C12,OFFSET([1]characters!$A$1,0,0,COUNTA([1]characters!$A:$A),MATCH(E$1,[1]characters!$1:$1,0)-MATCH($C$1,[1]characters!$1:$1,0)+1),MATCH(E$1,[1]characters!$1:$1,0)-MATCH($C$1,[1]characters!$1:$1,0)+1,FALSE)</f>
        <v>5</v>
      </c>
      <c r="F12" s="55" t="str">
        <f ca="1">VLOOKUP($C12,OFFSET([1]characters!$A$1,0,0,COUNTA([1]characters!$A:$A),MATCH(F$1,[1]characters!$1:$1,0)-MATCH($C$1,[1]characters!$1:$1,0)+1),MATCH(F$1,[1]characters!$1:$1,0)-MATCH($C$1,[1]characters!$1:$1,0)+1,FALSE)</f>
        <v>DropWizS</v>
      </c>
      <c r="G12" s="182">
        <v>1134</v>
      </c>
      <c r="H12" s="55" t="str">
        <f ca="1">VLOOKUP($G12,OFFSET([1]characters!$A$1,0,0,COUNTA([1]characters!$A:$A),MATCH(H$1,[1]characters!$1:$1,0)-MATCH($C$1,[1]characters!$1:$1,0)+1),MATCH(H$1,[1]characters!$1:$1,0)-MATCH($C$1,[1]characters!$1:$1,0)+1,FALSE)</f>
        <v>月隠れの美麗酔 貂蝉</v>
      </c>
      <c r="I12" s="190">
        <v>1094</v>
      </c>
      <c r="J12" s="55" t="str">
        <f ca="1">VLOOKUP($I12,OFFSET([1]characters!$A$1,0,0,COUNTA([1]characters!$A:$A),MATCH(J$1,[1]characters!$1:$1,0)-MATCH($C$1,[1]characters!$1:$1,0)+1),MATCH(J$1,[1]characters!$1:$1,0)-MATCH($C$1,[1]characters!$1:$1,0)+1,FALSE)</f>
        <v>メルクシャ</v>
      </c>
      <c r="K12" s="18">
        <v>1</v>
      </c>
      <c r="L12" s="112">
        <v>3</v>
      </c>
      <c r="M12" s="112">
        <v>100</v>
      </c>
      <c r="N12" s="2" t="s">
        <v>291</v>
      </c>
    </row>
    <row r="13" spans="1:14" ht="21" customHeight="1" x14ac:dyDescent="0.15">
      <c r="A13" s="63" t="str">
        <f t="shared" ref="A13" si="9">B13&amp;"_"&amp;I13</f>
        <v>1133_837</v>
      </c>
      <c r="B13" s="182">
        <v>1133</v>
      </c>
      <c r="C13" s="181">
        <f t="shared" ref="C13" si="10">B13</f>
        <v>1133</v>
      </c>
      <c r="D13" s="55" t="str">
        <f ca="1">VLOOKUP($C13,OFFSET([1]characters!$A$1,0,0,COUNTA([1]characters!$A:$A),MATCH(D$1,[1]characters!$1:$1,0)-MATCH($C$1,[1]characters!$1:$1,0)+1),MATCH(D$1,[1]characters!$1:$1,0)-MATCH($C$1,[1]characters!$1:$1,0)+1,FALSE)</f>
        <v>貂蝉</v>
      </c>
      <c r="E13" s="55">
        <f ca="1">VLOOKUP($C13,OFFSET([1]characters!$A$1,0,0,COUNTA([1]characters!$A:$A),MATCH(E$1,[1]characters!$1:$1,0)-MATCH($C$1,[1]characters!$1:$1,0)+1),MATCH(E$1,[1]characters!$1:$1,0)-MATCH($C$1,[1]characters!$1:$1,0)+1,FALSE)</f>
        <v>5</v>
      </c>
      <c r="F13" s="55" t="str">
        <f ca="1">VLOOKUP($C13,OFFSET([1]characters!$A$1,0,0,COUNTA([1]characters!$A:$A),MATCH(F$1,[1]characters!$1:$1,0)-MATCH($C$1,[1]characters!$1:$1,0)+1),MATCH(F$1,[1]characters!$1:$1,0)-MATCH($C$1,[1]characters!$1:$1,0)+1,FALSE)</f>
        <v>DropWizS</v>
      </c>
      <c r="G13" s="182">
        <v>1134</v>
      </c>
      <c r="H13" s="55" t="str">
        <f ca="1">VLOOKUP($G13,OFFSET([1]characters!$A$1,0,0,COUNTA([1]characters!$A:$A),MATCH(H$1,[1]characters!$1:$1,0)-MATCH($C$1,[1]characters!$1:$1,0)+1),MATCH(H$1,[1]characters!$1:$1,0)-MATCH($C$1,[1]characters!$1:$1,0)+1,FALSE)</f>
        <v>月隠れの美麗酔 貂蝉</v>
      </c>
      <c r="I13" s="190">
        <v>837</v>
      </c>
      <c r="J13" s="55" t="str">
        <f ca="1">VLOOKUP($I13,OFFSET([1]characters!$A$1,0,0,COUNTA([1]characters!$A:$A),MATCH(J$1,[1]characters!$1:$1,0)-MATCH($C$1,[1]characters!$1:$1,0)+1),MATCH(J$1,[1]characters!$1:$1,0)-MATCH($C$1,[1]characters!$1:$1,0)+1,FALSE)</f>
        <v>リトルハンプティ</v>
      </c>
      <c r="K13" s="18">
        <v>1</v>
      </c>
      <c r="L13" s="112">
        <v>1</v>
      </c>
      <c r="M13" s="112">
        <v>1000</v>
      </c>
      <c r="N13" s="2" t="s">
        <v>291</v>
      </c>
    </row>
    <row r="14" spans="1:14" ht="21" customHeight="1" x14ac:dyDescent="0.15">
      <c r="A14" s="63" t="str">
        <f>B14&amp;"_"&amp;I14</f>
        <v>1135_1133</v>
      </c>
      <c r="B14" s="182">
        <v>1135</v>
      </c>
      <c r="C14" s="181">
        <f>B14</f>
        <v>1135</v>
      </c>
      <c r="D14" s="55" t="str">
        <f ca="1">VLOOKUP($C14,OFFSET([1]characters!$A$1,0,0,COUNTA([1]characters!$A:$A),MATCH(D$1,[1]characters!$1:$1,0)-MATCH($C$1,[1]characters!$1:$1,0)+1),MATCH(D$1,[1]characters!$1:$1,0)-MATCH($C$1,[1]characters!$1:$1,0)+1,FALSE)</f>
        <v>呂布</v>
      </c>
      <c r="E14" s="55">
        <f ca="1">VLOOKUP($C14,OFFSET([1]characters!$A$1,0,0,COUNTA([1]characters!$A:$A),MATCH(E$1,[1]characters!$1:$1,0)-MATCH($C$1,[1]characters!$1:$1,0)+1),MATCH(E$1,[1]characters!$1:$1,0)-MATCH($C$1,[1]characters!$1:$1,0)+1,FALSE)</f>
        <v>5</v>
      </c>
      <c r="F14" s="55" t="str">
        <f ca="1">VLOOKUP($C14,OFFSET([1]characters!$A$1,0,0,COUNTA([1]characters!$A:$A),MATCH(F$1,[1]characters!$1:$1,0)-MATCH($C$1,[1]characters!$1:$1,0)+1),MATCH(F$1,[1]characters!$1:$1,0)-MATCH($C$1,[1]characters!$1:$1,0)+1,FALSE)</f>
        <v>DropWizSS</v>
      </c>
      <c r="G14" s="182">
        <v>1136</v>
      </c>
      <c r="H14" s="55" t="str">
        <f ca="1">VLOOKUP($G14,OFFSET([1]characters!$A$1,0,0,COUNTA([1]characters!$A:$A),MATCH(H$1,[1]characters!$1:$1,0)-MATCH($C$1,[1]characters!$1:$1,0)+1),MATCH(H$1,[1]characters!$1:$1,0)-MATCH($C$1,[1]characters!$1:$1,0)+1,FALSE)</f>
        <v>豪拳烈創の激将 呂布</v>
      </c>
      <c r="I14" s="190">
        <v>1133</v>
      </c>
      <c r="J14" s="55" t="str">
        <f ca="1">VLOOKUP($I14,OFFSET([1]characters!$A$1,0,0,COUNTA([1]characters!$A:$A),MATCH(J$1,[1]characters!$1:$1,0)-MATCH($C$1,[1]characters!$1:$1,0)+1),MATCH(J$1,[1]characters!$1:$1,0)-MATCH($C$1,[1]characters!$1:$1,0)+1,FALSE)</f>
        <v>貂蝉</v>
      </c>
      <c r="K14" s="18">
        <v>1</v>
      </c>
      <c r="L14" s="112">
        <v>1</v>
      </c>
      <c r="M14" s="112">
        <v>100</v>
      </c>
      <c r="N14" s="2" t="s">
        <v>291</v>
      </c>
    </row>
    <row r="15" spans="1:14" ht="21" customHeight="1" x14ac:dyDescent="0.15">
      <c r="A15" s="63" t="str">
        <f t="shared" ref="A15:A16" si="11">B15&amp;"_"&amp;I15</f>
        <v>1135_1131</v>
      </c>
      <c r="B15" s="182">
        <v>1135</v>
      </c>
      <c r="C15" s="181">
        <f t="shared" ref="C15:C16" si="12">B15</f>
        <v>1135</v>
      </c>
      <c r="D15" s="55" t="str">
        <f ca="1">VLOOKUP($C15,OFFSET([1]characters!$A$1,0,0,COUNTA([1]characters!$A:$A),MATCH(D$1,[1]characters!$1:$1,0)-MATCH($C$1,[1]characters!$1:$1,0)+1),MATCH(D$1,[1]characters!$1:$1,0)-MATCH($C$1,[1]characters!$1:$1,0)+1,FALSE)</f>
        <v>呂布</v>
      </c>
      <c r="E15" s="55">
        <f ca="1">VLOOKUP($C15,OFFSET([1]characters!$A$1,0,0,COUNTA([1]characters!$A:$A),MATCH(E$1,[1]characters!$1:$1,0)-MATCH($C$1,[1]characters!$1:$1,0)+1),MATCH(E$1,[1]characters!$1:$1,0)-MATCH($C$1,[1]characters!$1:$1,0)+1,FALSE)</f>
        <v>5</v>
      </c>
      <c r="F15" s="55" t="str">
        <f ca="1">VLOOKUP($C15,OFFSET([1]characters!$A$1,0,0,COUNTA([1]characters!$A:$A),MATCH(F$1,[1]characters!$1:$1,0)-MATCH($C$1,[1]characters!$1:$1,0)+1),MATCH(F$1,[1]characters!$1:$1,0)-MATCH($C$1,[1]characters!$1:$1,0)+1,FALSE)</f>
        <v>DropWizSS</v>
      </c>
      <c r="G15" s="182">
        <v>1136</v>
      </c>
      <c r="H15" s="55" t="str">
        <f ca="1">VLOOKUP($G15,OFFSET([1]characters!$A$1,0,0,COUNTA([1]characters!$A:$A),MATCH(H$1,[1]characters!$1:$1,0)-MATCH($C$1,[1]characters!$1:$1,0)+1),MATCH(H$1,[1]characters!$1:$1,0)-MATCH($C$1,[1]characters!$1:$1,0)+1,FALSE)</f>
        <v>豪拳烈創の激将 呂布</v>
      </c>
      <c r="I15" s="190">
        <v>1131</v>
      </c>
      <c r="J15" s="55" t="str">
        <f ca="1">VLOOKUP($I15,OFFSET([1]characters!$A$1,0,0,COUNTA([1]characters!$A:$A),MATCH(J$1,[1]characters!$1:$1,0)-MATCH($C$1,[1]characters!$1:$1,0)+1),MATCH(J$1,[1]characters!$1:$1,0)-MATCH($C$1,[1]characters!$1:$1,0)+1,FALSE)</f>
        <v>董卓</v>
      </c>
      <c r="K15" s="18">
        <v>1</v>
      </c>
      <c r="L15" s="112">
        <v>1</v>
      </c>
      <c r="M15" s="112">
        <v>100</v>
      </c>
      <c r="N15" s="2" t="s">
        <v>291</v>
      </c>
    </row>
    <row r="16" spans="1:14" ht="21" customHeight="1" x14ac:dyDescent="0.15">
      <c r="A16" s="63" t="str">
        <f t="shared" si="11"/>
        <v>1135_426</v>
      </c>
      <c r="B16" s="182">
        <v>1135</v>
      </c>
      <c r="C16" s="181">
        <f t="shared" si="12"/>
        <v>1135</v>
      </c>
      <c r="D16" s="55" t="str">
        <f ca="1">VLOOKUP($C16,OFFSET([1]characters!$A$1,0,0,COUNTA([1]characters!$A:$A),MATCH(D$1,[1]characters!$1:$1,0)-MATCH($C$1,[1]characters!$1:$1,0)+1),MATCH(D$1,[1]characters!$1:$1,0)-MATCH($C$1,[1]characters!$1:$1,0)+1,FALSE)</f>
        <v>呂布</v>
      </c>
      <c r="E16" s="55">
        <f ca="1">VLOOKUP($C16,OFFSET([1]characters!$A$1,0,0,COUNTA([1]characters!$A:$A),MATCH(E$1,[1]characters!$1:$1,0)-MATCH($C$1,[1]characters!$1:$1,0)+1),MATCH(E$1,[1]characters!$1:$1,0)-MATCH($C$1,[1]characters!$1:$1,0)+1,FALSE)</f>
        <v>5</v>
      </c>
      <c r="F16" s="55" t="str">
        <f ca="1">VLOOKUP($C16,OFFSET([1]characters!$A$1,0,0,COUNTA([1]characters!$A:$A),MATCH(F$1,[1]characters!$1:$1,0)-MATCH($C$1,[1]characters!$1:$1,0)+1),MATCH(F$1,[1]characters!$1:$1,0)-MATCH($C$1,[1]characters!$1:$1,0)+1,FALSE)</f>
        <v>DropWizSS</v>
      </c>
      <c r="G16" s="182">
        <v>1136</v>
      </c>
      <c r="H16" s="55" t="str">
        <f ca="1">VLOOKUP($G16,OFFSET([1]characters!$A$1,0,0,COUNTA([1]characters!$A:$A),MATCH(H$1,[1]characters!$1:$1,0)-MATCH($C$1,[1]characters!$1:$1,0)+1),MATCH(H$1,[1]characters!$1:$1,0)-MATCH($C$1,[1]characters!$1:$1,0)+1,FALSE)</f>
        <v>豪拳烈創の激将 呂布</v>
      </c>
      <c r="I16" s="190">
        <v>426</v>
      </c>
      <c r="J16" s="55" t="str">
        <f ca="1">VLOOKUP($I16,OFFSET([1]characters!$A$1,0,0,COUNTA([1]characters!$A:$A),MATCH(J$1,[1]characters!$1:$1,0)-MATCH($C$1,[1]characters!$1:$1,0)+1),MATCH(J$1,[1]characters!$1:$1,0)-MATCH($C$1,[1]characters!$1:$1,0)+1,FALSE)</f>
        <v>宮本武蔵</v>
      </c>
      <c r="K16" s="18">
        <v>1</v>
      </c>
      <c r="L16" s="112">
        <v>1</v>
      </c>
      <c r="M16" s="112">
        <v>100</v>
      </c>
      <c r="N16" s="2" t="s">
        <v>291</v>
      </c>
    </row>
    <row r="17" spans="1:14" ht="21" customHeight="1" x14ac:dyDescent="0.15">
      <c r="A17" s="63" t="str">
        <f>B17&amp;"_"&amp;I17</f>
        <v>1135_296</v>
      </c>
      <c r="B17" s="182">
        <v>1135</v>
      </c>
      <c r="C17" s="181">
        <f>B17</f>
        <v>1135</v>
      </c>
      <c r="D17" s="55" t="str">
        <f ca="1">VLOOKUP($C17,OFFSET([1]characters!$A$1,0,0,COUNTA([1]characters!$A:$A),MATCH(D$1,[1]characters!$1:$1,0)-MATCH($C$1,[1]characters!$1:$1,0)+1),MATCH(D$1,[1]characters!$1:$1,0)-MATCH($C$1,[1]characters!$1:$1,0)+1,FALSE)</f>
        <v>呂布</v>
      </c>
      <c r="E17" s="55">
        <f ca="1">VLOOKUP($C17,OFFSET([1]characters!$A$1,0,0,COUNTA([1]characters!$A:$A),MATCH(E$1,[1]characters!$1:$1,0)-MATCH($C$1,[1]characters!$1:$1,0)+1),MATCH(E$1,[1]characters!$1:$1,0)-MATCH($C$1,[1]characters!$1:$1,0)+1,FALSE)</f>
        <v>5</v>
      </c>
      <c r="F17" s="55" t="str">
        <f ca="1">VLOOKUP($C17,OFFSET([1]characters!$A$1,0,0,COUNTA([1]characters!$A:$A),MATCH(F$1,[1]characters!$1:$1,0)-MATCH($C$1,[1]characters!$1:$1,0)+1),MATCH(F$1,[1]characters!$1:$1,0)-MATCH($C$1,[1]characters!$1:$1,0)+1,FALSE)</f>
        <v>DropWizSS</v>
      </c>
      <c r="G17" s="182">
        <v>1136</v>
      </c>
      <c r="H17" s="55" t="str">
        <f ca="1">VLOOKUP($G17,OFFSET([1]characters!$A$1,0,0,COUNTA([1]characters!$A:$A),MATCH(H$1,[1]characters!$1:$1,0)-MATCH($C$1,[1]characters!$1:$1,0)+1),MATCH(H$1,[1]characters!$1:$1,0)-MATCH($C$1,[1]characters!$1:$1,0)+1,FALSE)</f>
        <v>豪拳烈創の激将 呂布</v>
      </c>
      <c r="I17" s="190">
        <v>296</v>
      </c>
      <c r="J17" s="55" t="str">
        <f ca="1">VLOOKUP($I17,OFFSET([1]characters!$A$1,0,0,COUNTA([1]characters!$A:$A),MATCH(J$1,[1]characters!$1:$1,0)-MATCH($C$1,[1]characters!$1:$1,0)+1),MATCH(J$1,[1]characters!$1:$1,0)-MATCH($C$1,[1]characters!$1:$1,0)+1,FALSE)</f>
        <v>アザゼル</v>
      </c>
      <c r="K17" s="18">
        <v>1</v>
      </c>
      <c r="L17" s="112">
        <v>1</v>
      </c>
      <c r="M17" s="112">
        <v>100</v>
      </c>
      <c r="N17" s="2" t="s">
        <v>291</v>
      </c>
    </row>
    <row r="18" spans="1:14" ht="21" customHeight="1" x14ac:dyDescent="0.15">
      <c r="A18" s="63" t="str">
        <f t="shared" ref="A18" si="13">B18&amp;"_"&amp;I18</f>
        <v>1135_837</v>
      </c>
      <c r="B18" s="182">
        <v>1135</v>
      </c>
      <c r="C18" s="181">
        <f t="shared" ref="C18" si="14">B18</f>
        <v>1135</v>
      </c>
      <c r="D18" s="55" t="str">
        <f ca="1">VLOOKUP($C18,OFFSET([1]characters!$A$1,0,0,COUNTA([1]characters!$A:$A),MATCH(D$1,[1]characters!$1:$1,0)-MATCH($C$1,[1]characters!$1:$1,0)+1),MATCH(D$1,[1]characters!$1:$1,0)-MATCH($C$1,[1]characters!$1:$1,0)+1,FALSE)</f>
        <v>呂布</v>
      </c>
      <c r="E18" s="55">
        <f ca="1">VLOOKUP($C18,OFFSET([1]characters!$A$1,0,0,COUNTA([1]characters!$A:$A),MATCH(E$1,[1]characters!$1:$1,0)-MATCH($C$1,[1]characters!$1:$1,0)+1),MATCH(E$1,[1]characters!$1:$1,0)-MATCH($C$1,[1]characters!$1:$1,0)+1,FALSE)</f>
        <v>5</v>
      </c>
      <c r="F18" s="55" t="str">
        <f ca="1">VLOOKUP($C18,OFFSET([1]characters!$A$1,0,0,COUNTA([1]characters!$A:$A),MATCH(F$1,[1]characters!$1:$1,0)-MATCH($C$1,[1]characters!$1:$1,0)+1),MATCH(F$1,[1]characters!$1:$1,0)-MATCH($C$1,[1]characters!$1:$1,0)+1,FALSE)</f>
        <v>DropWizSS</v>
      </c>
      <c r="G18" s="182">
        <v>1136</v>
      </c>
      <c r="H18" s="55" t="str">
        <f ca="1">VLOOKUP($G18,OFFSET([1]characters!$A$1,0,0,COUNTA([1]characters!$A:$A),MATCH(H$1,[1]characters!$1:$1,0)-MATCH($C$1,[1]characters!$1:$1,0)+1),MATCH(H$1,[1]characters!$1:$1,0)-MATCH($C$1,[1]characters!$1:$1,0)+1,FALSE)</f>
        <v>豪拳烈創の激将 呂布</v>
      </c>
      <c r="I18" s="190">
        <v>837</v>
      </c>
      <c r="J18" s="55" t="str">
        <f ca="1">VLOOKUP($I18,OFFSET([1]characters!$A$1,0,0,COUNTA([1]characters!$A:$A),MATCH(J$1,[1]characters!$1:$1,0)-MATCH($C$1,[1]characters!$1:$1,0)+1),MATCH(J$1,[1]characters!$1:$1,0)-MATCH($C$1,[1]characters!$1:$1,0)+1,FALSE)</f>
        <v>リトルハンプティ</v>
      </c>
      <c r="K18" s="18">
        <v>1</v>
      </c>
      <c r="L18" s="112">
        <v>1</v>
      </c>
      <c r="M18" s="112">
        <v>1000</v>
      </c>
      <c r="N18" s="2" t="s">
        <v>291</v>
      </c>
    </row>
    <row r="19" spans="1:14" ht="21" customHeight="1" x14ac:dyDescent="0.15">
      <c r="A19" s="63" t="str">
        <f>B19&amp;"_"&amp;I19</f>
        <v>1137_104</v>
      </c>
      <c r="B19" s="182">
        <v>1137</v>
      </c>
      <c r="C19" s="181">
        <f>B19</f>
        <v>1137</v>
      </c>
      <c r="D19" s="55" t="str">
        <f ca="1">VLOOKUP($C19,OFFSET([1]characters!$A$1,0,0,COUNTA([1]characters!$A:$A),MATCH(D$1,[1]characters!$1:$1,0)-MATCH($C$1,[1]characters!$1:$1,0)+1),MATCH(D$1,[1]characters!$1:$1,0)-MATCH($C$1,[1]characters!$1:$1,0)+1,FALSE)</f>
        <v>諸葛亮</v>
      </c>
      <c r="E19" s="55">
        <f ca="1">VLOOKUP($C19,OFFSET([1]characters!$A$1,0,0,COUNTA([1]characters!$A:$A),MATCH(E$1,[1]characters!$1:$1,0)-MATCH($C$1,[1]characters!$1:$1,0)+1),MATCH(E$1,[1]characters!$1:$1,0)-MATCH($C$1,[1]characters!$1:$1,0)+1,FALSE)</f>
        <v>5</v>
      </c>
      <c r="F19" s="55" t="str">
        <f ca="1">VLOOKUP($C19,OFFSET([1]characters!$A$1,0,0,COUNTA([1]characters!$A:$A),MATCH(F$1,[1]characters!$1:$1,0)-MATCH($C$1,[1]characters!$1:$1,0)+1),MATCH(F$1,[1]characters!$1:$1,0)-MATCH($C$1,[1]characters!$1:$1,0)+1,FALSE)</f>
        <v>PremiumSSw</v>
      </c>
      <c r="G19" s="182">
        <v>1138</v>
      </c>
      <c r="H19" s="55" t="str">
        <f ca="1">VLOOKUP($G19,OFFSET([1]characters!$A$1,0,0,COUNTA([1]characters!$A:$A),MATCH(H$1,[1]characters!$1:$1,0)-MATCH($C$1,[1]characters!$1:$1,0)+1),MATCH(H$1,[1]characters!$1:$1,0)-MATCH($C$1,[1]characters!$1:$1,0)+1,FALSE)</f>
        <v>神算鬼謀の宰相 諸葛亮</v>
      </c>
      <c r="I19" s="190">
        <v>104</v>
      </c>
      <c r="J19" s="55" t="str">
        <f ca="1">VLOOKUP($I19,OFFSET([1]characters!$A$1,0,0,COUNTA([1]characters!$A:$A),MATCH(J$1,[1]characters!$1:$1,0)-MATCH($C$1,[1]characters!$1:$1,0)+1),MATCH(J$1,[1]characters!$1:$1,0)-MATCH($C$1,[1]characters!$1:$1,0)+1,FALSE)</f>
        <v>炎のマッドハッター</v>
      </c>
      <c r="K19" s="18">
        <v>1</v>
      </c>
      <c r="L19" s="112">
        <v>1</v>
      </c>
      <c r="M19" s="112">
        <v>10</v>
      </c>
      <c r="N19" s="2" t="s">
        <v>291</v>
      </c>
    </row>
    <row r="20" spans="1:14" ht="21" customHeight="1" x14ac:dyDescent="0.15">
      <c r="A20" s="63" t="str">
        <f t="shared" ref="A20:A21" si="15">B20&amp;"_"&amp;I20</f>
        <v>1137_103</v>
      </c>
      <c r="B20" s="182">
        <v>1137</v>
      </c>
      <c r="C20" s="181">
        <f t="shared" ref="C20:C21" si="16">B20</f>
        <v>1137</v>
      </c>
      <c r="D20" s="55" t="str">
        <f ca="1">VLOOKUP($C20,OFFSET([1]characters!$A$1,0,0,COUNTA([1]characters!$A:$A),MATCH(D$1,[1]characters!$1:$1,0)-MATCH($C$1,[1]characters!$1:$1,0)+1),MATCH(D$1,[1]characters!$1:$1,0)-MATCH($C$1,[1]characters!$1:$1,0)+1,FALSE)</f>
        <v>諸葛亮</v>
      </c>
      <c r="E20" s="55">
        <f ca="1">VLOOKUP($C20,OFFSET([1]characters!$A$1,0,0,COUNTA([1]characters!$A:$A),MATCH(E$1,[1]characters!$1:$1,0)-MATCH($C$1,[1]characters!$1:$1,0)+1),MATCH(E$1,[1]characters!$1:$1,0)-MATCH($C$1,[1]characters!$1:$1,0)+1,FALSE)</f>
        <v>5</v>
      </c>
      <c r="F20" s="55" t="str">
        <f ca="1">VLOOKUP($C20,OFFSET([1]characters!$A$1,0,0,COUNTA([1]characters!$A:$A),MATCH(F$1,[1]characters!$1:$1,0)-MATCH($C$1,[1]characters!$1:$1,0)+1),MATCH(F$1,[1]characters!$1:$1,0)-MATCH($C$1,[1]characters!$1:$1,0)+1,FALSE)</f>
        <v>PremiumSSw</v>
      </c>
      <c r="G20" s="182">
        <v>1138</v>
      </c>
      <c r="H20" s="55" t="str">
        <f ca="1">VLOOKUP($G20,OFFSET([1]characters!$A$1,0,0,COUNTA([1]characters!$A:$A),MATCH(H$1,[1]characters!$1:$1,0)-MATCH($C$1,[1]characters!$1:$1,0)+1),MATCH(H$1,[1]characters!$1:$1,0)-MATCH($C$1,[1]characters!$1:$1,0)+1,FALSE)</f>
        <v>神算鬼謀の宰相 諸葛亮</v>
      </c>
      <c r="I20" s="190">
        <v>103</v>
      </c>
      <c r="J20" s="55" t="str">
        <f ca="1">VLOOKUP($I20,OFFSET([1]characters!$A$1,0,0,COUNTA([1]characters!$A:$A),MATCH(J$1,[1]characters!$1:$1,0)-MATCH($C$1,[1]characters!$1:$1,0)+1),MATCH(J$1,[1]characters!$1:$1,0)-MATCH($C$1,[1]characters!$1:$1,0)+1,FALSE)</f>
        <v>レッドキャタップ</v>
      </c>
      <c r="K20" s="18">
        <v>1</v>
      </c>
      <c r="L20" s="112">
        <v>1</v>
      </c>
      <c r="M20" s="112">
        <v>10</v>
      </c>
      <c r="N20" s="2" t="s">
        <v>291</v>
      </c>
    </row>
    <row r="21" spans="1:14" ht="21" customHeight="1" x14ac:dyDescent="0.15">
      <c r="A21" s="63" t="str">
        <f t="shared" si="15"/>
        <v>1137_1129</v>
      </c>
      <c r="B21" s="182">
        <v>1137</v>
      </c>
      <c r="C21" s="181">
        <f t="shared" si="16"/>
        <v>1137</v>
      </c>
      <c r="D21" s="55" t="str">
        <f ca="1">VLOOKUP($C21,OFFSET([1]characters!$A$1,0,0,COUNTA([1]characters!$A:$A),MATCH(D$1,[1]characters!$1:$1,0)-MATCH($C$1,[1]characters!$1:$1,0)+1),MATCH(D$1,[1]characters!$1:$1,0)-MATCH($C$1,[1]characters!$1:$1,0)+1,FALSE)</f>
        <v>諸葛亮</v>
      </c>
      <c r="E21" s="55">
        <f ca="1">VLOOKUP($C21,OFFSET([1]characters!$A$1,0,0,COUNTA([1]characters!$A:$A),MATCH(E$1,[1]characters!$1:$1,0)-MATCH($C$1,[1]characters!$1:$1,0)+1),MATCH(E$1,[1]characters!$1:$1,0)-MATCH($C$1,[1]characters!$1:$1,0)+1,FALSE)</f>
        <v>5</v>
      </c>
      <c r="F21" s="55" t="str">
        <f ca="1">VLOOKUP($C21,OFFSET([1]characters!$A$1,0,0,COUNTA([1]characters!$A:$A),MATCH(F$1,[1]characters!$1:$1,0)-MATCH($C$1,[1]characters!$1:$1,0)+1),MATCH(F$1,[1]characters!$1:$1,0)-MATCH($C$1,[1]characters!$1:$1,0)+1,FALSE)</f>
        <v>PremiumSSw</v>
      </c>
      <c r="G21" s="182">
        <v>1138</v>
      </c>
      <c r="H21" s="55" t="str">
        <f ca="1">VLOOKUP($G21,OFFSET([1]characters!$A$1,0,0,COUNTA([1]characters!$A:$A),MATCH(H$1,[1]characters!$1:$1,0)-MATCH($C$1,[1]characters!$1:$1,0)+1),MATCH(H$1,[1]characters!$1:$1,0)-MATCH($C$1,[1]characters!$1:$1,0)+1,FALSE)</f>
        <v>神算鬼謀の宰相 諸葛亮</v>
      </c>
      <c r="I21" s="190">
        <v>1129</v>
      </c>
      <c r="J21" s="55" t="str">
        <f ca="1">VLOOKUP($I21,OFFSET([1]characters!$A$1,0,0,COUNTA([1]characters!$A:$A),MATCH(J$1,[1]characters!$1:$1,0)-MATCH($C$1,[1]characters!$1:$1,0)+1),MATCH(J$1,[1]characters!$1:$1,0)-MATCH($C$1,[1]characters!$1:$1,0)+1,FALSE)</f>
        <v>赤兎馬</v>
      </c>
      <c r="K21" s="18">
        <v>1</v>
      </c>
      <c r="L21" s="112">
        <v>2</v>
      </c>
      <c r="M21" s="112">
        <v>100</v>
      </c>
      <c r="N21" s="2" t="s">
        <v>291</v>
      </c>
    </row>
    <row r="22" spans="1:14" ht="21" customHeight="1" x14ac:dyDescent="0.15">
      <c r="A22" s="63" t="str">
        <f t="shared" ref="A22:A23" si="17">B22&amp;"_"&amp;I22</f>
        <v>1137_1020</v>
      </c>
      <c r="B22" s="182">
        <v>1137</v>
      </c>
      <c r="C22" s="181">
        <f t="shared" ref="C22:C23" si="18">B22</f>
        <v>1137</v>
      </c>
      <c r="D22" s="55" t="str">
        <f ca="1">VLOOKUP($C22,OFFSET([1]characters!$A$1,0,0,COUNTA([1]characters!$A:$A),MATCH(D$1,[1]characters!$1:$1,0)-MATCH($C$1,[1]characters!$1:$1,0)+1),MATCH(D$1,[1]characters!$1:$1,0)-MATCH($C$1,[1]characters!$1:$1,0)+1,FALSE)</f>
        <v>諸葛亮</v>
      </c>
      <c r="E22" s="55">
        <f ca="1">VLOOKUP($C22,OFFSET([1]characters!$A$1,0,0,COUNTA([1]characters!$A:$A),MATCH(E$1,[1]characters!$1:$1,0)-MATCH($C$1,[1]characters!$1:$1,0)+1),MATCH(E$1,[1]characters!$1:$1,0)-MATCH($C$1,[1]characters!$1:$1,0)+1,FALSE)</f>
        <v>5</v>
      </c>
      <c r="F22" s="55" t="str">
        <f ca="1">VLOOKUP($C22,OFFSET([1]characters!$A$1,0,0,COUNTA([1]characters!$A:$A),MATCH(F$1,[1]characters!$1:$1,0)-MATCH($C$1,[1]characters!$1:$1,0)+1),MATCH(F$1,[1]characters!$1:$1,0)-MATCH($C$1,[1]characters!$1:$1,0)+1,FALSE)</f>
        <v>PremiumSSw</v>
      </c>
      <c r="G22" s="182">
        <v>1138</v>
      </c>
      <c r="H22" s="55" t="str">
        <f ca="1">VLOOKUP($G22,OFFSET([1]characters!$A$1,0,0,COUNTA([1]characters!$A:$A),MATCH(H$1,[1]characters!$1:$1,0)-MATCH($C$1,[1]characters!$1:$1,0)+1),MATCH(H$1,[1]characters!$1:$1,0)-MATCH($C$1,[1]characters!$1:$1,0)+1,FALSE)</f>
        <v>神算鬼謀の宰相 諸葛亮</v>
      </c>
      <c r="I22" s="190">
        <v>1020</v>
      </c>
      <c r="J22" s="55" t="str">
        <f ca="1">VLOOKUP($I22,OFFSET([1]characters!$A$1,0,0,COUNTA([1]characters!$A:$A),MATCH(J$1,[1]characters!$1:$1,0)-MATCH($C$1,[1]characters!$1:$1,0)+1),MATCH(J$1,[1]characters!$1:$1,0)-MATCH($C$1,[1]characters!$1:$1,0)+1,FALSE)</f>
        <v>静御前</v>
      </c>
      <c r="K22" s="18">
        <v>1</v>
      </c>
      <c r="L22" s="112">
        <v>3</v>
      </c>
      <c r="M22" s="112">
        <v>100</v>
      </c>
      <c r="N22" s="2" t="s">
        <v>291</v>
      </c>
    </row>
    <row r="23" spans="1:14" ht="21" customHeight="1" x14ac:dyDescent="0.15">
      <c r="A23" s="63" t="str">
        <f t="shared" si="17"/>
        <v>1137_837</v>
      </c>
      <c r="B23" s="182">
        <v>1137</v>
      </c>
      <c r="C23" s="181">
        <f t="shared" si="18"/>
        <v>1137</v>
      </c>
      <c r="D23" s="55" t="str">
        <f ca="1">VLOOKUP($C23,OFFSET([1]characters!$A$1,0,0,COUNTA([1]characters!$A:$A),MATCH(D$1,[1]characters!$1:$1,0)-MATCH($C$1,[1]characters!$1:$1,0)+1),MATCH(D$1,[1]characters!$1:$1,0)-MATCH($C$1,[1]characters!$1:$1,0)+1,FALSE)</f>
        <v>諸葛亮</v>
      </c>
      <c r="E23" s="55">
        <f ca="1">VLOOKUP($C23,OFFSET([1]characters!$A$1,0,0,COUNTA([1]characters!$A:$A),MATCH(E$1,[1]characters!$1:$1,0)-MATCH($C$1,[1]characters!$1:$1,0)+1),MATCH(E$1,[1]characters!$1:$1,0)-MATCH($C$1,[1]characters!$1:$1,0)+1,FALSE)</f>
        <v>5</v>
      </c>
      <c r="F23" s="55" t="str">
        <f ca="1">VLOOKUP($C23,OFFSET([1]characters!$A$1,0,0,COUNTA([1]characters!$A:$A),MATCH(F$1,[1]characters!$1:$1,0)-MATCH($C$1,[1]characters!$1:$1,0)+1),MATCH(F$1,[1]characters!$1:$1,0)-MATCH($C$1,[1]characters!$1:$1,0)+1,FALSE)</f>
        <v>PremiumSSw</v>
      </c>
      <c r="G23" s="182">
        <v>1138</v>
      </c>
      <c r="H23" s="55" t="str">
        <f ca="1">VLOOKUP($G23,OFFSET([1]characters!$A$1,0,0,COUNTA([1]characters!$A:$A),MATCH(H$1,[1]characters!$1:$1,0)-MATCH($C$1,[1]characters!$1:$1,0)+1),MATCH(H$1,[1]characters!$1:$1,0)-MATCH($C$1,[1]characters!$1:$1,0)+1,FALSE)</f>
        <v>神算鬼謀の宰相 諸葛亮</v>
      </c>
      <c r="I23" s="190">
        <v>837</v>
      </c>
      <c r="J23" s="55" t="str">
        <f ca="1">VLOOKUP($I23,OFFSET([1]characters!$A$1,0,0,COUNTA([1]characters!$A:$A),MATCH(J$1,[1]characters!$1:$1,0)-MATCH($C$1,[1]characters!$1:$1,0)+1),MATCH(J$1,[1]characters!$1:$1,0)-MATCH($C$1,[1]characters!$1:$1,0)+1,FALSE)</f>
        <v>リトルハンプティ</v>
      </c>
      <c r="K23" s="18">
        <v>1</v>
      </c>
      <c r="L23" s="112">
        <v>1</v>
      </c>
      <c r="M23" s="112">
        <v>1000</v>
      </c>
      <c r="N23" s="2" t="s">
        <v>291</v>
      </c>
    </row>
    <row r="24" spans="1:14" ht="21" customHeight="1" x14ac:dyDescent="0.15">
      <c r="A24" s="63" t="str">
        <f t="shared" ref="A24:A25" si="19">B24&amp;"_"&amp;I24</f>
        <v>1139_107</v>
      </c>
      <c r="B24" s="182">
        <v>1139</v>
      </c>
      <c r="C24" s="181">
        <f t="shared" ref="C24:C25" si="20">B24</f>
        <v>1139</v>
      </c>
      <c r="D24" s="55" t="str">
        <f ca="1">VLOOKUP($C24,OFFSET([1]characters!$A$1,0,0,COUNTA([1]characters!$A:$A),MATCH(D$1,[1]characters!$1:$1,0)-MATCH($C$1,[1]characters!$1:$1,0)+1),MATCH(D$1,[1]characters!$1:$1,0)-MATCH($C$1,[1]characters!$1:$1,0)+1,FALSE)</f>
        <v>趙雲</v>
      </c>
      <c r="E24" s="55">
        <f ca="1">VLOOKUP($C24,OFFSET([1]characters!$A$1,0,0,COUNTA([1]characters!$A:$A),MATCH(E$1,[1]characters!$1:$1,0)-MATCH($C$1,[1]characters!$1:$1,0)+1),MATCH(E$1,[1]characters!$1:$1,0)-MATCH($C$1,[1]characters!$1:$1,0)+1,FALSE)</f>
        <v>5</v>
      </c>
      <c r="F24" s="55" t="str">
        <f ca="1">VLOOKUP($C24,OFFSET([1]characters!$A$1,0,0,COUNTA([1]characters!$A:$A),MATCH(F$1,[1]characters!$1:$1,0)-MATCH($C$1,[1]characters!$1:$1,0)+1),MATCH(F$1,[1]characters!$1:$1,0)-MATCH($C$1,[1]characters!$1:$1,0)+1,FALSE)</f>
        <v>PremiumSS</v>
      </c>
      <c r="G24" s="182">
        <v>1140</v>
      </c>
      <c r="H24" s="55" t="str">
        <f ca="1">VLOOKUP($G24,OFFSET([1]characters!$A$1,0,0,COUNTA([1]characters!$A:$A),MATCH(H$1,[1]characters!$1:$1,0)-MATCH($C$1,[1]characters!$1:$1,0)+1),MATCH(H$1,[1]characters!$1:$1,0)-MATCH($C$1,[1]characters!$1:$1,0)+1,FALSE)</f>
        <v>綱紀粛正の傑璧 趙雲</v>
      </c>
      <c r="I24" s="190">
        <v>107</v>
      </c>
      <c r="J24" s="55" t="str">
        <f ca="1">VLOOKUP($I24,OFFSET([1]characters!$A$1,0,0,COUNTA([1]characters!$A:$A),MATCH(J$1,[1]characters!$1:$1,0)-MATCH($C$1,[1]characters!$1:$1,0)+1),MATCH(J$1,[1]characters!$1:$1,0)-MATCH($C$1,[1]characters!$1:$1,0)+1,FALSE)</f>
        <v>グリーンキャタップ</v>
      </c>
      <c r="K24" s="18">
        <v>1</v>
      </c>
      <c r="L24" s="112">
        <v>1</v>
      </c>
      <c r="M24" s="112">
        <v>10</v>
      </c>
      <c r="N24" s="2" t="s">
        <v>291</v>
      </c>
    </row>
    <row r="25" spans="1:14" ht="21" customHeight="1" x14ac:dyDescent="0.15">
      <c r="A25" s="63" t="str">
        <f t="shared" si="19"/>
        <v>1139_108</v>
      </c>
      <c r="B25" s="182">
        <v>1139</v>
      </c>
      <c r="C25" s="181">
        <f t="shared" si="20"/>
        <v>1139</v>
      </c>
      <c r="D25" s="55" t="str">
        <f ca="1">VLOOKUP($C25,OFFSET([1]characters!$A$1,0,0,COUNTA([1]characters!$A:$A),MATCH(D$1,[1]characters!$1:$1,0)-MATCH($C$1,[1]characters!$1:$1,0)+1),MATCH(D$1,[1]characters!$1:$1,0)-MATCH($C$1,[1]characters!$1:$1,0)+1,FALSE)</f>
        <v>趙雲</v>
      </c>
      <c r="E25" s="55">
        <f ca="1">VLOOKUP($C25,OFFSET([1]characters!$A$1,0,0,COUNTA([1]characters!$A:$A),MATCH(E$1,[1]characters!$1:$1,0)-MATCH($C$1,[1]characters!$1:$1,0)+1),MATCH(E$1,[1]characters!$1:$1,0)-MATCH($C$1,[1]characters!$1:$1,0)+1,FALSE)</f>
        <v>5</v>
      </c>
      <c r="F25" s="55" t="str">
        <f ca="1">VLOOKUP($C25,OFFSET([1]characters!$A$1,0,0,COUNTA([1]characters!$A:$A),MATCH(F$1,[1]characters!$1:$1,0)-MATCH($C$1,[1]characters!$1:$1,0)+1),MATCH(F$1,[1]characters!$1:$1,0)-MATCH($C$1,[1]characters!$1:$1,0)+1,FALSE)</f>
        <v>PremiumSS</v>
      </c>
      <c r="G25" s="182">
        <v>1140</v>
      </c>
      <c r="H25" s="55" t="str">
        <f ca="1">VLOOKUP($G25,OFFSET([1]characters!$A$1,0,0,COUNTA([1]characters!$A:$A),MATCH(H$1,[1]characters!$1:$1,0)-MATCH($C$1,[1]characters!$1:$1,0)+1),MATCH(H$1,[1]characters!$1:$1,0)-MATCH($C$1,[1]characters!$1:$1,0)+1,FALSE)</f>
        <v>綱紀粛正の傑璧 趙雲</v>
      </c>
      <c r="I25" s="190">
        <v>108</v>
      </c>
      <c r="J25" s="55" t="str">
        <f ca="1">VLOOKUP($I25,OFFSET([1]characters!$A$1,0,0,COUNTA([1]characters!$A:$A),MATCH(J$1,[1]characters!$1:$1,0)-MATCH($C$1,[1]characters!$1:$1,0)+1),MATCH(J$1,[1]characters!$1:$1,0)-MATCH($C$1,[1]characters!$1:$1,0)+1,FALSE)</f>
        <v>森のマッドハッター</v>
      </c>
      <c r="K25" s="18">
        <v>1</v>
      </c>
      <c r="L25" s="112">
        <v>1</v>
      </c>
      <c r="M25" s="112">
        <v>10</v>
      </c>
      <c r="N25" s="2" t="s">
        <v>291</v>
      </c>
    </row>
    <row r="26" spans="1:14" ht="21" customHeight="1" x14ac:dyDescent="0.15">
      <c r="A26" s="63" t="str">
        <f t="shared" ref="A26:A28" si="21">B26&amp;"_"&amp;I26</f>
        <v>1139_1129</v>
      </c>
      <c r="B26" s="182">
        <v>1139</v>
      </c>
      <c r="C26" s="181">
        <f t="shared" ref="C26:C28" si="22">B26</f>
        <v>1139</v>
      </c>
      <c r="D26" s="55" t="str">
        <f ca="1">VLOOKUP($C26,OFFSET([1]characters!$A$1,0,0,COUNTA([1]characters!$A:$A),MATCH(D$1,[1]characters!$1:$1,0)-MATCH($C$1,[1]characters!$1:$1,0)+1),MATCH(D$1,[1]characters!$1:$1,0)-MATCH($C$1,[1]characters!$1:$1,0)+1,FALSE)</f>
        <v>趙雲</v>
      </c>
      <c r="E26" s="55">
        <f ca="1">VLOOKUP($C26,OFFSET([1]characters!$A$1,0,0,COUNTA([1]characters!$A:$A),MATCH(E$1,[1]characters!$1:$1,0)-MATCH($C$1,[1]characters!$1:$1,0)+1),MATCH(E$1,[1]characters!$1:$1,0)-MATCH($C$1,[1]characters!$1:$1,0)+1,FALSE)</f>
        <v>5</v>
      </c>
      <c r="F26" s="55" t="str">
        <f ca="1">VLOOKUP($C26,OFFSET([1]characters!$A$1,0,0,COUNTA([1]characters!$A:$A),MATCH(F$1,[1]characters!$1:$1,0)-MATCH($C$1,[1]characters!$1:$1,0)+1),MATCH(F$1,[1]characters!$1:$1,0)-MATCH($C$1,[1]characters!$1:$1,0)+1,FALSE)</f>
        <v>PremiumSS</v>
      </c>
      <c r="G26" s="182">
        <v>1140</v>
      </c>
      <c r="H26" s="55" t="str">
        <f ca="1">VLOOKUP($G26,OFFSET([1]characters!$A$1,0,0,COUNTA([1]characters!$A:$A),MATCH(H$1,[1]characters!$1:$1,0)-MATCH($C$1,[1]characters!$1:$1,0)+1),MATCH(H$1,[1]characters!$1:$1,0)-MATCH($C$1,[1]characters!$1:$1,0)+1,FALSE)</f>
        <v>綱紀粛正の傑璧 趙雲</v>
      </c>
      <c r="I26" s="190">
        <v>1129</v>
      </c>
      <c r="J26" s="55" t="str">
        <f ca="1">VLOOKUP($I26,OFFSET([1]characters!$A$1,0,0,COUNTA([1]characters!$A:$A),MATCH(J$1,[1]characters!$1:$1,0)-MATCH($C$1,[1]characters!$1:$1,0)+1),MATCH(J$1,[1]characters!$1:$1,0)-MATCH($C$1,[1]characters!$1:$1,0)+1,FALSE)</f>
        <v>赤兎馬</v>
      </c>
      <c r="K26" s="18">
        <v>1</v>
      </c>
      <c r="L26" s="112">
        <v>1</v>
      </c>
      <c r="M26" s="112">
        <v>100</v>
      </c>
      <c r="N26" s="2" t="s">
        <v>291</v>
      </c>
    </row>
    <row r="27" spans="1:14" ht="21" customHeight="1" x14ac:dyDescent="0.15">
      <c r="A27" s="63" t="str">
        <f t="shared" si="21"/>
        <v>1139_304</v>
      </c>
      <c r="B27" s="182">
        <v>1139</v>
      </c>
      <c r="C27" s="181">
        <f t="shared" si="22"/>
        <v>1139</v>
      </c>
      <c r="D27" s="55" t="str">
        <f ca="1">VLOOKUP($C27,OFFSET([1]characters!$A$1,0,0,COUNTA([1]characters!$A:$A),MATCH(D$1,[1]characters!$1:$1,0)-MATCH($C$1,[1]characters!$1:$1,0)+1),MATCH(D$1,[1]characters!$1:$1,0)-MATCH($C$1,[1]characters!$1:$1,0)+1,FALSE)</f>
        <v>趙雲</v>
      </c>
      <c r="E27" s="55">
        <f ca="1">VLOOKUP($C27,OFFSET([1]characters!$A$1,0,0,COUNTA([1]characters!$A:$A),MATCH(E$1,[1]characters!$1:$1,0)-MATCH($C$1,[1]characters!$1:$1,0)+1),MATCH(E$1,[1]characters!$1:$1,0)-MATCH($C$1,[1]characters!$1:$1,0)+1,FALSE)</f>
        <v>5</v>
      </c>
      <c r="F27" s="55" t="str">
        <f ca="1">VLOOKUP($C27,OFFSET([1]characters!$A$1,0,0,COUNTA([1]characters!$A:$A),MATCH(F$1,[1]characters!$1:$1,0)-MATCH($C$1,[1]characters!$1:$1,0)+1),MATCH(F$1,[1]characters!$1:$1,0)-MATCH($C$1,[1]characters!$1:$1,0)+1,FALSE)</f>
        <v>PremiumSS</v>
      </c>
      <c r="G27" s="182">
        <v>1140</v>
      </c>
      <c r="H27" s="55" t="str">
        <f ca="1">VLOOKUP($G27,OFFSET([1]characters!$A$1,0,0,COUNTA([1]characters!$A:$A),MATCH(H$1,[1]characters!$1:$1,0)-MATCH($C$1,[1]characters!$1:$1,0)+1),MATCH(H$1,[1]characters!$1:$1,0)-MATCH($C$1,[1]characters!$1:$1,0)+1,FALSE)</f>
        <v>綱紀粛正の傑璧 趙雲</v>
      </c>
      <c r="I27" s="190">
        <v>304</v>
      </c>
      <c r="J27" s="55" t="str">
        <f ca="1">VLOOKUP($I27,OFFSET([1]characters!$A$1,0,0,COUNTA([1]characters!$A:$A),MATCH(J$1,[1]characters!$1:$1,0)-MATCH($C$1,[1]characters!$1:$1,0)+1),MATCH(J$1,[1]characters!$1:$1,0)-MATCH($C$1,[1]characters!$1:$1,0)+1,FALSE)</f>
        <v>電殺のチエミ</v>
      </c>
      <c r="K27" s="18">
        <v>1</v>
      </c>
      <c r="L27" s="112">
        <v>1</v>
      </c>
      <c r="M27" s="112">
        <v>100</v>
      </c>
      <c r="N27" s="2" t="s">
        <v>291</v>
      </c>
    </row>
    <row r="28" spans="1:14" ht="21" customHeight="1" x14ac:dyDescent="0.15">
      <c r="A28" s="63" t="str">
        <f t="shared" si="21"/>
        <v>1139_837</v>
      </c>
      <c r="B28" s="182">
        <v>1139</v>
      </c>
      <c r="C28" s="181">
        <f t="shared" si="22"/>
        <v>1139</v>
      </c>
      <c r="D28" s="55" t="str">
        <f ca="1">VLOOKUP($C28,OFFSET([1]characters!$A$1,0,0,COUNTA([1]characters!$A:$A),MATCH(D$1,[1]characters!$1:$1,0)-MATCH($C$1,[1]characters!$1:$1,0)+1),MATCH(D$1,[1]characters!$1:$1,0)-MATCH($C$1,[1]characters!$1:$1,0)+1,FALSE)</f>
        <v>趙雲</v>
      </c>
      <c r="E28" s="55">
        <f ca="1">VLOOKUP($C28,OFFSET([1]characters!$A$1,0,0,COUNTA([1]characters!$A:$A),MATCH(E$1,[1]characters!$1:$1,0)-MATCH($C$1,[1]characters!$1:$1,0)+1),MATCH(E$1,[1]characters!$1:$1,0)-MATCH($C$1,[1]characters!$1:$1,0)+1,FALSE)</f>
        <v>5</v>
      </c>
      <c r="F28" s="55" t="str">
        <f ca="1">VLOOKUP($C28,OFFSET([1]characters!$A$1,0,0,COUNTA([1]characters!$A:$A),MATCH(F$1,[1]characters!$1:$1,0)-MATCH($C$1,[1]characters!$1:$1,0)+1),MATCH(F$1,[1]characters!$1:$1,0)-MATCH($C$1,[1]characters!$1:$1,0)+1,FALSE)</f>
        <v>PremiumSS</v>
      </c>
      <c r="G28" s="182">
        <v>1140</v>
      </c>
      <c r="H28" s="55" t="str">
        <f ca="1">VLOOKUP($G28,OFFSET([1]characters!$A$1,0,0,COUNTA([1]characters!$A:$A),MATCH(H$1,[1]characters!$1:$1,0)-MATCH($C$1,[1]characters!$1:$1,0)+1),MATCH(H$1,[1]characters!$1:$1,0)-MATCH($C$1,[1]characters!$1:$1,0)+1,FALSE)</f>
        <v>綱紀粛正の傑璧 趙雲</v>
      </c>
      <c r="I28" s="190">
        <v>837</v>
      </c>
      <c r="J28" s="55" t="str">
        <f ca="1">VLOOKUP($I28,OFFSET([1]characters!$A$1,0,0,COUNTA([1]characters!$A:$A),MATCH(J$1,[1]characters!$1:$1,0)-MATCH($C$1,[1]characters!$1:$1,0)+1),MATCH(J$1,[1]characters!$1:$1,0)-MATCH($C$1,[1]characters!$1:$1,0)+1,FALSE)</f>
        <v>リトルハンプティ</v>
      </c>
      <c r="K28" s="18">
        <v>1</v>
      </c>
      <c r="L28" s="112">
        <v>1</v>
      </c>
      <c r="M28" s="112">
        <v>1000</v>
      </c>
      <c r="N28" s="2" t="s">
        <v>291</v>
      </c>
    </row>
    <row r="29" spans="1:14" ht="21" customHeight="1" x14ac:dyDescent="0.15">
      <c r="A29" s="63" t="str">
        <f>B29&amp;"_"&amp;I29</f>
        <v>1141_111</v>
      </c>
      <c r="B29" s="182">
        <v>1141</v>
      </c>
      <c r="C29" s="181">
        <f>B29</f>
        <v>1141</v>
      </c>
      <c r="D29" s="55" t="str">
        <f ca="1">VLOOKUP($C29,OFFSET([1]characters!$A$1,0,0,COUNTA([1]characters!$A:$A),MATCH(D$1,[1]characters!$1:$1,0)-MATCH($C$1,[1]characters!$1:$1,0)+1),MATCH(D$1,[1]characters!$1:$1,0)-MATCH($C$1,[1]characters!$1:$1,0)+1,FALSE)</f>
        <v>月英</v>
      </c>
      <c r="E29" s="55">
        <f ca="1">VLOOKUP($C29,OFFSET([1]characters!$A$1,0,0,COUNTA([1]characters!$A:$A),MATCH(E$1,[1]characters!$1:$1,0)-MATCH($C$1,[1]characters!$1:$1,0)+1),MATCH(E$1,[1]characters!$1:$1,0)-MATCH($C$1,[1]characters!$1:$1,0)+1,FALSE)</f>
        <v>5</v>
      </c>
      <c r="F29" s="55" t="str">
        <f ca="1">VLOOKUP($C29,OFFSET([1]characters!$A$1,0,0,COUNTA([1]characters!$A:$A),MATCH(F$1,[1]characters!$1:$1,0)-MATCH($C$1,[1]characters!$1:$1,0)+1),MATCH(F$1,[1]characters!$1:$1,0)-MATCH($C$1,[1]characters!$1:$1,0)+1,FALSE)</f>
        <v>PremiumSS</v>
      </c>
      <c r="G29" s="182">
        <v>1142</v>
      </c>
      <c r="H29" s="55" t="str">
        <f ca="1">VLOOKUP($G29,OFFSET([1]characters!$A$1,0,0,COUNTA([1]characters!$A:$A),MATCH(H$1,[1]characters!$1:$1,0)-MATCH($C$1,[1]characters!$1:$1,0)+1),MATCH(H$1,[1]characters!$1:$1,0)-MATCH($C$1,[1]characters!$1:$1,0)+1,FALSE)</f>
        <v>蒼明な機鋼士 月英</v>
      </c>
      <c r="I29" s="190">
        <v>111</v>
      </c>
      <c r="J29" s="55" t="str">
        <f ca="1">VLOOKUP($I29,OFFSET([1]characters!$A$1,0,0,COUNTA([1]characters!$A:$A),MATCH(J$1,[1]characters!$1:$1,0)-MATCH($C$1,[1]characters!$1:$1,0)+1),MATCH(J$1,[1]characters!$1:$1,0)-MATCH($C$1,[1]characters!$1:$1,0)+1,FALSE)</f>
        <v>ブルーキャタップ</v>
      </c>
      <c r="K29" s="18">
        <v>1</v>
      </c>
      <c r="L29" s="112">
        <v>1</v>
      </c>
      <c r="M29" s="112">
        <v>10</v>
      </c>
      <c r="N29" s="2" t="s">
        <v>291</v>
      </c>
    </row>
    <row r="30" spans="1:14" ht="21" customHeight="1" x14ac:dyDescent="0.15">
      <c r="A30" s="63" t="str">
        <f t="shared" ref="A30" si="23">B30&amp;"_"&amp;I30</f>
        <v>1141_112</v>
      </c>
      <c r="B30" s="182">
        <v>1141</v>
      </c>
      <c r="C30" s="181">
        <f t="shared" ref="C30" si="24">B30</f>
        <v>1141</v>
      </c>
      <c r="D30" s="55" t="str">
        <f ca="1">VLOOKUP($C30,OFFSET([1]characters!$A$1,0,0,COUNTA([1]characters!$A:$A),MATCH(D$1,[1]characters!$1:$1,0)-MATCH($C$1,[1]characters!$1:$1,0)+1),MATCH(D$1,[1]characters!$1:$1,0)-MATCH($C$1,[1]characters!$1:$1,0)+1,FALSE)</f>
        <v>月英</v>
      </c>
      <c r="E30" s="55">
        <f ca="1">VLOOKUP($C30,OFFSET([1]characters!$A$1,0,0,COUNTA([1]characters!$A:$A),MATCH(E$1,[1]characters!$1:$1,0)-MATCH($C$1,[1]characters!$1:$1,0)+1),MATCH(E$1,[1]characters!$1:$1,0)-MATCH($C$1,[1]characters!$1:$1,0)+1,FALSE)</f>
        <v>5</v>
      </c>
      <c r="F30" s="55" t="str">
        <f ca="1">VLOOKUP($C30,OFFSET([1]characters!$A$1,0,0,COUNTA([1]characters!$A:$A),MATCH(F$1,[1]characters!$1:$1,0)-MATCH($C$1,[1]characters!$1:$1,0)+1),MATCH(F$1,[1]characters!$1:$1,0)-MATCH($C$1,[1]characters!$1:$1,0)+1,FALSE)</f>
        <v>PremiumSS</v>
      </c>
      <c r="G30" s="182">
        <v>1142</v>
      </c>
      <c r="H30" s="55" t="str">
        <f ca="1">VLOOKUP($G30,OFFSET([1]characters!$A$1,0,0,COUNTA([1]characters!$A:$A),MATCH(H$1,[1]characters!$1:$1,0)-MATCH($C$1,[1]characters!$1:$1,0)+1),MATCH(H$1,[1]characters!$1:$1,0)-MATCH($C$1,[1]characters!$1:$1,0)+1,FALSE)</f>
        <v>蒼明な機鋼士 月英</v>
      </c>
      <c r="I30" s="190">
        <v>112</v>
      </c>
      <c r="J30" s="55" t="str">
        <f ca="1">VLOOKUP($I30,OFFSET([1]characters!$A$1,0,0,COUNTA([1]characters!$A:$A),MATCH(J$1,[1]characters!$1:$1,0)-MATCH($C$1,[1]characters!$1:$1,0)+1),MATCH(J$1,[1]characters!$1:$1,0)-MATCH($C$1,[1]characters!$1:$1,0)+1,FALSE)</f>
        <v>水のマッドハッター</v>
      </c>
      <c r="K30" s="18">
        <v>1</v>
      </c>
      <c r="L30" s="112">
        <v>1</v>
      </c>
      <c r="M30" s="112">
        <v>10</v>
      </c>
      <c r="N30" s="2" t="s">
        <v>291</v>
      </c>
    </row>
    <row r="31" spans="1:14" ht="21" customHeight="1" x14ac:dyDescent="0.15">
      <c r="A31" s="63" t="str">
        <f>B31&amp;"_"&amp;I31</f>
        <v>1141_502</v>
      </c>
      <c r="B31" s="182">
        <v>1141</v>
      </c>
      <c r="C31" s="181">
        <f>B31</f>
        <v>1141</v>
      </c>
      <c r="D31" s="55" t="str">
        <f ca="1">VLOOKUP($C31,OFFSET([1]characters!$A$1,0,0,COUNTA([1]characters!$A:$A),MATCH(D$1,[1]characters!$1:$1,0)-MATCH($C$1,[1]characters!$1:$1,0)+1),MATCH(D$1,[1]characters!$1:$1,0)-MATCH($C$1,[1]characters!$1:$1,0)+1,FALSE)</f>
        <v>月英</v>
      </c>
      <c r="E31" s="55">
        <f ca="1">VLOOKUP($C31,OFFSET([1]characters!$A$1,0,0,COUNTA([1]characters!$A:$A),MATCH(E$1,[1]characters!$1:$1,0)-MATCH($C$1,[1]characters!$1:$1,0)+1),MATCH(E$1,[1]characters!$1:$1,0)-MATCH($C$1,[1]characters!$1:$1,0)+1,FALSE)</f>
        <v>5</v>
      </c>
      <c r="F31" s="55" t="str">
        <f ca="1">VLOOKUP($C31,OFFSET([1]characters!$A$1,0,0,COUNTA([1]characters!$A:$A),MATCH(F$1,[1]characters!$1:$1,0)-MATCH($C$1,[1]characters!$1:$1,0)+1),MATCH(F$1,[1]characters!$1:$1,0)-MATCH($C$1,[1]characters!$1:$1,0)+1,FALSE)</f>
        <v>PremiumSS</v>
      </c>
      <c r="G31" s="182">
        <v>1142</v>
      </c>
      <c r="H31" s="55" t="str">
        <f ca="1">VLOOKUP($G31,OFFSET([1]characters!$A$1,0,0,COUNTA([1]characters!$A:$A),MATCH(H$1,[1]characters!$1:$1,0)-MATCH($C$1,[1]characters!$1:$1,0)+1),MATCH(H$1,[1]characters!$1:$1,0)-MATCH($C$1,[1]characters!$1:$1,0)+1,FALSE)</f>
        <v>蒼明な機鋼士 月英</v>
      </c>
      <c r="I31" s="190">
        <v>502</v>
      </c>
      <c r="J31" s="55" t="str">
        <f ca="1">VLOOKUP($I31,OFFSET([1]characters!$A$1,0,0,COUNTA([1]characters!$A:$A),MATCH(J$1,[1]characters!$1:$1,0)-MATCH($C$1,[1]characters!$1:$1,0)+1),MATCH(J$1,[1]characters!$1:$1,0)-MATCH($C$1,[1]characters!$1:$1,0)+1,FALSE)</f>
        <v>テラベル</v>
      </c>
      <c r="K31" s="18">
        <v>1</v>
      </c>
      <c r="L31" s="112">
        <v>1</v>
      </c>
      <c r="M31" s="112">
        <v>100</v>
      </c>
      <c r="N31" s="2" t="s">
        <v>291</v>
      </c>
    </row>
    <row r="32" spans="1:14" ht="21" customHeight="1" x14ac:dyDescent="0.15">
      <c r="A32" s="63" t="str">
        <f t="shared" ref="A32" si="25">B32&amp;"_"&amp;I32</f>
        <v>1141_1129</v>
      </c>
      <c r="B32" s="182">
        <v>1141</v>
      </c>
      <c r="C32" s="181">
        <f t="shared" ref="C32" si="26">B32</f>
        <v>1141</v>
      </c>
      <c r="D32" s="55" t="str">
        <f ca="1">VLOOKUP($C32,OFFSET([1]characters!$A$1,0,0,COUNTA([1]characters!$A:$A),MATCH(D$1,[1]characters!$1:$1,0)-MATCH($C$1,[1]characters!$1:$1,0)+1),MATCH(D$1,[1]characters!$1:$1,0)-MATCH($C$1,[1]characters!$1:$1,0)+1,FALSE)</f>
        <v>月英</v>
      </c>
      <c r="E32" s="55">
        <f ca="1">VLOOKUP($C32,OFFSET([1]characters!$A$1,0,0,COUNTA([1]characters!$A:$A),MATCH(E$1,[1]characters!$1:$1,0)-MATCH($C$1,[1]characters!$1:$1,0)+1),MATCH(E$1,[1]characters!$1:$1,0)-MATCH($C$1,[1]characters!$1:$1,0)+1,FALSE)</f>
        <v>5</v>
      </c>
      <c r="F32" s="55" t="str">
        <f ca="1">VLOOKUP($C32,OFFSET([1]characters!$A$1,0,0,COUNTA([1]characters!$A:$A),MATCH(F$1,[1]characters!$1:$1,0)-MATCH($C$1,[1]characters!$1:$1,0)+1),MATCH(F$1,[1]characters!$1:$1,0)-MATCH($C$1,[1]characters!$1:$1,0)+1,FALSE)</f>
        <v>PremiumSS</v>
      </c>
      <c r="G32" s="182">
        <v>1142</v>
      </c>
      <c r="H32" s="55" t="str">
        <f ca="1">VLOOKUP($G32,OFFSET([1]characters!$A$1,0,0,COUNTA([1]characters!$A:$A),MATCH(H$1,[1]characters!$1:$1,0)-MATCH($C$1,[1]characters!$1:$1,0)+1),MATCH(H$1,[1]characters!$1:$1,0)-MATCH($C$1,[1]characters!$1:$1,0)+1,FALSE)</f>
        <v>蒼明な機鋼士 月英</v>
      </c>
      <c r="I32" s="190">
        <v>1129</v>
      </c>
      <c r="J32" s="55" t="str">
        <f ca="1">VLOOKUP($I32,OFFSET([1]characters!$A$1,0,0,COUNTA([1]characters!$A:$A),MATCH(J$1,[1]characters!$1:$1,0)-MATCH($C$1,[1]characters!$1:$1,0)+1),MATCH(J$1,[1]characters!$1:$1,0)-MATCH($C$1,[1]characters!$1:$1,0)+1,FALSE)</f>
        <v>赤兎馬</v>
      </c>
      <c r="K32" s="18">
        <v>1</v>
      </c>
      <c r="L32" s="112">
        <v>1</v>
      </c>
      <c r="M32" s="112">
        <v>100</v>
      </c>
      <c r="N32" s="2" t="s">
        <v>291</v>
      </c>
    </row>
    <row r="33" spans="1:14" ht="21" customHeight="1" x14ac:dyDescent="0.15">
      <c r="A33" s="63" t="str">
        <f t="shared" ref="A33" si="27">B33&amp;"_"&amp;I33</f>
        <v>1141_837</v>
      </c>
      <c r="B33" s="182">
        <v>1141</v>
      </c>
      <c r="C33" s="181">
        <f t="shared" ref="C33" si="28">B33</f>
        <v>1141</v>
      </c>
      <c r="D33" s="55" t="str">
        <f ca="1">VLOOKUP($C33,OFFSET([1]characters!$A$1,0,0,COUNTA([1]characters!$A:$A),MATCH(D$1,[1]characters!$1:$1,0)-MATCH($C$1,[1]characters!$1:$1,0)+1),MATCH(D$1,[1]characters!$1:$1,0)-MATCH($C$1,[1]characters!$1:$1,0)+1,FALSE)</f>
        <v>月英</v>
      </c>
      <c r="E33" s="55">
        <f ca="1">VLOOKUP($C33,OFFSET([1]characters!$A$1,0,0,COUNTA([1]characters!$A:$A),MATCH(E$1,[1]characters!$1:$1,0)-MATCH($C$1,[1]characters!$1:$1,0)+1),MATCH(E$1,[1]characters!$1:$1,0)-MATCH($C$1,[1]characters!$1:$1,0)+1,FALSE)</f>
        <v>5</v>
      </c>
      <c r="F33" s="55" t="str">
        <f ca="1">VLOOKUP($C33,OFFSET([1]characters!$A$1,0,0,COUNTA([1]characters!$A:$A),MATCH(F$1,[1]characters!$1:$1,0)-MATCH($C$1,[1]characters!$1:$1,0)+1),MATCH(F$1,[1]characters!$1:$1,0)-MATCH($C$1,[1]characters!$1:$1,0)+1,FALSE)</f>
        <v>PremiumSS</v>
      </c>
      <c r="G33" s="182">
        <v>1142</v>
      </c>
      <c r="H33" s="55" t="str">
        <f ca="1">VLOOKUP($G33,OFFSET([1]characters!$A$1,0,0,COUNTA([1]characters!$A:$A),MATCH(H$1,[1]characters!$1:$1,0)-MATCH($C$1,[1]characters!$1:$1,0)+1),MATCH(H$1,[1]characters!$1:$1,0)-MATCH($C$1,[1]characters!$1:$1,0)+1,FALSE)</f>
        <v>蒼明な機鋼士 月英</v>
      </c>
      <c r="I33" s="190">
        <v>837</v>
      </c>
      <c r="J33" s="55" t="str">
        <f ca="1">VLOOKUP($I33,OFFSET([1]characters!$A$1,0,0,COUNTA([1]characters!$A:$A),MATCH(J$1,[1]characters!$1:$1,0)-MATCH($C$1,[1]characters!$1:$1,0)+1),MATCH(J$1,[1]characters!$1:$1,0)-MATCH($C$1,[1]characters!$1:$1,0)+1,FALSE)</f>
        <v>リトルハンプティ</v>
      </c>
      <c r="K33" s="18">
        <v>1</v>
      </c>
      <c r="L33" s="112">
        <v>1</v>
      </c>
      <c r="M33" s="112">
        <v>1000</v>
      </c>
      <c r="N33" s="2" t="s">
        <v>291</v>
      </c>
    </row>
    <row r="34" spans="1:14" ht="21" customHeight="1" x14ac:dyDescent="0.15">
      <c r="A34" s="63" t="str">
        <f>B34&amp;"_"&amp;I34</f>
        <v>1143_114</v>
      </c>
      <c r="B34" s="182">
        <v>1143</v>
      </c>
      <c r="C34" s="181">
        <f>B34</f>
        <v>1143</v>
      </c>
      <c r="D34" s="55" t="str">
        <f ca="1">VLOOKUP($C34,OFFSET([1]characters!$A$1,0,0,COUNTA([1]characters!$A:$A),MATCH(D$1,[1]characters!$1:$1,0)-MATCH($C$1,[1]characters!$1:$1,0)+1),MATCH(D$1,[1]characters!$1:$1,0)-MATCH($C$1,[1]characters!$1:$1,0)+1,FALSE)</f>
        <v>黄忠</v>
      </c>
      <c r="E34" s="55">
        <f ca="1">VLOOKUP($C34,OFFSET([1]characters!$A$1,0,0,COUNTA([1]characters!$A:$A),MATCH(E$1,[1]characters!$1:$1,0)-MATCH($C$1,[1]characters!$1:$1,0)+1),MATCH(E$1,[1]characters!$1:$1,0)-MATCH($C$1,[1]characters!$1:$1,0)+1,FALSE)</f>
        <v>4</v>
      </c>
      <c r="F34" s="55" t="str">
        <f ca="1">VLOOKUP($C34,OFFSET([1]characters!$A$1,0,0,COUNTA([1]characters!$A:$A),MATCH(F$1,[1]characters!$1:$1,0)-MATCH($C$1,[1]characters!$1:$1,0)+1),MATCH(F$1,[1]characters!$1:$1,0)-MATCH($C$1,[1]characters!$1:$1,0)+1,FALSE)</f>
        <v>PremiumS</v>
      </c>
      <c r="G34" s="182">
        <v>1144</v>
      </c>
      <c r="H34" s="55" t="str">
        <f ca="1">VLOOKUP($G34,OFFSET([1]characters!$A$1,0,0,COUNTA([1]characters!$A:$A),MATCH(H$1,[1]characters!$1:$1,0)-MATCH($C$1,[1]characters!$1:$1,0)+1),MATCH(H$1,[1]characters!$1:$1,0)-MATCH($C$1,[1]characters!$1:$1,0)+1,FALSE)</f>
        <v>白星を射る老将 黄忠</v>
      </c>
      <c r="I34" s="190">
        <v>114</v>
      </c>
      <c r="J34" s="55" t="str">
        <f ca="1">VLOOKUP($I34,OFFSET([1]characters!$A$1,0,0,COUNTA([1]characters!$A:$A),MATCH(J$1,[1]characters!$1:$1,0)-MATCH($C$1,[1]characters!$1:$1,0)+1),MATCH(J$1,[1]characters!$1:$1,0)-MATCH($C$1,[1]characters!$1:$1,0)+1,FALSE)</f>
        <v>イエローラビット</v>
      </c>
      <c r="K34" s="18">
        <v>1</v>
      </c>
      <c r="L34" s="112">
        <v>1</v>
      </c>
      <c r="M34" s="112">
        <v>10</v>
      </c>
      <c r="N34" s="2" t="s">
        <v>291</v>
      </c>
    </row>
    <row r="35" spans="1:14" ht="21" customHeight="1" x14ac:dyDescent="0.15">
      <c r="A35" s="63" t="str">
        <f t="shared" ref="A35" si="29">B35&amp;"_"&amp;I35</f>
        <v>1143_115</v>
      </c>
      <c r="B35" s="182">
        <v>1143</v>
      </c>
      <c r="C35" s="181">
        <f t="shared" ref="C35" si="30">B35</f>
        <v>1143</v>
      </c>
      <c r="D35" s="55" t="str">
        <f ca="1">VLOOKUP($C35,OFFSET([1]characters!$A$1,0,0,COUNTA([1]characters!$A:$A),MATCH(D$1,[1]characters!$1:$1,0)-MATCH($C$1,[1]characters!$1:$1,0)+1),MATCH(D$1,[1]characters!$1:$1,0)-MATCH($C$1,[1]characters!$1:$1,0)+1,FALSE)</f>
        <v>黄忠</v>
      </c>
      <c r="E35" s="55">
        <f ca="1">VLOOKUP($C35,OFFSET([1]characters!$A$1,0,0,COUNTA([1]characters!$A:$A),MATCH(E$1,[1]characters!$1:$1,0)-MATCH($C$1,[1]characters!$1:$1,0)+1),MATCH(E$1,[1]characters!$1:$1,0)-MATCH($C$1,[1]characters!$1:$1,0)+1,FALSE)</f>
        <v>4</v>
      </c>
      <c r="F35" s="55" t="str">
        <f ca="1">VLOOKUP($C35,OFFSET([1]characters!$A$1,0,0,COUNTA([1]characters!$A:$A),MATCH(F$1,[1]characters!$1:$1,0)-MATCH($C$1,[1]characters!$1:$1,0)+1),MATCH(F$1,[1]characters!$1:$1,0)-MATCH($C$1,[1]characters!$1:$1,0)+1,FALSE)</f>
        <v>PremiumS</v>
      </c>
      <c r="G35" s="182">
        <v>1144</v>
      </c>
      <c r="H35" s="55" t="str">
        <f ca="1">VLOOKUP($G35,OFFSET([1]characters!$A$1,0,0,COUNTA([1]characters!$A:$A),MATCH(H$1,[1]characters!$1:$1,0)-MATCH($C$1,[1]characters!$1:$1,0)+1),MATCH(H$1,[1]characters!$1:$1,0)-MATCH($C$1,[1]characters!$1:$1,0)+1,FALSE)</f>
        <v>白星を射る老将 黄忠</v>
      </c>
      <c r="I35" s="190">
        <v>115</v>
      </c>
      <c r="J35" s="55" t="str">
        <f ca="1">VLOOKUP($I35,OFFSET([1]characters!$A$1,0,0,COUNTA([1]characters!$A:$A),MATCH(J$1,[1]characters!$1:$1,0)-MATCH($C$1,[1]characters!$1:$1,0)+1),MATCH(J$1,[1]characters!$1:$1,0)-MATCH($C$1,[1]characters!$1:$1,0)+1,FALSE)</f>
        <v>イエローキャタップ</v>
      </c>
      <c r="K35" s="18">
        <v>2</v>
      </c>
      <c r="L35" s="112">
        <v>1</v>
      </c>
      <c r="M35" s="112">
        <v>10</v>
      </c>
      <c r="N35" s="2" t="s">
        <v>291</v>
      </c>
    </row>
    <row r="36" spans="1:14" ht="21" customHeight="1" x14ac:dyDescent="0.15">
      <c r="A36" s="63" t="str">
        <f t="shared" ref="A36" si="31">B36&amp;"_"&amp;I36</f>
        <v>1143_116</v>
      </c>
      <c r="B36" s="182">
        <v>1143</v>
      </c>
      <c r="C36" s="181">
        <f t="shared" ref="C36" si="32">B36</f>
        <v>1143</v>
      </c>
      <c r="D36" s="55" t="str">
        <f ca="1">VLOOKUP($C36,OFFSET([1]characters!$A$1,0,0,COUNTA([1]characters!$A:$A),MATCH(D$1,[1]characters!$1:$1,0)-MATCH($C$1,[1]characters!$1:$1,0)+1),MATCH(D$1,[1]characters!$1:$1,0)-MATCH($C$1,[1]characters!$1:$1,0)+1,FALSE)</f>
        <v>黄忠</v>
      </c>
      <c r="E36" s="55">
        <f ca="1">VLOOKUP($C36,OFFSET([1]characters!$A$1,0,0,COUNTA([1]characters!$A:$A),MATCH(E$1,[1]characters!$1:$1,0)-MATCH($C$1,[1]characters!$1:$1,0)+1),MATCH(E$1,[1]characters!$1:$1,0)-MATCH($C$1,[1]characters!$1:$1,0)+1,FALSE)</f>
        <v>4</v>
      </c>
      <c r="F36" s="55" t="str">
        <f ca="1">VLOOKUP($C36,OFFSET([1]characters!$A$1,0,0,COUNTA([1]characters!$A:$A),MATCH(F$1,[1]characters!$1:$1,0)-MATCH($C$1,[1]characters!$1:$1,0)+1),MATCH(F$1,[1]characters!$1:$1,0)-MATCH($C$1,[1]characters!$1:$1,0)+1,FALSE)</f>
        <v>PremiumS</v>
      </c>
      <c r="G36" s="182">
        <v>1144</v>
      </c>
      <c r="H36" s="55" t="str">
        <f ca="1">VLOOKUP($G36,OFFSET([1]characters!$A$1,0,0,COUNTA([1]characters!$A:$A),MATCH(H$1,[1]characters!$1:$1,0)-MATCH($C$1,[1]characters!$1:$1,0)+1),MATCH(H$1,[1]characters!$1:$1,0)-MATCH($C$1,[1]characters!$1:$1,0)+1,FALSE)</f>
        <v>白星を射る老将 黄忠</v>
      </c>
      <c r="I36" s="190">
        <v>116</v>
      </c>
      <c r="J36" s="55" t="str">
        <f ca="1">VLOOKUP($I36,OFFSET([1]characters!$A$1,0,0,COUNTA([1]characters!$A:$A),MATCH(J$1,[1]characters!$1:$1,0)-MATCH($C$1,[1]characters!$1:$1,0)+1),MATCH(J$1,[1]characters!$1:$1,0)-MATCH($C$1,[1]characters!$1:$1,0)+1,FALSE)</f>
        <v>雷のマッドハッター</v>
      </c>
      <c r="K36" s="18">
        <v>2</v>
      </c>
      <c r="L36" s="112">
        <v>1</v>
      </c>
      <c r="M36" s="112">
        <v>10</v>
      </c>
      <c r="N36"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B5" sqref="B5"/>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3" customFormat="1" ht="21" customHeight="1" x14ac:dyDescent="0.15">
      <c r="A1" s="170" t="s">
        <v>303</v>
      </c>
      <c r="B1" s="118" t="s">
        <v>304</v>
      </c>
      <c r="C1" s="119" t="s">
        <v>305</v>
      </c>
      <c r="D1" s="120" t="s">
        <v>306</v>
      </c>
      <c r="E1" s="120" t="s">
        <v>307</v>
      </c>
      <c r="F1" s="120" t="s">
        <v>308</v>
      </c>
      <c r="G1" s="120" t="s">
        <v>309</v>
      </c>
      <c r="H1" s="120" t="s">
        <v>310</v>
      </c>
      <c r="I1" s="176" t="s">
        <v>311</v>
      </c>
      <c r="J1" s="171"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9"/>
  <sheetViews>
    <sheetView workbookViewId="0">
      <selection activeCell="F24" sqref="F24"/>
    </sheetView>
  </sheetViews>
  <sheetFormatPr baseColWidth="12" defaultRowHeight="15" x14ac:dyDescent="0.15"/>
  <cols>
    <col min="5" max="5" width="22.6640625" customWidth="1"/>
    <col min="6" max="6" width="35.33203125" customWidth="1"/>
  </cols>
  <sheetData>
    <row r="1" spans="1:8" s="23" customFormat="1" ht="21" customHeight="1" x14ac:dyDescent="0.15">
      <c r="A1" s="170" t="s">
        <v>138</v>
      </c>
      <c r="B1" s="173" t="s">
        <v>267</v>
      </c>
      <c r="C1" s="118" t="s">
        <v>268</v>
      </c>
      <c r="D1" s="118" t="s">
        <v>269</v>
      </c>
      <c r="E1" s="174" t="s">
        <v>270</v>
      </c>
      <c r="F1" s="174" t="s">
        <v>271</v>
      </c>
      <c r="G1" s="121" t="s">
        <v>272</v>
      </c>
      <c r="H1" s="170" t="s">
        <v>273</v>
      </c>
    </row>
    <row r="2" spans="1:8" s="4" customFormat="1" ht="21" customHeight="1" x14ac:dyDescent="0.15">
      <c r="A2" s="172">
        <v>1138</v>
      </c>
      <c r="B2" s="175" t="str">
        <f>VLOOKUP(A2,[1]characters!$A:$C,3)</f>
        <v>神算鬼謀の宰相 諸葛亮</v>
      </c>
      <c r="C2" s="172">
        <v>1</v>
      </c>
      <c r="D2" s="172">
        <v>200</v>
      </c>
      <c r="E2" s="176" t="str">
        <f>IF(ISERROR(VLOOKUP(D2,[3]abilities!A:D,3,FALSE))=FALSE,VLOOKUP(D2,[3]abilities!A:D,3),IF(ISERROR(VLOOKUP(D2,abilities!A:D,3,FALSE))=FALSE,VLOOKUP(D2,abilities!A:D,3),"なし"))</f>
        <v>ウィルス無効</v>
      </c>
      <c r="F2" s="176" t="str">
        <f>IF(ISERROR(VLOOKUP(D2,[3]abilities!A:D,4,FALSE))=FALSE,VLOOKUP(D2,[3]abilities!A:D,4),IF(ISERROR(VLOOKUP(D2,abilities!A:D,4,FALSE))=FALSE,VLOOKUP(D2,abilities!A:D,4),"なし"))</f>
        <v>自身にかかるウィルスを無効化する</v>
      </c>
      <c r="G2" s="177" t="s">
        <v>274</v>
      </c>
      <c r="H2" s="177" t="s">
        <v>275</v>
      </c>
    </row>
    <row r="3" spans="1:8" s="4" customFormat="1" ht="21" customHeight="1" x14ac:dyDescent="0.15">
      <c r="A3" s="172">
        <v>1140</v>
      </c>
      <c r="B3" s="175" t="str">
        <f>VLOOKUP(A3,[1]characters!$A:$C,3)</f>
        <v>綱紀粛正の傑璧 趙雲</v>
      </c>
      <c r="C3" s="172">
        <v>1</v>
      </c>
      <c r="D3" s="172">
        <v>103</v>
      </c>
      <c r="E3" s="176" t="str">
        <f>IF(ISERROR(VLOOKUP(D3,[3]abilities!A:D,3,FALSE))=FALSE,VLOOKUP(D3,[3]abilities!A:D,3),IF(ISERROR(VLOOKUP(D3,abilities!A:D,3,FALSE))=FALSE,VLOOKUP(D3,abilities!A:D,3),"なし"))</f>
        <v>お邪魔ブレイク</v>
      </c>
      <c r="F3" s="176" t="str">
        <f>IF(ISERROR(VLOOKUP(D3,[3]abilities!A:D,4,FALSE))=FALSE,VLOOKUP(D3,[3]abilities!A:D,4),IF(ISERROR(VLOOKUP(D3,abilities!A:D,4,FALSE))=FALSE,VLOOKUP(D3,abilities!A:D,4),"なし"))</f>
        <v>自身が先頭の時、お邪魔パネルを破壊できる</v>
      </c>
      <c r="G3" s="177" t="s">
        <v>274</v>
      </c>
      <c r="H3" s="177" t="s">
        <v>275</v>
      </c>
    </row>
    <row r="4" spans="1:8" s="4" customFormat="1" ht="21" customHeight="1" x14ac:dyDescent="0.15">
      <c r="A4" s="172">
        <v>1142</v>
      </c>
      <c r="B4" s="175" t="str">
        <f>VLOOKUP(A4,[1]characters!$A:$C,3)</f>
        <v>蒼明な機鋼士 月英</v>
      </c>
      <c r="C4" s="172">
        <v>1</v>
      </c>
      <c r="D4" s="172">
        <v>105</v>
      </c>
      <c r="E4" s="176" t="str">
        <f>IF(ISERROR(VLOOKUP(D4,[3]abilities!A:D,3,FALSE))=FALSE,VLOOKUP(D4,[3]abilities!A:D,3),IF(ISERROR(VLOOKUP(D4,abilities!A:D,3,FALSE))=FALSE,VLOOKUP(D4,abilities!A:D,3),"なし"))</f>
        <v>お邪魔ブレイク</v>
      </c>
      <c r="F4" s="176" t="str">
        <f>IF(ISERROR(VLOOKUP(D4,[3]abilities!A:D,4,FALSE))=FALSE,VLOOKUP(D4,[3]abilities!A:D,4),IF(ISERROR(VLOOKUP(D4,abilities!A:D,4,FALSE))=FALSE,VLOOKUP(D4,abilities!A:D,4),"なし"))</f>
        <v>自身が先頭の時、お邪魔パネルを破壊できる</v>
      </c>
      <c r="G4" s="177" t="s">
        <v>274</v>
      </c>
      <c r="H4" s="177" t="s">
        <v>275</v>
      </c>
    </row>
    <row r="5" spans="1:8" s="4" customFormat="1" ht="21" customHeight="1" x14ac:dyDescent="0.15">
      <c r="A5" s="172">
        <v>1142</v>
      </c>
      <c r="B5" s="175" t="str">
        <f>VLOOKUP(A5,[1]characters!$A:$C,3)</f>
        <v>蒼明な機鋼士 月英</v>
      </c>
      <c r="C5" s="172">
        <v>2</v>
      </c>
      <c r="D5" s="172">
        <v>9013</v>
      </c>
      <c r="E5" s="176" t="str">
        <f>IF(ISERROR(VLOOKUP(D5,[3]abilities!A:D,3,FALSE))=FALSE,VLOOKUP(D5,[3]abilities!A:D,3),IF(ISERROR(VLOOKUP(D5,abilities!A:D,3,FALSE))=FALSE,VLOOKUP(D5,abilities!A:D,3),"なし"))</f>
        <v>ラグランジュチャレンジ ダメージUP</v>
      </c>
      <c r="F5" s="176" t="str">
        <f>IF(ISERROR(VLOOKUP(D5,[3]abilities!A:D,4,FALSE))=FALSE,VLOOKUP(D5,[3]abilities!A:D,4),IF(ISERROR(VLOOKUP(D5,abilities!A:D,4,FALSE))=FALSE,VLOOKUP(D5,abilities!A:D,4),"なし"))</f>
        <v>ラグランジュチャレンジ内で自身の全ての攻撃の威力をUP</v>
      </c>
      <c r="G5" s="177" t="s">
        <v>274</v>
      </c>
      <c r="H5" s="177" t="s">
        <v>275</v>
      </c>
    </row>
    <row r="6" spans="1:8" s="4" customFormat="1" ht="21" customHeight="1" x14ac:dyDescent="0.15">
      <c r="A6" s="172">
        <v>1132</v>
      </c>
      <c r="B6" s="175" t="str">
        <f>VLOOKUP(A6,[1]characters!$A:$C,3)</f>
        <v>偏執なる狂騒君 董卓</v>
      </c>
      <c r="C6" s="172">
        <v>1</v>
      </c>
      <c r="D6" s="172">
        <v>105</v>
      </c>
      <c r="E6" s="176" t="str">
        <f>IF(ISERROR(VLOOKUP(D6,[3]abilities!A:D,3,FALSE))=FALSE,VLOOKUP(D6,[3]abilities!A:D,3),IF(ISERROR(VLOOKUP(D6,abilities!A:D,3,FALSE))=FALSE,VLOOKUP(D6,abilities!A:D,3),"なし"))</f>
        <v>お邪魔ブレイク</v>
      </c>
      <c r="F6" s="176" t="str">
        <f>IF(ISERROR(VLOOKUP(D6,[3]abilities!A:D,4,FALSE))=FALSE,VLOOKUP(D6,[3]abilities!A:D,4),IF(ISERROR(VLOOKUP(D6,abilities!A:D,4,FALSE))=FALSE,VLOOKUP(D6,abilities!A:D,4),"なし"))</f>
        <v>自身が先頭の時、お邪魔パネルを破壊できる</v>
      </c>
      <c r="G6" s="177" t="s">
        <v>274</v>
      </c>
      <c r="H6" s="177" t="s">
        <v>320</v>
      </c>
    </row>
    <row r="7" spans="1:8" s="4" customFormat="1" ht="21" customHeight="1" x14ac:dyDescent="0.15">
      <c r="A7" s="172">
        <v>1134</v>
      </c>
      <c r="B7" s="175" t="str">
        <f>VLOOKUP(A7,[1]characters!$A:$C,3)</f>
        <v>月隠れの美麗酔 貂蝉</v>
      </c>
      <c r="C7" s="172">
        <v>1</v>
      </c>
      <c r="D7" s="172">
        <v>100</v>
      </c>
      <c r="E7" s="176" t="str">
        <f>IF(ISERROR(VLOOKUP(D7,[3]abilities!A:D,3,FALSE))=FALSE,VLOOKUP(D7,[3]abilities!A:D,3),IF(ISERROR(VLOOKUP(D7,abilities!A:D,3,FALSE))=FALSE,VLOOKUP(D7,abilities!A:D,3),"なし"))</f>
        <v>プロテクトブレイク</v>
      </c>
      <c r="F7" s="176" t="str">
        <f>IF(ISERROR(VLOOKUP(D7,[3]abilities!A:D,4,FALSE))=FALSE,VLOOKUP(D7,[3]abilities!A:D,4),IF(ISERROR(VLOOKUP(D7,abilities!A:D,4,FALSE))=FALSE,VLOOKUP(D7,abilities!A:D,4),"なし"))</f>
        <v>自身が先頭の時、プロテクトを無視してパネル破壊できる</v>
      </c>
      <c r="G7" s="177" t="s">
        <v>274</v>
      </c>
      <c r="H7" s="177" t="s">
        <v>320</v>
      </c>
    </row>
    <row r="8" spans="1:8" s="4" customFormat="1" ht="21" customHeight="1" x14ac:dyDescent="0.15">
      <c r="A8" s="172">
        <v>1136</v>
      </c>
      <c r="B8" s="175" t="str">
        <f>VLOOKUP(A8,[1]characters!$A:$C,3)</f>
        <v>豪拳烈創の激将 呂布</v>
      </c>
      <c r="C8" s="172">
        <v>1</v>
      </c>
      <c r="D8" s="172">
        <v>109</v>
      </c>
      <c r="E8" s="176" t="str">
        <f>IF(ISERROR(VLOOKUP(D8,[3]abilities!A:D,3,FALSE))=FALSE,VLOOKUP(D8,[3]abilities!A:D,3),IF(ISERROR(VLOOKUP(D8,abilities!A:D,3,FALSE))=FALSE,VLOOKUP(D8,abilities!A:D,3),"なし"))</f>
        <v>ダメージパネルブレイク</v>
      </c>
      <c r="F8" s="176" t="str">
        <f>IF(ISERROR(VLOOKUP(D8,[3]abilities!A:D,4,FALSE))=FALSE,VLOOKUP(D8,[3]abilities!A:D,4),IF(ISERROR(VLOOKUP(D8,abilities!A:D,4,FALSE))=FALSE,VLOOKUP(D8,abilities!A:D,4),"なし"))</f>
        <v>自身が先頭の時、ダメージを受けずにダメージパネルを破壊できる</v>
      </c>
      <c r="G8" s="177" t="s">
        <v>274</v>
      </c>
      <c r="H8" s="177" t="s">
        <v>433</v>
      </c>
    </row>
    <row r="9" spans="1:8" s="4" customFormat="1" ht="21" customHeight="1" x14ac:dyDescent="0.15">
      <c r="A9" s="172">
        <v>1136</v>
      </c>
      <c r="B9" s="175" t="str">
        <f>VLOOKUP(A9,[1]characters!$A:$C,3)</f>
        <v>豪拳烈創の激将 呂布</v>
      </c>
      <c r="C9" s="172">
        <v>2</v>
      </c>
      <c r="D9" s="172">
        <v>201</v>
      </c>
      <c r="E9" s="176" t="str">
        <f>IF(ISERROR(VLOOKUP(D9,[3]abilities!A:D,3,FALSE))=FALSE,VLOOKUP(D9,[3]abilities!A:D,3),IF(ISERROR(VLOOKUP(D9,abilities!A:D,3,FALSE))=FALSE,VLOOKUP(D9,abilities!A:D,3),"なし"))</f>
        <v>スキルバインド無効</v>
      </c>
      <c r="F9" s="176" t="str">
        <f>IF(ISERROR(VLOOKUP(D9,[3]abilities!A:D,4,FALSE))=FALSE,VLOOKUP(D9,[3]abilities!A:D,4),IF(ISERROR(VLOOKUP(D9,abilities!A:D,4,FALSE))=FALSE,VLOOKUP(D9,abilities!A:D,4),"なし"))</f>
        <v>自身にかかるスキルバインドを無効化する</v>
      </c>
      <c r="G9" s="177" t="s">
        <v>274</v>
      </c>
      <c r="H9" s="177" t="s">
        <v>451</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C4" sqref="C4"/>
    </sheetView>
  </sheetViews>
  <sheetFormatPr baseColWidth="12" defaultRowHeight="15" x14ac:dyDescent="0.15"/>
  <sheetData>
    <row r="1" spans="1:2" x14ac:dyDescent="0.15">
      <c r="A1" t="s">
        <v>456</v>
      </c>
      <c r="B1" t="s">
        <v>457</v>
      </c>
    </row>
    <row r="2" spans="1:2" x14ac:dyDescent="0.15">
      <c r="A2" t="s">
        <v>458</v>
      </c>
      <c r="B2">
        <v>1</v>
      </c>
    </row>
    <row r="3" spans="1:2" x14ac:dyDescent="0.15">
      <c r="A3" t="s">
        <v>459</v>
      </c>
      <c r="B3">
        <v>1</v>
      </c>
    </row>
    <row r="4" spans="1:2" x14ac:dyDescent="0.15">
      <c r="A4" t="s">
        <v>460</v>
      </c>
      <c r="B4">
        <v>1</v>
      </c>
    </row>
    <row r="5" spans="1:2" x14ac:dyDescent="0.15">
      <c r="A5" t="s">
        <v>461</v>
      </c>
      <c r="B5">
        <v>1</v>
      </c>
    </row>
    <row r="6" spans="1:2" x14ac:dyDescent="0.15">
      <c r="A6" t="s">
        <v>462</v>
      </c>
      <c r="B6">
        <v>1</v>
      </c>
    </row>
    <row r="7" spans="1:2" x14ac:dyDescent="0.15">
      <c r="A7" t="s">
        <v>463</v>
      </c>
      <c r="B7">
        <v>1</v>
      </c>
    </row>
    <row r="8" spans="1:2" x14ac:dyDescent="0.15">
      <c r="A8" t="s">
        <v>464</v>
      </c>
      <c r="B8">
        <v>1</v>
      </c>
    </row>
    <row r="9" spans="1:2" x14ac:dyDescent="0.15">
      <c r="A9" t="s">
        <v>465</v>
      </c>
      <c r="B9">
        <v>1</v>
      </c>
    </row>
    <row r="10" spans="1:2" x14ac:dyDescent="0.15">
      <c r="A10" t="s">
        <v>466</v>
      </c>
      <c r="B10">
        <v>1</v>
      </c>
    </row>
    <row r="11" spans="1:2" x14ac:dyDescent="0.15">
      <c r="A11" t="s">
        <v>467</v>
      </c>
      <c r="B11">
        <v>1</v>
      </c>
    </row>
    <row r="12" spans="1:2" x14ac:dyDescent="0.15">
      <c r="A12" t="s">
        <v>468</v>
      </c>
      <c r="B12">
        <v>1</v>
      </c>
    </row>
    <row r="13" spans="1:2" x14ac:dyDescent="0.15">
      <c r="A13" t="s">
        <v>469</v>
      </c>
      <c r="B13">
        <v>0</v>
      </c>
    </row>
    <row r="14" spans="1:2" x14ac:dyDescent="0.15">
      <c r="A14" t="s">
        <v>470</v>
      </c>
      <c r="B14">
        <v>500</v>
      </c>
    </row>
    <row r="15" spans="1:2" x14ac:dyDescent="0.15">
      <c r="A15" t="s">
        <v>471</v>
      </c>
      <c r="B15">
        <v>600</v>
      </c>
    </row>
    <row r="16" spans="1:2" x14ac:dyDescent="0.15">
      <c r="A16" t="s">
        <v>472</v>
      </c>
      <c r="B16">
        <v>700</v>
      </c>
    </row>
    <row r="17" spans="1:2" x14ac:dyDescent="0.15">
      <c r="A17" t="s">
        <v>473</v>
      </c>
      <c r="B17">
        <v>5500</v>
      </c>
    </row>
    <row r="18" spans="1:2" x14ac:dyDescent="0.15">
      <c r="A18" t="s">
        <v>474</v>
      </c>
      <c r="B18">
        <v>6000</v>
      </c>
    </row>
    <row r="19" spans="1:2" x14ac:dyDescent="0.15">
      <c r="A19" t="s">
        <v>475</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234</v>
      </c>
      <c r="B1" s="32">
        <v>1</v>
      </c>
      <c r="C1" s="32">
        <v>2</v>
      </c>
      <c r="D1" s="32">
        <v>3</v>
      </c>
      <c r="E1" s="32">
        <v>4</v>
      </c>
      <c r="F1" s="32">
        <v>5</v>
      </c>
      <c r="G1" s="32">
        <v>6</v>
      </c>
      <c r="H1" s="32">
        <v>7</v>
      </c>
      <c r="I1" s="32">
        <v>8</v>
      </c>
    </row>
    <row r="2" spans="1:9" s="4" customFormat="1" ht="21" customHeight="1" x14ac:dyDescent="0.15">
      <c r="A2" s="144" t="s">
        <v>235</v>
      </c>
      <c r="B2" s="145"/>
      <c r="C2" s="146"/>
      <c r="D2" s="147" t="s">
        <v>236</v>
      </c>
      <c r="E2" s="147">
        <v>30</v>
      </c>
      <c r="F2" s="147">
        <v>40</v>
      </c>
      <c r="G2" s="147">
        <f>15+F2</f>
        <v>55</v>
      </c>
      <c r="H2" s="146"/>
      <c r="I2" s="146"/>
    </row>
    <row r="3" spans="1:9" s="4" customFormat="1" ht="21" customHeight="1" x14ac:dyDescent="0.15">
      <c r="A3" s="144" t="s">
        <v>237</v>
      </c>
      <c r="B3" s="148"/>
      <c r="C3" s="149"/>
      <c r="D3" s="150" t="s">
        <v>236</v>
      </c>
      <c r="E3" s="150">
        <v>25</v>
      </c>
      <c r="F3" s="150">
        <v>35</v>
      </c>
      <c r="G3" s="147">
        <f t="shared" ref="G3:G4" si="0">15+F3</f>
        <v>50</v>
      </c>
      <c r="H3" s="149"/>
      <c r="I3" s="149"/>
    </row>
    <row r="4" spans="1:9" s="4" customFormat="1" ht="21" customHeight="1" x14ac:dyDescent="0.15">
      <c r="A4" s="144" t="s">
        <v>238</v>
      </c>
      <c r="B4" s="151"/>
      <c r="C4" s="152"/>
      <c r="D4" s="153">
        <v>10</v>
      </c>
      <c r="E4" s="153">
        <v>20</v>
      </c>
      <c r="F4" s="153">
        <v>30</v>
      </c>
      <c r="G4" s="153">
        <f t="shared" si="0"/>
        <v>45</v>
      </c>
      <c r="H4" s="152"/>
      <c r="I4" s="152"/>
    </row>
    <row r="5" spans="1:9" s="4" customFormat="1" ht="21" customHeight="1" x14ac:dyDescent="0.15">
      <c r="A5" s="163" t="s">
        <v>239</v>
      </c>
      <c r="B5" s="158"/>
      <c r="C5" s="159"/>
      <c r="D5" s="28">
        <v>9</v>
      </c>
      <c r="E5" s="28">
        <v>18</v>
      </c>
      <c r="F5" s="28">
        <v>28</v>
      </c>
      <c r="G5" s="38">
        <v>38</v>
      </c>
      <c r="H5" s="159"/>
      <c r="I5" s="159"/>
    </row>
    <row r="6" spans="1:9" s="4" customFormat="1" ht="21" customHeight="1" x14ac:dyDescent="0.15">
      <c r="A6" s="163" t="s">
        <v>240</v>
      </c>
      <c r="B6" s="158"/>
      <c r="C6" s="159"/>
      <c r="D6" s="28">
        <v>7</v>
      </c>
      <c r="E6" s="28">
        <v>16</v>
      </c>
      <c r="F6" s="67" t="s">
        <v>11</v>
      </c>
      <c r="G6" s="67" t="s">
        <v>11</v>
      </c>
      <c r="H6" s="159"/>
      <c r="I6" s="159"/>
    </row>
    <row r="7" spans="1:9" ht="21" customHeight="1" x14ac:dyDescent="0.15">
      <c r="A7" s="72" t="s">
        <v>241</v>
      </c>
      <c r="B7" s="45" t="s">
        <v>11</v>
      </c>
      <c r="C7" s="45" t="s">
        <v>11</v>
      </c>
      <c r="D7" s="38" t="s">
        <v>236</v>
      </c>
      <c r="E7" s="38" t="s">
        <v>236</v>
      </c>
      <c r="F7" s="38" t="s">
        <v>236</v>
      </c>
      <c r="G7" s="38" t="s">
        <v>236</v>
      </c>
      <c r="H7" s="38" t="s">
        <v>236</v>
      </c>
      <c r="I7" s="38" t="s">
        <v>236</v>
      </c>
    </row>
    <row r="8" spans="1:9" ht="21" customHeight="1" x14ac:dyDescent="0.15">
      <c r="A8" s="73" t="s">
        <v>242</v>
      </c>
      <c r="B8" s="45" t="s">
        <v>11</v>
      </c>
      <c r="C8" s="45" t="s">
        <v>11</v>
      </c>
      <c r="D8" s="38" t="s">
        <v>236</v>
      </c>
      <c r="E8" s="38">
        <v>30</v>
      </c>
      <c r="F8" s="38">
        <v>40</v>
      </c>
      <c r="G8" s="38">
        <f>15+F8</f>
        <v>55</v>
      </c>
      <c r="H8" s="38" t="s">
        <v>236</v>
      </c>
      <c r="I8" s="38" t="s">
        <v>236</v>
      </c>
    </row>
    <row r="9" spans="1:9" s="44" customFormat="1" ht="21" customHeight="1" x14ac:dyDescent="0.15">
      <c r="A9" s="74" t="s">
        <v>313</v>
      </c>
      <c r="B9" s="28" t="s">
        <v>11</v>
      </c>
      <c r="C9" s="28" t="s">
        <v>11</v>
      </c>
      <c r="D9" s="104" t="s">
        <v>109</v>
      </c>
      <c r="E9" s="104" t="s">
        <v>109</v>
      </c>
      <c r="F9" s="104">
        <v>38</v>
      </c>
      <c r="G9" s="38">
        <f>15+F9</f>
        <v>53</v>
      </c>
      <c r="H9" s="104" t="s">
        <v>109</v>
      </c>
      <c r="I9" s="104" t="s">
        <v>109</v>
      </c>
    </row>
    <row r="10" spans="1:9" s="44" customFormat="1" ht="21" customHeight="1" x14ac:dyDescent="0.15">
      <c r="A10" s="74" t="s">
        <v>243</v>
      </c>
      <c r="B10" s="28" t="s">
        <v>11</v>
      </c>
      <c r="C10" s="28" t="s">
        <v>11</v>
      </c>
      <c r="D10" s="104" t="s">
        <v>236</v>
      </c>
      <c r="E10" s="104">
        <v>25</v>
      </c>
      <c r="F10" s="104">
        <v>35</v>
      </c>
      <c r="G10" s="38">
        <f t="shared" ref="G10:G11" si="1">15+F10</f>
        <v>50</v>
      </c>
      <c r="H10" s="104" t="s">
        <v>236</v>
      </c>
      <c r="I10" s="104" t="s">
        <v>236</v>
      </c>
    </row>
    <row r="11" spans="1:9" ht="21" customHeight="1" x14ac:dyDescent="0.15">
      <c r="A11" s="74" t="s">
        <v>9</v>
      </c>
      <c r="B11" s="67" t="s">
        <v>11</v>
      </c>
      <c r="C11" s="67" t="s">
        <v>11</v>
      </c>
      <c r="D11" s="28">
        <v>10</v>
      </c>
      <c r="E11" s="28">
        <v>20</v>
      </c>
      <c r="F11" s="28">
        <v>30</v>
      </c>
      <c r="G11" s="38">
        <f t="shared" si="1"/>
        <v>45</v>
      </c>
      <c r="H11" s="67" t="s">
        <v>11</v>
      </c>
      <c r="I11" s="67" t="s">
        <v>11</v>
      </c>
    </row>
    <row r="12" spans="1:9" ht="21" customHeight="1" x14ac:dyDescent="0.15">
      <c r="A12" s="74" t="s">
        <v>244</v>
      </c>
      <c r="B12" s="67" t="s">
        <v>11</v>
      </c>
      <c r="C12" s="67" t="s">
        <v>11</v>
      </c>
      <c r="D12" s="28">
        <v>9</v>
      </c>
      <c r="E12" s="28">
        <v>18</v>
      </c>
      <c r="F12" s="28">
        <v>28</v>
      </c>
      <c r="G12" s="38">
        <v>38</v>
      </c>
      <c r="H12" s="67" t="s">
        <v>11</v>
      </c>
      <c r="I12" s="67" t="s">
        <v>11</v>
      </c>
    </row>
    <row r="13" spans="1:9" ht="21" customHeight="1" x14ac:dyDescent="0.15">
      <c r="A13" s="74" t="s">
        <v>245</v>
      </c>
      <c r="B13" s="67" t="s">
        <v>11</v>
      </c>
      <c r="C13" s="67" t="s">
        <v>11</v>
      </c>
      <c r="D13" s="28">
        <v>7</v>
      </c>
      <c r="E13" s="28">
        <v>16</v>
      </c>
      <c r="F13" s="187">
        <v>26</v>
      </c>
      <c r="G13" s="67" t="s">
        <v>11</v>
      </c>
      <c r="H13" s="67" t="s">
        <v>11</v>
      </c>
      <c r="I13" s="67" t="s">
        <v>11</v>
      </c>
    </row>
    <row r="14" spans="1:9" ht="21" customHeight="1" x14ac:dyDescent="0.15">
      <c r="A14" s="103" t="s">
        <v>246</v>
      </c>
      <c r="B14" s="67" t="s">
        <v>11</v>
      </c>
      <c r="C14" s="67" t="s">
        <v>11</v>
      </c>
      <c r="D14" s="28">
        <v>8</v>
      </c>
      <c r="E14" s="28">
        <v>17</v>
      </c>
      <c r="F14" s="28">
        <v>26</v>
      </c>
      <c r="G14" s="67" t="s">
        <v>11</v>
      </c>
      <c r="H14" s="67" t="s">
        <v>11</v>
      </c>
      <c r="I14" s="67" t="s">
        <v>11</v>
      </c>
    </row>
    <row r="15" spans="1:9" ht="21" customHeight="1" x14ac:dyDescent="0.15">
      <c r="A15" s="74" t="s">
        <v>247</v>
      </c>
      <c r="B15" s="67" t="s">
        <v>11</v>
      </c>
      <c r="C15" s="67" t="s">
        <v>11</v>
      </c>
      <c r="D15" s="28">
        <v>8</v>
      </c>
      <c r="E15" s="28">
        <v>17</v>
      </c>
      <c r="F15" s="28">
        <v>26</v>
      </c>
      <c r="G15" s="67" t="s">
        <v>11</v>
      </c>
      <c r="H15" s="67" t="s">
        <v>11</v>
      </c>
      <c r="I15" s="67" t="s">
        <v>11</v>
      </c>
    </row>
    <row r="16" spans="1:9" ht="21" customHeight="1" x14ac:dyDescent="0.15">
      <c r="A16" s="74" t="s">
        <v>248</v>
      </c>
      <c r="B16" s="67" t="s">
        <v>11</v>
      </c>
      <c r="C16" s="67" t="s">
        <v>11</v>
      </c>
      <c r="D16" s="28">
        <v>6</v>
      </c>
      <c r="E16" s="28">
        <v>14</v>
      </c>
      <c r="F16" s="67" t="s">
        <v>11</v>
      </c>
      <c r="G16" s="67" t="s">
        <v>11</v>
      </c>
      <c r="H16" s="67" t="s">
        <v>11</v>
      </c>
      <c r="I16" s="67" t="s">
        <v>11</v>
      </c>
    </row>
    <row r="17" spans="1:9" ht="21" customHeight="1" x14ac:dyDescent="0.15">
      <c r="A17" s="74" t="s">
        <v>249</v>
      </c>
      <c r="B17" s="67" t="s">
        <v>11</v>
      </c>
      <c r="C17" s="28">
        <v>4</v>
      </c>
      <c r="D17" s="28">
        <v>6</v>
      </c>
      <c r="E17" s="28">
        <v>14</v>
      </c>
      <c r="F17" s="67" t="s">
        <v>11</v>
      </c>
      <c r="G17" s="67" t="s">
        <v>11</v>
      </c>
      <c r="H17" s="67" t="s">
        <v>11</v>
      </c>
      <c r="I17" s="67" t="s">
        <v>11</v>
      </c>
    </row>
    <row r="18" spans="1:9" ht="21" customHeight="1" x14ac:dyDescent="0.15">
      <c r="A18" s="74" t="s">
        <v>8</v>
      </c>
      <c r="B18" s="28">
        <v>2</v>
      </c>
      <c r="C18" s="28">
        <v>4</v>
      </c>
      <c r="D18" s="28">
        <v>6</v>
      </c>
      <c r="E18" s="67" t="s">
        <v>11</v>
      </c>
      <c r="F18" s="67" t="s">
        <v>11</v>
      </c>
      <c r="G18" s="67" t="s">
        <v>11</v>
      </c>
      <c r="H18" s="67" t="s">
        <v>11</v>
      </c>
      <c r="I18" s="67" t="s">
        <v>11</v>
      </c>
    </row>
    <row r="19" spans="1:9" ht="21" customHeight="1" x14ac:dyDescent="0.15">
      <c r="A19" s="75" t="s">
        <v>7</v>
      </c>
      <c r="B19" s="31">
        <v>1</v>
      </c>
      <c r="C19" s="31">
        <v>2</v>
      </c>
      <c r="D19" s="68" t="s">
        <v>11</v>
      </c>
      <c r="E19" s="68" t="s">
        <v>11</v>
      </c>
      <c r="F19" s="68" t="s">
        <v>11</v>
      </c>
      <c r="G19" s="68" t="s">
        <v>11</v>
      </c>
      <c r="H19" s="68" t="s">
        <v>11</v>
      </c>
      <c r="I19" s="68" t="s">
        <v>11</v>
      </c>
    </row>
    <row r="20" spans="1:9" ht="21" customHeight="1" x14ac:dyDescent="0.15">
      <c r="A20" s="76" t="s">
        <v>250</v>
      </c>
      <c r="B20" s="26">
        <v>1</v>
      </c>
      <c r="C20" s="26">
        <v>1</v>
      </c>
      <c r="D20" s="68" t="s">
        <v>11</v>
      </c>
      <c r="E20" s="68" t="s">
        <v>11</v>
      </c>
      <c r="F20" s="68" t="s">
        <v>11</v>
      </c>
      <c r="G20" s="68" t="s">
        <v>11</v>
      </c>
      <c r="H20" s="68" t="s">
        <v>11</v>
      </c>
      <c r="I20" s="68" t="s">
        <v>11</v>
      </c>
    </row>
    <row r="21" spans="1:9" ht="21" customHeight="1" x14ac:dyDescent="0.15">
      <c r="A21" s="37" t="s">
        <v>251</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4" t="s">
        <v>235</v>
      </c>
      <c r="B2" s="160"/>
      <c r="C2" s="146"/>
      <c r="D2" s="154" t="s">
        <v>109</v>
      </c>
      <c r="E2" s="154">
        <v>60</v>
      </c>
      <c r="F2" s="154">
        <v>80</v>
      </c>
      <c r="G2" s="154">
        <v>99</v>
      </c>
      <c r="H2" s="146"/>
      <c r="I2" s="146"/>
    </row>
    <row r="3" spans="1:9" s="4" customFormat="1" ht="21" customHeight="1" x14ac:dyDescent="0.15">
      <c r="A3" s="144" t="s">
        <v>237</v>
      </c>
      <c r="B3" s="161"/>
      <c r="C3" s="149"/>
      <c r="D3" s="154" t="s">
        <v>109</v>
      </c>
      <c r="E3" s="154">
        <v>60</v>
      </c>
      <c r="F3" s="154">
        <v>80</v>
      </c>
      <c r="G3" s="154">
        <v>99</v>
      </c>
      <c r="H3" s="149"/>
      <c r="I3" s="149"/>
    </row>
    <row r="4" spans="1:9" s="4" customFormat="1" ht="21" customHeight="1" x14ac:dyDescent="0.15">
      <c r="A4" s="144" t="s">
        <v>231</v>
      </c>
      <c r="B4" s="162"/>
      <c r="C4" s="152"/>
      <c r="D4" s="154">
        <v>40</v>
      </c>
      <c r="E4" s="154">
        <v>60</v>
      </c>
      <c r="F4" s="154">
        <v>80</v>
      </c>
      <c r="G4" s="154">
        <v>99</v>
      </c>
      <c r="H4" s="152"/>
      <c r="I4" s="152"/>
    </row>
    <row r="5" spans="1:9" s="4" customFormat="1" ht="21" customHeight="1" x14ac:dyDescent="0.15">
      <c r="A5" s="163" t="s">
        <v>239</v>
      </c>
      <c r="B5" s="158"/>
      <c r="C5" s="159"/>
      <c r="D5" s="154">
        <v>40</v>
      </c>
      <c r="E5" s="154">
        <v>60</v>
      </c>
      <c r="F5" s="154">
        <v>80</v>
      </c>
      <c r="G5" s="154">
        <v>99</v>
      </c>
      <c r="H5" s="159"/>
      <c r="I5" s="159"/>
    </row>
    <row r="6" spans="1:9" s="4" customFormat="1" ht="21" customHeight="1" x14ac:dyDescent="0.15">
      <c r="A6" s="163" t="s">
        <v>240</v>
      </c>
      <c r="B6" s="158"/>
      <c r="C6" s="159"/>
      <c r="D6" s="154">
        <v>40</v>
      </c>
      <c r="E6" s="154">
        <v>60</v>
      </c>
      <c r="F6" s="154" t="s">
        <v>109</v>
      </c>
      <c r="G6" s="154" t="s">
        <v>109</v>
      </c>
      <c r="H6" s="159"/>
      <c r="I6" s="159"/>
    </row>
    <row r="7" spans="1:9" ht="21" customHeight="1" x14ac:dyDescent="0.15">
      <c r="A7" s="72" t="s">
        <v>207</v>
      </c>
      <c r="B7" s="39" t="s">
        <v>109</v>
      </c>
      <c r="C7" s="39" t="s">
        <v>109</v>
      </c>
      <c r="D7" s="39" t="s">
        <v>109</v>
      </c>
      <c r="E7" s="39" t="s">
        <v>109</v>
      </c>
      <c r="F7" s="39" t="s">
        <v>109</v>
      </c>
      <c r="G7" s="39" t="s">
        <v>109</v>
      </c>
      <c r="H7" s="39" t="s">
        <v>109</v>
      </c>
      <c r="I7" s="39" t="s">
        <v>109</v>
      </c>
    </row>
    <row r="8" spans="1:9" ht="21" customHeight="1" x14ac:dyDescent="0.15">
      <c r="A8" s="73" t="s">
        <v>242</v>
      </c>
      <c r="B8" s="39" t="s">
        <v>109</v>
      </c>
      <c r="C8" s="39" t="s">
        <v>109</v>
      </c>
      <c r="D8" s="39" t="s">
        <v>109</v>
      </c>
      <c r="E8" s="39">
        <v>60</v>
      </c>
      <c r="F8" s="39">
        <v>80</v>
      </c>
      <c r="G8" s="39">
        <v>99</v>
      </c>
      <c r="H8" s="39" t="s">
        <v>109</v>
      </c>
      <c r="I8" s="39" t="s">
        <v>109</v>
      </c>
    </row>
    <row r="9" spans="1:9" s="44" customFormat="1" ht="21" customHeight="1" x14ac:dyDescent="0.15">
      <c r="A9" s="74" t="s">
        <v>314</v>
      </c>
      <c r="B9" s="64" t="s">
        <v>109</v>
      </c>
      <c r="C9" s="64" t="s">
        <v>109</v>
      </c>
      <c r="D9" s="64" t="s">
        <v>109</v>
      </c>
      <c r="E9" s="64" t="s">
        <v>109</v>
      </c>
      <c r="F9" s="64">
        <v>80</v>
      </c>
      <c r="G9" s="64">
        <v>99</v>
      </c>
      <c r="H9" s="64" t="s">
        <v>109</v>
      </c>
      <c r="I9" s="64" t="s">
        <v>109</v>
      </c>
    </row>
    <row r="10" spans="1:9" s="44" customFormat="1" ht="21" customHeight="1" x14ac:dyDescent="0.15">
      <c r="A10" s="74" t="s">
        <v>243</v>
      </c>
      <c r="B10" s="64" t="s">
        <v>109</v>
      </c>
      <c r="C10" s="64" t="s">
        <v>109</v>
      </c>
      <c r="D10" s="64" t="s">
        <v>109</v>
      </c>
      <c r="E10" s="64">
        <v>60</v>
      </c>
      <c r="F10" s="64">
        <v>80</v>
      </c>
      <c r="G10" s="64">
        <v>99</v>
      </c>
      <c r="H10" s="64" t="s">
        <v>109</v>
      </c>
      <c r="I10" s="64" t="s">
        <v>109</v>
      </c>
    </row>
    <row r="11" spans="1:9" ht="21" customHeight="1" x14ac:dyDescent="0.15">
      <c r="A11" s="74" t="s">
        <v>9</v>
      </c>
      <c r="B11" s="69" t="s">
        <v>109</v>
      </c>
      <c r="C11" s="69" t="s">
        <v>109</v>
      </c>
      <c r="D11" s="36">
        <v>40</v>
      </c>
      <c r="E11" s="36">
        <v>60</v>
      </c>
      <c r="F11" s="36">
        <v>80</v>
      </c>
      <c r="G11" s="39">
        <v>99</v>
      </c>
      <c r="H11" s="69" t="s">
        <v>109</v>
      </c>
      <c r="I11" s="69" t="s">
        <v>109</v>
      </c>
    </row>
    <row r="12" spans="1:9" ht="21" customHeight="1" x14ac:dyDescent="0.15">
      <c r="A12" s="74" t="s">
        <v>210</v>
      </c>
      <c r="B12" s="69" t="s">
        <v>109</v>
      </c>
      <c r="C12" s="69" t="s">
        <v>109</v>
      </c>
      <c r="D12" s="36">
        <v>40</v>
      </c>
      <c r="E12" s="36">
        <v>60</v>
      </c>
      <c r="F12" s="36">
        <v>80</v>
      </c>
      <c r="G12" s="64">
        <v>99</v>
      </c>
      <c r="H12" s="69" t="s">
        <v>109</v>
      </c>
      <c r="I12" s="69" t="s">
        <v>109</v>
      </c>
    </row>
    <row r="13" spans="1:9" ht="21" customHeight="1" x14ac:dyDescent="0.15">
      <c r="A13" s="74" t="s">
        <v>206</v>
      </c>
      <c r="B13" s="69" t="s">
        <v>109</v>
      </c>
      <c r="C13" s="69" t="s">
        <v>109</v>
      </c>
      <c r="D13" s="36">
        <v>40</v>
      </c>
      <c r="E13" s="36">
        <v>60</v>
      </c>
      <c r="F13" s="188">
        <v>80</v>
      </c>
      <c r="G13" s="69" t="s">
        <v>109</v>
      </c>
      <c r="H13" s="69" t="s">
        <v>109</v>
      </c>
      <c r="I13" s="69" t="s">
        <v>109</v>
      </c>
    </row>
    <row r="14" spans="1:9" ht="21" customHeight="1" x14ac:dyDescent="0.15">
      <c r="A14" s="103" t="s">
        <v>246</v>
      </c>
      <c r="B14" s="69" t="s">
        <v>109</v>
      </c>
      <c r="C14" s="69" t="s">
        <v>109</v>
      </c>
      <c r="D14" s="36">
        <v>40</v>
      </c>
      <c r="E14" s="36">
        <v>60</v>
      </c>
      <c r="F14" s="36">
        <v>80</v>
      </c>
      <c r="G14" s="69" t="s">
        <v>109</v>
      </c>
      <c r="H14" s="69" t="s">
        <v>109</v>
      </c>
      <c r="I14" s="69" t="s">
        <v>109</v>
      </c>
    </row>
    <row r="15" spans="1:9" ht="21" customHeight="1" x14ac:dyDescent="0.15">
      <c r="A15" s="74" t="s">
        <v>247</v>
      </c>
      <c r="B15" s="69" t="s">
        <v>109</v>
      </c>
      <c r="C15" s="69" t="s">
        <v>109</v>
      </c>
      <c r="D15" s="36">
        <v>40</v>
      </c>
      <c r="E15" s="36">
        <v>60</v>
      </c>
      <c r="F15" s="36">
        <v>80</v>
      </c>
      <c r="G15" s="69" t="s">
        <v>109</v>
      </c>
      <c r="H15" s="69" t="s">
        <v>109</v>
      </c>
      <c r="I15" s="69" t="s">
        <v>109</v>
      </c>
    </row>
    <row r="16" spans="1:9" ht="21" customHeight="1" x14ac:dyDescent="0.15">
      <c r="A16" s="74" t="s">
        <v>105</v>
      </c>
      <c r="B16" s="69" t="s">
        <v>109</v>
      </c>
      <c r="C16" s="36">
        <v>30</v>
      </c>
      <c r="D16" s="36">
        <v>40</v>
      </c>
      <c r="E16" s="36">
        <v>60</v>
      </c>
      <c r="F16" s="69" t="s">
        <v>109</v>
      </c>
      <c r="G16" s="69" t="s">
        <v>109</v>
      </c>
      <c r="H16" s="69" t="s">
        <v>109</v>
      </c>
      <c r="I16" s="69" t="s">
        <v>109</v>
      </c>
    </row>
    <row r="17" spans="1:9" ht="21" customHeight="1" x14ac:dyDescent="0.15">
      <c r="A17" s="74" t="s">
        <v>249</v>
      </c>
      <c r="B17" s="69" t="s">
        <v>109</v>
      </c>
      <c r="C17" s="36">
        <v>30</v>
      </c>
      <c r="D17" s="36">
        <v>40</v>
      </c>
      <c r="E17" s="36">
        <v>60</v>
      </c>
      <c r="F17" s="69" t="s">
        <v>109</v>
      </c>
      <c r="G17" s="69" t="s">
        <v>109</v>
      </c>
      <c r="H17" s="69" t="s">
        <v>109</v>
      </c>
      <c r="I17" s="69" t="s">
        <v>109</v>
      </c>
    </row>
    <row r="18" spans="1:9" ht="21" customHeight="1" x14ac:dyDescent="0.15">
      <c r="A18" s="74" t="s">
        <v>8</v>
      </c>
      <c r="B18" s="36">
        <v>15</v>
      </c>
      <c r="C18" s="36">
        <v>30</v>
      </c>
      <c r="D18" s="36">
        <v>40</v>
      </c>
      <c r="E18" s="69" t="s">
        <v>109</v>
      </c>
      <c r="F18" s="69" t="s">
        <v>109</v>
      </c>
      <c r="G18" s="69" t="s">
        <v>109</v>
      </c>
      <c r="H18" s="69" t="s">
        <v>109</v>
      </c>
      <c r="I18" s="69" t="s">
        <v>109</v>
      </c>
    </row>
    <row r="19" spans="1:9" ht="21" customHeight="1" x14ac:dyDescent="0.15">
      <c r="A19" s="75" t="s">
        <v>7</v>
      </c>
      <c r="B19" s="36">
        <v>15</v>
      </c>
      <c r="C19" s="36">
        <v>30</v>
      </c>
      <c r="D19" s="36">
        <v>40</v>
      </c>
      <c r="E19" s="69" t="s">
        <v>216</v>
      </c>
      <c r="F19" s="69" t="s">
        <v>216</v>
      </c>
      <c r="G19" s="69" t="s">
        <v>216</v>
      </c>
      <c r="H19" s="69" t="s">
        <v>216</v>
      </c>
      <c r="I19" s="69" t="s">
        <v>216</v>
      </c>
    </row>
    <row r="20" spans="1:9" ht="21" customHeight="1" x14ac:dyDescent="0.15">
      <c r="A20" s="76" t="s">
        <v>250</v>
      </c>
      <c r="B20" s="36">
        <v>10</v>
      </c>
      <c r="C20" s="36">
        <v>20</v>
      </c>
      <c r="D20" s="69" t="s">
        <v>216</v>
      </c>
      <c r="E20" s="69" t="s">
        <v>216</v>
      </c>
      <c r="F20" s="69" t="s">
        <v>216</v>
      </c>
      <c r="G20" s="69" t="s">
        <v>216</v>
      </c>
      <c r="H20" s="69" t="s">
        <v>216</v>
      </c>
      <c r="I20" s="69" t="s">
        <v>216</v>
      </c>
    </row>
    <row r="21" spans="1:9" ht="21" customHeight="1" x14ac:dyDescent="0.15">
      <c r="A21" s="37" t="s">
        <v>251</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3"/>
  </cols>
  <sheetData>
    <row r="1" spans="1:11" ht="21" customHeight="1" x14ac:dyDescent="0.15">
      <c r="A1" s="47" t="s">
        <v>10</v>
      </c>
      <c r="B1" s="48">
        <v>1</v>
      </c>
      <c r="C1" s="48">
        <v>2</v>
      </c>
      <c r="D1" s="48">
        <v>3</v>
      </c>
      <c r="E1" s="48">
        <v>4</v>
      </c>
      <c r="F1" s="48">
        <v>5</v>
      </c>
      <c r="G1" s="48">
        <v>6</v>
      </c>
      <c r="H1" s="48">
        <v>7</v>
      </c>
      <c r="I1" s="48">
        <v>8</v>
      </c>
    </row>
    <row r="2" spans="1:11" s="4" customFormat="1" ht="21" customHeight="1" x14ac:dyDescent="0.15">
      <c r="A2" s="144" t="s">
        <v>235</v>
      </c>
      <c r="B2" s="145"/>
      <c r="C2" s="146"/>
      <c r="D2" s="154" t="s">
        <v>109</v>
      </c>
      <c r="E2" s="155" t="s">
        <v>59</v>
      </c>
      <c r="F2" s="155" t="s">
        <v>59</v>
      </c>
      <c r="G2" s="155" t="s">
        <v>252</v>
      </c>
      <c r="H2" s="146"/>
      <c r="I2" s="146"/>
    </row>
    <row r="3" spans="1:11" s="4" customFormat="1" ht="21" customHeight="1" x14ac:dyDescent="0.15">
      <c r="A3" s="144" t="s">
        <v>237</v>
      </c>
      <c r="B3" s="148"/>
      <c r="C3" s="149"/>
      <c r="D3" s="155" t="s">
        <v>59</v>
      </c>
      <c r="E3" s="155" t="s">
        <v>59</v>
      </c>
      <c r="F3" s="155" t="s">
        <v>59</v>
      </c>
      <c r="G3" s="155" t="s">
        <v>230</v>
      </c>
      <c r="H3" s="149"/>
      <c r="I3" s="149"/>
    </row>
    <row r="4" spans="1:11" s="4" customFormat="1" ht="21" customHeight="1" x14ac:dyDescent="0.15">
      <c r="A4" s="144" t="s">
        <v>231</v>
      </c>
      <c r="B4" s="151"/>
      <c r="C4" s="152"/>
      <c r="D4" s="156" t="s">
        <v>59</v>
      </c>
      <c r="E4" s="156" t="s">
        <v>59</v>
      </c>
      <c r="F4" s="156" t="s">
        <v>59</v>
      </c>
      <c r="G4" s="155" t="s">
        <v>230</v>
      </c>
      <c r="H4" s="152"/>
      <c r="I4" s="152"/>
    </row>
    <row r="5" spans="1:11" s="4" customFormat="1" ht="21" customHeight="1" x14ac:dyDescent="0.15">
      <c r="A5" s="163" t="s">
        <v>239</v>
      </c>
      <c r="B5" s="158"/>
      <c r="C5" s="159"/>
      <c r="D5" s="156" t="s">
        <v>59</v>
      </c>
      <c r="E5" s="156" t="s">
        <v>59</v>
      </c>
      <c r="F5" s="156" t="s">
        <v>59</v>
      </c>
      <c r="G5" s="155" t="s">
        <v>220</v>
      </c>
      <c r="H5" s="159"/>
      <c r="I5" s="159"/>
    </row>
    <row r="6" spans="1:11" s="4" customFormat="1" ht="21" customHeight="1" x14ac:dyDescent="0.15">
      <c r="A6" s="163" t="s">
        <v>240</v>
      </c>
      <c r="B6" s="158"/>
      <c r="C6" s="159"/>
      <c r="D6" s="164" t="s">
        <v>60</v>
      </c>
      <c r="E6" s="164" t="s">
        <v>60</v>
      </c>
      <c r="F6" s="154" t="s">
        <v>109</v>
      </c>
      <c r="G6" s="154" t="s">
        <v>109</v>
      </c>
      <c r="H6" s="159"/>
      <c r="I6" s="159"/>
    </row>
    <row r="7" spans="1:11" ht="21" customHeight="1" x14ac:dyDescent="0.15">
      <c r="A7" s="72" t="s">
        <v>207</v>
      </c>
      <c r="B7" s="39" t="s">
        <v>109</v>
      </c>
      <c r="C7" s="39" t="s">
        <v>109</v>
      </c>
      <c r="D7" s="39" t="s">
        <v>109</v>
      </c>
      <c r="E7" s="39" t="s">
        <v>109</v>
      </c>
      <c r="F7" s="39" t="s">
        <v>109</v>
      </c>
      <c r="G7" s="39" t="s">
        <v>109</v>
      </c>
      <c r="H7" s="39" t="s">
        <v>109</v>
      </c>
      <c r="I7" s="39" t="s">
        <v>109</v>
      </c>
    </row>
    <row r="8" spans="1:11" ht="21" customHeight="1" x14ac:dyDescent="0.15">
      <c r="A8" s="73" t="s">
        <v>242</v>
      </c>
      <c r="B8" s="39" t="s">
        <v>109</v>
      </c>
      <c r="C8" s="39" t="s">
        <v>109</v>
      </c>
      <c r="D8" s="39" t="s">
        <v>217</v>
      </c>
      <c r="E8" s="50" t="s">
        <v>115</v>
      </c>
      <c r="F8" s="50" t="s">
        <v>115</v>
      </c>
      <c r="G8" s="50" t="s">
        <v>218</v>
      </c>
      <c r="H8" s="39" t="s">
        <v>217</v>
      </c>
      <c r="I8" s="39" t="s">
        <v>109</v>
      </c>
    </row>
    <row r="9" spans="1:11" s="44" customFormat="1" ht="21" customHeight="1" x14ac:dyDescent="0.15">
      <c r="A9" s="74" t="s">
        <v>313</v>
      </c>
      <c r="B9" s="64" t="s">
        <v>109</v>
      </c>
      <c r="C9" s="64" t="s">
        <v>109</v>
      </c>
      <c r="D9" s="64" t="s">
        <v>109</v>
      </c>
      <c r="E9" s="64" t="s">
        <v>109</v>
      </c>
      <c r="F9" s="50" t="s">
        <v>59</v>
      </c>
      <c r="G9" s="50" t="s">
        <v>115</v>
      </c>
      <c r="H9" s="64" t="s">
        <v>109</v>
      </c>
      <c r="I9" s="64" t="s">
        <v>109</v>
      </c>
    </row>
    <row r="10" spans="1:11" s="44" customFormat="1" ht="21" customHeight="1" x14ac:dyDescent="0.15">
      <c r="A10" s="74" t="s">
        <v>243</v>
      </c>
      <c r="B10" s="64" t="s">
        <v>109</v>
      </c>
      <c r="C10" s="64" t="s">
        <v>109</v>
      </c>
      <c r="D10" s="64" t="s">
        <v>109</v>
      </c>
      <c r="E10" s="50" t="s">
        <v>59</v>
      </c>
      <c r="F10" s="50" t="s">
        <v>59</v>
      </c>
      <c r="G10" s="50" t="s">
        <v>115</v>
      </c>
      <c r="H10" s="64" t="s">
        <v>219</v>
      </c>
      <c r="I10" s="64" t="s">
        <v>219</v>
      </c>
    </row>
    <row r="11" spans="1:11" ht="21" customHeight="1" x14ac:dyDescent="0.15">
      <c r="A11" s="74" t="s">
        <v>9</v>
      </c>
      <c r="B11" s="69" t="s">
        <v>109</v>
      </c>
      <c r="C11" s="69" t="s">
        <v>109</v>
      </c>
      <c r="D11" s="50" t="s">
        <v>59</v>
      </c>
      <c r="E11" s="50" t="s">
        <v>59</v>
      </c>
      <c r="F11" s="50" t="s">
        <v>59</v>
      </c>
      <c r="G11" s="50" t="s">
        <v>220</v>
      </c>
      <c r="H11" s="69" t="s">
        <v>219</v>
      </c>
      <c r="I11" s="69" t="s">
        <v>219</v>
      </c>
      <c r="K11" s="27" t="s">
        <v>12</v>
      </c>
    </row>
    <row r="12" spans="1:11" ht="21" customHeight="1" x14ac:dyDescent="0.15">
      <c r="A12" s="74" t="s">
        <v>210</v>
      </c>
      <c r="B12" s="69" t="s">
        <v>109</v>
      </c>
      <c r="C12" s="69" t="s">
        <v>109</v>
      </c>
      <c r="D12" s="51" t="s">
        <v>59</v>
      </c>
      <c r="E12" s="51" t="s">
        <v>59</v>
      </c>
      <c r="F12" s="51" t="s">
        <v>59</v>
      </c>
      <c r="G12" s="50" t="s">
        <v>220</v>
      </c>
      <c r="H12" s="69" t="s">
        <v>219</v>
      </c>
      <c r="I12" s="69" t="s">
        <v>219</v>
      </c>
      <c r="K12" s="29" t="s">
        <v>13</v>
      </c>
    </row>
    <row r="13" spans="1:11" ht="21" customHeight="1" x14ac:dyDescent="0.15">
      <c r="A13" s="74" t="s">
        <v>206</v>
      </c>
      <c r="B13" s="69" t="s">
        <v>109</v>
      </c>
      <c r="C13" s="69" t="s">
        <v>109</v>
      </c>
      <c r="D13" s="52" t="s">
        <v>60</v>
      </c>
      <c r="E13" s="52" t="s">
        <v>60</v>
      </c>
      <c r="F13" s="189" t="s">
        <v>59</v>
      </c>
      <c r="G13" s="69" t="s">
        <v>109</v>
      </c>
      <c r="H13" s="69" t="s">
        <v>109</v>
      </c>
      <c r="I13" s="69" t="s">
        <v>109</v>
      </c>
      <c r="K13" s="70" t="s">
        <v>35</v>
      </c>
    </row>
    <row r="14" spans="1:11" ht="21" customHeight="1" x14ac:dyDescent="0.15">
      <c r="A14" s="103" t="s">
        <v>246</v>
      </c>
      <c r="B14" s="69" t="s">
        <v>109</v>
      </c>
      <c r="C14" s="69" t="s">
        <v>109</v>
      </c>
      <c r="D14" s="53" t="s">
        <v>59</v>
      </c>
      <c r="E14" s="53" t="s">
        <v>59</v>
      </c>
      <c r="F14" s="53" t="s">
        <v>59</v>
      </c>
      <c r="G14" s="69" t="s">
        <v>109</v>
      </c>
      <c r="H14" s="69" t="s">
        <v>109</v>
      </c>
      <c r="I14" s="69" t="s">
        <v>109</v>
      </c>
      <c r="K14" s="71"/>
    </row>
    <row r="15" spans="1:11" ht="21" customHeight="1" x14ac:dyDescent="0.15">
      <c r="A15" s="74" t="s">
        <v>247</v>
      </c>
      <c r="B15" s="69" t="s">
        <v>109</v>
      </c>
      <c r="C15" s="69" t="s">
        <v>109</v>
      </c>
      <c r="D15" s="53" t="s">
        <v>59</v>
      </c>
      <c r="E15" s="53" t="s">
        <v>59</v>
      </c>
      <c r="F15" s="53" t="s">
        <v>59</v>
      </c>
      <c r="G15" s="69" t="s">
        <v>109</v>
      </c>
      <c r="H15" s="69" t="s">
        <v>109</v>
      </c>
      <c r="I15" s="69" t="s">
        <v>109</v>
      </c>
    </row>
    <row r="16" spans="1:11" ht="21" customHeight="1" x14ac:dyDescent="0.15">
      <c r="A16" s="74" t="s">
        <v>105</v>
      </c>
      <c r="B16" s="69" t="s">
        <v>109</v>
      </c>
      <c r="C16" s="69" t="s">
        <v>109</v>
      </c>
      <c r="D16" s="53" t="s">
        <v>60</v>
      </c>
      <c r="E16" s="53" t="s">
        <v>60</v>
      </c>
      <c r="F16" s="69" t="s">
        <v>109</v>
      </c>
      <c r="G16" s="69" t="s">
        <v>109</v>
      </c>
      <c r="H16" s="69" t="s">
        <v>109</v>
      </c>
      <c r="I16" s="69" t="s">
        <v>109</v>
      </c>
    </row>
    <row r="17" spans="1:9" ht="21" customHeight="1" x14ac:dyDescent="0.15">
      <c r="A17" s="74" t="s">
        <v>249</v>
      </c>
      <c r="B17" s="69" t="s">
        <v>109</v>
      </c>
      <c r="C17" s="53" t="s">
        <v>60</v>
      </c>
      <c r="D17" s="53" t="s">
        <v>60</v>
      </c>
      <c r="E17" s="53" t="s">
        <v>60</v>
      </c>
      <c r="F17" s="69" t="s">
        <v>109</v>
      </c>
      <c r="G17" s="69" t="s">
        <v>109</v>
      </c>
      <c r="H17" s="69" t="s">
        <v>109</v>
      </c>
      <c r="I17" s="69" t="s">
        <v>109</v>
      </c>
    </row>
    <row r="18" spans="1:9" ht="21" customHeight="1" x14ac:dyDescent="0.15">
      <c r="A18" s="74" t="s">
        <v>8</v>
      </c>
      <c r="B18" s="54" t="s">
        <v>61</v>
      </c>
      <c r="C18" s="54" t="s">
        <v>61</v>
      </c>
      <c r="D18" s="54" t="s">
        <v>61</v>
      </c>
      <c r="E18" s="69" t="s">
        <v>109</v>
      </c>
      <c r="F18" s="69" t="s">
        <v>109</v>
      </c>
      <c r="G18" s="69" t="s">
        <v>109</v>
      </c>
      <c r="H18" s="69" t="s">
        <v>109</v>
      </c>
      <c r="I18" s="69" t="s">
        <v>109</v>
      </c>
    </row>
    <row r="19" spans="1:9" ht="21" customHeight="1" x14ac:dyDescent="0.15">
      <c r="A19" s="75" t="s">
        <v>7</v>
      </c>
      <c r="B19" s="49" t="s">
        <v>62</v>
      </c>
      <c r="C19" s="49" t="s">
        <v>62</v>
      </c>
      <c r="D19" s="69" t="s">
        <v>109</v>
      </c>
      <c r="E19" s="69" t="s">
        <v>109</v>
      </c>
      <c r="F19" s="69" t="s">
        <v>109</v>
      </c>
      <c r="G19" s="69" t="s">
        <v>109</v>
      </c>
      <c r="H19" s="69" t="s">
        <v>109</v>
      </c>
      <c r="I19" s="69" t="s">
        <v>109</v>
      </c>
    </row>
    <row r="20" spans="1:9" ht="21" customHeight="1" x14ac:dyDescent="0.15">
      <c r="A20" s="76" t="s">
        <v>250</v>
      </c>
      <c r="B20" s="51" t="s">
        <v>63</v>
      </c>
      <c r="C20" s="51" t="s">
        <v>63</v>
      </c>
      <c r="D20" s="69" t="s">
        <v>109</v>
      </c>
      <c r="E20" s="69" t="s">
        <v>109</v>
      </c>
      <c r="F20" s="69" t="s">
        <v>109</v>
      </c>
      <c r="G20" s="69" t="s">
        <v>109</v>
      </c>
      <c r="H20" s="69" t="s">
        <v>109</v>
      </c>
      <c r="I20" s="69" t="s">
        <v>109</v>
      </c>
    </row>
    <row r="21" spans="1:9" ht="21" customHeight="1" x14ac:dyDescent="0.15">
      <c r="A21" s="37" t="s">
        <v>251</v>
      </c>
      <c r="B21" s="77" t="s">
        <v>47</v>
      </c>
      <c r="C21" s="77" t="s">
        <v>47</v>
      </c>
      <c r="D21" s="77" t="s">
        <v>47</v>
      </c>
      <c r="E21" s="77" t="s">
        <v>47</v>
      </c>
      <c r="F21" s="77" t="s">
        <v>47</v>
      </c>
      <c r="G21" s="77" t="s">
        <v>47</v>
      </c>
      <c r="H21" s="77" t="s">
        <v>47</v>
      </c>
      <c r="I21" s="77"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4" t="s">
        <v>228</v>
      </c>
      <c r="B2" s="145"/>
      <c r="C2" s="146"/>
      <c r="D2" s="157" t="s">
        <v>11</v>
      </c>
      <c r="E2" s="157">
        <v>8000</v>
      </c>
      <c r="F2" s="157">
        <v>10000</v>
      </c>
      <c r="G2" s="157">
        <v>14000</v>
      </c>
      <c r="H2" s="146"/>
      <c r="I2" s="146"/>
    </row>
    <row r="3" spans="1:9" s="4" customFormat="1" ht="21" customHeight="1" x14ac:dyDescent="0.15">
      <c r="A3" s="144" t="s">
        <v>229</v>
      </c>
      <c r="B3" s="148"/>
      <c r="C3" s="149"/>
      <c r="D3" s="157" t="s">
        <v>11</v>
      </c>
      <c r="E3" s="157">
        <v>7500</v>
      </c>
      <c r="F3" s="157">
        <v>9500</v>
      </c>
      <c r="G3" s="157">
        <v>13000</v>
      </c>
      <c r="H3" s="149"/>
      <c r="I3" s="149"/>
    </row>
    <row r="4" spans="1:9" s="4" customFormat="1" ht="21" customHeight="1" x14ac:dyDescent="0.15">
      <c r="A4" s="144" t="s">
        <v>231</v>
      </c>
      <c r="B4" s="151"/>
      <c r="C4" s="152"/>
      <c r="D4" s="157">
        <v>5000</v>
      </c>
      <c r="E4" s="157">
        <v>7000</v>
      </c>
      <c r="F4" s="157">
        <v>9000</v>
      </c>
      <c r="G4" s="157">
        <v>12000</v>
      </c>
      <c r="H4" s="152"/>
      <c r="I4" s="152"/>
    </row>
    <row r="5" spans="1:9" s="4" customFormat="1" ht="21" customHeight="1" x14ac:dyDescent="0.15">
      <c r="A5" s="163" t="s">
        <v>232</v>
      </c>
      <c r="B5" s="158"/>
      <c r="C5" s="159"/>
      <c r="D5" s="157">
        <v>4900</v>
      </c>
      <c r="E5" s="157">
        <v>6700</v>
      </c>
      <c r="F5" s="157">
        <v>8500</v>
      </c>
      <c r="G5" s="157">
        <v>11000</v>
      </c>
      <c r="H5" s="159"/>
      <c r="I5" s="159"/>
    </row>
    <row r="6" spans="1:9" s="4" customFormat="1" ht="21" customHeight="1" x14ac:dyDescent="0.15">
      <c r="A6" s="163" t="s">
        <v>233</v>
      </c>
      <c r="B6" s="158"/>
      <c r="C6" s="159"/>
      <c r="D6" s="157">
        <v>4800</v>
      </c>
      <c r="E6" s="157">
        <v>6600</v>
      </c>
      <c r="F6" s="157" t="s">
        <v>11</v>
      </c>
      <c r="G6" s="157" t="s">
        <v>11</v>
      </c>
      <c r="H6" s="159"/>
      <c r="I6" s="159"/>
    </row>
    <row r="7" spans="1:9" ht="21" customHeight="1" x14ac:dyDescent="0.15">
      <c r="A7" s="72" t="s">
        <v>207</v>
      </c>
      <c r="B7" s="45" t="s">
        <v>11</v>
      </c>
      <c r="C7" s="45" t="s">
        <v>11</v>
      </c>
      <c r="D7" s="45" t="s">
        <v>11</v>
      </c>
      <c r="E7" s="45" t="s">
        <v>11</v>
      </c>
      <c r="F7" s="45" t="s">
        <v>11</v>
      </c>
      <c r="G7" s="45" t="s">
        <v>11</v>
      </c>
      <c r="H7" s="45" t="s">
        <v>11</v>
      </c>
      <c r="I7" s="45" t="s">
        <v>11</v>
      </c>
    </row>
    <row r="8" spans="1:9" ht="21" customHeight="1" x14ac:dyDescent="0.15">
      <c r="A8" s="73" t="s">
        <v>208</v>
      </c>
      <c r="B8" s="45" t="s">
        <v>11</v>
      </c>
      <c r="C8" s="45" t="s">
        <v>11</v>
      </c>
      <c r="D8" s="45" t="s">
        <v>11</v>
      </c>
      <c r="E8" s="45">
        <v>8000</v>
      </c>
      <c r="F8" s="28">
        <v>10000</v>
      </c>
      <c r="G8" s="45">
        <v>14000</v>
      </c>
      <c r="H8" s="45" t="s">
        <v>11</v>
      </c>
      <c r="I8" s="45" t="s">
        <v>11</v>
      </c>
    </row>
    <row r="9" spans="1:9" s="44" customFormat="1" ht="21" customHeight="1" x14ac:dyDescent="0.15">
      <c r="A9" s="186" t="s">
        <v>315</v>
      </c>
      <c r="B9" s="28" t="s">
        <v>11</v>
      </c>
      <c r="C9" s="28" t="s">
        <v>11</v>
      </c>
      <c r="D9" s="28" t="s">
        <v>11</v>
      </c>
      <c r="E9" s="28" t="s">
        <v>11</v>
      </c>
      <c r="F9" s="28">
        <v>10000</v>
      </c>
      <c r="G9" s="45">
        <v>14000</v>
      </c>
      <c r="H9" s="28" t="s">
        <v>11</v>
      </c>
      <c r="I9" s="28" t="s">
        <v>11</v>
      </c>
    </row>
    <row r="10" spans="1:9" s="44" customFormat="1" ht="21" customHeight="1" x14ac:dyDescent="0.15">
      <c r="A10" s="74" t="s">
        <v>209</v>
      </c>
      <c r="B10" s="28" t="s">
        <v>11</v>
      </c>
      <c r="C10" s="28" t="s">
        <v>11</v>
      </c>
      <c r="D10" s="28" t="s">
        <v>11</v>
      </c>
      <c r="E10" s="28">
        <v>7500</v>
      </c>
      <c r="F10" s="28">
        <v>9500</v>
      </c>
      <c r="G10" s="45">
        <v>13000</v>
      </c>
      <c r="H10" s="28" t="s">
        <v>11</v>
      </c>
      <c r="I10" s="28" t="s">
        <v>11</v>
      </c>
    </row>
    <row r="11" spans="1:9" ht="21" customHeight="1" x14ac:dyDescent="0.15">
      <c r="A11" s="74" t="s">
        <v>9</v>
      </c>
      <c r="B11" s="67" t="s">
        <v>11</v>
      </c>
      <c r="C11" s="67" t="s">
        <v>11</v>
      </c>
      <c r="D11" s="28">
        <v>5000</v>
      </c>
      <c r="E11" s="28">
        <v>7000</v>
      </c>
      <c r="F11" s="28">
        <v>9000</v>
      </c>
      <c r="G11" s="45">
        <v>12000</v>
      </c>
      <c r="H11" s="67" t="s">
        <v>11</v>
      </c>
      <c r="I11" s="67" t="s">
        <v>11</v>
      </c>
    </row>
    <row r="12" spans="1:9" ht="21" customHeight="1" x14ac:dyDescent="0.15">
      <c r="A12" s="74" t="s">
        <v>210</v>
      </c>
      <c r="B12" s="67" t="s">
        <v>11</v>
      </c>
      <c r="C12" s="67" t="s">
        <v>11</v>
      </c>
      <c r="D12" s="28">
        <v>4900</v>
      </c>
      <c r="E12" s="28">
        <v>6700</v>
      </c>
      <c r="F12" s="28">
        <v>8500</v>
      </c>
      <c r="G12" s="45">
        <v>11000</v>
      </c>
      <c r="H12" s="67" t="s">
        <v>11</v>
      </c>
      <c r="I12" s="67" t="s">
        <v>11</v>
      </c>
    </row>
    <row r="13" spans="1:9" ht="21" customHeight="1" x14ac:dyDescent="0.15">
      <c r="A13" s="74" t="s">
        <v>106</v>
      </c>
      <c r="B13" s="67" t="s">
        <v>11</v>
      </c>
      <c r="C13" s="67" t="s">
        <v>11</v>
      </c>
      <c r="D13" s="28">
        <v>4800</v>
      </c>
      <c r="E13" s="28">
        <v>6600</v>
      </c>
      <c r="F13" s="187">
        <v>9000</v>
      </c>
      <c r="G13" s="67" t="s">
        <v>11</v>
      </c>
      <c r="H13" s="67" t="s">
        <v>11</v>
      </c>
      <c r="I13" s="67" t="s">
        <v>11</v>
      </c>
    </row>
    <row r="14" spans="1:9" ht="21" customHeight="1" x14ac:dyDescent="0.15">
      <c r="A14" s="74" t="s">
        <v>211</v>
      </c>
      <c r="B14" s="67" t="s">
        <v>11</v>
      </c>
      <c r="C14" s="67" t="s">
        <v>11</v>
      </c>
      <c r="D14" s="67" t="s">
        <v>11</v>
      </c>
      <c r="E14" s="28">
        <v>6300</v>
      </c>
      <c r="F14" s="67" t="s">
        <v>11</v>
      </c>
      <c r="G14" s="67" t="s">
        <v>11</v>
      </c>
      <c r="H14" s="67" t="s">
        <v>11</v>
      </c>
      <c r="I14" s="67" t="s">
        <v>11</v>
      </c>
    </row>
    <row r="15" spans="1:9" ht="21" customHeight="1" x14ac:dyDescent="0.15">
      <c r="A15" s="74" t="s">
        <v>212</v>
      </c>
      <c r="B15" s="67" t="s">
        <v>11</v>
      </c>
      <c r="C15" s="67" t="s">
        <v>11</v>
      </c>
      <c r="D15" s="28">
        <v>4600</v>
      </c>
      <c r="E15" s="28">
        <v>5800</v>
      </c>
      <c r="F15" s="28">
        <v>7600</v>
      </c>
      <c r="G15" s="67" t="s">
        <v>11</v>
      </c>
      <c r="H15" s="67" t="s">
        <v>11</v>
      </c>
      <c r="I15" s="67" t="s">
        <v>11</v>
      </c>
    </row>
    <row r="16" spans="1:9" ht="21" customHeight="1" x14ac:dyDescent="0.15">
      <c r="A16" s="74" t="s">
        <v>105</v>
      </c>
      <c r="B16" s="67" t="s">
        <v>11</v>
      </c>
      <c r="C16" s="67" t="s">
        <v>11</v>
      </c>
      <c r="D16" s="28">
        <v>4400</v>
      </c>
      <c r="E16" s="28">
        <v>5600</v>
      </c>
      <c r="F16" s="67" t="s">
        <v>11</v>
      </c>
      <c r="G16" s="67" t="s">
        <v>11</v>
      </c>
      <c r="H16" s="67" t="s">
        <v>11</v>
      </c>
      <c r="I16" s="67" t="s">
        <v>11</v>
      </c>
    </row>
    <row r="17" spans="1:9" ht="21" customHeight="1" x14ac:dyDescent="0.15">
      <c r="A17" s="74" t="s">
        <v>213</v>
      </c>
      <c r="B17" s="67" t="s">
        <v>11</v>
      </c>
      <c r="C17" s="28">
        <v>3000</v>
      </c>
      <c r="D17" s="28">
        <v>4200</v>
      </c>
      <c r="E17" s="28">
        <v>5400</v>
      </c>
      <c r="F17" s="67" t="s">
        <v>11</v>
      </c>
      <c r="G17" s="67" t="s">
        <v>11</v>
      </c>
      <c r="H17" s="67" t="s">
        <v>11</v>
      </c>
      <c r="I17" s="67" t="s">
        <v>11</v>
      </c>
    </row>
    <row r="18" spans="1:9" ht="21" customHeight="1" x14ac:dyDescent="0.15">
      <c r="A18" s="74" t="s">
        <v>8</v>
      </c>
      <c r="B18" s="28">
        <v>2000</v>
      </c>
      <c r="C18" s="28">
        <v>2800</v>
      </c>
      <c r="D18" s="28">
        <v>4000</v>
      </c>
      <c r="E18" s="67" t="s">
        <v>11</v>
      </c>
      <c r="F18" s="67" t="s">
        <v>11</v>
      </c>
      <c r="G18" s="67" t="s">
        <v>11</v>
      </c>
      <c r="H18" s="67" t="s">
        <v>11</v>
      </c>
      <c r="I18" s="67" t="s">
        <v>11</v>
      </c>
    </row>
    <row r="19" spans="1:9" ht="21" customHeight="1" x14ac:dyDescent="0.15">
      <c r="A19" s="75" t="s">
        <v>7</v>
      </c>
      <c r="B19" s="28">
        <v>1750</v>
      </c>
      <c r="C19" s="28">
        <v>2550</v>
      </c>
      <c r="D19" s="67" t="s">
        <v>11</v>
      </c>
      <c r="E19" s="67" t="s">
        <v>11</v>
      </c>
      <c r="F19" s="67" t="s">
        <v>11</v>
      </c>
      <c r="G19" s="67" t="s">
        <v>11</v>
      </c>
      <c r="H19" s="67" t="s">
        <v>11</v>
      </c>
      <c r="I19" s="67" t="s">
        <v>11</v>
      </c>
    </row>
    <row r="20" spans="1:9" ht="21" customHeight="1" x14ac:dyDescent="0.15">
      <c r="A20" s="75" t="s">
        <v>214</v>
      </c>
      <c r="B20" s="28">
        <v>1500</v>
      </c>
      <c r="C20" s="28">
        <v>2300</v>
      </c>
      <c r="D20" s="67" t="s">
        <v>11</v>
      </c>
      <c r="E20" s="67" t="s">
        <v>11</v>
      </c>
      <c r="F20" s="67" t="s">
        <v>11</v>
      </c>
      <c r="G20" s="67" t="s">
        <v>11</v>
      </c>
      <c r="H20" s="67" t="s">
        <v>11</v>
      </c>
      <c r="I20" s="67" t="s">
        <v>11</v>
      </c>
    </row>
    <row r="21" spans="1:9" ht="21" customHeight="1" x14ac:dyDescent="0.15">
      <c r="A21" s="37" t="s">
        <v>215</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2">
        <v>591</v>
      </c>
    </row>
    <row r="3" spans="1:4" x14ac:dyDescent="0.15">
      <c r="A3" t="s">
        <v>200</v>
      </c>
      <c r="B3" s="131">
        <v>592</v>
      </c>
    </row>
    <row r="4" spans="1:4" x14ac:dyDescent="0.15">
      <c r="A4" t="s">
        <v>201</v>
      </c>
      <c r="B4" s="131">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3"/>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2017-06-06T09:52:34Z</dcterms:modified>
</cp:coreProperties>
</file>