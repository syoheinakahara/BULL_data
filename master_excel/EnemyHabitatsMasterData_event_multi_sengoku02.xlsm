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20" yWindow="580" windowWidth="26740" windowHeight="1560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2" i="10" l="1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G72" i="10"/>
  <c r="H72" i="10"/>
  <c r="I72" i="10"/>
  <c r="J72" i="10"/>
  <c r="K72" i="10"/>
  <c r="L72" i="10"/>
  <c r="M72" i="10"/>
  <c r="M83" i="10"/>
  <c r="N83" i="10"/>
  <c r="Q83" i="10"/>
  <c r="P83" i="10"/>
  <c r="R83" i="10"/>
  <c r="O83" i="10"/>
  <c r="S83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G70" i="10"/>
  <c r="H70" i="10"/>
  <c r="I70" i="10"/>
  <c r="J70" i="10"/>
  <c r="K70" i="10"/>
  <c r="L70" i="10"/>
  <c r="M70" i="10"/>
  <c r="M77" i="10"/>
  <c r="N77" i="10"/>
  <c r="Q77" i="10"/>
  <c r="P77" i="10"/>
  <c r="R77" i="10"/>
  <c r="O77" i="10"/>
  <c r="S77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G68" i="10"/>
  <c r="H68" i="10"/>
  <c r="I68" i="10"/>
  <c r="J68" i="10"/>
  <c r="K68" i="10"/>
  <c r="L68" i="10"/>
  <c r="M68" i="10"/>
  <c r="M75" i="10"/>
  <c r="N75" i="10"/>
  <c r="Q75" i="10"/>
  <c r="P75" i="10"/>
  <c r="R75" i="10"/>
  <c r="O75" i="10"/>
  <c r="S75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G66" i="10"/>
  <c r="H66" i="10"/>
  <c r="I66" i="10"/>
  <c r="J66" i="10"/>
  <c r="K66" i="10"/>
  <c r="L66" i="10"/>
  <c r="M66" i="10"/>
  <c r="M73" i="10"/>
  <c r="M84" i="10"/>
  <c r="N84" i="10"/>
  <c r="Q84" i="10"/>
  <c r="P84" i="10"/>
  <c r="R84" i="10"/>
  <c r="O84" i="10"/>
  <c r="S84" i="10"/>
  <c r="N73" i="10"/>
  <c r="Q73" i="10"/>
  <c r="P73" i="10"/>
  <c r="R73" i="10"/>
  <c r="O73" i="10"/>
  <c r="S73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G64" i="10"/>
  <c r="H64" i="10"/>
  <c r="I64" i="10"/>
  <c r="J64" i="10"/>
  <c r="K64" i="10"/>
  <c r="L64" i="10"/>
  <c r="M64" i="10"/>
  <c r="M71" i="10"/>
  <c r="N71" i="10"/>
  <c r="Q71" i="10"/>
  <c r="P71" i="10"/>
  <c r="R71" i="10"/>
  <c r="O71" i="10"/>
  <c r="S71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G62" i="10"/>
  <c r="H62" i="10"/>
  <c r="I62" i="10"/>
  <c r="J62" i="10"/>
  <c r="K62" i="10"/>
  <c r="L62" i="10"/>
  <c r="M62" i="10"/>
  <c r="M69" i="10"/>
  <c r="N69" i="10"/>
  <c r="Q69" i="10"/>
  <c r="P69" i="10"/>
  <c r="R69" i="10"/>
  <c r="O69" i="10"/>
  <c r="S69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G60" i="10"/>
  <c r="H60" i="10"/>
  <c r="I60" i="10"/>
  <c r="J60" i="10"/>
  <c r="K60" i="10"/>
  <c r="L60" i="10"/>
  <c r="M60" i="10"/>
  <c r="M67" i="10"/>
  <c r="N67" i="10"/>
  <c r="Q67" i="10"/>
  <c r="P67" i="10"/>
  <c r="R67" i="10"/>
  <c r="O67" i="10"/>
  <c r="S67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G58" i="10"/>
  <c r="H58" i="10"/>
  <c r="I58" i="10"/>
  <c r="J58" i="10"/>
  <c r="K58" i="10"/>
  <c r="L58" i="10"/>
  <c r="M58" i="10"/>
  <c r="M65" i="10"/>
  <c r="N65" i="10"/>
  <c r="Q65" i="10"/>
  <c r="P65" i="10"/>
  <c r="R65" i="10"/>
  <c r="O65" i="10"/>
  <c r="S65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G56" i="10"/>
  <c r="H56" i="10"/>
  <c r="I56" i="10"/>
  <c r="J56" i="10"/>
  <c r="K56" i="10"/>
  <c r="L56" i="10"/>
  <c r="M56" i="10"/>
  <c r="M63" i="10"/>
  <c r="N63" i="10"/>
  <c r="Q63" i="10"/>
  <c r="P63" i="10"/>
  <c r="R63" i="10"/>
  <c r="O63" i="10"/>
  <c r="S63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G54" i="10"/>
  <c r="H54" i="10"/>
  <c r="I54" i="10"/>
  <c r="J54" i="10"/>
  <c r="K54" i="10"/>
  <c r="L54" i="10"/>
  <c r="M54" i="10"/>
  <c r="M61" i="10"/>
  <c r="N61" i="10"/>
  <c r="Q61" i="10"/>
  <c r="P61" i="10"/>
  <c r="R61" i="10"/>
  <c r="O61" i="10"/>
  <c r="S61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2" i="10"/>
  <c r="H52" i="10"/>
  <c r="I52" i="10"/>
  <c r="J52" i="10"/>
  <c r="K52" i="10"/>
  <c r="L52" i="10"/>
  <c r="M52" i="10"/>
  <c r="M59" i="10"/>
  <c r="N59" i="10"/>
  <c r="Q59" i="10"/>
  <c r="P59" i="10"/>
  <c r="R59" i="10"/>
  <c r="O59" i="10"/>
  <c r="S59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50" i="10"/>
  <c r="H50" i="10"/>
  <c r="I50" i="10"/>
  <c r="J50" i="10"/>
  <c r="K50" i="10"/>
  <c r="L50" i="10"/>
  <c r="M50" i="10"/>
  <c r="M57" i="10"/>
  <c r="N57" i="10"/>
  <c r="Q57" i="10"/>
  <c r="P57" i="10"/>
  <c r="R57" i="10"/>
  <c r="O57" i="10"/>
  <c r="S57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48" i="10"/>
  <c r="H48" i="10"/>
  <c r="I48" i="10"/>
  <c r="J48" i="10"/>
  <c r="K48" i="10"/>
  <c r="L48" i="10"/>
  <c r="M48" i="10"/>
  <c r="M55" i="10"/>
  <c r="N55" i="10"/>
  <c r="Q55" i="10"/>
  <c r="P55" i="10"/>
  <c r="R55" i="10"/>
  <c r="O55" i="10"/>
  <c r="S55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6" i="10"/>
  <c r="H46" i="10"/>
  <c r="I46" i="10"/>
  <c r="J46" i="10"/>
  <c r="K46" i="10"/>
  <c r="L46" i="10"/>
  <c r="M46" i="10"/>
  <c r="M53" i="10"/>
  <c r="N53" i="10"/>
  <c r="Q53" i="10"/>
  <c r="P53" i="10"/>
  <c r="R53" i="10"/>
  <c r="O53" i="10"/>
  <c r="S53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4" i="10"/>
  <c r="H44" i="10"/>
  <c r="I44" i="10"/>
  <c r="J44" i="10"/>
  <c r="K44" i="10"/>
  <c r="L44" i="10"/>
  <c r="M44" i="10"/>
  <c r="M51" i="10"/>
  <c r="N51" i="10"/>
  <c r="Q51" i="10"/>
  <c r="P51" i="10"/>
  <c r="R51" i="10"/>
  <c r="O51" i="10"/>
  <c r="S51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T84" i="10"/>
  <c r="W84" i="10"/>
  <c r="V84" i="10"/>
  <c r="X84" i="10"/>
  <c r="U84" i="10"/>
  <c r="Y84" i="10"/>
  <c r="G84" i="10"/>
  <c r="J84" i="10"/>
  <c r="I84" i="10"/>
  <c r="K84" i="10"/>
  <c r="H84" i="10"/>
  <c r="L84" i="10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T77" i="10"/>
  <c r="W77" i="10"/>
  <c r="V77" i="10"/>
  <c r="X77" i="10"/>
  <c r="U77" i="10"/>
  <c r="Y77" i="10"/>
  <c r="G77" i="10"/>
  <c r="J77" i="10"/>
  <c r="I77" i="10"/>
  <c r="K77" i="10"/>
  <c r="H77" i="10"/>
  <c r="L77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83" i="10"/>
  <c r="W83" i="10"/>
  <c r="V83" i="10"/>
  <c r="X83" i="10"/>
  <c r="U83" i="10"/>
  <c r="Y83" i="10"/>
  <c r="G83" i="10"/>
  <c r="J83" i="10"/>
  <c r="I83" i="10"/>
  <c r="K83" i="10"/>
  <c r="H83" i="10"/>
  <c r="L83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O8" i="9"/>
  <c r="N8" i="9"/>
  <c r="M8" i="9"/>
  <c r="L8" i="9"/>
  <c r="K8" i="9"/>
  <c r="J8" i="9"/>
  <c r="I8" i="9"/>
  <c r="H8" i="9"/>
  <c r="G8" i="9"/>
  <c r="E8" i="9"/>
  <c r="D8" i="9"/>
  <c r="A8" i="9"/>
  <c r="E2" i="9"/>
  <c r="V2" i="1"/>
  <c r="O19" i="9"/>
  <c r="N19" i="9"/>
  <c r="M19" i="9"/>
  <c r="L19" i="9"/>
  <c r="K19" i="9"/>
  <c r="J19" i="9"/>
  <c r="I19" i="9"/>
  <c r="H19" i="9"/>
  <c r="G19" i="9"/>
  <c r="E19" i="9"/>
  <c r="D19" i="9"/>
  <c r="A19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D15" i="9"/>
  <c r="M36" i="10"/>
  <c r="N36" i="10"/>
  <c r="Q36" i="10"/>
  <c r="P36" i="10"/>
  <c r="R36" i="10"/>
  <c r="O36" i="10"/>
  <c r="S36" i="10"/>
  <c r="M35" i="10"/>
  <c r="N35" i="10"/>
  <c r="Q35" i="10"/>
  <c r="P35" i="10"/>
  <c r="R35" i="10"/>
  <c r="O35" i="10"/>
  <c r="S35" i="10"/>
  <c r="M34" i="10"/>
  <c r="N34" i="10"/>
  <c r="Q34" i="10"/>
  <c r="P34" i="10"/>
  <c r="R34" i="10"/>
  <c r="O34" i="10"/>
  <c r="S34" i="10"/>
  <c r="M32" i="10"/>
  <c r="N32" i="10"/>
  <c r="Q32" i="10"/>
  <c r="P32" i="10"/>
  <c r="R32" i="10"/>
  <c r="O32" i="10"/>
  <c r="S32" i="10"/>
  <c r="M31" i="10"/>
  <c r="N31" i="10"/>
  <c r="Q31" i="10"/>
  <c r="P31" i="10"/>
  <c r="R31" i="10"/>
  <c r="O31" i="10"/>
  <c r="S31" i="10"/>
  <c r="M30" i="10"/>
  <c r="N30" i="10"/>
  <c r="Q30" i="10"/>
  <c r="P30" i="10"/>
  <c r="R30" i="10"/>
  <c r="O30" i="10"/>
  <c r="S30" i="10"/>
  <c r="M29" i="10"/>
  <c r="M42" i="10"/>
  <c r="N42" i="10"/>
  <c r="Q42" i="10"/>
  <c r="P42" i="10"/>
  <c r="R42" i="10"/>
  <c r="O42" i="10"/>
  <c r="S42" i="10"/>
  <c r="N29" i="10"/>
  <c r="Q29" i="10"/>
  <c r="P29" i="10"/>
  <c r="R29" i="10"/>
  <c r="O29" i="10"/>
  <c r="S29" i="10"/>
  <c r="M28" i="10"/>
  <c r="M41" i="10"/>
  <c r="N41" i="10"/>
  <c r="Q41" i="10"/>
  <c r="P41" i="10"/>
  <c r="R41" i="10"/>
  <c r="O41" i="10"/>
  <c r="S41" i="10"/>
  <c r="N28" i="10"/>
  <c r="Q28" i="10"/>
  <c r="P28" i="10"/>
  <c r="R28" i="10"/>
  <c r="O28" i="10"/>
  <c r="S28" i="10"/>
  <c r="M27" i="10"/>
  <c r="M40" i="10"/>
  <c r="N40" i="10"/>
  <c r="Q40" i="10"/>
  <c r="P40" i="10"/>
  <c r="R40" i="10"/>
  <c r="O40" i="10"/>
  <c r="S40" i="10"/>
  <c r="N27" i="10"/>
  <c r="Q27" i="10"/>
  <c r="P27" i="10"/>
  <c r="R27" i="10"/>
  <c r="O27" i="10"/>
  <c r="S27" i="10"/>
  <c r="M26" i="10"/>
  <c r="M39" i="10"/>
  <c r="N39" i="10"/>
  <c r="Q39" i="10"/>
  <c r="P39" i="10"/>
  <c r="R39" i="10"/>
  <c r="O39" i="10"/>
  <c r="S39" i="10"/>
  <c r="N26" i="10"/>
  <c r="Q26" i="10"/>
  <c r="P26" i="10"/>
  <c r="R26" i="10"/>
  <c r="O26" i="10"/>
  <c r="S26" i="10"/>
  <c r="M25" i="10"/>
  <c r="M38" i="10"/>
  <c r="N38" i="10"/>
  <c r="Q38" i="10"/>
  <c r="P38" i="10"/>
  <c r="R38" i="10"/>
  <c r="O38" i="10"/>
  <c r="S38" i="10"/>
  <c r="N25" i="10"/>
  <c r="Q25" i="10"/>
  <c r="P25" i="10"/>
  <c r="R25" i="10"/>
  <c r="O25" i="10"/>
  <c r="S25" i="10"/>
  <c r="M24" i="10"/>
  <c r="M37" i="10"/>
  <c r="N37" i="10"/>
  <c r="Q37" i="10"/>
  <c r="P37" i="10"/>
  <c r="R37" i="10"/>
  <c r="O37" i="10"/>
  <c r="S37" i="10"/>
  <c r="N24" i="10"/>
  <c r="Q24" i="10"/>
  <c r="P24" i="10"/>
  <c r="R24" i="10"/>
  <c r="O24" i="10"/>
  <c r="S24" i="10"/>
  <c r="M23" i="10"/>
  <c r="N23" i="10"/>
  <c r="Q23" i="10"/>
  <c r="P23" i="10"/>
  <c r="R23" i="10"/>
  <c r="O23" i="10"/>
  <c r="S23" i="10"/>
  <c r="M22" i="10"/>
  <c r="N22" i="10"/>
  <c r="Q22" i="10"/>
  <c r="P22" i="10"/>
  <c r="R22" i="10"/>
  <c r="O22" i="10"/>
  <c r="S22" i="10"/>
  <c r="M21" i="10"/>
  <c r="N21" i="10"/>
  <c r="Q21" i="10"/>
  <c r="P21" i="10"/>
  <c r="R21" i="10"/>
  <c r="O21" i="10"/>
  <c r="S21" i="10"/>
  <c r="M20" i="10"/>
  <c r="N20" i="10"/>
  <c r="Q20" i="10"/>
  <c r="P20" i="10"/>
  <c r="R20" i="10"/>
  <c r="O20" i="10"/>
  <c r="S20" i="10"/>
  <c r="M19" i="10"/>
  <c r="N19" i="10"/>
  <c r="Q19" i="10"/>
  <c r="P19" i="10"/>
  <c r="R19" i="10"/>
  <c r="O19" i="10"/>
  <c r="S19" i="10"/>
  <c r="M18" i="10"/>
  <c r="N18" i="10"/>
  <c r="Q18" i="10"/>
  <c r="P18" i="10"/>
  <c r="R18" i="10"/>
  <c r="O18" i="10"/>
  <c r="S18" i="10"/>
  <c r="M17" i="10"/>
  <c r="N17" i="10"/>
  <c r="Q17" i="10"/>
  <c r="P17" i="10"/>
  <c r="R17" i="10"/>
  <c r="O17" i="10"/>
  <c r="S17" i="10"/>
  <c r="M16" i="10"/>
  <c r="N16" i="10"/>
  <c r="Q16" i="10"/>
  <c r="P16" i="10"/>
  <c r="R16" i="10"/>
  <c r="O16" i="10"/>
  <c r="S16" i="10"/>
  <c r="M15" i="10"/>
  <c r="N15" i="10"/>
  <c r="Q15" i="10"/>
  <c r="P15" i="10"/>
  <c r="R15" i="10"/>
  <c r="O15" i="10"/>
  <c r="S15" i="10"/>
  <c r="M14" i="10"/>
  <c r="N14" i="10"/>
  <c r="Q14" i="10"/>
  <c r="P14" i="10"/>
  <c r="R14" i="10"/>
  <c r="O14" i="10"/>
  <c r="S14" i="10"/>
  <c r="M13" i="10"/>
  <c r="N13" i="10"/>
  <c r="Q13" i="10"/>
  <c r="P13" i="10"/>
  <c r="R13" i="10"/>
  <c r="O13" i="10"/>
  <c r="S13" i="10"/>
  <c r="M12" i="10"/>
  <c r="N12" i="10"/>
  <c r="Q12" i="10"/>
  <c r="P12" i="10"/>
  <c r="R12" i="10"/>
  <c r="O12" i="10"/>
  <c r="S12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T18" i="10"/>
  <c r="W18" i="10"/>
  <c r="V18" i="10"/>
  <c r="X18" i="10"/>
  <c r="U18" i="10"/>
  <c r="Y18" i="10"/>
  <c r="G18" i="10"/>
  <c r="J18" i="10"/>
  <c r="I18" i="10"/>
  <c r="K18" i="10"/>
  <c r="H18" i="10"/>
  <c r="L18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T20" i="10"/>
  <c r="W20" i="10"/>
  <c r="V20" i="10"/>
  <c r="X20" i="10"/>
  <c r="U20" i="10"/>
  <c r="Y20" i="10"/>
  <c r="G20" i="10"/>
  <c r="J20" i="10"/>
  <c r="I20" i="10"/>
  <c r="K20" i="10"/>
  <c r="H20" i="10"/>
  <c r="L20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T15" i="10"/>
  <c r="W15" i="10"/>
  <c r="V15" i="10"/>
  <c r="X15" i="10"/>
  <c r="U15" i="10"/>
  <c r="Y15" i="10"/>
  <c r="G15" i="10"/>
  <c r="J15" i="10"/>
  <c r="I15" i="10"/>
  <c r="K15" i="10"/>
  <c r="H15" i="10"/>
  <c r="L15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T13" i="10"/>
  <c r="W13" i="10"/>
  <c r="V13" i="10"/>
  <c r="X13" i="10"/>
  <c r="U13" i="10"/>
  <c r="Y13" i="10"/>
  <c r="G13" i="10"/>
  <c r="J13" i="10"/>
  <c r="I13" i="10"/>
  <c r="K13" i="10"/>
  <c r="H13" i="10"/>
  <c r="L13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14" i="1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H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13" i="2"/>
  <c r="E13" i="2"/>
  <c r="D13" i="2"/>
  <c r="H2" i="1"/>
  <c r="H3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2" i="16"/>
  <c r="E11" i="16"/>
  <c r="B2" i="19"/>
  <c r="G2" i="19"/>
  <c r="F2" i="19"/>
  <c r="D2" i="19"/>
  <c r="C2" i="19"/>
  <c r="E10" i="16"/>
  <c r="O2" i="9"/>
  <c r="N2" i="9"/>
  <c r="M2" i="9"/>
  <c r="L2" i="9"/>
  <c r="K2" i="9"/>
  <c r="J2" i="9"/>
  <c r="I2" i="9"/>
  <c r="H2" i="9"/>
  <c r="G2" i="9"/>
  <c r="D2" i="9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<sst xmlns="http://schemas.openxmlformats.org/spreadsheetml/2006/main" count="1402" uniqueCount="330">
  <si>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</si>
  <si>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</si>
  <si>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</si>
  <si>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</si>
  <si>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</si>
  <si>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</si>
  <si>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</si>
  <si>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</si>
  <si>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</si>
  <si>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</si>
  <si>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</si>
  <si>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</si>
  <si>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</si>
  <si>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</si>
  <si>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</si>
  <si>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</si>
  <si>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</si>
  <si>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</si>
  <si>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</si>
  <si>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</si>
  <si>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</si>
  <si>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</si>
  <si>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</si>
  <si>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</si>
  <si>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</si>
  <si>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</si>
  <si>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</si>
  <si>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</si>
  <si>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</si>
  <si>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</si>
  <si>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</si>
  <si>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</si>
  <si>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</si>
  <si>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</si>
  <si>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</si>
  <si>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</si>
  <si>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</si>
  <si>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</si>
  <si>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</si>
  <si>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</si>
  <si>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</si>
  <si>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</si>
  <si>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</si>
  <si>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</si>
  <si>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</si>
  <si>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</si>
  <si>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</si>
  <si>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</si>
  <si>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</si>
  <si>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</si>
  <si>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</si>
  <si>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</si>
  <si>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</si>
  <si>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</si>
  <si>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</si>
  <si>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</si>
  <si>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</si>
  <si>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</si>
  <si>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</si>
  <si>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</si>
  <si>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</si>
  <si>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</si>
  <si>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</si>
  <si>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</si>
  <si>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</si>
  <si>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</si>
  <si>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</si>
  <si>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</si>
  <si>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</si>
  <si>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</si>
  <si>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</si>
  <si>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</si>
  <si>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</si>
  <si>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</si>
  <si>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</si>
  <si>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</si>
  <si>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</si>
  <si>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</si>
  <si>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</si>
  <si>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</si>
  <si>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</si>
  <si>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</si>
  <si>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</si>
  <si>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</si>
  <si>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</si>
  <si>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</si>
  <si>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</si>
  <si>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</si>
  <si>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</si>
  <si>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</si>
  <si>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</si>
  <si>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</si>
  <si>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</si>
  <si>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</si>
  <si>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</si>
  <si>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</si>
  <si>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</si>
  <si>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</si>
  <si>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</si>
  <si>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</si>
  <si>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</si>
  <si>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</si>
  <si>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</si>
  <si>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</si>
  <si>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</si>
  <si>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</si>
  <si>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</si>
  <si>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</si>
  <si>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</si>
  <si>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</si>
  <si>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</si>
  <si>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</si>
  <si>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</si>
  <si>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</si>
  <si>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</si>
  <si>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</si>
  <si>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</si>
  <si>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</si>
  <si>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</si>
  <si>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</si>
  <si>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</si>
  <si>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</si>
  <si>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</si>
  <si>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</si>
  <si>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</si>
  <si>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</si>
  <si>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</si>
  <si>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</si>
  <si>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</si>
  <si>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</si>
  <si>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</si>
  <si>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</si>
  <si>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</si>
  <si>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</si>
  <si>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</si>
  <si>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</si>
  <si>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</si>
  <si>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</si>
  <si>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</si>
  <si>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</si>
  <si>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</si>
  <si>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</si>
  <si>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</si>
  <si>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</si>
  <si>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</si>
  <si>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</si>
  <si>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</si>
  <si>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</si>
  <si>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</si>
  <si>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</si>
  <si>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</si>
  <si>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</si>
  <si>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</si>
  <si>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</si>
  <si>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</si>
  <si>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</si>
  <si>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</si>
  <si>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</si>
  <si>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</si>
  <si>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</si>
  <si>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</si>
  <si>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</si>
  <si>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</si>
  <si>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</si>
  <si>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</si>
  <si>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</si>
  <si>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</si>
  <si>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</si>
  <si>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</si>
  <si>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</si>
  <si>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</si>
  <si>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</si>
  <si>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</si>
  <si>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</si>
  <si>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</si>
  <si>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</si>
  <si>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</si>
  <si>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</si>
  <si>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</si>
  <si>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</si>
  <si>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</si>
  <si>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</si>
  <si>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</si>
  <si>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</si>
  <si>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</si>
  <si>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</si>
  <si>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</si>
  <si>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</si>
  <si>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</si>
  <si>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</si>
  <si>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</si>
  <si>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</si>
  <si>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</si>
  <si>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</si>
  <si>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</si>
  <si>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</si>
  <si>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</si>
  <si>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</si>
  <si>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</si>
  <si>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</si>
  <si>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</si>
  <si>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</si>
  <si>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</si>
  <si>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</si>
  <si>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</si>
  <si>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</si>
  <si>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</si>
  <si>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</si>
  <si>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</si>
  <si>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</si>
  <si>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</si>
  <si>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</si>
  <si>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鵺</t>
  </si>
  <si>
    <t>ヒロ</t>
  </si>
  <si>
    <t>蒼薙のトモエ</t>
  </si>
  <si>
    <t>秋祭のタマモ</t>
  </si>
  <si>
    <t>影丸</t>
  </si>
  <si>
    <t>[effect:nothing]</t>
    <phoneticPr fontId="5"/>
  </si>
  <si>
    <t>予約枠</t>
    <rPh sb="0" eb="3">
      <t>ヨヤクワク</t>
    </rPh>
    <phoneticPr fontId="5"/>
  </si>
  <si>
    <t>回復</t>
  </si>
  <si>
    <t>全体攻撃</t>
    <rPh sb="0" eb="4">
      <t>ゼンタイコウゲキ</t>
    </rPh>
    <phoneticPr fontId="5"/>
  </si>
  <si>
    <t>フィーバーゲージ減少</t>
  </si>
  <si>
    <t>蘭丸1</t>
    <phoneticPr fontId="5"/>
  </si>
  <si>
    <t>１発目</t>
  </si>
  <si>
    <t>２発目</t>
  </si>
  <si>
    <t>３発目</t>
  </si>
  <si>
    <t>溜め＋防御力UP</t>
  </si>
  <si>
    <t>[effect:degrade_fever, val:1000, animation:fevergauge_down]</t>
    <phoneticPr fontId="5"/>
  </si>
  <si>
    <t>[effect:change_block, new_block:jammer, target:block_all, count:3, val:0, no_effect_msg:no_effect_msg_change_block_heal, animation:change_block]</t>
    <phoneticPr fontId="5"/>
  </si>
  <si>
    <t>[effect:spread, val:0.3]</t>
    <phoneticPr fontId="5"/>
  </si>
  <si>
    <t>old</t>
  </si>
  <si>
    <t>４発目から</t>
  </si>
  <si>
    <t>null</t>
    <phoneticPr fontId="5"/>
  </si>
  <si>
    <t>[effect:heal, target:enemy_one, val:0.3, animation:enemy_heal]</t>
    <phoneticPr fontId="5"/>
  </si>
  <si>
    <t>トモエの防御力down</t>
    <rPh sb="4" eb="7">
      <t>ボウギョリョク</t>
    </rPh>
    <phoneticPr fontId="5"/>
  </si>
  <si>
    <t>[effect:critical, val:1.5]</t>
    <phoneticPr fontId="5"/>
  </si>
  <si>
    <t>null</t>
    <phoneticPr fontId="5"/>
  </si>
  <si>
    <t>[effect:change_block, new_block:jammer, target:block_all, count:3, val:0, no_effect_msg:no_effect_msg_change_block_heal, animation:change_block]</t>
    <phoneticPr fontId="5"/>
  </si>
  <si>
    <t>フィーバーゲージ減少</t>
    <phoneticPr fontId="5"/>
  </si>
  <si>
    <t>[effect:guard_break, target:enemy_one, turn:-1, val:0.3, calc:mul, animation:guard_break01]</t>
    <phoneticPr fontId="5"/>
  </si>
  <si>
    <t>鳴き声</t>
    <rPh sb="0" eb="1">
      <t>ナ</t>
    </rPh>
    <rPh sb="2" eb="3">
      <t>ゴエ</t>
    </rPh>
    <phoneticPr fontId="5"/>
  </si>
  <si>
    <t>捨て身の一撃を…</t>
    <rPh sb="0" eb="1">
      <t>ス</t>
    </rPh>
    <rPh sb="2" eb="3">
      <t>ミ</t>
    </rPh>
    <rPh sb="4" eb="6">
      <t>イチゲキ</t>
    </rPh>
    <phoneticPr fontId="5"/>
  </si>
  <si>
    <t>会心の一撃！</t>
  </si>
  <si>
    <t>会心の一撃！</t>
    <rPh sb="0" eb="2">
      <t>カイシン</t>
    </rPh>
    <rPh sb="3" eb="5">
      <t>イチゲキ</t>
    </rPh>
    <phoneticPr fontId="5"/>
  </si>
  <si>
    <t>こんな傷など！</t>
    <rPh sb="3" eb="4">
      <t>キズ</t>
    </rPh>
    <phoneticPr fontId="5"/>
  </si>
  <si>
    <t>この舞を見よ</t>
    <rPh sb="2" eb="3">
      <t>マイ</t>
    </rPh>
    <rPh sb="4" eb="5">
      <t>ミ</t>
    </rPh>
    <phoneticPr fontId="5"/>
  </si>
  <si>
    <t>忍法！</t>
    <rPh sb="0" eb="2">
      <t>ニンポウ</t>
    </rPh>
    <phoneticPr fontId="5"/>
  </si>
  <si>
    <t>緑パネル吸収＋防御力上昇</t>
  </si>
  <si>
    <t>お邪魔パネル出現</t>
  </si>
  <si>
    <t>トモエの防御力down</t>
  </si>
  <si>
    <t>全体攻撃</t>
  </si>
  <si>
    <t>黄パネル吸収数に応じて体力回復</t>
  </si>
  <si>
    <t>null</t>
    <phoneticPr fontId="5"/>
  </si>
  <si>
    <t>ここからが本番だ！</t>
    <rPh sb="5" eb="7">
      <t>ホンバン</t>
    </rPh>
    <phoneticPr fontId="5"/>
  </si>
  <si>
    <t>よく耐えたな！もう1発行くぜ？</t>
    <rPh sb="2" eb="3">
      <t>タ</t>
    </rPh>
    <rPh sb="10" eb="11">
      <t>パツ</t>
    </rPh>
    <rPh sb="11" eb="12">
      <t>イ</t>
    </rPh>
    <phoneticPr fontId="5"/>
  </si>
  <si>
    <t>どうした？それで本気か？</t>
    <rPh sb="8" eb="10">
      <t>ホンキ</t>
    </rPh>
    <phoneticPr fontId="5"/>
  </si>
  <si>
    <t>蘭丸は間合いを詰めている</t>
    <rPh sb="0" eb="2">
      <t>ランマル</t>
    </rPh>
    <rPh sb="3" eb="5">
      <t>マア</t>
    </rPh>
    <rPh sb="7" eb="8">
      <t>ツ</t>
    </rPh>
    <phoneticPr fontId="5"/>
  </si>
  <si>
    <t>蘭丸は構えるのをやめた</t>
    <rPh sb="0" eb="2">
      <t>ランマル</t>
    </rPh>
    <rPh sb="3" eb="4">
      <t>カマ</t>
    </rPh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</si>
  <si>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</si>
  <si>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</si>
  <si>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</si>
  <si>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</si>
  <si>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</si>
  <si>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</si>
  <si>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</si>
  <si>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</si>
  <si>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</si>
  <si>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</si>
  <si>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>@</t>
    <phoneticPr fontId="5"/>
  </si>
  <si>
    <t xml:space="preserve">    </t>
    <phoneticPr fontId="5"/>
  </si>
  <si>
    <t>[effect:enhance_enemy, target:myself, turn:1, status:defense, val:5000, calc:add, animation:enemy_enhance_defense]</t>
  </si>
  <si>
    <t>[effect:enhance_enemy, target:myself, turn:1, status:defense, val:5000, calc:add, animation:enemy_enhance_defense]</t>
    <phoneticPr fontId="5"/>
  </si>
  <si>
    <t>[effect:nothing]</t>
    <phoneticPr fontId="5"/>
  </si>
  <si>
    <t>蘭丸は構えた。防御力1ターンUP</t>
    <rPh sb="0" eb="2">
      <t>ランマル</t>
    </rPh>
    <rPh sb="3" eb="4">
      <t>カマ</t>
    </rPh>
    <phoneticPr fontId="5"/>
  </si>
  <si>
    <t>[effect:enhance_enemy, target:myself, turn:2, status:defense, val:5000, calc:add, animation:enemy_enhance_defense]</t>
    <phoneticPr fontId="5"/>
  </si>
  <si>
    <t>[effect:spread, val:0.5]</t>
    <phoneticPr fontId="5"/>
  </si>
  <si>
    <t>一網打尽にしてくれる！</t>
    <rPh sb="0" eb="4">
      <t>イチモウダジン</t>
    </rPh>
    <phoneticPr fontId="5"/>
  </si>
  <si>
    <t>隙あり！</t>
    <rPh sb="0" eb="1">
      <t>スキ</t>
    </rPh>
    <phoneticPr fontId="5"/>
  </si>
  <si>
    <t>受けて頂く！</t>
    <rPh sb="0" eb="1">
      <t>ウ</t>
    </rPh>
    <rPh sb="3" eb="4">
      <t>イタダ</t>
    </rPh>
    <phoneticPr fontId="5"/>
  </si>
  <si>
    <t>[effect:critical, val:1.1]</t>
    <phoneticPr fontId="5"/>
  </si>
  <si>
    <t>[effect:critical, val:1.3],[effect:freq_turn, target:myself, turn:-1, val:1, animation:enemy_freq_turn]</t>
    <phoneticPr fontId="5"/>
  </si>
  <si>
    <t>[effect:critical, val:1.5]</t>
    <phoneticPr fontId="5"/>
  </si>
  <si>
    <t>力を溜めている＋防御力2ターンUP</t>
    <rPh sb="0" eb="1">
      <t>チカラ</t>
    </rPh>
    <rPh sb="2" eb="3">
      <t>タ</t>
    </rPh>
    <phoneticPr fontId="5"/>
  </si>
  <si>
    <t>先手を打たせてもらう！</t>
    <rPh sb="0" eb="2">
      <t>センテ</t>
    </rPh>
    <rPh sb="3" eb="4">
      <t>ウ</t>
    </rPh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</si>
  <si>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</si>
  <si>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</si>
  <si>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</si>
  <si>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</si>
  <si>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ヒロは稀に回復を使います
長期戦となる可能性もありますが
スキルを溜めるチャンスでもあります</t>
    <phoneticPr fontId="5"/>
  </si>
  <si>
    <t>トモエはHPが半分程度まで減ると
お邪魔パネルを発生させます
フィーバーやスキルで対処しましょう</t>
    <phoneticPr fontId="5"/>
  </si>
  <si>
    <t>影丸は一定のターンが経過すると
お邪魔パネルを発生させます
早めに撃退しましょう</t>
    <phoneticPr fontId="5"/>
  </si>
  <si>
    <t>蘭丸の攻撃力は一定回数上昇します
受けるダメージが少ないうちに
大ダメージを与えて素早く撃退しましょう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</si>
  <si>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</si>
  <si>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</si>
  <si>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</si>
  <si>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</si>
  <si>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</si>
  <si>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</si>
  <si>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</si>
  <si>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</si>
  <si>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緑パネルを吸収して防御力UP</t>
    <phoneticPr fontId="5"/>
  </si>
  <si>
    <t>お邪魔パネル生成</t>
    <phoneticPr fontId="5"/>
  </si>
  <si>
    <t>黄パネルを吸収して回復</t>
    <phoneticPr fontId="5"/>
  </si>
  <si>
    <t>くらいやがれ！</t>
  </si>
  <si>
    <t>priority</t>
    <phoneticPr fontId="5"/>
  </si>
  <si>
    <t>every_time_count</t>
    <phoneticPr fontId="5"/>
  </si>
  <si>
    <t>invoke_times</t>
    <phoneticPr fontId="5"/>
  </si>
  <si>
    <t>[effect:nothing]</t>
    <phoneticPr fontId="5"/>
  </si>
  <si>
    <t>[effect:nothing]</t>
    <phoneticPr fontId="5"/>
  </si>
  <si>
    <t>蘭丸1</t>
  </si>
  <si>
    <t>ja</t>
    <phoneticPr fontId="5"/>
  </si>
  <si>
    <t>これでどうだっ！</t>
    <phoneticPr fontId="5"/>
  </si>
  <si>
    <t>[effect:enemy_message, val1:3, val2:3, dead_type:escape]</t>
    <phoneticPr fontId="5"/>
  </si>
  <si>
    <t>御館様…ごめんなさい…</t>
  </si>
  <si>
    <t>これくらいで倒れるなよ？</t>
    <rPh sb="6" eb="7">
      <t>タオ</t>
    </rPh>
    <phoneticPr fontId="5"/>
  </si>
  <si>
    <t>少しはやるな</t>
    <rPh sb="0" eb="1">
      <t>スコ</t>
    </rPh>
    <phoneticPr fontId="5"/>
  </si>
  <si>
    <t>でも、どこまで耐えられるかな？</t>
    <rPh sb="7" eb="8">
      <t>タ</t>
    </rPh>
    <phoneticPr fontId="5"/>
  </si>
  <si>
    <t>まだまだこれからだ！</t>
    <phoneticPr fontId="5"/>
  </si>
  <si>
    <t>俺の攻撃に</t>
    <rPh sb="0" eb="1">
      <t>オr</t>
    </rPh>
    <rPh sb="2" eb="4">
      <t>コウゲキ</t>
    </rPh>
    <phoneticPr fontId="5"/>
  </si>
  <si>
    <t>いつまで耐えれるかな？</t>
    <rPh sb="4" eb="5">
      <t>タ</t>
    </rPh>
    <phoneticPr fontId="5"/>
  </si>
  <si>
    <t>こんなに長いゲームは初めてだ…</t>
    <rPh sb="4" eb="5">
      <t>ナガ</t>
    </rPh>
    <rPh sb="10" eb="11">
      <t>ハジ</t>
    </rPh>
    <phoneticPr fontId="5"/>
  </si>
  <si>
    <t>くっ…油断しすぎたな…</t>
    <rPh sb="3" eb="5">
      <t>ユダn</t>
    </rPh>
    <phoneticPr fontId="5"/>
  </si>
  <si>
    <t>御館様に…報告しなければ…</t>
    <rPh sb="5" eb="7">
      <t>ホ</t>
    </rPh>
    <phoneticPr fontId="5"/>
  </si>
  <si>
    <t>逃がさないぜ！</t>
    <rPh sb="0" eb="1">
      <t>ニガs</t>
    </rPh>
    <phoneticPr fontId="5"/>
  </si>
  <si>
    <t>そろそろ本気を出すぜ！</t>
    <rPh sb="4" eb="6">
      <t>ホンキ</t>
    </rPh>
    <rPh sb="7" eb="8">
      <t>ダ</t>
    </rPh>
    <phoneticPr fontId="5"/>
  </si>
  <si>
    <t>さぁ、遊ぼうか！</t>
  </si>
  <si>
    <t>まだまだ！</t>
    <phoneticPr fontId="5"/>
  </si>
  <si>
    <t>[effect:critical, val:1.5]</t>
    <phoneticPr fontId="5"/>
  </si>
  <si>
    <t>[effect:break_heal_ratio, val:0.02, lowest_val:5000, count:10, block:block_yellow, target:myself, animation:enemy_heal]</t>
    <phoneticPr fontId="5"/>
  </si>
  <si>
    <t>[effect:break_enchance_enemy, val:250, lowest_val:0, count :-1, status:defense, turn:1, block:block_green, target:myself, calc:add]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</si>
</sst>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112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4" fillId="31" borderId="1" xfId="0" applyFont="1" applyFill="1" applyBorder="1" applyAlignment="1">
      <alignment horizontal="center" vertical="center"/>
    </xf>
    <xf numFmtId="0" fontId="8" fillId="31" borderId="4" xfId="0" applyFont="1" applyFill="1" applyBorder="1" applyAlignment="1">
      <alignment vertical="center"/>
    </xf>
    <xf numFmtId="177" fontId="8" fillId="31" borderId="4" xfId="0" applyNumberFormat="1" applyFont="1" applyFill="1" applyBorder="1" applyAlignment="1">
      <alignment vertical="center"/>
    </xf>
    <xf numFmtId="0" fontId="16" fillId="31" borderId="7" xfId="0" applyFont="1" applyFill="1" applyBorder="1" applyAlignment="1">
      <alignment horizontal="left" vertical="center" wrapText="1"/>
    </xf>
    <xf numFmtId="0" fontId="16" fillId="31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51" fillId="31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177" fontId="8" fillId="34" borderId="4" xfId="0" applyNumberFormat="1" applyFont="1" applyFill="1" applyBorder="1" applyAlignment="1">
      <alignment vertical="center"/>
    </xf>
    <xf numFmtId="0" fontId="8" fillId="34" borderId="4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27" fillId="31" borderId="7" xfId="0" applyFont="1" applyFill="1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0" borderId="24" xfId="0" applyFont="1" applyFill="1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</cellXfs>
  <cellStyles count="112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4" sqref="A14"/>
    </sheetView>
  </sheetViews>
  <sheetFormatPr baseColWidth="12" defaultRowHeight="15" x14ac:dyDescent="0.15"/>
  <cols>
    <col min="1" max="1" width="28" customWidth="1"/>
    <col min="2" max="2" width="18.1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230</v>
      </c>
      <c r="B2" s="57" t="s">
        <v>106</v>
      </c>
      <c r="C2" s="63">
        <v>30033</v>
      </c>
      <c r="D2" s="57" t="s">
        <v>107</v>
      </c>
      <c r="E2" s="56" t="str">
        <f>B2&amp;C2&amp;D2</f>
        <v>floors_30033.tmp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230</v>
      </c>
      <c r="B3" s="57" t="s">
        <v>109</v>
      </c>
      <c r="C3" s="63">
        <v>30033</v>
      </c>
      <c r="D3" s="57" t="s">
        <v>107</v>
      </c>
      <c r="E3" s="56" t="str">
        <f>B3&amp;C3&amp;D3</f>
        <v>enemy_habitats_30033.tmp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230</v>
      </c>
      <c r="B4" s="57" t="s">
        <v>111</v>
      </c>
      <c r="C4" s="63">
        <v>30033</v>
      </c>
      <c r="D4" s="57" t="s">
        <v>107</v>
      </c>
      <c r="E4" s="56" t="str">
        <f>B4&amp;C4&amp;D4</f>
        <v>enemy_habitat_S_30033.tmp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230</v>
      </c>
      <c r="B5" s="57" t="s">
        <v>113</v>
      </c>
      <c r="C5" s="63">
        <v>30033</v>
      </c>
      <c r="D5" s="57" t="s">
        <v>107</v>
      </c>
      <c r="E5" s="56" t="str">
        <f>B5&amp;C5&amp;D5</f>
        <v>enemy_skill_sets_30033.tmp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230</v>
      </c>
      <c r="B6" s="57" t="s">
        <v>115</v>
      </c>
      <c r="C6" s="63">
        <v>30033</v>
      </c>
      <c r="D6" s="57" t="s">
        <v>116</v>
      </c>
      <c r="E6" s="56" t="str">
        <f t="shared" ref="E6:E10" si="0">B6&amp;C6&amp;D6</f>
        <v>enemy_skills_tmp_30033.tmp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230</v>
      </c>
      <c r="B7" s="57" t="s">
        <v>117</v>
      </c>
      <c r="C7" s="63">
        <v>30033</v>
      </c>
      <c r="D7" s="57" t="s">
        <v>107</v>
      </c>
      <c r="E7" s="56" t="str">
        <f>B7&amp;C7&amp;D7</f>
        <v>enemy_skills_i18n_30033.tmp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230</v>
      </c>
      <c r="B8" s="57" t="s">
        <v>119</v>
      </c>
      <c r="C8" s="63">
        <v>30033</v>
      </c>
      <c r="D8" s="57" t="s">
        <v>120</v>
      </c>
      <c r="E8" s="56" t="str">
        <f t="shared" si="0"/>
        <v>enemy_skill_triggers_30033.tmp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230</v>
      </c>
      <c r="B9" s="68" t="s">
        <v>177</v>
      </c>
      <c r="C9" s="63">
        <v>30033</v>
      </c>
      <c r="D9" s="68" t="s">
        <v>171</v>
      </c>
      <c r="E9" s="69" t="str">
        <f t="shared" si="0"/>
        <v>stage_bug_bonuses_30033.tmp</v>
      </c>
      <c r="F9" s="68" t="s">
        <v>172</v>
      </c>
      <c r="G9" s="65" t="s">
        <v>150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</row>
    <row r="10" spans="1:30" s="77" customFormat="1" x14ac:dyDescent="0.15">
      <c r="A10" s="61" t="s">
        <v>230</v>
      </c>
      <c r="B10" s="68" t="s">
        <v>200</v>
      </c>
      <c r="C10" s="63">
        <v>30033</v>
      </c>
      <c r="D10" s="68" t="s">
        <v>180</v>
      </c>
      <c r="E10" s="69" t="str">
        <f t="shared" si="0"/>
        <v>stage_hints_data_c_30033.tmp</v>
      </c>
      <c r="F10" s="68" t="s">
        <v>208</v>
      </c>
      <c r="G10" s="74" t="s">
        <v>181</v>
      </c>
      <c r="H10" s="74" t="s">
        <v>173</v>
      </c>
      <c r="I10" s="75" t="s">
        <v>182</v>
      </c>
      <c r="J10" s="67" t="s">
        <v>183</v>
      </c>
      <c r="K10" s="76" t="s">
        <v>184</v>
      </c>
    </row>
    <row r="11" spans="1:30" s="77" customFormat="1" x14ac:dyDescent="0.15">
      <c r="A11" s="61" t="s">
        <v>230</v>
      </c>
      <c r="B11" s="68" t="s">
        <v>201</v>
      </c>
      <c r="C11" s="63">
        <v>30033</v>
      </c>
      <c r="D11" s="68" t="s">
        <v>171</v>
      </c>
      <c r="E11" s="69" t="str">
        <f t="shared" ref="E11:E12" si="1">B11&amp;C11&amp;D11</f>
        <v>stage_hints_data_f_30033.tmp</v>
      </c>
      <c r="F11" s="68" t="s">
        <v>210</v>
      </c>
      <c r="G11" s="74" t="s">
        <v>181</v>
      </c>
      <c r="H11" s="74" t="s">
        <v>173</v>
      </c>
      <c r="I11" s="75" t="s">
        <v>182</v>
      </c>
      <c r="J11" s="67" t="s">
        <v>183</v>
      </c>
      <c r="K11" s="76" t="s">
        <v>184</v>
      </c>
    </row>
    <row r="12" spans="1:30" s="77" customFormat="1" x14ac:dyDescent="0.15">
      <c r="A12" s="61" t="s">
        <v>230</v>
      </c>
      <c r="B12" s="68" t="s">
        <v>202</v>
      </c>
      <c r="C12" s="63">
        <v>30033</v>
      </c>
      <c r="D12" s="68" t="s">
        <v>171</v>
      </c>
      <c r="E12" s="69" t="str">
        <f t="shared" si="1"/>
        <v>stage_hints_i18n_30033.tmp</v>
      </c>
      <c r="F12" s="68" t="s">
        <v>211</v>
      </c>
      <c r="G12" s="75" t="s">
        <v>203</v>
      </c>
      <c r="H12" s="97" t="s">
        <v>204</v>
      </c>
      <c r="I12" s="74" t="s">
        <v>205</v>
      </c>
      <c r="J12" s="98" t="s">
        <v>206</v>
      </c>
      <c r="K12" s="76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30033_1-1</v>
      </c>
      <c r="B2" s="16" t="str">
        <f>IF(COUNTIF(enemy_habitats!$H:$H,A2),"OK","NG")</f>
        <v>OK</v>
      </c>
      <c r="C2" s="7">
        <v>30033</v>
      </c>
      <c r="D2" s="11" t="str">
        <f ca="1">VLOOKUP($C2,OFFSET([2]quests!$A$1,0,0,COUNTA([2]quests!$A:$A),MATCH(D$1,[2]quests!$1:$1,0)-MATCH($C$1,[2]quests!$1:$1,0)+1),MATCH(D$1,[2]quests!$1:$1,0)-MATCH($C$1,[2]quests!$1:$1,0)+1,FALSE)</f>
        <v>御館様の懐刀</v>
      </c>
      <c r="E2" s="18" t="str">
        <f ca="1">VLOOKUP($C2,OFFSET([2]quests!$A$1,0,0,COUNTA([2]quests!$A:$A),MATCH(E$1,[2]quests!$1:$1,0)-MATCH($C$1,[2]quests!$1:$1,0)+1),MATCH(E$1,[2]quests!$1:$1,0)-MATCH($C$1,[2]quests!$1:$1,0)+1,FALSE)</f>
        <v>戦国１</v>
      </c>
      <c r="F2" s="21">
        <v>1</v>
      </c>
      <c r="G2" s="23" t="str">
        <f>C2&amp;"_"&amp;F2</f>
        <v>30033_1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【中級】御館様の懐刀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30033_1-2</v>
      </c>
      <c r="B3" s="16" t="str">
        <f>IF(COUNTIF(enemy_habitats!$H:$H,A3),"OK","NG")</f>
        <v>OK</v>
      </c>
      <c r="C3" s="7">
        <v>30033</v>
      </c>
      <c r="D3" s="11" t="str">
        <f ca="1">VLOOKUP($C3,OFFSET([2]quests!$A$1,0,0,COUNTA([2]quests!$A:$A),MATCH(D$1,[2]quests!$1:$1,0)-MATCH($C$1,[2]quests!$1:$1,0)+1),MATCH(D$1,[2]quests!$1:$1,0)-MATCH($C$1,[2]quests!$1:$1,0)+1,FALSE)</f>
        <v>御館様の懐刀</v>
      </c>
      <c r="E3" s="18" t="str">
        <f ca="1">VLOOKUP($C3,OFFSET([2]quests!$A$1,0,0,COUNTA([2]quests!$A:$A),MATCH(E$1,[2]quests!$1:$1,0)-MATCH($C$1,[2]quests!$1:$1,0)+1),MATCH(E$1,[2]quests!$1:$1,0)-MATCH($C$1,[2]quests!$1:$1,0)+1,FALSE)</f>
        <v>戦国１</v>
      </c>
      <c r="F3" s="21">
        <v>1</v>
      </c>
      <c r="G3" s="23" t="str">
        <f t="shared" ref="G3:G5" si="1">C3&amp;"_"&amp;F3</f>
        <v>30033_1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【中級】御館様の懐刀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30033_1-3</v>
      </c>
      <c r="B4" s="16" t="str">
        <f>IF(COUNTIF(enemy_habitats!$H:$H,A4),"OK","NG")</f>
        <v>OK</v>
      </c>
      <c r="C4" s="7">
        <v>30033</v>
      </c>
      <c r="D4" s="11" t="str">
        <f ca="1">VLOOKUP($C4,OFFSET([2]quests!$A$1,0,0,COUNTA([2]quests!$A:$A),MATCH(D$1,[2]quests!$1:$1,0)-MATCH($C$1,[2]quests!$1:$1,0)+1),MATCH(D$1,[2]quests!$1:$1,0)-MATCH($C$1,[2]quests!$1:$1,0)+1,FALSE)</f>
        <v>御館様の懐刀</v>
      </c>
      <c r="E4" s="18" t="str">
        <f ca="1">VLOOKUP($C4,OFFSET([2]quests!$A$1,0,0,COUNTA([2]quests!$A:$A),MATCH(E$1,[2]quests!$1:$1,0)-MATCH($C$1,[2]quests!$1:$1,0)+1),MATCH(E$1,[2]quests!$1:$1,0)-MATCH($C$1,[2]quests!$1:$1,0)+1,FALSE)</f>
        <v>戦国１</v>
      </c>
      <c r="F4" s="21">
        <v>1</v>
      </c>
      <c r="G4" s="23" t="str">
        <f t="shared" si="1"/>
        <v>30033_1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【中級】御館様の懐刀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30033_1-4</v>
      </c>
      <c r="B5" s="16" t="str">
        <f>IF(COUNTIF(enemy_habitats!$H:$H,A5),"OK","NG")</f>
        <v>OK</v>
      </c>
      <c r="C5" s="7">
        <v>30033</v>
      </c>
      <c r="D5" s="11" t="str">
        <f ca="1">VLOOKUP($C5,OFFSET([2]quests!$A$1,0,0,COUNTA([2]quests!$A:$A),MATCH(D$1,[2]quests!$1:$1,0)-MATCH($C$1,[2]quests!$1:$1,0)+1),MATCH(D$1,[2]quests!$1:$1,0)-MATCH($C$1,[2]quests!$1:$1,0)+1,FALSE)</f>
        <v>御館様の懐刀</v>
      </c>
      <c r="E5" s="18" t="str">
        <f ca="1">VLOOKUP($C5,OFFSET([2]quests!$A$1,0,0,COUNTA([2]quests!$A:$A),MATCH(E$1,[2]quests!$1:$1,0)-MATCH($C$1,[2]quests!$1:$1,0)+1),MATCH(E$1,[2]quests!$1:$1,0)-MATCH($C$1,[2]quests!$1:$1,0)+1,FALSE)</f>
        <v>戦国１</v>
      </c>
      <c r="F5" s="21">
        <v>1</v>
      </c>
      <c r="G5" s="23" t="str">
        <f t="shared" si="1"/>
        <v>30033_1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【中級】御館様の懐刀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30033_2-1</v>
      </c>
      <c r="B6" s="16" t="str">
        <f>IF(COUNTIF(enemy_habitats!$H:$H,A6),"OK","NG")</f>
        <v>OK</v>
      </c>
      <c r="C6" s="7">
        <v>30033</v>
      </c>
      <c r="D6" s="11" t="str">
        <f ca="1">VLOOKUP($C6,OFFSET([2]quests!$A$1,0,0,COUNTA([2]quests!$A:$A),MATCH(D$1,[2]quests!$1:$1,0)-MATCH($C$1,[2]quests!$1:$1,0)+1),MATCH(D$1,[2]quests!$1:$1,0)-MATCH($C$1,[2]quests!$1:$1,0)+1,FALSE)</f>
        <v>御館様の懐刀</v>
      </c>
      <c r="E6" s="18" t="str">
        <f ca="1">VLOOKUP($C6,OFFSET([2]quests!$A$1,0,0,COUNTA([2]quests!$A:$A),MATCH(E$1,[2]quests!$1:$1,0)-MATCH($C$1,[2]quests!$1:$1,0)+1),MATCH(E$1,[2]quests!$1:$1,0)-MATCH($C$1,[2]quests!$1:$1,0)+1,FALSE)</f>
        <v>戦国１</v>
      </c>
      <c r="F6" s="21">
        <v>2</v>
      </c>
      <c r="G6" s="23" t="str">
        <f>C6&amp;"_"&amp;F6</f>
        <v>30033_2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【上級】御館様の懐刀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30033_2-2</v>
      </c>
      <c r="B7" s="16" t="str">
        <f>IF(COUNTIF(enemy_habitats!$H:$H,A7),"OK","NG")</f>
        <v>OK</v>
      </c>
      <c r="C7" s="7">
        <v>30033</v>
      </c>
      <c r="D7" s="11" t="str">
        <f ca="1">VLOOKUP($C7,OFFSET([2]quests!$A$1,0,0,COUNTA([2]quests!$A:$A),MATCH(D$1,[2]quests!$1:$1,0)-MATCH($C$1,[2]quests!$1:$1,0)+1),MATCH(D$1,[2]quests!$1:$1,0)-MATCH($C$1,[2]quests!$1:$1,0)+1,FALSE)</f>
        <v>御館様の懐刀</v>
      </c>
      <c r="E7" s="18" t="str">
        <f ca="1">VLOOKUP($C7,OFFSET([2]quests!$A$1,0,0,COUNTA([2]quests!$A:$A),MATCH(E$1,[2]quests!$1:$1,0)-MATCH($C$1,[2]quests!$1:$1,0)+1),MATCH(E$1,[2]quests!$1:$1,0)-MATCH($C$1,[2]quests!$1:$1,0)+1,FALSE)</f>
        <v>戦国１</v>
      </c>
      <c r="F7" s="21">
        <v>2</v>
      </c>
      <c r="G7" s="23" t="str">
        <f t="shared" ref="G7:G9" si="3">C7&amp;"_"&amp;F7</f>
        <v>30033_2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【上級】御館様の懐刀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30033_2-3</v>
      </c>
      <c r="B8" s="16" t="str">
        <f>IF(COUNTIF(enemy_habitats!$H:$H,A8),"OK","NG")</f>
        <v>OK</v>
      </c>
      <c r="C8" s="7">
        <v>30033</v>
      </c>
      <c r="D8" s="11" t="str">
        <f ca="1">VLOOKUP($C8,OFFSET([2]quests!$A$1,0,0,COUNTA([2]quests!$A:$A),MATCH(D$1,[2]quests!$1:$1,0)-MATCH($C$1,[2]quests!$1:$1,0)+1),MATCH(D$1,[2]quests!$1:$1,0)-MATCH($C$1,[2]quests!$1:$1,0)+1,FALSE)</f>
        <v>御館様の懐刀</v>
      </c>
      <c r="E8" s="18" t="str">
        <f ca="1">VLOOKUP($C8,OFFSET([2]quests!$A$1,0,0,COUNTA([2]quests!$A:$A),MATCH(E$1,[2]quests!$1:$1,0)-MATCH($C$1,[2]quests!$1:$1,0)+1),MATCH(E$1,[2]quests!$1:$1,0)-MATCH($C$1,[2]quests!$1:$1,0)+1,FALSE)</f>
        <v>戦国１</v>
      </c>
      <c r="F8" s="21">
        <v>2</v>
      </c>
      <c r="G8" s="23" t="str">
        <f t="shared" si="3"/>
        <v>30033_2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【上級】御館様の懐刀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30033_2-4</v>
      </c>
      <c r="B9" s="16" t="str">
        <f>IF(COUNTIF(enemy_habitats!$H:$H,A9),"OK","NG")</f>
        <v>OK</v>
      </c>
      <c r="C9" s="7">
        <v>30033</v>
      </c>
      <c r="D9" s="11" t="str">
        <f ca="1">VLOOKUP($C9,OFFSET([2]quests!$A$1,0,0,COUNTA([2]quests!$A:$A),MATCH(D$1,[2]quests!$1:$1,0)-MATCH($C$1,[2]quests!$1:$1,0)+1),MATCH(D$1,[2]quests!$1:$1,0)-MATCH($C$1,[2]quests!$1:$1,0)+1,FALSE)</f>
        <v>御館様の懐刀</v>
      </c>
      <c r="E9" s="18" t="str">
        <f ca="1">VLOOKUP($C9,OFFSET([2]quests!$A$1,0,0,COUNTA([2]quests!$A:$A),MATCH(E$1,[2]quests!$1:$1,0)-MATCH($C$1,[2]quests!$1:$1,0)+1),MATCH(E$1,[2]quests!$1:$1,0)-MATCH($C$1,[2]quests!$1:$1,0)+1,FALSE)</f>
        <v>戦国１</v>
      </c>
      <c r="F9" s="21">
        <v>2</v>
      </c>
      <c r="G9" s="23" t="str">
        <f t="shared" si="3"/>
        <v>30033_2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【上級】御館様の懐刀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>G10&amp;"-"&amp;I10</f>
        <v>30033_3-1</v>
      </c>
      <c r="B10" s="16" t="str">
        <f>IF(COUNTIF(enemy_habitats!$H:$H,A10),"OK","NG")</f>
        <v>OK</v>
      </c>
      <c r="C10" s="7">
        <v>30033</v>
      </c>
      <c r="D10" s="11" t="str">
        <f ca="1">VLOOKUP($C10,OFFSET([2]quests!$A$1,0,0,COUNTA([2]quests!$A:$A),MATCH(D$1,[2]quests!$1:$1,0)-MATCH($C$1,[2]quests!$1:$1,0)+1),MATCH(D$1,[2]quests!$1:$1,0)-MATCH($C$1,[2]quests!$1:$1,0)+1,FALSE)</f>
        <v>御館様の懐刀</v>
      </c>
      <c r="E10" s="18" t="str">
        <f ca="1">VLOOKUP($C10,OFFSET([2]quests!$A$1,0,0,COUNTA([2]quests!$A:$A),MATCH(E$1,[2]quests!$1:$1,0)-MATCH($C$1,[2]quests!$1:$1,0)+1),MATCH(E$1,[2]quests!$1:$1,0)-MATCH($C$1,[2]quests!$1:$1,0)+1,FALSE)</f>
        <v>戦国１</v>
      </c>
      <c r="F10" s="21">
        <v>3</v>
      </c>
      <c r="G10" s="23" t="str">
        <f>C10&amp;"_"&amp;F10</f>
        <v>30033_3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【超級】御館様の懐刀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ref="A11:A13" si="4">G11&amp;"-"&amp;I11</f>
        <v>30033_3-2</v>
      </c>
      <c r="B11" s="16" t="str">
        <f>IF(COUNTIF(enemy_habitats!$H:$H,A11),"OK","NG")</f>
        <v>OK</v>
      </c>
      <c r="C11" s="7">
        <v>30033</v>
      </c>
      <c r="D11" s="11" t="str">
        <f ca="1">VLOOKUP($C11,OFFSET([2]quests!$A$1,0,0,COUNTA([2]quests!$A:$A),MATCH(D$1,[2]quests!$1:$1,0)-MATCH($C$1,[2]quests!$1:$1,0)+1),MATCH(D$1,[2]quests!$1:$1,0)-MATCH($C$1,[2]quests!$1:$1,0)+1,FALSE)</f>
        <v>御館様の懐刀</v>
      </c>
      <c r="E11" s="18" t="str">
        <f ca="1">VLOOKUP($C11,OFFSET([2]quests!$A$1,0,0,COUNTA([2]quests!$A:$A),MATCH(E$1,[2]quests!$1:$1,0)-MATCH($C$1,[2]quests!$1:$1,0)+1),MATCH(E$1,[2]quests!$1:$1,0)-MATCH($C$1,[2]quests!$1:$1,0)+1,FALSE)</f>
        <v>戦国１</v>
      </c>
      <c r="F11" s="21">
        <v>3</v>
      </c>
      <c r="G11" s="23" t="str">
        <f t="shared" ref="G11:G13" si="5">C11&amp;"_"&amp;F11</f>
        <v>30033_3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【超級】御館様の懐刀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4"/>
        <v>30033_3-3</v>
      </c>
      <c r="B12" s="16" t="str">
        <f>IF(COUNTIF(enemy_habitats!$H:$H,A12),"OK","NG")</f>
        <v>OK</v>
      </c>
      <c r="C12" s="7">
        <v>30033</v>
      </c>
      <c r="D12" s="11" t="str">
        <f ca="1">VLOOKUP($C12,OFFSET([2]quests!$A$1,0,0,COUNTA([2]quests!$A:$A),MATCH(D$1,[2]quests!$1:$1,0)-MATCH($C$1,[2]quests!$1:$1,0)+1),MATCH(D$1,[2]quests!$1:$1,0)-MATCH($C$1,[2]quests!$1:$1,0)+1,FALSE)</f>
        <v>御館様の懐刀</v>
      </c>
      <c r="E12" s="18" t="str">
        <f ca="1">VLOOKUP($C12,OFFSET([2]quests!$A$1,0,0,COUNTA([2]quests!$A:$A),MATCH(E$1,[2]quests!$1:$1,0)-MATCH($C$1,[2]quests!$1:$1,0)+1),MATCH(E$1,[2]quests!$1:$1,0)-MATCH($C$1,[2]quests!$1:$1,0)+1,FALSE)</f>
        <v>戦国１</v>
      </c>
      <c r="F12" s="21">
        <v>3</v>
      </c>
      <c r="G12" s="23" t="str">
        <f t="shared" si="5"/>
        <v>30033_3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【超級】御館様の懐刀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4"/>
        <v>30033_3-4</v>
      </c>
      <c r="B13" s="16" t="str">
        <f>IF(COUNTIF(enemy_habitats!$H:$H,A13),"OK","NG")</f>
        <v>OK</v>
      </c>
      <c r="C13" s="7">
        <v>30033</v>
      </c>
      <c r="D13" s="11" t="str">
        <f ca="1">VLOOKUP($C13,OFFSET([2]quests!$A$1,0,0,COUNTA([2]quests!$A:$A),MATCH(D$1,[2]quests!$1:$1,0)-MATCH($C$1,[2]quests!$1:$1,0)+1),MATCH(D$1,[2]quests!$1:$1,0)-MATCH($C$1,[2]quests!$1:$1,0)+1,FALSE)</f>
        <v>御館様の懐刀</v>
      </c>
      <c r="E13" s="18" t="str">
        <f ca="1">VLOOKUP($C13,OFFSET([2]quests!$A$1,0,0,COUNTA([2]quests!$A:$A),MATCH(E$1,[2]quests!$1:$1,0)-MATCH($C$1,[2]quests!$1:$1,0)+1),MATCH(E$1,[2]quests!$1:$1,0)-MATCH($C$1,[2]quests!$1:$1,0)+1,FALSE)</f>
        <v>戦国１</v>
      </c>
      <c r="F13" s="21">
        <v>3</v>
      </c>
      <c r="G13" s="23" t="str">
        <f t="shared" si="5"/>
        <v>30033_3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【超級】御館様の懐刀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G20" sqref="AG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16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>B2&amp;"_"&amp;C2&amp;"-"&amp;G2&amp;"/"&amp;L2&amp;"&lt;lv"&amp;R2&amp;"&gt;s"&amp;AA2</f>
        <v>30033_1-1/268&lt;lv18&gt;s2</v>
      </c>
      <c r="B2" s="22">
        <v>30033</v>
      </c>
      <c r="C2" s="21">
        <v>1</v>
      </c>
      <c r="D2" s="2" t="str">
        <f>B2&amp;"_"&amp;C2</f>
        <v>30033_1</v>
      </c>
      <c r="E2" s="4" t="str">
        <f ca="1">VLOOKUP($B2,OFFSET([2]quests!$A$1,0,0,COUNTA([2]quests!$A:$A),MATCH(E$1,[2]quests!$1:$1,0)-MATCH($B$1,[2]quests!$1:$1,0)+1),MATCH(E$1,[2]quests!$1:$1,0)-MATCH($B$1,[2]quests!$1:$1,0)+1,FALSE)</f>
        <v>御館様の懐刀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【中級】御館様の懐刀</v>
      </c>
      <c r="G2" s="21">
        <v>1</v>
      </c>
      <c r="H2" s="15" t="str">
        <f>B2&amp;"_"&amp;C2&amp;"-"&amp;G2</f>
        <v>30033_1-1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232</v>
      </c>
      <c r="L2" s="20">
        <v>268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18</v>
      </c>
      <c r="S2" s="25">
        <v>1.1000000000000001</v>
      </c>
      <c r="T2" s="25">
        <v>1.2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62">
        <v>0</v>
      </c>
      <c r="X2" s="6">
        <v>1</v>
      </c>
      <c r="Y2" s="6">
        <v>100</v>
      </c>
      <c r="Z2" s="6">
        <v>1</v>
      </c>
      <c r="AA2" s="17">
        <v>2</v>
      </c>
      <c r="AB2" s="24">
        <f>L2</f>
        <v>268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鵺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Drop2W</v>
      </c>
      <c r="AF2" s="7">
        <v>1</v>
      </c>
      <c r="AG2" s="24">
        <f ca="1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>B3&amp;"_"&amp;C3&amp;"-"&amp;G3&amp;"/"&amp;L3&amp;"&lt;lv"&amp;R3&amp;"&gt;s"&amp;AA3</f>
        <v>30033_1-1/47&lt;lv21&gt;s2</v>
      </c>
      <c r="B3" s="22">
        <v>30033</v>
      </c>
      <c r="C3" s="21">
        <v>1</v>
      </c>
      <c r="D3" s="2" t="str">
        <f>B3&amp;"_"&amp;C3</f>
        <v>30033_1</v>
      </c>
      <c r="E3" s="4" t="str">
        <f ca="1">VLOOKUP($B3,OFFSET([2]quests!$A$1,0,0,COUNTA([2]quests!$A:$A),MATCH(E$1,[2]quests!$1:$1,0)-MATCH($B$1,[2]quests!$1:$1,0)+1),MATCH(E$1,[2]quests!$1:$1,0)-MATCH($B$1,[2]quests!$1:$1,0)+1,FALSE)</f>
        <v>御館様の懐刀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【中級】御館様の懐刀</v>
      </c>
      <c r="G3" s="21">
        <v>1</v>
      </c>
      <c r="H3" s="15" t="str">
        <f>B3&amp;"_"&amp;C3&amp;"-"&amp;G3</f>
        <v>30033_1-1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232</v>
      </c>
      <c r="L3" s="20">
        <v>47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ヒロ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21</v>
      </c>
      <c r="S3" s="25">
        <v>1.2</v>
      </c>
      <c r="T3" s="25">
        <v>1.3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回復</v>
      </c>
      <c r="W3" s="62">
        <v>3003301</v>
      </c>
      <c r="X3" s="6">
        <v>2</v>
      </c>
      <c r="Y3" s="6">
        <v>100</v>
      </c>
      <c r="Z3" s="6">
        <v>0</v>
      </c>
      <c r="AA3" s="17">
        <v>2</v>
      </c>
      <c r="AB3" s="24">
        <f>L3</f>
        <v>47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ヒロ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2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ref="A4:A19" si="0">B4&amp;"_"&amp;C4&amp;"-"&amp;G4&amp;"/"&amp;L4&amp;"&lt;lv"&amp;R4&amp;"&gt;s"&amp;AA4</f>
        <v>30033_1-2/139&lt;lv44&gt;s2</v>
      </c>
      <c r="B4" s="22">
        <v>30033</v>
      </c>
      <c r="C4" s="21">
        <v>1</v>
      </c>
      <c r="D4" s="2" t="str">
        <f t="shared" ref="D4:D19" si="1">B4&amp;"_"&amp;C4</f>
        <v>30033_1</v>
      </c>
      <c r="E4" s="4" t="str">
        <f ca="1">VLOOKUP($B4,OFFSET([2]quests!$A$1,0,0,COUNTA([2]quests!$A:$A),MATCH(E$1,[2]quests!$1:$1,0)-MATCH($B$1,[2]quests!$1:$1,0)+1),MATCH(E$1,[2]quests!$1:$1,0)-MATCH($B$1,[2]quests!$1:$1,0)+1,FALSE)</f>
        <v>御館様の懐刀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【中級】御館様の懐刀</v>
      </c>
      <c r="G4" s="21">
        <v>2</v>
      </c>
      <c r="H4" s="15" t="str">
        <f t="shared" ref="H4:H19" si="2">B4&amp;"_"&amp;C4&amp;"-"&amp;G4</f>
        <v>30033_1-2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232</v>
      </c>
      <c r="L4" s="20">
        <v>139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蒼昇刃姫 トモエ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44</v>
      </c>
      <c r="S4" s="25">
        <v>1</v>
      </c>
      <c r="T4" s="25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緑パネルを吸収して防御力UP</v>
      </c>
      <c r="W4" s="62">
        <v>3003302</v>
      </c>
      <c r="X4" s="6">
        <v>1</v>
      </c>
      <c r="Y4" s="6">
        <v>100</v>
      </c>
      <c r="Z4" s="6">
        <v>1</v>
      </c>
      <c r="AA4" s="17">
        <v>2</v>
      </c>
      <c r="AB4" s="24">
        <f t="shared" ref="AB4:AB19" si="3">L4</f>
        <v>139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7">
        <v>1</v>
      </c>
      <c r="AG4" s="24">
        <f t="shared" ref="AG4:AG19" ca="1" si="4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si="0"/>
        <v>30033_1-3/140&lt;lv40&gt;s2</v>
      </c>
      <c r="B5" s="22">
        <v>30033</v>
      </c>
      <c r="C5" s="21">
        <v>1</v>
      </c>
      <c r="D5" s="2" t="str">
        <f t="shared" si="1"/>
        <v>30033_1</v>
      </c>
      <c r="E5" s="4" t="str">
        <f ca="1">VLOOKUP($B5,OFFSET([2]quests!$A$1,0,0,COUNTA([2]quests!$A:$A),MATCH(E$1,[2]quests!$1:$1,0)-MATCH($B$1,[2]quests!$1:$1,0)+1),MATCH(E$1,[2]quests!$1:$1,0)-MATCH($B$1,[2]quests!$1:$1,0)+1,FALSE)</f>
        <v>御館様の懐刀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【中級】御館様の懐刀</v>
      </c>
      <c r="G5" s="21">
        <v>3</v>
      </c>
      <c r="H5" s="15" t="str">
        <f t="shared" si="2"/>
        <v>30033_1-3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232</v>
      </c>
      <c r="L5" s="20">
        <v>140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秋祭のタマモ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40</v>
      </c>
      <c r="S5" s="25">
        <v>1.2</v>
      </c>
      <c r="T5" s="25">
        <v>1.1000000000000001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5" s="62">
        <v>3003303</v>
      </c>
      <c r="X5" s="6">
        <v>1</v>
      </c>
      <c r="Y5" s="6">
        <v>100</v>
      </c>
      <c r="Z5" s="6">
        <v>1</v>
      </c>
      <c r="AA5" s="17">
        <v>2</v>
      </c>
      <c r="AB5" s="24">
        <f t="shared" si="3"/>
        <v>140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秋祭のタマモ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30033_1-3/374&lt;lv40&gt;s2</v>
      </c>
      <c r="B6" s="22">
        <v>30033</v>
      </c>
      <c r="C6" s="21">
        <v>1</v>
      </c>
      <c r="D6" s="2" t="str">
        <f t="shared" si="1"/>
        <v>30033_1</v>
      </c>
      <c r="E6" s="4" t="str">
        <f ca="1">VLOOKUP($B6,OFFSET([2]quests!$A$1,0,0,COUNTA([2]quests!$A:$A),MATCH(E$1,[2]quests!$1:$1,0)-MATCH($B$1,[2]quests!$1:$1,0)+1),MATCH(E$1,[2]quests!$1:$1,0)-MATCH($B$1,[2]quests!$1:$1,0)+1,FALSE)</f>
        <v>御館様の懐刀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【中級】御館様の懐刀</v>
      </c>
      <c r="G6" s="21">
        <v>3</v>
      </c>
      <c r="H6" s="15" t="str">
        <f t="shared" si="2"/>
        <v>30033_1-3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232</v>
      </c>
      <c r="L6" s="20">
        <v>374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影丸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40</v>
      </c>
      <c r="S6" s="25">
        <v>1.2</v>
      </c>
      <c r="T6" s="25">
        <v>1.5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6" s="62">
        <v>3003304</v>
      </c>
      <c r="X6" s="6">
        <v>2</v>
      </c>
      <c r="Y6" s="6">
        <v>100</v>
      </c>
      <c r="Z6" s="6">
        <v>0</v>
      </c>
      <c r="AA6" s="17">
        <v>2</v>
      </c>
      <c r="AB6" s="24">
        <f t="shared" si="3"/>
        <v>374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影丸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30033_1-4/722&lt;lv45&gt;s2</v>
      </c>
      <c r="B7" s="22">
        <v>30033</v>
      </c>
      <c r="C7" s="21">
        <v>1</v>
      </c>
      <c r="D7" s="2" t="str">
        <f t="shared" si="1"/>
        <v>30033_1</v>
      </c>
      <c r="E7" s="4" t="str">
        <f ca="1">VLOOKUP($B7,OFFSET([2]quests!$A$1,0,0,COUNTA([2]quests!$A:$A),MATCH(E$1,[2]quests!$1:$1,0)-MATCH($B$1,[2]quests!$1:$1,0)+1),MATCH(E$1,[2]quests!$1:$1,0)-MATCH($B$1,[2]quests!$1:$1,0)+1,FALSE)</f>
        <v>御館様の懐刀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【中級】御館様の懐刀</v>
      </c>
      <c r="G7" s="21">
        <v>4</v>
      </c>
      <c r="H7" s="15" t="str">
        <f t="shared" si="2"/>
        <v>30033_1-4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722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森蘭丸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45</v>
      </c>
      <c r="S7" s="25">
        <v>2.4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これくらいで倒れるなよ？</v>
      </c>
      <c r="W7" s="62">
        <v>3003305</v>
      </c>
      <c r="X7" s="6">
        <v>1</v>
      </c>
      <c r="Y7" s="6">
        <v>100</v>
      </c>
      <c r="Z7" s="6">
        <v>1</v>
      </c>
      <c r="AA7" s="17">
        <v>2</v>
      </c>
      <c r="AB7" s="24">
        <f t="shared" si="3"/>
        <v>722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森蘭丸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30033_2-1/268&lt;lv30&gt;s2</v>
      </c>
      <c r="B8" s="22">
        <v>30033</v>
      </c>
      <c r="C8" s="21">
        <v>2</v>
      </c>
      <c r="D8" s="2" t="str">
        <f t="shared" si="1"/>
        <v>30033_2</v>
      </c>
      <c r="E8" s="4" t="str">
        <f ca="1">VLOOKUP($B8,OFFSET([2]quests!$A$1,0,0,COUNTA([2]quests!$A:$A),MATCH(E$1,[2]quests!$1:$1,0)-MATCH($B$1,[2]quests!$1:$1,0)+1),MATCH(E$1,[2]quests!$1:$1,0)-MATCH($B$1,[2]quests!$1:$1,0)+1,FALSE)</f>
        <v>御館様の懐刀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【上級】御館様の懐刀</v>
      </c>
      <c r="G8" s="21">
        <v>1</v>
      </c>
      <c r="H8" s="15" t="str">
        <f t="shared" si="2"/>
        <v>30033_2-1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232</v>
      </c>
      <c r="L8" s="20">
        <v>268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鵺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111">
        <v>30</v>
      </c>
      <c r="S8" s="110">
        <v>0.8</v>
      </c>
      <c r="T8" s="110">
        <v>0.9</v>
      </c>
      <c r="U8" s="5">
        <v>0</v>
      </c>
      <c r="V8" s="4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62">
        <v>0</v>
      </c>
      <c r="X8" s="6">
        <v>1</v>
      </c>
      <c r="Y8" s="6">
        <v>100</v>
      </c>
      <c r="Z8" s="6">
        <v>1</v>
      </c>
      <c r="AA8" s="17">
        <v>2</v>
      </c>
      <c r="AB8" s="24">
        <f t="shared" si="3"/>
        <v>268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鵺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Drop2W</v>
      </c>
      <c r="AF8" s="7">
        <v>1</v>
      </c>
      <c r="AG8" s="24">
        <f t="shared" ca="1" si="4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si="0"/>
        <v>30033_2-1/47&lt;lv30&gt;s2</v>
      </c>
      <c r="B9" s="22">
        <v>30033</v>
      </c>
      <c r="C9" s="21">
        <v>2</v>
      </c>
      <c r="D9" s="2" t="str">
        <f t="shared" si="1"/>
        <v>30033_2</v>
      </c>
      <c r="E9" s="4" t="str">
        <f ca="1">VLOOKUP($B9,OFFSET([2]quests!$A$1,0,0,COUNTA([2]quests!$A:$A),MATCH(E$1,[2]quests!$1:$1,0)-MATCH($B$1,[2]quests!$1:$1,0)+1),MATCH(E$1,[2]quests!$1:$1,0)-MATCH($B$1,[2]quests!$1:$1,0)+1,FALSE)</f>
        <v>御館様の懐刀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【上級】御館様の懐刀</v>
      </c>
      <c r="G9" s="21">
        <v>1</v>
      </c>
      <c r="H9" s="15" t="str">
        <f t="shared" si="2"/>
        <v>30033_2-1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232</v>
      </c>
      <c r="L9" s="20">
        <v>47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ヒロ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11">
        <v>30</v>
      </c>
      <c r="S9" s="110">
        <v>1.1000000000000001</v>
      </c>
      <c r="T9" s="110">
        <v>1.2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回復</v>
      </c>
      <c r="W9" s="62">
        <v>3003301</v>
      </c>
      <c r="X9" s="6">
        <v>2</v>
      </c>
      <c r="Y9" s="6">
        <v>100</v>
      </c>
      <c r="Z9" s="6">
        <v>0</v>
      </c>
      <c r="AA9" s="17">
        <v>2</v>
      </c>
      <c r="AB9" s="24">
        <f t="shared" si="3"/>
        <v>47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ヒロ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4">
        <f t="shared" ca="1" si="4"/>
        <v>2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si="0"/>
        <v>30033_2-2/139&lt;lv54&gt;s2</v>
      </c>
      <c r="B10" s="22">
        <v>30033</v>
      </c>
      <c r="C10" s="21">
        <v>2</v>
      </c>
      <c r="D10" s="2" t="str">
        <f t="shared" si="1"/>
        <v>30033_2</v>
      </c>
      <c r="E10" s="4" t="str">
        <f ca="1">VLOOKUP($B10,OFFSET([2]quests!$A$1,0,0,COUNTA([2]quests!$A:$A),MATCH(E$1,[2]quests!$1:$1,0)-MATCH($B$1,[2]quests!$1:$1,0)+1),MATCH(E$1,[2]quests!$1:$1,0)-MATCH($B$1,[2]quests!$1:$1,0)+1,FALSE)</f>
        <v>御館様の懐刀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【上級】御館様の懐刀</v>
      </c>
      <c r="G10" s="21">
        <v>2</v>
      </c>
      <c r="H10" s="15" t="str">
        <f t="shared" si="2"/>
        <v>30033_2-2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232</v>
      </c>
      <c r="L10" s="20">
        <v>139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蒼昇刃姫 トモエ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111">
        <v>54</v>
      </c>
      <c r="S10" s="110">
        <v>1</v>
      </c>
      <c r="T10" s="110">
        <v>1.2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緑パネルを吸収して防御力UP</v>
      </c>
      <c r="W10" s="62">
        <v>3003302</v>
      </c>
      <c r="X10" s="6">
        <v>1</v>
      </c>
      <c r="Y10" s="6">
        <v>100</v>
      </c>
      <c r="Z10" s="6">
        <v>1</v>
      </c>
      <c r="AA10" s="17">
        <v>2</v>
      </c>
      <c r="AB10" s="24">
        <f t="shared" si="3"/>
        <v>139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si="0"/>
        <v>30033_2-3/140&lt;lv50&gt;s2</v>
      </c>
      <c r="B11" s="22">
        <v>30033</v>
      </c>
      <c r="C11" s="21">
        <v>2</v>
      </c>
      <c r="D11" s="2" t="str">
        <f t="shared" si="1"/>
        <v>30033_2</v>
      </c>
      <c r="E11" s="4" t="str">
        <f ca="1">VLOOKUP($B11,OFFSET([2]quests!$A$1,0,0,COUNTA([2]quests!$A:$A),MATCH(E$1,[2]quests!$1:$1,0)-MATCH($B$1,[2]quests!$1:$1,0)+1),MATCH(E$1,[2]quests!$1:$1,0)-MATCH($B$1,[2]quests!$1:$1,0)+1,FALSE)</f>
        <v>御館様の懐刀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【上級】御館様の懐刀</v>
      </c>
      <c r="G11" s="21">
        <v>3</v>
      </c>
      <c r="H11" s="15" t="str">
        <f t="shared" si="2"/>
        <v>30033_2-3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232</v>
      </c>
      <c r="L11" s="20">
        <v>140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秋祭のタマモ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111">
        <v>50</v>
      </c>
      <c r="S11" s="110">
        <v>1.2</v>
      </c>
      <c r="T11" s="110">
        <v>1.1000000000000001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11" s="62">
        <v>3003303</v>
      </c>
      <c r="X11" s="6">
        <v>1</v>
      </c>
      <c r="Y11" s="6">
        <v>100</v>
      </c>
      <c r="Z11" s="6">
        <v>1</v>
      </c>
      <c r="AA11" s="17">
        <v>2</v>
      </c>
      <c r="AB11" s="24">
        <f t="shared" si="3"/>
        <v>140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秋祭のタマモ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1" s="7">
        <v>1</v>
      </c>
      <c r="AG11" s="24">
        <f t="shared" ca="1" si="4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si="0"/>
        <v>30033_2-3/374&lt;lv50&gt;s2</v>
      </c>
      <c r="B12" s="22">
        <v>30033</v>
      </c>
      <c r="C12" s="21">
        <v>2</v>
      </c>
      <c r="D12" s="2" t="str">
        <f t="shared" si="1"/>
        <v>30033_2</v>
      </c>
      <c r="E12" s="4" t="str">
        <f ca="1">VLOOKUP($B12,OFFSET([2]quests!$A$1,0,0,COUNTA([2]quests!$A:$A),MATCH(E$1,[2]quests!$1:$1,0)-MATCH($B$1,[2]quests!$1:$1,0)+1),MATCH(E$1,[2]quests!$1:$1,0)-MATCH($B$1,[2]quests!$1:$1,0)+1,FALSE)</f>
        <v>御館様の懐刀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【上級】御館様の懐刀</v>
      </c>
      <c r="G12" s="21">
        <v>3</v>
      </c>
      <c r="H12" s="15" t="str">
        <f t="shared" si="2"/>
        <v>30033_2-3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232</v>
      </c>
      <c r="L12" s="20">
        <v>374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影丸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111">
        <v>50</v>
      </c>
      <c r="S12" s="110">
        <v>1.2</v>
      </c>
      <c r="T12" s="110">
        <v>1.5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12" s="62">
        <v>3003304</v>
      </c>
      <c r="X12" s="6">
        <v>2</v>
      </c>
      <c r="Y12" s="6">
        <v>100</v>
      </c>
      <c r="Z12" s="6">
        <v>0</v>
      </c>
      <c r="AA12" s="17">
        <v>2</v>
      </c>
      <c r="AB12" s="24">
        <f t="shared" si="3"/>
        <v>374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影丸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4">
        <f t="shared" ca="1" si="4"/>
        <v>2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si="0"/>
        <v>30033_2-4/722&lt;lv50&gt;s2</v>
      </c>
      <c r="B13" s="22">
        <v>30033</v>
      </c>
      <c r="C13" s="21">
        <v>2</v>
      </c>
      <c r="D13" s="2" t="str">
        <f t="shared" si="1"/>
        <v>30033_2</v>
      </c>
      <c r="E13" s="4" t="str">
        <f ca="1">VLOOKUP($B13,OFFSET([2]quests!$A$1,0,0,COUNTA([2]quests!$A:$A),MATCH(E$1,[2]quests!$1:$1,0)-MATCH($B$1,[2]quests!$1:$1,0)+1),MATCH(E$1,[2]quests!$1:$1,0)-MATCH($B$1,[2]quests!$1:$1,0)+1,FALSE)</f>
        <v>御館様の懐刀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【上級】御館様の懐刀</v>
      </c>
      <c r="G13" s="21">
        <v>4</v>
      </c>
      <c r="H13" s="15" t="str">
        <f t="shared" si="2"/>
        <v>30033_2-4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722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森蘭丸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111">
        <v>50</v>
      </c>
      <c r="S13" s="110">
        <v>2.4</v>
      </c>
      <c r="T13" s="110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これくらいで倒れるなよ？</v>
      </c>
      <c r="W13" s="62">
        <v>3003305</v>
      </c>
      <c r="X13" s="6">
        <v>1</v>
      </c>
      <c r="Y13" s="6">
        <v>100</v>
      </c>
      <c r="Z13" s="6">
        <v>1</v>
      </c>
      <c r="AA13" s="17">
        <v>2</v>
      </c>
      <c r="AB13" s="24">
        <f t="shared" si="3"/>
        <v>722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森蘭丸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7">
        <v>1</v>
      </c>
      <c r="AG13" s="24">
        <f t="shared" ca="1" si="4"/>
        <v>4</v>
      </c>
      <c r="AH13" s="8">
        <v>50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t="shared" si="0"/>
        <v>30033_3-1/268&lt;lv40&gt;s2</v>
      </c>
      <c r="B14" s="22">
        <v>30033</v>
      </c>
      <c r="C14" s="21">
        <v>3</v>
      </c>
      <c r="D14" s="2" t="str">
        <f t="shared" si="1"/>
        <v>30033_3</v>
      </c>
      <c r="E14" s="4" t="str">
        <f ca="1">VLOOKUP($B14,OFFSET([2]quests!$A$1,0,0,COUNTA([2]quests!$A:$A),MATCH(E$1,[2]quests!$1:$1,0)-MATCH($B$1,[2]quests!$1:$1,0)+1),MATCH(E$1,[2]quests!$1:$1,0)-MATCH($B$1,[2]quests!$1:$1,0)+1,FALSE)</f>
        <v>御館様の懐刀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【超級】御館様の懐刀</v>
      </c>
      <c r="G14" s="21">
        <v>1</v>
      </c>
      <c r="H14" s="15" t="str">
        <f t="shared" si="2"/>
        <v>30033_3-1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232</v>
      </c>
      <c r="L14" s="100">
        <v>268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鵺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101">
        <v>40</v>
      </c>
      <c r="S14" s="102">
        <v>0.8</v>
      </c>
      <c r="T14" s="102">
        <v>0.9</v>
      </c>
      <c r="U14" s="5">
        <v>0</v>
      </c>
      <c r="V14" s="4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62">
        <v>0</v>
      </c>
      <c r="X14" s="6">
        <v>1</v>
      </c>
      <c r="Y14" s="6">
        <v>100</v>
      </c>
      <c r="Z14" s="6">
        <v>1</v>
      </c>
      <c r="AA14" s="17">
        <v>2</v>
      </c>
      <c r="AB14" s="24">
        <f t="shared" si="3"/>
        <v>268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鵺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Drop2W</v>
      </c>
      <c r="AF14" s="7">
        <v>1</v>
      </c>
      <c r="AG14" s="24">
        <f t="shared" ca="1" si="4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t="shared" si="0"/>
        <v>30033_3-1/47&lt;lv40&gt;s2</v>
      </c>
      <c r="B15" s="22">
        <v>30033</v>
      </c>
      <c r="C15" s="21">
        <v>3</v>
      </c>
      <c r="D15" s="2" t="str">
        <f t="shared" si="1"/>
        <v>30033_3</v>
      </c>
      <c r="E15" s="4" t="str">
        <f ca="1">VLOOKUP($B15,OFFSET([2]quests!$A$1,0,0,COUNTA([2]quests!$A:$A),MATCH(E$1,[2]quests!$1:$1,0)-MATCH($B$1,[2]quests!$1:$1,0)+1),MATCH(E$1,[2]quests!$1:$1,0)-MATCH($B$1,[2]quests!$1:$1,0)+1,FALSE)</f>
        <v>御館様の懐刀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【超級】御館様の懐刀</v>
      </c>
      <c r="G15" s="21">
        <v>1</v>
      </c>
      <c r="H15" s="15" t="str">
        <f t="shared" si="2"/>
        <v>30033_3-1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232</v>
      </c>
      <c r="L15" s="100">
        <v>47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ヒロ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101">
        <v>40</v>
      </c>
      <c r="S15" s="102">
        <v>1</v>
      </c>
      <c r="T15" s="102">
        <v>1.1000000000000001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回復</v>
      </c>
      <c r="W15" s="62">
        <v>3003301</v>
      </c>
      <c r="X15" s="6">
        <v>2</v>
      </c>
      <c r="Y15" s="6">
        <v>100</v>
      </c>
      <c r="Z15" s="6">
        <v>0</v>
      </c>
      <c r="AA15" s="17">
        <v>2</v>
      </c>
      <c r="AB15" s="24">
        <f t="shared" si="3"/>
        <v>47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ヒロ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4"/>
        <v>2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si="0"/>
        <v>30033_3-2/139&lt;lv64&gt;s2</v>
      </c>
      <c r="B16" s="22">
        <v>30033</v>
      </c>
      <c r="C16" s="21">
        <v>3</v>
      </c>
      <c r="D16" s="2" t="str">
        <f t="shared" si="1"/>
        <v>30033_3</v>
      </c>
      <c r="E16" s="4" t="str">
        <f ca="1">VLOOKUP($B16,OFFSET([2]quests!$A$1,0,0,COUNTA([2]quests!$A:$A),MATCH(E$1,[2]quests!$1:$1,0)-MATCH($B$1,[2]quests!$1:$1,0)+1),MATCH(E$1,[2]quests!$1:$1,0)-MATCH($B$1,[2]quests!$1:$1,0)+1,FALSE)</f>
        <v>御館様の懐刀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【超級】御館様の懐刀</v>
      </c>
      <c r="G16" s="21">
        <v>2</v>
      </c>
      <c r="H16" s="15" t="str">
        <f t="shared" si="2"/>
        <v>30033_3-2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232</v>
      </c>
      <c r="L16" s="100">
        <v>139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蒼昇刃姫 トモエ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101">
        <v>64</v>
      </c>
      <c r="S16" s="102">
        <v>1</v>
      </c>
      <c r="T16" s="102">
        <v>1.2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緑パネルを吸収して防御力UP</v>
      </c>
      <c r="W16" s="62">
        <v>3003302</v>
      </c>
      <c r="X16" s="6">
        <v>1</v>
      </c>
      <c r="Y16" s="6">
        <v>100</v>
      </c>
      <c r="Z16" s="6">
        <v>1</v>
      </c>
      <c r="AA16" s="17">
        <v>2</v>
      </c>
      <c r="AB16" s="24">
        <f t="shared" si="3"/>
        <v>139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6" s="7">
        <v>1</v>
      </c>
      <c r="AG16" s="24">
        <f t="shared" ca="1" si="4"/>
        <v>4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x14ac:dyDescent="0.15">
      <c r="A17" s="16" t="str">
        <f t="shared" ca="1" si="0"/>
        <v>30033_3-3/140&lt;lv60&gt;s2</v>
      </c>
      <c r="B17" s="22">
        <v>30033</v>
      </c>
      <c r="C17" s="21">
        <v>3</v>
      </c>
      <c r="D17" s="2" t="str">
        <f t="shared" si="1"/>
        <v>30033_3</v>
      </c>
      <c r="E17" s="4" t="str">
        <f ca="1">VLOOKUP($B17,OFFSET([2]quests!$A$1,0,0,COUNTA([2]quests!$A:$A),MATCH(E$1,[2]quests!$1:$1,0)-MATCH($B$1,[2]quests!$1:$1,0)+1),MATCH(E$1,[2]quests!$1:$1,0)-MATCH($B$1,[2]quests!$1:$1,0)+1,FALSE)</f>
        <v>御館様の懐刀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【超級】御館様の懐刀</v>
      </c>
      <c r="G17" s="21">
        <v>3</v>
      </c>
      <c r="H17" s="15" t="str">
        <f t="shared" si="2"/>
        <v>30033_3-3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232</v>
      </c>
      <c r="L17" s="100">
        <v>140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秋祭のタマモ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101">
        <v>60</v>
      </c>
      <c r="S17" s="102">
        <v>1.2</v>
      </c>
      <c r="T17" s="102">
        <v>1.1000000000000001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17" s="62">
        <v>3003303</v>
      </c>
      <c r="X17" s="6">
        <v>1</v>
      </c>
      <c r="Y17" s="6">
        <v>100</v>
      </c>
      <c r="Z17" s="6">
        <v>1</v>
      </c>
      <c r="AA17" s="17">
        <f ca="1">VLOOKUP($L17,OFFSET([3]enemies!$A$1,0,0,COUNTA([3]enemies!$A:$A),MATCH(AA$1,[3]enemies!$1:$1,0)-MATCH($L$1,[3]enemies!$1:$1,0)+1),MATCH(AA$1,[3]enemies!$1:$1,0)-MATCH($L$1,[3]enemies!$1:$1,0)+1,FALSE)</f>
        <v>2</v>
      </c>
      <c r="AB17" s="24">
        <f t="shared" si="3"/>
        <v>140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秋祭のタマモ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7" s="7">
        <v>1</v>
      </c>
      <c r="AG17" s="24">
        <f t="shared" ca="1" si="4"/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70">
        <v>1</v>
      </c>
    </row>
    <row r="18" spans="1:40" ht="21" customHeight="1" x14ac:dyDescent="0.15">
      <c r="A18" s="16" t="str">
        <f t="shared" si="0"/>
        <v>30033_3-3/374&lt;lv60&gt;s2</v>
      </c>
      <c r="B18" s="22">
        <v>30033</v>
      </c>
      <c r="C18" s="21">
        <v>3</v>
      </c>
      <c r="D18" s="2" t="str">
        <f t="shared" si="1"/>
        <v>30033_3</v>
      </c>
      <c r="E18" s="4" t="str">
        <f ca="1">VLOOKUP($B18,OFFSET([2]quests!$A$1,0,0,COUNTA([2]quests!$A:$A),MATCH(E$1,[2]quests!$1:$1,0)-MATCH($B$1,[2]quests!$1:$1,0)+1),MATCH(E$1,[2]quests!$1:$1,0)-MATCH($B$1,[2]quests!$1:$1,0)+1,FALSE)</f>
        <v>御館様の懐刀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【超級】御館様の懐刀</v>
      </c>
      <c r="G18" s="21">
        <v>3</v>
      </c>
      <c r="H18" s="15" t="str">
        <f t="shared" si="2"/>
        <v>30033_3-3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232</v>
      </c>
      <c r="L18" s="100">
        <v>374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影丸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101">
        <v>60</v>
      </c>
      <c r="S18" s="102">
        <v>1.2</v>
      </c>
      <c r="T18" s="102">
        <v>1.5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お邪魔パネル生成</v>
      </c>
      <c r="W18" s="62">
        <v>3003304</v>
      </c>
      <c r="X18" s="6">
        <v>2</v>
      </c>
      <c r="Y18" s="6">
        <v>100</v>
      </c>
      <c r="Z18" s="6">
        <v>0</v>
      </c>
      <c r="AA18" s="17">
        <v>2</v>
      </c>
      <c r="AB18" s="24">
        <f t="shared" si="3"/>
        <v>374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影丸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7">
        <v>1</v>
      </c>
      <c r="AG18" s="24">
        <f t="shared" ca="1" si="4"/>
        <v>2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si="0"/>
        <v>30033_3-4/722&lt;lv60&gt;s2</v>
      </c>
      <c r="B19" s="22">
        <v>30033</v>
      </c>
      <c r="C19" s="21">
        <v>3</v>
      </c>
      <c r="D19" s="2" t="str">
        <f t="shared" si="1"/>
        <v>30033_3</v>
      </c>
      <c r="E19" s="4" t="str">
        <f ca="1">VLOOKUP($B19,OFFSET([2]quests!$A$1,0,0,COUNTA([2]quests!$A:$A),MATCH(E$1,[2]quests!$1:$1,0)-MATCH($B$1,[2]quests!$1:$1,0)+1),MATCH(E$1,[2]quests!$1:$1,0)-MATCH($B$1,[2]quests!$1:$1,0)+1,FALSE)</f>
        <v>御館様の懐刀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【超級】御館様の懐刀</v>
      </c>
      <c r="G19" s="21">
        <v>4</v>
      </c>
      <c r="H19" s="15" t="str">
        <f t="shared" si="2"/>
        <v>30033_3-4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3</v>
      </c>
      <c r="L19" s="100">
        <v>722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森蘭丸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101">
        <v>60</v>
      </c>
      <c r="S19" s="102">
        <v>2.4</v>
      </c>
      <c r="T19" s="102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これくらいで倒れるなよ？</v>
      </c>
      <c r="W19" s="62">
        <v>3003305</v>
      </c>
      <c r="X19" s="6">
        <v>1</v>
      </c>
      <c r="Y19" s="6">
        <v>100</v>
      </c>
      <c r="Z19" s="6">
        <v>1</v>
      </c>
      <c r="AA19" s="17">
        <v>2</v>
      </c>
      <c r="AB19" s="24">
        <f t="shared" si="3"/>
        <v>722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森蘭丸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4">
        <f t="shared" ca="1" si="4"/>
        <v>4</v>
      </c>
      <c r="AH19" s="8">
        <v>100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115" zoomScaleNormal="115" zoomScalePageLayoutView="11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B21" sqref="B2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30033_1-4/723&lt;lv45&gt;sq1st2</v>
      </c>
      <c r="B2" s="22">
        <v>30033</v>
      </c>
      <c r="C2" s="21">
        <v>1</v>
      </c>
      <c r="D2" s="2" t="str">
        <f>B2&amp;"_"&amp;C2</f>
        <v>30033_1</v>
      </c>
      <c r="E2" s="4" t="str">
        <f ca="1">VLOOKUP($B2,OFFSET([2]quests!$A$1,0,0,COUNTA([2]quests!$A:$A),MATCH(E$1,[2]quests!$1:$1,0)-MATCH($B$1,[2]quests!$1:$1,0)+1),MATCH(E$1,[2]quests!$1:$1,0)-MATCH($B$1,[2]quests!$1:$1,0)+1,FALSE)</f>
        <v>御館様の懐刀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【中級】御館様の懐刀</v>
      </c>
      <c r="G2" s="21">
        <v>4</v>
      </c>
      <c r="H2" s="15" t="str">
        <f>B2&amp;"_"&amp;C2&amp;"-"&amp;G2</f>
        <v>30033_1-4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723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萌芽の密心  森蘭丸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45</v>
      </c>
      <c r="T2" s="25">
        <v>2.4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3003306</v>
      </c>
      <c r="Y2" s="71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30033_2-4/723&lt;lv50&gt;sq2st2</v>
      </c>
      <c r="B3" s="22">
        <v>30033</v>
      </c>
      <c r="C3" s="21">
        <v>2</v>
      </c>
      <c r="D3" s="2" t="str">
        <f t="shared" ref="D3:D4" si="1">B3&amp;"_"&amp;C3</f>
        <v>30033_2</v>
      </c>
      <c r="E3" s="4" t="str">
        <f ca="1">VLOOKUP($B3,OFFSET([2]quests!$A$1,0,0,COUNTA([2]quests!$A:$A),MATCH(E$1,[2]quests!$1:$1,0)-MATCH($B$1,[2]quests!$1:$1,0)+1),MATCH(E$1,[2]quests!$1:$1,0)-MATCH($B$1,[2]quests!$1:$1,0)+1,FALSE)</f>
        <v>御館様の懐刀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【上級】御館様の懐刀</v>
      </c>
      <c r="G3" s="21">
        <v>4</v>
      </c>
      <c r="H3" s="15" t="str">
        <f t="shared" ref="H3:H4" si="2">B3&amp;"_"&amp;C3&amp;"-"&amp;G3</f>
        <v>30033_2-4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723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萌芽の密心  森蘭丸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2.4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3003306</v>
      </c>
      <c r="Y3" s="71">
        <v>1</v>
      </c>
    </row>
    <row r="4" spans="1:25" ht="21" customHeight="1" x14ac:dyDescent="0.15">
      <c r="A4" s="16" t="str">
        <f t="shared" si="0"/>
        <v>30033_3-4/723&lt;lv60&gt;sq3st2</v>
      </c>
      <c r="B4" s="22">
        <v>30033</v>
      </c>
      <c r="C4" s="21">
        <v>3</v>
      </c>
      <c r="D4" s="2" t="str">
        <f t="shared" si="1"/>
        <v>30033_3</v>
      </c>
      <c r="E4" s="4" t="str">
        <f ca="1">VLOOKUP($B4,OFFSET([2]quests!$A$1,0,0,COUNTA([2]quests!$A:$A),MATCH(E$1,[2]quests!$1:$1,0)-MATCH($B$1,[2]quests!$1:$1,0)+1),MATCH(E$1,[2]quests!$1:$1,0)-MATCH($B$1,[2]quests!$1:$1,0)+1,FALSE)</f>
        <v>御館様の懐刀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【超級】御館様の懐刀</v>
      </c>
      <c r="G4" s="21">
        <v>4</v>
      </c>
      <c r="H4" s="15" t="str">
        <f t="shared" si="2"/>
        <v>30033_3-4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100">
        <v>723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萌芽の密心  森蘭丸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2.4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3003306</v>
      </c>
      <c r="Y4" s="71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6"/>
  <sheetViews>
    <sheetView showGridLines="0" workbookViewId="0">
      <pane ySplit="1" topLeftCell="A2" activePane="bottomLeft" state="frozenSplit"/>
      <selection pane="bottomLeft" activeCell="B13" sqref="B1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3003301</v>
      </c>
      <c r="B2" s="47" t="s">
        <v>217</v>
      </c>
      <c r="C2" s="50">
        <v>3</v>
      </c>
      <c r="D2" s="50" t="s">
        <v>127</v>
      </c>
      <c r="E2" s="103" t="s">
        <v>212</v>
      </c>
      <c r="F2" s="51" t="s">
        <v>218</v>
      </c>
      <c r="G2" s="64" t="str">
        <f>IFERROR(LEFT(B2,FIND("],",B2)),B2)</f>
        <v>[effect:nothing]</v>
      </c>
      <c r="H2" s="64">
        <f>FIND("effect:",G2)+7</f>
        <v>9</v>
      </c>
      <c r="I2" s="64">
        <f>IFERROR(FIND(",",G2),LEN(G2))</f>
        <v>16</v>
      </c>
      <c r="J2" s="64" t="e">
        <f>FIND("target:",G2)+7</f>
        <v>#VALUE!</v>
      </c>
      <c r="K2" s="64" t="e">
        <f>FIND(",",G2,I2+1)</f>
        <v>#VALUE!</v>
      </c>
      <c r="L2" s="64" t="str">
        <f>IFERROR(VLOOKUP(MID(G2,J2,K2-J2),[6]skilldef!$C:$D,2,FALSE),"-") &amp; " / " &amp; IFERROR(VLOOKUP(MID(G2,H2,I2-H2),[6]skilldef!$A:$B,2,FALSE),"-")</f>
        <v>- / 何もしない</v>
      </c>
      <c r="M2" s="64" t="str">
        <f>IFERROR(RIGHT(B2,LEN(B2)-FIND("],",B2)-1),"none")</f>
        <v>none</v>
      </c>
      <c r="N2" s="48" t="str">
        <f>IFERROR(LEFT(M2,FIND("],",M2)+S12),M2)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3003302</v>
      </c>
      <c r="B3" s="47" t="s">
        <v>217</v>
      </c>
      <c r="C3" s="50">
        <v>3</v>
      </c>
      <c r="D3" s="50" t="s">
        <v>127</v>
      </c>
      <c r="E3" s="103" t="s">
        <v>212</v>
      </c>
      <c r="F3" s="51" t="s">
        <v>218</v>
      </c>
      <c r="G3" s="64" t="str">
        <f t="shared" ref="G3:G37" si="0">IFERROR(LEFT(B3,FIND("],",B3)),B3)</f>
        <v>[effect:nothing]</v>
      </c>
      <c r="H3" s="64">
        <f t="shared" ref="H3:H6" si="1">FIND("effect:",G3)+7</f>
        <v>9</v>
      </c>
      <c r="I3" s="64">
        <f t="shared" ref="I3:I37" si="2">IFERROR(FIND(",",G3),LEN(G3))</f>
        <v>16</v>
      </c>
      <c r="J3" s="64" t="e">
        <f t="shared" ref="J3:J37" si="3">FIND("target:",G3)+7</f>
        <v>#VALUE!</v>
      </c>
      <c r="K3" s="64" t="e">
        <f t="shared" ref="K3:K37" si="4">FIND(",",G3,I3+1)</f>
        <v>#VALUE!</v>
      </c>
      <c r="L3" s="64" t="str">
        <f>IFERROR(VLOOKUP(MID(G3,J3,K3-J3),[6]skilldef!$C:$D,2,FALSE),"-") &amp; " / " &amp; IFERROR(VLOOKUP(MID(G3,H3,I3-H3),[6]skilldef!$A:$B,2,FALSE),"-")</f>
        <v>- / 何もしない</v>
      </c>
      <c r="M3" s="64" t="str">
        <f t="shared" ref="M3:M37" si="5">IFERROR(RIGHT(B3,LEN(B3)-FIND("],",B3)-1),"none")</f>
        <v>none</v>
      </c>
      <c r="N3" s="48" t="str">
        <f t="shared" ref="N3:N22" si="6">IFERROR(LEFT(M3,FIND("],",M3)+S13),M3)</f>
        <v>none</v>
      </c>
      <c r="O3" s="64" t="e">
        <f t="shared" ref="O3:O6" si="7">FIND("effect:",N3)+7</f>
        <v>#VALUE!</v>
      </c>
      <c r="P3" s="64">
        <f t="shared" ref="P3:P37" si="8">IFERROR(FIND(",",N3),LEN(N3))</f>
        <v>4</v>
      </c>
      <c r="Q3" s="64" t="e">
        <f t="shared" ref="Q3:Q37" si="9">FIND("target:",N3)+7</f>
        <v>#VALUE!</v>
      </c>
      <c r="R3" s="64" t="e">
        <f t="shared" ref="R3:R37" si="10"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37" si="11">IFERROR(RIGHT(M3,LEN(M3)-FIND("],",M3)-1),"none")</f>
        <v>none</v>
      </c>
      <c r="U3" s="64" t="e">
        <f t="shared" ref="U3:U6" si="12">FIND("effect:",T3)+7</f>
        <v>#VALUE!</v>
      </c>
      <c r="V3" s="64">
        <f t="shared" ref="V3:V37" si="13">IFERROR(FIND(",",T3),LEN(T3))</f>
        <v>4</v>
      </c>
      <c r="W3" s="64" t="e">
        <f t="shared" ref="W3:W37" si="14">FIND("target:",T3)+7</f>
        <v>#VALUE!</v>
      </c>
      <c r="X3" s="64" t="e">
        <f t="shared" ref="X3:X37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3003303</v>
      </c>
      <c r="B4" s="47" t="s">
        <v>217</v>
      </c>
      <c r="C4" s="50">
        <v>3</v>
      </c>
      <c r="D4" s="50" t="s">
        <v>127</v>
      </c>
      <c r="E4" s="103" t="s">
        <v>212</v>
      </c>
      <c r="F4" s="51" t="s">
        <v>218</v>
      </c>
      <c r="G4" s="64" t="str">
        <f t="shared" si="0"/>
        <v>[effect:nothing]</v>
      </c>
      <c r="H4" s="64">
        <f t="shared" si="1"/>
        <v>9</v>
      </c>
      <c r="I4" s="64">
        <f t="shared" si="2"/>
        <v>16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何もしない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3003304</v>
      </c>
      <c r="B5" s="47" t="s">
        <v>217</v>
      </c>
      <c r="C5" s="50">
        <v>3</v>
      </c>
      <c r="D5" s="50" t="s">
        <v>127</v>
      </c>
      <c r="E5" s="103" t="s">
        <v>212</v>
      </c>
      <c r="F5" s="51" t="s">
        <v>218</v>
      </c>
      <c r="G5" s="64" t="str">
        <f t="shared" si="0"/>
        <v>[effect:nothing]</v>
      </c>
      <c r="H5" s="64">
        <f t="shared" si="1"/>
        <v>9</v>
      </c>
      <c r="I5" s="64">
        <f t="shared" si="2"/>
        <v>16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IFERROR(VLOOKUP(MID(G5,J5,K5-J5),[6]skilldef!$C:$D,2,FALSE),"-") &amp; " / " &amp; IFERROR(VLOOKUP(MID(G5,H5,I5-H5),[6]skilldef!$A:$B,2,FALSE),"-")</f>
        <v>- / 何もしない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3003305</v>
      </c>
      <c r="B6" s="47" t="s">
        <v>217</v>
      </c>
      <c r="C6" s="50">
        <v>3</v>
      </c>
      <c r="D6" s="50" t="s">
        <v>127</v>
      </c>
      <c r="E6" s="103" t="s">
        <v>212</v>
      </c>
      <c r="F6" s="51" t="s">
        <v>218</v>
      </c>
      <c r="G6" s="64" t="str">
        <f t="shared" si="0"/>
        <v>[effect:nothing]</v>
      </c>
      <c r="H6" s="64">
        <f t="shared" si="1"/>
        <v>9</v>
      </c>
      <c r="I6" s="64">
        <f t="shared" si="2"/>
        <v>16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何もしない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3003306</v>
      </c>
      <c r="B7" s="47" t="s">
        <v>233</v>
      </c>
      <c r="C7" s="50">
        <v>3</v>
      </c>
      <c r="D7" s="50" t="s">
        <v>127</v>
      </c>
      <c r="E7" s="103" t="s">
        <v>240</v>
      </c>
      <c r="F7" s="51" t="s">
        <v>83</v>
      </c>
      <c r="G7" s="64" t="str">
        <f t="shared" si="0"/>
        <v>[effect:heal, target:enemy_one, val:0.3, animation:enemy_heal]</v>
      </c>
      <c r="H7" s="64">
        <f t="shared" ref="H7:H42" si="16">FIND("effect:",G7)+7</f>
        <v>9</v>
      </c>
      <c r="I7" s="64">
        <f t="shared" si="2"/>
        <v>13</v>
      </c>
      <c r="J7" s="64">
        <f t="shared" si="3"/>
        <v>22</v>
      </c>
      <c r="K7" s="64">
        <f t="shared" si="4"/>
        <v>31</v>
      </c>
      <c r="L7" s="64" t="str">
        <f>IFERROR(VLOOKUP(MID(G7,J7,K7-J7),[6]skilldef!$C:$D,2,FALSE),"-") &amp; " / " &amp; IFERROR(VLOOKUP(MID(G7,H7,I7-H7),[6]skilldef!$A:$B,2,FALSE),"-")</f>
        <v>敵単体に / 回復</v>
      </c>
      <c r="M7" s="64" t="str">
        <f t="shared" si="5"/>
        <v>none</v>
      </c>
      <c r="N7" s="48" t="str">
        <f t="shared" ref="N7:N16" si="17">IFERROR(LEFT(M7,FIND("],",M7)+S20),M7)</f>
        <v>none</v>
      </c>
      <c r="O7" s="64" t="e">
        <f t="shared" ref="O7:O42" si="18">FIND("effect:",N7)+7</f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ref="U7:U42" si="19">FIND("effect:",T7)+7</f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3003307</v>
      </c>
      <c r="B8" s="47" t="s">
        <v>217</v>
      </c>
      <c r="C8" s="50">
        <v>3</v>
      </c>
      <c r="D8" s="50" t="s">
        <v>127</v>
      </c>
      <c r="E8" s="103" t="s">
        <v>213</v>
      </c>
      <c r="F8" s="51" t="s">
        <v>218</v>
      </c>
      <c r="G8" s="64" t="str">
        <f t="shared" si="0"/>
        <v>[effect:nothing]</v>
      </c>
      <c r="H8" s="64">
        <f t="shared" si="16"/>
        <v>9</v>
      </c>
      <c r="I8" s="64">
        <f t="shared" si="2"/>
        <v>16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IFERROR(VLOOKUP(MID(G8,J8,K8-J8),[6]skilldef!$C:$D,2,FALSE),"-") &amp; " / " &amp; IFERROR(VLOOKUP(MID(G8,H8,I8-H8),[6]skilldef!$A:$B,2,FALSE),"-")</f>
        <v>- / 何もしない</v>
      </c>
      <c r="M8" s="64" t="str">
        <f t="shared" si="5"/>
        <v>none</v>
      </c>
      <c r="N8" s="48" t="str">
        <f t="shared" si="17"/>
        <v>none</v>
      </c>
      <c r="O8" s="64" t="e">
        <f t="shared" si="18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9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3003308</v>
      </c>
      <c r="B9" s="47" t="s">
        <v>217</v>
      </c>
      <c r="C9" s="50">
        <v>3</v>
      </c>
      <c r="D9" s="50" t="s">
        <v>127</v>
      </c>
      <c r="E9" s="103" t="s">
        <v>213</v>
      </c>
      <c r="F9" s="51" t="s">
        <v>218</v>
      </c>
      <c r="G9" s="64" t="str">
        <f t="shared" si="0"/>
        <v>[effect:nothing]</v>
      </c>
      <c r="H9" s="64">
        <f t="shared" si="16"/>
        <v>9</v>
      </c>
      <c r="I9" s="64">
        <f t="shared" si="2"/>
        <v>16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IFERROR(VLOOKUP(MID(G9,J9,K9-J9),[6]skilldef!$C:$D,2,FALSE),"-") &amp; " / " &amp; IFERROR(VLOOKUP(MID(G9,H9,I9-H9),[6]skilldef!$A:$B,2,FALSE),"-")</f>
        <v>- / 何もしない</v>
      </c>
      <c r="M9" s="64" t="str">
        <f t="shared" si="5"/>
        <v>none</v>
      </c>
      <c r="N9" s="48" t="str">
        <f t="shared" si="17"/>
        <v>none</v>
      </c>
      <c r="O9" s="64" t="e">
        <f t="shared" si="18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4" t="e">
        <f t="shared" si="19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3003309</v>
      </c>
      <c r="B10" s="47" t="s">
        <v>217</v>
      </c>
      <c r="C10" s="50">
        <v>3</v>
      </c>
      <c r="D10" s="50" t="s">
        <v>127</v>
      </c>
      <c r="E10" s="103" t="s">
        <v>213</v>
      </c>
      <c r="F10" s="51" t="s">
        <v>218</v>
      </c>
      <c r="G10" s="64" t="str">
        <f t="shared" si="0"/>
        <v>[effect:nothing]</v>
      </c>
      <c r="H10" s="64">
        <f t="shared" si="16"/>
        <v>9</v>
      </c>
      <c r="I10" s="64">
        <f t="shared" si="2"/>
        <v>16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IFERROR(VLOOKUP(MID(G10,J10,K10-J10),[6]skilldef!$C:$D,2,FALSE),"-") &amp; " / " &amp; IFERROR(VLOOKUP(MID(G10,H10,I10-H10),[6]skilldef!$A:$B,2,FALSE),"-")</f>
        <v>- / 何もしない</v>
      </c>
      <c r="M10" s="64" t="str">
        <f t="shared" si="5"/>
        <v>none</v>
      </c>
      <c r="N10" s="48" t="str">
        <f t="shared" si="17"/>
        <v>none</v>
      </c>
      <c r="O10" s="64" t="e">
        <f t="shared" si="18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4" t="e">
        <f t="shared" si="19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3003310</v>
      </c>
      <c r="B11" s="47" t="s">
        <v>217</v>
      </c>
      <c r="C11" s="50">
        <v>3</v>
      </c>
      <c r="D11" s="50" t="s">
        <v>127</v>
      </c>
      <c r="E11" s="103" t="s">
        <v>213</v>
      </c>
      <c r="F11" s="51" t="s">
        <v>218</v>
      </c>
      <c r="G11" s="64" t="str">
        <f t="shared" si="0"/>
        <v>[effect:nothing]</v>
      </c>
      <c r="H11" s="64">
        <f t="shared" si="16"/>
        <v>9</v>
      </c>
      <c r="I11" s="64">
        <f t="shared" si="2"/>
        <v>16</v>
      </c>
      <c r="J11" s="64" t="e">
        <f t="shared" si="3"/>
        <v>#VALUE!</v>
      </c>
      <c r="K11" s="64" t="e">
        <f t="shared" si="4"/>
        <v>#VALUE!</v>
      </c>
      <c r="L11" s="64" t="str">
        <f>IFERROR(VLOOKUP(MID(G11,J11,K11-J11),[6]skilldef!$C:$D,2,FALSE),"-") &amp; " / " &amp; IFERROR(VLOOKUP(MID(G11,H11,I11-H11),[6]skilldef!$A:$B,2,FALSE),"-")</f>
        <v>- / 何もしない</v>
      </c>
      <c r="M11" s="64" t="str">
        <f t="shared" si="5"/>
        <v>none</v>
      </c>
      <c r="N11" s="48" t="str">
        <f t="shared" si="17"/>
        <v>none</v>
      </c>
      <c r="O11" s="64" t="e">
        <f t="shared" si="18"/>
        <v>#VALUE!</v>
      </c>
      <c r="P11" s="64">
        <f t="shared" si="8"/>
        <v>4</v>
      </c>
      <c r="Q11" s="64" t="e">
        <f t="shared" si="9"/>
        <v>#VALUE!</v>
      </c>
      <c r="R11" s="64" t="e">
        <f t="shared" si="10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4" t="e">
        <f t="shared" si="19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3003311</v>
      </c>
      <c r="B12" s="104" t="s">
        <v>329</v>
      </c>
      <c r="C12" s="50">
        <v>3</v>
      </c>
      <c r="D12" s="50" t="s">
        <v>127</v>
      </c>
      <c r="E12" s="103" t="s">
        <v>283</v>
      </c>
      <c r="F12" s="51" t="s">
        <v>300</v>
      </c>
      <c r="G12" s="64" t="str">
        <f t="shared" si="0"/>
        <v>[effect:break_enchance_enemy, val:250, lowest_val:0, count :-1, status:defense, turn:1, block:block_green, target:myself, calc:add]</v>
      </c>
      <c r="H12" s="64">
        <f t="shared" si="16"/>
        <v>9</v>
      </c>
      <c r="I12" s="64">
        <f t="shared" si="2"/>
        <v>29</v>
      </c>
      <c r="J12" s="64">
        <f t="shared" si="3"/>
        <v>115</v>
      </c>
      <c r="K12" s="64">
        <f t="shared" si="4"/>
        <v>38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none</v>
      </c>
      <c r="N12" s="48" t="str">
        <f t="shared" si="17"/>
        <v>none</v>
      </c>
      <c r="O12" s="64" t="e">
        <f t="shared" si="18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4" t="e">
        <f t="shared" si="19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3003312</v>
      </c>
      <c r="B13" s="47" t="s">
        <v>228</v>
      </c>
      <c r="C13" s="50">
        <v>3</v>
      </c>
      <c r="D13" s="50" t="s">
        <v>127</v>
      </c>
      <c r="E13" s="103" t="s">
        <v>277</v>
      </c>
      <c r="F13" s="51" t="s">
        <v>301</v>
      </c>
      <c r="G13" s="64" t="str">
        <f t="shared" si="0"/>
        <v>[effect:change_block, new_block:jammer, target:block_all, count:3, val:0, no_effect_msg:no_effect_msg_change_block_heal, animation:change_block]</v>
      </c>
      <c r="H13" s="64">
        <f t="shared" si="16"/>
        <v>9</v>
      </c>
      <c r="I13" s="64">
        <f t="shared" si="2"/>
        <v>21</v>
      </c>
      <c r="J13" s="64">
        <f t="shared" si="3"/>
        <v>48</v>
      </c>
      <c r="K13" s="64">
        <f t="shared" si="4"/>
        <v>39</v>
      </c>
      <c r="L13" s="64" t="str">
        <f>IFERROR(VLOOKUP(MID(G13,J13,K13-J13),[6]skilldef!$C:$D,2,FALSE),"-") &amp; " / " &amp; IFERROR(VLOOKUP(MID(G13,H13,I13-H13),[6]skilldef!$A:$B,2,FALSE),"-")</f>
        <v>- / ブロック変換</v>
      </c>
      <c r="M13" s="64" t="str">
        <f t="shared" si="5"/>
        <v>none</v>
      </c>
      <c r="N13" s="48" t="str">
        <f t="shared" si="17"/>
        <v>none</v>
      </c>
      <c r="O13" s="64" t="e">
        <f t="shared" si="18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4" t="e">
        <f t="shared" si="19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3003313</v>
      </c>
      <c r="B14" s="104" t="s">
        <v>239</v>
      </c>
      <c r="C14" s="50">
        <v>3</v>
      </c>
      <c r="D14" s="50" t="s">
        <v>127</v>
      </c>
      <c r="E14" s="103" t="s">
        <v>241</v>
      </c>
      <c r="F14" s="51" t="s">
        <v>234</v>
      </c>
      <c r="G14" s="64" t="str">
        <f t="shared" si="0"/>
        <v>[effect:guard_break, target:enemy_one, turn:-1, val:0.3, calc:mul, animation:guard_break01]</v>
      </c>
      <c r="H14" s="64">
        <f t="shared" si="16"/>
        <v>9</v>
      </c>
      <c r="I14" s="64">
        <f t="shared" si="2"/>
        <v>20</v>
      </c>
      <c r="J14" s="64">
        <f t="shared" si="3"/>
        <v>29</v>
      </c>
      <c r="K14" s="64">
        <f t="shared" si="4"/>
        <v>38</v>
      </c>
      <c r="L14" s="64" t="str">
        <f>IFERROR(VLOOKUP(MID(G14,J14,K14-J14),[6]skilldef!$C:$D,2,FALSE),"-") &amp; " / " &amp; IFERROR(VLOOKUP(MID(G14,H14,I14-H14),[6]skilldef!$A:$B,2,FALSE),"-")</f>
        <v>敵単体に / -</v>
      </c>
      <c r="M14" s="64" t="str">
        <f t="shared" si="5"/>
        <v>none</v>
      </c>
      <c r="N14" s="48" t="str">
        <f t="shared" si="17"/>
        <v>none</v>
      </c>
      <c r="O14" s="64" t="e">
        <f t="shared" si="18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9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3003314</v>
      </c>
      <c r="B15" s="47" t="s">
        <v>235</v>
      </c>
      <c r="C15" s="50">
        <v>3</v>
      </c>
      <c r="D15" s="50" t="s">
        <v>127</v>
      </c>
      <c r="E15" s="103" t="s">
        <v>278</v>
      </c>
      <c r="F15" s="51" t="s">
        <v>243</v>
      </c>
      <c r="G15" s="64" t="str">
        <f t="shared" si="0"/>
        <v>[effect:critical, val:1.5]</v>
      </c>
      <c r="H15" s="64">
        <f t="shared" si="16"/>
        <v>9</v>
      </c>
      <c r="I15" s="64">
        <f t="shared" si="2"/>
        <v>17</v>
      </c>
      <c r="J15" s="64" t="e">
        <f t="shared" si="3"/>
        <v>#VALUE!</v>
      </c>
      <c r="K15" s="64" t="e">
        <f t="shared" si="4"/>
        <v>#VALUE!</v>
      </c>
      <c r="L15" s="64" t="str">
        <f>IFERROR(VLOOKUP(MID(G15,J15,K15-J15),[6]skilldef!$C:$D,2,FALSE),"-") &amp; " / " &amp; IFERROR(VLOOKUP(MID(G15,H15,I15-H15),[6]skilldef!$A:$B,2,FALSE),"-")</f>
        <v>- / 大攻撃</v>
      </c>
      <c r="M15" s="64" t="str">
        <f t="shared" si="5"/>
        <v>none</v>
      </c>
      <c r="N15" s="48" t="str">
        <f t="shared" si="17"/>
        <v>none</v>
      </c>
      <c r="O15" s="64" t="e">
        <f t="shared" si="18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9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3003315</v>
      </c>
      <c r="B16" s="47" t="s">
        <v>229</v>
      </c>
      <c r="C16" s="50">
        <v>3</v>
      </c>
      <c r="D16" s="50" t="s">
        <v>127</v>
      </c>
      <c r="E16" s="103" t="s">
        <v>276</v>
      </c>
      <c r="F16" s="51" t="s">
        <v>220</v>
      </c>
      <c r="G16" s="64" t="str">
        <f t="shared" si="0"/>
        <v>[effect:spread, val:0.3]</v>
      </c>
      <c r="H16" s="64">
        <f t="shared" si="16"/>
        <v>9</v>
      </c>
      <c r="I16" s="64">
        <f t="shared" si="2"/>
        <v>15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IFERROR(VLOOKUP(MID(G16,J16,K16-J16),[6]skilldef!$C:$D,2,FALSE),"-") &amp; " / " &amp; IFERROR(VLOOKUP(MID(G16,H16,I16-H16),[6]skilldef!$A:$B,2,FALSE),"-")</f>
        <v>- / 全体攻撃</v>
      </c>
      <c r="M16" s="64" t="str">
        <f t="shared" si="5"/>
        <v>none</v>
      </c>
      <c r="N16" s="48" t="str">
        <f t="shared" si="17"/>
        <v>none</v>
      </c>
      <c r="O16" s="64" t="e">
        <f t="shared" si="18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9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3003316</v>
      </c>
      <c r="B17" s="47" t="s">
        <v>328</v>
      </c>
      <c r="C17" s="50">
        <v>3</v>
      </c>
      <c r="D17" s="50" t="s">
        <v>127</v>
      </c>
      <c r="E17" s="103" t="s">
        <v>244</v>
      </c>
      <c r="F17" s="51" t="s">
        <v>302</v>
      </c>
      <c r="G17" s="64" t="str">
        <f t="shared" ref="G17:G19" si="20">IFERROR(LEFT(B17,FIND("],",B17)),B17)</f>
        <v>[effect:break_heal_ratio, val:0.02, lowest_val:5000, count:10, block:block_yellow, target:myself, animation:enemy_heal]</v>
      </c>
      <c r="H17" s="64">
        <f t="shared" si="16"/>
        <v>9</v>
      </c>
      <c r="I17" s="64">
        <f t="shared" ref="I17:I19" si="21">IFERROR(FIND(",",G17),LEN(G17))</f>
        <v>25</v>
      </c>
      <c r="J17" s="64">
        <f t="shared" ref="J17:J19" si="22">FIND("target:",G17)+7</f>
        <v>91</v>
      </c>
      <c r="K17" s="64">
        <f t="shared" ref="K17:K19" si="23">FIND(",",G17,I17+1)</f>
        <v>35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ref="M17:M19" si="24">IFERROR(RIGHT(B17,LEN(B17)-FIND("],",B17)-1),"none")</f>
        <v>none</v>
      </c>
      <c r="N17" s="48" t="str">
        <f t="shared" ref="N17:N19" si="25">IFERROR(LEFT(M17,FIND("],",M17)+S30),M17)</f>
        <v>none</v>
      </c>
      <c r="O17" s="64" t="e">
        <f t="shared" si="18"/>
        <v>#VALUE!</v>
      </c>
      <c r="P17" s="64">
        <f t="shared" ref="P17:P19" si="26">IFERROR(FIND(",",N17),LEN(N17))</f>
        <v>4</v>
      </c>
      <c r="Q17" s="64" t="e">
        <f t="shared" ref="Q17:Q19" si="27">FIND("target:",N17)+7</f>
        <v>#VALUE!</v>
      </c>
      <c r="R17" s="64" t="e">
        <f t="shared" ref="R17:R19" si="28">FIND(",",N17,P17+1)</f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ref="T17:T19" si="29">IFERROR(RIGHT(M17,LEN(M17)-FIND("],",M17)-1),"none")</f>
        <v>none</v>
      </c>
      <c r="U17" s="64" t="e">
        <f t="shared" si="19"/>
        <v>#VALUE!</v>
      </c>
      <c r="V17" s="64">
        <f t="shared" ref="V17:V19" si="30">IFERROR(FIND(",",T17),LEN(T17))</f>
        <v>4</v>
      </c>
      <c r="W17" s="64" t="e">
        <f t="shared" ref="W17:W19" si="31">FIND("target:",T17)+7</f>
        <v>#VALUE!</v>
      </c>
      <c r="X17" s="64" t="e">
        <f t="shared" ref="X17:X19" si="32">FIND(",",T17,V17+1)</f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3003317</v>
      </c>
      <c r="B18" s="47" t="s">
        <v>217</v>
      </c>
      <c r="C18" s="50">
        <v>3</v>
      </c>
      <c r="D18" s="50" t="s">
        <v>127</v>
      </c>
      <c r="E18" s="103" t="s">
        <v>214</v>
      </c>
      <c r="F18" s="51" t="s">
        <v>218</v>
      </c>
      <c r="G18" s="64" t="str">
        <f t="shared" si="20"/>
        <v>[effect:nothing]</v>
      </c>
      <c r="H18" s="64">
        <f t="shared" si="16"/>
        <v>9</v>
      </c>
      <c r="I18" s="64">
        <f t="shared" si="21"/>
        <v>16</v>
      </c>
      <c r="J18" s="64" t="e">
        <f t="shared" si="22"/>
        <v>#VALUE!</v>
      </c>
      <c r="K18" s="64" t="e">
        <f t="shared" si="23"/>
        <v>#VALUE!</v>
      </c>
      <c r="L18" s="64" t="str">
        <f>IFERROR(VLOOKUP(MID(G18,J18,K18-J18),[6]skilldef!$C:$D,2,FALSE),"-") &amp; " / " &amp; IFERROR(VLOOKUP(MID(G18,H18,I18-H18),[6]skilldef!$A:$B,2,FALSE),"-")</f>
        <v>- / 何もしない</v>
      </c>
      <c r="M18" s="64" t="str">
        <f t="shared" si="24"/>
        <v>none</v>
      </c>
      <c r="N18" s="48" t="str">
        <f t="shared" si="25"/>
        <v>none</v>
      </c>
      <c r="O18" s="64" t="e">
        <f t="shared" si="18"/>
        <v>#VALUE!</v>
      </c>
      <c r="P18" s="64">
        <f t="shared" si="26"/>
        <v>4</v>
      </c>
      <c r="Q18" s="64" t="e">
        <f t="shared" si="27"/>
        <v>#VALUE!</v>
      </c>
      <c r="R18" s="64" t="e">
        <f t="shared" si="28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29"/>
        <v>none</v>
      </c>
      <c r="U18" s="64" t="e">
        <f t="shared" si="19"/>
        <v>#VALUE!</v>
      </c>
      <c r="V18" s="64">
        <f t="shared" si="30"/>
        <v>4</v>
      </c>
      <c r="W18" s="64" t="e">
        <f t="shared" si="31"/>
        <v>#VALUE!</v>
      </c>
      <c r="X18" s="64" t="e">
        <f t="shared" si="32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3003318</v>
      </c>
      <c r="B19" s="47" t="s">
        <v>217</v>
      </c>
      <c r="C19" s="50">
        <v>3</v>
      </c>
      <c r="D19" s="50" t="s">
        <v>127</v>
      </c>
      <c r="E19" s="103" t="s">
        <v>214</v>
      </c>
      <c r="F19" s="51" t="s">
        <v>218</v>
      </c>
      <c r="G19" s="64" t="str">
        <f t="shared" si="20"/>
        <v>[effect:nothing]</v>
      </c>
      <c r="H19" s="64">
        <f t="shared" si="16"/>
        <v>9</v>
      </c>
      <c r="I19" s="64">
        <f t="shared" si="21"/>
        <v>16</v>
      </c>
      <c r="J19" s="64" t="e">
        <f t="shared" si="22"/>
        <v>#VALUE!</v>
      </c>
      <c r="K19" s="64" t="e">
        <f t="shared" si="23"/>
        <v>#VALUE!</v>
      </c>
      <c r="L19" s="64" t="str">
        <f>IFERROR(VLOOKUP(MID(G19,J19,K19-J19),[6]skilldef!$C:$D,2,FALSE),"-") &amp; " / " &amp; IFERROR(VLOOKUP(MID(G19,H19,I19-H19),[6]skilldef!$A:$B,2,FALSE),"-")</f>
        <v>- / 何もしない</v>
      </c>
      <c r="M19" s="64" t="str">
        <f t="shared" si="24"/>
        <v>none</v>
      </c>
      <c r="N19" s="48" t="str">
        <f t="shared" si="25"/>
        <v>none</v>
      </c>
      <c r="O19" s="64" t="e">
        <f t="shared" si="18"/>
        <v>#VALUE!</v>
      </c>
      <c r="P19" s="64">
        <f t="shared" si="26"/>
        <v>4</v>
      </c>
      <c r="Q19" s="64" t="e">
        <f t="shared" si="27"/>
        <v>#VALUE!</v>
      </c>
      <c r="R19" s="64" t="e">
        <f t="shared" si="28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29"/>
        <v>none</v>
      </c>
      <c r="U19" s="64" t="e">
        <f t="shared" si="19"/>
        <v>#VALUE!</v>
      </c>
      <c r="V19" s="64">
        <f t="shared" si="30"/>
        <v>4</v>
      </c>
      <c r="W19" s="64" t="e">
        <f t="shared" si="31"/>
        <v>#VALUE!</v>
      </c>
      <c r="X19" s="64" t="e">
        <f t="shared" si="32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3003319</v>
      </c>
      <c r="B20" s="47" t="s">
        <v>227</v>
      </c>
      <c r="C20" s="50">
        <v>3</v>
      </c>
      <c r="D20" s="50" t="s">
        <v>127</v>
      </c>
      <c r="E20" s="103" t="s">
        <v>245</v>
      </c>
      <c r="F20" s="51" t="s">
        <v>238</v>
      </c>
      <c r="G20" s="64" t="str">
        <f t="shared" si="0"/>
        <v>[effect:degrade_fever, val:1000, animation:fevergauge_down]</v>
      </c>
      <c r="H20" s="64">
        <f t="shared" si="16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フィーバーゲージ減少</v>
      </c>
      <c r="M20" s="64" t="str">
        <f t="shared" si="5"/>
        <v>none</v>
      </c>
      <c r="N20" s="48" t="str">
        <f t="shared" si="6"/>
        <v>none</v>
      </c>
      <c r="O20" s="64" t="e">
        <f t="shared" si="18"/>
        <v>#VALUE!</v>
      </c>
      <c r="P20" s="64">
        <f t="shared" si="8"/>
        <v>4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4" t="e">
        <f t="shared" si="19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3003320</v>
      </c>
      <c r="B21" s="47" t="s">
        <v>217</v>
      </c>
      <c r="C21" s="50">
        <v>3</v>
      </c>
      <c r="D21" s="50" t="s">
        <v>127</v>
      </c>
      <c r="E21" s="103" t="s">
        <v>215</v>
      </c>
      <c r="F21" s="51" t="s">
        <v>218</v>
      </c>
      <c r="G21" s="64" t="str">
        <f t="shared" si="0"/>
        <v>[effect:nothing]</v>
      </c>
      <c r="H21" s="64">
        <f t="shared" si="16"/>
        <v>9</v>
      </c>
      <c r="I21" s="64">
        <f t="shared" si="2"/>
        <v>16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IFERROR(VLOOKUP(MID(G21,J21,K21-J21),[6]skilldef!$C:$D,2,FALSE),"-") &amp; " / " &amp; IFERROR(VLOOKUP(MID(G21,H21,I21-H21),[6]skilldef!$A:$B,2,FALSE),"-")</f>
        <v>- / 何もしない</v>
      </c>
      <c r="M21" s="64" t="str">
        <f t="shared" si="5"/>
        <v>none</v>
      </c>
      <c r="N21" s="48" t="str">
        <f t="shared" si="6"/>
        <v>none</v>
      </c>
      <c r="O21" s="64" t="e">
        <f t="shared" si="18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4" t="e">
        <f t="shared" si="19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3003321</v>
      </c>
      <c r="B22" s="47" t="s">
        <v>217</v>
      </c>
      <c r="C22" s="50">
        <v>3</v>
      </c>
      <c r="D22" s="50" t="s">
        <v>127</v>
      </c>
      <c r="E22" s="103" t="s">
        <v>215</v>
      </c>
      <c r="F22" s="51" t="s">
        <v>218</v>
      </c>
      <c r="G22" s="64" t="str">
        <f t="shared" si="0"/>
        <v>[effect:nothing]</v>
      </c>
      <c r="H22" s="64">
        <f t="shared" si="16"/>
        <v>9</v>
      </c>
      <c r="I22" s="64">
        <f t="shared" si="2"/>
        <v>16</v>
      </c>
      <c r="J22" s="64" t="e">
        <f t="shared" si="3"/>
        <v>#VALUE!</v>
      </c>
      <c r="K22" s="64" t="e">
        <f t="shared" si="4"/>
        <v>#VALUE!</v>
      </c>
      <c r="L22" s="64" t="str">
        <f>IFERROR(VLOOKUP(MID(G22,J22,K22-J22),[6]skilldef!$C:$D,2,FALSE),"-") &amp; " / " &amp; IFERROR(VLOOKUP(MID(G22,H22,I22-H22),[6]skilldef!$A:$B,2,FALSE),"-")</f>
        <v>- / 何もしない</v>
      </c>
      <c r="M22" s="64" t="str">
        <f t="shared" si="5"/>
        <v>none</v>
      </c>
      <c r="N22" s="48" t="str">
        <f t="shared" si="6"/>
        <v>none</v>
      </c>
      <c r="O22" s="64" t="e">
        <f t="shared" si="18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9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3003322</v>
      </c>
      <c r="B23" s="47" t="s">
        <v>217</v>
      </c>
      <c r="C23" s="50">
        <v>3</v>
      </c>
      <c r="D23" s="50" t="s">
        <v>127</v>
      </c>
      <c r="E23" s="103" t="s">
        <v>215</v>
      </c>
      <c r="F23" s="51" t="s">
        <v>218</v>
      </c>
      <c r="G23" s="64" t="str">
        <f t="shared" si="0"/>
        <v>[effect:nothing]</v>
      </c>
      <c r="H23" s="64">
        <f t="shared" si="16"/>
        <v>9</v>
      </c>
      <c r="I23" s="64">
        <f t="shared" si="2"/>
        <v>16</v>
      </c>
      <c r="J23" s="64" t="e">
        <f t="shared" si="3"/>
        <v>#VALUE!</v>
      </c>
      <c r="K23" s="64" t="e">
        <f t="shared" si="4"/>
        <v>#VALUE!</v>
      </c>
      <c r="L23" s="64" t="str">
        <f>IFERROR(VLOOKUP(MID(G23,J23,K23-J23),[6]skilldef!$C:$D,2,FALSE),"-") &amp; " / " &amp; IFERROR(VLOOKUP(MID(G23,H23,I23-H23),[6]skilldef!$A:$B,2,FALSE),"-")</f>
        <v>- / 何もしない</v>
      </c>
      <c r="M23" s="64" t="str">
        <f t="shared" si="5"/>
        <v>none</v>
      </c>
      <c r="N23" s="48" t="str">
        <f>IFERROR(LEFT(M23,FIND("],",M23)+S34),M23)</f>
        <v>none</v>
      </c>
      <c r="O23" s="64" t="e">
        <f t="shared" si="18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9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3003323</v>
      </c>
      <c r="B24" s="47" t="s">
        <v>217</v>
      </c>
      <c r="C24" s="50">
        <v>3</v>
      </c>
      <c r="D24" s="50" t="s">
        <v>127</v>
      </c>
      <c r="E24" s="103" t="s">
        <v>215</v>
      </c>
      <c r="F24" s="51" t="s">
        <v>218</v>
      </c>
      <c r="G24" s="64" t="str">
        <f t="shared" si="0"/>
        <v>[effect:nothing]</v>
      </c>
      <c r="H24" s="64">
        <f t="shared" si="16"/>
        <v>9</v>
      </c>
      <c r="I24" s="64">
        <f t="shared" si="2"/>
        <v>16</v>
      </c>
      <c r="J24" s="64" t="e">
        <f t="shared" si="3"/>
        <v>#VALUE!</v>
      </c>
      <c r="K24" s="64" t="e">
        <f t="shared" si="4"/>
        <v>#VALUE!</v>
      </c>
      <c r="L24" s="64" t="str">
        <f>IFERROR(VLOOKUP(MID(G24,J24,K24-J24),[6]skilldef!$C:$D,2,FALSE),"-") &amp; " / " &amp; IFERROR(VLOOKUP(MID(G24,H24,I24-H24),[6]skilldef!$A:$B,2,FALSE),"-")</f>
        <v>- / 何もしない</v>
      </c>
      <c r="M24" s="64" t="str">
        <f t="shared" si="5"/>
        <v>none</v>
      </c>
      <c r="N24" s="48" t="str">
        <f t="shared" ref="N24:N29" si="33">IFERROR(LEFT(M24,FIND("],",M24)+S37),M24)</f>
        <v>none</v>
      </c>
      <c r="O24" s="64" t="e">
        <f t="shared" si="18"/>
        <v>#VALUE!</v>
      </c>
      <c r="P24" s="64">
        <f t="shared" si="8"/>
        <v>4</v>
      </c>
      <c r="Q24" s="64" t="e">
        <f t="shared" si="9"/>
        <v>#VALUE!</v>
      </c>
      <c r="R24" s="64" t="e">
        <f t="shared" si="10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4" t="e">
        <f t="shared" si="19"/>
        <v>#VALUE!</v>
      </c>
      <c r="V24" s="64">
        <f t="shared" si="13"/>
        <v>4</v>
      </c>
      <c r="W24" s="64" t="e">
        <f t="shared" si="14"/>
        <v>#VALUE!</v>
      </c>
      <c r="X24" s="64" t="e">
        <f t="shared" si="15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3003324</v>
      </c>
      <c r="B25" s="47" t="s">
        <v>237</v>
      </c>
      <c r="C25" s="50">
        <v>3</v>
      </c>
      <c r="D25" s="50" t="s">
        <v>127</v>
      </c>
      <c r="E25" s="103" t="s">
        <v>246</v>
      </c>
      <c r="F25" s="51" t="s">
        <v>301</v>
      </c>
      <c r="G25" s="64" t="str">
        <f t="shared" si="0"/>
        <v>[effect:change_block, new_block:jammer, target:block_all, count:3, val:0, no_effect_msg:no_effect_msg_change_block_heal, animation:change_block]</v>
      </c>
      <c r="H25" s="64">
        <f t="shared" si="16"/>
        <v>9</v>
      </c>
      <c r="I25" s="64">
        <f t="shared" si="2"/>
        <v>21</v>
      </c>
      <c r="J25" s="64">
        <f t="shared" si="3"/>
        <v>48</v>
      </c>
      <c r="K25" s="64">
        <f t="shared" si="4"/>
        <v>39</v>
      </c>
      <c r="L25" s="64" t="str">
        <f>IFERROR(VLOOKUP(MID(G25,J25,K25-J25),[6]skilldef!$C:$D,2,FALSE),"-") &amp; " / " &amp; IFERROR(VLOOKUP(MID(G25,H25,I25-H25),[6]skilldef!$A:$B,2,FALSE),"-")</f>
        <v>- / ブロック変換</v>
      </c>
      <c r="M25" s="64" t="str">
        <f t="shared" si="5"/>
        <v>none</v>
      </c>
      <c r="N25" s="48" t="str">
        <f t="shared" si="33"/>
        <v>none</v>
      </c>
      <c r="O25" s="64" t="e">
        <f t="shared" si="18"/>
        <v>#VALUE!</v>
      </c>
      <c r="P25" s="64">
        <f t="shared" si="8"/>
        <v>4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4" t="e">
        <f t="shared" si="19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3003325</v>
      </c>
      <c r="B26" s="47" t="s">
        <v>217</v>
      </c>
      <c r="C26" s="50">
        <v>3</v>
      </c>
      <c r="D26" s="50" t="s">
        <v>127</v>
      </c>
      <c r="E26" s="103" t="s">
        <v>216</v>
      </c>
      <c r="F26" s="51" t="s">
        <v>218</v>
      </c>
      <c r="G26" s="64" t="str">
        <f t="shared" si="0"/>
        <v>[effect:nothing]</v>
      </c>
      <c r="H26" s="64">
        <f t="shared" si="16"/>
        <v>9</v>
      </c>
      <c r="I26" s="64">
        <f t="shared" si="2"/>
        <v>16</v>
      </c>
      <c r="J26" s="64" t="e">
        <f t="shared" si="3"/>
        <v>#VALUE!</v>
      </c>
      <c r="K26" s="64" t="e">
        <f t="shared" si="4"/>
        <v>#VALUE!</v>
      </c>
      <c r="L26" s="64" t="str">
        <f>IFERROR(VLOOKUP(MID(G26,J26,K26-J26),[6]skilldef!$C:$D,2,FALSE),"-") &amp; " / " &amp; IFERROR(VLOOKUP(MID(G26,H26,I26-H26),[6]skilldef!$A:$B,2,FALSE),"-")</f>
        <v>- / 何もしない</v>
      </c>
      <c r="M26" s="64" t="str">
        <f t="shared" si="5"/>
        <v>none</v>
      </c>
      <c r="N26" s="48" t="str">
        <f t="shared" si="33"/>
        <v>none</v>
      </c>
      <c r="O26" s="64" t="e">
        <f t="shared" si="18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4" t="e">
        <f t="shared" si="19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3003326</v>
      </c>
      <c r="B27" s="47" t="s">
        <v>217</v>
      </c>
      <c r="C27" s="50">
        <v>3</v>
      </c>
      <c r="D27" s="50" t="s">
        <v>127</v>
      </c>
      <c r="E27" s="103" t="s">
        <v>216</v>
      </c>
      <c r="F27" s="51" t="s">
        <v>218</v>
      </c>
      <c r="G27" s="64" t="str">
        <f t="shared" si="0"/>
        <v>[effect:nothing]</v>
      </c>
      <c r="H27" s="64">
        <f t="shared" si="16"/>
        <v>9</v>
      </c>
      <c r="I27" s="64">
        <f t="shared" si="2"/>
        <v>16</v>
      </c>
      <c r="J27" s="64" t="e">
        <f t="shared" si="3"/>
        <v>#VALUE!</v>
      </c>
      <c r="K27" s="64" t="e">
        <f t="shared" si="4"/>
        <v>#VALUE!</v>
      </c>
      <c r="L27" s="64" t="str">
        <f>IFERROR(VLOOKUP(MID(G27,J27,K27-J27),[6]skilldef!$C:$D,2,FALSE),"-") &amp; " / " &amp; IFERROR(VLOOKUP(MID(G27,H27,I27-H27),[6]skilldef!$A:$B,2,FALSE),"-")</f>
        <v>- / 何もしない</v>
      </c>
      <c r="M27" s="64" t="str">
        <f t="shared" si="5"/>
        <v>none</v>
      </c>
      <c r="N27" s="48" t="str">
        <f t="shared" si="33"/>
        <v>none</v>
      </c>
      <c r="O27" s="64" t="e">
        <f t="shared" si="18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4" t="e">
        <f t="shared" si="19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3003327</v>
      </c>
      <c r="B28" s="47" t="s">
        <v>217</v>
      </c>
      <c r="C28" s="50">
        <v>3</v>
      </c>
      <c r="D28" s="50" t="s">
        <v>127</v>
      </c>
      <c r="E28" s="103" t="s">
        <v>216</v>
      </c>
      <c r="F28" s="51" t="s">
        <v>218</v>
      </c>
      <c r="G28" s="64" t="str">
        <f t="shared" si="0"/>
        <v>[effect:nothing]</v>
      </c>
      <c r="H28" s="64">
        <f t="shared" si="16"/>
        <v>9</v>
      </c>
      <c r="I28" s="64">
        <f t="shared" si="2"/>
        <v>16</v>
      </c>
      <c r="J28" s="64" t="e">
        <f t="shared" si="3"/>
        <v>#VALUE!</v>
      </c>
      <c r="K28" s="64" t="e">
        <f t="shared" si="4"/>
        <v>#VALUE!</v>
      </c>
      <c r="L28" s="64" t="str">
        <f>IFERROR(VLOOKUP(MID(G28,J28,K28-J28),[6]skilldef!$C:$D,2,FALSE),"-") &amp; " / " &amp; IFERROR(VLOOKUP(MID(G28,H28,I28-H28),[6]skilldef!$A:$B,2,FALSE),"-")</f>
        <v>- / 何もしない</v>
      </c>
      <c r="M28" s="64" t="str">
        <f t="shared" si="5"/>
        <v>none</v>
      </c>
      <c r="N28" s="48" t="str">
        <f t="shared" si="33"/>
        <v>none</v>
      </c>
      <c r="O28" s="64" t="e">
        <f t="shared" si="18"/>
        <v>#VALUE!</v>
      </c>
      <c r="P28" s="64">
        <f t="shared" si="8"/>
        <v>4</v>
      </c>
      <c r="Q28" s="64" t="e">
        <f t="shared" si="9"/>
        <v>#VALUE!</v>
      </c>
      <c r="R28" s="64" t="e">
        <f t="shared" si="10"/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4" t="e">
        <f t="shared" si="19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3003328</v>
      </c>
      <c r="B29" s="47" t="s">
        <v>217</v>
      </c>
      <c r="C29" s="50">
        <v>3</v>
      </c>
      <c r="D29" s="50" t="s">
        <v>127</v>
      </c>
      <c r="E29" s="103" t="s">
        <v>216</v>
      </c>
      <c r="F29" s="51" t="s">
        <v>218</v>
      </c>
      <c r="G29" s="64" t="str">
        <f t="shared" si="0"/>
        <v>[effect:nothing]</v>
      </c>
      <c r="H29" s="64">
        <f t="shared" si="16"/>
        <v>9</v>
      </c>
      <c r="I29" s="64">
        <f t="shared" si="2"/>
        <v>16</v>
      </c>
      <c r="J29" s="64" t="e">
        <f t="shared" si="3"/>
        <v>#VALUE!</v>
      </c>
      <c r="K29" s="64" t="e">
        <f t="shared" si="4"/>
        <v>#VALUE!</v>
      </c>
      <c r="L29" s="64" t="str">
        <f>IFERROR(VLOOKUP(MID(G29,J29,K29-J29),[6]skilldef!$C:$D,2,FALSE),"-") &amp; " / " &amp; IFERROR(VLOOKUP(MID(G29,H29,I29-H29),[6]skilldef!$A:$B,2,FALSE),"-")</f>
        <v>- / 何もしない</v>
      </c>
      <c r="M29" s="64" t="str">
        <f t="shared" si="5"/>
        <v>none</v>
      </c>
      <c r="N29" s="48" t="str">
        <f t="shared" si="33"/>
        <v>none</v>
      </c>
      <c r="O29" s="64" t="e">
        <f t="shared" si="18"/>
        <v>#VALUE!</v>
      </c>
      <c r="P29" s="64">
        <f t="shared" si="8"/>
        <v>4</v>
      </c>
      <c r="Q29" s="64" t="e">
        <f t="shared" si="9"/>
        <v>#VALUE!</v>
      </c>
      <c r="R29" s="64" t="e">
        <f t="shared" si="10"/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4" t="e">
        <f t="shared" si="19"/>
        <v>#VALUE!</v>
      </c>
      <c r="V29" s="64">
        <f t="shared" si="13"/>
        <v>4</v>
      </c>
      <c r="W29" s="64" t="e">
        <f t="shared" si="14"/>
        <v>#VALUE!</v>
      </c>
      <c r="X29" s="64" t="e">
        <f t="shared" si="15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3003329</v>
      </c>
      <c r="B30" s="109" t="s">
        <v>279</v>
      </c>
      <c r="C30" s="50">
        <v>3</v>
      </c>
      <c r="D30" s="50" t="s">
        <v>127</v>
      </c>
      <c r="E30" s="103" t="s">
        <v>325</v>
      </c>
      <c r="F30" s="51" t="s">
        <v>314</v>
      </c>
      <c r="G30" s="64" t="str">
        <f t="shared" si="0"/>
        <v>[effect:critical, val:1.1]</v>
      </c>
      <c r="H30" s="64">
        <f t="shared" si="16"/>
        <v>9</v>
      </c>
      <c r="I30" s="64">
        <f t="shared" si="2"/>
        <v>17</v>
      </c>
      <c r="J30" s="64" t="e">
        <f t="shared" si="3"/>
        <v>#VALUE!</v>
      </c>
      <c r="K30" s="64" t="e">
        <f t="shared" si="4"/>
        <v>#VALUE!</v>
      </c>
      <c r="L30" s="64" t="str">
        <f>IFERROR(VLOOKUP(MID(G30,J30,K30-J30),[6]skilldef!$C:$D,2,FALSE),"-") &amp; " / " &amp; IFERROR(VLOOKUP(MID(G30,H30,I30-H30),[6]skilldef!$A:$B,2,FALSE),"-")</f>
        <v>- / 大攻撃</v>
      </c>
      <c r="M30" s="64" t="str">
        <f t="shared" si="5"/>
        <v>none</v>
      </c>
      <c r="N30" s="48" t="str">
        <f>IFERROR(LEFT(M30,FIND("],",M30)+#REF!),M30)</f>
        <v>none</v>
      </c>
      <c r="O30" s="64" t="e">
        <f t="shared" si="18"/>
        <v>#VALUE!</v>
      </c>
      <c r="P30" s="64">
        <f t="shared" si="8"/>
        <v>4</v>
      </c>
      <c r="Q30" s="64" t="e">
        <f t="shared" si="9"/>
        <v>#VALUE!</v>
      </c>
      <c r="R30" s="64" t="e">
        <f t="shared" si="10"/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4" t="e">
        <f t="shared" si="19"/>
        <v>#VALUE!</v>
      </c>
      <c r="V30" s="64">
        <f t="shared" si="13"/>
        <v>4</v>
      </c>
      <c r="W30" s="64" t="e">
        <f t="shared" si="14"/>
        <v>#VALUE!</v>
      </c>
      <c r="X30" s="64" t="e">
        <f t="shared" si="15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3003330</v>
      </c>
      <c r="B31" s="109" t="s">
        <v>280</v>
      </c>
      <c r="C31" s="50">
        <v>3</v>
      </c>
      <c r="D31" s="50" t="s">
        <v>127</v>
      </c>
      <c r="E31" s="103" t="s">
        <v>315</v>
      </c>
      <c r="F31" s="51" t="s">
        <v>316</v>
      </c>
      <c r="G31" s="64" t="str">
        <f t="shared" si="0"/>
        <v>[effect:critical, val:1.3]</v>
      </c>
      <c r="H31" s="64">
        <f t="shared" si="16"/>
        <v>9</v>
      </c>
      <c r="I31" s="64">
        <f t="shared" si="2"/>
        <v>17</v>
      </c>
      <c r="J31" s="64" t="e">
        <f t="shared" si="3"/>
        <v>#VALUE!</v>
      </c>
      <c r="K31" s="64" t="e">
        <f t="shared" si="4"/>
        <v>#VALUE!</v>
      </c>
      <c r="L31" s="64" t="str">
        <f>IFERROR(VLOOKUP(MID(G31,J31,K31-J31),[6]skilldef!$C:$D,2,FALSE),"-") &amp; " / " &amp; IFERROR(VLOOKUP(MID(G31,H31,I31-H31),[6]skilldef!$A:$B,2,FALSE),"-")</f>
        <v>- / 大攻撃</v>
      </c>
      <c r="M31" s="64" t="str">
        <f t="shared" si="5"/>
        <v>[effect:freq_turn, target:myself, turn:-1, val:1, animation:enemy_freq_turn]</v>
      </c>
      <c r="N31" s="48" t="str">
        <f>IFERROR(LEFT(M31,FIND("],",M31)+S43),M31)</f>
        <v>[effect:freq_turn, target:myself, turn:-1, val:1, animation:enemy_freq_turn]</v>
      </c>
      <c r="O31" s="64">
        <f t="shared" si="18"/>
        <v>9</v>
      </c>
      <c r="P31" s="64">
        <f t="shared" si="8"/>
        <v>18</v>
      </c>
      <c r="Q31" s="64">
        <f t="shared" si="9"/>
        <v>27</v>
      </c>
      <c r="R31" s="64">
        <f t="shared" si="10"/>
        <v>33</v>
      </c>
      <c r="S31" s="64" t="str">
        <f>IFERROR(VLOOKUP(MID(N31,Q31,R31-Q31),[6]skilldef!$C:$D,2,FALSE),"-") &amp; " / " &amp; IFERROR(VLOOKUP(MID(N31,O31,P31-O31),[6]skilldef!$A:$B,2,FALSE),"-")</f>
        <v>自分自身に / 攻撃頻度がUP</v>
      </c>
      <c r="T31" s="48" t="str">
        <f t="shared" si="11"/>
        <v>none</v>
      </c>
      <c r="U31" s="64" t="e">
        <f t="shared" si="19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3003331</v>
      </c>
      <c r="B32" s="109" t="s">
        <v>281</v>
      </c>
      <c r="C32" s="50">
        <v>3</v>
      </c>
      <c r="D32" s="50" t="s">
        <v>127</v>
      </c>
      <c r="E32" s="103" t="s">
        <v>317</v>
      </c>
      <c r="F32" s="51" t="s">
        <v>324</v>
      </c>
      <c r="G32" s="64" t="str">
        <f t="shared" si="0"/>
        <v>[effect:critical, val:1.5]</v>
      </c>
      <c r="H32" s="64">
        <f t="shared" si="16"/>
        <v>9</v>
      </c>
      <c r="I32" s="64">
        <f t="shared" si="2"/>
        <v>17</v>
      </c>
      <c r="J32" s="64" t="e">
        <f t="shared" si="3"/>
        <v>#VALUE!</v>
      </c>
      <c r="K32" s="64" t="e">
        <f t="shared" si="4"/>
        <v>#VALUE!</v>
      </c>
      <c r="L32" s="64" t="str">
        <f>IFERROR(VLOOKUP(MID(G32,J32,K32-J32),[6]skilldef!$C:$D,2,FALSE),"-") &amp; " / " &amp; IFERROR(VLOOKUP(MID(G32,H32,I32-H32),[6]skilldef!$A:$B,2,FALSE),"-")</f>
        <v>- / 大攻撃</v>
      </c>
      <c r="M32" s="64" t="str">
        <f t="shared" si="5"/>
        <v>none</v>
      </c>
      <c r="N32" s="48" t="str">
        <f>IFERROR(LEFT(M32,FIND("],",M32)+#REF!),M32)</f>
        <v>none</v>
      </c>
      <c r="O32" s="64" t="e">
        <f t="shared" si="18"/>
        <v>#VALUE!</v>
      </c>
      <c r="P32" s="64">
        <f t="shared" si="8"/>
        <v>4</v>
      </c>
      <c r="Q32" s="64" t="e">
        <f t="shared" si="9"/>
        <v>#VALUE!</v>
      </c>
      <c r="R32" s="64" t="e">
        <f t="shared" si="10"/>
        <v>#VALUE!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4" t="e">
        <f t="shared" si="19"/>
        <v>#VALUE!</v>
      </c>
      <c r="V32" s="64">
        <f t="shared" si="13"/>
        <v>4</v>
      </c>
      <c r="W32" s="64" t="e">
        <f t="shared" si="14"/>
        <v>#VALUE!</v>
      </c>
      <c r="X32" s="64" t="e">
        <f t="shared" si="15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3003332</v>
      </c>
      <c r="B33" s="109" t="s">
        <v>327</v>
      </c>
      <c r="C33" s="50">
        <v>3</v>
      </c>
      <c r="D33" s="50" t="s">
        <v>127</v>
      </c>
      <c r="E33" s="103" t="s">
        <v>318</v>
      </c>
      <c r="F33" s="51" t="s">
        <v>319</v>
      </c>
      <c r="G33" s="64" t="str">
        <f t="shared" ref="G33" si="34">IFERROR(LEFT(B33,FIND("],",B33)),B33)</f>
        <v>[effect:critical, val:1.5]</v>
      </c>
      <c r="H33" s="64">
        <f t="shared" si="16"/>
        <v>9</v>
      </c>
      <c r="I33" s="64">
        <f t="shared" ref="I33" si="35">IFERROR(FIND(",",G33),LEN(G33))</f>
        <v>17</v>
      </c>
      <c r="J33" s="64" t="e">
        <f t="shared" ref="J33" si="36">FIND("target:",G33)+7</f>
        <v>#VALUE!</v>
      </c>
      <c r="K33" s="64" t="e">
        <f t="shared" ref="K33" si="37">FIND(",",G33,I33+1)</f>
        <v>#VALUE!</v>
      </c>
      <c r="L33" s="64" t="str">
        <f>IFERROR(VLOOKUP(MID(G33,J33,K33-J33),[6]skilldef!$C:$D,2,FALSE),"-") &amp; " / " &amp; IFERROR(VLOOKUP(MID(G33,H33,I33-H33),[6]skilldef!$A:$B,2,FALSE),"-")</f>
        <v>- / 大攻撃</v>
      </c>
      <c r="M33" s="64" t="str">
        <f t="shared" ref="M33" si="38">IFERROR(RIGHT(B33,LEN(B33)-FIND("],",B33)-1),"none")</f>
        <v>none</v>
      </c>
      <c r="N33" s="48" t="str">
        <f>IFERROR(LEFT(M33,FIND("],",M33)+S44),M33)</f>
        <v>none</v>
      </c>
      <c r="O33" s="64" t="e">
        <f t="shared" si="18"/>
        <v>#VALUE!</v>
      </c>
      <c r="P33" s="64">
        <f t="shared" ref="P33" si="39">IFERROR(FIND(",",N33),LEN(N33))</f>
        <v>4</v>
      </c>
      <c r="Q33" s="64" t="e">
        <f t="shared" ref="Q33" si="40">FIND("target:",N33)+7</f>
        <v>#VALUE!</v>
      </c>
      <c r="R33" s="64" t="e">
        <f t="shared" ref="R33" si="41">FIND(",",N33,P33+1)</f>
        <v>#VALUE!</v>
      </c>
      <c r="S33" s="64" t="str">
        <f>IFERROR(VLOOKUP(MID(N33,Q33,R33-Q33),[6]skilldef!$C:$D,2,FALSE),"-") &amp; " / " &amp; IFERROR(VLOOKUP(MID(N33,O33,P33-O33),[6]skilldef!$A:$B,2,FALSE),"-")</f>
        <v>- / -</v>
      </c>
      <c r="T33" s="48" t="str">
        <f t="shared" ref="T33" si="42">IFERROR(RIGHT(M33,LEN(M33)-FIND("],",M33)-1),"none")</f>
        <v>none</v>
      </c>
      <c r="U33" s="64" t="e">
        <f t="shared" si="19"/>
        <v>#VALUE!</v>
      </c>
      <c r="V33" s="64">
        <f t="shared" ref="V33" si="43">IFERROR(FIND(",",T33),LEN(T33))</f>
        <v>4</v>
      </c>
      <c r="W33" s="64" t="e">
        <f t="shared" ref="W33" si="44">FIND("target:",T33)+7</f>
        <v>#VALUE!</v>
      </c>
      <c r="X33" s="64" t="e">
        <f t="shared" ref="X33" si="45">FIND(",",T33,V33+1)</f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3003333</v>
      </c>
      <c r="B34" s="47" t="s">
        <v>308</v>
      </c>
      <c r="C34" s="50">
        <v>3</v>
      </c>
      <c r="D34" s="50" t="s">
        <v>127</v>
      </c>
      <c r="E34" s="103" t="s">
        <v>309</v>
      </c>
      <c r="F34" s="51" t="s">
        <v>218</v>
      </c>
      <c r="G34" s="64" t="str">
        <f t="shared" si="0"/>
        <v>[effect:nothing]</v>
      </c>
      <c r="H34" s="64">
        <f t="shared" si="16"/>
        <v>9</v>
      </c>
      <c r="I34" s="64">
        <f t="shared" si="2"/>
        <v>16</v>
      </c>
      <c r="J34" s="64" t="e">
        <f t="shared" si="3"/>
        <v>#VALUE!</v>
      </c>
      <c r="K34" s="64" t="e">
        <f t="shared" si="4"/>
        <v>#VALUE!</v>
      </c>
      <c r="L34" s="64" t="str">
        <f>IFERROR(VLOOKUP(MID(G34,J34,K34-J34),[6]skilldef!$C:$D,2,FALSE),"-") &amp; " / " &amp; IFERROR(VLOOKUP(MID(G34,H34,I34-H34),[6]skilldef!$A:$B,2,FALSE),"-")</f>
        <v>- / 何もしない</v>
      </c>
      <c r="M34" s="64" t="str">
        <f t="shared" si="5"/>
        <v>none</v>
      </c>
      <c r="N34" s="48" t="str">
        <f>IFERROR(LEFT(M34,FIND("],",M34)+S44),M34)</f>
        <v>none</v>
      </c>
      <c r="O34" s="64" t="e">
        <f t="shared" si="18"/>
        <v>#VALUE!</v>
      </c>
      <c r="P34" s="64">
        <f t="shared" si="8"/>
        <v>4</v>
      </c>
      <c r="Q34" s="64" t="e">
        <f t="shared" si="9"/>
        <v>#VALUE!</v>
      </c>
      <c r="R34" s="64" t="e">
        <f t="shared" si="10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4" t="e">
        <f t="shared" si="19"/>
        <v>#VALUE!</v>
      </c>
      <c r="V34" s="64">
        <f t="shared" si="13"/>
        <v>4</v>
      </c>
      <c r="W34" s="64" t="e">
        <f t="shared" si="14"/>
        <v>#VALUE!</v>
      </c>
      <c r="X34" s="64" t="e">
        <f t="shared" si="15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3003334</v>
      </c>
      <c r="B35" s="47" t="s">
        <v>307</v>
      </c>
      <c r="C35" s="50">
        <v>3</v>
      </c>
      <c r="D35" s="50" t="s">
        <v>127</v>
      </c>
      <c r="E35" s="103" t="s">
        <v>222</v>
      </c>
      <c r="F35" s="51" t="s">
        <v>218</v>
      </c>
      <c r="G35" s="64" t="str">
        <f t="shared" ref="G35:G36" si="46">IFERROR(LEFT(B35,FIND("],",B35)),B35)</f>
        <v>[effect:nothing]</v>
      </c>
      <c r="H35" s="64">
        <f t="shared" si="16"/>
        <v>9</v>
      </c>
      <c r="I35" s="64">
        <f t="shared" ref="I35:I36" si="47">IFERROR(FIND(",",G35),LEN(G35))</f>
        <v>16</v>
      </c>
      <c r="J35" s="64" t="e">
        <f t="shared" ref="J35:J36" si="48">FIND("target:",G35)+7</f>
        <v>#VALUE!</v>
      </c>
      <c r="K35" s="64" t="e">
        <f t="shared" ref="K35:K36" si="49">FIND(",",G35,I35+1)</f>
        <v>#VALUE!</v>
      </c>
      <c r="L35" s="64" t="str">
        <f>IFERROR(VLOOKUP(MID(G35,J35,K35-J35),[6]skilldef!$C:$D,2,FALSE),"-") &amp; " / " &amp; IFERROR(VLOOKUP(MID(G35,H35,I35-H35),[6]skilldef!$A:$B,2,FALSE),"-")</f>
        <v>- / 何もしない</v>
      </c>
      <c r="M35" s="64" t="str">
        <f t="shared" ref="M35:M36" si="50">IFERROR(RIGHT(B35,LEN(B35)-FIND("],",B35)-1),"none")</f>
        <v>none</v>
      </c>
      <c r="N35" s="48" t="str">
        <f>IFERROR(LEFT(M35,FIND("],",M35)+#REF!),M35)</f>
        <v>none</v>
      </c>
      <c r="O35" s="64" t="e">
        <f t="shared" si="18"/>
        <v>#VALUE!</v>
      </c>
      <c r="P35" s="64">
        <f t="shared" ref="P35:P36" si="51">IFERROR(FIND(",",N35),LEN(N35))</f>
        <v>4</v>
      </c>
      <c r="Q35" s="64" t="e">
        <f t="shared" ref="Q35:Q36" si="52">FIND("target:",N35)+7</f>
        <v>#VALUE!</v>
      </c>
      <c r="R35" s="64" t="e">
        <f t="shared" ref="R35:R36" si="53">FIND(",",N35,P35+1)</f>
        <v>#VALUE!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ref="T35:T36" si="54">IFERROR(RIGHT(M35,LEN(M35)-FIND("],",M35)-1),"none")</f>
        <v>none</v>
      </c>
      <c r="U35" s="64" t="e">
        <f t="shared" si="19"/>
        <v>#VALUE!</v>
      </c>
      <c r="V35" s="64">
        <f t="shared" ref="V35:V36" si="55">IFERROR(FIND(",",T35),LEN(T35))</f>
        <v>4</v>
      </c>
      <c r="W35" s="64" t="e">
        <f t="shared" ref="W35:W36" si="56">FIND("target:",T35)+7</f>
        <v>#VALUE!</v>
      </c>
      <c r="X35" s="64" t="e">
        <f t="shared" ref="X35:X36" si="57">FIND(",",T35,V35+1)</f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3003335</v>
      </c>
      <c r="B36" s="47" t="s">
        <v>217</v>
      </c>
      <c r="C36" s="50">
        <v>3</v>
      </c>
      <c r="D36" s="50" t="s">
        <v>127</v>
      </c>
      <c r="E36" s="103" t="s">
        <v>222</v>
      </c>
      <c r="F36" s="51" t="s">
        <v>218</v>
      </c>
      <c r="G36" s="64" t="str">
        <f t="shared" si="46"/>
        <v>[effect:nothing]</v>
      </c>
      <c r="H36" s="64">
        <f t="shared" si="16"/>
        <v>9</v>
      </c>
      <c r="I36" s="64">
        <f t="shared" si="47"/>
        <v>16</v>
      </c>
      <c r="J36" s="64" t="e">
        <f t="shared" si="48"/>
        <v>#VALUE!</v>
      </c>
      <c r="K36" s="64" t="e">
        <f t="shared" si="49"/>
        <v>#VALUE!</v>
      </c>
      <c r="L36" s="64" t="str">
        <f>IFERROR(VLOOKUP(MID(G36,J36,K36-J36),[6]skilldef!$C:$D,2,FALSE),"-") &amp; " / " &amp; IFERROR(VLOOKUP(MID(G36,H36,I36-H36),[6]skilldef!$A:$B,2,FALSE),"-")</f>
        <v>- / 何もしない</v>
      </c>
      <c r="M36" s="64" t="str">
        <f t="shared" si="50"/>
        <v>none</v>
      </c>
      <c r="N36" s="48" t="str">
        <f>IFERROR(LEFT(M36,FIND("],",M36)+S44),M36)</f>
        <v>none</v>
      </c>
      <c r="O36" s="64" t="e">
        <f t="shared" si="18"/>
        <v>#VALUE!</v>
      </c>
      <c r="P36" s="64">
        <f t="shared" si="51"/>
        <v>4</v>
      </c>
      <c r="Q36" s="64" t="e">
        <f t="shared" si="52"/>
        <v>#VALUE!</v>
      </c>
      <c r="R36" s="64" t="e">
        <f t="shared" si="53"/>
        <v>#VALUE!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si="54"/>
        <v>none</v>
      </c>
      <c r="U36" s="64" t="e">
        <f t="shared" si="19"/>
        <v>#VALUE!</v>
      </c>
      <c r="V36" s="64">
        <f t="shared" si="55"/>
        <v>4</v>
      </c>
      <c r="W36" s="64" t="e">
        <f t="shared" si="56"/>
        <v>#VALUE!</v>
      </c>
      <c r="X36" s="64" t="e">
        <f t="shared" si="57"/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3003336</v>
      </c>
      <c r="B37" s="47" t="s">
        <v>217</v>
      </c>
      <c r="C37" s="50">
        <v>3</v>
      </c>
      <c r="D37" s="50" t="s">
        <v>310</v>
      </c>
      <c r="E37" s="103" t="s">
        <v>222</v>
      </c>
      <c r="F37" s="51" t="s">
        <v>218</v>
      </c>
      <c r="G37" s="64" t="str">
        <f t="shared" si="0"/>
        <v>[effect:nothing]</v>
      </c>
      <c r="H37" s="64">
        <f t="shared" si="16"/>
        <v>9</v>
      </c>
      <c r="I37" s="64">
        <f t="shared" si="2"/>
        <v>16</v>
      </c>
      <c r="J37" s="64" t="e">
        <f t="shared" si="3"/>
        <v>#VALUE!</v>
      </c>
      <c r="K37" s="64" t="e">
        <f t="shared" si="4"/>
        <v>#VALUE!</v>
      </c>
      <c r="L37" s="64" t="str">
        <f>IFERROR(VLOOKUP(MID(G37,J37,K37-J37),[6]skilldef!$C:$D,2,FALSE),"-") &amp; " / " &amp; IFERROR(VLOOKUP(MID(G37,H37,I37-H37),[6]skilldef!$A:$B,2,FALSE),"-")</f>
        <v>- / 何もしない</v>
      </c>
      <c r="M37" s="64" t="str">
        <f t="shared" si="5"/>
        <v>none</v>
      </c>
      <c r="N37" s="48" t="str">
        <f>IFERROR(LEFT(M37,FIND("],",M37)+S45),M37)</f>
        <v>none</v>
      </c>
      <c r="O37" s="64" t="e">
        <f t="shared" si="18"/>
        <v>#VALUE!</v>
      </c>
      <c r="P37" s="64">
        <f t="shared" si="8"/>
        <v>4</v>
      </c>
      <c r="Q37" s="64" t="e">
        <f t="shared" si="9"/>
        <v>#VALUE!</v>
      </c>
      <c r="R37" s="64" t="e">
        <f t="shared" si="10"/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4" t="e">
        <f t="shared" si="19"/>
        <v>#VALUE!</v>
      </c>
      <c r="V37" s="64">
        <f t="shared" si="13"/>
        <v>4</v>
      </c>
      <c r="W37" s="64" t="e">
        <f t="shared" si="14"/>
        <v>#VALUE!</v>
      </c>
      <c r="X37" s="64" t="e">
        <f t="shared" si="15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3003337</v>
      </c>
      <c r="B38" s="47" t="s">
        <v>274</v>
      </c>
      <c r="C38" s="50">
        <v>3</v>
      </c>
      <c r="D38" s="50" t="s">
        <v>127</v>
      </c>
      <c r="E38" s="103" t="s">
        <v>253</v>
      </c>
      <c r="F38" s="51" t="s">
        <v>282</v>
      </c>
      <c r="G38" s="64" t="str">
        <f t="shared" ref="G38:G42" si="58">IFERROR(LEFT(B38,FIND("],",B38)),B38)</f>
        <v>[effect:enhance_enemy, target:myself, turn:2, status:defense, val:5000, calc:add, animation:enemy_enhance_defense]</v>
      </c>
      <c r="H38" s="64">
        <f t="shared" si="16"/>
        <v>9</v>
      </c>
      <c r="I38" s="64">
        <f t="shared" ref="I38:I42" si="59">IFERROR(FIND(",",G38),LEN(G38))</f>
        <v>22</v>
      </c>
      <c r="J38" s="64">
        <f t="shared" ref="J38:J42" si="60">FIND("target:",G38)+7</f>
        <v>31</v>
      </c>
      <c r="K38" s="64">
        <f t="shared" ref="K38:K42" si="61">FIND(",",G38,I38+1)</f>
        <v>37</v>
      </c>
      <c r="L38" s="64" t="str">
        <f>IFERROR(VLOOKUP(MID(G38,J38,K38-J38),[6]skilldef!$C:$D,2,FALSE),"-") &amp; " / " &amp; IFERROR(VLOOKUP(MID(G38,H38,I38-H38),[6]skilldef!$A:$B,2,FALSE),"-")</f>
        <v>自分自身に / ステータス強化</v>
      </c>
      <c r="M38" s="64" t="str">
        <f t="shared" ref="M38:M42" si="62">IFERROR(RIGHT(B38,LEN(B38)-FIND("],",B38)-1),"none")</f>
        <v>none</v>
      </c>
      <c r="N38" s="48" t="str">
        <f>IFERROR(LEFT(M38,FIND("],",M38)+#REF!),M38)</f>
        <v>none</v>
      </c>
      <c r="O38" s="64" t="e">
        <f t="shared" si="18"/>
        <v>#VALUE!</v>
      </c>
      <c r="P38" s="64">
        <f t="shared" ref="P38:P42" si="63">IFERROR(FIND(",",N38),LEN(N38))</f>
        <v>4</v>
      </c>
      <c r="Q38" s="64" t="e">
        <f t="shared" ref="Q38:Q42" si="64">FIND("target:",N38)+7</f>
        <v>#VALUE!</v>
      </c>
      <c r="R38" s="64" t="e">
        <f t="shared" ref="R38:R42" si="65">FIND(",",N38,P38+1)</f>
        <v>#VALUE!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ref="T38:T42" si="66">IFERROR(RIGHT(M38,LEN(M38)-FIND("],",M38)-1),"none")</f>
        <v>none</v>
      </c>
      <c r="U38" s="64" t="e">
        <f t="shared" si="19"/>
        <v>#VALUE!</v>
      </c>
      <c r="V38" s="64">
        <f t="shared" ref="V38:V42" si="67">IFERROR(FIND(",",T38),LEN(T38))</f>
        <v>4</v>
      </c>
      <c r="W38" s="64" t="e">
        <f t="shared" ref="W38:W42" si="68">FIND("target:",T38)+7</f>
        <v>#VALUE!</v>
      </c>
      <c r="X38" s="64" t="e">
        <f t="shared" ref="X38:X42" si="69">FIND(",",T38,V38+1)</f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3003338</v>
      </c>
      <c r="B39" s="104" t="s">
        <v>275</v>
      </c>
      <c r="C39" s="50">
        <v>3</v>
      </c>
      <c r="D39" s="50" t="s">
        <v>127</v>
      </c>
      <c r="E39" s="103" t="s">
        <v>311</v>
      </c>
      <c r="F39" s="51" t="s">
        <v>220</v>
      </c>
      <c r="G39" s="64" t="str">
        <f t="shared" si="58"/>
        <v>[effect:spread, val:0.5]</v>
      </c>
      <c r="H39" s="64">
        <f t="shared" si="16"/>
        <v>9</v>
      </c>
      <c r="I39" s="64">
        <f t="shared" si="59"/>
        <v>15</v>
      </c>
      <c r="J39" s="64" t="e">
        <f t="shared" si="60"/>
        <v>#VALUE!</v>
      </c>
      <c r="K39" s="64" t="e">
        <f t="shared" si="61"/>
        <v>#VALUE!</v>
      </c>
      <c r="L39" s="64" t="str">
        <f>IFERROR(VLOOKUP(MID(G39,J39,K39-J39),[6]skilldef!$C:$D,2,FALSE),"-") &amp; " / " &amp; IFERROR(VLOOKUP(MID(G39,H39,I39-H39),[6]skilldef!$A:$B,2,FALSE),"-")</f>
        <v>- / 全体攻撃</v>
      </c>
      <c r="M39" s="64" t="str">
        <f t="shared" si="62"/>
        <v>none</v>
      </c>
      <c r="N39" s="48" t="str">
        <f>IFERROR(LEFT(M39,FIND("],",M39)+S46),M39)</f>
        <v>none</v>
      </c>
      <c r="O39" s="64" t="e">
        <f t="shared" si="18"/>
        <v>#VALUE!</v>
      </c>
      <c r="P39" s="64">
        <f t="shared" si="63"/>
        <v>4</v>
      </c>
      <c r="Q39" s="64" t="e">
        <f t="shared" si="64"/>
        <v>#VALUE!</v>
      </c>
      <c r="R39" s="64" t="e">
        <f t="shared" si="65"/>
        <v>#VALUE!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66"/>
        <v>none</v>
      </c>
      <c r="U39" s="64" t="e">
        <f t="shared" si="19"/>
        <v>#VALUE!</v>
      </c>
      <c r="V39" s="64">
        <f t="shared" si="67"/>
        <v>4</v>
      </c>
      <c r="W39" s="64" t="e">
        <f t="shared" si="68"/>
        <v>#VALUE!</v>
      </c>
      <c r="X39" s="64" t="e">
        <f t="shared" si="69"/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3003339</v>
      </c>
      <c r="B40" s="47" t="s">
        <v>270</v>
      </c>
      <c r="C40" s="50">
        <v>3</v>
      </c>
      <c r="D40" s="50" t="s">
        <v>127</v>
      </c>
      <c r="E40" s="103" t="s">
        <v>326</v>
      </c>
      <c r="F40" s="51" t="s">
        <v>273</v>
      </c>
      <c r="G40" s="64" t="str">
        <f t="shared" si="58"/>
        <v>[effect:enhance_enemy, target:myself, turn:1, status:defense, val:5000, calc:add, animation:enemy_enhance_defense]</v>
      </c>
      <c r="H40" s="64">
        <f t="shared" si="16"/>
        <v>9</v>
      </c>
      <c r="I40" s="64">
        <f t="shared" si="59"/>
        <v>22</v>
      </c>
      <c r="J40" s="64">
        <f t="shared" si="60"/>
        <v>31</v>
      </c>
      <c r="K40" s="64">
        <f t="shared" si="61"/>
        <v>37</v>
      </c>
      <c r="L40" s="64" t="str">
        <f>IFERROR(VLOOKUP(MID(G40,J40,K40-J40),[6]skilldef!$C:$D,2,FALSE),"-") &amp; " / " &amp; IFERROR(VLOOKUP(MID(G40,H40,I40-H40),[6]skilldef!$A:$B,2,FALSE),"-")</f>
        <v>自分自身に / ステータス強化</v>
      </c>
      <c r="M40" s="64" t="str">
        <f t="shared" si="62"/>
        <v>none</v>
      </c>
      <c r="N40" s="48" t="str">
        <f>IFERROR(LEFT(M40,FIND("],",M40)+S47),M40)</f>
        <v>none</v>
      </c>
      <c r="O40" s="64" t="e">
        <f t="shared" si="18"/>
        <v>#VALUE!</v>
      </c>
      <c r="P40" s="64">
        <f t="shared" si="63"/>
        <v>4</v>
      </c>
      <c r="Q40" s="64" t="e">
        <f t="shared" si="64"/>
        <v>#VALUE!</v>
      </c>
      <c r="R40" s="64" t="e">
        <f t="shared" si="65"/>
        <v>#VALUE!</v>
      </c>
      <c r="S40" s="64" t="str">
        <f>IFERROR(VLOOKUP(MID(N40,Q40,R40-Q40),[6]skilldef!$C:$D,2,FALSE),"-") &amp; " / " &amp; IFERROR(VLOOKUP(MID(N40,O40,P40-O40),[6]skilldef!$A:$B,2,FALSE),"-")</f>
        <v>- / -</v>
      </c>
      <c r="T40" s="48" t="str">
        <f t="shared" si="66"/>
        <v>none</v>
      </c>
      <c r="U40" s="64" t="e">
        <f t="shared" si="19"/>
        <v>#VALUE!</v>
      </c>
      <c r="V40" s="64">
        <f t="shared" si="67"/>
        <v>4</v>
      </c>
      <c r="W40" s="64" t="e">
        <f t="shared" si="68"/>
        <v>#VALUE!</v>
      </c>
      <c r="X40" s="64" t="e">
        <f t="shared" si="69"/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3003340</v>
      </c>
      <c r="B41" s="47" t="s">
        <v>272</v>
      </c>
      <c r="C41" s="50">
        <v>3</v>
      </c>
      <c r="D41" s="50" t="s">
        <v>127</v>
      </c>
      <c r="E41" s="103" t="s">
        <v>323</v>
      </c>
      <c r="F41" s="51" t="s">
        <v>256</v>
      </c>
      <c r="G41" s="64" t="str">
        <f t="shared" si="58"/>
        <v>[effect:nothing]</v>
      </c>
      <c r="H41" s="64">
        <f t="shared" si="16"/>
        <v>9</v>
      </c>
      <c r="I41" s="64">
        <f t="shared" si="59"/>
        <v>16</v>
      </c>
      <c r="J41" s="64" t="e">
        <f t="shared" si="60"/>
        <v>#VALUE!</v>
      </c>
      <c r="K41" s="64" t="e">
        <f t="shared" si="61"/>
        <v>#VALUE!</v>
      </c>
      <c r="L41" s="64" t="str">
        <f>IFERROR(VLOOKUP(MID(G41,J41,K41-J41),[6]skilldef!$C:$D,2,FALSE),"-") &amp; " / " &amp; IFERROR(VLOOKUP(MID(G41,H41,I41-H41),[6]skilldef!$A:$B,2,FALSE),"-")</f>
        <v>- / 何もしない</v>
      </c>
      <c r="M41" s="64" t="str">
        <f t="shared" si="62"/>
        <v>none</v>
      </c>
      <c r="N41" s="48" t="str">
        <f>IFERROR(LEFT(M41,FIND("],",M41)+#REF!),M41)</f>
        <v>none</v>
      </c>
      <c r="O41" s="64" t="e">
        <f t="shared" si="18"/>
        <v>#VALUE!</v>
      </c>
      <c r="P41" s="64">
        <f t="shared" si="63"/>
        <v>4</v>
      </c>
      <c r="Q41" s="64" t="e">
        <f t="shared" si="64"/>
        <v>#VALUE!</v>
      </c>
      <c r="R41" s="64" t="e">
        <f t="shared" si="65"/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66"/>
        <v>none</v>
      </c>
      <c r="U41" s="64" t="e">
        <f t="shared" si="19"/>
        <v>#VALUE!</v>
      </c>
      <c r="V41" s="64">
        <f t="shared" si="67"/>
        <v>4</v>
      </c>
      <c r="W41" s="64" t="e">
        <f t="shared" si="68"/>
        <v>#VALUE!</v>
      </c>
      <c r="X41" s="64" t="e">
        <f t="shared" si="69"/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3003341</v>
      </c>
      <c r="B42" s="104" t="s">
        <v>275</v>
      </c>
      <c r="C42" s="50">
        <v>3</v>
      </c>
      <c r="D42" s="50" t="s">
        <v>127</v>
      </c>
      <c r="E42" s="103" t="s">
        <v>311</v>
      </c>
      <c r="F42" s="51" t="s">
        <v>220</v>
      </c>
      <c r="G42" s="64" t="str">
        <f t="shared" si="58"/>
        <v>[effect:spread, val:0.5]</v>
      </c>
      <c r="H42" s="64">
        <f t="shared" si="16"/>
        <v>9</v>
      </c>
      <c r="I42" s="64">
        <f t="shared" si="59"/>
        <v>15</v>
      </c>
      <c r="J42" s="64" t="e">
        <f t="shared" si="60"/>
        <v>#VALUE!</v>
      </c>
      <c r="K42" s="64" t="e">
        <f t="shared" si="61"/>
        <v>#VALUE!</v>
      </c>
      <c r="L42" s="64" t="str">
        <f>IFERROR(VLOOKUP(MID(G42,J42,K42-J42),[6]skilldef!$C:$D,2,FALSE),"-") &amp; " / " &amp; IFERROR(VLOOKUP(MID(G42,H42,I42-H42),[6]skilldef!$A:$B,2,FALSE),"-")</f>
        <v>- / 全体攻撃</v>
      </c>
      <c r="M42" s="64" t="str">
        <f t="shared" si="62"/>
        <v>none</v>
      </c>
      <c r="N42" s="48" t="str">
        <f>IFERROR(LEFT(M42,FIND("],",M42)+S48),M42)</f>
        <v>none</v>
      </c>
      <c r="O42" s="64" t="e">
        <f t="shared" si="18"/>
        <v>#VALUE!</v>
      </c>
      <c r="P42" s="64">
        <f t="shared" si="63"/>
        <v>4</v>
      </c>
      <c r="Q42" s="64" t="e">
        <f t="shared" si="64"/>
        <v>#VALUE!</v>
      </c>
      <c r="R42" s="64" t="e">
        <f t="shared" si="65"/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66"/>
        <v>none</v>
      </c>
      <c r="U42" s="64" t="e">
        <f t="shared" si="19"/>
        <v>#VALUE!</v>
      </c>
      <c r="V42" s="64">
        <f t="shared" si="67"/>
        <v>4</v>
      </c>
      <c r="W42" s="64" t="e">
        <f t="shared" si="68"/>
        <v>#VALUE!</v>
      </c>
      <c r="X42" s="64" t="e">
        <f t="shared" si="69"/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3003342</v>
      </c>
      <c r="B43" s="47" t="s">
        <v>271</v>
      </c>
      <c r="C43" s="50">
        <v>3</v>
      </c>
      <c r="D43" s="50" t="s">
        <v>127</v>
      </c>
      <c r="E43" s="103" t="s">
        <v>323</v>
      </c>
      <c r="F43" s="51" t="s">
        <v>273</v>
      </c>
      <c r="G43" s="64" t="str">
        <f t="shared" ref="G43:G44" si="70">IFERROR(LEFT(B43,FIND("],",B43)),B43)</f>
        <v>[effect:enhance_enemy, target:myself, turn:1, status:defense, val:5000, calc:add, animation:enemy_enhance_defense]</v>
      </c>
      <c r="H43" s="64">
        <f t="shared" ref="H43:H44" si="71">FIND("effect:",G43)+7</f>
        <v>9</v>
      </c>
      <c r="I43" s="64">
        <f t="shared" ref="I43:I44" si="72">IFERROR(FIND(",",G43),LEN(G43))</f>
        <v>22</v>
      </c>
      <c r="J43" s="64">
        <f t="shared" ref="J43:J44" si="73">FIND("target:",G43)+7</f>
        <v>31</v>
      </c>
      <c r="K43" s="64">
        <f t="shared" ref="K43:K44" si="74">FIND(",",G43,I43+1)</f>
        <v>37</v>
      </c>
      <c r="L43" s="64" t="str">
        <f>IFERROR(VLOOKUP(MID(G43,J43,K43-J43),[6]skilldef!$C:$D,2,FALSE),"-") &amp; " / " &amp; IFERROR(VLOOKUP(MID(G43,H43,I43-H43),[6]skilldef!$A:$B,2,FALSE),"-")</f>
        <v>自分自身に / ステータス強化</v>
      </c>
      <c r="M43" s="64" t="str">
        <f t="shared" ref="M43:M44" si="75">IFERROR(RIGHT(B43,LEN(B43)-FIND("],",B43)-1),"none")</f>
        <v>none</v>
      </c>
      <c r="N43" s="48" t="str">
        <f>IFERROR(LEFT(M43,FIND("],",M43)+#REF!),M43)</f>
        <v>none</v>
      </c>
      <c r="O43" s="64" t="e">
        <f t="shared" ref="O43:O44" si="76">FIND("effect:",N43)+7</f>
        <v>#VALUE!</v>
      </c>
      <c r="P43" s="64">
        <f t="shared" ref="P43:P44" si="77">IFERROR(FIND(",",N43),LEN(N43))</f>
        <v>4</v>
      </c>
      <c r="Q43" s="64" t="e">
        <f t="shared" ref="Q43:Q44" si="78">FIND("target:",N43)+7</f>
        <v>#VALUE!</v>
      </c>
      <c r="R43" s="64" t="e">
        <f t="shared" ref="R43:R44" si="79">FIND(",",N43,P43+1)</f>
        <v>#VALUE!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ref="T43:T44" si="80">IFERROR(RIGHT(M43,LEN(M43)-FIND("],",M43)-1),"none")</f>
        <v>none</v>
      </c>
      <c r="U43" s="64" t="e">
        <f t="shared" ref="U43:U44" si="81">FIND("effect:",T43)+7</f>
        <v>#VALUE!</v>
      </c>
      <c r="V43" s="64">
        <f t="shared" ref="V43:V44" si="82">IFERROR(FIND(",",T43),LEN(T43))</f>
        <v>4</v>
      </c>
      <c r="W43" s="64" t="e">
        <f t="shared" ref="W43:W44" si="83">FIND("target:",T43)+7</f>
        <v>#VALUE!</v>
      </c>
      <c r="X43" s="64" t="e">
        <f t="shared" ref="X43:X44" si="84">FIND(",",T43,V43+1)</f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3003343</v>
      </c>
      <c r="B44" s="104" t="s">
        <v>275</v>
      </c>
      <c r="C44" s="50">
        <v>3</v>
      </c>
      <c r="D44" s="50" t="s">
        <v>127</v>
      </c>
      <c r="E44" s="103" t="s">
        <v>311</v>
      </c>
      <c r="F44" s="51" t="s">
        <v>220</v>
      </c>
      <c r="G44" s="64" t="str">
        <f t="shared" si="70"/>
        <v>[effect:spread, val:0.5]</v>
      </c>
      <c r="H44" s="64">
        <f t="shared" si="71"/>
        <v>9</v>
      </c>
      <c r="I44" s="64">
        <f t="shared" si="72"/>
        <v>15</v>
      </c>
      <c r="J44" s="64" t="e">
        <f t="shared" si="73"/>
        <v>#VALUE!</v>
      </c>
      <c r="K44" s="64" t="e">
        <f t="shared" si="74"/>
        <v>#VALUE!</v>
      </c>
      <c r="L44" s="64" t="str">
        <f>IFERROR(VLOOKUP(MID(G44,J44,K44-J44),[6]skilldef!$C:$D,2,FALSE),"-") &amp; " / " &amp; IFERROR(VLOOKUP(MID(G44,H44,I44-H44),[6]skilldef!$A:$B,2,FALSE),"-")</f>
        <v>- / 全体攻撃</v>
      </c>
      <c r="M44" s="64" t="str">
        <f t="shared" si="75"/>
        <v>none</v>
      </c>
      <c r="N44" s="48" t="str">
        <f>IFERROR(LEFT(M44,FIND("],",M44)+S51),M44)</f>
        <v>none</v>
      </c>
      <c r="O44" s="64" t="e">
        <f t="shared" si="76"/>
        <v>#VALUE!</v>
      </c>
      <c r="P44" s="64">
        <f t="shared" si="77"/>
        <v>4</v>
      </c>
      <c r="Q44" s="64" t="e">
        <f t="shared" si="78"/>
        <v>#VALUE!</v>
      </c>
      <c r="R44" s="64" t="e">
        <f t="shared" si="79"/>
        <v>#VALUE!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si="80"/>
        <v>none</v>
      </c>
      <c r="U44" s="64" t="e">
        <f t="shared" si="81"/>
        <v>#VALUE!</v>
      </c>
      <c r="V44" s="64">
        <f t="shared" si="82"/>
        <v>4</v>
      </c>
      <c r="W44" s="64" t="e">
        <f t="shared" si="83"/>
        <v>#VALUE!</v>
      </c>
      <c r="X44" s="64" t="e">
        <f t="shared" si="84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3003344</v>
      </c>
      <c r="B45" s="47" t="s">
        <v>270</v>
      </c>
      <c r="C45" s="50">
        <v>3</v>
      </c>
      <c r="D45" s="50" t="s">
        <v>127</v>
      </c>
      <c r="E45" s="103" t="s">
        <v>323</v>
      </c>
      <c r="F45" s="51" t="s">
        <v>273</v>
      </c>
      <c r="G45" s="64" t="str">
        <f t="shared" ref="G45:G50" si="85">IFERROR(LEFT(B45,FIND("],",B45)),B45)</f>
        <v>[effect:enhance_enemy, target:myself, turn:1, status:defense, val:5000, calc:add, animation:enemy_enhance_defense]</v>
      </c>
      <c r="H45" s="64">
        <f t="shared" ref="H45:H50" si="86">FIND("effect:",G45)+7</f>
        <v>9</v>
      </c>
      <c r="I45" s="64">
        <f t="shared" ref="I45:I50" si="87">IFERROR(FIND(",",G45),LEN(G45))</f>
        <v>22</v>
      </c>
      <c r="J45" s="64">
        <f t="shared" ref="J45:J50" si="88">FIND("target:",G45)+7</f>
        <v>31</v>
      </c>
      <c r="K45" s="64">
        <f t="shared" ref="K45:K50" si="89">FIND(",",G45,I45+1)</f>
        <v>37</v>
      </c>
      <c r="L45" s="64" t="str">
        <f>IFERROR(VLOOKUP(MID(G45,J45,K45-J45),[6]skilldef!$C:$D,2,FALSE),"-") &amp; " / " &amp; IFERROR(VLOOKUP(MID(G45,H45,I45-H45),[6]skilldef!$A:$B,2,FALSE),"-")</f>
        <v>自分自身に / ステータス強化</v>
      </c>
      <c r="M45" s="64" t="str">
        <f t="shared" ref="M45:M50" si="90">IFERROR(RIGHT(B45,LEN(B45)-FIND("],",B45)-1),"none")</f>
        <v>none</v>
      </c>
      <c r="N45" s="48" t="str">
        <f>IFERROR(LEFT(M45,FIND("],",M45)+#REF!),M45)</f>
        <v>none</v>
      </c>
      <c r="O45" s="64" t="e">
        <f t="shared" ref="O45:O50" si="91">FIND("effect:",N45)+7</f>
        <v>#VALUE!</v>
      </c>
      <c r="P45" s="64">
        <f t="shared" ref="P45:P50" si="92">IFERROR(FIND(",",N45),LEN(N45))</f>
        <v>4</v>
      </c>
      <c r="Q45" s="64" t="e">
        <f t="shared" ref="Q45:Q50" si="93">FIND("target:",N45)+7</f>
        <v>#VALUE!</v>
      </c>
      <c r="R45" s="64" t="e">
        <f t="shared" ref="R45:R50" si="94">FIND(",",N45,P45+1)</f>
        <v>#VALUE!</v>
      </c>
      <c r="S45" s="64" t="str">
        <f>IFERROR(VLOOKUP(MID(N45,Q45,R45-Q45),[6]skilldef!$C:$D,2,FALSE),"-") &amp; " / " &amp; IFERROR(VLOOKUP(MID(N45,O45,P45-O45),[6]skilldef!$A:$B,2,FALSE),"-")</f>
        <v>- / -</v>
      </c>
      <c r="T45" s="48" t="str">
        <f t="shared" ref="T45:T50" si="95">IFERROR(RIGHT(M45,LEN(M45)-FIND("],",M45)-1),"none")</f>
        <v>none</v>
      </c>
      <c r="U45" s="64" t="e">
        <f t="shared" ref="U45:U50" si="96">FIND("effect:",T45)+7</f>
        <v>#VALUE!</v>
      </c>
      <c r="V45" s="64">
        <f t="shared" ref="V45:V50" si="97">IFERROR(FIND(",",T45),LEN(T45))</f>
        <v>4</v>
      </c>
      <c r="W45" s="64" t="e">
        <f t="shared" ref="W45:W50" si="98">FIND("target:",T45)+7</f>
        <v>#VALUE!</v>
      </c>
      <c r="X45" s="64" t="e">
        <f t="shared" ref="X45:X50" si="99">FIND(",",T45,V45+1)</f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3003345</v>
      </c>
      <c r="B46" s="104" t="s">
        <v>275</v>
      </c>
      <c r="C46" s="50">
        <v>3</v>
      </c>
      <c r="D46" s="50" t="s">
        <v>127</v>
      </c>
      <c r="E46" s="103" t="s">
        <v>311</v>
      </c>
      <c r="F46" s="51" t="s">
        <v>220</v>
      </c>
      <c r="G46" s="64" t="str">
        <f t="shared" si="85"/>
        <v>[effect:spread, val:0.5]</v>
      </c>
      <c r="H46" s="64">
        <f t="shared" si="86"/>
        <v>9</v>
      </c>
      <c r="I46" s="64">
        <f t="shared" si="87"/>
        <v>15</v>
      </c>
      <c r="J46" s="64" t="e">
        <f t="shared" si="88"/>
        <v>#VALUE!</v>
      </c>
      <c r="K46" s="64" t="e">
        <f t="shared" si="89"/>
        <v>#VALUE!</v>
      </c>
      <c r="L46" s="64" t="str">
        <f>IFERROR(VLOOKUP(MID(G46,J46,K46-J46),[6]skilldef!$C:$D,2,FALSE),"-") &amp; " / " &amp; IFERROR(VLOOKUP(MID(G46,H46,I46-H46),[6]skilldef!$A:$B,2,FALSE),"-")</f>
        <v>- / 全体攻撃</v>
      </c>
      <c r="M46" s="64" t="str">
        <f t="shared" si="90"/>
        <v>none</v>
      </c>
      <c r="N46" s="48" t="str">
        <f>IFERROR(LEFT(M46,FIND("],",M46)+S53),M46)</f>
        <v>none</v>
      </c>
      <c r="O46" s="64" t="e">
        <f t="shared" si="91"/>
        <v>#VALUE!</v>
      </c>
      <c r="P46" s="64">
        <f t="shared" si="92"/>
        <v>4</v>
      </c>
      <c r="Q46" s="64" t="e">
        <f t="shared" si="93"/>
        <v>#VALUE!</v>
      </c>
      <c r="R46" s="64" t="e">
        <f t="shared" si="94"/>
        <v>#VALUE!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95"/>
        <v>none</v>
      </c>
      <c r="U46" s="64" t="e">
        <f t="shared" si="96"/>
        <v>#VALUE!</v>
      </c>
      <c r="V46" s="64">
        <f t="shared" si="97"/>
        <v>4</v>
      </c>
      <c r="W46" s="64" t="e">
        <f t="shared" si="98"/>
        <v>#VALUE!</v>
      </c>
      <c r="X46" s="64" t="e">
        <f t="shared" si="99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3003346</v>
      </c>
      <c r="B47" s="47" t="s">
        <v>270</v>
      </c>
      <c r="C47" s="50">
        <v>3</v>
      </c>
      <c r="D47" s="50" t="s">
        <v>127</v>
      </c>
      <c r="E47" s="103" t="s">
        <v>323</v>
      </c>
      <c r="F47" s="51" t="s">
        <v>273</v>
      </c>
      <c r="G47" s="64" t="str">
        <f t="shared" si="85"/>
        <v>[effect:enhance_enemy, target:myself, turn:1, status:defense, val:5000, calc:add, animation:enemy_enhance_defense]</v>
      </c>
      <c r="H47" s="64">
        <f t="shared" si="86"/>
        <v>9</v>
      </c>
      <c r="I47" s="64">
        <f t="shared" si="87"/>
        <v>22</v>
      </c>
      <c r="J47" s="64">
        <f t="shared" si="88"/>
        <v>31</v>
      </c>
      <c r="K47" s="64">
        <f t="shared" si="89"/>
        <v>37</v>
      </c>
      <c r="L47" s="64" t="str">
        <f>IFERROR(VLOOKUP(MID(G47,J47,K47-J47),[6]skilldef!$C:$D,2,FALSE),"-") &amp; " / " &amp; IFERROR(VLOOKUP(MID(G47,H47,I47-H47),[6]skilldef!$A:$B,2,FALSE),"-")</f>
        <v>自分自身に / ステータス強化</v>
      </c>
      <c r="M47" s="64" t="str">
        <f t="shared" si="90"/>
        <v>none</v>
      </c>
      <c r="N47" s="48" t="str">
        <f>IFERROR(LEFT(M47,FIND("],",M47)+#REF!),M47)</f>
        <v>none</v>
      </c>
      <c r="O47" s="64" t="e">
        <f t="shared" si="91"/>
        <v>#VALUE!</v>
      </c>
      <c r="P47" s="64">
        <f t="shared" si="92"/>
        <v>4</v>
      </c>
      <c r="Q47" s="64" t="e">
        <f t="shared" si="93"/>
        <v>#VALUE!</v>
      </c>
      <c r="R47" s="64" t="e">
        <f t="shared" si="94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95"/>
        <v>none</v>
      </c>
      <c r="U47" s="64" t="e">
        <f t="shared" si="96"/>
        <v>#VALUE!</v>
      </c>
      <c r="V47" s="64">
        <f t="shared" si="97"/>
        <v>4</v>
      </c>
      <c r="W47" s="64" t="e">
        <f t="shared" si="98"/>
        <v>#VALUE!</v>
      </c>
      <c r="X47" s="64" t="e">
        <f t="shared" si="99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3003347</v>
      </c>
      <c r="B48" s="104" t="s">
        <v>275</v>
      </c>
      <c r="C48" s="50">
        <v>3</v>
      </c>
      <c r="D48" s="50" t="s">
        <v>127</v>
      </c>
      <c r="E48" s="103" t="s">
        <v>311</v>
      </c>
      <c r="F48" s="51" t="s">
        <v>220</v>
      </c>
      <c r="G48" s="64" t="str">
        <f t="shared" si="85"/>
        <v>[effect:spread, val:0.5]</v>
      </c>
      <c r="H48" s="64">
        <f t="shared" si="86"/>
        <v>9</v>
      </c>
      <c r="I48" s="64">
        <f t="shared" si="87"/>
        <v>15</v>
      </c>
      <c r="J48" s="64" t="e">
        <f t="shared" si="88"/>
        <v>#VALUE!</v>
      </c>
      <c r="K48" s="64" t="e">
        <f t="shared" si="89"/>
        <v>#VALUE!</v>
      </c>
      <c r="L48" s="64" t="str">
        <f>IFERROR(VLOOKUP(MID(G48,J48,K48-J48),[6]skilldef!$C:$D,2,FALSE),"-") &amp; " / " &amp; IFERROR(VLOOKUP(MID(G48,H48,I48-H48),[6]skilldef!$A:$B,2,FALSE),"-")</f>
        <v>- / 全体攻撃</v>
      </c>
      <c r="M48" s="64" t="str">
        <f t="shared" si="90"/>
        <v>none</v>
      </c>
      <c r="N48" s="48" t="str">
        <f>IFERROR(LEFT(M48,FIND("],",M48)+S55),M48)</f>
        <v>none</v>
      </c>
      <c r="O48" s="64" t="e">
        <f t="shared" si="91"/>
        <v>#VALUE!</v>
      </c>
      <c r="P48" s="64">
        <f t="shared" si="92"/>
        <v>4</v>
      </c>
      <c r="Q48" s="64" t="e">
        <f t="shared" si="93"/>
        <v>#VALUE!</v>
      </c>
      <c r="R48" s="64" t="e">
        <f t="shared" si="94"/>
        <v>#VALUE!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si="95"/>
        <v>none</v>
      </c>
      <c r="U48" s="64" t="e">
        <f t="shared" si="96"/>
        <v>#VALUE!</v>
      </c>
      <c r="V48" s="64">
        <f t="shared" si="97"/>
        <v>4</v>
      </c>
      <c r="W48" s="64" t="e">
        <f t="shared" si="98"/>
        <v>#VALUE!</v>
      </c>
      <c r="X48" s="64" t="e">
        <f t="shared" si="99"/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3003348</v>
      </c>
      <c r="B49" s="47" t="s">
        <v>270</v>
      </c>
      <c r="C49" s="50">
        <v>3</v>
      </c>
      <c r="D49" s="50" t="s">
        <v>127</v>
      </c>
      <c r="E49" s="103" t="s">
        <v>323</v>
      </c>
      <c r="F49" s="51" t="s">
        <v>273</v>
      </c>
      <c r="G49" s="64" t="str">
        <f t="shared" si="85"/>
        <v>[effect:enhance_enemy, target:myself, turn:1, status:defense, val:5000, calc:add, animation:enemy_enhance_defense]</v>
      </c>
      <c r="H49" s="64">
        <f t="shared" si="86"/>
        <v>9</v>
      </c>
      <c r="I49" s="64">
        <f t="shared" si="87"/>
        <v>22</v>
      </c>
      <c r="J49" s="64">
        <f t="shared" si="88"/>
        <v>31</v>
      </c>
      <c r="K49" s="64">
        <f t="shared" si="89"/>
        <v>37</v>
      </c>
      <c r="L49" s="64" t="str">
        <f>IFERROR(VLOOKUP(MID(G49,J49,K49-J49),[6]skilldef!$C:$D,2,FALSE),"-") &amp; " / " &amp; IFERROR(VLOOKUP(MID(G49,H49,I49-H49),[6]skilldef!$A:$B,2,FALSE),"-")</f>
        <v>自分自身に / ステータス強化</v>
      </c>
      <c r="M49" s="64" t="str">
        <f t="shared" si="90"/>
        <v>none</v>
      </c>
      <c r="N49" s="48" t="str">
        <f>IFERROR(LEFT(M49,FIND("],",M49)+#REF!),M49)</f>
        <v>none</v>
      </c>
      <c r="O49" s="64" t="e">
        <f t="shared" si="91"/>
        <v>#VALUE!</v>
      </c>
      <c r="P49" s="64">
        <f t="shared" si="92"/>
        <v>4</v>
      </c>
      <c r="Q49" s="64" t="e">
        <f t="shared" si="93"/>
        <v>#VALUE!</v>
      </c>
      <c r="R49" s="64" t="e">
        <f t="shared" si="94"/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si="95"/>
        <v>none</v>
      </c>
      <c r="U49" s="64" t="e">
        <f t="shared" si="96"/>
        <v>#VALUE!</v>
      </c>
      <c r="V49" s="64">
        <f t="shared" si="97"/>
        <v>4</v>
      </c>
      <c r="W49" s="64" t="e">
        <f t="shared" si="98"/>
        <v>#VALUE!</v>
      </c>
      <c r="X49" s="64" t="e">
        <f t="shared" si="99"/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3003349</v>
      </c>
      <c r="B50" s="104" t="s">
        <v>275</v>
      </c>
      <c r="C50" s="50">
        <v>3</v>
      </c>
      <c r="D50" s="50" t="s">
        <v>127</v>
      </c>
      <c r="E50" s="103" t="s">
        <v>311</v>
      </c>
      <c r="F50" s="51" t="s">
        <v>220</v>
      </c>
      <c r="G50" s="64" t="str">
        <f t="shared" si="85"/>
        <v>[effect:spread, val:0.5]</v>
      </c>
      <c r="H50" s="64">
        <f t="shared" si="86"/>
        <v>9</v>
      </c>
      <c r="I50" s="64">
        <f t="shared" si="87"/>
        <v>15</v>
      </c>
      <c r="J50" s="64" t="e">
        <f t="shared" si="88"/>
        <v>#VALUE!</v>
      </c>
      <c r="K50" s="64" t="e">
        <f t="shared" si="89"/>
        <v>#VALUE!</v>
      </c>
      <c r="L50" s="64" t="str">
        <f>IFERROR(VLOOKUP(MID(G50,J50,K50-J50),[6]skilldef!$C:$D,2,FALSE),"-") &amp; " / " &amp; IFERROR(VLOOKUP(MID(G50,H50,I50-H50),[6]skilldef!$A:$B,2,FALSE),"-")</f>
        <v>- / 全体攻撃</v>
      </c>
      <c r="M50" s="64" t="str">
        <f t="shared" si="90"/>
        <v>none</v>
      </c>
      <c r="N50" s="48" t="str">
        <f>IFERROR(LEFT(M50,FIND("],",M50)+S57),M50)</f>
        <v>none</v>
      </c>
      <c r="O50" s="64" t="e">
        <f t="shared" si="91"/>
        <v>#VALUE!</v>
      </c>
      <c r="P50" s="64">
        <f t="shared" si="92"/>
        <v>4</v>
      </c>
      <c r="Q50" s="64" t="e">
        <f t="shared" si="93"/>
        <v>#VALUE!</v>
      </c>
      <c r="R50" s="64" t="e">
        <f t="shared" si="94"/>
        <v>#VALUE!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si="95"/>
        <v>none</v>
      </c>
      <c r="U50" s="64" t="e">
        <f t="shared" si="96"/>
        <v>#VALUE!</v>
      </c>
      <c r="V50" s="64">
        <f t="shared" si="97"/>
        <v>4</v>
      </c>
      <c r="W50" s="64" t="e">
        <f t="shared" si="98"/>
        <v>#VALUE!</v>
      </c>
      <c r="X50" s="64" t="e">
        <f t="shared" si="99"/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3003350</v>
      </c>
      <c r="B51" s="47" t="s">
        <v>270</v>
      </c>
      <c r="C51" s="50">
        <v>3</v>
      </c>
      <c r="D51" s="50" t="s">
        <v>127</v>
      </c>
      <c r="E51" s="103" t="s">
        <v>323</v>
      </c>
      <c r="F51" s="51" t="s">
        <v>273</v>
      </c>
      <c r="G51" s="64" t="str">
        <f t="shared" ref="G51:G78" si="100">IFERROR(LEFT(B51,FIND("],",B51)),B51)</f>
        <v>[effect:enhance_enemy, target:myself, turn:1, status:defense, val:5000, calc:add, animation:enemy_enhance_defense]</v>
      </c>
      <c r="H51" s="64">
        <f t="shared" ref="H51:H78" si="101">FIND("effect:",G51)+7</f>
        <v>9</v>
      </c>
      <c r="I51" s="64">
        <f t="shared" ref="I51:I78" si="102">IFERROR(FIND(",",G51),LEN(G51))</f>
        <v>22</v>
      </c>
      <c r="J51" s="64">
        <f t="shared" ref="J51:J78" si="103">FIND("target:",G51)+7</f>
        <v>31</v>
      </c>
      <c r="K51" s="64">
        <f t="shared" ref="K51:K78" si="104">FIND(",",G51,I51+1)</f>
        <v>37</v>
      </c>
      <c r="L51" s="64" t="str">
        <f>IFERROR(VLOOKUP(MID(G51,J51,K51-J51),[6]skilldef!$C:$D,2,FALSE),"-") &amp; " / " &amp; IFERROR(VLOOKUP(MID(G51,H51,I51-H51),[6]skilldef!$A:$B,2,FALSE),"-")</f>
        <v>自分自身に / ステータス強化</v>
      </c>
      <c r="M51" s="64" t="str">
        <f t="shared" ref="M51:M78" si="105">IFERROR(RIGHT(B51,LEN(B51)-FIND("],",B51)-1),"none")</f>
        <v>none</v>
      </c>
      <c r="N51" s="48" t="str">
        <f>IFERROR(LEFT(M51,FIND("],",M51)+#REF!),M51)</f>
        <v>none</v>
      </c>
      <c r="O51" s="64" t="e">
        <f t="shared" ref="O51:O78" si="106">FIND("effect:",N51)+7</f>
        <v>#VALUE!</v>
      </c>
      <c r="P51" s="64">
        <f t="shared" ref="P51:P78" si="107">IFERROR(FIND(",",N51),LEN(N51))</f>
        <v>4</v>
      </c>
      <c r="Q51" s="64" t="e">
        <f t="shared" ref="Q51:Q78" si="108">FIND("target:",N51)+7</f>
        <v>#VALUE!</v>
      </c>
      <c r="R51" s="64" t="e">
        <f t="shared" ref="R51:R78" si="109">FIND(",",N51,P51+1)</f>
        <v>#VALUE!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ref="T51:T78" si="110">IFERROR(RIGHT(M51,LEN(M51)-FIND("],",M51)-1),"none")</f>
        <v>none</v>
      </c>
      <c r="U51" s="64" t="e">
        <f t="shared" ref="U51:U78" si="111">FIND("effect:",T51)+7</f>
        <v>#VALUE!</v>
      </c>
      <c r="V51" s="64">
        <f t="shared" ref="V51:V78" si="112">IFERROR(FIND(",",T51),LEN(T51))</f>
        <v>4</v>
      </c>
      <c r="W51" s="64" t="e">
        <f t="shared" ref="W51:W78" si="113">FIND("target:",T51)+7</f>
        <v>#VALUE!</v>
      </c>
      <c r="X51" s="64" t="e">
        <f t="shared" ref="X51:X78" si="114">FIND(",",T51,V51+1)</f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3003351</v>
      </c>
      <c r="B52" s="104" t="s">
        <v>275</v>
      </c>
      <c r="C52" s="50">
        <v>3</v>
      </c>
      <c r="D52" s="50" t="s">
        <v>127</v>
      </c>
      <c r="E52" s="103" t="s">
        <v>311</v>
      </c>
      <c r="F52" s="51" t="s">
        <v>220</v>
      </c>
      <c r="G52" s="64" t="str">
        <f t="shared" si="100"/>
        <v>[effect:spread, val:0.5]</v>
      </c>
      <c r="H52" s="64">
        <f t="shared" si="101"/>
        <v>9</v>
      </c>
      <c r="I52" s="64">
        <f t="shared" si="102"/>
        <v>15</v>
      </c>
      <c r="J52" s="64" t="e">
        <f t="shared" si="103"/>
        <v>#VALUE!</v>
      </c>
      <c r="K52" s="64" t="e">
        <f t="shared" si="104"/>
        <v>#VALUE!</v>
      </c>
      <c r="L52" s="64" t="str">
        <f>IFERROR(VLOOKUP(MID(G52,J52,K52-J52),[6]skilldef!$C:$D,2,FALSE),"-") &amp; " / " &amp; IFERROR(VLOOKUP(MID(G52,H52,I52-H52),[6]skilldef!$A:$B,2,FALSE),"-")</f>
        <v>- / 全体攻撃</v>
      </c>
      <c r="M52" s="64" t="str">
        <f t="shared" si="105"/>
        <v>none</v>
      </c>
      <c r="N52" s="48" t="str">
        <f>IFERROR(LEFT(M52,FIND("],",M52)+S59),M52)</f>
        <v>none</v>
      </c>
      <c r="O52" s="64" t="e">
        <f t="shared" si="106"/>
        <v>#VALUE!</v>
      </c>
      <c r="P52" s="64">
        <f t="shared" si="107"/>
        <v>4</v>
      </c>
      <c r="Q52" s="64" t="e">
        <f t="shared" si="108"/>
        <v>#VALUE!</v>
      </c>
      <c r="R52" s="64" t="e">
        <f t="shared" si="109"/>
        <v>#VALUE!</v>
      </c>
      <c r="S52" s="64" t="str">
        <f>IFERROR(VLOOKUP(MID(N52,Q52,R52-Q52),[6]skilldef!$C:$D,2,FALSE),"-") &amp; " / " &amp; IFERROR(VLOOKUP(MID(N52,O52,P52-O52),[6]skilldef!$A:$B,2,FALSE),"-")</f>
        <v>- / -</v>
      </c>
      <c r="T52" s="48" t="str">
        <f t="shared" si="110"/>
        <v>none</v>
      </c>
      <c r="U52" s="64" t="e">
        <f t="shared" si="111"/>
        <v>#VALUE!</v>
      </c>
      <c r="V52" s="64">
        <f t="shared" si="112"/>
        <v>4</v>
      </c>
      <c r="W52" s="64" t="e">
        <f t="shared" si="113"/>
        <v>#VALUE!</v>
      </c>
      <c r="X52" s="64" t="e">
        <f t="shared" si="114"/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3003352</v>
      </c>
      <c r="B53" s="47" t="s">
        <v>270</v>
      </c>
      <c r="C53" s="50">
        <v>3</v>
      </c>
      <c r="D53" s="50" t="s">
        <v>127</v>
      </c>
      <c r="E53" s="103" t="s">
        <v>323</v>
      </c>
      <c r="F53" s="51" t="s">
        <v>273</v>
      </c>
      <c r="G53" s="64" t="str">
        <f t="shared" si="100"/>
        <v>[effect:enhance_enemy, target:myself, turn:1, status:defense, val:5000, calc:add, animation:enemy_enhance_defense]</v>
      </c>
      <c r="H53" s="64">
        <f t="shared" si="101"/>
        <v>9</v>
      </c>
      <c r="I53" s="64">
        <f t="shared" si="102"/>
        <v>22</v>
      </c>
      <c r="J53" s="64">
        <f t="shared" si="103"/>
        <v>31</v>
      </c>
      <c r="K53" s="64">
        <f t="shared" si="104"/>
        <v>37</v>
      </c>
      <c r="L53" s="64" t="str">
        <f>IFERROR(VLOOKUP(MID(G53,J53,K53-J53),[6]skilldef!$C:$D,2,FALSE),"-") &amp; " / " &amp; IFERROR(VLOOKUP(MID(G53,H53,I53-H53),[6]skilldef!$A:$B,2,FALSE),"-")</f>
        <v>自分自身に / ステータス強化</v>
      </c>
      <c r="M53" s="64" t="str">
        <f t="shared" si="105"/>
        <v>none</v>
      </c>
      <c r="N53" s="48" t="str">
        <f>IFERROR(LEFT(M53,FIND("],",M53)+#REF!),M53)</f>
        <v>none</v>
      </c>
      <c r="O53" s="64" t="e">
        <f t="shared" si="106"/>
        <v>#VALUE!</v>
      </c>
      <c r="P53" s="64">
        <f t="shared" si="107"/>
        <v>4</v>
      </c>
      <c r="Q53" s="64" t="e">
        <f t="shared" si="108"/>
        <v>#VALUE!</v>
      </c>
      <c r="R53" s="64" t="e">
        <f t="shared" si="109"/>
        <v>#VALUE!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si="110"/>
        <v>none</v>
      </c>
      <c r="U53" s="64" t="e">
        <f t="shared" si="111"/>
        <v>#VALUE!</v>
      </c>
      <c r="V53" s="64">
        <f t="shared" si="112"/>
        <v>4</v>
      </c>
      <c r="W53" s="64" t="e">
        <f t="shared" si="113"/>
        <v>#VALUE!</v>
      </c>
      <c r="X53" s="64" t="e">
        <f t="shared" si="114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3003353</v>
      </c>
      <c r="B54" s="104" t="s">
        <v>275</v>
      </c>
      <c r="C54" s="50">
        <v>3</v>
      </c>
      <c r="D54" s="50" t="s">
        <v>127</v>
      </c>
      <c r="E54" s="103" t="s">
        <v>311</v>
      </c>
      <c r="F54" s="51" t="s">
        <v>220</v>
      </c>
      <c r="G54" s="64" t="str">
        <f t="shared" si="100"/>
        <v>[effect:spread, val:0.5]</v>
      </c>
      <c r="H54" s="64">
        <f t="shared" si="101"/>
        <v>9</v>
      </c>
      <c r="I54" s="64">
        <f t="shared" si="102"/>
        <v>15</v>
      </c>
      <c r="J54" s="64" t="e">
        <f t="shared" si="103"/>
        <v>#VALUE!</v>
      </c>
      <c r="K54" s="64" t="e">
        <f t="shared" si="104"/>
        <v>#VALUE!</v>
      </c>
      <c r="L54" s="64" t="str">
        <f>IFERROR(VLOOKUP(MID(G54,J54,K54-J54),[6]skilldef!$C:$D,2,FALSE),"-") &amp; " / " &amp; IFERROR(VLOOKUP(MID(G54,H54,I54-H54),[6]skilldef!$A:$B,2,FALSE),"-")</f>
        <v>- / 全体攻撃</v>
      </c>
      <c r="M54" s="64" t="str">
        <f t="shared" si="105"/>
        <v>none</v>
      </c>
      <c r="N54" s="48" t="str">
        <f>IFERROR(LEFT(M54,FIND("],",M54)+S61),M54)</f>
        <v>none</v>
      </c>
      <c r="O54" s="64" t="e">
        <f t="shared" si="106"/>
        <v>#VALUE!</v>
      </c>
      <c r="P54" s="64">
        <f t="shared" si="107"/>
        <v>4</v>
      </c>
      <c r="Q54" s="64" t="e">
        <f t="shared" si="108"/>
        <v>#VALUE!</v>
      </c>
      <c r="R54" s="64" t="e">
        <f t="shared" si="109"/>
        <v>#VALUE!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110"/>
        <v>none</v>
      </c>
      <c r="U54" s="64" t="e">
        <f t="shared" si="111"/>
        <v>#VALUE!</v>
      </c>
      <c r="V54" s="64">
        <f t="shared" si="112"/>
        <v>4</v>
      </c>
      <c r="W54" s="64" t="e">
        <f t="shared" si="113"/>
        <v>#VALUE!</v>
      </c>
      <c r="X54" s="64" t="e">
        <f t="shared" si="114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3003354</v>
      </c>
      <c r="B55" s="47" t="s">
        <v>270</v>
      </c>
      <c r="C55" s="50">
        <v>3</v>
      </c>
      <c r="D55" s="50" t="s">
        <v>127</v>
      </c>
      <c r="E55" s="103" t="s">
        <v>323</v>
      </c>
      <c r="F55" s="51" t="s">
        <v>273</v>
      </c>
      <c r="G55" s="64" t="str">
        <f t="shared" si="100"/>
        <v>[effect:enhance_enemy, target:myself, turn:1, status:defense, val:5000, calc:add, animation:enemy_enhance_defense]</v>
      </c>
      <c r="H55" s="64">
        <f t="shared" si="101"/>
        <v>9</v>
      </c>
      <c r="I55" s="64">
        <f t="shared" si="102"/>
        <v>22</v>
      </c>
      <c r="J55" s="64">
        <f t="shared" si="103"/>
        <v>31</v>
      </c>
      <c r="K55" s="64">
        <f t="shared" si="104"/>
        <v>37</v>
      </c>
      <c r="L55" s="64" t="str">
        <f>IFERROR(VLOOKUP(MID(G55,J55,K55-J55),[6]skilldef!$C:$D,2,FALSE),"-") &amp; " / " &amp; IFERROR(VLOOKUP(MID(G55,H55,I55-H55),[6]skilldef!$A:$B,2,FALSE),"-")</f>
        <v>自分自身に / ステータス強化</v>
      </c>
      <c r="M55" s="64" t="str">
        <f t="shared" si="105"/>
        <v>none</v>
      </c>
      <c r="N55" s="48" t="str">
        <f>IFERROR(LEFT(M55,FIND("],",M55)+#REF!),M55)</f>
        <v>none</v>
      </c>
      <c r="O55" s="64" t="e">
        <f t="shared" si="106"/>
        <v>#VALUE!</v>
      </c>
      <c r="P55" s="64">
        <f t="shared" si="107"/>
        <v>4</v>
      </c>
      <c r="Q55" s="64" t="e">
        <f t="shared" si="108"/>
        <v>#VALUE!</v>
      </c>
      <c r="R55" s="64" t="e">
        <f t="shared" si="109"/>
        <v>#VALUE!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110"/>
        <v>none</v>
      </c>
      <c r="U55" s="64" t="e">
        <f t="shared" si="111"/>
        <v>#VALUE!</v>
      </c>
      <c r="V55" s="64">
        <f t="shared" si="112"/>
        <v>4</v>
      </c>
      <c r="W55" s="64" t="e">
        <f t="shared" si="113"/>
        <v>#VALUE!</v>
      </c>
      <c r="X55" s="64" t="e">
        <f t="shared" si="114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3003355</v>
      </c>
      <c r="B56" s="104" t="s">
        <v>275</v>
      </c>
      <c r="C56" s="50">
        <v>3</v>
      </c>
      <c r="D56" s="50" t="s">
        <v>127</v>
      </c>
      <c r="E56" s="103" t="s">
        <v>311</v>
      </c>
      <c r="F56" s="51" t="s">
        <v>220</v>
      </c>
      <c r="G56" s="64" t="str">
        <f t="shared" si="100"/>
        <v>[effect:spread, val:0.5]</v>
      </c>
      <c r="H56" s="64">
        <f t="shared" si="101"/>
        <v>9</v>
      </c>
      <c r="I56" s="64">
        <f t="shared" si="102"/>
        <v>15</v>
      </c>
      <c r="J56" s="64" t="e">
        <f t="shared" si="103"/>
        <v>#VALUE!</v>
      </c>
      <c r="K56" s="64" t="e">
        <f t="shared" si="104"/>
        <v>#VALUE!</v>
      </c>
      <c r="L56" s="64" t="str">
        <f>IFERROR(VLOOKUP(MID(G56,J56,K56-J56),[6]skilldef!$C:$D,2,FALSE),"-") &amp; " / " &amp; IFERROR(VLOOKUP(MID(G56,H56,I56-H56),[6]skilldef!$A:$B,2,FALSE),"-")</f>
        <v>- / 全体攻撃</v>
      </c>
      <c r="M56" s="64" t="str">
        <f t="shared" si="105"/>
        <v>none</v>
      </c>
      <c r="N56" s="48" t="str">
        <f>IFERROR(LEFT(M56,FIND("],",M56)+S63),M56)</f>
        <v>none</v>
      </c>
      <c r="O56" s="64" t="e">
        <f t="shared" si="106"/>
        <v>#VALUE!</v>
      </c>
      <c r="P56" s="64">
        <f t="shared" si="107"/>
        <v>4</v>
      </c>
      <c r="Q56" s="64" t="e">
        <f t="shared" si="108"/>
        <v>#VALUE!</v>
      </c>
      <c r="R56" s="64" t="e">
        <f t="shared" si="109"/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110"/>
        <v>none</v>
      </c>
      <c r="U56" s="64" t="e">
        <f t="shared" si="111"/>
        <v>#VALUE!</v>
      </c>
      <c r="V56" s="64">
        <f t="shared" si="112"/>
        <v>4</v>
      </c>
      <c r="W56" s="64" t="e">
        <f t="shared" si="113"/>
        <v>#VALUE!</v>
      </c>
      <c r="X56" s="64" t="e">
        <f t="shared" si="114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3003356</v>
      </c>
      <c r="B57" s="47" t="s">
        <v>270</v>
      </c>
      <c r="C57" s="50">
        <v>3</v>
      </c>
      <c r="D57" s="50" t="s">
        <v>127</v>
      </c>
      <c r="E57" s="103" t="s">
        <v>323</v>
      </c>
      <c r="F57" s="51" t="s">
        <v>273</v>
      </c>
      <c r="G57" s="64" t="str">
        <f t="shared" si="100"/>
        <v>[effect:enhance_enemy, target:myself, turn:1, status:defense, val:5000, calc:add, animation:enemy_enhance_defense]</v>
      </c>
      <c r="H57" s="64">
        <f t="shared" si="101"/>
        <v>9</v>
      </c>
      <c r="I57" s="64">
        <f t="shared" si="102"/>
        <v>22</v>
      </c>
      <c r="J57" s="64">
        <f t="shared" si="103"/>
        <v>31</v>
      </c>
      <c r="K57" s="64">
        <f t="shared" si="104"/>
        <v>37</v>
      </c>
      <c r="L57" s="64" t="str">
        <f>IFERROR(VLOOKUP(MID(G57,J57,K57-J57),[6]skilldef!$C:$D,2,FALSE),"-") &amp; " / " &amp; IFERROR(VLOOKUP(MID(G57,H57,I57-H57),[6]skilldef!$A:$B,2,FALSE),"-")</f>
        <v>自分自身に / ステータス強化</v>
      </c>
      <c r="M57" s="64" t="str">
        <f t="shared" si="105"/>
        <v>none</v>
      </c>
      <c r="N57" s="48" t="str">
        <f>IFERROR(LEFT(M57,FIND("],",M57)+#REF!),M57)</f>
        <v>none</v>
      </c>
      <c r="O57" s="64" t="e">
        <f t="shared" si="106"/>
        <v>#VALUE!</v>
      </c>
      <c r="P57" s="64">
        <f t="shared" si="107"/>
        <v>4</v>
      </c>
      <c r="Q57" s="64" t="e">
        <f t="shared" si="108"/>
        <v>#VALUE!</v>
      </c>
      <c r="R57" s="64" t="e">
        <f t="shared" si="109"/>
        <v>#VALUE!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si="110"/>
        <v>none</v>
      </c>
      <c r="U57" s="64" t="e">
        <f t="shared" si="111"/>
        <v>#VALUE!</v>
      </c>
      <c r="V57" s="64">
        <f t="shared" si="112"/>
        <v>4</v>
      </c>
      <c r="W57" s="64" t="e">
        <f t="shared" si="113"/>
        <v>#VALUE!</v>
      </c>
      <c r="X57" s="64" t="e">
        <f t="shared" si="114"/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3003357</v>
      </c>
      <c r="B58" s="104" t="s">
        <v>275</v>
      </c>
      <c r="C58" s="50">
        <v>3</v>
      </c>
      <c r="D58" s="50" t="s">
        <v>127</v>
      </c>
      <c r="E58" s="103" t="s">
        <v>311</v>
      </c>
      <c r="F58" s="51" t="s">
        <v>220</v>
      </c>
      <c r="G58" s="64" t="str">
        <f t="shared" si="100"/>
        <v>[effect:spread, val:0.5]</v>
      </c>
      <c r="H58" s="64">
        <f t="shared" si="101"/>
        <v>9</v>
      </c>
      <c r="I58" s="64">
        <f t="shared" si="102"/>
        <v>15</v>
      </c>
      <c r="J58" s="64" t="e">
        <f t="shared" si="103"/>
        <v>#VALUE!</v>
      </c>
      <c r="K58" s="64" t="e">
        <f t="shared" si="104"/>
        <v>#VALUE!</v>
      </c>
      <c r="L58" s="64" t="str">
        <f>IFERROR(VLOOKUP(MID(G58,J58,K58-J58),[6]skilldef!$C:$D,2,FALSE),"-") &amp; " / " &amp; IFERROR(VLOOKUP(MID(G58,H58,I58-H58),[6]skilldef!$A:$B,2,FALSE),"-")</f>
        <v>- / 全体攻撃</v>
      </c>
      <c r="M58" s="64" t="str">
        <f t="shared" si="105"/>
        <v>none</v>
      </c>
      <c r="N58" s="48" t="str">
        <f>IFERROR(LEFT(M58,FIND("],",M58)+S65),M58)</f>
        <v>none</v>
      </c>
      <c r="O58" s="64" t="e">
        <f t="shared" si="106"/>
        <v>#VALUE!</v>
      </c>
      <c r="P58" s="64">
        <f t="shared" si="107"/>
        <v>4</v>
      </c>
      <c r="Q58" s="64" t="e">
        <f t="shared" si="108"/>
        <v>#VALUE!</v>
      </c>
      <c r="R58" s="64" t="e">
        <f t="shared" si="109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110"/>
        <v>none</v>
      </c>
      <c r="U58" s="64" t="e">
        <f t="shared" si="111"/>
        <v>#VALUE!</v>
      </c>
      <c r="V58" s="64">
        <f t="shared" si="112"/>
        <v>4</v>
      </c>
      <c r="W58" s="64" t="e">
        <f t="shared" si="113"/>
        <v>#VALUE!</v>
      </c>
      <c r="X58" s="64" t="e">
        <f t="shared" si="114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3003358</v>
      </c>
      <c r="B59" s="47" t="s">
        <v>270</v>
      </c>
      <c r="C59" s="50">
        <v>3</v>
      </c>
      <c r="D59" s="50" t="s">
        <v>127</v>
      </c>
      <c r="E59" s="103" t="s">
        <v>323</v>
      </c>
      <c r="F59" s="51" t="s">
        <v>273</v>
      </c>
      <c r="G59" s="64" t="str">
        <f t="shared" si="100"/>
        <v>[effect:enhance_enemy, target:myself, turn:1, status:defense, val:5000, calc:add, animation:enemy_enhance_defense]</v>
      </c>
      <c r="H59" s="64">
        <f t="shared" si="101"/>
        <v>9</v>
      </c>
      <c r="I59" s="64">
        <f t="shared" si="102"/>
        <v>22</v>
      </c>
      <c r="J59" s="64">
        <f t="shared" si="103"/>
        <v>31</v>
      </c>
      <c r="K59" s="64">
        <f t="shared" si="104"/>
        <v>37</v>
      </c>
      <c r="L59" s="64" t="str">
        <f>IFERROR(VLOOKUP(MID(G59,J59,K59-J59),[6]skilldef!$C:$D,2,FALSE),"-") &amp; " / " &amp; IFERROR(VLOOKUP(MID(G59,H59,I59-H59),[6]skilldef!$A:$B,2,FALSE),"-")</f>
        <v>自分自身に / ステータス強化</v>
      </c>
      <c r="M59" s="64" t="str">
        <f t="shared" si="105"/>
        <v>none</v>
      </c>
      <c r="N59" s="48" t="str">
        <f>IFERROR(LEFT(M59,FIND("],",M59)+#REF!),M59)</f>
        <v>none</v>
      </c>
      <c r="O59" s="64" t="e">
        <f t="shared" si="106"/>
        <v>#VALUE!</v>
      </c>
      <c r="P59" s="64">
        <f t="shared" si="107"/>
        <v>4</v>
      </c>
      <c r="Q59" s="64" t="e">
        <f t="shared" si="108"/>
        <v>#VALUE!</v>
      </c>
      <c r="R59" s="64" t="e">
        <f t="shared" si="109"/>
        <v>#VALUE!</v>
      </c>
      <c r="S59" s="64" t="str">
        <f>IFERROR(VLOOKUP(MID(N59,Q59,R59-Q59),[6]skilldef!$C:$D,2,FALSE),"-") &amp; " / " &amp; IFERROR(VLOOKUP(MID(N59,O59,P59-O59),[6]skilldef!$A:$B,2,FALSE),"-")</f>
        <v>- / -</v>
      </c>
      <c r="T59" s="48" t="str">
        <f t="shared" si="110"/>
        <v>none</v>
      </c>
      <c r="U59" s="64" t="e">
        <f t="shared" si="111"/>
        <v>#VALUE!</v>
      </c>
      <c r="V59" s="64">
        <f t="shared" si="112"/>
        <v>4</v>
      </c>
      <c r="W59" s="64" t="e">
        <f t="shared" si="113"/>
        <v>#VALUE!</v>
      </c>
      <c r="X59" s="64" t="e">
        <f t="shared" si="114"/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3003359</v>
      </c>
      <c r="B60" s="104" t="s">
        <v>275</v>
      </c>
      <c r="C60" s="50">
        <v>3</v>
      </c>
      <c r="D60" s="50" t="s">
        <v>127</v>
      </c>
      <c r="E60" s="103" t="s">
        <v>311</v>
      </c>
      <c r="F60" s="51" t="s">
        <v>220</v>
      </c>
      <c r="G60" s="64" t="str">
        <f t="shared" si="100"/>
        <v>[effect:spread, val:0.5]</v>
      </c>
      <c r="H60" s="64">
        <f t="shared" si="101"/>
        <v>9</v>
      </c>
      <c r="I60" s="64">
        <f t="shared" si="102"/>
        <v>15</v>
      </c>
      <c r="J60" s="64" t="e">
        <f t="shared" si="103"/>
        <v>#VALUE!</v>
      </c>
      <c r="K60" s="64" t="e">
        <f t="shared" si="104"/>
        <v>#VALUE!</v>
      </c>
      <c r="L60" s="64" t="str">
        <f>IFERROR(VLOOKUP(MID(G60,J60,K60-J60),[6]skilldef!$C:$D,2,FALSE),"-") &amp; " / " &amp; IFERROR(VLOOKUP(MID(G60,H60,I60-H60),[6]skilldef!$A:$B,2,FALSE),"-")</f>
        <v>- / 全体攻撃</v>
      </c>
      <c r="M60" s="64" t="str">
        <f t="shared" si="105"/>
        <v>none</v>
      </c>
      <c r="N60" s="48" t="str">
        <f>IFERROR(LEFT(M60,FIND("],",M60)+S67),M60)</f>
        <v>none</v>
      </c>
      <c r="O60" s="64" t="e">
        <f t="shared" si="106"/>
        <v>#VALUE!</v>
      </c>
      <c r="P60" s="64">
        <f t="shared" si="107"/>
        <v>4</v>
      </c>
      <c r="Q60" s="64" t="e">
        <f t="shared" si="108"/>
        <v>#VALUE!</v>
      </c>
      <c r="R60" s="64" t="e">
        <f t="shared" si="109"/>
        <v>#VALUE!</v>
      </c>
      <c r="S60" s="64" t="str">
        <f>IFERROR(VLOOKUP(MID(N60,Q60,R60-Q60),[6]skilldef!$C:$D,2,FALSE),"-") &amp; " / " &amp; IFERROR(VLOOKUP(MID(N60,O60,P60-O60),[6]skilldef!$A:$B,2,FALSE),"-")</f>
        <v>- / -</v>
      </c>
      <c r="T60" s="48" t="str">
        <f t="shared" si="110"/>
        <v>none</v>
      </c>
      <c r="U60" s="64" t="e">
        <f t="shared" si="111"/>
        <v>#VALUE!</v>
      </c>
      <c r="V60" s="64">
        <f t="shared" si="112"/>
        <v>4</v>
      </c>
      <c r="W60" s="64" t="e">
        <f t="shared" si="113"/>
        <v>#VALUE!</v>
      </c>
      <c r="X60" s="64" t="e">
        <f t="shared" si="114"/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3003360</v>
      </c>
      <c r="B61" s="47" t="s">
        <v>270</v>
      </c>
      <c r="C61" s="50">
        <v>3</v>
      </c>
      <c r="D61" s="50" t="s">
        <v>127</v>
      </c>
      <c r="E61" s="103" t="s">
        <v>323</v>
      </c>
      <c r="F61" s="51" t="s">
        <v>273</v>
      </c>
      <c r="G61" s="64" t="str">
        <f t="shared" si="100"/>
        <v>[effect:enhance_enemy, target:myself, turn:1, status:defense, val:5000, calc:add, animation:enemy_enhance_defense]</v>
      </c>
      <c r="H61" s="64">
        <f t="shared" si="101"/>
        <v>9</v>
      </c>
      <c r="I61" s="64">
        <f t="shared" si="102"/>
        <v>22</v>
      </c>
      <c r="J61" s="64">
        <f t="shared" si="103"/>
        <v>31</v>
      </c>
      <c r="K61" s="64">
        <f t="shared" si="104"/>
        <v>37</v>
      </c>
      <c r="L61" s="64" t="str">
        <f>IFERROR(VLOOKUP(MID(G61,J61,K61-J61),[6]skilldef!$C:$D,2,FALSE),"-") &amp; " / " &amp; IFERROR(VLOOKUP(MID(G61,H61,I61-H61),[6]skilldef!$A:$B,2,FALSE),"-")</f>
        <v>自分自身に / ステータス強化</v>
      </c>
      <c r="M61" s="64" t="str">
        <f t="shared" si="105"/>
        <v>none</v>
      </c>
      <c r="N61" s="48" t="str">
        <f>IFERROR(LEFT(M61,FIND("],",M61)+#REF!),M61)</f>
        <v>none</v>
      </c>
      <c r="O61" s="64" t="e">
        <f t="shared" si="106"/>
        <v>#VALUE!</v>
      </c>
      <c r="P61" s="64">
        <f t="shared" si="107"/>
        <v>4</v>
      </c>
      <c r="Q61" s="64" t="e">
        <f t="shared" si="108"/>
        <v>#VALUE!</v>
      </c>
      <c r="R61" s="64" t="e">
        <f t="shared" si="109"/>
        <v>#VALUE!</v>
      </c>
      <c r="S61" s="64" t="str">
        <f>IFERROR(VLOOKUP(MID(N61,Q61,R61-Q61),[6]skilldef!$C:$D,2,FALSE),"-") &amp; " / " &amp; IFERROR(VLOOKUP(MID(N61,O61,P61-O61),[6]skilldef!$A:$B,2,FALSE),"-")</f>
        <v>- / -</v>
      </c>
      <c r="T61" s="48" t="str">
        <f t="shared" si="110"/>
        <v>none</v>
      </c>
      <c r="U61" s="64" t="e">
        <f t="shared" si="111"/>
        <v>#VALUE!</v>
      </c>
      <c r="V61" s="64">
        <f t="shared" si="112"/>
        <v>4</v>
      </c>
      <c r="W61" s="64" t="e">
        <f t="shared" si="113"/>
        <v>#VALUE!</v>
      </c>
      <c r="X61" s="64" t="e">
        <f t="shared" si="114"/>
        <v>#VALUE!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47">
        <v>3003361</v>
      </c>
      <c r="B62" s="104" t="s">
        <v>275</v>
      </c>
      <c r="C62" s="50">
        <v>3</v>
      </c>
      <c r="D62" s="50" t="s">
        <v>127</v>
      </c>
      <c r="E62" s="103" t="s">
        <v>311</v>
      </c>
      <c r="F62" s="51" t="s">
        <v>220</v>
      </c>
      <c r="G62" s="64" t="str">
        <f t="shared" si="100"/>
        <v>[effect:spread, val:0.5]</v>
      </c>
      <c r="H62" s="64">
        <f t="shared" si="101"/>
        <v>9</v>
      </c>
      <c r="I62" s="64">
        <f t="shared" si="102"/>
        <v>15</v>
      </c>
      <c r="J62" s="64" t="e">
        <f t="shared" si="103"/>
        <v>#VALUE!</v>
      </c>
      <c r="K62" s="64" t="e">
        <f t="shared" si="104"/>
        <v>#VALUE!</v>
      </c>
      <c r="L62" s="64" t="str">
        <f>IFERROR(VLOOKUP(MID(G62,J62,K62-J62),[6]skilldef!$C:$D,2,FALSE),"-") &amp; " / " &amp; IFERROR(VLOOKUP(MID(G62,H62,I62-H62),[6]skilldef!$A:$B,2,FALSE),"-")</f>
        <v>- / 全体攻撃</v>
      </c>
      <c r="M62" s="64" t="str">
        <f t="shared" si="105"/>
        <v>none</v>
      </c>
      <c r="N62" s="48" t="str">
        <f>IFERROR(LEFT(M62,FIND("],",M62)+S69),M62)</f>
        <v>none</v>
      </c>
      <c r="O62" s="64" t="e">
        <f t="shared" si="106"/>
        <v>#VALUE!</v>
      </c>
      <c r="P62" s="64">
        <f t="shared" si="107"/>
        <v>4</v>
      </c>
      <c r="Q62" s="64" t="e">
        <f t="shared" si="108"/>
        <v>#VALUE!</v>
      </c>
      <c r="R62" s="64" t="e">
        <f t="shared" si="109"/>
        <v>#VALUE!</v>
      </c>
      <c r="S62" s="64" t="str">
        <f>IFERROR(VLOOKUP(MID(N62,Q62,R62-Q62),[6]skilldef!$C:$D,2,FALSE),"-") &amp; " / " &amp; IFERROR(VLOOKUP(MID(N62,O62,P62-O62),[6]skilldef!$A:$B,2,FALSE),"-")</f>
        <v>- / -</v>
      </c>
      <c r="T62" s="48" t="str">
        <f t="shared" si="110"/>
        <v>none</v>
      </c>
      <c r="U62" s="64" t="e">
        <f t="shared" si="111"/>
        <v>#VALUE!</v>
      </c>
      <c r="V62" s="64">
        <f t="shared" si="112"/>
        <v>4</v>
      </c>
      <c r="W62" s="64" t="e">
        <f t="shared" si="113"/>
        <v>#VALUE!</v>
      </c>
      <c r="X62" s="64" t="e">
        <f t="shared" si="114"/>
        <v>#VALUE!</v>
      </c>
      <c r="Y62" s="64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47">
        <v>3003362</v>
      </c>
      <c r="B63" s="47" t="s">
        <v>270</v>
      </c>
      <c r="C63" s="50">
        <v>3</v>
      </c>
      <c r="D63" s="50" t="s">
        <v>127</v>
      </c>
      <c r="E63" s="103" t="s">
        <v>323</v>
      </c>
      <c r="F63" s="51" t="s">
        <v>273</v>
      </c>
      <c r="G63" s="64" t="str">
        <f t="shared" si="100"/>
        <v>[effect:enhance_enemy, target:myself, turn:1, status:defense, val:5000, calc:add, animation:enemy_enhance_defense]</v>
      </c>
      <c r="H63" s="64">
        <f t="shared" si="101"/>
        <v>9</v>
      </c>
      <c r="I63" s="64">
        <f t="shared" si="102"/>
        <v>22</v>
      </c>
      <c r="J63" s="64">
        <f t="shared" si="103"/>
        <v>31</v>
      </c>
      <c r="K63" s="64">
        <f t="shared" si="104"/>
        <v>37</v>
      </c>
      <c r="L63" s="64" t="str">
        <f>IFERROR(VLOOKUP(MID(G63,J63,K63-J63),[6]skilldef!$C:$D,2,FALSE),"-") &amp; " / " &amp; IFERROR(VLOOKUP(MID(G63,H63,I63-H63),[6]skilldef!$A:$B,2,FALSE),"-")</f>
        <v>自分自身に / ステータス強化</v>
      </c>
      <c r="M63" s="64" t="str">
        <f t="shared" si="105"/>
        <v>none</v>
      </c>
      <c r="N63" s="48" t="str">
        <f>IFERROR(LEFT(M63,FIND("],",M63)+#REF!),M63)</f>
        <v>none</v>
      </c>
      <c r="O63" s="64" t="e">
        <f t="shared" si="106"/>
        <v>#VALUE!</v>
      </c>
      <c r="P63" s="64">
        <f t="shared" si="107"/>
        <v>4</v>
      </c>
      <c r="Q63" s="64" t="e">
        <f t="shared" si="108"/>
        <v>#VALUE!</v>
      </c>
      <c r="R63" s="64" t="e">
        <f t="shared" si="109"/>
        <v>#VALUE!</v>
      </c>
      <c r="S63" s="64" t="str">
        <f>IFERROR(VLOOKUP(MID(N63,Q63,R63-Q63),[6]skilldef!$C:$D,2,FALSE),"-") &amp; " / " &amp; IFERROR(VLOOKUP(MID(N63,O63,P63-O63),[6]skilldef!$A:$B,2,FALSE),"-")</f>
        <v>- / -</v>
      </c>
      <c r="T63" s="48" t="str">
        <f t="shared" si="110"/>
        <v>none</v>
      </c>
      <c r="U63" s="64" t="e">
        <f t="shared" si="111"/>
        <v>#VALUE!</v>
      </c>
      <c r="V63" s="64">
        <f t="shared" si="112"/>
        <v>4</v>
      </c>
      <c r="W63" s="64" t="e">
        <f t="shared" si="113"/>
        <v>#VALUE!</v>
      </c>
      <c r="X63" s="64" t="e">
        <f t="shared" si="114"/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3003363</v>
      </c>
      <c r="B64" s="104" t="s">
        <v>275</v>
      </c>
      <c r="C64" s="50">
        <v>3</v>
      </c>
      <c r="D64" s="50" t="s">
        <v>127</v>
      </c>
      <c r="E64" s="103" t="s">
        <v>311</v>
      </c>
      <c r="F64" s="51" t="s">
        <v>220</v>
      </c>
      <c r="G64" s="64" t="str">
        <f t="shared" si="100"/>
        <v>[effect:spread, val:0.5]</v>
      </c>
      <c r="H64" s="64">
        <f t="shared" si="101"/>
        <v>9</v>
      </c>
      <c r="I64" s="64">
        <f t="shared" si="102"/>
        <v>15</v>
      </c>
      <c r="J64" s="64" t="e">
        <f t="shared" si="103"/>
        <v>#VALUE!</v>
      </c>
      <c r="K64" s="64" t="e">
        <f t="shared" si="104"/>
        <v>#VALUE!</v>
      </c>
      <c r="L64" s="64" t="str">
        <f>IFERROR(VLOOKUP(MID(G64,J64,K64-J64),[6]skilldef!$C:$D,2,FALSE),"-") &amp; " / " &amp; IFERROR(VLOOKUP(MID(G64,H64,I64-H64),[6]skilldef!$A:$B,2,FALSE),"-")</f>
        <v>- / 全体攻撃</v>
      </c>
      <c r="M64" s="64" t="str">
        <f t="shared" si="105"/>
        <v>none</v>
      </c>
      <c r="N64" s="48" t="str">
        <f>IFERROR(LEFT(M64,FIND("],",M64)+S71),M64)</f>
        <v>none</v>
      </c>
      <c r="O64" s="64" t="e">
        <f t="shared" si="106"/>
        <v>#VALUE!</v>
      </c>
      <c r="P64" s="64">
        <f t="shared" si="107"/>
        <v>4</v>
      </c>
      <c r="Q64" s="64" t="e">
        <f t="shared" si="108"/>
        <v>#VALUE!</v>
      </c>
      <c r="R64" s="64" t="e">
        <f t="shared" si="109"/>
        <v>#VALUE!</v>
      </c>
      <c r="S64" s="64" t="str">
        <f>IFERROR(VLOOKUP(MID(N64,Q64,R64-Q64),[6]skilldef!$C:$D,2,FALSE),"-") &amp; " / " &amp; IFERROR(VLOOKUP(MID(N64,O64,P64-O64),[6]skilldef!$A:$B,2,FALSE),"-")</f>
        <v>- / -</v>
      </c>
      <c r="T64" s="48" t="str">
        <f t="shared" si="110"/>
        <v>none</v>
      </c>
      <c r="U64" s="64" t="e">
        <f t="shared" si="111"/>
        <v>#VALUE!</v>
      </c>
      <c r="V64" s="64">
        <f t="shared" si="112"/>
        <v>4</v>
      </c>
      <c r="W64" s="64" t="e">
        <f t="shared" si="113"/>
        <v>#VALUE!</v>
      </c>
      <c r="X64" s="64" t="e">
        <f t="shared" si="114"/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47">
        <v>3003364</v>
      </c>
      <c r="B65" s="47" t="s">
        <v>270</v>
      </c>
      <c r="C65" s="50">
        <v>3</v>
      </c>
      <c r="D65" s="50" t="s">
        <v>127</v>
      </c>
      <c r="E65" s="103" t="s">
        <v>323</v>
      </c>
      <c r="F65" s="51" t="s">
        <v>273</v>
      </c>
      <c r="G65" s="64" t="str">
        <f t="shared" si="100"/>
        <v>[effect:enhance_enemy, target:myself, turn:1, status:defense, val:5000, calc:add, animation:enemy_enhance_defense]</v>
      </c>
      <c r="H65" s="64">
        <f t="shared" si="101"/>
        <v>9</v>
      </c>
      <c r="I65" s="64">
        <f t="shared" si="102"/>
        <v>22</v>
      </c>
      <c r="J65" s="64">
        <f t="shared" si="103"/>
        <v>31</v>
      </c>
      <c r="K65" s="64">
        <f t="shared" si="104"/>
        <v>37</v>
      </c>
      <c r="L65" s="64" t="str">
        <f>IFERROR(VLOOKUP(MID(G65,J65,K65-J65),[6]skilldef!$C:$D,2,FALSE),"-") &amp; " / " &amp; IFERROR(VLOOKUP(MID(G65,H65,I65-H65),[6]skilldef!$A:$B,2,FALSE),"-")</f>
        <v>自分自身に / ステータス強化</v>
      </c>
      <c r="M65" s="64" t="str">
        <f t="shared" si="105"/>
        <v>none</v>
      </c>
      <c r="N65" s="48" t="str">
        <f>IFERROR(LEFT(M65,FIND("],",M65)+#REF!),M65)</f>
        <v>none</v>
      </c>
      <c r="O65" s="64" t="e">
        <f t="shared" si="106"/>
        <v>#VALUE!</v>
      </c>
      <c r="P65" s="64">
        <f t="shared" si="107"/>
        <v>4</v>
      </c>
      <c r="Q65" s="64" t="e">
        <f t="shared" si="108"/>
        <v>#VALUE!</v>
      </c>
      <c r="R65" s="64" t="e">
        <f t="shared" si="109"/>
        <v>#VALUE!</v>
      </c>
      <c r="S65" s="64" t="str">
        <f>IFERROR(VLOOKUP(MID(N65,Q65,R65-Q65),[6]skilldef!$C:$D,2,FALSE),"-") &amp; " / " &amp; IFERROR(VLOOKUP(MID(N65,O65,P65-O65),[6]skilldef!$A:$B,2,FALSE),"-")</f>
        <v>- / -</v>
      </c>
      <c r="T65" s="48" t="str">
        <f t="shared" si="110"/>
        <v>none</v>
      </c>
      <c r="U65" s="64" t="e">
        <f t="shared" si="111"/>
        <v>#VALUE!</v>
      </c>
      <c r="V65" s="64">
        <f t="shared" si="112"/>
        <v>4</v>
      </c>
      <c r="W65" s="64" t="e">
        <f t="shared" si="113"/>
        <v>#VALUE!</v>
      </c>
      <c r="X65" s="64" t="e">
        <f t="shared" si="114"/>
        <v>#VALUE!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47">
        <v>3003365</v>
      </c>
      <c r="B66" s="104" t="s">
        <v>275</v>
      </c>
      <c r="C66" s="50">
        <v>3</v>
      </c>
      <c r="D66" s="50" t="s">
        <v>127</v>
      </c>
      <c r="E66" s="103" t="s">
        <v>311</v>
      </c>
      <c r="F66" s="51" t="s">
        <v>220</v>
      </c>
      <c r="G66" s="64" t="str">
        <f t="shared" si="100"/>
        <v>[effect:spread, val:0.5]</v>
      </c>
      <c r="H66" s="64">
        <f t="shared" si="101"/>
        <v>9</v>
      </c>
      <c r="I66" s="64">
        <f t="shared" si="102"/>
        <v>15</v>
      </c>
      <c r="J66" s="64" t="e">
        <f t="shared" si="103"/>
        <v>#VALUE!</v>
      </c>
      <c r="K66" s="64" t="e">
        <f t="shared" si="104"/>
        <v>#VALUE!</v>
      </c>
      <c r="L66" s="64" t="str">
        <f>IFERROR(VLOOKUP(MID(G66,J66,K66-J66),[6]skilldef!$C:$D,2,FALSE),"-") &amp; " / " &amp; IFERROR(VLOOKUP(MID(G66,H66,I66-H66),[6]skilldef!$A:$B,2,FALSE),"-")</f>
        <v>- / 全体攻撃</v>
      </c>
      <c r="M66" s="64" t="str">
        <f t="shared" si="105"/>
        <v>none</v>
      </c>
      <c r="N66" s="48" t="str">
        <f>IFERROR(LEFT(M66,FIND("],",M66)+S73),M66)</f>
        <v>none</v>
      </c>
      <c r="O66" s="64" t="e">
        <f t="shared" si="106"/>
        <v>#VALUE!</v>
      </c>
      <c r="P66" s="64">
        <f t="shared" si="107"/>
        <v>4</v>
      </c>
      <c r="Q66" s="64" t="e">
        <f t="shared" si="108"/>
        <v>#VALUE!</v>
      </c>
      <c r="R66" s="64" t="e">
        <f t="shared" si="109"/>
        <v>#VALUE!</v>
      </c>
      <c r="S66" s="64" t="str">
        <f>IFERROR(VLOOKUP(MID(N66,Q66,R66-Q66),[6]skilldef!$C:$D,2,FALSE),"-") &amp; " / " &amp; IFERROR(VLOOKUP(MID(N66,O66,P66-O66),[6]skilldef!$A:$B,2,FALSE),"-")</f>
        <v>- / -</v>
      </c>
      <c r="T66" s="48" t="str">
        <f t="shared" si="110"/>
        <v>none</v>
      </c>
      <c r="U66" s="64" t="e">
        <f t="shared" si="111"/>
        <v>#VALUE!</v>
      </c>
      <c r="V66" s="64">
        <f t="shared" si="112"/>
        <v>4</v>
      </c>
      <c r="W66" s="64" t="e">
        <f t="shared" si="113"/>
        <v>#VALUE!</v>
      </c>
      <c r="X66" s="64" t="e">
        <f t="shared" si="114"/>
        <v>#VALUE!</v>
      </c>
      <c r="Y66" s="64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47">
        <v>3003366</v>
      </c>
      <c r="B67" s="47" t="s">
        <v>270</v>
      </c>
      <c r="C67" s="50">
        <v>3</v>
      </c>
      <c r="D67" s="50" t="s">
        <v>127</v>
      </c>
      <c r="E67" s="103" t="s">
        <v>323</v>
      </c>
      <c r="F67" s="51" t="s">
        <v>273</v>
      </c>
      <c r="G67" s="64" t="str">
        <f t="shared" si="100"/>
        <v>[effect:enhance_enemy, target:myself, turn:1, status:defense, val:5000, calc:add, animation:enemy_enhance_defense]</v>
      </c>
      <c r="H67" s="64">
        <f t="shared" si="101"/>
        <v>9</v>
      </c>
      <c r="I67" s="64">
        <f t="shared" si="102"/>
        <v>22</v>
      </c>
      <c r="J67" s="64">
        <f t="shared" si="103"/>
        <v>31</v>
      </c>
      <c r="K67" s="64">
        <f t="shared" si="104"/>
        <v>37</v>
      </c>
      <c r="L67" s="64" t="str">
        <f>IFERROR(VLOOKUP(MID(G67,J67,K67-J67),[6]skilldef!$C:$D,2,FALSE),"-") &amp; " / " &amp; IFERROR(VLOOKUP(MID(G67,H67,I67-H67),[6]skilldef!$A:$B,2,FALSE),"-")</f>
        <v>自分自身に / ステータス強化</v>
      </c>
      <c r="M67" s="64" t="str">
        <f t="shared" si="105"/>
        <v>none</v>
      </c>
      <c r="N67" s="48" t="str">
        <f>IFERROR(LEFT(M67,FIND("],",M67)+#REF!),M67)</f>
        <v>none</v>
      </c>
      <c r="O67" s="64" t="e">
        <f t="shared" si="106"/>
        <v>#VALUE!</v>
      </c>
      <c r="P67" s="64">
        <f t="shared" si="107"/>
        <v>4</v>
      </c>
      <c r="Q67" s="64" t="e">
        <f t="shared" si="108"/>
        <v>#VALUE!</v>
      </c>
      <c r="R67" s="64" t="e">
        <f t="shared" si="109"/>
        <v>#VALUE!</v>
      </c>
      <c r="S67" s="64" t="str">
        <f>IFERROR(VLOOKUP(MID(N67,Q67,R67-Q67),[6]skilldef!$C:$D,2,FALSE),"-") &amp; " / " &amp; IFERROR(VLOOKUP(MID(N67,O67,P67-O67),[6]skilldef!$A:$B,2,FALSE),"-")</f>
        <v>- / -</v>
      </c>
      <c r="T67" s="48" t="str">
        <f t="shared" si="110"/>
        <v>none</v>
      </c>
      <c r="U67" s="64" t="e">
        <f t="shared" si="111"/>
        <v>#VALUE!</v>
      </c>
      <c r="V67" s="64">
        <f t="shared" si="112"/>
        <v>4</v>
      </c>
      <c r="W67" s="64" t="e">
        <f t="shared" si="113"/>
        <v>#VALUE!</v>
      </c>
      <c r="X67" s="64" t="e">
        <f t="shared" si="114"/>
        <v>#VALUE!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47">
        <v>3003367</v>
      </c>
      <c r="B68" s="104" t="s">
        <v>275</v>
      </c>
      <c r="C68" s="50">
        <v>3</v>
      </c>
      <c r="D68" s="50" t="s">
        <v>127</v>
      </c>
      <c r="E68" s="103" t="s">
        <v>311</v>
      </c>
      <c r="F68" s="51" t="s">
        <v>220</v>
      </c>
      <c r="G68" s="64" t="str">
        <f t="shared" si="100"/>
        <v>[effect:spread, val:0.5]</v>
      </c>
      <c r="H68" s="64">
        <f t="shared" si="101"/>
        <v>9</v>
      </c>
      <c r="I68" s="64">
        <f t="shared" si="102"/>
        <v>15</v>
      </c>
      <c r="J68" s="64" t="e">
        <f t="shared" si="103"/>
        <v>#VALUE!</v>
      </c>
      <c r="K68" s="64" t="e">
        <f t="shared" si="104"/>
        <v>#VALUE!</v>
      </c>
      <c r="L68" s="64" t="str">
        <f>IFERROR(VLOOKUP(MID(G68,J68,K68-J68),[6]skilldef!$C:$D,2,FALSE),"-") &amp; " / " &amp; IFERROR(VLOOKUP(MID(G68,H68,I68-H68),[6]skilldef!$A:$B,2,FALSE),"-")</f>
        <v>- / 全体攻撃</v>
      </c>
      <c r="M68" s="64" t="str">
        <f t="shared" si="105"/>
        <v>none</v>
      </c>
      <c r="N68" s="48" t="str">
        <f>IFERROR(LEFT(M68,FIND("],",M68)+S75),M68)</f>
        <v>none</v>
      </c>
      <c r="O68" s="64" t="e">
        <f t="shared" si="106"/>
        <v>#VALUE!</v>
      </c>
      <c r="P68" s="64">
        <f t="shared" si="107"/>
        <v>4</v>
      </c>
      <c r="Q68" s="64" t="e">
        <f t="shared" si="108"/>
        <v>#VALUE!</v>
      </c>
      <c r="R68" s="64" t="e">
        <f t="shared" si="109"/>
        <v>#VALUE!</v>
      </c>
      <c r="S68" s="64" t="str">
        <f>IFERROR(VLOOKUP(MID(N68,Q68,R68-Q68),[6]skilldef!$C:$D,2,FALSE),"-") &amp; " / " &amp; IFERROR(VLOOKUP(MID(N68,O68,P68-O68),[6]skilldef!$A:$B,2,FALSE),"-")</f>
        <v>- / -</v>
      </c>
      <c r="T68" s="48" t="str">
        <f t="shared" si="110"/>
        <v>none</v>
      </c>
      <c r="U68" s="64" t="e">
        <f t="shared" si="111"/>
        <v>#VALUE!</v>
      </c>
      <c r="V68" s="64">
        <f t="shared" si="112"/>
        <v>4</v>
      </c>
      <c r="W68" s="64" t="e">
        <f t="shared" si="113"/>
        <v>#VALUE!</v>
      </c>
      <c r="X68" s="64" t="e">
        <f t="shared" si="114"/>
        <v>#VALUE!</v>
      </c>
      <c r="Y68" s="64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47">
        <v>3003368</v>
      </c>
      <c r="B69" s="47" t="s">
        <v>270</v>
      </c>
      <c r="C69" s="50">
        <v>3</v>
      </c>
      <c r="D69" s="50" t="s">
        <v>127</v>
      </c>
      <c r="E69" s="103" t="s">
        <v>323</v>
      </c>
      <c r="F69" s="51" t="s">
        <v>273</v>
      </c>
      <c r="G69" s="64" t="str">
        <f t="shared" si="100"/>
        <v>[effect:enhance_enemy, target:myself, turn:1, status:defense, val:5000, calc:add, animation:enemy_enhance_defense]</v>
      </c>
      <c r="H69" s="64">
        <f t="shared" si="101"/>
        <v>9</v>
      </c>
      <c r="I69" s="64">
        <f t="shared" si="102"/>
        <v>22</v>
      </c>
      <c r="J69" s="64">
        <f t="shared" si="103"/>
        <v>31</v>
      </c>
      <c r="K69" s="64">
        <f t="shared" si="104"/>
        <v>37</v>
      </c>
      <c r="L69" s="64" t="str">
        <f>IFERROR(VLOOKUP(MID(G69,J69,K69-J69),[6]skilldef!$C:$D,2,FALSE),"-") &amp; " / " &amp; IFERROR(VLOOKUP(MID(G69,H69,I69-H69),[6]skilldef!$A:$B,2,FALSE),"-")</f>
        <v>自分自身に / ステータス強化</v>
      </c>
      <c r="M69" s="64" t="str">
        <f t="shared" si="105"/>
        <v>none</v>
      </c>
      <c r="N69" s="48" t="str">
        <f>IFERROR(LEFT(M69,FIND("],",M69)+#REF!),M69)</f>
        <v>none</v>
      </c>
      <c r="O69" s="64" t="e">
        <f t="shared" si="106"/>
        <v>#VALUE!</v>
      </c>
      <c r="P69" s="64">
        <f t="shared" si="107"/>
        <v>4</v>
      </c>
      <c r="Q69" s="64" t="e">
        <f t="shared" si="108"/>
        <v>#VALUE!</v>
      </c>
      <c r="R69" s="64" t="e">
        <f t="shared" si="109"/>
        <v>#VALUE!</v>
      </c>
      <c r="S69" s="64" t="str">
        <f>IFERROR(VLOOKUP(MID(N69,Q69,R69-Q69),[6]skilldef!$C:$D,2,FALSE),"-") &amp; " / " &amp; IFERROR(VLOOKUP(MID(N69,O69,P69-O69),[6]skilldef!$A:$B,2,FALSE),"-")</f>
        <v>- / -</v>
      </c>
      <c r="T69" s="48" t="str">
        <f t="shared" si="110"/>
        <v>none</v>
      </c>
      <c r="U69" s="64" t="e">
        <f t="shared" si="111"/>
        <v>#VALUE!</v>
      </c>
      <c r="V69" s="64">
        <f t="shared" si="112"/>
        <v>4</v>
      </c>
      <c r="W69" s="64" t="e">
        <f t="shared" si="113"/>
        <v>#VALUE!</v>
      </c>
      <c r="X69" s="64" t="e">
        <f t="shared" si="114"/>
        <v>#VALUE!</v>
      </c>
      <c r="Y69" s="64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47">
        <v>3003369</v>
      </c>
      <c r="B70" s="104" t="s">
        <v>275</v>
      </c>
      <c r="C70" s="50">
        <v>3</v>
      </c>
      <c r="D70" s="50" t="s">
        <v>127</v>
      </c>
      <c r="E70" s="103" t="s">
        <v>311</v>
      </c>
      <c r="F70" s="51" t="s">
        <v>220</v>
      </c>
      <c r="G70" s="64" t="str">
        <f t="shared" si="100"/>
        <v>[effect:spread, val:0.5]</v>
      </c>
      <c r="H70" s="64">
        <f t="shared" si="101"/>
        <v>9</v>
      </c>
      <c r="I70" s="64">
        <f t="shared" si="102"/>
        <v>15</v>
      </c>
      <c r="J70" s="64" t="e">
        <f t="shared" si="103"/>
        <v>#VALUE!</v>
      </c>
      <c r="K70" s="64" t="e">
        <f t="shared" si="104"/>
        <v>#VALUE!</v>
      </c>
      <c r="L70" s="64" t="str">
        <f>IFERROR(VLOOKUP(MID(G70,J70,K70-J70),[6]skilldef!$C:$D,2,FALSE),"-") &amp; " / " &amp; IFERROR(VLOOKUP(MID(G70,H70,I70-H70),[6]skilldef!$A:$B,2,FALSE),"-")</f>
        <v>- / 全体攻撃</v>
      </c>
      <c r="M70" s="64" t="str">
        <f t="shared" si="105"/>
        <v>none</v>
      </c>
      <c r="N70" s="48" t="str">
        <f>IFERROR(LEFT(M70,FIND("],",M70)+S77),M70)</f>
        <v>none</v>
      </c>
      <c r="O70" s="64" t="e">
        <f t="shared" si="106"/>
        <v>#VALUE!</v>
      </c>
      <c r="P70" s="64">
        <f t="shared" si="107"/>
        <v>4</v>
      </c>
      <c r="Q70" s="64" t="e">
        <f t="shared" si="108"/>
        <v>#VALUE!</v>
      </c>
      <c r="R70" s="64" t="e">
        <f t="shared" si="109"/>
        <v>#VALUE!</v>
      </c>
      <c r="S70" s="64" t="str">
        <f>IFERROR(VLOOKUP(MID(N70,Q70,R70-Q70),[6]skilldef!$C:$D,2,FALSE),"-") &amp; " / " &amp; IFERROR(VLOOKUP(MID(N70,O70,P70-O70),[6]skilldef!$A:$B,2,FALSE),"-")</f>
        <v>- / -</v>
      </c>
      <c r="T70" s="48" t="str">
        <f t="shared" si="110"/>
        <v>none</v>
      </c>
      <c r="U70" s="64" t="e">
        <f t="shared" si="111"/>
        <v>#VALUE!</v>
      </c>
      <c r="V70" s="64">
        <f t="shared" si="112"/>
        <v>4</v>
      </c>
      <c r="W70" s="64" t="e">
        <f t="shared" si="113"/>
        <v>#VALUE!</v>
      </c>
      <c r="X70" s="64" t="e">
        <f t="shared" si="114"/>
        <v>#VALUE!</v>
      </c>
      <c r="Y70" s="64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47">
        <v>3003370</v>
      </c>
      <c r="B71" s="47" t="s">
        <v>270</v>
      </c>
      <c r="C71" s="50">
        <v>3</v>
      </c>
      <c r="D71" s="50" t="s">
        <v>127</v>
      </c>
      <c r="E71" s="103" t="s">
        <v>323</v>
      </c>
      <c r="F71" s="51" t="s">
        <v>273</v>
      </c>
      <c r="G71" s="64" t="str">
        <f t="shared" si="100"/>
        <v>[effect:enhance_enemy, target:myself, turn:1, status:defense, val:5000, calc:add, animation:enemy_enhance_defense]</v>
      </c>
      <c r="H71" s="64">
        <f t="shared" si="101"/>
        <v>9</v>
      </c>
      <c r="I71" s="64">
        <f t="shared" si="102"/>
        <v>22</v>
      </c>
      <c r="J71" s="64">
        <f t="shared" si="103"/>
        <v>31</v>
      </c>
      <c r="K71" s="64">
        <f t="shared" si="104"/>
        <v>37</v>
      </c>
      <c r="L71" s="64" t="str">
        <f>IFERROR(VLOOKUP(MID(G71,J71,K71-J71),[6]skilldef!$C:$D,2,FALSE),"-") &amp; " / " &amp; IFERROR(VLOOKUP(MID(G71,H71,I71-H71),[6]skilldef!$A:$B,2,FALSE),"-")</f>
        <v>自分自身に / ステータス強化</v>
      </c>
      <c r="M71" s="64" t="str">
        <f t="shared" si="105"/>
        <v>none</v>
      </c>
      <c r="N71" s="48" t="str">
        <f>IFERROR(LEFT(M71,FIND("],",M71)+#REF!),M71)</f>
        <v>none</v>
      </c>
      <c r="O71" s="64" t="e">
        <f t="shared" si="106"/>
        <v>#VALUE!</v>
      </c>
      <c r="P71" s="64">
        <f t="shared" si="107"/>
        <v>4</v>
      </c>
      <c r="Q71" s="64" t="e">
        <f t="shared" si="108"/>
        <v>#VALUE!</v>
      </c>
      <c r="R71" s="64" t="e">
        <f t="shared" si="109"/>
        <v>#VALUE!</v>
      </c>
      <c r="S71" s="64" t="str">
        <f>IFERROR(VLOOKUP(MID(N71,Q71,R71-Q71),[6]skilldef!$C:$D,2,FALSE),"-") &amp; " / " &amp; IFERROR(VLOOKUP(MID(N71,O71,P71-O71),[6]skilldef!$A:$B,2,FALSE),"-")</f>
        <v>- / -</v>
      </c>
      <c r="T71" s="48" t="str">
        <f t="shared" si="110"/>
        <v>none</v>
      </c>
      <c r="U71" s="64" t="e">
        <f t="shared" si="111"/>
        <v>#VALUE!</v>
      </c>
      <c r="V71" s="64">
        <f t="shared" si="112"/>
        <v>4</v>
      </c>
      <c r="W71" s="64" t="e">
        <f t="shared" si="113"/>
        <v>#VALUE!</v>
      </c>
      <c r="X71" s="64" t="e">
        <f t="shared" si="114"/>
        <v>#VALUE!</v>
      </c>
      <c r="Y71" s="64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x14ac:dyDescent="0.15">
      <c r="A72" s="47">
        <v>3003371</v>
      </c>
      <c r="B72" s="104" t="s">
        <v>275</v>
      </c>
      <c r="C72" s="50">
        <v>3</v>
      </c>
      <c r="D72" s="50" t="s">
        <v>127</v>
      </c>
      <c r="E72" s="103" t="s">
        <v>311</v>
      </c>
      <c r="F72" s="51" t="s">
        <v>220</v>
      </c>
      <c r="G72" s="64" t="str">
        <f t="shared" si="100"/>
        <v>[effect:spread, val:0.5]</v>
      </c>
      <c r="H72" s="64">
        <f t="shared" si="101"/>
        <v>9</v>
      </c>
      <c r="I72" s="64">
        <f t="shared" si="102"/>
        <v>15</v>
      </c>
      <c r="J72" s="64" t="e">
        <f t="shared" si="103"/>
        <v>#VALUE!</v>
      </c>
      <c r="K72" s="64" t="e">
        <f t="shared" si="104"/>
        <v>#VALUE!</v>
      </c>
      <c r="L72" s="64" t="str">
        <f>IFERROR(VLOOKUP(MID(G72,J72,K72-J72),[6]skilldef!$C:$D,2,FALSE),"-") &amp; " / " &amp; IFERROR(VLOOKUP(MID(G72,H72,I72-H72),[6]skilldef!$A:$B,2,FALSE),"-")</f>
        <v>- / 全体攻撃</v>
      </c>
      <c r="M72" s="64" t="str">
        <f t="shared" si="105"/>
        <v>none</v>
      </c>
      <c r="N72" s="48" t="str">
        <f>IFERROR(LEFT(M72,FIND("],",M72)+S83),M72)</f>
        <v>none</v>
      </c>
      <c r="O72" s="64" t="e">
        <f t="shared" si="106"/>
        <v>#VALUE!</v>
      </c>
      <c r="P72" s="64">
        <f t="shared" si="107"/>
        <v>4</v>
      </c>
      <c r="Q72" s="64" t="e">
        <f t="shared" si="108"/>
        <v>#VALUE!</v>
      </c>
      <c r="R72" s="64" t="e">
        <f t="shared" si="109"/>
        <v>#VALUE!</v>
      </c>
      <c r="S72" s="64" t="str">
        <f>IFERROR(VLOOKUP(MID(N72,Q72,R72-Q72),[6]skilldef!$C:$D,2,FALSE),"-") &amp; " / " &amp; IFERROR(VLOOKUP(MID(N72,O72,P72-O72),[6]skilldef!$A:$B,2,FALSE),"-")</f>
        <v>- / -</v>
      </c>
      <c r="T72" s="48" t="str">
        <f t="shared" si="110"/>
        <v>none</v>
      </c>
      <c r="U72" s="64" t="e">
        <f t="shared" si="111"/>
        <v>#VALUE!</v>
      </c>
      <c r="V72" s="64">
        <f t="shared" si="112"/>
        <v>4</v>
      </c>
      <c r="W72" s="64" t="e">
        <f t="shared" si="113"/>
        <v>#VALUE!</v>
      </c>
      <c r="X72" s="64" t="e">
        <f t="shared" si="114"/>
        <v>#VALUE!</v>
      </c>
      <c r="Y72" s="64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21" customHeight="1" x14ac:dyDescent="0.15">
      <c r="A73" s="47">
        <v>3003372</v>
      </c>
      <c r="B73" s="47" t="s">
        <v>270</v>
      </c>
      <c r="C73" s="50">
        <v>3</v>
      </c>
      <c r="D73" s="50" t="s">
        <v>127</v>
      </c>
      <c r="E73" s="103" t="s">
        <v>323</v>
      </c>
      <c r="F73" s="51" t="s">
        <v>273</v>
      </c>
      <c r="G73" s="64" t="str">
        <f t="shared" si="100"/>
        <v>[effect:enhance_enemy, target:myself, turn:1, status:defense, val:5000, calc:add, animation:enemy_enhance_defense]</v>
      </c>
      <c r="H73" s="64">
        <f t="shared" si="101"/>
        <v>9</v>
      </c>
      <c r="I73" s="64">
        <f t="shared" si="102"/>
        <v>22</v>
      </c>
      <c r="J73" s="64">
        <f t="shared" si="103"/>
        <v>31</v>
      </c>
      <c r="K73" s="64">
        <f t="shared" si="104"/>
        <v>37</v>
      </c>
      <c r="L73" s="64" t="str">
        <f>IFERROR(VLOOKUP(MID(G73,J73,K73-J73),[6]skilldef!$C:$D,2,FALSE),"-") &amp; " / " &amp; IFERROR(VLOOKUP(MID(G73,H73,I73-H73),[6]skilldef!$A:$B,2,FALSE),"-")</f>
        <v>自分自身に / ステータス強化</v>
      </c>
      <c r="M73" s="64" t="str">
        <f t="shared" si="105"/>
        <v>none</v>
      </c>
      <c r="N73" s="48" t="str">
        <f>IFERROR(LEFT(M73,FIND("],",M73)+S84),M73)</f>
        <v>none</v>
      </c>
      <c r="O73" s="64" t="e">
        <f t="shared" si="106"/>
        <v>#VALUE!</v>
      </c>
      <c r="P73" s="64">
        <f t="shared" si="107"/>
        <v>4</v>
      </c>
      <c r="Q73" s="64" t="e">
        <f t="shared" si="108"/>
        <v>#VALUE!</v>
      </c>
      <c r="R73" s="64" t="e">
        <f t="shared" si="109"/>
        <v>#VALUE!</v>
      </c>
      <c r="S73" s="64" t="str">
        <f>IFERROR(VLOOKUP(MID(N73,Q73,R73-Q73),[6]skilldef!$C:$D,2,FALSE),"-") &amp; " / " &amp; IFERROR(VLOOKUP(MID(N73,O73,P73-O73),[6]skilldef!$A:$B,2,FALSE),"-")</f>
        <v>- / -</v>
      </c>
      <c r="T73" s="48" t="str">
        <f t="shared" si="110"/>
        <v>none</v>
      </c>
      <c r="U73" s="64" t="e">
        <f t="shared" si="111"/>
        <v>#VALUE!</v>
      </c>
      <c r="V73" s="64">
        <f t="shared" si="112"/>
        <v>4</v>
      </c>
      <c r="W73" s="64" t="e">
        <f t="shared" si="113"/>
        <v>#VALUE!</v>
      </c>
      <c r="X73" s="64" t="e">
        <f t="shared" si="114"/>
        <v>#VALUE!</v>
      </c>
      <c r="Y73" s="64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21" customHeight="1" x14ac:dyDescent="0.15">
      <c r="A74" s="47">
        <v>3003373</v>
      </c>
      <c r="B74" s="104" t="s">
        <v>275</v>
      </c>
      <c r="C74" s="50">
        <v>3</v>
      </c>
      <c r="D74" s="50" t="s">
        <v>127</v>
      </c>
      <c r="E74" s="103" t="s">
        <v>311</v>
      </c>
      <c r="F74" s="51" t="s">
        <v>220</v>
      </c>
      <c r="G74" s="64" t="str">
        <f t="shared" si="100"/>
        <v>[effect:spread, val:0.5]</v>
      </c>
      <c r="H74" s="64">
        <f t="shared" si="101"/>
        <v>9</v>
      </c>
      <c r="I74" s="64">
        <f t="shared" si="102"/>
        <v>15</v>
      </c>
      <c r="J74" s="64" t="e">
        <f t="shared" si="103"/>
        <v>#VALUE!</v>
      </c>
      <c r="K74" s="64" t="e">
        <f t="shared" si="104"/>
        <v>#VALUE!</v>
      </c>
      <c r="L74" s="64" t="str">
        <f>IFERROR(VLOOKUP(MID(G74,J74,K74-J74),[6]skilldef!$C:$D,2,FALSE),"-") &amp; " / " &amp; IFERROR(VLOOKUP(MID(G74,H74,I74-H74),[6]skilldef!$A:$B,2,FALSE),"-")</f>
        <v>- / 全体攻撃</v>
      </c>
      <c r="M74" s="64" t="str">
        <f t="shared" si="105"/>
        <v>none</v>
      </c>
      <c r="N74" s="48" t="str">
        <f>IFERROR(LEFT(M74,FIND("],",M74)+S86),M74)</f>
        <v>none</v>
      </c>
      <c r="O74" s="64" t="e">
        <f t="shared" si="106"/>
        <v>#VALUE!</v>
      </c>
      <c r="P74" s="64">
        <f t="shared" si="107"/>
        <v>4</v>
      </c>
      <c r="Q74" s="64" t="e">
        <f t="shared" si="108"/>
        <v>#VALUE!</v>
      </c>
      <c r="R74" s="64" t="e">
        <f t="shared" si="109"/>
        <v>#VALUE!</v>
      </c>
      <c r="S74" s="64" t="str">
        <f>IFERROR(VLOOKUP(MID(N74,Q74,R74-Q74),[6]skilldef!$C:$D,2,FALSE),"-") &amp; " / " &amp; IFERROR(VLOOKUP(MID(N74,O74,P74-O74),[6]skilldef!$A:$B,2,FALSE),"-")</f>
        <v>- / -</v>
      </c>
      <c r="T74" s="48" t="str">
        <f t="shared" si="110"/>
        <v>none</v>
      </c>
      <c r="U74" s="64" t="e">
        <f t="shared" si="111"/>
        <v>#VALUE!</v>
      </c>
      <c r="V74" s="64">
        <f t="shared" si="112"/>
        <v>4</v>
      </c>
      <c r="W74" s="64" t="e">
        <f t="shared" si="113"/>
        <v>#VALUE!</v>
      </c>
      <c r="X74" s="64" t="e">
        <f t="shared" si="114"/>
        <v>#VALUE!</v>
      </c>
      <c r="Y74" s="64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 x14ac:dyDescent="0.15">
      <c r="A75" s="47">
        <v>3003374</v>
      </c>
      <c r="B75" s="47" t="s">
        <v>270</v>
      </c>
      <c r="C75" s="50">
        <v>3</v>
      </c>
      <c r="D75" s="50" t="s">
        <v>127</v>
      </c>
      <c r="E75" s="103" t="s">
        <v>323</v>
      </c>
      <c r="F75" s="51" t="s">
        <v>273</v>
      </c>
      <c r="G75" s="64" t="str">
        <f t="shared" si="100"/>
        <v>[effect:enhance_enemy, target:myself, turn:1, status:defense, val:5000, calc:add, animation:enemy_enhance_defense]</v>
      </c>
      <c r="H75" s="64">
        <f t="shared" si="101"/>
        <v>9</v>
      </c>
      <c r="I75" s="64">
        <f t="shared" si="102"/>
        <v>22</v>
      </c>
      <c r="J75" s="64">
        <f t="shared" si="103"/>
        <v>31</v>
      </c>
      <c r="K75" s="64">
        <f t="shared" si="104"/>
        <v>37</v>
      </c>
      <c r="L75" s="64" t="str">
        <f>IFERROR(VLOOKUP(MID(G75,J75,K75-J75),[6]skilldef!$C:$D,2,FALSE),"-") &amp; " / " &amp; IFERROR(VLOOKUP(MID(G75,H75,I75-H75),[6]skilldef!$A:$B,2,FALSE),"-")</f>
        <v>自分自身に / ステータス強化</v>
      </c>
      <c r="M75" s="64" t="str">
        <f t="shared" si="105"/>
        <v>none</v>
      </c>
      <c r="N75" s="48" t="str">
        <f>IFERROR(LEFT(M75,FIND("],",M75)+S87),M75)</f>
        <v>none</v>
      </c>
      <c r="O75" s="64" t="e">
        <f t="shared" si="106"/>
        <v>#VALUE!</v>
      </c>
      <c r="P75" s="64">
        <f t="shared" si="107"/>
        <v>4</v>
      </c>
      <c r="Q75" s="64" t="e">
        <f t="shared" si="108"/>
        <v>#VALUE!</v>
      </c>
      <c r="R75" s="64" t="e">
        <f t="shared" si="109"/>
        <v>#VALUE!</v>
      </c>
      <c r="S75" s="64" t="str">
        <f>IFERROR(VLOOKUP(MID(N75,Q75,R75-Q75),[6]skilldef!$C:$D,2,FALSE),"-") &amp; " / " &amp; IFERROR(VLOOKUP(MID(N75,O75,P75-O75),[6]skilldef!$A:$B,2,FALSE),"-")</f>
        <v>- / -</v>
      </c>
      <c r="T75" s="48" t="str">
        <f t="shared" si="110"/>
        <v>none</v>
      </c>
      <c r="U75" s="64" t="e">
        <f t="shared" si="111"/>
        <v>#VALUE!</v>
      </c>
      <c r="V75" s="64">
        <f t="shared" si="112"/>
        <v>4</v>
      </c>
      <c r="W75" s="64" t="e">
        <f t="shared" si="113"/>
        <v>#VALUE!</v>
      </c>
      <c r="X75" s="64" t="e">
        <f t="shared" si="114"/>
        <v>#VALUE!</v>
      </c>
      <c r="Y75" s="64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21" customHeight="1" x14ac:dyDescent="0.15">
      <c r="A76" s="47">
        <v>3003375</v>
      </c>
      <c r="B76" s="104" t="s">
        <v>275</v>
      </c>
      <c r="C76" s="50">
        <v>3</v>
      </c>
      <c r="D76" s="50" t="s">
        <v>127</v>
      </c>
      <c r="E76" s="103" t="s">
        <v>311</v>
      </c>
      <c r="F76" s="51" t="s">
        <v>220</v>
      </c>
      <c r="G76" s="64" t="str">
        <f t="shared" si="100"/>
        <v>[effect:spread, val:0.5]</v>
      </c>
      <c r="H76" s="64">
        <f t="shared" si="101"/>
        <v>9</v>
      </c>
      <c r="I76" s="64">
        <f t="shared" si="102"/>
        <v>15</v>
      </c>
      <c r="J76" s="64" t="e">
        <f t="shared" si="103"/>
        <v>#VALUE!</v>
      </c>
      <c r="K76" s="64" t="e">
        <f t="shared" si="104"/>
        <v>#VALUE!</v>
      </c>
      <c r="L76" s="64" t="str">
        <f>IFERROR(VLOOKUP(MID(G76,J76,K76-J76),[6]skilldef!$C:$D,2,FALSE),"-") &amp; " / " &amp; IFERROR(VLOOKUP(MID(G76,H76,I76-H76),[6]skilldef!$A:$B,2,FALSE),"-")</f>
        <v>- / 全体攻撃</v>
      </c>
      <c r="M76" s="64" t="str">
        <f t="shared" si="105"/>
        <v>none</v>
      </c>
      <c r="N76" s="48" t="str">
        <f>IFERROR(LEFT(M76,FIND("],",M76)+S89),M76)</f>
        <v>none</v>
      </c>
      <c r="O76" s="64" t="e">
        <f t="shared" si="106"/>
        <v>#VALUE!</v>
      </c>
      <c r="P76" s="64">
        <f t="shared" si="107"/>
        <v>4</v>
      </c>
      <c r="Q76" s="64" t="e">
        <f t="shared" si="108"/>
        <v>#VALUE!</v>
      </c>
      <c r="R76" s="64" t="e">
        <f t="shared" si="109"/>
        <v>#VALUE!</v>
      </c>
      <c r="S76" s="64" t="str">
        <f>IFERROR(VLOOKUP(MID(N76,Q76,R76-Q76),[6]skilldef!$C:$D,2,FALSE),"-") &amp; " / " &amp; IFERROR(VLOOKUP(MID(N76,O76,P76-O76),[6]skilldef!$A:$B,2,FALSE),"-")</f>
        <v>- / -</v>
      </c>
      <c r="T76" s="48" t="str">
        <f t="shared" si="110"/>
        <v>none</v>
      </c>
      <c r="U76" s="64" t="e">
        <f t="shared" si="111"/>
        <v>#VALUE!</v>
      </c>
      <c r="V76" s="64">
        <f t="shared" si="112"/>
        <v>4</v>
      </c>
      <c r="W76" s="64" t="e">
        <f t="shared" si="113"/>
        <v>#VALUE!</v>
      </c>
      <c r="X76" s="64" t="e">
        <f t="shared" si="114"/>
        <v>#VALUE!</v>
      </c>
      <c r="Y76" s="64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 x14ac:dyDescent="0.15">
      <c r="A77" s="47">
        <v>3003376</v>
      </c>
      <c r="B77" s="47" t="s">
        <v>270</v>
      </c>
      <c r="C77" s="50">
        <v>3</v>
      </c>
      <c r="D77" s="50" t="s">
        <v>127</v>
      </c>
      <c r="E77" s="103" t="s">
        <v>323</v>
      </c>
      <c r="F77" s="51" t="s">
        <v>273</v>
      </c>
      <c r="G77" s="64" t="str">
        <f t="shared" si="100"/>
        <v>[effect:enhance_enemy, target:myself, turn:1, status:defense, val:5000, calc:add, animation:enemy_enhance_defense]</v>
      </c>
      <c r="H77" s="64">
        <f t="shared" si="101"/>
        <v>9</v>
      </c>
      <c r="I77" s="64">
        <f t="shared" si="102"/>
        <v>22</v>
      </c>
      <c r="J77" s="64">
        <f t="shared" si="103"/>
        <v>31</v>
      </c>
      <c r="K77" s="64">
        <f t="shared" si="104"/>
        <v>37</v>
      </c>
      <c r="L77" s="64" t="str">
        <f>IFERROR(VLOOKUP(MID(G77,J77,K77-J77),[6]skilldef!$C:$D,2,FALSE),"-") &amp; " / " &amp; IFERROR(VLOOKUP(MID(G77,H77,I77-H77),[6]skilldef!$A:$B,2,FALSE),"-")</f>
        <v>自分自身に / ステータス強化</v>
      </c>
      <c r="M77" s="64" t="str">
        <f t="shared" si="105"/>
        <v>none</v>
      </c>
      <c r="N77" s="48" t="str">
        <f>IFERROR(LEFT(M77,FIND("],",M77)+S90),M77)</f>
        <v>none</v>
      </c>
      <c r="O77" s="64" t="e">
        <f t="shared" si="106"/>
        <v>#VALUE!</v>
      </c>
      <c r="P77" s="64">
        <f t="shared" si="107"/>
        <v>4</v>
      </c>
      <c r="Q77" s="64" t="e">
        <f t="shared" si="108"/>
        <v>#VALUE!</v>
      </c>
      <c r="R77" s="64" t="e">
        <f t="shared" si="109"/>
        <v>#VALUE!</v>
      </c>
      <c r="S77" s="64" t="str">
        <f>IFERROR(VLOOKUP(MID(N77,Q77,R77-Q77),[6]skilldef!$C:$D,2,FALSE),"-") &amp; " / " &amp; IFERROR(VLOOKUP(MID(N77,O77,P77-O77),[6]skilldef!$A:$B,2,FALSE),"-")</f>
        <v>- / -</v>
      </c>
      <c r="T77" s="48" t="str">
        <f t="shared" si="110"/>
        <v>none</v>
      </c>
      <c r="U77" s="64" t="e">
        <f t="shared" si="111"/>
        <v>#VALUE!</v>
      </c>
      <c r="V77" s="64">
        <f t="shared" si="112"/>
        <v>4</v>
      </c>
      <c r="W77" s="64" t="e">
        <f t="shared" si="113"/>
        <v>#VALUE!</v>
      </c>
      <c r="X77" s="64" t="e">
        <f t="shared" si="114"/>
        <v>#VALUE!</v>
      </c>
      <c r="Y77" s="64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x14ac:dyDescent="0.15">
      <c r="A78" s="47">
        <v>3003377</v>
      </c>
      <c r="B78" s="104" t="s">
        <v>275</v>
      </c>
      <c r="C78" s="50">
        <v>3</v>
      </c>
      <c r="D78" s="50" t="s">
        <v>127</v>
      </c>
      <c r="E78" s="103" t="s">
        <v>311</v>
      </c>
      <c r="F78" s="51" t="s">
        <v>220</v>
      </c>
      <c r="G78" s="64" t="str">
        <f t="shared" si="100"/>
        <v>[effect:spread, val:0.5]</v>
      </c>
      <c r="H78" s="64">
        <f t="shared" si="101"/>
        <v>9</v>
      </c>
      <c r="I78" s="64">
        <f t="shared" si="102"/>
        <v>15</v>
      </c>
      <c r="J78" s="64" t="e">
        <f t="shared" si="103"/>
        <v>#VALUE!</v>
      </c>
      <c r="K78" s="64" t="e">
        <f t="shared" si="104"/>
        <v>#VALUE!</v>
      </c>
      <c r="L78" s="64" t="str">
        <f>IFERROR(VLOOKUP(MID(G78,J78,K78-J78),[6]skilldef!$C:$D,2,FALSE),"-") &amp; " / " &amp; IFERROR(VLOOKUP(MID(G78,H78,I78-H78),[6]skilldef!$A:$B,2,FALSE),"-")</f>
        <v>- / 全体攻撃</v>
      </c>
      <c r="M78" s="64" t="str">
        <f t="shared" si="105"/>
        <v>none</v>
      </c>
      <c r="N78" s="48" t="str">
        <f>IFERROR(LEFT(M78,FIND("],",M78)+S92),M78)</f>
        <v>none</v>
      </c>
      <c r="O78" s="64" t="e">
        <f t="shared" si="106"/>
        <v>#VALUE!</v>
      </c>
      <c r="P78" s="64">
        <f t="shared" si="107"/>
        <v>4</v>
      </c>
      <c r="Q78" s="64" t="e">
        <f t="shared" si="108"/>
        <v>#VALUE!</v>
      </c>
      <c r="R78" s="64" t="e">
        <f t="shared" si="109"/>
        <v>#VALUE!</v>
      </c>
      <c r="S78" s="64" t="str">
        <f>IFERROR(VLOOKUP(MID(N78,Q78,R78-Q78),[6]skilldef!$C:$D,2,FALSE),"-") &amp; " / " &amp; IFERROR(VLOOKUP(MID(N78,O78,P78-O78),[6]skilldef!$A:$B,2,FALSE),"-")</f>
        <v>- / -</v>
      </c>
      <c r="T78" s="48" t="str">
        <f t="shared" si="110"/>
        <v>none</v>
      </c>
      <c r="U78" s="64" t="e">
        <f t="shared" si="111"/>
        <v>#VALUE!</v>
      </c>
      <c r="V78" s="64">
        <f t="shared" si="112"/>
        <v>4</v>
      </c>
      <c r="W78" s="64" t="e">
        <f t="shared" si="113"/>
        <v>#VALUE!</v>
      </c>
      <c r="X78" s="64" t="e">
        <f t="shared" si="114"/>
        <v>#VALUE!</v>
      </c>
      <c r="Y78" s="64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47">
        <v>3003378</v>
      </c>
      <c r="B79" s="47" t="s">
        <v>270</v>
      </c>
      <c r="C79" s="50">
        <v>3</v>
      </c>
      <c r="D79" s="50" t="s">
        <v>127</v>
      </c>
      <c r="E79" s="103" t="s">
        <v>323</v>
      </c>
      <c r="F79" s="51" t="s">
        <v>273</v>
      </c>
      <c r="G79" s="64" t="str">
        <f t="shared" ref="G79:G82" si="115">IFERROR(LEFT(B79,FIND("],",B79)),B79)</f>
        <v>[effect:enhance_enemy, target:myself, turn:1, status:defense, val:5000, calc:add, animation:enemy_enhance_defense]</v>
      </c>
      <c r="H79" s="64">
        <f t="shared" ref="H79:H82" si="116">FIND("effect:",G79)+7</f>
        <v>9</v>
      </c>
      <c r="I79" s="64">
        <f t="shared" ref="I79:I82" si="117">IFERROR(FIND(",",G79),LEN(G79))</f>
        <v>22</v>
      </c>
      <c r="J79" s="64">
        <f t="shared" ref="J79:J82" si="118">FIND("target:",G79)+7</f>
        <v>31</v>
      </c>
      <c r="K79" s="64">
        <f t="shared" ref="K79:K82" si="119">FIND(",",G79,I79+1)</f>
        <v>37</v>
      </c>
      <c r="L79" s="64" t="str">
        <f>IFERROR(VLOOKUP(MID(G79,J79,K79-J79),[6]skilldef!$C:$D,2,FALSE),"-") &amp; " / " &amp; IFERROR(VLOOKUP(MID(G79,H79,I79-H79),[6]skilldef!$A:$B,2,FALSE),"-")</f>
        <v>自分自身に / ステータス強化</v>
      </c>
      <c r="M79" s="64" t="str">
        <f t="shared" ref="M79:M82" si="120">IFERROR(RIGHT(B79,LEN(B79)-FIND("],",B79)-1),"none")</f>
        <v>none</v>
      </c>
      <c r="N79" s="48" t="str">
        <f>IFERROR(LEFT(M79,FIND("],",M79)+S93),M79)</f>
        <v>none</v>
      </c>
      <c r="O79" s="64" t="e">
        <f t="shared" ref="O79:O82" si="121">FIND("effect:",N79)+7</f>
        <v>#VALUE!</v>
      </c>
      <c r="P79" s="64">
        <f t="shared" ref="P79:P82" si="122">IFERROR(FIND(",",N79),LEN(N79))</f>
        <v>4</v>
      </c>
      <c r="Q79" s="64" t="e">
        <f t="shared" ref="Q79:Q82" si="123">FIND("target:",N79)+7</f>
        <v>#VALUE!</v>
      </c>
      <c r="R79" s="64" t="e">
        <f t="shared" ref="R79:R82" si="124">FIND(",",N79,P79+1)</f>
        <v>#VALUE!</v>
      </c>
      <c r="S79" s="64" t="str">
        <f>IFERROR(VLOOKUP(MID(N79,Q79,R79-Q79),[6]skilldef!$C:$D,2,FALSE),"-") &amp; " / " &amp; IFERROR(VLOOKUP(MID(N79,O79,P79-O79),[6]skilldef!$A:$B,2,FALSE),"-")</f>
        <v>- / -</v>
      </c>
      <c r="T79" s="48" t="str">
        <f t="shared" ref="T79:T82" si="125">IFERROR(RIGHT(M79,LEN(M79)-FIND("],",M79)-1),"none")</f>
        <v>none</v>
      </c>
      <c r="U79" s="64" t="e">
        <f t="shared" ref="U79:U82" si="126">FIND("effect:",T79)+7</f>
        <v>#VALUE!</v>
      </c>
      <c r="V79" s="64">
        <f t="shared" ref="V79:V82" si="127">IFERROR(FIND(",",T79),LEN(T79))</f>
        <v>4</v>
      </c>
      <c r="W79" s="64" t="e">
        <f t="shared" ref="W79:W82" si="128">FIND("target:",T79)+7</f>
        <v>#VALUE!</v>
      </c>
      <c r="X79" s="64" t="e">
        <f t="shared" ref="X79:X82" si="129">FIND(",",T79,V79+1)</f>
        <v>#VALUE!</v>
      </c>
      <c r="Y79" s="64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 x14ac:dyDescent="0.15">
      <c r="A80" s="47">
        <v>3003379</v>
      </c>
      <c r="B80" s="104" t="s">
        <v>275</v>
      </c>
      <c r="C80" s="50">
        <v>3</v>
      </c>
      <c r="D80" s="50" t="s">
        <v>127</v>
      </c>
      <c r="E80" s="103" t="s">
        <v>311</v>
      </c>
      <c r="F80" s="51" t="s">
        <v>220</v>
      </c>
      <c r="G80" s="64" t="str">
        <f t="shared" si="115"/>
        <v>[effect:spread, val:0.5]</v>
      </c>
      <c r="H80" s="64">
        <f t="shared" si="116"/>
        <v>9</v>
      </c>
      <c r="I80" s="64">
        <f t="shared" si="117"/>
        <v>15</v>
      </c>
      <c r="J80" s="64" t="e">
        <f t="shared" si="118"/>
        <v>#VALUE!</v>
      </c>
      <c r="K80" s="64" t="e">
        <f t="shared" si="119"/>
        <v>#VALUE!</v>
      </c>
      <c r="L80" s="64" t="str">
        <f>IFERROR(VLOOKUP(MID(G80,J80,K80-J80),[6]skilldef!$C:$D,2,FALSE),"-") &amp; " / " &amp; IFERROR(VLOOKUP(MID(G80,H80,I80-H80),[6]skilldef!$A:$B,2,FALSE),"-")</f>
        <v>- / 全体攻撃</v>
      </c>
      <c r="M80" s="64" t="str">
        <f t="shared" si="120"/>
        <v>none</v>
      </c>
      <c r="N80" s="48" t="str">
        <f>IFERROR(LEFT(M80,FIND("],",M80)+S95),M80)</f>
        <v>none</v>
      </c>
      <c r="O80" s="64" t="e">
        <f t="shared" si="121"/>
        <v>#VALUE!</v>
      </c>
      <c r="P80" s="64">
        <f t="shared" si="122"/>
        <v>4</v>
      </c>
      <c r="Q80" s="64" t="e">
        <f t="shared" si="123"/>
        <v>#VALUE!</v>
      </c>
      <c r="R80" s="64" t="e">
        <f t="shared" si="124"/>
        <v>#VALUE!</v>
      </c>
      <c r="S80" s="64" t="str">
        <f>IFERROR(VLOOKUP(MID(N80,Q80,R80-Q80),[6]skilldef!$C:$D,2,FALSE),"-") &amp; " / " &amp; IFERROR(VLOOKUP(MID(N80,O80,P80-O80),[6]skilldef!$A:$B,2,FALSE),"-")</f>
        <v>- / -</v>
      </c>
      <c r="T80" s="48" t="str">
        <f t="shared" si="125"/>
        <v>none</v>
      </c>
      <c r="U80" s="64" t="e">
        <f t="shared" si="126"/>
        <v>#VALUE!</v>
      </c>
      <c r="V80" s="64">
        <f t="shared" si="127"/>
        <v>4</v>
      </c>
      <c r="W80" s="64" t="e">
        <f t="shared" si="128"/>
        <v>#VALUE!</v>
      </c>
      <c r="X80" s="64" t="e">
        <f t="shared" si="129"/>
        <v>#VALUE!</v>
      </c>
      <c r="Y80" s="64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 x14ac:dyDescent="0.15">
      <c r="A81" s="47">
        <v>3003380</v>
      </c>
      <c r="B81" s="47" t="s">
        <v>270</v>
      </c>
      <c r="C81" s="50">
        <v>3</v>
      </c>
      <c r="D81" s="50" t="s">
        <v>127</v>
      </c>
      <c r="E81" s="103" t="s">
        <v>323</v>
      </c>
      <c r="F81" s="51" t="s">
        <v>273</v>
      </c>
      <c r="G81" s="64" t="str">
        <f t="shared" si="115"/>
        <v>[effect:enhance_enemy, target:myself, turn:1, status:defense, val:5000, calc:add, animation:enemy_enhance_defense]</v>
      </c>
      <c r="H81" s="64">
        <f t="shared" si="116"/>
        <v>9</v>
      </c>
      <c r="I81" s="64">
        <f t="shared" si="117"/>
        <v>22</v>
      </c>
      <c r="J81" s="64">
        <f t="shared" si="118"/>
        <v>31</v>
      </c>
      <c r="K81" s="64">
        <f t="shared" si="119"/>
        <v>37</v>
      </c>
      <c r="L81" s="64" t="str">
        <f>IFERROR(VLOOKUP(MID(G81,J81,K81-J81),[6]skilldef!$C:$D,2,FALSE),"-") &amp; " / " &amp; IFERROR(VLOOKUP(MID(G81,H81,I81-H81),[6]skilldef!$A:$B,2,FALSE),"-")</f>
        <v>自分自身に / ステータス強化</v>
      </c>
      <c r="M81" s="64" t="str">
        <f t="shared" si="120"/>
        <v>none</v>
      </c>
      <c r="N81" s="48" t="str">
        <f>IFERROR(LEFT(M81,FIND("],",M81)+S96),M81)</f>
        <v>none</v>
      </c>
      <c r="O81" s="64" t="e">
        <f t="shared" si="121"/>
        <v>#VALUE!</v>
      </c>
      <c r="P81" s="64">
        <f t="shared" si="122"/>
        <v>4</v>
      </c>
      <c r="Q81" s="64" t="e">
        <f t="shared" si="123"/>
        <v>#VALUE!</v>
      </c>
      <c r="R81" s="64" t="e">
        <f t="shared" si="124"/>
        <v>#VALUE!</v>
      </c>
      <c r="S81" s="64" t="str">
        <f>IFERROR(VLOOKUP(MID(N81,Q81,R81-Q81),[6]skilldef!$C:$D,2,FALSE),"-") &amp; " / " &amp; IFERROR(VLOOKUP(MID(N81,O81,P81-O81),[6]skilldef!$A:$B,2,FALSE),"-")</f>
        <v>- / -</v>
      </c>
      <c r="T81" s="48" t="str">
        <f t="shared" si="125"/>
        <v>none</v>
      </c>
      <c r="U81" s="64" t="e">
        <f t="shared" si="126"/>
        <v>#VALUE!</v>
      </c>
      <c r="V81" s="64">
        <f t="shared" si="127"/>
        <v>4</v>
      </c>
      <c r="W81" s="64" t="e">
        <f t="shared" si="128"/>
        <v>#VALUE!</v>
      </c>
      <c r="X81" s="64" t="e">
        <f t="shared" si="129"/>
        <v>#VALUE!</v>
      </c>
      <c r="Y81" s="64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 x14ac:dyDescent="0.15">
      <c r="A82" s="47">
        <v>3003381</v>
      </c>
      <c r="B82" s="104" t="s">
        <v>275</v>
      </c>
      <c r="C82" s="50">
        <v>3</v>
      </c>
      <c r="D82" s="50" t="s">
        <v>127</v>
      </c>
      <c r="E82" s="103" t="s">
        <v>311</v>
      </c>
      <c r="F82" s="51" t="s">
        <v>220</v>
      </c>
      <c r="G82" s="64" t="str">
        <f t="shared" si="115"/>
        <v>[effect:spread, val:0.5]</v>
      </c>
      <c r="H82" s="64">
        <f t="shared" si="116"/>
        <v>9</v>
      </c>
      <c r="I82" s="64">
        <f t="shared" si="117"/>
        <v>15</v>
      </c>
      <c r="J82" s="64" t="e">
        <f t="shared" si="118"/>
        <v>#VALUE!</v>
      </c>
      <c r="K82" s="64" t="e">
        <f t="shared" si="119"/>
        <v>#VALUE!</v>
      </c>
      <c r="L82" s="64" t="str">
        <f>IFERROR(VLOOKUP(MID(G82,J82,K82-J82),[6]skilldef!$C:$D,2,FALSE),"-") &amp; " / " &amp; IFERROR(VLOOKUP(MID(G82,H82,I82-H82),[6]skilldef!$A:$B,2,FALSE),"-")</f>
        <v>- / 全体攻撃</v>
      </c>
      <c r="M82" s="64" t="str">
        <f t="shared" si="120"/>
        <v>none</v>
      </c>
      <c r="N82" s="48" t="str">
        <f t="shared" ref="N82" si="130">IFERROR(LEFT(M82,FIND("],",M82)+S98),M82)</f>
        <v>none</v>
      </c>
      <c r="O82" s="64" t="e">
        <f t="shared" si="121"/>
        <v>#VALUE!</v>
      </c>
      <c r="P82" s="64">
        <f t="shared" si="122"/>
        <v>4</v>
      </c>
      <c r="Q82" s="64" t="e">
        <f t="shared" si="123"/>
        <v>#VALUE!</v>
      </c>
      <c r="R82" s="64" t="e">
        <f t="shared" si="124"/>
        <v>#VALUE!</v>
      </c>
      <c r="S82" s="64" t="str">
        <f>IFERROR(VLOOKUP(MID(N82,Q82,R82-Q82),[6]skilldef!$C:$D,2,FALSE),"-") &amp; " / " &amp; IFERROR(VLOOKUP(MID(N82,O82,P82-O82),[6]skilldef!$A:$B,2,FALSE),"-")</f>
        <v>- / -</v>
      </c>
      <c r="T82" s="48" t="str">
        <f t="shared" si="125"/>
        <v>none</v>
      </c>
      <c r="U82" s="64" t="e">
        <f t="shared" si="126"/>
        <v>#VALUE!</v>
      </c>
      <c r="V82" s="64">
        <f t="shared" si="127"/>
        <v>4</v>
      </c>
      <c r="W82" s="64" t="e">
        <f t="shared" si="128"/>
        <v>#VALUE!</v>
      </c>
      <c r="X82" s="64" t="e">
        <f t="shared" si="129"/>
        <v>#VALUE!</v>
      </c>
      <c r="Y82" s="64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 x14ac:dyDescent="0.15">
      <c r="A83" s="47">
        <v>3003382</v>
      </c>
      <c r="B83" s="47" t="s">
        <v>272</v>
      </c>
      <c r="C83" s="50">
        <v>3</v>
      </c>
      <c r="D83" s="50" t="s">
        <v>127</v>
      </c>
      <c r="E83" s="105" t="s">
        <v>320</v>
      </c>
      <c r="F83" s="51" t="s">
        <v>257</v>
      </c>
      <c r="G83" s="64" t="str">
        <f t="shared" ref="G83" si="131">IFERROR(LEFT(B83,FIND("],",B83)),B83)</f>
        <v>[effect:nothing]</v>
      </c>
      <c r="H83" s="64">
        <f t="shared" ref="H83" si="132">FIND("effect:",G83)+7</f>
        <v>9</v>
      </c>
      <c r="I83" s="64">
        <f t="shared" ref="I83" si="133">IFERROR(FIND(",",G83),LEN(G83))</f>
        <v>16</v>
      </c>
      <c r="J83" s="64" t="e">
        <f t="shared" ref="J83" si="134">FIND("target:",G83)+7</f>
        <v>#VALUE!</v>
      </c>
      <c r="K83" s="64" t="e">
        <f t="shared" ref="K83" si="135">FIND(",",G83,I83+1)</f>
        <v>#VALUE!</v>
      </c>
      <c r="L83" s="64" t="str">
        <f>IFERROR(VLOOKUP(MID(G83,J83,K83-J83),[6]skilldef!$C:$D,2,FALSE),"-") &amp; " / " &amp; IFERROR(VLOOKUP(MID(G83,H83,I83-H83),[6]skilldef!$A:$B,2,FALSE),"-")</f>
        <v>- / 何もしない</v>
      </c>
      <c r="M83" s="64" t="str">
        <f t="shared" ref="M83" si="136">IFERROR(RIGHT(B83,LEN(B83)-FIND("],",B83)-1),"none")</f>
        <v>none</v>
      </c>
      <c r="N83" s="48" t="str">
        <f t="shared" ref="N83" si="137">IFERROR(LEFT(M83,FIND("],",M83)+S93),M83)</f>
        <v>none</v>
      </c>
      <c r="O83" s="64" t="e">
        <f t="shared" ref="O83" si="138">FIND("effect:",N83)+7</f>
        <v>#VALUE!</v>
      </c>
      <c r="P83" s="64">
        <f t="shared" ref="P83" si="139">IFERROR(FIND(",",N83),LEN(N83))</f>
        <v>4</v>
      </c>
      <c r="Q83" s="64" t="e">
        <f t="shared" ref="Q83" si="140">FIND("target:",N83)+7</f>
        <v>#VALUE!</v>
      </c>
      <c r="R83" s="64" t="e">
        <f t="shared" ref="R83" si="141">FIND(",",N83,P83+1)</f>
        <v>#VALUE!</v>
      </c>
      <c r="S83" s="64" t="str">
        <f>IFERROR(VLOOKUP(MID(N83,Q83,R83-Q83),[6]skilldef!$C:$D,2,FALSE),"-") &amp; " / " &amp; IFERROR(VLOOKUP(MID(N83,O83,P83-O83),[6]skilldef!$A:$B,2,FALSE),"-")</f>
        <v>- / -</v>
      </c>
      <c r="T83" s="48" t="str">
        <f t="shared" ref="T83" si="142">IFERROR(RIGHT(M83,LEN(M83)-FIND("],",M83)-1),"none")</f>
        <v>none</v>
      </c>
      <c r="U83" s="64" t="e">
        <f t="shared" ref="U83" si="143">FIND("effect:",T83)+7</f>
        <v>#VALUE!</v>
      </c>
      <c r="V83" s="64">
        <f t="shared" ref="V83" si="144">IFERROR(FIND(",",T83),LEN(T83))</f>
        <v>4</v>
      </c>
      <c r="W83" s="64" t="e">
        <f t="shared" ref="W83" si="145">FIND("target:",T83)+7</f>
        <v>#VALUE!</v>
      </c>
      <c r="X83" s="64" t="e">
        <f t="shared" ref="X83" si="146">FIND(",",T83,V83+1)</f>
        <v>#VALUE!</v>
      </c>
      <c r="Y83" s="64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 x14ac:dyDescent="0.15">
      <c r="A84" s="47">
        <v>3003383</v>
      </c>
      <c r="B84" s="47" t="s">
        <v>312</v>
      </c>
      <c r="C84" s="50">
        <v>1</v>
      </c>
      <c r="D84" s="50" t="s">
        <v>127</v>
      </c>
      <c r="E84" s="105" t="s">
        <v>321</v>
      </c>
      <c r="F84" s="51" t="s">
        <v>322</v>
      </c>
      <c r="G84" s="64" t="str">
        <f t="shared" ref="G84" si="147">IFERROR(LEFT(B84,FIND("],",B84)),B84)</f>
        <v>[effect:enemy_message, val1:3, val2:3, dead_type:escape]</v>
      </c>
      <c r="H84" s="64">
        <f t="shared" ref="H84" si="148">FIND("effect:",G84)+7</f>
        <v>9</v>
      </c>
      <c r="I84" s="64">
        <f t="shared" ref="I84" si="149">IFERROR(FIND(",",G84),LEN(G84))</f>
        <v>22</v>
      </c>
      <c r="J84" s="64" t="e">
        <f t="shared" ref="J84" si="150">FIND("target:",G84)+7</f>
        <v>#VALUE!</v>
      </c>
      <c r="K84" s="64">
        <f t="shared" ref="K84" si="151">FIND(",",G84,I84+1)</f>
        <v>30</v>
      </c>
      <c r="L84" s="64" t="str">
        <f>IFERROR(VLOOKUP(MID(G84,J84,K84-J84),[6]skilldef!$C:$D,2,FALSE),"-") &amp; " / " &amp; IFERROR(VLOOKUP(MID(G84,H84,I84-H84),[6]skilldef!$A:$B,2,FALSE),"-")</f>
        <v>- / -</v>
      </c>
      <c r="M84" s="64" t="str">
        <f t="shared" ref="M84" si="152">IFERROR(RIGHT(B84,LEN(B84)-FIND("],",B84)-1),"none")</f>
        <v>none</v>
      </c>
      <c r="N84" s="48" t="str">
        <f t="shared" ref="N84" si="153">IFERROR(LEFT(M84,FIND("],",M84)+S94),M84)</f>
        <v>none</v>
      </c>
      <c r="O84" s="64" t="e">
        <f t="shared" ref="O84" si="154">FIND("effect:",N84)+7</f>
        <v>#VALUE!</v>
      </c>
      <c r="P84" s="64">
        <f t="shared" ref="P84" si="155">IFERROR(FIND(",",N84),LEN(N84))</f>
        <v>4</v>
      </c>
      <c r="Q84" s="64" t="e">
        <f t="shared" ref="Q84" si="156">FIND("target:",N84)+7</f>
        <v>#VALUE!</v>
      </c>
      <c r="R84" s="64" t="e">
        <f t="shared" ref="R84" si="157">FIND(",",N84,P84+1)</f>
        <v>#VALUE!</v>
      </c>
      <c r="S84" s="64" t="str">
        <f>IFERROR(VLOOKUP(MID(N84,Q84,R84-Q84),[6]skilldef!$C:$D,2,FALSE),"-") &amp; " / " &amp; IFERROR(VLOOKUP(MID(N84,O84,P84-O84),[6]skilldef!$A:$B,2,FALSE),"-")</f>
        <v>- / -</v>
      </c>
      <c r="T84" s="48" t="str">
        <f t="shared" ref="T84" si="158">IFERROR(RIGHT(M84,LEN(M84)-FIND("],",M84)-1),"none")</f>
        <v>none</v>
      </c>
      <c r="U84" s="64" t="e">
        <f t="shared" ref="U84" si="159">FIND("effect:",T84)+7</f>
        <v>#VALUE!</v>
      </c>
      <c r="V84" s="64">
        <f t="shared" ref="V84" si="160">IFERROR(FIND(",",T84),LEN(T84))</f>
        <v>4</v>
      </c>
      <c r="W84" s="64" t="e">
        <f t="shared" ref="W84" si="161">FIND("target:",T84)+7</f>
        <v>#VALUE!</v>
      </c>
      <c r="X84" s="64" t="e">
        <f t="shared" ref="X84" si="162">FIND(",",T84,V84+1)</f>
        <v>#VALUE!</v>
      </c>
      <c r="Y84" s="64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6" spans="1:28" ht="21" customHeight="1" x14ac:dyDescent="0.15">
      <c r="B86" s="49" t="s">
        <v>269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61"/>
  <sheetViews>
    <sheetView showGridLines="0" zoomScale="115" zoomScaleNormal="115" zoomScalePageLayoutView="115" workbookViewId="0">
      <pane ySplit="1" topLeftCell="A2" activePane="bottomLeft" state="frozenSplit"/>
      <selection pane="bottomLeft" activeCell="H21" sqref="H2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26" style="45" bestFit="1" customWidth="1"/>
    <col min="13" max="16384" width="12.83203125" style="45"/>
  </cols>
  <sheetData>
    <row r="1" spans="1:14" ht="21" customHeight="1" x14ac:dyDescent="0.15">
      <c r="A1" s="42" t="s">
        <v>84</v>
      </c>
      <c r="B1" s="42" t="s">
        <v>85</v>
      </c>
      <c r="C1" s="42" t="s">
        <v>304</v>
      </c>
      <c r="D1" s="42" t="s">
        <v>86</v>
      </c>
      <c r="E1" s="42" t="s">
        <v>69</v>
      </c>
      <c r="F1" s="53" t="s">
        <v>70</v>
      </c>
      <c r="G1" s="53" t="s">
        <v>306</v>
      </c>
      <c r="H1" s="42" t="s">
        <v>305</v>
      </c>
      <c r="I1" s="42" t="s">
        <v>73</v>
      </c>
      <c r="J1" s="42" t="s">
        <v>74</v>
      </c>
      <c r="K1" s="54" t="s">
        <v>87</v>
      </c>
    </row>
    <row r="2" spans="1:14" ht="21" customHeight="1" x14ac:dyDescent="0.15">
      <c r="A2" s="47">
        <v>3003306</v>
      </c>
      <c r="B2" s="47">
        <v>0</v>
      </c>
      <c r="C2" s="47" t="s">
        <v>88</v>
      </c>
      <c r="D2" s="47">
        <v>15</v>
      </c>
      <c r="E2" s="47">
        <v>90</v>
      </c>
      <c r="F2" s="47" t="s">
        <v>89</v>
      </c>
      <c r="G2" s="47" t="s">
        <v>89</v>
      </c>
      <c r="H2" s="47" t="s">
        <v>89</v>
      </c>
      <c r="I2" s="47" t="s">
        <v>89</v>
      </c>
      <c r="J2" s="48">
        <f t="shared" ref="J2" si="0">D2</f>
        <v>15</v>
      </c>
      <c r="L2" s="45" t="s">
        <v>219</v>
      </c>
    </row>
    <row r="3" spans="1:14" ht="21" customHeight="1" x14ac:dyDescent="0.15">
      <c r="A3" s="47">
        <v>3003311</v>
      </c>
      <c r="B3" s="47">
        <v>1</v>
      </c>
      <c r="C3" s="47">
        <v>1</v>
      </c>
      <c r="D3" s="47">
        <v>100</v>
      </c>
      <c r="E3" s="47">
        <v>100</v>
      </c>
      <c r="F3" s="47" t="s">
        <v>89</v>
      </c>
      <c r="G3" s="47">
        <v>1</v>
      </c>
      <c r="H3" s="47">
        <v>1</v>
      </c>
      <c r="I3" s="47" t="s">
        <v>89</v>
      </c>
      <c r="J3" s="48">
        <f t="shared" ref="J3:J18" si="1">D3</f>
        <v>100</v>
      </c>
      <c r="L3" s="45" t="s">
        <v>247</v>
      </c>
    </row>
    <row r="4" spans="1:14" ht="21" customHeight="1" x14ac:dyDescent="0.15">
      <c r="A4" s="47">
        <v>3003312</v>
      </c>
      <c r="B4" s="47">
        <v>0</v>
      </c>
      <c r="C4" s="47">
        <v>4</v>
      </c>
      <c r="D4" s="47">
        <v>100</v>
      </c>
      <c r="E4" s="47">
        <v>50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1"/>
        <v>100</v>
      </c>
      <c r="L4" s="45" t="s">
        <v>248</v>
      </c>
    </row>
    <row r="5" spans="1:14" ht="21" customHeight="1" x14ac:dyDescent="0.15">
      <c r="A5" s="47">
        <v>3003313</v>
      </c>
      <c r="B5" s="47">
        <v>0</v>
      </c>
      <c r="C5" s="47">
        <v>3</v>
      </c>
      <c r="D5" s="47">
        <v>100</v>
      </c>
      <c r="E5" s="47">
        <v>25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1"/>
        <v>100</v>
      </c>
      <c r="L5" s="45" t="s">
        <v>249</v>
      </c>
    </row>
    <row r="6" spans="1:14" ht="21" customHeight="1" x14ac:dyDescent="0.15">
      <c r="A6" s="47">
        <v>3003314</v>
      </c>
      <c r="B6" s="47">
        <v>0</v>
      </c>
      <c r="C6" s="47">
        <v>2</v>
      </c>
      <c r="D6" s="47">
        <v>100</v>
      </c>
      <c r="E6" s="47">
        <v>25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ref="J6" si="2">D6</f>
        <v>100</v>
      </c>
      <c r="L6" s="45" t="s">
        <v>242</v>
      </c>
    </row>
    <row r="7" spans="1:14" ht="21" customHeight="1" x14ac:dyDescent="0.15">
      <c r="A7" s="47">
        <v>3003315</v>
      </c>
      <c r="B7" s="47">
        <v>0</v>
      </c>
      <c r="C7" s="47" t="s">
        <v>88</v>
      </c>
      <c r="D7" s="47">
        <v>25</v>
      </c>
      <c r="E7" s="47">
        <v>100</v>
      </c>
      <c r="F7" s="47" t="s">
        <v>89</v>
      </c>
      <c r="G7" s="47" t="s">
        <v>89</v>
      </c>
      <c r="H7" s="47" t="s">
        <v>236</v>
      </c>
      <c r="I7" s="47" t="s">
        <v>89</v>
      </c>
      <c r="J7" s="48">
        <f t="shared" si="1"/>
        <v>25</v>
      </c>
      <c r="L7" s="45" t="s">
        <v>250</v>
      </c>
    </row>
    <row r="8" spans="1:14" ht="21" customHeight="1" x14ac:dyDescent="0.15">
      <c r="A8" s="47">
        <v>3003316</v>
      </c>
      <c r="B8" s="47">
        <v>0</v>
      </c>
      <c r="C8" s="47" t="s">
        <v>88</v>
      </c>
      <c r="D8" s="47">
        <v>10</v>
      </c>
      <c r="E8" s="47">
        <v>90</v>
      </c>
      <c r="F8" s="47" t="s">
        <v>89</v>
      </c>
      <c r="G8" s="47" t="s">
        <v>89</v>
      </c>
      <c r="H8" s="47" t="s">
        <v>89</v>
      </c>
      <c r="I8" s="47" t="s">
        <v>89</v>
      </c>
      <c r="J8" s="48">
        <f t="shared" si="1"/>
        <v>10</v>
      </c>
      <c r="L8" s="45" t="s">
        <v>251</v>
      </c>
    </row>
    <row r="9" spans="1:14" ht="21" customHeight="1" x14ac:dyDescent="0.15">
      <c r="A9" s="47">
        <v>3003319</v>
      </c>
      <c r="B9" s="47">
        <v>0</v>
      </c>
      <c r="C9" s="47">
        <v>1</v>
      </c>
      <c r="D9" s="47">
        <v>100</v>
      </c>
      <c r="E9" s="47">
        <v>100</v>
      </c>
      <c r="F9" s="47" t="s">
        <v>89</v>
      </c>
      <c r="G9" s="47" t="s">
        <v>89</v>
      </c>
      <c r="H9" s="47">
        <v>4</v>
      </c>
      <c r="I9" s="47" t="s">
        <v>89</v>
      </c>
      <c r="J9" s="48">
        <f t="shared" si="1"/>
        <v>100</v>
      </c>
      <c r="L9" s="45" t="s">
        <v>221</v>
      </c>
    </row>
    <row r="10" spans="1:14" ht="21" customHeight="1" x14ac:dyDescent="0.15">
      <c r="A10" s="47">
        <v>3003324</v>
      </c>
      <c r="B10" s="47">
        <v>0</v>
      </c>
      <c r="C10" s="47">
        <v>1</v>
      </c>
      <c r="D10" s="47">
        <v>100</v>
      </c>
      <c r="E10" s="47">
        <v>100</v>
      </c>
      <c r="F10" s="47" t="s">
        <v>89</v>
      </c>
      <c r="G10" s="47" t="s">
        <v>89</v>
      </c>
      <c r="H10" s="47">
        <v>4</v>
      </c>
      <c r="I10" s="47" t="s">
        <v>89</v>
      </c>
      <c r="J10" s="48">
        <f t="shared" si="1"/>
        <v>100</v>
      </c>
      <c r="L10" s="45" t="s">
        <v>248</v>
      </c>
    </row>
    <row r="11" spans="1:14" ht="21" customHeight="1" x14ac:dyDescent="0.15">
      <c r="A11" s="47">
        <v>3003329</v>
      </c>
      <c r="B11" s="47">
        <v>0</v>
      </c>
      <c r="C11" s="47">
        <v>5</v>
      </c>
      <c r="D11" s="47">
        <v>100</v>
      </c>
      <c r="E11" s="47">
        <v>100</v>
      </c>
      <c r="F11" s="47" t="s">
        <v>89</v>
      </c>
      <c r="G11" s="47">
        <v>1</v>
      </c>
      <c r="H11" s="47">
        <v>1</v>
      </c>
      <c r="I11" s="47" t="s">
        <v>89</v>
      </c>
      <c r="J11" s="48">
        <f t="shared" si="1"/>
        <v>100</v>
      </c>
      <c r="L11" s="45" t="s">
        <v>223</v>
      </c>
    </row>
    <row r="12" spans="1:14" ht="21" customHeight="1" x14ac:dyDescent="0.15">
      <c r="A12" s="47">
        <v>3003330</v>
      </c>
      <c r="B12" s="47">
        <v>0</v>
      </c>
      <c r="C12" s="47">
        <v>4</v>
      </c>
      <c r="D12" s="47">
        <v>100</v>
      </c>
      <c r="E12" s="47">
        <v>100</v>
      </c>
      <c r="F12" s="47" t="s">
        <v>89</v>
      </c>
      <c r="G12" s="47">
        <v>1</v>
      </c>
      <c r="H12" s="47">
        <v>1</v>
      </c>
      <c r="I12" s="47" t="s">
        <v>89</v>
      </c>
      <c r="J12" s="48">
        <f t="shared" si="1"/>
        <v>100</v>
      </c>
      <c r="L12" s="45" t="s">
        <v>224</v>
      </c>
    </row>
    <row r="13" spans="1:14" ht="21" customHeight="1" x14ac:dyDescent="0.15">
      <c r="A13" s="47">
        <v>3003331</v>
      </c>
      <c r="B13" s="47">
        <v>0</v>
      </c>
      <c r="C13" s="47">
        <v>3</v>
      </c>
      <c r="D13" s="47">
        <v>100</v>
      </c>
      <c r="E13" s="47">
        <v>100</v>
      </c>
      <c r="F13" s="47" t="s">
        <v>89</v>
      </c>
      <c r="G13" s="47">
        <v>1</v>
      </c>
      <c r="H13" s="47">
        <v>1</v>
      </c>
      <c r="I13" s="47" t="s">
        <v>89</v>
      </c>
      <c r="J13" s="48">
        <f t="shared" si="1"/>
        <v>100</v>
      </c>
      <c r="L13" s="45" t="s">
        <v>225</v>
      </c>
    </row>
    <row r="14" spans="1:14" ht="21" customHeight="1" x14ac:dyDescent="0.15">
      <c r="A14" s="47">
        <v>3003332</v>
      </c>
      <c r="B14" s="47">
        <v>0</v>
      </c>
      <c r="C14" s="47">
        <v>2</v>
      </c>
      <c r="D14" s="47">
        <v>100</v>
      </c>
      <c r="E14" s="47">
        <v>100</v>
      </c>
      <c r="F14" s="47" t="s">
        <v>89</v>
      </c>
      <c r="G14" s="47" t="s">
        <v>89</v>
      </c>
      <c r="H14" s="47" t="s">
        <v>89</v>
      </c>
      <c r="I14" s="47" t="s">
        <v>89</v>
      </c>
      <c r="J14" s="48">
        <f t="shared" si="1"/>
        <v>100</v>
      </c>
      <c r="L14" s="45" t="s">
        <v>231</v>
      </c>
    </row>
    <row r="15" spans="1:14" ht="21" customHeight="1" x14ac:dyDescent="0.15">
      <c r="A15" s="47">
        <v>3003337</v>
      </c>
      <c r="B15" s="47">
        <v>1</v>
      </c>
      <c r="C15" s="47">
        <v>5</v>
      </c>
      <c r="D15" s="47">
        <v>100</v>
      </c>
      <c r="E15" s="47">
        <v>100</v>
      </c>
      <c r="F15" s="47" t="s">
        <v>89</v>
      </c>
      <c r="G15" s="47">
        <v>1</v>
      </c>
      <c r="H15" s="104" t="s">
        <v>252</v>
      </c>
      <c r="I15" s="47" t="s">
        <v>89</v>
      </c>
      <c r="J15" s="48">
        <f t="shared" si="1"/>
        <v>100</v>
      </c>
      <c r="L15" s="45" t="s">
        <v>226</v>
      </c>
      <c r="M15" s="45" t="s">
        <v>258</v>
      </c>
      <c r="N15" s="45" t="s">
        <v>253</v>
      </c>
    </row>
    <row r="16" spans="1:14" ht="21" customHeight="1" x14ac:dyDescent="0.15">
      <c r="A16" s="47">
        <v>3003338</v>
      </c>
      <c r="B16" s="47">
        <v>0</v>
      </c>
      <c r="C16" s="47">
        <v>4</v>
      </c>
      <c r="D16" s="47">
        <v>100</v>
      </c>
      <c r="E16" s="47">
        <v>100</v>
      </c>
      <c r="F16" s="47" t="s">
        <v>89</v>
      </c>
      <c r="G16" s="47">
        <v>1</v>
      </c>
      <c r="H16" s="104">
        <v>1</v>
      </c>
      <c r="I16" s="47" t="s">
        <v>89</v>
      </c>
      <c r="J16" s="48">
        <f t="shared" si="1"/>
        <v>100</v>
      </c>
      <c r="L16" s="45" t="s">
        <v>220</v>
      </c>
      <c r="M16" s="45" t="s">
        <v>259</v>
      </c>
      <c r="N16" s="45" t="s">
        <v>303</v>
      </c>
    </row>
    <row r="17" spans="1:14" ht="21" customHeight="1" x14ac:dyDescent="0.15">
      <c r="A17" s="47">
        <v>3003339</v>
      </c>
      <c r="B17" s="47">
        <v>0</v>
      </c>
      <c r="C17" s="47">
        <v>1</v>
      </c>
      <c r="D17" s="47">
        <v>100</v>
      </c>
      <c r="E17" s="47">
        <v>100</v>
      </c>
      <c r="F17" s="47" t="s">
        <v>89</v>
      </c>
      <c r="G17" s="47">
        <v>1</v>
      </c>
      <c r="H17" s="104">
        <v>2</v>
      </c>
      <c r="I17" s="47" t="s">
        <v>89</v>
      </c>
      <c r="J17" s="48">
        <f t="shared" si="1"/>
        <v>100</v>
      </c>
      <c r="L17" s="45" t="s">
        <v>273</v>
      </c>
      <c r="M17" s="45" t="s">
        <v>260</v>
      </c>
      <c r="N17" s="45" t="s">
        <v>254</v>
      </c>
    </row>
    <row r="18" spans="1:14" ht="21" customHeight="1" x14ac:dyDescent="0.15">
      <c r="A18" s="47">
        <v>3003340</v>
      </c>
      <c r="B18" s="47">
        <v>0</v>
      </c>
      <c r="C18" s="47">
        <v>2</v>
      </c>
      <c r="D18" s="47">
        <v>100</v>
      </c>
      <c r="E18" s="47">
        <v>100</v>
      </c>
      <c r="F18" s="47" t="s">
        <v>89</v>
      </c>
      <c r="G18" s="47">
        <v>20</v>
      </c>
      <c r="H18" s="104">
        <v>3</v>
      </c>
      <c r="I18" s="47" t="s">
        <v>89</v>
      </c>
      <c r="J18" s="48">
        <f t="shared" si="1"/>
        <v>100</v>
      </c>
      <c r="L18" s="45" t="s">
        <v>256</v>
      </c>
      <c r="M18" s="45" t="s">
        <v>261</v>
      </c>
      <c r="N18" s="45" t="s">
        <v>255</v>
      </c>
    </row>
    <row r="19" spans="1:14" ht="21" customHeight="1" x14ac:dyDescent="0.15">
      <c r="A19" s="47">
        <v>3003341</v>
      </c>
      <c r="B19" s="47">
        <v>0</v>
      </c>
      <c r="C19" s="47">
        <v>1</v>
      </c>
      <c r="D19" s="47">
        <v>100</v>
      </c>
      <c r="E19" s="47">
        <v>100</v>
      </c>
      <c r="F19" s="47" t="s">
        <v>89</v>
      </c>
      <c r="G19" s="47">
        <v>1</v>
      </c>
      <c r="H19" s="108">
        <v>4</v>
      </c>
      <c r="I19" s="47" t="s">
        <v>89</v>
      </c>
      <c r="J19" s="48">
        <f t="shared" ref="J19" si="3">D19</f>
        <v>100</v>
      </c>
      <c r="L19" s="45" t="s">
        <v>220</v>
      </c>
      <c r="M19" s="45" t="s">
        <v>258</v>
      </c>
      <c r="N19" s="45" t="s">
        <v>303</v>
      </c>
    </row>
    <row r="20" spans="1:14" ht="21" customHeight="1" x14ac:dyDescent="0.15">
      <c r="A20" s="47">
        <v>3003342</v>
      </c>
      <c r="B20" s="47">
        <v>0</v>
      </c>
      <c r="C20" s="47">
        <v>1</v>
      </c>
      <c r="D20" s="47">
        <v>100</v>
      </c>
      <c r="E20" s="47">
        <v>100</v>
      </c>
      <c r="F20" s="47" t="s">
        <v>89</v>
      </c>
      <c r="G20" s="47">
        <v>1</v>
      </c>
      <c r="H20" s="106">
        <v>5</v>
      </c>
      <c r="I20" s="47" t="s">
        <v>89</v>
      </c>
      <c r="J20" s="48">
        <f t="shared" ref="J20:J61" si="4">D20</f>
        <v>100</v>
      </c>
      <c r="L20" s="45" t="s">
        <v>273</v>
      </c>
      <c r="M20" s="45" t="s">
        <v>262</v>
      </c>
    </row>
    <row r="21" spans="1:14" ht="21" customHeight="1" x14ac:dyDescent="0.15">
      <c r="A21" s="47">
        <v>3003343</v>
      </c>
      <c r="B21" s="47">
        <v>0</v>
      </c>
      <c r="C21" s="47">
        <v>1</v>
      </c>
      <c r="D21" s="47">
        <v>100</v>
      </c>
      <c r="E21" s="47">
        <v>100</v>
      </c>
      <c r="F21" s="47" t="s">
        <v>89</v>
      </c>
      <c r="G21" s="47">
        <v>1</v>
      </c>
      <c r="H21" s="106">
        <v>7</v>
      </c>
      <c r="I21" s="47" t="s">
        <v>89</v>
      </c>
      <c r="J21" s="48">
        <f t="shared" si="4"/>
        <v>100</v>
      </c>
      <c r="L21" s="45" t="s">
        <v>220</v>
      </c>
      <c r="M21" s="45" t="s">
        <v>263</v>
      </c>
    </row>
    <row r="22" spans="1:14" ht="21" customHeight="1" x14ac:dyDescent="0.15">
      <c r="A22" s="47">
        <v>3003344</v>
      </c>
      <c r="B22" s="47">
        <v>0</v>
      </c>
      <c r="C22" s="47">
        <v>1</v>
      </c>
      <c r="D22" s="47">
        <v>100</v>
      </c>
      <c r="E22" s="47">
        <v>100</v>
      </c>
      <c r="F22" s="47" t="s">
        <v>89</v>
      </c>
      <c r="G22" s="47">
        <v>1</v>
      </c>
      <c r="H22" s="106">
        <v>8</v>
      </c>
      <c r="I22" s="47" t="s">
        <v>89</v>
      </c>
      <c r="J22" s="48">
        <f t="shared" si="4"/>
        <v>100</v>
      </c>
      <c r="L22" s="45" t="s">
        <v>273</v>
      </c>
      <c r="M22" s="45" t="s">
        <v>259</v>
      </c>
    </row>
    <row r="23" spans="1:14" ht="21" customHeight="1" x14ac:dyDescent="0.15">
      <c r="A23" s="47">
        <v>3003345</v>
      </c>
      <c r="B23" s="47">
        <v>0</v>
      </c>
      <c r="C23" s="47">
        <v>1</v>
      </c>
      <c r="D23" s="47">
        <v>100</v>
      </c>
      <c r="E23" s="47">
        <v>100</v>
      </c>
      <c r="F23" s="47" t="s">
        <v>89</v>
      </c>
      <c r="G23" s="47">
        <v>1</v>
      </c>
      <c r="H23" s="106">
        <v>10</v>
      </c>
      <c r="I23" s="47" t="s">
        <v>89</v>
      </c>
      <c r="J23" s="48">
        <f t="shared" si="4"/>
        <v>100</v>
      </c>
      <c r="L23" s="45" t="s">
        <v>220</v>
      </c>
      <c r="M23" s="45" t="s">
        <v>264</v>
      </c>
    </row>
    <row r="24" spans="1:14" ht="21" customHeight="1" x14ac:dyDescent="0.15">
      <c r="A24" s="47">
        <v>3003346</v>
      </c>
      <c r="B24" s="47">
        <v>0</v>
      </c>
      <c r="C24" s="47">
        <v>1</v>
      </c>
      <c r="D24" s="47">
        <v>100</v>
      </c>
      <c r="E24" s="47">
        <v>100</v>
      </c>
      <c r="F24" s="47" t="s">
        <v>89</v>
      </c>
      <c r="G24" s="47">
        <v>1</v>
      </c>
      <c r="H24" s="106">
        <v>11</v>
      </c>
      <c r="I24" s="47" t="s">
        <v>89</v>
      </c>
      <c r="J24" s="48">
        <f t="shared" si="4"/>
        <v>100</v>
      </c>
      <c r="L24" s="45" t="s">
        <v>273</v>
      </c>
      <c r="M24" s="45" t="s">
        <v>264</v>
      </c>
    </row>
    <row r="25" spans="1:14" ht="21" customHeight="1" x14ac:dyDescent="0.15">
      <c r="A25" s="47">
        <v>3003347</v>
      </c>
      <c r="B25" s="47">
        <v>0</v>
      </c>
      <c r="C25" s="47">
        <v>1</v>
      </c>
      <c r="D25" s="47">
        <v>100</v>
      </c>
      <c r="E25" s="47">
        <v>100</v>
      </c>
      <c r="F25" s="47" t="s">
        <v>89</v>
      </c>
      <c r="G25" s="47">
        <v>1</v>
      </c>
      <c r="H25" s="106">
        <v>13</v>
      </c>
      <c r="I25" s="47" t="s">
        <v>89</v>
      </c>
      <c r="J25" s="48">
        <f t="shared" si="4"/>
        <v>100</v>
      </c>
      <c r="L25" s="45" t="s">
        <v>220</v>
      </c>
      <c r="M25" s="45" t="s">
        <v>260</v>
      </c>
    </row>
    <row r="26" spans="1:14" ht="21" customHeight="1" x14ac:dyDescent="0.15">
      <c r="A26" s="47">
        <v>3003348</v>
      </c>
      <c r="B26" s="47">
        <v>0</v>
      </c>
      <c r="C26" s="47">
        <v>1</v>
      </c>
      <c r="D26" s="47">
        <v>100</v>
      </c>
      <c r="E26" s="47">
        <v>100</v>
      </c>
      <c r="F26" s="47" t="s">
        <v>89</v>
      </c>
      <c r="G26" s="47">
        <v>1</v>
      </c>
      <c r="H26" s="106">
        <v>14</v>
      </c>
      <c r="I26" s="47" t="s">
        <v>89</v>
      </c>
      <c r="J26" s="48">
        <f t="shared" si="4"/>
        <v>100</v>
      </c>
      <c r="L26" s="45" t="s">
        <v>273</v>
      </c>
      <c r="M26" s="45" t="s">
        <v>260</v>
      </c>
    </row>
    <row r="27" spans="1:14" ht="21" customHeight="1" x14ac:dyDescent="0.15">
      <c r="A27" s="47">
        <v>3003349</v>
      </c>
      <c r="B27" s="47">
        <v>0</v>
      </c>
      <c r="C27" s="47">
        <v>1</v>
      </c>
      <c r="D27" s="47">
        <v>100</v>
      </c>
      <c r="E27" s="47">
        <v>100</v>
      </c>
      <c r="F27" s="47" t="s">
        <v>89</v>
      </c>
      <c r="G27" s="47">
        <v>1</v>
      </c>
      <c r="H27" s="106">
        <v>16</v>
      </c>
      <c r="I27" s="47" t="s">
        <v>89</v>
      </c>
      <c r="J27" s="48">
        <f t="shared" si="4"/>
        <v>100</v>
      </c>
      <c r="L27" s="45" t="s">
        <v>220</v>
      </c>
      <c r="M27" s="45" t="s">
        <v>261</v>
      </c>
    </row>
    <row r="28" spans="1:14" ht="21" customHeight="1" x14ac:dyDescent="0.15">
      <c r="A28" s="47">
        <v>3003350</v>
      </c>
      <c r="B28" s="47">
        <v>0</v>
      </c>
      <c r="C28" s="47">
        <v>1</v>
      </c>
      <c r="D28" s="47">
        <v>100</v>
      </c>
      <c r="E28" s="47">
        <v>100</v>
      </c>
      <c r="F28" s="47" t="s">
        <v>89</v>
      </c>
      <c r="G28" s="47">
        <v>1</v>
      </c>
      <c r="H28" s="106">
        <v>17</v>
      </c>
      <c r="I28" s="47" t="s">
        <v>89</v>
      </c>
      <c r="J28" s="48">
        <f t="shared" si="4"/>
        <v>100</v>
      </c>
      <c r="L28" s="45" t="s">
        <v>273</v>
      </c>
      <c r="M28" s="45" t="s">
        <v>260</v>
      </c>
    </row>
    <row r="29" spans="1:14" ht="21" customHeight="1" x14ac:dyDescent="0.15">
      <c r="A29" s="47">
        <v>3003351</v>
      </c>
      <c r="B29" s="47">
        <v>0</v>
      </c>
      <c r="C29" s="47">
        <v>1</v>
      </c>
      <c r="D29" s="47">
        <v>100</v>
      </c>
      <c r="E29" s="47">
        <v>100</v>
      </c>
      <c r="F29" s="47" t="s">
        <v>89</v>
      </c>
      <c r="G29" s="47">
        <v>1</v>
      </c>
      <c r="H29" s="106">
        <v>19</v>
      </c>
      <c r="I29" s="47" t="s">
        <v>89</v>
      </c>
      <c r="J29" s="48">
        <f t="shared" si="4"/>
        <v>100</v>
      </c>
      <c r="L29" s="45" t="s">
        <v>220</v>
      </c>
      <c r="M29" s="45" t="s">
        <v>258</v>
      </c>
    </row>
    <row r="30" spans="1:14" ht="21" customHeight="1" x14ac:dyDescent="0.15">
      <c r="A30" s="47">
        <v>3003352</v>
      </c>
      <c r="B30" s="47">
        <v>0</v>
      </c>
      <c r="C30" s="47">
        <v>1</v>
      </c>
      <c r="D30" s="47">
        <v>100</v>
      </c>
      <c r="E30" s="47">
        <v>100</v>
      </c>
      <c r="F30" s="47" t="s">
        <v>89</v>
      </c>
      <c r="G30" s="47">
        <v>1</v>
      </c>
      <c r="H30" s="106">
        <v>20</v>
      </c>
      <c r="I30" s="47" t="s">
        <v>89</v>
      </c>
      <c r="J30" s="48">
        <f t="shared" si="4"/>
        <v>100</v>
      </c>
      <c r="L30" s="45" t="s">
        <v>273</v>
      </c>
      <c r="M30" s="45" t="s">
        <v>265</v>
      </c>
    </row>
    <row r="31" spans="1:14" ht="21" customHeight="1" x14ac:dyDescent="0.15">
      <c r="A31" s="47">
        <v>3003353</v>
      </c>
      <c r="B31" s="47">
        <v>0</v>
      </c>
      <c r="C31" s="47">
        <v>1</v>
      </c>
      <c r="D31" s="47">
        <v>100</v>
      </c>
      <c r="E31" s="47">
        <v>100</v>
      </c>
      <c r="F31" s="47" t="s">
        <v>89</v>
      </c>
      <c r="G31" s="47">
        <v>1</v>
      </c>
      <c r="H31" s="106">
        <v>22</v>
      </c>
      <c r="I31" s="47" t="s">
        <v>89</v>
      </c>
      <c r="J31" s="48">
        <f t="shared" si="4"/>
        <v>100</v>
      </c>
      <c r="L31" s="45" t="s">
        <v>220</v>
      </c>
      <c r="M31" s="45" t="s">
        <v>258</v>
      </c>
    </row>
    <row r="32" spans="1:14" ht="21" customHeight="1" x14ac:dyDescent="0.15">
      <c r="A32" s="47">
        <v>3003354</v>
      </c>
      <c r="B32" s="47">
        <v>0</v>
      </c>
      <c r="C32" s="47">
        <v>1</v>
      </c>
      <c r="D32" s="47">
        <v>100</v>
      </c>
      <c r="E32" s="47">
        <v>100</v>
      </c>
      <c r="F32" s="47" t="s">
        <v>89</v>
      </c>
      <c r="G32" s="47">
        <v>1</v>
      </c>
      <c r="H32" s="106">
        <v>23</v>
      </c>
      <c r="I32" s="47" t="s">
        <v>89</v>
      </c>
      <c r="J32" s="48">
        <f t="shared" si="4"/>
        <v>100</v>
      </c>
      <c r="L32" s="45" t="s">
        <v>273</v>
      </c>
      <c r="M32" s="45" t="s">
        <v>264</v>
      </c>
    </row>
    <row r="33" spans="1:13" ht="21" customHeight="1" x14ac:dyDescent="0.15">
      <c r="A33" s="47">
        <v>3003355</v>
      </c>
      <c r="B33" s="47">
        <v>0</v>
      </c>
      <c r="C33" s="47">
        <v>1</v>
      </c>
      <c r="D33" s="47">
        <v>100</v>
      </c>
      <c r="E33" s="47">
        <v>100</v>
      </c>
      <c r="F33" s="47" t="s">
        <v>89</v>
      </c>
      <c r="G33" s="47">
        <v>1</v>
      </c>
      <c r="H33" s="106">
        <v>25</v>
      </c>
      <c r="I33" s="47" t="s">
        <v>89</v>
      </c>
      <c r="J33" s="48">
        <f t="shared" si="4"/>
        <v>100</v>
      </c>
      <c r="L33" s="45" t="s">
        <v>220</v>
      </c>
      <c r="M33" s="45" t="s">
        <v>261</v>
      </c>
    </row>
    <row r="34" spans="1:13" ht="21" customHeight="1" x14ac:dyDescent="0.15">
      <c r="A34" s="47">
        <v>3003356</v>
      </c>
      <c r="B34" s="47">
        <v>0</v>
      </c>
      <c r="C34" s="47">
        <v>1</v>
      </c>
      <c r="D34" s="47">
        <v>100</v>
      </c>
      <c r="E34" s="47">
        <v>100</v>
      </c>
      <c r="F34" s="47" t="s">
        <v>89</v>
      </c>
      <c r="G34" s="47">
        <v>1</v>
      </c>
      <c r="H34" s="106">
        <v>26</v>
      </c>
      <c r="I34" s="47" t="s">
        <v>89</v>
      </c>
      <c r="J34" s="48">
        <f t="shared" si="4"/>
        <v>100</v>
      </c>
      <c r="L34" s="45" t="s">
        <v>273</v>
      </c>
      <c r="M34" s="45" t="s">
        <v>258</v>
      </c>
    </row>
    <row r="35" spans="1:13" ht="21" customHeight="1" x14ac:dyDescent="0.15">
      <c r="A35" s="47">
        <v>3003357</v>
      </c>
      <c r="B35" s="47">
        <v>0</v>
      </c>
      <c r="C35" s="47">
        <v>1</v>
      </c>
      <c r="D35" s="47">
        <v>100</v>
      </c>
      <c r="E35" s="47">
        <v>100</v>
      </c>
      <c r="F35" s="47" t="s">
        <v>89</v>
      </c>
      <c r="G35" s="47">
        <v>1</v>
      </c>
      <c r="H35" s="106">
        <v>28</v>
      </c>
      <c r="I35" s="47" t="s">
        <v>89</v>
      </c>
      <c r="J35" s="48">
        <f t="shared" si="4"/>
        <v>100</v>
      </c>
      <c r="L35" s="45" t="s">
        <v>220</v>
      </c>
      <c r="M35" s="45" t="s">
        <v>258</v>
      </c>
    </row>
    <row r="36" spans="1:13" ht="21" customHeight="1" x14ac:dyDescent="0.15">
      <c r="A36" s="47">
        <v>3003358</v>
      </c>
      <c r="B36" s="47">
        <v>0</v>
      </c>
      <c r="C36" s="47">
        <v>1</v>
      </c>
      <c r="D36" s="47">
        <v>100</v>
      </c>
      <c r="E36" s="47">
        <v>100</v>
      </c>
      <c r="F36" s="47" t="s">
        <v>89</v>
      </c>
      <c r="G36" s="47">
        <v>1</v>
      </c>
      <c r="H36" s="106">
        <v>29</v>
      </c>
      <c r="I36" s="47" t="s">
        <v>89</v>
      </c>
      <c r="J36" s="48">
        <f t="shared" si="4"/>
        <v>100</v>
      </c>
      <c r="L36" s="45" t="s">
        <v>273</v>
      </c>
      <c r="M36" s="45" t="s">
        <v>266</v>
      </c>
    </row>
    <row r="37" spans="1:13" ht="21" customHeight="1" x14ac:dyDescent="0.15">
      <c r="A37" s="47">
        <v>3003359</v>
      </c>
      <c r="B37" s="47">
        <v>0</v>
      </c>
      <c r="C37" s="47">
        <v>1</v>
      </c>
      <c r="D37" s="47">
        <v>100</v>
      </c>
      <c r="E37" s="47">
        <v>100</v>
      </c>
      <c r="F37" s="47" t="s">
        <v>89</v>
      </c>
      <c r="G37" s="47">
        <v>1</v>
      </c>
      <c r="H37" s="106">
        <v>31</v>
      </c>
      <c r="I37" s="47" t="s">
        <v>89</v>
      </c>
      <c r="J37" s="48">
        <f t="shared" si="4"/>
        <v>100</v>
      </c>
      <c r="L37" s="45" t="s">
        <v>220</v>
      </c>
      <c r="M37" s="45" t="s">
        <v>258</v>
      </c>
    </row>
    <row r="38" spans="1:13" ht="21" customHeight="1" x14ac:dyDescent="0.15">
      <c r="A38" s="47">
        <v>3003360</v>
      </c>
      <c r="B38" s="47">
        <v>0</v>
      </c>
      <c r="C38" s="47">
        <v>1</v>
      </c>
      <c r="D38" s="47">
        <v>100</v>
      </c>
      <c r="E38" s="47">
        <v>100</v>
      </c>
      <c r="F38" s="47" t="s">
        <v>89</v>
      </c>
      <c r="G38" s="47">
        <v>1</v>
      </c>
      <c r="H38" s="106">
        <v>32</v>
      </c>
      <c r="I38" s="47" t="s">
        <v>89</v>
      </c>
      <c r="J38" s="48">
        <f t="shared" si="4"/>
        <v>100</v>
      </c>
      <c r="L38" s="45" t="s">
        <v>273</v>
      </c>
      <c r="M38" s="45" t="s">
        <v>260</v>
      </c>
    </row>
    <row r="39" spans="1:13" ht="21" customHeight="1" x14ac:dyDescent="0.15">
      <c r="A39" s="47">
        <v>3003361</v>
      </c>
      <c r="B39" s="47">
        <v>0</v>
      </c>
      <c r="C39" s="47">
        <v>1</v>
      </c>
      <c r="D39" s="47">
        <v>100</v>
      </c>
      <c r="E39" s="47">
        <v>100</v>
      </c>
      <c r="F39" s="47" t="s">
        <v>89</v>
      </c>
      <c r="G39" s="47">
        <v>1</v>
      </c>
      <c r="H39" s="106">
        <v>34</v>
      </c>
      <c r="I39" s="47" t="s">
        <v>89</v>
      </c>
      <c r="J39" s="48">
        <f t="shared" si="4"/>
        <v>100</v>
      </c>
      <c r="L39" s="45" t="s">
        <v>220</v>
      </c>
      <c r="M39" s="45" t="s">
        <v>260</v>
      </c>
    </row>
    <row r="40" spans="1:13" ht="21" customHeight="1" x14ac:dyDescent="0.15">
      <c r="A40" s="47">
        <v>3003362</v>
      </c>
      <c r="B40" s="47">
        <v>0</v>
      </c>
      <c r="C40" s="47">
        <v>1</v>
      </c>
      <c r="D40" s="47">
        <v>100</v>
      </c>
      <c r="E40" s="47">
        <v>100</v>
      </c>
      <c r="F40" s="47" t="s">
        <v>89</v>
      </c>
      <c r="G40" s="47">
        <v>1</v>
      </c>
      <c r="H40" s="106">
        <v>35</v>
      </c>
      <c r="I40" s="47" t="s">
        <v>89</v>
      </c>
      <c r="J40" s="48">
        <f t="shared" si="4"/>
        <v>100</v>
      </c>
      <c r="L40" s="45" t="s">
        <v>273</v>
      </c>
      <c r="M40" s="45" t="s">
        <v>262</v>
      </c>
    </row>
    <row r="41" spans="1:13" ht="21" customHeight="1" x14ac:dyDescent="0.15">
      <c r="A41" s="47">
        <v>3003363</v>
      </c>
      <c r="B41" s="47">
        <v>0</v>
      </c>
      <c r="C41" s="47">
        <v>1</v>
      </c>
      <c r="D41" s="47">
        <v>100</v>
      </c>
      <c r="E41" s="47">
        <v>100</v>
      </c>
      <c r="F41" s="47" t="s">
        <v>89</v>
      </c>
      <c r="G41" s="47">
        <v>1</v>
      </c>
      <c r="H41" s="106">
        <v>37</v>
      </c>
      <c r="I41" s="47" t="s">
        <v>89</v>
      </c>
      <c r="J41" s="48">
        <f t="shared" si="4"/>
        <v>100</v>
      </c>
      <c r="L41" s="45" t="s">
        <v>220</v>
      </c>
      <c r="M41" s="45" t="s">
        <v>258</v>
      </c>
    </row>
    <row r="42" spans="1:13" ht="21" customHeight="1" x14ac:dyDescent="0.15">
      <c r="A42" s="47">
        <v>3003364</v>
      </c>
      <c r="B42" s="47">
        <v>0</v>
      </c>
      <c r="C42" s="47">
        <v>1</v>
      </c>
      <c r="D42" s="47">
        <v>100</v>
      </c>
      <c r="E42" s="47">
        <v>100</v>
      </c>
      <c r="F42" s="47" t="s">
        <v>89</v>
      </c>
      <c r="G42" s="47">
        <v>1</v>
      </c>
      <c r="H42" s="106">
        <v>38</v>
      </c>
      <c r="I42" s="47" t="s">
        <v>89</v>
      </c>
      <c r="J42" s="48">
        <f t="shared" si="4"/>
        <v>100</v>
      </c>
      <c r="L42" s="45" t="s">
        <v>273</v>
      </c>
      <c r="M42" s="45" t="s">
        <v>267</v>
      </c>
    </row>
    <row r="43" spans="1:13" ht="21" customHeight="1" x14ac:dyDescent="0.15">
      <c r="A43" s="47">
        <v>3003365</v>
      </c>
      <c r="B43" s="47">
        <v>0</v>
      </c>
      <c r="C43" s="47">
        <v>1</v>
      </c>
      <c r="D43" s="47">
        <v>100</v>
      </c>
      <c r="E43" s="47">
        <v>100</v>
      </c>
      <c r="F43" s="47" t="s">
        <v>89</v>
      </c>
      <c r="G43" s="47">
        <v>1</v>
      </c>
      <c r="H43" s="106">
        <v>40</v>
      </c>
      <c r="I43" s="47" t="s">
        <v>89</v>
      </c>
      <c r="J43" s="48">
        <f t="shared" si="4"/>
        <v>100</v>
      </c>
      <c r="L43" s="45" t="s">
        <v>220</v>
      </c>
      <c r="M43" s="45" t="s">
        <v>259</v>
      </c>
    </row>
    <row r="44" spans="1:13" ht="21" customHeight="1" x14ac:dyDescent="0.15">
      <c r="A44" s="47">
        <v>3003366</v>
      </c>
      <c r="B44" s="47">
        <v>0</v>
      </c>
      <c r="C44" s="47">
        <v>1</v>
      </c>
      <c r="D44" s="47">
        <v>100</v>
      </c>
      <c r="E44" s="47">
        <v>100</v>
      </c>
      <c r="F44" s="47" t="s">
        <v>89</v>
      </c>
      <c r="G44" s="47">
        <v>1</v>
      </c>
      <c r="H44" s="106">
        <v>41</v>
      </c>
      <c r="I44" s="47" t="s">
        <v>89</v>
      </c>
      <c r="J44" s="48">
        <f t="shared" si="4"/>
        <v>100</v>
      </c>
      <c r="L44" s="45" t="s">
        <v>273</v>
      </c>
      <c r="M44" s="45" t="s">
        <v>258</v>
      </c>
    </row>
    <row r="45" spans="1:13" ht="21" customHeight="1" x14ac:dyDescent="0.15">
      <c r="A45" s="47">
        <v>3003367</v>
      </c>
      <c r="B45" s="47">
        <v>0</v>
      </c>
      <c r="C45" s="47">
        <v>1</v>
      </c>
      <c r="D45" s="47">
        <v>100</v>
      </c>
      <c r="E45" s="47">
        <v>100</v>
      </c>
      <c r="F45" s="47" t="s">
        <v>89</v>
      </c>
      <c r="G45" s="47">
        <v>1</v>
      </c>
      <c r="H45" s="106">
        <v>43</v>
      </c>
      <c r="I45" s="47" t="s">
        <v>89</v>
      </c>
      <c r="J45" s="48">
        <f t="shared" si="4"/>
        <v>100</v>
      </c>
      <c r="L45" s="45" t="s">
        <v>220</v>
      </c>
      <c r="M45" s="45" t="s">
        <v>262</v>
      </c>
    </row>
    <row r="46" spans="1:13" ht="21" customHeight="1" x14ac:dyDescent="0.15">
      <c r="A46" s="47">
        <v>3003368</v>
      </c>
      <c r="B46" s="47">
        <v>0</v>
      </c>
      <c r="C46" s="47">
        <v>1</v>
      </c>
      <c r="D46" s="47">
        <v>100</v>
      </c>
      <c r="E46" s="47">
        <v>100</v>
      </c>
      <c r="F46" s="47" t="s">
        <v>89</v>
      </c>
      <c r="G46" s="47">
        <v>1</v>
      </c>
      <c r="H46" s="106">
        <v>44</v>
      </c>
      <c r="I46" s="47" t="s">
        <v>89</v>
      </c>
      <c r="J46" s="48">
        <f t="shared" si="4"/>
        <v>100</v>
      </c>
      <c r="L46" s="45" t="s">
        <v>273</v>
      </c>
      <c r="M46" s="45" t="s">
        <v>258</v>
      </c>
    </row>
    <row r="47" spans="1:13" ht="21" customHeight="1" x14ac:dyDescent="0.15">
      <c r="A47" s="47">
        <v>3003369</v>
      </c>
      <c r="B47" s="47">
        <v>0</v>
      </c>
      <c r="C47" s="47">
        <v>1</v>
      </c>
      <c r="D47" s="47">
        <v>100</v>
      </c>
      <c r="E47" s="47">
        <v>100</v>
      </c>
      <c r="F47" s="47" t="s">
        <v>89</v>
      </c>
      <c r="G47" s="47">
        <v>1</v>
      </c>
      <c r="H47" s="106">
        <v>46</v>
      </c>
      <c r="I47" s="47" t="s">
        <v>89</v>
      </c>
      <c r="J47" s="48">
        <f t="shared" si="4"/>
        <v>100</v>
      </c>
      <c r="L47" s="45" t="s">
        <v>220</v>
      </c>
      <c r="M47" s="45" t="s">
        <v>264</v>
      </c>
    </row>
    <row r="48" spans="1:13" ht="21" customHeight="1" x14ac:dyDescent="0.15">
      <c r="A48" s="47">
        <v>3003370</v>
      </c>
      <c r="B48" s="47">
        <v>0</v>
      </c>
      <c r="C48" s="47">
        <v>1</v>
      </c>
      <c r="D48" s="47">
        <v>100</v>
      </c>
      <c r="E48" s="47">
        <v>100</v>
      </c>
      <c r="F48" s="47" t="s">
        <v>89</v>
      </c>
      <c r="G48" s="47">
        <v>1</v>
      </c>
      <c r="H48" s="106">
        <v>47</v>
      </c>
      <c r="I48" s="47" t="s">
        <v>89</v>
      </c>
      <c r="J48" s="48">
        <f t="shared" si="4"/>
        <v>100</v>
      </c>
      <c r="L48" s="45" t="s">
        <v>273</v>
      </c>
      <c r="M48" s="45" t="s">
        <v>258</v>
      </c>
    </row>
    <row r="49" spans="1:13" ht="21" customHeight="1" x14ac:dyDescent="0.15">
      <c r="A49" s="47">
        <v>3003371</v>
      </c>
      <c r="B49" s="47">
        <v>0</v>
      </c>
      <c r="C49" s="47">
        <v>1</v>
      </c>
      <c r="D49" s="47">
        <v>100</v>
      </c>
      <c r="E49" s="47">
        <v>100</v>
      </c>
      <c r="F49" s="47" t="s">
        <v>89</v>
      </c>
      <c r="G49" s="47">
        <v>1</v>
      </c>
      <c r="H49" s="106">
        <v>49</v>
      </c>
      <c r="I49" s="47" t="s">
        <v>89</v>
      </c>
      <c r="J49" s="48">
        <f t="shared" si="4"/>
        <v>100</v>
      </c>
      <c r="L49" s="45" t="s">
        <v>220</v>
      </c>
      <c r="M49" s="45" t="s">
        <v>258</v>
      </c>
    </row>
    <row r="50" spans="1:13" ht="21" customHeight="1" x14ac:dyDescent="0.15">
      <c r="A50" s="47">
        <v>3003372</v>
      </c>
      <c r="B50" s="47">
        <v>0</v>
      </c>
      <c r="C50" s="47">
        <v>1</v>
      </c>
      <c r="D50" s="47">
        <v>100</v>
      </c>
      <c r="E50" s="47">
        <v>100</v>
      </c>
      <c r="F50" s="47" t="s">
        <v>89</v>
      </c>
      <c r="G50" s="47">
        <v>1</v>
      </c>
      <c r="H50" s="106">
        <v>50</v>
      </c>
      <c r="I50" s="47" t="s">
        <v>89</v>
      </c>
      <c r="J50" s="48">
        <f t="shared" si="4"/>
        <v>100</v>
      </c>
      <c r="L50" s="45" t="s">
        <v>273</v>
      </c>
      <c r="M50" s="45" t="s">
        <v>258</v>
      </c>
    </row>
    <row r="51" spans="1:13" ht="21" customHeight="1" x14ac:dyDescent="0.15">
      <c r="A51" s="47">
        <v>3003373</v>
      </c>
      <c r="B51" s="47">
        <v>0</v>
      </c>
      <c r="C51" s="47">
        <v>1</v>
      </c>
      <c r="D51" s="47">
        <v>100</v>
      </c>
      <c r="E51" s="47">
        <v>100</v>
      </c>
      <c r="F51" s="47" t="s">
        <v>89</v>
      </c>
      <c r="G51" s="47">
        <v>1</v>
      </c>
      <c r="H51" s="106">
        <v>52</v>
      </c>
      <c r="I51" s="47" t="s">
        <v>89</v>
      </c>
      <c r="J51" s="48">
        <f t="shared" si="4"/>
        <v>100</v>
      </c>
      <c r="L51" s="45" t="s">
        <v>220</v>
      </c>
      <c r="M51" s="45" t="s">
        <v>260</v>
      </c>
    </row>
    <row r="52" spans="1:13" ht="21" customHeight="1" x14ac:dyDescent="0.15">
      <c r="A52" s="47">
        <v>3003374</v>
      </c>
      <c r="B52" s="47">
        <v>0</v>
      </c>
      <c r="C52" s="47">
        <v>1</v>
      </c>
      <c r="D52" s="47">
        <v>100</v>
      </c>
      <c r="E52" s="47">
        <v>100</v>
      </c>
      <c r="F52" s="47" t="s">
        <v>89</v>
      </c>
      <c r="G52" s="47">
        <v>1</v>
      </c>
      <c r="H52" s="106">
        <v>53</v>
      </c>
      <c r="I52" s="47" t="s">
        <v>89</v>
      </c>
      <c r="J52" s="48">
        <f t="shared" si="4"/>
        <v>100</v>
      </c>
      <c r="L52" s="45" t="s">
        <v>273</v>
      </c>
      <c r="M52" s="45" t="s">
        <v>258</v>
      </c>
    </row>
    <row r="53" spans="1:13" ht="21" customHeight="1" x14ac:dyDescent="0.15">
      <c r="A53" s="47">
        <v>3003375</v>
      </c>
      <c r="B53" s="47">
        <v>0</v>
      </c>
      <c r="C53" s="47">
        <v>1</v>
      </c>
      <c r="D53" s="47">
        <v>100</v>
      </c>
      <c r="E53" s="47">
        <v>100</v>
      </c>
      <c r="F53" s="47" t="s">
        <v>89</v>
      </c>
      <c r="G53" s="47">
        <v>1</v>
      </c>
      <c r="H53" s="106">
        <v>55</v>
      </c>
      <c r="I53" s="47" t="s">
        <v>89</v>
      </c>
      <c r="J53" s="48">
        <f t="shared" si="4"/>
        <v>100</v>
      </c>
      <c r="L53" s="45" t="s">
        <v>220</v>
      </c>
      <c r="M53" s="45" t="s">
        <v>261</v>
      </c>
    </row>
    <row r="54" spans="1:13" ht="21" customHeight="1" x14ac:dyDescent="0.15">
      <c r="A54" s="47">
        <v>3003376</v>
      </c>
      <c r="B54" s="47">
        <v>0</v>
      </c>
      <c r="C54" s="47">
        <v>1</v>
      </c>
      <c r="D54" s="47">
        <v>100</v>
      </c>
      <c r="E54" s="47">
        <v>100</v>
      </c>
      <c r="F54" s="47" t="s">
        <v>89</v>
      </c>
      <c r="G54" s="47">
        <v>1</v>
      </c>
      <c r="H54" s="106">
        <v>56</v>
      </c>
      <c r="I54" s="47" t="s">
        <v>89</v>
      </c>
      <c r="J54" s="48">
        <f t="shared" si="4"/>
        <v>100</v>
      </c>
      <c r="L54" s="45" t="s">
        <v>273</v>
      </c>
      <c r="M54" s="45" t="s">
        <v>260</v>
      </c>
    </row>
    <row r="55" spans="1:13" ht="21" customHeight="1" x14ac:dyDescent="0.15">
      <c r="A55" s="47">
        <v>3003377</v>
      </c>
      <c r="B55" s="47">
        <v>0</v>
      </c>
      <c r="C55" s="47">
        <v>1</v>
      </c>
      <c r="D55" s="47">
        <v>100</v>
      </c>
      <c r="E55" s="47">
        <v>100</v>
      </c>
      <c r="F55" s="47" t="s">
        <v>89</v>
      </c>
      <c r="G55" s="47">
        <v>1</v>
      </c>
      <c r="H55" s="106">
        <v>58</v>
      </c>
      <c r="I55" s="47" t="s">
        <v>89</v>
      </c>
      <c r="J55" s="48">
        <f t="shared" si="4"/>
        <v>100</v>
      </c>
      <c r="L55" s="45" t="s">
        <v>220</v>
      </c>
      <c r="M55" s="45" t="s">
        <v>260</v>
      </c>
    </row>
    <row r="56" spans="1:13" ht="21" customHeight="1" x14ac:dyDescent="0.15">
      <c r="A56" s="47">
        <v>3003378</v>
      </c>
      <c r="B56" s="47">
        <v>0</v>
      </c>
      <c r="C56" s="47">
        <v>1</v>
      </c>
      <c r="D56" s="47">
        <v>100</v>
      </c>
      <c r="E56" s="47">
        <v>100</v>
      </c>
      <c r="F56" s="47" t="s">
        <v>89</v>
      </c>
      <c r="G56" s="47">
        <v>1</v>
      </c>
      <c r="H56" s="106">
        <v>59</v>
      </c>
      <c r="I56" s="47" t="s">
        <v>89</v>
      </c>
      <c r="J56" s="48">
        <f t="shared" si="4"/>
        <v>100</v>
      </c>
      <c r="L56" s="45" t="s">
        <v>273</v>
      </c>
      <c r="M56" s="45" t="s">
        <v>258</v>
      </c>
    </row>
    <row r="57" spans="1:13" ht="21" customHeight="1" x14ac:dyDescent="0.15">
      <c r="A57" s="47">
        <v>3003379</v>
      </c>
      <c r="B57" s="47">
        <v>0</v>
      </c>
      <c r="C57" s="47">
        <v>1</v>
      </c>
      <c r="D57" s="47">
        <v>100</v>
      </c>
      <c r="E57" s="47">
        <v>100</v>
      </c>
      <c r="F57" s="47" t="s">
        <v>89</v>
      </c>
      <c r="G57" s="47">
        <v>1</v>
      </c>
      <c r="H57" s="106">
        <v>61</v>
      </c>
      <c r="I57" s="47" t="s">
        <v>89</v>
      </c>
      <c r="J57" s="48">
        <f t="shared" si="4"/>
        <v>100</v>
      </c>
      <c r="L57" s="45" t="s">
        <v>220</v>
      </c>
      <c r="M57" s="45" t="s">
        <v>268</v>
      </c>
    </row>
    <row r="58" spans="1:13" ht="21" customHeight="1" x14ac:dyDescent="0.15">
      <c r="A58" s="47">
        <v>3003380</v>
      </c>
      <c r="B58" s="47">
        <v>0</v>
      </c>
      <c r="C58" s="47">
        <v>1</v>
      </c>
      <c r="D58" s="47">
        <v>100</v>
      </c>
      <c r="E58" s="47">
        <v>100</v>
      </c>
      <c r="F58" s="47" t="s">
        <v>89</v>
      </c>
      <c r="G58" s="47">
        <v>1</v>
      </c>
      <c r="H58" s="106">
        <v>62</v>
      </c>
      <c r="I58" s="47" t="s">
        <v>89</v>
      </c>
      <c r="J58" s="48">
        <f t="shared" si="4"/>
        <v>100</v>
      </c>
      <c r="L58" s="45" t="s">
        <v>273</v>
      </c>
      <c r="M58" s="45" t="s">
        <v>260</v>
      </c>
    </row>
    <row r="59" spans="1:13" ht="21" customHeight="1" x14ac:dyDescent="0.15">
      <c r="A59" s="47">
        <v>3003381</v>
      </c>
      <c r="B59" s="47">
        <v>0</v>
      </c>
      <c r="C59" s="47">
        <v>1</v>
      </c>
      <c r="D59" s="47">
        <v>100</v>
      </c>
      <c r="E59" s="47">
        <v>100</v>
      </c>
      <c r="F59" s="47" t="s">
        <v>89</v>
      </c>
      <c r="G59" s="47">
        <v>1</v>
      </c>
      <c r="H59" s="106">
        <v>64</v>
      </c>
      <c r="I59" s="47" t="s">
        <v>89</v>
      </c>
      <c r="J59" s="48">
        <f t="shared" si="4"/>
        <v>100</v>
      </c>
      <c r="L59" s="45" t="s">
        <v>220</v>
      </c>
      <c r="M59" s="45" t="s">
        <v>260</v>
      </c>
    </row>
    <row r="60" spans="1:13" ht="21" customHeight="1" x14ac:dyDescent="0.15">
      <c r="A60" s="47">
        <v>3003382</v>
      </c>
      <c r="B60" s="47">
        <v>0</v>
      </c>
      <c r="C60" s="47">
        <v>1</v>
      </c>
      <c r="D60" s="47">
        <v>100</v>
      </c>
      <c r="E60" s="47">
        <v>100</v>
      </c>
      <c r="F60" s="47" t="s">
        <v>89</v>
      </c>
      <c r="G60" s="47">
        <v>1</v>
      </c>
      <c r="H60" s="106">
        <v>65</v>
      </c>
      <c r="I60" s="47" t="s">
        <v>89</v>
      </c>
      <c r="J60" s="48">
        <f t="shared" si="4"/>
        <v>100</v>
      </c>
      <c r="L60" s="45" t="s">
        <v>257</v>
      </c>
      <c r="M60" s="45" t="s">
        <v>258</v>
      </c>
    </row>
    <row r="61" spans="1:13" ht="21" customHeight="1" x14ac:dyDescent="0.15">
      <c r="A61" s="47">
        <v>3003383</v>
      </c>
      <c r="B61" s="47">
        <v>0</v>
      </c>
      <c r="C61" s="47">
        <v>1</v>
      </c>
      <c r="D61" s="47">
        <v>100</v>
      </c>
      <c r="E61" s="47">
        <v>100</v>
      </c>
      <c r="F61" s="47" t="s">
        <v>89</v>
      </c>
      <c r="G61" s="47">
        <v>1</v>
      </c>
      <c r="H61" s="106">
        <v>66</v>
      </c>
      <c r="I61" s="47" t="s">
        <v>89</v>
      </c>
      <c r="J61" s="48">
        <f t="shared" si="4"/>
        <v>100</v>
      </c>
      <c r="L61" s="45" t="s">
        <v>313</v>
      </c>
      <c r="M61" s="45" t="s">
        <v>260</v>
      </c>
    </row>
  </sheetData>
  <autoFilter ref="A1:G1"/>
  <phoneticPr fontId="5"/>
  <conditionalFormatting sqref="K20:K1048576 K1:K2">
    <cfRule type="duplicateValues" dxfId="2" priority="5"/>
  </conditionalFormatting>
  <conditionalFormatting sqref="K3:K18">
    <cfRule type="duplicateValues" dxfId="1" priority="9"/>
  </conditionalFormatting>
  <conditionalFormatting sqref="K19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0"/>
  <sheetViews>
    <sheetView showGridLines="0" workbookViewId="0">
      <pane xSplit="5" ySplit="1" topLeftCell="F51" activePane="bottomRight" state="frozen"/>
      <selection pane="topRight"/>
      <selection pane="bottomLeft"/>
      <selection pane="bottomRight" activeCell="E71" sqref="E7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3003301_3003306</v>
      </c>
      <c r="B2" s="47">
        <v>3003301</v>
      </c>
      <c r="C2" s="47">
        <v>3003306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鳴き声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3003306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2" s="47"/>
      <c r="Q2" s="47"/>
      <c r="R2" s="47"/>
    </row>
    <row r="3" spans="1:18" ht="21" customHeight="1" x14ac:dyDescent="0.15">
      <c r="A3" s="39" t="str">
        <f t="shared" ref="A3:A18" si="1">B3&amp;"_"&amp;C3</f>
        <v>3003302_3003311</v>
      </c>
      <c r="B3" s="47">
        <v>3003302</v>
      </c>
      <c r="C3" s="47">
        <v>3003311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先手を打たせてもらう！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緑パネルを吸収して防御力UP</v>
      </c>
      <c r="F3" s="47">
        <v>3003311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3003302_3003312</v>
      </c>
      <c r="B4" s="47">
        <v>3003302</v>
      </c>
      <c r="C4" s="47">
        <v>3003312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隙あり！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4" s="47">
        <v>3003312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3003302_3003313</v>
      </c>
      <c r="B5" s="47">
        <v>3003302</v>
      </c>
      <c r="C5" s="47">
        <v>3003313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捨て身の一撃を…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トモエの防御力down</v>
      </c>
      <c r="F5" s="47">
        <v>3003313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3003302_3003314</v>
      </c>
      <c r="B6" s="47">
        <v>3003302</v>
      </c>
      <c r="C6" s="47">
        <v>3003314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受けて頂く！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会心の一撃！</v>
      </c>
      <c r="F6" s="47">
        <v>3003314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3003302_3003315</v>
      </c>
      <c r="B7" s="47">
        <v>3003302</v>
      </c>
      <c r="C7" s="47">
        <v>3003315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一網打尽にしてくれる！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3003315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7"/>
      <c r="Q7" s="47"/>
      <c r="R7" s="47"/>
    </row>
    <row r="8" spans="1:18" ht="21" customHeight="1" x14ac:dyDescent="0.15">
      <c r="A8" s="39" t="str">
        <f t="shared" ref="A8" si="2">B8&amp;"_"&amp;C8</f>
        <v>3003302_3003316</v>
      </c>
      <c r="B8" s="47">
        <v>3003302</v>
      </c>
      <c r="C8" s="47">
        <v>3003316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こんな傷など！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黄パネルを吸収して回復</v>
      </c>
      <c r="F8" s="47">
        <v>3003316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8" s="47"/>
      <c r="Q8" s="47"/>
      <c r="R8" s="47"/>
    </row>
    <row r="9" spans="1:18" ht="21" customHeight="1" x14ac:dyDescent="0.15">
      <c r="A9" s="39" t="str">
        <f t="shared" si="1"/>
        <v>3003303_3003319</v>
      </c>
      <c r="B9" s="47">
        <v>3003303</v>
      </c>
      <c r="C9" s="47">
        <v>3003319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この舞を見よ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9" s="47">
        <v>3003319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3003304_3003324</v>
      </c>
      <c r="B10" s="47">
        <v>3003304</v>
      </c>
      <c r="C10" s="47">
        <v>3003324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忍法！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10" s="47">
        <v>3003324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3003305_3003329</v>
      </c>
      <c r="B11" s="47">
        <v>3003305</v>
      </c>
      <c r="C11" s="47">
        <v>3003329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さぁ、遊ぼうか！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これくらいで倒れるなよ？</v>
      </c>
      <c r="F11" s="47">
        <v>3003329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3003305_3003330</v>
      </c>
      <c r="B12" s="47">
        <v>3003305</v>
      </c>
      <c r="C12" s="47">
        <v>3003330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少しはやるな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でも、どこまで耐えられるかな？</v>
      </c>
      <c r="F12" s="47">
        <v>3003330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3003305_3003331</v>
      </c>
      <c r="B13" s="47">
        <v>3003305</v>
      </c>
      <c r="C13" s="47">
        <v>3003331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まだまだこれからだ！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そろそろ本気を出すぜ！</v>
      </c>
      <c r="F13" s="47">
        <v>3003331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3003305_3003332</v>
      </c>
      <c r="B14" s="47">
        <v>3003305</v>
      </c>
      <c r="C14" s="47">
        <v>3003332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俺の攻撃に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いつまで耐えれるかな？</v>
      </c>
      <c r="F14" s="47">
        <v>3003332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3003306_3003337</v>
      </c>
      <c r="B15" s="47">
        <v>3003306</v>
      </c>
      <c r="C15" s="47">
        <v>3003337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ここからが本番だ！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力を溜めている＋防御力2ターンUP</v>
      </c>
      <c r="F15" s="47">
        <v>3003337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3003306_3003338</v>
      </c>
      <c r="B16" s="47">
        <v>3003306</v>
      </c>
      <c r="C16" s="47">
        <v>3003338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47">
        <v>3003338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3003306_3003339</v>
      </c>
      <c r="B17" s="47">
        <v>3003306</v>
      </c>
      <c r="C17" s="47">
        <v>3003339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まだまだ！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17" s="47">
        <v>3003339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3003306_3003340</v>
      </c>
      <c r="B18" s="47">
        <v>3003306</v>
      </c>
      <c r="C18" s="47">
        <v>3003340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蘭丸は間合いを詰めている</v>
      </c>
      <c r="F18" s="47">
        <v>3003340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20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3">B19&amp;"_"&amp;C19</f>
        <v>3003306_3003341</v>
      </c>
      <c r="B19" s="47">
        <v>3003306</v>
      </c>
      <c r="C19" s="47">
        <v>3003341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7">
        <v>3003341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:A60" si="4">B20&amp;"_"&amp;C20</f>
        <v>3003306_3003342</v>
      </c>
      <c r="B20" s="107">
        <v>3003306</v>
      </c>
      <c r="C20" s="47">
        <v>3003342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20" s="47">
        <v>3003342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3003306_3003343</v>
      </c>
      <c r="B21" s="107">
        <v>3003306</v>
      </c>
      <c r="C21" s="47">
        <v>3003343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1" s="47">
        <v>3003343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4"/>
        <v>3003306_3003344</v>
      </c>
      <c r="B22" s="107">
        <v>3003306</v>
      </c>
      <c r="C22" s="47">
        <v>3003344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22" s="47">
        <v>3003344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3003306_3003345</v>
      </c>
      <c r="B23" s="107">
        <v>3003306</v>
      </c>
      <c r="C23" s="47">
        <v>3003345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3003345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3003306_3003346</v>
      </c>
      <c r="B24" s="107">
        <v>3003306</v>
      </c>
      <c r="C24" s="47">
        <v>3003346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24" s="47">
        <v>3003346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3003306_3003347</v>
      </c>
      <c r="B25" s="107">
        <v>3003306</v>
      </c>
      <c r="C25" s="47">
        <v>3003347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47">
        <v>3003347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13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3003306_3003348</v>
      </c>
      <c r="B26" s="107">
        <v>3003306</v>
      </c>
      <c r="C26" s="47">
        <v>3003348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26" s="47">
        <v>3003348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14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3003306_3003349</v>
      </c>
      <c r="B27" s="107">
        <v>3003306</v>
      </c>
      <c r="C27" s="47">
        <v>3003349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47">
        <v>3003349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16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4"/>
        <v>3003306_3003350</v>
      </c>
      <c r="B28" s="107">
        <v>3003306</v>
      </c>
      <c r="C28" s="47">
        <v>3003350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28" s="47">
        <v>3003350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17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3003306_3003351</v>
      </c>
      <c r="B29" s="107">
        <v>3003306</v>
      </c>
      <c r="C29" s="47">
        <v>3003351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7">
        <v>3003351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19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3003306_3003352</v>
      </c>
      <c r="B30" s="107">
        <v>3003306</v>
      </c>
      <c r="C30" s="47">
        <v>3003352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30" s="47">
        <v>3003352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20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3003306_3003353</v>
      </c>
      <c r="B31" s="107">
        <v>3003306</v>
      </c>
      <c r="C31" s="47">
        <v>3003353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47">
        <v>3003353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4"/>
        <v>3003306_3003354</v>
      </c>
      <c r="B32" s="107">
        <v>3003306</v>
      </c>
      <c r="C32" s="47">
        <v>3003354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32" s="47">
        <v>3003354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4"/>
        <v>3003306_3003355</v>
      </c>
      <c r="B33" s="107">
        <v>3003306</v>
      </c>
      <c r="C33" s="47">
        <v>3003355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3" s="47">
        <v>3003355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25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3003306_3003356</v>
      </c>
      <c r="B34" s="107">
        <v>3003306</v>
      </c>
      <c r="C34" s="47">
        <v>3003356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34" s="47">
        <v>3003356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26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3003306_3003357</v>
      </c>
      <c r="B35" s="107">
        <v>3003306</v>
      </c>
      <c r="C35" s="47">
        <v>3003357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" s="47">
        <v>3003357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28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3003306_3003358</v>
      </c>
      <c r="B36" s="107">
        <v>3003306</v>
      </c>
      <c r="C36" s="47">
        <v>3003358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36" s="47">
        <v>3003358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29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4"/>
        <v>3003306_3003359</v>
      </c>
      <c r="B37" s="107">
        <v>3003306</v>
      </c>
      <c r="C37" s="47">
        <v>3003359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" s="47">
        <v>3003359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3003306_3003360</v>
      </c>
      <c r="B38" s="107">
        <v>3003306</v>
      </c>
      <c r="C38" s="47">
        <v>3003360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38" s="47">
        <v>3003360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3003306_3003361</v>
      </c>
      <c r="B39" s="107">
        <v>3003306</v>
      </c>
      <c r="C39" s="47">
        <v>3003361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9" s="47">
        <v>3003361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34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3003306_3003362</v>
      </c>
      <c r="B40" s="107">
        <v>3003306</v>
      </c>
      <c r="C40" s="47">
        <v>3003362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40" s="47">
        <v>3003362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35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4"/>
        <v>3003306_3003363</v>
      </c>
      <c r="B41" s="107">
        <v>3003306</v>
      </c>
      <c r="C41" s="47">
        <v>3003363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1" s="47">
        <v>3003363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37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4"/>
        <v>3003306_3003364</v>
      </c>
      <c r="B42" s="107">
        <v>3003306</v>
      </c>
      <c r="C42" s="47">
        <v>3003364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42" s="47">
        <v>3003364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38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4"/>
        <v>3003306_3003365</v>
      </c>
      <c r="B43" s="107">
        <v>3003306</v>
      </c>
      <c r="C43" s="47">
        <v>3003365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47">
        <v>3003365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40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4"/>
        <v>3003306_3003366</v>
      </c>
      <c r="B44" s="107">
        <v>3003306</v>
      </c>
      <c r="C44" s="47">
        <v>3003366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44" s="47">
        <v>3003366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41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4"/>
        <v>3003306_3003367</v>
      </c>
      <c r="B45" s="107">
        <v>3003306</v>
      </c>
      <c r="C45" s="47">
        <v>3003367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47">
        <v>3003367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43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3003306_3003368</v>
      </c>
      <c r="B46" s="107">
        <v>3003306</v>
      </c>
      <c r="C46" s="47">
        <v>3003368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46" s="47">
        <v>3003368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44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4"/>
        <v>3003306_3003369</v>
      </c>
      <c r="B47" s="107">
        <v>3003306</v>
      </c>
      <c r="C47" s="47">
        <v>3003369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7" s="47">
        <v>3003369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46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4"/>
        <v>3003306_3003370</v>
      </c>
      <c r="B48" s="107">
        <v>3003306</v>
      </c>
      <c r="C48" s="47">
        <v>3003370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48" s="47">
        <v>3003370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47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3003306_3003371</v>
      </c>
      <c r="B49" s="107">
        <v>3003306</v>
      </c>
      <c r="C49" s="47">
        <v>3003371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9" s="47">
        <v>3003371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49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3003306_3003372</v>
      </c>
      <c r="B50" s="107">
        <v>3003306</v>
      </c>
      <c r="C50" s="47">
        <v>3003372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50" s="47">
        <v>3003372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50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3003306_3003373</v>
      </c>
      <c r="B51" s="107">
        <v>3003306</v>
      </c>
      <c r="C51" s="47">
        <v>3003373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1" s="47">
        <v>3003373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52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4"/>
        <v>3003306_3003374</v>
      </c>
      <c r="B52" s="107">
        <v>3003306</v>
      </c>
      <c r="C52" s="47">
        <v>3003374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52" s="47">
        <v>3003374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53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4"/>
        <v>3003306_3003375</v>
      </c>
      <c r="B53" s="107">
        <v>3003306</v>
      </c>
      <c r="C53" s="47">
        <v>3003375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3" s="47">
        <v>3003375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55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3003306_3003376</v>
      </c>
      <c r="B54" s="107">
        <v>3003306</v>
      </c>
      <c r="C54" s="47">
        <v>3003376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54" s="47">
        <v>3003376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56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4"/>
        <v>3003306_3003377</v>
      </c>
      <c r="B55" s="107">
        <v>3003306</v>
      </c>
      <c r="C55" s="47">
        <v>3003377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5" s="47">
        <v>3003377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58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4"/>
        <v>3003306_3003378</v>
      </c>
      <c r="B56" s="107">
        <v>3003306</v>
      </c>
      <c r="C56" s="47">
        <v>3003378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56" s="47">
        <v>3003378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59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4"/>
        <v>3003306_3003379</v>
      </c>
      <c r="B57" s="107">
        <v>3003306</v>
      </c>
      <c r="C57" s="47">
        <v>3003379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7" s="47">
        <v>3003379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61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4"/>
        <v>3003306_3003380</v>
      </c>
      <c r="B58" s="107">
        <v>3003306</v>
      </c>
      <c r="C58" s="47">
        <v>3003380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逃がさないぜ！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蘭丸は構えた。防御力1ターンUP</v>
      </c>
      <c r="F58" s="47">
        <v>3003380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62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4"/>
        <v>3003306_3003381</v>
      </c>
      <c r="B59" s="107">
        <v>3003306</v>
      </c>
      <c r="C59" s="47">
        <v>3003381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9" s="47">
        <v>3003381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64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4"/>
        <v>3003306_3003382</v>
      </c>
      <c r="B60" s="107">
        <v>3003306</v>
      </c>
      <c r="C60" s="47">
        <v>3003382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こんなに長いゲームは初めてだ…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蘭丸は構えるのをやめた</v>
      </c>
      <c r="F60" s="47">
        <v>3003382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65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L29" sqref="L2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3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83">
        <v>30033</v>
      </c>
      <c r="B2" s="83">
        <v>1</v>
      </c>
      <c r="C2" s="72" t="str">
        <f>A2&amp; "_"&amp;B2</f>
        <v>30033_1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3">
        <v>1</v>
      </c>
      <c r="F2" s="83" t="s">
        <v>168</v>
      </c>
      <c r="G2" s="83">
        <v>3200</v>
      </c>
      <c r="H2" s="83" t="s">
        <v>292</v>
      </c>
      <c r="I2" s="83">
        <v>1</v>
      </c>
      <c r="J2" s="83">
        <v>1</v>
      </c>
      <c r="K2" s="83">
        <v>0</v>
      </c>
      <c r="L2" s="83">
        <v>0</v>
      </c>
      <c r="M2" s="83">
        <v>0</v>
      </c>
      <c r="N2" s="83">
        <v>0</v>
      </c>
      <c r="O2" s="83">
        <v>1</v>
      </c>
      <c r="P2" s="83">
        <v>200</v>
      </c>
      <c r="Q2" s="83" t="s">
        <v>169</v>
      </c>
      <c r="R2" s="83" t="s">
        <v>170</v>
      </c>
    </row>
    <row r="3" spans="1:18" x14ac:dyDescent="0.15">
      <c r="A3" s="83">
        <v>30033</v>
      </c>
      <c r="B3" s="83">
        <v>1</v>
      </c>
      <c r="C3" s="72" t="str">
        <f t="shared" ref="C3:C33" si="0">A3&amp; "_"&amp;B3</f>
        <v>30033_1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3">
        <v>2</v>
      </c>
      <c r="F3" s="83" t="s">
        <v>293</v>
      </c>
      <c r="G3" s="83">
        <v>20</v>
      </c>
      <c r="H3" s="83" t="s">
        <v>292</v>
      </c>
      <c r="I3" s="83">
        <v>1</v>
      </c>
      <c r="J3" s="83">
        <v>1</v>
      </c>
      <c r="K3" s="83">
        <v>0</v>
      </c>
      <c r="L3" s="83">
        <v>0</v>
      </c>
      <c r="M3" s="83">
        <v>0</v>
      </c>
      <c r="N3" s="83">
        <v>0</v>
      </c>
      <c r="O3" s="83">
        <v>1</v>
      </c>
      <c r="P3" s="83">
        <v>200</v>
      </c>
      <c r="Q3" s="83" t="s">
        <v>169</v>
      </c>
      <c r="R3" s="83" t="s">
        <v>170</v>
      </c>
    </row>
    <row r="4" spans="1:18" x14ac:dyDescent="0.15">
      <c r="A4" s="83">
        <v>30033</v>
      </c>
      <c r="B4" s="83">
        <v>1</v>
      </c>
      <c r="C4" s="72" t="str">
        <f t="shared" si="0"/>
        <v>30033_1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3">
        <v>3</v>
      </c>
      <c r="F4" s="83" t="s">
        <v>294</v>
      </c>
      <c r="G4" s="83">
        <v>344</v>
      </c>
      <c r="H4" s="83">
        <v>1</v>
      </c>
      <c r="I4" s="83">
        <v>1</v>
      </c>
      <c r="J4" s="83">
        <v>1</v>
      </c>
      <c r="K4" s="83">
        <v>0</v>
      </c>
      <c r="L4" s="83">
        <v>0</v>
      </c>
      <c r="M4" s="83">
        <v>0</v>
      </c>
      <c r="N4" s="83">
        <v>0</v>
      </c>
      <c r="O4" s="83">
        <v>1</v>
      </c>
      <c r="P4" s="83">
        <v>70</v>
      </c>
      <c r="Q4" s="83" t="s">
        <v>169</v>
      </c>
      <c r="R4" s="83" t="s">
        <v>170</v>
      </c>
    </row>
    <row r="5" spans="1:18" x14ac:dyDescent="0.15">
      <c r="A5" s="83">
        <v>30033</v>
      </c>
      <c r="B5" s="83">
        <v>1</v>
      </c>
      <c r="C5" s="72" t="str">
        <f t="shared" si="0"/>
        <v>30033_1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3">
        <v>4</v>
      </c>
      <c r="F5" s="83" t="s">
        <v>294</v>
      </c>
      <c r="G5" s="83">
        <v>345</v>
      </c>
      <c r="H5" s="83">
        <v>1</v>
      </c>
      <c r="I5" s="83">
        <v>1</v>
      </c>
      <c r="J5" s="83">
        <v>1</v>
      </c>
      <c r="K5" s="83">
        <v>0</v>
      </c>
      <c r="L5" s="83">
        <v>0</v>
      </c>
      <c r="M5" s="83">
        <v>0</v>
      </c>
      <c r="N5" s="83">
        <v>0</v>
      </c>
      <c r="O5" s="83">
        <v>1</v>
      </c>
      <c r="P5" s="83">
        <v>70</v>
      </c>
      <c r="Q5" s="83" t="s">
        <v>169</v>
      </c>
      <c r="R5" s="83" t="s">
        <v>170</v>
      </c>
    </row>
    <row r="6" spans="1:18" x14ac:dyDescent="0.15">
      <c r="A6" s="83">
        <v>30033</v>
      </c>
      <c r="B6" s="83">
        <v>1</v>
      </c>
      <c r="C6" s="72" t="str">
        <f t="shared" si="0"/>
        <v>30033_1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3">
        <v>5</v>
      </c>
      <c r="F6" s="83" t="s">
        <v>294</v>
      </c>
      <c r="G6" s="83">
        <v>121</v>
      </c>
      <c r="H6" s="83">
        <v>1</v>
      </c>
      <c r="I6" s="83">
        <v>1</v>
      </c>
      <c r="J6" s="83">
        <v>1</v>
      </c>
      <c r="K6" s="83">
        <v>0</v>
      </c>
      <c r="L6" s="83">
        <v>0</v>
      </c>
      <c r="M6" s="83">
        <v>0</v>
      </c>
      <c r="N6" s="83">
        <v>0</v>
      </c>
      <c r="O6" s="83">
        <v>1</v>
      </c>
      <c r="P6" s="83">
        <v>50</v>
      </c>
      <c r="Q6" s="83" t="s">
        <v>169</v>
      </c>
      <c r="R6" s="83" t="s">
        <v>170</v>
      </c>
    </row>
    <row r="7" spans="1:18" x14ac:dyDescent="0.15">
      <c r="A7" s="83">
        <v>30033</v>
      </c>
      <c r="B7" s="83">
        <v>1</v>
      </c>
      <c r="C7" s="72" t="str">
        <f t="shared" si="0"/>
        <v>30033_1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3">
        <v>6</v>
      </c>
      <c r="F7" s="83" t="s">
        <v>294</v>
      </c>
      <c r="G7" s="83">
        <v>122</v>
      </c>
      <c r="H7" s="83">
        <v>1</v>
      </c>
      <c r="I7" s="83">
        <v>1</v>
      </c>
      <c r="J7" s="83">
        <v>1</v>
      </c>
      <c r="K7" s="83">
        <v>0</v>
      </c>
      <c r="L7" s="83">
        <v>0</v>
      </c>
      <c r="M7" s="83">
        <v>0</v>
      </c>
      <c r="N7" s="83">
        <v>0</v>
      </c>
      <c r="O7" s="83">
        <v>1</v>
      </c>
      <c r="P7" s="83">
        <v>50</v>
      </c>
      <c r="Q7" s="83" t="s">
        <v>169</v>
      </c>
      <c r="R7" s="83" t="s">
        <v>170</v>
      </c>
    </row>
    <row r="8" spans="1:18" x14ac:dyDescent="0.15">
      <c r="A8" s="83">
        <v>30033</v>
      </c>
      <c r="B8" s="83">
        <v>1</v>
      </c>
      <c r="C8" s="72" t="str">
        <f t="shared" si="0"/>
        <v>30033_1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3">
        <v>7</v>
      </c>
      <c r="F8" s="83" t="s">
        <v>294</v>
      </c>
      <c r="G8" s="83">
        <v>123</v>
      </c>
      <c r="H8" s="83">
        <v>1</v>
      </c>
      <c r="I8" s="83">
        <v>1</v>
      </c>
      <c r="J8" s="83">
        <v>1</v>
      </c>
      <c r="K8" s="83">
        <v>0</v>
      </c>
      <c r="L8" s="83">
        <v>0</v>
      </c>
      <c r="M8" s="83">
        <v>0</v>
      </c>
      <c r="N8" s="83">
        <v>0</v>
      </c>
      <c r="O8" s="83">
        <v>1</v>
      </c>
      <c r="P8" s="83">
        <v>50</v>
      </c>
      <c r="Q8" s="83" t="s">
        <v>169</v>
      </c>
      <c r="R8" s="83" t="s">
        <v>170</v>
      </c>
    </row>
    <row r="9" spans="1:18" x14ac:dyDescent="0.15">
      <c r="A9" s="83">
        <v>30033</v>
      </c>
      <c r="B9" s="83">
        <v>1</v>
      </c>
      <c r="C9" s="72" t="str">
        <f t="shared" si="0"/>
        <v>30033_1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3">
        <v>8</v>
      </c>
      <c r="F9" s="83" t="s">
        <v>294</v>
      </c>
      <c r="G9" s="83">
        <v>125</v>
      </c>
      <c r="H9" s="83">
        <v>1</v>
      </c>
      <c r="I9" s="83">
        <v>1</v>
      </c>
      <c r="J9" s="83">
        <v>1</v>
      </c>
      <c r="K9" s="83">
        <v>0</v>
      </c>
      <c r="L9" s="83">
        <v>0</v>
      </c>
      <c r="M9" s="83">
        <v>0</v>
      </c>
      <c r="N9" s="83">
        <v>0</v>
      </c>
      <c r="O9" s="83">
        <v>1</v>
      </c>
      <c r="P9" s="83">
        <v>10</v>
      </c>
      <c r="Q9" s="83" t="s">
        <v>169</v>
      </c>
      <c r="R9" s="83" t="s">
        <v>170</v>
      </c>
    </row>
    <row r="10" spans="1:18" x14ac:dyDescent="0.15">
      <c r="A10" s="83">
        <v>30033</v>
      </c>
      <c r="B10" s="83">
        <v>1</v>
      </c>
      <c r="C10" s="72" t="str">
        <f t="shared" si="0"/>
        <v>30033_1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3">
        <v>9</v>
      </c>
      <c r="F10" s="83" t="s">
        <v>294</v>
      </c>
      <c r="G10" s="123">
        <v>722</v>
      </c>
      <c r="H10" s="83">
        <v>1</v>
      </c>
      <c r="I10" s="83">
        <v>1</v>
      </c>
      <c r="J10" s="83">
        <v>1</v>
      </c>
      <c r="K10" s="83">
        <v>0</v>
      </c>
      <c r="L10" s="83">
        <v>0</v>
      </c>
      <c r="M10" s="83">
        <v>0</v>
      </c>
      <c r="N10" s="83">
        <v>0</v>
      </c>
      <c r="O10" s="83">
        <v>1</v>
      </c>
      <c r="P10" s="83">
        <v>200</v>
      </c>
      <c r="Q10" s="83" t="s">
        <v>169</v>
      </c>
      <c r="R10" s="83" t="s">
        <v>170</v>
      </c>
    </row>
    <row r="11" spans="1:18" ht="16" thickBot="1" x14ac:dyDescent="0.2">
      <c r="A11" s="127">
        <v>30033</v>
      </c>
      <c r="B11" s="127">
        <v>1</v>
      </c>
      <c r="C11" s="128" t="str">
        <f t="shared" si="0"/>
        <v>30033_1</v>
      </c>
      <c r="D11" s="129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7">
        <v>10</v>
      </c>
      <c r="F11" s="127" t="s">
        <v>294</v>
      </c>
      <c r="G11" s="127">
        <v>354</v>
      </c>
      <c r="H11" s="127">
        <v>1</v>
      </c>
      <c r="I11" s="127">
        <v>1</v>
      </c>
      <c r="J11" s="127">
        <v>1</v>
      </c>
      <c r="K11" s="127">
        <v>0</v>
      </c>
      <c r="L11" s="127">
        <v>0</v>
      </c>
      <c r="M11" s="127">
        <v>0</v>
      </c>
      <c r="N11" s="127">
        <v>0</v>
      </c>
      <c r="O11" s="127">
        <v>1</v>
      </c>
      <c r="P11" s="127">
        <v>100</v>
      </c>
      <c r="Q11" s="127" t="s">
        <v>169</v>
      </c>
      <c r="R11" s="127" t="s">
        <v>170</v>
      </c>
    </row>
    <row r="12" spans="1:18" ht="16" thickTop="1" x14ac:dyDescent="0.15">
      <c r="A12" s="124">
        <v>30033</v>
      </c>
      <c r="B12" s="124">
        <v>2</v>
      </c>
      <c r="C12" s="125" t="str">
        <f t="shared" si="0"/>
        <v>30033_2</v>
      </c>
      <c r="D12" s="12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24">
        <v>11</v>
      </c>
      <c r="F12" s="124" t="s">
        <v>168</v>
      </c>
      <c r="G12" s="124">
        <v>5000</v>
      </c>
      <c r="H12" s="124" t="s">
        <v>292</v>
      </c>
      <c r="I12" s="124">
        <v>1</v>
      </c>
      <c r="J12" s="124">
        <v>1</v>
      </c>
      <c r="K12" s="124">
        <v>0</v>
      </c>
      <c r="L12" s="124">
        <v>0</v>
      </c>
      <c r="M12" s="124">
        <v>0</v>
      </c>
      <c r="N12" s="124">
        <v>0</v>
      </c>
      <c r="O12" s="124">
        <v>1</v>
      </c>
      <c r="P12" s="124">
        <v>200</v>
      </c>
      <c r="Q12" s="124" t="s">
        <v>169</v>
      </c>
      <c r="R12" s="124" t="s">
        <v>170</v>
      </c>
    </row>
    <row r="13" spans="1:18" x14ac:dyDescent="0.15">
      <c r="A13" s="83">
        <v>30033</v>
      </c>
      <c r="B13" s="83">
        <v>2</v>
      </c>
      <c r="C13" s="72" t="str">
        <f t="shared" si="0"/>
        <v>30033_2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3">
        <v>12</v>
      </c>
      <c r="F13" s="83" t="s">
        <v>295</v>
      </c>
      <c r="G13" s="83">
        <v>25</v>
      </c>
      <c r="H13" s="83" t="s">
        <v>292</v>
      </c>
      <c r="I13" s="83">
        <v>1</v>
      </c>
      <c r="J13" s="83">
        <v>1</v>
      </c>
      <c r="K13" s="83">
        <v>0</v>
      </c>
      <c r="L13" s="83">
        <v>0</v>
      </c>
      <c r="M13" s="83">
        <v>0</v>
      </c>
      <c r="N13" s="83">
        <v>0</v>
      </c>
      <c r="O13" s="83">
        <v>1</v>
      </c>
      <c r="P13" s="83">
        <v>150</v>
      </c>
      <c r="Q13" s="83" t="s">
        <v>169</v>
      </c>
      <c r="R13" s="83" t="s">
        <v>170</v>
      </c>
    </row>
    <row r="14" spans="1:18" x14ac:dyDescent="0.15">
      <c r="A14" s="83">
        <v>30033</v>
      </c>
      <c r="B14" s="83">
        <v>2</v>
      </c>
      <c r="C14" s="72" t="str">
        <f t="shared" si="0"/>
        <v>30033_2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3">
        <v>13</v>
      </c>
      <c r="F14" s="83" t="s">
        <v>294</v>
      </c>
      <c r="G14" s="83">
        <v>344</v>
      </c>
      <c r="H14" s="83">
        <v>1</v>
      </c>
      <c r="I14" s="83">
        <v>1</v>
      </c>
      <c r="J14" s="83">
        <v>1</v>
      </c>
      <c r="K14" s="83">
        <v>0</v>
      </c>
      <c r="L14" s="83">
        <v>0</v>
      </c>
      <c r="M14" s="83">
        <v>0</v>
      </c>
      <c r="N14" s="83">
        <v>0</v>
      </c>
      <c r="O14" s="83">
        <v>1</v>
      </c>
      <c r="P14" s="83">
        <v>56</v>
      </c>
      <c r="Q14" s="83" t="s">
        <v>169</v>
      </c>
      <c r="R14" s="83" t="s">
        <v>170</v>
      </c>
    </row>
    <row r="15" spans="1:18" x14ac:dyDescent="0.15">
      <c r="A15" s="83">
        <v>30033</v>
      </c>
      <c r="B15" s="83">
        <v>2</v>
      </c>
      <c r="C15" s="72" t="str">
        <f t="shared" si="0"/>
        <v>30033_2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3">
        <v>14</v>
      </c>
      <c r="F15" s="83" t="s">
        <v>294</v>
      </c>
      <c r="G15" s="83">
        <v>345</v>
      </c>
      <c r="H15" s="83">
        <v>1</v>
      </c>
      <c r="I15" s="83">
        <v>1</v>
      </c>
      <c r="J15" s="83">
        <v>1</v>
      </c>
      <c r="K15" s="83">
        <v>0</v>
      </c>
      <c r="L15" s="83">
        <v>0</v>
      </c>
      <c r="M15" s="83">
        <v>0</v>
      </c>
      <c r="N15" s="83">
        <v>0</v>
      </c>
      <c r="O15" s="83">
        <v>1</v>
      </c>
      <c r="P15" s="83">
        <v>56</v>
      </c>
      <c r="Q15" s="83" t="s">
        <v>169</v>
      </c>
      <c r="R15" s="83" t="s">
        <v>170</v>
      </c>
    </row>
    <row r="16" spans="1:18" x14ac:dyDescent="0.15">
      <c r="A16" s="83">
        <v>30033</v>
      </c>
      <c r="B16" s="83">
        <v>2</v>
      </c>
      <c r="C16" s="72" t="str">
        <f t="shared" si="0"/>
        <v>30033_2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3">
        <v>15</v>
      </c>
      <c r="F16" s="83" t="s">
        <v>294</v>
      </c>
      <c r="G16" s="83">
        <v>346</v>
      </c>
      <c r="H16" s="83">
        <v>1</v>
      </c>
      <c r="I16" s="83">
        <v>1</v>
      </c>
      <c r="J16" s="83">
        <v>1</v>
      </c>
      <c r="K16" s="83">
        <v>0</v>
      </c>
      <c r="L16" s="83">
        <v>0</v>
      </c>
      <c r="M16" s="83">
        <v>0</v>
      </c>
      <c r="N16" s="83">
        <v>0</v>
      </c>
      <c r="O16" s="83">
        <v>1</v>
      </c>
      <c r="P16" s="83">
        <v>28</v>
      </c>
      <c r="Q16" s="83" t="s">
        <v>169</v>
      </c>
      <c r="R16" s="83" t="s">
        <v>170</v>
      </c>
    </row>
    <row r="17" spans="1:18" x14ac:dyDescent="0.15">
      <c r="A17" s="83">
        <v>30033</v>
      </c>
      <c r="B17" s="83">
        <v>2</v>
      </c>
      <c r="C17" s="72" t="str">
        <f t="shared" si="0"/>
        <v>30033_2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3">
        <v>16</v>
      </c>
      <c r="F17" s="83" t="s">
        <v>294</v>
      </c>
      <c r="G17" s="83">
        <v>121</v>
      </c>
      <c r="H17" s="83">
        <v>1</v>
      </c>
      <c r="I17" s="83">
        <v>1</v>
      </c>
      <c r="J17" s="83">
        <v>1</v>
      </c>
      <c r="K17" s="83">
        <v>0</v>
      </c>
      <c r="L17" s="83">
        <v>0</v>
      </c>
      <c r="M17" s="83">
        <v>0</v>
      </c>
      <c r="N17" s="83">
        <v>0</v>
      </c>
      <c r="O17" s="83">
        <v>1</v>
      </c>
      <c r="P17" s="83">
        <v>50</v>
      </c>
      <c r="Q17" s="83" t="s">
        <v>169</v>
      </c>
      <c r="R17" s="83" t="s">
        <v>170</v>
      </c>
    </row>
    <row r="18" spans="1:18" x14ac:dyDescent="0.15">
      <c r="A18" s="83">
        <v>30033</v>
      </c>
      <c r="B18" s="83">
        <v>2</v>
      </c>
      <c r="C18" s="72" t="str">
        <f t="shared" si="0"/>
        <v>30033_2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3">
        <v>17</v>
      </c>
      <c r="F18" s="83" t="s">
        <v>294</v>
      </c>
      <c r="G18" s="83">
        <v>122</v>
      </c>
      <c r="H18" s="83">
        <v>1</v>
      </c>
      <c r="I18" s="83">
        <v>1</v>
      </c>
      <c r="J18" s="83">
        <v>1</v>
      </c>
      <c r="K18" s="83">
        <v>0</v>
      </c>
      <c r="L18" s="83">
        <v>0</v>
      </c>
      <c r="M18" s="83">
        <v>0</v>
      </c>
      <c r="N18" s="83">
        <v>0</v>
      </c>
      <c r="O18" s="83">
        <v>1</v>
      </c>
      <c r="P18" s="83">
        <v>50</v>
      </c>
      <c r="Q18" s="83" t="s">
        <v>169</v>
      </c>
      <c r="R18" s="83" t="s">
        <v>170</v>
      </c>
    </row>
    <row r="19" spans="1:18" x14ac:dyDescent="0.15">
      <c r="A19" s="83">
        <v>30033</v>
      </c>
      <c r="B19" s="83">
        <v>2</v>
      </c>
      <c r="C19" s="72" t="str">
        <f t="shared" si="0"/>
        <v>30033_2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3">
        <v>18</v>
      </c>
      <c r="F19" s="83" t="s">
        <v>294</v>
      </c>
      <c r="G19" s="83">
        <v>123</v>
      </c>
      <c r="H19" s="83">
        <v>1</v>
      </c>
      <c r="I19" s="83">
        <v>1</v>
      </c>
      <c r="J19" s="83">
        <v>1</v>
      </c>
      <c r="K19" s="83">
        <v>0</v>
      </c>
      <c r="L19" s="83">
        <v>0</v>
      </c>
      <c r="M19" s="83">
        <v>0</v>
      </c>
      <c r="N19" s="83">
        <v>0</v>
      </c>
      <c r="O19" s="83">
        <v>1</v>
      </c>
      <c r="P19" s="83">
        <v>50</v>
      </c>
      <c r="Q19" s="83" t="s">
        <v>169</v>
      </c>
      <c r="R19" s="83" t="s">
        <v>170</v>
      </c>
    </row>
    <row r="20" spans="1:18" x14ac:dyDescent="0.15">
      <c r="A20" s="83">
        <v>30033</v>
      </c>
      <c r="B20" s="83">
        <v>2</v>
      </c>
      <c r="C20" s="72" t="str">
        <f t="shared" si="0"/>
        <v>30033_2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3">
        <v>19</v>
      </c>
      <c r="F20" s="83" t="s">
        <v>294</v>
      </c>
      <c r="G20" s="83">
        <v>125</v>
      </c>
      <c r="H20" s="83">
        <v>1</v>
      </c>
      <c r="I20" s="83">
        <v>1</v>
      </c>
      <c r="J20" s="83">
        <v>1</v>
      </c>
      <c r="K20" s="83">
        <v>0</v>
      </c>
      <c r="L20" s="83">
        <v>0</v>
      </c>
      <c r="M20" s="83">
        <v>0</v>
      </c>
      <c r="N20" s="83">
        <v>0</v>
      </c>
      <c r="O20" s="83">
        <v>1</v>
      </c>
      <c r="P20" s="83">
        <v>10</v>
      </c>
      <c r="Q20" s="83" t="s">
        <v>169</v>
      </c>
      <c r="R20" s="83" t="s">
        <v>170</v>
      </c>
    </row>
    <row r="21" spans="1:18" x14ac:dyDescent="0.15">
      <c r="A21" s="83">
        <v>30033</v>
      </c>
      <c r="B21" s="83">
        <v>2</v>
      </c>
      <c r="C21" s="72" t="str">
        <f t="shared" si="0"/>
        <v>30033_2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3">
        <v>20</v>
      </c>
      <c r="F21" s="83" t="s">
        <v>296</v>
      </c>
      <c r="G21" s="123">
        <v>722</v>
      </c>
      <c r="H21" s="83">
        <v>1</v>
      </c>
      <c r="I21" s="83">
        <v>1</v>
      </c>
      <c r="J21" s="83">
        <v>1</v>
      </c>
      <c r="K21" s="83">
        <v>0</v>
      </c>
      <c r="L21" s="83">
        <v>0</v>
      </c>
      <c r="M21" s="83">
        <v>0</v>
      </c>
      <c r="N21" s="83">
        <v>0</v>
      </c>
      <c r="O21" s="83">
        <v>1</v>
      </c>
      <c r="P21" s="83">
        <v>250</v>
      </c>
      <c r="Q21" s="83" t="s">
        <v>169</v>
      </c>
      <c r="R21" s="83" t="s">
        <v>170</v>
      </c>
    </row>
    <row r="22" spans="1:18" ht="16" thickBot="1" x14ac:dyDescent="0.2">
      <c r="A22" s="127">
        <v>30033</v>
      </c>
      <c r="B22" s="127">
        <v>2</v>
      </c>
      <c r="C22" s="128" t="str">
        <f t="shared" si="0"/>
        <v>30033_2</v>
      </c>
      <c r="D22" s="129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27">
        <v>21</v>
      </c>
      <c r="F22" s="127" t="s">
        <v>297</v>
      </c>
      <c r="G22" s="127">
        <v>354</v>
      </c>
      <c r="H22" s="127">
        <v>1</v>
      </c>
      <c r="I22" s="127">
        <v>1</v>
      </c>
      <c r="J22" s="127">
        <v>1</v>
      </c>
      <c r="K22" s="127">
        <v>0</v>
      </c>
      <c r="L22" s="127">
        <v>0</v>
      </c>
      <c r="M22" s="127">
        <v>0</v>
      </c>
      <c r="N22" s="127">
        <v>0</v>
      </c>
      <c r="O22" s="127">
        <v>1</v>
      </c>
      <c r="P22" s="127">
        <v>100</v>
      </c>
      <c r="Q22" s="127" t="s">
        <v>169</v>
      </c>
      <c r="R22" s="127" t="s">
        <v>170</v>
      </c>
    </row>
    <row r="23" spans="1:18" ht="16" thickTop="1" x14ac:dyDescent="0.15">
      <c r="A23" s="124">
        <v>30033</v>
      </c>
      <c r="B23" s="124">
        <v>3</v>
      </c>
      <c r="C23" s="125" t="str">
        <f t="shared" si="0"/>
        <v>30033_3</v>
      </c>
      <c r="D23" s="126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24">
        <v>22</v>
      </c>
      <c r="F23" s="124" t="s">
        <v>168</v>
      </c>
      <c r="G23" s="124">
        <v>6500</v>
      </c>
      <c r="H23" s="124" t="s">
        <v>298</v>
      </c>
      <c r="I23" s="124">
        <v>1</v>
      </c>
      <c r="J23" s="124">
        <v>1</v>
      </c>
      <c r="K23" s="124">
        <v>0</v>
      </c>
      <c r="L23" s="124">
        <v>0</v>
      </c>
      <c r="M23" s="124">
        <v>0</v>
      </c>
      <c r="N23" s="124">
        <v>0</v>
      </c>
      <c r="O23" s="124">
        <v>1</v>
      </c>
      <c r="P23" s="124">
        <v>100</v>
      </c>
      <c r="Q23" s="124" t="s">
        <v>169</v>
      </c>
      <c r="R23" s="124" t="s">
        <v>170</v>
      </c>
    </row>
    <row r="24" spans="1:18" x14ac:dyDescent="0.15">
      <c r="A24" s="83">
        <v>30033</v>
      </c>
      <c r="B24" s="83">
        <v>3</v>
      </c>
      <c r="C24" s="72" t="str">
        <f t="shared" si="0"/>
        <v>30033_3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3">
        <v>23</v>
      </c>
      <c r="F24" s="83" t="s">
        <v>299</v>
      </c>
      <c r="G24" s="83">
        <v>25</v>
      </c>
      <c r="H24" s="83" t="s">
        <v>298</v>
      </c>
      <c r="I24" s="83">
        <v>1</v>
      </c>
      <c r="J24" s="83">
        <v>1</v>
      </c>
      <c r="K24" s="83">
        <v>0</v>
      </c>
      <c r="L24" s="83">
        <v>0</v>
      </c>
      <c r="M24" s="83">
        <v>0</v>
      </c>
      <c r="N24" s="83">
        <v>0</v>
      </c>
      <c r="O24" s="83">
        <v>1</v>
      </c>
      <c r="P24" s="83">
        <v>100</v>
      </c>
      <c r="Q24" s="83" t="s">
        <v>169</v>
      </c>
      <c r="R24" s="83" t="s">
        <v>170</v>
      </c>
    </row>
    <row r="25" spans="1:18" x14ac:dyDescent="0.15">
      <c r="A25" s="83">
        <v>30033</v>
      </c>
      <c r="B25" s="83">
        <v>3</v>
      </c>
      <c r="C25" s="72" t="str">
        <f t="shared" si="0"/>
        <v>30033_3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3">
        <v>24</v>
      </c>
      <c r="F25" s="83" t="s">
        <v>297</v>
      </c>
      <c r="G25" s="83">
        <v>344</v>
      </c>
      <c r="H25" s="83">
        <v>1</v>
      </c>
      <c r="I25" s="83">
        <v>1</v>
      </c>
      <c r="J25" s="83">
        <v>1</v>
      </c>
      <c r="K25" s="83">
        <v>0</v>
      </c>
      <c r="L25" s="83">
        <v>0</v>
      </c>
      <c r="M25" s="83">
        <v>0</v>
      </c>
      <c r="N25" s="83">
        <v>0</v>
      </c>
      <c r="O25" s="83">
        <v>1</v>
      </c>
      <c r="P25" s="83">
        <v>28</v>
      </c>
      <c r="Q25" s="83" t="s">
        <v>169</v>
      </c>
      <c r="R25" s="83" t="s">
        <v>170</v>
      </c>
    </row>
    <row r="26" spans="1:18" x14ac:dyDescent="0.15">
      <c r="A26" s="83">
        <v>30033</v>
      </c>
      <c r="B26" s="83">
        <v>3</v>
      </c>
      <c r="C26" s="72" t="str">
        <f t="shared" si="0"/>
        <v>30033_3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3">
        <v>25</v>
      </c>
      <c r="F26" s="83" t="s">
        <v>297</v>
      </c>
      <c r="G26" s="83">
        <v>345</v>
      </c>
      <c r="H26" s="83">
        <v>1</v>
      </c>
      <c r="I26" s="83">
        <v>1</v>
      </c>
      <c r="J26" s="83">
        <v>1</v>
      </c>
      <c r="K26" s="83">
        <v>0</v>
      </c>
      <c r="L26" s="83">
        <v>0</v>
      </c>
      <c r="M26" s="83">
        <v>0</v>
      </c>
      <c r="N26" s="83">
        <v>0</v>
      </c>
      <c r="O26" s="83">
        <v>1</v>
      </c>
      <c r="P26" s="83">
        <v>56</v>
      </c>
      <c r="Q26" s="83" t="s">
        <v>169</v>
      </c>
      <c r="R26" s="83" t="s">
        <v>170</v>
      </c>
    </row>
    <row r="27" spans="1:18" x14ac:dyDescent="0.15">
      <c r="A27" s="83">
        <v>30033</v>
      </c>
      <c r="B27" s="83">
        <v>3</v>
      </c>
      <c r="C27" s="72" t="str">
        <f t="shared" si="0"/>
        <v>30033_3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3">
        <v>26</v>
      </c>
      <c r="F27" s="83" t="s">
        <v>297</v>
      </c>
      <c r="G27" s="83">
        <v>346</v>
      </c>
      <c r="H27" s="83">
        <v>1</v>
      </c>
      <c r="I27" s="83">
        <v>1</v>
      </c>
      <c r="J27" s="83">
        <v>1</v>
      </c>
      <c r="K27" s="83">
        <v>0</v>
      </c>
      <c r="L27" s="83">
        <v>0</v>
      </c>
      <c r="M27" s="83">
        <v>0</v>
      </c>
      <c r="N27" s="83">
        <v>0</v>
      </c>
      <c r="O27" s="83">
        <v>1</v>
      </c>
      <c r="P27" s="83">
        <v>56</v>
      </c>
      <c r="Q27" s="83" t="s">
        <v>169</v>
      </c>
      <c r="R27" s="83" t="s">
        <v>170</v>
      </c>
    </row>
    <row r="28" spans="1:18" x14ac:dyDescent="0.15">
      <c r="A28" s="83">
        <v>30033</v>
      </c>
      <c r="B28" s="83">
        <v>3</v>
      </c>
      <c r="C28" s="72" t="str">
        <f t="shared" si="0"/>
        <v>30033_3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3">
        <v>27</v>
      </c>
      <c r="F28" s="83" t="s">
        <v>297</v>
      </c>
      <c r="G28" s="83">
        <v>121</v>
      </c>
      <c r="H28" s="83">
        <v>1</v>
      </c>
      <c r="I28" s="83">
        <v>1</v>
      </c>
      <c r="J28" s="83">
        <v>1</v>
      </c>
      <c r="K28" s="83">
        <v>0</v>
      </c>
      <c r="L28" s="83">
        <v>0</v>
      </c>
      <c r="M28" s="83">
        <v>0</v>
      </c>
      <c r="N28" s="83">
        <v>0</v>
      </c>
      <c r="O28" s="83">
        <v>1</v>
      </c>
      <c r="P28" s="83">
        <v>50</v>
      </c>
      <c r="Q28" s="83" t="s">
        <v>169</v>
      </c>
      <c r="R28" s="83" t="s">
        <v>170</v>
      </c>
    </row>
    <row r="29" spans="1:18" x14ac:dyDescent="0.15">
      <c r="A29" s="83">
        <v>30033</v>
      </c>
      <c r="B29" s="83">
        <v>3</v>
      </c>
      <c r="C29" s="72" t="str">
        <f t="shared" si="0"/>
        <v>30033_3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3">
        <v>28</v>
      </c>
      <c r="F29" s="83" t="s">
        <v>297</v>
      </c>
      <c r="G29" s="83">
        <v>122</v>
      </c>
      <c r="H29" s="83">
        <v>1</v>
      </c>
      <c r="I29" s="83">
        <v>1</v>
      </c>
      <c r="J29" s="83">
        <v>1</v>
      </c>
      <c r="K29" s="83">
        <v>0</v>
      </c>
      <c r="L29" s="83">
        <v>0</v>
      </c>
      <c r="M29" s="83">
        <v>0</v>
      </c>
      <c r="N29" s="83">
        <v>0</v>
      </c>
      <c r="O29" s="83">
        <v>1</v>
      </c>
      <c r="P29" s="83">
        <v>50</v>
      </c>
      <c r="Q29" s="83" t="s">
        <v>169</v>
      </c>
      <c r="R29" s="83" t="s">
        <v>170</v>
      </c>
    </row>
    <row r="30" spans="1:18" x14ac:dyDescent="0.15">
      <c r="A30" s="83">
        <v>30033</v>
      </c>
      <c r="B30" s="83">
        <v>3</v>
      </c>
      <c r="C30" s="72" t="str">
        <f t="shared" si="0"/>
        <v>30033_3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3">
        <v>29</v>
      </c>
      <c r="F30" s="83" t="s">
        <v>297</v>
      </c>
      <c r="G30" s="83">
        <v>123</v>
      </c>
      <c r="H30" s="83">
        <v>1</v>
      </c>
      <c r="I30" s="83">
        <v>1</v>
      </c>
      <c r="J30" s="83">
        <v>1</v>
      </c>
      <c r="K30" s="83">
        <v>0</v>
      </c>
      <c r="L30" s="83">
        <v>0</v>
      </c>
      <c r="M30" s="83">
        <v>0</v>
      </c>
      <c r="N30" s="83">
        <v>0</v>
      </c>
      <c r="O30" s="83">
        <v>1</v>
      </c>
      <c r="P30" s="83">
        <v>50</v>
      </c>
      <c r="Q30" s="83" t="s">
        <v>169</v>
      </c>
      <c r="R30" s="83" t="s">
        <v>170</v>
      </c>
    </row>
    <row r="31" spans="1:18" x14ac:dyDescent="0.15">
      <c r="A31" s="83">
        <v>30033</v>
      </c>
      <c r="B31" s="83">
        <v>3</v>
      </c>
      <c r="C31" s="72" t="str">
        <f t="shared" si="0"/>
        <v>30033_3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3">
        <v>30</v>
      </c>
      <c r="F31" s="83" t="s">
        <v>297</v>
      </c>
      <c r="G31" s="83">
        <v>125</v>
      </c>
      <c r="H31" s="83">
        <v>1</v>
      </c>
      <c r="I31" s="83">
        <v>1</v>
      </c>
      <c r="J31" s="83">
        <v>1</v>
      </c>
      <c r="K31" s="83">
        <v>0</v>
      </c>
      <c r="L31" s="83">
        <v>0</v>
      </c>
      <c r="M31" s="83">
        <v>0</v>
      </c>
      <c r="N31" s="83">
        <v>0</v>
      </c>
      <c r="O31" s="83">
        <v>1</v>
      </c>
      <c r="P31" s="83">
        <v>10</v>
      </c>
      <c r="Q31" s="83" t="s">
        <v>169</v>
      </c>
      <c r="R31" s="83" t="s">
        <v>170</v>
      </c>
    </row>
    <row r="32" spans="1:18" x14ac:dyDescent="0.15">
      <c r="A32" s="83">
        <v>30033</v>
      </c>
      <c r="B32" s="83">
        <v>3</v>
      </c>
      <c r="C32" s="72" t="str">
        <f t="shared" si="0"/>
        <v>30033_3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3">
        <v>31</v>
      </c>
      <c r="F32" s="83" t="s">
        <v>297</v>
      </c>
      <c r="G32" s="123">
        <v>722</v>
      </c>
      <c r="H32" s="83">
        <v>1</v>
      </c>
      <c r="I32" s="83">
        <v>1</v>
      </c>
      <c r="J32" s="83">
        <v>1</v>
      </c>
      <c r="K32" s="83">
        <v>0</v>
      </c>
      <c r="L32" s="83">
        <v>0</v>
      </c>
      <c r="M32" s="83">
        <v>0</v>
      </c>
      <c r="N32" s="83">
        <v>0</v>
      </c>
      <c r="O32" s="83">
        <v>1</v>
      </c>
      <c r="P32" s="83">
        <v>400</v>
      </c>
      <c r="Q32" s="83" t="s">
        <v>169</v>
      </c>
      <c r="R32" s="83" t="s">
        <v>170</v>
      </c>
    </row>
    <row r="33" spans="1:18" x14ac:dyDescent="0.15">
      <c r="A33" s="83">
        <v>30033</v>
      </c>
      <c r="B33" s="83">
        <v>3</v>
      </c>
      <c r="C33" s="72" t="str">
        <f t="shared" si="0"/>
        <v>30033_3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3">
        <v>32</v>
      </c>
      <c r="F33" s="83" t="s">
        <v>297</v>
      </c>
      <c r="G33" s="83">
        <v>354</v>
      </c>
      <c r="H33" s="83">
        <v>1</v>
      </c>
      <c r="I33" s="83">
        <v>1</v>
      </c>
      <c r="J33" s="83">
        <v>1</v>
      </c>
      <c r="K33" s="83">
        <v>0</v>
      </c>
      <c r="L33" s="83">
        <v>0</v>
      </c>
      <c r="M33" s="83">
        <v>0</v>
      </c>
      <c r="N33" s="83">
        <v>0</v>
      </c>
      <c r="O33" s="83">
        <v>1</v>
      </c>
      <c r="P33" s="83">
        <v>100</v>
      </c>
      <c r="Q33" s="83" t="s">
        <v>169</v>
      </c>
      <c r="R33" s="83" t="s">
        <v>170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85" activePane="bottomLeft" state="frozen"/>
      <selection pane="bottomLeft" activeCell="K101" sqref="K101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8" t="s">
        <v>187</v>
      </c>
      <c r="B1" s="74" t="s">
        <v>188</v>
      </c>
      <c r="C1" s="79" t="s">
        <v>189</v>
      </c>
      <c r="D1" s="79" t="s">
        <v>33</v>
      </c>
      <c r="E1" s="74" t="s">
        <v>190</v>
      </c>
      <c r="F1" s="79" t="s">
        <v>191</v>
      </c>
      <c r="G1" s="79" t="s">
        <v>33</v>
      </c>
      <c r="H1" s="74" t="s">
        <v>192</v>
      </c>
      <c r="I1" s="93" t="s">
        <v>194</v>
      </c>
      <c r="J1" s="81" t="s">
        <v>126</v>
      </c>
      <c r="K1" s="80" t="s">
        <v>186</v>
      </c>
      <c r="L1" s="94" t="s">
        <v>185</v>
      </c>
      <c r="M1" s="82" t="s">
        <v>195</v>
      </c>
    </row>
    <row r="2" spans="1:13" x14ac:dyDescent="0.15">
      <c r="A2" s="83" t="s">
        <v>199</v>
      </c>
      <c r="B2" s="84">
        <f>floors!$C$2</f>
        <v>30033</v>
      </c>
      <c r="C2" s="85" t="str">
        <f ca="1">VLOOKUP($B2,OFFSET([2]quests!$A$1,0,0,COUNTA([2]quests!$A:$A),MATCH(C$1,[2]quests!$1:$1,0)-MATCH($B$1,[2]quests!$1:$1,0)+1),MATCH(C$1,[2]quests!$1:$1,0)-MATCH($B$1,[2]quests!$1:$1,0)+1,FALSE)</f>
        <v>御館様の懐刀</v>
      </c>
      <c r="D2" s="85" t="str">
        <f ca="1">VLOOKUP($B2,OFFSET([2]quests!$A$1,0,0,COUNTA([2]quests!$A:$A),MATCH(D$1,[2]quests!$1:$1,0)-MATCH($B$1,[2]quests!$1:$1,0)+1),MATCH(D$1,[2]quests!$1:$1,0)-MATCH($B$1,[2]quests!$1:$1,0)+1,FALSE)</f>
        <v>戦国１</v>
      </c>
      <c r="E2" s="89">
        <v>1</v>
      </c>
      <c r="F2" s="85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【中級】御館様の懐刀</v>
      </c>
      <c r="G2" s="85" t="str">
        <f ca="1">VLOOKUP($B2&amp;"_"&amp;$E2,OFFSET([2]stages!$A$1,0,0,COUNTA([2]stages!$A:$A),MATCH(G$1,[2]stages!$2:$2,0)-MATCH("temp_stage",[2]stages!$2:$2,0)+1),MATCH(G$1,[2]stages!$2:$2,0)-MATCH("temp_stage",[2]stages!$2:$2,0)+1,FALSE)</f>
        <v>戦国１</v>
      </c>
      <c r="H2" s="87">
        <v>0</v>
      </c>
      <c r="I2">
        <v>1</v>
      </c>
      <c r="J2" s="86" t="s">
        <v>197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209</v>
      </c>
    </row>
    <row r="3" spans="1:13" x14ac:dyDescent="0.15">
      <c r="A3" s="83" t="s">
        <v>199</v>
      </c>
      <c r="B3" s="84">
        <f>floors!$C$2</f>
        <v>30033</v>
      </c>
      <c r="C3" s="85" t="str">
        <f ca="1">VLOOKUP($B3,OFFSET([2]quests!$A$1,0,0,COUNTA([2]quests!$A:$A),MATCH(C$1,[2]quests!$1:$1,0)-MATCH($B$1,[2]quests!$1:$1,0)+1),MATCH(C$1,[2]quests!$1:$1,0)-MATCH($B$1,[2]quests!$1:$1,0)+1,FALSE)</f>
        <v>御館様の懐刀</v>
      </c>
      <c r="D3" s="85" t="str">
        <f ca="1">VLOOKUP($B3,OFFSET([2]quests!$A$1,0,0,COUNTA([2]quests!$A:$A),MATCH(D$1,[2]quests!$1:$1,0)-MATCH($B$1,[2]quests!$1:$1,0)+1),MATCH(D$1,[2]quests!$1:$1,0)-MATCH($B$1,[2]quests!$1:$1,0)+1,FALSE)</f>
        <v>戦国１</v>
      </c>
      <c r="E3" s="89">
        <v>1</v>
      </c>
      <c r="F3" s="85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【中級】御館様の懐刀</v>
      </c>
      <c r="G3" s="85" t="str">
        <f ca="1">VLOOKUP($B3&amp;"_"&amp;$E3,OFFSET([2]stages!$A$1,0,0,COUNTA([2]stages!$A:$A),MATCH(G$1,[2]stages!$2:$2,0)-MATCH("temp_stage",[2]stages!$2:$2,0)+1),MATCH(G$1,[2]stages!$2:$2,0)-MATCH("temp_stage",[2]stages!$2:$2,0)+1,FALSE)</f>
        <v>戦国１</v>
      </c>
      <c r="H3" s="87">
        <v>0</v>
      </c>
      <c r="I3">
        <v>2</v>
      </c>
      <c r="J3" s="86" t="s">
        <v>197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209</v>
      </c>
    </row>
    <row r="4" spans="1:13" x14ac:dyDescent="0.15">
      <c r="A4" s="83" t="s">
        <v>199</v>
      </c>
      <c r="B4" s="84">
        <f>floors!$C$2</f>
        <v>30033</v>
      </c>
      <c r="C4" s="85" t="str">
        <f ca="1">VLOOKUP($B4,OFFSET([2]quests!$A$1,0,0,COUNTA([2]quests!$A:$A),MATCH(C$1,[2]quests!$1:$1,0)-MATCH($B$1,[2]quests!$1:$1,0)+1),MATCH(C$1,[2]quests!$1:$1,0)-MATCH($B$1,[2]quests!$1:$1,0)+1,FALSE)</f>
        <v>御館様の懐刀</v>
      </c>
      <c r="D4" s="85" t="str">
        <f ca="1">VLOOKUP($B4,OFFSET([2]quests!$A$1,0,0,COUNTA([2]quests!$A:$A),MATCH(D$1,[2]quests!$1:$1,0)-MATCH($B$1,[2]quests!$1:$1,0)+1),MATCH(D$1,[2]quests!$1:$1,0)-MATCH($B$1,[2]quests!$1:$1,0)+1,FALSE)</f>
        <v>戦国１</v>
      </c>
      <c r="E4" s="89">
        <v>1</v>
      </c>
      <c r="F4" s="85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【中級】御館様の懐刀</v>
      </c>
      <c r="G4" s="85" t="str">
        <f ca="1">VLOOKUP($B4&amp;"_"&amp;$E4,OFFSET([2]stages!$A$1,0,0,COUNTA([2]stages!$A:$A),MATCH(G$1,[2]stages!$2:$2,0)-MATCH("temp_stage",[2]stages!$2:$2,0)+1),MATCH(G$1,[2]stages!$2:$2,0)-MATCH("temp_stage",[2]stages!$2:$2,0)+1,FALSE)</f>
        <v>戦国１</v>
      </c>
      <c r="H4" s="87">
        <v>0</v>
      </c>
      <c r="I4">
        <v>3</v>
      </c>
      <c r="J4" s="86" t="s">
        <v>197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209</v>
      </c>
    </row>
    <row r="5" spans="1:13" x14ac:dyDescent="0.15">
      <c r="A5" s="83" t="s">
        <v>199</v>
      </c>
      <c r="B5" s="84">
        <f>floors!$C$2</f>
        <v>30033</v>
      </c>
      <c r="C5" s="85" t="str">
        <f ca="1">VLOOKUP($B5,OFFSET([2]quests!$A$1,0,0,COUNTA([2]quests!$A:$A),MATCH(C$1,[2]quests!$1:$1,0)-MATCH($B$1,[2]quests!$1:$1,0)+1),MATCH(C$1,[2]quests!$1:$1,0)-MATCH($B$1,[2]quests!$1:$1,0)+1,FALSE)</f>
        <v>御館様の懐刀</v>
      </c>
      <c r="D5" s="85" t="str">
        <f ca="1">VLOOKUP($B5,OFFSET([2]quests!$A$1,0,0,COUNTA([2]quests!$A:$A),MATCH(D$1,[2]quests!$1:$1,0)-MATCH($B$1,[2]quests!$1:$1,0)+1),MATCH(D$1,[2]quests!$1:$1,0)-MATCH($B$1,[2]quests!$1:$1,0)+1,FALSE)</f>
        <v>戦国１</v>
      </c>
      <c r="E5" s="89">
        <v>1</v>
      </c>
      <c r="F5" s="85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【中級】御館様の懐刀</v>
      </c>
      <c r="G5" s="85" t="str">
        <f ca="1">VLOOKUP($B5&amp;"_"&amp;$E5,OFFSET([2]stages!$A$1,0,0,COUNTA([2]stages!$A:$A),MATCH(G$1,[2]stages!$2:$2,0)-MATCH("temp_stage",[2]stages!$2:$2,0)+1),MATCH(G$1,[2]stages!$2:$2,0)-MATCH("temp_stage",[2]stages!$2:$2,0)+1,FALSE)</f>
        <v>戦国１</v>
      </c>
      <c r="H5" s="87">
        <v>0</v>
      </c>
      <c r="I5">
        <v>5</v>
      </c>
      <c r="J5" s="86" t="s">
        <v>197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209</v>
      </c>
    </row>
    <row r="6" spans="1:13" x14ac:dyDescent="0.15">
      <c r="A6" s="83" t="s">
        <v>199</v>
      </c>
      <c r="B6" s="84">
        <f>floors!$C$2</f>
        <v>30033</v>
      </c>
      <c r="C6" s="85" t="str">
        <f ca="1">VLOOKUP($B6,OFFSET([2]quests!$A$1,0,0,COUNTA([2]quests!$A:$A),MATCH(C$1,[2]quests!$1:$1,0)-MATCH($B$1,[2]quests!$1:$1,0)+1),MATCH(C$1,[2]quests!$1:$1,0)-MATCH($B$1,[2]quests!$1:$1,0)+1,FALSE)</f>
        <v>御館様の懐刀</v>
      </c>
      <c r="D6" s="85" t="str">
        <f ca="1">VLOOKUP($B6,OFFSET([2]quests!$A$1,0,0,COUNTA([2]quests!$A:$A),MATCH(D$1,[2]quests!$1:$1,0)-MATCH($B$1,[2]quests!$1:$1,0)+1),MATCH(D$1,[2]quests!$1:$1,0)-MATCH($B$1,[2]quests!$1:$1,0)+1,FALSE)</f>
        <v>戦国１</v>
      </c>
      <c r="E6" s="89">
        <v>1</v>
      </c>
      <c r="F6" s="85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【中級】御館様の懐刀</v>
      </c>
      <c r="G6" s="85" t="str">
        <f ca="1">VLOOKUP($B6&amp;"_"&amp;$E6,OFFSET([2]stages!$A$1,0,0,COUNTA([2]stages!$A:$A),MATCH(G$1,[2]stages!$2:$2,0)-MATCH("temp_stage",[2]stages!$2:$2,0)+1),MATCH(G$1,[2]stages!$2:$2,0)-MATCH("temp_stage",[2]stages!$2:$2,0)+1,FALSE)</f>
        <v>戦国１</v>
      </c>
      <c r="H6" s="87">
        <v>0</v>
      </c>
      <c r="I6">
        <v>6</v>
      </c>
      <c r="J6" s="86" t="s">
        <v>197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209</v>
      </c>
    </row>
    <row r="7" spans="1:13" x14ac:dyDescent="0.15">
      <c r="A7" s="83" t="s">
        <v>199</v>
      </c>
      <c r="B7" s="84">
        <f>floors!$C$2</f>
        <v>30033</v>
      </c>
      <c r="C7" s="85" t="str">
        <f ca="1">VLOOKUP($B7,OFFSET([2]quests!$A$1,0,0,COUNTA([2]quests!$A:$A),MATCH(C$1,[2]quests!$1:$1,0)-MATCH($B$1,[2]quests!$1:$1,0)+1),MATCH(C$1,[2]quests!$1:$1,0)-MATCH($B$1,[2]quests!$1:$1,0)+1,FALSE)</f>
        <v>御館様の懐刀</v>
      </c>
      <c r="D7" s="85" t="str">
        <f ca="1">VLOOKUP($B7,OFFSET([2]quests!$A$1,0,0,COUNTA([2]quests!$A:$A),MATCH(D$1,[2]quests!$1:$1,0)-MATCH($B$1,[2]quests!$1:$1,0)+1),MATCH(D$1,[2]quests!$1:$1,0)-MATCH($B$1,[2]quests!$1:$1,0)+1,FALSE)</f>
        <v>戦国１</v>
      </c>
      <c r="E7" s="89">
        <v>1</v>
      </c>
      <c r="F7" s="85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【中級】御館様の懐刀</v>
      </c>
      <c r="G7" s="85" t="str">
        <f ca="1">VLOOKUP($B7&amp;"_"&amp;$E7,OFFSET([2]stages!$A$1,0,0,COUNTA([2]stages!$A:$A),MATCH(G$1,[2]stages!$2:$2,0)-MATCH("temp_stage",[2]stages!$2:$2,0)+1),MATCH(G$1,[2]stages!$2:$2,0)-MATCH("temp_stage",[2]stages!$2:$2,0)+1,FALSE)</f>
        <v>戦国１</v>
      </c>
      <c r="H7" s="87">
        <v>0</v>
      </c>
      <c r="I7">
        <v>7</v>
      </c>
      <c r="J7" s="86" t="s">
        <v>197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209</v>
      </c>
    </row>
    <row r="8" spans="1:13" x14ac:dyDescent="0.15">
      <c r="A8" s="83" t="s">
        <v>199</v>
      </c>
      <c r="B8" s="84">
        <f>floors!$C$2</f>
        <v>30033</v>
      </c>
      <c r="C8" s="85" t="str">
        <f ca="1">VLOOKUP($B8,OFFSET([2]quests!$A$1,0,0,COUNTA([2]quests!$A:$A),MATCH(C$1,[2]quests!$1:$1,0)-MATCH($B$1,[2]quests!$1:$1,0)+1),MATCH(C$1,[2]quests!$1:$1,0)-MATCH($B$1,[2]quests!$1:$1,0)+1,FALSE)</f>
        <v>御館様の懐刀</v>
      </c>
      <c r="D8" s="85" t="str">
        <f ca="1">VLOOKUP($B8,OFFSET([2]quests!$A$1,0,0,COUNTA([2]quests!$A:$A),MATCH(D$1,[2]quests!$1:$1,0)-MATCH($B$1,[2]quests!$1:$1,0)+1),MATCH(D$1,[2]quests!$1:$1,0)-MATCH($B$1,[2]quests!$1:$1,0)+1,FALSE)</f>
        <v>戦国１</v>
      </c>
      <c r="E8" s="89">
        <v>1</v>
      </c>
      <c r="F8" s="85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【中級】御館様の懐刀</v>
      </c>
      <c r="G8" s="85" t="str">
        <f ca="1">VLOOKUP($B8&amp;"_"&amp;$E8,OFFSET([2]stages!$A$1,0,0,COUNTA([2]stages!$A:$A),MATCH(G$1,[2]stages!$2:$2,0)-MATCH("temp_stage",[2]stages!$2:$2,0)+1),MATCH(G$1,[2]stages!$2:$2,0)-MATCH("temp_stage",[2]stages!$2:$2,0)+1,FALSE)</f>
        <v>戦国１</v>
      </c>
      <c r="H8" s="87">
        <v>0</v>
      </c>
      <c r="I8">
        <v>8</v>
      </c>
      <c r="J8" s="86" t="s">
        <v>197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209</v>
      </c>
    </row>
    <row r="9" spans="1:13" x14ac:dyDescent="0.15">
      <c r="A9" s="83" t="s">
        <v>199</v>
      </c>
      <c r="B9" s="84">
        <f>floors!$C$2</f>
        <v>30033</v>
      </c>
      <c r="C9" s="85" t="str">
        <f ca="1">VLOOKUP($B9,OFFSET([2]quests!$A$1,0,0,COUNTA([2]quests!$A:$A),MATCH(C$1,[2]quests!$1:$1,0)-MATCH($B$1,[2]quests!$1:$1,0)+1),MATCH(C$1,[2]quests!$1:$1,0)-MATCH($B$1,[2]quests!$1:$1,0)+1,FALSE)</f>
        <v>御館様の懐刀</v>
      </c>
      <c r="D9" s="85" t="str">
        <f ca="1">VLOOKUP($B9,OFFSET([2]quests!$A$1,0,0,COUNTA([2]quests!$A:$A),MATCH(D$1,[2]quests!$1:$1,0)-MATCH($B$1,[2]quests!$1:$1,0)+1),MATCH(D$1,[2]quests!$1:$1,0)-MATCH($B$1,[2]quests!$1:$1,0)+1,FALSE)</f>
        <v>戦国１</v>
      </c>
      <c r="E9" s="89">
        <v>1</v>
      </c>
      <c r="F9" s="85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【中級】御館様の懐刀</v>
      </c>
      <c r="G9" s="85" t="str">
        <f ca="1">VLOOKUP($B9&amp;"_"&amp;$E9,OFFSET([2]stages!$A$1,0,0,COUNTA([2]stages!$A:$A),MATCH(G$1,[2]stages!$2:$2,0)-MATCH("temp_stage",[2]stages!$2:$2,0)+1),MATCH(G$1,[2]stages!$2:$2,0)-MATCH("temp_stage",[2]stages!$2:$2,0)+1,FALSE)</f>
        <v>戦国１</v>
      </c>
      <c r="H9" s="87">
        <v>0</v>
      </c>
      <c r="I9">
        <v>9</v>
      </c>
      <c r="J9" s="86" t="s">
        <v>197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209</v>
      </c>
    </row>
    <row r="10" spans="1:13" x14ac:dyDescent="0.15">
      <c r="A10" s="83" t="s">
        <v>199</v>
      </c>
      <c r="B10" s="84">
        <f>floors!$C$2</f>
        <v>30033</v>
      </c>
      <c r="C10" s="85" t="str">
        <f ca="1">VLOOKUP($B10,OFFSET([2]quests!$A$1,0,0,COUNTA([2]quests!$A:$A),MATCH(C$1,[2]quests!$1:$1,0)-MATCH($B$1,[2]quests!$1:$1,0)+1),MATCH(C$1,[2]quests!$1:$1,0)-MATCH($B$1,[2]quests!$1:$1,0)+1,FALSE)</f>
        <v>御館様の懐刀</v>
      </c>
      <c r="D10" s="85" t="str">
        <f ca="1">VLOOKUP($B10,OFFSET([2]quests!$A$1,0,0,COUNTA([2]quests!$A:$A),MATCH(D$1,[2]quests!$1:$1,0)-MATCH($B$1,[2]quests!$1:$1,0)+1),MATCH(D$1,[2]quests!$1:$1,0)-MATCH($B$1,[2]quests!$1:$1,0)+1,FALSE)</f>
        <v>戦国１</v>
      </c>
      <c r="E10" s="89">
        <v>1</v>
      </c>
      <c r="F10" s="85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【中級】御館様の懐刀</v>
      </c>
      <c r="G10" s="85" t="str">
        <f ca="1">VLOOKUP($B10&amp;"_"&amp;$E10,OFFSET([2]stages!$A$1,0,0,COUNTA([2]stages!$A:$A),MATCH(G$1,[2]stages!$2:$2,0)-MATCH("temp_stage",[2]stages!$2:$2,0)+1),MATCH(G$1,[2]stages!$2:$2,0)-MATCH("temp_stage",[2]stages!$2:$2,0)+1,FALSE)</f>
        <v>戦国１</v>
      </c>
      <c r="H10" s="87">
        <v>0</v>
      </c>
      <c r="I10">
        <v>10</v>
      </c>
      <c r="J10" s="86" t="s">
        <v>197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209</v>
      </c>
    </row>
    <row r="11" spans="1:13" x14ac:dyDescent="0.15">
      <c r="A11" s="83" t="s">
        <v>199</v>
      </c>
      <c r="B11" s="84">
        <f>floors!$C$2</f>
        <v>30033</v>
      </c>
      <c r="C11" s="85" t="str">
        <f ca="1">VLOOKUP($B11,OFFSET([2]quests!$A$1,0,0,COUNTA([2]quests!$A:$A),MATCH(C$1,[2]quests!$1:$1,0)-MATCH($B$1,[2]quests!$1:$1,0)+1),MATCH(C$1,[2]quests!$1:$1,0)-MATCH($B$1,[2]quests!$1:$1,0)+1,FALSE)</f>
        <v>御館様の懐刀</v>
      </c>
      <c r="D11" s="85" t="str">
        <f ca="1">VLOOKUP($B11,OFFSET([2]quests!$A$1,0,0,COUNTA([2]quests!$A:$A),MATCH(D$1,[2]quests!$1:$1,0)-MATCH($B$1,[2]quests!$1:$1,0)+1),MATCH(D$1,[2]quests!$1:$1,0)-MATCH($B$1,[2]quests!$1:$1,0)+1,FALSE)</f>
        <v>戦国１</v>
      </c>
      <c r="E11" s="89">
        <v>1</v>
      </c>
      <c r="F11" s="85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【中級】御館様の懐刀</v>
      </c>
      <c r="G11" s="85" t="str">
        <f ca="1">VLOOKUP($B11&amp;"_"&amp;$E11,OFFSET([2]stages!$A$1,0,0,COUNTA([2]stages!$A:$A),MATCH(G$1,[2]stages!$2:$2,0)-MATCH("temp_stage",[2]stages!$2:$2,0)+1),MATCH(G$1,[2]stages!$2:$2,0)-MATCH("temp_stage",[2]stages!$2:$2,0)+1,FALSE)</f>
        <v>戦国１</v>
      </c>
      <c r="H11" s="87">
        <v>0</v>
      </c>
      <c r="I11">
        <v>11</v>
      </c>
      <c r="J11" s="86" t="s">
        <v>197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209</v>
      </c>
    </row>
    <row r="12" spans="1:13" x14ac:dyDescent="0.15">
      <c r="A12" s="83" t="s">
        <v>199</v>
      </c>
      <c r="B12" s="84">
        <f>floors!$C$2</f>
        <v>30033</v>
      </c>
      <c r="C12" s="85" t="str">
        <f ca="1">VLOOKUP($B12,OFFSET([2]quests!$A$1,0,0,COUNTA([2]quests!$A:$A),MATCH(C$1,[2]quests!$1:$1,0)-MATCH($B$1,[2]quests!$1:$1,0)+1),MATCH(C$1,[2]quests!$1:$1,0)-MATCH($B$1,[2]quests!$1:$1,0)+1,FALSE)</f>
        <v>御館様の懐刀</v>
      </c>
      <c r="D12" s="85" t="str">
        <f ca="1">VLOOKUP($B12,OFFSET([2]quests!$A$1,0,0,COUNTA([2]quests!$A:$A),MATCH(D$1,[2]quests!$1:$1,0)-MATCH($B$1,[2]quests!$1:$1,0)+1),MATCH(D$1,[2]quests!$1:$1,0)-MATCH($B$1,[2]quests!$1:$1,0)+1,FALSE)</f>
        <v>戦国１</v>
      </c>
      <c r="E12" s="89">
        <v>1</v>
      </c>
      <c r="F12" s="85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【中級】御館様の懐刀</v>
      </c>
      <c r="G12" s="85" t="str">
        <f ca="1">VLOOKUP($B12&amp;"_"&amp;$E12,OFFSET([2]stages!$A$1,0,0,COUNTA([2]stages!$A:$A),MATCH(G$1,[2]stages!$2:$2,0)-MATCH("temp_stage",[2]stages!$2:$2,0)+1),MATCH(G$1,[2]stages!$2:$2,0)-MATCH("temp_stage",[2]stages!$2:$2,0)+1,FALSE)</f>
        <v>戦国１</v>
      </c>
      <c r="H12" s="87">
        <v>0</v>
      </c>
      <c r="I12">
        <v>12</v>
      </c>
      <c r="J12" s="86" t="s">
        <v>197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209</v>
      </c>
    </row>
    <row r="13" spans="1:13" x14ac:dyDescent="0.15">
      <c r="A13" s="83" t="s">
        <v>199</v>
      </c>
      <c r="B13" s="84">
        <f>floors!$C$2</f>
        <v>30033</v>
      </c>
      <c r="C13" s="85" t="str">
        <f ca="1">VLOOKUP($B13,OFFSET([2]quests!$A$1,0,0,COUNTA([2]quests!$A:$A),MATCH(C$1,[2]quests!$1:$1,0)-MATCH($B$1,[2]quests!$1:$1,0)+1),MATCH(C$1,[2]quests!$1:$1,0)-MATCH($B$1,[2]quests!$1:$1,0)+1,FALSE)</f>
        <v>御館様の懐刀</v>
      </c>
      <c r="D13" s="85" t="str">
        <f ca="1">VLOOKUP($B13,OFFSET([2]quests!$A$1,0,0,COUNTA([2]quests!$A:$A),MATCH(D$1,[2]quests!$1:$1,0)-MATCH($B$1,[2]quests!$1:$1,0)+1),MATCH(D$1,[2]quests!$1:$1,0)-MATCH($B$1,[2]quests!$1:$1,0)+1,FALSE)</f>
        <v>戦国１</v>
      </c>
      <c r="E13" s="89">
        <v>1</v>
      </c>
      <c r="F13" s="85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【中級】御館様の懐刀</v>
      </c>
      <c r="G13" s="85" t="str">
        <f ca="1">VLOOKUP($B13&amp;"_"&amp;$E13,OFFSET([2]stages!$A$1,0,0,COUNTA([2]stages!$A:$A),MATCH(G$1,[2]stages!$2:$2,0)-MATCH("temp_stage",[2]stages!$2:$2,0)+1),MATCH(G$1,[2]stages!$2:$2,0)-MATCH("temp_stage",[2]stages!$2:$2,0)+1,FALSE)</f>
        <v>戦国１</v>
      </c>
      <c r="H13" s="87">
        <v>0</v>
      </c>
      <c r="I13">
        <v>13</v>
      </c>
      <c r="J13" s="86" t="s">
        <v>197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209</v>
      </c>
    </row>
    <row r="14" spans="1:13" x14ac:dyDescent="0.15">
      <c r="A14" s="83" t="s">
        <v>199</v>
      </c>
      <c r="B14" s="84">
        <f>floors!$C$2</f>
        <v>30033</v>
      </c>
      <c r="C14" s="85" t="str">
        <f ca="1">VLOOKUP($B14,OFFSET([2]quests!$A$1,0,0,COUNTA([2]quests!$A:$A),MATCH(C$1,[2]quests!$1:$1,0)-MATCH($B$1,[2]quests!$1:$1,0)+1),MATCH(C$1,[2]quests!$1:$1,0)-MATCH($B$1,[2]quests!$1:$1,0)+1,FALSE)</f>
        <v>御館様の懐刀</v>
      </c>
      <c r="D14" s="85" t="str">
        <f ca="1">VLOOKUP($B14,OFFSET([2]quests!$A$1,0,0,COUNTA([2]quests!$A:$A),MATCH(D$1,[2]quests!$1:$1,0)-MATCH($B$1,[2]quests!$1:$1,0)+1),MATCH(D$1,[2]quests!$1:$1,0)-MATCH($B$1,[2]quests!$1:$1,0)+1,FALSE)</f>
        <v>戦国１</v>
      </c>
      <c r="E14" s="89">
        <v>1</v>
      </c>
      <c r="F14" s="85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【中級】御館様の懐刀</v>
      </c>
      <c r="G14" s="85" t="str">
        <f ca="1">VLOOKUP($B14&amp;"_"&amp;$E14,OFFSET([2]stages!$A$1,0,0,COUNTA([2]stages!$A:$A),MATCH(G$1,[2]stages!$2:$2,0)-MATCH("temp_stage",[2]stages!$2:$2,0)+1),MATCH(G$1,[2]stages!$2:$2,0)-MATCH("temp_stage",[2]stages!$2:$2,0)+1,FALSE)</f>
        <v>戦国１</v>
      </c>
      <c r="H14" s="87">
        <v>0</v>
      </c>
      <c r="I14">
        <v>14</v>
      </c>
      <c r="J14" s="86" t="s">
        <v>197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209</v>
      </c>
    </row>
    <row r="15" spans="1:13" x14ac:dyDescent="0.15">
      <c r="A15" s="83" t="s">
        <v>199</v>
      </c>
      <c r="B15" s="84">
        <f>floors!$C$2</f>
        <v>30033</v>
      </c>
      <c r="C15" s="85" t="str">
        <f ca="1">VLOOKUP($B15,OFFSET([2]quests!$A$1,0,0,COUNTA([2]quests!$A:$A),MATCH(C$1,[2]quests!$1:$1,0)-MATCH($B$1,[2]quests!$1:$1,0)+1),MATCH(C$1,[2]quests!$1:$1,0)-MATCH($B$1,[2]quests!$1:$1,0)+1,FALSE)</f>
        <v>御館様の懐刀</v>
      </c>
      <c r="D15" s="85" t="str">
        <f ca="1">VLOOKUP($B15,OFFSET([2]quests!$A$1,0,0,COUNTA([2]quests!$A:$A),MATCH(D$1,[2]quests!$1:$1,0)-MATCH($B$1,[2]quests!$1:$1,0)+1),MATCH(D$1,[2]quests!$1:$1,0)-MATCH($B$1,[2]quests!$1:$1,0)+1,FALSE)</f>
        <v>戦国１</v>
      </c>
      <c r="E15" s="89">
        <v>1</v>
      </c>
      <c r="F15" s="85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【中級】御館様の懐刀</v>
      </c>
      <c r="G15" s="85" t="str">
        <f ca="1">VLOOKUP($B15&amp;"_"&amp;$E15,OFFSET([2]stages!$A$1,0,0,COUNTA([2]stages!$A:$A),MATCH(G$1,[2]stages!$2:$2,0)-MATCH("temp_stage",[2]stages!$2:$2,0)+1),MATCH(G$1,[2]stages!$2:$2,0)-MATCH("temp_stage",[2]stages!$2:$2,0)+1,FALSE)</f>
        <v>戦国１</v>
      </c>
      <c r="H15" s="87">
        <v>0</v>
      </c>
      <c r="I15">
        <v>15</v>
      </c>
      <c r="J15" s="86" t="s">
        <v>197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209</v>
      </c>
    </row>
    <row r="16" spans="1:13" x14ac:dyDescent="0.15">
      <c r="A16" s="83" t="s">
        <v>199</v>
      </c>
      <c r="B16" s="84">
        <f>floors!$C$2</f>
        <v>30033</v>
      </c>
      <c r="C16" s="85" t="str">
        <f ca="1">VLOOKUP($B16,OFFSET([2]quests!$A$1,0,0,COUNTA([2]quests!$A:$A),MATCH(C$1,[2]quests!$1:$1,0)-MATCH($B$1,[2]quests!$1:$1,0)+1),MATCH(C$1,[2]quests!$1:$1,0)-MATCH($B$1,[2]quests!$1:$1,0)+1,FALSE)</f>
        <v>御館様の懐刀</v>
      </c>
      <c r="D16" s="85" t="str">
        <f ca="1">VLOOKUP($B16,OFFSET([2]quests!$A$1,0,0,COUNTA([2]quests!$A:$A),MATCH(D$1,[2]quests!$1:$1,0)-MATCH($B$1,[2]quests!$1:$1,0)+1),MATCH(D$1,[2]quests!$1:$1,0)-MATCH($B$1,[2]quests!$1:$1,0)+1,FALSE)</f>
        <v>戦国１</v>
      </c>
      <c r="E16" s="89">
        <v>1</v>
      </c>
      <c r="F16" s="85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【中級】御館様の懐刀</v>
      </c>
      <c r="G16" s="85" t="str">
        <f ca="1">VLOOKUP($B16&amp;"_"&amp;$E16,OFFSET([2]stages!$A$1,0,0,COUNTA([2]stages!$A:$A),MATCH(G$1,[2]stages!$2:$2,0)-MATCH("temp_stage",[2]stages!$2:$2,0)+1),MATCH(G$1,[2]stages!$2:$2,0)-MATCH("temp_stage",[2]stages!$2:$2,0)+1,FALSE)</f>
        <v>戦国１</v>
      </c>
      <c r="H16" s="87">
        <v>0</v>
      </c>
      <c r="I16">
        <v>16</v>
      </c>
      <c r="J16" s="86" t="s">
        <v>197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209</v>
      </c>
    </row>
    <row r="17" spans="1:13" x14ac:dyDescent="0.15">
      <c r="A17" s="83" t="s">
        <v>199</v>
      </c>
      <c r="B17" s="84">
        <f>floors!$C$2</f>
        <v>30033</v>
      </c>
      <c r="C17" s="85" t="str">
        <f ca="1">VLOOKUP($B17,OFFSET([2]quests!$A$1,0,0,COUNTA([2]quests!$A:$A),MATCH(C$1,[2]quests!$1:$1,0)-MATCH($B$1,[2]quests!$1:$1,0)+1),MATCH(C$1,[2]quests!$1:$1,0)-MATCH($B$1,[2]quests!$1:$1,0)+1,FALSE)</f>
        <v>御館様の懐刀</v>
      </c>
      <c r="D17" s="85" t="str">
        <f ca="1">VLOOKUP($B17,OFFSET([2]quests!$A$1,0,0,COUNTA([2]quests!$A:$A),MATCH(D$1,[2]quests!$1:$1,0)-MATCH($B$1,[2]quests!$1:$1,0)+1),MATCH(D$1,[2]quests!$1:$1,0)-MATCH($B$1,[2]quests!$1:$1,0)+1,FALSE)</f>
        <v>戦国１</v>
      </c>
      <c r="E17" s="89">
        <v>1</v>
      </c>
      <c r="F17" s="85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【中級】御館様の懐刀</v>
      </c>
      <c r="G17" s="85" t="str">
        <f ca="1">VLOOKUP($B17&amp;"_"&amp;$E17,OFFSET([2]stages!$A$1,0,0,COUNTA([2]stages!$A:$A),MATCH(G$1,[2]stages!$2:$2,0)-MATCH("temp_stage",[2]stages!$2:$2,0)+1),MATCH(G$1,[2]stages!$2:$2,0)-MATCH("temp_stage",[2]stages!$2:$2,0)+1,FALSE)</f>
        <v>戦国１</v>
      </c>
      <c r="H17" s="87">
        <v>0</v>
      </c>
      <c r="I17">
        <v>17</v>
      </c>
      <c r="J17" s="86" t="s">
        <v>197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209</v>
      </c>
    </row>
    <row r="18" spans="1:13" x14ac:dyDescent="0.15">
      <c r="A18" s="83" t="s">
        <v>199</v>
      </c>
      <c r="B18" s="84">
        <f>floors!$C$2</f>
        <v>30033</v>
      </c>
      <c r="C18" s="85" t="str">
        <f ca="1">VLOOKUP($B18,OFFSET([2]quests!$A$1,0,0,COUNTA([2]quests!$A:$A),MATCH(C$1,[2]quests!$1:$1,0)-MATCH($B$1,[2]quests!$1:$1,0)+1),MATCH(C$1,[2]quests!$1:$1,0)-MATCH($B$1,[2]quests!$1:$1,0)+1,FALSE)</f>
        <v>御館様の懐刀</v>
      </c>
      <c r="D18" s="85" t="str">
        <f ca="1">VLOOKUP($B18,OFFSET([2]quests!$A$1,0,0,COUNTA([2]quests!$A:$A),MATCH(D$1,[2]quests!$1:$1,0)-MATCH($B$1,[2]quests!$1:$1,0)+1),MATCH(D$1,[2]quests!$1:$1,0)-MATCH($B$1,[2]quests!$1:$1,0)+1,FALSE)</f>
        <v>戦国１</v>
      </c>
      <c r="E18" s="89">
        <v>1</v>
      </c>
      <c r="F18" s="85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【中級】御館様の懐刀</v>
      </c>
      <c r="G18" s="85" t="str">
        <f ca="1">VLOOKUP($B18&amp;"_"&amp;$E18,OFFSET([2]stages!$A$1,0,0,COUNTA([2]stages!$A:$A),MATCH(G$1,[2]stages!$2:$2,0)-MATCH("temp_stage",[2]stages!$2:$2,0)+1),MATCH(G$1,[2]stages!$2:$2,0)-MATCH("temp_stage",[2]stages!$2:$2,0)+1,FALSE)</f>
        <v>戦国１</v>
      </c>
      <c r="H18" s="87">
        <v>0</v>
      </c>
      <c r="I18">
        <v>18</v>
      </c>
      <c r="J18" s="86" t="s">
        <v>197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209</v>
      </c>
    </row>
    <row r="19" spans="1:13" x14ac:dyDescent="0.15">
      <c r="A19" s="83" t="s">
        <v>199</v>
      </c>
      <c r="B19" s="84">
        <f>floors!$C$2</f>
        <v>30033</v>
      </c>
      <c r="C19" s="85" t="str">
        <f ca="1">VLOOKUP($B19,OFFSET([2]quests!$A$1,0,0,COUNTA([2]quests!$A:$A),MATCH(C$1,[2]quests!$1:$1,0)-MATCH($B$1,[2]quests!$1:$1,0)+1),MATCH(C$1,[2]quests!$1:$1,0)-MATCH($B$1,[2]quests!$1:$1,0)+1,FALSE)</f>
        <v>御館様の懐刀</v>
      </c>
      <c r="D19" s="85" t="str">
        <f ca="1">VLOOKUP($B19,OFFSET([2]quests!$A$1,0,0,COUNTA([2]quests!$A:$A),MATCH(D$1,[2]quests!$1:$1,0)-MATCH($B$1,[2]quests!$1:$1,0)+1),MATCH(D$1,[2]quests!$1:$1,0)-MATCH($B$1,[2]quests!$1:$1,0)+1,FALSE)</f>
        <v>戦国１</v>
      </c>
      <c r="E19" s="89">
        <v>1</v>
      </c>
      <c r="F19" s="85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【中級】御館様の懐刀</v>
      </c>
      <c r="G19" s="85" t="str">
        <f ca="1">VLOOKUP($B19&amp;"_"&amp;$E19,OFFSET([2]stages!$A$1,0,0,COUNTA([2]stages!$A:$A),MATCH(G$1,[2]stages!$2:$2,0)-MATCH("temp_stage",[2]stages!$2:$2,0)+1),MATCH(G$1,[2]stages!$2:$2,0)-MATCH("temp_stage",[2]stages!$2:$2,0)+1,FALSE)</f>
        <v>戦国１</v>
      </c>
      <c r="H19" s="87">
        <v>0</v>
      </c>
      <c r="I19">
        <v>19</v>
      </c>
      <c r="J19" s="86" t="s">
        <v>197</v>
      </c>
      <c r="K19" s="95" t="str">
        <f>VLOOKUP(I19,[7]stage_hints!$A:$C,3,FALSE)</f>
        <v>ソロ専用タワーオブザクイーン</v>
      </c>
      <c r="L19" s="96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209</v>
      </c>
    </row>
    <row r="20" spans="1:13" x14ac:dyDescent="0.15">
      <c r="A20" s="83" t="s">
        <v>199</v>
      </c>
      <c r="B20" s="84">
        <f>floors!$C$2</f>
        <v>30033</v>
      </c>
      <c r="C20" s="85" t="str">
        <f ca="1">VLOOKUP($B20,OFFSET([2]quests!$A$1,0,0,COUNTA([2]quests!$A:$A),MATCH(C$1,[2]quests!$1:$1,0)-MATCH($B$1,[2]quests!$1:$1,0)+1),MATCH(C$1,[2]quests!$1:$1,0)-MATCH($B$1,[2]quests!$1:$1,0)+1,FALSE)</f>
        <v>御館様の懐刀</v>
      </c>
      <c r="D20" s="85" t="str">
        <f ca="1">VLOOKUP($B20,OFFSET([2]quests!$A$1,0,0,COUNTA([2]quests!$A:$A),MATCH(D$1,[2]quests!$1:$1,0)-MATCH($B$1,[2]quests!$1:$1,0)+1),MATCH(D$1,[2]quests!$1:$1,0)-MATCH($B$1,[2]quests!$1:$1,0)+1,FALSE)</f>
        <v>戦国１</v>
      </c>
      <c r="E20" s="89">
        <v>1</v>
      </c>
      <c r="F20" s="85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【中級】御館様の懐刀</v>
      </c>
      <c r="G20" s="85" t="str">
        <f ca="1">VLOOKUP($B20&amp;"_"&amp;$E20,OFFSET([2]stages!$A$1,0,0,COUNTA([2]stages!$A:$A),MATCH(G$1,[2]stages!$2:$2,0)-MATCH("temp_stage",[2]stages!$2:$2,0)+1),MATCH(G$1,[2]stages!$2:$2,0)-MATCH("temp_stage",[2]stages!$2:$2,0)+1,FALSE)</f>
        <v>戦国１</v>
      </c>
      <c r="H20" s="87">
        <v>0</v>
      </c>
      <c r="I20">
        <v>20</v>
      </c>
      <c r="J20" s="86" t="s">
        <v>197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209</v>
      </c>
    </row>
    <row r="21" spans="1:13" x14ac:dyDescent="0.15">
      <c r="A21" s="83" t="s">
        <v>199</v>
      </c>
      <c r="B21" s="84">
        <f>floors!$C$2</f>
        <v>30033</v>
      </c>
      <c r="C21" s="85" t="str">
        <f ca="1">VLOOKUP($B21,OFFSET([2]quests!$A$1,0,0,COUNTA([2]quests!$A:$A),MATCH(C$1,[2]quests!$1:$1,0)-MATCH($B$1,[2]quests!$1:$1,0)+1),MATCH(C$1,[2]quests!$1:$1,0)-MATCH($B$1,[2]quests!$1:$1,0)+1,FALSE)</f>
        <v>御館様の懐刀</v>
      </c>
      <c r="D21" s="85" t="str">
        <f ca="1">VLOOKUP($B21,OFFSET([2]quests!$A$1,0,0,COUNTA([2]quests!$A:$A),MATCH(D$1,[2]quests!$1:$1,0)-MATCH($B$1,[2]quests!$1:$1,0)+1),MATCH(D$1,[2]quests!$1:$1,0)-MATCH($B$1,[2]quests!$1:$1,0)+1,FALSE)</f>
        <v>戦国１</v>
      </c>
      <c r="E21" s="89">
        <v>1</v>
      </c>
      <c r="F21" s="85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【中級】御館様の懐刀</v>
      </c>
      <c r="G21" s="85" t="str">
        <f ca="1">VLOOKUP($B21&amp;"_"&amp;$E21,OFFSET([2]stages!$A$1,0,0,COUNTA([2]stages!$A:$A),MATCH(G$1,[2]stages!$2:$2,0)-MATCH("temp_stage",[2]stages!$2:$2,0)+1),MATCH(G$1,[2]stages!$2:$2,0)-MATCH("temp_stage",[2]stages!$2:$2,0)+1,FALSE)</f>
        <v>戦国１</v>
      </c>
      <c r="H21" s="87">
        <v>0</v>
      </c>
      <c r="I21">
        <v>21</v>
      </c>
      <c r="J21" s="86" t="s">
        <v>197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209</v>
      </c>
    </row>
    <row r="22" spans="1:13" x14ac:dyDescent="0.15">
      <c r="A22" s="83" t="s">
        <v>199</v>
      </c>
      <c r="B22" s="84">
        <f>floors!$C$2</f>
        <v>30033</v>
      </c>
      <c r="C22" s="85" t="str">
        <f ca="1">VLOOKUP($B22,OFFSET([2]quests!$A$1,0,0,COUNTA([2]quests!$A:$A),MATCH(C$1,[2]quests!$1:$1,0)-MATCH($B$1,[2]quests!$1:$1,0)+1),MATCH(C$1,[2]quests!$1:$1,0)-MATCH($B$1,[2]quests!$1:$1,0)+1,FALSE)</f>
        <v>御館様の懐刀</v>
      </c>
      <c r="D22" s="85" t="str">
        <f ca="1">VLOOKUP($B22,OFFSET([2]quests!$A$1,0,0,COUNTA([2]quests!$A:$A),MATCH(D$1,[2]quests!$1:$1,0)-MATCH($B$1,[2]quests!$1:$1,0)+1),MATCH(D$1,[2]quests!$1:$1,0)-MATCH($B$1,[2]quests!$1:$1,0)+1,FALSE)</f>
        <v>戦国１</v>
      </c>
      <c r="E22" s="89">
        <v>1</v>
      </c>
      <c r="F22" s="85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【中級】御館様の懐刀</v>
      </c>
      <c r="G22" s="85" t="str">
        <f ca="1">VLOOKUP($B22&amp;"_"&amp;$E22,OFFSET([2]stages!$A$1,0,0,COUNTA([2]stages!$A:$A),MATCH(G$1,[2]stages!$2:$2,0)-MATCH("temp_stage",[2]stages!$2:$2,0)+1),MATCH(G$1,[2]stages!$2:$2,0)-MATCH("temp_stage",[2]stages!$2:$2,0)+1,FALSE)</f>
        <v>戦国１</v>
      </c>
      <c r="H22" s="87">
        <v>0</v>
      </c>
      <c r="I22">
        <v>22</v>
      </c>
      <c r="J22" s="86" t="s">
        <v>197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209</v>
      </c>
    </row>
    <row r="23" spans="1:13" x14ac:dyDescent="0.15">
      <c r="A23" s="83" t="s">
        <v>199</v>
      </c>
      <c r="B23" s="84">
        <f>floors!$C$2</f>
        <v>30033</v>
      </c>
      <c r="C23" s="85" t="str">
        <f ca="1">VLOOKUP($B23,OFFSET([2]quests!$A$1,0,0,COUNTA([2]quests!$A:$A),MATCH(C$1,[2]quests!$1:$1,0)-MATCH($B$1,[2]quests!$1:$1,0)+1),MATCH(C$1,[2]quests!$1:$1,0)-MATCH($B$1,[2]quests!$1:$1,0)+1,FALSE)</f>
        <v>御館様の懐刀</v>
      </c>
      <c r="D23" s="85" t="str">
        <f ca="1">VLOOKUP($B23,OFFSET([2]quests!$A$1,0,0,COUNTA([2]quests!$A:$A),MATCH(D$1,[2]quests!$1:$1,0)-MATCH($B$1,[2]quests!$1:$1,0)+1),MATCH(D$1,[2]quests!$1:$1,0)-MATCH($B$1,[2]quests!$1:$1,0)+1,FALSE)</f>
        <v>戦国１</v>
      </c>
      <c r="E23" s="89">
        <v>1</v>
      </c>
      <c r="F23" s="85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【中級】御館様の懐刀</v>
      </c>
      <c r="G23" s="85" t="str">
        <f ca="1">VLOOKUP($B23&amp;"_"&amp;$E23,OFFSET([2]stages!$A$1,0,0,COUNTA([2]stages!$A:$A),MATCH(G$1,[2]stages!$2:$2,0)-MATCH("temp_stage",[2]stages!$2:$2,0)+1),MATCH(G$1,[2]stages!$2:$2,0)-MATCH("temp_stage",[2]stages!$2:$2,0)+1,FALSE)</f>
        <v>戦国１</v>
      </c>
      <c r="H23" s="87">
        <v>0</v>
      </c>
      <c r="I23">
        <v>23</v>
      </c>
      <c r="J23" s="86" t="s">
        <v>197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209</v>
      </c>
    </row>
    <row r="24" spans="1:13" x14ac:dyDescent="0.15">
      <c r="A24" s="83" t="s">
        <v>199</v>
      </c>
      <c r="B24" s="84">
        <f>floors!$C$2</f>
        <v>30033</v>
      </c>
      <c r="C24" s="85" t="str">
        <f ca="1">VLOOKUP($B24,OFFSET([2]quests!$A$1,0,0,COUNTA([2]quests!$A:$A),MATCH(C$1,[2]quests!$1:$1,0)-MATCH($B$1,[2]quests!$1:$1,0)+1),MATCH(C$1,[2]quests!$1:$1,0)-MATCH($B$1,[2]quests!$1:$1,0)+1,FALSE)</f>
        <v>御館様の懐刀</v>
      </c>
      <c r="D24" s="85" t="str">
        <f ca="1">VLOOKUP($B24,OFFSET([2]quests!$A$1,0,0,COUNTA([2]quests!$A:$A),MATCH(D$1,[2]quests!$1:$1,0)-MATCH($B$1,[2]quests!$1:$1,0)+1),MATCH(D$1,[2]quests!$1:$1,0)-MATCH($B$1,[2]quests!$1:$1,0)+1,FALSE)</f>
        <v>戦国１</v>
      </c>
      <c r="E24" s="89">
        <v>1</v>
      </c>
      <c r="F24" s="85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【中級】御館様の懐刀</v>
      </c>
      <c r="G24" s="85" t="str">
        <f ca="1">VLOOKUP($B24&amp;"_"&amp;$E24,OFFSET([2]stages!$A$1,0,0,COUNTA([2]stages!$A:$A),MATCH(G$1,[2]stages!$2:$2,0)-MATCH("temp_stage",[2]stages!$2:$2,0)+1),MATCH(G$1,[2]stages!$2:$2,0)-MATCH("temp_stage",[2]stages!$2:$2,0)+1,FALSE)</f>
        <v>戦国１</v>
      </c>
      <c r="H24" s="87">
        <v>0</v>
      </c>
      <c r="I24">
        <v>24</v>
      </c>
      <c r="J24" s="86" t="s">
        <v>197</v>
      </c>
      <c r="K24" s="95" t="str">
        <f>VLOOKUP(I24,[7]stage_hints!$A:$C,3,FALSE)</f>
        <v>果実を使って限界突破</v>
      </c>
      <c r="L24" s="96" t="str">
        <f>VLOOKUP(I24,[7]stage_hints!$A:$D,4,FALSE)</f>
        <v>攻めの果実 癒しの果実_x000D_生命の果実をユニット強化に使うと_x000D_ステータスが限界突破します（計99個迄）</v>
      </c>
      <c r="M24" s="57" t="s">
        <v>209</v>
      </c>
    </row>
    <row r="25" spans="1:13" x14ac:dyDescent="0.15">
      <c r="A25" s="83" t="s">
        <v>199</v>
      </c>
      <c r="B25" s="84">
        <f>floors!$C$2</f>
        <v>30033</v>
      </c>
      <c r="C25" s="85" t="str">
        <f ca="1">VLOOKUP($B25,OFFSET([2]quests!$A$1,0,0,COUNTA([2]quests!$A:$A),MATCH(C$1,[2]quests!$1:$1,0)-MATCH($B$1,[2]quests!$1:$1,0)+1),MATCH(C$1,[2]quests!$1:$1,0)-MATCH($B$1,[2]quests!$1:$1,0)+1,FALSE)</f>
        <v>御館様の懐刀</v>
      </c>
      <c r="D25" s="85" t="str">
        <f ca="1">VLOOKUP($B25,OFFSET([2]quests!$A$1,0,0,COUNTA([2]quests!$A:$A),MATCH(D$1,[2]quests!$1:$1,0)-MATCH($B$1,[2]quests!$1:$1,0)+1),MATCH(D$1,[2]quests!$1:$1,0)-MATCH($B$1,[2]quests!$1:$1,0)+1,FALSE)</f>
        <v>戦国１</v>
      </c>
      <c r="E25" s="89">
        <v>1</v>
      </c>
      <c r="F25" s="85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【中級】御館様の懐刀</v>
      </c>
      <c r="G25" s="85" t="str">
        <f ca="1">VLOOKUP($B25&amp;"_"&amp;$E25,OFFSET([2]stages!$A$1,0,0,COUNTA([2]stages!$A:$A),MATCH(G$1,[2]stages!$2:$2,0)-MATCH("temp_stage",[2]stages!$2:$2,0)+1),MATCH(G$1,[2]stages!$2:$2,0)-MATCH("temp_stage",[2]stages!$2:$2,0)+1,FALSE)</f>
        <v>戦国１</v>
      </c>
      <c r="H25" s="87">
        <v>0</v>
      </c>
      <c r="I25">
        <v>25</v>
      </c>
      <c r="J25" s="86" t="s">
        <v>197</v>
      </c>
      <c r="K25" s="95" t="str">
        <f>VLOOKUP(I25,[7]stage_hints!$A:$C,3,FALSE)</f>
        <v>スキルレベルアップ</v>
      </c>
      <c r="L25" s="96" t="str">
        <f>VLOOKUP(I25,[7]stage_hints!$A:$D,4,FALSE)</f>
        <v>「秘術の果実」を強化に使うと_x000D_スキルレベルを上げることができます</v>
      </c>
      <c r="M25" s="57" t="s">
        <v>209</v>
      </c>
    </row>
    <row r="26" spans="1:13" x14ac:dyDescent="0.15">
      <c r="A26" s="83" t="s">
        <v>199</v>
      </c>
      <c r="B26" s="84">
        <f>floors!$C$2</f>
        <v>30033</v>
      </c>
      <c r="C26" s="85" t="str">
        <f ca="1">VLOOKUP($B26,OFFSET([2]quests!$A$1,0,0,COUNTA([2]quests!$A:$A),MATCH(C$1,[2]quests!$1:$1,0)-MATCH($B$1,[2]quests!$1:$1,0)+1),MATCH(C$1,[2]quests!$1:$1,0)-MATCH($B$1,[2]quests!$1:$1,0)+1,FALSE)</f>
        <v>御館様の懐刀</v>
      </c>
      <c r="D26" s="85" t="str">
        <f ca="1">VLOOKUP($B26,OFFSET([2]quests!$A$1,0,0,COUNTA([2]quests!$A:$A),MATCH(D$1,[2]quests!$1:$1,0)-MATCH($B$1,[2]quests!$1:$1,0)+1),MATCH(D$1,[2]quests!$1:$1,0)-MATCH($B$1,[2]quests!$1:$1,0)+1,FALSE)</f>
        <v>戦国１</v>
      </c>
      <c r="E26" s="89">
        <v>1</v>
      </c>
      <c r="F26" s="85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【中級】御館様の懐刀</v>
      </c>
      <c r="G26" s="85" t="str">
        <f ca="1">VLOOKUP($B26&amp;"_"&amp;$E26,OFFSET([2]stages!$A$1,0,0,COUNTA([2]stages!$A:$A),MATCH(G$1,[2]stages!$2:$2,0)-MATCH("temp_stage",[2]stages!$2:$2,0)+1),MATCH(G$1,[2]stages!$2:$2,0)-MATCH("temp_stage",[2]stages!$2:$2,0)+1,FALSE)</f>
        <v>戦国１</v>
      </c>
      <c r="H26" s="87">
        <v>0</v>
      </c>
      <c r="I26">
        <v>26</v>
      </c>
      <c r="J26" s="86" t="s">
        <v>197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209</v>
      </c>
    </row>
    <row r="27" spans="1:13" x14ac:dyDescent="0.15">
      <c r="A27" s="83" t="s">
        <v>199</v>
      </c>
      <c r="B27" s="84">
        <f>floors!$C$2</f>
        <v>30033</v>
      </c>
      <c r="C27" s="85" t="str">
        <f ca="1">VLOOKUP($B27,OFFSET([2]quests!$A$1,0,0,COUNTA([2]quests!$A:$A),MATCH(C$1,[2]quests!$1:$1,0)-MATCH($B$1,[2]quests!$1:$1,0)+1),MATCH(C$1,[2]quests!$1:$1,0)-MATCH($B$1,[2]quests!$1:$1,0)+1,FALSE)</f>
        <v>御館様の懐刀</v>
      </c>
      <c r="D27" s="85" t="str">
        <f ca="1">VLOOKUP($B27,OFFSET([2]quests!$A$1,0,0,COUNTA([2]quests!$A:$A),MATCH(D$1,[2]quests!$1:$1,0)-MATCH($B$1,[2]quests!$1:$1,0)+1),MATCH(D$1,[2]quests!$1:$1,0)-MATCH($B$1,[2]quests!$1:$1,0)+1,FALSE)</f>
        <v>戦国１</v>
      </c>
      <c r="E27" s="89">
        <v>1</v>
      </c>
      <c r="F27" s="85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【中級】御館様の懐刀</v>
      </c>
      <c r="G27" s="85" t="str">
        <f ca="1">VLOOKUP($B27&amp;"_"&amp;$E27,OFFSET([2]stages!$A$1,0,0,COUNTA([2]stages!$A:$A),MATCH(G$1,[2]stages!$2:$2,0)-MATCH("temp_stage",[2]stages!$2:$2,0)+1),MATCH(G$1,[2]stages!$2:$2,0)-MATCH("temp_stage",[2]stages!$2:$2,0)+1,FALSE)</f>
        <v>戦国１</v>
      </c>
      <c r="H27" s="87">
        <v>0</v>
      </c>
      <c r="I27">
        <v>39</v>
      </c>
      <c r="J27" s="86" t="s">
        <v>197</v>
      </c>
      <c r="K27" s="95" t="str">
        <f>VLOOKUP(I27,[7]stage_hints!$A:$C,3,FALSE)</f>
        <v>システム適合者を確認</v>
      </c>
      <c r="L27" s="96" t="str">
        <f>VLOOKUP(I27,[7]stage_hints!$A:$D,4,FALSE)</f>
        <v>ALICEが 「アナタ」を呼んでいます</v>
      </c>
      <c r="M27" s="57" t="s">
        <v>209</v>
      </c>
    </row>
    <row r="28" spans="1:13" x14ac:dyDescent="0.15">
      <c r="A28" s="83" t="s">
        <v>199</v>
      </c>
      <c r="B28" s="84">
        <f>floors!$C$2</f>
        <v>30033</v>
      </c>
      <c r="C28" s="85" t="str">
        <f ca="1">VLOOKUP($B28,OFFSET([2]quests!$A$1,0,0,COUNTA([2]quests!$A:$A),MATCH(C$1,[2]quests!$1:$1,0)-MATCH($B$1,[2]quests!$1:$1,0)+1),MATCH(C$1,[2]quests!$1:$1,0)-MATCH($B$1,[2]quests!$1:$1,0)+1,FALSE)</f>
        <v>御館様の懐刀</v>
      </c>
      <c r="D28" s="85" t="str">
        <f ca="1">VLOOKUP($B28,OFFSET([2]quests!$A$1,0,0,COUNTA([2]quests!$A:$A),MATCH(D$1,[2]quests!$1:$1,0)-MATCH($B$1,[2]quests!$1:$1,0)+1),MATCH(D$1,[2]quests!$1:$1,0)-MATCH($B$1,[2]quests!$1:$1,0)+1,FALSE)</f>
        <v>戦国１</v>
      </c>
      <c r="E28" s="89">
        <v>2</v>
      </c>
      <c r="F28" s="85" t="str">
        <f ca="1">VLOOKUP($B28&amp;"_"&amp;$E28,OFFSET([2]stages!$A$1,0,0,COUNTA([2]stages!$A:$A),MATCH(F$1,[2]stages!$2:$2,0)-MATCH("temp_stage",[2]stages!$2:$2,0)+1),MATCH(F$1,[2]stages!$2:$2,0)-MATCH("temp_stage",[2]stages!$2:$2,0)+1,FALSE)</f>
        <v>【上級】御館様の懐刀</v>
      </c>
      <c r="G28" s="85" t="str">
        <f ca="1">VLOOKUP($B28&amp;"_"&amp;$E28,OFFSET([2]stages!$A$1,0,0,COUNTA([2]stages!$A:$A),MATCH(G$1,[2]stages!$2:$2,0)-MATCH("temp_stage",[2]stages!$2:$2,0)+1),MATCH(G$1,[2]stages!$2:$2,0)-MATCH("temp_stage",[2]stages!$2:$2,0)+1,FALSE)</f>
        <v>戦国１</v>
      </c>
      <c r="H28" s="87">
        <v>0</v>
      </c>
      <c r="I28">
        <v>3</v>
      </c>
      <c r="J28" s="86" t="s">
        <v>197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209</v>
      </c>
    </row>
    <row r="29" spans="1:13" x14ac:dyDescent="0.15">
      <c r="A29" s="83" t="s">
        <v>199</v>
      </c>
      <c r="B29" s="84">
        <f>floors!$C$2</f>
        <v>30033</v>
      </c>
      <c r="C29" s="85" t="str">
        <f ca="1">VLOOKUP($B29,OFFSET([2]quests!$A$1,0,0,COUNTA([2]quests!$A:$A),MATCH(C$1,[2]quests!$1:$1,0)-MATCH($B$1,[2]quests!$1:$1,0)+1),MATCH(C$1,[2]quests!$1:$1,0)-MATCH($B$1,[2]quests!$1:$1,0)+1,FALSE)</f>
        <v>御館様の懐刀</v>
      </c>
      <c r="D29" s="85" t="str">
        <f ca="1">VLOOKUP($B29,OFFSET([2]quests!$A$1,0,0,COUNTA([2]quests!$A:$A),MATCH(D$1,[2]quests!$1:$1,0)-MATCH($B$1,[2]quests!$1:$1,0)+1),MATCH(D$1,[2]quests!$1:$1,0)-MATCH($B$1,[2]quests!$1:$1,0)+1,FALSE)</f>
        <v>戦国１</v>
      </c>
      <c r="E29" s="89">
        <v>2</v>
      </c>
      <c r="F29" s="85" t="str">
        <f ca="1">VLOOKUP($B29&amp;"_"&amp;$E29,OFFSET([2]stages!$A$1,0,0,COUNTA([2]stages!$A:$A),MATCH(F$1,[2]stages!$2:$2,0)-MATCH("temp_stage",[2]stages!$2:$2,0)+1),MATCH(F$1,[2]stages!$2:$2,0)-MATCH("temp_stage",[2]stages!$2:$2,0)+1,FALSE)</f>
        <v>【上級】御館様の懐刀</v>
      </c>
      <c r="G29" s="85" t="str">
        <f ca="1">VLOOKUP($B29&amp;"_"&amp;$E29,OFFSET([2]stages!$A$1,0,0,COUNTA([2]stages!$A:$A),MATCH(G$1,[2]stages!$2:$2,0)-MATCH("temp_stage",[2]stages!$2:$2,0)+1),MATCH(G$1,[2]stages!$2:$2,0)-MATCH("temp_stage",[2]stages!$2:$2,0)+1,FALSE)</f>
        <v>戦国１</v>
      </c>
      <c r="H29" s="87">
        <v>0</v>
      </c>
      <c r="I29">
        <v>6</v>
      </c>
      <c r="J29" s="86" t="s">
        <v>197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209</v>
      </c>
    </row>
    <row r="30" spans="1:13" x14ac:dyDescent="0.15">
      <c r="A30" s="83" t="s">
        <v>199</v>
      </c>
      <c r="B30" s="84">
        <f>floors!$C$2</f>
        <v>30033</v>
      </c>
      <c r="C30" s="85" t="str">
        <f ca="1">VLOOKUP($B30,OFFSET([2]quests!$A$1,0,0,COUNTA([2]quests!$A:$A),MATCH(C$1,[2]quests!$1:$1,0)-MATCH($B$1,[2]quests!$1:$1,0)+1),MATCH(C$1,[2]quests!$1:$1,0)-MATCH($B$1,[2]quests!$1:$1,0)+1,FALSE)</f>
        <v>御館様の懐刀</v>
      </c>
      <c r="D30" s="85" t="str">
        <f ca="1">VLOOKUP($B30,OFFSET([2]quests!$A$1,0,0,COUNTA([2]quests!$A:$A),MATCH(D$1,[2]quests!$1:$1,0)-MATCH($B$1,[2]quests!$1:$1,0)+1),MATCH(D$1,[2]quests!$1:$1,0)-MATCH($B$1,[2]quests!$1:$1,0)+1,FALSE)</f>
        <v>戦国１</v>
      </c>
      <c r="E30" s="89">
        <v>2</v>
      </c>
      <c r="F30" s="85" t="str">
        <f ca="1">VLOOKUP($B30&amp;"_"&amp;$E30,OFFSET([2]stages!$A$1,0,0,COUNTA([2]stages!$A:$A),MATCH(F$1,[2]stages!$2:$2,0)-MATCH("temp_stage",[2]stages!$2:$2,0)+1),MATCH(F$1,[2]stages!$2:$2,0)-MATCH("temp_stage",[2]stages!$2:$2,0)+1,FALSE)</f>
        <v>【上級】御館様の懐刀</v>
      </c>
      <c r="G30" s="85" t="str">
        <f ca="1">VLOOKUP($B30&amp;"_"&amp;$E30,OFFSET([2]stages!$A$1,0,0,COUNTA([2]stages!$A:$A),MATCH(G$1,[2]stages!$2:$2,0)-MATCH("temp_stage",[2]stages!$2:$2,0)+1),MATCH(G$1,[2]stages!$2:$2,0)-MATCH("temp_stage",[2]stages!$2:$2,0)+1,FALSE)</f>
        <v>戦国１</v>
      </c>
      <c r="H30" s="87">
        <v>0</v>
      </c>
      <c r="I30">
        <v>7</v>
      </c>
      <c r="J30" s="86" t="s">
        <v>197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209</v>
      </c>
    </row>
    <row r="31" spans="1:13" x14ac:dyDescent="0.15">
      <c r="A31" s="83" t="s">
        <v>199</v>
      </c>
      <c r="B31" s="84">
        <f>floors!$C$2</f>
        <v>30033</v>
      </c>
      <c r="C31" s="85" t="str">
        <f ca="1">VLOOKUP($B31,OFFSET([2]quests!$A$1,0,0,COUNTA([2]quests!$A:$A),MATCH(C$1,[2]quests!$1:$1,0)-MATCH($B$1,[2]quests!$1:$1,0)+1),MATCH(C$1,[2]quests!$1:$1,0)-MATCH($B$1,[2]quests!$1:$1,0)+1,FALSE)</f>
        <v>御館様の懐刀</v>
      </c>
      <c r="D31" s="85" t="str">
        <f ca="1">VLOOKUP($B31,OFFSET([2]quests!$A$1,0,0,COUNTA([2]quests!$A:$A),MATCH(D$1,[2]quests!$1:$1,0)-MATCH($B$1,[2]quests!$1:$1,0)+1),MATCH(D$1,[2]quests!$1:$1,0)-MATCH($B$1,[2]quests!$1:$1,0)+1,FALSE)</f>
        <v>戦国１</v>
      </c>
      <c r="E31" s="89">
        <v>2</v>
      </c>
      <c r="F31" s="85" t="str">
        <f ca="1">VLOOKUP($B31&amp;"_"&amp;$E31,OFFSET([2]stages!$A$1,0,0,COUNTA([2]stages!$A:$A),MATCH(F$1,[2]stages!$2:$2,0)-MATCH("temp_stage",[2]stages!$2:$2,0)+1),MATCH(F$1,[2]stages!$2:$2,0)-MATCH("temp_stage",[2]stages!$2:$2,0)+1,FALSE)</f>
        <v>【上級】御館様の懐刀</v>
      </c>
      <c r="G31" s="85" t="str">
        <f ca="1">VLOOKUP($B31&amp;"_"&amp;$E31,OFFSET([2]stages!$A$1,0,0,COUNTA([2]stages!$A:$A),MATCH(G$1,[2]stages!$2:$2,0)-MATCH("temp_stage",[2]stages!$2:$2,0)+1),MATCH(G$1,[2]stages!$2:$2,0)-MATCH("temp_stage",[2]stages!$2:$2,0)+1,FALSE)</f>
        <v>戦国１</v>
      </c>
      <c r="H31" s="87">
        <v>0</v>
      </c>
      <c r="I31">
        <v>8</v>
      </c>
      <c r="J31" s="86" t="s">
        <v>197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209</v>
      </c>
    </row>
    <row r="32" spans="1:13" x14ac:dyDescent="0.15">
      <c r="A32" s="83" t="s">
        <v>199</v>
      </c>
      <c r="B32" s="84">
        <f>floors!$C$2</f>
        <v>30033</v>
      </c>
      <c r="C32" s="85" t="str">
        <f ca="1">VLOOKUP($B32,OFFSET([2]quests!$A$1,0,0,COUNTA([2]quests!$A:$A),MATCH(C$1,[2]quests!$1:$1,0)-MATCH($B$1,[2]quests!$1:$1,0)+1),MATCH(C$1,[2]quests!$1:$1,0)-MATCH($B$1,[2]quests!$1:$1,0)+1,FALSE)</f>
        <v>御館様の懐刀</v>
      </c>
      <c r="D32" s="85" t="str">
        <f ca="1">VLOOKUP($B32,OFFSET([2]quests!$A$1,0,0,COUNTA([2]quests!$A:$A),MATCH(D$1,[2]quests!$1:$1,0)-MATCH($B$1,[2]quests!$1:$1,0)+1),MATCH(D$1,[2]quests!$1:$1,0)-MATCH($B$1,[2]quests!$1:$1,0)+1,FALSE)</f>
        <v>戦国１</v>
      </c>
      <c r="E32" s="89">
        <v>2</v>
      </c>
      <c r="F32" s="85" t="str">
        <f ca="1">VLOOKUP($B32&amp;"_"&amp;$E32,OFFSET([2]stages!$A$1,0,0,COUNTA([2]stages!$A:$A),MATCH(F$1,[2]stages!$2:$2,0)-MATCH("temp_stage",[2]stages!$2:$2,0)+1),MATCH(F$1,[2]stages!$2:$2,0)-MATCH("temp_stage",[2]stages!$2:$2,0)+1,FALSE)</f>
        <v>【上級】御館様の懐刀</v>
      </c>
      <c r="G32" s="85" t="str">
        <f ca="1">VLOOKUP($B32&amp;"_"&amp;$E32,OFFSET([2]stages!$A$1,0,0,COUNTA([2]stages!$A:$A),MATCH(G$1,[2]stages!$2:$2,0)-MATCH("temp_stage",[2]stages!$2:$2,0)+1),MATCH(G$1,[2]stages!$2:$2,0)-MATCH("temp_stage",[2]stages!$2:$2,0)+1,FALSE)</f>
        <v>戦国１</v>
      </c>
      <c r="H32" s="87">
        <v>0</v>
      </c>
      <c r="I32">
        <v>9</v>
      </c>
      <c r="J32" s="86" t="s">
        <v>197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209</v>
      </c>
    </row>
    <row r="33" spans="1:13" x14ac:dyDescent="0.15">
      <c r="A33" s="83" t="s">
        <v>199</v>
      </c>
      <c r="B33" s="84">
        <f>floors!$C$2</f>
        <v>30033</v>
      </c>
      <c r="C33" s="85" t="str">
        <f ca="1">VLOOKUP($B33,OFFSET([2]quests!$A$1,0,0,COUNTA([2]quests!$A:$A),MATCH(C$1,[2]quests!$1:$1,0)-MATCH($B$1,[2]quests!$1:$1,0)+1),MATCH(C$1,[2]quests!$1:$1,0)-MATCH($B$1,[2]quests!$1:$1,0)+1,FALSE)</f>
        <v>御館様の懐刀</v>
      </c>
      <c r="D33" s="85" t="str">
        <f ca="1">VLOOKUP($B33,OFFSET([2]quests!$A$1,0,0,COUNTA([2]quests!$A:$A),MATCH(D$1,[2]quests!$1:$1,0)-MATCH($B$1,[2]quests!$1:$1,0)+1),MATCH(D$1,[2]quests!$1:$1,0)-MATCH($B$1,[2]quests!$1:$1,0)+1,FALSE)</f>
        <v>戦国１</v>
      </c>
      <c r="E33" s="89">
        <v>2</v>
      </c>
      <c r="F33" s="85" t="str">
        <f ca="1">VLOOKUP($B33&amp;"_"&amp;$E33,OFFSET([2]stages!$A$1,0,0,COUNTA([2]stages!$A:$A),MATCH(F$1,[2]stages!$2:$2,0)-MATCH("temp_stage",[2]stages!$2:$2,0)+1),MATCH(F$1,[2]stages!$2:$2,0)-MATCH("temp_stage",[2]stages!$2:$2,0)+1,FALSE)</f>
        <v>【上級】御館様の懐刀</v>
      </c>
      <c r="G33" s="85" t="str">
        <f ca="1">VLOOKUP($B33&amp;"_"&amp;$E33,OFFSET([2]stages!$A$1,0,0,COUNTA([2]stages!$A:$A),MATCH(G$1,[2]stages!$2:$2,0)-MATCH("temp_stage",[2]stages!$2:$2,0)+1),MATCH(G$1,[2]stages!$2:$2,0)-MATCH("temp_stage",[2]stages!$2:$2,0)+1,FALSE)</f>
        <v>戦国１</v>
      </c>
      <c r="H33" s="87">
        <v>0</v>
      </c>
      <c r="I33">
        <v>10</v>
      </c>
      <c r="J33" s="86" t="s">
        <v>197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209</v>
      </c>
    </row>
    <row r="34" spans="1:13" x14ac:dyDescent="0.15">
      <c r="A34" s="83" t="s">
        <v>199</v>
      </c>
      <c r="B34" s="84">
        <f>floors!$C$2</f>
        <v>30033</v>
      </c>
      <c r="C34" s="85" t="str">
        <f ca="1">VLOOKUP($B34,OFFSET([2]quests!$A$1,0,0,COUNTA([2]quests!$A:$A),MATCH(C$1,[2]quests!$1:$1,0)-MATCH($B$1,[2]quests!$1:$1,0)+1),MATCH(C$1,[2]quests!$1:$1,0)-MATCH($B$1,[2]quests!$1:$1,0)+1,FALSE)</f>
        <v>御館様の懐刀</v>
      </c>
      <c r="D34" s="85" t="str">
        <f ca="1">VLOOKUP($B34,OFFSET([2]quests!$A$1,0,0,COUNTA([2]quests!$A:$A),MATCH(D$1,[2]quests!$1:$1,0)-MATCH($B$1,[2]quests!$1:$1,0)+1),MATCH(D$1,[2]quests!$1:$1,0)-MATCH($B$1,[2]quests!$1:$1,0)+1,FALSE)</f>
        <v>戦国１</v>
      </c>
      <c r="E34" s="89">
        <v>2</v>
      </c>
      <c r="F34" s="85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【上級】御館様の懐刀</v>
      </c>
      <c r="G34" s="85" t="str">
        <f ca="1">VLOOKUP($B34&amp;"_"&amp;$E34,OFFSET([2]stages!$A$1,0,0,COUNTA([2]stages!$A:$A),MATCH(G$1,[2]stages!$2:$2,0)-MATCH("temp_stage",[2]stages!$2:$2,0)+1),MATCH(G$1,[2]stages!$2:$2,0)-MATCH("temp_stage",[2]stages!$2:$2,0)+1,FALSE)</f>
        <v>戦国１</v>
      </c>
      <c r="H34" s="87">
        <v>0</v>
      </c>
      <c r="I34">
        <v>11</v>
      </c>
      <c r="J34" s="86" t="s">
        <v>197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209</v>
      </c>
    </row>
    <row r="35" spans="1:13" x14ac:dyDescent="0.15">
      <c r="A35" s="83" t="s">
        <v>199</v>
      </c>
      <c r="B35" s="84">
        <f>floors!$C$2</f>
        <v>30033</v>
      </c>
      <c r="C35" s="85" t="str">
        <f ca="1">VLOOKUP($B35,OFFSET([2]quests!$A$1,0,0,COUNTA([2]quests!$A:$A),MATCH(C$1,[2]quests!$1:$1,0)-MATCH($B$1,[2]quests!$1:$1,0)+1),MATCH(C$1,[2]quests!$1:$1,0)-MATCH($B$1,[2]quests!$1:$1,0)+1,FALSE)</f>
        <v>御館様の懐刀</v>
      </c>
      <c r="D35" s="85" t="str">
        <f ca="1">VLOOKUP($B35,OFFSET([2]quests!$A$1,0,0,COUNTA([2]quests!$A:$A),MATCH(D$1,[2]quests!$1:$1,0)-MATCH($B$1,[2]quests!$1:$1,0)+1),MATCH(D$1,[2]quests!$1:$1,0)-MATCH($B$1,[2]quests!$1:$1,0)+1,FALSE)</f>
        <v>戦国１</v>
      </c>
      <c r="E35" s="89">
        <v>2</v>
      </c>
      <c r="F35" s="85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【上級】御館様の懐刀</v>
      </c>
      <c r="G35" s="85" t="str">
        <f ca="1">VLOOKUP($B35&amp;"_"&amp;$E35,OFFSET([2]stages!$A$1,0,0,COUNTA([2]stages!$A:$A),MATCH(G$1,[2]stages!$2:$2,0)-MATCH("temp_stage",[2]stages!$2:$2,0)+1),MATCH(G$1,[2]stages!$2:$2,0)-MATCH("temp_stage",[2]stages!$2:$2,0)+1,FALSE)</f>
        <v>戦国１</v>
      </c>
      <c r="H35" s="87">
        <v>0</v>
      </c>
      <c r="I35">
        <v>12</v>
      </c>
      <c r="J35" s="86" t="s">
        <v>197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209</v>
      </c>
    </row>
    <row r="36" spans="1:13" x14ac:dyDescent="0.15">
      <c r="A36" s="83" t="s">
        <v>199</v>
      </c>
      <c r="B36" s="84">
        <f>floors!$C$2</f>
        <v>30033</v>
      </c>
      <c r="C36" s="85" t="str">
        <f ca="1">VLOOKUP($B36,OFFSET([2]quests!$A$1,0,0,COUNTA([2]quests!$A:$A),MATCH(C$1,[2]quests!$1:$1,0)-MATCH($B$1,[2]quests!$1:$1,0)+1),MATCH(C$1,[2]quests!$1:$1,0)-MATCH($B$1,[2]quests!$1:$1,0)+1,FALSE)</f>
        <v>御館様の懐刀</v>
      </c>
      <c r="D36" s="85" t="str">
        <f ca="1">VLOOKUP($B36,OFFSET([2]quests!$A$1,0,0,COUNTA([2]quests!$A:$A),MATCH(D$1,[2]quests!$1:$1,0)-MATCH($B$1,[2]quests!$1:$1,0)+1),MATCH(D$1,[2]quests!$1:$1,0)-MATCH($B$1,[2]quests!$1:$1,0)+1,FALSE)</f>
        <v>戦国１</v>
      </c>
      <c r="E36" s="89">
        <v>2</v>
      </c>
      <c r="F36" s="85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【上級】御館様の懐刀</v>
      </c>
      <c r="G36" s="85" t="str">
        <f ca="1">VLOOKUP($B36&amp;"_"&amp;$E36,OFFSET([2]stages!$A$1,0,0,COUNTA([2]stages!$A:$A),MATCH(G$1,[2]stages!$2:$2,0)-MATCH("temp_stage",[2]stages!$2:$2,0)+1),MATCH(G$1,[2]stages!$2:$2,0)-MATCH("temp_stage",[2]stages!$2:$2,0)+1,FALSE)</f>
        <v>戦国１</v>
      </c>
      <c r="H36" s="87">
        <v>0</v>
      </c>
      <c r="I36">
        <v>13</v>
      </c>
      <c r="J36" s="86" t="s">
        <v>197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209</v>
      </c>
    </row>
    <row r="37" spans="1:13" x14ac:dyDescent="0.15">
      <c r="A37" s="83" t="s">
        <v>199</v>
      </c>
      <c r="B37" s="84">
        <f>floors!$C$2</f>
        <v>30033</v>
      </c>
      <c r="C37" s="85" t="str">
        <f ca="1">VLOOKUP($B37,OFFSET([2]quests!$A$1,0,0,COUNTA([2]quests!$A:$A),MATCH(C$1,[2]quests!$1:$1,0)-MATCH($B$1,[2]quests!$1:$1,0)+1),MATCH(C$1,[2]quests!$1:$1,0)-MATCH($B$1,[2]quests!$1:$1,0)+1,FALSE)</f>
        <v>御館様の懐刀</v>
      </c>
      <c r="D37" s="85" t="str">
        <f ca="1">VLOOKUP($B37,OFFSET([2]quests!$A$1,0,0,COUNTA([2]quests!$A:$A),MATCH(D$1,[2]quests!$1:$1,0)-MATCH($B$1,[2]quests!$1:$1,0)+1),MATCH(D$1,[2]quests!$1:$1,0)-MATCH($B$1,[2]quests!$1:$1,0)+1,FALSE)</f>
        <v>戦国１</v>
      </c>
      <c r="E37" s="89">
        <v>2</v>
      </c>
      <c r="F37" s="85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【上級】御館様の懐刀</v>
      </c>
      <c r="G37" s="85" t="str">
        <f ca="1">VLOOKUP($B37&amp;"_"&amp;$E37,OFFSET([2]stages!$A$1,0,0,COUNTA([2]stages!$A:$A),MATCH(G$1,[2]stages!$2:$2,0)-MATCH("temp_stage",[2]stages!$2:$2,0)+1),MATCH(G$1,[2]stages!$2:$2,0)-MATCH("temp_stage",[2]stages!$2:$2,0)+1,FALSE)</f>
        <v>戦国１</v>
      </c>
      <c r="H37" s="87">
        <v>0</v>
      </c>
      <c r="I37">
        <v>14</v>
      </c>
      <c r="J37" s="86" t="s">
        <v>197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209</v>
      </c>
    </row>
    <row r="38" spans="1:13" x14ac:dyDescent="0.15">
      <c r="A38" s="83" t="s">
        <v>199</v>
      </c>
      <c r="B38" s="84">
        <f>floors!$C$2</f>
        <v>30033</v>
      </c>
      <c r="C38" s="85" t="str">
        <f ca="1">VLOOKUP($B38,OFFSET([2]quests!$A$1,0,0,COUNTA([2]quests!$A:$A),MATCH(C$1,[2]quests!$1:$1,0)-MATCH($B$1,[2]quests!$1:$1,0)+1),MATCH(C$1,[2]quests!$1:$1,0)-MATCH($B$1,[2]quests!$1:$1,0)+1,FALSE)</f>
        <v>御館様の懐刀</v>
      </c>
      <c r="D38" s="85" t="str">
        <f ca="1">VLOOKUP($B38,OFFSET([2]quests!$A$1,0,0,COUNTA([2]quests!$A:$A),MATCH(D$1,[2]quests!$1:$1,0)-MATCH($B$1,[2]quests!$1:$1,0)+1),MATCH(D$1,[2]quests!$1:$1,0)-MATCH($B$1,[2]quests!$1:$1,0)+1,FALSE)</f>
        <v>戦国１</v>
      </c>
      <c r="E38" s="89">
        <v>2</v>
      </c>
      <c r="F38" s="85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【上級】御館様の懐刀</v>
      </c>
      <c r="G38" s="85" t="str">
        <f ca="1">VLOOKUP($B38&amp;"_"&amp;$E38,OFFSET([2]stages!$A$1,0,0,COUNTA([2]stages!$A:$A),MATCH(G$1,[2]stages!$2:$2,0)-MATCH("temp_stage",[2]stages!$2:$2,0)+1),MATCH(G$1,[2]stages!$2:$2,0)-MATCH("temp_stage",[2]stages!$2:$2,0)+1,FALSE)</f>
        <v>戦国１</v>
      </c>
      <c r="H38" s="87">
        <v>0</v>
      </c>
      <c r="I38">
        <v>15</v>
      </c>
      <c r="J38" s="86" t="s">
        <v>197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209</v>
      </c>
    </row>
    <row r="39" spans="1:13" x14ac:dyDescent="0.15">
      <c r="A39" s="83" t="s">
        <v>199</v>
      </c>
      <c r="B39" s="84">
        <f>floors!$C$2</f>
        <v>30033</v>
      </c>
      <c r="C39" s="85" t="str">
        <f ca="1">VLOOKUP($B39,OFFSET([2]quests!$A$1,0,0,COUNTA([2]quests!$A:$A),MATCH(C$1,[2]quests!$1:$1,0)-MATCH($B$1,[2]quests!$1:$1,0)+1),MATCH(C$1,[2]quests!$1:$1,0)-MATCH($B$1,[2]quests!$1:$1,0)+1,FALSE)</f>
        <v>御館様の懐刀</v>
      </c>
      <c r="D39" s="85" t="str">
        <f ca="1">VLOOKUP($B39,OFFSET([2]quests!$A$1,0,0,COUNTA([2]quests!$A:$A),MATCH(D$1,[2]quests!$1:$1,0)-MATCH($B$1,[2]quests!$1:$1,0)+1),MATCH(D$1,[2]quests!$1:$1,0)-MATCH($B$1,[2]quests!$1:$1,0)+1,FALSE)</f>
        <v>戦国１</v>
      </c>
      <c r="E39" s="89">
        <v>2</v>
      </c>
      <c r="F39" s="85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【上級】御館様の懐刀</v>
      </c>
      <c r="G39" s="85" t="str">
        <f ca="1">VLOOKUP($B39&amp;"_"&amp;$E39,OFFSET([2]stages!$A$1,0,0,COUNTA([2]stages!$A:$A),MATCH(G$1,[2]stages!$2:$2,0)-MATCH("temp_stage",[2]stages!$2:$2,0)+1),MATCH(G$1,[2]stages!$2:$2,0)-MATCH("temp_stage",[2]stages!$2:$2,0)+1,FALSE)</f>
        <v>戦国１</v>
      </c>
      <c r="H39" s="87">
        <v>0</v>
      </c>
      <c r="I39">
        <v>16</v>
      </c>
      <c r="J39" s="86" t="s">
        <v>197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209</v>
      </c>
    </row>
    <row r="40" spans="1:13" x14ac:dyDescent="0.15">
      <c r="A40" s="83" t="s">
        <v>199</v>
      </c>
      <c r="B40" s="84">
        <f>floors!$C$2</f>
        <v>30033</v>
      </c>
      <c r="C40" s="85" t="str">
        <f ca="1">VLOOKUP($B40,OFFSET([2]quests!$A$1,0,0,COUNTA([2]quests!$A:$A),MATCH(C$1,[2]quests!$1:$1,0)-MATCH($B$1,[2]quests!$1:$1,0)+1),MATCH(C$1,[2]quests!$1:$1,0)-MATCH($B$1,[2]quests!$1:$1,0)+1,FALSE)</f>
        <v>御館様の懐刀</v>
      </c>
      <c r="D40" s="85" t="str">
        <f ca="1">VLOOKUP($B40,OFFSET([2]quests!$A$1,0,0,COUNTA([2]quests!$A:$A),MATCH(D$1,[2]quests!$1:$1,0)-MATCH($B$1,[2]quests!$1:$1,0)+1),MATCH(D$1,[2]quests!$1:$1,0)-MATCH($B$1,[2]quests!$1:$1,0)+1,FALSE)</f>
        <v>戦国１</v>
      </c>
      <c r="E40" s="89">
        <v>2</v>
      </c>
      <c r="F40" s="85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【上級】御館様の懐刀</v>
      </c>
      <c r="G40" s="85" t="str">
        <f ca="1">VLOOKUP($B40&amp;"_"&amp;$E40,OFFSET([2]stages!$A$1,0,0,COUNTA([2]stages!$A:$A),MATCH(G$1,[2]stages!$2:$2,0)-MATCH("temp_stage",[2]stages!$2:$2,0)+1),MATCH(G$1,[2]stages!$2:$2,0)-MATCH("temp_stage",[2]stages!$2:$2,0)+1,FALSE)</f>
        <v>戦国１</v>
      </c>
      <c r="H40" s="87">
        <v>0</v>
      </c>
      <c r="I40">
        <v>17</v>
      </c>
      <c r="J40" s="86" t="s">
        <v>197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209</v>
      </c>
    </row>
    <row r="41" spans="1:13" x14ac:dyDescent="0.15">
      <c r="A41" s="83" t="s">
        <v>199</v>
      </c>
      <c r="B41" s="84">
        <f>floors!$C$2</f>
        <v>30033</v>
      </c>
      <c r="C41" s="85" t="str">
        <f ca="1">VLOOKUP($B41,OFFSET([2]quests!$A$1,0,0,COUNTA([2]quests!$A:$A),MATCH(C$1,[2]quests!$1:$1,0)-MATCH($B$1,[2]quests!$1:$1,0)+1),MATCH(C$1,[2]quests!$1:$1,0)-MATCH($B$1,[2]quests!$1:$1,0)+1,FALSE)</f>
        <v>御館様の懐刀</v>
      </c>
      <c r="D41" s="85" t="str">
        <f ca="1">VLOOKUP($B41,OFFSET([2]quests!$A$1,0,0,COUNTA([2]quests!$A:$A),MATCH(D$1,[2]quests!$1:$1,0)-MATCH($B$1,[2]quests!$1:$1,0)+1),MATCH(D$1,[2]quests!$1:$1,0)-MATCH($B$1,[2]quests!$1:$1,0)+1,FALSE)</f>
        <v>戦国１</v>
      </c>
      <c r="E41" s="89">
        <v>2</v>
      </c>
      <c r="F41" s="85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【上級】御館様の懐刀</v>
      </c>
      <c r="G41" s="85" t="str">
        <f ca="1">VLOOKUP($B41&amp;"_"&amp;$E41,OFFSET([2]stages!$A$1,0,0,COUNTA([2]stages!$A:$A),MATCH(G$1,[2]stages!$2:$2,0)-MATCH("temp_stage",[2]stages!$2:$2,0)+1),MATCH(G$1,[2]stages!$2:$2,0)-MATCH("temp_stage",[2]stages!$2:$2,0)+1,FALSE)</f>
        <v>戦国１</v>
      </c>
      <c r="H41" s="87">
        <v>0</v>
      </c>
      <c r="I41">
        <v>18</v>
      </c>
      <c r="J41" s="86" t="s">
        <v>197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209</v>
      </c>
    </row>
    <row r="42" spans="1:13" x14ac:dyDescent="0.15">
      <c r="A42" s="83" t="s">
        <v>199</v>
      </c>
      <c r="B42" s="84">
        <f>floors!$C$2</f>
        <v>30033</v>
      </c>
      <c r="C42" s="85" t="str">
        <f ca="1">VLOOKUP($B42,OFFSET([2]quests!$A$1,0,0,COUNTA([2]quests!$A:$A),MATCH(C$1,[2]quests!$1:$1,0)-MATCH($B$1,[2]quests!$1:$1,0)+1),MATCH(C$1,[2]quests!$1:$1,0)-MATCH($B$1,[2]quests!$1:$1,0)+1,FALSE)</f>
        <v>御館様の懐刀</v>
      </c>
      <c r="D42" s="85" t="str">
        <f ca="1">VLOOKUP($B42,OFFSET([2]quests!$A$1,0,0,COUNTA([2]quests!$A:$A),MATCH(D$1,[2]quests!$1:$1,0)-MATCH($B$1,[2]quests!$1:$1,0)+1),MATCH(D$1,[2]quests!$1:$1,0)-MATCH($B$1,[2]quests!$1:$1,0)+1,FALSE)</f>
        <v>戦国１</v>
      </c>
      <c r="E42" s="89">
        <v>2</v>
      </c>
      <c r="F42" s="85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【上級】御館様の懐刀</v>
      </c>
      <c r="G42" s="85" t="str">
        <f ca="1">VLOOKUP($B42&amp;"_"&amp;$E42,OFFSET([2]stages!$A$1,0,0,COUNTA([2]stages!$A:$A),MATCH(G$1,[2]stages!$2:$2,0)-MATCH("temp_stage",[2]stages!$2:$2,0)+1),MATCH(G$1,[2]stages!$2:$2,0)-MATCH("temp_stage",[2]stages!$2:$2,0)+1,FALSE)</f>
        <v>戦国１</v>
      </c>
      <c r="H42" s="87">
        <v>0</v>
      </c>
      <c r="I42">
        <v>19</v>
      </c>
      <c r="J42" s="86" t="s">
        <v>197</v>
      </c>
      <c r="K42" s="95" t="str">
        <f>VLOOKUP(I42,[7]stage_hints!$A:$C,3,FALSE)</f>
        <v>ソロ専用タワーオブザクイーン</v>
      </c>
      <c r="L42" s="96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209</v>
      </c>
    </row>
    <row r="43" spans="1:13" x14ac:dyDescent="0.15">
      <c r="A43" s="83" t="s">
        <v>199</v>
      </c>
      <c r="B43" s="84">
        <f>floors!$C$2</f>
        <v>30033</v>
      </c>
      <c r="C43" s="85" t="str">
        <f ca="1">VLOOKUP($B43,OFFSET([2]quests!$A$1,0,0,COUNTA([2]quests!$A:$A),MATCH(C$1,[2]quests!$1:$1,0)-MATCH($B$1,[2]quests!$1:$1,0)+1),MATCH(C$1,[2]quests!$1:$1,0)-MATCH($B$1,[2]quests!$1:$1,0)+1,FALSE)</f>
        <v>御館様の懐刀</v>
      </c>
      <c r="D43" s="85" t="str">
        <f ca="1">VLOOKUP($B43,OFFSET([2]quests!$A$1,0,0,COUNTA([2]quests!$A:$A),MATCH(D$1,[2]quests!$1:$1,0)-MATCH($B$1,[2]quests!$1:$1,0)+1),MATCH(D$1,[2]quests!$1:$1,0)-MATCH($B$1,[2]quests!$1:$1,0)+1,FALSE)</f>
        <v>戦国１</v>
      </c>
      <c r="E43" s="89">
        <v>2</v>
      </c>
      <c r="F43" s="85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【上級】御館様の懐刀</v>
      </c>
      <c r="G43" s="85" t="str">
        <f ca="1">VLOOKUP($B43&amp;"_"&amp;$E43,OFFSET([2]stages!$A$1,0,0,COUNTA([2]stages!$A:$A),MATCH(G$1,[2]stages!$2:$2,0)-MATCH("temp_stage",[2]stages!$2:$2,0)+1),MATCH(G$1,[2]stages!$2:$2,0)-MATCH("temp_stage",[2]stages!$2:$2,0)+1,FALSE)</f>
        <v>戦国１</v>
      </c>
      <c r="H43" s="87">
        <v>0</v>
      </c>
      <c r="I43">
        <v>20</v>
      </c>
      <c r="J43" s="86" t="s">
        <v>197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209</v>
      </c>
    </row>
    <row r="44" spans="1:13" x14ac:dyDescent="0.15">
      <c r="A44" s="83" t="s">
        <v>199</v>
      </c>
      <c r="B44" s="84">
        <f>floors!$C$2</f>
        <v>30033</v>
      </c>
      <c r="C44" s="85" t="str">
        <f ca="1">VLOOKUP($B44,OFFSET([2]quests!$A$1,0,0,COUNTA([2]quests!$A:$A),MATCH(C$1,[2]quests!$1:$1,0)-MATCH($B$1,[2]quests!$1:$1,0)+1),MATCH(C$1,[2]quests!$1:$1,0)-MATCH($B$1,[2]quests!$1:$1,0)+1,FALSE)</f>
        <v>御館様の懐刀</v>
      </c>
      <c r="D44" s="85" t="str">
        <f ca="1">VLOOKUP($B44,OFFSET([2]quests!$A$1,0,0,COUNTA([2]quests!$A:$A),MATCH(D$1,[2]quests!$1:$1,0)-MATCH($B$1,[2]quests!$1:$1,0)+1),MATCH(D$1,[2]quests!$1:$1,0)-MATCH($B$1,[2]quests!$1:$1,0)+1,FALSE)</f>
        <v>戦国１</v>
      </c>
      <c r="E44" s="89">
        <v>2</v>
      </c>
      <c r="F44" s="85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【上級】御館様の懐刀</v>
      </c>
      <c r="G44" s="85" t="str">
        <f ca="1">VLOOKUP($B44&amp;"_"&amp;$E44,OFFSET([2]stages!$A$1,0,0,COUNTA([2]stages!$A:$A),MATCH(G$1,[2]stages!$2:$2,0)-MATCH("temp_stage",[2]stages!$2:$2,0)+1),MATCH(G$1,[2]stages!$2:$2,0)-MATCH("temp_stage",[2]stages!$2:$2,0)+1,FALSE)</f>
        <v>戦国１</v>
      </c>
      <c r="H44" s="87">
        <v>0</v>
      </c>
      <c r="I44">
        <v>21</v>
      </c>
      <c r="J44" s="86" t="s">
        <v>197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209</v>
      </c>
    </row>
    <row r="45" spans="1:13" x14ac:dyDescent="0.15">
      <c r="A45" s="83" t="s">
        <v>199</v>
      </c>
      <c r="B45" s="84">
        <f>floors!$C$2</f>
        <v>30033</v>
      </c>
      <c r="C45" s="85" t="str">
        <f ca="1">VLOOKUP($B45,OFFSET([2]quests!$A$1,0,0,COUNTA([2]quests!$A:$A),MATCH(C$1,[2]quests!$1:$1,0)-MATCH($B$1,[2]quests!$1:$1,0)+1),MATCH(C$1,[2]quests!$1:$1,0)-MATCH($B$1,[2]quests!$1:$1,0)+1,FALSE)</f>
        <v>御館様の懐刀</v>
      </c>
      <c r="D45" s="85" t="str">
        <f ca="1">VLOOKUP($B45,OFFSET([2]quests!$A$1,0,0,COUNTA([2]quests!$A:$A),MATCH(D$1,[2]quests!$1:$1,0)-MATCH($B$1,[2]quests!$1:$1,0)+1),MATCH(D$1,[2]quests!$1:$1,0)-MATCH($B$1,[2]quests!$1:$1,0)+1,FALSE)</f>
        <v>戦国１</v>
      </c>
      <c r="E45" s="89">
        <v>2</v>
      </c>
      <c r="F45" s="85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【上級】御館様の懐刀</v>
      </c>
      <c r="G45" s="85" t="str">
        <f ca="1">VLOOKUP($B45&amp;"_"&amp;$E45,OFFSET([2]stages!$A$1,0,0,COUNTA([2]stages!$A:$A),MATCH(G$1,[2]stages!$2:$2,0)-MATCH("temp_stage",[2]stages!$2:$2,0)+1),MATCH(G$1,[2]stages!$2:$2,0)-MATCH("temp_stage",[2]stages!$2:$2,0)+1,FALSE)</f>
        <v>戦国１</v>
      </c>
      <c r="H45" s="87">
        <v>0</v>
      </c>
      <c r="I45">
        <v>22</v>
      </c>
      <c r="J45" s="86" t="s">
        <v>197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209</v>
      </c>
    </row>
    <row r="46" spans="1:13" x14ac:dyDescent="0.15">
      <c r="A46" s="83" t="s">
        <v>199</v>
      </c>
      <c r="B46" s="84">
        <f>floors!$C$2</f>
        <v>30033</v>
      </c>
      <c r="C46" s="85" t="str">
        <f ca="1">VLOOKUP($B46,OFFSET([2]quests!$A$1,0,0,COUNTA([2]quests!$A:$A),MATCH(C$1,[2]quests!$1:$1,0)-MATCH($B$1,[2]quests!$1:$1,0)+1),MATCH(C$1,[2]quests!$1:$1,0)-MATCH($B$1,[2]quests!$1:$1,0)+1,FALSE)</f>
        <v>御館様の懐刀</v>
      </c>
      <c r="D46" s="85" t="str">
        <f ca="1">VLOOKUP($B46,OFFSET([2]quests!$A$1,0,0,COUNTA([2]quests!$A:$A),MATCH(D$1,[2]quests!$1:$1,0)-MATCH($B$1,[2]quests!$1:$1,0)+1),MATCH(D$1,[2]quests!$1:$1,0)-MATCH($B$1,[2]quests!$1:$1,0)+1,FALSE)</f>
        <v>戦国１</v>
      </c>
      <c r="E46" s="89">
        <v>2</v>
      </c>
      <c r="F46" s="85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【上級】御館様の懐刀</v>
      </c>
      <c r="G46" s="85" t="str">
        <f ca="1">VLOOKUP($B46&amp;"_"&amp;$E46,OFFSET([2]stages!$A$1,0,0,COUNTA([2]stages!$A:$A),MATCH(G$1,[2]stages!$2:$2,0)-MATCH("temp_stage",[2]stages!$2:$2,0)+1),MATCH(G$1,[2]stages!$2:$2,0)-MATCH("temp_stage",[2]stages!$2:$2,0)+1,FALSE)</f>
        <v>戦国１</v>
      </c>
      <c r="H46" s="87">
        <v>0</v>
      </c>
      <c r="I46">
        <v>23</v>
      </c>
      <c r="J46" s="86" t="s">
        <v>197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209</v>
      </c>
    </row>
    <row r="47" spans="1:13" x14ac:dyDescent="0.15">
      <c r="A47" s="83" t="s">
        <v>199</v>
      </c>
      <c r="B47" s="84">
        <f>floors!$C$2</f>
        <v>30033</v>
      </c>
      <c r="C47" s="85" t="str">
        <f ca="1">VLOOKUP($B47,OFFSET([2]quests!$A$1,0,0,COUNTA([2]quests!$A:$A),MATCH(C$1,[2]quests!$1:$1,0)-MATCH($B$1,[2]quests!$1:$1,0)+1),MATCH(C$1,[2]quests!$1:$1,0)-MATCH($B$1,[2]quests!$1:$1,0)+1,FALSE)</f>
        <v>御館様の懐刀</v>
      </c>
      <c r="D47" s="85" t="str">
        <f ca="1">VLOOKUP($B47,OFFSET([2]quests!$A$1,0,0,COUNTA([2]quests!$A:$A),MATCH(D$1,[2]quests!$1:$1,0)-MATCH($B$1,[2]quests!$1:$1,0)+1),MATCH(D$1,[2]quests!$1:$1,0)-MATCH($B$1,[2]quests!$1:$1,0)+1,FALSE)</f>
        <v>戦国１</v>
      </c>
      <c r="E47" s="89">
        <v>2</v>
      </c>
      <c r="F47" s="85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【上級】御館様の懐刀</v>
      </c>
      <c r="G47" s="85" t="str">
        <f ca="1">VLOOKUP($B47&amp;"_"&amp;$E47,OFFSET([2]stages!$A$1,0,0,COUNTA([2]stages!$A:$A),MATCH(G$1,[2]stages!$2:$2,0)-MATCH("temp_stage",[2]stages!$2:$2,0)+1),MATCH(G$1,[2]stages!$2:$2,0)-MATCH("temp_stage",[2]stages!$2:$2,0)+1,FALSE)</f>
        <v>戦国１</v>
      </c>
      <c r="H47" s="87">
        <v>0</v>
      </c>
      <c r="I47">
        <v>24</v>
      </c>
      <c r="J47" s="86" t="s">
        <v>197</v>
      </c>
      <c r="K47" s="95" t="str">
        <f>VLOOKUP(I47,[7]stage_hints!$A:$C,3,FALSE)</f>
        <v>果実を使って限界突破</v>
      </c>
      <c r="L47" s="96" t="str">
        <f>VLOOKUP(I47,[7]stage_hints!$A:$D,4,FALSE)</f>
        <v>攻めの果実 癒しの果実_x000D_生命の果実をユニット強化に使うと_x000D_ステータスが限界突破します（計99個迄）</v>
      </c>
      <c r="M47" s="57" t="s">
        <v>209</v>
      </c>
    </row>
    <row r="48" spans="1:13" x14ac:dyDescent="0.15">
      <c r="A48" s="83" t="s">
        <v>199</v>
      </c>
      <c r="B48" s="84">
        <f>floors!$C$2</f>
        <v>30033</v>
      </c>
      <c r="C48" s="85" t="str">
        <f ca="1">VLOOKUP($B48,OFFSET([2]quests!$A$1,0,0,COUNTA([2]quests!$A:$A),MATCH(C$1,[2]quests!$1:$1,0)-MATCH($B$1,[2]quests!$1:$1,0)+1),MATCH(C$1,[2]quests!$1:$1,0)-MATCH($B$1,[2]quests!$1:$1,0)+1,FALSE)</f>
        <v>御館様の懐刀</v>
      </c>
      <c r="D48" s="85" t="str">
        <f ca="1">VLOOKUP($B48,OFFSET([2]quests!$A$1,0,0,COUNTA([2]quests!$A:$A),MATCH(D$1,[2]quests!$1:$1,0)-MATCH($B$1,[2]quests!$1:$1,0)+1),MATCH(D$1,[2]quests!$1:$1,0)-MATCH($B$1,[2]quests!$1:$1,0)+1,FALSE)</f>
        <v>戦国１</v>
      </c>
      <c r="E48" s="89">
        <v>2</v>
      </c>
      <c r="F48" s="85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【上級】御館様の懐刀</v>
      </c>
      <c r="G48" s="85" t="str">
        <f ca="1">VLOOKUP($B48&amp;"_"&amp;$E48,OFFSET([2]stages!$A$1,0,0,COUNTA([2]stages!$A:$A),MATCH(G$1,[2]stages!$2:$2,0)-MATCH("temp_stage",[2]stages!$2:$2,0)+1),MATCH(G$1,[2]stages!$2:$2,0)-MATCH("temp_stage",[2]stages!$2:$2,0)+1,FALSE)</f>
        <v>戦国１</v>
      </c>
      <c r="H48" s="87">
        <v>0</v>
      </c>
      <c r="I48">
        <v>25</v>
      </c>
      <c r="J48" s="86" t="s">
        <v>197</v>
      </c>
      <c r="K48" s="95" t="str">
        <f>VLOOKUP(I48,[7]stage_hints!$A:$C,3,FALSE)</f>
        <v>スキルレベルアップ</v>
      </c>
      <c r="L48" s="96" t="str">
        <f>VLOOKUP(I48,[7]stage_hints!$A:$D,4,FALSE)</f>
        <v>「秘術の果実」を強化に使うと_x000D_スキルレベルを上げることができます</v>
      </c>
      <c r="M48" s="57" t="s">
        <v>209</v>
      </c>
    </row>
    <row r="49" spans="1:13" x14ac:dyDescent="0.15">
      <c r="A49" s="83" t="s">
        <v>199</v>
      </c>
      <c r="B49" s="84">
        <f>floors!$C$2</f>
        <v>30033</v>
      </c>
      <c r="C49" s="85" t="str">
        <f ca="1">VLOOKUP($B49,OFFSET([2]quests!$A$1,0,0,COUNTA([2]quests!$A:$A),MATCH(C$1,[2]quests!$1:$1,0)-MATCH($B$1,[2]quests!$1:$1,0)+1),MATCH(C$1,[2]quests!$1:$1,0)-MATCH($B$1,[2]quests!$1:$1,0)+1,FALSE)</f>
        <v>御館様の懐刀</v>
      </c>
      <c r="D49" s="85" t="str">
        <f ca="1">VLOOKUP($B49,OFFSET([2]quests!$A$1,0,0,COUNTA([2]quests!$A:$A),MATCH(D$1,[2]quests!$1:$1,0)-MATCH($B$1,[2]quests!$1:$1,0)+1),MATCH(D$1,[2]quests!$1:$1,0)-MATCH($B$1,[2]quests!$1:$1,0)+1,FALSE)</f>
        <v>戦国１</v>
      </c>
      <c r="E49" s="89">
        <v>2</v>
      </c>
      <c r="F49" s="85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【上級】御館様の懐刀</v>
      </c>
      <c r="G49" s="85" t="str">
        <f ca="1">VLOOKUP($B49&amp;"_"&amp;$E49,OFFSET([2]stages!$A$1,0,0,COUNTA([2]stages!$A:$A),MATCH(G$1,[2]stages!$2:$2,0)-MATCH("temp_stage",[2]stages!$2:$2,0)+1),MATCH(G$1,[2]stages!$2:$2,0)-MATCH("temp_stage",[2]stages!$2:$2,0)+1,FALSE)</f>
        <v>戦国１</v>
      </c>
      <c r="H49" s="87">
        <v>0</v>
      </c>
      <c r="I49">
        <v>26</v>
      </c>
      <c r="J49" s="86" t="s">
        <v>197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209</v>
      </c>
    </row>
    <row r="50" spans="1:13" x14ac:dyDescent="0.15">
      <c r="A50" s="83" t="s">
        <v>199</v>
      </c>
      <c r="B50" s="84">
        <f>floors!$C$2</f>
        <v>30033</v>
      </c>
      <c r="C50" s="85" t="str">
        <f ca="1">VLOOKUP($B50,OFFSET([2]quests!$A$1,0,0,COUNTA([2]quests!$A:$A),MATCH(C$1,[2]quests!$1:$1,0)-MATCH($B$1,[2]quests!$1:$1,0)+1),MATCH(C$1,[2]quests!$1:$1,0)-MATCH($B$1,[2]quests!$1:$1,0)+1,FALSE)</f>
        <v>御館様の懐刀</v>
      </c>
      <c r="D50" s="85" t="str">
        <f ca="1">VLOOKUP($B50,OFFSET([2]quests!$A$1,0,0,COUNTA([2]quests!$A:$A),MATCH(D$1,[2]quests!$1:$1,0)-MATCH($B$1,[2]quests!$1:$1,0)+1),MATCH(D$1,[2]quests!$1:$1,0)-MATCH($B$1,[2]quests!$1:$1,0)+1,FALSE)</f>
        <v>戦国１</v>
      </c>
      <c r="E50" s="89">
        <v>2</v>
      </c>
      <c r="F50" s="85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【上級】御館様の懐刀</v>
      </c>
      <c r="G50" s="85" t="str">
        <f ca="1">VLOOKUP($B50&amp;"_"&amp;$E50,OFFSET([2]stages!$A$1,0,0,COUNTA([2]stages!$A:$A),MATCH(G$1,[2]stages!$2:$2,0)-MATCH("temp_stage",[2]stages!$2:$2,0)+1),MATCH(G$1,[2]stages!$2:$2,0)-MATCH("temp_stage",[2]stages!$2:$2,0)+1,FALSE)</f>
        <v>戦国１</v>
      </c>
      <c r="H50" s="87">
        <v>0</v>
      </c>
      <c r="I50">
        <v>27</v>
      </c>
      <c r="J50" s="86" t="s">
        <v>197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209</v>
      </c>
    </row>
    <row r="51" spans="1:13" x14ac:dyDescent="0.15">
      <c r="A51" s="83" t="s">
        <v>199</v>
      </c>
      <c r="B51" s="84">
        <f>floors!$C$2</f>
        <v>30033</v>
      </c>
      <c r="C51" s="85" t="str">
        <f ca="1">VLOOKUP($B51,OFFSET([2]quests!$A$1,0,0,COUNTA([2]quests!$A:$A),MATCH(C$1,[2]quests!$1:$1,0)-MATCH($B$1,[2]quests!$1:$1,0)+1),MATCH(C$1,[2]quests!$1:$1,0)-MATCH($B$1,[2]quests!$1:$1,0)+1,FALSE)</f>
        <v>御館様の懐刀</v>
      </c>
      <c r="D51" s="85" t="str">
        <f ca="1">VLOOKUP($B51,OFFSET([2]quests!$A$1,0,0,COUNTA([2]quests!$A:$A),MATCH(D$1,[2]quests!$1:$1,0)-MATCH($B$1,[2]quests!$1:$1,0)+1),MATCH(D$1,[2]quests!$1:$1,0)-MATCH($B$1,[2]quests!$1:$1,0)+1,FALSE)</f>
        <v>戦国１</v>
      </c>
      <c r="E51" s="89">
        <v>2</v>
      </c>
      <c r="F51" s="85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【上級】御館様の懐刀</v>
      </c>
      <c r="G51" s="85" t="str">
        <f ca="1">VLOOKUP($B51&amp;"_"&amp;$E51,OFFSET([2]stages!$A$1,0,0,COUNTA([2]stages!$A:$A),MATCH(G$1,[2]stages!$2:$2,0)-MATCH("temp_stage",[2]stages!$2:$2,0)+1),MATCH(G$1,[2]stages!$2:$2,0)-MATCH("temp_stage",[2]stages!$2:$2,0)+1,FALSE)</f>
        <v>戦国１</v>
      </c>
      <c r="H51" s="87">
        <v>0</v>
      </c>
      <c r="I51">
        <v>28</v>
      </c>
      <c r="J51" s="86" t="s">
        <v>197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209</v>
      </c>
    </row>
    <row r="52" spans="1:13" x14ac:dyDescent="0.15">
      <c r="A52" s="83" t="s">
        <v>199</v>
      </c>
      <c r="B52" s="84">
        <f>floors!$C$2</f>
        <v>30033</v>
      </c>
      <c r="C52" s="85" t="str">
        <f ca="1">VLOOKUP($B52,OFFSET([2]quests!$A$1,0,0,COUNTA([2]quests!$A:$A),MATCH(C$1,[2]quests!$1:$1,0)-MATCH($B$1,[2]quests!$1:$1,0)+1),MATCH(C$1,[2]quests!$1:$1,0)-MATCH($B$1,[2]quests!$1:$1,0)+1,FALSE)</f>
        <v>御館様の懐刀</v>
      </c>
      <c r="D52" s="85" t="str">
        <f ca="1">VLOOKUP($B52,OFFSET([2]quests!$A$1,0,0,COUNTA([2]quests!$A:$A),MATCH(D$1,[2]quests!$1:$1,0)-MATCH($B$1,[2]quests!$1:$1,0)+1),MATCH(D$1,[2]quests!$1:$1,0)-MATCH($B$1,[2]quests!$1:$1,0)+1,FALSE)</f>
        <v>戦国１</v>
      </c>
      <c r="E52" s="89">
        <v>2</v>
      </c>
      <c r="F52" s="85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【上級】御館様の懐刀</v>
      </c>
      <c r="G52" s="85" t="str">
        <f ca="1">VLOOKUP($B52&amp;"_"&amp;$E52,OFFSET([2]stages!$A$1,0,0,COUNTA([2]stages!$A:$A),MATCH(G$1,[2]stages!$2:$2,0)-MATCH("temp_stage",[2]stages!$2:$2,0)+1),MATCH(G$1,[2]stages!$2:$2,0)-MATCH("temp_stage",[2]stages!$2:$2,0)+1,FALSE)</f>
        <v>戦国１</v>
      </c>
      <c r="H52" s="87">
        <v>0</v>
      </c>
      <c r="I52">
        <v>29</v>
      </c>
      <c r="J52" s="86" t="s">
        <v>197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209</v>
      </c>
    </row>
    <row r="53" spans="1:13" x14ac:dyDescent="0.15">
      <c r="A53" s="83" t="s">
        <v>199</v>
      </c>
      <c r="B53" s="84">
        <f>floors!$C$2</f>
        <v>30033</v>
      </c>
      <c r="C53" s="85" t="str">
        <f ca="1">VLOOKUP($B53,OFFSET([2]quests!$A$1,0,0,COUNTA([2]quests!$A:$A),MATCH(C$1,[2]quests!$1:$1,0)-MATCH($B$1,[2]quests!$1:$1,0)+1),MATCH(C$1,[2]quests!$1:$1,0)-MATCH($B$1,[2]quests!$1:$1,0)+1,FALSE)</f>
        <v>御館様の懐刀</v>
      </c>
      <c r="D53" s="85" t="str">
        <f ca="1">VLOOKUP($B53,OFFSET([2]quests!$A$1,0,0,COUNTA([2]quests!$A:$A),MATCH(D$1,[2]quests!$1:$1,0)-MATCH($B$1,[2]quests!$1:$1,0)+1),MATCH(D$1,[2]quests!$1:$1,0)-MATCH($B$1,[2]quests!$1:$1,0)+1,FALSE)</f>
        <v>戦国１</v>
      </c>
      <c r="E53" s="89">
        <v>2</v>
      </c>
      <c r="F53" s="85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【上級】御館様の懐刀</v>
      </c>
      <c r="G53" s="85" t="str">
        <f ca="1">VLOOKUP($B53&amp;"_"&amp;$E53,OFFSET([2]stages!$A$1,0,0,COUNTA([2]stages!$A:$A),MATCH(G$1,[2]stages!$2:$2,0)-MATCH("temp_stage",[2]stages!$2:$2,0)+1),MATCH(G$1,[2]stages!$2:$2,0)-MATCH("temp_stage",[2]stages!$2:$2,0)+1,FALSE)</f>
        <v>戦国１</v>
      </c>
      <c r="H53" s="87">
        <v>0</v>
      </c>
      <c r="I53">
        <v>30</v>
      </c>
      <c r="J53" s="86" t="s">
        <v>197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209</v>
      </c>
    </row>
    <row r="54" spans="1:13" x14ac:dyDescent="0.15">
      <c r="A54" s="83" t="s">
        <v>199</v>
      </c>
      <c r="B54" s="84">
        <f>floors!$C$2</f>
        <v>30033</v>
      </c>
      <c r="C54" s="85" t="str">
        <f ca="1">VLOOKUP($B54,OFFSET([2]quests!$A$1,0,0,COUNTA([2]quests!$A:$A),MATCH(C$1,[2]quests!$1:$1,0)-MATCH($B$1,[2]quests!$1:$1,0)+1),MATCH(C$1,[2]quests!$1:$1,0)-MATCH($B$1,[2]quests!$1:$1,0)+1,FALSE)</f>
        <v>御館様の懐刀</v>
      </c>
      <c r="D54" s="85" t="str">
        <f ca="1">VLOOKUP($B54,OFFSET([2]quests!$A$1,0,0,COUNTA([2]quests!$A:$A),MATCH(D$1,[2]quests!$1:$1,0)-MATCH($B$1,[2]quests!$1:$1,0)+1),MATCH(D$1,[2]quests!$1:$1,0)-MATCH($B$1,[2]quests!$1:$1,0)+1,FALSE)</f>
        <v>戦国１</v>
      </c>
      <c r="E54" s="89">
        <v>2</v>
      </c>
      <c r="F54" s="85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【上級】御館様の懐刀</v>
      </c>
      <c r="G54" s="85" t="str">
        <f ca="1">VLOOKUP($B54&amp;"_"&amp;$E54,OFFSET([2]stages!$A$1,0,0,COUNTA([2]stages!$A:$A),MATCH(G$1,[2]stages!$2:$2,0)-MATCH("temp_stage",[2]stages!$2:$2,0)+1),MATCH(G$1,[2]stages!$2:$2,0)-MATCH("temp_stage",[2]stages!$2:$2,0)+1,FALSE)</f>
        <v>戦国１</v>
      </c>
      <c r="H54" s="87">
        <v>0</v>
      </c>
      <c r="I54">
        <v>31</v>
      </c>
      <c r="J54" s="86" t="s">
        <v>197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209</v>
      </c>
    </row>
    <row r="55" spans="1:13" x14ac:dyDescent="0.15">
      <c r="A55" s="83" t="s">
        <v>199</v>
      </c>
      <c r="B55" s="84">
        <f>floors!$C$2</f>
        <v>30033</v>
      </c>
      <c r="C55" s="85" t="str">
        <f ca="1">VLOOKUP($B55,OFFSET([2]quests!$A$1,0,0,COUNTA([2]quests!$A:$A),MATCH(C$1,[2]quests!$1:$1,0)-MATCH($B$1,[2]quests!$1:$1,0)+1),MATCH(C$1,[2]quests!$1:$1,0)-MATCH($B$1,[2]quests!$1:$1,0)+1,FALSE)</f>
        <v>御館様の懐刀</v>
      </c>
      <c r="D55" s="85" t="str">
        <f ca="1">VLOOKUP($B55,OFFSET([2]quests!$A$1,0,0,COUNTA([2]quests!$A:$A),MATCH(D$1,[2]quests!$1:$1,0)-MATCH($B$1,[2]quests!$1:$1,0)+1),MATCH(D$1,[2]quests!$1:$1,0)-MATCH($B$1,[2]quests!$1:$1,0)+1,FALSE)</f>
        <v>戦国１</v>
      </c>
      <c r="E55" s="89">
        <v>2</v>
      </c>
      <c r="F55" s="85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【上級】御館様の懐刀</v>
      </c>
      <c r="G55" s="85" t="str">
        <f ca="1">VLOOKUP($B55&amp;"_"&amp;$E55,OFFSET([2]stages!$A$1,0,0,COUNTA([2]stages!$A:$A),MATCH(G$1,[2]stages!$2:$2,0)-MATCH("temp_stage",[2]stages!$2:$2,0)+1),MATCH(G$1,[2]stages!$2:$2,0)-MATCH("temp_stage",[2]stages!$2:$2,0)+1,FALSE)</f>
        <v>戦国１</v>
      </c>
      <c r="H55" s="87">
        <v>0</v>
      </c>
      <c r="I55">
        <v>32</v>
      </c>
      <c r="J55" s="86" t="s">
        <v>197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209</v>
      </c>
    </row>
    <row r="56" spans="1:13" x14ac:dyDescent="0.15">
      <c r="A56" s="83" t="s">
        <v>199</v>
      </c>
      <c r="B56" s="84">
        <f>floors!$C$2</f>
        <v>30033</v>
      </c>
      <c r="C56" s="85" t="str">
        <f ca="1">VLOOKUP($B56,OFFSET([2]quests!$A$1,0,0,COUNTA([2]quests!$A:$A),MATCH(C$1,[2]quests!$1:$1,0)-MATCH($B$1,[2]quests!$1:$1,0)+1),MATCH(C$1,[2]quests!$1:$1,0)-MATCH($B$1,[2]quests!$1:$1,0)+1,FALSE)</f>
        <v>御館様の懐刀</v>
      </c>
      <c r="D56" s="85" t="str">
        <f ca="1">VLOOKUP($B56,OFFSET([2]quests!$A$1,0,0,COUNTA([2]quests!$A:$A),MATCH(D$1,[2]quests!$1:$1,0)-MATCH($B$1,[2]quests!$1:$1,0)+1),MATCH(D$1,[2]quests!$1:$1,0)-MATCH($B$1,[2]quests!$1:$1,0)+1,FALSE)</f>
        <v>戦国１</v>
      </c>
      <c r="E56" s="89">
        <v>2</v>
      </c>
      <c r="F56" s="85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【上級】御館様の懐刀</v>
      </c>
      <c r="G56" s="85" t="str">
        <f ca="1">VLOOKUP($B56&amp;"_"&amp;$E56,OFFSET([2]stages!$A$1,0,0,COUNTA([2]stages!$A:$A),MATCH(G$1,[2]stages!$2:$2,0)-MATCH("temp_stage",[2]stages!$2:$2,0)+1),MATCH(G$1,[2]stages!$2:$2,0)-MATCH("temp_stage",[2]stages!$2:$2,0)+1,FALSE)</f>
        <v>戦国１</v>
      </c>
      <c r="H56" s="87">
        <v>0</v>
      </c>
      <c r="I56">
        <v>33</v>
      </c>
      <c r="J56" s="86" t="s">
        <v>197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209</v>
      </c>
    </row>
    <row r="57" spans="1:13" x14ac:dyDescent="0.15">
      <c r="A57" s="83" t="s">
        <v>199</v>
      </c>
      <c r="B57" s="84">
        <f>floors!$C$2</f>
        <v>30033</v>
      </c>
      <c r="C57" s="85" t="str">
        <f ca="1">VLOOKUP($B57,OFFSET([2]quests!$A$1,0,0,COUNTA([2]quests!$A:$A),MATCH(C$1,[2]quests!$1:$1,0)-MATCH($B$1,[2]quests!$1:$1,0)+1),MATCH(C$1,[2]quests!$1:$1,0)-MATCH($B$1,[2]quests!$1:$1,0)+1,FALSE)</f>
        <v>御館様の懐刀</v>
      </c>
      <c r="D57" s="85" t="str">
        <f ca="1">VLOOKUP($B57,OFFSET([2]quests!$A$1,0,0,COUNTA([2]quests!$A:$A),MATCH(D$1,[2]quests!$1:$1,0)-MATCH($B$1,[2]quests!$1:$1,0)+1),MATCH(D$1,[2]quests!$1:$1,0)-MATCH($B$1,[2]quests!$1:$1,0)+1,FALSE)</f>
        <v>戦国１</v>
      </c>
      <c r="E57" s="89">
        <v>2</v>
      </c>
      <c r="F57" s="85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【上級】御館様の懐刀</v>
      </c>
      <c r="G57" s="85" t="str">
        <f ca="1">VLOOKUP($B57&amp;"_"&amp;$E57,OFFSET([2]stages!$A$1,0,0,COUNTA([2]stages!$A:$A),MATCH(G$1,[2]stages!$2:$2,0)-MATCH("temp_stage",[2]stages!$2:$2,0)+1),MATCH(G$1,[2]stages!$2:$2,0)-MATCH("temp_stage",[2]stages!$2:$2,0)+1,FALSE)</f>
        <v>戦国１</v>
      </c>
      <c r="H57" s="87">
        <v>0</v>
      </c>
      <c r="I57">
        <v>34</v>
      </c>
      <c r="J57" s="86" t="s">
        <v>197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209</v>
      </c>
    </row>
    <row r="58" spans="1:13" x14ac:dyDescent="0.15">
      <c r="A58" s="83" t="s">
        <v>199</v>
      </c>
      <c r="B58" s="84">
        <f>floors!$C$2</f>
        <v>30033</v>
      </c>
      <c r="C58" s="85" t="str">
        <f ca="1">VLOOKUP($B58,OFFSET([2]quests!$A$1,0,0,COUNTA([2]quests!$A:$A),MATCH(C$1,[2]quests!$1:$1,0)-MATCH($B$1,[2]quests!$1:$1,0)+1),MATCH(C$1,[2]quests!$1:$1,0)-MATCH($B$1,[2]quests!$1:$1,0)+1,FALSE)</f>
        <v>御館様の懐刀</v>
      </c>
      <c r="D58" s="85" t="str">
        <f ca="1">VLOOKUP($B58,OFFSET([2]quests!$A$1,0,0,COUNTA([2]quests!$A:$A),MATCH(D$1,[2]quests!$1:$1,0)-MATCH($B$1,[2]quests!$1:$1,0)+1),MATCH(D$1,[2]quests!$1:$1,0)-MATCH($B$1,[2]quests!$1:$1,0)+1,FALSE)</f>
        <v>戦国１</v>
      </c>
      <c r="E58" s="89">
        <v>2</v>
      </c>
      <c r="F58" s="85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【上級】御館様の懐刀</v>
      </c>
      <c r="G58" s="85" t="str">
        <f ca="1">VLOOKUP($B58&amp;"_"&amp;$E58,OFFSET([2]stages!$A$1,0,0,COUNTA([2]stages!$A:$A),MATCH(G$1,[2]stages!$2:$2,0)-MATCH("temp_stage",[2]stages!$2:$2,0)+1),MATCH(G$1,[2]stages!$2:$2,0)-MATCH("temp_stage",[2]stages!$2:$2,0)+1,FALSE)</f>
        <v>戦国１</v>
      </c>
      <c r="H58" s="87">
        <v>0</v>
      </c>
      <c r="I58">
        <v>35</v>
      </c>
      <c r="J58" s="86" t="s">
        <v>197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209</v>
      </c>
    </row>
    <row r="59" spans="1:13" x14ac:dyDescent="0.15">
      <c r="A59" s="83" t="s">
        <v>199</v>
      </c>
      <c r="B59" s="84">
        <f>floors!$C$2</f>
        <v>30033</v>
      </c>
      <c r="C59" s="85" t="str">
        <f ca="1">VLOOKUP($B59,OFFSET([2]quests!$A$1,0,0,COUNTA([2]quests!$A:$A),MATCH(C$1,[2]quests!$1:$1,0)-MATCH($B$1,[2]quests!$1:$1,0)+1),MATCH(C$1,[2]quests!$1:$1,0)-MATCH($B$1,[2]quests!$1:$1,0)+1,FALSE)</f>
        <v>御館様の懐刀</v>
      </c>
      <c r="D59" s="85" t="str">
        <f ca="1">VLOOKUP($B59,OFFSET([2]quests!$A$1,0,0,COUNTA([2]quests!$A:$A),MATCH(D$1,[2]quests!$1:$1,0)-MATCH($B$1,[2]quests!$1:$1,0)+1),MATCH(D$1,[2]quests!$1:$1,0)-MATCH($B$1,[2]quests!$1:$1,0)+1,FALSE)</f>
        <v>戦国１</v>
      </c>
      <c r="E59" s="89">
        <v>2</v>
      </c>
      <c r="F59" s="85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【上級】御館様の懐刀</v>
      </c>
      <c r="G59" s="85" t="str">
        <f ca="1">VLOOKUP($B59&amp;"_"&amp;$E59,OFFSET([2]stages!$A$1,0,0,COUNTA([2]stages!$A:$A),MATCH(G$1,[2]stages!$2:$2,0)-MATCH("temp_stage",[2]stages!$2:$2,0)+1),MATCH(G$1,[2]stages!$2:$2,0)-MATCH("temp_stage",[2]stages!$2:$2,0)+1,FALSE)</f>
        <v>戦国１</v>
      </c>
      <c r="H59" s="87">
        <v>0</v>
      </c>
      <c r="I59">
        <v>39</v>
      </c>
      <c r="J59" s="86" t="s">
        <v>197</v>
      </c>
      <c r="K59" s="95" t="str">
        <f>VLOOKUP(I59,[7]stage_hints!$A:$C,3,FALSE)</f>
        <v>システム適合者を確認</v>
      </c>
      <c r="L59" s="96" t="str">
        <f>VLOOKUP(I59,[7]stage_hints!$A:$D,4,FALSE)</f>
        <v>ALICEが 「アナタ」を呼んでいます</v>
      </c>
      <c r="M59" s="57" t="s">
        <v>209</v>
      </c>
    </row>
    <row r="60" spans="1:13" x14ac:dyDescent="0.15">
      <c r="A60" s="83" t="s">
        <v>199</v>
      </c>
      <c r="B60" s="84">
        <f>floors!$C$2</f>
        <v>30033</v>
      </c>
      <c r="C60" s="85" t="str">
        <f ca="1">VLOOKUP($B60,OFFSET([2]quests!$A$1,0,0,COUNTA([2]quests!$A:$A),MATCH(C$1,[2]quests!$1:$1,0)-MATCH($B$1,[2]quests!$1:$1,0)+1),MATCH(C$1,[2]quests!$1:$1,0)-MATCH($B$1,[2]quests!$1:$1,0)+1,FALSE)</f>
        <v>御館様の懐刀</v>
      </c>
      <c r="D60" s="85" t="str">
        <f ca="1">VLOOKUP($B60,OFFSET([2]quests!$A$1,0,0,COUNTA([2]quests!$A:$A),MATCH(D$1,[2]quests!$1:$1,0)-MATCH($B$1,[2]quests!$1:$1,0)+1),MATCH(D$1,[2]quests!$1:$1,0)-MATCH($B$1,[2]quests!$1:$1,0)+1,FALSE)</f>
        <v>戦国１</v>
      </c>
      <c r="E60" s="89">
        <v>3</v>
      </c>
      <c r="F60" s="85" t="str">
        <f ca="1">VLOOKUP($B60&amp;"_"&amp;$E60,OFFSET([2]stages!$A$1,0,0,COUNTA([2]stages!$A:$A),MATCH(F$1,[2]stages!$2:$2,0)-MATCH("temp_stage",[2]stages!$2:$2,0)+1),MATCH(F$1,[2]stages!$2:$2,0)-MATCH("temp_stage",[2]stages!$2:$2,0)+1,FALSE)</f>
        <v>【超級】御館様の懐刀</v>
      </c>
      <c r="G60" s="85" t="str">
        <f ca="1">VLOOKUP($B60&amp;"_"&amp;$E60,OFFSET([2]stages!$A$1,0,0,COUNTA([2]stages!$A:$A),MATCH(G$1,[2]stages!$2:$2,0)-MATCH("temp_stage",[2]stages!$2:$2,0)+1),MATCH(G$1,[2]stages!$2:$2,0)-MATCH("temp_stage",[2]stages!$2:$2,0)+1,FALSE)</f>
        <v>戦国１</v>
      </c>
      <c r="H60" s="87">
        <v>0</v>
      </c>
      <c r="I60" s="99">
        <v>3</v>
      </c>
      <c r="J60" s="86" t="s">
        <v>197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209</v>
      </c>
    </row>
    <row r="61" spans="1:13" x14ac:dyDescent="0.15">
      <c r="A61" s="83" t="s">
        <v>199</v>
      </c>
      <c r="B61" s="84">
        <f>floors!$C$2</f>
        <v>30033</v>
      </c>
      <c r="C61" s="85" t="str">
        <f ca="1">VLOOKUP($B61,OFFSET([2]quests!$A$1,0,0,COUNTA([2]quests!$A:$A),MATCH(C$1,[2]quests!$1:$1,0)-MATCH($B$1,[2]quests!$1:$1,0)+1),MATCH(C$1,[2]quests!$1:$1,0)-MATCH($B$1,[2]quests!$1:$1,0)+1,FALSE)</f>
        <v>御館様の懐刀</v>
      </c>
      <c r="D61" s="85" t="str">
        <f ca="1">VLOOKUP($B61,OFFSET([2]quests!$A$1,0,0,COUNTA([2]quests!$A:$A),MATCH(D$1,[2]quests!$1:$1,0)-MATCH($B$1,[2]quests!$1:$1,0)+1),MATCH(D$1,[2]quests!$1:$1,0)-MATCH($B$1,[2]quests!$1:$1,0)+1,FALSE)</f>
        <v>戦国１</v>
      </c>
      <c r="E61" s="89">
        <v>3</v>
      </c>
      <c r="F61" s="85" t="str">
        <f ca="1">VLOOKUP($B61&amp;"_"&amp;$E61,OFFSET([2]stages!$A$1,0,0,COUNTA([2]stages!$A:$A),MATCH(F$1,[2]stages!$2:$2,0)-MATCH("temp_stage",[2]stages!$2:$2,0)+1),MATCH(F$1,[2]stages!$2:$2,0)-MATCH("temp_stage",[2]stages!$2:$2,0)+1,FALSE)</f>
        <v>【超級】御館様の懐刀</v>
      </c>
      <c r="G61" s="85" t="str">
        <f ca="1">VLOOKUP($B61&amp;"_"&amp;$E61,OFFSET([2]stages!$A$1,0,0,COUNTA([2]stages!$A:$A),MATCH(G$1,[2]stages!$2:$2,0)-MATCH("temp_stage",[2]stages!$2:$2,0)+1),MATCH(G$1,[2]stages!$2:$2,0)-MATCH("temp_stage",[2]stages!$2:$2,0)+1,FALSE)</f>
        <v>戦国１</v>
      </c>
      <c r="H61" s="87">
        <v>0</v>
      </c>
      <c r="I61" s="99">
        <v>6</v>
      </c>
      <c r="J61" s="86" t="s">
        <v>197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209</v>
      </c>
    </row>
    <row r="62" spans="1:13" x14ac:dyDescent="0.15">
      <c r="A62" s="83" t="s">
        <v>199</v>
      </c>
      <c r="B62" s="84">
        <f>floors!$C$2</f>
        <v>30033</v>
      </c>
      <c r="C62" s="85" t="str">
        <f ca="1">VLOOKUP($B62,OFFSET([2]quests!$A$1,0,0,COUNTA([2]quests!$A:$A),MATCH(C$1,[2]quests!$1:$1,0)-MATCH($B$1,[2]quests!$1:$1,0)+1),MATCH(C$1,[2]quests!$1:$1,0)-MATCH($B$1,[2]quests!$1:$1,0)+1,FALSE)</f>
        <v>御館様の懐刀</v>
      </c>
      <c r="D62" s="85" t="str">
        <f ca="1">VLOOKUP($B62,OFFSET([2]quests!$A$1,0,0,COUNTA([2]quests!$A:$A),MATCH(D$1,[2]quests!$1:$1,0)-MATCH($B$1,[2]quests!$1:$1,0)+1),MATCH(D$1,[2]quests!$1:$1,0)-MATCH($B$1,[2]quests!$1:$1,0)+1,FALSE)</f>
        <v>戦国１</v>
      </c>
      <c r="E62" s="89">
        <v>3</v>
      </c>
      <c r="F62" s="85" t="str">
        <f ca="1">VLOOKUP($B62&amp;"_"&amp;$E62,OFFSET([2]stages!$A$1,0,0,COUNTA([2]stages!$A:$A),MATCH(F$1,[2]stages!$2:$2,0)-MATCH("temp_stage",[2]stages!$2:$2,0)+1),MATCH(F$1,[2]stages!$2:$2,0)-MATCH("temp_stage",[2]stages!$2:$2,0)+1,FALSE)</f>
        <v>【超級】御館様の懐刀</v>
      </c>
      <c r="G62" s="85" t="str">
        <f ca="1">VLOOKUP($B62&amp;"_"&amp;$E62,OFFSET([2]stages!$A$1,0,0,COUNTA([2]stages!$A:$A),MATCH(G$1,[2]stages!$2:$2,0)-MATCH("temp_stage",[2]stages!$2:$2,0)+1),MATCH(G$1,[2]stages!$2:$2,0)-MATCH("temp_stage",[2]stages!$2:$2,0)+1,FALSE)</f>
        <v>戦国１</v>
      </c>
      <c r="H62" s="87">
        <v>0</v>
      </c>
      <c r="I62" s="99">
        <v>7</v>
      </c>
      <c r="J62" s="86" t="s">
        <v>197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209</v>
      </c>
    </row>
    <row r="63" spans="1:13" x14ac:dyDescent="0.15">
      <c r="A63" s="83" t="s">
        <v>199</v>
      </c>
      <c r="B63" s="84">
        <f>floors!$C$2</f>
        <v>30033</v>
      </c>
      <c r="C63" s="85" t="str">
        <f ca="1">VLOOKUP($B63,OFFSET([2]quests!$A$1,0,0,COUNTA([2]quests!$A:$A),MATCH(C$1,[2]quests!$1:$1,0)-MATCH($B$1,[2]quests!$1:$1,0)+1),MATCH(C$1,[2]quests!$1:$1,0)-MATCH($B$1,[2]quests!$1:$1,0)+1,FALSE)</f>
        <v>御館様の懐刀</v>
      </c>
      <c r="D63" s="85" t="str">
        <f ca="1">VLOOKUP($B63,OFFSET([2]quests!$A$1,0,0,COUNTA([2]quests!$A:$A),MATCH(D$1,[2]quests!$1:$1,0)-MATCH($B$1,[2]quests!$1:$1,0)+1),MATCH(D$1,[2]quests!$1:$1,0)-MATCH($B$1,[2]quests!$1:$1,0)+1,FALSE)</f>
        <v>戦国１</v>
      </c>
      <c r="E63" s="89">
        <v>3</v>
      </c>
      <c r="F63" s="85" t="str">
        <f ca="1">VLOOKUP($B63&amp;"_"&amp;$E63,OFFSET([2]stages!$A$1,0,0,COUNTA([2]stages!$A:$A),MATCH(F$1,[2]stages!$2:$2,0)-MATCH("temp_stage",[2]stages!$2:$2,0)+1),MATCH(F$1,[2]stages!$2:$2,0)-MATCH("temp_stage",[2]stages!$2:$2,0)+1,FALSE)</f>
        <v>【超級】御館様の懐刀</v>
      </c>
      <c r="G63" s="85" t="str">
        <f ca="1">VLOOKUP($B63&amp;"_"&amp;$E63,OFFSET([2]stages!$A$1,0,0,COUNTA([2]stages!$A:$A),MATCH(G$1,[2]stages!$2:$2,0)-MATCH("temp_stage",[2]stages!$2:$2,0)+1),MATCH(G$1,[2]stages!$2:$2,0)-MATCH("temp_stage",[2]stages!$2:$2,0)+1,FALSE)</f>
        <v>戦国１</v>
      </c>
      <c r="H63" s="87">
        <v>0</v>
      </c>
      <c r="I63" s="99">
        <v>8</v>
      </c>
      <c r="J63" s="86" t="s">
        <v>197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209</v>
      </c>
    </row>
    <row r="64" spans="1:13" x14ac:dyDescent="0.15">
      <c r="A64" s="83" t="s">
        <v>199</v>
      </c>
      <c r="B64" s="84">
        <f>floors!$C$2</f>
        <v>30033</v>
      </c>
      <c r="C64" s="85" t="str">
        <f ca="1">VLOOKUP($B64,OFFSET([2]quests!$A$1,0,0,COUNTA([2]quests!$A:$A),MATCH(C$1,[2]quests!$1:$1,0)-MATCH($B$1,[2]quests!$1:$1,0)+1),MATCH(C$1,[2]quests!$1:$1,0)-MATCH($B$1,[2]quests!$1:$1,0)+1,FALSE)</f>
        <v>御館様の懐刀</v>
      </c>
      <c r="D64" s="85" t="str">
        <f ca="1">VLOOKUP($B64,OFFSET([2]quests!$A$1,0,0,COUNTA([2]quests!$A:$A),MATCH(D$1,[2]quests!$1:$1,0)-MATCH($B$1,[2]quests!$1:$1,0)+1),MATCH(D$1,[2]quests!$1:$1,0)-MATCH($B$1,[2]quests!$1:$1,0)+1,FALSE)</f>
        <v>戦国１</v>
      </c>
      <c r="E64" s="89">
        <v>3</v>
      </c>
      <c r="F64" s="85" t="str">
        <f ca="1">VLOOKUP($B64&amp;"_"&amp;$E64,OFFSET([2]stages!$A$1,0,0,COUNTA([2]stages!$A:$A),MATCH(F$1,[2]stages!$2:$2,0)-MATCH("temp_stage",[2]stages!$2:$2,0)+1),MATCH(F$1,[2]stages!$2:$2,0)-MATCH("temp_stage",[2]stages!$2:$2,0)+1,FALSE)</f>
        <v>【超級】御館様の懐刀</v>
      </c>
      <c r="G64" s="85" t="str">
        <f ca="1">VLOOKUP($B64&amp;"_"&amp;$E64,OFFSET([2]stages!$A$1,0,0,COUNTA([2]stages!$A:$A),MATCH(G$1,[2]stages!$2:$2,0)-MATCH("temp_stage",[2]stages!$2:$2,0)+1),MATCH(G$1,[2]stages!$2:$2,0)-MATCH("temp_stage",[2]stages!$2:$2,0)+1,FALSE)</f>
        <v>戦国１</v>
      </c>
      <c r="H64" s="87">
        <v>0</v>
      </c>
      <c r="I64" s="99">
        <v>9</v>
      </c>
      <c r="J64" s="86" t="s">
        <v>197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209</v>
      </c>
    </row>
    <row r="65" spans="1:13" x14ac:dyDescent="0.15">
      <c r="A65" s="83" t="s">
        <v>199</v>
      </c>
      <c r="B65" s="84">
        <f>floors!$C$2</f>
        <v>30033</v>
      </c>
      <c r="C65" s="85" t="str">
        <f ca="1">VLOOKUP($B65,OFFSET([2]quests!$A$1,0,0,COUNTA([2]quests!$A:$A),MATCH(C$1,[2]quests!$1:$1,0)-MATCH($B$1,[2]quests!$1:$1,0)+1),MATCH(C$1,[2]quests!$1:$1,0)-MATCH($B$1,[2]quests!$1:$1,0)+1,FALSE)</f>
        <v>御館様の懐刀</v>
      </c>
      <c r="D65" s="85" t="str">
        <f ca="1">VLOOKUP($B65,OFFSET([2]quests!$A$1,0,0,COUNTA([2]quests!$A:$A),MATCH(D$1,[2]quests!$1:$1,0)-MATCH($B$1,[2]quests!$1:$1,0)+1),MATCH(D$1,[2]quests!$1:$1,0)-MATCH($B$1,[2]quests!$1:$1,0)+1,FALSE)</f>
        <v>戦国１</v>
      </c>
      <c r="E65" s="89">
        <v>3</v>
      </c>
      <c r="F65" s="85" t="str">
        <f ca="1">VLOOKUP($B65&amp;"_"&amp;$E65,OFFSET([2]stages!$A$1,0,0,COUNTA([2]stages!$A:$A),MATCH(F$1,[2]stages!$2:$2,0)-MATCH("temp_stage",[2]stages!$2:$2,0)+1),MATCH(F$1,[2]stages!$2:$2,0)-MATCH("temp_stage",[2]stages!$2:$2,0)+1,FALSE)</f>
        <v>【超級】御館様の懐刀</v>
      </c>
      <c r="G65" s="85" t="str">
        <f ca="1">VLOOKUP($B65&amp;"_"&amp;$E65,OFFSET([2]stages!$A$1,0,0,COUNTA([2]stages!$A:$A),MATCH(G$1,[2]stages!$2:$2,0)-MATCH("temp_stage",[2]stages!$2:$2,0)+1),MATCH(G$1,[2]stages!$2:$2,0)-MATCH("temp_stage",[2]stages!$2:$2,0)+1,FALSE)</f>
        <v>戦国１</v>
      </c>
      <c r="H65" s="87">
        <v>0</v>
      </c>
      <c r="I65" s="99">
        <v>10</v>
      </c>
      <c r="J65" s="86" t="s">
        <v>197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209</v>
      </c>
    </row>
    <row r="66" spans="1:13" x14ac:dyDescent="0.15">
      <c r="A66" s="83" t="s">
        <v>199</v>
      </c>
      <c r="B66" s="84">
        <f>floors!$C$2</f>
        <v>30033</v>
      </c>
      <c r="C66" s="85" t="str">
        <f ca="1">VLOOKUP($B66,OFFSET([2]quests!$A$1,0,0,COUNTA([2]quests!$A:$A),MATCH(C$1,[2]quests!$1:$1,0)-MATCH($B$1,[2]quests!$1:$1,0)+1),MATCH(C$1,[2]quests!$1:$1,0)-MATCH($B$1,[2]quests!$1:$1,0)+1,FALSE)</f>
        <v>御館様の懐刀</v>
      </c>
      <c r="D66" s="85" t="str">
        <f ca="1">VLOOKUP($B66,OFFSET([2]quests!$A$1,0,0,COUNTA([2]quests!$A:$A),MATCH(D$1,[2]quests!$1:$1,0)-MATCH($B$1,[2]quests!$1:$1,0)+1),MATCH(D$1,[2]quests!$1:$1,0)-MATCH($B$1,[2]quests!$1:$1,0)+1,FALSE)</f>
        <v>戦国１</v>
      </c>
      <c r="E66" s="89">
        <v>3</v>
      </c>
      <c r="F66" s="85" t="str">
        <f ca="1">VLOOKUP($B66&amp;"_"&amp;$E66,OFFSET([2]stages!$A$1,0,0,COUNTA([2]stages!$A:$A),MATCH(F$1,[2]stages!$2:$2,0)-MATCH("temp_stage",[2]stages!$2:$2,0)+1),MATCH(F$1,[2]stages!$2:$2,0)-MATCH("temp_stage",[2]stages!$2:$2,0)+1,FALSE)</f>
        <v>【超級】御館様の懐刀</v>
      </c>
      <c r="G66" s="85" t="str">
        <f ca="1">VLOOKUP($B66&amp;"_"&amp;$E66,OFFSET([2]stages!$A$1,0,0,COUNTA([2]stages!$A:$A),MATCH(G$1,[2]stages!$2:$2,0)-MATCH("temp_stage",[2]stages!$2:$2,0)+1),MATCH(G$1,[2]stages!$2:$2,0)-MATCH("temp_stage",[2]stages!$2:$2,0)+1,FALSE)</f>
        <v>戦国１</v>
      </c>
      <c r="H66" s="87">
        <v>0</v>
      </c>
      <c r="I66" s="99">
        <v>11</v>
      </c>
      <c r="J66" s="86" t="s">
        <v>197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209</v>
      </c>
    </row>
    <row r="67" spans="1:13" x14ac:dyDescent="0.15">
      <c r="A67" s="83" t="s">
        <v>199</v>
      </c>
      <c r="B67" s="84">
        <f>floors!$C$2</f>
        <v>30033</v>
      </c>
      <c r="C67" s="85" t="str">
        <f ca="1">VLOOKUP($B67,OFFSET([2]quests!$A$1,0,0,COUNTA([2]quests!$A:$A),MATCH(C$1,[2]quests!$1:$1,0)-MATCH($B$1,[2]quests!$1:$1,0)+1),MATCH(C$1,[2]quests!$1:$1,0)-MATCH($B$1,[2]quests!$1:$1,0)+1,FALSE)</f>
        <v>御館様の懐刀</v>
      </c>
      <c r="D67" s="85" t="str">
        <f ca="1">VLOOKUP($B67,OFFSET([2]quests!$A$1,0,0,COUNTA([2]quests!$A:$A),MATCH(D$1,[2]quests!$1:$1,0)-MATCH($B$1,[2]quests!$1:$1,0)+1),MATCH(D$1,[2]quests!$1:$1,0)-MATCH($B$1,[2]quests!$1:$1,0)+1,FALSE)</f>
        <v>戦国１</v>
      </c>
      <c r="E67" s="89">
        <v>3</v>
      </c>
      <c r="F67" s="85" t="str">
        <f ca="1">VLOOKUP($B67&amp;"_"&amp;$E67,OFFSET([2]stages!$A$1,0,0,COUNTA([2]stages!$A:$A),MATCH(F$1,[2]stages!$2:$2,0)-MATCH("temp_stage",[2]stages!$2:$2,0)+1),MATCH(F$1,[2]stages!$2:$2,0)-MATCH("temp_stage",[2]stages!$2:$2,0)+1,FALSE)</f>
        <v>【超級】御館様の懐刀</v>
      </c>
      <c r="G67" s="85" t="str">
        <f ca="1">VLOOKUP($B67&amp;"_"&amp;$E67,OFFSET([2]stages!$A$1,0,0,COUNTA([2]stages!$A:$A),MATCH(G$1,[2]stages!$2:$2,0)-MATCH("temp_stage",[2]stages!$2:$2,0)+1),MATCH(G$1,[2]stages!$2:$2,0)-MATCH("temp_stage",[2]stages!$2:$2,0)+1,FALSE)</f>
        <v>戦国１</v>
      </c>
      <c r="H67" s="87">
        <v>0</v>
      </c>
      <c r="I67" s="99">
        <v>12</v>
      </c>
      <c r="J67" s="86" t="s">
        <v>197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209</v>
      </c>
    </row>
    <row r="68" spans="1:13" x14ac:dyDescent="0.15">
      <c r="A68" s="83" t="s">
        <v>199</v>
      </c>
      <c r="B68" s="84">
        <f>floors!$C$2</f>
        <v>30033</v>
      </c>
      <c r="C68" s="85" t="str">
        <f ca="1">VLOOKUP($B68,OFFSET([2]quests!$A$1,0,0,COUNTA([2]quests!$A:$A),MATCH(C$1,[2]quests!$1:$1,0)-MATCH($B$1,[2]quests!$1:$1,0)+1),MATCH(C$1,[2]quests!$1:$1,0)-MATCH($B$1,[2]quests!$1:$1,0)+1,FALSE)</f>
        <v>御館様の懐刀</v>
      </c>
      <c r="D68" s="85" t="str">
        <f ca="1">VLOOKUP($B68,OFFSET([2]quests!$A$1,0,0,COUNTA([2]quests!$A:$A),MATCH(D$1,[2]quests!$1:$1,0)-MATCH($B$1,[2]quests!$1:$1,0)+1),MATCH(D$1,[2]quests!$1:$1,0)-MATCH($B$1,[2]quests!$1:$1,0)+1,FALSE)</f>
        <v>戦国１</v>
      </c>
      <c r="E68" s="89">
        <v>3</v>
      </c>
      <c r="F68" s="85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【超級】御館様の懐刀</v>
      </c>
      <c r="G68" s="85" t="str">
        <f ca="1">VLOOKUP($B68&amp;"_"&amp;$E68,OFFSET([2]stages!$A$1,0,0,COUNTA([2]stages!$A:$A),MATCH(G$1,[2]stages!$2:$2,0)-MATCH("temp_stage",[2]stages!$2:$2,0)+1),MATCH(G$1,[2]stages!$2:$2,0)-MATCH("temp_stage",[2]stages!$2:$2,0)+1,FALSE)</f>
        <v>戦国１</v>
      </c>
      <c r="H68" s="87">
        <v>0</v>
      </c>
      <c r="I68" s="99">
        <v>13</v>
      </c>
      <c r="J68" s="86" t="s">
        <v>197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209</v>
      </c>
    </row>
    <row r="69" spans="1:13" x14ac:dyDescent="0.15">
      <c r="A69" s="83" t="s">
        <v>199</v>
      </c>
      <c r="B69" s="84">
        <f>floors!$C$2</f>
        <v>30033</v>
      </c>
      <c r="C69" s="85" t="str">
        <f ca="1">VLOOKUP($B69,OFFSET([2]quests!$A$1,0,0,COUNTA([2]quests!$A:$A),MATCH(C$1,[2]quests!$1:$1,0)-MATCH($B$1,[2]quests!$1:$1,0)+1),MATCH(C$1,[2]quests!$1:$1,0)-MATCH($B$1,[2]quests!$1:$1,0)+1,FALSE)</f>
        <v>御館様の懐刀</v>
      </c>
      <c r="D69" s="85" t="str">
        <f ca="1">VLOOKUP($B69,OFFSET([2]quests!$A$1,0,0,COUNTA([2]quests!$A:$A),MATCH(D$1,[2]quests!$1:$1,0)-MATCH($B$1,[2]quests!$1:$1,0)+1),MATCH(D$1,[2]quests!$1:$1,0)-MATCH($B$1,[2]quests!$1:$1,0)+1,FALSE)</f>
        <v>戦国１</v>
      </c>
      <c r="E69" s="89">
        <v>3</v>
      </c>
      <c r="F69" s="85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【超級】御館様の懐刀</v>
      </c>
      <c r="G69" s="85" t="str">
        <f ca="1">VLOOKUP($B69&amp;"_"&amp;$E69,OFFSET([2]stages!$A$1,0,0,COUNTA([2]stages!$A:$A),MATCH(G$1,[2]stages!$2:$2,0)-MATCH("temp_stage",[2]stages!$2:$2,0)+1),MATCH(G$1,[2]stages!$2:$2,0)-MATCH("temp_stage",[2]stages!$2:$2,0)+1,FALSE)</f>
        <v>戦国１</v>
      </c>
      <c r="H69" s="87">
        <v>0</v>
      </c>
      <c r="I69" s="99">
        <v>14</v>
      </c>
      <c r="J69" s="86" t="s">
        <v>197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209</v>
      </c>
    </row>
    <row r="70" spans="1:13" x14ac:dyDescent="0.15">
      <c r="A70" s="83" t="s">
        <v>199</v>
      </c>
      <c r="B70" s="84">
        <f>floors!$C$2</f>
        <v>30033</v>
      </c>
      <c r="C70" s="85" t="str">
        <f ca="1">VLOOKUP($B70,OFFSET([2]quests!$A$1,0,0,COUNTA([2]quests!$A:$A),MATCH(C$1,[2]quests!$1:$1,0)-MATCH($B$1,[2]quests!$1:$1,0)+1),MATCH(C$1,[2]quests!$1:$1,0)-MATCH($B$1,[2]quests!$1:$1,0)+1,FALSE)</f>
        <v>御館様の懐刀</v>
      </c>
      <c r="D70" s="85" t="str">
        <f ca="1">VLOOKUP($B70,OFFSET([2]quests!$A$1,0,0,COUNTA([2]quests!$A:$A),MATCH(D$1,[2]quests!$1:$1,0)-MATCH($B$1,[2]quests!$1:$1,0)+1),MATCH(D$1,[2]quests!$1:$1,0)-MATCH($B$1,[2]quests!$1:$1,0)+1,FALSE)</f>
        <v>戦国１</v>
      </c>
      <c r="E70" s="89">
        <v>3</v>
      </c>
      <c r="F70" s="85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【超級】御館様の懐刀</v>
      </c>
      <c r="G70" s="85" t="str">
        <f ca="1">VLOOKUP($B70&amp;"_"&amp;$E70,OFFSET([2]stages!$A$1,0,0,COUNTA([2]stages!$A:$A),MATCH(G$1,[2]stages!$2:$2,0)-MATCH("temp_stage",[2]stages!$2:$2,0)+1),MATCH(G$1,[2]stages!$2:$2,0)-MATCH("temp_stage",[2]stages!$2:$2,0)+1,FALSE)</f>
        <v>戦国１</v>
      </c>
      <c r="H70" s="87">
        <v>0</v>
      </c>
      <c r="I70" s="99">
        <v>15</v>
      </c>
      <c r="J70" s="86" t="s">
        <v>197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209</v>
      </c>
    </row>
    <row r="71" spans="1:13" x14ac:dyDescent="0.15">
      <c r="A71" s="83" t="s">
        <v>199</v>
      </c>
      <c r="B71" s="84">
        <f>floors!$C$2</f>
        <v>30033</v>
      </c>
      <c r="C71" s="85" t="str">
        <f ca="1">VLOOKUP($B71,OFFSET([2]quests!$A$1,0,0,COUNTA([2]quests!$A:$A),MATCH(C$1,[2]quests!$1:$1,0)-MATCH($B$1,[2]quests!$1:$1,0)+1),MATCH(C$1,[2]quests!$1:$1,0)-MATCH($B$1,[2]quests!$1:$1,0)+1,FALSE)</f>
        <v>御館様の懐刀</v>
      </c>
      <c r="D71" s="85" t="str">
        <f ca="1">VLOOKUP($B71,OFFSET([2]quests!$A$1,0,0,COUNTA([2]quests!$A:$A),MATCH(D$1,[2]quests!$1:$1,0)-MATCH($B$1,[2]quests!$1:$1,0)+1),MATCH(D$1,[2]quests!$1:$1,0)-MATCH($B$1,[2]quests!$1:$1,0)+1,FALSE)</f>
        <v>戦国１</v>
      </c>
      <c r="E71" s="89">
        <v>3</v>
      </c>
      <c r="F71" s="85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【超級】御館様の懐刀</v>
      </c>
      <c r="G71" s="85" t="str">
        <f ca="1">VLOOKUP($B71&amp;"_"&amp;$E71,OFFSET([2]stages!$A$1,0,0,COUNTA([2]stages!$A:$A),MATCH(G$1,[2]stages!$2:$2,0)-MATCH("temp_stage",[2]stages!$2:$2,0)+1),MATCH(G$1,[2]stages!$2:$2,0)-MATCH("temp_stage",[2]stages!$2:$2,0)+1,FALSE)</f>
        <v>戦国１</v>
      </c>
      <c r="H71" s="87">
        <v>0</v>
      </c>
      <c r="I71" s="99">
        <v>16</v>
      </c>
      <c r="J71" s="86" t="s">
        <v>197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209</v>
      </c>
    </row>
    <row r="72" spans="1:13" x14ac:dyDescent="0.15">
      <c r="A72" s="83" t="s">
        <v>199</v>
      </c>
      <c r="B72" s="84">
        <f>floors!$C$2</f>
        <v>30033</v>
      </c>
      <c r="C72" s="85" t="str">
        <f ca="1">VLOOKUP($B72,OFFSET([2]quests!$A$1,0,0,COUNTA([2]quests!$A:$A),MATCH(C$1,[2]quests!$1:$1,0)-MATCH($B$1,[2]quests!$1:$1,0)+1),MATCH(C$1,[2]quests!$1:$1,0)-MATCH($B$1,[2]quests!$1:$1,0)+1,FALSE)</f>
        <v>御館様の懐刀</v>
      </c>
      <c r="D72" s="85" t="str">
        <f ca="1">VLOOKUP($B72,OFFSET([2]quests!$A$1,0,0,COUNTA([2]quests!$A:$A),MATCH(D$1,[2]quests!$1:$1,0)-MATCH($B$1,[2]quests!$1:$1,0)+1),MATCH(D$1,[2]quests!$1:$1,0)-MATCH($B$1,[2]quests!$1:$1,0)+1,FALSE)</f>
        <v>戦国１</v>
      </c>
      <c r="E72" s="89">
        <v>3</v>
      </c>
      <c r="F72" s="85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【超級】御館様の懐刀</v>
      </c>
      <c r="G72" s="85" t="str">
        <f ca="1">VLOOKUP($B72&amp;"_"&amp;$E72,OFFSET([2]stages!$A$1,0,0,COUNTA([2]stages!$A:$A),MATCH(G$1,[2]stages!$2:$2,0)-MATCH("temp_stage",[2]stages!$2:$2,0)+1),MATCH(G$1,[2]stages!$2:$2,0)-MATCH("temp_stage",[2]stages!$2:$2,0)+1,FALSE)</f>
        <v>戦国１</v>
      </c>
      <c r="H72" s="87">
        <v>0</v>
      </c>
      <c r="I72" s="99">
        <v>17</v>
      </c>
      <c r="J72" s="86" t="s">
        <v>197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209</v>
      </c>
    </row>
    <row r="73" spans="1:13" x14ac:dyDescent="0.15">
      <c r="A73" s="83" t="s">
        <v>199</v>
      </c>
      <c r="B73" s="84">
        <f>floors!$C$2</f>
        <v>30033</v>
      </c>
      <c r="C73" s="85" t="str">
        <f ca="1">VLOOKUP($B73,OFFSET([2]quests!$A$1,0,0,COUNTA([2]quests!$A:$A),MATCH(C$1,[2]quests!$1:$1,0)-MATCH($B$1,[2]quests!$1:$1,0)+1),MATCH(C$1,[2]quests!$1:$1,0)-MATCH($B$1,[2]quests!$1:$1,0)+1,FALSE)</f>
        <v>御館様の懐刀</v>
      </c>
      <c r="D73" s="85" t="str">
        <f ca="1">VLOOKUP($B73,OFFSET([2]quests!$A$1,0,0,COUNTA([2]quests!$A:$A),MATCH(D$1,[2]quests!$1:$1,0)-MATCH($B$1,[2]quests!$1:$1,0)+1),MATCH(D$1,[2]quests!$1:$1,0)-MATCH($B$1,[2]quests!$1:$1,0)+1,FALSE)</f>
        <v>戦国１</v>
      </c>
      <c r="E73" s="89">
        <v>3</v>
      </c>
      <c r="F73" s="85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【超級】御館様の懐刀</v>
      </c>
      <c r="G73" s="85" t="str">
        <f ca="1">VLOOKUP($B73&amp;"_"&amp;$E73,OFFSET([2]stages!$A$1,0,0,COUNTA([2]stages!$A:$A),MATCH(G$1,[2]stages!$2:$2,0)-MATCH("temp_stage",[2]stages!$2:$2,0)+1),MATCH(G$1,[2]stages!$2:$2,0)-MATCH("temp_stage",[2]stages!$2:$2,0)+1,FALSE)</f>
        <v>戦国１</v>
      </c>
      <c r="H73" s="87">
        <v>0</v>
      </c>
      <c r="I73" s="99">
        <v>18</v>
      </c>
      <c r="J73" s="86" t="s">
        <v>197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209</v>
      </c>
    </row>
    <row r="74" spans="1:13" x14ac:dyDescent="0.15">
      <c r="A74" s="83" t="s">
        <v>199</v>
      </c>
      <c r="B74" s="84">
        <f>floors!$C$2</f>
        <v>30033</v>
      </c>
      <c r="C74" s="85" t="str">
        <f ca="1">VLOOKUP($B74,OFFSET([2]quests!$A$1,0,0,COUNTA([2]quests!$A:$A),MATCH(C$1,[2]quests!$1:$1,0)-MATCH($B$1,[2]quests!$1:$1,0)+1),MATCH(C$1,[2]quests!$1:$1,0)-MATCH($B$1,[2]quests!$1:$1,0)+1,FALSE)</f>
        <v>御館様の懐刀</v>
      </c>
      <c r="D74" s="85" t="str">
        <f ca="1">VLOOKUP($B74,OFFSET([2]quests!$A$1,0,0,COUNTA([2]quests!$A:$A),MATCH(D$1,[2]quests!$1:$1,0)-MATCH($B$1,[2]quests!$1:$1,0)+1),MATCH(D$1,[2]quests!$1:$1,0)-MATCH($B$1,[2]quests!$1:$1,0)+1,FALSE)</f>
        <v>戦国１</v>
      </c>
      <c r="E74" s="89">
        <v>3</v>
      </c>
      <c r="F74" s="85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【超級】御館様の懐刀</v>
      </c>
      <c r="G74" s="85" t="str">
        <f ca="1">VLOOKUP($B74&amp;"_"&amp;$E74,OFFSET([2]stages!$A$1,0,0,COUNTA([2]stages!$A:$A),MATCH(G$1,[2]stages!$2:$2,0)-MATCH("temp_stage",[2]stages!$2:$2,0)+1),MATCH(G$1,[2]stages!$2:$2,0)-MATCH("temp_stage",[2]stages!$2:$2,0)+1,FALSE)</f>
        <v>戦国１</v>
      </c>
      <c r="H74" s="87">
        <v>0</v>
      </c>
      <c r="I74" s="99">
        <v>19</v>
      </c>
      <c r="J74" s="86" t="s">
        <v>197</v>
      </c>
      <c r="K74" s="95" t="str">
        <f>VLOOKUP(I74,[7]stage_hints!$A:$C,3,FALSE)</f>
        <v>ソロ専用タワーオブザクイーン</v>
      </c>
      <c r="L74" s="96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209</v>
      </c>
    </row>
    <row r="75" spans="1:13" x14ac:dyDescent="0.15">
      <c r="A75" s="83" t="s">
        <v>199</v>
      </c>
      <c r="B75" s="84">
        <f>floors!$C$2</f>
        <v>30033</v>
      </c>
      <c r="C75" s="85" t="str">
        <f ca="1">VLOOKUP($B75,OFFSET([2]quests!$A$1,0,0,COUNTA([2]quests!$A:$A),MATCH(C$1,[2]quests!$1:$1,0)-MATCH($B$1,[2]quests!$1:$1,0)+1),MATCH(C$1,[2]quests!$1:$1,0)-MATCH($B$1,[2]quests!$1:$1,0)+1,FALSE)</f>
        <v>御館様の懐刀</v>
      </c>
      <c r="D75" s="85" t="str">
        <f ca="1">VLOOKUP($B75,OFFSET([2]quests!$A$1,0,0,COUNTA([2]quests!$A:$A),MATCH(D$1,[2]quests!$1:$1,0)-MATCH($B$1,[2]quests!$1:$1,0)+1),MATCH(D$1,[2]quests!$1:$1,0)-MATCH($B$1,[2]quests!$1:$1,0)+1,FALSE)</f>
        <v>戦国１</v>
      </c>
      <c r="E75" s="89">
        <v>3</v>
      </c>
      <c r="F75" s="85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【超級】御館様の懐刀</v>
      </c>
      <c r="G75" s="85" t="str">
        <f ca="1">VLOOKUP($B75&amp;"_"&amp;$E75,OFFSET([2]stages!$A$1,0,0,COUNTA([2]stages!$A:$A),MATCH(G$1,[2]stages!$2:$2,0)-MATCH("temp_stage",[2]stages!$2:$2,0)+1),MATCH(G$1,[2]stages!$2:$2,0)-MATCH("temp_stage",[2]stages!$2:$2,0)+1,FALSE)</f>
        <v>戦国１</v>
      </c>
      <c r="H75" s="87">
        <v>0</v>
      </c>
      <c r="I75" s="99">
        <v>20</v>
      </c>
      <c r="J75" s="86" t="s">
        <v>197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209</v>
      </c>
    </row>
    <row r="76" spans="1:13" x14ac:dyDescent="0.15">
      <c r="A76" s="83" t="s">
        <v>199</v>
      </c>
      <c r="B76" s="84">
        <f>floors!$C$2</f>
        <v>30033</v>
      </c>
      <c r="C76" s="85" t="str">
        <f ca="1">VLOOKUP($B76,OFFSET([2]quests!$A$1,0,0,COUNTA([2]quests!$A:$A),MATCH(C$1,[2]quests!$1:$1,0)-MATCH($B$1,[2]quests!$1:$1,0)+1),MATCH(C$1,[2]quests!$1:$1,0)-MATCH($B$1,[2]quests!$1:$1,0)+1,FALSE)</f>
        <v>御館様の懐刀</v>
      </c>
      <c r="D76" s="85" t="str">
        <f ca="1">VLOOKUP($B76,OFFSET([2]quests!$A$1,0,0,COUNTA([2]quests!$A:$A),MATCH(D$1,[2]quests!$1:$1,0)-MATCH($B$1,[2]quests!$1:$1,0)+1),MATCH(D$1,[2]quests!$1:$1,0)-MATCH($B$1,[2]quests!$1:$1,0)+1,FALSE)</f>
        <v>戦国１</v>
      </c>
      <c r="E76" s="89">
        <v>3</v>
      </c>
      <c r="F76" s="85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【超級】御館様の懐刀</v>
      </c>
      <c r="G76" s="85" t="str">
        <f ca="1">VLOOKUP($B76&amp;"_"&amp;$E76,OFFSET([2]stages!$A$1,0,0,COUNTA([2]stages!$A:$A),MATCH(G$1,[2]stages!$2:$2,0)-MATCH("temp_stage",[2]stages!$2:$2,0)+1),MATCH(G$1,[2]stages!$2:$2,0)-MATCH("temp_stage",[2]stages!$2:$2,0)+1,FALSE)</f>
        <v>戦国１</v>
      </c>
      <c r="H76" s="87">
        <v>0</v>
      </c>
      <c r="I76" s="99">
        <v>21</v>
      </c>
      <c r="J76" s="86" t="s">
        <v>197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209</v>
      </c>
    </row>
    <row r="77" spans="1:13" x14ac:dyDescent="0.15">
      <c r="A77" s="83" t="s">
        <v>199</v>
      </c>
      <c r="B77" s="84">
        <f>floors!$C$2</f>
        <v>30033</v>
      </c>
      <c r="C77" s="85" t="str">
        <f ca="1">VLOOKUP($B77,OFFSET([2]quests!$A$1,0,0,COUNTA([2]quests!$A:$A),MATCH(C$1,[2]quests!$1:$1,0)-MATCH($B$1,[2]quests!$1:$1,0)+1),MATCH(C$1,[2]quests!$1:$1,0)-MATCH($B$1,[2]quests!$1:$1,0)+1,FALSE)</f>
        <v>御館様の懐刀</v>
      </c>
      <c r="D77" s="85" t="str">
        <f ca="1">VLOOKUP($B77,OFFSET([2]quests!$A$1,0,0,COUNTA([2]quests!$A:$A),MATCH(D$1,[2]quests!$1:$1,0)-MATCH($B$1,[2]quests!$1:$1,0)+1),MATCH(D$1,[2]quests!$1:$1,0)-MATCH($B$1,[2]quests!$1:$1,0)+1,FALSE)</f>
        <v>戦国１</v>
      </c>
      <c r="E77" s="89">
        <v>3</v>
      </c>
      <c r="F77" s="85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【超級】御館様の懐刀</v>
      </c>
      <c r="G77" s="85" t="str">
        <f ca="1">VLOOKUP($B77&amp;"_"&amp;$E77,OFFSET([2]stages!$A$1,0,0,COUNTA([2]stages!$A:$A),MATCH(G$1,[2]stages!$2:$2,0)-MATCH("temp_stage",[2]stages!$2:$2,0)+1),MATCH(G$1,[2]stages!$2:$2,0)-MATCH("temp_stage",[2]stages!$2:$2,0)+1,FALSE)</f>
        <v>戦国１</v>
      </c>
      <c r="H77" s="87">
        <v>0</v>
      </c>
      <c r="I77" s="99">
        <v>22</v>
      </c>
      <c r="J77" s="86" t="s">
        <v>197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209</v>
      </c>
    </row>
    <row r="78" spans="1:13" x14ac:dyDescent="0.15">
      <c r="A78" s="83" t="s">
        <v>199</v>
      </c>
      <c r="B78" s="84">
        <f>floors!$C$2</f>
        <v>30033</v>
      </c>
      <c r="C78" s="85" t="str">
        <f ca="1">VLOOKUP($B78,OFFSET([2]quests!$A$1,0,0,COUNTA([2]quests!$A:$A),MATCH(C$1,[2]quests!$1:$1,0)-MATCH($B$1,[2]quests!$1:$1,0)+1),MATCH(C$1,[2]quests!$1:$1,0)-MATCH($B$1,[2]quests!$1:$1,0)+1,FALSE)</f>
        <v>御館様の懐刀</v>
      </c>
      <c r="D78" s="85" t="str">
        <f ca="1">VLOOKUP($B78,OFFSET([2]quests!$A$1,0,0,COUNTA([2]quests!$A:$A),MATCH(D$1,[2]quests!$1:$1,0)-MATCH($B$1,[2]quests!$1:$1,0)+1),MATCH(D$1,[2]quests!$1:$1,0)-MATCH($B$1,[2]quests!$1:$1,0)+1,FALSE)</f>
        <v>戦国１</v>
      </c>
      <c r="E78" s="89">
        <v>3</v>
      </c>
      <c r="F78" s="85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【超級】御館様の懐刀</v>
      </c>
      <c r="G78" s="85" t="str">
        <f ca="1">VLOOKUP($B78&amp;"_"&amp;$E78,OFFSET([2]stages!$A$1,0,0,COUNTA([2]stages!$A:$A),MATCH(G$1,[2]stages!$2:$2,0)-MATCH("temp_stage",[2]stages!$2:$2,0)+1),MATCH(G$1,[2]stages!$2:$2,0)-MATCH("temp_stage",[2]stages!$2:$2,0)+1,FALSE)</f>
        <v>戦国１</v>
      </c>
      <c r="H78" s="87">
        <v>0</v>
      </c>
      <c r="I78" s="99">
        <v>23</v>
      </c>
      <c r="J78" s="86" t="s">
        <v>197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209</v>
      </c>
    </row>
    <row r="79" spans="1:13" x14ac:dyDescent="0.15">
      <c r="A79" s="83" t="s">
        <v>199</v>
      </c>
      <c r="B79" s="84">
        <f>floors!$C$2</f>
        <v>30033</v>
      </c>
      <c r="C79" s="85" t="str">
        <f ca="1">VLOOKUP($B79,OFFSET([2]quests!$A$1,0,0,COUNTA([2]quests!$A:$A),MATCH(C$1,[2]quests!$1:$1,0)-MATCH($B$1,[2]quests!$1:$1,0)+1),MATCH(C$1,[2]quests!$1:$1,0)-MATCH($B$1,[2]quests!$1:$1,0)+1,FALSE)</f>
        <v>御館様の懐刀</v>
      </c>
      <c r="D79" s="85" t="str">
        <f ca="1">VLOOKUP($B79,OFFSET([2]quests!$A$1,0,0,COUNTA([2]quests!$A:$A),MATCH(D$1,[2]quests!$1:$1,0)-MATCH($B$1,[2]quests!$1:$1,0)+1),MATCH(D$1,[2]quests!$1:$1,0)-MATCH($B$1,[2]quests!$1:$1,0)+1,FALSE)</f>
        <v>戦国１</v>
      </c>
      <c r="E79" s="89">
        <v>3</v>
      </c>
      <c r="F79" s="85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【超級】御館様の懐刀</v>
      </c>
      <c r="G79" s="85" t="str">
        <f ca="1">VLOOKUP($B79&amp;"_"&amp;$E79,OFFSET([2]stages!$A$1,0,0,COUNTA([2]stages!$A:$A),MATCH(G$1,[2]stages!$2:$2,0)-MATCH("temp_stage",[2]stages!$2:$2,0)+1),MATCH(G$1,[2]stages!$2:$2,0)-MATCH("temp_stage",[2]stages!$2:$2,0)+1,FALSE)</f>
        <v>戦国１</v>
      </c>
      <c r="H79" s="87">
        <v>0</v>
      </c>
      <c r="I79" s="99">
        <v>24</v>
      </c>
      <c r="J79" s="86" t="s">
        <v>197</v>
      </c>
      <c r="K79" s="95" t="str">
        <f>VLOOKUP(I79,[7]stage_hints!$A:$C,3,FALSE)</f>
        <v>果実を使って限界突破</v>
      </c>
      <c r="L79" s="96" t="str">
        <f>VLOOKUP(I79,[7]stage_hints!$A:$D,4,FALSE)</f>
        <v>攻めの果実 癒しの果実_x000D_生命の果実をユニット強化に使うと_x000D_ステータスが限界突破します（計99個迄）</v>
      </c>
      <c r="M79" s="57" t="s">
        <v>209</v>
      </c>
    </row>
    <row r="80" spans="1:13" x14ac:dyDescent="0.15">
      <c r="A80" s="83" t="s">
        <v>199</v>
      </c>
      <c r="B80" s="84">
        <f>floors!$C$2</f>
        <v>30033</v>
      </c>
      <c r="C80" s="85" t="str">
        <f ca="1">VLOOKUP($B80,OFFSET([2]quests!$A$1,0,0,COUNTA([2]quests!$A:$A),MATCH(C$1,[2]quests!$1:$1,0)-MATCH($B$1,[2]quests!$1:$1,0)+1),MATCH(C$1,[2]quests!$1:$1,0)-MATCH($B$1,[2]quests!$1:$1,0)+1,FALSE)</f>
        <v>御館様の懐刀</v>
      </c>
      <c r="D80" s="85" t="str">
        <f ca="1">VLOOKUP($B80,OFFSET([2]quests!$A$1,0,0,COUNTA([2]quests!$A:$A),MATCH(D$1,[2]quests!$1:$1,0)-MATCH($B$1,[2]quests!$1:$1,0)+1),MATCH(D$1,[2]quests!$1:$1,0)-MATCH($B$1,[2]quests!$1:$1,0)+1,FALSE)</f>
        <v>戦国１</v>
      </c>
      <c r="E80" s="89">
        <v>3</v>
      </c>
      <c r="F80" s="85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【超級】御館様の懐刀</v>
      </c>
      <c r="G80" s="85" t="str">
        <f ca="1">VLOOKUP($B80&amp;"_"&amp;$E80,OFFSET([2]stages!$A$1,0,0,COUNTA([2]stages!$A:$A),MATCH(G$1,[2]stages!$2:$2,0)-MATCH("temp_stage",[2]stages!$2:$2,0)+1),MATCH(G$1,[2]stages!$2:$2,0)-MATCH("temp_stage",[2]stages!$2:$2,0)+1,FALSE)</f>
        <v>戦国１</v>
      </c>
      <c r="H80" s="87">
        <v>0</v>
      </c>
      <c r="I80" s="99">
        <v>25</v>
      </c>
      <c r="J80" s="86" t="s">
        <v>197</v>
      </c>
      <c r="K80" s="95" t="str">
        <f>VLOOKUP(I80,[7]stage_hints!$A:$C,3,FALSE)</f>
        <v>スキルレベルアップ</v>
      </c>
      <c r="L80" s="96" t="str">
        <f>VLOOKUP(I80,[7]stage_hints!$A:$D,4,FALSE)</f>
        <v>「秘術の果実」を強化に使うと_x000D_スキルレベルを上げることができます</v>
      </c>
      <c r="M80" s="57" t="s">
        <v>209</v>
      </c>
    </row>
    <row r="81" spans="1:13" x14ac:dyDescent="0.15">
      <c r="A81" s="83" t="s">
        <v>199</v>
      </c>
      <c r="B81" s="84">
        <f>floors!$C$2</f>
        <v>30033</v>
      </c>
      <c r="C81" s="85" t="str">
        <f ca="1">VLOOKUP($B81,OFFSET([2]quests!$A$1,0,0,COUNTA([2]quests!$A:$A),MATCH(C$1,[2]quests!$1:$1,0)-MATCH($B$1,[2]quests!$1:$1,0)+1),MATCH(C$1,[2]quests!$1:$1,0)-MATCH($B$1,[2]quests!$1:$1,0)+1,FALSE)</f>
        <v>御館様の懐刀</v>
      </c>
      <c r="D81" s="85" t="str">
        <f ca="1">VLOOKUP($B81,OFFSET([2]quests!$A$1,0,0,COUNTA([2]quests!$A:$A),MATCH(D$1,[2]quests!$1:$1,0)-MATCH($B$1,[2]quests!$1:$1,0)+1),MATCH(D$1,[2]quests!$1:$1,0)-MATCH($B$1,[2]quests!$1:$1,0)+1,FALSE)</f>
        <v>戦国１</v>
      </c>
      <c r="E81" s="89">
        <v>3</v>
      </c>
      <c r="F81" s="85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【超級】御館様の懐刀</v>
      </c>
      <c r="G81" s="85" t="str">
        <f ca="1">VLOOKUP($B81&amp;"_"&amp;$E81,OFFSET([2]stages!$A$1,0,0,COUNTA([2]stages!$A:$A),MATCH(G$1,[2]stages!$2:$2,0)-MATCH("temp_stage",[2]stages!$2:$2,0)+1),MATCH(G$1,[2]stages!$2:$2,0)-MATCH("temp_stage",[2]stages!$2:$2,0)+1,FALSE)</f>
        <v>戦国１</v>
      </c>
      <c r="H81" s="87">
        <v>0</v>
      </c>
      <c r="I81" s="99">
        <v>26</v>
      </c>
      <c r="J81" s="86" t="s">
        <v>197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209</v>
      </c>
    </row>
    <row r="82" spans="1:13" x14ac:dyDescent="0.15">
      <c r="A82" s="83" t="s">
        <v>199</v>
      </c>
      <c r="B82" s="84">
        <f>floors!$C$2</f>
        <v>30033</v>
      </c>
      <c r="C82" s="85" t="str">
        <f ca="1">VLOOKUP($B82,OFFSET([2]quests!$A$1,0,0,COUNTA([2]quests!$A:$A),MATCH(C$1,[2]quests!$1:$1,0)-MATCH($B$1,[2]quests!$1:$1,0)+1),MATCH(C$1,[2]quests!$1:$1,0)-MATCH($B$1,[2]quests!$1:$1,0)+1,FALSE)</f>
        <v>御館様の懐刀</v>
      </c>
      <c r="D82" s="85" t="str">
        <f ca="1">VLOOKUP($B82,OFFSET([2]quests!$A$1,0,0,COUNTA([2]quests!$A:$A),MATCH(D$1,[2]quests!$1:$1,0)-MATCH($B$1,[2]quests!$1:$1,0)+1),MATCH(D$1,[2]quests!$1:$1,0)-MATCH($B$1,[2]quests!$1:$1,0)+1,FALSE)</f>
        <v>戦国１</v>
      </c>
      <c r="E82" s="89">
        <v>3</v>
      </c>
      <c r="F82" s="85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【超級】御館様の懐刀</v>
      </c>
      <c r="G82" s="85" t="str">
        <f ca="1">VLOOKUP($B82&amp;"_"&amp;$E82,OFFSET([2]stages!$A$1,0,0,COUNTA([2]stages!$A:$A),MATCH(G$1,[2]stages!$2:$2,0)-MATCH("temp_stage",[2]stages!$2:$2,0)+1),MATCH(G$1,[2]stages!$2:$2,0)-MATCH("temp_stage",[2]stages!$2:$2,0)+1,FALSE)</f>
        <v>戦国１</v>
      </c>
      <c r="H82" s="87">
        <v>0</v>
      </c>
      <c r="I82" s="99">
        <v>27</v>
      </c>
      <c r="J82" s="86" t="s">
        <v>197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209</v>
      </c>
    </row>
    <row r="83" spans="1:13" x14ac:dyDescent="0.15">
      <c r="A83" s="83" t="s">
        <v>199</v>
      </c>
      <c r="B83" s="84">
        <f>floors!$C$2</f>
        <v>30033</v>
      </c>
      <c r="C83" s="85" t="str">
        <f ca="1">VLOOKUP($B83,OFFSET([2]quests!$A$1,0,0,COUNTA([2]quests!$A:$A),MATCH(C$1,[2]quests!$1:$1,0)-MATCH($B$1,[2]quests!$1:$1,0)+1),MATCH(C$1,[2]quests!$1:$1,0)-MATCH($B$1,[2]quests!$1:$1,0)+1,FALSE)</f>
        <v>御館様の懐刀</v>
      </c>
      <c r="D83" s="85" t="str">
        <f ca="1">VLOOKUP($B83,OFFSET([2]quests!$A$1,0,0,COUNTA([2]quests!$A:$A),MATCH(D$1,[2]quests!$1:$1,0)-MATCH($B$1,[2]quests!$1:$1,0)+1),MATCH(D$1,[2]quests!$1:$1,0)-MATCH($B$1,[2]quests!$1:$1,0)+1,FALSE)</f>
        <v>戦国１</v>
      </c>
      <c r="E83" s="89">
        <v>3</v>
      </c>
      <c r="F83" s="85" t="str">
        <f ca="1">VLOOKUP($B83&amp;"_"&amp;$E83,OFFSET([2]stages!$A$1,0,0,COUNTA([2]stages!$A:$A),MATCH(F$1,[2]stages!$2:$2,0)-MATCH("temp_stage",[2]stages!$2:$2,0)+1),MATCH(F$1,[2]stages!$2:$2,0)-MATCH("temp_stage",[2]stages!$2:$2,0)+1,FALSE)</f>
        <v>【超級】御館様の懐刀</v>
      </c>
      <c r="G83" s="85" t="str">
        <f ca="1">VLOOKUP($B83&amp;"_"&amp;$E83,OFFSET([2]stages!$A$1,0,0,COUNTA([2]stages!$A:$A),MATCH(G$1,[2]stages!$2:$2,0)-MATCH("temp_stage",[2]stages!$2:$2,0)+1),MATCH(G$1,[2]stages!$2:$2,0)-MATCH("temp_stage",[2]stages!$2:$2,0)+1,FALSE)</f>
        <v>戦国１</v>
      </c>
      <c r="H83" s="87">
        <v>0</v>
      </c>
      <c r="I83" s="99">
        <v>28</v>
      </c>
      <c r="J83" s="86" t="s">
        <v>197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209</v>
      </c>
    </row>
    <row r="84" spans="1:13" x14ac:dyDescent="0.15">
      <c r="A84" s="83" t="s">
        <v>199</v>
      </c>
      <c r="B84" s="84">
        <f>floors!$C$2</f>
        <v>30033</v>
      </c>
      <c r="C84" s="85" t="str">
        <f ca="1">VLOOKUP($B84,OFFSET([2]quests!$A$1,0,0,COUNTA([2]quests!$A:$A),MATCH(C$1,[2]quests!$1:$1,0)-MATCH($B$1,[2]quests!$1:$1,0)+1),MATCH(C$1,[2]quests!$1:$1,0)-MATCH($B$1,[2]quests!$1:$1,0)+1,FALSE)</f>
        <v>御館様の懐刀</v>
      </c>
      <c r="D84" s="85" t="str">
        <f ca="1">VLOOKUP($B84,OFFSET([2]quests!$A$1,0,0,COUNTA([2]quests!$A:$A),MATCH(D$1,[2]quests!$1:$1,0)-MATCH($B$1,[2]quests!$1:$1,0)+1),MATCH(D$1,[2]quests!$1:$1,0)-MATCH($B$1,[2]quests!$1:$1,0)+1,FALSE)</f>
        <v>戦国１</v>
      </c>
      <c r="E84" s="89">
        <v>3</v>
      </c>
      <c r="F84" s="85" t="str">
        <f ca="1">VLOOKUP($B84&amp;"_"&amp;$E84,OFFSET([2]stages!$A$1,0,0,COUNTA([2]stages!$A:$A),MATCH(F$1,[2]stages!$2:$2,0)-MATCH("temp_stage",[2]stages!$2:$2,0)+1),MATCH(F$1,[2]stages!$2:$2,0)-MATCH("temp_stage",[2]stages!$2:$2,0)+1,FALSE)</f>
        <v>【超級】御館様の懐刀</v>
      </c>
      <c r="G84" s="85" t="str">
        <f ca="1">VLOOKUP($B84&amp;"_"&amp;$E84,OFFSET([2]stages!$A$1,0,0,COUNTA([2]stages!$A:$A),MATCH(G$1,[2]stages!$2:$2,0)-MATCH("temp_stage",[2]stages!$2:$2,0)+1),MATCH(G$1,[2]stages!$2:$2,0)-MATCH("temp_stage",[2]stages!$2:$2,0)+1,FALSE)</f>
        <v>戦国１</v>
      </c>
      <c r="H84" s="87">
        <v>0</v>
      </c>
      <c r="I84" s="99">
        <v>29</v>
      </c>
      <c r="J84" s="86" t="s">
        <v>197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209</v>
      </c>
    </row>
    <row r="85" spans="1:13" x14ac:dyDescent="0.15">
      <c r="A85" s="83" t="s">
        <v>199</v>
      </c>
      <c r="B85" s="84">
        <f>floors!$C$2</f>
        <v>30033</v>
      </c>
      <c r="C85" s="85" t="str">
        <f ca="1">VLOOKUP($B85,OFFSET([2]quests!$A$1,0,0,COUNTA([2]quests!$A:$A),MATCH(C$1,[2]quests!$1:$1,0)-MATCH($B$1,[2]quests!$1:$1,0)+1),MATCH(C$1,[2]quests!$1:$1,0)-MATCH($B$1,[2]quests!$1:$1,0)+1,FALSE)</f>
        <v>御館様の懐刀</v>
      </c>
      <c r="D85" s="85" t="str">
        <f ca="1">VLOOKUP($B85,OFFSET([2]quests!$A$1,0,0,COUNTA([2]quests!$A:$A),MATCH(D$1,[2]quests!$1:$1,0)-MATCH($B$1,[2]quests!$1:$1,0)+1),MATCH(D$1,[2]quests!$1:$1,0)-MATCH($B$1,[2]quests!$1:$1,0)+1,FALSE)</f>
        <v>戦国１</v>
      </c>
      <c r="E85" s="89">
        <v>3</v>
      </c>
      <c r="F85" s="85" t="str">
        <f ca="1">VLOOKUP($B85&amp;"_"&amp;$E85,OFFSET([2]stages!$A$1,0,0,COUNTA([2]stages!$A:$A),MATCH(F$1,[2]stages!$2:$2,0)-MATCH("temp_stage",[2]stages!$2:$2,0)+1),MATCH(F$1,[2]stages!$2:$2,0)-MATCH("temp_stage",[2]stages!$2:$2,0)+1,FALSE)</f>
        <v>【超級】御館様の懐刀</v>
      </c>
      <c r="G85" s="85" t="str">
        <f ca="1">VLOOKUP($B85&amp;"_"&amp;$E85,OFFSET([2]stages!$A$1,0,0,COUNTA([2]stages!$A:$A),MATCH(G$1,[2]stages!$2:$2,0)-MATCH("temp_stage",[2]stages!$2:$2,0)+1),MATCH(G$1,[2]stages!$2:$2,0)-MATCH("temp_stage",[2]stages!$2:$2,0)+1,FALSE)</f>
        <v>戦国１</v>
      </c>
      <c r="H85" s="87">
        <v>0</v>
      </c>
      <c r="I85" s="99">
        <v>30</v>
      </c>
      <c r="J85" s="86" t="s">
        <v>197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209</v>
      </c>
    </row>
    <row r="86" spans="1:13" x14ac:dyDescent="0.15">
      <c r="A86" s="83" t="s">
        <v>199</v>
      </c>
      <c r="B86" s="84">
        <f>floors!$C$2</f>
        <v>30033</v>
      </c>
      <c r="C86" s="85" t="str">
        <f ca="1">VLOOKUP($B86,OFFSET([2]quests!$A$1,0,0,COUNTA([2]quests!$A:$A),MATCH(C$1,[2]quests!$1:$1,0)-MATCH($B$1,[2]quests!$1:$1,0)+1),MATCH(C$1,[2]quests!$1:$1,0)-MATCH($B$1,[2]quests!$1:$1,0)+1,FALSE)</f>
        <v>御館様の懐刀</v>
      </c>
      <c r="D86" s="85" t="str">
        <f ca="1">VLOOKUP($B86,OFFSET([2]quests!$A$1,0,0,COUNTA([2]quests!$A:$A),MATCH(D$1,[2]quests!$1:$1,0)-MATCH($B$1,[2]quests!$1:$1,0)+1),MATCH(D$1,[2]quests!$1:$1,0)-MATCH($B$1,[2]quests!$1:$1,0)+1,FALSE)</f>
        <v>戦国１</v>
      </c>
      <c r="E86" s="89">
        <v>3</v>
      </c>
      <c r="F86" s="85" t="str">
        <f ca="1">VLOOKUP($B86&amp;"_"&amp;$E86,OFFSET([2]stages!$A$1,0,0,COUNTA([2]stages!$A:$A),MATCH(F$1,[2]stages!$2:$2,0)-MATCH("temp_stage",[2]stages!$2:$2,0)+1),MATCH(F$1,[2]stages!$2:$2,0)-MATCH("temp_stage",[2]stages!$2:$2,0)+1,FALSE)</f>
        <v>【超級】御館様の懐刀</v>
      </c>
      <c r="G86" s="85" t="str">
        <f ca="1">VLOOKUP($B86&amp;"_"&amp;$E86,OFFSET([2]stages!$A$1,0,0,COUNTA([2]stages!$A:$A),MATCH(G$1,[2]stages!$2:$2,0)-MATCH("temp_stage",[2]stages!$2:$2,0)+1),MATCH(G$1,[2]stages!$2:$2,0)-MATCH("temp_stage",[2]stages!$2:$2,0)+1,FALSE)</f>
        <v>戦国１</v>
      </c>
      <c r="H86" s="87">
        <v>0</v>
      </c>
      <c r="I86" s="99">
        <v>31</v>
      </c>
      <c r="J86" s="86" t="s">
        <v>197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209</v>
      </c>
    </row>
    <row r="87" spans="1:13" x14ac:dyDescent="0.15">
      <c r="A87" s="83" t="s">
        <v>199</v>
      </c>
      <c r="B87" s="84">
        <f>floors!$C$2</f>
        <v>30033</v>
      </c>
      <c r="C87" s="85" t="str">
        <f ca="1">VLOOKUP($B87,OFFSET([2]quests!$A$1,0,0,COUNTA([2]quests!$A:$A),MATCH(C$1,[2]quests!$1:$1,0)-MATCH($B$1,[2]quests!$1:$1,0)+1),MATCH(C$1,[2]quests!$1:$1,0)-MATCH($B$1,[2]quests!$1:$1,0)+1,FALSE)</f>
        <v>御館様の懐刀</v>
      </c>
      <c r="D87" s="85" t="str">
        <f ca="1">VLOOKUP($B87,OFFSET([2]quests!$A$1,0,0,COUNTA([2]quests!$A:$A),MATCH(D$1,[2]quests!$1:$1,0)-MATCH($B$1,[2]quests!$1:$1,0)+1),MATCH(D$1,[2]quests!$1:$1,0)-MATCH($B$1,[2]quests!$1:$1,0)+1,FALSE)</f>
        <v>戦国１</v>
      </c>
      <c r="E87" s="89">
        <v>3</v>
      </c>
      <c r="F87" s="85" t="str">
        <f ca="1">VLOOKUP($B87&amp;"_"&amp;$E87,OFFSET([2]stages!$A$1,0,0,COUNTA([2]stages!$A:$A),MATCH(F$1,[2]stages!$2:$2,0)-MATCH("temp_stage",[2]stages!$2:$2,0)+1),MATCH(F$1,[2]stages!$2:$2,0)-MATCH("temp_stage",[2]stages!$2:$2,0)+1,FALSE)</f>
        <v>【超級】御館様の懐刀</v>
      </c>
      <c r="G87" s="85" t="str">
        <f ca="1">VLOOKUP($B87&amp;"_"&amp;$E87,OFFSET([2]stages!$A$1,0,0,COUNTA([2]stages!$A:$A),MATCH(G$1,[2]stages!$2:$2,0)-MATCH("temp_stage",[2]stages!$2:$2,0)+1),MATCH(G$1,[2]stages!$2:$2,0)-MATCH("temp_stage",[2]stages!$2:$2,0)+1,FALSE)</f>
        <v>戦国１</v>
      </c>
      <c r="H87" s="87">
        <v>0</v>
      </c>
      <c r="I87" s="99">
        <v>32</v>
      </c>
      <c r="J87" s="86" t="s">
        <v>197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209</v>
      </c>
    </row>
    <row r="88" spans="1:13" x14ac:dyDescent="0.15">
      <c r="A88" s="83" t="s">
        <v>199</v>
      </c>
      <c r="B88" s="84">
        <f>floors!$C$2</f>
        <v>30033</v>
      </c>
      <c r="C88" s="85" t="str">
        <f ca="1">VLOOKUP($B88,OFFSET([2]quests!$A$1,0,0,COUNTA([2]quests!$A:$A),MATCH(C$1,[2]quests!$1:$1,0)-MATCH($B$1,[2]quests!$1:$1,0)+1),MATCH(C$1,[2]quests!$1:$1,0)-MATCH($B$1,[2]quests!$1:$1,0)+1,FALSE)</f>
        <v>御館様の懐刀</v>
      </c>
      <c r="D88" s="85" t="str">
        <f ca="1">VLOOKUP($B88,OFFSET([2]quests!$A$1,0,0,COUNTA([2]quests!$A:$A),MATCH(D$1,[2]quests!$1:$1,0)-MATCH($B$1,[2]quests!$1:$1,0)+1),MATCH(D$1,[2]quests!$1:$1,0)-MATCH($B$1,[2]quests!$1:$1,0)+1,FALSE)</f>
        <v>戦国１</v>
      </c>
      <c r="E88" s="89">
        <v>3</v>
      </c>
      <c r="F88" s="85" t="str">
        <f ca="1">VLOOKUP($B88&amp;"_"&amp;$E88,OFFSET([2]stages!$A$1,0,0,COUNTA([2]stages!$A:$A),MATCH(F$1,[2]stages!$2:$2,0)-MATCH("temp_stage",[2]stages!$2:$2,0)+1),MATCH(F$1,[2]stages!$2:$2,0)-MATCH("temp_stage",[2]stages!$2:$2,0)+1,FALSE)</f>
        <v>【超級】御館様の懐刀</v>
      </c>
      <c r="G88" s="85" t="str">
        <f ca="1">VLOOKUP($B88&amp;"_"&amp;$E88,OFFSET([2]stages!$A$1,0,0,COUNTA([2]stages!$A:$A),MATCH(G$1,[2]stages!$2:$2,0)-MATCH("temp_stage",[2]stages!$2:$2,0)+1),MATCH(G$1,[2]stages!$2:$2,0)-MATCH("temp_stage",[2]stages!$2:$2,0)+1,FALSE)</f>
        <v>戦国１</v>
      </c>
      <c r="H88" s="87">
        <v>0</v>
      </c>
      <c r="I88" s="99">
        <v>33</v>
      </c>
      <c r="J88" s="86" t="s">
        <v>197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209</v>
      </c>
    </row>
    <row r="89" spans="1:13" x14ac:dyDescent="0.15">
      <c r="A89" s="83" t="s">
        <v>199</v>
      </c>
      <c r="B89" s="84">
        <f>floors!$C$2</f>
        <v>30033</v>
      </c>
      <c r="C89" s="85" t="str">
        <f ca="1">VLOOKUP($B89,OFFSET([2]quests!$A$1,0,0,COUNTA([2]quests!$A:$A),MATCH(C$1,[2]quests!$1:$1,0)-MATCH($B$1,[2]quests!$1:$1,0)+1),MATCH(C$1,[2]quests!$1:$1,0)-MATCH($B$1,[2]quests!$1:$1,0)+1,FALSE)</f>
        <v>御館様の懐刀</v>
      </c>
      <c r="D89" s="85" t="str">
        <f ca="1">VLOOKUP($B89,OFFSET([2]quests!$A$1,0,0,COUNTA([2]quests!$A:$A),MATCH(D$1,[2]quests!$1:$1,0)-MATCH($B$1,[2]quests!$1:$1,0)+1),MATCH(D$1,[2]quests!$1:$1,0)-MATCH($B$1,[2]quests!$1:$1,0)+1,FALSE)</f>
        <v>戦国１</v>
      </c>
      <c r="E89" s="89">
        <v>3</v>
      </c>
      <c r="F89" s="85" t="str">
        <f ca="1">VLOOKUP($B89&amp;"_"&amp;$E89,OFFSET([2]stages!$A$1,0,0,COUNTA([2]stages!$A:$A),MATCH(F$1,[2]stages!$2:$2,0)-MATCH("temp_stage",[2]stages!$2:$2,0)+1),MATCH(F$1,[2]stages!$2:$2,0)-MATCH("temp_stage",[2]stages!$2:$2,0)+1,FALSE)</f>
        <v>【超級】御館様の懐刀</v>
      </c>
      <c r="G89" s="85" t="str">
        <f ca="1">VLOOKUP($B89&amp;"_"&amp;$E89,OFFSET([2]stages!$A$1,0,0,COUNTA([2]stages!$A:$A),MATCH(G$1,[2]stages!$2:$2,0)-MATCH("temp_stage",[2]stages!$2:$2,0)+1),MATCH(G$1,[2]stages!$2:$2,0)-MATCH("temp_stage",[2]stages!$2:$2,0)+1,FALSE)</f>
        <v>戦国１</v>
      </c>
      <c r="H89" s="87">
        <v>0</v>
      </c>
      <c r="I89" s="99">
        <v>34</v>
      </c>
      <c r="J89" s="86" t="s">
        <v>197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209</v>
      </c>
    </row>
    <row r="90" spans="1:13" x14ac:dyDescent="0.15">
      <c r="A90" s="83" t="s">
        <v>199</v>
      </c>
      <c r="B90" s="84">
        <f>floors!$C$2</f>
        <v>30033</v>
      </c>
      <c r="C90" s="85" t="str">
        <f ca="1">VLOOKUP($B90,OFFSET([2]quests!$A$1,0,0,COUNTA([2]quests!$A:$A),MATCH(C$1,[2]quests!$1:$1,0)-MATCH($B$1,[2]quests!$1:$1,0)+1),MATCH(C$1,[2]quests!$1:$1,0)-MATCH($B$1,[2]quests!$1:$1,0)+1,FALSE)</f>
        <v>御館様の懐刀</v>
      </c>
      <c r="D90" s="85" t="str">
        <f ca="1">VLOOKUP($B90,OFFSET([2]quests!$A$1,0,0,COUNTA([2]quests!$A:$A),MATCH(D$1,[2]quests!$1:$1,0)-MATCH($B$1,[2]quests!$1:$1,0)+1),MATCH(D$1,[2]quests!$1:$1,0)-MATCH($B$1,[2]quests!$1:$1,0)+1,FALSE)</f>
        <v>戦国１</v>
      </c>
      <c r="E90" s="89">
        <v>3</v>
      </c>
      <c r="F90" s="85" t="str">
        <f ca="1">VLOOKUP($B90&amp;"_"&amp;$E90,OFFSET([2]stages!$A$1,0,0,COUNTA([2]stages!$A:$A),MATCH(F$1,[2]stages!$2:$2,0)-MATCH("temp_stage",[2]stages!$2:$2,0)+1),MATCH(F$1,[2]stages!$2:$2,0)-MATCH("temp_stage",[2]stages!$2:$2,0)+1,FALSE)</f>
        <v>【超級】御館様の懐刀</v>
      </c>
      <c r="G90" s="85" t="str">
        <f ca="1">VLOOKUP($B90&amp;"_"&amp;$E90,OFFSET([2]stages!$A$1,0,0,COUNTA([2]stages!$A:$A),MATCH(G$1,[2]stages!$2:$2,0)-MATCH("temp_stage",[2]stages!$2:$2,0)+1),MATCH(G$1,[2]stages!$2:$2,0)-MATCH("temp_stage",[2]stages!$2:$2,0)+1,FALSE)</f>
        <v>戦国１</v>
      </c>
      <c r="H90" s="87">
        <v>0</v>
      </c>
      <c r="I90" s="99">
        <v>35</v>
      </c>
      <c r="J90" s="86" t="s">
        <v>197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209</v>
      </c>
    </row>
    <row r="91" spans="1:13" x14ac:dyDescent="0.15">
      <c r="A91" s="83" t="s">
        <v>199</v>
      </c>
      <c r="B91" s="84">
        <f>floors!$C$2</f>
        <v>30033</v>
      </c>
      <c r="C91" s="85" t="str">
        <f ca="1">VLOOKUP($B91,OFFSET([2]quests!$A$1,0,0,COUNTA([2]quests!$A:$A),MATCH(C$1,[2]quests!$1:$1,0)-MATCH($B$1,[2]quests!$1:$1,0)+1),MATCH(C$1,[2]quests!$1:$1,0)-MATCH($B$1,[2]quests!$1:$1,0)+1,FALSE)</f>
        <v>御館様の懐刀</v>
      </c>
      <c r="D91" s="85" t="str">
        <f ca="1">VLOOKUP($B91,OFFSET([2]quests!$A$1,0,0,COUNTA([2]quests!$A:$A),MATCH(D$1,[2]quests!$1:$1,0)-MATCH($B$1,[2]quests!$1:$1,0)+1),MATCH(D$1,[2]quests!$1:$1,0)-MATCH($B$1,[2]quests!$1:$1,0)+1,FALSE)</f>
        <v>戦国１</v>
      </c>
      <c r="E91" s="89">
        <v>3</v>
      </c>
      <c r="F91" s="85" t="str">
        <f ca="1">VLOOKUP($B91&amp;"_"&amp;$E91,OFFSET([2]stages!$A$1,0,0,COUNTA([2]stages!$A:$A),MATCH(F$1,[2]stages!$2:$2,0)-MATCH("temp_stage",[2]stages!$2:$2,0)+1),MATCH(F$1,[2]stages!$2:$2,0)-MATCH("temp_stage",[2]stages!$2:$2,0)+1,FALSE)</f>
        <v>【超級】御館様の懐刀</v>
      </c>
      <c r="G91" s="85" t="str">
        <f ca="1">VLOOKUP($B91&amp;"_"&amp;$E91,OFFSET([2]stages!$A$1,0,0,COUNTA([2]stages!$A:$A),MATCH(G$1,[2]stages!$2:$2,0)-MATCH("temp_stage",[2]stages!$2:$2,0)+1),MATCH(G$1,[2]stages!$2:$2,0)-MATCH("temp_stage",[2]stages!$2:$2,0)+1,FALSE)</f>
        <v>戦国１</v>
      </c>
      <c r="H91" s="87">
        <v>0</v>
      </c>
      <c r="I91" s="99">
        <v>36</v>
      </c>
      <c r="J91" s="86" t="s">
        <v>197</v>
      </c>
      <c r="K91" s="95" t="str">
        <f>VLOOKUP(I91,[7]stage_hints!$A:$C,3,FALSE)</f>
        <v>タワーオブザクイーンのボス</v>
      </c>
      <c r="L91" s="96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209</v>
      </c>
    </row>
    <row r="92" spans="1:13" x14ac:dyDescent="0.15">
      <c r="A92" s="83" t="s">
        <v>199</v>
      </c>
      <c r="B92" s="84">
        <f>floors!$C$2</f>
        <v>30033</v>
      </c>
      <c r="C92" s="85" t="str">
        <f ca="1">VLOOKUP($B92,OFFSET([2]quests!$A$1,0,0,COUNTA([2]quests!$A:$A),MATCH(C$1,[2]quests!$1:$1,0)-MATCH($B$1,[2]quests!$1:$1,0)+1),MATCH(C$1,[2]quests!$1:$1,0)-MATCH($B$1,[2]quests!$1:$1,0)+1,FALSE)</f>
        <v>御館様の懐刀</v>
      </c>
      <c r="D92" s="85" t="str">
        <f ca="1">VLOOKUP($B92,OFFSET([2]quests!$A$1,0,0,COUNTA([2]quests!$A:$A),MATCH(D$1,[2]quests!$1:$1,0)-MATCH($B$1,[2]quests!$1:$1,0)+1),MATCH(D$1,[2]quests!$1:$1,0)-MATCH($B$1,[2]quests!$1:$1,0)+1,FALSE)</f>
        <v>戦国１</v>
      </c>
      <c r="E92" s="89">
        <v>3</v>
      </c>
      <c r="F92" s="85" t="str">
        <f ca="1">VLOOKUP($B92&amp;"_"&amp;$E92,OFFSET([2]stages!$A$1,0,0,COUNTA([2]stages!$A:$A),MATCH(F$1,[2]stages!$2:$2,0)-MATCH("temp_stage",[2]stages!$2:$2,0)+1),MATCH(F$1,[2]stages!$2:$2,0)-MATCH("temp_stage",[2]stages!$2:$2,0)+1,FALSE)</f>
        <v>【超級】御館様の懐刀</v>
      </c>
      <c r="G92" s="85" t="str">
        <f ca="1">VLOOKUP($B92&amp;"_"&amp;$E92,OFFSET([2]stages!$A$1,0,0,COUNTA([2]stages!$A:$A),MATCH(G$1,[2]stages!$2:$2,0)-MATCH("temp_stage",[2]stages!$2:$2,0)+1),MATCH(G$1,[2]stages!$2:$2,0)-MATCH("temp_stage",[2]stages!$2:$2,0)+1,FALSE)</f>
        <v>戦国１</v>
      </c>
      <c r="H92" s="87">
        <v>0</v>
      </c>
      <c r="I92" s="99">
        <v>37</v>
      </c>
      <c r="J92" s="86" t="s">
        <v>197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209</v>
      </c>
    </row>
    <row r="93" spans="1:13" x14ac:dyDescent="0.15">
      <c r="A93" s="83" t="s">
        <v>199</v>
      </c>
      <c r="B93" s="84">
        <f>floors!$C$2</f>
        <v>30033</v>
      </c>
      <c r="C93" s="85" t="str">
        <f ca="1">VLOOKUP($B93,OFFSET([2]quests!$A$1,0,0,COUNTA([2]quests!$A:$A),MATCH(C$1,[2]quests!$1:$1,0)-MATCH($B$1,[2]quests!$1:$1,0)+1),MATCH(C$1,[2]quests!$1:$1,0)-MATCH($B$1,[2]quests!$1:$1,0)+1,FALSE)</f>
        <v>御館様の懐刀</v>
      </c>
      <c r="D93" s="85" t="str">
        <f ca="1">VLOOKUP($B93,OFFSET([2]quests!$A$1,0,0,COUNTA([2]quests!$A:$A),MATCH(D$1,[2]quests!$1:$1,0)-MATCH($B$1,[2]quests!$1:$1,0)+1),MATCH(D$1,[2]quests!$1:$1,0)-MATCH($B$1,[2]quests!$1:$1,0)+1,FALSE)</f>
        <v>戦国１</v>
      </c>
      <c r="E93" s="89">
        <v>3</v>
      </c>
      <c r="F93" s="85" t="str">
        <f ca="1">VLOOKUP($B93&amp;"_"&amp;$E93,OFFSET([2]stages!$A$1,0,0,COUNTA([2]stages!$A:$A),MATCH(F$1,[2]stages!$2:$2,0)-MATCH("temp_stage",[2]stages!$2:$2,0)+1),MATCH(F$1,[2]stages!$2:$2,0)-MATCH("temp_stage",[2]stages!$2:$2,0)+1,FALSE)</f>
        <v>【超級】御館様の懐刀</v>
      </c>
      <c r="G93" s="85" t="str">
        <f ca="1">VLOOKUP($B93&amp;"_"&amp;$E93,OFFSET([2]stages!$A$1,0,0,COUNTA([2]stages!$A:$A),MATCH(G$1,[2]stages!$2:$2,0)-MATCH("temp_stage",[2]stages!$2:$2,0)+1),MATCH(G$1,[2]stages!$2:$2,0)-MATCH("temp_stage",[2]stages!$2:$2,0)+1,FALSE)</f>
        <v>戦国１</v>
      </c>
      <c r="H93" s="87">
        <v>0</v>
      </c>
      <c r="I93" s="99">
        <v>39</v>
      </c>
      <c r="J93" s="86" t="s">
        <v>197</v>
      </c>
      <c r="K93" s="95" t="str">
        <f>VLOOKUP(I93,[7]stage_hints!$A:$C,3,FALSE)</f>
        <v>システム適合者を確認</v>
      </c>
      <c r="L93" s="96" t="str">
        <f>VLOOKUP(I93,[7]stage_hints!$A:$D,4,FALSE)</f>
        <v>ALICEが 「アナタ」を呼んでいます</v>
      </c>
      <c r="M93" s="57" t="s">
        <v>209</v>
      </c>
    </row>
    <row r="94" spans="1:13" x14ac:dyDescent="0.15">
      <c r="A94" s="83" t="s">
        <v>199</v>
      </c>
      <c r="B94" s="84">
        <f>floors!$C$2</f>
        <v>30033</v>
      </c>
      <c r="C94" s="85" t="str">
        <f ca="1">VLOOKUP($B94,OFFSET([2]quests!$A$1,0,0,COUNTA([2]quests!$A:$A),MATCH(C$1,[2]quests!$1:$1,0)-MATCH($B$1,[2]quests!$1:$1,0)+1),MATCH(C$1,[2]quests!$1:$1,0)-MATCH($B$1,[2]quests!$1:$1,0)+1,FALSE)</f>
        <v>御館様の懐刀</v>
      </c>
      <c r="D94" s="85" t="str">
        <f ca="1">VLOOKUP($B94,OFFSET([2]quests!$A$1,0,0,COUNTA([2]quests!$A:$A),MATCH(D$1,[2]quests!$1:$1,0)-MATCH($B$1,[2]quests!$1:$1,0)+1),MATCH(D$1,[2]quests!$1:$1,0)-MATCH($B$1,[2]quests!$1:$1,0)+1,FALSE)</f>
        <v>戦国１</v>
      </c>
      <c r="E94" s="89">
        <v>4</v>
      </c>
      <c r="F94" s="85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5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7">
        <v>0</v>
      </c>
      <c r="I94">
        <v>12</v>
      </c>
      <c r="J94" s="86" t="s">
        <v>197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209</v>
      </c>
    </row>
    <row r="95" spans="1:13" x14ac:dyDescent="0.15">
      <c r="A95" s="83" t="s">
        <v>199</v>
      </c>
      <c r="B95" s="84">
        <f>floors!$C$2</f>
        <v>30033</v>
      </c>
      <c r="C95" s="85" t="str">
        <f ca="1">VLOOKUP($B95,OFFSET([2]quests!$A$1,0,0,COUNTA([2]quests!$A:$A),MATCH(C$1,[2]quests!$1:$1,0)-MATCH($B$1,[2]quests!$1:$1,0)+1),MATCH(C$1,[2]quests!$1:$1,0)-MATCH($B$1,[2]quests!$1:$1,0)+1,FALSE)</f>
        <v>御館様の懐刀</v>
      </c>
      <c r="D95" s="85" t="str">
        <f ca="1">VLOOKUP($B95,OFFSET([2]quests!$A$1,0,0,COUNTA([2]quests!$A:$A),MATCH(D$1,[2]quests!$1:$1,0)-MATCH($B$1,[2]quests!$1:$1,0)+1),MATCH(D$1,[2]quests!$1:$1,0)-MATCH($B$1,[2]quests!$1:$1,0)+1,FALSE)</f>
        <v>戦国１</v>
      </c>
      <c r="E95" s="89">
        <v>4</v>
      </c>
      <c r="F95" s="85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5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7">
        <v>0</v>
      </c>
      <c r="I95">
        <v>17</v>
      </c>
      <c r="J95" s="86" t="s">
        <v>197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209</v>
      </c>
    </row>
    <row r="96" spans="1:13" x14ac:dyDescent="0.15">
      <c r="A96" s="83" t="s">
        <v>199</v>
      </c>
      <c r="B96" s="84">
        <f>floors!$C$2</f>
        <v>30033</v>
      </c>
      <c r="C96" s="85" t="str">
        <f ca="1">VLOOKUP($B96,OFFSET([2]quests!$A$1,0,0,COUNTA([2]quests!$A:$A),MATCH(C$1,[2]quests!$1:$1,0)-MATCH($B$1,[2]quests!$1:$1,0)+1),MATCH(C$1,[2]quests!$1:$1,0)-MATCH($B$1,[2]quests!$1:$1,0)+1,FALSE)</f>
        <v>御館様の懐刀</v>
      </c>
      <c r="D96" s="85" t="str">
        <f ca="1">VLOOKUP($B96,OFFSET([2]quests!$A$1,0,0,COUNTA([2]quests!$A:$A),MATCH(D$1,[2]quests!$1:$1,0)-MATCH($B$1,[2]quests!$1:$1,0)+1),MATCH(D$1,[2]quests!$1:$1,0)-MATCH($B$1,[2]quests!$1:$1,0)+1,FALSE)</f>
        <v>戦国１</v>
      </c>
      <c r="E96" s="89">
        <v>4</v>
      </c>
      <c r="F96" s="85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5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7">
        <v>0</v>
      </c>
      <c r="I96">
        <v>19</v>
      </c>
      <c r="J96" s="86" t="s">
        <v>197</v>
      </c>
      <c r="K96" s="95" t="str">
        <f>VLOOKUP(I96,[7]stage_hints!$A:$C,3,FALSE)</f>
        <v>ソロ専用タワーオブザクイーン</v>
      </c>
      <c r="L96" s="96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209</v>
      </c>
    </row>
    <row r="97" spans="1:13" x14ac:dyDescent="0.15">
      <c r="A97" s="83" t="s">
        <v>199</v>
      </c>
      <c r="B97" s="84">
        <f>floors!$C$2</f>
        <v>30033</v>
      </c>
      <c r="C97" s="85" t="str">
        <f ca="1">VLOOKUP($B97,OFFSET([2]quests!$A$1,0,0,COUNTA([2]quests!$A:$A),MATCH(C$1,[2]quests!$1:$1,0)-MATCH($B$1,[2]quests!$1:$1,0)+1),MATCH(C$1,[2]quests!$1:$1,0)-MATCH($B$1,[2]quests!$1:$1,0)+1,FALSE)</f>
        <v>御館様の懐刀</v>
      </c>
      <c r="D97" s="85" t="str">
        <f ca="1">VLOOKUP($B97,OFFSET([2]quests!$A$1,0,0,COUNTA([2]quests!$A:$A),MATCH(D$1,[2]quests!$1:$1,0)-MATCH($B$1,[2]quests!$1:$1,0)+1),MATCH(D$1,[2]quests!$1:$1,0)-MATCH($B$1,[2]quests!$1:$1,0)+1,FALSE)</f>
        <v>戦国１</v>
      </c>
      <c r="E97" s="89">
        <v>4</v>
      </c>
      <c r="F97" s="85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5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7">
        <v>0</v>
      </c>
      <c r="I97">
        <v>21</v>
      </c>
      <c r="J97" s="86" t="s">
        <v>197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209</v>
      </c>
    </row>
    <row r="98" spans="1:13" x14ac:dyDescent="0.15">
      <c r="A98" s="83" t="s">
        <v>199</v>
      </c>
      <c r="B98" s="84">
        <f>floors!$C$2</f>
        <v>30033</v>
      </c>
      <c r="C98" s="85" t="str">
        <f ca="1">VLOOKUP($B98,OFFSET([2]quests!$A$1,0,0,COUNTA([2]quests!$A:$A),MATCH(C$1,[2]quests!$1:$1,0)-MATCH($B$1,[2]quests!$1:$1,0)+1),MATCH(C$1,[2]quests!$1:$1,0)-MATCH($B$1,[2]quests!$1:$1,0)+1,FALSE)</f>
        <v>御館様の懐刀</v>
      </c>
      <c r="D98" s="85" t="str">
        <f ca="1">VLOOKUP($B98,OFFSET([2]quests!$A$1,0,0,COUNTA([2]quests!$A:$A),MATCH(D$1,[2]quests!$1:$1,0)-MATCH($B$1,[2]quests!$1:$1,0)+1),MATCH(D$1,[2]quests!$1:$1,0)-MATCH($B$1,[2]quests!$1:$1,0)+1,FALSE)</f>
        <v>戦国１</v>
      </c>
      <c r="E98" s="89">
        <v>4</v>
      </c>
      <c r="F98" s="85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5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7">
        <v>0</v>
      </c>
      <c r="I98">
        <v>27</v>
      </c>
      <c r="J98" s="86" t="s">
        <v>197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209</v>
      </c>
    </row>
    <row r="99" spans="1:13" x14ac:dyDescent="0.15">
      <c r="A99" s="83" t="s">
        <v>199</v>
      </c>
      <c r="B99" s="84">
        <f>floors!$C$2</f>
        <v>30033</v>
      </c>
      <c r="C99" s="85" t="str">
        <f ca="1">VLOOKUP($B99,OFFSET([2]quests!$A$1,0,0,COUNTA([2]quests!$A:$A),MATCH(C$1,[2]quests!$1:$1,0)-MATCH($B$1,[2]quests!$1:$1,0)+1),MATCH(C$1,[2]quests!$1:$1,0)-MATCH($B$1,[2]quests!$1:$1,0)+1,FALSE)</f>
        <v>御館様の懐刀</v>
      </c>
      <c r="D99" s="85" t="str">
        <f ca="1">VLOOKUP($B99,OFFSET([2]quests!$A$1,0,0,COUNTA([2]quests!$A:$A),MATCH(D$1,[2]quests!$1:$1,0)-MATCH($B$1,[2]quests!$1:$1,0)+1),MATCH(D$1,[2]quests!$1:$1,0)-MATCH($B$1,[2]quests!$1:$1,0)+1,FALSE)</f>
        <v>戦国１</v>
      </c>
      <c r="E99" s="89">
        <v>4</v>
      </c>
      <c r="F99" s="85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5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7">
        <v>0</v>
      </c>
      <c r="I99">
        <v>28</v>
      </c>
      <c r="J99" s="86" t="s">
        <v>197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209</v>
      </c>
    </row>
    <row r="100" spans="1:13" x14ac:dyDescent="0.15">
      <c r="A100" s="83" t="s">
        <v>199</v>
      </c>
      <c r="B100" s="84">
        <f>floors!$C$2</f>
        <v>30033</v>
      </c>
      <c r="C100" s="85" t="str">
        <f ca="1">VLOOKUP($B100,OFFSET([2]quests!$A$1,0,0,COUNTA([2]quests!$A:$A),MATCH(C$1,[2]quests!$1:$1,0)-MATCH($B$1,[2]quests!$1:$1,0)+1),MATCH(C$1,[2]quests!$1:$1,0)-MATCH($B$1,[2]quests!$1:$1,0)+1,FALSE)</f>
        <v>御館様の懐刀</v>
      </c>
      <c r="D100" s="85" t="str">
        <f ca="1">VLOOKUP($B100,OFFSET([2]quests!$A$1,0,0,COUNTA([2]quests!$A:$A),MATCH(D$1,[2]quests!$1:$1,0)-MATCH($B$1,[2]quests!$1:$1,0)+1),MATCH(D$1,[2]quests!$1:$1,0)-MATCH($B$1,[2]quests!$1:$1,0)+1,FALSE)</f>
        <v>戦国１</v>
      </c>
      <c r="E100" s="89">
        <v>4</v>
      </c>
      <c r="F100" s="85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5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7">
        <v>0</v>
      </c>
      <c r="I100">
        <v>29</v>
      </c>
      <c r="J100" s="86" t="s">
        <v>197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209</v>
      </c>
    </row>
    <row r="101" spans="1:13" x14ac:dyDescent="0.15">
      <c r="A101" s="83" t="s">
        <v>199</v>
      </c>
      <c r="B101" s="84">
        <f>floors!$C$2</f>
        <v>30033</v>
      </c>
      <c r="C101" s="85" t="str">
        <f ca="1">VLOOKUP($B101,OFFSET([2]quests!$A$1,0,0,COUNTA([2]quests!$A:$A),MATCH(C$1,[2]quests!$1:$1,0)-MATCH($B$1,[2]quests!$1:$1,0)+1),MATCH(C$1,[2]quests!$1:$1,0)-MATCH($B$1,[2]quests!$1:$1,0)+1,FALSE)</f>
        <v>御館様の懐刀</v>
      </c>
      <c r="D101" s="85" t="str">
        <f ca="1">VLOOKUP($B101,OFFSET([2]quests!$A$1,0,0,COUNTA([2]quests!$A:$A),MATCH(D$1,[2]quests!$1:$1,0)-MATCH($B$1,[2]quests!$1:$1,0)+1),MATCH(D$1,[2]quests!$1:$1,0)-MATCH($B$1,[2]quests!$1:$1,0)+1,FALSE)</f>
        <v>戦国１</v>
      </c>
      <c r="E101" s="89">
        <v>4</v>
      </c>
      <c r="F101" s="85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5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7">
        <v>0</v>
      </c>
      <c r="I101">
        <v>30</v>
      </c>
      <c r="J101" s="86" t="s">
        <v>197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209</v>
      </c>
    </row>
    <row r="102" spans="1:13" x14ac:dyDescent="0.15">
      <c r="A102" s="83" t="s">
        <v>199</v>
      </c>
      <c r="B102" s="84">
        <f>floors!$C$2</f>
        <v>30033</v>
      </c>
      <c r="C102" s="85" t="str">
        <f ca="1">VLOOKUP($B102,OFFSET([2]quests!$A$1,0,0,COUNTA([2]quests!$A:$A),MATCH(C$1,[2]quests!$1:$1,0)-MATCH($B$1,[2]quests!$1:$1,0)+1),MATCH(C$1,[2]quests!$1:$1,0)-MATCH($B$1,[2]quests!$1:$1,0)+1,FALSE)</f>
        <v>御館様の懐刀</v>
      </c>
      <c r="D102" s="85" t="str">
        <f ca="1">VLOOKUP($B102,OFFSET([2]quests!$A$1,0,0,COUNTA([2]quests!$A:$A),MATCH(D$1,[2]quests!$1:$1,0)-MATCH($B$1,[2]quests!$1:$1,0)+1),MATCH(D$1,[2]quests!$1:$1,0)-MATCH($B$1,[2]quests!$1:$1,0)+1,FALSE)</f>
        <v>戦国１</v>
      </c>
      <c r="E102" s="89">
        <v>4</v>
      </c>
      <c r="F102" s="85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5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7">
        <v>0</v>
      </c>
      <c r="I102">
        <v>32</v>
      </c>
      <c r="J102" s="86" t="s">
        <v>197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209</v>
      </c>
    </row>
    <row r="103" spans="1:13" x14ac:dyDescent="0.15">
      <c r="A103" s="83" t="s">
        <v>199</v>
      </c>
      <c r="B103" s="84">
        <f>floors!$C$2</f>
        <v>30033</v>
      </c>
      <c r="C103" s="85" t="str">
        <f ca="1">VLOOKUP($B103,OFFSET([2]quests!$A$1,0,0,COUNTA([2]quests!$A:$A),MATCH(C$1,[2]quests!$1:$1,0)-MATCH($B$1,[2]quests!$1:$1,0)+1),MATCH(C$1,[2]quests!$1:$1,0)-MATCH($B$1,[2]quests!$1:$1,0)+1,FALSE)</f>
        <v>御館様の懐刀</v>
      </c>
      <c r="D103" s="85" t="str">
        <f ca="1">VLOOKUP($B103,OFFSET([2]quests!$A$1,0,0,COUNTA([2]quests!$A:$A),MATCH(D$1,[2]quests!$1:$1,0)-MATCH($B$1,[2]quests!$1:$1,0)+1),MATCH(D$1,[2]quests!$1:$1,0)-MATCH($B$1,[2]quests!$1:$1,0)+1,FALSE)</f>
        <v>戦国１</v>
      </c>
      <c r="E103" s="89">
        <v>4</v>
      </c>
      <c r="F103" s="85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5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7">
        <v>0</v>
      </c>
      <c r="I103">
        <v>33</v>
      </c>
      <c r="J103" s="86" t="s">
        <v>197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209</v>
      </c>
    </row>
    <row r="104" spans="1:13" x14ac:dyDescent="0.15">
      <c r="A104" s="83" t="s">
        <v>199</v>
      </c>
      <c r="B104" s="84">
        <f>floors!$C$2</f>
        <v>30033</v>
      </c>
      <c r="C104" s="85" t="str">
        <f ca="1">VLOOKUP($B104,OFFSET([2]quests!$A$1,0,0,COUNTA([2]quests!$A:$A),MATCH(C$1,[2]quests!$1:$1,0)-MATCH($B$1,[2]quests!$1:$1,0)+1),MATCH(C$1,[2]quests!$1:$1,0)-MATCH($B$1,[2]quests!$1:$1,0)+1,FALSE)</f>
        <v>御館様の懐刀</v>
      </c>
      <c r="D104" s="85" t="str">
        <f ca="1">VLOOKUP($B104,OFFSET([2]quests!$A$1,0,0,COUNTA([2]quests!$A:$A),MATCH(D$1,[2]quests!$1:$1,0)-MATCH($B$1,[2]quests!$1:$1,0)+1),MATCH(D$1,[2]quests!$1:$1,0)-MATCH($B$1,[2]quests!$1:$1,0)+1,FALSE)</f>
        <v>戦国１</v>
      </c>
      <c r="E104" s="89">
        <v>4</v>
      </c>
      <c r="F104" s="85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5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7">
        <v>0</v>
      </c>
      <c r="I104">
        <v>34</v>
      </c>
      <c r="J104" s="86" t="s">
        <v>197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209</v>
      </c>
    </row>
    <row r="105" spans="1:13" x14ac:dyDescent="0.15">
      <c r="A105" s="83" t="s">
        <v>199</v>
      </c>
      <c r="B105" s="84">
        <f>floors!$C$2</f>
        <v>30033</v>
      </c>
      <c r="C105" s="85" t="str">
        <f ca="1">VLOOKUP($B105,OFFSET([2]quests!$A$1,0,0,COUNTA([2]quests!$A:$A),MATCH(C$1,[2]quests!$1:$1,0)-MATCH($B$1,[2]quests!$1:$1,0)+1),MATCH(C$1,[2]quests!$1:$1,0)-MATCH($B$1,[2]quests!$1:$1,0)+1,FALSE)</f>
        <v>御館様の懐刀</v>
      </c>
      <c r="D105" s="85" t="str">
        <f ca="1">VLOOKUP($B105,OFFSET([2]quests!$A$1,0,0,COUNTA([2]quests!$A:$A),MATCH(D$1,[2]quests!$1:$1,0)-MATCH($B$1,[2]quests!$1:$1,0)+1),MATCH(D$1,[2]quests!$1:$1,0)-MATCH($B$1,[2]quests!$1:$1,0)+1,FALSE)</f>
        <v>戦国１</v>
      </c>
      <c r="E105" s="89">
        <v>4</v>
      </c>
      <c r="F105" s="85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5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7">
        <v>0</v>
      </c>
      <c r="I105">
        <v>35</v>
      </c>
      <c r="J105" s="86" t="s">
        <v>197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209</v>
      </c>
    </row>
    <row r="106" spans="1:13" x14ac:dyDescent="0.15">
      <c r="A106" s="83" t="s">
        <v>199</v>
      </c>
      <c r="B106" s="84">
        <f>floors!$C$2</f>
        <v>30033</v>
      </c>
      <c r="C106" s="85" t="str">
        <f ca="1">VLOOKUP($B106,OFFSET([2]quests!$A$1,0,0,COUNTA([2]quests!$A:$A),MATCH(C$1,[2]quests!$1:$1,0)-MATCH($B$1,[2]quests!$1:$1,0)+1),MATCH(C$1,[2]quests!$1:$1,0)-MATCH($B$1,[2]quests!$1:$1,0)+1,FALSE)</f>
        <v>御館様の懐刀</v>
      </c>
      <c r="D106" s="85" t="str">
        <f ca="1">VLOOKUP($B106,OFFSET([2]quests!$A$1,0,0,COUNTA([2]quests!$A:$A),MATCH(D$1,[2]quests!$1:$1,0)-MATCH($B$1,[2]quests!$1:$1,0)+1),MATCH(D$1,[2]quests!$1:$1,0)-MATCH($B$1,[2]quests!$1:$1,0)+1,FALSE)</f>
        <v>戦国１</v>
      </c>
      <c r="E106" s="89">
        <v>4</v>
      </c>
      <c r="F106" s="85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5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7">
        <v>0</v>
      </c>
      <c r="I106">
        <v>36</v>
      </c>
      <c r="J106" s="86" t="s">
        <v>197</v>
      </c>
      <c r="K106" s="95" t="str">
        <f>VLOOKUP(I106,[7]stage_hints!$A:$C,3,FALSE)</f>
        <v>タワーオブザクイーンのボス</v>
      </c>
      <c r="L106" s="96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209</v>
      </c>
    </row>
    <row r="107" spans="1:13" x14ac:dyDescent="0.15">
      <c r="A107" s="83" t="s">
        <v>199</v>
      </c>
      <c r="B107" s="84">
        <f>floors!$C$2</f>
        <v>30033</v>
      </c>
      <c r="C107" s="85" t="str">
        <f ca="1">VLOOKUP($B107,OFFSET([2]quests!$A$1,0,0,COUNTA([2]quests!$A:$A),MATCH(C$1,[2]quests!$1:$1,0)-MATCH($B$1,[2]quests!$1:$1,0)+1),MATCH(C$1,[2]quests!$1:$1,0)-MATCH($B$1,[2]quests!$1:$1,0)+1,FALSE)</f>
        <v>御館様の懐刀</v>
      </c>
      <c r="D107" s="85" t="str">
        <f ca="1">VLOOKUP($B107,OFFSET([2]quests!$A$1,0,0,COUNTA([2]quests!$A:$A),MATCH(D$1,[2]quests!$1:$1,0)-MATCH($B$1,[2]quests!$1:$1,0)+1),MATCH(D$1,[2]quests!$1:$1,0)-MATCH($B$1,[2]quests!$1:$1,0)+1,FALSE)</f>
        <v>戦国１</v>
      </c>
      <c r="E107" s="89">
        <v>4</v>
      </c>
      <c r="F107" s="85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5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7">
        <v>0</v>
      </c>
      <c r="I107">
        <v>37</v>
      </c>
      <c r="J107" s="86" t="s">
        <v>197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209</v>
      </c>
    </row>
    <row r="108" spans="1:13" x14ac:dyDescent="0.15">
      <c r="A108" s="83" t="s">
        <v>199</v>
      </c>
      <c r="B108" s="84">
        <f>floors!$C$2</f>
        <v>30033</v>
      </c>
      <c r="C108" s="85" t="str">
        <f ca="1">VLOOKUP($B108,OFFSET([2]quests!$A$1,0,0,COUNTA([2]quests!$A:$A),MATCH(C$1,[2]quests!$1:$1,0)-MATCH($B$1,[2]quests!$1:$1,0)+1),MATCH(C$1,[2]quests!$1:$1,0)-MATCH($B$1,[2]quests!$1:$1,0)+1,FALSE)</f>
        <v>御館様の懐刀</v>
      </c>
      <c r="D108" s="85" t="str">
        <f ca="1">VLOOKUP($B108,OFFSET([2]quests!$A$1,0,0,COUNTA([2]quests!$A:$A),MATCH(D$1,[2]quests!$1:$1,0)-MATCH($B$1,[2]quests!$1:$1,0)+1),MATCH(D$1,[2]quests!$1:$1,0)-MATCH($B$1,[2]quests!$1:$1,0)+1,FALSE)</f>
        <v>戦国１</v>
      </c>
      <c r="E108" s="89">
        <v>4</v>
      </c>
      <c r="F108" s="85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5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7">
        <v>0</v>
      </c>
      <c r="I108">
        <v>39</v>
      </c>
      <c r="J108" s="86" t="s">
        <v>197</v>
      </c>
      <c r="K108" s="95" t="str">
        <f>VLOOKUP(I108,[7]stage_hints!$A:$C,3,FALSE)</f>
        <v>システム適合者を確認</v>
      </c>
      <c r="L108" s="96" t="str">
        <f>VLOOKUP(I108,[7]stage_hints!$A:$D,4,FALSE)</f>
        <v>ALICEが 「アナタ」を呼んでいます</v>
      </c>
      <c r="M108" s="57" t="s">
        <v>209</v>
      </c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4" activePane="bottomLeft" state="frozen"/>
      <selection pane="bottomLeft" activeCell="H4" sqref="H4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8" t="s">
        <v>187</v>
      </c>
      <c r="B1" s="74" t="s">
        <v>150</v>
      </c>
      <c r="C1" s="79" t="s">
        <v>189</v>
      </c>
      <c r="D1" s="79" t="s">
        <v>33</v>
      </c>
      <c r="E1" s="74" t="s">
        <v>190</v>
      </c>
      <c r="F1" s="79" t="s">
        <v>18</v>
      </c>
      <c r="G1" s="79" t="s">
        <v>33</v>
      </c>
      <c r="H1" s="74" t="s">
        <v>192</v>
      </c>
      <c r="I1" s="91" t="s">
        <v>193</v>
      </c>
      <c r="J1" s="93" t="s">
        <v>194</v>
      </c>
      <c r="K1" s="81" t="s">
        <v>126</v>
      </c>
      <c r="L1" s="80" t="s">
        <v>186</v>
      </c>
      <c r="M1" s="94" t="s">
        <v>185</v>
      </c>
      <c r="N1" s="82" t="s">
        <v>195</v>
      </c>
    </row>
    <row r="2" spans="1:14" ht="42" x14ac:dyDescent="0.15">
      <c r="A2" s="83" t="s">
        <v>196</v>
      </c>
      <c r="B2" s="84">
        <v>30033</v>
      </c>
      <c r="C2" s="85" t="str">
        <f ca="1">VLOOKUP($B2,OFFSET([2]quests!$A$1,0,0,COUNTA([2]quests!$A:$A),MATCH(C$1,[2]quests!$1:$1,0)-MATCH($B$1,[2]quests!$1:$1,0)+1),MATCH(C$1,[2]quests!$1:$1,0)-MATCH($B$1,[2]quests!$1:$1,0)+1,FALSE)</f>
        <v>御館様の懐刀</v>
      </c>
      <c r="D2" s="85" t="str">
        <f ca="1">VLOOKUP($B2,OFFSET([2]quests!$A$1,0,0,COUNTA([2]quests!$A:$A),MATCH(D$1,[2]quests!$1:$1,0)-MATCH($B$1,[2]quests!$1:$1,0)+1),MATCH(D$1,[2]quests!$1:$1,0)-MATCH($B$1,[2]quests!$1:$1,0)+1,FALSE)</f>
        <v>戦国１</v>
      </c>
      <c r="E2" s="86">
        <v>1</v>
      </c>
      <c r="F2" s="85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【中級】御館様の懐刀</v>
      </c>
      <c r="G2" s="85" t="str">
        <f ca="1">VLOOKUP($B2&amp;"_"&amp;$E2,OFFSET([2]stages!$A$1,0,0,COUNTA([2]stages!$A:$A),MATCH(G$1,[2]stages!$2:$2,0)-MATCH("temp_stage",[2]stages!$2:$2,0)+1),MATCH(G$1,[2]stages!$2:$2,0)-MATCH("temp_stage",[2]stages!$2:$2,0)+1,FALSE)</f>
        <v>戦国１</v>
      </c>
      <c r="H2" s="87">
        <v>1</v>
      </c>
      <c r="I2" s="92">
        <f>ROW()-1</f>
        <v>1</v>
      </c>
      <c r="J2" s="88" t="str">
        <f>B2&amp;TEXT(I2,"00")</f>
        <v>3003301</v>
      </c>
      <c r="K2" s="86" t="s">
        <v>197</v>
      </c>
      <c r="L2" s="89" t="s">
        <v>198</v>
      </c>
      <c r="M2" s="112" t="s">
        <v>288</v>
      </c>
      <c r="N2" s="57" t="s">
        <v>284</v>
      </c>
    </row>
    <row r="3" spans="1:14" ht="42" x14ac:dyDescent="0.15">
      <c r="A3" s="83" t="s">
        <v>196</v>
      </c>
      <c r="B3" s="84">
        <v>30033</v>
      </c>
      <c r="C3" s="85" t="str">
        <f ca="1">VLOOKUP($B3,OFFSET([2]quests!$A$1,0,0,COUNTA([2]quests!$A:$A),MATCH(C$1,[2]quests!$1:$1,0)-MATCH($B$1,[2]quests!$1:$1,0)+1),MATCH(C$1,[2]quests!$1:$1,0)-MATCH($B$1,[2]quests!$1:$1,0)+1,FALSE)</f>
        <v>御館様の懐刀</v>
      </c>
      <c r="D3" s="85" t="str">
        <f ca="1">VLOOKUP($B3,OFFSET([2]quests!$A$1,0,0,COUNTA([2]quests!$A:$A),MATCH(D$1,[2]quests!$1:$1,0)-MATCH($B$1,[2]quests!$1:$1,0)+1),MATCH(D$1,[2]quests!$1:$1,0)-MATCH($B$1,[2]quests!$1:$1,0)+1,FALSE)</f>
        <v>戦国１</v>
      </c>
      <c r="E3" s="86">
        <v>1</v>
      </c>
      <c r="F3" s="85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【中級】御館様の懐刀</v>
      </c>
      <c r="G3" s="85" t="str">
        <f ca="1">VLOOKUP($B3&amp;"_"&amp;$E3,OFFSET([2]stages!$A$1,0,0,COUNTA([2]stages!$A:$A),MATCH(G$1,[2]stages!$2:$2,0)-MATCH("temp_stage",[2]stages!$2:$2,0)+1),MATCH(G$1,[2]stages!$2:$2,0)-MATCH("temp_stage",[2]stages!$2:$2,0)+1,FALSE)</f>
        <v>戦国１</v>
      </c>
      <c r="H3" s="87">
        <v>2</v>
      </c>
      <c r="I3" s="92">
        <f t="shared" ref="I3:I13" si="0">ROW()-1</f>
        <v>2</v>
      </c>
      <c r="J3" s="88" t="str">
        <f t="shared" ref="J3:J5" si="1">B3&amp;TEXT(I3,"00")</f>
        <v>3003302</v>
      </c>
      <c r="K3" s="86" t="s">
        <v>285</v>
      </c>
      <c r="L3" s="89" t="s">
        <v>198</v>
      </c>
      <c r="M3" s="112" t="s">
        <v>289</v>
      </c>
      <c r="N3" s="57" t="s">
        <v>209</v>
      </c>
    </row>
    <row r="4" spans="1:14" ht="42" x14ac:dyDescent="0.15">
      <c r="A4" s="83" t="s">
        <v>196</v>
      </c>
      <c r="B4" s="84">
        <v>30033</v>
      </c>
      <c r="C4" s="85" t="str">
        <f ca="1">VLOOKUP($B4,OFFSET([2]quests!$A$1,0,0,COUNTA([2]quests!$A:$A),MATCH(C$1,[2]quests!$1:$1,0)-MATCH($B$1,[2]quests!$1:$1,0)+1),MATCH(C$1,[2]quests!$1:$1,0)-MATCH($B$1,[2]quests!$1:$1,0)+1,FALSE)</f>
        <v>御館様の懐刀</v>
      </c>
      <c r="D4" s="85" t="str">
        <f ca="1">VLOOKUP($B4,OFFSET([2]quests!$A$1,0,0,COUNTA([2]quests!$A:$A),MATCH(D$1,[2]quests!$1:$1,0)-MATCH($B$1,[2]quests!$1:$1,0)+1),MATCH(D$1,[2]quests!$1:$1,0)-MATCH($B$1,[2]quests!$1:$1,0)+1,FALSE)</f>
        <v>戦国１</v>
      </c>
      <c r="E4" s="86">
        <v>1</v>
      </c>
      <c r="F4" s="85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【中級】御館様の懐刀</v>
      </c>
      <c r="G4" s="85" t="str">
        <f ca="1">VLOOKUP($B4&amp;"_"&amp;$E4,OFFSET([2]stages!$A$1,0,0,COUNTA([2]stages!$A:$A),MATCH(G$1,[2]stages!$2:$2,0)-MATCH("temp_stage",[2]stages!$2:$2,0)+1),MATCH(G$1,[2]stages!$2:$2,0)-MATCH("temp_stage",[2]stages!$2:$2,0)+1,FALSE)</f>
        <v>戦国１</v>
      </c>
      <c r="H4" s="87">
        <v>3</v>
      </c>
      <c r="I4" s="92">
        <f t="shared" si="0"/>
        <v>3</v>
      </c>
      <c r="J4" s="88" t="str">
        <f t="shared" si="1"/>
        <v>3003303</v>
      </c>
      <c r="K4" s="86" t="s">
        <v>197</v>
      </c>
      <c r="L4" s="89" t="s">
        <v>198</v>
      </c>
      <c r="M4" s="112" t="s">
        <v>290</v>
      </c>
      <c r="N4" s="57" t="s">
        <v>286</v>
      </c>
    </row>
    <row r="5" spans="1:14" ht="43" thickBot="1" x14ac:dyDescent="0.2">
      <c r="A5" s="113" t="s">
        <v>196</v>
      </c>
      <c r="B5" s="114">
        <v>30033</v>
      </c>
      <c r="C5" s="115" t="str">
        <f ca="1">VLOOKUP($B5,OFFSET([2]quests!$A$1,0,0,COUNTA([2]quests!$A:$A),MATCH(C$1,[2]quests!$1:$1,0)-MATCH($B$1,[2]quests!$1:$1,0)+1),MATCH(C$1,[2]quests!$1:$1,0)-MATCH($B$1,[2]quests!$1:$1,0)+1,FALSE)</f>
        <v>御館様の懐刀</v>
      </c>
      <c r="D5" s="115" t="str">
        <f ca="1">VLOOKUP($B5,OFFSET([2]quests!$A$1,0,0,COUNTA([2]quests!$A:$A),MATCH(D$1,[2]quests!$1:$1,0)-MATCH($B$1,[2]quests!$1:$1,0)+1),MATCH(D$1,[2]quests!$1:$1,0)-MATCH($B$1,[2]quests!$1:$1,0)+1,FALSE)</f>
        <v>戦国１</v>
      </c>
      <c r="E5" s="116">
        <v>1</v>
      </c>
      <c r="F5" s="115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【中級】御館様の懐刀</v>
      </c>
      <c r="G5" s="115" t="str">
        <f ca="1">VLOOKUP($B5&amp;"_"&amp;$E5,OFFSET([2]stages!$A$1,0,0,COUNTA([2]stages!$A:$A),MATCH(G$1,[2]stages!$2:$2,0)-MATCH("temp_stage",[2]stages!$2:$2,0)+1),MATCH(G$1,[2]stages!$2:$2,0)-MATCH("temp_stage",[2]stages!$2:$2,0)+1,FALSE)</f>
        <v>戦国１</v>
      </c>
      <c r="H5" s="117">
        <v>4</v>
      </c>
      <c r="I5" s="118">
        <f t="shared" si="0"/>
        <v>4</v>
      </c>
      <c r="J5" s="119" t="str">
        <f t="shared" si="1"/>
        <v>3003304</v>
      </c>
      <c r="K5" s="116" t="s">
        <v>197</v>
      </c>
      <c r="L5" s="120" t="s">
        <v>198</v>
      </c>
      <c r="M5" s="121" t="s">
        <v>291</v>
      </c>
      <c r="N5" s="122" t="s">
        <v>287</v>
      </c>
    </row>
    <row r="6" spans="1:14" ht="42" x14ac:dyDescent="0.15">
      <c r="A6" s="83" t="s">
        <v>196</v>
      </c>
      <c r="B6" s="84">
        <v>30033</v>
      </c>
      <c r="C6" s="85" t="str">
        <f ca="1">VLOOKUP($B6,OFFSET([2]quests!$A$1,0,0,COUNTA([2]quests!$A:$A),MATCH(C$1,[2]quests!$1:$1,0)-MATCH($B$1,[2]quests!$1:$1,0)+1),MATCH(C$1,[2]quests!$1:$1,0)-MATCH($B$1,[2]quests!$1:$1,0)+1,FALSE)</f>
        <v>御館様の懐刀</v>
      </c>
      <c r="D6" s="85" t="str">
        <f ca="1">VLOOKUP($B6,OFFSET([2]quests!$A$1,0,0,COUNTA([2]quests!$A:$A),MATCH(D$1,[2]quests!$1:$1,0)-MATCH($B$1,[2]quests!$1:$1,0)+1),MATCH(D$1,[2]quests!$1:$1,0)-MATCH($B$1,[2]quests!$1:$1,0)+1,FALSE)</f>
        <v>戦国１</v>
      </c>
      <c r="E6" s="86">
        <v>2</v>
      </c>
      <c r="F6" s="85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【上級】御館様の懐刀</v>
      </c>
      <c r="G6" s="85" t="str">
        <f ca="1">VLOOKUP($B6&amp;"_"&amp;$E6,OFFSET([2]stages!$A$1,0,0,COUNTA([2]stages!$A:$A),MATCH(G$1,[2]stages!$2:$2,0)-MATCH("temp_stage",[2]stages!$2:$2,0)+1),MATCH(G$1,[2]stages!$2:$2,0)-MATCH("temp_stage",[2]stages!$2:$2,0)+1,FALSE)</f>
        <v>戦国１</v>
      </c>
      <c r="H6" s="87">
        <v>1</v>
      </c>
      <c r="I6" s="92">
        <f>ROW()-1</f>
        <v>5</v>
      </c>
      <c r="J6" s="88" t="str">
        <f>B6&amp;TEXT(I6,"00")</f>
        <v>3003305</v>
      </c>
      <c r="K6" s="86" t="s">
        <v>197</v>
      </c>
      <c r="L6" s="89" t="s">
        <v>198</v>
      </c>
      <c r="M6" s="112" t="s">
        <v>288</v>
      </c>
      <c r="N6" s="57" t="s">
        <v>284</v>
      </c>
    </row>
    <row r="7" spans="1:14" ht="42" x14ac:dyDescent="0.15">
      <c r="A7" s="83" t="s">
        <v>196</v>
      </c>
      <c r="B7" s="84">
        <v>30033</v>
      </c>
      <c r="C7" s="85" t="str">
        <f ca="1">VLOOKUP($B7,OFFSET([2]quests!$A$1,0,0,COUNTA([2]quests!$A:$A),MATCH(C$1,[2]quests!$1:$1,0)-MATCH($B$1,[2]quests!$1:$1,0)+1),MATCH(C$1,[2]quests!$1:$1,0)-MATCH($B$1,[2]quests!$1:$1,0)+1,FALSE)</f>
        <v>御館様の懐刀</v>
      </c>
      <c r="D7" s="85" t="str">
        <f ca="1">VLOOKUP($B7,OFFSET([2]quests!$A$1,0,0,COUNTA([2]quests!$A:$A),MATCH(D$1,[2]quests!$1:$1,0)-MATCH($B$1,[2]quests!$1:$1,0)+1),MATCH(D$1,[2]quests!$1:$1,0)-MATCH($B$1,[2]quests!$1:$1,0)+1,FALSE)</f>
        <v>戦国１</v>
      </c>
      <c r="E7" s="86">
        <v>2</v>
      </c>
      <c r="F7" s="85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【上級】御館様の懐刀</v>
      </c>
      <c r="G7" s="85" t="str">
        <f ca="1">VLOOKUP($B7&amp;"_"&amp;$E7,OFFSET([2]stages!$A$1,0,0,COUNTA([2]stages!$A:$A),MATCH(G$1,[2]stages!$2:$2,0)-MATCH("temp_stage",[2]stages!$2:$2,0)+1),MATCH(G$1,[2]stages!$2:$2,0)-MATCH("temp_stage",[2]stages!$2:$2,0)+1,FALSE)</f>
        <v>戦国１</v>
      </c>
      <c r="H7" s="87">
        <v>2</v>
      </c>
      <c r="I7" s="92">
        <f t="shared" si="0"/>
        <v>6</v>
      </c>
      <c r="J7" s="88" t="str">
        <f t="shared" ref="J7:J9" si="2">B7&amp;TEXT(I7,"00")</f>
        <v>3003306</v>
      </c>
      <c r="K7" s="86" t="s">
        <v>285</v>
      </c>
      <c r="L7" s="89" t="s">
        <v>198</v>
      </c>
      <c r="M7" s="112" t="s">
        <v>289</v>
      </c>
      <c r="N7" s="57" t="s">
        <v>209</v>
      </c>
    </row>
    <row r="8" spans="1:14" ht="42" x14ac:dyDescent="0.15">
      <c r="A8" s="83" t="s">
        <v>196</v>
      </c>
      <c r="B8" s="84">
        <v>30033</v>
      </c>
      <c r="C8" s="85" t="str">
        <f ca="1">VLOOKUP($B8,OFFSET([2]quests!$A$1,0,0,COUNTA([2]quests!$A:$A),MATCH(C$1,[2]quests!$1:$1,0)-MATCH($B$1,[2]quests!$1:$1,0)+1),MATCH(C$1,[2]quests!$1:$1,0)-MATCH($B$1,[2]quests!$1:$1,0)+1,FALSE)</f>
        <v>御館様の懐刀</v>
      </c>
      <c r="D8" s="85" t="str">
        <f ca="1">VLOOKUP($B8,OFFSET([2]quests!$A$1,0,0,COUNTA([2]quests!$A:$A),MATCH(D$1,[2]quests!$1:$1,0)-MATCH($B$1,[2]quests!$1:$1,0)+1),MATCH(D$1,[2]quests!$1:$1,0)-MATCH($B$1,[2]quests!$1:$1,0)+1,FALSE)</f>
        <v>戦国１</v>
      </c>
      <c r="E8" s="86">
        <v>2</v>
      </c>
      <c r="F8" s="85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【上級】御館様の懐刀</v>
      </c>
      <c r="G8" s="85" t="str">
        <f ca="1">VLOOKUP($B8&amp;"_"&amp;$E8,OFFSET([2]stages!$A$1,0,0,COUNTA([2]stages!$A:$A),MATCH(G$1,[2]stages!$2:$2,0)-MATCH("temp_stage",[2]stages!$2:$2,0)+1),MATCH(G$1,[2]stages!$2:$2,0)-MATCH("temp_stage",[2]stages!$2:$2,0)+1,FALSE)</f>
        <v>戦国１</v>
      </c>
      <c r="H8" s="87">
        <v>3</v>
      </c>
      <c r="I8" s="92">
        <f t="shared" si="0"/>
        <v>7</v>
      </c>
      <c r="J8" s="88" t="str">
        <f t="shared" si="2"/>
        <v>3003307</v>
      </c>
      <c r="K8" s="86" t="s">
        <v>197</v>
      </c>
      <c r="L8" s="89" t="s">
        <v>198</v>
      </c>
      <c r="M8" s="112" t="s">
        <v>290</v>
      </c>
      <c r="N8" s="57" t="s">
        <v>286</v>
      </c>
    </row>
    <row r="9" spans="1:14" ht="43" thickBot="1" x14ac:dyDescent="0.2">
      <c r="A9" s="113" t="s">
        <v>196</v>
      </c>
      <c r="B9" s="114">
        <v>30033</v>
      </c>
      <c r="C9" s="115" t="str">
        <f ca="1">VLOOKUP($B9,OFFSET([2]quests!$A$1,0,0,COUNTA([2]quests!$A:$A),MATCH(C$1,[2]quests!$1:$1,0)-MATCH($B$1,[2]quests!$1:$1,0)+1),MATCH(C$1,[2]quests!$1:$1,0)-MATCH($B$1,[2]quests!$1:$1,0)+1,FALSE)</f>
        <v>御館様の懐刀</v>
      </c>
      <c r="D9" s="115" t="str">
        <f ca="1">VLOOKUP($B9,OFFSET([2]quests!$A$1,0,0,COUNTA([2]quests!$A:$A),MATCH(D$1,[2]quests!$1:$1,0)-MATCH($B$1,[2]quests!$1:$1,0)+1),MATCH(D$1,[2]quests!$1:$1,0)-MATCH($B$1,[2]quests!$1:$1,0)+1,FALSE)</f>
        <v>戦国１</v>
      </c>
      <c r="E9" s="116">
        <v>2</v>
      </c>
      <c r="F9" s="115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【上級】御館様の懐刀</v>
      </c>
      <c r="G9" s="115" t="str">
        <f ca="1">VLOOKUP($B9&amp;"_"&amp;$E9,OFFSET([2]stages!$A$1,0,0,COUNTA([2]stages!$A:$A),MATCH(G$1,[2]stages!$2:$2,0)-MATCH("temp_stage",[2]stages!$2:$2,0)+1),MATCH(G$1,[2]stages!$2:$2,0)-MATCH("temp_stage",[2]stages!$2:$2,0)+1,FALSE)</f>
        <v>戦国１</v>
      </c>
      <c r="H9" s="117">
        <v>4</v>
      </c>
      <c r="I9" s="118">
        <f t="shared" si="0"/>
        <v>8</v>
      </c>
      <c r="J9" s="119" t="str">
        <f t="shared" si="2"/>
        <v>3003308</v>
      </c>
      <c r="K9" s="116" t="s">
        <v>197</v>
      </c>
      <c r="L9" s="120" t="s">
        <v>198</v>
      </c>
      <c r="M9" s="121" t="s">
        <v>291</v>
      </c>
      <c r="N9" s="122" t="s">
        <v>287</v>
      </c>
    </row>
    <row r="10" spans="1:14" ht="42" x14ac:dyDescent="0.15">
      <c r="A10" s="83" t="s">
        <v>196</v>
      </c>
      <c r="B10" s="84">
        <v>30033</v>
      </c>
      <c r="C10" s="85" t="str">
        <f ca="1">VLOOKUP($B10,OFFSET([2]quests!$A$1,0,0,COUNTA([2]quests!$A:$A),MATCH(C$1,[2]quests!$1:$1,0)-MATCH($B$1,[2]quests!$1:$1,0)+1),MATCH(C$1,[2]quests!$1:$1,0)-MATCH($B$1,[2]quests!$1:$1,0)+1,FALSE)</f>
        <v>御館様の懐刀</v>
      </c>
      <c r="D10" s="85" t="str">
        <f ca="1">VLOOKUP($B10,OFFSET([2]quests!$A$1,0,0,COUNTA([2]quests!$A:$A),MATCH(D$1,[2]quests!$1:$1,0)-MATCH($B$1,[2]quests!$1:$1,0)+1),MATCH(D$1,[2]quests!$1:$1,0)-MATCH($B$1,[2]quests!$1:$1,0)+1,FALSE)</f>
        <v>戦国１</v>
      </c>
      <c r="E10" s="86">
        <v>3</v>
      </c>
      <c r="F10" s="85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【超級】御館様の懐刀</v>
      </c>
      <c r="G10" s="85" t="str">
        <f ca="1">VLOOKUP($B10&amp;"_"&amp;$E10,OFFSET([2]stages!$A$1,0,0,COUNTA([2]stages!$A:$A),MATCH(G$1,[2]stages!$2:$2,0)-MATCH("temp_stage",[2]stages!$2:$2,0)+1),MATCH(G$1,[2]stages!$2:$2,0)-MATCH("temp_stage",[2]stages!$2:$2,0)+1,FALSE)</f>
        <v>戦国１</v>
      </c>
      <c r="H10" s="87">
        <v>1</v>
      </c>
      <c r="I10" s="92">
        <f>ROW()-1</f>
        <v>9</v>
      </c>
      <c r="J10" s="88" t="str">
        <f>B10&amp;TEXT(I10,"00")</f>
        <v>3003309</v>
      </c>
      <c r="K10" s="86" t="s">
        <v>197</v>
      </c>
      <c r="L10" s="89" t="s">
        <v>198</v>
      </c>
      <c r="M10" s="112" t="s">
        <v>288</v>
      </c>
      <c r="N10" s="57" t="s">
        <v>284</v>
      </c>
    </row>
    <row r="11" spans="1:14" ht="42" x14ac:dyDescent="0.15">
      <c r="A11" s="83" t="s">
        <v>196</v>
      </c>
      <c r="B11" s="84">
        <v>30033</v>
      </c>
      <c r="C11" s="85" t="str">
        <f ca="1">VLOOKUP($B11,OFFSET([2]quests!$A$1,0,0,COUNTA([2]quests!$A:$A),MATCH(C$1,[2]quests!$1:$1,0)-MATCH($B$1,[2]quests!$1:$1,0)+1),MATCH(C$1,[2]quests!$1:$1,0)-MATCH($B$1,[2]quests!$1:$1,0)+1,FALSE)</f>
        <v>御館様の懐刀</v>
      </c>
      <c r="D11" s="85" t="str">
        <f ca="1">VLOOKUP($B11,OFFSET([2]quests!$A$1,0,0,COUNTA([2]quests!$A:$A),MATCH(D$1,[2]quests!$1:$1,0)-MATCH($B$1,[2]quests!$1:$1,0)+1),MATCH(D$1,[2]quests!$1:$1,0)-MATCH($B$1,[2]quests!$1:$1,0)+1,FALSE)</f>
        <v>戦国１</v>
      </c>
      <c r="E11" s="86">
        <v>3</v>
      </c>
      <c r="F11" s="85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【超級】御館様の懐刀</v>
      </c>
      <c r="G11" s="85" t="str">
        <f ca="1">VLOOKUP($B11&amp;"_"&amp;$E11,OFFSET([2]stages!$A$1,0,0,COUNTA([2]stages!$A:$A),MATCH(G$1,[2]stages!$2:$2,0)-MATCH("temp_stage",[2]stages!$2:$2,0)+1),MATCH(G$1,[2]stages!$2:$2,0)-MATCH("temp_stage",[2]stages!$2:$2,0)+1,FALSE)</f>
        <v>戦国１</v>
      </c>
      <c r="H11" s="87">
        <v>2</v>
      </c>
      <c r="I11" s="92">
        <f t="shared" si="0"/>
        <v>10</v>
      </c>
      <c r="J11" s="88" t="str">
        <f t="shared" ref="J11:J13" si="3">B11&amp;TEXT(I11,"00")</f>
        <v>3003310</v>
      </c>
      <c r="K11" s="86" t="s">
        <v>285</v>
      </c>
      <c r="L11" s="89" t="s">
        <v>198</v>
      </c>
      <c r="M11" s="112" t="s">
        <v>289</v>
      </c>
      <c r="N11" s="57" t="s">
        <v>209</v>
      </c>
    </row>
    <row r="12" spans="1:14" ht="42" x14ac:dyDescent="0.15">
      <c r="A12" s="83" t="s">
        <v>196</v>
      </c>
      <c r="B12" s="84">
        <v>30033</v>
      </c>
      <c r="C12" s="85" t="str">
        <f ca="1">VLOOKUP($B12,OFFSET([2]quests!$A$1,0,0,COUNTA([2]quests!$A:$A),MATCH(C$1,[2]quests!$1:$1,0)-MATCH($B$1,[2]quests!$1:$1,0)+1),MATCH(C$1,[2]quests!$1:$1,0)-MATCH($B$1,[2]quests!$1:$1,0)+1,FALSE)</f>
        <v>御館様の懐刀</v>
      </c>
      <c r="D12" s="85" t="str">
        <f ca="1">VLOOKUP($B12,OFFSET([2]quests!$A$1,0,0,COUNTA([2]quests!$A:$A),MATCH(D$1,[2]quests!$1:$1,0)-MATCH($B$1,[2]quests!$1:$1,0)+1),MATCH(D$1,[2]quests!$1:$1,0)-MATCH($B$1,[2]quests!$1:$1,0)+1,FALSE)</f>
        <v>戦国１</v>
      </c>
      <c r="E12" s="86">
        <v>3</v>
      </c>
      <c r="F12" s="85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【超級】御館様の懐刀</v>
      </c>
      <c r="G12" s="85" t="str">
        <f ca="1">VLOOKUP($B12&amp;"_"&amp;$E12,OFFSET([2]stages!$A$1,0,0,COUNTA([2]stages!$A:$A),MATCH(G$1,[2]stages!$2:$2,0)-MATCH("temp_stage",[2]stages!$2:$2,0)+1),MATCH(G$1,[2]stages!$2:$2,0)-MATCH("temp_stage",[2]stages!$2:$2,0)+1,FALSE)</f>
        <v>戦国１</v>
      </c>
      <c r="H12" s="87">
        <v>3</v>
      </c>
      <c r="I12" s="92">
        <f t="shared" si="0"/>
        <v>11</v>
      </c>
      <c r="J12" s="88" t="str">
        <f t="shared" si="3"/>
        <v>3003311</v>
      </c>
      <c r="K12" s="86" t="s">
        <v>197</v>
      </c>
      <c r="L12" s="89" t="s">
        <v>198</v>
      </c>
      <c r="M12" s="112" t="s">
        <v>290</v>
      </c>
      <c r="N12" s="57" t="s">
        <v>286</v>
      </c>
    </row>
    <row r="13" spans="1:14" ht="43" thickBot="1" x14ac:dyDescent="0.2">
      <c r="A13" s="113" t="s">
        <v>196</v>
      </c>
      <c r="B13" s="114">
        <v>30033</v>
      </c>
      <c r="C13" s="115" t="str">
        <f ca="1">VLOOKUP($B13,OFFSET([2]quests!$A$1,0,0,COUNTA([2]quests!$A:$A),MATCH(C$1,[2]quests!$1:$1,0)-MATCH($B$1,[2]quests!$1:$1,0)+1),MATCH(C$1,[2]quests!$1:$1,0)-MATCH($B$1,[2]quests!$1:$1,0)+1,FALSE)</f>
        <v>御館様の懐刀</v>
      </c>
      <c r="D13" s="115" t="str">
        <f ca="1">VLOOKUP($B13,OFFSET([2]quests!$A$1,0,0,COUNTA([2]quests!$A:$A),MATCH(D$1,[2]quests!$1:$1,0)-MATCH($B$1,[2]quests!$1:$1,0)+1),MATCH(D$1,[2]quests!$1:$1,0)-MATCH($B$1,[2]quests!$1:$1,0)+1,FALSE)</f>
        <v>戦国１</v>
      </c>
      <c r="E13" s="116">
        <v>3</v>
      </c>
      <c r="F13" s="115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【超級】御館様の懐刀</v>
      </c>
      <c r="G13" s="115" t="str">
        <f ca="1">VLOOKUP($B13&amp;"_"&amp;$E13,OFFSET([2]stages!$A$1,0,0,COUNTA([2]stages!$A:$A),MATCH(G$1,[2]stages!$2:$2,0)-MATCH("temp_stage",[2]stages!$2:$2,0)+1),MATCH(G$1,[2]stages!$2:$2,0)-MATCH("temp_stage",[2]stages!$2:$2,0)+1,FALSE)</f>
        <v>戦国１</v>
      </c>
      <c r="H13" s="117">
        <v>4</v>
      </c>
      <c r="I13" s="118">
        <f t="shared" si="0"/>
        <v>12</v>
      </c>
      <c r="J13" s="119" t="str">
        <f t="shared" si="3"/>
        <v>3003312</v>
      </c>
      <c r="K13" s="116" t="s">
        <v>197</v>
      </c>
      <c r="L13" s="120" t="s">
        <v>198</v>
      </c>
      <c r="M13" s="121" t="s">
        <v>291</v>
      </c>
      <c r="N13" s="122" t="s">
        <v>287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2017-03-08T06:27:33Z</dcterms:modified>
</cp:coreProperties>
</file>