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460" yWindow="460" windowWidth="25140" windowHeight="14640" tabRatio="943" activeTab="2"/>
  </bookViews>
  <sheets>
    <sheet name="確率の考え方" sheetId="110" r:id="rId1"/>
    <sheet name="Sheet1" sheetId="107" r:id="rId2"/>
    <sheet name="output" sheetId="103" r:id="rId3"/>
    <sheet name="tables_209" sheetId="117" r:id="rId4"/>
    <sheet name="gacha_bonus_tables" sheetId="98" r:id="rId5"/>
    <sheet name="R6追加前" sheetId="111" r:id="rId6"/>
    <sheet name="R6開放" sheetId="112" r:id="rId7"/>
    <sheet name="前回メタルとの比較" sheetId="118" r:id="rId8"/>
  </sheets>
  <externalReferences>
    <externalReference r:id="rId9"/>
  </externalReferences>
  <definedNames>
    <definedName name="_xlnm._FilterDatabase" localSheetId="4" hidden="1">gacha_bonus_tables!$A$1:$F$1</definedName>
    <definedName name="_xlnm._FilterDatabase" localSheetId="3" hidden="1">tables_209!$A$1:$V$17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17" i="117" l="1"/>
  <c r="O16" i="117"/>
  <c r="O15" i="117"/>
  <c r="O14" i="117"/>
  <c r="O13" i="117"/>
  <c r="O12" i="117"/>
  <c r="O11" i="117"/>
  <c r="O10" i="117"/>
  <c r="O9" i="117"/>
  <c r="O8" i="117"/>
  <c r="O7" i="117"/>
  <c r="O6" i="117"/>
  <c r="O5" i="117"/>
  <c r="O4" i="117"/>
  <c r="O3" i="117"/>
  <c r="O2" i="117"/>
  <c r="D11" i="118"/>
  <c r="D12" i="118"/>
  <c r="D13" i="118"/>
  <c r="D14" i="118"/>
  <c r="D15" i="118"/>
  <c r="D7" i="118"/>
  <c r="D4" i="118"/>
  <c r="D5" i="118"/>
  <c r="D6" i="118"/>
  <c r="D3" i="118"/>
  <c r="P2" i="117"/>
  <c r="P3" i="117"/>
  <c r="P4" i="117"/>
  <c r="P5" i="117"/>
  <c r="P6" i="117"/>
  <c r="P7" i="117"/>
  <c r="P8" i="117"/>
  <c r="P9" i="117"/>
  <c r="P10" i="117"/>
  <c r="P11" i="117"/>
  <c r="P12" i="117"/>
  <c r="P13" i="117"/>
  <c r="P14" i="117"/>
  <c r="B4" i="117"/>
  <c r="B5" i="117"/>
  <c r="B6" i="117"/>
  <c r="B7" i="117"/>
  <c r="B8" i="117"/>
  <c r="B9" i="117"/>
  <c r="B10" i="117"/>
  <c r="B11" i="117"/>
  <c r="B12" i="117"/>
  <c r="B13" i="117"/>
  <c r="B14" i="117"/>
  <c r="B15" i="117"/>
  <c r="B16" i="117"/>
  <c r="B17" i="117"/>
  <c r="B3" i="117"/>
  <c r="C2" i="103"/>
  <c r="I2" i="117"/>
  <c r="D2" i="117"/>
  <c r="J2" i="117"/>
  <c r="E2" i="117"/>
  <c r="F2" i="117"/>
  <c r="C2" i="117"/>
  <c r="I3" i="117"/>
  <c r="D3" i="117"/>
  <c r="J3" i="117"/>
  <c r="E3" i="117"/>
  <c r="F3" i="117"/>
  <c r="C3" i="117"/>
  <c r="I4" i="117"/>
  <c r="D4" i="117"/>
  <c r="J4" i="117"/>
  <c r="E4" i="117"/>
  <c r="F4" i="117"/>
  <c r="C4" i="117"/>
  <c r="I5" i="117"/>
  <c r="D5" i="117"/>
  <c r="J5" i="117"/>
  <c r="E5" i="117"/>
  <c r="F5" i="117"/>
  <c r="C5" i="117"/>
  <c r="I6" i="117"/>
  <c r="D6" i="117"/>
  <c r="J6" i="117"/>
  <c r="E6" i="117"/>
  <c r="F6" i="117"/>
  <c r="C6" i="117"/>
  <c r="I7" i="117"/>
  <c r="D7" i="117"/>
  <c r="J7" i="117"/>
  <c r="E7" i="117"/>
  <c r="F7" i="117"/>
  <c r="C7" i="117"/>
  <c r="I8" i="117"/>
  <c r="D8" i="117"/>
  <c r="J8" i="117"/>
  <c r="E8" i="117"/>
  <c r="F8" i="117"/>
  <c r="C8" i="117"/>
  <c r="I9" i="117"/>
  <c r="D9" i="117"/>
  <c r="J9" i="117"/>
  <c r="E9" i="117"/>
  <c r="F9" i="117"/>
  <c r="C9" i="117"/>
  <c r="I10" i="117"/>
  <c r="D10" i="117"/>
  <c r="J10" i="117"/>
  <c r="E10" i="117"/>
  <c r="F10" i="117"/>
  <c r="C10" i="117"/>
  <c r="I11" i="117"/>
  <c r="D11" i="117"/>
  <c r="J11" i="117"/>
  <c r="E11" i="117"/>
  <c r="F11" i="117"/>
  <c r="C11" i="117"/>
  <c r="I12" i="117"/>
  <c r="D12" i="117"/>
  <c r="J12" i="117"/>
  <c r="E12" i="117"/>
  <c r="F12" i="117"/>
  <c r="C12" i="117"/>
  <c r="I13" i="117"/>
  <c r="D13" i="117"/>
  <c r="J13" i="117"/>
  <c r="E13" i="117"/>
  <c r="F13" i="117"/>
  <c r="C13" i="117"/>
  <c r="I14" i="117"/>
  <c r="D14" i="117"/>
  <c r="J14" i="117"/>
  <c r="E14" i="117"/>
  <c r="F14" i="117"/>
  <c r="C14" i="117"/>
  <c r="I15" i="117"/>
  <c r="D15" i="117"/>
  <c r="J15" i="117"/>
  <c r="E15" i="117"/>
  <c r="F15" i="117"/>
  <c r="C15" i="117"/>
  <c r="I16" i="117"/>
  <c r="D16" i="117"/>
  <c r="J16" i="117"/>
  <c r="E16" i="117"/>
  <c r="F16" i="117"/>
  <c r="C16" i="117"/>
  <c r="I17" i="117"/>
  <c r="D17" i="117"/>
  <c r="J17" i="117"/>
  <c r="E17" i="117"/>
  <c r="F17" i="117"/>
  <c r="C17" i="117"/>
  <c r="P17" i="117"/>
  <c r="N17" i="117"/>
  <c r="M17" i="117"/>
  <c r="L17" i="117"/>
  <c r="K17" i="117"/>
  <c r="H17" i="117"/>
  <c r="P16" i="117"/>
  <c r="N16" i="117"/>
  <c r="M16" i="117"/>
  <c r="L16" i="117"/>
  <c r="K16" i="117"/>
  <c r="H16" i="117"/>
  <c r="P15" i="117"/>
  <c r="N15" i="117"/>
  <c r="M15" i="117"/>
  <c r="L15" i="117"/>
  <c r="K15" i="117"/>
  <c r="H15" i="117"/>
  <c r="N14" i="117"/>
  <c r="M14" i="117"/>
  <c r="L14" i="117"/>
  <c r="K14" i="117"/>
  <c r="H14" i="117"/>
  <c r="N13" i="117"/>
  <c r="M13" i="117"/>
  <c r="L13" i="117"/>
  <c r="K13" i="117"/>
  <c r="H13" i="117"/>
  <c r="N12" i="117"/>
  <c r="M12" i="117"/>
  <c r="L12" i="117"/>
  <c r="K12" i="117"/>
  <c r="H12" i="117"/>
  <c r="N11" i="117"/>
  <c r="M11" i="117"/>
  <c r="L11" i="117"/>
  <c r="K11" i="117"/>
  <c r="H11" i="117"/>
  <c r="N10" i="117"/>
  <c r="M10" i="117"/>
  <c r="L10" i="117"/>
  <c r="K10" i="117"/>
  <c r="H10" i="117"/>
  <c r="N9" i="117"/>
  <c r="M9" i="117"/>
  <c r="L9" i="117"/>
  <c r="K9" i="117"/>
  <c r="H9" i="117"/>
  <c r="N8" i="117"/>
  <c r="M8" i="117"/>
  <c r="L8" i="117"/>
  <c r="K8" i="117"/>
  <c r="H8" i="117"/>
  <c r="N7" i="117"/>
  <c r="M7" i="117"/>
  <c r="L7" i="117"/>
  <c r="K7" i="117"/>
  <c r="H7" i="117"/>
  <c r="N6" i="117"/>
  <c r="M6" i="117"/>
  <c r="L6" i="117"/>
  <c r="K6" i="117"/>
  <c r="H6" i="117"/>
  <c r="N5" i="117"/>
  <c r="M5" i="117"/>
  <c r="L5" i="117"/>
  <c r="K5" i="117"/>
  <c r="H5" i="117"/>
  <c r="N4" i="117"/>
  <c r="M4" i="117"/>
  <c r="L4" i="117"/>
  <c r="K4" i="117"/>
  <c r="H4" i="117"/>
  <c r="N3" i="117"/>
  <c r="M3" i="117"/>
  <c r="L3" i="117"/>
  <c r="K3" i="117"/>
  <c r="H3" i="117"/>
  <c r="N2" i="117"/>
  <c r="M2" i="117"/>
  <c r="L2" i="117"/>
  <c r="K2" i="117"/>
  <c r="H2" i="117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3" i="103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<sst xmlns="http://schemas.openxmlformats.org/spreadsheetml/2006/main" count="249" uniqueCount="171">
  <si>
    <t>character_id</t>
  </si>
  <si>
    <t>character_id</t>
    <phoneticPr fontId="20"/>
  </si>
  <si>
    <t>weight</t>
    <phoneticPr fontId="20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</si>
  <si>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</si>
  <si>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</si>
  <si>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</si>
  <si>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</si>
  <si>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</si>
  <si>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</si>
  <si>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</si>
  <si>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0"/>
  </si>
  <si>
    <t>bonus_table_no</t>
    <phoneticPr fontId="20"/>
  </si>
  <si>
    <t>weight</t>
    <phoneticPr fontId="20"/>
  </si>
  <si>
    <t>gift_id</t>
    <phoneticPr fontId="20"/>
  </si>
  <si>
    <t>gift_id</t>
    <phoneticPr fontId="20"/>
  </si>
  <si>
    <t>gift_type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</si>
  <si>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</si>
  <si>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</si>
  <si>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</si>
  <si>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</si>
  <si>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</si>
  <si>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</si>
  <si>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gift_id</t>
    <phoneticPr fontId="20"/>
  </si>
  <si>
    <t>gift_value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</si>
  <si>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</si>
  <si>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</si>
  <si>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</si>
  <si>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</si>
  <si>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</si>
  <si>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</si>
  <si>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gift_type</t>
    <phoneticPr fontId="20"/>
  </si>
  <si>
    <t>備考</t>
    <rPh sb="0" eb="2">
      <t>ビコウ</t>
    </rPh>
    <phoneticPr fontId="20"/>
  </si>
  <si>
    <t>character_id</t>
    <phoneticPr fontId="20"/>
  </si>
  <si>
    <t>name</t>
    <phoneticPr fontId="20"/>
  </si>
  <si>
    <t>drop_label</t>
    <phoneticPr fontId="20"/>
  </si>
  <si>
    <t>rare</t>
    <phoneticPr fontId="20"/>
  </si>
  <si>
    <t>character_type_id</t>
    <phoneticPr fontId="20"/>
  </si>
  <si>
    <t>character_tribe_id</t>
    <phoneticPr fontId="20"/>
  </si>
  <si>
    <t>unit_level</t>
    <phoneticPr fontId="20"/>
  </si>
  <si>
    <t>接頭語</t>
    <rPh sb="0" eb="3">
      <t>セットウゴ</t>
    </rPh>
    <phoneticPr fontId="53"/>
  </si>
  <si>
    <t>識別子</t>
    <rPh sb="0" eb="3">
      <t>シキベツシ</t>
    </rPh>
    <phoneticPr fontId="53"/>
  </si>
  <si>
    <t>形式</t>
    <rPh sb="0" eb="2">
      <t>ケイシキ</t>
    </rPh>
    <phoneticPr fontId="53"/>
  </si>
  <si>
    <t>出力ファイル名</t>
    <rPh sb="0" eb="2">
      <t>シュツリョク</t>
    </rPh>
    <rPh sb="6" eb="7">
      <t>メイ</t>
    </rPh>
    <phoneticPr fontId="53"/>
  </si>
  <si>
    <t>入力シート名</t>
    <rPh sb="0" eb="2">
      <t>ニュウリョク</t>
    </rPh>
    <rPh sb="5" eb="6">
      <t>メイ</t>
    </rPh>
    <phoneticPr fontId="53"/>
  </si>
  <si>
    <t>出力データ</t>
    <rPh sb="0" eb="2">
      <t>シュツリョク</t>
    </rPh>
    <phoneticPr fontId="53"/>
  </si>
  <si>
    <t>.tmp</t>
    <phoneticPr fontId="53"/>
  </si>
  <si>
    <t>.tmp</t>
    <phoneticPr fontId="53"/>
  </si>
  <si>
    <t>gacha_bonus_tables</t>
    <phoneticPr fontId="53"/>
  </si>
  <si>
    <t>gifts_tmp_</t>
    <phoneticPr fontId="20"/>
  </si>
  <si>
    <t>gifts_i18n_</t>
    <phoneticPr fontId="20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</si>
  <si>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0"/>
  </si>
  <si>
    <t>出力flg</t>
    <rPh sb="0" eb="2">
      <t>シュツリョク</t>
    </rPh>
    <phoneticPr fontId="53"/>
  </si>
  <si>
    <t>color</t>
    <phoneticPr fontId="20"/>
  </si>
  <si>
    <t>skip</t>
    <phoneticPr fontId="20"/>
  </si>
  <si>
    <t>hogehoge</t>
    <phoneticPr fontId="20"/>
  </si>
  <si>
    <t>性別</t>
    <rPh sb="0" eb="2">
      <t>セイベツ</t>
    </rPh>
    <phoneticPr fontId="20"/>
  </si>
  <si>
    <t>ピックアップ確率</t>
    <rPh sb="6" eb="8">
      <t>カクリツ</t>
    </rPh>
    <phoneticPr fontId="20"/>
  </si>
  <si>
    <t>確率</t>
    <rPh sb="0" eb="2">
      <t>カクリツ</t>
    </rPh>
    <phoneticPr fontId="20"/>
  </si>
  <si>
    <t>名前</t>
    <rPh sb="0" eb="2">
      <t>ナマエ</t>
    </rPh>
    <phoneticPr fontId="20"/>
  </si>
  <si>
    <t>テーブルを増やしたい場合</t>
    <rPh sb="5" eb="6">
      <t>フ</t>
    </rPh>
    <rPh sb="10" eb="12">
      <t>バアイ</t>
    </rPh>
    <phoneticPr fontId="2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</si>
  <si>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</si>
  <si>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0"/>
  </si>
  <si>
    <t>３．outputシートで２で作ったtablesを指定する</t>
    <rPh sb="14" eb="15">
      <t>ツク</t>
    </rPh>
    <rPh sb="24" eb="26">
      <t>シテイ</t>
    </rPh>
    <phoneticPr fontId="20"/>
  </si>
  <si>
    <t>table_no</t>
    <phoneticPr fontId="20"/>
  </si>
  <si>
    <t>table_no</t>
    <phoneticPr fontId="20"/>
  </si>
  <si>
    <t>skill_level</t>
  </si>
  <si>
    <t>level</t>
  </si>
  <si>
    <t>hp_plus</t>
    <phoneticPr fontId="53"/>
  </si>
  <si>
    <t>attack_plus</t>
    <phoneticPr fontId="53"/>
  </si>
  <si>
    <t>heal_plus</t>
    <phoneticPr fontId="53"/>
  </si>
  <si>
    <t>defense_plus</t>
    <phoneticPr fontId="53"/>
  </si>
  <si>
    <t>level</t>
    <phoneticPr fontId="53"/>
  </si>
  <si>
    <t>skill_level</t>
    <phoneticPr fontId="53"/>
  </si>
  <si>
    <t>bug</t>
    <phoneticPr fontId="53"/>
  </si>
  <si>
    <t>ja</t>
    <phoneticPr fontId="20"/>
  </si>
  <si>
    <t>drop_label2</t>
    <phoneticPr fontId="20"/>
  </si>
  <si>
    <t>color2</t>
    <phoneticPr fontId="20"/>
  </si>
  <si>
    <t>gacha_select_tables_</t>
    <phoneticPr fontId="20"/>
  </si>
  <si>
    <t>ラベル確率で考えましょう</t>
    <rPh sb="6" eb="7">
      <t>カンガエマショウ</t>
    </rPh>
    <phoneticPr fontId="53"/>
  </si>
  <si>
    <t>ラベル</t>
    <phoneticPr fontId="53"/>
  </si>
  <si>
    <t>レアリティ</t>
    <phoneticPr fontId="53"/>
  </si>
  <si>
    <t>{W}</t>
    <phoneticPr fontId="53"/>
  </si>
  <si>
    <t>{N,S}</t>
    <phoneticPr fontId="53"/>
  </si>
  <si>
    <t>{N,S}R3less</t>
    <phoneticPr fontId="53"/>
  </si>
  <si>
    <t>{N,S}R6release</t>
    <phoneticPr fontId="53"/>
  </si>
  <si>
    <t>{SS}</t>
    <phoneticPr fontId="53"/>
  </si>
  <si>
    <t>{SS}R6only</t>
    <phoneticPr fontId="53"/>
  </si>
  <si>
    <t>小計</t>
    <rPh sb="0" eb="2">
      <t>ショウケイ</t>
    </rPh>
    <phoneticPr fontId="53"/>
  </si>
  <si>
    <t>A</t>
    <phoneticPr fontId="53"/>
  </si>
  <si>
    <t>C</t>
    <phoneticPr fontId="53"/>
  </si>
  <si>
    <t>H</t>
    <phoneticPr fontId="53"/>
  </si>
  <si>
    <t>B</t>
    <phoneticPr fontId="53"/>
  </si>
  <si>
    <t>D</t>
    <phoneticPr fontId="53"/>
  </si>
  <si>
    <t>F</t>
    <phoneticPr fontId="53"/>
  </si>
  <si>
    <t>I</t>
    <phoneticPr fontId="53"/>
  </si>
  <si>
    <t>K</t>
    <phoneticPr fontId="53"/>
  </si>
  <si>
    <t>E</t>
    <phoneticPr fontId="53"/>
  </si>
  <si>
    <t>G</t>
    <phoneticPr fontId="53"/>
  </si>
  <si>
    <t>J</t>
    <phoneticPr fontId="53"/>
  </si>
  <si>
    <t>L</t>
    <phoneticPr fontId="53"/>
  </si>
  <si>
    <t>M</t>
    <phoneticPr fontId="53"/>
  </si>
  <si>
    <t>→</t>
    <phoneticPr fontId="53"/>
  </si>
  <si>
    <t>1-SS率</t>
    <rPh sb="4" eb="5">
      <t>リツ</t>
    </rPh>
    <phoneticPr fontId="53"/>
  </si>
  <si>
    <t>SS率</t>
    <rPh sb="2" eb="3">
      <t>リツ</t>
    </rPh>
    <phoneticPr fontId="53"/>
  </si>
  <si>
    <t>考え方を変える</t>
    <rPh sb="0" eb="1">
      <t>カンガエカタ</t>
    </rPh>
    <rPh sb="4" eb="5">
      <t>カエル</t>
    </rPh>
    <phoneticPr fontId="53"/>
  </si>
  <si>
    <t>SS4%は確定事項</t>
    <rPh sb="5" eb="7">
      <t>カクテイ</t>
    </rPh>
    <rPh sb="7" eb="9">
      <t>ジコウ</t>
    </rPh>
    <phoneticPr fontId="53"/>
  </si>
  <si>
    <t>当たりは分配</t>
    <rPh sb="0" eb="1">
      <t>アタリ</t>
    </rPh>
    <rPh sb="4" eb="6">
      <t>ブンパイ</t>
    </rPh>
    <phoneticPr fontId="5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</si>
  <si>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3"/>
  </si>
  <si>
    <t>=</t>
    <phoneticPr fontId="53"/>
  </si>
  <si>
    <t>X*{SS R5only}</t>
    <phoneticPr fontId="53"/>
  </si>
  <si>
    <t>K</t>
    <phoneticPr fontId="53"/>
  </si>
  <si>
    <t>=</t>
    <phoneticPr fontId="53"/>
  </si>
  <si>
    <t>X*{SS}*(R3率+R4率)</t>
    <rPh sb="10" eb="11">
      <t>リツ</t>
    </rPh>
    <rPh sb="14" eb="15">
      <t>リツ</t>
    </rPh>
    <phoneticPr fontId="53"/>
  </si>
  <si>
    <t>L</t>
    <phoneticPr fontId="53"/>
  </si>
  <si>
    <t>X*{SS}*R5率</t>
    <rPh sb="9" eb="10">
      <t>リツ</t>
    </rPh>
    <phoneticPr fontId="53"/>
  </si>
  <si>
    <t>X*{R6release}*R3率</t>
    <rPh sb="16" eb="17">
      <t>リツ</t>
    </rPh>
    <phoneticPr fontId="53"/>
  </si>
  <si>
    <t>X*{R6release}*R4率</t>
    <rPh sb="16" eb="17">
      <t>リツ</t>
    </rPh>
    <phoneticPr fontId="53"/>
  </si>
  <si>
    <t>J</t>
    <phoneticPr fontId="53"/>
  </si>
  <si>
    <t>X*{R6release}*R5率</t>
    <rPh sb="16" eb="17">
      <t>リツ</t>
    </rPh>
    <phoneticPr fontId="53"/>
  </si>
  <si>
    <t>ハズレで確率を整える</t>
    <rPh sb="4" eb="6">
      <t>カクリツ</t>
    </rPh>
    <rPh sb="7" eb="8">
      <t>トトノエル</t>
    </rPh>
    <phoneticPr fontId="5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</si>
  <si>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3"/>
  </si>
  <si>
    <t>A + C</t>
    <phoneticPr fontId="53"/>
  </si>
  <si>
    <t>=</t>
    <phoneticPr fontId="53"/>
  </si>
  <si>
    <t>50%-H</t>
    <phoneticPr fontId="53"/>
  </si>
  <si>
    <t>①</t>
    <phoneticPr fontId="53"/>
  </si>
  <si>
    <t>B + D + F</t>
    <phoneticPr fontId="53"/>
  </si>
  <si>
    <t>45%-I-K</t>
    <phoneticPr fontId="53"/>
  </si>
  <si>
    <t>②</t>
    <phoneticPr fontId="53"/>
  </si>
  <si>
    <t>E+G</t>
    <phoneticPr fontId="53"/>
  </si>
  <si>
    <t>5%-J-L-M</t>
    <phoneticPr fontId="53"/>
  </si>
  <si>
    <t>③</t>
    <phoneticPr fontId="53"/>
  </si>
  <si>
    <t>A+B</t>
    <phoneticPr fontId="53"/>
  </si>
  <si>
    <t>Y*{W}</t>
    <phoneticPr fontId="53"/>
  </si>
  <si>
    <t>④</t>
    <phoneticPr fontId="53"/>
  </si>
  <si>
    <t>C+D+E</t>
    <phoneticPr fontId="53"/>
  </si>
  <si>
    <t>Y*{N,S}</t>
    <phoneticPr fontId="53"/>
  </si>
  <si>
    <t>⑤</t>
    <phoneticPr fontId="53"/>
  </si>
  <si>
    <t>F+G</t>
    <phoneticPr fontId="53"/>
  </si>
  <si>
    <t>Y*{N,S R3less}</t>
    <phoneticPr fontId="53"/>
  </si>
  <si>
    <t>⑥</t>
    <phoneticPr fontId="53"/>
  </si>
  <si>
    <t>A+B+C+D+E+F+G</t>
    <phoneticPr fontId="53"/>
  </si>
  <si>
    <t>⑦</t>
    <phoneticPr fontId="53"/>
  </si>
  <si>
    <t>←これは4,5,6で作れるのでダメだわ</t>
    <rPh sb="10" eb="11">
      <t>ツクレル</t>
    </rPh>
    <phoneticPr fontId="53"/>
  </si>
  <si>
    <t>E*R3率/R5率</t>
    <rPh sb="4" eb="5">
      <t>リツ</t>
    </rPh>
    <rPh sb="8" eb="9">
      <t>リツ</t>
    </rPh>
    <phoneticPr fontId="5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</si>
  <si>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3"/>
  </si>
  <si>
    <t>E*R4率/R5率</t>
    <rPh sb="4" eb="5">
      <t>リツ</t>
    </rPh>
    <rPh sb="8" eb="9">
      <t>リツ</t>
    </rPh>
    <phoneticPr fontId="53"/>
  </si>
  <si>
    <t>∴</t>
    <phoneticPr fontId="53"/>
  </si>
  <si>
    <t>E</t>
    <phoneticPr fontId="53"/>
  </si>
  <si>
    <t>Y*{N,S}*R5率</t>
    <rPh sb="10" eb="11">
      <t>リツ</t>
    </rPh>
    <phoneticPr fontId="53"/>
  </si>
  <si>
    <t>Y*{N,S}*R4率</t>
    <rPh sb="10" eb="11">
      <t>リツ</t>
    </rPh>
    <phoneticPr fontId="53"/>
  </si>
  <si>
    <t>Y*{N,S}*R3率</t>
    <rPh sb="10" eb="11">
      <t>リツ</t>
    </rPh>
    <phoneticPr fontId="53"/>
  </si>
  <si>
    <t>50%-H-C</t>
    <phoneticPr fontId="53"/>
  </si>
  <si>
    <t>Y*{W}-A</t>
    <phoneticPr fontId="53"/>
  </si>
  <si>
    <t>5%-J-L-M-E</t>
    <phoneticPr fontId="53"/>
  </si>
  <si>
    <t>Y*{N,S R3less} - G</t>
    <phoneticPr fontId="53"/>
  </si>
  <si>
    <t>R6境界前後</t>
    <rPh sb="2" eb="4">
      <t>キョウカイ</t>
    </rPh>
    <rPh sb="4" eb="6">
      <t>ゼンゴ</t>
    </rPh>
    <phoneticPr fontId="20"/>
  </si>
  <si>
    <t>R6事後開放N,S</t>
    <rPh sb="2" eb="6">
      <t>ジゴカイホウ</t>
    </rPh>
    <phoneticPr fontId="20"/>
  </si>
  <si>
    <t>tables_339100</t>
    <phoneticPr fontId="20"/>
  </si>
  <si>
    <t>skip</t>
    <phoneticPr fontId="20"/>
  </si>
  <si>
    <t>old</t>
    <phoneticPr fontId="20"/>
  </si>
  <si>
    <t>tables_209</t>
    <phoneticPr fontId="20"/>
  </si>
  <si>
    <t>ピヨピヨ</t>
    <phoneticPr fontId="20"/>
  </si>
  <si>
    <t>チック</t>
    <phoneticPr fontId="20"/>
  </si>
  <si>
    <t>ダック</t>
    <phoneticPr fontId="20"/>
  </si>
  <si>
    <t>ジェントル</t>
    <phoneticPr fontId="20"/>
  </si>
  <si>
    <t>ユニット</t>
    <phoneticPr fontId="20"/>
  </si>
  <si>
    <t>獲得exp</t>
    <phoneticPr fontId="20"/>
  </si>
  <si>
    <t>出現確率</t>
    <phoneticPr fontId="20"/>
  </si>
  <si>
    <t>期待値</t>
    <phoneticPr fontId="20"/>
  </si>
  <si>
    <t>前回</t>
    <phoneticPr fontId="20"/>
  </si>
  <si>
    <t>今回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</si>
</sst>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%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12"/>
      <name val="ＭＳ Ｐゴシック"/>
      <family val="3"/>
      <charset val="128"/>
    </font>
    <font>
      <sz val="12"/>
      <name val="MS PGothic"/>
      <family val="3"/>
      <charset val="128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663">
    <xf numFmtId="0" fontId="0" fillId="0" borderId="0"/>
    <xf numFmtId="0" fontId="19" fillId="0" borderId="0"/>
    <xf numFmtId="0" fontId="23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8" fillId="0" borderId="0"/>
    <xf numFmtId="0" fontId="30" fillId="5" borderId="2" applyNumberFormat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5" fillId="9" borderId="4" applyNumberFormat="0" applyAlignment="0" applyProtection="0"/>
    <xf numFmtId="0" fontId="36" fillId="0" borderId="0" applyNumberFormat="0" applyFill="0" applyBorder="0" applyAlignment="0" applyProtection="0"/>
    <xf numFmtId="0" fontId="37" fillId="0" borderId="5" applyNumberFormat="0" applyFill="0" applyAlignment="0" applyProtection="0"/>
    <xf numFmtId="0" fontId="38" fillId="0" borderId="6" applyNumberFormat="0" applyFill="0" applyAlignment="0" applyProtection="0"/>
    <xf numFmtId="0" fontId="39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0" fillId="6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1" borderId="0" applyNumberFormat="0" applyBorder="0" applyAlignment="0" applyProtection="0"/>
    <xf numFmtId="0" fontId="40" fillId="5" borderId="0" applyNumberFormat="0" applyBorder="0" applyAlignment="0" applyProtection="0"/>
    <xf numFmtId="0" fontId="40" fillId="7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3" borderId="0" applyNumberFormat="0" applyBorder="0" applyAlignment="0" applyProtection="0"/>
    <xf numFmtId="0" fontId="40" fillId="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4" borderId="0" applyNumberFormat="0" applyBorder="0" applyAlignment="0" applyProtection="0"/>
    <xf numFmtId="0" fontId="41" fillId="6" borderId="0" applyNumberFormat="0" applyBorder="0" applyAlignment="0" applyProtection="0"/>
    <xf numFmtId="0" fontId="33" fillId="0" borderId="0" applyNumberFormat="0" applyFill="0" applyBorder="0" applyAlignment="0" applyProtection="0"/>
    <xf numFmtId="0" fontId="41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0" borderId="0" applyNumberFormat="0" applyBorder="0" applyAlignment="0" applyProtection="0"/>
    <xf numFmtId="0" fontId="41" fillId="1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2" fillId="17" borderId="0" applyNumberFormat="0" applyBorder="0" applyAlignment="0" applyProtection="0"/>
    <xf numFmtId="0" fontId="31" fillId="6" borderId="0" applyNumberFormat="0" applyBorder="0" applyAlignment="0" applyProtection="0"/>
    <xf numFmtId="0" fontId="43" fillId="0" borderId="8" applyNumberFormat="0" applyFill="0" applyAlignment="0" applyProtection="0"/>
    <xf numFmtId="0" fontId="44" fillId="7" borderId="9" applyNumberFormat="0" applyAlignment="0" applyProtection="0"/>
    <xf numFmtId="0" fontId="44" fillId="18" borderId="9" applyNumberFormat="0" applyAlignment="0" applyProtection="0"/>
    <xf numFmtId="0" fontId="32" fillId="6" borderId="3" applyNumberFormat="0" applyAlignment="0" applyProtection="0"/>
    <xf numFmtId="0" fontId="45" fillId="0" borderId="10" applyNumberFormat="0" applyFill="0" applyAlignment="0" applyProtection="0"/>
    <xf numFmtId="0" fontId="46" fillId="18" borderId="3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1" applyNumberFormat="0" applyFill="0" applyAlignment="0" applyProtection="0"/>
    <xf numFmtId="38" fontId="18" fillId="0" borderId="0" applyFont="0" applyFill="0" applyBorder="0" applyAlignment="0" applyProtection="0">
      <alignment vertical="center"/>
    </xf>
    <xf numFmtId="0" fontId="49" fillId="19" borderId="0" applyNumberFormat="0" applyBorder="0" applyAlignment="0" applyProtection="0"/>
    <xf numFmtId="0" fontId="50" fillId="20" borderId="0" applyNumberFormat="0" applyBorder="0" applyAlignment="0" applyProtection="0"/>
    <xf numFmtId="0" fontId="18" fillId="0" borderId="0"/>
    <xf numFmtId="0" fontId="51" fillId="20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3" fillId="0" borderId="0"/>
    <xf numFmtId="0" fontId="54" fillId="0" borderId="0">
      <alignment vertical="center"/>
    </xf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1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9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6" fillId="0" borderId="0"/>
  </cellStyleXfs>
  <cellXfs count="56">
    <xf numFmtId="0" fontId="0" fillId="0" borderId="0" xfId="0"/>
    <xf numFmtId="0" fontId="25" fillId="0" borderId="0" xfId="2" applyFont="1" applyAlignment="1">
      <alignment vertical="center"/>
    </xf>
    <xf numFmtId="0" fontId="25" fillId="0" borderId="1" xfId="2" applyFont="1" applyBorder="1" applyAlignment="1">
      <alignment vertical="center"/>
    </xf>
    <xf numFmtId="0" fontId="25" fillId="3" borderId="1" xfId="2" applyFont="1" applyFill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25" fillId="4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horizontal="right" vertical="center"/>
    </xf>
    <xf numFmtId="0" fontId="25" fillId="3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0" fontId="24" fillId="4" borderId="12" xfId="0" applyFont="1" applyFill="1" applyBorder="1" applyAlignment="1">
      <alignment horizontal="right" vertical="center"/>
    </xf>
    <xf numFmtId="0" fontId="24" fillId="4" borderId="13" xfId="0" applyFont="1" applyFill="1" applyBorder="1" applyAlignment="1">
      <alignment horizontal="right" vertical="center"/>
    </xf>
    <xf numFmtId="0" fontId="25" fillId="2" borderId="1" xfId="2" applyFont="1" applyFill="1" applyBorder="1" applyAlignment="1">
      <alignment horizontal="left" vertical="center"/>
    </xf>
    <xf numFmtId="0" fontId="52" fillId="21" borderId="1" xfId="0" applyFont="1" applyFill="1" applyBorder="1" applyAlignment="1">
      <alignment horizontal="left" vertical="center"/>
    </xf>
    <xf numFmtId="0" fontId="25" fillId="2" borderId="1" xfId="2" applyFont="1" applyFill="1" applyBorder="1" applyAlignment="1">
      <alignment horizontal="center" vertical="center"/>
    </xf>
    <xf numFmtId="0" fontId="27" fillId="22" borderId="1" xfId="2978" applyFont="1" applyFill="1" applyBorder="1"/>
    <xf numFmtId="0" fontId="13" fillId="22" borderId="1" xfId="2978" applyFill="1" applyBorder="1"/>
    <xf numFmtId="0" fontId="13" fillId="0" borderId="0" xfId="2978"/>
    <xf numFmtId="0" fontId="13" fillId="0" borderId="1" xfId="2978" applyBorder="1"/>
    <xf numFmtId="0" fontId="13" fillId="2" borderId="1" xfId="2978" applyFill="1" applyBorder="1"/>
    <xf numFmtId="0" fontId="17" fillId="2" borderId="1" xfId="19" applyFont="1" applyFill="1" applyBorder="1"/>
    <xf numFmtId="0" fontId="18" fillId="2" borderId="1" xfId="19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2" fillId="0" borderId="1" xfId="2978" applyFont="1" applyBorder="1"/>
    <xf numFmtId="0" fontId="27" fillId="22" borderId="1" xfId="0" applyFont="1" applyFill="1" applyBorder="1"/>
    <xf numFmtId="0" fontId="52" fillId="23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vertical="center"/>
    </xf>
    <xf numFmtId="0" fontId="10" fillId="0" borderId="1" xfId="3036" applyFont="1" applyBorder="1"/>
    <xf numFmtId="0" fontId="9" fillId="0" borderId="1" xfId="2978" applyFont="1" applyBorder="1"/>
    <xf numFmtId="0" fontId="0" fillId="0" borderId="1" xfId="0" applyBorder="1"/>
    <xf numFmtId="0" fontId="0" fillId="3" borderId="1" xfId="0" applyFill="1" applyBorder="1"/>
    <xf numFmtId="0" fontId="0" fillId="25" borderId="0" xfId="0" applyFill="1"/>
    <xf numFmtId="0" fontId="0" fillId="26" borderId="1" xfId="0" applyFill="1" applyBorder="1"/>
    <xf numFmtId="176" fontId="0" fillId="26" borderId="1" xfId="3575" applyNumberFormat="1" applyFont="1" applyFill="1" applyBorder="1"/>
    <xf numFmtId="0" fontId="8" fillId="2" borderId="1" xfId="19" applyFont="1" applyFill="1" applyBorder="1"/>
    <xf numFmtId="0" fontId="8" fillId="4" borderId="1" xfId="2978" applyFont="1" applyFill="1" applyBorder="1"/>
    <xf numFmtId="0" fontId="0" fillId="2" borderId="0" xfId="0" applyFill="1"/>
    <xf numFmtId="0" fontId="52" fillId="27" borderId="1" xfId="0" applyFont="1" applyFill="1" applyBorder="1" applyAlignment="1">
      <alignment horizontal="left" vertical="center"/>
    </xf>
    <xf numFmtId="0" fontId="25" fillId="24" borderId="1" xfId="2" applyFont="1" applyFill="1" applyBorder="1" applyAlignment="1">
      <alignment horizontal="left" vertical="center"/>
    </xf>
    <xf numFmtId="0" fontId="24" fillId="24" borderId="1" xfId="0" applyFont="1" applyFill="1" applyBorder="1" applyAlignment="1">
      <alignment horizontal="right" vertical="center"/>
    </xf>
    <xf numFmtId="0" fontId="7" fillId="0" borderId="1" xfId="2978" applyFont="1" applyBorder="1"/>
    <xf numFmtId="0" fontId="6" fillId="0" borderId="0" xfId="3662"/>
    <xf numFmtId="0" fontId="6" fillId="4" borderId="0" xfId="3662" applyFill="1"/>
    <xf numFmtId="9" fontId="6" fillId="0" borderId="0" xfId="3662" applyNumberFormat="1"/>
    <xf numFmtId="0" fontId="6" fillId="0" borderId="0" xfId="3662" applyFill="1"/>
    <xf numFmtId="9" fontId="6" fillId="0" borderId="0" xfId="3662" applyNumberFormat="1" applyAlignment="1"/>
    <xf numFmtId="0" fontId="6" fillId="0" borderId="0" xfId="3662" applyNumberFormat="1"/>
    <xf numFmtId="0" fontId="5" fillId="4" borderId="1" xfId="2978" applyFont="1" applyFill="1" applyBorder="1"/>
    <xf numFmtId="0" fontId="4" fillId="0" borderId="1" xfId="3036" applyFont="1" applyBorder="1"/>
    <xf numFmtId="0" fontId="3" fillId="0" borderId="1" xfId="3036" applyFont="1" applyBorder="1"/>
    <xf numFmtId="0" fontId="2" fillId="4" borderId="1" xfId="2978" applyFont="1" applyFill="1" applyBorder="1"/>
    <xf numFmtId="0" fontId="56" fillId="0" borderId="0" xfId="0" applyFont="1"/>
    <xf numFmtId="0" fontId="57" fillId="0" borderId="0" xfId="0" applyFont="1"/>
    <xf numFmtId="9" fontId="56" fillId="0" borderId="0" xfId="0" applyNumberFormat="1" applyFont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前回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前回メタルとの比較!$A$3</c:f>
              <c:strCache>
                <c:ptCount val="1"/>
                <c:pt idx="0">
                  <c:v>ピヨピヨ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前回メタルとの比較!$C$3</c:f>
              <c:numCache>
                <c:formatCode>0%</c:formatCode>
                <c:ptCount val="1"/>
                <c:pt idx="0">
                  <c:v>0.25</c:v>
                </c:pt>
              </c:numCache>
            </c:numRef>
          </c:val>
        </c:ser>
        <c:ser>
          <c:idx val="1"/>
          <c:order val="1"/>
          <c:tx>
            <c:strRef>
              <c:f>前回メタルとの比較!$A$4</c:f>
              <c:strCache>
                <c:ptCount val="1"/>
                <c:pt idx="0">
                  <c:v>チック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前回メタルとの比較!$C$4</c:f>
              <c:numCache>
                <c:formatCode>0%</c:formatCode>
                <c:ptCount val="1"/>
                <c:pt idx="0">
                  <c:v>0.4</c:v>
                </c:pt>
              </c:numCache>
            </c:numRef>
          </c:val>
        </c:ser>
        <c:ser>
          <c:idx val="2"/>
          <c:order val="2"/>
          <c:tx>
            <c:strRef>
              <c:f>前回メタルとの比較!$A$5</c:f>
              <c:strCache>
                <c:ptCount val="1"/>
                <c:pt idx="0">
                  <c:v>ダック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前回メタルとの比較!$C$5</c:f>
              <c:numCache>
                <c:formatCode>0%</c:formatCode>
                <c:ptCount val="1"/>
                <c:pt idx="0">
                  <c:v>0.3</c:v>
                </c:pt>
              </c:numCache>
            </c:numRef>
          </c:val>
        </c:ser>
        <c:ser>
          <c:idx val="3"/>
          <c:order val="3"/>
          <c:tx>
            <c:strRef>
              <c:f>前回メタルとの比較!$A$6</c:f>
              <c:strCache>
                <c:ptCount val="1"/>
                <c:pt idx="0">
                  <c:v>ジェントル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前回メタルとの比較!$C$6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094518032"/>
        <c:axId val="-2094426288"/>
      </c:barChart>
      <c:catAx>
        <c:axId val="-2094518032"/>
        <c:scaling>
          <c:orientation val="minMax"/>
        </c:scaling>
        <c:delete val="1"/>
        <c:axPos val="b"/>
        <c:majorTickMark val="none"/>
        <c:minorTickMark val="none"/>
        <c:tickLblPos val="nextTo"/>
        <c:crossAx val="-2094426288"/>
        <c:crosses val="autoZero"/>
        <c:auto val="1"/>
        <c:lblAlgn val="ctr"/>
        <c:lblOffset val="100"/>
        <c:noMultiLvlLbl val="0"/>
      </c:catAx>
      <c:valAx>
        <c:axId val="-2094426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4518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今回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前回メタルとの比較!$A$11</c:f>
              <c:strCache>
                <c:ptCount val="1"/>
                <c:pt idx="0">
                  <c:v>ピヨピヨ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前回メタルとの比較!$C$11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</c:ser>
        <c:ser>
          <c:idx val="1"/>
          <c:order val="1"/>
          <c:tx>
            <c:strRef>
              <c:f>前回メタルとの比較!$A$12</c:f>
              <c:strCache>
                <c:ptCount val="1"/>
                <c:pt idx="0">
                  <c:v>チック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前回メタルとの比較!$C$12</c:f>
              <c:numCache>
                <c:formatCode>0%</c:formatCode>
                <c:ptCount val="1"/>
                <c:pt idx="0">
                  <c:v>0.45</c:v>
                </c:pt>
              </c:numCache>
            </c:numRef>
          </c:val>
        </c:ser>
        <c:ser>
          <c:idx val="2"/>
          <c:order val="2"/>
          <c:tx>
            <c:strRef>
              <c:f>前回メタルとの比較!$A$13</c:f>
              <c:strCache>
                <c:ptCount val="1"/>
                <c:pt idx="0">
                  <c:v>ダック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前回メタルとの比較!$C$13</c:f>
              <c:numCache>
                <c:formatCode>0%</c:formatCode>
                <c:ptCount val="1"/>
                <c:pt idx="0">
                  <c:v>0.43</c:v>
                </c:pt>
              </c:numCache>
            </c:numRef>
          </c:val>
        </c:ser>
        <c:ser>
          <c:idx val="3"/>
          <c:order val="3"/>
          <c:tx>
            <c:strRef>
              <c:f>前回メタルとの比較!$A$14</c:f>
              <c:strCache>
                <c:ptCount val="1"/>
                <c:pt idx="0">
                  <c:v>ジェントル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前回メタルとの比較!$C$14</c:f>
              <c:numCache>
                <c:formatCode>0%</c:formatCode>
                <c:ptCount val="1"/>
                <c:pt idx="0">
                  <c:v>0.02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094807632"/>
        <c:axId val="-2094382560"/>
      </c:barChart>
      <c:catAx>
        <c:axId val="-2094807632"/>
        <c:scaling>
          <c:orientation val="minMax"/>
        </c:scaling>
        <c:delete val="1"/>
        <c:axPos val="b"/>
        <c:majorTickMark val="none"/>
        <c:minorTickMark val="none"/>
        <c:tickLblPos val="nextTo"/>
        <c:crossAx val="-2094382560"/>
        <c:crosses val="autoZero"/>
        <c:auto val="1"/>
        <c:lblAlgn val="ctr"/>
        <c:lblOffset val="100"/>
        <c:noMultiLvlLbl val="0"/>
      </c:catAx>
      <c:valAx>
        <c:axId val="-209438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4807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171450</xdr:rowOff>
    </xdr:from>
    <xdr:to>
      <xdr:col>7</xdr:col>
      <xdr:colOff>0</xdr:colOff>
      <xdr:row>35</xdr:row>
      <xdr:rowOff>82550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12699</xdr:colOff>
      <xdr:row>16</xdr:row>
      <xdr:rowOff>12700</xdr:rowOff>
    </xdr:from>
    <xdr:to>
      <xdr:col>13</xdr:col>
      <xdr:colOff>817032</xdr:colOff>
      <xdr:row>35</xdr:row>
      <xdr:rowOff>88900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3ターン種族アニマルの攻撃力・防御力・回復力を大UP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未踏の轍跡 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パンドラ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パンドラ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ss</v>
          </cell>
          <cell r="L900" t="str">
            <v>サンリオ</v>
          </cell>
          <cell r="M900" t="str">
            <v>god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ss</v>
          </cell>
          <cell r="L901" t="str">
            <v>サンリオ</v>
          </cell>
          <cell r="M901" t="str">
            <v>god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ss</v>
          </cell>
          <cell r="L902" t="str">
            <v>サンリオ</v>
          </cell>
          <cell r="M902" t="str">
            <v>unknown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ss</v>
          </cell>
          <cell r="L903" t="str">
            <v>サンリオ</v>
          </cell>
          <cell r="M903" t="str">
            <v>unknown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ss</v>
          </cell>
          <cell r="L904" t="str">
            <v>サンリオ</v>
          </cell>
          <cell r="M904" t="str">
            <v>unknown</v>
          </cell>
        </row>
        <row r="905">
          <cell r="A905">
            <v>904</v>
          </cell>
          <cell r="B905" t="str">
            <v>ja</v>
          </cell>
          <cell r="C905" t="str">
            <v>_x000D_りんごの馬車　ハローキティ_x000D_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ss</v>
          </cell>
          <cell r="L905" t="str">
            <v>サンリオ</v>
          </cell>
          <cell r="M905" t="str">
            <v>unknown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ss</v>
          </cell>
          <cell r="L906" t="str">
            <v>サンリオ</v>
          </cell>
          <cell r="M906" t="str">
            <v>unknown</v>
          </cell>
        </row>
        <row r="907">
          <cell r="A907">
            <v>906</v>
          </cell>
          <cell r="B907" t="str">
            <v>ja</v>
          </cell>
          <cell r="C907" t="str">
            <v>_x000D_おいしくたべてね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ss</v>
          </cell>
          <cell r="L907" t="str">
            <v>サンリオ</v>
          </cell>
          <cell r="M907" t="str">
            <v>unknown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unknown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unknown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ss</v>
          </cell>
          <cell r="L910" t="str">
            <v>サンリオ</v>
          </cell>
          <cell r="M910" t="str">
            <v>human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ss</v>
          </cell>
          <cell r="L911" t="str">
            <v>サンリオ</v>
          </cell>
          <cell r="M911" t="str">
            <v>human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ss</v>
          </cell>
          <cell r="L912" t="str">
            <v>サンリオ</v>
          </cell>
          <cell r="M912" t="str">
            <v>unknown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ss</v>
          </cell>
          <cell r="L913" t="str">
            <v>サンリオ</v>
          </cell>
          <cell r="M913" t="str">
            <v>unknown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ss</v>
          </cell>
          <cell r="L914" t="str">
            <v>サンリオ</v>
          </cell>
          <cell r="M914" t="str">
            <v>unknown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ss</v>
          </cell>
          <cell r="L915" t="str">
            <v>サンリオ</v>
          </cell>
          <cell r="M915" t="str">
            <v>unknown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ss</v>
          </cell>
          <cell r="L916" t="str">
            <v>サンリオ</v>
          </cell>
          <cell r="M916" t="str">
            <v>human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ss</v>
          </cell>
          <cell r="L917" t="str">
            <v>サンリオ</v>
          </cell>
          <cell r="M917" t="str">
            <v>human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ss</v>
          </cell>
          <cell r="L918" t="str">
            <v>サンリオ</v>
          </cell>
          <cell r="M918" t="str">
            <v>unknown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ss</v>
          </cell>
          <cell r="L919" t="str">
            <v>サンリオ</v>
          </cell>
          <cell r="M919" t="str">
            <v>unknown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ss</v>
          </cell>
          <cell r="L920" t="str">
            <v>サンリオ</v>
          </cell>
          <cell r="M920" t="str">
            <v>human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ss</v>
          </cell>
          <cell r="L921" t="str">
            <v>サンリオ</v>
          </cell>
          <cell r="M921" t="str">
            <v>human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ss</v>
          </cell>
          <cell r="L922" t="str">
            <v>サンリオ</v>
          </cell>
          <cell r="M922" t="str">
            <v>unknown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ss</v>
          </cell>
          <cell r="L923" t="str">
            <v>サンリオ</v>
          </cell>
          <cell r="M923" t="str">
            <v>unknown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ss</v>
          </cell>
          <cell r="L924" t="str">
            <v>サンリオ</v>
          </cell>
          <cell r="M924" t="str">
            <v>unknown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ss</v>
          </cell>
          <cell r="L925" t="str">
            <v>サンリオ</v>
          </cell>
          <cell r="M925" t="str">
            <v>unknown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ss</v>
          </cell>
          <cell r="L926" t="str">
            <v>サンリオ</v>
          </cell>
          <cell r="M926" t="str">
            <v>unknown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ss</v>
          </cell>
          <cell r="L927" t="str">
            <v>サンリオ</v>
          </cell>
          <cell r="M927" t="str">
            <v>unknown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ss</v>
          </cell>
          <cell r="L928" t="str">
            <v>サンリオ</v>
          </cell>
          <cell r="M928" t="str">
            <v>unknown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ss</v>
          </cell>
          <cell r="L929" t="str">
            <v>サンリオ</v>
          </cell>
          <cell r="M929" t="str">
            <v>unknown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blue</v>
          </cell>
          <cell r="I932">
            <v>4</v>
          </cell>
          <cell r="J932" t="str">
            <v>Drop2N</v>
          </cell>
          <cell r="K932" t="str">
            <v>attack</v>
          </cell>
          <cell r="L932" t="str">
            <v>攻撃タイプ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blue</v>
          </cell>
          <cell r="I933">
            <v>5</v>
          </cell>
          <cell r="J933" t="str">
            <v>Drop2N</v>
          </cell>
          <cell r="K933" t="str">
            <v>attack</v>
          </cell>
          <cell r="L933" t="str">
            <v>攻撃タイプ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human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human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Drop2N</v>
          </cell>
          <cell r="K936" t="str">
            <v>attack</v>
          </cell>
          <cell r="L936" t="str">
            <v>攻撃タイプ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Drop2N</v>
          </cell>
          <cell r="K937" t="str">
            <v>attack</v>
          </cell>
          <cell r="L937" t="str">
            <v>攻撃タイプ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Drop2N</v>
          </cell>
          <cell r="K938" t="str">
            <v>attack</v>
          </cell>
          <cell r="L938" t="str">
            <v>攻撃タイプ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Drop2N</v>
          </cell>
          <cell r="K939" t="str">
            <v>attack</v>
          </cell>
          <cell r="L939" t="str">
            <v>攻撃タイプ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blue</v>
          </cell>
          <cell r="I940">
            <v>4</v>
          </cell>
          <cell r="J940" t="str">
            <v>Drop2N</v>
          </cell>
          <cell r="K940" t="str">
            <v>attack</v>
          </cell>
          <cell r="L940" t="str">
            <v>攻撃タイプ</v>
          </cell>
          <cell r="M940" t="str">
            <v>human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blue</v>
          </cell>
          <cell r="I941">
            <v>5</v>
          </cell>
          <cell r="J941" t="str">
            <v>Drop2N</v>
          </cell>
          <cell r="K941" t="str">
            <v>attack</v>
          </cell>
          <cell r="L941" t="str">
            <v>攻撃タイプ</v>
          </cell>
          <cell r="M941" t="str">
            <v>human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Drop2N</v>
          </cell>
          <cell r="K942" t="str">
            <v>attack</v>
          </cell>
          <cell r="L942" t="str">
            <v>攻撃タイプ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Drop2N</v>
          </cell>
          <cell r="K943" t="str">
            <v>attack</v>
          </cell>
          <cell r="L943" t="str">
            <v>攻撃タイプ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Drop2N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Drop2N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Drop2N</v>
          </cell>
          <cell r="K961" t="str">
            <v>attack</v>
          </cell>
          <cell r="L961" t="str">
            <v>攻撃タイプ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Drop2N</v>
          </cell>
          <cell r="K962" t="str">
            <v>attack</v>
          </cell>
          <cell r="L962" t="str">
            <v>攻撃タイプ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Drop2N</v>
          </cell>
          <cell r="K963" t="str">
            <v>attack</v>
          </cell>
          <cell r="L963" t="str">
            <v>攻撃タイプ</v>
          </cell>
          <cell r="M963" t="str">
            <v>human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Drop2N</v>
          </cell>
          <cell r="K964" t="str">
            <v>attack</v>
          </cell>
          <cell r="L964" t="str">
            <v>攻撃タイプ</v>
          </cell>
          <cell r="M964" t="str">
            <v>human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Drop2N</v>
          </cell>
          <cell r="K965" t="str">
            <v>attack</v>
          </cell>
          <cell r="L965" t="str">
            <v>攻撃タイプ</v>
          </cell>
          <cell r="M965" t="str">
            <v>human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Drop2N</v>
          </cell>
          <cell r="K966" t="str">
            <v>attack</v>
          </cell>
          <cell r="L966" t="str">
            <v>攻撃タイプ</v>
          </cell>
          <cell r="M966" t="str">
            <v>human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Drop2N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Drop2N</v>
          </cell>
          <cell r="K968" t="str">
            <v>attack</v>
          </cell>
          <cell r="L968" t="str">
            <v>攻撃タイプ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Drop2N</v>
          </cell>
          <cell r="K969" t="str">
            <v>attack</v>
          </cell>
          <cell r="L969" t="str">
            <v>攻撃タイプ</v>
          </cell>
          <cell r="M969" t="str">
            <v>human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Drop2N</v>
          </cell>
          <cell r="K970" t="str">
            <v>attack</v>
          </cell>
          <cell r="L970" t="str">
            <v>攻撃タイプ</v>
          </cell>
          <cell r="M970" t="str">
            <v>human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Drop2N</v>
          </cell>
          <cell r="K971" t="str">
            <v>attack</v>
          </cell>
          <cell r="L971" t="str">
            <v>攻撃タイプ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Drop2N</v>
          </cell>
          <cell r="K972" t="str">
            <v>attack</v>
          </cell>
          <cell r="L972" t="str">
            <v>攻撃タイプ</v>
          </cell>
          <cell r="M972" t="str">
            <v>human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ウザリーマン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ウザリーマン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ウザリーマン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technical</v>
          </cell>
          <cell r="L980" t="str">
            <v>テクニカルタイプ</v>
          </cell>
          <cell r="M980" t="str">
            <v>ti</v>
          </cell>
        </row>
        <row r="981">
          <cell r="A981">
            <v>980</v>
          </cell>
          <cell r="B981" t="str">
            <v>ja</v>
          </cell>
          <cell r="C981" t="str">
            <v>ウザリーマン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technical</v>
          </cell>
          <cell r="L981" t="str">
            <v>テクニカルタイプ</v>
          </cell>
          <cell r="M981" t="str">
            <v>ti</v>
          </cell>
        </row>
        <row r="982">
          <cell r="A982">
            <v>981</v>
          </cell>
          <cell r="B982" t="str">
            <v>ja</v>
          </cell>
          <cell r="C982" t="str">
            <v>ウザリーマン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technical</v>
          </cell>
          <cell r="L982" t="str">
            <v>テクニカルタイプ</v>
          </cell>
          <cell r="M982" t="str">
            <v>ti</v>
          </cell>
        </row>
        <row r="983">
          <cell r="A983">
            <v>982</v>
          </cell>
          <cell r="B983" t="str">
            <v>ja</v>
          </cell>
          <cell r="C983" t="str">
            <v>ウザリーマン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technical</v>
          </cell>
          <cell r="L983" t="str">
            <v>テクニカルタイプ</v>
          </cell>
          <cell r="M983" t="str">
            <v>ti</v>
          </cell>
        </row>
        <row r="984">
          <cell r="A984">
            <v>983</v>
          </cell>
          <cell r="B984" t="str">
            <v>ja</v>
          </cell>
          <cell r="C984" t="str">
            <v>ウザリーマン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technical</v>
          </cell>
          <cell r="L984" t="str">
            <v>テクニカルタイプ</v>
          </cell>
          <cell r="M984" t="str">
            <v>ti</v>
          </cell>
        </row>
        <row r="985">
          <cell r="A985">
            <v>984</v>
          </cell>
          <cell r="B985" t="str">
            <v>ja</v>
          </cell>
          <cell r="C985" t="str">
            <v>ウザリーマン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technical</v>
          </cell>
          <cell r="L985" t="str">
            <v>テクニカルタイプ</v>
          </cell>
          <cell r="M985" t="str">
            <v>ti</v>
          </cell>
        </row>
        <row r="986">
          <cell r="A986">
            <v>985</v>
          </cell>
          <cell r="B986" t="str">
            <v>ja</v>
          </cell>
          <cell r="C986" t="str">
            <v>ウザリーマン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ウザリーマン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ウザリーマン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ti</v>
          </cell>
        </row>
        <row r="989">
          <cell r="A989">
            <v>988</v>
          </cell>
          <cell r="B989" t="str">
            <v>ja</v>
          </cell>
          <cell r="C989" t="str">
            <v>ウザリーマン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technical</v>
          </cell>
          <cell r="L989" t="str">
            <v>テクニカルタイプ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ウザリーマン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technical</v>
          </cell>
          <cell r="L990" t="str">
            <v>テクニカルタイプ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ウザリーマン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3</v>
          </cell>
          <cell r="J991" t="str">
            <v>PremiumS</v>
          </cell>
          <cell r="K991" t="str">
            <v>technical</v>
          </cell>
          <cell r="L991" t="str">
            <v>テクニカルタイプ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ウザリーマン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4</v>
          </cell>
          <cell r="J992" t="str">
            <v>PremiumS</v>
          </cell>
          <cell r="K992" t="str">
            <v>technical</v>
          </cell>
          <cell r="L992" t="str">
            <v>テクニカルタイプ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ウザリーマン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ウザリーマン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ウザリーマン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technical</v>
          </cell>
          <cell r="L995" t="str">
            <v>テクニカルタイプ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ウザリーマン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technical</v>
          </cell>
          <cell r="L996" t="str">
            <v>テクニカルタイプ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ウザリーマン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technical</v>
          </cell>
          <cell r="L997" t="str">
            <v>テクニカルタイプ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ウザリーマン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technical</v>
          </cell>
          <cell r="L998" t="str">
            <v>テクニカルタイプ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ウザリーマン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3</v>
          </cell>
          <cell r="J999" t="str">
            <v>PremiumS</v>
          </cell>
          <cell r="K999" t="str">
            <v>technical</v>
          </cell>
          <cell r="L999" t="str">
            <v>テクニカルタイプ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ウザリーマン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4</v>
          </cell>
          <cell r="J1000" t="str">
            <v>PremiumS</v>
          </cell>
          <cell r="K1000" t="str">
            <v>technical</v>
          </cell>
          <cell r="L1000" t="str">
            <v>テクニカルタイプ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ウザリーマン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3</v>
          </cell>
          <cell r="J1001" t="str">
            <v>PremiumS</v>
          </cell>
          <cell r="K1001" t="str">
            <v>technical</v>
          </cell>
          <cell r="L1001" t="str">
            <v>テクニカルタイプ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ウザリーマン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4</v>
          </cell>
          <cell r="J1002" t="str">
            <v>PremiumS</v>
          </cell>
          <cell r="K1002" t="str">
            <v>technical</v>
          </cell>
          <cell r="L1002" t="str">
            <v>テクニカルタイプ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ウザリーマン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3</v>
          </cell>
          <cell r="J1003" t="str">
            <v>PremiumS</v>
          </cell>
          <cell r="K1003" t="str">
            <v>technical</v>
          </cell>
          <cell r="L1003" t="str">
            <v>テクニカルタイプ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ウザリーマン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4</v>
          </cell>
          <cell r="J1004" t="str">
            <v>PremiumS</v>
          </cell>
          <cell r="K1004" t="str">
            <v>technical</v>
          </cell>
          <cell r="L1004" t="str">
            <v>テクニカルタイプ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balance</v>
          </cell>
          <cell r="L1007" t="str">
            <v>バランスタイプ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balance</v>
          </cell>
          <cell r="L1008" t="str">
            <v>バランスタイプ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technical</v>
          </cell>
          <cell r="L1015" t="str">
            <v>テクニカルタイプ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technical</v>
          </cell>
          <cell r="L1016" t="str">
            <v>テクニカルタイプ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ウザリーマン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technical</v>
          </cell>
          <cell r="L1042" t="str">
            <v>テクニカルタイプ</v>
          </cell>
          <cell r="M1042" t="str">
            <v>unknown</v>
          </cell>
        </row>
        <row r="1043">
          <cell r="A1043">
            <v>1042</v>
          </cell>
          <cell r="B1043" t="str">
            <v>ja</v>
          </cell>
          <cell r="C1043" t="str">
            <v>ウザリーマン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technical</v>
          </cell>
          <cell r="L1043" t="str">
            <v>テクニカルタイプ</v>
          </cell>
          <cell r="M1043" t="str">
            <v>unknown</v>
          </cell>
        </row>
        <row r="1044">
          <cell r="A1044">
            <v>1043</v>
          </cell>
          <cell r="B1044" t="str">
            <v>ja</v>
          </cell>
          <cell r="C1044" t="str">
            <v>ウザリーマン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unknown</v>
          </cell>
        </row>
        <row r="1045">
          <cell r="A1045">
            <v>1044</v>
          </cell>
          <cell r="B1045" t="str">
            <v>ja</v>
          </cell>
          <cell r="C1045" t="str">
            <v>ウザリーマン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unknown</v>
          </cell>
        </row>
        <row r="1046">
          <cell r="A1046">
            <v>1045</v>
          </cell>
          <cell r="B1046" t="str">
            <v>ja</v>
          </cell>
          <cell r="C1046" t="str">
            <v>ウザリーマン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red</v>
          </cell>
          <cell r="I1046">
            <v>6</v>
          </cell>
          <cell r="J1046" t="str">
            <v>PremiumSSS</v>
          </cell>
          <cell r="K1046" t="str">
            <v>technical</v>
          </cell>
          <cell r="L1046" t="str">
            <v>テクニカルタイプ</v>
          </cell>
          <cell r="M1046" t="str">
            <v>unknown</v>
          </cell>
        </row>
        <row r="1047">
          <cell r="A1047">
            <v>1046</v>
          </cell>
          <cell r="B1047" t="str">
            <v>ja</v>
          </cell>
          <cell r="C1047" t="str">
            <v>ウザリーマン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red</v>
          </cell>
          <cell r="I1047">
            <v>5</v>
          </cell>
          <cell r="J1047" t="str">
            <v>PremiumS</v>
          </cell>
          <cell r="K1047" t="str">
            <v>technical</v>
          </cell>
          <cell r="L1047" t="str">
            <v>テクニカルタイプ</v>
          </cell>
          <cell r="M1047" t="str">
            <v>unknown</v>
          </cell>
        </row>
        <row r="1048">
          <cell r="A1048">
            <v>1047</v>
          </cell>
          <cell r="B1048" t="str">
            <v>ja</v>
          </cell>
          <cell r="C1048" t="str">
            <v>ウザリーマン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green</v>
          </cell>
          <cell r="I1048">
            <v>6</v>
          </cell>
          <cell r="J1048" t="str">
            <v>PremiumSSS</v>
          </cell>
          <cell r="K1048" t="str">
            <v>technical</v>
          </cell>
          <cell r="L1048" t="str">
            <v>テクニカルタイプ</v>
          </cell>
          <cell r="M1048" t="str">
            <v>unknown</v>
          </cell>
        </row>
        <row r="1049">
          <cell r="A1049">
            <v>1048</v>
          </cell>
          <cell r="B1049" t="str">
            <v>ja</v>
          </cell>
          <cell r="C1049" t="str">
            <v>ウザリーマン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green</v>
          </cell>
          <cell r="I1049">
            <v>5</v>
          </cell>
          <cell r="J1049" t="str">
            <v>PremiumS</v>
          </cell>
          <cell r="K1049" t="str">
            <v>technical</v>
          </cell>
          <cell r="L1049" t="str">
            <v>テクニカルタイプ</v>
          </cell>
          <cell r="M1049" t="str">
            <v>unknown</v>
          </cell>
        </row>
        <row r="1050">
          <cell r="A1050">
            <v>1049</v>
          </cell>
          <cell r="B1050" t="str">
            <v>ja</v>
          </cell>
          <cell r="C1050" t="str">
            <v>ウザリーマン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technical</v>
          </cell>
          <cell r="L1050" t="str">
            <v>テクニカルタイプ</v>
          </cell>
          <cell r="M1050" t="str">
            <v>unknown</v>
          </cell>
        </row>
        <row r="1051">
          <cell r="A1051">
            <v>1050</v>
          </cell>
          <cell r="B1051" t="str">
            <v>ja</v>
          </cell>
          <cell r="C1051" t="str">
            <v>ウザリーマン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technical</v>
          </cell>
          <cell r="L1051" t="str">
            <v>テクニカルタイプ</v>
          </cell>
          <cell r="M1051" t="str">
            <v>unknown</v>
          </cell>
        </row>
        <row r="1052">
          <cell r="A1052">
            <v>1051</v>
          </cell>
          <cell r="B1052" t="str">
            <v>ja</v>
          </cell>
          <cell r="C1052" t="str">
            <v>ウザリーマン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yellow</v>
          </cell>
          <cell r="I1052">
            <v>6</v>
          </cell>
          <cell r="J1052" t="str">
            <v>PremiumSSS</v>
          </cell>
          <cell r="K1052" t="str">
            <v>technical</v>
          </cell>
          <cell r="L1052" t="str">
            <v>テクニカルタイプ</v>
          </cell>
          <cell r="M1052" t="str">
            <v>unknown</v>
          </cell>
        </row>
        <row r="1053">
          <cell r="A1053">
            <v>1052</v>
          </cell>
          <cell r="B1053" t="str">
            <v>ja</v>
          </cell>
          <cell r="C1053" t="str">
            <v>ウザリーマン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yellow</v>
          </cell>
          <cell r="I1053">
            <v>5</v>
          </cell>
          <cell r="J1053" t="str">
            <v>PremiumS</v>
          </cell>
          <cell r="K1053" t="str">
            <v>technical</v>
          </cell>
          <cell r="L1053" t="str">
            <v>テクニカルタイプ</v>
          </cell>
          <cell r="M1053" t="str">
            <v>unknown</v>
          </cell>
        </row>
        <row r="1054">
          <cell r="A1054">
            <v>1053</v>
          </cell>
          <cell r="B1054" t="str">
            <v>ja</v>
          </cell>
          <cell r="C1054" t="str">
            <v>ウザリーマン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yellow</v>
          </cell>
          <cell r="I1054">
            <v>5</v>
          </cell>
          <cell r="J1054" t="str">
            <v>DropWizSS</v>
          </cell>
          <cell r="K1054" t="str">
            <v>technical</v>
          </cell>
          <cell r="L1054" t="str">
            <v>テクニカルタイプ</v>
          </cell>
          <cell r="M1054" t="str">
            <v>unknown</v>
          </cell>
        </row>
        <row r="1055">
          <cell r="A1055">
            <v>1054</v>
          </cell>
          <cell r="B1055" t="str">
            <v>ja</v>
          </cell>
          <cell r="C1055" t="str">
            <v>ウザリーマン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yellow</v>
          </cell>
          <cell r="I1055">
            <v>6</v>
          </cell>
          <cell r="J1055" t="str">
            <v>DropWizSS</v>
          </cell>
          <cell r="K1055" t="str">
            <v>technical</v>
          </cell>
          <cell r="L1055" t="str">
            <v>テクニカルタイプ</v>
          </cell>
          <cell r="M1055" t="str">
            <v>unknown</v>
          </cell>
        </row>
        <row r="1056">
          <cell r="A1056">
            <v>1055</v>
          </cell>
          <cell r="B1056" t="str">
            <v>ja</v>
          </cell>
          <cell r="C1056" t="str">
            <v>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god</v>
          </cell>
        </row>
        <row r="1057">
          <cell r="A1057">
            <v>1056</v>
          </cell>
          <cell r="B1057" t="str">
            <v>ja</v>
          </cell>
          <cell r="C1057" t="str">
            <v>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god</v>
          </cell>
        </row>
        <row r="1058">
          <cell r="A1058">
            <v>1057</v>
          </cell>
          <cell r="B1058" t="str">
            <v>ja</v>
          </cell>
          <cell r="C1058" t="str">
            <v>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god</v>
          </cell>
        </row>
        <row r="1059">
          <cell r="A1059">
            <v>1058</v>
          </cell>
          <cell r="B1059" t="str">
            <v>ja</v>
          </cell>
          <cell r="C1059" t="str">
            <v>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6001</v>
          </cell>
          <cell r="B1060" t="str">
            <v>ja</v>
          </cell>
          <cell r="C1060" t="str">
            <v>ジェリー</v>
          </cell>
          <cell r="D1060" t="str">
            <v>ノーマルクエスト</v>
          </cell>
          <cell r="E1060" t="str">
            <v>QoH</v>
          </cell>
          <cell r="F1060" t="str">
            <v>世界観</v>
          </cell>
          <cell r="G1060" t="str">
            <v>不明</v>
          </cell>
          <cell r="H1060" t="str">
            <v>red</v>
          </cell>
          <cell r="I1060">
            <v>1</v>
          </cell>
          <cell r="J1060" t="str">
            <v>Drop1T</v>
          </cell>
          <cell r="K1060" t="str">
            <v>ra</v>
          </cell>
          <cell r="L1060" t="str">
            <v>R</v>
          </cell>
          <cell r="M1060" t="str">
            <v>unknown</v>
          </cell>
        </row>
        <row r="1061">
          <cell r="A1061">
            <v>6002</v>
          </cell>
          <cell r="B1061" t="str">
            <v>ja</v>
          </cell>
          <cell r="C1061" t="str">
            <v>ヨシタカ</v>
          </cell>
          <cell r="D1061" t="str">
            <v>ノーマルクエスト</v>
          </cell>
          <cell r="E1061" t="str">
            <v>アバター</v>
          </cell>
          <cell r="F1061" t="str">
            <v>世界観</v>
          </cell>
          <cell r="G1061" t="str">
            <v>男性</v>
          </cell>
          <cell r="H1061" t="str">
            <v>red</v>
          </cell>
          <cell r="I1061">
            <v>2</v>
          </cell>
          <cell r="J1061" t="str">
            <v>Drop1N</v>
          </cell>
          <cell r="K1061" t="str">
            <v>ra</v>
          </cell>
          <cell r="L1061" t="str">
            <v>R</v>
          </cell>
          <cell r="M1061" t="str">
            <v>human</v>
          </cell>
        </row>
        <row r="1062">
          <cell r="A1062">
            <v>6003</v>
          </cell>
          <cell r="B1062" t="str">
            <v>ja</v>
          </cell>
          <cell r="C1062" t="str">
            <v>朱雀</v>
          </cell>
          <cell r="D1062" t="str">
            <v>リンクガチャ:4神</v>
          </cell>
          <cell r="E1062" t="str">
            <v>守護神</v>
          </cell>
          <cell r="F1062" t="str">
            <v>格好いい</v>
          </cell>
          <cell r="G1062" t="str">
            <v>不明</v>
          </cell>
          <cell r="H1062" t="str">
            <v>red</v>
          </cell>
          <cell r="I1062">
            <v>3</v>
          </cell>
          <cell r="J1062" t="str">
            <v>Drop2N</v>
          </cell>
          <cell r="K1062" t="str">
            <v>ra</v>
          </cell>
          <cell r="L1062" t="str">
            <v>R</v>
          </cell>
          <cell r="M1062" t="str">
            <v>animal</v>
          </cell>
        </row>
        <row r="1063">
          <cell r="A1063">
            <v>6004</v>
          </cell>
          <cell r="B1063" t="str">
            <v>ja</v>
          </cell>
          <cell r="C1063" t="str">
            <v>ブレット</v>
          </cell>
          <cell r="D1063" t="str">
            <v>ノーマルクエスト</v>
          </cell>
          <cell r="E1063" t="str">
            <v>アバター</v>
          </cell>
          <cell r="F1063" t="str">
            <v>世界観</v>
          </cell>
          <cell r="G1063" t="str">
            <v>不明</v>
          </cell>
          <cell r="H1063" t="str">
            <v>red</v>
          </cell>
          <cell r="I1063">
            <v>1</v>
          </cell>
          <cell r="J1063" t="str">
            <v>Drop1W</v>
          </cell>
          <cell r="K1063" t="str">
            <v>ra</v>
          </cell>
          <cell r="L1063" t="str">
            <v>R</v>
          </cell>
          <cell r="M1063" t="str">
            <v>animal</v>
          </cell>
        </row>
        <row r="1064">
          <cell r="A1064">
            <v>6005</v>
          </cell>
          <cell r="B1064" t="str">
            <v>ja</v>
          </cell>
          <cell r="C1064" t="str">
            <v>孤神 テティス</v>
          </cell>
          <cell r="D1064" t="str">
            <v>初期ガチャ</v>
          </cell>
          <cell r="E1064" t="str">
            <v>管理者</v>
          </cell>
          <cell r="F1064" t="str">
            <v>美しい</v>
          </cell>
          <cell r="G1064" t="str">
            <v>女性</v>
          </cell>
          <cell r="H1064" t="str">
            <v>blue</v>
          </cell>
          <cell r="I1064">
            <v>4</v>
          </cell>
          <cell r="J1064" t="str">
            <v>PremiumN</v>
          </cell>
          <cell r="K1064" t="str">
            <v>ra</v>
          </cell>
          <cell r="L1064" t="str">
            <v>R</v>
          </cell>
          <cell r="M1064" t="str">
            <v>god</v>
          </cell>
        </row>
        <row r="1065">
          <cell r="A1065">
            <v>6006</v>
          </cell>
          <cell r="B1065" t="str">
            <v>ja</v>
          </cell>
          <cell r="C1065" t="str">
            <v>海底の孤高神 テティス</v>
          </cell>
          <cell r="D1065" t="str">
            <v>初期ガチャ</v>
          </cell>
          <cell r="E1065" t="str">
            <v>管理者</v>
          </cell>
          <cell r="F1065" t="str">
            <v>美しい</v>
          </cell>
          <cell r="G1065" t="str">
            <v>女性</v>
          </cell>
          <cell r="H1065" t="str">
            <v>blue</v>
          </cell>
          <cell r="I1065">
            <v>5</v>
          </cell>
          <cell r="J1065" t="str">
            <v>PremiumN</v>
          </cell>
          <cell r="K1065" t="str">
            <v>ra</v>
          </cell>
          <cell r="L1065" t="str">
            <v>R</v>
          </cell>
          <cell r="M1065" t="str">
            <v>god</v>
          </cell>
        </row>
        <row r="1066">
          <cell r="A1066">
            <v>6007</v>
          </cell>
          <cell r="B1066" t="str">
            <v>ja</v>
          </cell>
          <cell r="C1066" t="str">
            <v>番犬 ケルベロス</v>
          </cell>
          <cell r="D1066" t="str">
            <v>初期ガチャ</v>
          </cell>
          <cell r="E1066" t="str">
            <v>破界者</v>
          </cell>
          <cell r="F1066" t="str">
            <v>可愛い</v>
          </cell>
          <cell r="G1066" t="str">
            <v>女性</v>
          </cell>
          <cell r="H1066" t="str">
            <v>red</v>
          </cell>
          <cell r="I1066">
            <v>4</v>
          </cell>
          <cell r="J1066" t="str">
            <v>PremiumN</v>
          </cell>
          <cell r="K1066" t="str">
            <v>ra</v>
          </cell>
          <cell r="L1066" t="str">
            <v>R</v>
          </cell>
          <cell r="M1066" t="str">
            <v>animal</v>
          </cell>
        </row>
        <row r="1067">
          <cell r="A1067">
            <v>6008</v>
          </cell>
          <cell r="B1067" t="str">
            <v>ja</v>
          </cell>
          <cell r="C1067" t="str">
            <v>焔神 プロメテウス</v>
          </cell>
          <cell r="D1067" t="str">
            <v>初期ガチャ</v>
          </cell>
          <cell r="E1067" t="str">
            <v>管理者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4</v>
          </cell>
          <cell r="J1067" t="str">
            <v>PremiumN</v>
          </cell>
          <cell r="K1067" t="str">
            <v>ra</v>
          </cell>
          <cell r="L1067" t="str">
            <v>R</v>
          </cell>
          <cell r="M1067" t="str">
            <v>god</v>
          </cell>
        </row>
        <row r="1068">
          <cell r="A1068">
            <v>6009</v>
          </cell>
          <cell r="B1068" t="str">
            <v>ja</v>
          </cell>
          <cell r="C1068" t="str">
            <v>超越自我 ラグランジュ</v>
          </cell>
          <cell r="D1068" t="str">
            <v>ガチャ:フィーバーフェス02</v>
          </cell>
          <cell r="E1068" t="str">
            <v>執行者</v>
          </cell>
          <cell r="F1068" t="str">
            <v>格好いい</v>
          </cell>
          <cell r="G1068" t="str">
            <v>女性</v>
          </cell>
          <cell r="H1068" t="str">
            <v>red</v>
          </cell>
          <cell r="I1068">
            <v>5</v>
          </cell>
          <cell r="J1068" t="str">
            <v>PremiumSSS</v>
          </cell>
          <cell r="K1068" t="str">
            <v>ra</v>
          </cell>
          <cell r="L1068" t="str">
            <v>R</v>
          </cell>
          <cell r="M1068" t="str">
            <v>human</v>
          </cell>
        </row>
        <row r="1069">
          <cell r="A1069">
            <v>6010</v>
          </cell>
          <cell r="B1069" t="str">
            <v>ja</v>
          </cell>
          <cell r="C1069" t="str">
            <v>超越凌駕 ラグランジュ</v>
          </cell>
          <cell r="D1069" t="str">
            <v>ガチャ:フィーバーフェス02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6</v>
          </cell>
          <cell r="J1069" t="str">
            <v>PremiumSSS</v>
          </cell>
          <cell r="K1069" t="str">
            <v>ra</v>
          </cell>
          <cell r="L1069" t="str">
            <v>R</v>
          </cell>
          <cell r="M1069" t="str">
            <v>human</v>
          </cell>
        </row>
        <row r="1070">
          <cell r="A1070">
            <v>8001</v>
          </cell>
          <cell r="B1070" t="str">
            <v>ja</v>
          </cell>
          <cell r="C1070" t="str">
            <v>媽祖</v>
          </cell>
          <cell r="D1070" t="str">
            <v>イベント:ミクコラボ01</v>
          </cell>
          <cell r="E1070" t="str">
            <v>執行者</v>
          </cell>
          <cell r="F1070" t="str">
            <v>格好いい</v>
          </cell>
          <cell r="G1070" t="str">
            <v>女性</v>
          </cell>
          <cell r="H1070" t="str">
            <v>yellow</v>
          </cell>
          <cell r="I1070">
            <v>5</v>
          </cell>
          <cell r="J1070" t="str">
            <v>PremiumSS</v>
          </cell>
          <cell r="K1070" t="str">
            <v>attack</v>
          </cell>
          <cell r="L1070" t="str">
            <v>攻撃タイプ</v>
          </cell>
          <cell r="M1070" t="str">
            <v>god</v>
          </cell>
        </row>
        <row r="1071">
          <cell r="A1071">
            <v>8002</v>
          </cell>
          <cell r="B1071" t="str">
            <v>ja</v>
          </cell>
          <cell r="C1071" t="str">
            <v>天后 媽祖</v>
          </cell>
          <cell r="D1071" t="str">
            <v>イベント:ミクコラボ01</v>
          </cell>
          <cell r="E1071" t="str">
            <v>執行者</v>
          </cell>
          <cell r="F1071" t="str">
            <v>格好いい</v>
          </cell>
          <cell r="G1071" t="str">
            <v>女性</v>
          </cell>
          <cell r="H1071" t="str">
            <v>yellow</v>
          </cell>
          <cell r="I1071">
            <v>6</v>
          </cell>
          <cell r="J1071" t="str">
            <v>PremiumSS</v>
          </cell>
          <cell r="K1071" t="str">
            <v>attack</v>
          </cell>
          <cell r="L1071" t="str">
            <v>攻撃タイプ</v>
          </cell>
          <cell r="M1071" t="str">
            <v>god</v>
          </cell>
        </row>
        <row r="1072">
          <cell r="A1072">
            <v>8003</v>
          </cell>
          <cell r="B1072" t="str">
            <v>ja</v>
          </cell>
          <cell r="C1072" t="str">
            <v>蛟龍</v>
          </cell>
          <cell r="D1072" t="str">
            <v>イベント:ミクコラボ01</v>
          </cell>
          <cell r="E1072" t="str">
            <v>執行者</v>
          </cell>
          <cell r="F1072" t="str">
            <v>格好いい</v>
          </cell>
          <cell r="G1072" t="str">
            <v>不明</v>
          </cell>
          <cell r="H1072" t="str">
            <v>blue</v>
          </cell>
          <cell r="I1072">
            <v>5</v>
          </cell>
          <cell r="J1072" t="str">
            <v>DropWizS</v>
          </cell>
          <cell r="K1072" t="str">
            <v>hp</v>
          </cell>
          <cell r="L1072" t="str">
            <v>体力タイプ</v>
          </cell>
          <cell r="M1072" t="str">
            <v>dragon</v>
          </cell>
        </row>
        <row r="1073">
          <cell r="A1073">
            <v>8004</v>
          </cell>
          <cell r="B1073" t="str">
            <v>ja</v>
          </cell>
          <cell r="C1073" t="str">
            <v>深海蛟龍怪‧晏公</v>
          </cell>
          <cell r="D1073" t="str">
            <v>イベント:ミクコラボ01</v>
          </cell>
          <cell r="E1073" t="str">
            <v>執行者</v>
          </cell>
          <cell r="F1073" t="str">
            <v>格好いい</v>
          </cell>
          <cell r="G1073" t="str">
            <v>不明</v>
          </cell>
          <cell r="H1073" t="str">
            <v>blue</v>
          </cell>
          <cell r="I1073">
            <v>6</v>
          </cell>
          <cell r="J1073" t="str">
            <v>DropWizS</v>
          </cell>
          <cell r="K1073" t="str">
            <v>hp</v>
          </cell>
          <cell r="L1073" t="str">
            <v>体力タイプ</v>
          </cell>
          <cell r="M1073" t="str">
            <v>dragon</v>
          </cell>
        </row>
        <row r="1074">
          <cell r="A1074">
            <v>8005</v>
          </cell>
          <cell r="B1074" t="str">
            <v>ja</v>
          </cell>
          <cell r="C1074" t="str">
            <v>三蔵法師</v>
          </cell>
          <cell r="D1074" t="str">
            <v>イベント:ミクコラボ01</v>
          </cell>
          <cell r="E1074" t="str">
            <v>執行者</v>
          </cell>
          <cell r="F1074" t="str">
            <v>格好いい</v>
          </cell>
          <cell r="G1074" t="str">
            <v>不明</v>
          </cell>
          <cell r="H1074" t="str">
            <v>blue</v>
          </cell>
          <cell r="I1074">
            <v>5</v>
          </cell>
          <cell r="J1074" t="str">
            <v>PremiumSS</v>
          </cell>
          <cell r="K1074" t="str">
            <v>heal</v>
          </cell>
          <cell r="L1074" t="str">
            <v>回復タイプ</v>
          </cell>
          <cell r="M1074" t="str">
            <v>human</v>
          </cell>
        </row>
        <row r="1075">
          <cell r="A1075">
            <v>8006</v>
          </cell>
          <cell r="B1075" t="str">
            <v>ja</v>
          </cell>
          <cell r="C1075" t="str">
            <v>三蔵法師</v>
          </cell>
          <cell r="D1075" t="str">
            <v>イベント:ミクコラボ01</v>
          </cell>
          <cell r="E1075" t="str">
            <v>執行者</v>
          </cell>
          <cell r="F1075" t="str">
            <v>格好いい</v>
          </cell>
          <cell r="G1075" t="str">
            <v>不明</v>
          </cell>
          <cell r="H1075" t="str">
            <v>yellow</v>
          </cell>
          <cell r="I1075">
            <v>6</v>
          </cell>
          <cell r="J1075" t="str">
            <v>PremiumSS</v>
          </cell>
          <cell r="K1075" t="str">
            <v>heal</v>
          </cell>
          <cell r="L1075" t="str">
            <v>回復タイプ</v>
          </cell>
          <cell r="M1075" t="str">
            <v>human</v>
          </cell>
        </row>
        <row r="1076">
          <cell r="A1076">
            <v>8007</v>
          </cell>
          <cell r="B1076" t="str">
            <v>ja</v>
          </cell>
          <cell r="C1076" t="str">
            <v>孫悟空</v>
          </cell>
          <cell r="D1076" t="str">
            <v>イベント:ミクコラボ01</v>
          </cell>
          <cell r="E1076" t="str">
            <v>執行者</v>
          </cell>
          <cell r="F1076" t="str">
            <v>格好いい</v>
          </cell>
          <cell r="G1076" t="str">
            <v>不明</v>
          </cell>
          <cell r="H1076" t="str">
            <v>red</v>
          </cell>
          <cell r="I1076">
            <v>5</v>
          </cell>
          <cell r="J1076" t="str">
            <v>DropWizS</v>
          </cell>
          <cell r="K1076" t="str">
            <v>balance</v>
          </cell>
          <cell r="L1076" t="str">
            <v>バランスタイプ</v>
          </cell>
          <cell r="M1076" t="str">
            <v>animal</v>
          </cell>
        </row>
        <row r="1077">
          <cell r="A1077">
            <v>8008</v>
          </cell>
          <cell r="B1077" t="str">
            <v>ja</v>
          </cell>
          <cell r="C1077" t="str">
            <v>孫悟空</v>
          </cell>
          <cell r="D1077" t="str">
            <v>イベント:ミクコラボ01</v>
          </cell>
          <cell r="E1077" t="str">
            <v>執行者</v>
          </cell>
          <cell r="F1077" t="str">
            <v>格好いい</v>
          </cell>
          <cell r="G1077" t="str">
            <v>不明</v>
          </cell>
          <cell r="H1077" t="str">
            <v>red</v>
          </cell>
          <cell r="I1077">
            <v>6</v>
          </cell>
          <cell r="J1077" t="str">
            <v>DropWizS</v>
          </cell>
          <cell r="K1077" t="str">
            <v>heal</v>
          </cell>
          <cell r="L1077" t="str">
            <v>回復タイプ</v>
          </cell>
          <cell r="M1077" t="str">
            <v>animal</v>
          </cell>
        </row>
        <row r="1078">
          <cell r="A1078">
            <v>8009</v>
          </cell>
          <cell r="B1078" t="str">
            <v>ja</v>
          </cell>
          <cell r="C1078" t="str">
            <v>七星娘娘</v>
          </cell>
          <cell r="D1078" t="str">
            <v>イベント:ミクコラボ01</v>
          </cell>
          <cell r="E1078" t="str">
            <v>執行者</v>
          </cell>
          <cell r="F1078" t="str">
            <v>格好いい</v>
          </cell>
          <cell r="G1078" t="str">
            <v>不明</v>
          </cell>
          <cell r="H1078" t="str">
            <v>blue</v>
          </cell>
          <cell r="I1078">
            <v>5</v>
          </cell>
          <cell r="J1078" t="str">
            <v>PremiumSS</v>
          </cell>
          <cell r="K1078" t="str">
            <v>balance</v>
          </cell>
          <cell r="L1078" t="str">
            <v>バランスタイプ</v>
          </cell>
          <cell r="M1078" t="str">
            <v>god</v>
          </cell>
        </row>
        <row r="1079">
          <cell r="A1079">
            <v>8010</v>
          </cell>
          <cell r="B1079" t="str">
            <v>ja</v>
          </cell>
          <cell r="C1079" t="str">
            <v>七星娘娘</v>
          </cell>
          <cell r="D1079" t="str">
            <v>イベント:ミクコラボ01</v>
          </cell>
          <cell r="E1079" t="str">
            <v>執行者</v>
          </cell>
          <cell r="F1079" t="str">
            <v>格好いい</v>
          </cell>
          <cell r="G1079" t="str">
            <v>不明</v>
          </cell>
          <cell r="H1079" t="str">
            <v>yellow</v>
          </cell>
          <cell r="I1079">
            <v>6</v>
          </cell>
          <cell r="J1079" t="str">
            <v>PremiumSS</v>
          </cell>
          <cell r="K1079" t="str">
            <v>attack</v>
          </cell>
          <cell r="L1079" t="str">
            <v>攻撃タイプ</v>
          </cell>
          <cell r="M1079" t="str">
            <v>god</v>
          </cell>
        </row>
        <row r="1080">
          <cell r="A1080">
            <v>8011</v>
          </cell>
          <cell r="B1080" t="str">
            <v>ja</v>
          </cell>
          <cell r="C1080" t="str">
            <v>月下老人</v>
          </cell>
          <cell r="D1080" t="str">
            <v>イベント:ミクコラボ01</v>
          </cell>
          <cell r="E1080" t="str">
            <v>執行者</v>
          </cell>
          <cell r="F1080" t="str">
            <v>格好いい</v>
          </cell>
          <cell r="G1080" t="str">
            <v>女性</v>
          </cell>
          <cell r="H1080" t="str">
            <v>green</v>
          </cell>
          <cell r="I1080">
            <v>5</v>
          </cell>
          <cell r="J1080" t="str">
            <v>DropWizS</v>
          </cell>
          <cell r="K1080" t="str">
            <v>heal</v>
          </cell>
          <cell r="L1080" t="str">
            <v>回復タイプ</v>
          </cell>
          <cell r="M1080" t="str">
            <v>god</v>
          </cell>
        </row>
        <row r="1081">
          <cell r="A1081">
            <v>8012</v>
          </cell>
          <cell r="B1081" t="str">
            <v>ja</v>
          </cell>
          <cell r="C1081" t="str">
            <v>良緣祈福 月下老人</v>
          </cell>
          <cell r="D1081" t="str">
            <v>イベント:ミクコラボ01</v>
          </cell>
          <cell r="E1081" t="str">
            <v>執行者</v>
          </cell>
          <cell r="F1081" t="str">
            <v>格好いい</v>
          </cell>
          <cell r="G1081" t="str">
            <v>女性</v>
          </cell>
          <cell r="H1081" t="str">
            <v>yellow</v>
          </cell>
          <cell r="I1081">
            <v>6</v>
          </cell>
          <cell r="J1081" t="str">
            <v>DropWizS</v>
          </cell>
          <cell r="K1081" t="str">
            <v>heal</v>
          </cell>
          <cell r="L1081" t="str">
            <v>回復タイプ</v>
          </cell>
          <cell r="M1081" t="str">
            <v>god</v>
          </cell>
        </row>
        <row r="1082">
          <cell r="A1082">
            <v>8013</v>
          </cell>
          <cell r="B1082" t="str">
            <v>ja</v>
          </cell>
          <cell r="C1082" t="str">
            <v>CO04_Wiz01_R5</v>
          </cell>
          <cell r="D1082" t="str">
            <v>初音ミクV3</v>
          </cell>
          <cell r="E1082" t="str">
            <v>執行者</v>
          </cell>
          <cell r="F1082" t="str">
            <v>格好いい</v>
          </cell>
          <cell r="G1082" t="str">
            <v>女性</v>
          </cell>
          <cell r="H1082" t="str">
            <v>yellow</v>
          </cell>
          <cell r="I1082">
            <v>5</v>
          </cell>
          <cell r="J1082" t="str">
            <v>DropWizS</v>
          </cell>
          <cell r="K1082" t="str">
            <v>balance</v>
          </cell>
          <cell r="L1082" t="str">
            <v>バランスタイプ</v>
          </cell>
          <cell r="M1082" t="str">
            <v>unknown</v>
          </cell>
        </row>
        <row r="1083">
          <cell r="A1083">
            <v>8014</v>
          </cell>
          <cell r="B1083" t="str">
            <v>ja</v>
          </cell>
          <cell r="C1083" t="str">
            <v>CO04_Wiz01_R6</v>
          </cell>
          <cell r="D1083" t="str">
            <v>初音ミクV3</v>
          </cell>
          <cell r="E1083" t="str">
            <v>執行者</v>
          </cell>
          <cell r="F1083" t="str">
            <v>格好いい</v>
          </cell>
          <cell r="G1083" t="str">
            <v>女性</v>
          </cell>
          <cell r="H1083" t="str">
            <v>yellow</v>
          </cell>
          <cell r="I1083">
            <v>6</v>
          </cell>
          <cell r="J1083" t="str">
            <v>DropWizS</v>
          </cell>
          <cell r="K1083" t="str">
            <v>balance</v>
          </cell>
          <cell r="L1083" t="str">
            <v>バランスタイプ</v>
          </cell>
          <cell r="M1083" t="str">
            <v>unknown</v>
          </cell>
        </row>
        <row r="1084">
          <cell r="A1084">
            <v>8015</v>
          </cell>
          <cell r="B1084" t="str">
            <v>ja</v>
          </cell>
          <cell r="C1084" t="str">
            <v>CO04_ GA01_R5</v>
          </cell>
          <cell r="D1084" t="str">
            <v>初音ミク・アペンド</v>
          </cell>
          <cell r="E1084" t="str">
            <v>執行者</v>
          </cell>
          <cell r="F1084" t="str">
            <v>格好いい</v>
          </cell>
          <cell r="G1084" t="str">
            <v>女性</v>
          </cell>
          <cell r="H1084" t="str">
            <v>green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unknown</v>
          </cell>
        </row>
        <row r="1085">
          <cell r="A1085">
            <v>8016</v>
          </cell>
          <cell r="B1085" t="str">
            <v>ja</v>
          </cell>
          <cell r="C1085" t="str">
            <v>CO04_ GA01_R6</v>
          </cell>
          <cell r="D1085" t="str">
            <v>初音ミク・アペンド</v>
          </cell>
          <cell r="E1085" t="str">
            <v>執行者</v>
          </cell>
          <cell r="F1085" t="str">
            <v>格好いい</v>
          </cell>
          <cell r="G1085" t="str">
            <v>女性</v>
          </cell>
          <cell r="H1085" t="str">
            <v>green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unknown</v>
          </cell>
        </row>
        <row r="1086">
          <cell r="A1086">
            <v>8017</v>
          </cell>
          <cell r="B1086" t="str">
            <v>ja</v>
          </cell>
          <cell r="C1086" t="str">
            <v>CO04_ GA02_R5</v>
          </cell>
          <cell r="D1086" t="str">
            <v>初音ミク</v>
          </cell>
          <cell r="E1086" t="str">
            <v>執行者</v>
          </cell>
          <cell r="F1086" t="str">
            <v>格好いい</v>
          </cell>
          <cell r="G1086" t="str">
            <v>女性</v>
          </cell>
          <cell r="H1086" t="str">
            <v>yellow</v>
          </cell>
          <cell r="I1086">
            <v>5</v>
          </cell>
          <cell r="J1086" t="str">
            <v>PremiumSSS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8018</v>
          </cell>
          <cell r="B1087" t="str">
            <v>ja</v>
          </cell>
          <cell r="C1087" t="str">
            <v>CO04_ GA02_R6</v>
          </cell>
          <cell r="D1087" t="str">
            <v>初音ミク</v>
          </cell>
          <cell r="E1087" t="str">
            <v>執行者</v>
          </cell>
          <cell r="F1087" t="str">
            <v>格好いい</v>
          </cell>
          <cell r="G1087" t="str">
            <v>女性</v>
          </cell>
          <cell r="H1087" t="str">
            <v>yellow</v>
          </cell>
          <cell r="I1087">
            <v>6</v>
          </cell>
          <cell r="J1087" t="str">
            <v>PremiumSSS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8019</v>
          </cell>
          <cell r="B1088" t="str">
            <v>ja</v>
          </cell>
          <cell r="C1088" t="str">
            <v>CO04_ GA03_R4</v>
          </cell>
          <cell r="D1088" t="str">
            <v>鏡音リン</v>
          </cell>
          <cell r="E1088" t="str">
            <v>執行者</v>
          </cell>
          <cell r="F1088" t="str">
            <v>格好いい</v>
          </cell>
          <cell r="G1088" t="str">
            <v>男性</v>
          </cell>
          <cell r="H1088" t="str">
            <v>yellow</v>
          </cell>
          <cell r="I1088">
            <v>4</v>
          </cell>
          <cell r="J1088" t="str">
            <v>PremiumSS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8020</v>
          </cell>
          <cell r="B1089" t="str">
            <v>ja</v>
          </cell>
          <cell r="C1089" t="str">
            <v>CO04_ GA03_R5</v>
          </cell>
          <cell r="D1089" t="str">
            <v>鏡音リン</v>
          </cell>
          <cell r="E1089" t="str">
            <v>執行者</v>
          </cell>
          <cell r="F1089" t="str">
            <v>格好いい</v>
          </cell>
          <cell r="G1089" t="str">
            <v>男性</v>
          </cell>
          <cell r="H1089" t="str">
            <v>yellow</v>
          </cell>
          <cell r="I1089">
            <v>5</v>
          </cell>
          <cell r="J1089" t="str">
            <v>PremiumSS</v>
          </cell>
          <cell r="K1089" t="str">
            <v>balance</v>
          </cell>
          <cell r="L1089" t="str">
            <v>バランスタイプ</v>
          </cell>
          <cell r="M1089" t="str">
            <v>unknown</v>
          </cell>
        </row>
        <row r="1090">
          <cell r="A1090">
            <v>8021</v>
          </cell>
          <cell r="B1090" t="str">
            <v>ja</v>
          </cell>
          <cell r="C1090" t="str">
            <v>CO04_ GA04_R4</v>
          </cell>
          <cell r="D1090" t="str">
            <v>鏡音レン</v>
          </cell>
          <cell r="E1090" t="str">
            <v>執行者</v>
          </cell>
          <cell r="F1090" t="str">
            <v>格好いい</v>
          </cell>
          <cell r="G1090" t="str">
            <v>女性</v>
          </cell>
          <cell r="H1090" t="str">
            <v>red</v>
          </cell>
          <cell r="I1090">
            <v>4</v>
          </cell>
          <cell r="J1090" t="str">
            <v>PremiumS</v>
          </cell>
          <cell r="K1090" t="str">
            <v>heal</v>
          </cell>
          <cell r="L1090" t="str">
            <v>回復タイプ</v>
          </cell>
          <cell r="M1090" t="str">
            <v>unknown</v>
          </cell>
        </row>
        <row r="1091">
          <cell r="A1091">
            <v>8022</v>
          </cell>
          <cell r="B1091" t="str">
            <v>ja</v>
          </cell>
          <cell r="C1091" t="str">
            <v>CO04_ GA04_R5</v>
          </cell>
          <cell r="D1091" t="str">
            <v>鏡音レン</v>
          </cell>
          <cell r="E1091" t="str">
            <v>執行者</v>
          </cell>
          <cell r="F1091" t="str">
            <v>格好いい</v>
          </cell>
          <cell r="G1091" t="str">
            <v>女性</v>
          </cell>
          <cell r="H1091" t="str">
            <v>red</v>
          </cell>
          <cell r="I1091">
            <v>5</v>
          </cell>
          <cell r="J1091" t="str">
            <v>PremiumS</v>
          </cell>
          <cell r="K1091" t="str">
            <v>heal</v>
          </cell>
          <cell r="L1091" t="str">
            <v>回復タイプ</v>
          </cell>
          <cell r="M1091" t="str">
            <v>unknown</v>
          </cell>
        </row>
        <row r="1092">
          <cell r="A1092">
            <v>8023</v>
          </cell>
          <cell r="B1092" t="str">
            <v>ja</v>
          </cell>
          <cell r="C1092" t="str">
            <v>CO04_ GA05_R3</v>
          </cell>
          <cell r="D1092" t="str">
            <v>巡音ルカ</v>
          </cell>
          <cell r="E1092" t="str">
            <v>執行者</v>
          </cell>
          <cell r="F1092" t="str">
            <v>格好いい</v>
          </cell>
          <cell r="G1092" t="str">
            <v>女性</v>
          </cell>
          <cell r="H1092" t="str">
            <v>red</v>
          </cell>
          <cell r="I1092">
            <v>3</v>
          </cell>
          <cell r="J1092" t="str">
            <v>PremiumS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8024</v>
          </cell>
          <cell r="B1093" t="str">
            <v>ja</v>
          </cell>
          <cell r="C1093" t="str">
            <v>CO04_ GA05_R4</v>
          </cell>
          <cell r="D1093" t="str">
            <v>巡音ルカ</v>
          </cell>
          <cell r="E1093" t="str">
            <v>執行者</v>
          </cell>
          <cell r="F1093" t="str">
            <v>格好いい</v>
          </cell>
          <cell r="G1093" t="str">
            <v>女性</v>
          </cell>
          <cell r="H1093" t="str">
            <v>red</v>
          </cell>
          <cell r="I1093">
            <v>4</v>
          </cell>
          <cell r="J1093" t="str">
            <v>PremiumS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8025</v>
          </cell>
          <cell r="B1094" t="str">
            <v>ja</v>
          </cell>
          <cell r="C1094" t="str">
            <v>CO04_ GA06_R3</v>
          </cell>
          <cell r="D1094" t="str">
            <v>MEIKO</v>
          </cell>
          <cell r="E1094" t="str">
            <v>執行者</v>
          </cell>
          <cell r="F1094" t="str">
            <v>格好いい</v>
          </cell>
          <cell r="G1094" t="str">
            <v>男性</v>
          </cell>
          <cell r="H1094" t="str">
            <v>red</v>
          </cell>
          <cell r="I1094">
            <v>3</v>
          </cell>
          <cell r="J1094" t="str">
            <v>PremiumS</v>
          </cell>
          <cell r="K1094" t="str">
            <v>hp</v>
          </cell>
          <cell r="L1094" t="str">
            <v>体力タイプ</v>
          </cell>
          <cell r="M1094" t="str">
            <v>unknown</v>
          </cell>
        </row>
        <row r="1095">
          <cell r="A1095">
            <v>8026</v>
          </cell>
          <cell r="B1095" t="str">
            <v>ja</v>
          </cell>
          <cell r="C1095" t="str">
            <v>CO04_ GA06_R4</v>
          </cell>
          <cell r="D1095" t="str">
            <v>MEIKO</v>
          </cell>
          <cell r="E1095" t="str">
            <v>執行者</v>
          </cell>
          <cell r="F1095" t="str">
            <v>格好いい</v>
          </cell>
          <cell r="G1095" t="str">
            <v>男性</v>
          </cell>
          <cell r="H1095" t="str">
            <v>red</v>
          </cell>
          <cell r="I1095">
            <v>4</v>
          </cell>
          <cell r="J1095" t="str">
            <v>PremiumS</v>
          </cell>
          <cell r="K1095" t="str">
            <v>hp</v>
          </cell>
          <cell r="L1095" t="str">
            <v>体力タイプ</v>
          </cell>
          <cell r="M1095" t="str">
            <v>unknown</v>
          </cell>
        </row>
        <row r="1096">
          <cell r="A1096">
            <v>8027</v>
          </cell>
          <cell r="B1096" t="str">
            <v>ja</v>
          </cell>
          <cell r="C1096" t="str">
            <v>CO04_ GA07_R3</v>
          </cell>
          <cell r="D1096" t="str">
            <v>KAITO</v>
          </cell>
          <cell r="E1096" t="str">
            <v>執行者</v>
          </cell>
          <cell r="F1096" t="str">
            <v>格好いい</v>
          </cell>
          <cell r="G1096" t="str">
            <v>女性</v>
          </cell>
          <cell r="H1096" t="str">
            <v>blue</v>
          </cell>
          <cell r="I1096">
            <v>3</v>
          </cell>
          <cell r="J1096" t="str">
            <v>PremiumS</v>
          </cell>
          <cell r="K1096" t="str">
            <v>technical</v>
          </cell>
          <cell r="L1096" t="str">
            <v>テクニカルタイプ</v>
          </cell>
          <cell r="M1096" t="str">
            <v>unknown</v>
          </cell>
        </row>
        <row r="1097">
          <cell r="A1097">
            <v>8028</v>
          </cell>
          <cell r="B1097" t="str">
            <v>ja</v>
          </cell>
          <cell r="C1097" t="str">
            <v>CO04_ GA07_R4</v>
          </cell>
          <cell r="D1097" t="str">
            <v>KAITO</v>
          </cell>
          <cell r="E1097" t="str">
            <v>執行者</v>
          </cell>
          <cell r="F1097" t="str">
            <v>格好いい</v>
          </cell>
          <cell r="G1097" t="str">
            <v>女性</v>
          </cell>
          <cell r="H1097" t="str">
            <v>blue</v>
          </cell>
          <cell r="I1097">
            <v>4</v>
          </cell>
          <cell r="J1097" t="str">
            <v>PremiumS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8029</v>
          </cell>
          <cell r="B1098" t="str">
            <v>ja</v>
          </cell>
          <cell r="C1098" t="str">
            <v>CO04_ EV01_R4</v>
          </cell>
          <cell r="D1098" t="str">
            <v>Expoミク</v>
          </cell>
          <cell r="E1098" t="str">
            <v>執行者</v>
          </cell>
          <cell r="F1098" t="str">
            <v>格好いい</v>
          </cell>
          <cell r="G1098" t="str">
            <v>女性</v>
          </cell>
          <cell r="H1098" t="str">
            <v>blue</v>
          </cell>
          <cell r="I1098">
            <v>4</v>
          </cell>
          <cell r="J1098" t="str">
            <v>Drop2N</v>
          </cell>
          <cell r="K1098" t="str">
            <v>heal</v>
          </cell>
          <cell r="L1098" t="str">
            <v>回復タイプ</v>
          </cell>
          <cell r="M1098" t="str">
            <v>unknown</v>
          </cell>
        </row>
        <row r="1099">
          <cell r="A1099">
            <v>8030</v>
          </cell>
          <cell r="B1099" t="str">
            <v>ja</v>
          </cell>
          <cell r="C1099" t="str">
            <v>CO04_ EV02_R5</v>
          </cell>
          <cell r="D1099" t="str">
            <v>Expoミク</v>
          </cell>
          <cell r="E1099" t="str">
            <v>執行者</v>
          </cell>
          <cell r="F1099" t="str">
            <v>格好いい</v>
          </cell>
          <cell r="G1099" t="str">
            <v>女性</v>
          </cell>
          <cell r="H1099" t="str">
            <v>blue</v>
          </cell>
          <cell r="I1099">
            <v>5</v>
          </cell>
          <cell r="J1099" t="str">
            <v>Drop2N</v>
          </cell>
          <cell r="K1099" t="str">
            <v>heal</v>
          </cell>
          <cell r="L1099" t="str">
            <v>回復タイプ</v>
          </cell>
          <cell r="M109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43" customWidth="1"/>
    <col min="2" max="16384" width="13" style="43"/>
  </cols>
  <sheetData>
    <row r="1" spans="1:13" x14ac:dyDescent="0.15">
      <c r="A1" s="43" t="s">
        <v>78</v>
      </c>
      <c r="B1" s="43" t="s">
        <v>79</v>
      </c>
    </row>
    <row r="2" spans="1:13" x14ac:dyDescent="0.15">
      <c r="A2" s="43" t="s">
        <v>80</v>
      </c>
      <c r="B2" s="43" t="s">
        <v>81</v>
      </c>
      <c r="C2" s="43" t="s">
        <v>82</v>
      </c>
      <c r="D2" s="43" t="s">
        <v>83</v>
      </c>
      <c r="E2" s="43" t="s">
        <v>84</v>
      </c>
      <c r="F2" s="43" t="s">
        <v>85</v>
      </c>
      <c r="G2" s="43" t="s">
        <v>86</v>
      </c>
      <c r="H2" s="43" t="s">
        <v>87</v>
      </c>
    </row>
    <row r="3" spans="1:13" x14ac:dyDescent="0.15">
      <c r="A3" s="43">
        <v>3</v>
      </c>
      <c r="B3" s="44" t="s">
        <v>88</v>
      </c>
      <c r="C3" s="44" t="s">
        <v>89</v>
      </c>
      <c r="D3" s="43">
        <v>0</v>
      </c>
      <c r="E3" s="44" t="s">
        <v>90</v>
      </c>
      <c r="F3" s="43">
        <v>0</v>
      </c>
      <c r="G3" s="43">
        <v>0</v>
      </c>
      <c r="H3" s="45">
        <v>0.5</v>
      </c>
    </row>
    <row r="4" spans="1:13" x14ac:dyDescent="0.15">
      <c r="A4" s="43">
        <v>4</v>
      </c>
      <c r="B4" s="44" t="s">
        <v>91</v>
      </c>
      <c r="C4" s="44" t="s">
        <v>92</v>
      </c>
      <c r="D4" s="44" t="s">
        <v>93</v>
      </c>
      <c r="E4" s="44" t="s">
        <v>94</v>
      </c>
      <c r="F4" s="44" t="s">
        <v>95</v>
      </c>
      <c r="G4" s="43">
        <v>0</v>
      </c>
      <c r="H4" s="45">
        <v>0.45</v>
      </c>
    </row>
    <row r="5" spans="1:13" x14ac:dyDescent="0.15">
      <c r="A5" s="43">
        <v>5</v>
      </c>
      <c r="B5" s="46">
        <v>0</v>
      </c>
      <c r="C5" s="44" t="s">
        <v>96</v>
      </c>
      <c r="D5" s="44" t="s">
        <v>97</v>
      </c>
      <c r="E5" s="44" t="s">
        <v>98</v>
      </c>
      <c r="F5" s="44" t="s">
        <v>99</v>
      </c>
      <c r="G5" s="44" t="s">
        <v>100</v>
      </c>
      <c r="H5" s="45">
        <v>0.05</v>
      </c>
    </row>
    <row r="6" spans="1:13" x14ac:dyDescent="0.15">
      <c r="B6" s="45" t="s">
        <v>101</v>
      </c>
      <c r="C6" s="45" t="s">
        <v>101</v>
      </c>
      <c r="D6" s="45" t="s">
        <v>102</v>
      </c>
      <c r="E6" s="45" t="s">
        <v>101</v>
      </c>
      <c r="F6" s="45" t="s">
        <v>101</v>
      </c>
      <c r="G6" s="47" t="s">
        <v>103</v>
      </c>
      <c r="H6" s="45">
        <v>1</v>
      </c>
    </row>
    <row r="7" spans="1:13" x14ac:dyDescent="0.15">
      <c r="B7" s="45"/>
      <c r="C7" s="45"/>
      <c r="D7" s="45"/>
      <c r="E7" s="45"/>
      <c r="F7" s="45"/>
      <c r="G7" s="47"/>
      <c r="H7" s="45"/>
    </row>
    <row r="8" spans="1:13" x14ac:dyDescent="0.15">
      <c r="A8" s="43" t="s">
        <v>104</v>
      </c>
      <c r="B8" s="45"/>
      <c r="C8" s="45"/>
      <c r="D8" s="45"/>
      <c r="E8" s="45"/>
      <c r="F8" s="45"/>
      <c r="G8" s="47"/>
      <c r="H8" s="45"/>
    </row>
    <row r="9" spans="1:13" x14ac:dyDescent="0.15">
      <c r="A9" s="43" t="s">
        <v>105</v>
      </c>
      <c r="B9" s="45"/>
      <c r="C9" s="45"/>
      <c r="D9" s="45"/>
      <c r="E9" s="45"/>
      <c r="F9" s="45"/>
      <c r="G9" s="47"/>
      <c r="H9" s="45"/>
    </row>
    <row r="10" spans="1:13" x14ac:dyDescent="0.15">
      <c r="A10" s="43" t="s">
        <v>106</v>
      </c>
      <c r="B10" s="45"/>
      <c r="C10" s="45"/>
      <c r="D10" s="45"/>
      <c r="E10" s="45"/>
      <c r="F10" s="45"/>
      <c r="G10" s="47"/>
      <c r="H10" s="45"/>
    </row>
    <row r="11" spans="1:13" x14ac:dyDescent="0.15">
      <c r="A11" s="43" t="s">
        <v>107</v>
      </c>
      <c r="B11" s="45"/>
      <c r="C11" s="45"/>
      <c r="D11" s="45"/>
      <c r="E11" s="45"/>
      <c r="F11" s="45"/>
      <c r="G11" s="47"/>
      <c r="H11" s="45"/>
    </row>
    <row r="12" spans="1:13" x14ac:dyDescent="0.15">
      <c r="A12" s="43" t="s">
        <v>100</v>
      </c>
      <c r="B12" s="45" t="s">
        <v>108</v>
      </c>
      <c r="C12" s="45" t="s">
        <v>109</v>
      </c>
      <c r="D12" s="45"/>
      <c r="E12" s="45"/>
      <c r="F12" s="45"/>
      <c r="G12" s="47"/>
      <c r="H12" s="45"/>
    </row>
    <row r="13" spans="1:13" x14ac:dyDescent="0.15">
      <c r="A13" s="43" t="s">
        <v>110</v>
      </c>
      <c r="B13" s="43" t="s">
        <v>111</v>
      </c>
      <c r="C13" s="43" t="s">
        <v>112</v>
      </c>
    </row>
    <row r="14" spans="1:13" x14ac:dyDescent="0.15">
      <c r="A14" s="43" t="s">
        <v>113</v>
      </c>
      <c r="B14" s="43" t="s">
        <v>108</v>
      </c>
      <c r="C14" s="46" t="s">
        <v>114</v>
      </c>
      <c r="E14" s="46"/>
      <c r="F14" s="46"/>
      <c r="M14" s="45"/>
    </row>
    <row r="15" spans="1:13" x14ac:dyDescent="0.15">
      <c r="A15" s="43" t="s">
        <v>90</v>
      </c>
      <c r="B15" s="45" t="s">
        <v>108</v>
      </c>
      <c r="C15" s="45" t="s">
        <v>115</v>
      </c>
      <c r="H15" s="48"/>
      <c r="M15" s="45"/>
    </row>
    <row r="16" spans="1:13" x14ac:dyDescent="0.15">
      <c r="A16" s="43" t="s">
        <v>94</v>
      </c>
      <c r="B16" s="45" t="s">
        <v>108</v>
      </c>
      <c r="C16" s="45" t="s">
        <v>116</v>
      </c>
      <c r="M16" s="45"/>
    </row>
    <row r="17" spans="1:13" x14ac:dyDescent="0.15">
      <c r="A17" s="43" t="s">
        <v>117</v>
      </c>
      <c r="B17" s="45" t="s">
        <v>108</v>
      </c>
      <c r="C17" s="45" t="s">
        <v>118</v>
      </c>
      <c r="M17" s="45"/>
    </row>
    <row r="18" spans="1:13" x14ac:dyDescent="0.15">
      <c r="B18" s="45"/>
      <c r="C18" s="45"/>
    </row>
    <row r="19" spans="1:13" x14ac:dyDescent="0.15">
      <c r="A19" s="43" t="s">
        <v>119</v>
      </c>
    </row>
    <row r="20" spans="1:13" x14ac:dyDescent="0.15">
      <c r="A20" s="43" t="s">
        <v>120</v>
      </c>
      <c r="B20" s="45"/>
      <c r="C20" s="45"/>
    </row>
    <row r="21" spans="1:13" x14ac:dyDescent="0.15">
      <c r="A21" s="43" t="s">
        <v>121</v>
      </c>
      <c r="B21" s="45" t="s">
        <v>122</v>
      </c>
      <c r="C21" s="45" t="s">
        <v>123</v>
      </c>
      <c r="D21" s="43" t="s">
        <v>124</v>
      </c>
    </row>
    <row r="22" spans="1:13" x14ac:dyDescent="0.15">
      <c r="A22" s="43" t="s">
        <v>125</v>
      </c>
      <c r="B22" s="45" t="s">
        <v>108</v>
      </c>
      <c r="C22" s="45" t="s">
        <v>126</v>
      </c>
      <c r="D22" s="43" t="s">
        <v>127</v>
      </c>
    </row>
    <row r="23" spans="1:13" x14ac:dyDescent="0.15">
      <c r="A23" s="43" t="s">
        <v>128</v>
      </c>
      <c r="B23" s="45" t="s">
        <v>108</v>
      </c>
      <c r="C23" s="43" t="s">
        <v>129</v>
      </c>
      <c r="D23" s="43" t="s">
        <v>130</v>
      </c>
    </row>
    <row r="24" spans="1:13" x14ac:dyDescent="0.15">
      <c r="A24" s="43" t="s">
        <v>131</v>
      </c>
      <c r="B24" s="45" t="s">
        <v>108</v>
      </c>
      <c r="C24" s="45" t="s">
        <v>132</v>
      </c>
      <c r="D24" s="43" t="s">
        <v>133</v>
      </c>
    </row>
    <row r="25" spans="1:13" x14ac:dyDescent="0.15">
      <c r="A25" s="43" t="s">
        <v>134</v>
      </c>
      <c r="B25" s="45" t="s">
        <v>108</v>
      </c>
      <c r="C25" s="45" t="s">
        <v>135</v>
      </c>
      <c r="D25" s="43" t="s">
        <v>136</v>
      </c>
    </row>
    <row r="26" spans="1:13" x14ac:dyDescent="0.15">
      <c r="A26" s="43" t="s">
        <v>137</v>
      </c>
      <c r="B26" s="45" t="s">
        <v>108</v>
      </c>
      <c r="C26" s="45" t="s">
        <v>138</v>
      </c>
      <c r="D26" s="43" t="s">
        <v>139</v>
      </c>
    </row>
    <row r="27" spans="1:13" x14ac:dyDescent="0.15">
      <c r="A27" s="43" t="s">
        <v>140</v>
      </c>
      <c r="B27" s="45" t="s">
        <v>108</v>
      </c>
      <c r="C27" s="45" t="s">
        <v>102</v>
      </c>
      <c r="D27" s="43" t="s">
        <v>141</v>
      </c>
      <c r="E27" s="43" t="s">
        <v>142</v>
      </c>
    </row>
    <row r="28" spans="1:13" x14ac:dyDescent="0.15">
      <c r="A28" s="43" t="s">
        <v>89</v>
      </c>
      <c r="B28" s="45" t="s">
        <v>108</v>
      </c>
      <c r="C28" s="45" t="s">
        <v>143</v>
      </c>
      <c r="E28" s="43" t="s">
        <v>144</v>
      </c>
    </row>
    <row r="29" spans="1:13" x14ac:dyDescent="0.15">
      <c r="A29" s="43" t="s">
        <v>92</v>
      </c>
      <c r="B29" s="45" t="s">
        <v>108</v>
      </c>
      <c r="C29" s="45" t="s">
        <v>145</v>
      </c>
    </row>
    <row r="30" spans="1:13" x14ac:dyDescent="0.15">
      <c r="B30" s="45"/>
    </row>
    <row r="31" spans="1:13" x14ac:dyDescent="0.15">
      <c r="A31" s="43" t="s">
        <v>146</v>
      </c>
    </row>
    <row r="32" spans="1:13" x14ac:dyDescent="0.15">
      <c r="A32" s="43" t="s">
        <v>147</v>
      </c>
      <c r="B32" s="45" t="s">
        <v>108</v>
      </c>
      <c r="C32" s="45" t="s">
        <v>148</v>
      </c>
    </row>
    <row r="33" spans="1:3" x14ac:dyDescent="0.15">
      <c r="A33" s="43" t="s">
        <v>92</v>
      </c>
      <c r="B33" s="45" t="s">
        <v>108</v>
      </c>
      <c r="C33" s="45" t="s">
        <v>149</v>
      </c>
    </row>
    <row r="34" spans="1:3" x14ac:dyDescent="0.15">
      <c r="A34" s="43" t="s">
        <v>89</v>
      </c>
      <c r="B34" s="45" t="s">
        <v>108</v>
      </c>
      <c r="C34" s="45" t="s">
        <v>150</v>
      </c>
    </row>
    <row r="35" spans="1:3" x14ac:dyDescent="0.15">
      <c r="A35" s="43" t="s">
        <v>88</v>
      </c>
      <c r="B35" s="45" t="s">
        <v>108</v>
      </c>
      <c r="C35" s="45" t="s">
        <v>151</v>
      </c>
    </row>
    <row r="36" spans="1:3" x14ac:dyDescent="0.15">
      <c r="A36" s="43" t="s">
        <v>91</v>
      </c>
      <c r="B36" s="45" t="s">
        <v>108</v>
      </c>
      <c r="C36" s="45" t="s">
        <v>152</v>
      </c>
    </row>
    <row r="37" spans="1:3" x14ac:dyDescent="0.15">
      <c r="A37" s="43" t="s">
        <v>97</v>
      </c>
      <c r="B37" s="45" t="s">
        <v>108</v>
      </c>
      <c r="C37" s="45" t="s">
        <v>153</v>
      </c>
    </row>
    <row r="38" spans="1:3" x14ac:dyDescent="0.15">
      <c r="A38" s="43" t="s">
        <v>93</v>
      </c>
      <c r="B38" s="45" t="s">
        <v>108</v>
      </c>
      <c r="C38" s="45" t="s">
        <v>154</v>
      </c>
    </row>
  </sheetData>
  <phoneticPr fontId="2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59</v>
      </c>
    </row>
    <row r="2" spans="1:1" x14ac:dyDescent="0.15">
      <c r="A2" t="s">
        <v>60</v>
      </c>
    </row>
    <row r="3" spans="1:1" x14ac:dyDescent="0.15">
      <c r="A3" t="s">
        <v>61</v>
      </c>
    </row>
    <row r="4" spans="1:1" x14ac:dyDescent="0.15">
      <c r="A4" t="s">
        <v>62</v>
      </c>
    </row>
  </sheetData>
  <phoneticPr fontId="2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tabSelected="1" workbookViewId="0">
      <selection activeCell="E25" sqref="E25"/>
    </sheetView>
  </sheetViews>
  <sheetFormatPr baseColWidth="12" defaultRowHeight="15" x14ac:dyDescent="0.15"/>
  <cols>
    <col min="1" max="1" width="13" style="16"/>
    <col min="2" max="2" width="14.796875" style="16" bestFit="1" customWidth="1"/>
    <col min="3" max="4" width="13" style="16"/>
    <col min="5" max="5" width="17.59765625" style="16" bestFit="1" customWidth="1"/>
    <col min="6" max="6" width="22.19921875" style="16" bestFit="1" customWidth="1"/>
    <col min="7" max="16384" width="13" style="16"/>
  </cols>
  <sheetData>
    <row r="1" spans="1:21" x14ac:dyDescent="0.15">
      <c r="A1" s="26" t="s">
        <v>51</v>
      </c>
      <c r="B1" s="14" t="s">
        <v>39</v>
      </c>
      <c r="C1" s="14" t="s">
        <v>40</v>
      </c>
      <c r="D1" s="14" t="s">
        <v>41</v>
      </c>
      <c r="E1" s="14" t="s">
        <v>42</v>
      </c>
      <c r="F1" s="14" t="s">
        <v>43</v>
      </c>
      <c r="G1" s="14" t="s">
        <v>44</v>
      </c>
      <c r="H1" s="14"/>
      <c r="I1" s="14"/>
      <c r="J1" s="14"/>
      <c r="K1" s="14"/>
      <c r="L1" s="15"/>
      <c r="M1" s="15"/>
      <c r="N1" s="15"/>
      <c r="O1" s="15"/>
    </row>
    <row r="2" spans="1:21" x14ac:dyDescent="0.15">
      <c r="A2" s="51" t="s">
        <v>159</v>
      </c>
      <c r="B2" s="42" t="s">
        <v>77</v>
      </c>
      <c r="C2" s="37" t="str">
        <f>RIGHT(F2,3)</f>
        <v>209</v>
      </c>
      <c r="D2" s="17" t="s">
        <v>45</v>
      </c>
      <c r="E2" s="15" t="str">
        <f t="shared" ref="E2:E6" si="0">B2&amp;C2&amp;D2</f>
        <v>gacha_select_tables_209.tmp</v>
      </c>
      <c r="F2" s="52" t="s">
        <v>160</v>
      </c>
      <c r="G2" s="36" t="s">
        <v>64</v>
      </c>
      <c r="H2" s="20" t="s">
        <v>0</v>
      </c>
      <c r="I2" s="20" t="s">
        <v>3</v>
      </c>
      <c r="J2" s="20" t="s">
        <v>4</v>
      </c>
      <c r="K2" s="20" t="s">
        <v>5</v>
      </c>
      <c r="L2" s="20" t="s">
        <v>6</v>
      </c>
      <c r="M2" s="20" t="s">
        <v>7</v>
      </c>
      <c r="N2" s="20" t="s">
        <v>8</v>
      </c>
      <c r="O2" s="20" t="s">
        <v>9</v>
      </c>
    </row>
    <row r="3" spans="1:21" x14ac:dyDescent="0.15">
      <c r="A3" s="50" t="s">
        <v>158</v>
      </c>
      <c r="B3" s="42" t="s">
        <v>77</v>
      </c>
      <c r="C3" s="37" t="str">
        <f>RIGHT(F3,6)</f>
        <v>339100</v>
      </c>
      <c r="D3" s="17" t="s">
        <v>45</v>
      </c>
      <c r="E3" s="15" t="str">
        <f t="shared" si="0"/>
        <v>gacha_select_tables_339100.tmp</v>
      </c>
      <c r="F3" s="49" t="s">
        <v>157</v>
      </c>
      <c r="G3" s="36" t="s">
        <v>64</v>
      </c>
      <c r="H3" s="20" t="s">
        <v>0</v>
      </c>
      <c r="I3" s="20" t="s">
        <v>3</v>
      </c>
      <c r="J3" s="20" t="s">
        <v>4</v>
      </c>
      <c r="K3" s="20" t="s">
        <v>5</v>
      </c>
      <c r="L3" s="20" t="s">
        <v>6</v>
      </c>
      <c r="M3" s="20" t="s">
        <v>7</v>
      </c>
      <c r="N3" s="20" t="s">
        <v>8</v>
      </c>
      <c r="O3" s="20" t="s">
        <v>9</v>
      </c>
    </row>
    <row r="4" spans="1:21" x14ac:dyDescent="0.15">
      <c r="A4" s="29" t="s">
        <v>53</v>
      </c>
      <c r="B4" s="25" t="s">
        <v>50</v>
      </c>
      <c r="C4" s="30" t="s">
        <v>54</v>
      </c>
      <c r="D4" s="17" t="s">
        <v>46</v>
      </c>
      <c r="E4" s="15" t="str">
        <f t="shared" si="0"/>
        <v>gacha_bonus_tables_hogehoge.tmp</v>
      </c>
      <c r="F4" s="17" t="s">
        <v>47</v>
      </c>
      <c r="G4" s="19" t="s">
        <v>11</v>
      </c>
      <c r="H4" s="21" t="s">
        <v>14</v>
      </c>
      <c r="I4" s="19" t="s">
        <v>12</v>
      </c>
      <c r="J4" s="18"/>
      <c r="K4" s="18"/>
      <c r="L4" s="18"/>
      <c r="M4" s="18"/>
      <c r="N4" s="18"/>
      <c r="O4" s="18"/>
    </row>
    <row r="5" spans="1:21" x14ac:dyDescent="0.15">
      <c r="A5" s="29" t="s">
        <v>53</v>
      </c>
      <c r="B5" s="17" t="s">
        <v>48</v>
      </c>
      <c r="C5" s="30" t="s">
        <v>54</v>
      </c>
      <c r="D5" s="17" t="s">
        <v>46</v>
      </c>
      <c r="E5" s="15" t="str">
        <f t="shared" si="0"/>
        <v>gifts_tmp_hogehoge.tmp</v>
      </c>
      <c r="F5" s="17" t="s">
        <v>47</v>
      </c>
      <c r="G5" s="21" t="s">
        <v>22</v>
      </c>
      <c r="H5" s="22" t="s">
        <v>30</v>
      </c>
      <c r="I5" s="21" t="s">
        <v>23</v>
      </c>
      <c r="J5" s="21" t="s">
        <v>24</v>
      </c>
      <c r="K5" s="21" t="s">
        <v>24</v>
      </c>
      <c r="L5" s="21" t="s">
        <v>25</v>
      </c>
      <c r="M5" s="21" t="s">
        <v>25</v>
      </c>
      <c r="N5" s="21" t="s">
        <v>25</v>
      </c>
      <c r="O5" s="38" t="s">
        <v>7</v>
      </c>
      <c r="P5" s="38" t="s">
        <v>9</v>
      </c>
      <c r="Q5" s="38" t="s">
        <v>6</v>
      </c>
      <c r="R5" s="38" t="s">
        <v>65</v>
      </c>
      <c r="S5" s="38" t="s">
        <v>8</v>
      </c>
      <c r="T5" s="38" t="s">
        <v>66</v>
      </c>
      <c r="U5" s="38" t="s">
        <v>5</v>
      </c>
    </row>
    <row r="6" spans="1:21" x14ac:dyDescent="0.15">
      <c r="A6" s="29" t="s">
        <v>53</v>
      </c>
      <c r="B6" s="17" t="s">
        <v>49</v>
      </c>
      <c r="C6" s="30" t="s">
        <v>54</v>
      </c>
      <c r="D6" s="17" t="s">
        <v>46</v>
      </c>
      <c r="E6" s="15" t="str">
        <f t="shared" si="0"/>
        <v>gifts_i18n_hogehoge.tmp</v>
      </c>
      <c r="F6" s="17" t="s">
        <v>47</v>
      </c>
      <c r="G6" s="21" t="s">
        <v>13</v>
      </c>
      <c r="H6" s="23" t="s">
        <v>26</v>
      </c>
      <c r="I6" s="23" t="s">
        <v>27</v>
      </c>
      <c r="J6" s="23" t="s">
        <v>28</v>
      </c>
      <c r="K6" s="23" t="s">
        <v>29</v>
      </c>
      <c r="L6" s="24"/>
      <c r="M6" s="21"/>
      <c r="N6" s="21"/>
      <c r="O6" s="17"/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17"/>
  <sheetViews>
    <sheetView showGridLines="0" zoomScale="75" zoomScaleNormal="75" zoomScalePageLayoutView="75" workbookViewId="0">
      <pane ySplit="1" topLeftCell="A2" activePane="bottomLeft" state="frozen"/>
      <selection activeCell="M28" sqref="M28"/>
      <selection pane="bottomLeft" activeCell="F20" sqref="F2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63</v>
      </c>
      <c r="B1" s="13" t="s">
        <v>1</v>
      </c>
      <c r="C1" s="3" t="s">
        <v>31</v>
      </c>
      <c r="D1" s="3" t="s">
        <v>75</v>
      </c>
      <c r="E1" s="3" t="s">
        <v>155</v>
      </c>
      <c r="F1" s="3" t="s">
        <v>156</v>
      </c>
      <c r="G1" s="3" t="s">
        <v>76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55</v>
      </c>
      <c r="O1" s="13" t="s">
        <v>2</v>
      </c>
      <c r="P1" s="3" t="s">
        <v>57</v>
      </c>
      <c r="Q1" s="13" t="s">
        <v>38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</row>
    <row r="2" spans="1:22" ht="21" customHeight="1" x14ac:dyDescent="0.15">
      <c r="A2" s="2">
        <v>209</v>
      </c>
      <c r="B2" s="6">
        <v>332</v>
      </c>
      <c r="C2" s="7" t="str">
        <f t="shared" ref="C2:C17" si="0">D2&amp;J2&amp;E2&amp;F2&amp;G2</f>
        <v>Premium3R3less</v>
      </c>
      <c r="D2" s="7" t="str">
        <f>IF(I2="PremiumSS",I2,IF(I2="PremiumSSS",I2,IF(I2="PremiumW",I2,"Premium")))</f>
        <v>Premium</v>
      </c>
      <c r="E2" s="7" t="str">
        <f>IF(COUNTIF('R6追加前'!A:A,B2)=0,IF(I2="PremiumSS","R5only","R3less"),"")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炎のメタルピヨピヨ</v>
      </c>
      <c r="I2" s="7" t="str">
        <f>VLOOKUP(B2,[1]characters!$A:$J,10,FALSE)</f>
        <v>Material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exp</v>
      </c>
      <c r="M2" s="7" t="str">
        <f>VLOOKUP(B2,[1]characters!$A:$M,13,FALSE)</f>
        <v>unknown</v>
      </c>
      <c r="N2" s="7" t="str">
        <f>VLOOKUP(B2,[1]characters!$A:$G,7,FALSE)</f>
        <v>不明</v>
      </c>
      <c r="O2" s="34">
        <f>1000/4</f>
        <v>250</v>
      </c>
      <c r="P2" s="35">
        <f t="shared" ref="P2:P14" si="1">O2/SUM(O:O)</f>
        <v>2.5000000000000001E-2</v>
      </c>
      <c r="Q2" s="28">
        <v>1</v>
      </c>
      <c r="R2" s="28">
        <v>0</v>
      </c>
      <c r="S2" s="28">
        <v>0</v>
      </c>
      <c r="T2" s="28">
        <v>0</v>
      </c>
      <c r="U2" s="28">
        <v>0</v>
      </c>
      <c r="V2" s="28">
        <v>1</v>
      </c>
    </row>
    <row r="3" spans="1:22" ht="21" customHeight="1" x14ac:dyDescent="0.15">
      <c r="A3" s="2">
        <v>209</v>
      </c>
      <c r="B3" s="6">
        <f>B2+1</f>
        <v>333</v>
      </c>
      <c r="C3" s="7" t="str">
        <f t="shared" si="0"/>
        <v>Premium4R3less</v>
      </c>
      <c r="D3" s="7" t="str">
        <f t="shared" ref="D3:D17" si="2">IF(I3="PremiumSS",I3,IF(I3="PremiumSSS",I3,IF(I3="PremiumW",I3,"Premium")))</f>
        <v>Premium</v>
      </c>
      <c r="E3" s="7" t="str">
        <f>IF(COUNTIF('R6追加前'!A:A,B3)=0,IF(I3="PremiumSS","R5only","R3less"),"")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炎のメタルチック</v>
      </c>
      <c r="I3" s="7" t="str">
        <f>VLOOKUP(B3,[1]characters!$A:$J,10,FALSE)</f>
        <v>Material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exp</v>
      </c>
      <c r="M3" s="7" t="str">
        <f>VLOOKUP(B3,[1]characters!$A:$M,13,FALSE)</f>
        <v>unknown</v>
      </c>
      <c r="N3" s="7" t="str">
        <f>VLOOKUP(B3,[1]characters!$A:$G,7,FALSE)</f>
        <v>不明</v>
      </c>
      <c r="O3" s="34">
        <f>4500/4</f>
        <v>1125</v>
      </c>
      <c r="P3" s="35">
        <f t="shared" si="1"/>
        <v>0.1125</v>
      </c>
      <c r="Q3" s="28">
        <v>1</v>
      </c>
      <c r="R3" s="28">
        <v>0</v>
      </c>
      <c r="S3" s="28">
        <v>0</v>
      </c>
      <c r="T3" s="28">
        <v>0</v>
      </c>
      <c r="U3" s="28">
        <v>0</v>
      </c>
      <c r="V3" s="28">
        <v>1</v>
      </c>
    </row>
    <row r="4" spans="1:22" ht="21" customHeight="1" x14ac:dyDescent="0.15">
      <c r="A4" s="2">
        <v>209</v>
      </c>
      <c r="B4" s="6">
        <f t="shared" ref="B4:B17" si="3">B3+1</f>
        <v>334</v>
      </c>
      <c r="C4" s="7" t="str">
        <f t="shared" si="0"/>
        <v>Premium5R3less</v>
      </c>
      <c r="D4" s="7" t="str">
        <f t="shared" si="2"/>
        <v>Premium</v>
      </c>
      <c r="E4" s="7" t="str">
        <f>IF(COUNTIF('R6追加前'!A:A,B4)=0,IF(I4="PremiumSS","R5only","R3less"),"")</f>
        <v>R3less</v>
      </c>
      <c r="F4" s="7" t="str">
        <f>IF(COUNTIF('R6開放'!A:A,B4)&gt;0,"R6release","")</f>
        <v/>
      </c>
      <c r="G4" s="7"/>
      <c r="H4" s="7" t="str">
        <f>VLOOKUP(B4,[1]characters!$A:$C,3,FALSE)</f>
        <v>炎のメタルダック</v>
      </c>
      <c r="I4" s="7" t="str">
        <f>VLOOKUP(B4,[1]characters!$A:$J,10,FALSE)</f>
        <v>Material</v>
      </c>
      <c r="J4" s="7">
        <f>VLOOKUP(B4,[1]characters!$A:$I,9,FALSE)</f>
        <v>5</v>
      </c>
      <c r="K4" s="7" t="str">
        <f>VLOOKUP(B4,[1]characters!$A:$H,8,FALSE)</f>
        <v>red</v>
      </c>
      <c r="L4" s="7" t="str">
        <f>VLOOKUP(B4,[1]characters!$A:$K,11,FALSE)</f>
        <v>exp</v>
      </c>
      <c r="M4" s="7" t="str">
        <f>VLOOKUP(B4,[1]characters!$A:$M,13,FALSE)</f>
        <v>unknown</v>
      </c>
      <c r="N4" s="7" t="str">
        <f>VLOOKUP(B4,[1]characters!$A:$G,7,FALSE)</f>
        <v>不明</v>
      </c>
      <c r="O4" s="34">
        <f>4300/4</f>
        <v>1075</v>
      </c>
      <c r="P4" s="35">
        <f t="shared" si="1"/>
        <v>0.1075</v>
      </c>
      <c r="Q4" s="28">
        <v>1</v>
      </c>
      <c r="R4" s="28">
        <v>0</v>
      </c>
      <c r="S4" s="28">
        <v>0</v>
      </c>
      <c r="T4" s="28">
        <v>0</v>
      </c>
      <c r="U4" s="28">
        <v>0</v>
      </c>
      <c r="V4" s="28">
        <v>1</v>
      </c>
    </row>
    <row r="5" spans="1:22" ht="21" customHeight="1" x14ac:dyDescent="0.15">
      <c r="A5" s="2">
        <v>209</v>
      </c>
      <c r="B5" s="6">
        <f t="shared" si="3"/>
        <v>335</v>
      </c>
      <c r="C5" s="7" t="str">
        <f t="shared" si="0"/>
        <v>Premium6R3less</v>
      </c>
      <c r="D5" s="7" t="str">
        <f t="shared" si="2"/>
        <v>Premium</v>
      </c>
      <c r="E5" s="7" t="str">
        <f>IF(COUNTIF('R6追加前'!A:A,B5)=0,IF(I5="PremiumSS","R5only","R3less"),"")</f>
        <v>R3less</v>
      </c>
      <c r="F5" s="7" t="str">
        <f>IF(COUNTIF('R6開放'!A:A,B5)&gt;0,"R6release","")</f>
        <v/>
      </c>
      <c r="G5" s="7"/>
      <c r="H5" s="7" t="str">
        <f>VLOOKUP(B5,[1]characters!$A:$C,3,FALSE)</f>
        <v>炎のメタルジェントル</v>
      </c>
      <c r="I5" s="7" t="str">
        <f>VLOOKUP(B5,[1]characters!$A:$J,10,FALSE)</f>
        <v>Material</v>
      </c>
      <c r="J5" s="7">
        <f>VLOOKUP(B5,[1]characters!$A:$I,9,FALSE)</f>
        <v>6</v>
      </c>
      <c r="K5" s="7" t="str">
        <f>VLOOKUP(B5,[1]characters!$A:$H,8,FALSE)</f>
        <v>red</v>
      </c>
      <c r="L5" s="7" t="str">
        <f>VLOOKUP(B5,[1]characters!$A:$K,11,FALSE)</f>
        <v>exp</v>
      </c>
      <c r="M5" s="7" t="str">
        <f>VLOOKUP(B5,[1]characters!$A:$M,13,FALSE)</f>
        <v>unknown</v>
      </c>
      <c r="N5" s="7" t="str">
        <f>VLOOKUP(B5,[1]characters!$A:$G,7,FALSE)</f>
        <v>不明</v>
      </c>
      <c r="O5" s="34">
        <f>200/4</f>
        <v>50</v>
      </c>
      <c r="P5" s="35">
        <f t="shared" si="1"/>
        <v>5.0000000000000001E-3</v>
      </c>
      <c r="Q5" s="28">
        <v>1</v>
      </c>
      <c r="R5" s="28">
        <v>0</v>
      </c>
      <c r="S5" s="28">
        <v>0</v>
      </c>
      <c r="T5" s="28">
        <v>0</v>
      </c>
      <c r="U5" s="28">
        <v>0</v>
      </c>
      <c r="V5" s="28">
        <v>1</v>
      </c>
    </row>
    <row r="6" spans="1:22" ht="21" customHeight="1" x14ac:dyDescent="0.15">
      <c r="A6" s="2">
        <v>209</v>
      </c>
      <c r="B6" s="6">
        <f t="shared" si="3"/>
        <v>336</v>
      </c>
      <c r="C6" s="7" t="str">
        <f t="shared" si="0"/>
        <v>Premium3R3less</v>
      </c>
      <c r="D6" s="7" t="str">
        <f t="shared" si="2"/>
        <v>Premium</v>
      </c>
      <c r="E6" s="7" t="str">
        <f>IF(COUNTIF('R6追加前'!A:A,B6)=0,IF(I6="PremiumSS","R5only","R3less"),"")</f>
        <v>R3less</v>
      </c>
      <c r="F6" s="7" t="str">
        <f>IF(COUNTIF('R6開放'!A:A,B6)&gt;0,"R6release","")</f>
        <v/>
      </c>
      <c r="G6" s="7"/>
      <c r="H6" s="7" t="str">
        <f>VLOOKUP(B6,[1]characters!$A:$C,3,FALSE)</f>
        <v>森のメタルピヨピヨ</v>
      </c>
      <c r="I6" s="7" t="str">
        <f>VLOOKUP(B6,[1]characters!$A:$J,10,FALSE)</f>
        <v>Material</v>
      </c>
      <c r="J6" s="7">
        <f>VLOOKUP(B6,[1]characters!$A:$I,9,FALSE)</f>
        <v>3</v>
      </c>
      <c r="K6" s="7" t="str">
        <f>VLOOKUP(B6,[1]characters!$A:$H,8,FALSE)</f>
        <v>green</v>
      </c>
      <c r="L6" s="7" t="str">
        <f>VLOOKUP(B6,[1]characters!$A:$K,11,FALSE)</f>
        <v>exp</v>
      </c>
      <c r="M6" s="7" t="str">
        <f>VLOOKUP(B6,[1]characters!$A:$M,13,FALSE)</f>
        <v>unknown</v>
      </c>
      <c r="N6" s="7" t="str">
        <f>VLOOKUP(B6,[1]characters!$A:$G,7,FALSE)</f>
        <v>不明</v>
      </c>
      <c r="O6" s="34">
        <f>1000/4</f>
        <v>250</v>
      </c>
      <c r="P6" s="35">
        <f t="shared" si="1"/>
        <v>2.5000000000000001E-2</v>
      </c>
      <c r="Q6" s="28">
        <v>1</v>
      </c>
      <c r="R6" s="28">
        <v>0</v>
      </c>
      <c r="S6" s="28">
        <v>0</v>
      </c>
      <c r="T6" s="28">
        <v>0</v>
      </c>
      <c r="U6" s="28">
        <v>0</v>
      </c>
      <c r="V6" s="28">
        <v>1</v>
      </c>
    </row>
    <row r="7" spans="1:22" ht="21" customHeight="1" x14ac:dyDescent="0.15">
      <c r="A7" s="2">
        <v>209</v>
      </c>
      <c r="B7" s="6">
        <f t="shared" si="3"/>
        <v>337</v>
      </c>
      <c r="C7" s="7" t="str">
        <f t="shared" si="0"/>
        <v>Premium4R3less</v>
      </c>
      <c r="D7" s="7" t="str">
        <f t="shared" si="2"/>
        <v>Premium</v>
      </c>
      <c r="E7" s="7" t="str">
        <f>IF(COUNTIF('R6追加前'!A:A,B7)=0,IF(I7="PremiumSS","R5only","R3less"),"")</f>
        <v>R3less</v>
      </c>
      <c r="F7" s="7" t="str">
        <f>IF(COUNTIF('R6開放'!A:A,B7)&gt;0,"R6release","")</f>
        <v/>
      </c>
      <c r="G7" s="7"/>
      <c r="H7" s="7" t="str">
        <f>VLOOKUP(B7,[1]characters!$A:$C,3,FALSE)</f>
        <v>森のメタルチック</v>
      </c>
      <c r="I7" s="7" t="str">
        <f>VLOOKUP(B7,[1]characters!$A:$J,10,FALSE)</f>
        <v>Material</v>
      </c>
      <c r="J7" s="7">
        <f>VLOOKUP(B7,[1]characters!$A:$I,9,FALSE)</f>
        <v>4</v>
      </c>
      <c r="K7" s="7" t="str">
        <f>VLOOKUP(B7,[1]characters!$A:$H,8,FALSE)</f>
        <v>green</v>
      </c>
      <c r="L7" s="7" t="str">
        <f>VLOOKUP(B7,[1]characters!$A:$K,11,FALSE)</f>
        <v>exp</v>
      </c>
      <c r="M7" s="7" t="str">
        <f>VLOOKUP(B7,[1]characters!$A:$M,13,FALSE)</f>
        <v>unknown</v>
      </c>
      <c r="N7" s="7" t="str">
        <f>VLOOKUP(B7,[1]characters!$A:$G,7,FALSE)</f>
        <v>不明</v>
      </c>
      <c r="O7" s="34">
        <f>4500/4</f>
        <v>1125</v>
      </c>
      <c r="P7" s="35">
        <f t="shared" si="1"/>
        <v>0.1125</v>
      </c>
      <c r="Q7" s="28">
        <v>1</v>
      </c>
      <c r="R7" s="28">
        <v>0</v>
      </c>
      <c r="S7" s="28">
        <v>0</v>
      </c>
      <c r="T7" s="28">
        <v>0</v>
      </c>
      <c r="U7" s="28">
        <v>0</v>
      </c>
      <c r="V7" s="28">
        <v>1</v>
      </c>
    </row>
    <row r="8" spans="1:22" ht="21" customHeight="1" x14ac:dyDescent="0.15">
      <c r="A8" s="2">
        <v>209</v>
      </c>
      <c r="B8" s="6">
        <f t="shared" si="3"/>
        <v>338</v>
      </c>
      <c r="C8" s="7" t="str">
        <f t="shared" si="0"/>
        <v>Premium5R3less</v>
      </c>
      <c r="D8" s="7" t="str">
        <f t="shared" si="2"/>
        <v>Premium</v>
      </c>
      <c r="E8" s="7" t="str">
        <f>IF(COUNTIF('R6追加前'!A:A,B8)=0,IF(I8="PremiumSS","R5only","R3less"),"")</f>
        <v>R3less</v>
      </c>
      <c r="F8" s="7" t="str">
        <f>IF(COUNTIF('R6開放'!A:A,B8)&gt;0,"R6release","")</f>
        <v/>
      </c>
      <c r="G8" s="7"/>
      <c r="H8" s="7" t="str">
        <f>VLOOKUP(B8,[1]characters!$A:$C,3,FALSE)</f>
        <v>森のメタルダック</v>
      </c>
      <c r="I8" s="7" t="str">
        <f>VLOOKUP(B8,[1]characters!$A:$J,10,FALSE)</f>
        <v>Material</v>
      </c>
      <c r="J8" s="7">
        <f>VLOOKUP(B8,[1]characters!$A:$I,9,FALSE)</f>
        <v>5</v>
      </c>
      <c r="K8" s="7" t="str">
        <f>VLOOKUP(B8,[1]characters!$A:$H,8,FALSE)</f>
        <v>green</v>
      </c>
      <c r="L8" s="7" t="str">
        <f>VLOOKUP(B8,[1]characters!$A:$K,11,FALSE)</f>
        <v>exp</v>
      </c>
      <c r="M8" s="7" t="str">
        <f>VLOOKUP(B8,[1]characters!$A:$M,13,FALSE)</f>
        <v>unknown</v>
      </c>
      <c r="N8" s="7" t="str">
        <f>VLOOKUP(B8,[1]characters!$A:$G,7,FALSE)</f>
        <v>不明</v>
      </c>
      <c r="O8" s="34">
        <f>4300/4</f>
        <v>1075</v>
      </c>
      <c r="P8" s="35">
        <f t="shared" si="1"/>
        <v>0.1075</v>
      </c>
      <c r="Q8" s="28">
        <v>1</v>
      </c>
      <c r="R8" s="28">
        <v>0</v>
      </c>
      <c r="S8" s="28">
        <v>0</v>
      </c>
      <c r="T8" s="28">
        <v>0</v>
      </c>
      <c r="U8" s="28">
        <v>0</v>
      </c>
      <c r="V8" s="28">
        <v>1</v>
      </c>
    </row>
    <row r="9" spans="1:22" ht="21" customHeight="1" x14ac:dyDescent="0.15">
      <c r="A9" s="2">
        <v>209</v>
      </c>
      <c r="B9" s="6">
        <f t="shared" si="3"/>
        <v>339</v>
      </c>
      <c r="C9" s="7" t="str">
        <f t="shared" si="0"/>
        <v>Premium6R3less</v>
      </c>
      <c r="D9" s="7" t="str">
        <f t="shared" si="2"/>
        <v>Premium</v>
      </c>
      <c r="E9" s="7" t="str">
        <f>IF(COUNTIF('R6追加前'!A:A,B9)=0,IF(I9="PremiumSS","R5only","R3less"),"")</f>
        <v>R3less</v>
      </c>
      <c r="F9" s="7" t="str">
        <f>IF(COUNTIF('R6開放'!A:A,B9)&gt;0,"R6release","")</f>
        <v/>
      </c>
      <c r="G9" s="7"/>
      <c r="H9" s="7" t="str">
        <f>VLOOKUP(B9,[1]characters!$A:$C,3,FALSE)</f>
        <v>森のメタルジェントル</v>
      </c>
      <c r="I9" s="7" t="str">
        <f>VLOOKUP(B9,[1]characters!$A:$J,10,FALSE)</f>
        <v>Material</v>
      </c>
      <c r="J9" s="7">
        <f>VLOOKUP(B9,[1]characters!$A:$I,9,FALSE)</f>
        <v>6</v>
      </c>
      <c r="K9" s="7" t="str">
        <f>VLOOKUP(B9,[1]characters!$A:$H,8,FALSE)</f>
        <v>green</v>
      </c>
      <c r="L9" s="7" t="str">
        <f>VLOOKUP(B9,[1]characters!$A:$K,11,FALSE)</f>
        <v>exp</v>
      </c>
      <c r="M9" s="7" t="str">
        <f>VLOOKUP(B9,[1]characters!$A:$M,13,FALSE)</f>
        <v>unknown</v>
      </c>
      <c r="N9" s="7" t="str">
        <f>VLOOKUP(B9,[1]characters!$A:$G,7,FALSE)</f>
        <v>不明</v>
      </c>
      <c r="O9" s="34">
        <f>200/4</f>
        <v>50</v>
      </c>
      <c r="P9" s="35">
        <f t="shared" si="1"/>
        <v>5.0000000000000001E-3</v>
      </c>
      <c r="Q9" s="28">
        <v>1</v>
      </c>
      <c r="R9" s="28">
        <v>0</v>
      </c>
      <c r="S9" s="28">
        <v>0</v>
      </c>
      <c r="T9" s="28">
        <v>0</v>
      </c>
      <c r="U9" s="28">
        <v>0</v>
      </c>
      <c r="V9" s="28">
        <v>1</v>
      </c>
    </row>
    <row r="10" spans="1:22" ht="21" customHeight="1" x14ac:dyDescent="0.15">
      <c r="A10" s="2">
        <v>209</v>
      </c>
      <c r="B10" s="6">
        <f t="shared" si="3"/>
        <v>340</v>
      </c>
      <c r="C10" s="7" t="str">
        <f t="shared" si="0"/>
        <v>Premium3R3less</v>
      </c>
      <c r="D10" s="7" t="str">
        <f t="shared" si="2"/>
        <v>Premium</v>
      </c>
      <c r="E10" s="7" t="str">
        <f>IF(COUNTIF('R6追加前'!A:A,B10)=0,IF(I10="PremiumSS","R5only","R3less"),"")</f>
        <v>R3less</v>
      </c>
      <c r="F10" s="7" t="str">
        <f>IF(COUNTIF('R6開放'!A:A,B10)&gt;0,"R6release","")</f>
        <v/>
      </c>
      <c r="G10" s="7"/>
      <c r="H10" s="7" t="str">
        <f>VLOOKUP(B10,[1]characters!$A:$C,3,FALSE)</f>
        <v>水のメタルピヨピヨ</v>
      </c>
      <c r="I10" s="7" t="str">
        <f>VLOOKUP(B10,[1]characters!$A:$J,10,FALSE)</f>
        <v>Material</v>
      </c>
      <c r="J10" s="7">
        <f>VLOOKUP(B10,[1]characters!$A:$I,9,FALSE)</f>
        <v>3</v>
      </c>
      <c r="K10" s="7" t="str">
        <f>VLOOKUP(B10,[1]characters!$A:$H,8,FALSE)</f>
        <v>blue</v>
      </c>
      <c r="L10" s="7" t="str">
        <f>VLOOKUP(B10,[1]characters!$A:$K,11,FALSE)</f>
        <v>exp</v>
      </c>
      <c r="M10" s="7" t="str">
        <f>VLOOKUP(B10,[1]characters!$A:$M,13,FALSE)</f>
        <v>unknown</v>
      </c>
      <c r="N10" s="7" t="str">
        <f>VLOOKUP(B10,[1]characters!$A:$G,7,FALSE)</f>
        <v>不明</v>
      </c>
      <c r="O10" s="34">
        <f>1000/4</f>
        <v>250</v>
      </c>
      <c r="P10" s="35">
        <f t="shared" si="1"/>
        <v>2.5000000000000001E-2</v>
      </c>
      <c r="Q10" s="28">
        <v>1</v>
      </c>
      <c r="R10" s="28">
        <v>0</v>
      </c>
      <c r="S10" s="28">
        <v>0</v>
      </c>
      <c r="T10" s="28">
        <v>0</v>
      </c>
      <c r="U10" s="28">
        <v>0</v>
      </c>
      <c r="V10" s="28">
        <v>1</v>
      </c>
    </row>
    <row r="11" spans="1:22" ht="21" customHeight="1" x14ac:dyDescent="0.15">
      <c r="A11" s="2">
        <v>209</v>
      </c>
      <c r="B11" s="6">
        <f t="shared" si="3"/>
        <v>341</v>
      </c>
      <c r="C11" s="7" t="str">
        <f t="shared" si="0"/>
        <v>Premium4R3less</v>
      </c>
      <c r="D11" s="7" t="str">
        <f t="shared" si="2"/>
        <v>Premium</v>
      </c>
      <c r="E11" s="7" t="str">
        <f>IF(COUNTIF('R6追加前'!A:A,B11)=0,IF(I11="PremiumSS","R5only","R3less"),"")</f>
        <v>R3less</v>
      </c>
      <c r="F11" s="7" t="str">
        <f>IF(COUNTIF('R6開放'!A:A,B11)&gt;0,"R6release","")</f>
        <v/>
      </c>
      <c r="G11" s="7"/>
      <c r="H11" s="7" t="str">
        <f>VLOOKUP(B11,[1]characters!$A:$C,3,FALSE)</f>
        <v>水のメタルチック</v>
      </c>
      <c r="I11" s="7" t="str">
        <f>VLOOKUP(B11,[1]characters!$A:$J,10,FALSE)</f>
        <v>Material</v>
      </c>
      <c r="J11" s="7">
        <f>VLOOKUP(B11,[1]characters!$A:$I,9,FALSE)</f>
        <v>4</v>
      </c>
      <c r="K11" s="7" t="str">
        <f>VLOOKUP(B11,[1]characters!$A:$H,8,FALSE)</f>
        <v>blue</v>
      </c>
      <c r="L11" s="7" t="str">
        <f>VLOOKUP(B11,[1]characters!$A:$K,11,FALSE)</f>
        <v>exp</v>
      </c>
      <c r="M11" s="7" t="str">
        <f>VLOOKUP(B11,[1]characters!$A:$M,13,FALSE)</f>
        <v>unknown</v>
      </c>
      <c r="N11" s="7" t="str">
        <f>VLOOKUP(B11,[1]characters!$A:$G,7,FALSE)</f>
        <v>不明</v>
      </c>
      <c r="O11" s="34">
        <f>4500/4</f>
        <v>1125</v>
      </c>
      <c r="P11" s="35">
        <f t="shared" si="1"/>
        <v>0.1125</v>
      </c>
      <c r="Q11" s="28">
        <v>1</v>
      </c>
      <c r="R11" s="28">
        <v>0</v>
      </c>
      <c r="S11" s="28">
        <v>0</v>
      </c>
      <c r="T11" s="28">
        <v>0</v>
      </c>
      <c r="U11" s="28">
        <v>0</v>
      </c>
      <c r="V11" s="28">
        <v>1</v>
      </c>
    </row>
    <row r="12" spans="1:22" ht="21" customHeight="1" x14ac:dyDescent="0.15">
      <c r="A12" s="2">
        <v>209</v>
      </c>
      <c r="B12" s="6">
        <f t="shared" si="3"/>
        <v>342</v>
      </c>
      <c r="C12" s="7" t="str">
        <f t="shared" si="0"/>
        <v>Premium5R3less</v>
      </c>
      <c r="D12" s="7" t="str">
        <f t="shared" si="2"/>
        <v>Premium</v>
      </c>
      <c r="E12" s="7" t="str">
        <f>IF(COUNTIF('R6追加前'!A:A,B12)=0,IF(I12="PremiumSS","R5only","R3less"),"")</f>
        <v>R3less</v>
      </c>
      <c r="F12" s="7" t="str">
        <f>IF(COUNTIF('R6開放'!A:A,B12)&gt;0,"R6release","")</f>
        <v/>
      </c>
      <c r="G12" s="7"/>
      <c r="H12" s="7" t="str">
        <f>VLOOKUP(B12,[1]characters!$A:$C,3,FALSE)</f>
        <v>水のメタルダック</v>
      </c>
      <c r="I12" s="7" t="str">
        <f>VLOOKUP(B12,[1]characters!$A:$J,10,FALSE)</f>
        <v>Material</v>
      </c>
      <c r="J12" s="7">
        <f>VLOOKUP(B12,[1]characters!$A:$I,9,FALSE)</f>
        <v>5</v>
      </c>
      <c r="K12" s="7" t="str">
        <f>VLOOKUP(B12,[1]characters!$A:$H,8,FALSE)</f>
        <v>blue</v>
      </c>
      <c r="L12" s="7" t="str">
        <f>VLOOKUP(B12,[1]characters!$A:$K,11,FALSE)</f>
        <v>exp</v>
      </c>
      <c r="M12" s="7" t="str">
        <f>VLOOKUP(B12,[1]characters!$A:$M,13,FALSE)</f>
        <v>unknown</v>
      </c>
      <c r="N12" s="7" t="str">
        <f>VLOOKUP(B12,[1]characters!$A:$G,7,FALSE)</f>
        <v>不明</v>
      </c>
      <c r="O12" s="34">
        <f>4300/4</f>
        <v>1075</v>
      </c>
      <c r="P12" s="35">
        <f t="shared" si="1"/>
        <v>0.1075</v>
      </c>
      <c r="Q12" s="28">
        <v>1</v>
      </c>
      <c r="R12" s="28">
        <v>0</v>
      </c>
      <c r="S12" s="28">
        <v>0</v>
      </c>
      <c r="T12" s="28">
        <v>0</v>
      </c>
      <c r="U12" s="28">
        <v>0</v>
      </c>
      <c r="V12" s="28">
        <v>1</v>
      </c>
    </row>
    <row r="13" spans="1:22" ht="21" customHeight="1" x14ac:dyDescent="0.15">
      <c r="A13" s="2">
        <v>209</v>
      </c>
      <c r="B13" s="6">
        <f t="shared" si="3"/>
        <v>343</v>
      </c>
      <c r="C13" s="7" t="str">
        <f t="shared" si="0"/>
        <v>Premium6R3less</v>
      </c>
      <c r="D13" s="7" t="str">
        <f t="shared" si="2"/>
        <v>Premium</v>
      </c>
      <c r="E13" s="7" t="str">
        <f>IF(COUNTIF('R6追加前'!A:A,B13)=0,IF(I13="PremiumSS","R5only","R3less"),"")</f>
        <v>R3less</v>
      </c>
      <c r="F13" s="7" t="str">
        <f>IF(COUNTIF('R6開放'!A:A,B13)&gt;0,"R6release","")</f>
        <v/>
      </c>
      <c r="G13" s="7"/>
      <c r="H13" s="7" t="str">
        <f>VLOOKUP(B13,[1]characters!$A:$C,3,FALSE)</f>
        <v>水のメタルジェントル</v>
      </c>
      <c r="I13" s="7" t="str">
        <f>VLOOKUP(B13,[1]characters!$A:$J,10,FALSE)</f>
        <v>Material</v>
      </c>
      <c r="J13" s="7">
        <f>VLOOKUP(B13,[1]characters!$A:$I,9,FALSE)</f>
        <v>6</v>
      </c>
      <c r="K13" s="7" t="str">
        <f>VLOOKUP(B13,[1]characters!$A:$H,8,FALSE)</f>
        <v>blue</v>
      </c>
      <c r="L13" s="7" t="str">
        <f>VLOOKUP(B13,[1]characters!$A:$K,11,FALSE)</f>
        <v>exp</v>
      </c>
      <c r="M13" s="7" t="str">
        <f>VLOOKUP(B13,[1]characters!$A:$M,13,FALSE)</f>
        <v>unknown</v>
      </c>
      <c r="N13" s="7" t="str">
        <f>VLOOKUP(B13,[1]characters!$A:$G,7,FALSE)</f>
        <v>不明</v>
      </c>
      <c r="O13" s="34">
        <f>200/4</f>
        <v>50</v>
      </c>
      <c r="P13" s="35">
        <f t="shared" si="1"/>
        <v>5.0000000000000001E-3</v>
      </c>
      <c r="Q13" s="28">
        <v>1</v>
      </c>
      <c r="R13" s="28">
        <v>0</v>
      </c>
      <c r="S13" s="28">
        <v>0</v>
      </c>
      <c r="T13" s="28">
        <v>0</v>
      </c>
      <c r="U13" s="28">
        <v>0</v>
      </c>
      <c r="V13" s="28">
        <v>1</v>
      </c>
    </row>
    <row r="14" spans="1:22" ht="21" customHeight="1" x14ac:dyDescent="0.15">
      <c r="A14" s="2">
        <v>209</v>
      </c>
      <c r="B14" s="6">
        <f t="shared" si="3"/>
        <v>344</v>
      </c>
      <c r="C14" s="7" t="str">
        <f t="shared" si="0"/>
        <v>Premium3R3less</v>
      </c>
      <c r="D14" s="7" t="str">
        <f t="shared" si="2"/>
        <v>Premium</v>
      </c>
      <c r="E14" s="7" t="str">
        <f>IF(COUNTIF('R6追加前'!A:A,B14)=0,IF(I14="PremiumSS","R5only","R3less"),"")</f>
        <v>R3less</v>
      </c>
      <c r="F14" s="7" t="str">
        <f>IF(COUNTIF('R6開放'!A:A,B14)&gt;0,"R6release","")</f>
        <v/>
      </c>
      <c r="G14" s="7"/>
      <c r="H14" s="7" t="str">
        <f>VLOOKUP(B14,[1]characters!$A:$C,3,FALSE)</f>
        <v>雷のメタルピヨピヨ</v>
      </c>
      <c r="I14" s="7" t="str">
        <f>VLOOKUP(B14,[1]characters!$A:$J,10,FALSE)</f>
        <v>Material</v>
      </c>
      <c r="J14" s="7">
        <f>VLOOKUP(B14,[1]characters!$A:$I,9,FALSE)</f>
        <v>3</v>
      </c>
      <c r="K14" s="7" t="str">
        <f>VLOOKUP(B14,[1]characters!$A:$H,8,FALSE)</f>
        <v>yellow</v>
      </c>
      <c r="L14" s="7" t="str">
        <f>VLOOKUP(B14,[1]characters!$A:$K,11,FALSE)</f>
        <v>exp</v>
      </c>
      <c r="M14" s="7" t="str">
        <f>VLOOKUP(B14,[1]characters!$A:$M,13,FALSE)</f>
        <v>unknown</v>
      </c>
      <c r="N14" s="7" t="str">
        <f>VLOOKUP(B14,[1]characters!$A:$G,7,FALSE)</f>
        <v>不明</v>
      </c>
      <c r="O14" s="34">
        <f>1000/4</f>
        <v>250</v>
      </c>
      <c r="P14" s="35">
        <f t="shared" si="1"/>
        <v>2.5000000000000001E-2</v>
      </c>
      <c r="Q14" s="28">
        <v>1</v>
      </c>
      <c r="R14" s="28">
        <v>0</v>
      </c>
      <c r="S14" s="28">
        <v>0</v>
      </c>
      <c r="T14" s="28">
        <v>0</v>
      </c>
      <c r="U14" s="28">
        <v>0</v>
      </c>
      <c r="V14" s="28">
        <v>1</v>
      </c>
    </row>
    <row r="15" spans="1:22" ht="21" customHeight="1" x14ac:dyDescent="0.15">
      <c r="A15" s="2">
        <v>209</v>
      </c>
      <c r="B15" s="6">
        <f t="shared" si="3"/>
        <v>345</v>
      </c>
      <c r="C15" s="7" t="str">
        <f t="shared" si="0"/>
        <v>Premium4R3less</v>
      </c>
      <c r="D15" s="7" t="str">
        <f t="shared" si="2"/>
        <v>Premium</v>
      </c>
      <c r="E15" s="7" t="str">
        <f>IF(COUNTIF('R6追加前'!A:A,B15)=0,IF(I15="PremiumSS","R5only","R3less"),"")</f>
        <v>R3less</v>
      </c>
      <c r="F15" s="7" t="str">
        <f>IF(COUNTIF('R6開放'!A:A,B15)&gt;0,"R6release","")</f>
        <v/>
      </c>
      <c r="G15" s="7"/>
      <c r="H15" s="7" t="str">
        <f>VLOOKUP(B15,[1]characters!$A:$C,3,FALSE)</f>
        <v>雷のメタルチック</v>
      </c>
      <c r="I15" s="7" t="str">
        <f>VLOOKUP(B15,[1]characters!$A:$J,10,FALSE)</f>
        <v>Material</v>
      </c>
      <c r="J15" s="7">
        <f>VLOOKUP(B15,[1]characters!$A:$I,9,FALSE)</f>
        <v>4</v>
      </c>
      <c r="K15" s="7" t="str">
        <f>VLOOKUP(B15,[1]characters!$A:$H,8,FALSE)</f>
        <v>yellow</v>
      </c>
      <c r="L15" s="7" t="str">
        <f>VLOOKUP(B15,[1]characters!$A:$K,11,FALSE)</f>
        <v>exp</v>
      </c>
      <c r="M15" s="7" t="str">
        <f>VLOOKUP(B15,[1]characters!$A:$M,13,FALSE)</f>
        <v>unknown</v>
      </c>
      <c r="N15" s="7" t="str">
        <f>VLOOKUP(B15,[1]characters!$A:$G,7,FALSE)</f>
        <v>不明</v>
      </c>
      <c r="O15" s="34">
        <f>4500/4</f>
        <v>1125</v>
      </c>
      <c r="P15" s="35">
        <f>O15/SUM(O:O)</f>
        <v>0.1125</v>
      </c>
      <c r="Q15" s="28">
        <v>1</v>
      </c>
      <c r="R15" s="28">
        <v>0</v>
      </c>
      <c r="S15" s="28">
        <v>0</v>
      </c>
      <c r="T15" s="28">
        <v>0</v>
      </c>
      <c r="U15" s="28">
        <v>0</v>
      </c>
      <c r="V15" s="28">
        <v>1</v>
      </c>
    </row>
    <row r="16" spans="1:22" ht="21" customHeight="1" x14ac:dyDescent="0.15">
      <c r="A16" s="2">
        <v>209</v>
      </c>
      <c r="B16" s="6">
        <f t="shared" si="3"/>
        <v>346</v>
      </c>
      <c r="C16" s="7" t="str">
        <f t="shared" si="0"/>
        <v>Premium5R3less</v>
      </c>
      <c r="D16" s="7" t="str">
        <f t="shared" si="2"/>
        <v>Premium</v>
      </c>
      <c r="E16" s="7" t="str">
        <f>IF(COUNTIF('R6追加前'!A:A,B16)=0,IF(I16="PremiumSS","R5only","R3less"),"")</f>
        <v>R3less</v>
      </c>
      <c r="F16" s="7" t="str">
        <f>IF(COUNTIF('R6開放'!A:A,B16)&gt;0,"R6release","")</f>
        <v/>
      </c>
      <c r="G16" s="7"/>
      <c r="H16" s="7" t="str">
        <f>VLOOKUP(B16,[1]characters!$A:$C,3,FALSE)</f>
        <v>雷のメタルダック</v>
      </c>
      <c r="I16" s="7" t="str">
        <f>VLOOKUP(B16,[1]characters!$A:$J,10,FALSE)</f>
        <v>Material</v>
      </c>
      <c r="J16" s="7">
        <f>VLOOKUP(B16,[1]characters!$A:$I,9,FALSE)</f>
        <v>5</v>
      </c>
      <c r="K16" s="7" t="str">
        <f>VLOOKUP(B16,[1]characters!$A:$H,8,FALSE)</f>
        <v>yellow</v>
      </c>
      <c r="L16" s="7" t="str">
        <f>VLOOKUP(B16,[1]characters!$A:$K,11,FALSE)</f>
        <v>exp</v>
      </c>
      <c r="M16" s="7" t="str">
        <f>VLOOKUP(B16,[1]characters!$A:$M,13,FALSE)</f>
        <v>unknown</v>
      </c>
      <c r="N16" s="7" t="str">
        <f>VLOOKUP(B16,[1]characters!$A:$G,7,FALSE)</f>
        <v>不明</v>
      </c>
      <c r="O16" s="34">
        <f>4300/4</f>
        <v>1075</v>
      </c>
      <c r="P16" s="35">
        <f>O16/SUM(O:O)</f>
        <v>0.1075</v>
      </c>
      <c r="Q16" s="28">
        <v>1</v>
      </c>
      <c r="R16" s="28">
        <v>0</v>
      </c>
      <c r="S16" s="28">
        <v>0</v>
      </c>
      <c r="T16" s="28">
        <v>0</v>
      </c>
      <c r="U16" s="28">
        <v>0</v>
      </c>
      <c r="V16" s="28">
        <v>1</v>
      </c>
    </row>
    <row r="17" spans="1:22" ht="21" customHeight="1" x14ac:dyDescent="0.15">
      <c r="A17" s="2">
        <v>209</v>
      </c>
      <c r="B17" s="6">
        <f t="shared" si="3"/>
        <v>347</v>
      </c>
      <c r="C17" s="7" t="str">
        <f t="shared" si="0"/>
        <v>Premium6R3less</v>
      </c>
      <c r="D17" s="7" t="str">
        <f t="shared" si="2"/>
        <v>Premium</v>
      </c>
      <c r="E17" s="7" t="str">
        <f>IF(COUNTIF('R6追加前'!A:A,B17)=0,IF(I17="PremiumSS","R5only","R3less"),"")</f>
        <v>R3less</v>
      </c>
      <c r="F17" s="7" t="str">
        <f>IF(COUNTIF('R6開放'!A:A,B17)&gt;0,"R6release","")</f>
        <v/>
      </c>
      <c r="G17" s="7"/>
      <c r="H17" s="7" t="str">
        <f>VLOOKUP(B17,[1]characters!$A:$C,3,FALSE)</f>
        <v>雷のメタルジェントル</v>
      </c>
      <c r="I17" s="7" t="str">
        <f>VLOOKUP(B17,[1]characters!$A:$J,10,FALSE)</f>
        <v>Material</v>
      </c>
      <c r="J17" s="7">
        <f>VLOOKUP(B17,[1]characters!$A:$I,9,FALSE)</f>
        <v>6</v>
      </c>
      <c r="K17" s="7" t="str">
        <f>VLOOKUP(B17,[1]characters!$A:$H,8,FALSE)</f>
        <v>yellow</v>
      </c>
      <c r="L17" s="7" t="str">
        <f>VLOOKUP(B17,[1]characters!$A:$K,11,FALSE)</f>
        <v>exp</v>
      </c>
      <c r="M17" s="7" t="str">
        <f>VLOOKUP(B17,[1]characters!$A:$M,13,FALSE)</f>
        <v>unknown</v>
      </c>
      <c r="N17" s="7" t="str">
        <f>VLOOKUP(B17,[1]characters!$A:$G,7,FALSE)</f>
        <v>不明</v>
      </c>
      <c r="O17" s="34">
        <f>200/4</f>
        <v>50</v>
      </c>
      <c r="P17" s="35">
        <f>O17/SUM(O:O)</f>
        <v>5.0000000000000001E-3</v>
      </c>
      <c r="Q17" s="28">
        <v>1</v>
      </c>
      <c r="R17" s="28">
        <v>0</v>
      </c>
      <c r="S17" s="28">
        <v>0</v>
      </c>
      <c r="T17" s="28">
        <v>0</v>
      </c>
      <c r="U17" s="28">
        <v>0</v>
      </c>
      <c r="V17" s="28">
        <v>1</v>
      </c>
    </row>
  </sheetData>
  <autoFilter ref="A1:V17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H10" sqref="H1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1" t="s">
        <v>10</v>
      </c>
      <c r="B1" s="21" t="s">
        <v>13</v>
      </c>
      <c r="C1" s="12" t="s">
        <v>15</v>
      </c>
      <c r="D1" s="12" t="s">
        <v>16</v>
      </c>
      <c r="E1" s="12" t="s">
        <v>17</v>
      </c>
      <c r="F1" s="11" t="s">
        <v>2</v>
      </c>
      <c r="G1" s="39" t="s">
        <v>67</v>
      </c>
      <c r="H1" s="39" t="s">
        <v>68</v>
      </c>
      <c r="I1" s="40" t="s">
        <v>69</v>
      </c>
      <c r="J1" s="40" t="s">
        <v>70</v>
      </c>
      <c r="K1" s="40" t="s">
        <v>71</v>
      </c>
      <c r="L1" s="40" t="s">
        <v>72</v>
      </c>
      <c r="M1" s="40" t="s">
        <v>73</v>
      </c>
      <c r="N1" s="11" t="s">
        <v>18</v>
      </c>
      <c r="O1" s="11" t="s">
        <v>19</v>
      </c>
      <c r="P1" s="11" t="s">
        <v>20</v>
      </c>
      <c r="Q1" s="11" t="s">
        <v>21</v>
      </c>
    </row>
    <row r="2" spans="1:17" ht="21" customHeight="1" x14ac:dyDescent="0.15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74</v>
      </c>
    </row>
  </sheetData>
  <autoFilter ref="A1:F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3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9">
        <v>140</v>
      </c>
      <c r="B16" s="7" t="str">
        <f>VLOOKUP(A16,[1]characters!$A:$C,3,FALSE)</f>
        <v>秋祭のタマモ</v>
      </c>
    </row>
    <row r="17" spans="1:2" x14ac:dyDescent="0.15">
      <c r="A17" s="10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9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9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9">
        <v>196</v>
      </c>
      <c r="B72" s="7" t="str">
        <f>VLOOKUP(A72,[1]characters!$A:$C,3,FALSE)</f>
        <v>アキレス</v>
      </c>
    </row>
    <row r="73" spans="1:2" x14ac:dyDescent="0.15">
      <c r="A73" s="10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41">
        <v>668</v>
      </c>
      <c r="B246" s="7" t="str">
        <f>VLOOKUP(A246,[1]characters!$A:$C,3,FALSE)</f>
        <v>アグニ</v>
      </c>
    </row>
    <row r="247" spans="1:2" x14ac:dyDescent="0.15">
      <c r="A247" s="41">
        <v>669</v>
      </c>
      <c r="B247" s="7" t="str">
        <f>VLOOKUP(A247,[1]characters!$A:$C,3,FALSE)</f>
        <v>天地の仲界 アグニ</v>
      </c>
    </row>
    <row r="248" spans="1:2" x14ac:dyDescent="0.15">
      <c r="A248" s="41">
        <v>670</v>
      </c>
      <c r="B248" s="7" t="str">
        <f>VLOOKUP(A248,[1]characters!$A:$C,3,FALSE)</f>
        <v>陽天の噴煙 アグニ</v>
      </c>
    </row>
    <row r="249" spans="1:2" x14ac:dyDescent="0.15">
      <c r="A249" s="41">
        <v>671</v>
      </c>
      <c r="B249" s="7" t="str">
        <f>VLOOKUP(A249,[1]characters!$A:$C,3,FALSE)</f>
        <v>ハヌマーン</v>
      </c>
    </row>
    <row r="250" spans="1:2" x14ac:dyDescent="0.15">
      <c r="A250" s="41">
        <v>672</v>
      </c>
      <c r="B250" s="7" t="str">
        <f>VLOOKUP(A250,[1]characters!$A:$C,3,FALSE)</f>
        <v>西遊韋駄天 ハヌマーン</v>
      </c>
    </row>
    <row r="251" spans="1:2" x14ac:dyDescent="0.15">
      <c r="A251" s="41">
        <v>673</v>
      </c>
      <c r="B251" s="7" t="str">
        <f>VLOOKUP(A251,[1]characters!$A:$C,3,FALSE)</f>
        <v>変幻自在の猿王 ハヌマーン</v>
      </c>
    </row>
    <row r="252" spans="1:2" x14ac:dyDescent="0.15">
      <c r="A252" s="41">
        <v>674</v>
      </c>
      <c r="B252" s="7" t="str">
        <f>VLOOKUP(A252,[1]characters!$A:$C,3,FALSE)</f>
        <v>サラスヴァティ</v>
      </c>
    </row>
    <row r="253" spans="1:2" x14ac:dyDescent="0.15">
      <c r="A253" s="41">
        <v>675</v>
      </c>
      <c r="B253" s="7" t="str">
        <f>VLOOKUP(A253,[1]characters!$A:$C,3,FALSE)</f>
        <v>芸楽の奔流 サラスヴァティ</v>
      </c>
    </row>
    <row r="254" spans="1:2" x14ac:dyDescent="0.15">
      <c r="A254" s="41">
        <v>676</v>
      </c>
      <c r="B254" s="7" t="str">
        <f>VLOOKUP(A254,[1]characters!$A:$C,3,FALSE)</f>
        <v>ヴィシュヌ</v>
      </c>
    </row>
    <row r="255" spans="1:2" x14ac:dyDescent="0.15">
      <c r="A255" s="41">
        <v>677</v>
      </c>
      <c r="B255" s="7" t="str">
        <f>VLOOKUP(A255,[1]characters!$A:$C,3,FALSE)</f>
        <v>武遊闊歩 ヴィシュヌ</v>
      </c>
    </row>
    <row r="256" spans="1:2" x14ac:dyDescent="0.15">
      <c r="A256" s="41">
        <v>770</v>
      </c>
      <c r="B256" s="7" t="str">
        <f>VLOOKUP(A256,[1]characters!$A:$C,3,FALSE)</f>
        <v>ハヅル</v>
      </c>
    </row>
    <row r="257" spans="1:2" x14ac:dyDescent="0.15">
      <c r="A257" s="41">
        <v>771</v>
      </c>
      <c r="B257" s="7" t="str">
        <f>VLOOKUP(A257,[1]characters!$A:$C,3,FALSE)</f>
        <v>天織羽鶴 ハヅル</v>
      </c>
    </row>
    <row r="258" spans="1:2" x14ac:dyDescent="0.15">
      <c r="A258" s="41">
        <v>772</v>
      </c>
      <c r="B258" s="7" t="str">
        <f>VLOOKUP(A258,[1]characters!$A:$C,3,FALSE)</f>
        <v>イナバ</v>
      </c>
    </row>
    <row r="259" spans="1:2" x14ac:dyDescent="0.15">
      <c r="A259" s="41">
        <v>773</v>
      </c>
      <c r="B259" s="7" t="str">
        <f>VLOOKUP(A259,[1]characters!$A:$C,3,FALSE)</f>
        <v>浮跳天兎 イナバ</v>
      </c>
    </row>
    <row r="260" spans="1:2" x14ac:dyDescent="0.15">
      <c r="A260" s="41">
        <v>774</v>
      </c>
      <c r="B260" s="7" t="str">
        <f>VLOOKUP(A260,[1]characters!$A:$C,3,FALSE)</f>
        <v>ミズチ</v>
      </c>
    </row>
    <row r="261" spans="1:2" x14ac:dyDescent="0.15">
      <c r="A261" s="41">
        <v>775</v>
      </c>
      <c r="B261" s="7" t="str">
        <f>VLOOKUP(A261,[1]characters!$A:$C,3,FALSE)</f>
        <v>水底霊竜 ミズチ</v>
      </c>
    </row>
    <row r="262" spans="1:2" x14ac:dyDescent="0.15">
      <c r="A262" s="41">
        <v>776</v>
      </c>
      <c r="B262" s="7" t="str">
        <f>VLOOKUP(A262,[1]characters!$A:$C,3,FALSE)</f>
        <v>水竜底主 ミズチ</v>
      </c>
    </row>
    <row r="263" spans="1:2" x14ac:dyDescent="0.15">
      <c r="A263" s="41">
        <v>777</v>
      </c>
      <c r="B263" s="7" t="str">
        <f>VLOOKUP(A263,[1]characters!$A:$C,3,FALSE)</f>
        <v>ガメック</v>
      </c>
    </row>
    <row r="264" spans="1:2" x14ac:dyDescent="0.15">
      <c r="A264" s="41">
        <v>778</v>
      </c>
      <c r="B264" s="7" t="str">
        <f>VLOOKUP(A264,[1]characters!$A:$C,3,FALSE)</f>
        <v>一亀懸明 ガメック</v>
      </c>
    </row>
    <row r="265" spans="1:2" x14ac:dyDescent="0.15">
      <c r="A265" s="41">
        <v>779</v>
      </c>
      <c r="B265" s="7" t="str">
        <f>VLOOKUP(A265,[1]characters!$A:$C,3,FALSE)</f>
        <v>頑堅咬亀 ガメック</v>
      </c>
    </row>
    <row r="266" spans="1:2" x14ac:dyDescent="0.15">
      <c r="A266" s="41">
        <v>779</v>
      </c>
      <c r="B266" s="7" t="str">
        <f>VLOOKUP(A266,[1]characters!$A:$C,3,FALSE)</f>
        <v>頑堅咬亀 ガメック</v>
      </c>
    </row>
  </sheetData>
  <phoneticPr fontId="20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3" t="s">
        <v>56</v>
      </c>
      <c r="B1" s="33"/>
    </row>
    <row r="2" spans="1:2" x14ac:dyDescent="0.15">
      <c r="A2" s="31" t="s">
        <v>1</v>
      </c>
      <c r="B2" s="32" t="s">
        <v>58</v>
      </c>
    </row>
    <row r="3" spans="1:2" x14ac:dyDescent="0.15">
      <c r="A3" s="6">
        <v>166</v>
      </c>
      <c r="B3" s="32" t="str">
        <f>VLOOKUP(A3,[1]characters!$A:$C,3,FALSE)</f>
        <v>ベリアル</v>
      </c>
    </row>
    <row r="4" spans="1:2" x14ac:dyDescent="0.15">
      <c r="A4" s="6">
        <v>167</v>
      </c>
      <c r="B4" s="32" t="str">
        <f>VLOOKUP(A4,[1]characters!$A:$C,3,FALSE)</f>
        <v>逆徒 ベリアル</v>
      </c>
    </row>
    <row r="5" spans="1:2" x14ac:dyDescent="0.15">
      <c r="A5" s="6">
        <v>168</v>
      </c>
      <c r="B5" s="32" t="str">
        <f>VLOOKUP(A5,[1]characters!$A:$C,3,FALSE)</f>
        <v>猛進の大逆者 ベリアル</v>
      </c>
    </row>
    <row r="6" spans="1:2" x14ac:dyDescent="0.15">
      <c r="A6" s="31">
        <v>169</v>
      </c>
      <c r="B6" s="32" t="str">
        <f>VLOOKUP(A6,[1]characters!$A:$C,3,FALSE)</f>
        <v>オセ</v>
      </c>
    </row>
    <row r="7" spans="1:2" x14ac:dyDescent="0.15">
      <c r="A7" s="31">
        <v>170</v>
      </c>
      <c r="B7" s="32" t="str">
        <f>VLOOKUP(A7,[1]characters!$A:$C,3,FALSE)</f>
        <v>識徒 オセ</v>
      </c>
    </row>
    <row r="8" spans="1:2" x14ac:dyDescent="0.15">
      <c r="A8" s="31">
        <v>171</v>
      </c>
      <c r="B8" s="32" t="str">
        <f>VLOOKUP(A8,[1]characters!$A:$C,3,FALSE)</f>
        <v>精解の預知者 オセ</v>
      </c>
    </row>
    <row r="9" spans="1:2" x14ac:dyDescent="0.15">
      <c r="A9" s="31">
        <v>172</v>
      </c>
      <c r="B9" s="32" t="str">
        <f>VLOOKUP(A9,[1]characters!$A:$C,3,FALSE)</f>
        <v>フォルネウス</v>
      </c>
    </row>
    <row r="10" spans="1:2" x14ac:dyDescent="0.15">
      <c r="A10" s="31">
        <v>173</v>
      </c>
      <c r="B10" s="32" t="str">
        <f>VLOOKUP(A10,[1]characters!$A:$C,3,FALSE)</f>
        <v>公爵 フォルネウス</v>
      </c>
    </row>
    <row r="11" spans="1:2" x14ac:dyDescent="0.15">
      <c r="A11" s="31">
        <v>174</v>
      </c>
      <c r="B11" s="32" t="str">
        <f>VLOOKUP(A11,[1]characters!$A:$C,3,FALSE)</f>
        <v>偽愛の大公爵 フォルネウス</v>
      </c>
    </row>
    <row r="12" spans="1:2" x14ac:dyDescent="0.15">
      <c r="A12" s="31">
        <v>235</v>
      </c>
      <c r="B12" s="32" t="str">
        <f>VLOOKUP(A12,[1]characters!$A:$C,3,FALSE)</f>
        <v>イザナミ</v>
      </c>
    </row>
    <row r="13" spans="1:2" x14ac:dyDescent="0.15">
      <c r="A13" s="31">
        <v>236</v>
      </c>
      <c r="B13" s="32" t="str">
        <f>VLOOKUP(A13,[1]characters!$A:$C,3,FALSE)</f>
        <v>神産 イザナミ</v>
      </c>
    </row>
    <row r="14" spans="1:2" x14ac:dyDescent="0.15">
      <c r="A14" s="31">
        <v>237</v>
      </c>
      <c r="B14" s="32" t="str">
        <f>VLOOKUP(A14,[1]characters!$A:$C,3,FALSE)</f>
        <v>森羅万象の神母 イザナミ</v>
      </c>
    </row>
  </sheetData>
  <phoneticPr fontId="20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D15"/>
  <sheetViews>
    <sheetView topLeftCell="A5" workbookViewId="0">
      <selection activeCell="O21" sqref="O21"/>
    </sheetView>
  </sheetViews>
  <sheetFormatPr baseColWidth="12" defaultRowHeight="14" x14ac:dyDescent="0.15"/>
  <sheetData>
    <row r="1" spans="1:4" ht="15" x14ac:dyDescent="0.15">
      <c r="A1" s="53" t="s">
        <v>169</v>
      </c>
      <c r="B1" s="53"/>
      <c r="C1" s="53"/>
      <c r="D1" s="53"/>
    </row>
    <row r="2" spans="1:4" ht="15" x14ac:dyDescent="0.15">
      <c r="A2" s="53" t="s">
        <v>165</v>
      </c>
      <c r="B2" s="53" t="s">
        <v>166</v>
      </c>
      <c r="C2" s="53" t="s">
        <v>167</v>
      </c>
      <c r="D2" s="53" t="s">
        <v>168</v>
      </c>
    </row>
    <row r="3" spans="1:4" ht="15" x14ac:dyDescent="0.15">
      <c r="A3" s="53" t="s">
        <v>161</v>
      </c>
      <c r="B3" s="54">
        <v>1500</v>
      </c>
      <c r="C3" s="55">
        <v>0.25</v>
      </c>
      <c r="D3" s="53">
        <f>B3*C3</f>
        <v>375</v>
      </c>
    </row>
    <row r="4" spans="1:4" ht="15" x14ac:dyDescent="0.15">
      <c r="A4" s="53" t="s">
        <v>162</v>
      </c>
      <c r="B4" s="54">
        <v>5000</v>
      </c>
      <c r="C4" s="55">
        <v>0.4</v>
      </c>
      <c r="D4" s="53">
        <f t="shared" ref="D4:D6" si="0">B4*C4</f>
        <v>2000</v>
      </c>
    </row>
    <row r="5" spans="1:4" ht="15" x14ac:dyDescent="0.15">
      <c r="A5" s="53" t="s">
        <v>163</v>
      </c>
      <c r="B5" s="54">
        <v>20000</v>
      </c>
      <c r="C5" s="55">
        <v>0.3</v>
      </c>
      <c r="D5" s="53">
        <f t="shared" si="0"/>
        <v>6000</v>
      </c>
    </row>
    <row r="6" spans="1:4" ht="15" x14ac:dyDescent="0.15">
      <c r="A6" s="53" t="s">
        <v>164</v>
      </c>
      <c r="B6" s="54">
        <v>65000</v>
      </c>
      <c r="C6" s="55">
        <v>0.05</v>
      </c>
      <c r="D6" s="53">
        <f t="shared" si="0"/>
        <v>3250</v>
      </c>
    </row>
    <row r="7" spans="1:4" ht="15" x14ac:dyDescent="0.15">
      <c r="A7" s="53"/>
      <c r="B7" s="53"/>
      <c r="C7" s="53"/>
      <c r="D7" s="53">
        <f>SUM(D3:D6)</f>
        <v>11625</v>
      </c>
    </row>
    <row r="8" spans="1:4" ht="15" x14ac:dyDescent="0.15">
      <c r="A8" s="53"/>
      <c r="B8" s="53"/>
      <c r="C8" s="53"/>
      <c r="D8" s="53"/>
    </row>
    <row r="9" spans="1:4" ht="15" x14ac:dyDescent="0.15">
      <c r="A9" s="53" t="s">
        <v>170</v>
      </c>
      <c r="B9" s="53"/>
      <c r="C9" s="53"/>
      <c r="D9" s="53"/>
    </row>
    <row r="10" spans="1:4" ht="15" x14ac:dyDescent="0.15">
      <c r="A10" s="53" t="s">
        <v>165</v>
      </c>
      <c r="B10" s="53" t="s">
        <v>166</v>
      </c>
      <c r="C10" s="53" t="s">
        <v>167</v>
      </c>
      <c r="D10" s="53" t="s">
        <v>168</v>
      </c>
    </row>
    <row r="11" spans="1:4" ht="15" x14ac:dyDescent="0.15">
      <c r="A11" s="53" t="s">
        <v>161</v>
      </c>
      <c r="B11" s="54">
        <v>1500</v>
      </c>
      <c r="C11" s="55">
        <v>0.1</v>
      </c>
      <c r="D11" s="53">
        <f>B11*C11</f>
        <v>150</v>
      </c>
    </row>
    <row r="12" spans="1:4" ht="15" x14ac:dyDescent="0.15">
      <c r="A12" s="53" t="s">
        <v>162</v>
      </c>
      <c r="B12" s="54">
        <v>5000</v>
      </c>
      <c r="C12" s="55">
        <v>0.45</v>
      </c>
      <c r="D12" s="53">
        <f t="shared" ref="D12:D14" si="1">B12*C12</f>
        <v>2250</v>
      </c>
    </row>
    <row r="13" spans="1:4" ht="15" x14ac:dyDescent="0.15">
      <c r="A13" s="53" t="s">
        <v>163</v>
      </c>
      <c r="B13" s="54">
        <v>20000</v>
      </c>
      <c r="C13" s="55">
        <v>0.43</v>
      </c>
      <c r="D13" s="53">
        <f t="shared" si="1"/>
        <v>8600</v>
      </c>
    </row>
    <row r="14" spans="1:4" ht="15" x14ac:dyDescent="0.15">
      <c r="A14" s="53" t="s">
        <v>164</v>
      </c>
      <c r="B14" s="54">
        <v>65000</v>
      </c>
      <c r="C14" s="55">
        <v>0.02</v>
      </c>
      <c r="D14" s="53">
        <f t="shared" si="1"/>
        <v>1300</v>
      </c>
    </row>
    <row r="15" spans="1:4" ht="15" x14ac:dyDescent="0.15">
      <c r="A15" s="53"/>
      <c r="B15" s="53"/>
      <c r="C15" s="53"/>
      <c r="D15" s="53">
        <f>SUM(D11:D14)</f>
        <v>12300</v>
      </c>
    </row>
  </sheetData>
  <phoneticPr fontId="20"/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確率の考え方</vt:lpstr>
      <vt:lpstr>Sheet1</vt:lpstr>
      <vt:lpstr>output</vt:lpstr>
      <vt:lpstr>tables_209</vt:lpstr>
      <vt:lpstr>gacha_bonus_tables</vt:lpstr>
      <vt:lpstr>R6追加前</vt:lpstr>
      <vt:lpstr>R6開放</vt:lpstr>
      <vt:lpstr>前回メタルとの比較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2016-05-31T09:26:17Z</dcterms:modified>
</cp:coreProperties>
</file>