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multi_2_1" sheetId="2" r:id="rId1"/>
    <sheet name="enemy_habitats_multi_2_1" sheetId="1" r:id="rId2"/>
    <sheet name="floors_multi_2_1.tmp" sheetId="5" r:id="rId3"/>
    <sheet name="enemy_habitats_multi_2_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enemy_habitats_multi_2_1!$B$1:$AE$49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6" l="1"/>
  <c r="R50" i="6"/>
  <c r="X47" i="1"/>
  <c r="X48" i="1"/>
  <c r="X49" i="1"/>
  <c r="X46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30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13" i="1"/>
  <c r="X3" i="1"/>
  <c r="X4" i="1"/>
  <c r="X5" i="1"/>
  <c r="X6" i="1"/>
  <c r="X7" i="1"/>
  <c r="X8" i="1"/>
  <c r="X9" i="1"/>
  <c r="X10" i="1"/>
  <c r="X11" i="1"/>
  <c r="X2" i="1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AB2" i="1"/>
  <c r="AA2" i="1"/>
  <c r="Z2" i="1"/>
  <c r="J2" i="1"/>
  <c r="K2" i="1"/>
  <c r="L2" i="1"/>
  <c r="M2" i="1"/>
  <c r="N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T47" i="1"/>
  <c r="S47" i="1"/>
  <c r="T48" i="1"/>
  <c r="S48" i="1"/>
  <c r="T49" i="1"/>
  <c r="S49" i="1"/>
  <c r="T46" i="1"/>
  <c r="S46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36" i="1"/>
  <c r="S36" i="1"/>
  <c r="T31" i="1"/>
  <c r="S31" i="1"/>
  <c r="T32" i="1"/>
  <c r="S32" i="1"/>
  <c r="T33" i="1"/>
  <c r="S33" i="1"/>
  <c r="T34" i="1"/>
  <c r="S34" i="1"/>
  <c r="T30" i="1"/>
  <c r="S30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13" i="1"/>
  <c r="S13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2" i="1"/>
  <c r="S2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N16" i="1"/>
  <c r="M16" i="1"/>
  <c r="L16" i="1"/>
  <c r="K16" i="1"/>
  <c r="J16" i="1"/>
  <c r="AD12" i="1"/>
  <c r="S12" i="1"/>
  <c r="H12" i="1"/>
  <c r="D12" i="1"/>
  <c r="F12" i="1"/>
  <c r="E12" i="1"/>
  <c r="A12" i="1"/>
  <c r="AD29" i="1"/>
  <c r="S29" i="1"/>
  <c r="H29" i="1"/>
  <c r="D29" i="1"/>
  <c r="F29" i="1"/>
  <c r="E29" i="1"/>
  <c r="A29" i="1"/>
  <c r="AD45" i="1"/>
  <c r="S45" i="1"/>
  <c r="H45" i="1"/>
  <c r="D45" i="1"/>
  <c r="F45" i="1"/>
  <c r="E45" i="1"/>
  <c r="A45" i="1"/>
  <c r="C1" i="6"/>
  <c r="A1" i="6"/>
  <c r="A49" i="1"/>
  <c r="A50" i="6"/>
  <c r="A2" i="1"/>
  <c r="A3" i="1"/>
  <c r="A4" i="1"/>
  <c r="A5" i="1"/>
  <c r="A6" i="1"/>
  <c r="A7" i="1"/>
  <c r="A8" i="1"/>
  <c r="A9" i="1"/>
  <c r="A10" i="1"/>
  <c r="A11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6" i="1"/>
  <c r="A47" i="1"/>
  <c r="A48" i="1"/>
  <c r="B1" i="6"/>
  <c r="W50" i="6"/>
  <c r="V50" i="6"/>
  <c r="U50" i="6"/>
  <c r="T50" i="6"/>
  <c r="S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D23" i="1"/>
  <c r="F23" i="1"/>
  <c r="C1" i="5"/>
  <c r="A1" i="5"/>
  <c r="G13" i="2"/>
  <c r="A13" i="2"/>
  <c r="A14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49" i="1"/>
  <c r="D49" i="1"/>
  <c r="F49" i="1"/>
  <c r="E49" i="1"/>
  <c r="H48" i="1"/>
  <c r="D48" i="1"/>
  <c r="F48" i="1"/>
  <c r="E48" i="1"/>
  <c r="H47" i="1"/>
  <c r="D47" i="1"/>
  <c r="F47" i="1"/>
  <c r="E47" i="1"/>
  <c r="H46" i="1"/>
  <c r="D46" i="1"/>
  <c r="F46" i="1"/>
  <c r="E46" i="1"/>
  <c r="H44" i="1"/>
  <c r="D44" i="1"/>
  <c r="F44" i="1"/>
  <c r="E44" i="1"/>
  <c r="H43" i="1"/>
  <c r="D43" i="1"/>
  <c r="F43" i="1"/>
  <c r="E43" i="1"/>
  <c r="H42" i="1"/>
  <c r="D42" i="1"/>
  <c r="F42" i="1"/>
  <c r="E42" i="1"/>
  <c r="H41" i="1"/>
  <c r="D41" i="1"/>
  <c r="F41" i="1"/>
  <c r="E41" i="1"/>
  <c r="H40" i="1"/>
  <c r="D40" i="1"/>
  <c r="F40" i="1"/>
  <c r="E40" i="1"/>
  <c r="H39" i="1"/>
  <c r="D39" i="1"/>
  <c r="F39" i="1"/>
  <c r="E39" i="1"/>
  <c r="H38" i="1"/>
  <c r="D38" i="1"/>
  <c r="F38" i="1"/>
  <c r="E38" i="1"/>
  <c r="H37" i="1"/>
  <c r="D37" i="1"/>
  <c r="F37" i="1"/>
  <c r="E37" i="1"/>
  <c r="H36" i="1"/>
  <c r="D36" i="1"/>
  <c r="F36" i="1"/>
  <c r="E36" i="1"/>
  <c r="S35" i="1"/>
  <c r="H35" i="1"/>
  <c r="D35" i="1"/>
  <c r="F35" i="1"/>
  <c r="E35" i="1"/>
  <c r="H34" i="1"/>
  <c r="D34" i="1"/>
  <c r="F34" i="1"/>
  <c r="E34" i="1"/>
  <c r="H33" i="1"/>
  <c r="D33" i="1"/>
  <c r="F33" i="1"/>
  <c r="E33" i="1"/>
  <c r="H32" i="1"/>
  <c r="D32" i="1"/>
  <c r="F32" i="1"/>
  <c r="E32" i="1"/>
  <c r="H31" i="1"/>
  <c r="D31" i="1"/>
  <c r="F31" i="1"/>
  <c r="E31" i="1"/>
  <c r="H30" i="1"/>
  <c r="D30" i="1"/>
  <c r="F30" i="1"/>
  <c r="E30" i="1"/>
  <c r="H28" i="1"/>
  <c r="D28" i="1"/>
  <c r="F28" i="1"/>
  <c r="E28" i="1"/>
  <c r="H27" i="1"/>
  <c r="D27" i="1"/>
  <c r="F27" i="1"/>
  <c r="E27" i="1"/>
  <c r="H26" i="1"/>
  <c r="D26" i="1"/>
  <c r="F26" i="1"/>
  <c r="E26" i="1"/>
  <c r="H25" i="1"/>
  <c r="D25" i="1"/>
  <c r="F25" i="1"/>
  <c r="E25" i="1"/>
  <c r="H24" i="1"/>
  <c r="D24" i="1"/>
  <c r="F24" i="1"/>
  <c r="E24" i="1"/>
  <c r="H23" i="1"/>
  <c r="E23" i="1"/>
  <c r="H22" i="1"/>
  <c r="D22" i="1"/>
  <c r="F22" i="1"/>
  <c r="E22" i="1"/>
  <c r="H21" i="1"/>
  <c r="D21" i="1"/>
  <c r="F21" i="1"/>
  <c r="E21" i="1"/>
  <c r="H20" i="1"/>
  <c r="D20" i="1"/>
  <c r="F20" i="1"/>
  <c r="E20" i="1"/>
  <c r="H19" i="1"/>
  <c r="D19" i="1"/>
  <c r="F19" i="1"/>
  <c r="E19" i="1"/>
  <c r="H18" i="1"/>
  <c r="D18" i="1"/>
  <c r="F18" i="1"/>
  <c r="E18" i="1"/>
  <c r="H17" i="1"/>
  <c r="D17" i="1"/>
  <c r="F17" i="1"/>
  <c r="E17" i="1"/>
  <c r="H16" i="1"/>
  <c r="D16" i="1"/>
  <c r="F16" i="1"/>
  <c r="E16" i="1"/>
  <c r="H15" i="1"/>
  <c r="D15" i="1"/>
  <c r="F15" i="1"/>
  <c r="E15" i="1"/>
  <c r="H14" i="1"/>
  <c r="D14" i="1"/>
  <c r="F14" i="1"/>
  <c r="E14" i="1"/>
  <c r="H13" i="1"/>
  <c r="D13" i="1"/>
  <c r="F13" i="1"/>
  <c r="E13" i="1"/>
  <c r="H11" i="1"/>
  <c r="D11" i="1"/>
  <c r="F11" i="1"/>
  <c r="E11" i="1"/>
  <c r="H10" i="1"/>
  <c r="D10" i="1"/>
  <c r="F10" i="1"/>
  <c r="E10" i="1"/>
  <c r="H9" i="1"/>
  <c r="D9" i="1"/>
  <c r="F9" i="1"/>
  <c r="E9" i="1"/>
  <c r="H8" i="1"/>
  <c r="D8" i="1"/>
  <c r="F8" i="1"/>
  <c r="E8" i="1"/>
  <c r="H7" i="1"/>
  <c r="D7" i="1"/>
  <c r="F7" i="1"/>
  <c r="E7" i="1"/>
  <c r="H6" i="1"/>
  <c r="D6" i="1"/>
  <c r="F6" i="1"/>
  <c r="E6" i="1"/>
  <c r="H5" i="1"/>
  <c r="D5" i="1"/>
  <c r="F5" i="1"/>
  <c r="E5" i="1"/>
  <c r="H4" i="1"/>
  <c r="D4" i="1"/>
  <c r="F4" i="1"/>
  <c r="E4" i="1"/>
  <c r="H3" i="1"/>
  <c r="D3" i="1"/>
  <c r="F3" i="1"/>
  <c r="E3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3" i="6"/>
  <c r="I3" i="6"/>
  <c r="H3" i="6"/>
  <c r="G3" i="6"/>
  <c r="D2" i="1"/>
  <c r="F2" i="1"/>
  <c r="H2" i="2"/>
  <c r="W3" i="6"/>
  <c r="V3" i="6"/>
  <c r="U3" i="6"/>
  <c r="T3" i="6"/>
  <c r="S3" i="6"/>
  <c r="AD2" i="1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<sst xmlns="http://schemas.openxmlformats.org/spreadsheetml/2006/main" count="76" uniqueCount="55">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</sst>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6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10" fillId="8" borderId="12" xfId="0" applyFont="1" applyFill="1" applyBorder="1" applyAlignment="1">
      <alignment vertical="center"/>
    </xf>
    <xf numFmtId="177" fontId="2" fillId="0" borderId="13" xfId="0" applyNumberFormat="1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vertical="center"/>
    </xf>
    <xf numFmtId="0" fontId="2" fillId="0" borderId="14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vertical="center"/>
    </xf>
    <xf numFmtId="0" fontId="2" fillId="12" borderId="6" xfId="0" applyFont="1" applyFill="1" applyBorder="1" applyAlignment="1">
      <alignment vertical="center"/>
    </xf>
  </cellXfs>
  <cellStyles count="66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L15" sqref="L15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8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t="shared" ref="A2:A13" ca="1" si="0">G2&amp;"-"&amp;I2</f>
        <v>30005_1-1</v>
      </c>
      <c r="B2" s="20" t="str">
        <f ca="1">IF(COUNTIF(enemy_habitats_multi_2_1!$H:$H,A2),"OK","NG")</f>
        <v>OK</v>
      </c>
      <c r="C2" s="7">
        <v>30005</v>
      </c>
      <c r="D2" s="11" t="str">
        <f ca="1">VLOOKUP($C2,OFFSET([1]quests!$A$1,0,0,COUNTA([1]quests!$A:$A),MATCH(D$1,[1]quests!$1:$1,0)-MATCH($C$1,[1]quests!$1:$1,0)+1),MATCH(D$1,[1]quests!$1:$1,0)-MATCH($C$1,[1]quests!$1:$1,0)+1,FALSE)</f>
        <v>ニンゲンにしてあげる☆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ドロップイベント2-1（マルチ専用）</v>
      </c>
      <c r="F2" s="26">
        <v>1</v>
      </c>
      <c r="G2" s="28" t="str">
        <f t="shared" ref="G2:G13" ca="1" si="1">C2&amp;"_"&amp;F2</f>
        <v>30005_1</v>
      </c>
      <c r="H2" s="19" t="str">
        <f ca="1">VLOOKUP($G2,OFFSET([1]stages!$A$1,0,0,COUNTA([1]stages!$A:$A),MATCH(H$1,[1]stages!$2:$2,0)-MATCH($G$1,[1]stages!$2:$2,0)+1),MATCH(H$1,[1]stages!$2:$2,0)-MATCH($G$1,[1]stages!$2:$2,0)+1,FALSE)</f>
        <v xml:space="preserve">【中級】ニンゲンにしてあげる </v>
      </c>
      <c r="I2" s="26">
        <v>1</v>
      </c>
      <c r="J2" s="12">
        <v>30</v>
      </c>
      <c r="K2" s="12">
        <v>30</v>
      </c>
    </row>
    <row r="3" spans="1:11" ht="21" customHeight="1" x14ac:dyDescent="0.15">
      <c r="A3" s="20" t="str">
        <f t="shared" ca="1" si="0"/>
        <v>30005_1-2</v>
      </c>
      <c r="B3" s="20" t="str">
        <f ca="1">IF(COUNTIF(enemy_habitats_multi_2_1!$H:$H,A3),"OK","NG")</f>
        <v>OK</v>
      </c>
      <c r="C3" s="7">
        <v>30005</v>
      </c>
      <c r="D3" s="11" t="str">
        <f ca="1">VLOOKUP($C3,OFFSET([1]quests!$A$1,0,0,COUNTA([1]quests!$A:$A),MATCH(D$1,[1]quests!$1:$1,0)-MATCH($C$1,[1]quests!$1:$1,0)+1),MATCH(D$1,[1]quests!$1:$1,0)-MATCH($C$1,[1]quests!$1:$1,0)+1,FALSE)</f>
        <v>ニンゲンにしてあげる☆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ドロップイベント2-1（マルチ専用）</v>
      </c>
      <c r="F3" s="26">
        <v>1</v>
      </c>
      <c r="G3" s="28" t="str">
        <f t="shared" ca="1" si="1"/>
        <v>30005_1</v>
      </c>
      <c r="H3" s="19" t="str">
        <f ca="1">VLOOKUP($G3,OFFSET([1]stages!$A$1,0,0,COUNTA([1]stages!$A:$A),MATCH(H$1,[1]stages!$2:$2,0)-MATCH($G$1,[1]stages!$2:$2,0)+1),MATCH(H$1,[1]stages!$2:$2,0)-MATCH($G$1,[1]stages!$2:$2,0)+1,FALSE)</f>
        <v xml:space="preserve">【中級】ニンゲンにしてあげる </v>
      </c>
      <c r="I3" s="26">
        <v>2</v>
      </c>
      <c r="J3" s="12">
        <v>55</v>
      </c>
      <c r="K3" s="12">
        <v>55</v>
      </c>
    </row>
    <row r="4" spans="1:11" ht="21" customHeight="1" x14ac:dyDescent="0.15">
      <c r="A4" s="20" t="str">
        <f t="shared" ca="1" si="0"/>
        <v>30005_1-3</v>
      </c>
      <c r="B4" s="20" t="str">
        <f ca="1">IF(COUNTIF(enemy_habitats_multi_2_1!$H:$H,A4),"OK","NG")</f>
        <v>OK</v>
      </c>
      <c r="C4" s="7">
        <v>30005</v>
      </c>
      <c r="D4" s="11" t="str">
        <f ca="1">VLOOKUP($C4,OFFSET([1]quests!$A$1,0,0,COUNTA([1]quests!$A:$A),MATCH(D$1,[1]quests!$1:$1,0)-MATCH($C$1,[1]quests!$1:$1,0)+1),MATCH(D$1,[1]quests!$1:$1,0)-MATCH($C$1,[1]quests!$1:$1,0)+1,FALSE)</f>
        <v>ニンゲンにしてあげる☆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ドロップイベント2-1（マルチ専用）</v>
      </c>
      <c r="F4" s="26">
        <v>1</v>
      </c>
      <c r="G4" s="28" t="str">
        <f t="shared" ca="1" si="1"/>
        <v>30005_1</v>
      </c>
      <c r="H4" s="19" t="str">
        <f ca="1">VLOOKUP($G4,OFFSET([1]stages!$A$1,0,0,COUNTA([1]stages!$A:$A),MATCH(H$1,[1]stages!$2:$2,0)-MATCH($G$1,[1]stages!$2:$2,0)+1),MATCH(H$1,[1]stages!$2:$2,0)-MATCH($G$1,[1]stages!$2:$2,0)+1,FALSE)</f>
        <v xml:space="preserve">【中級】ニンゲンにしてあげる </v>
      </c>
      <c r="I4" s="26">
        <v>3</v>
      </c>
      <c r="J4" s="12">
        <v>45</v>
      </c>
      <c r="K4" s="12">
        <v>45</v>
      </c>
    </row>
    <row r="5" spans="1:11" ht="21" customHeight="1" x14ac:dyDescent="0.15">
      <c r="A5" s="20" t="str">
        <f t="shared" ca="1" si="0"/>
        <v>30005_1-4</v>
      </c>
      <c r="B5" s="20" t="str">
        <f ca="1">IF(COUNTIF(enemy_habitats_multi_2_1!$H:$H,A5),"OK","NG")</f>
        <v>OK</v>
      </c>
      <c r="C5" s="7">
        <v>30005</v>
      </c>
      <c r="D5" s="11" t="str">
        <f ca="1">VLOOKUP($C5,OFFSET([1]quests!$A$1,0,0,COUNTA([1]quests!$A:$A),MATCH(D$1,[1]quests!$1:$1,0)-MATCH($C$1,[1]quests!$1:$1,0)+1),MATCH(D$1,[1]quests!$1:$1,0)-MATCH($C$1,[1]quests!$1:$1,0)+1,FALSE)</f>
        <v>ニンゲンにしてあげる☆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ドロップイベント2-1（マルチ専用）</v>
      </c>
      <c r="F5" s="26">
        <v>1</v>
      </c>
      <c r="G5" s="28" t="str">
        <f t="shared" ca="1" si="1"/>
        <v>30005_1</v>
      </c>
      <c r="H5" s="19" t="str">
        <f ca="1">VLOOKUP($G5,OFFSET([1]stages!$A$1,0,0,COUNTA([1]stages!$A:$A),MATCH(H$1,[1]stages!$2:$2,0)-MATCH($G$1,[1]stages!$2:$2,0)+1),MATCH(H$1,[1]stages!$2:$2,0)-MATCH($G$1,[1]stages!$2:$2,0)+1,FALSE)</f>
        <v xml:space="preserve">【中級】ニンゲンにしてあげる </v>
      </c>
      <c r="I5" s="26">
        <v>4</v>
      </c>
      <c r="J5" s="12">
        <v>30</v>
      </c>
      <c r="K5" s="12">
        <v>30</v>
      </c>
    </row>
    <row r="6" spans="1:11" ht="21" customHeight="1" x14ac:dyDescent="0.15">
      <c r="A6" s="20" t="str">
        <f t="shared" ca="1" si="0"/>
        <v>30005_2-1</v>
      </c>
      <c r="B6" s="20" t="str">
        <f ca="1">IF(COUNTIF(enemy_habitats_multi_2_1!$H:$H,A6),"OK","NG")</f>
        <v>OK</v>
      </c>
      <c r="C6" s="7">
        <v>30005</v>
      </c>
      <c r="D6" s="11" t="str">
        <f ca="1">VLOOKUP($C6,OFFSET([1]quests!$A$1,0,0,COUNTA([1]quests!$A:$A),MATCH(D$1,[1]quests!$1:$1,0)-MATCH($C$1,[1]quests!$1:$1,0)+1),MATCH(D$1,[1]quests!$1:$1,0)-MATCH($C$1,[1]quests!$1:$1,0)+1,FALSE)</f>
        <v>ニンゲンにしてあげる☆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ドロップイベント2-1（マルチ専用）</v>
      </c>
      <c r="F6" s="26">
        <v>2</v>
      </c>
      <c r="G6" s="28" t="str">
        <f t="shared" ca="1" si="1"/>
        <v>30005_2</v>
      </c>
      <c r="H6" s="19" t="str">
        <f ca="1">VLOOKUP($G6,OFFSET([1]stages!$A$1,0,0,COUNTA([1]stages!$A:$A),MATCH(H$1,[1]stages!$2:$2,0)-MATCH($G$1,[1]stages!$2:$2,0)+1),MATCH(H$1,[1]stages!$2:$2,0)-MATCH($G$1,[1]stages!$2:$2,0)+1,FALSE)</f>
        <v xml:space="preserve">【上級】ニンゲンにしてあげる </v>
      </c>
      <c r="I6" s="26">
        <v>1</v>
      </c>
      <c r="J6" s="12">
        <v>30</v>
      </c>
      <c r="K6" s="12">
        <v>30</v>
      </c>
    </row>
    <row r="7" spans="1:11" ht="21" customHeight="1" x14ac:dyDescent="0.15">
      <c r="A7" s="20" t="str">
        <f t="shared" ca="1" si="0"/>
        <v>30005_2-2</v>
      </c>
      <c r="B7" s="20" t="str">
        <f ca="1">IF(COUNTIF(enemy_habitats_multi_2_1!$H:$H,A7),"OK","NG")</f>
        <v>OK</v>
      </c>
      <c r="C7" s="7">
        <v>30005</v>
      </c>
      <c r="D7" s="11" t="str">
        <f ca="1">VLOOKUP($C7,OFFSET([1]quests!$A$1,0,0,COUNTA([1]quests!$A:$A),MATCH(D$1,[1]quests!$1:$1,0)-MATCH($C$1,[1]quests!$1:$1,0)+1),MATCH(D$1,[1]quests!$1:$1,0)-MATCH($C$1,[1]quests!$1:$1,0)+1,FALSE)</f>
        <v>ニンゲンにしてあげる☆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ドロップイベント2-1（マルチ専用）</v>
      </c>
      <c r="F7" s="26">
        <v>2</v>
      </c>
      <c r="G7" s="28" t="str">
        <f t="shared" ca="1" si="1"/>
        <v>30005_2</v>
      </c>
      <c r="H7" s="19" t="str">
        <f ca="1">VLOOKUP($G7,OFFSET([1]stages!$A$1,0,0,COUNTA([1]stages!$A:$A),MATCH(H$1,[1]stages!$2:$2,0)-MATCH($G$1,[1]stages!$2:$2,0)+1),MATCH(H$1,[1]stages!$2:$2,0)-MATCH($G$1,[1]stages!$2:$2,0)+1,FALSE)</f>
        <v xml:space="preserve">【上級】ニンゲンにしてあげる </v>
      </c>
      <c r="I7" s="26">
        <v>2</v>
      </c>
      <c r="J7" s="12">
        <v>55</v>
      </c>
      <c r="K7" s="12">
        <v>55</v>
      </c>
    </row>
    <row r="8" spans="1:11" ht="21" customHeight="1" x14ac:dyDescent="0.15">
      <c r="A8" s="20" t="str">
        <f t="shared" ca="1" si="0"/>
        <v>30005_2-3</v>
      </c>
      <c r="B8" s="20" t="str">
        <f ca="1">IF(COUNTIF(enemy_habitats_multi_2_1!$H:$H,A8),"OK","NG")</f>
        <v>OK</v>
      </c>
      <c r="C8" s="7">
        <v>30005</v>
      </c>
      <c r="D8" s="11" t="str">
        <f ca="1">VLOOKUP($C8,OFFSET([1]quests!$A$1,0,0,COUNTA([1]quests!$A:$A),MATCH(D$1,[1]quests!$1:$1,0)-MATCH($C$1,[1]quests!$1:$1,0)+1),MATCH(D$1,[1]quests!$1:$1,0)-MATCH($C$1,[1]quests!$1:$1,0)+1,FALSE)</f>
        <v>ニンゲンにしてあげる☆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ドロップイベント2-1（マルチ専用）</v>
      </c>
      <c r="F8" s="26">
        <v>2</v>
      </c>
      <c r="G8" s="28" t="str">
        <f t="shared" ca="1" si="1"/>
        <v>30005_2</v>
      </c>
      <c r="H8" s="19" t="str">
        <f ca="1">VLOOKUP($G8,OFFSET([1]stages!$A$1,0,0,COUNTA([1]stages!$A:$A),MATCH(H$1,[1]stages!$2:$2,0)-MATCH($G$1,[1]stages!$2:$2,0)+1),MATCH(H$1,[1]stages!$2:$2,0)-MATCH($G$1,[1]stages!$2:$2,0)+1,FALSE)</f>
        <v xml:space="preserve">【上級】ニンゲンにしてあげる </v>
      </c>
      <c r="I8" s="26">
        <v>3</v>
      </c>
      <c r="J8" s="12">
        <v>45</v>
      </c>
      <c r="K8" s="12">
        <v>45</v>
      </c>
    </row>
    <row r="9" spans="1:11" ht="21" customHeight="1" x14ac:dyDescent="0.15">
      <c r="A9" s="20" t="str">
        <f t="shared" ca="1" si="0"/>
        <v>30005_2-4</v>
      </c>
      <c r="B9" s="20" t="str">
        <f ca="1">IF(COUNTIF(enemy_habitats_multi_2_1!$H:$H,A9),"OK","NG")</f>
        <v>OK</v>
      </c>
      <c r="C9" s="7">
        <v>30005</v>
      </c>
      <c r="D9" s="11" t="str">
        <f ca="1">VLOOKUP($C9,OFFSET([1]quests!$A$1,0,0,COUNTA([1]quests!$A:$A),MATCH(D$1,[1]quests!$1:$1,0)-MATCH($C$1,[1]quests!$1:$1,0)+1),MATCH(D$1,[1]quests!$1:$1,0)-MATCH($C$1,[1]quests!$1:$1,0)+1,FALSE)</f>
        <v>ニンゲンにしてあげる☆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ドロップイベント2-1（マルチ専用）</v>
      </c>
      <c r="F9" s="26">
        <v>2</v>
      </c>
      <c r="G9" s="28" t="str">
        <f t="shared" ca="1" si="1"/>
        <v>30005_2</v>
      </c>
      <c r="H9" s="19" t="str">
        <f ca="1">VLOOKUP($G9,OFFSET([1]stages!$A$1,0,0,COUNTA([1]stages!$A:$A),MATCH(H$1,[1]stages!$2:$2,0)-MATCH($G$1,[1]stages!$2:$2,0)+1),MATCH(H$1,[1]stages!$2:$2,0)-MATCH($G$1,[1]stages!$2:$2,0)+1,FALSE)</f>
        <v xml:space="preserve">【上級】ニンゲンにしてあげる </v>
      </c>
      <c r="I9" s="26">
        <v>4</v>
      </c>
      <c r="J9" s="12">
        <v>30</v>
      </c>
      <c r="K9" s="12">
        <v>30</v>
      </c>
    </row>
    <row r="10" spans="1:11" ht="21" customHeight="1" x14ac:dyDescent="0.15">
      <c r="A10" s="20" t="str">
        <f t="shared" ca="1" si="0"/>
        <v>30005_3-1</v>
      </c>
      <c r="B10" s="20" t="str">
        <f ca="1">IF(COUNTIF(enemy_habitats_multi_2_1!$H:$H,A10),"OK","NG")</f>
        <v>OK</v>
      </c>
      <c r="C10" s="7">
        <v>30005</v>
      </c>
      <c r="D10" s="11" t="str">
        <f ca="1">VLOOKUP($C10,OFFSET([1]quests!$A$1,0,0,COUNTA([1]quests!$A:$A),MATCH(D$1,[1]quests!$1:$1,0)-MATCH($C$1,[1]quests!$1:$1,0)+1),MATCH(D$1,[1]quests!$1:$1,0)-MATCH($C$1,[1]quests!$1:$1,0)+1,FALSE)</f>
        <v>ニンゲンにしてあげる☆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ドロップイベント2-1（マルチ専用）</v>
      </c>
      <c r="F10" s="26">
        <v>3</v>
      </c>
      <c r="G10" s="28" t="str">
        <f t="shared" ca="1" si="1"/>
        <v>30005_3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【超級】ニンゲンにしてあげる</v>
      </c>
      <c r="I10" s="26">
        <v>1</v>
      </c>
      <c r="J10" s="12">
        <v>30</v>
      </c>
      <c r="K10" s="12">
        <v>30</v>
      </c>
    </row>
    <row r="11" spans="1:11" ht="21" customHeight="1" x14ac:dyDescent="0.15">
      <c r="A11" s="20" t="str">
        <f t="shared" ca="1" si="0"/>
        <v>30005_3-2</v>
      </c>
      <c r="B11" s="20" t="str">
        <f ca="1">IF(COUNTIF(enemy_habitats_multi_2_1!$H:$H,A11),"OK","NG")</f>
        <v>OK</v>
      </c>
      <c r="C11" s="7">
        <v>30005</v>
      </c>
      <c r="D11" s="11" t="str">
        <f ca="1">VLOOKUP($C11,OFFSET([1]quests!$A$1,0,0,COUNTA([1]quests!$A:$A),MATCH(D$1,[1]quests!$1:$1,0)-MATCH($C$1,[1]quests!$1:$1,0)+1),MATCH(D$1,[1]quests!$1:$1,0)-MATCH($C$1,[1]quests!$1:$1,0)+1,FALSE)</f>
        <v>ニンゲンにしてあげる☆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ドロップイベント2-1（マルチ専用）</v>
      </c>
      <c r="F11" s="26">
        <v>3</v>
      </c>
      <c r="G11" s="28" t="str">
        <f t="shared" ca="1" si="1"/>
        <v>30005_3</v>
      </c>
      <c r="H11" s="19" t="str">
        <f ca="1">VLOOKUP($G11,OFFSET([1]stages!$A$1,0,0,COUNTA([1]stages!$A:$A),MATCH(H$1,[1]stages!$2:$2,0)-MATCH($G$1,[1]stages!$2:$2,0)+1),MATCH(H$1,[1]stages!$2:$2,0)-MATCH($G$1,[1]stages!$2:$2,0)+1,FALSE)</f>
        <v>【超級】ニンゲンにしてあげる</v>
      </c>
      <c r="I11" s="26">
        <v>2</v>
      </c>
      <c r="J11" s="12">
        <v>55</v>
      </c>
      <c r="K11" s="12">
        <v>55</v>
      </c>
    </row>
    <row r="12" spans="1:11" ht="21" customHeight="1" x14ac:dyDescent="0.15">
      <c r="A12" s="20" t="str">
        <f t="shared" ca="1" si="0"/>
        <v>30005_3-3</v>
      </c>
      <c r="B12" s="20" t="str">
        <f ca="1">IF(COUNTIF(enemy_habitats_multi_2_1!$H:$H,A12),"OK","NG")</f>
        <v>OK</v>
      </c>
      <c r="C12" s="7">
        <v>30005</v>
      </c>
      <c r="D12" s="11" t="str">
        <f ca="1">VLOOKUP($C12,OFFSET([1]quests!$A$1,0,0,COUNTA([1]quests!$A:$A),MATCH(D$1,[1]quests!$1:$1,0)-MATCH($C$1,[1]quests!$1:$1,0)+1),MATCH(D$1,[1]quests!$1:$1,0)-MATCH($C$1,[1]quests!$1:$1,0)+1,FALSE)</f>
        <v>ニンゲンにしてあげる☆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ドロップイベント2-1（マルチ専用）</v>
      </c>
      <c r="F12" s="26">
        <v>3</v>
      </c>
      <c r="G12" s="28" t="str">
        <f t="shared" ca="1" si="1"/>
        <v>30005_3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【超級】ニンゲンにしてあげる</v>
      </c>
      <c r="I12" s="26">
        <v>3</v>
      </c>
      <c r="J12" s="12">
        <v>45</v>
      </c>
      <c r="K12" s="12">
        <v>45</v>
      </c>
    </row>
    <row r="13" spans="1:11" ht="21" customHeight="1" x14ac:dyDescent="0.15">
      <c r="A13" s="20" t="str">
        <f t="shared" ca="1" si="0"/>
        <v>30005_3-4</v>
      </c>
      <c r="B13" s="20" t="str">
        <f ca="1">IF(COUNTIF(enemy_habitats_multi_2_1!$H:$H,A13),"OK","NG")</f>
        <v>OK</v>
      </c>
      <c r="C13" s="7">
        <v>30005</v>
      </c>
      <c r="D13" s="11" t="str">
        <f ca="1">VLOOKUP($C13,OFFSET([1]quests!$A$1,0,0,COUNTA([1]quests!$A:$A),MATCH(D$1,[1]quests!$1:$1,0)-MATCH($C$1,[1]quests!$1:$1,0)+1),MATCH(D$1,[1]quests!$1:$1,0)-MATCH($C$1,[1]quests!$1:$1,0)+1,FALSE)</f>
        <v>ニンゲンにしてあげる☆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ドロップイベント2-1（マルチ専用）</v>
      </c>
      <c r="F13" s="26">
        <v>3</v>
      </c>
      <c r="G13" s="28" t="str">
        <f t="shared" ca="1" si="1"/>
        <v>30005_3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【超級】ニンゲンにしてあげる</v>
      </c>
      <c r="I13" s="26">
        <v>4</v>
      </c>
      <c r="J13" s="12">
        <v>60</v>
      </c>
      <c r="K13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49"/>
  <sheetViews>
    <sheetView showGridLines="0" zoomScale="75" zoomScaleNormal="75" zoomScalePageLayoutView="75" workbookViewId="0">
      <pane xSplit="14" ySplit="1" topLeftCell="X6" activePane="bottomRight" state="frozen"/>
      <selection pane="topRight" activeCell="N1" sqref="N1"/>
      <selection pane="bottomLeft" activeCell="A2" sqref="A2"/>
      <selection pane="bottomRight" activeCell="AE18" sqref="AE18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3" style="3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0" customFormat="1" ht="21" customHeight="1" x14ac:dyDescent="0.15">
      <c r="A1" s="32" t="s">
        <v>29</v>
      </c>
      <c r="B1" s="33" t="s">
        <v>0</v>
      </c>
      <c r="C1" s="33" t="s">
        <v>1</v>
      </c>
      <c r="D1" s="34" t="s">
        <v>28</v>
      </c>
      <c r="E1" s="35" t="s">
        <v>20</v>
      </c>
      <c r="F1" s="35" t="s">
        <v>20</v>
      </c>
      <c r="G1" s="33" t="s">
        <v>19</v>
      </c>
      <c r="H1" s="34" t="s">
        <v>37</v>
      </c>
      <c r="I1" s="33" t="s">
        <v>2</v>
      </c>
      <c r="J1" s="36" t="s">
        <v>21</v>
      </c>
      <c r="K1" s="34" t="s">
        <v>24</v>
      </c>
      <c r="L1" s="34" t="s">
        <v>23</v>
      </c>
      <c r="M1" s="37" t="s">
        <v>26</v>
      </c>
      <c r="N1" s="35" t="s">
        <v>25</v>
      </c>
      <c r="O1" s="33" t="s">
        <v>3</v>
      </c>
      <c r="P1" s="31" t="s">
        <v>50</v>
      </c>
      <c r="Q1" s="31" t="s">
        <v>52</v>
      </c>
      <c r="R1" s="31" t="s">
        <v>54</v>
      </c>
      <c r="S1" s="34" t="s">
        <v>33</v>
      </c>
      <c r="T1" s="33" t="s">
        <v>4</v>
      </c>
      <c r="U1" s="33" t="s">
        <v>5</v>
      </c>
      <c r="V1" s="33" t="s">
        <v>6</v>
      </c>
      <c r="W1" s="33" t="s">
        <v>7</v>
      </c>
      <c r="X1" s="33" t="s">
        <v>8</v>
      </c>
      <c r="Y1" s="38" t="s">
        <v>9</v>
      </c>
      <c r="Z1" s="39" t="s">
        <v>16</v>
      </c>
      <c r="AA1" s="39" t="s">
        <v>17</v>
      </c>
      <c r="AB1" s="39" t="s">
        <v>27</v>
      </c>
      <c r="AC1" s="38" t="s">
        <v>10</v>
      </c>
      <c r="AD1" s="33" t="s">
        <v>11</v>
      </c>
      <c r="AE1" s="33" t="s">
        <v>12</v>
      </c>
      <c r="AF1" s="33" t="s">
        <v>40</v>
      </c>
      <c r="AG1" s="33" t="s">
        <v>42</v>
      </c>
      <c r="AH1" s="33" t="s">
        <v>44</v>
      </c>
      <c r="AI1" s="33" t="s">
        <v>46</v>
      </c>
      <c r="AJ1" s="33" t="s">
        <v>48</v>
      </c>
    </row>
    <row r="2" spans="1:36" ht="21" customHeight="1" x14ac:dyDescent="0.15">
      <c r="A2" s="20" t="str">
        <f t="shared" ref="A2:A35" ca="1" si="0">B2&amp;"_"&amp;C2&amp;"-"&amp;G2&amp;"/"&amp;I2&amp;"&lt;lv"&amp;O2&amp;"&gt;s"&amp;X2</f>
        <v>30005_1-1/9&lt;lv24&gt;s2</v>
      </c>
      <c r="B2" s="27">
        <v>30005</v>
      </c>
      <c r="C2" s="26">
        <v>1</v>
      </c>
      <c r="D2" s="2" t="str">
        <f t="shared" ref="D2:D35" si="1">B2&amp;"_"&amp;C2</f>
        <v>30005_1</v>
      </c>
      <c r="E2" s="4" t="str">
        <f ca="1">VLOOKUP($B2,OFFSET([1]quests!$A$1,0,0,COUNTA([1]quests!$A:$A),MATCH(E$1,[1]quests!$1:$1,0)-MATCH($B$1,[1]quests!$1:$1,0)+1),MATCH(E$1,[1]quests!$1:$1,0)-MATCH($B$1,[1]quests!$1:$1,0)+1,FALSE)</f>
        <v>ニンゲンにしてあげる☆</v>
      </c>
      <c r="F2" s="4" t="str">
        <f ca="1">VLOOKUP($D2,OFFSET([1]stages!$A$1,0,0,COUNTA([1]stages!$A:$A),MATCH(F$1,[1]stages!$2:$2,0)-MATCH($D$1,[1]stages!$2:$2,0)+1),MATCH(F$1,[1]stages!$2:$2,0)-MATCH($D$1,[1]stages!$2:$2,0)+1,FALSE)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2" s="26">
        <v>1</v>
      </c>
      <c r="H2" s="19" t="str">
        <f t="shared" ref="H2:H35" ca="1" si="2">B2&amp;"_"&amp;C2&amp;"-"&amp;G2</f>
        <v>30005_1-1</v>
      </c>
      <c r="I2" s="26">
        <v>9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4" t="str">
        <f ca="1">VLOOKUP(I2,[3]characters!$A:$J,10,FALSE)</f>
        <v>Drop1W</v>
      </c>
      <c r="M2" s="23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24</v>
      </c>
      <c r="P2" s="30">
        <v>1.3</v>
      </c>
      <c r="Q2" s="30">
        <v>1.1000000000000001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26">
        <v>9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7">
        <v>4</v>
      </c>
      <c r="AD2" s="29">
        <f t="shared" ref="AD2:AD35" ca="1" si="3">AA2</f>
        <v>1</v>
      </c>
      <c r="AE2" s="8">
        <v>15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ca="1" si="0"/>
        <v>30005_1-1/11&lt;lv24&gt;s3</v>
      </c>
      <c r="B3" s="27">
        <v>30005</v>
      </c>
      <c r="C3" s="26">
        <v>1</v>
      </c>
      <c r="D3" s="2" t="str">
        <f t="shared" si="1"/>
        <v>30005_1</v>
      </c>
      <c r="E3" s="4" t="str">
        <f ca="1">VLOOKUP($B3,OFFSET([1]quests!$A$1,0,0,COUNTA([1]quests!$A:$A),MATCH(E$1,[1]quests!$1:$1,0)-MATCH($B$1,[1]quests!$1:$1,0)+1),MATCH(E$1,[1]quests!$1:$1,0)-MATCH($B$1,[1]quests!$1:$1,0)+1,FALSE)</f>
        <v>ニンゲンにしてあげる☆</v>
      </c>
      <c r="F3" s="4" t="str">
        <f ca="1">VLOOKUP($D3,OFFSET([1]stages!$A$1,0,0,COUNTA([1]stages!$A:$A),MATCH(F$1,[1]stages!$2:$2,0)-MATCH($D$1,[1]stages!$2:$2,0)+1),MATCH(F$1,[1]stages!$2:$2,0)-MATCH($D$1,[1]stages!$2:$2,0)+1,FALSE)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3" s="26">
        <v>1</v>
      </c>
      <c r="H3" s="19" t="str">
        <f t="shared" ca="1" si="2"/>
        <v>30005_1-1</v>
      </c>
      <c r="I3" s="26">
        <v>11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3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4" t="str">
        <f ca="1"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24</v>
      </c>
      <c r="P3" s="30">
        <v>1.3</v>
      </c>
      <c r="Q3" s="30">
        <v>1.1000000000000001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26">
        <v>11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4</v>
      </c>
      <c r="AD3" s="29">
        <f t="shared" ca="1" si="3"/>
        <v>1</v>
      </c>
      <c r="AE3" s="8">
        <v>15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30005_1-1/13&lt;lv24&gt;s2</v>
      </c>
      <c r="B4" s="27">
        <v>30005</v>
      </c>
      <c r="C4" s="26">
        <v>1</v>
      </c>
      <c r="D4" s="2" t="str">
        <f t="shared" si="1"/>
        <v>30005_1</v>
      </c>
      <c r="E4" s="4" t="str">
        <f ca="1">VLOOKUP($B4,OFFSET([1]quests!$A$1,0,0,COUNTA([1]quests!$A:$A),MATCH(E$1,[1]quests!$1:$1,0)-MATCH($B$1,[1]quests!$1:$1,0)+1),MATCH(E$1,[1]quests!$1:$1,0)-MATCH($B$1,[1]quests!$1:$1,0)+1,FALSE)</f>
        <v>ニンゲンにしてあげる☆</v>
      </c>
      <c r="F4" s="4" t="str">
        <f ca="1">VLOOKUP($D4,OFFSET([1]stages!$A$1,0,0,COUNTA([1]stages!$A:$A),MATCH(F$1,[1]stages!$2:$2,0)-MATCH($D$1,[1]stages!$2:$2,0)+1),MATCH(F$1,[1]stages!$2:$2,0)-MATCH($D$1,[1]stages!$2:$2,0)+1,FALSE)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4" s="26">
        <v>1</v>
      </c>
      <c r="H4" s="19" t="str">
        <f t="shared" ca="1" si="2"/>
        <v>30005_1-1</v>
      </c>
      <c r="I4" s="26">
        <v>13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ミミ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 ca="1">VLOOKUP(I4,[3]characters!$A:$J,10,FALSE)</f>
        <v>Drop1W</v>
      </c>
      <c r="M4" s="23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24</v>
      </c>
      <c r="P4" s="30">
        <v>1.3</v>
      </c>
      <c r="Q4" s="30">
        <v>1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26">
        <v>13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7">
        <v>4</v>
      </c>
      <c r="AD4" s="29">
        <f t="shared" ca="1" si="3"/>
        <v>1</v>
      </c>
      <c r="AE4" s="8">
        <v>15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30005_1-1/22&lt;lv24&gt;s2</v>
      </c>
      <c r="B5" s="27">
        <v>30005</v>
      </c>
      <c r="C5" s="26">
        <v>1</v>
      </c>
      <c r="D5" s="2" t="str">
        <f t="shared" si="1"/>
        <v>30005_1</v>
      </c>
      <c r="E5" s="4" t="str">
        <f ca="1">VLOOKUP($B5,OFFSET([1]quests!$A$1,0,0,COUNTA([1]quests!$A:$A),MATCH(E$1,[1]quests!$1:$1,0)-MATCH($B$1,[1]quests!$1:$1,0)+1),MATCH(E$1,[1]quests!$1:$1,0)-MATCH($B$1,[1]quests!$1:$1,0)+1,FALSE)</f>
        <v>ニンゲンにしてあげる☆</v>
      </c>
      <c r="F5" s="4" t="str">
        <f ca="1">VLOOKUP($D5,OFFSET([1]stages!$A$1,0,0,COUNTA([1]stages!$A:$A),MATCH(F$1,[1]stages!$2:$2,0)-MATCH($D$1,[1]stages!$2:$2,0)+1),MATCH(F$1,[1]stages!$2:$2,0)-MATCH($D$1,[1]stages!$2:$2,0)+1,FALSE)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5" s="26">
        <v>1</v>
      </c>
      <c r="H5" s="19" t="str">
        <f t="shared" ca="1" si="2"/>
        <v>30005_1-1</v>
      </c>
      <c r="I5" s="26">
        <v>22</v>
      </c>
      <c r="J5" s="23" t="str">
        <f ca="1">VLOOKUP($I5,OFFSET([2]enemies!$A$1,0,0,COUNTA([2]enemies!$A:$A),MATCH(J$1,[2]enemies!$1:$1,0)-MATCH($I$1,[2]enemies!$1:$1,0)+1),MATCH(J$1,[2]enemies!$1:$1,0)-MATCH($I$1,[2]enemies!$1:$1,0)+1,FALSE)</f>
        <v>突然変異ヴェロキー</v>
      </c>
      <c r="K5" s="23" t="str">
        <f ca="1">VLOOKUP($I5,OFFSET([2]enemies!$A$1,0,0,COUNTA([2]enemies!$A:$A),MATCH(K$1,[2]enemies!$1:$1,0)-MATCH($I$1,[2]enemies!$1:$1,0)+1),MATCH(K$1,[2]enemies!$1:$1,0)-MATCH($I$1,[2]enemies!$1:$1,0)+1,FALSE)</f>
        <v>red</v>
      </c>
      <c r="L5" s="24" t="str">
        <f ca="1">VLOOKUP(I5,[3]characters!$A:$J,10,FALSE)</f>
        <v>Drop1N</v>
      </c>
      <c r="M5" s="23" t="str">
        <f ca="1">VLOOKUP($I5,OFFSET([2]enemies!$A$1,0,0,COUNTA([2]enemies!$A:$A),MATCH(M$1,[2]enemies!$1:$1,0)-MATCH($I$1,[2]enemies!$1:$1,0)+1),MATCH(M$1,[2]enemies!$1:$1,0)-MATCH($I$1,[2]enemies!$1:$1,0)+1,FALSE)</f>
        <v>dragon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24</v>
      </c>
      <c r="P5" s="30">
        <v>1.3</v>
      </c>
      <c r="Q5" s="30">
        <v>1.1000000000000001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26">
        <v>22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7">
        <v>2</v>
      </c>
      <c r="AD5" s="29">
        <f t="shared" ca="1" si="3"/>
        <v>2</v>
      </c>
      <c r="AE5" s="8">
        <v>15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ca="1" si="0"/>
        <v>30005_1-1/17&lt;lv24&gt;s2</v>
      </c>
      <c r="B6" s="27">
        <v>30005</v>
      </c>
      <c r="C6" s="26">
        <v>1</v>
      </c>
      <c r="D6" s="2" t="str">
        <f t="shared" si="1"/>
        <v>30005_1</v>
      </c>
      <c r="E6" s="4" t="str">
        <f ca="1">VLOOKUP($B6,OFFSET([1]quests!$A$1,0,0,COUNTA([1]quests!$A:$A),MATCH(E$1,[1]quests!$1:$1,0)-MATCH($B$1,[1]quests!$1:$1,0)+1),MATCH(E$1,[1]quests!$1:$1,0)-MATCH($B$1,[1]quests!$1:$1,0)+1,FALSE)</f>
        <v>ニンゲンにしてあげる☆</v>
      </c>
      <c r="F6" s="4" t="str">
        <f ca="1">VLOOKUP($D6,OFFSET([1]stages!$A$1,0,0,COUNTA([1]stages!$A:$A),MATCH(F$1,[1]stages!$2:$2,0)-MATCH($D$1,[1]stages!$2:$2,0)+1),MATCH(F$1,[1]stages!$2:$2,0)-MATCH($D$1,[1]stages!$2:$2,0)+1,FALSE)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6" s="26">
        <v>1</v>
      </c>
      <c r="H6" s="19" t="str">
        <f t="shared" ca="1" si="2"/>
        <v>30005_1-1</v>
      </c>
      <c r="I6" s="26">
        <v>17</v>
      </c>
      <c r="J6" s="23" t="str">
        <f ca="1">VLOOKUP($I6,OFFSET([2]enemies!$A$1,0,0,COUNTA([2]enemies!$A:$A),MATCH(J$1,[2]enemies!$1:$1,0)-MATCH($I$1,[2]enemies!$1:$1,0)+1),MATCH(J$1,[2]enemies!$1:$1,0)-MATCH($I$1,[2]enemies!$1:$1,0)+1,FALSE)</f>
        <v>リム</v>
      </c>
      <c r="K6" s="23" t="str">
        <f ca="1">VLOOKUP($I6,OFFSET([2]enemies!$A$1,0,0,COUNTA([2]enemies!$A:$A),MATCH(K$1,[2]enemies!$1:$1,0)-MATCH($I$1,[2]enemies!$1:$1,0)+1),MATCH(K$1,[2]enemies!$1:$1,0)-MATCH($I$1,[2]enemies!$1:$1,0)+1,FALSE)</f>
        <v>blue</v>
      </c>
      <c r="L6" s="24" t="str">
        <f ca="1">VLOOKUP(I6,[3]characters!$A:$J,10,FALSE)</f>
        <v>Drop1W</v>
      </c>
      <c r="M6" s="23" t="str">
        <f ca="1">VLOOKUP($I6,OFFSET([2]enemies!$A$1,0,0,COUNTA([2]enemies!$A:$A),MATCH(M$1,[2]enemies!$1:$1,0)-MATCH($I$1,[2]enemies!$1:$1,0)+1),MATCH(M$1,[2]enemies!$1:$1,0)-MATCH($I$1,[2]enemies!$1:$1,0)+1,FALSE)</f>
        <v>human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24</v>
      </c>
      <c r="P6" s="30">
        <v>1.3</v>
      </c>
      <c r="Q6" s="30">
        <v>1.1000000000000001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2</v>
      </c>
      <c r="Y6" s="26">
        <v>17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6" s="7">
        <v>4</v>
      </c>
      <c r="AD6" s="29">
        <f t="shared" ca="1" si="3"/>
        <v>1</v>
      </c>
      <c r="AE6" s="8">
        <v>15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ca="1" si="0"/>
        <v>30005_1-2/9&lt;lv24&gt;s2</v>
      </c>
      <c r="B7" s="27">
        <v>30005</v>
      </c>
      <c r="C7" s="41">
        <v>1</v>
      </c>
      <c r="D7" s="2" t="str">
        <f t="shared" si="1"/>
        <v>30005_1</v>
      </c>
      <c r="E7" s="4" t="str">
        <f ca="1">VLOOKUP($B7,OFFSET([1]quests!$A$1,0,0,COUNTA([1]quests!$A:$A),MATCH(E$1,[1]quests!$1:$1,0)-MATCH($B$1,[1]quests!$1:$1,0)+1),MATCH(E$1,[1]quests!$1:$1,0)-MATCH($B$1,[1]quests!$1:$1,0)+1,FALSE)</f>
        <v>ニンゲンにしてあげる☆</v>
      </c>
      <c r="F7" s="4" t="str">
        <f ca="1">VLOOKUP($D7,OFFSET([1]stages!$A$1,0,0,COUNTA([1]stages!$A:$A),MATCH(F$1,[1]stages!$2:$2,0)-MATCH($D$1,[1]stages!$2:$2,0)+1),MATCH(F$1,[1]stages!$2:$2,0)-MATCH($D$1,[1]stages!$2:$2,0)+1,FALSE)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7" s="26">
        <v>2</v>
      </c>
      <c r="H7" s="19" t="str">
        <f t="shared" ca="1" si="2"/>
        <v>30005_1-2</v>
      </c>
      <c r="I7" s="26">
        <v>9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4" t="str">
        <f ca="1"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24</v>
      </c>
      <c r="P7" s="30">
        <v>1.3</v>
      </c>
      <c r="Q7" s="30">
        <v>1.1000000000000001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2</v>
      </c>
      <c r="Y7" s="26">
        <v>9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4</v>
      </c>
      <c r="AD7" s="29">
        <f t="shared" ca="1" si="3"/>
        <v>1</v>
      </c>
      <c r="AE7" s="8">
        <v>0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0"/>
        <v>30005_1-2/11&lt;lv24&gt;s3</v>
      </c>
      <c r="B8" s="27">
        <v>30005</v>
      </c>
      <c r="C8" s="41">
        <v>1</v>
      </c>
      <c r="D8" s="2" t="str">
        <f t="shared" si="1"/>
        <v>30005_1</v>
      </c>
      <c r="E8" s="4" t="str">
        <f ca="1">VLOOKUP($B8,OFFSET([1]quests!$A$1,0,0,COUNTA([1]quests!$A:$A),MATCH(E$1,[1]quests!$1:$1,0)-MATCH($B$1,[1]quests!$1:$1,0)+1),MATCH(E$1,[1]quests!$1:$1,0)-MATCH($B$1,[1]quests!$1:$1,0)+1,FALSE)</f>
        <v>ニンゲンにしてあげる☆</v>
      </c>
      <c r="F8" s="4" t="str">
        <f ca="1">VLOOKUP($D8,OFFSET([1]stages!$A$1,0,0,COUNTA([1]stages!$A:$A),MATCH(F$1,[1]stages!$2:$2,0)-MATCH($D$1,[1]stages!$2:$2,0)+1),MATCH(F$1,[1]stages!$2:$2,0)-MATCH($D$1,[1]stages!$2:$2,0)+1,FALSE)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8" s="26">
        <v>2</v>
      </c>
      <c r="H8" s="19" t="str">
        <f t="shared" ca="1" si="2"/>
        <v>30005_1-2</v>
      </c>
      <c r="I8" s="26">
        <v>11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23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4" t="str">
        <f ca="1">VLOOKUP(I8,[3]characters!$A:$J,10,FALSE)</f>
        <v>Drop1W</v>
      </c>
      <c r="M8" s="23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24</v>
      </c>
      <c r="P8" s="30">
        <v>1.3</v>
      </c>
      <c r="Q8" s="30">
        <v>1.1000000000000001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3</v>
      </c>
      <c r="Y8" s="26">
        <v>11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7">
        <v>4</v>
      </c>
      <c r="AD8" s="29">
        <f t="shared" ca="1" si="3"/>
        <v>1</v>
      </c>
      <c r="AE8" s="8">
        <v>0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0"/>
        <v>30005_1-2/13&lt;lv24&gt;s2</v>
      </c>
      <c r="B9" s="27">
        <v>30005</v>
      </c>
      <c r="C9" s="41">
        <v>1</v>
      </c>
      <c r="D9" s="2" t="str">
        <f t="shared" si="1"/>
        <v>30005_1</v>
      </c>
      <c r="E9" s="4" t="str">
        <f ca="1">VLOOKUP($B9,OFFSET([1]quests!$A$1,0,0,COUNTA([1]quests!$A:$A),MATCH(E$1,[1]quests!$1:$1,0)-MATCH($B$1,[1]quests!$1:$1,0)+1),MATCH(E$1,[1]quests!$1:$1,0)-MATCH($B$1,[1]quests!$1:$1,0)+1,FALSE)</f>
        <v>ニンゲンにしてあげる☆</v>
      </c>
      <c r="F9" s="4" t="str">
        <f ca="1">VLOOKUP($D9,OFFSET([1]stages!$A$1,0,0,COUNTA([1]stages!$A:$A),MATCH(F$1,[1]stages!$2:$2,0)-MATCH($D$1,[1]stages!$2:$2,0)+1),MATCH(F$1,[1]stages!$2:$2,0)-MATCH($D$1,[1]stages!$2:$2,0)+1,FALSE)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9" s="26">
        <v>2</v>
      </c>
      <c r="H9" s="19" t="str">
        <f t="shared" ca="1" si="2"/>
        <v>30005_1-2</v>
      </c>
      <c r="I9" s="26">
        <v>13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ミミ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 ca="1">VLOOKUP(I9,[3]characters!$A:$J,10,FALSE)</f>
        <v>Drop1W</v>
      </c>
      <c r="M9" s="23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24</v>
      </c>
      <c r="P9" s="30">
        <v>1.3</v>
      </c>
      <c r="Q9" s="30">
        <v>1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2</v>
      </c>
      <c r="Y9" s="26">
        <v>13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7">
        <v>4</v>
      </c>
      <c r="AD9" s="29">
        <f t="shared" ca="1" si="3"/>
        <v>1</v>
      </c>
      <c r="AE9" s="8">
        <v>0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0"/>
        <v>30005_1-2/22&lt;lv24&gt;s2</v>
      </c>
      <c r="B10" s="27">
        <v>30005</v>
      </c>
      <c r="C10" s="41">
        <v>1</v>
      </c>
      <c r="D10" s="2" t="str">
        <f t="shared" si="1"/>
        <v>30005_1</v>
      </c>
      <c r="E10" s="4" t="str">
        <f ca="1">VLOOKUP($B10,OFFSET([1]quests!$A$1,0,0,COUNTA([1]quests!$A:$A),MATCH(E$1,[1]quests!$1:$1,0)-MATCH($B$1,[1]quests!$1:$1,0)+1),MATCH(E$1,[1]quests!$1:$1,0)-MATCH($B$1,[1]quests!$1:$1,0)+1,FALSE)</f>
        <v>ニンゲンにしてあげる☆</v>
      </c>
      <c r="F10" s="4" t="str">
        <f ca="1">VLOOKUP($D10,OFFSET([1]stages!$A$1,0,0,COUNTA([1]stages!$A:$A),MATCH(F$1,[1]stages!$2:$2,0)-MATCH($D$1,[1]stages!$2:$2,0)+1),MATCH(F$1,[1]stages!$2:$2,0)-MATCH($D$1,[1]stages!$2:$2,0)+1,FALSE)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0" s="26">
        <v>2</v>
      </c>
      <c r="H10" s="19" t="str">
        <f t="shared" ca="1" si="2"/>
        <v>30005_1-2</v>
      </c>
      <c r="I10" s="26">
        <v>22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突然変異ヴェロキー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red</v>
      </c>
      <c r="L10" s="24" t="str">
        <f ca="1">VLOOKUP(I10,[3]characters!$A:$J,10,FALSE)</f>
        <v>Drop1N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dragon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24</v>
      </c>
      <c r="P10" s="30">
        <v>1.3</v>
      </c>
      <c r="Q10" s="30">
        <v>1.1000000000000001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26">
        <v>22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2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0" s="7">
        <v>2</v>
      </c>
      <c r="AD10" s="29">
        <f t="shared" ca="1" si="3"/>
        <v>2</v>
      </c>
      <c r="AE10" s="8">
        <v>0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0"/>
        <v>30005_1-2/17&lt;lv24&gt;s2</v>
      </c>
      <c r="B11" s="27">
        <v>30005</v>
      </c>
      <c r="C11" s="41">
        <v>1</v>
      </c>
      <c r="D11" s="2" t="str">
        <f t="shared" si="1"/>
        <v>30005_1</v>
      </c>
      <c r="E11" s="4" t="str">
        <f ca="1">VLOOKUP($B11,OFFSET([1]quests!$A$1,0,0,COUNTA([1]quests!$A:$A),MATCH(E$1,[1]quests!$1:$1,0)-MATCH($B$1,[1]quests!$1:$1,0)+1),MATCH(E$1,[1]quests!$1:$1,0)-MATCH($B$1,[1]quests!$1:$1,0)+1,FALSE)</f>
        <v>ニンゲンにしてあげる☆</v>
      </c>
      <c r="F11" s="4" t="str">
        <f ca="1">VLOOKUP($D11,OFFSET([1]stages!$A$1,0,0,COUNTA([1]stages!$A:$A),MATCH(F$1,[1]stages!$2:$2,0)-MATCH($D$1,[1]stages!$2:$2,0)+1),MATCH(F$1,[1]stages!$2:$2,0)-MATCH($D$1,[1]stages!$2:$2,0)+1,FALSE)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1" s="26">
        <v>2</v>
      </c>
      <c r="H11" s="19" t="str">
        <f t="shared" ca="1" si="2"/>
        <v>30005_1-2</v>
      </c>
      <c r="I11" s="26">
        <v>17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リム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blue</v>
      </c>
      <c r="L11" s="24" t="str">
        <f ca="1">VLOOKUP(I11,[3]characters!$A:$J,10,FALSE)</f>
        <v>Drop1W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human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24</v>
      </c>
      <c r="P11" s="30">
        <v>1.3</v>
      </c>
      <c r="Q11" s="30">
        <v>1.1000000000000001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2</v>
      </c>
      <c r="Y11" s="26">
        <v>17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7">
        <v>4</v>
      </c>
      <c r="AD11" s="29">
        <f t="shared" ca="1" si="3"/>
        <v>1</v>
      </c>
      <c r="AE11" s="8">
        <v>0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t="shared" ref="A12" ca="1" si="4">B12&amp;"_"&amp;C12&amp;"-"&amp;G12&amp;"/"&amp;I12&amp;"&lt;lv"&amp;O12&amp;"&gt;s"&amp;X12</f>
        <v>30005_1-2/121&lt;lv24&gt;s3</v>
      </c>
      <c r="B12" s="27">
        <v>30005</v>
      </c>
      <c r="C12" s="52">
        <v>1</v>
      </c>
      <c r="D12" s="2" t="str">
        <f t="shared" ref="D12" si="5">B12&amp;"_"&amp;C12</f>
        <v>30005_1</v>
      </c>
      <c r="E12" s="4" t="str">
        <f ca="1">VLOOKUP($B12,OFFSET([1]quests!$A$1,0,0,COUNTA([1]quests!$A:$A),MATCH(E$1,[1]quests!$1:$1,0)-MATCH($B$1,[1]quests!$1:$1,0)+1),MATCH(E$1,[1]quests!$1:$1,0)-MATCH($B$1,[1]quests!$1:$1,0)+1,FALSE)</f>
        <v>ニンゲンにしてあげる☆</v>
      </c>
      <c r="F12" s="4" t="str">
        <f ca="1">VLOOKUP($D12,OFFSET([1]stages!$A$1,0,0,COUNTA([1]stages!$A:$A),MATCH(F$1,[1]stages!$2:$2,0)-MATCH($D$1,[1]stages!$2:$2,0)+1),MATCH(F$1,[1]stages!$2:$2,0)-MATCH($D$1,[1]stages!$2:$2,0)+1,FALSE)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2" s="26">
        <v>2</v>
      </c>
      <c r="H12" s="19" t="str">
        <f t="shared" ref="H12" ca="1" si="6">B12&amp;"_"&amp;C12&amp;"-"&amp;G12</f>
        <v>30005_1-2</v>
      </c>
      <c r="I12" s="26">
        <v>121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攻めの果実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4" t="str">
        <f ca="1">VLOOKUP(I12,[3]characters!$A:$J,10,FALSE)</f>
        <v>Material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unknown</v>
      </c>
      <c r="N12" s="23">
        <f ca="1">VLOOKUP($I12,OFFSET([2]enemies!$A$1,0,0,COUNTA([2]enemies!$A:$A),MATCH(N$1,[2]enemies!$1:$1,0)-MATCH($I$1,[2]enemies!$1:$1,0)+1),MATCH(N$1,[2]enemies!$1:$1,0)-MATCH($I$1,[2]enemies!$1:$1,0)+1,FALSE)</f>
        <v>20</v>
      </c>
      <c r="O12" s="5">
        <v>24</v>
      </c>
      <c r="P12" s="30">
        <v>1.3</v>
      </c>
      <c r="Q12" s="30">
        <v>1.1000000000000001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2" s="53">
        <v>1211</v>
      </c>
      <c r="U12" s="6">
        <v>1</v>
      </c>
      <c r="V12" s="6">
        <v>100</v>
      </c>
      <c r="W12" s="6">
        <v>1</v>
      </c>
      <c r="X12" s="53">
        <v>3</v>
      </c>
      <c r="Y12" s="26">
        <v>121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攻めの果実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3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12" s="7">
        <v>1</v>
      </c>
      <c r="AD12" s="29">
        <f t="shared" ref="AD12" ca="1" si="7">AA12</f>
        <v>3</v>
      </c>
      <c r="AE12" s="8">
        <v>10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ca="1" si="0"/>
        <v>30005_1-3/9&lt;lv24&gt;s2</v>
      </c>
      <c r="B13" s="27">
        <v>30005</v>
      </c>
      <c r="C13" s="26">
        <v>1</v>
      </c>
      <c r="D13" s="2" t="str">
        <f t="shared" si="1"/>
        <v>30005_1</v>
      </c>
      <c r="E13" s="4" t="str">
        <f ca="1">VLOOKUP($B13,OFFSET([1]quests!$A$1,0,0,COUNTA([1]quests!$A:$A),MATCH(E$1,[1]quests!$1:$1,0)-MATCH($B$1,[1]quests!$1:$1,0)+1),MATCH(E$1,[1]quests!$1:$1,0)-MATCH($B$1,[1]quests!$1:$1,0)+1,FALSE)</f>
        <v>ニンゲンにしてあげる☆</v>
      </c>
      <c r="F13" s="4" t="str">
        <f ca="1">VLOOKUP($D13,OFFSET([1]stages!$A$1,0,0,COUNTA([1]stages!$A:$A),MATCH(F$1,[1]stages!$2:$2,0)-MATCH($D$1,[1]stages!$2:$2,0)+1),MATCH(F$1,[1]stages!$2:$2,0)-MATCH($D$1,[1]stages!$2:$2,0)+1,FALSE)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3" s="26">
        <v>3</v>
      </c>
      <c r="H13" s="19" t="str">
        <f t="shared" ca="1" si="2"/>
        <v>30005_1-3</v>
      </c>
      <c r="I13" s="26">
        <v>9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ブレット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red</v>
      </c>
      <c r="L13" s="24" t="str">
        <f ca="1">VLOOKUP(I13,[3]characters!$A:$J,10,FALSE)</f>
        <v>Drop1W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24</v>
      </c>
      <c r="P13" s="30">
        <v>1.3</v>
      </c>
      <c r="Q13" s="30">
        <v>1.1000000000000001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2</v>
      </c>
      <c r="Y13" s="26">
        <v>9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7">
        <v>4</v>
      </c>
      <c r="AD13" s="29">
        <f t="shared" ca="1" si="3"/>
        <v>1</v>
      </c>
      <c r="AE13" s="8">
        <v>15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ca="1" si="0"/>
        <v>30005_1-3/11&lt;lv24&gt;s3</v>
      </c>
      <c r="B14" s="27">
        <v>30005</v>
      </c>
      <c r="C14" s="26">
        <v>1</v>
      </c>
      <c r="D14" s="2" t="str">
        <f t="shared" si="1"/>
        <v>30005_1</v>
      </c>
      <c r="E14" s="4" t="str">
        <f ca="1">VLOOKUP($B14,OFFSET([1]quests!$A$1,0,0,COUNTA([1]quests!$A:$A),MATCH(E$1,[1]quests!$1:$1,0)-MATCH($B$1,[1]quests!$1:$1,0)+1),MATCH(E$1,[1]quests!$1:$1,0)-MATCH($B$1,[1]quests!$1:$1,0)+1,FALSE)</f>
        <v>ニンゲンにしてあげる☆</v>
      </c>
      <c r="F14" s="4" t="str">
        <f ca="1">VLOOKUP($D14,OFFSET([1]stages!$A$1,0,0,COUNTA([1]stages!$A:$A),MATCH(F$1,[1]stages!$2:$2,0)-MATCH($D$1,[1]stages!$2:$2,0)+1),MATCH(F$1,[1]stages!$2:$2,0)-MATCH($D$1,[1]stages!$2:$2,0)+1,FALSE)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4" s="26">
        <v>3</v>
      </c>
      <c r="H14" s="19" t="str">
        <f t="shared" ca="1" si="2"/>
        <v>30005_1-3</v>
      </c>
      <c r="I14" s="26">
        <v>11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マグリット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green</v>
      </c>
      <c r="L14" s="24" t="str">
        <f ca="1">VLOOKUP(I14,[3]characters!$A:$J,10,FALSE)</f>
        <v>Drop1W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5">
        <v>24</v>
      </c>
      <c r="P14" s="30">
        <v>1.3</v>
      </c>
      <c r="Q14" s="30">
        <v>1.1000000000000001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3">
        <f ca="1">VLOOKUP($I14,OFFSET([2]enemies!$A$1,0,0,COUNTA([2]enemies!$A:$A),MATCH(T$1,[2]enemies!$1:$1,0)-MATCH($I$1,[2]enemies!$1:$1,0)+1),MATCH(T$1,[2]enemies!$1:$1,0)-MATCH($I$1,[2]enemies!$1:$1,0)+1,FALSE)</f>
        <v>0</v>
      </c>
      <c r="U14" s="6">
        <v>0</v>
      </c>
      <c r="V14" s="6">
        <v>100</v>
      </c>
      <c r="W14" s="6">
        <v>0</v>
      </c>
      <c r="X14" s="23">
        <f ca="1">VLOOKUP($I14,OFFSET([2]enemies!$A$1,0,0,COUNTA([2]enemies!$A:$A),MATCH(X$1,[2]enemies!$1:$1,0)-MATCH($I$1,[2]enemies!$1:$1,0)+1),MATCH(X$1,[2]enemies!$1:$1,0)-MATCH($I$1,[2]enemies!$1:$1,0)+1,FALSE)</f>
        <v>3</v>
      </c>
      <c r="Y14" s="26">
        <v>11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7">
        <v>4</v>
      </c>
      <c r="AD14" s="29">
        <f t="shared" ca="1" si="3"/>
        <v>1</v>
      </c>
      <c r="AE14" s="8">
        <v>15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0"/>
        <v>30005_1-3/13&lt;lv24&gt;s2</v>
      </c>
      <c r="B15" s="27">
        <v>30005</v>
      </c>
      <c r="C15" s="26">
        <v>1</v>
      </c>
      <c r="D15" s="2" t="str">
        <f t="shared" si="1"/>
        <v>30005_1</v>
      </c>
      <c r="E15" s="4" t="str">
        <f ca="1">VLOOKUP($B15,OFFSET([1]quests!$A$1,0,0,COUNTA([1]quests!$A:$A),MATCH(E$1,[1]quests!$1:$1,0)-MATCH($B$1,[1]quests!$1:$1,0)+1),MATCH(E$1,[1]quests!$1:$1,0)-MATCH($B$1,[1]quests!$1:$1,0)+1,FALSE)</f>
        <v>ニンゲンにしてあげる☆</v>
      </c>
      <c r="F15" s="4" t="str">
        <f ca="1">VLOOKUP($D15,OFFSET([1]stages!$A$1,0,0,COUNTA([1]stages!$A:$A),MATCH(F$1,[1]stages!$2:$2,0)-MATCH($D$1,[1]stages!$2:$2,0)+1),MATCH(F$1,[1]stages!$2:$2,0)-MATCH($D$1,[1]stages!$2:$2,0)+1,FALSE)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5" s="26">
        <v>3</v>
      </c>
      <c r="H15" s="19" t="str">
        <f t="shared" ca="1" si="2"/>
        <v>30005_1-3</v>
      </c>
      <c r="I15" s="26">
        <v>13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ミミ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yellow</v>
      </c>
      <c r="L15" s="24" t="str">
        <f ca="1"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animal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24</v>
      </c>
      <c r="P15" s="30">
        <v>1.3</v>
      </c>
      <c r="Q15" s="30">
        <v>1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26">
        <v>13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7">
        <v>4</v>
      </c>
      <c r="AD15" s="29">
        <f t="shared" ca="1" si="3"/>
        <v>1</v>
      </c>
      <c r="AE15" s="8">
        <v>15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0"/>
        <v>30005_1-3/22&lt;lv24&gt;s2</v>
      </c>
      <c r="B16" s="27">
        <v>30005</v>
      </c>
      <c r="C16" s="26">
        <v>1</v>
      </c>
      <c r="D16" s="2" t="str">
        <f t="shared" si="1"/>
        <v>30005_1</v>
      </c>
      <c r="E16" s="4" t="str">
        <f ca="1">VLOOKUP($B16,OFFSET([1]quests!$A$1,0,0,COUNTA([1]quests!$A:$A),MATCH(E$1,[1]quests!$1:$1,0)-MATCH($B$1,[1]quests!$1:$1,0)+1),MATCH(E$1,[1]quests!$1:$1,0)-MATCH($B$1,[1]quests!$1:$1,0)+1,FALSE)</f>
        <v>ニンゲンにしてあげる☆</v>
      </c>
      <c r="F16" s="4" t="str">
        <f ca="1">VLOOKUP($D16,OFFSET([1]stages!$A$1,0,0,COUNTA([1]stages!$A:$A),MATCH(F$1,[1]stages!$2:$2,0)-MATCH($D$1,[1]stages!$2:$2,0)+1),MATCH(F$1,[1]stages!$2:$2,0)-MATCH($D$1,[1]stages!$2:$2,0)+1,FALSE)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6" s="26">
        <v>3</v>
      </c>
      <c r="H16" s="19" t="str">
        <f t="shared" ca="1" si="2"/>
        <v>30005_1-3</v>
      </c>
      <c r="I16" s="26">
        <v>22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突然変異ヴェロキー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red</v>
      </c>
      <c r="L16" s="24" t="str">
        <f ca="1">VLOOKUP(I16,[3]characters!$A:$J,10,FALSE)</f>
        <v>Drop1N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dragon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24</v>
      </c>
      <c r="P16" s="30">
        <v>1.3</v>
      </c>
      <c r="Q16" s="30">
        <v>1.1000000000000001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2</v>
      </c>
      <c r="Y16" s="26">
        <v>22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7">
        <v>2</v>
      </c>
      <c r="AD16" s="29">
        <f t="shared" ca="1" si="3"/>
        <v>2</v>
      </c>
      <c r="AE16" s="8">
        <v>15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t="shared" ca="1" si="0"/>
        <v>30005_1-3/17&lt;lv24&gt;s2</v>
      </c>
      <c r="B17" s="27">
        <v>30005</v>
      </c>
      <c r="C17" s="26">
        <v>1</v>
      </c>
      <c r="D17" s="2" t="str">
        <f t="shared" si="1"/>
        <v>30005_1</v>
      </c>
      <c r="E17" s="4" t="str">
        <f ca="1">VLOOKUP($B17,OFFSET([1]quests!$A$1,0,0,COUNTA([1]quests!$A:$A),MATCH(E$1,[1]quests!$1:$1,0)-MATCH($B$1,[1]quests!$1:$1,0)+1),MATCH(E$1,[1]quests!$1:$1,0)-MATCH($B$1,[1]quests!$1:$1,0)+1,FALSE)</f>
        <v>ニンゲンにしてあげる☆</v>
      </c>
      <c r="F17" s="4" t="str">
        <f ca="1">VLOOKUP($D17,OFFSET([1]stages!$A$1,0,0,COUNTA([1]stages!$A:$A),MATCH(F$1,[1]stages!$2:$2,0)-MATCH($D$1,[1]stages!$2:$2,0)+1),MATCH(F$1,[1]stages!$2:$2,0)-MATCH($D$1,[1]stages!$2:$2,0)+1,FALSE)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7" s="26">
        <v>3</v>
      </c>
      <c r="H17" s="19" t="str">
        <f t="shared" ca="1" si="2"/>
        <v>30005_1-3</v>
      </c>
      <c r="I17" s="26">
        <v>17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リム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blue</v>
      </c>
      <c r="L17" s="24" t="str">
        <f ca="1">VLOOKUP(I17,[3]characters!$A:$J,10,FALSE)</f>
        <v>Drop1W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human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24</v>
      </c>
      <c r="P17" s="30">
        <v>1.3</v>
      </c>
      <c r="Q17" s="30">
        <v>1.1000000000000001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3">
        <f ca="1">VLOOKUP($I17,OFFSET([2]enemies!$A$1,0,0,COUNTA([2]enemies!$A:$A),MATCH(T$1,[2]enemies!$1:$1,0)-MATCH($I$1,[2]enemies!$1:$1,0)+1),MATCH(T$1,[2]enemies!$1:$1,0)-MATCH($I$1,[2]enemies!$1:$1,0)+1,FALSE)</f>
        <v>0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26">
        <v>17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7" s="7">
        <v>4</v>
      </c>
      <c r="AD17" s="29">
        <f t="shared" ca="1" si="3"/>
        <v>1</v>
      </c>
      <c r="AE17" s="8">
        <v>15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thickBot="1" x14ac:dyDescent="0.2">
      <c r="A18" s="44" t="str">
        <f t="shared" ca="1" si="0"/>
        <v>30005_1-4/290&lt;lv30&gt;s2</v>
      </c>
      <c r="B18" s="45">
        <v>30005</v>
      </c>
      <c r="C18" s="46">
        <v>1</v>
      </c>
      <c r="D18" s="47" t="str">
        <f t="shared" si="1"/>
        <v>30005_1</v>
      </c>
      <c r="E18" s="48" t="str">
        <f ca="1">VLOOKUP($B18,OFFSET([1]quests!$A$1,0,0,COUNTA([1]quests!$A:$A),MATCH(E$1,[1]quests!$1:$1,0)-MATCH($B$1,[1]quests!$1:$1,0)+1),MATCH(E$1,[1]quests!$1:$1,0)-MATCH($B$1,[1]quests!$1:$1,0)+1,FALSE)</f>
        <v>ニンゲンにしてあげる☆</v>
      </c>
      <c r="F18" s="48" t="str">
        <f ca="1">VLOOKUP($D18,OFFSET([1]stages!$A$1,0,0,COUNTA([1]stages!$A:$A),MATCH(F$1,[1]stages!$2:$2,0)-MATCH($D$1,[1]stages!$2:$2,0)+1),MATCH(F$1,[1]stages!$2:$2,0)-MATCH($D$1,[1]stages!$2:$2,0)+1,FALSE)</f>
        <v xml:space="preserve">【中級】ニンゲンにしてあげる </v>
      </c>
      <c r="G18" s="49">
        <v>4</v>
      </c>
      <c r="H18" s="47" t="str">
        <f t="shared" ca="1" si="2"/>
        <v>30005_1-4</v>
      </c>
      <c r="I18" s="49">
        <v>290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ウィッチ・オクトパス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red</v>
      </c>
      <c r="L18" s="24" t="str">
        <f ca="1">VLOOKUP(I18,[3]characters!$A:$J,10,FALSE)</f>
        <v>Drop2N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human</v>
      </c>
      <c r="N18" s="23">
        <f ca="1">VLOOKUP($I18,OFFSET([2]enemies!$A$1,0,0,COUNTA([2]enemies!$A:$A),MATCH(N$1,[2]enemies!$1:$1,0)-MATCH($I$1,[2]enemies!$1:$1,0)+1),MATCH(N$1,[2]enemies!$1:$1,0)-MATCH($I$1,[2]enemies!$1:$1,0)+1,FALSE)</f>
        <v>30</v>
      </c>
      <c r="O18" s="5">
        <v>30</v>
      </c>
      <c r="P18" s="30">
        <v>4.5999999999999996</v>
      </c>
      <c r="Q18" s="30">
        <v>1.7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余裕の笑みを浮かべている</v>
      </c>
      <c r="T18" s="23">
        <f ca="1">VLOOKUP($I18,OFFSET([2]enemies!$A$1,0,0,COUNTA([2]enemies!$A:$A),MATCH(T$1,[2]enemies!$1:$1,0)-MATCH($I$1,[2]enemies!$1:$1,0)+1),MATCH(T$1,[2]enemies!$1:$1,0)-MATCH($I$1,[2]enemies!$1:$1,0)+1,FALSE)</f>
        <v>29001</v>
      </c>
      <c r="U18" s="6">
        <v>1</v>
      </c>
      <c r="V18" s="6">
        <v>100</v>
      </c>
      <c r="W18" s="6">
        <v>1</v>
      </c>
      <c r="X18" s="23">
        <f ca="1">VLOOKUP($I18,OFFSET([2]enemies!$A$1,0,0,COUNTA([2]enemies!$A:$A),MATCH(X$1,[2]enemies!$1:$1,0)-MATCH($I$1,[2]enemies!$1:$1,0)+1),MATCH(X$1,[2]enemies!$1:$1,0)-MATCH($I$1,[2]enemies!$1:$1,0)+1,FALSE)</f>
        <v>2</v>
      </c>
      <c r="Y18" s="26">
        <v>290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ウィッチ・オクトパス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4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18" s="7">
        <v>1</v>
      </c>
      <c r="AD18" s="29">
        <f t="shared" ca="1" si="3"/>
        <v>4</v>
      </c>
      <c r="AE18" s="54">
        <v>20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0"/>
        <v>30005_2-1/22&lt;lv41&gt;s2</v>
      </c>
      <c r="B19" s="27">
        <v>30005</v>
      </c>
      <c r="C19" s="42">
        <v>2</v>
      </c>
      <c r="D19" s="43" t="str">
        <f t="shared" si="1"/>
        <v>30005_2</v>
      </c>
      <c r="E19" s="4" t="str">
        <f ca="1">VLOOKUP($B19,OFFSET([1]quests!$A$1,0,0,COUNTA([1]quests!$A:$A),MATCH(E$1,[1]quests!$1:$1,0)-MATCH($B$1,[1]quests!$1:$1,0)+1),MATCH(E$1,[1]quests!$1:$1,0)-MATCH($B$1,[1]quests!$1:$1,0)+1,FALSE)</f>
        <v>ニンゲンにしてあげる☆</v>
      </c>
      <c r="F19" s="4" t="str">
        <f ca="1">VLOOKUP($D19,OFFSET([1]stages!$A$1,0,0,COUNTA([1]stages!$A:$A),MATCH(F$1,[1]stages!$2:$2,0)-MATCH($D$1,[1]stages!$2:$2,0)+1),MATCH(F$1,[1]stages!$2:$2,0)-MATCH($D$1,[1]stages!$2:$2,0)+1,FALSE)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19" s="42">
        <v>1</v>
      </c>
      <c r="H19" s="43" t="str">
        <f t="shared" ca="1" si="2"/>
        <v>30005_2-1</v>
      </c>
      <c r="I19" s="42">
        <v>22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突然変異ヴェロキー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red</v>
      </c>
      <c r="L19" s="24" t="str">
        <f ca="1">VLOOKUP(I19,[3]characters!$A:$J,10,FALSE)</f>
        <v>Drop1N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dragon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41</v>
      </c>
      <c r="P19" s="30">
        <v>1.2</v>
      </c>
      <c r="Q19" s="30">
        <v>1.1000000000000001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2</v>
      </c>
      <c r="Y19" s="26">
        <v>22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2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7">
        <v>5</v>
      </c>
      <c r="AD19" s="29">
        <f t="shared" ca="1" si="3"/>
        <v>2</v>
      </c>
      <c r="AE19" s="8">
        <v>10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0"/>
        <v>30005_2-1/49&lt;lv41&gt;s2</v>
      </c>
      <c r="B20" s="27">
        <v>30005</v>
      </c>
      <c r="C20" s="26">
        <v>2</v>
      </c>
      <c r="D20" s="2" t="str">
        <f t="shared" si="1"/>
        <v>30005_2</v>
      </c>
      <c r="E20" s="4" t="str">
        <f ca="1">VLOOKUP($B20,OFFSET([1]quests!$A$1,0,0,COUNTA([1]quests!$A:$A),MATCH(E$1,[1]quests!$1:$1,0)-MATCH($B$1,[1]quests!$1:$1,0)+1),MATCH(E$1,[1]quests!$1:$1,0)-MATCH($B$1,[1]quests!$1:$1,0)+1,FALSE)</f>
        <v>ニンゲンにしてあげる☆</v>
      </c>
      <c r="F20" s="4" t="str">
        <f ca="1">VLOOKUP($D20,OFFSET([1]stages!$A$1,0,0,COUNTA([1]stages!$A:$A),MATCH(F$1,[1]stages!$2:$2,0)-MATCH($D$1,[1]stages!$2:$2,0)+1),MATCH(F$1,[1]stages!$2:$2,0)-MATCH($D$1,[1]stages!$2:$2,0)+1,FALSE)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0" s="26">
        <v>1</v>
      </c>
      <c r="H20" s="19" t="str">
        <f t="shared" ca="1" si="2"/>
        <v>30005_2-1</v>
      </c>
      <c r="I20" s="26">
        <v>49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ヨシタカ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red</v>
      </c>
      <c r="L20" s="24" t="str">
        <f ca="1">VLOOKUP(I20,[3]characters!$A:$J,10,FALSE)</f>
        <v>Drop1N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human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41</v>
      </c>
      <c r="P20" s="30">
        <v>1.2</v>
      </c>
      <c r="Q20" s="30">
        <v>1.1000000000000001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20" s="23">
        <f ca="1">VLOOKUP($I20,OFFSET([2]enemies!$A$1,0,0,COUNTA([2]enemies!$A:$A),MATCH(T$1,[2]enemies!$1:$1,0)-MATCH($I$1,[2]enemies!$1:$1,0)+1),MATCH(T$1,[2]enemies!$1:$1,0)-MATCH($I$1,[2]enemies!$1:$1,0)+1,FALSE)</f>
        <v>49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2</v>
      </c>
      <c r="Y20" s="26">
        <v>49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2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7">
        <v>5</v>
      </c>
      <c r="AD20" s="29">
        <f t="shared" ca="1" si="3"/>
        <v>2</v>
      </c>
      <c r="AE20" s="8">
        <v>10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0"/>
        <v>30005_2-1/27&lt;lv41&gt;s1</v>
      </c>
      <c r="B21" s="27">
        <v>30005</v>
      </c>
      <c r="C21" s="26">
        <v>2</v>
      </c>
      <c r="D21" s="2" t="str">
        <f t="shared" si="1"/>
        <v>30005_2</v>
      </c>
      <c r="E21" s="4" t="str">
        <f ca="1">VLOOKUP($B21,OFFSET([1]quests!$A$1,0,0,COUNTA([1]quests!$A:$A),MATCH(E$1,[1]quests!$1:$1,0)-MATCH($B$1,[1]quests!$1:$1,0)+1),MATCH(E$1,[1]quests!$1:$1,0)-MATCH($B$1,[1]quests!$1:$1,0)+1,FALSE)</f>
        <v>ニンゲンにしてあげる☆</v>
      </c>
      <c r="F21" s="4" t="str">
        <f ca="1">VLOOKUP($D21,OFFSET([1]stages!$A$1,0,0,COUNTA([1]stages!$A:$A),MATCH(F$1,[1]stages!$2:$2,0)-MATCH($D$1,[1]stages!$2:$2,0)+1),MATCH(F$1,[1]stages!$2:$2,0)-MATCH($D$1,[1]stages!$2:$2,0)+1,FALSE)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1" s="26">
        <v>1</v>
      </c>
      <c r="H21" s="19" t="str">
        <f t="shared" ca="1" si="2"/>
        <v>30005_2-1</v>
      </c>
      <c r="I21" s="26">
        <v>27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パトライン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green</v>
      </c>
      <c r="L21" s="24" t="str">
        <f ca="1">VLOOKUP(I21,[3]characters!$A:$J,10,FALSE)</f>
        <v>Drop1N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machine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41</v>
      </c>
      <c r="P21" s="30">
        <v>1.2</v>
      </c>
      <c r="Q21" s="30">
        <v>1.1000000000000001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1</v>
      </c>
      <c r="Y21" s="26">
        <v>27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7">
        <v>5</v>
      </c>
      <c r="AD21" s="29">
        <f t="shared" ca="1" si="3"/>
        <v>1</v>
      </c>
      <c r="AE21" s="8">
        <v>10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0"/>
        <v>30005_2-1/25&lt;lv41&gt;s3</v>
      </c>
      <c r="B22" s="27">
        <v>30005</v>
      </c>
      <c r="C22" s="26">
        <v>2</v>
      </c>
      <c r="D22" s="2" t="str">
        <f t="shared" si="1"/>
        <v>30005_2</v>
      </c>
      <c r="E22" s="4" t="str">
        <f ca="1">VLOOKUP($B22,OFFSET([1]quests!$A$1,0,0,COUNTA([1]quests!$A:$A),MATCH(E$1,[1]quests!$1:$1,0)-MATCH($B$1,[1]quests!$1:$1,0)+1),MATCH(E$1,[1]quests!$1:$1,0)-MATCH($B$1,[1]quests!$1:$1,0)+1,FALSE)</f>
        <v>ニンゲンにしてあげる☆</v>
      </c>
      <c r="F22" s="4" t="str">
        <f ca="1">VLOOKUP($D22,OFFSET([1]stages!$A$1,0,0,COUNTA([1]stages!$A:$A),MATCH(F$1,[1]stages!$2:$2,0)-MATCH($D$1,[1]stages!$2:$2,0)+1),MATCH(F$1,[1]stages!$2:$2,0)-MATCH($D$1,[1]stages!$2:$2,0)+1,FALSE)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2" s="26">
        <v>1</v>
      </c>
      <c r="H22" s="19" t="str">
        <f t="shared" ca="1" si="2"/>
        <v>30005_2-1</v>
      </c>
      <c r="I22" s="26">
        <v>25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ハチ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blue</v>
      </c>
      <c r="L22" s="24" t="str">
        <f ca="1">VLOOKUP(I22,[3]characters!$A:$J,10,FALSE)</f>
        <v>Drop1N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animal</v>
      </c>
      <c r="N22" s="23">
        <f ca="1">VLOOKUP($I22,OFFSET([2]enemies!$A$1,0,0,COUNTA([2]enemies!$A:$A),MATCH(N$1,[2]enemies!$1:$1,0)-MATCH($I$1,[2]enemies!$1:$1,0)+1),MATCH(N$1,[2]enemies!$1:$1,0)-MATCH($I$1,[2]enemies!$1:$1,0)+1,FALSE)</f>
        <v>15</v>
      </c>
      <c r="O22" s="5">
        <v>41</v>
      </c>
      <c r="P22" s="30">
        <v>1.2</v>
      </c>
      <c r="Q22" s="30">
        <v>1.1000000000000001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3">
        <f ca="1">VLOOKUP($I22,OFFSET([2]enemies!$A$1,0,0,COUNTA([2]enemies!$A:$A),MATCH(T$1,[2]enemies!$1:$1,0)-MATCH($I$1,[2]enemies!$1:$1,0)+1),MATCH(T$1,[2]enemies!$1:$1,0)-MATCH($I$1,[2]enemies!$1:$1,0)+1,FALSE)</f>
        <v>0</v>
      </c>
      <c r="U22" s="6">
        <v>0</v>
      </c>
      <c r="V22" s="6">
        <v>100</v>
      </c>
      <c r="W22" s="6">
        <v>0</v>
      </c>
      <c r="X22" s="23">
        <f ca="1">VLOOKUP($I22,OFFSET([2]enemies!$A$1,0,0,COUNTA([2]enemies!$A:$A),MATCH(X$1,[2]enemies!$1:$1,0)-MATCH($I$1,[2]enemies!$1:$1,0)+1),MATCH(X$1,[2]enemies!$1:$1,0)-MATCH($I$1,[2]enemies!$1:$1,0)+1,FALSE)</f>
        <v>3</v>
      </c>
      <c r="Y22" s="26">
        <v>25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1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2" s="7">
        <v>5</v>
      </c>
      <c r="AD22" s="29">
        <f t="shared" ca="1" si="3"/>
        <v>1</v>
      </c>
      <c r="AE22" s="8">
        <v>10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t="shared" ca="1" si="0"/>
        <v>30005_2-1/31&lt;lv41&gt;s2</v>
      </c>
      <c r="B23" s="27">
        <v>30005</v>
      </c>
      <c r="C23" s="26">
        <v>2</v>
      </c>
      <c r="D23" s="2" t="str">
        <f t="shared" si="1"/>
        <v>30005_2</v>
      </c>
      <c r="E23" s="4" t="str">
        <f ca="1">VLOOKUP($B23,OFFSET([1]quests!$A$1,0,0,COUNTA([1]quests!$A:$A),MATCH(E$1,[1]quests!$1:$1,0)-MATCH($B$1,[1]quests!$1:$1,0)+1),MATCH(E$1,[1]quests!$1:$1,0)-MATCH($B$1,[1]quests!$1:$1,0)+1,FALSE)</f>
        <v>ニンゲンにしてあげる☆</v>
      </c>
      <c r="F23" s="4" t="str">
        <f ca="1">VLOOKUP($D23,OFFSET([1]stages!$A$1,0,0,COUNTA([1]stages!$A:$A),MATCH(F$1,[1]stages!$2:$2,0)-MATCH($D$1,[1]stages!$2:$2,0)+1),MATCH(F$1,[1]stages!$2:$2,0)-MATCH($D$1,[1]stages!$2:$2,0)+1,FALSE)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3" s="26">
        <v>1</v>
      </c>
      <c r="H23" s="19" t="str">
        <f t="shared" ca="1" si="2"/>
        <v>30005_2-1</v>
      </c>
      <c r="I23" s="26">
        <v>31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マービー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yellow</v>
      </c>
      <c r="L23" s="24" t="str">
        <f ca="1">VLOOKUP(I23,[3]characters!$A:$J,10,FALSE)</f>
        <v>Drop1N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machine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41</v>
      </c>
      <c r="P23" s="30">
        <v>1.2</v>
      </c>
      <c r="Q23" s="30">
        <v>1.1000000000000001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2</v>
      </c>
      <c r="Y23" s="26">
        <v>31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3" s="7">
        <v>5</v>
      </c>
      <c r="AD23" s="29">
        <f t="shared" ca="1" si="3"/>
        <v>1</v>
      </c>
      <c r="AE23" s="8">
        <v>10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ca="1" si="0"/>
        <v>30005_2-2/22&lt;lv41&gt;s2</v>
      </c>
      <c r="B24" s="27">
        <v>30005</v>
      </c>
      <c r="C24" s="41">
        <v>2</v>
      </c>
      <c r="D24" s="2" t="str">
        <f t="shared" si="1"/>
        <v>30005_2</v>
      </c>
      <c r="E24" s="4" t="str">
        <f ca="1">VLOOKUP($B24,OFFSET([1]quests!$A$1,0,0,COUNTA([1]quests!$A:$A),MATCH(E$1,[1]quests!$1:$1,0)-MATCH($B$1,[1]quests!$1:$1,0)+1),MATCH(E$1,[1]quests!$1:$1,0)-MATCH($B$1,[1]quests!$1:$1,0)+1,FALSE)</f>
        <v>ニンゲンにしてあげる☆</v>
      </c>
      <c r="F24" s="4" t="str">
        <f ca="1">VLOOKUP($D24,OFFSET([1]stages!$A$1,0,0,COUNTA([1]stages!$A:$A),MATCH(F$1,[1]stages!$2:$2,0)-MATCH($D$1,[1]stages!$2:$2,0)+1),MATCH(F$1,[1]stages!$2:$2,0)-MATCH($D$1,[1]stages!$2:$2,0)+1,FALSE)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4" s="26">
        <v>2</v>
      </c>
      <c r="H24" s="19" t="str">
        <f t="shared" ca="1" si="2"/>
        <v>30005_2-2</v>
      </c>
      <c r="I24" s="26">
        <v>22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突然変異ヴェロキー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red</v>
      </c>
      <c r="L24" s="24" t="str">
        <f ca="1">VLOOKUP(I24,[3]characters!$A:$J,10,FALSE)</f>
        <v>Drop1N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dragon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41</v>
      </c>
      <c r="P24" s="30">
        <v>1.2</v>
      </c>
      <c r="Q24" s="30">
        <v>1.1000000000000001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3">
        <f ca="1">VLOOKUP($I24,OFFSET([2]enemies!$A$1,0,0,COUNTA([2]enemies!$A:$A),MATCH(T$1,[2]enemies!$1:$1,0)-MATCH($I$1,[2]enemies!$1:$1,0)+1),MATCH(T$1,[2]enemies!$1:$1,0)-MATCH($I$1,[2]enemies!$1:$1,0)+1,FALSE)</f>
        <v>0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2</v>
      </c>
      <c r="Y24" s="26">
        <v>22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7">
        <v>5</v>
      </c>
      <c r="AD24" s="29">
        <f t="shared" ca="1" si="3"/>
        <v>2</v>
      </c>
      <c r="AE24" s="8">
        <v>0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0"/>
        <v>30005_2-2/49&lt;lv41&gt;s2</v>
      </c>
      <c r="B25" s="27">
        <v>30005</v>
      </c>
      <c r="C25" s="41">
        <v>2</v>
      </c>
      <c r="D25" s="2" t="str">
        <f t="shared" si="1"/>
        <v>30005_2</v>
      </c>
      <c r="E25" s="4" t="str">
        <f ca="1">VLOOKUP($B25,OFFSET([1]quests!$A$1,0,0,COUNTA([1]quests!$A:$A),MATCH(E$1,[1]quests!$1:$1,0)-MATCH($B$1,[1]quests!$1:$1,0)+1),MATCH(E$1,[1]quests!$1:$1,0)-MATCH($B$1,[1]quests!$1:$1,0)+1,FALSE)</f>
        <v>ニンゲンにしてあげる☆</v>
      </c>
      <c r="F25" s="4" t="str">
        <f ca="1">VLOOKUP($D25,OFFSET([1]stages!$A$1,0,0,COUNTA([1]stages!$A:$A),MATCH(F$1,[1]stages!$2:$2,0)-MATCH($D$1,[1]stages!$2:$2,0)+1),MATCH(F$1,[1]stages!$2:$2,0)-MATCH($D$1,[1]stages!$2:$2,0)+1,FALSE)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5" s="26">
        <v>2</v>
      </c>
      <c r="H25" s="19" t="str">
        <f t="shared" ca="1" si="2"/>
        <v>30005_2-2</v>
      </c>
      <c r="I25" s="26">
        <v>49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ヨシタカ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4" t="str">
        <f ca="1">VLOOKUP(I25,[3]characters!$A:$J,10,FALSE)</f>
        <v>Drop1N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human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41</v>
      </c>
      <c r="P25" s="30">
        <v>1.2</v>
      </c>
      <c r="Q25" s="30">
        <v>1.1000000000000001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25" s="23">
        <f ca="1">VLOOKUP($I25,OFFSET([2]enemies!$A$1,0,0,COUNTA([2]enemies!$A:$A),MATCH(T$1,[2]enemies!$1:$1,0)-MATCH($I$1,[2]enemies!$1:$1,0)+1),MATCH(T$1,[2]enemies!$1:$1,0)-MATCH($I$1,[2]enemies!$1:$1,0)+1,FALSE)</f>
        <v>49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2</v>
      </c>
      <c r="Y25" s="26">
        <v>49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2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7">
        <v>5</v>
      </c>
      <c r="AD25" s="29">
        <f t="shared" ca="1" si="3"/>
        <v>2</v>
      </c>
      <c r="AE25" s="8">
        <v>0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0"/>
        <v>30005_2-2/27&lt;lv41&gt;s1</v>
      </c>
      <c r="B26" s="27">
        <v>30005</v>
      </c>
      <c r="C26" s="41">
        <v>2</v>
      </c>
      <c r="D26" s="2" t="str">
        <f t="shared" si="1"/>
        <v>30005_2</v>
      </c>
      <c r="E26" s="4" t="str">
        <f ca="1">VLOOKUP($B26,OFFSET([1]quests!$A$1,0,0,COUNTA([1]quests!$A:$A),MATCH(E$1,[1]quests!$1:$1,0)-MATCH($B$1,[1]quests!$1:$1,0)+1),MATCH(E$1,[1]quests!$1:$1,0)-MATCH($B$1,[1]quests!$1:$1,0)+1,FALSE)</f>
        <v>ニンゲンにしてあげる☆</v>
      </c>
      <c r="F26" s="4" t="str">
        <f ca="1">VLOOKUP($D26,OFFSET([1]stages!$A$1,0,0,COUNTA([1]stages!$A:$A),MATCH(F$1,[1]stages!$2:$2,0)-MATCH($D$1,[1]stages!$2:$2,0)+1),MATCH(F$1,[1]stages!$2:$2,0)-MATCH($D$1,[1]stages!$2:$2,0)+1,FALSE)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6" s="26">
        <v>2</v>
      </c>
      <c r="H26" s="19" t="str">
        <f t="shared" ca="1" si="2"/>
        <v>30005_2-2</v>
      </c>
      <c r="I26" s="26">
        <v>27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パトライン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green</v>
      </c>
      <c r="L26" s="24" t="str">
        <f ca="1"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41</v>
      </c>
      <c r="P26" s="30">
        <v>1.2</v>
      </c>
      <c r="Q26" s="30">
        <v>1.1000000000000001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1</v>
      </c>
      <c r="Y26" s="26">
        <v>27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5</v>
      </c>
      <c r="AD26" s="29">
        <f t="shared" ca="1" si="3"/>
        <v>1</v>
      </c>
      <c r="AE26" s="8">
        <v>0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ca="1" si="0"/>
        <v>30005_2-2/25&lt;lv41&gt;s3</v>
      </c>
      <c r="B27" s="27">
        <v>30005</v>
      </c>
      <c r="C27" s="41">
        <v>2</v>
      </c>
      <c r="D27" s="2" t="str">
        <f t="shared" si="1"/>
        <v>30005_2</v>
      </c>
      <c r="E27" s="4" t="str">
        <f ca="1">VLOOKUP($B27,OFFSET([1]quests!$A$1,0,0,COUNTA([1]quests!$A:$A),MATCH(E$1,[1]quests!$1:$1,0)-MATCH($B$1,[1]quests!$1:$1,0)+1),MATCH(E$1,[1]quests!$1:$1,0)-MATCH($B$1,[1]quests!$1:$1,0)+1,FALSE)</f>
        <v>ニンゲンにしてあげる☆</v>
      </c>
      <c r="F27" s="4" t="str">
        <f ca="1">VLOOKUP($D27,OFFSET([1]stages!$A$1,0,0,COUNTA([1]stages!$A:$A),MATCH(F$1,[1]stages!$2:$2,0)-MATCH($D$1,[1]stages!$2:$2,0)+1),MATCH(F$1,[1]stages!$2:$2,0)-MATCH($D$1,[1]stages!$2:$2,0)+1,FALSE)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7" s="26">
        <v>2</v>
      </c>
      <c r="H27" s="19" t="str">
        <f t="shared" ca="1" si="2"/>
        <v>30005_2-2</v>
      </c>
      <c r="I27" s="26">
        <v>25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ハチ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24" t="str">
        <f ca="1">VLOOKUP(I27,[3]characters!$A:$J,10,FALSE)</f>
        <v>Drop1N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animal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5">
        <v>41</v>
      </c>
      <c r="P27" s="30">
        <v>1.2</v>
      </c>
      <c r="Q27" s="30">
        <v>1.1000000000000001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3</v>
      </c>
      <c r="Y27" s="26">
        <v>25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7">
        <v>5</v>
      </c>
      <c r="AD27" s="29">
        <f t="shared" ca="1" si="3"/>
        <v>1</v>
      </c>
      <c r="AE27" s="8">
        <v>0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ca="1" si="0"/>
        <v>30005_2-2/31&lt;lv41&gt;s2</v>
      </c>
      <c r="B28" s="27">
        <v>30005</v>
      </c>
      <c r="C28" s="41">
        <v>2</v>
      </c>
      <c r="D28" s="2" t="str">
        <f t="shared" si="1"/>
        <v>30005_2</v>
      </c>
      <c r="E28" s="4" t="str">
        <f ca="1">VLOOKUP($B28,OFFSET([1]quests!$A$1,0,0,COUNTA([1]quests!$A:$A),MATCH(E$1,[1]quests!$1:$1,0)-MATCH($B$1,[1]quests!$1:$1,0)+1),MATCH(E$1,[1]quests!$1:$1,0)-MATCH($B$1,[1]quests!$1:$1,0)+1,FALSE)</f>
        <v>ニンゲンにしてあげる☆</v>
      </c>
      <c r="F28" s="4" t="str">
        <f ca="1">VLOOKUP($D28,OFFSET([1]stages!$A$1,0,0,COUNTA([1]stages!$A:$A),MATCH(F$1,[1]stages!$2:$2,0)-MATCH($D$1,[1]stages!$2:$2,0)+1),MATCH(F$1,[1]stages!$2:$2,0)-MATCH($D$1,[1]stages!$2:$2,0)+1,FALSE)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8" s="26">
        <v>2</v>
      </c>
      <c r="H28" s="19" t="str">
        <f t="shared" ca="1" si="2"/>
        <v>30005_2-2</v>
      </c>
      <c r="I28" s="26">
        <v>31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マービー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 ca="1"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41</v>
      </c>
      <c r="P28" s="30">
        <v>1.2</v>
      </c>
      <c r="Q28" s="30">
        <v>1.1000000000000001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0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26">
        <v>31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5</v>
      </c>
      <c r="AD28" s="29">
        <f t="shared" ca="1" si="3"/>
        <v>1</v>
      </c>
      <c r="AE28" s="8">
        <v>0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t="shared" ref="A29" ca="1" si="8">B29&amp;"_"&amp;C29&amp;"-"&amp;G29&amp;"/"&amp;I29&amp;"&lt;lv"&amp;O29&amp;"&gt;s"&amp;X29</f>
        <v>30005_2-2/121&lt;lv41&gt;s3</v>
      </c>
      <c r="B29" s="27">
        <v>30005</v>
      </c>
      <c r="C29" s="52">
        <v>2</v>
      </c>
      <c r="D29" s="2" t="str">
        <f t="shared" ref="D29" si="9">B29&amp;"_"&amp;C29</f>
        <v>30005_2</v>
      </c>
      <c r="E29" s="4" t="str">
        <f ca="1">VLOOKUP($B29,OFFSET([1]quests!$A$1,0,0,COUNTA([1]quests!$A:$A),MATCH(E$1,[1]quests!$1:$1,0)-MATCH($B$1,[1]quests!$1:$1,0)+1),MATCH(E$1,[1]quests!$1:$1,0)-MATCH($B$1,[1]quests!$1:$1,0)+1,FALSE)</f>
        <v>ニンゲンにしてあげる☆</v>
      </c>
      <c r="F29" s="4" t="str">
        <f ca="1">VLOOKUP($D29,OFFSET([1]stages!$A$1,0,0,COUNTA([1]stages!$A:$A),MATCH(F$1,[1]stages!$2:$2,0)-MATCH($D$1,[1]stages!$2:$2,0)+1),MATCH(F$1,[1]stages!$2:$2,0)-MATCH($D$1,[1]stages!$2:$2,0)+1,FALSE)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29" s="26">
        <v>2</v>
      </c>
      <c r="H29" s="19" t="str">
        <f t="shared" ref="H29" ca="1" si="10">B29&amp;"_"&amp;C29&amp;"-"&amp;G29</f>
        <v>30005_2-2</v>
      </c>
      <c r="I29" s="26">
        <v>121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攻めの果実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red</v>
      </c>
      <c r="L29" s="24" t="str">
        <f ca="1">VLOOKUP(I29,[3]characters!$A:$J,10,FALSE)</f>
        <v>Material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unknown</v>
      </c>
      <c r="N29" s="23">
        <f ca="1">VLOOKUP($I29,OFFSET([2]enemies!$A$1,0,0,COUNTA([2]enemies!$A:$A),MATCH(N$1,[2]enemies!$1:$1,0)-MATCH($I$1,[2]enemies!$1:$1,0)+1),MATCH(N$1,[2]enemies!$1:$1,0)-MATCH($I$1,[2]enemies!$1:$1,0)+1,FALSE)</f>
        <v>20</v>
      </c>
      <c r="O29" s="5">
        <v>41</v>
      </c>
      <c r="P29" s="30">
        <v>1.2</v>
      </c>
      <c r="Q29" s="30">
        <v>1.1000000000000001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9" s="53">
        <v>1211</v>
      </c>
      <c r="U29" s="6">
        <v>1</v>
      </c>
      <c r="V29" s="6">
        <v>100</v>
      </c>
      <c r="W29" s="6">
        <v>1</v>
      </c>
      <c r="X29" s="53">
        <v>3</v>
      </c>
      <c r="Y29" s="26">
        <v>121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攻めの果実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3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9" s="7">
        <v>1</v>
      </c>
      <c r="AD29" s="29">
        <f t="shared" ref="AD29" ca="1" si="11">AA29</f>
        <v>3</v>
      </c>
      <c r="AE29" s="8">
        <v>15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t="shared" ca="1" si="0"/>
        <v>30005_2-3/22&lt;lv41&gt;s2</v>
      </c>
      <c r="B30" s="27">
        <v>30005</v>
      </c>
      <c r="C30" s="26">
        <v>2</v>
      </c>
      <c r="D30" s="2" t="str">
        <f t="shared" si="1"/>
        <v>30005_2</v>
      </c>
      <c r="E30" s="4" t="str">
        <f ca="1">VLOOKUP($B30,OFFSET([1]quests!$A$1,0,0,COUNTA([1]quests!$A:$A),MATCH(E$1,[1]quests!$1:$1,0)-MATCH($B$1,[1]quests!$1:$1,0)+1),MATCH(E$1,[1]quests!$1:$1,0)-MATCH($B$1,[1]quests!$1:$1,0)+1,FALSE)</f>
        <v>ニンゲンにしてあげる☆</v>
      </c>
      <c r="F30" s="4" t="str">
        <f ca="1">VLOOKUP($D30,OFFSET([1]stages!$A$1,0,0,COUNTA([1]stages!$A:$A),MATCH(F$1,[1]stages!$2:$2,0)-MATCH($D$1,[1]stages!$2:$2,0)+1),MATCH(F$1,[1]stages!$2:$2,0)-MATCH($D$1,[1]stages!$2:$2,0)+1,FALSE)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30" s="26">
        <v>3</v>
      </c>
      <c r="H30" s="19" t="str">
        <f t="shared" ca="1" si="2"/>
        <v>30005_2-3</v>
      </c>
      <c r="I30" s="26">
        <v>22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突然変異ヴェロキー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red</v>
      </c>
      <c r="L30" s="24" t="str">
        <f ca="1"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dragon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41</v>
      </c>
      <c r="P30" s="30">
        <v>1.2</v>
      </c>
      <c r="Q30" s="30">
        <v>1.1000000000000001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3">
        <f ca="1">VLOOKUP($I30,OFFSET([2]enemies!$A$1,0,0,COUNTA([2]enemies!$A:$A),MATCH(T$1,[2]enemies!$1:$1,0)-MATCH($I$1,[2]enemies!$1:$1,0)+1),MATCH(T$1,[2]enemies!$1:$1,0)-MATCH($I$1,[2]enemies!$1:$1,0)+1,FALSE)</f>
        <v>0</v>
      </c>
      <c r="U30" s="6">
        <v>0</v>
      </c>
      <c r="V30" s="6">
        <v>100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2</v>
      </c>
      <c r="Y30" s="26">
        <v>22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7">
        <v>5</v>
      </c>
      <c r="AD30" s="29">
        <f t="shared" ca="1" si="3"/>
        <v>2</v>
      </c>
      <c r="AE30" s="8">
        <v>10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0"/>
        <v>30005_2-3/49&lt;lv41&gt;s2</v>
      </c>
      <c r="B31" s="27">
        <v>30005</v>
      </c>
      <c r="C31" s="26">
        <v>2</v>
      </c>
      <c r="D31" s="2" t="str">
        <f t="shared" si="1"/>
        <v>30005_2</v>
      </c>
      <c r="E31" s="4" t="str">
        <f ca="1">VLOOKUP($B31,OFFSET([1]quests!$A$1,0,0,COUNTA([1]quests!$A:$A),MATCH(E$1,[1]quests!$1:$1,0)-MATCH($B$1,[1]quests!$1:$1,0)+1),MATCH(E$1,[1]quests!$1:$1,0)-MATCH($B$1,[1]quests!$1:$1,0)+1,FALSE)</f>
        <v>ニンゲンにしてあげる☆</v>
      </c>
      <c r="F31" s="4" t="str">
        <f ca="1">VLOOKUP($D31,OFFSET([1]stages!$A$1,0,0,COUNTA([1]stages!$A:$A),MATCH(F$1,[1]stages!$2:$2,0)-MATCH($D$1,[1]stages!$2:$2,0)+1),MATCH(F$1,[1]stages!$2:$2,0)-MATCH($D$1,[1]stages!$2:$2,0)+1,FALSE)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31" s="26">
        <v>3</v>
      </c>
      <c r="H31" s="19" t="str">
        <f t="shared" ca="1" si="2"/>
        <v>30005_2-3</v>
      </c>
      <c r="I31" s="26">
        <v>49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ヨシタカ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4" t="str">
        <f ca="1">VLOOKUP(I31,[3]characters!$A:$J,10,FALSE)</f>
        <v>Drop1N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human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41</v>
      </c>
      <c r="P31" s="30">
        <v>1.2</v>
      </c>
      <c r="Q31" s="30">
        <v>1.1000000000000001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31" s="23">
        <f ca="1">VLOOKUP($I31,OFFSET([2]enemies!$A$1,0,0,COUNTA([2]enemies!$A:$A),MATCH(T$1,[2]enemies!$1:$1,0)-MATCH($I$1,[2]enemies!$1:$1,0)+1),MATCH(T$1,[2]enemies!$1:$1,0)-MATCH($I$1,[2]enemies!$1:$1,0)+1,FALSE)</f>
        <v>49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2</v>
      </c>
      <c r="Y31" s="26">
        <v>49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ヨシタカ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7">
        <v>5</v>
      </c>
      <c r="AD31" s="29">
        <f t="shared" ca="1" si="3"/>
        <v>2</v>
      </c>
      <c r="AE31" s="8">
        <v>10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0"/>
        <v>30005_2-3/27&lt;lv41&gt;s1</v>
      </c>
      <c r="B32" s="27">
        <v>30005</v>
      </c>
      <c r="C32" s="26">
        <v>2</v>
      </c>
      <c r="D32" s="2" t="str">
        <f t="shared" si="1"/>
        <v>30005_2</v>
      </c>
      <c r="E32" s="4" t="str">
        <f ca="1">VLOOKUP($B32,OFFSET([1]quests!$A$1,0,0,COUNTA([1]quests!$A:$A),MATCH(E$1,[1]quests!$1:$1,0)-MATCH($B$1,[1]quests!$1:$1,0)+1),MATCH(E$1,[1]quests!$1:$1,0)-MATCH($B$1,[1]quests!$1:$1,0)+1,FALSE)</f>
        <v>ニンゲンにしてあげる☆</v>
      </c>
      <c r="F32" s="4" t="str">
        <f ca="1">VLOOKUP($D32,OFFSET([1]stages!$A$1,0,0,COUNTA([1]stages!$A:$A),MATCH(F$1,[1]stages!$2:$2,0)-MATCH($D$1,[1]stages!$2:$2,0)+1),MATCH(F$1,[1]stages!$2:$2,0)-MATCH($D$1,[1]stages!$2:$2,0)+1,FALSE)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32" s="26">
        <v>3</v>
      </c>
      <c r="H32" s="19" t="str">
        <f t="shared" ca="1" si="2"/>
        <v>30005_2-3</v>
      </c>
      <c r="I32" s="26">
        <v>27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パトライン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4" t="str">
        <f ca="1"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machine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41</v>
      </c>
      <c r="P32" s="30">
        <v>1.2</v>
      </c>
      <c r="Q32" s="30">
        <v>1.1000000000000001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1</v>
      </c>
      <c r="Y32" s="26">
        <v>27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7">
        <v>5</v>
      </c>
      <c r="AD32" s="29">
        <f t="shared" ca="1" si="3"/>
        <v>1</v>
      </c>
      <c r="AE32" s="8">
        <v>10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0"/>
        <v>30005_2-3/25&lt;lv41&gt;s3</v>
      </c>
      <c r="B33" s="27">
        <v>30005</v>
      </c>
      <c r="C33" s="26">
        <v>2</v>
      </c>
      <c r="D33" s="2" t="str">
        <f t="shared" si="1"/>
        <v>30005_2</v>
      </c>
      <c r="E33" s="4" t="str">
        <f ca="1">VLOOKUP($B33,OFFSET([1]quests!$A$1,0,0,COUNTA([1]quests!$A:$A),MATCH(E$1,[1]quests!$1:$1,0)-MATCH($B$1,[1]quests!$1:$1,0)+1),MATCH(E$1,[1]quests!$1:$1,0)-MATCH($B$1,[1]quests!$1:$1,0)+1,FALSE)</f>
        <v>ニンゲンにしてあげる☆</v>
      </c>
      <c r="F33" s="4" t="str">
        <f ca="1">VLOOKUP($D33,OFFSET([1]stages!$A$1,0,0,COUNTA([1]stages!$A:$A),MATCH(F$1,[1]stages!$2:$2,0)-MATCH($D$1,[1]stages!$2:$2,0)+1),MATCH(F$1,[1]stages!$2:$2,0)-MATCH($D$1,[1]stages!$2:$2,0)+1,FALSE)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33" s="26">
        <v>3</v>
      </c>
      <c r="H33" s="19" t="str">
        <f t="shared" ca="1" si="2"/>
        <v>30005_2-3</v>
      </c>
      <c r="I33" s="26">
        <v>25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ハチ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4" t="str">
        <f ca="1">VLOOKUP(I33,[3]characters!$A:$J,10,FALSE)</f>
        <v>Drop1N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animal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41</v>
      </c>
      <c r="P33" s="30">
        <v>1.2</v>
      </c>
      <c r="Q33" s="30">
        <v>1.1000000000000001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3</v>
      </c>
      <c r="Y33" s="26">
        <v>25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7">
        <v>5</v>
      </c>
      <c r="AD33" s="29">
        <f t="shared" ca="1" si="3"/>
        <v>1</v>
      </c>
      <c r="AE33" s="8">
        <v>10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ca="1" si="0"/>
        <v>30005_2-3/31&lt;lv41&gt;s2</v>
      </c>
      <c r="B34" s="27">
        <v>30005</v>
      </c>
      <c r="C34" s="26">
        <v>2</v>
      </c>
      <c r="D34" s="2" t="str">
        <f t="shared" si="1"/>
        <v>30005_2</v>
      </c>
      <c r="E34" s="4" t="str">
        <f ca="1">VLOOKUP($B34,OFFSET([1]quests!$A$1,0,0,COUNTA([1]quests!$A:$A),MATCH(E$1,[1]quests!$1:$1,0)-MATCH($B$1,[1]quests!$1:$1,0)+1),MATCH(E$1,[1]quests!$1:$1,0)-MATCH($B$1,[1]quests!$1:$1,0)+1,FALSE)</f>
        <v>ニンゲンにしてあげる☆</v>
      </c>
      <c r="F34" s="4" t="str">
        <f ca="1">VLOOKUP($D34,OFFSET([1]stages!$A$1,0,0,COUNTA([1]stages!$A:$A),MATCH(F$1,[1]stages!$2:$2,0)-MATCH($D$1,[1]stages!$2:$2,0)+1),MATCH(F$1,[1]stages!$2:$2,0)-MATCH($D$1,[1]stages!$2:$2,0)+1,FALSE)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34" s="26">
        <v>3</v>
      </c>
      <c r="H34" s="19" t="str">
        <f t="shared" ca="1" si="2"/>
        <v>30005_2-3</v>
      </c>
      <c r="I34" s="26">
        <v>31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 ca="1"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41</v>
      </c>
      <c r="P34" s="30">
        <v>1.2</v>
      </c>
      <c r="Q34" s="30">
        <v>1.1000000000000001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26">
        <v>31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5</v>
      </c>
      <c r="AD34" s="29">
        <f t="shared" ca="1" si="3"/>
        <v>1</v>
      </c>
      <c r="AE34" s="8">
        <v>10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thickBot="1" x14ac:dyDescent="0.2">
      <c r="A35" s="44" t="str">
        <f t="shared" ca="1" si="0"/>
        <v>30005_2-4/290&lt;lv43&gt;s2</v>
      </c>
      <c r="B35" s="45">
        <v>30005</v>
      </c>
      <c r="C35" s="46">
        <v>2</v>
      </c>
      <c r="D35" s="47" t="str">
        <f t="shared" si="1"/>
        <v>30005_2</v>
      </c>
      <c r="E35" s="48" t="str">
        <f ca="1">VLOOKUP($B35,OFFSET([1]quests!$A$1,0,0,COUNTA([1]quests!$A:$A),MATCH(E$1,[1]quests!$1:$1,0)-MATCH($B$1,[1]quests!$1:$1,0)+1),MATCH(E$1,[1]quests!$1:$1,0)-MATCH($B$1,[1]quests!$1:$1,0)+1,FALSE)</f>
        <v>ニンゲンにしてあげる☆</v>
      </c>
      <c r="F35" s="48" t="str">
        <f ca="1">VLOOKUP($D35,OFFSET([1]stages!$A$1,0,0,COUNTA([1]stages!$A:$A),MATCH(F$1,[1]stages!$2:$2,0)-MATCH($D$1,[1]stages!$2:$2,0)+1),MATCH(F$1,[1]stages!$2:$2,0)-MATCH($D$1,[1]stages!$2:$2,0)+1,FALSE)</f>
        <v xml:space="preserve">【上級】ニンゲンにしてあげる </v>
      </c>
      <c r="G35" s="49">
        <v>4</v>
      </c>
      <c r="H35" s="47" t="str">
        <f t="shared" ca="1" si="2"/>
        <v>30005_2-4</v>
      </c>
      <c r="I35" s="49">
        <v>290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ウィッチ・オクトパス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red</v>
      </c>
      <c r="L35" s="24" t="str">
        <f ca="1">VLOOKUP(I35,[3]characters!$A:$J,10,FALSE)</f>
        <v>Drop2N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human</v>
      </c>
      <c r="N35" s="23">
        <f ca="1">VLOOKUP($I35,OFFSET([2]enemies!$A$1,0,0,COUNTA([2]enemies!$A:$A),MATCH(N$1,[2]enemies!$1:$1,0)-MATCH($I$1,[2]enemies!$1:$1,0)+1),MATCH(N$1,[2]enemies!$1:$1,0)-MATCH($I$1,[2]enemies!$1:$1,0)+1,FALSE)</f>
        <v>30</v>
      </c>
      <c r="O35" s="5">
        <v>43</v>
      </c>
      <c r="P35" s="30">
        <v>4.5999999999999996</v>
      </c>
      <c r="Q35" s="30">
        <v>1.5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余裕の笑みを浮かべている</v>
      </c>
      <c r="T35" s="53">
        <v>29002</v>
      </c>
      <c r="U35" s="6">
        <v>1</v>
      </c>
      <c r="V35" s="6">
        <v>100</v>
      </c>
      <c r="W35" s="6">
        <v>1</v>
      </c>
      <c r="X35" s="23">
        <f ca="1">VLOOKUP($I35,OFFSET([2]enemies!$A$1,0,0,COUNTA([2]enemies!$A:$A),MATCH(X$1,[2]enemies!$1:$1,0)-MATCH($I$1,[2]enemies!$1:$1,0)+1),MATCH(X$1,[2]enemies!$1:$1,0)-MATCH($I$1,[2]enemies!$1:$1,0)+1,FALSE)</f>
        <v>2</v>
      </c>
      <c r="Y35" s="26">
        <v>290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ウィッチ・オクトパス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4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35" s="7">
        <v>1</v>
      </c>
      <c r="AD35" s="29">
        <f t="shared" ca="1" si="3"/>
        <v>4</v>
      </c>
      <c r="AE35" s="54">
        <v>50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ref="A36:A39" ca="1" si="12">B36&amp;"_"&amp;C36&amp;"-"&amp;G36&amp;"/"&amp;I36&amp;"&lt;lv"&amp;O36&amp;"&gt;s"&amp;X36</f>
        <v>30005_3-1/22&lt;lv46&gt;s2</v>
      </c>
      <c r="B36" s="27">
        <v>30005</v>
      </c>
      <c r="C36" s="42">
        <v>3</v>
      </c>
      <c r="D36" s="43" t="str">
        <f t="shared" ref="D36:D39" ca="1" si="13">B36&amp;"_"&amp;C36</f>
        <v>30005_3</v>
      </c>
      <c r="E36" s="4" t="str">
        <f ca="1">VLOOKUP($B36,OFFSET([1]quests!$A$1,0,0,COUNTA([1]quests!$A:$A),MATCH(E$1,[1]quests!$1:$1,0)-MATCH($B$1,[1]quests!$1:$1,0)+1),MATCH(E$1,[1]quests!$1:$1,0)-MATCH($B$1,[1]quests!$1:$1,0)+1,FALSE)</f>
        <v>ニンゲンにしてあげる☆</v>
      </c>
      <c r="F36" s="4" t="str">
        <f ca="1">VLOOKUP($D36,OFFSET([1]stages!$A$1,0,0,COUNTA([1]stages!$A:$A),MATCH(F$1,[1]stages!$2:$2,0)-MATCH($D$1,[1]stages!$2:$2,0)+1),MATCH(F$1,[1]stages!$2:$2,0)-MATCH($D$1,[1]stages!$2:$2,0)+1,FALSE)</f>
        <v>【超級】ニンゲンにしてあげる</v>
      </c>
      <c r="G36" s="42">
        <v>1</v>
      </c>
      <c r="H36" s="43" t="str">
        <f t="shared" ref="H36:H39" ca="1" si="14">B36&amp;"_"&amp;C36&amp;"-"&amp;G36</f>
        <v>30005_3-1</v>
      </c>
      <c r="I36" s="42">
        <v>22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突然変異ヴェロキー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red</v>
      </c>
      <c r="L36" s="24" t="str">
        <f ca="1">VLOOKUP(I36,[3]characters!$A:$J,10,FALSE)</f>
        <v>Drop1N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dragon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5">
        <v>46</v>
      </c>
      <c r="P36" s="30">
        <v>1.2</v>
      </c>
      <c r="Q36" s="30">
        <v>1.1000000000000001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23">
        <f ca="1">VLOOKUP($I36,OFFSET([2]enemies!$A$1,0,0,COUNTA([2]enemies!$A:$A),MATCH(T$1,[2]enemies!$1:$1,0)-MATCH($I$1,[2]enemies!$1:$1,0)+1),MATCH(T$1,[2]enemies!$1:$1,0)-MATCH($I$1,[2]enemies!$1:$1,0)+1,FALSE)</f>
        <v>0</v>
      </c>
      <c r="U36" s="6">
        <v>0</v>
      </c>
      <c r="V36" s="6">
        <v>100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2</v>
      </c>
      <c r="Y36" s="42">
        <v>22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7">
        <v>5</v>
      </c>
      <c r="AD36" s="29">
        <f t="shared" ref="AD36:AD39" ca="1" si="15">AA36</f>
        <v>2</v>
      </c>
      <c r="AE36" s="8">
        <v>15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ca="1" si="12"/>
        <v>30005_3-1/41&lt;lv46&gt;s1</v>
      </c>
      <c r="B37" s="27">
        <v>30005</v>
      </c>
      <c r="C37" s="42">
        <v>3</v>
      </c>
      <c r="D37" s="2" t="str">
        <f t="shared" ca="1" si="13"/>
        <v>30005_3</v>
      </c>
      <c r="E37" s="4" t="str">
        <f ca="1">VLOOKUP($B37,OFFSET([1]quests!$A$1,0,0,COUNTA([1]quests!$A:$A),MATCH(E$1,[1]quests!$1:$1,0)-MATCH($B$1,[1]quests!$1:$1,0)+1),MATCH(E$1,[1]quests!$1:$1,0)-MATCH($B$1,[1]quests!$1:$1,0)+1,FALSE)</f>
        <v>ニンゲンにしてあげる☆</v>
      </c>
      <c r="F37" s="4" t="str">
        <f ca="1">VLOOKUP($D37,OFFSET([1]stages!$A$1,0,0,COUNTA([1]stages!$A:$A),MATCH(F$1,[1]stages!$2:$2,0)-MATCH($D$1,[1]stages!$2:$2,0)+1),MATCH(F$1,[1]stages!$2:$2,0)-MATCH($D$1,[1]stages!$2:$2,0)+1,FALSE)</f>
        <v>【超級】ニンゲンにしてあげる</v>
      </c>
      <c r="G37" s="26">
        <v>1</v>
      </c>
      <c r="H37" s="19" t="str">
        <f t="shared" ca="1" si="14"/>
        <v>30005_3-1</v>
      </c>
      <c r="I37" s="26">
        <v>41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ヒュウガ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red</v>
      </c>
      <c r="L37" s="24" t="str">
        <f ca="1">VLOOKUP(I37,[3]characters!$A:$J,10,FALSE)</f>
        <v>Drop1N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dragon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46</v>
      </c>
      <c r="P37" s="30">
        <v>1.2</v>
      </c>
      <c r="Q37" s="30">
        <v>1.1000000000000001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1</v>
      </c>
      <c r="Y37" s="26">
        <v>41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7">
        <v>5</v>
      </c>
      <c r="AD37" s="29">
        <f t="shared" ca="1" si="15"/>
        <v>2</v>
      </c>
      <c r="AE37" s="8">
        <v>15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ca="1" si="12"/>
        <v>30005_3-1/43&lt;lv46&gt;s2</v>
      </c>
      <c r="B38" s="27">
        <v>30005</v>
      </c>
      <c r="C38" s="42">
        <v>3</v>
      </c>
      <c r="D38" s="2" t="str">
        <f t="shared" ca="1" si="13"/>
        <v>30005_3</v>
      </c>
      <c r="E38" s="4" t="str">
        <f ca="1">VLOOKUP($B38,OFFSET([1]quests!$A$1,0,0,COUNTA([1]quests!$A:$A),MATCH(E$1,[1]quests!$1:$1,0)-MATCH($B$1,[1]quests!$1:$1,0)+1),MATCH(E$1,[1]quests!$1:$1,0)-MATCH($B$1,[1]quests!$1:$1,0)+1,FALSE)</f>
        <v>ニンゲンにしてあげる☆</v>
      </c>
      <c r="F38" s="4" t="str">
        <f ca="1">VLOOKUP($D38,OFFSET([1]stages!$A$1,0,0,COUNTA([1]stages!$A:$A),MATCH(F$1,[1]stages!$2:$2,0)-MATCH($D$1,[1]stages!$2:$2,0)+1),MATCH(F$1,[1]stages!$2:$2,0)-MATCH($D$1,[1]stages!$2:$2,0)+1,FALSE)</f>
        <v>【超級】ニンゲンにしてあげる</v>
      </c>
      <c r="G38" s="26">
        <v>1</v>
      </c>
      <c r="H38" s="19" t="str">
        <f t="shared" ca="1" si="14"/>
        <v>30005_3-1</v>
      </c>
      <c r="I38" s="26">
        <v>43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ムゥ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green</v>
      </c>
      <c r="L38" s="24" t="str">
        <f ca="1">VLOOKUP(I38,[3]characters!$A:$J,10,FALSE)</f>
        <v>Drop1N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dragon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46</v>
      </c>
      <c r="P38" s="30">
        <v>1.2</v>
      </c>
      <c r="Q38" s="30">
        <v>1.1000000000000001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2</v>
      </c>
      <c r="Y38" s="26">
        <v>43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8" s="7">
        <v>5</v>
      </c>
      <c r="AD38" s="29">
        <f t="shared" ca="1" si="15"/>
        <v>2</v>
      </c>
      <c r="AE38" s="8">
        <v>15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12"/>
        <v>30005_3-1/45&lt;lv46&gt;s3</v>
      </c>
      <c r="B39" s="27">
        <v>30005</v>
      </c>
      <c r="C39" s="42">
        <v>3</v>
      </c>
      <c r="D39" s="2" t="str">
        <f t="shared" ca="1" si="13"/>
        <v>30005_3</v>
      </c>
      <c r="E39" s="4" t="str">
        <f ca="1">VLOOKUP($B39,OFFSET([1]quests!$A$1,0,0,COUNTA([1]quests!$A:$A),MATCH(E$1,[1]quests!$1:$1,0)-MATCH($B$1,[1]quests!$1:$1,0)+1),MATCH(E$1,[1]quests!$1:$1,0)-MATCH($B$1,[1]quests!$1:$1,0)+1,FALSE)</f>
        <v>ニンゲンにしてあげる☆</v>
      </c>
      <c r="F39" s="4" t="str">
        <f ca="1">VLOOKUP($D39,OFFSET([1]stages!$A$1,0,0,COUNTA([1]stages!$A:$A),MATCH(F$1,[1]stages!$2:$2,0)-MATCH($D$1,[1]stages!$2:$2,0)+1),MATCH(F$1,[1]stages!$2:$2,0)-MATCH($D$1,[1]stages!$2:$2,0)+1,FALSE)</f>
        <v>【超級】ニンゲンにしてあげる</v>
      </c>
      <c r="G39" s="26">
        <v>1</v>
      </c>
      <c r="H39" s="19" t="str">
        <f t="shared" ca="1" si="14"/>
        <v>30005_3-1</v>
      </c>
      <c r="I39" s="26">
        <v>45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ショウイン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blue</v>
      </c>
      <c r="L39" s="24" t="str">
        <f ca="1"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46</v>
      </c>
      <c r="P39" s="30">
        <v>1.2</v>
      </c>
      <c r="Q39" s="30">
        <v>1.1000000000000001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3">
        <f ca="1">VLOOKUP($I39,OFFSET([2]enemies!$A$1,0,0,COUNTA([2]enemies!$A:$A),MATCH(T$1,[2]enemies!$1:$1,0)-MATCH($I$1,[2]enemies!$1:$1,0)+1),MATCH(T$1,[2]enemies!$1:$1,0)-MATCH($I$1,[2]enemies!$1:$1,0)+1,FALSE)</f>
        <v>0</v>
      </c>
      <c r="U39" s="6">
        <v>0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3</v>
      </c>
      <c r="Y39" s="26">
        <v>45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5</v>
      </c>
      <c r="AD39" s="29">
        <f t="shared" ca="1" si="15"/>
        <v>2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ref="A40:A48" ca="1" si="16">B40&amp;"_"&amp;C40&amp;"-"&amp;G40&amp;"/"&amp;I40&amp;"&lt;lv"&amp;O40&amp;"&gt;s"&amp;X40</f>
        <v>30005_3-2/22&lt;lv46&gt;s2</v>
      </c>
      <c r="B40" s="27">
        <v>30005</v>
      </c>
      <c r="C40" s="50">
        <v>3</v>
      </c>
      <c r="D40" s="43" t="str">
        <f t="shared" ref="D40:D48" ca="1" si="17">B40&amp;"_"&amp;C40</f>
        <v>30005_3</v>
      </c>
      <c r="E40" s="4" t="str">
        <f ca="1">VLOOKUP($B40,OFFSET([1]quests!$A$1,0,0,COUNTA([1]quests!$A:$A),MATCH(E$1,[1]quests!$1:$1,0)-MATCH($B$1,[1]quests!$1:$1,0)+1),MATCH(E$1,[1]quests!$1:$1,0)-MATCH($B$1,[1]quests!$1:$1,0)+1,FALSE)</f>
        <v>ニンゲンにしてあげる☆</v>
      </c>
      <c r="F40" s="4" t="str">
        <f ca="1">VLOOKUP($D40,OFFSET([1]stages!$A$1,0,0,COUNTA([1]stages!$A:$A),MATCH(F$1,[1]stages!$2:$2,0)-MATCH($D$1,[1]stages!$2:$2,0)+1),MATCH(F$1,[1]stages!$2:$2,0)-MATCH($D$1,[1]stages!$2:$2,0)+1,FALSE)</f>
        <v>【超級】ニンゲンにしてあげる</v>
      </c>
      <c r="G40" s="42">
        <v>2</v>
      </c>
      <c r="H40" s="43" t="str">
        <f t="shared" ref="H40:H48" ca="1" si="18">B40&amp;"_"&amp;C40&amp;"-"&amp;G40</f>
        <v>30005_3-2</v>
      </c>
      <c r="I40" s="42">
        <v>22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突然変異ヴェロキー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red</v>
      </c>
      <c r="L40" s="24" t="str">
        <f ca="1"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dragon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5">
        <v>46</v>
      </c>
      <c r="P40" s="30">
        <v>1.2</v>
      </c>
      <c r="Q40" s="30">
        <v>1.1000000000000001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3">
        <f ca="1">VLOOKUP($I40,OFFSET([2]enemies!$A$1,0,0,COUNTA([2]enemies!$A:$A),MATCH(T$1,[2]enemies!$1:$1,0)-MATCH($I$1,[2]enemies!$1:$1,0)+1),MATCH(T$1,[2]enemies!$1:$1,0)-MATCH($I$1,[2]enemies!$1:$1,0)+1,FALSE)</f>
        <v>0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2</v>
      </c>
      <c r="Y40" s="42">
        <v>22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2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7">
        <v>5</v>
      </c>
      <c r="AD40" s="29">
        <f t="shared" ref="AD40:AD48" ca="1" si="19">AA40</f>
        <v>2</v>
      </c>
      <c r="AE40" s="8">
        <v>0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ca="1" si="16"/>
        <v>30005_3-2/41&lt;lv46&gt;s1</v>
      </c>
      <c r="B41" s="27">
        <v>30005</v>
      </c>
      <c r="C41" s="50">
        <v>3</v>
      </c>
      <c r="D41" s="2" t="str">
        <f t="shared" ca="1" si="17"/>
        <v>30005_3</v>
      </c>
      <c r="E41" s="4" t="str">
        <f ca="1">VLOOKUP($B41,OFFSET([1]quests!$A$1,0,0,COUNTA([1]quests!$A:$A),MATCH(E$1,[1]quests!$1:$1,0)-MATCH($B$1,[1]quests!$1:$1,0)+1),MATCH(E$1,[1]quests!$1:$1,0)-MATCH($B$1,[1]quests!$1:$1,0)+1,FALSE)</f>
        <v>ニンゲンにしてあげる☆</v>
      </c>
      <c r="F41" s="4" t="str">
        <f ca="1">VLOOKUP($D41,OFFSET([1]stages!$A$1,0,0,COUNTA([1]stages!$A:$A),MATCH(F$1,[1]stages!$2:$2,0)-MATCH($D$1,[1]stages!$2:$2,0)+1),MATCH(F$1,[1]stages!$2:$2,0)-MATCH($D$1,[1]stages!$2:$2,0)+1,FALSE)</f>
        <v>【超級】ニンゲンにしてあげる</v>
      </c>
      <c r="G41" s="42">
        <v>2</v>
      </c>
      <c r="H41" s="19" t="str">
        <f t="shared" ca="1" si="18"/>
        <v>30005_3-2</v>
      </c>
      <c r="I41" s="26">
        <v>41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ヒュウガ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red</v>
      </c>
      <c r="L41" s="24" t="str">
        <f ca="1">VLOOKUP(I41,[3]characters!$A:$J,10,FALSE)</f>
        <v>Drop1N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dragon</v>
      </c>
      <c r="N41" s="23">
        <f ca="1">VLOOKUP($I41,OFFSET([2]enemies!$A$1,0,0,COUNTA([2]enemies!$A:$A),MATCH(N$1,[2]enemies!$1:$1,0)-MATCH($I$1,[2]enemies!$1:$1,0)+1),MATCH(N$1,[2]enemies!$1:$1,0)-MATCH($I$1,[2]enemies!$1:$1,0)+1,FALSE)</f>
        <v>15</v>
      </c>
      <c r="O41" s="5">
        <v>46</v>
      </c>
      <c r="P41" s="30">
        <v>1.2</v>
      </c>
      <c r="Q41" s="30">
        <v>1.1000000000000001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23">
        <f ca="1">VLOOKUP($I41,OFFSET([2]enemies!$A$1,0,0,COUNTA([2]enemies!$A:$A),MATCH(T$1,[2]enemies!$1:$1,0)-MATCH($I$1,[2]enemies!$1:$1,0)+1),MATCH(T$1,[2]enemies!$1:$1,0)-MATCH($I$1,[2]enemies!$1:$1,0)+1,FALSE)</f>
        <v>0</v>
      </c>
      <c r="U41" s="6">
        <v>0</v>
      </c>
      <c r="V41" s="6">
        <v>100</v>
      </c>
      <c r="W41" s="6">
        <v>0</v>
      </c>
      <c r="X41" s="23">
        <f ca="1">VLOOKUP($I41,OFFSET([2]enemies!$A$1,0,0,COUNTA([2]enemies!$A:$A),MATCH(X$1,[2]enemies!$1:$1,0)-MATCH($I$1,[2]enemies!$1:$1,0)+1),MATCH(X$1,[2]enemies!$1:$1,0)-MATCH($I$1,[2]enemies!$1:$1,0)+1,FALSE)</f>
        <v>1</v>
      </c>
      <c r="Y41" s="26">
        <v>41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2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7">
        <v>5</v>
      </c>
      <c r="AD41" s="29">
        <f t="shared" ca="1" si="19"/>
        <v>2</v>
      </c>
      <c r="AE41" s="8">
        <v>0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t="shared" ca="1" si="16"/>
        <v>30005_3-2/43&lt;lv46&gt;s2</v>
      </c>
      <c r="B42" s="27">
        <v>30005</v>
      </c>
      <c r="C42" s="50">
        <v>3</v>
      </c>
      <c r="D42" s="2" t="str">
        <f t="shared" ca="1" si="17"/>
        <v>30005_3</v>
      </c>
      <c r="E42" s="4" t="str">
        <f ca="1">VLOOKUP($B42,OFFSET([1]quests!$A$1,0,0,COUNTA([1]quests!$A:$A),MATCH(E$1,[1]quests!$1:$1,0)-MATCH($B$1,[1]quests!$1:$1,0)+1),MATCH(E$1,[1]quests!$1:$1,0)-MATCH($B$1,[1]quests!$1:$1,0)+1,FALSE)</f>
        <v>ニンゲンにしてあげる☆</v>
      </c>
      <c r="F42" s="4" t="str">
        <f ca="1">VLOOKUP($D42,OFFSET([1]stages!$A$1,0,0,COUNTA([1]stages!$A:$A),MATCH(F$1,[1]stages!$2:$2,0)-MATCH($D$1,[1]stages!$2:$2,0)+1),MATCH(F$1,[1]stages!$2:$2,0)-MATCH($D$1,[1]stages!$2:$2,0)+1,FALSE)</f>
        <v>【超級】ニンゲンにしてあげる</v>
      </c>
      <c r="G42" s="42">
        <v>2</v>
      </c>
      <c r="H42" s="19" t="str">
        <f t="shared" ca="1" si="18"/>
        <v>30005_3-2</v>
      </c>
      <c r="I42" s="26">
        <v>43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ムゥ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green</v>
      </c>
      <c r="L42" s="24" t="str">
        <f ca="1">VLOOKUP(I42,[3]characters!$A:$J,10,FALSE)</f>
        <v>Drop1N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dragon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5">
        <v>46</v>
      </c>
      <c r="P42" s="30">
        <v>1.2</v>
      </c>
      <c r="Q42" s="30">
        <v>1.1000000000000001</v>
      </c>
      <c r="R42" s="5">
        <v>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23">
        <f ca="1">VLOOKUP($I42,OFFSET([2]enemies!$A$1,0,0,COUNTA([2]enemies!$A:$A),MATCH(T$1,[2]enemies!$1:$1,0)-MATCH($I$1,[2]enemies!$1:$1,0)+1),MATCH(T$1,[2]enemies!$1:$1,0)-MATCH($I$1,[2]enemies!$1:$1,0)+1,FALSE)</f>
        <v>0</v>
      </c>
      <c r="U42" s="6">
        <v>0</v>
      </c>
      <c r="V42" s="6">
        <v>100</v>
      </c>
      <c r="W42" s="6">
        <v>0</v>
      </c>
      <c r="X42" s="23">
        <f ca="1">VLOOKUP($I42,OFFSET([2]enemies!$A$1,0,0,COUNTA([2]enemies!$A:$A),MATCH(X$1,[2]enemies!$1:$1,0)-MATCH($I$1,[2]enemies!$1:$1,0)+1),MATCH(X$1,[2]enemies!$1:$1,0)-MATCH($I$1,[2]enemies!$1:$1,0)+1,FALSE)</f>
        <v>2</v>
      </c>
      <c r="Y42" s="26">
        <v>43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2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7">
        <v>5</v>
      </c>
      <c r="AD42" s="29">
        <f t="shared" ca="1" si="19"/>
        <v>2</v>
      </c>
      <c r="AE42" s="8">
        <v>0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ca="1" si="16"/>
        <v>30005_3-2/45&lt;lv46&gt;s3</v>
      </c>
      <c r="B43" s="27">
        <v>30005</v>
      </c>
      <c r="C43" s="50">
        <v>3</v>
      </c>
      <c r="D43" s="2" t="str">
        <f t="shared" ca="1" si="17"/>
        <v>30005_3</v>
      </c>
      <c r="E43" s="4" t="str">
        <f ca="1">VLOOKUP($B43,OFFSET([1]quests!$A$1,0,0,COUNTA([1]quests!$A:$A),MATCH(E$1,[1]quests!$1:$1,0)-MATCH($B$1,[1]quests!$1:$1,0)+1),MATCH(E$1,[1]quests!$1:$1,0)-MATCH($B$1,[1]quests!$1:$1,0)+1,FALSE)</f>
        <v>ニンゲンにしてあげる☆</v>
      </c>
      <c r="F43" s="4" t="str">
        <f ca="1">VLOOKUP($D43,OFFSET([1]stages!$A$1,0,0,COUNTA([1]stages!$A:$A),MATCH(F$1,[1]stages!$2:$2,0)-MATCH($D$1,[1]stages!$2:$2,0)+1),MATCH(F$1,[1]stages!$2:$2,0)-MATCH($D$1,[1]stages!$2:$2,0)+1,FALSE)</f>
        <v>【超級】ニンゲンにしてあげる</v>
      </c>
      <c r="G43" s="42">
        <v>2</v>
      </c>
      <c r="H43" s="19" t="str">
        <f t="shared" ca="1" si="18"/>
        <v>30005_3-2</v>
      </c>
      <c r="I43" s="26">
        <v>45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ショウイン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blue</v>
      </c>
      <c r="L43" s="24" t="str">
        <f ca="1">VLOOKUP(I43,[3]characters!$A:$J,10,FALSE)</f>
        <v>Drop1N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animal</v>
      </c>
      <c r="N43" s="23">
        <f ca="1">VLOOKUP($I43,OFFSET([2]enemies!$A$1,0,0,COUNTA([2]enemies!$A:$A),MATCH(N$1,[2]enemies!$1:$1,0)-MATCH($I$1,[2]enemies!$1:$1,0)+1),MATCH(N$1,[2]enemies!$1:$1,0)-MATCH($I$1,[2]enemies!$1:$1,0)+1,FALSE)</f>
        <v>15</v>
      </c>
      <c r="O43" s="5">
        <v>46</v>
      </c>
      <c r="P43" s="30">
        <v>1.2</v>
      </c>
      <c r="Q43" s="30">
        <v>1.1000000000000001</v>
      </c>
      <c r="R43" s="5">
        <v>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23">
        <f ca="1">VLOOKUP($I43,OFFSET([2]enemies!$A$1,0,0,COUNTA([2]enemies!$A:$A),MATCH(T$1,[2]enemies!$1:$1,0)-MATCH($I$1,[2]enemies!$1:$1,0)+1),MATCH(T$1,[2]enemies!$1:$1,0)-MATCH($I$1,[2]enemies!$1:$1,0)+1,FALSE)</f>
        <v>0</v>
      </c>
      <c r="U43" s="6">
        <v>0</v>
      </c>
      <c r="V43" s="6">
        <v>100</v>
      </c>
      <c r="W43" s="6">
        <v>0</v>
      </c>
      <c r="X43" s="23">
        <f ca="1">VLOOKUP($I43,OFFSET([2]enemies!$A$1,0,0,COUNTA([2]enemies!$A:$A),MATCH(X$1,[2]enemies!$1:$1,0)-MATCH($I$1,[2]enemies!$1:$1,0)+1),MATCH(X$1,[2]enemies!$1:$1,0)-MATCH($I$1,[2]enemies!$1:$1,0)+1,FALSE)</f>
        <v>3</v>
      </c>
      <c r="Y43" s="26">
        <v>45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2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3" s="7">
        <v>5</v>
      </c>
      <c r="AD43" s="29">
        <f t="shared" ca="1" si="19"/>
        <v>2</v>
      </c>
      <c r="AE43" s="8">
        <v>0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x14ac:dyDescent="0.15">
      <c r="A44" s="20" t="str">
        <f t="shared" ca="1" si="16"/>
        <v>30005_3-2/47&lt;lv46&gt;s1</v>
      </c>
      <c r="B44" s="27">
        <v>30005</v>
      </c>
      <c r="C44" s="50">
        <v>3</v>
      </c>
      <c r="D44" s="2" t="str">
        <f t="shared" ca="1" si="17"/>
        <v>30005_3</v>
      </c>
      <c r="E44" s="4" t="str">
        <f ca="1">VLOOKUP($B44,OFFSET([1]quests!$A$1,0,0,COUNTA([1]quests!$A:$A),MATCH(E$1,[1]quests!$1:$1,0)-MATCH($B$1,[1]quests!$1:$1,0)+1),MATCH(E$1,[1]quests!$1:$1,0)-MATCH($B$1,[1]quests!$1:$1,0)+1,FALSE)</f>
        <v>ニンゲンにしてあげる☆</v>
      </c>
      <c r="F44" s="4" t="str">
        <f ca="1">VLOOKUP($D44,OFFSET([1]stages!$A$1,0,0,COUNTA([1]stages!$A:$A),MATCH(F$1,[1]stages!$2:$2,0)-MATCH($D$1,[1]stages!$2:$2,0)+1),MATCH(F$1,[1]stages!$2:$2,0)-MATCH($D$1,[1]stages!$2:$2,0)+1,FALSE)</f>
        <v>【超級】ニンゲンにしてあげる</v>
      </c>
      <c r="G44" s="42">
        <v>2</v>
      </c>
      <c r="H44" s="19" t="str">
        <f t="shared" ca="1" si="18"/>
        <v>30005_3-2</v>
      </c>
      <c r="I44" s="26">
        <v>47</v>
      </c>
      <c r="J44" s="23" t="str">
        <f ca="1">VLOOKUP($I44,OFFSET([2]enemies!$A$1,0,0,COUNTA([2]enemies!$A:$A),MATCH(J$1,[2]enemies!$1:$1,0)-MATCH($I$1,[2]enemies!$1:$1,0)+1),MATCH(J$1,[2]enemies!$1:$1,0)-MATCH($I$1,[2]enemies!$1:$1,0)+1,FALSE)</f>
        <v>ヒロ</v>
      </c>
      <c r="K44" s="23" t="str">
        <f ca="1">VLOOKUP($I44,OFFSET([2]enemies!$A$1,0,0,COUNTA([2]enemies!$A:$A),MATCH(K$1,[2]enemies!$1:$1,0)-MATCH($I$1,[2]enemies!$1:$1,0)+1),MATCH(K$1,[2]enemies!$1:$1,0)-MATCH($I$1,[2]enemies!$1:$1,0)+1,FALSE)</f>
        <v>yellow</v>
      </c>
      <c r="L44" s="24" t="str">
        <f ca="1">VLOOKUP(I44,[3]characters!$A:$J,10,FALSE)</f>
        <v>Drop1N</v>
      </c>
      <c r="M44" s="23" t="str">
        <f ca="1">VLOOKUP($I44,OFFSET([2]enemies!$A$1,0,0,COUNTA([2]enemies!$A:$A),MATCH(M$1,[2]enemies!$1:$1,0)-MATCH($I$1,[2]enemies!$1:$1,0)+1),MATCH(M$1,[2]enemies!$1:$1,0)-MATCH($I$1,[2]enemies!$1:$1,0)+1,FALSE)</f>
        <v>animal</v>
      </c>
      <c r="N44" s="23">
        <f ca="1">VLOOKUP($I44,OFFSET([2]enemies!$A$1,0,0,COUNTA([2]enemies!$A:$A),MATCH(N$1,[2]enemies!$1:$1,0)-MATCH($I$1,[2]enemies!$1:$1,0)+1),MATCH(N$1,[2]enemies!$1:$1,0)-MATCH($I$1,[2]enemies!$1:$1,0)+1,FALSE)</f>
        <v>15</v>
      </c>
      <c r="O44" s="5">
        <v>46</v>
      </c>
      <c r="P44" s="30">
        <v>1</v>
      </c>
      <c r="Q44" s="30">
        <v>0.9</v>
      </c>
      <c r="R44" s="5">
        <v>0</v>
      </c>
      <c r="S44" s="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3">
        <f ca="1">VLOOKUP($I44,OFFSET([2]enemies!$A$1,0,0,COUNTA([2]enemies!$A:$A),MATCH(T$1,[2]enemies!$1:$1,0)-MATCH($I$1,[2]enemies!$1:$1,0)+1),MATCH(T$1,[2]enemies!$1:$1,0)-MATCH($I$1,[2]enemies!$1:$1,0)+1,FALSE)</f>
        <v>0</v>
      </c>
      <c r="U44" s="6">
        <v>0</v>
      </c>
      <c r="V44" s="6">
        <v>100</v>
      </c>
      <c r="W44" s="6">
        <v>0</v>
      </c>
      <c r="X44" s="23">
        <f ca="1">VLOOKUP($I44,OFFSET([2]enemies!$A$1,0,0,COUNTA([2]enemies!$A:$A),MATCH(X$1,[2]enemies!$1:$1,0)-MATCH($I$1,[2]enemies!$1:$1,0)+1),MATCH(X$1,[2]enemies!$1:$1,0)-MATCH($I$1,[2]enemies!$1:$1,0)+1,FALSE)</f>
        <v>1</v>
      </c>
      <c r="Y44" s="26">
        <v>47</v>
      </c>
      <c r="Z44" s="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4" s="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4" s="7">
        <v>5</v>
      </c>
      <c r="AD44" s="29">
        <f t="shared" ca="1" si="19"/>
        <v>2</v>
      </c>
      <c r="AE44" s="8">
        <v>0</v>
      </c>
      <c r="AF44" s="7">
        <v>0</v>
      </c>
      <c r="AG44" s="7">
        <v>0</v>
      </c>
      <c r="AH44" s="7">
        <v>0</v>
      </c>
      <c r="AI44" s="7">
        <v>0</v>
      </c>
      <c r="AJ44" s="7">
        <v>1</v>
      </c>
    </row>
    <row r="45" spans="1:36" ht="21" customHeight="1" x14ac:dyDescent="0.15">
      <c r="A45" s="20" t="str">
        <f t="shared" si="16"/>
        <v>30005_3-2/121&lt;lv46&gt;s3</v>
      </c>
      <c r="B45" s="27">
        <v>30005</v>
      </c>
      <c r="C45" s="51">
        <v>3</v>
      </c>
      <c r="D45" s="2" t="str">
        <f t="shared" ca="1" si="17"/>
        <v>30005_3</v>
      </c>
      <c r="E45" s="4" t="str">
        <f ca="1">VLOOKUP($B45,OFFSET([1]quests!$A$1,0,0,COUNTA([1]quests!$A:$A),MATCH(E$1,[1]quests!$1:$1,0)-MATCH($B$1,[1]quests!$1:$1,0)+1),MATCH(E$1,[1]quests!$1:$1,0)-MATCH($B$1,[1]quests!$1:$1,0)+1,FALSE)</f>
        <v>ニンゲンにしてあげる☆</v>
      </c>
      <c r="F45" s="4" t="str">
        <f ca="1">VLOOKUP($D45,OFFSET([1]stages!$A$1,0,0,COUNTA([1]stages!$A:$A),MATCH(F$1,[1]stages!$2:$2,0)-MATCH($D$1,[1]stages!$2:$2,0)+1),MATCH(F$1,[1]stages!$2:$2,0)-MATCH($D$1,[1]stages!$2:$2,0)+1,FALSE)</f>
        <v>【超級】ニンゲンにしてあげる</v>
      </c>
      <c r="G45" s="42">
        <v>2</v>
      </c>
      <c r="H45" s="19" t="str">
        <f t="shared" ca="1" si="18"/>
        <v>30005_3-2</v>
      </c>
      <c r="I45" s="26">
        <v>121</v>
      </c>
      <c r="J45" s="23" t="str">
        <f ca="1">VLOOKUP($I45,OFFSET([2]enemies!$A$1,0,0,COUNTA([2]enemies!$A:$A),MATCH(J$1,[2]enemies!$1:$1,0)-MATCH($I$1,[2]enemies!$1:$1,0)+1),MATCH(J$1,[2]enemies!$1:$1,0)-MATCH($I$1,[2]enemies!$1:$1,0)+1,FALSE)</f>
        <v>攻めの果実</v>
      </c>
      <c r="K45" s="23" t="str">
        <f ca="1">VLOOKUP($I45,OFFSET([2]enemies!$A$1,0,0,COUNTA([2]enemies!$A:$A),MATCH(K$1,[2]enemies!$1:$1,0)-MATCH($I$1,[2]enemies!$1:$1,0)+1),MATCH(K$1,[2]enemies!$1:$1,0)-MATCH($I$1,[2]enemies!$1:$1,0)+1,FALSE)</f>
        <v>red</v>
      </c>
      <c r="L45" s="24" t="str">
        <f ca="1">VLOOKUP(I45,[3]characters!$A:$J,10,FALSE)</f>
        <v>Material</v>
      </c>
      <c r="M45" s="23" t="str">
        <f ca="1">VLOOKUP($I45,OFFSET([2]enemies!$A$1,0,0,COUNTA([2]enemies!$A:$A),MATCH(M$1,[2]enemies!$1:$1,0)-MATCH($I$1,[2]enemies!$1:$1,0)+1),MATCH(M$1,[2]enemies!$1:$1,0)-MATCH($I$1,[2]enemies!$1:$1,0)+1,FALSE)</f>
        <v>unknown</v>
      </c>
      <c r="N45" s="23">
        <f ca="1">VLOOKUP($I45,OFFSET([2]enemies!$A$1,0,0,COUNTA([2]enemies!$A:$A),MATCH(N$1,[2]enemies!$1:$1,0)-MATCH($I$1,[2]enemies!$1:$1,0)+1),MATCH(N$1,[2]enemies!$1:$1,0)-MATCH($I$1,[2]enemies!$1:$1,0)+1,FALSE)</f>
        <v>20</v>
      </c>
      <c r="O45" s="5">
        <v>46</v>
      </c>
      <c r="P45" s="30">
        <v>1.2</v>
      </c>
      <c r="Q45" s="30">
        <v>1.1000000000000001</v>
      </c>
      <c r="R45" s="5">
        <v>0</v>
      </c>
      <c r="S45" s="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5" s="53">
        <v>1211</v>
      </c>
      <c r="U45" s="6">
        <v>1</v>
      </c>
      <c r="V45" s="6">
        <v>100</v>
      </c>
      <c r="W45" s="6">
        <v>1</v>
      </c>
      <c r="X45" s="53">
        <v>3</v>
      </c>
      <c r="Y45" s="26">
        <v>121</v>
      </c>
      <c r="Z45" s="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攻めの果実</v>
      </c>
      <c r="AA45" s="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3</v>
      </c>
      <c r="AB45" s="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5" s="7">
        <v>1</v>
      </c>
      <c r="AD45" s="29">
        <f t="shared" ca="1" si="19"/>
        <v>3</v>
      </c>
      <c r="AE45" s="8">
        <v>20</v>
      </c>
      <c r="AF45" s="7">
        <v>0</v>
      </c>
      <c r="AG45" s="7">
        <v>0</v>
      </c>
      <c r="AH45" s="7">
        <v>0</v>
      </c>
      <c r="AI45" s="7">
        <v>0</v>
      </c>
      <c r="AJ45" s="7">
        <v>1</v>
      </c>
    </row>
    <row r="46" spans="1:36" ht="21" customHeight="1" x14ac:dyDescent="0.15">
      <c r="A46" s="20" t="str">
        <f t="shared" ca="1" si="16"/>
        <v>30005_3-3/22&lt;lv47&gt;s2</v>
      </c>
      <c r="B46" s="27">
        <v>30005</v>
      </c>
      <c r="C46" s="42">
        <v>3</v>
      </c>
      <c r="D46" s="43" t="str">
        <f t="shared" ca="1" si="17"/>
        <v>30005_3</v>
      </c>
      <c r="E46" s="4" t="str">
        <f ca="1">VLOOKUP($B46,OFFSET([1]quests!$A$1,0,0,COUNTA([1]quests!$A:$A),MATCH(E$1,[1]quests!$1:$1,0)-MATCH($B$1,[1]quests!$1:$1,0)+1),MATCH(E$1,[1]quests!$1:$1,0)-MATCH($B$1,[1]quests!$1:$1,0)+1,FALSE)</f>
        <v>ニンゲンにしてあげる☆</v>
      </c>
      <c r="F46" s="4" t="str">
        <f ca="1">VLOOKUP($D46,OFFSET([1]stages!$A$1,0,0,COUNTA([1]stages!$A:$A),MATCH(F$1,[1]stages!$2:$2,0)-MATCH($D$1,[1]stages!$2:$2,0)+1),MATCH(F$1,[1]stages!$2:$2,0)-MATCH($D$1,[1]stages!$2:$2,0)+1,FALSE)</f>
        <v>【超級】ニンゲンにしてあげる</v>
      </c>
      <c r="G46" s="42">
        <v>3</v>
      </c>
      <c r="H46" s="43" t="str">
        <f t="shared" ca="1" si="18"/>
        <v>30005_3-3</v>
      </c>
      <c r="I46" s="42">
        <v>22</v>
      </c>
      <c r="J46" s="23" t="str">
        <f ca="1">VLOOKUP($I46,OFFSET([2]enemies!$A$1,0,0,COUNTA([2]enemies!$A:$A),MATCH(J$1,[2]enemies!$1:$1,0)-MATCH($I$1,[2]enemies!$1:$1,0)+1),MATCH(J$1,[2]enemies!$1:$1,0)-MATCH($I$1,[2]enemies!$1:$1,0)+1,FALSE)</f>
        <v>突然変異ヴェロキー</v>
      </c>
      <c r="K46" s="23" t="str">
        <f ca="1">VLOOKUP($I46,OFFSET([2]enemies!$A$1,0,0,COUNTA([2]enemies!$A:$A),MATCH(K$1,[2]enemies!$1:$1,0)-MATCH($I$1,[2]enemies!$1:$1,0)+1),MATCH(K$1,[2]enemies!$1:$1,0)-MATCH($I$1,[2]enemies!$1:$1,0)+1,FALSE)</f>
        <v>red</v>
      </c>
      <c r="L46" s="24" t="str">
        <f ca="1">VLOOKUP(I46,[3]characters!$A:$J,10,FALSE)</f>
        <v>Drop1N</v>
      </c>
      <c r="M46" s="23" t="str">
        <f ca="1">VLOOKUP($I46,OFFSET([2]enemies!$A$1,0,0,COUNTA([2]enemies!$A:$A),MATCH(M$1,[2]enemies!$1:$1,0)-MATCH($I$1,[2]enemies!$1:$1,0)+1),MATCH(M$1,[2]enemies!$1:$1,0)-MATCH($I$1,[2]enemies!$1:$1,0)+1,FALSE)</f>
        <v>dragon</v>
      </c>
      <c r="N46" s="23">
        <f ca="1">VLOOKUP($I46,OFFSET([2]enemies!$A$1,0,0,COUNTA([2]enemies!$A:$A),MATCH(N$1,[2]enemies!$1:$1,0)-MATCH($I$1,[2]enemies!$1:$1,0)+1),MATCH(N$1,[2]enemies!$1:$1,0)-MATCH($I$1,[2]enemies!$1:$1,0)+1,FALSE)</f>
        <v>15</v>
      </c>
      <c r="O46" s="5">
        <v>47</v>
      </c>
      <c r="P46" s="30">
        <v>1.2</v>
      </c>
      <c r="Q46" s="30">
        <v>1.1000000000000001</v>
      </c>
      <c r="R46" s="5">
        <v>0</v>
      </c>
      <c r="S46" s="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23">
        <f ca="1">VLOOKUP($I46,OFFSET([2]enemies!$A$1,0,0,COUNTA([2]enemies!$A:$A),MATCH(T$1,[2]enemies!$1:$1,0)-MATCH($I$1,[2]enemies!$1:$1,0)+1),MATCH(T$1,[2]enemies!$1:$1,0)-MATCH($I$1,[2]enemies!$1:$1,0)+1,FALSE)</f>
        <v>0</v>
      </c>
      <c r="U46" s="6">
        <v>0</v>
      </c>
      <c r="V46" s="6">
        <v>100</v>
      </c>
      <c r="W46" s="6">
        <v>0</v>
      </c>
      <c r="X46" s="23">
        <f ca="1">VLOOKUP($I46,OFFSET([2]enemies!$A$1,0,0,COUNTA([2]enemies!$A:$A),MATCH(X$1,[2]enemies!$1:$1,0)-MATCH($I$1,[2]enemies!$1:$1,0)+1),MATCH(X$1,[2]enemies!$1:$1,0)-MATCH($I$1,[2]enemies!$1:$1,0)+1,FALSE)</f>
        <v>2</v>
      </c>
      <c r="Y46" s="42">
        <v>22</v>
      </c>
      <c r="Z46" s="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突然変異ヴェロキー</v>
      </c>
      <c r="AA46" s="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2</v>
      </c>
      <c r="AB46" s="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7">
        <v>5</v>
      </c>
      <c r="AD46" s="29">
        <f t="shared" ca="1" si="19"/>
        <v>2</v>
      </c>
      <c r="AE46" s="8">
        <v>15</v>
      </c>
      <c r="AF46" s="7">
        <v>0</v>
      </c>
      <c r="AG46" s="7">
        <v>0</v>
      </c>
      <c r="AH46" s="7">
        <v>0</v>
      </c>
      <c r="AI46" s="7">
        <v>0</v>
      </c>
      <c r="AJ46" s="7">
        <v>1</v>
      </c>
    </row>
    <row r="47" spans="1:36" ht="21" customHeight="1" x14ac:dyDescent="0.15">
      <c r="A47" s="20" t="str">
        <f t="shared" ca="1" si="16"/>
        <v>30005_3-3/41&lt;lv47&gt;s1</v>
      </c>
      <c r="B47" s="27">
        <v>30005</v>
      </c>
      <c r="C47" s="42">
        <v>3</v>
      </c>
      <c r="D47" s="2" t="str">
        <f t="shared" ca="1" si="17"/>
        <v>30005_3</v>
      </c>
      <c r="E47" s="4" t="str">
        <f ca="1">VLOOKUP($B47,OFFSET([1]quests!$A$1,0,0,COUNTA([1]quests!$A:$A),MATCH(E$1,[1]quests!$1:$1,0)-MATCH($B$1,[1]quests!$1:$1,0)+1),MATCH(E$1,[1]quests!$1:$1,0)-MATCH($B$1,[1]quests!$1:$1,0)+1,FALSE)</f>
        <v>ニンゲンにしてあげる☆</v>
      </c>
      <c r="F47" s="4" t="str">
        <f ca="1">VLOOKUP($D47,OFFSET([1]stages!$A$1,0,0,COUNTA([1]stages!$A:$A),MATCH(F$1,[1]stages!$2:$2,0)-MATCH($D$1,[1]stages!$2:$2,0)+1),MATCH(F$1,[1]stages!$2:$2,0)-MATCH($D$1,[1]stages!$2:$2,0)+1,FALSE)</f>
        <v>【超級】ニンゲンにしてあげる</v>
      </c>
      <c r="G47" s="42">
        <v>3</v>
      </c>
      <c r="H47" s="19" t="str">
        <f t="shared" ca="1" si="18"/>
        <v>30005_3-3</v>
      </c>
      <c r="I47" s="26">
        <v>41</v>
      </c>
      <c r="J47" s="23" t="str">
        <f ca="1">VLOOKUP($I47,OFFSET([2]enemies!$A$1,0,0,COUNTA([2]enemies!$A:$A),MATCH(J$1,[2]enemies!$1:$1,0)-MATCH($I$1,[2]enemies!$1:$1,0)+1),MATCH(J$1,[2]enemies!$1:$1,0)-MATCH($I$1,[2]enemies!$1:$1,0)+1,FALSE)</f>
        <v>ヒュウガ</v>
      </c>
      <c r="K47" s="23" t="str">
        <f ca="1">VLOOKUP($I47,OFFSET([2]enemies!$A$1,0,0,COUNTA([2]enemies!$A:$A),MATCH(K$1,[2]enemies!$1:$1,0)-MATCH($I$1,[2]enemies!$1:$1,0)+1),MATCH(K$1,[2]enemies!$1:$1,0)-MATCH($I$1,[2]enemies!$1:$1,0)+1,FALSE)</f>
        <v>red</v>
      </c>
      <c r="L47" s="24" t="str">
        <f ca="1">VLOOKUP(I47,[3]characters!$A:$J,10,FALSE)</f>
        <v>Drop1N</v>
      </c>
      <c r="M47" s="23" t="str">
        <f ca="1">VLOOKUP($I47,OFFSET([2]enemies!$A$1,0,0,COUNTA([2]enemies!$A:$A),MATCH(M$1,[2]enemies!$1:$1,0)-MATCH($I$1,[2]enemies!$1:$1,0)+1),MATCH(M$1,[2]enemies!$1:$1,0)-MATCH($I$1,[2]enemies!$1:$1,0)+1,FALSE)</f>
        <v>dragon</v>
      </c>
      <c r="N47" s="23">
        <f ca="1">VLOOKUP($I47,OFFSET([2]enemies!$A$1,0,0,COUNTA([2]enemies!$A:$A),MATCH(N$1,[2]enemies!$1:$1,0)-MATCH($I$1,[2]enemies!$1:$1,0)+1),MATCH(N$1,[2]enemies!$1:$1,0)-MATCH($I$1,[2]enemies!$1:$1,0)+1,FALSE)</f>
        <v>15</v>
      </c>
      <c r="O47" s="5">
        <v>47</v>
      </c>
      <c r="P47" s="30">
        <v>1.2</v>
      </c>
      <c r="Q47" s="30">
        <v>1.1000000000000001</v>
      </c>
      <c r="R47" s="5">
        <v>0</v>
      </c>
      <c r="S47" s="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3">
        <f ca="1">VLOOKUP($I47,OFFSET([2]enemies!$A$1,0,0,COUNTA([2]enemies!$A:$A),MATCH(T$1,[2]enemies!$1:$1,0)-MATCH($I$1,[2]enemies!$1:$1,0)+1),MATCH(T$1,[2]enemies!$1:$1,0)-MATCH($I$1,[2]enemies!$1:$1,0)+1,FALSE)</f>
        <v>0</v>
      </c>
      <c r="U47" s="6">
        <v>0</v>
      </c>
      <c r="V47" s="6">
        <v>100</v>
      </c>
      <c r="W47" s="6">
        <v>0</v>
      </c>
      <c r="X47" s="23">
        <f ca="1">VLOOKUP($I47,OFFSET([2]enemies!$A$1,0,0,COUNTA([2]enemies!$A:$A),MATCH(X$1,[2]enemies!$1:$1,0)-MATCH($I$1,[2]enemies!$1:$1,0)+1),MATCH(X$1,[2]enemies!$1:$1,0)-MATCH($I$1,[2]enemies!$1:$1,0)+1,FALSE)</f>
        <v>1</v>
      </c>
      <c r="Y47" s="26">
        <v>41</v>
      </c>
      <c r="Z47" s="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7" s="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7">
        <v>5</v>
      </c>
      <c r="AD47" s="29">
        <f t="shared" ca="1" si="19"/>
        <v>2</v>
      </c>
      <c r="AE47" s="8">
        <v>15</v>
      </c>
      <c r="AF47" s="7">
        <v>0</v>
      </c>
      <c r="AG47" s="7">
        <v>0</v>
      </c>
      <c r="AH47" s="7">
        <v>0</v>
      </c>
      <c r="AI47" s="7">
        <v>0</v>
      </c>
      <c r="AJ47" s="7">
        <v>1</v>
      </c>
    </row>
    <row r="48" spans="1:36" ht="21" customHeight="1" x14ac:dyDescent="0.15">
      <c r="A48" s="20" t="str">
        <f t="shared" ca="1" si="16"/>
        <v>30005_3-3/47&lt;lv47&gt;s1</v>
      </c>
      <c r="B48" s="27">
        <v>30005</v>
      </c>
      <c r="C48" s="42">
        <v>3</v>
      </c>
      <c r="D48" s="2" t="str">
        <f t="shared" ca="1" si="17"/>
        <v>30005_3</v>
      </c>
      <c r="E48" s="4" t="str">
        <f ca="1">VLOOKUP($B48,OFFSET([1]quests!$A$1,0,0,COUNTA([1]quests!$A:$A),MATCH(E$1,[1]quests!$1:$1,0)-MATCH($B$1,[1]quests!$1:$1,0)+1),MATCH(E$1,[1]quests!$1:$1,0)-MATCH($B$1,[1]quests!$1:$1,0)+1,FALSE)</f>
        <v>ニンゲンにしてあげる☆</v>
      </c>
      <c r="F48" s="4" t="str">
        <f ca="1">VLOOKUP($D48,OFFSET([1]stages!$A$1,0,0,COUNTA([1]stages!$A:$A),MATCH(F$1,[1]stages!$2:$2,0)-MATCH($D$1,[1]stages!$2:$2,0)+1),MATCH(F$1,[1]stages!$2:$2,0)-MATCH($D$1,[1]stages!$2:$2,0)+1,FALSE)</f>
        <v>【超級】ニンゲンにしてあげる</v>
      </c>
      <c r="G48" s="42">
        <v>3</v>
      </c>
      <c r="H48" s="19" t="str">
        <f t="shared" ca="1" si="18"/>
        <v>30005_3-3</v>
      </c>
      <c r="I48" s="26">
        <v>47</v>
      </c>
      <c r="J48" s="23" t="str">
        <f ca="1">VLOOKUP($I48,OFFSET([2]enemies!$A$1,0,0,COUNTA([2]enemies!$A:$A),MATCH(J$1,[2]enemies!$1:$1,0)-MATCH($I$1,[2]enemies!$1:$1,0)+1),MATCH(J$1,[2]enemies!$1:$1,0)-MATCH($I$1,[2]enemies!$1:$1,0)+1,FALSE)</f>
        <v>ヒロ</v>
      </c>
      <c r="K48" s="23" t="str">
        <f ca="1">VLOOKUP($I48,OFFSET([2]enemies!$A$1,0,0,COUNTA([2]enemies!$A:$A),MATCH(K$1,[2]enemies!$1:$1,0)-MATCH($I$1,[2]enemies!$1:$1,0)+1),MATCH(K$1,[2]enemies!$1:$1,0)-MATCH($I$1,[2]enemies!$1:$1,0)+1,FALSE)</f>
        <v>yellow</v>
      </c>
      <c r="L48" s="24" t="str">
        <f ca="1">VLOOKUP(I48,[3]characters!$A:$J,10,FALSE)</f>
        <v>Drop1N</v>
      </c>
      <c r="M48" s="23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23">
        <f ca="1">VLOOKUP($I48,OFFSET([2]enemies!$A$1,0,0,COUNTA([2]enemies!$A:$A),MATCH(N$1,[2]enemies!$1:$1,0)-MATCH($I$1,[2]enemies!$1:$1,0)+1),MATCH(N$1,[2]enemies!$1:$1,0)-MATCH($I$1,[2]enemies!$1:$1,0)+1,FALSE)</f>
        <v>15</v>
      </c>
      <c r="O48" s="5">
        <v>47</v>
      </c>
      <c r="P48" s="30">
        <v>1</v>
      </c>
      <c r="Q48" s="30">
        <v>1</v>
      </c>
      <c r="R48" s="5">
        <v>0</v>
      </c>
      <c r="S48" s="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3">
        <f ca="1">VLOOKUP($I48,OFFSET([2]enemies!$A$1,0,0,COUNTA([2]enemies!$A:$A),MATCH(T$1,[2]enemies!$1:$1,0)-MATCH($I$1,[2]enemies!$1:$1,0)+1),MATCH(T$1,[2]enemies!$1:$1,0)-MATCH($I$1,[2]enemies!$1:$1,0)+1,FALSE)</f>
        <v>0</v>
      </c>
      <c r="U48" s="6">
        <v>0</v>
      </c>
      <c r="V48" s="6">
        <v>100</v>
      </c>
      <c r="W48" s="6">
        <v>0</v>
      </c>
      <c r="X48" s="23">
        <f ca="1">VLOOKUP($I48,OFFSET([2]enemies!$A$1,0,0,COUNTA([2]enemies!$A:$A),MATCH(X$1,[2]enemies!$1:$1,0)-MATCH($I$1,[2]enemies!$1:$1,0)+1),MATCH(X$1,[2]enemies!$1:$1,0)-MATCH($I$1,[2]enemies!$1:$1,0)+1,FALSE)</f>
        <v>1</v>
      </c>
      <c r="Y48" s="26">
        <v>47</v>
      </c>
      <c r="Z48" s="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8" s="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2</v>
      </c>
      <c r="AB48" s="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7">
        <v>5</v>
      </c>
      <c r="AD48" s="29">
        <f t="shared" ca="1" si="19"/>
        <v>2</v>
      </c>
      <c r="AE48" s="8">
        <v>15</v>
      </c>
      <c r="AF48" s="7">
        <v>0</v>
      </c>
      <c r="AG48" s="7">
        <v>0</v>
      </c>
      <c r="AH48" s="7">
        <v>0</v>
      </c>
      <c r="AI48" s="7">
        <v>0</v>
      </c>
      <c r="AJ48" s="7">
        <v>1</v>
      </c>
    </row>
    <row r="49" spans="1:36" ht="21" customHeight="1" x14ac:dyDescent="0.15">
      <c r="A49" s="20" t="str">
        <f t="shared" ref="A49" ca="1" si="20">B49&amp;"_"&amp;C49&amp;"-"&amp;G49&amp;"/"&amp;I49&amp;"&lt;lv"&amp;O49&amp;"&gt;s"&amp;X49</f>
        <v>30005_3-4/291&lt;lv50&gt;s2</v>
      </c>
      <c r="B49" s="27">
        <v>30005</v>
      </c>
      <c r="C49" s="50">
        <v>3</v>
      </c>
      <c r="D49" s="43" t="str">
        <f t="shared" ref="D49" ca="1" si="21">B49&amp;"_"&amp;C49</f>
        <v>30005_3</v>
      </c>
      <c r="E49" s="4" t="str">
        <f ca="1">VLOOKUP($B49,OFFSET([1]quests!$A$1,0,0,COUNTA([1]quests!$A:$A),MATCH(E$1,[1]quests!$1:$1,0)-MATCH($B$1,[1]quests!$1:$1,0)+1),MATCH(E$1,[1]quests!$1:$1,0)-MATCH($B$1,[1]quests!$1:$1,0)+1,FALSE)</f>
        <v>ニンゲンにしてあげる☆</v>
      </c>
      <c r="F49" s="4" t="str">
        <f ca="1">VLOOKUP($D49,OFFSET([1]stages!$A$1,0,0,COUNTA([1]stages!$A:$A),MATCH(F$1,[1]stages!$2:$2,0)-MATCH($D$1,[1]stages!$2:$2,0)+1),MATCH(F$1,[1]stages!$2:$2,0)-MATCH($D$1,[1]stages!$2:$2,0)+1,FALSE)</f>
        <v>【超級】ニンゲンにしてあげる</v>
      </c>
      <c r="G49" s="42">
        <v>4</v>
      </c>
      <c r="H49" s="43" t="str">
        <f t="shared" ref="H49" ca="1" si="22">B49&amp;"_"&amp;C49&amp;"-"&amp;G49</f>
        <v>30005_3-4</v>
      </c>
      <c r="I49" s="42">
        <v>291</v>
      </c>
      <c r="J49" s="23" t="str">
        <f ca="1">VLOOKUP($I49,OFFSET([2]enemies!$A$1,0,0,COUNTA([2]enemies!$A:$A),MATCH(J$1,[2]enemies!$1:$1,0)-MATCH($I$1,[2]enemies!$1:$1,0)+1),MATCH(J$1,[2]enemies!$1:$1,0)-MATCH($I$1,[2]enemies!$1:$1,0)+1,FALSE)</f>
        <v>魔改造のウィッチ・オクトパス</v>
      </c>
      <c r="K49" s="23" t="str">
        <f ca="1">VLOOKUP($I49,OFFSET([2]enemies!$A$1,0,0,COUNTA([2]enemies!$A:$A),MATCH(K$1,[2]enemies!$1:$1,0)-MATCH($I$1,[2]enemies!$1:$1,0)+1),MATCH(K$1,[2]enemies!$1:$1,0)-MATCH($I$1,[2]enemies!$1:$1,0)+1,FALSE)</f>
        <v>red</v>
      </c>
      <c r="L49" s="24" t="str">
        <f ca="1">VLOOKUP(I49,[3]characters!$A:$J,10,FALSE)</f>
        <v>Drop2N</v>
      </c>
      <c r="M49" s="23" t="str">
        <f ca="1">VLOOKUP($I49,OFFSET([2]enemies!$A$1,0,0,COUNTA([2]enemies!$A:$A),MATCH(M$1,[2]enemies!$1:$1,0)-MATCH($I$1,[2]enemies!$1:$1,0)+1),MATCH(M$1,[2]enemies!$1:$1,0)-MATCH($I$1,[2]enemies!$1:$1,0)+1,FALSE)</f>
        <v>human</v>
      </c>
      <c r="N49" s="23">
        <f ca="1">VLOOKUP($I49,OFFSET([2]enemies!$A$1,0,0,COUNTA([2]enemies!$A:$A),MATCH(N$1,[2]enemies!$1:$1,0)-MATCH($I$1,[2]enemies!$1:$1,0)+1),MATCH(N$1,[2]enemies!$1:$1,0)-MATCH($I$1,[2]enemies!$1:$1,0)+1,FALSE)</f>
        <v>60</v>
      </c>
      <c r="O49" s="5">
        <v>50</v>
      </c>
      <c r="P49" s="30">
        <v>4.5</v>
      </c>
      <c r="Q49" s="30">
        <v>1.5</v>
      </c>
      <c r="R49" s="5">
        <v>0</v>
      </c>
      <c r="S49" s="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余裕の笑みを浮かべている</v>
      </c>
      <c r="T49" s="23">
        <f ca="1">VLOOKUP($I49,OFFSET([2]enemies!$A$1,0,0,COUNTA([2]enemies!$A:$A),MATCH(T$1,[2]enemies!$1:$1,0)-MATCH($I$1,[2]enemies!$1:$1,0)+1),MATCH(T$1,[2]enemies!$1:$1,0)-MATCH($I$1,[2]enemies!$1:$1,0)+1,FALSE)</f>
        <v>29002</v>
      </c>
      <c r="U49" s="6">
        <v>1</v>
      </c>
      <c r="V49" s="6">
        <v>100</v>
      </c>
      <c r="W49" s="6">
        <v>1</v>
      </c>
      <c r="X49" s="23">
        <f ca="1">VLOOKUP($I49,OFFSET([2]enemies!$A$1,0,0,COUNTA([2]enemies!$A:$A),MATCH(X$1,[2]enemies!$1:$1,0)-MATCH($I$1,[2]enemies!$1:$1,0)+1),MATCH(X$1,[2]enemies!$1:$1,0)-MATCH($I$1,[2]enemies!$1:$1,0)+1,FALSE)</f>
        <v>2</v>
      </c>
      <c r="Y49" s="42">
        <v>290</v>
      </c>
      <c r="Z49" s="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ウィッチ・オクトパス</v>
      </c>
      <c r="AA49" s="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4</v>
      </c>
      <c r="AB49" s="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49" s="7">
        <v>1</v>
      </c>
      <c r="AD49" s="29">
        <f t="shared" ref="AD49" ca="1" si="23">AA49</f>
        <v>4</v>
      </c>
      <c r="AE49" s="54">
        <v>100</v>
      </c>
      <c r="AF49" s="7">
        <v>0</v>
      </c>
      <c r="AG49" s="7">
        <v>0</v>
      </c>
      <c r="AH49" s="7">
        <v>0</v>
      </c>
      <c r="AI49" s="7">
        <v>0</v>
      </c>
      <c r="AJ49" s="7">
        <v>1</v>
      </c>
    </row>
  </sheetData>
  <sheetProtection selectLockedCells="1" selectUnlockedCells="1"/>
  <autoFilter ref="B1:AE49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3" sqref="G23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floors_multi_2_1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30005_1-1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30005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30005_1-2</v>
      </c>
      <c r="B4" s="18">
        <f t="shared" si="1"/>
        <v>30005</v>
      </c>
      <c r="C4" s="18">
        <f t="shared" si="1"/>
        <v>1</v>
      </c>
      <c r="D4" s="18">
        <f t="shared" si="1"/>
        <v>2</v>
      </c>
      <c r="E4" s="18">
        <f t="shared" si="1"/>
        <v>55</v>
      </c>
      <c r="F4" s="18">
        <f t="shared" si="1"/>
        <v>55</v>
      </c>
    </row>
    <row r="5" spans="1:6" x14ac:dyDescent="0.15">
      <c r="A5" s="22" t="str">
        <f t="shared" si="0"/>
        <v>30005_1-3</v>
      </c>
      <c r="B5" s="18">
        <f t="shared" si="1"/>
        <v>30005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30005_1-4</v>
      </c>
      <c r="B6" s="18">
        <f t="shared" si="1"/>
        <v>30005</v>
      </c>
      <c r="C6" s="18">
        <f t="shared" si="1"/>
        <v>1</v>
      </c>
      <c r="D6" s="18">
        <f t="shared" si="1"/>
        <v>4</v>
      </c>
      <c r="E6" s="18">
        <f t="shared" si="1"/>
        <v>30</v>
      </c>
      <c r="F6" s="18">
        <f t="shared" si="1"/>
        <v>30</v>
      </c>
    </row>
    <row r="7" spans="1:6" x14ac:dyDescent="0.15">
      <c r="A7" s="22" t="str">
        <f t="shared" si="0"/>
        <v>30005_2-1</v>
      </c>
      <c r="B7" s="18">
        <f t="shared" si="1"/>
        <v>30005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30005_2-2</v>
      </c>
      <c r="B8" s="18">
        <f t="shared" si="1"/>
        <v>30005</v>
      </c>
      <c r="C8" s="18">
        <f t="shared" si="1"/>
        <v>2</v>
      </c>
      <c r="D8" s="18">
        <f t="shared" si="1"/>
        <v>2</v>
      </c>
      <c r="E8" s="18">
        <f t="shared" si="1"/>
        <v>55</v>
      </c>
      <c r="F8" s="18">
        <f t="shared" si="1"/>
        <v>55</v>
      </c>
    </row>
    <row r="9" spans="1:6" x14ac:dyDescent="0.15">
      <c r="A9" s="22" t="str">
        <f t="shared" si="0"/>
        <v>30005_2-3</v>
      </c>
      <c r="B9" s="18">
        <f t="shared" si="1"/>
        <v>30005</v>
      </c>
      <c r="C9" s="18">
        <f t="shared" si="1"/>
        <v>2</v>
      </c>
      <c r="D9" s="18">
        <f t="shared" si="1"/>
        <v>3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30005_2-4</v>
      </c>
      <c r="B10" s="18">
        <f t="shared" si="1"/>
        <v>30005</v>
      </c>
      <c r="C10" s="18">
        <f t="shared" si="1"/>
        <v>2</v>
      </c>
      <c r="D10" s="18">
        <f t="shared" si="1"/>
        <v>4</v>
      </c>
      <c r="E10" s="18">
        <f t="shared" si="1"/>
        <v>30</v>
      </c>
      <c r="F10" s="18">
        <f t="shared" si="1"/>
        <v>30</v>
      </c>
    </row>
    <row r="11" spans="1:6" x14ac:dyDescent="0.15">
      <c r="A11" s="22" t="str">
        <f t="shared" si="0"/>
        <v>30005_3-1</v>
      </c>
      <c r="B11" s="18">
        <f t="shared" si="1"/>
        <v>30005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30005_3-2</v>
      </c>
      <c r="B12" s="18">
        <f t="shared" si="1"/>
        <v>30005</v>
      </c>
      <c r="C12" s="18">
        <f t="shared" si="1"/>
        <v>3</v>
      </c>
      <c r="D12" s="18">
        <f t="shared" si="1"/>
        <v>2</v>
      </c>
      <c r="E12" s="18">
        <f t="shared" si="1"/>
        <v>55</v>
      </c>
      <c r="F12" s="18">
        <f t="shared" si="1"/>
        <v>55</v>
      </c>
    </row>
    <row r="13" spans="1:6" x14ac:dyDescent="0.15">
      <c r="A13" s="22" t="str">
        <f t="shared" si="0"/>
        <v>30005_3-3</v>
      </c>
      <c r="B13" s="18">
        <f t="shared" si="1"/>
        <v>30005</v>
      </c>
      <c r="C13" s="18">
        <f t="shared" si="1"/>
        <v>3</v>
      </c>
      <c r="D13" s="18">
        <f t="shared" si="1"/>
        <v>3</v>
      </c>
      <c r="E13" s="18">
        <f t="shared" si="1"/>
        <v>45</v>
      </c>
      <c r="F13" s="18">
        <f t="shared" si="1"/>
        <v>45</v>
      </c>
    </row>
    <row r="14" spans="1:6" x14ac:dyDescent="0.15">
      <c r="A14" s="22" t="str">
        <f t="shared" si="0"/>
        <v>30005_3-4</v>
      </c>
      <c r="B14" s="18">
        <f t="shared" si="1"/>
        <v>30005</v>
      </c>
      <c r="C14" s="18">
        <f t="shared" si="1"/>
        <v>3</v>
      </c>
      <c r="D14" s="18">
        <f t="shared" si="1"/>
        <v>4</v>
      </c>
      <c r="E14" s="18">
        <f t="shared" si="1"/>
        <v>60</v>
      </c>
      <c r="F14" s="18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53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32" sqref="K32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 ca="1">MATCH(A2,INDIRECT(C1&amp;"!A:A"),0)-2</f>
        <v>-1</v>
      </c>
      <c r="B1" s="16" t="str">
        <f ca="1">"$"&amp;2+$A$1&amp;":$"&amp;2+$A$1</f>
        <v>$1:$1</v>
      </c>
      <c r="C1" s="15" t="str">
        <f ca="1">SUBSTITUTE(RIGHT(CELL("filename",$C$1),LEN(CELL("filename",$C$1))-FIND("]",CELL("filename",$C$1))),".tmp","")</f>
        <v>enemy_habitats_multi_2_1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 ca="1">INDIRECT(ADDRESS(ROW()+$A$1,COLUMN(),1,TRUE,$C$1))</f>
        <v>30005_1-1/9&lt;lv24&gt;s2</v>
      </c>
      <c r="B3" s="18">
        <f t="shared" ref="B3:W14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30005</v>
      </c>
      <c r="C3" s="18">
        <f t="shared" ca="1" si="0"/>
        <v>1</v>
      </c>
      <c r="D3" s="18">
        <f t="shared" ca="1" si="0"/>
        <v>1</v>
      </c>
      <c r="E3" s="18">
        <f t="shared" ca="1" si="0"/>
        <v>9</v>
      </c>
      <c r="F3" s="18">
        <f t="shared" ca="1" si="0"/>
        <v>24</v>
      </c>
      <c r="G3" s="18">
        <f t="shared" ca="1" si="0"/>
        <v>1.3</v>
      </c>
      <c r="H3" s="18">
        <f t="shared" ca="1" si="0"/>
        <v>1.1000000000000001</v>
      </c>
      <c r="I3" s="18">
        <f t="shared" ca="1" si="0"/>
        <v>0</v>
      </c>
      <c r="J3" s="18">
        <f t="shared" ca="1" si="0"/>
        <v>0</v>
      </c>
      <c r="K3" s="18">
        <f t="shared" ca="1" si="0"/>
        <v>0</v>
      </c>
      <c r="L3" s="18">
        <f t="shared" ca="1" si="0"/>
        <v>100</v>
      </c>
      <c r="M3" s="18">
        <f t="shared" ca="1" si="0"/>
        <v>0</v>
      </c>
      <c r="N3" s="18">
        <f t="shared" ca="1" si="0"/>
        <v>2</v>
      </c>
      <c r="O3" s="18">
        <f t="shared" ca="1" si="0"/>
        <v>9</v>
      </c>
      <c r="P3" s="18">
        <f t="shared" ca="1" si="0"/>
        <v>4</v>
      </c>
      <c r="Q3" s="18">
        <f t="shared" ca="1" si="0"/>
        <v>1</v>
      </c>
      <c r="R3" s="18">
        <f t="shared" ca="1" si="0"/>
        <v>15</v>
      </c>
      <c r="S3" s="18">
        <f t="shared" ca="1" si="0"/>
        <v>0</v>
      </c>
      <c r="T3" s="18">
        <f t="shared" ca="1" si="0"/>
        <v>0</v>
      </c>
      <c r="U3" s="18">
        <f t="shared" ca="1" si="0"/>
        <v>0</v>
      </c>
      <c r="V3" s="18">
        <f t="shared" ca="1" si="0"/>
        <v>0</v>
      </c>
      <c r="W3" s="18">
        <f t="shared" ca="1" si="0"/>
        <v>1</v>
      </c>
    </row>
    <row r="4" spans="1:23" x14ac:dyDescent="0.15">
      <c r="A4" s="22" t="str">
        <f t="shared" ref="A4:A50" ca="1" si="1">INDIRECT(ADDRESS(ROW()+$A$1,COLUMN(),1,TRUE,$C$1))</f>
        <v>30005_1-1/11&lt;lv24&gt;s3</v>
      </c>
      <c r="B4" s="18">
        <f t="shared" ca="1" si="0"/>
        <v>30005</v>
      </c>
      <c r="C4" s="18">
        <f t="shared" ca="1" si="0"/>
        <v>1</v>
      </c>
      <c r="D4" s="18">
        <f t="shared" ca="1" si="0"/>
        <v>1</v>
      </c>
      <c r="E4" s="18">
        <f t="shared" ca="1" si="0"/>
        <v>11</v>
      </c>
      <c r="F4" s="18">
        <f t="shared" ca="1" si="0"/>
        <v>24</v>
      </c>
      <c r="G4" s="18">
        <f t="shared" ca="1" si="0"/>
        <v>1.3</v>
      </c>
      <c r="H4" s="18">
        <f t="shared" ca="1" si="0"/>
        <v>1.1000000000000001</v>
      </c>
      <c r="I4" s="18">
        <f t="shared" ca="1" si="0"/>
        <v>0</v>
      </c>
      <c r="J4" s="18">
        <f t="shared" ca="1" si="0"/>
        <v>0</v>
      </c>
      <c r="K4" s="18">
        <f t="shared" ca="1" si="0"/>
        <v>0</v>
      </c>
      <c r="L4" s="18">
        <f t="shared" ca="1" si="0"/>
        <v>100</v>
      </c>
      <c r="M4" s="18">
        <f t="shared" ca="1" si="0"/>
        <v>0</v>
      </c>
      <c r="N4" s="18">
        <f t="shared" ca="1" si="0"/>
        <v>3</v>
      </c>
      <c r="O4" s="18">
        <f t="shared" ca="1" si="0"/>
        <v>11</v>
      </c>
      <c r="P4" s="18">
        <f t="shared" ca="1" si="0"/>
        <v>4</v>
      </c>
      <c r="Q4" s="18">
        <f t="shared" ca="1" si="0"/>
        <v>1</v>
      </c>
      <c r="R4" s="18">
        <f t="shared" ca="1" si="0"/>
        <v>15</v>
      </c>
      <c r="S4" s="18">
        <f t="shared" ca="1" si="0"/>
        <v>0</v>
      </c>
      <c r="T4" s="18">
        <f t="shared" ca="1" si="0"/>
        <v>0</v>
      </c>
      <c r="U4" s="18">
        <f t="shared" ca="1" si="0"/>
        <v>0</v>
      </c>
      <c r="V4" s="18">
        <f t="shared" ca="1" si="0"/>
        <v>0</v>
      </c>
      <c r="W4" s="18">
        <f t="shared" ca="1" si="0"/>
        <v>1</v>
      </c>
    </row>
    <row r="5" spans="1:23" x14ac:dyDescent="0.15">
      <c r="A5" s="22" t="str">
        <f t="shared" ca="1" si="1"/>
        <v>30005_1-1/13&lt;lv24&gt;s2</v>
      </c>
      <c r="B5" s="18">
        <f t="shared" ca="1" si="0"/>
        <v>30005</v>
      </c>
      <c r="C5" s="18">
        <f t="shared" ca="1" si="0"/>
        <v>1</v>
      </c>
      <c r="D5" s="18">
        <f t="shared" ca="1" si="0"/>
        <v>1</v>
      </c>
      <c r="E5" s="18">
        <f t="shared" ca="1" si="0"/>
        <v>13</v>
      </c>
      <c r="F5" s="18">
        <f t="shared" ca="1" si="0"/>
        <v>24</v>
      </c>
      <c r="G5" s="18">
        <f t="shared" ca="1" si="0"/>
        <v>1.3</v>
      </c>
      <c r="H5" s="18">
        <f t="shared" ca="1" si="0"/>
        <v>1</v>
      </c>
      <c r="I5" s="18">
        <f t="shared" ca="1" si="0"/>
        <v>0</v>
      </c>
      <c r="J5" s="18">
        <f t="shared" ca="1" si="0"/>
        <v>0</v>
      </c>
      <c r="K5" s="18">
        <f t="shared" ca="1" si="0"/>
        <v>0</v>
      </c>
      <c r="L5" s="18">
        <f t="shared" ca="1" si="0"/>
        <v>100</v>
      </c>
      <c r="M5" s="18">
        <f t="shared" ca="1" si="0"/>
        <v>0</v>
      </c>
      <c r="N5" s="18">
        <f t="shared" ca="1" si="0"/>
        <v>2</v>
      </c>
      <c r="O5" s="18">
        <f t="shared" ca="1" si="0"/>
        <v>13</v>
      </c>
      <c r="P5" s="18">
        <f t="shared" ca="1" si="0"/>
        <v>4</v>
      </c>
      <c r="Q5" s="18">
        <f t="shared" ca="1" si="0"/>
        <v>1</v>
      </c>
      <c r="R5" s="18">
        <f t="shared" ca="1" si="0"/>
        <v>15</v>
      </c>
      <c r="S5" s="18">
        <f t="shared" ca="1" si="0"/>
        <v>0</v>
      </c>
      <c r="T5" s="18">
        <f t="shared" ca="1" si="0"/>
        <v>0</v>
      </c>
      <c r="U5" s="18">
        <f t="shared" ca="1" si="0"/>
        <v>0</v>
      </c>
      <c r="V5" s="18">
        <f t="shared" ca="1" si="0"/>
        <v>0</v>
      </c>
      <c r="W5" s="18">
        <f t="shared" ca="1" si="0"/>
        <v>1</v>
      </c>
    </row>
    <row r="6" spans="1:23" x14ac:dyDescent="0.15">
      <c r="A6" s="22" t="str">
        <f t="shared" ca="1" si="1"/>
        <v>30005_1-1/22&lt;lv24&gt;s2</v>
      </c>
      <c r="B6" s="18">
        <f t="shared" ca="1" si="0"/>
        <v>30005</v>
      </c>
      <c r="C6" s="18">
        <f t="shared" ca="1" si="0"/>
        <v>1</v>
      </c>
      <c r="D6" s="18">
        <f t="shared" ca="1" si="0"/>
        <v>1</v>
      </c>
      <c r="E6" s="18">
        <f t="shared" ca="1" si="0"/>
        <v>22</v>
      </c>
      <c r="F6" s="18">
        <f t="shared" ca="1" si="0"/>
        <v>24</v>
      </c>
      <c r="G6" s="18">
        <f t="shared" ca="1" si="0"/>
        <v>1.3</v>
      </c>
      <c r="H6" s="18">
        <f t="shared" ca="1" si="0"/>
        <v>1.1000000000000001</v>
      </c>
      <c r="I6" s="18">
        <f t="shared" ca="1" si="0"/>
        <v>0</v>
      </c>
      <c r="J6" s="18">
        <f t="shared" ca="1" si="0"/>
        <v>0</v>
      </c>
      <c r="K6" s="18">
        <f t="shared" ca="1" si="0"/>
        <v>0</v>
      </c>
      <c r="L6" s="18">
        <f t="shared" ca="1" si="0"/>
        <v>100</v>
      </c>
      <c r="M6" s="18">
        <f t="shared" ca="1" si="0"/>
        <v>0</v>
      </c>
      <c r="N6" s="18">
        <f t="shared" ca="1" si="0"/>
        <v>2</v>
      </c>
      <c r="O6" s="18">
        <f t="shared" ca="1" si="0"/>
        <v>22</v>
      </c>
      <c r="P6" s="18">
        <f t="shared" ca="1" si="0"/>
        <v>2</v>
      </c>
      <c r="Q6" s="18">
        <f t="shared" ca="1" si="0"/>
        <v>2</v>
      </c>
      <c r="R6" s="18">
        <f t="shared" ca="1" si="0"/>
        <v>15</v>
      </c>
      <c r="S6" s="18">
        <f t="shared" ca="1" si="0"/>
        <v>0</v>
      </c>
      <c r="T6" s="18">
        <f t="shared" ca="1" si="0"/>
        <v>0</v>
      </c>
      <c r="U6" s="18">
        <f t="shared" ca="1" si="0"/>
        <v>0</v>
      </c>
      <c r="V6" s="18">
        <f t="shared" ca="1" si="0"/>
        <v>0</v>
      </c>
      <c r="W6" s="18">
        <f t="shared" ca="1" si="0"/>
        <v>1</v>
      </c>
    </row>
    <row r="7" spans="1:23" x14ac:dyDescent="0.15">
      <c r="A7" s="22" t="str">
        <f t="shared" ca="1" si="1"/>
        <v>30005_1-1/17&lt;lv24&gt;s2</v>
      </c>
      <c r="B7" s="18">
        <f t="shared" ca="1" si="0"/>
        <v>30005</v>
      </c>
      <c r="C7" s="18">
        <f t="shared" ca="1" si="0"/>
        <v>1</v>
      </c>
      <c r="D7" s="18">
        <f t="shared" ca="1" si="0"/>
        <v>1</v>
      </c>
      <c r="E7" s="18">
        <f t="shared" ca="1" si="0"/>
        <v>17</v>
      </c>
      <c r="F7" s="18">
        <f t="shared" ca="1" si="0"/>
        <v>24</v>
      </c>
      <c r="G7" s="18">
        <f t="shared" ca="1" si="0"/>
        <v>1.3</v>
      </c>
      <c r="H7" s="18">
        <f t="shared" ca="1" si="0"/>
        <v>1.1000000000000001</v>
      </c>
      <c r="I7" s="18">
        <f t="shared" ca="1" si="0"/>
        <v>0</v>
      </c>
      <c r="J7" s="18">
        <f t="shared" ca="1" si="0"/>
        <v>0</v>
      </c>
      <c r="K7" s="18">
        <f t="shared" ca="1" si="0"/>
        <v>0</v>
      </c>
      <c r="L7" s="18">
        <f t="shared" ca="1" si="0"/>
        <v>100</v>
      </c>
      <c r="M7" s="18">
        <f t="shared" ca="1" si="0"/>
        <v>0</v>
      </c>
      <c r="N7" s="18">
        <f t="shared" ca="1" si="0"/>
        <v>2</v>
      </c>
      <c r="O7" s="18">
        <f t="shared" ca="1" si="0"/>
        <v>17</v>
      </c>
      <c r="P7" s="18">
        <f t="shared" ca="1" si="0"/>
        <v>4</v>
      </c>
      <c r="Q7" s="18">
        <f t="shared" ca="1" si="0"/>
        <v>1</v>
      </c>
      <c r="R7" s="18">
        <f t="shared" ca="1" si="0"/>
        <v>15</v>
      </c>
      <c r="S7" s="18">
        <f t="shared" ca="1" si="0"/>
        <v>0</v>
      </c>
      <c r="T7" s="18">
        <f t="shared" ca="1" si="0"/>
        <v>0</v>
      </c>
      <c r="U7" s="18">
        <f t="shared" ca="1" si="0"/>
        <v>0</v>
      </c>
      <c r="V7" s="18">
        <f t="shared" ca="1" si="0"/>
        <v>0</v>
      </c>
      <c r="W7" s="18">
        <f t="shared" ca="1" si="0"/>
        <v>1</v>
      </c>
    </row>
    <row r="8" spans="1:23" x14ac:dyDescent="0.15">
      <c r="A8" s="22" t="str">
        <f t="shared" ca="1" si="1"/>
        <v>30005_1-2/9&lt;lv24&gt;s2</v>
      </c>
      <c r="B8" s="18">
        <f t="shared" ca="1" si="0"/>
        <v>30005</v>
      </c>
      <c r="C8" s="18">
        <f t="shared" ca="1" si="0"/>
        <v>1</v>
      </c>
      <c r="D8" s="18">
        <f t="shared" ca="1" si="0"/>
        <v>2</v>
      </c>
      <c r="E8" s="18">
        <f t="shared" ca="1" si="0"/>
        <v>9</v>
      </c>
      <c r="F8" s="18">
        <f t="shared" ca="1" si="0"/>
        <v>24</v>
      </c>
      <c r="G8" s="18">
        <f t="shared" ca="1" si="0"/>
        <v>1.3</v>
      </c>
      <c r="H8" s="18">
        <f t="shared" ca="1" si="0"/>
        <v>1.1000000000000001</v>
      </c>
      <c r="I8" s="18">
        <f t="shared" ca="1" si="0"/>
        <v>0</v>
      </c>
      <c r="J8" s="18">
        <f t="shared" ca="1" si="0"/>
        <v>0</v>
      </c>
      <c r="K8" s="18">
        <f t="shared" ca="1" si="0"/>
        <v>0</v>
      </c>
      <c r="L8" s="18">
        <f t="shared" ca="1" si="0"/>
        <v>100</v>
      </c>
      <c r="M8" s="18">
        <f t="shared" ca="1" si="0"/>
        <v>0</v>
      </c>
      <c r="N8" s="18">
        <f t="shared" ca="1" si="0"/>
        <v>2</v>
      </c>
      <c r="O8" s="18">
        <f t="shared" ca="1" si="0"/>
        <v>9</v>
      </c>
      <c r="P8" s="18">
        <f t="shared" ca="1" si="0"/>
        <v>4</v>
      </c>
      <c r="Q8" s="18">
        <f t="shared" ca="1" si="0"/>
        <v>1</v>
      </c>
      <c r="R8" s="18">
        <f t="shared" ca="1" si="0"/>
        <v>0</v>
      </c>
      <c r="S8" s="18">
        <f t="shared" ca="1" si="0"/>
        <v>0</v>
      </c>
      <c r="T8" s="18">
        <f t="shared" ca="1" si="0"/>
        <v>0</v>
      </c>
      <c r="U8" s="18">
        <f t="shared" ca="1" si="0"/>
        <v>0</v>
      </c>
      <c r="V8" s="18">
        <f t="shared" ca="1" si="0"/>
        <v>0</v>
      </c>
      <c r="W8" s="18">
        <f t="shared" ca="1" si="0"/>
        <v>1</v>
      </c>
    </row>
    <row r="9" spans="1:23" x14ac:dyDescent="0.15">
      <c r="A9" s="22" t="str">
        <f t="shared" ca="1" si="1"/>
        <v>30005_1-2/11&lt;lv24&gt;s3</v>
      </c>
      <c r="B9" s="18">
        <f t="shared" ca="1" si="0"/>
        <v>30005</v>
      </c>
      <c r="C9" s="18">
        <f t="shared" ca="1" si="0"/>
        <v>1</v>
      </c>
      <c r="D9" s="18">
        <f t="shared" ca="1" si="0"/>
        <v>2</v>
      </c>
      <c r="E9" s="18">
        <f t="shared" ca="1" si="0"/>
        <v>11</v>
      </c>
      <c r="F9" s="18">
        <f t="shared" ca="1" si="0"/>
        <v>24</v>
      </c>
      <c r="G9" s="18">
        <f t="shared" ca="1" si="0"/>
        <v>1.3</v>
      </c>
      <c r="H9" s="18">
        <f t="shared" ca="1" si="0"/>
        <v>1.1000000000000001</v>
      </c>
      <c r="I9" s="18">
        <f t="shared" ca="1" si="0"/>
        <v>0</v>
      </c>
      <c r="J9" s="18">
        <f t="shared" ca="1" si="0"/>
        <v>0</v>
      </c>
      <c r="K9" s="18">
        <f t="shared" ca="1" si="0"/>
        <v>0</v>
      </c>
      <c r="L9" s="18">
        <f t="shared" ca="1" si="0"/>
        <v>100</v>
      </c>
      <c r="M9" s="18">
        <f t="shared" ca="1" si="0"/>
        <v>0</v>
      </c>
      <c r="N9" s="18">
        <f t="shared" ca="1" si="0"/>
        <v>3</v>
      </c>
      <c r="O9" s="18">
        <f t="shared" ca="1" si="0"/>
        <v>11</v>
      </c>
      <c r="P9" s="18">
        <f t="shared" ca="1" si="0"/>
        <v>4</v>
      </c>
      <c r="Q9" s="18">
        <f t="shared" ca="1" si="0"/>
        <v>1</v>
      </c>
      <c r="R9" s="18">
        <f t="shared" ca="1" si="0"/>
        <v>0</v>
      </c>
      <c r="S9" s="18">
        <f t="shared" ca="1" si="0"/>
        <v>0</v>
      </c>
      <c r="T9" s="18">
        <f t="shared" ca="1" si="0"/>
        <v>0</v>
      </c>
      <c r="U9" s="18">
        <f t="shared" ca="1" si="0"/>
        <v>0</v>
      </c>
      <c r="V9" s="18">
        <f t="shared" ca="1" si="0"/>
        <v>0</v>
      </c>
      <c r="W9" s="18">
        <f t="shared" ca="1" si="0"/>
        <v>1</v>
      </c>
    </row>
    <row r="10" spans="1:23" x14ac:dyDescent="0.15">
      <c r="A10" s="22" t="str">
        <f t="shared" ca="1" si="1"/>
        <v>30005_1-2/13&lt;lv24&gt;s2</v>
      </c>
      <c r="B10" s="18">
        <f t="shared" ca="1" si="0"/>
        <v>30005</v>
      </c>
      <c r="C10" s="18">
        <f t="shared" ca="1" si="0"/>
        <v>1</v>
      </c>
      <c r="D10" s="18">
        <f t="shared" ca="1" si="0"/>
        <v>2</v>
      </c>
      <c r="E10" s="18">
        <f t="shared" ca="1" si="0"/>
        <v>13</v>
      </c>
      <c r="F10" s="18">
        <f t="shared" ca="1" si="0"/>
        <v>24</v>
      </c>
      <c r="G10" s="18">
        <f t="shared" ca="1" si="0"/>
        <v>1.3</v>
      </c>
      <c r="H10" s="18">
        <f t="shared" ca="1" si="0"/>
        <v>1</v>
      </c>
      <c r="I10" s="18">
        <f t="shared" ca="1" si="0"/>
        <v>0</v>
      </c>
      <c r="J10" s="18">
        <f t="shared" ca="1" si="0"/>
        <v>0</v>
      </c>
      <c r="K10" s="18">
        <f t="shared" ca="1" si="0"/>
        <v>0</v>
      </c>
      <c r="L10" s="18">
        <f t="shared" ca="1" si="0"/>
        <v>100</v>
      </c>
      <c r="M10" s="18">
        <f t="shared" ca="1" si="0"/>
        <v>0</v>
      </c>
      <c r="N10" s="18">
        <f t="shared" ca="1" si="0"/>
        <v>2</v>
      </c>
      <c r="O10" s="18">
        <f t="shared" ca="1" si="0"/>
        <v>13</v>
      </c>
      <c r="P10" s="18">
        <f t="shared" ca="1" si="0"/>
        <v>4</v>
      </c>
      <c r="Q10" s="18">
        <f t="shared" ca="1" si="0"/>
        <v>1</v>
      </c>
      <c r="R10" s="18">
        <f t="shared" ca="1" si="0"/>
        <v>0</v>
      </c>
      <c r="S10" s="18">
        <f t="shared" ca="1" si="0"/>
        <v>0</v>
      </c>
      <c r="T10" s="18">
        <f t="shared" ca="1" si="0"/>
        <v>0</v>
      </c>
      <c r="U10" s="18">
        <f t="shared" ca="1" si="0"/>
        <v>0</v>
      </c>
      <c r="V10" s="18">
        <f t="shared" ca="1" si="0"/>
        <v>0</v>
      </c>
      <c r="W10" s="18">
        <f t="shared" ca="1" si="0"/>
        <v>1</v>
      </c>
    </row>
    <row r="11" spans="1:23" x14ac:dyDescent="0.15">
      <c r="A11" s="22" t="str">
        <f t="shared" ca="1" si="1"/>
        <v>30005_1-2/22&lt;lv24&gt;s2</v>
      </c>
      <c r="B11" s="18">
        <f t="shared" ca="1" si="0"/>
        <v>30005</v>
      </c>
      <c r="C11" s="18">
        <f t="shared" ca="1" si="0"/>
        <v>1</v>
      </c>
      <c r="D11" s="18">
        <f t="shared" ca="1" si="0"/>
        <v>2</v>
      </c>
      <c r="E11" s="18">
        <f t="shared" ca="1" si="0"/>
        <v>22</v>
      </c>
      <c r="F11" s="18">
        <f t="shared" ca="1" si="0"/>
        <v>24</v>
      </c>
      <c r="G11" s="18">
        <f t="shared" ca="1" si="0"/>
        <v>1.3</v>
      </c>
      <c r="H11" s="18">
        <f t="shared" ca="1" si="0"/>
        <v>1.1000000000000001</v>
      </c>
      <c r="I11" s="18">
        <f t="shared" ca="1" si="0"/>
        <v>0</v>
      </c>
      <c r="J11" s="18">
        <f t="shared" ca="1" si="0"/>
        <v>0</v>
      </c>
      <c r="K11" s="18">
        <f t="shared" ca="1" si="0"/>
        <v>0</v>
      </c>
      <c r="L11" s="18">
        <f t="shared" ca="1" si="0"/>
        <v>100</v>
      </c>
      <c r="M11" s="18">
        <f t="shared" ca="1" si="0"/>
        <v>0</v>
      </c>
      <c r="N11" s="18">
        <f t="shared" ca="1" si="0"/>
        <v>2</v>
      </c>
      <c r="O11" s="18">
        <f t="shared" ca="1" si="0"/>
        <v>22</v>
      </c>
      <c r="P11" s="18">
        <f t="shared" ca="1" si="0"/>
        <v>2</v>
      </c>
      <c r="Q11" s="18">
        <f t="shared" ca="1" si="0"/>
        <v>2</v>
      </c>
      <c r="R11" s="18">
        <f t="shared" ca="1" si="0"/>
        <v>0</v>
      </c>
      <c r="S11" s="18">
        <f t="shared" ca="1" si="0"/>
        <v>0</v>
      </c>
      <c r="T11" s="18">
        <f t="shared" ca="1" si="0"/>
        <v>0</v>
      </c>
      <c r="U11" s="18">
        <f t="shared" ca="1" si="0"/>
        <v>0</v>
      </c>
      <c r="V11" s="18">
        <f t="shared" ca="1" si="0"/>
        <v>0</v>
      </c>
      <c r="W11" s="18">
        <f t="shared" ca="1" si="0"/>
        <v>1</v>
      </c>
    </row>
    <row r="12" spans="1:23" x14ac:dyDescent="0.15">
      <c r="A12" s="22" t="str">
        <f t="shared" ca="1" si="1"/>
        <v>30005_1-2/17&lt;lv24&gt;s2</v>
      </c>
      <c r="B12" s="18">
        <f t="shared" ca="1" si="0"/>
        <v>30005</v>
      </c>
      <c r="C12" s="18">
        <f t="shared" ca="1" si="0"/>
        <v>1</v>
      </c>
      <c r="D12" s="18">
        <f t="shared" ca="1" si="0"/>
        <v>2</v>
      </c>
      <c r="E12" s="18">
        <f t="shared" ca="1" si="0"/>
        <v>17</v>
      </c>
      <c r="F12" s="18">
        <f t="shared" ca="1" si="0"/>
        <v>24</v>
      </c>
      <c r="G12" s="18">
        <f t="shared" ca="1" si="0"/>
        <v>1.3</v>
      </c>
      <c r="H12" s="18">
        <f t="shared" ca="1" si="0"/>
        <v>1.1000000000000001</v>
      </c>
      <c r="I12" s="18">
        <f t="shared" ca="1" si="0"/>
        <v>0</v>
      </c>
      <c r="J12" s="18">
        <f t="shared" ca="1" si="0"/>
        <v>0</v>
      </c>
      <c r="K12" s="18">
        <f t="shared" ca="1" si="0"/>
        <v>0</v>
      </c>
      <c r="L12" s="18">
        <f t="shared" ca="1" si="0"/>
        <v>100</v>
      </c>
      <c r="M12" s="18">
        <f t="shared" ca="1" si="0"/>
        <v>0</v>
      </c>
      <c r="N12" s="18">
        <f t="shared" ca="1" si="0"/>
        <v>2</v>
      </c>
      <c r="O12" s="18">
        <f t="shared" ca="1" si="0"/>
        <v>17</v>
      </c>
      <c r="P12" s="18">
        <f t="shared" ca="1" si="0"/>
        <v>4</v>
      </c>
      <c r="Q12" s="18">
        <f t="shared" ca="1" si="0"/>
        <v>1</v>
      </c>
      <c r="R12" s="18">
        <f t="shared" ca="1" si="0"/>
        <v>0</v>
      </c>
      <c r="S12" s="18">
        <f t="shared" ca="1" si="0"/>
        <v>0</v>
      </c>
      <c r="T12" s="18">
        <f t="shared" ca="1" si="0"/>
        <v>0</v>
      </c>
      <c r="U12" s="18">
        <f t="shared" ca="1" si="0"/>
        <v>0</v>
      </c>
      <c r="V12" s="18">
        <f t="shared" ca="1" si="0"/>
        <v>0</v>
      </c>
      <c r="W12" s="18">
        <f t="shared" ca="1" si="0"/>
        <v>1</v>
      </c>
    </row>
    <row r="13" spans="1:23" x14ac:dyDescent="0.15">
      <c r="A13" s="22" t="str">
        <f t="shared" ca="1" si="1"/>
        <v>30005_1-2/121&lt;lv24&gt;s3</v>
      </c>
      <c r="B13" s="18">
        <f t="shared" ca="1" si="0"/>
        <v>30005</v>
      </c>
      <c r="C13" s="18">
        <f t="shared" ca="1" si="0"/>
        <v>1</v>
      </c>
      <c r="D13" s="18">
        <f t="shared" ca="1" si="0"/>
        <v>2</v>
      </c>
      <c r="E13" s="18">
        <f t="shared" ca="1" si="0"/>
        <v>121</v>
      </c>
      <c r="F13" s="18">
        <f t="shared" ca="1" si="0"/>
        <v>24</v>
      </c>
      <c r="G13" s="18">
        <f t="shared" ca="1" si="0"/>
        <v>1.3</v>
      </c>
      <c r="H13" s="18">
        <f t="shared" ca="1" si="0"/>
        <v>1.1000000000000001</v>
      </c>
      <c r="I13" s="18">
        <f t="shared" ca="1" si="0"/>
        <v>0</v>
      </c>
      <c r="J13" s="18">
        <f t="shared" ca="1" si="0"/>
        <v>1211</v>
      </c>
      <c r="K13" s="18">
        <f t="shared" ca="1" si="0"/>
        <v>1</v>
      </c>
      <c r="L13" s="18">
        <f t="shared" ca="1" si="0"/>
        <v>100</v>
      </c>
      <c r="M13" s="18">
        <f t="shared" ca="1" si="0"/>
        <v>1</v>
      </c>
      <c r="N13" s="18">
        <f t="shared" ca="1" si="0"/>
        <v>3</v>
      </c>
      <c r="O13" s="18">
        <f t="shared" ca="1" si="0"/>
        <v>121</v>
      </c>
      <c r="P13" s="18">
        <f t="shared" ca="1" si="0"/>
        <v>1</v>
      </c>
      <c r="Q13" s="18">
        <f t="shared" ca="1" si="0"/>
        <v>3</v>
      </c>
      <c r="R13" s="18">
        <f t="shared" ca="1" si="0"/>
        <v>10</v>
      </c>
      <c r="S13" s="18">
        <f t="shared" ca="1" si="0"/>
        <v>0</v>
      </c>
      <c r="T13" s="18">
        <f t="shared" ca="1" si="0"/>
        <v>0</v>
      </c>
      <c r="U13" s="18">
        <f t="shared" ca="1" si="0"/>
        <v>0</v>
      </c>
      <c r="V13" s="18">
        <f t="shared" ca="1" si="0"/>
        <v>0</v>
      </c>
      <c r="W13" s="18">
        <f t="shared" ca="1" si="0"/>
        <v>1</v>
      </c>
    </row>
    <row r="14" spans="1:23" x14ac:dyDescent="0.15">
      <c r="A14" s="22" t="str">
        <f t="shared" ca="1" si="1"/>
        <v>30005_1-3/9&lt;lv24&gt;s2</v>
      </c>
      <c r="B14" s="18">
        <f t="shared" ca="1" si="0"/>
        <v>30005</v>
      </c>
      <c r="C14" s="18">
        <f t="shared" ca="1" si="0"/>
        <v>1</v>
      </c>
      <c r="D14" s="18">
        <f t="shared" ca="1" si="0"/>
        <v>3</v>
      </c>
      <c r="E14" s="18">
        <f t="shared" ca="1" si="0"/>
        <v>9</v>
      </c>
      <c r="F14" s="18">
        <f t="shared" ca="1" si="0"/>
        <v>24</v>
      </c>
      <c r="G14" s="18">
        <f t="shared" ca="1" si="0"/>
        <v>1.3</v>
      </c>
      <c r="H14" s="18">
        <f t="shared" ca="1" si="0"/>
        <v>1.1000000000000001</v>
      </c>
      <c r="I14" s="18">
        <f t="shared" ca="1" si="0"/>
        <v>0</v>
      </c>
      <c r="J14" s="18">
        <f t="shared" ca="1" si="0"/>
        <v>0</v>
      </c>
      <c r="K14" s="18">
        <f t="shared" ca="1" si="0"/>
        <v>0</v>
      </c>
      <c r="L14" s="18">
        <f t="shared" ca="1" si="0"/>
        <v>100</v>
      </c>
      <c r="M14" s="18">
        <f t="shared" ca="1" si="0"/>
        <v>0</v>
      </c>
      <c r="N14" s="18">
        <f t="shared" ca="1" si="0"/>
        <v>2</v>
      </c>
      <c r="O14" s="18">
        <f t="shared" ref="O14:W29" ca="1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9</v>
      </c>
      <c r="P14" s="18">
        <f t="shared" ca="1" si="2"/>
        <v>4</v>
      </c>
      <c r="Q14" s="18">
        <f t="shared" ca="1" si="2"/>
        <v>1</v>
      </c>
      <c r="R14" s="18">
        <f t="shared" ca="1" si="2"/>
        <v>15</v>
      </c>
      <c r="S14" s="18">
        <f t="shared" ca="1" si="2"/>
        <v>0</v>
      </c>
      <c r="T14" s="18">
        <f t="shared" ca="1" si="2"/>
        <v>0</v>
      </c>
      <c r="U14" s="18">
        <f t="shared" ca="1" si="2"/>
        <v>0</v>
      </c>
      <c r="V14" s="18">
        <f t="shared" ca="1" si="2"/>
        <v>0</v>
      </c>
      <c r="W14" s="18">
        <f t="shared" ca="1" si="2"/>
        <v>1</v>
      </c>
    </row>
    <row r="15" spans="1:23" x14ac:dyDescent="0.15">
      <c r="A15" s="22" t="str">
        <f t="shared" ca="1" si="1"/>
        <v>30005_1-3/11&lt;lv24&gt;s3</v>
      </c>
      <c r="B15" s="18">
        <f t="shared" ref="B15:Q30" ca="1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30005</v>
      </c>
      <c r="C15" s="18">
        <f t="shared" ca="1" si="3"/>
        <v>1</v>
      </c>
      <c r="D15" s="18">
        <f t="shared" ca="1" si="3"/>
        <v>3</v>
      </c>
      <c r="E15" s="18">
        <f t="shared" ca="1" si="3"/>
        <v>11</v>
      </c>
      <c r="F15" s="18">
        <f t="shared" ca="1" si="3"/>
        <v>24</v>
      </c>
      <c r="G15" s="18">
        <f t="shared" ca="1" si="3"/>
        <v>1.3</v>
      </c>
      <c r="H15" s="18">
        <f t="shared" ca="1" si="3"/>
        <v>1.1000000000000001</v>
      </c>
      <c r="I15" s="18">
        <f t="shared" ca="1" si="3"/>
        <v>0</v>
      </c>
      <c r="J15" s="18">
        <f t="shared" ca="1" si="3"/>
        <v>0</v>
      </c>
      <c r="K15" s="18">
        <f t="shared" ca="1" si="3"/>
        <v>0</v>
      </c>
      <c r="L15" s="18">
        <f t="shared" ca="1" si="3"/>
        <v>100</v>
      </c>
      <c r="M15" s="18">
        <f t="shared" ca="1" si="3"/>
        <v>0</v>
      </c>
      <c r="N15" s="18">
        <f t="shared" ca="1" si="3"/>
        <v>3</v>
      </c>
      <c r="O15" s="18">
        <f t="shared" ca="1" si="3"/>
        <v>11</v>
      </c>
      <c r="P15" s="18">
        <f t="shared" ca="1" si="3"/>
        <v>4</v>
      </c>
      <c r="Q15" s="18">
        <f t="shared" ca="1" si="3"/>
        <v>1</v>
      </c>
      <c r="R15" s="18">
        <f t="shared" ca="1" si="2"/>
        <v>15</v>
      </c>
      <c r="S15" s="18">
        <f t="shared" ca="1" si="2"/>
        <v>0</v>
      </c>
      <c r="T15" s="18">
        <f t="shared" ca="1" si="2"/>
        <v>0</v>
      </c>
      <c r="U15" s="18">
        <f t="shared" ca="1" si="2"/>
        <v>0</v>
      </c>
      <c r="V15" s="18">
        <f t="shared" ca="1" si="2"/>
        <v>0</v>
      </c>
      <c r="W15" s="18">
        <f t="shared" ca="1" si="2"/>
        <v>1</v>
      </c>
    </row>
    <row r="16" spans="1:23" x14ac:dyDescent="0.15">
      <c r="A16" s="22" t="str">
        <f t="shared" ca="1" si="1"/>
        <v>30005_1-3/13&lt;lv24&gt;s2</v>
      </c>
      <c r="B16" s="18">
        <f t="shared" ca="1" si="3"/>
        <v>30005</v>
      </c>
      <c r="C16" s="18">
        <f t="shared" ca="1" si="3"/>
        <v>1</v>
      </c>
      <c r="D16" s="18">
        <f t="shared" ca="1" si="3"/>
        <v>3</v>
      </c>
      <c r="E16" s="18">
        <f t="shared" ca="1" si="3"/>
        <v>13</v>
      </c>
      <c r="F16" s="18">
        <f t="shared" ca="1" si="3"/>
        <v>24</v>
      </c>
      <c r="G16" s="18">
        <f t="shared" ca="1" si="3"/>
        <v>1.3</v>
      </c>
      <c r="H16" s="18">
        <f t="shared" ca="1" si="3"/>
        <v>1</v>
      </c>
      <c r="I16" s="18">
        <f t="shared" ca="1" si="3"/>
        <v>0</v>
      </c>
      <c r="J16" s="18">
        <f t="shared" ca="1" si="3"/>
        <v>0</v>
      </c>
      <c r="K16" s="18">
        <f t="shared" ca="1" si="3"/>
        <v>0</v>
      </c>
      <c r="L16" s="18">
        <f t="shared" ca="1" si="3"/>
        <v>100</v>
      </c>
      <c r="M16" s="18">
        <f t="shared" ca="1" si="3"/>
        <v>0</v>
      </c>
      <c r="N16" s="18">
        <f t="shared" ca="1" si="3"/>
        <v>2</v>
      </c>
      <c r="O16" s="18">
        <f t="shared" ca="1" si="3"/>
        <v>13</v>
      </c>
      <c r="P16" s="18">
        <f t="shared" ca="1" si="3"/>
        <v>4</v>
      </c>
      <c r="Q16" s="18">
        <f t="shared" ca="1" si="3"/>
        <v>1</v>
      </c>
      <c r="R16" s="18">
        <f t="shared" ca="1" si="2"/>
        <v>15</v>
      </c>
      <c r="S16" s="18">
        <f t="shared" ca="1" si="2"/>
        <v>0</v>
      </c>
      <c r="T16" s="18">
        <f t="shared" ca="1" si="2"/>
        <v>0</v>
      </c>
      <c r="U16" s="18">
        <f t="shared" ca="1" si="2"/>
        <v>0</v>
      </c>
      <c r="V16" s="18">
        <f t="shared" ca="1" si="2"/>
        <v>0</v>
      </c>
      <c r="W16" s="18">
        <f t="shared" ca="1" si="2"/>
        <v>1</v>
      </c>
    </row>
    <row r="17" spans="1:23" x14ac:dyDescent="0.15">
      <c r="A17" s="22" t="str">
        <f t="shared" ca="1" si="1"/>
        <v>30005_1-3/22&lt;lv24&gt;s2</v>
      </c>
      <c r="B17" s="18">
        <f t="shared" ca="1" si="3"/>
        <v>30005</v>
      </c>
      <c r="C17" s="18">
        <f t="shared" ca="1" si="3"/>
        <v>1</v>
      </c>
      <c r="D17" s="18">
        <f t="shared" ca="1" si="3"/>
        <v>3</v>
      </c>
      <c r="E17" s="18">
        <f t="shared" ca="1" si="3"/>
        <v>22</v>
      </c>
      <c r="F17" s="18">
        <f t="shared" ca="1" si="3"/>
        <v>24</v>
      </c>
      <c r="G17" s="18">
        <f t="shared" ca="1" si="3"/>
        <v>1.3</v>
      </c>
      <c r="H17" s="18">
        <f t="shared" ca="1" si="3"/>
        <v>1.1000000000000001</v>
      </c>
      <c r="I17" s="18">
        <f t="shared" ca="1" si="3"/>
        <v>0</v>
      </c>
      <c r="J17" s="18">
        <f t="shared" ca="1" si="3"/>
        <v>0</v>
      </c>
      <c r="K17" s="18">
        <f t="shared" ca="1" si="3"/>
        <v>0</v>
      </c>
      <c r="L17" s="18">
        <f t="shared" ca="1" si="3"/>
        <v>100</v>
      </c>
      <c r="M17" s="18">
        <f t="shared" ca="1" si="3"/>
        <v>0</v>
      </c>
      <c r="N17" s="18">
        <f t="shared" ca="1" si="3"/>
        <v>2</v>
      </c>
      <c r="O17" s="18">
        <f t="shared" ca="1" si="3"/>
        <v>22</v>
      </c>
      <c r="P17" s="18">
        <f t="shared" ca="1" si="3"/>
        <v>2</v>
      </c>
      <c r="Q17" s="18">
        <f t="shared" ca="1" si="3"/>
        <v>2</v>
      </c>
      <c r="R17" s="18">
        <f t="shared" ca="1" si="2"/>
        <v>15</v>
      </c>
      <c r="S17" s="18">
        <f t="shared" ca="1" si="2"/>
        <v>0</v>
      </c>
      <c r="T17" s="18">
        <f t="shared" ca="1" si="2"/>
        <v>0</v>
      </c>
      <c r="U17" s="18">
        <f t="shared" ca="1" si="2"/>
        <v>0</v>
      </c>
      <c r="V17" s="18">
        <f t="shared" ca="1" si="2"/>
        <v>0</v>
      </c>
      <c r="W17" s="18">
        <f t="shared" ca="1" si="2"/>
        <v>1</v>
      </c>
    </row>
    <row r="18" spans="1:23" x14ac:dyDescent="0.15">
      <c r="A18" s="22" t="str">
        <f t="shared" ca="1" si="1"/>
        <v>30005_1-3/17&lt;lv24&gt;s2</v>
      </c>
      <c r="B18" s="18">
        <f t="shared" ca="1" si="3"/>
        <v>30005</v>
      </c>
      <c r="C18" s="18">
        <f t="shared" ca="1" si="3"/>
        <v>1</v>
      </c>
      <c r="D18" s="18">
        <f t="shared" ca="1" si="3"/>
        <v>3</v>
      </c>
      <c r="E18" s="18">
        <f t="shared" ca="1" si="3"/>
        <v>17</v>
      </c>
      <c r="F18" s="18">
        <f t="shared" ca="1" si="3"/>
        <v>24</v>
      </c>
      <c r="G18" s="18">
        <f t="shared" ca="1" si="3"/>
        <v>1.3</v>
      </c>
      <c r="H18" s="18">
        <f t="shared" ca="1" si="3"/>
        <v>1.1000000000000001</v>
      </c>
      <c r="I18" s="18">
        <f t="shared" ca="1" si="3"/>
        <v>0</v>
      </c>
      <c r="J18" s="18">
        <f t="shared" ca="1" si="3"/>
        <v>0</v>
      </c>
      <c r="K18" s="18">
        <f t="shared" ca="1" si="3"/>
        <v>0</v>
      </c>
      <c r="L18" s="18">
        <f t="shared" ca="1" si="3"/>
        <v>100</v>
      </c>
      <c r="M18" s="18">
        <f t="shared" ca="1" si="3"/>
        <v>0</v>
      </c>
      <c r="N18" s="18">
        <f t="shared" ca="1" si="3"/>
        <v>2</v>
      </c>
      <c r="O18" s="18">
        <f t="shared" ca="1" si="3"/>
        <v>17</v>
      </c>
      <c r="P18" s="18">
        <f t="shared" ca="1" si="3"/>
        <v>4</v>
      </c>
      <c r="Q18" s="18">
        <f t="shared" ca="1" si="3"/>
        <v>1</v>
      </c>
      <c r="R18" s="18">
        <f t="shared" ca="1" si="2"/>
        <v>15</v>
      </c>
      <c r="S18" s="18">
        <f t="shared" ca="1" si="2"/>
        <v>0</v>
      </c>
      <c r="T18" s="18">
        <f t="shared" ca="1" si="2"/>
        <v>0</v>
      </c>
      <c r="U18" s="18">
        <f t="shared" ca="1" si="2"/>
        <v>0</v>
      </c>
      <c r="V18" s="18">
        <f t="shared" ca="1" si="2"/>
        <v>0</v>
      </c>
      <c r="W18" s="18">
        <f t="shared" ca="1" si="2"/>
        <v>1</v>
      </c>
    </row>
    <row r="19" spans="1:23" x14ac:dyDescent="0.15">
      <c r="A19" s="22" t="str">
        <f t="shared" ca="1" si="1"/>
        <v>30005_1-4/290&lt;lv30&gt;s2</v>
      </c>
      <c r="B19" s="18">
        <f t="shared" ca="1" si="3"/>
        <v>30005</v>
      </c>
      <c r="C19" s="18">
        <f t="shared" ca="1" si="3"/>
        <v>1</v>
      </c>
      <c r="D19" s="18">
        <f t="shared" ca="1" si="3"/>
        <v>4</v>
      </c>
      <c r="E19" s="18">
        <f t="shared" ca="1" si="3"/>
        <v>290</v>
      </c>
      <c r="F19" s="18">
        <f t="shared" ca="1" si="3"/>
        <v>30</v>
      </c>
      <c r="G19" s="18">
        <f t="shared" ca="1" si="3"/>
        <v>4.5999999999999996</v>
      </c>
      <c r="H19" s="18">
        <f t="shared" ca="1" si="3"/>
        <v>1.7</v>
      </c>
      <c r="I19" s="18">
        <f t="shared" ca="1" si="3"/>
        <v>0</v>
      </c>
      <c r="J19" s="18">
        <f t="shared" ca="1" si="3"/>
        <v>29001</v>
      </c>
      <c r="K19" s="18">
        <f t="shared" ca="1" si="3"/>
        <v>1</v>
      </c>
      <c r="L19" s="18">
        <f t="shared" ca="1" si="3"/>
        <v>100</v>
      </c>
      <c r="M19" s="18">
        <f t="shared" ca="1" si="3"/>
        <v>1</v>
      </c>
      <c r="N19" s="18">
        <f t="shared" ca="1" si="3"/>
        <v>2</v>
      </c>
      <c r="O19" s="18">
        <f t="shared" ca="1" si="3"/>
        <v>290</v>
      </c>
      <c r="P19" s="18">
        <f t="shared" ca="1" si="3"/>
        <v>1</v>
      </c>
      <c r="Q19" s="18">
        <f t="shared" ca="1" si="3"/>
        <v>4</v>
      </c>
      <c r="R19" s="18">
        <f t="shared" ca="1" si="2"/>
        <v>20</v>
      </c>
      <c r="S19" s="18">
        <f t="shared" ca="1" si="2"/>
        <v>0</v>
      </c>
      <c r="T19" s="18">
        <f t="shared" ca="1" si="2"/>
        <v>0</v>
      </c>
      <c r="U19" s="18">
        <f t="shared" ca="1" si="2"/>
        <v>0</v>
      </c>
      <c r="V19" s="18">
        <f t="shared" ca="1" si="2"/>
        <v>0</v>
      </c>
      <c r="W19" s="18">
        <f t="shared" ca="1" si="2"/>
        <v>1</v>
      </c>
    </row>
    <row r="20" spans="1:23" x14ac:dyDescent="0.15">
      <c r="A20" s="22" t="str">
        <f t="shared" ca="1" si="1"/>
        <v>30005_2-1/22&lt;lv41&gt;s2</v>
      </c>
      <c r="B20" s="18">
        <f t="shared" ca="1" si="3"/>
        <v>30005</v>
      </c>
      <c r="C20" s="18">
        <f t="shared" ca="1" si="3"/>
        <v>2</v>
      </c>
      <c r="D20" s="18">
        <f t="shared" ca="1" si="3"/>
        <v>1</v>
      </c>
      <c r="E20" s="18">
        <f t="shared" ca="1" si="3"/>
        <v>22</v>
      </c>
      <c r="F20" s="18">
        <f t="shared" ca="1" si="3"/>
        <v>41</v>
      </c>
      <c r="G20" s="18">
        <f t="shared" ca="1" si="3"/>
        <v>1.2</v>
      </c>
      <c r="H20" s="18">
        <f t="shared" ca="1" si="3"/>
        <v>1.1000000000000001</v>
      </c>
      <c r="I20" s="18">
        <f t="shared" ca="1" si="3"/>
        <v>0</v>
      </c>
      <c r="J20" s="18">
        <f t="shared" ca="1" si="3"/>
        <v>0</v>
      </c>
      <c r="K20" s="18">
        <f t="shared" ca="1" si="3"/>
        <v>0</v>
      </c>
      <c r="L20" s="18">
        <f t="shared" ca="1" si="3"/>
        <v>100</v>
      </c>
      <c r="M20" s="18">
        <f t="shared" ca="1" si="3"/>
        <v>0</v>
      </c>
      <c r="N20" s="18">
        <f t="shared" ca="1" si="3"/>
        <v>2</v>
      </c>
      <c r="O20" s="18">
        <f t="shared" ca="1" si="3"/>
        <v>22</v>
      </c>
      <c r="P20" s="18">
        <f t="shared" ca="1" si="3"/>
        <v>5</v>
      </c>
      <c r="Q20" s="18">
        <f t="shared" ca="1" si="3"/>
        <v>2</v>
      </c>
      <c r="R20" s="18">
        <f t="shared" ca="1" si="2"/>
        <v>10</v>
      </c>
      <c r="S20" s="18">
        <f t="shared" ca="1" si="2"/>
        <v>0</v>
      </c>
      <c r="T20" s="18">
        <f t="shared" ca="1" si="2"/>
        <v>0</v>
      </c>
      <c r="U20" s="18">
        <f t="shared" ca="1" si="2"/>
        <v>0</v>
      </c>
      <c r="V20" s="18">
        <f t="shared" ca="1" si="2"/>
        <v>0</v>
      </c>
      <c r="W20" s="18">
        <f t="shared" ca="1" si="2"/>
        <v>1</v>
      </c>
    </row>
    <row r="21" spans="1:23" x14ac:dyDescent="0.15">
      <c r="A21" s="22" t="str">
        <f t="shared" ca="1" si="1"/>
        <v>30005_2-1/49&lt;lv41&gt;s2</v>
      </c>
      <c r="B21" s="18">
        <f t="shared" ca="1" si="3"/>
        <v>30005</v>
      </c>
      <c r="C21" s="18">
        <f t="shared" ca="1" si="3"/>
        <v>2</v>
      </c>
      <c r="D21" s="18">
        <f t="shared" ca="1" si="3"/>
        <v>1</v>
      </c>
      <c r="E21" s="18">
        <f t="shared" ca="1" si="3"/>
        <v>49</v>
      </c>
      <c r="F21" s="18">
        <f t="shared" ca="1" si="3"/>
        <v>41</v>
      </c>
      <c r="G21" s="18">
        <f t="shared" ca="1" si="3"/>
        <v>1.2</v>
      </c>
      <c r="H21" s="18">
        <f t="shared" ca="1" si="3"/>
        <v>1.1000000000000001</v>
      </c>
      <c r="I21" s="18">
        <f t="shared" ca="1" si="3"/>
        <v>0</v>
      </c>
      <c r="J21" s="18">
        <f t="shared" ca="1" si="3"/>
        <v>49</v>
      </c>
      <c r="K21" s="18">
        <f t="shared" ca="1" si="3"/>
        <v>0</v>
      </c>
      <c r="L21" s="18">
        <f t="shared" ca="1" si="3"/>
        <v>100</v>
      </c>
      <c r="M21" s="18">
        <f t="shared" ca="1" si="3"/>
        <v>0</v>
      </c>
      <c r="N21" s="18">
        <f t="shared" ca="1" si="3"/>
        <v>2</v>
      </c>
      <c r="O21" s="18">
        <f t="shared" ca="1" si="3"/>
        <v>49</v>
      </c>
      <c r="P21" s="18">
        <f t="shared" ca="1" si="3"/>
        <v>5</v>
      </c>
      <c r="Q21" s="18">
        <f t="shared" ca="1" si="3"/>
        <v>2</v>
      </c>
      <c r="R21" s="18">
        <f t="shared" ca="1" si="2"/>
        <v>10</v>
      </c>
      <c r="S21" s="18">
        <f t="shared" ca="1" si="2"/>
        <v>0</v>
      </c>
      <c r="T21" s="18">
        <f t="shared" ca="1" si="2"/>
        <v>0</v>
      </c>
      <c r="U21" s="18">
        <f t="shared" ca="1" si="2"/>
        <v>0</v>
      </c>
      <c r="V21" s="18">
        <f t="shared" ca="1" si="2"/>
        <v>0</v>
      </c>
      <c r="W21" s="18">
        <f t="shared" ca="1" si="2"/>
        <v>1</v>
      </c>
    </row>
    <row r="22" spans="1:23" x14ac:dyDescent="0.15">
      <c r="A22" s="22" t="str">
        <f t="shared" ca="1" si="1"/>
        <v>30005_2-1/27&lt;lv41&gt;s1</v>
      </c>
      <c r="B22" s="18">
        <f t="shared" ca="1" si="3"/>
        <v>30005</v>
      </c>
      <c r="C22" s="18">
        <f t="shared" ca="1" si="3"/>
        <v>2</v>
      </c>
      <c r="D22" s="18">
        <f t="shared" ca="1" si="3"/>
        <v>1</v>
      </c>
      <c r="E22" s="18">
        <f t="shared" ca="1" si="3"/>
        <v>27</v>
      </c>
      <c r="F22" s="18">
        <f t="shared" ca="1" si="3"/>
        <v>41</v>
      </c>
      <c r="G22" s="18">
        <f t="shared" ca="1" si="3"/>
        <v>1.2</v>
      </c>
      <c r="H22" s="18">
        <f t="shared" ca="1" si="3"/>
        <v>1.1000000000000001</v>
      </c>
      <c r="I22" s="18">
        <f t="shared" ca="1" si="3"/>
        <v>0</v>
      </c>
      <c r="J22" s="18">
        <f t="shared" ca="1" si="3"/>
        <v>0</v>
      </c>
      <c r="K22" s="18">
        <f t="shared" ca="1" si="3"/>
        <v>0</v>
      </c>
      <c r="L22" s="18">
        <f t="shared" ca="1" si="3"/>
        <v>100</v>
      </c>
      <c r="M22" s="18">
        <f t="shared" ca="1" si="3"/>
        <v>0</v>
      </c>
      <c r="N22" s="18">
        <f t="shared" ca="1" si="3"/>
        <v>1</v>
      </c>
      <c r="O22" s="18">
        <f t="shared" ca="1" si="3"/>
        <v>27</v>
      </c>
      <c r="P22" s="18">
        <f t="shared" ca="1" si="3"/>
        <v>5</v>
      </c>
      <c r="Q22" s="18">
        <f t="shared" ca="1" si="3"/>
        <v>1</v>
      </c>
      <c r="R22" s="18">
        <f t="shared" ca="1" si="2"/>
        <v>10</v>
      </c>
      <c r="S22" s="18">
        <f t="shared" ca="1" si="2"/>
        <v>0</v>
      </c>
      <c r="T22" s="18">
        <f t="shared" ca="1" si="2"/>
        <v>0</v>
      </c>
      <c r="U22" s="18">
        <f t="shared" ca="1" si="2"/>
        <v>0</v>
      </c>
      <c r="V22" s="18">
        <f t="shared" ca="1" si="2"/>
        <v>0</v>
      </c>
      <c r="W22" s="18">
        <f t="shared" ca="1" si="2"/>
        <v>1</v>
      </c>
    </row>
    <row r="23" spans="1:23" x14ac:dyDescent="0.15">
      <c r="A23" s="22" t="str">
        <f t="shared" ca="1" si="1"/>
        <v>30005_2-1/25&lt;lv41&gt;s3</v>
      </c>
      <c r="B23" s="18">
        <f t="shared" ca="1" si="3"/>
        <v>30005</v>
      </c>
      <c r="C23" s="18">
        <f t="shared" ca="1" si="3"/>
        <v>2</v>
      </c>
      <c r="D23" s="18">
        <f t="shared" ca="1" si="3"/>
        <v>1</v>
      </c>
      <c r="E23" s="18">
        <f t="shared" ca="1" si="3"/>
        <v>25</v>
      </c>
      <c r="F23" s="18">
        <f t="shared" ca="1" si="3"/>
        <v>41</v>
      </c>
      <c r="G23" s="18">
        <f t="shared" ca="1" si="3"/>
        <v>1.2</v>
      </c>
      <c r="H23" s="18">
        <f t="shared" ca="1" si="3"/>
        <v>1.1000000000000001</v>
      </c>
      <c r="I23" s="18">
        <f t="shared" ca="1" si="3"/>
        <v>0</v>
      </c>
      <c r="J23" s="18">
        <f t="shared" ca="1" si="3"/>
        <v>0</v>
      </c>
      <c r="K23" s="18">
        <f t="shared" ca="1" si="3"/>
        <v>0</v>
      </c>
      <c r="L23" s="18">
        <f t="shared" ca="1" si="3"/>
        <v>100</v>
      </c>
      <c r="M23" s="18">
        <f t="shared" ca="1" si="3"/>
        <v>0</v>
      </c>
      <c r="N23" s="18">
        <f t="shared" ca="1" si="3"/>
        <v>3</v>
      </c>
      <c r="O23" s="18">
        <f t="shared" ca="1" si="3"/>
        <v>25</v>
      </c>
      <c r="P23" s="18">
        <f t="shared" ca="1" si="3"/>
        <v>5</v>
      </c>
      <c r="Q23" s="18">
        <f t="shared" ca="1" si="3"/>
        <v>1</v>
      </c>
      <c r="R23" s="18">
        <f t="shared" ca="1" si="2"/>
        <v>10</v>
      </c>
      <c r="S23" s="18">
        <f t="shared" ca="1" si="2"/>
        <v>0</v>
      </c>
      <c r="T23" s="18">
        <f t="shared" ca="1" si="2"/>
        <v>0</v>
      </c>
      <c r="U23" s="18">
        <f t="shared" ca="1" si="2"/>
        <v>0</v>
      </c>
      <c r="V23" s="18">
        <f t="shared" ca="1" si="2"/>
        <v>0</v>
      </c>
      <c r="W23" s="18">
        <f t="shared" ca="1" si="2"/>
        <v>1</v>
      </c>
    </row>
    <row r="24" spans="1:23" x14ac:dyDescent="0.15">
      <c r="A24" s="22" t="str">
        <f t="shared" ca="1" si="1"/>
        <v>30005_2-1/31&lt;lv41&gt;s2</v>
      </c>
      <c r="B24" s="18">
        <f t="shared" ca="1" si="3"/>
        <v>30005</v>
      </c>
      <c r="C24" s="18">
        <f t="shared" ca="1" si="3"/>
        <v>2</v>
      </c>
      <c r="D24" s="18">
        <f t="shared" ca="1" si="3"/>
        <v>1</v>
      </c>
      <c r="E24" s="18">
        <f t="shared" ca="1" si="3"/>
        <v>31</v>
      </c>
      <c r="F24" s="18">
        <f t="shared" ca="1" si="3"/>
        <v>41</v>
      </c>
      <c r="G24" s="18">
        <f t="shared" ca="1" si="3"/>
        <v>1.2</v>
      </c>
      <c r="H24" s="18">
        <f t="shared" ca="1" si="3"/>
        <v>1.1000000000000001</v>
      </c>
      <c r="I24" s="18">
        <f t="shared" ca="1" si="3"/>
        <v>0</v>
      </c>
      <c r="J24" s="18">
        <f t="shared" ca="1" si="3"/>
        <v>0</v>
      </c>
      <c r="K24" s="18">
        <f t="shared" ca="1" si="3"/>
        <v>0</v>
      </c>
      <c r="L24" s="18">
        <f t="shared" ca="1" si="3"/>
        <v>100</v>
      </c>
      <c r="M24" s="18">
        <f t="shared" ca="1" si="3"/>
        <v>0</v>
      </c>
      <c r="N24" s="18">
        <f t="shared" ca="1" si="3"/>
        <v>2</v>
      </c>
      <c r="O24" s="18">
        <f t="shared" ca="1" si="3"/>
        <v>31</v>
      </c>
      <c r="P24" s="18">
        <f t="shared" ca="1" si="3"/>
        <v>5</v>
      </c>
      <c r="Q24" s="18">
        <f t="shared" ca="1" si="3"/>
        <v>1</v>
      </c>
      <c r="R24" s="18">
        <f t="shared" ca="1" si="2"/>
        <v>10</v>
      </c>
      <c r="S24" s="18">
        <f t="shared" ca="1" si="2"/>
        <v>0</v>
      </c>
      <c r="T24" s="18">
        <f t="shared" ca="1" si="2"/>
        <v>0</v>
      </c>
      <c r="U24" s="18">
        <f t="shared" ca="1" si="2"/>
        <v>0</v>
      </c>
      <c r="V24" s="18">
        <f t="shared" ca="1" si="2"/>
        <v>0</v>
      </c>
      <c r="W24" s="18">
        <f t="shared" ca="1" si="2"/>
        <v>1</v>
      </c>
    </row>
    <row r="25" spans="1:23" x14ac:dyDescent="0.15">
      <c r="A25" s="22" t="str">
        <f t="shared" ca="1" si="1"/>
        <v>30005_2-2/22&lt;lv41&gt;s2</v>
      </c>
      <c r="B25" s="18">
        <f t="shared" ca="1" si="3"/>
        <v>30005</v>
      </c>
      <c r="C25" s="18">
        <f t="shared" ca="1" si="3"/>
        <v>2</v>
      </c>
      <c r="D25" s="18">
        <f t="shared" ca="1" si="3"/>
        <v>2</v>
      </c>
      <c r="E25" s="18">
        <f t="shared" ca="1" si="3"/>
        <v>22</v>
      </c>
      <c r="F25" s="18">
        <f t="shared" ca="1" si="3"/>
        <v>41</v>
      </c>
      <c r="G25" s="18">
        <f t="shared" ca="1" si="3"/>
        <v>1.2</v>
      </c>
      <c r="H25" s="18">
        <f t="shared" ca="1" si="3"/>
        <v>1.1000000000000001</v>
      </c>
      <c r="I25" s="18">
        <f t="shared" ca="1" si="3"/>
        <v>0</v>
      </c>
      <c r="J25" s="18">
        <f t="shared" ca="1" si="3"/>
        <v>0</v>
      </c>
      <c r="K25" s="18">
        <f t="shared" ca="1" si="3"/>
        <v>0</v>
      </c>
      <c r="L25" s="18">
        <f t="shared" ca="1" si="3"/>
        <v>100</v>
      </c>
      <c r="M25" s="18">
        <f t="shared" ca="1" si="3"/>
        <v>0</v>
      </c>
      <c r="N25" s="18">
        <f t="shared" ca="1" si="3"/>
        <v>2</v>
      </c>
      <c r="O25" s="18">
        <f t="shared" ca="1" si="3"/>
        <v>22</v>
      </c>
      <c r="P25" s="18">
        <f t="shared" ca="1" si="3"/>
        <v>5</v>
      </c>
      <c r="Q25" s="18">
        <f t="shared" ca="1" si="3"/>
        <v>2</v>
      </c>
      <c r="R25" s="18">
        <f t="shared" ca="1" si="2"/>
        <v>0</v>
      </c>
      <c r="S25" s="18">
        <f t="shared" ca="1" si="2"/>
        <v>0</v>
      </c>
      <c r="T25" s="18">
        <f t="shared" ca="1" si="2"/>
        <v>0</v>
      </c>
      <c r="U25" s="18">
        <f t="shared" ca="1" si="2"/>
        <v>0</v>
      </c>
      <c r="V25" s="18">
        <f t="shared" ca="1" si="2"/>
        <v>0</v>
      </c>
      <c r="W25" s="18">
        <f t="shared" ca="1" si="2"/>
        <v>1</v>
      </c>
    </row>
    <row r="26" spans="1:23" x14ac:dyDescent="0.15">
      <c r="A26" s="22" t="str">
        <f t="shared" ca="1" si="1"/>
        <v>30005_2-2/49&lt;lv41&gt;s2</v>
      </c>
      <c r="B26" s="18">
        <f t="shared" ca="1" si="3"/>
        <v>30005</v>
      </c>
      <c r="C26" s="18">
        <f t="shared" ca="1" si="3"/>
        <v>2</v>
      </c>
      <c r="D26" s="18">
        <f t="shared" ca="1" si="3"/>
        <v>2</v>
      </c>
      <c r="E26" s="18">
        <f t="shared" ca="1" si="3"/>
        <v>49</v>
      </c>
      <c r="F26" s="18">
        <f t="shared" ca="1" si="3"/>
        <v>41</v>
      </c>
      <c r="G26" s="18">
        <f t="shared" ca="1" si="3"/>
        <v>1.2</v>
      </c>
      <c r="H26" s="18">
        <f t="shared" ca="1" si="3"/>
        <v>1.1000000000000001</v>
      </c>
      <c r="I26" s="18">
        <f t="shared" ca="1" si="3"/>
        <v>0</v>
      </c>
      <c r="J26" s="18">
        <f t="shared" ca="1" si="3"/>
        <v>49</v>
      </c>
      <c r="K26" s="18">
        <f t="shared" ca="1" si="3"/>
        <v>0</v>
      </c>
      <c r="L26" s="18">
        <f t="shared" ca="1" si="3"/>
        <v>100</v>
      </c>
      <c r="M26" s="18">
        <f t="shared" ca="1" si="3"/>
        <v>0</v>
      </c>
      <c r="N26" s="18">
        <f t="shared" ca="1" si="3"/>
        <v>2</v>
      </c>
      <c r="O26" s="18">
        <f t="shared" ca="1" si="3"/>
        <v>49</v>
      </c>
      <c r="P26" s="18">
        <f t="shared" ca="1" si="3"/>
        <v>5</v>
      </c>
      <c r="Q26" s="18">
        <f t="shared" ca="1" si="3"/>
        <v>2</v>
      </c>
      <c r="R26" s="18">
        <f t="shared" ca="1" si="2"/>
        <v>0</v>
      </c>
      <c r="S26" s="18">
        <f t="shared" ca="1" si="2"/>
        <v>0</v>
      </c>
      <c r="T26" s="18">
        <f t="shared" ca="1" si="2"/>
        <v>0</v>
      </c>
      <c r="U26" s="18">
        <f t="shared" ca="1" si="2"/>
        <v>0</v>
      </c>
      <c r="V26" s="18">
        <f t="shared" ca="1" si="2"/>
        <v>0</v>
      </c>
      <c r="W26" s="18">
        <f t="shared" ca="1" si="2"/>
        <v>1</v>
      </c>
    </row>
    <row r="27" spans="1:23" x14ac:dyDescent="0.15">
      <c r="A27" s="22" t="str">
        <f t="shared" ca="1" si="1"/>
        <v>30005_2-2/27&lt;lv41&gt;s1</v>
      </c>
      <c r="B27" s="18">
        <f t="shared" ca="1" si="3"/>
        <v>30005</v>
      </c>
      <c r="C27" s="18">
        <f t="shared" ca="1" si="3"/>
        <v>2</v>
      </c>
      <c r="D27" s="18">
        <f t="shared" ca="1" si="3"/>
        <v>2</v>
      </c>
      <c r="E27" s="18">
        <f t="shared" ca="1" si="3"/>
        <v>27</v>
      </c>
      <c r="F27" s="18">
        <f t="shared" ca="1" si="3"/>
        <v>41</v>
      </c>
      <c r="G27" s="18">
        <f t="shared" ca="1" si="3"/>
        <v>1.2</v>
      </c>
      <c r="H27" s="18">
        <f t="shared" ca="1" si="3"/>
        <v>1.1000000000000001</v>
      </c>
      <c r="I27" s="18">
        <f t="shared" ca="1" si="3"/>
        <v>0</v>
      </c>
      <c r="J27" s="18">
        <f t="shared" ca="1" si="3"/>
        <v>0</v>
      </c>
      <c r="K27" s="18">
        <f t="shared" ca="1" si="3"/>
        <v>0</v>
      </c>
      <c r="L27" s="18">
        <f t="shared" ca="1" si="3"/>
        <v>100</v>
      </c>
      <c r="M27" s="18">
        <f t="shared" ca="1" si="3"/>
        <v>0</v>
      </c>
      <c r="N27" s="18">
        <f t="shared" ca="1" si="3"/>
        <v>1</v>
      </c>
      <c r="O27" s="18">
        <f t="shared" ca="1" si="3"/>
        <v>27</v>
      </c>
      <c r="P27" s="18">
        <f t="shared" ca="1" si="3"/>
        <v>5</v>
      </c>
      <c r="Q27" s="18">
        <f t="shared" ca="1" si="3"/>
        <v>1</v>
      </c>
      <c r="R27" s="18">
        <f t="shared" ca="1" si="2"/>
        <v>0</v>
      </c>
      <c r="S27" s="18">
        <f t="shared" ca="1" si="2"/>
        <v>0</v>
      </c>
      <c r="T27" s="18">
        <f t="shared" ca="1" si="2"/>
        <v>0</v>
      </c>
      <c r="U27" s="18">
        <f t="shared" ca="1" si="2"/>
        <v>0</v>
      </c>
      <c r="V27" s="18">
        <f t="shared" ca="1" si="2"/>
        <v>0</v>
      </c>
      <c r="W27" s="18">
        <f t="shared" ca="1" si="2"/>
        <v>1</v>
      </c>
    </row>
    <row r="28" spans="1:23" x14ac:dyDescent="0.15">
      <c r="A28" s="22" t="str">
        <f t="shared" ca="1" si="1"/>
        <v>30005_2-2/25&lt;lv41&gt;s3</v>
      </c>
      <c r="B28" s="18">
        <f t="shared" ca="1" si="3"/>
        <v>30005</v>
      </c>
      <c r="C28" s="18">
        <f t="shared" ca="1" si="3"/>
        <v>2</v>
      </c>
      <c r="D28" s="18">
        <f t="shared" ca="1" si="3"/>
        <v>2</v>
      </c>
      <c r="E28" s="18">
        <f t="shared" ca="1" si="3"/>
        <v>25</v>
      </c>
      <c r="F28" s="18">
        <f t="shared" ca="1" si="3"/>
        <v>41</v>
      </c>
      <c r="G28" s="18">
        <f t="shared" ca="1" si="3"/>
        <v>1.2</v>
      </c>
      <c r="H28" s="18">
        <f t="shared" ca="1" si="3"/>
        <v>1.1000000000000001</v>
      </c>
      <c r="I28" s="18">
        <f t="shared" ca="1" si="3"/>
        <v>0</v>
      </c>
      <c r="J28" s="18">
        <f t="shared" ca="1" si="3"/>
        <v>0</v>
      </c>
      <c r="K28" s="18">
        <f t="shared" ca="1" si="3"/>
        <v>0</v>
      </c>
      <c r="L28" s="18">
        <f t="shared" ca="1" si="3"/>
        <v>100</v>
      </c>
      <c r="M28" s="18">
        <f t="shared" ca="1" si="3"/>
        <v>0</v>
      </c>
      <c r="N28" s="18">
        <f t="shared" ca="1" si="3"/>
        <v>3</v>
      </c>
      <c r="O28" s="18">
        <f t="shared" ca="1" si="3"/>
        <v>25</v>
      </c>
      <c r="P28" s="18">
        <f t="shared" ca="1" si="3"/>
        <v>5</v>
      </c>
      <c r="Q28" s="18">
        <f t="shared" ca="1" si="3"/>
        <v>1</v>
      </c>
      <c r="R28" s="18">
        <f t="shared" ca="1" si="2"/>
        <v>0</v>
      </c>
      <c r="S28" s="18">
        <f t="shared" ca="1" si="2"/>
        <v>0</v>
      </c>
      <c r="T28" s="18">
        <f t="shared" ca="1" si="2"/>
        <v>0</v>
      </c>
      <c r="U28" s="18">
        <f t="shared" ca="1" si="2"/>
        <v>0</v>
      </c>
      <c r="V28" s="18">
        <f t="shared" ca="1" si="2"/>
        <v>0</v>
      </c>
      <c r="W28" s="18">
        <f t="shared" ca="1" si="2"/>
        <v>1</v>
      </c>
    </row>
    <row r="29" spans="1:23" x14ac:dyDescent="0.15">
      <c r="A29" s="22" t="str">
        <f t="shared" ca="1" si="1"/>
        <v>30005_2-2/31&lt;lv41&gt;s2</v>
      </c>
      <c r="B29" s="18">
        <f t="shared" ca="1" si="3"/>
        <v>30005</v>
      </c>
      <c r="C29" s="18">
        <f t="shared" ca="1" si="3"/>
        <v>2</v>
      </c>
      <c r="D29" s="18">
        <f t="shared" ca="1" si="3"/>
        <v>2</v>
      </c>
      <c r="E29" s="18">
        <f t="shared" ca="1" si="3"/>
        <v>31</v>
      </c>
      <c r="F29" s="18">
        <f t="shared" ca="1" si="3"/>
        <v>41</v>
      </c>
      <c r="G29" s="18">
        <f t="shared" ca="1" si="3"/>
        <v>1.2</v>
      </c>
      <c r="H29" s="18">
        <f t="shared" ca="1" si="3"/>
        <v>1.1000000000000001</v>
      </c>
      <c r="I29" s="18">
        <f t="shared" ca="1" si="3"/>
        <v>0</v>
      </c>
      <c r="J29" s="18">
        <f t="shared" ca="1" si="3"/>
        <v>0</v>
      </c>
      <c r="K29" s="18">
        <f t="shared" ca="1" si="3"/>
        <v>0</v>
      </c>
      <c r="L29" s="18">
        <f t="shared" ca="1" si="3"/>
        <v>100</v>
      </c>
      <c r="M29" s="18">
        <f t="shared" ca="1" si="3"/>
        <v>0</v>
      </c>
      <c r="N29" s="18">
        <f t="shared" ca="1" si="3"/>
        <v>2</v>
      </c>
      <c r="O29" s="18">
        <f t="shared" ca="1" si="3"/>
        <v>31</v>
      </c>
      <c r="P29" s="18">
        <f t="shared" ca="1" si="3"/>
        <v>5</v>
      </c>
      <c r="Q29" s="18">
        <f t="shared" ca="1" si="3"/>
        <v>1</v>
      </c>
      <c r="R29" s="18">
        <f t="shared" ca="1" si="2"/>
        <v>0</v>
      </c>
      <c r="S29" s="18">
        <f t="shared" ca="1" si="2"/>
        <v>0</v>
      </c>
      <c r="T29" s="18">
        <f t="shared" ca="1" si="2"/>
        <v>0</v>
      </c>
      <c r="U29" s="18">
        <f t="shared" ca="1" si="2"/>
        <v>0</v>
      </c>
      <c r="V29" s="18">
        <f t="shared" ca="1" si="2"/>
        <v>0</v>
      </c>
      <c r="W29" s="18">
        <f t="shared" ca="1" si="2"/>
        <v>1</v>
      </c>
    </row>
    <row r="30" spans="1:23" x14ac:dyDescent="0.15">
      <c r="A30" s="22" t="str">
        <f t="shared" ca="1" si="1"/>
        <v>30005_2-2/121&lt;lv41&gt;s3</v>
      </c>
      <c r="B30" s="18">
        <f t="shared" ca="1" si="3"/>
        <v>30005</v>
      </c>
      <c r="C30" s="18">
        <f t="shared" ca="1" si="3"/>
        <v>2</v>
      </c>
      <c r="D30" s="18">
        <f t="shared" ca="1" si="3"/>
        <v>2</v>
      </c>
      <c r="E30" s="18">
        <f t="shared" ca="1" si="3"/>
        <v>121</v>
      </c>
      <c r="F30" s="18">
        <f t="shared" ca="1" si="3"/>
        <v>41</v>
      </c>
      <c r="G30" s="18">
        <f t="shared" ca="1" si="3"/>
        <v>1.2</v>
      </c>
      <c r="H30" s="18">
        <f t="shared" ca="1" si="3"/>
        <v>1.1000000000000001</v>
      </c>
      <c r="I30" s="18">
        <f t="shared" ca="1" si="3"/>
        <v>0</v>
      </c>
      <c r="J30" s="18">
        <f t="shared" ca="1" si="3"/>
        <v>1211</v>
      </c>
      <c r="K30" s="18">
        <f t="shared" ca="1" si="3"/>
        <v>1</v>
      </c>
      <c r="L30" s="18">
        <f t="shared" ca="1" si="3"/>
        <v>100</v>
      </c>
      <c r="M30" s="18">
        <f t="shared" ca="1" si="3"/>
        <v>1</v>
      </c>
      <c r="N30" s="18">
        <f t="shared" ca="1" si="3"/>
        <v>3</v>
      </c>
      <c r="O30" s="18">
        <f t="shared" ca="1" si="3"/>
        <v>121</v>
      </c>
      <c r="P30" s="18">
        <f t="shared" ca="1" si="3"/>
        <v>1</v>
      </c>
      <c r="Q30" s="18">
        <f t="shared" ref="Q30:W45" ca="1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0" s="18">
        <f t="shared" ca="1" si="4"/>
        <v>15</v>
      </c>
      <c r="S30" s="18">
        <f t="shared" ca="1" si="4"/>
        <v>0</v>
      </c>
      <c r="T30" s="18">
        <f t="shared" ca="1" si="4"/>
        <v>0</v>
      </c>
      <c r="U30" s="18">
        <f t="shared" ca="1" si="4"/>
        <v>0</v>
      </c>
      <c r="V30" s="18">
        <f t="shared" ca="1" si="4"/>
        <v>0</v>
      </c>
      <c r="W30" s="18">
        <f t="shared" ca="1" si="4"/>
        <v>1</v>
      </c>
    </row>
    <row r="31" spans="1:23" x14ac:dyDescent="0.15">
      <c r="A31" s="22" t="str">
        <f t="shared" ca="1" si="1"/>
        <v>30005_2-3/22&lt;lv41&gt;s2</v>
      </c>
      <c r="B31" s="18">
        <f t="shared" ref="B31:Q46" ca="1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30005</v>
      </c>
      <c r="C31" s="18">
        <f t="shared" ca="1" si="5"/>
        <v>2</v>
      </c>
      <c r="D31" s="18">
        <f t="shared" ca="1" si="5"/>
        <v>3</v>
      </c>
      <c r="E31" s="18">
        <f t="shared" ca="1" si="5"/>
        <v>22</v>
      </c>
      <c r="F31" s="18">
        <f t="shared" ca="1" si="5"/>
        <v>41</v>
      </c>
      <c r="G31" s="18">
        <f t="shared" ca="1" si="5"/>
        <v>1.2</v>
      </c>
      <c r="H31" s="18">
        <f t="shared" ca="1" si="5"/>
        <v>1.1000000000000001</v>
      </c>
      <c r="I31" s="18">
        <f t="shared" ca="1" si="5"/>
        <v>0</v>
      </c>
      <c r="J31" s="18">
        <f t="shared" ca="1" si="5"/>
        <v>0</v>
      </c>
      <c r="K31" s="18">
        <f t="shared" ca="1" si="5"/>
        <v>0</v>
      </c>
      <c r="L31" s="18">
        <f t="shared" ca="1" si="5"/>
        <v>100</v>
      </c>
      <c r="M31" s="18">
        <f t="shared" ca="1" si="5"/>
        <v>0</v>
      </c>
      <c r="N31" s="18">
        <f t="shared" ca="1" si="5"/>
        <v>2</v>
      </c>
      <c r="O31" s="18">
        <f t="shared" ca="1" si="5"/>
        <v>22</v>
      </c>
      <c r="P31" s="18">
        <f t="shared" ca="1" si="5"/>
        <v>5</v>
      </c>
      <c r="Q31" s="18">
        <f t="shared" ca="1" si="5"/>
        <v>2</v>
      </c>
      <c r="R31" s="18">
        <f t="shared" ca="1" si="4"/>
        <v>10</v>
      </c>
      <c r="S31" s="18">
        <f t="shared" ca="1" si="4"/>
        <v>0</v>
      </c>
      <c r="T31" s="18">
        <f t="shared" ca="1" si="4"/>
        <v>0</v>
      </c>
      <c r="U31" s="18">
        <f t="shared" ca="1" si="4"/>
        <v>0</v>
      </c>
      <c r="V31" s="18">
        <f t="shared" ca="1" si="4"/>
        <v>0</v>
      </c>
      <c r="W31" s="18">
        <f t="shared" ca="1" si="4"/>
        <v>1</v>
      </c>
    </row>
    <row r="32" spans="1:23" x14ac:dyDescent="0.15">
      <c r="A32" s="22" t="str">
        <f t="shared" ca="1" si="1"/>
        <v>30005_2-3/49&lt;lv41&gt;s2</v>
      </c>
      <c r="B32" s="18">
        <f t="shared" ca="1" si="5"/>
        <v>30005</v>
      </c>
      <c r="C32" s="18">
        <f t="shared" ca="1" si="5"/>
        <v>2</v>
      </c>
      <c r="D32" s="18">
        <f t="shared" ca="1" si="5"/>
        <v>3</v>
      </c>
      <c r="E32" s="18">
        <f t="shared" ca="1" si="5"/>
        <v>49</v>
      </c>
      <c r="F32" s="18">
        <f t="shared" ca="1" si="5"/>
        <v>41</v>
      </c>
      <c r="G32" s="18">
        <f t="shared" ca="1" si="5"/>
        <v>1.2</v>
      </c>
      <c r="H32" s="18">
        <f t="shared" ca="1" si="5"/>
        <v>1.1000000000000001</v>
      </c>
      <c r="I32" s="18">
        <f t="shared" ca="1" si="5"/>
        <v>0</v>
      </c>
      <c r="J32" s="18">
        <f t="shared" ca="1" si="5"/>
        <v>49</v>
      </c>
      <c r="K32" s="18">
        <f t="shared" ca="1" si="5"/>
        <v>0</v>
      </c>
      <c r="L32" s="18">
        <f t="shared" ca="1" si="5"/>
        <v>100</v>
      </c>
      <c r="M32" s="18">
        <f t="shared" ca="1" si="5"/>
        <v>0</v>
      </c>
      <c r="N32" s="18">
        <f t="shared" ca="1" si="5"/>
        <v>2</v>
      </c>
      <c r="O32" s="18">
        <f t="shared" ca="1" si="5"/>
        <v>49</v>
      </c>
      <c r="P32" s="18">
        <f t="shared" ca="1" si="5"/>
        <v>5</v>
      </c>
      <c r="Q32" s="18">
        <f t="shared" ca="1" si="5"/>
        <v>2</v>
      </c>
      <c r="R32" s="18">
        <f t="shared" ca="1" si="4"/>
        <v>10</v>
      </c>
      <c r="S32" s="18">
        <f t="shared" ca="1" si="4"/>
        <v>0</v>
      </c>
      <c r="T32" s="18">
        <f t="shared" ca="1" si="4"/>
        <v>0</v>
      </c>
      <c r="U32" s="18">
        <f t="shared" ca="1" si="4"/>
        <v>0</v>
      </c>
      <c r="V32" s="18">
        <f t="shared" ca="1" si="4"/>
        <v>0</v>
      </c>
      <c r="W32" s="18">
        <f t="shared" ca="1" si="4"/>
        <v>1</v>
      </c>
    </row>
    <row r="33" spans="1:23" x14ac:dyDescent="0.15">
      <c r="A33" s="22" t="str">
        <f t="shared" ca="1" si="1"/>
        <v>30005_2-3/27&lt;lv41&gt;s1</v>
      </c>
      <c r="B33" s="18">
        <f t="shared" ca="1" si="5"/>
        <v>30005</v>
      </c>
      <c r="C33" s="18">
        <f t="shared" ca="1" si="5"/>
        <v>2</v>
      </c>
      <c r="D33" s="18">
        <f t="shared" ca="1" si="5"/>
        <v>3</v>
      </c>
      <c r="E33" s="18">
        <f t="shared" ca="1" si="5"/>
        <v>27</v>
      </c>
      <c r="F33" s="18">
        <f t="shared" ca="1" si="5"/>
        <v>41</v>
      </c>
      <c r="G33" s="18">
        <f t="shared" ca="1" si="5"/>
        <v>1.2</v>
      </c>
      <c r="H33" s="18">
        <f t="shared" ca="1" si="5"/>
        <v>1.1000000000000001</v>
      </c>
      <c r="I33" s="18">
        <f t="shared" ca="1" si="5"/>
        <v>0</v>
      </c>
      <c r="J33" s="18">
        <f t="shared" ca="1" si="5"/>
        <v>0</v>
      </c>
      <c r="K33" s="18">
        <f t="shared" ca="1" si="5"/>
        <v>0</v>
      </c>
      <c r="L33" s="18">
        <f t="shared" ca="1" si="5"/>
        <v>100</v>
      </c>
      <c r="M33" s="18">
        <f t="shared" ca="1" si="5"/>
        <v>0</v>
      </c>
      <c r="N33" s="18">
        <f t="shared" ca="1" si="5"/>
        <v>1</v>
      </c>
      <c r="O33" s="18">
        <f t="shared" ca="1" si="5"/>
        <v>27</v>
      </c>
      <c r="P33" s="18">
        <f t="shared" ca="1" si="5"/>
        <v>5</v>
      </c>
      <c r="Q33" s="18">
        <f t="shared" ca="1" si="5"/>
        <v>1</v>
      </c>
      <c r="R33" s="18">
        <f t="shared" ca="1" si="4"/>
        <v>10</v>
      </c>
      <c r="S33" s="18">
        <f t="shared" ca="1" si="4"/>
        <v>0</v>
      </c>
      <c r="T33" s="18">
        <f t="shared" ca="1" si="4"/>
        <v>0</v>
      </c>
      <c r="U33" s="18">
        <f t="shared" ca="1" si="4"/>
        <v>0</v>
      </c>
      <c r="V33" s="18">
        <f t="shared" ca="1" si="4"/>
        <v>0</v>
      </c>
      <c r="W33" s="18">
        <f t="shared" ca="1" si="4"/>
        <v>1</v>
      </c>
    </row>
    <row r="34" spans="1:23" x14ac:dyDescent="0.15">
      <c r="A34" s="22" t="str">
        <f t="shared" ca="1" si="1"/>
        <v>30005_2-3/25&lt;lv41&gt;s3</v>
      </c>
      <c r="B34" s="18">
        <f t="shared" ca="1" si="5"/>
        <v>30005</v>
      </c>
      <c r="C34" s="18">
        <f t="shared" ca="1" si="5"/>
        <v>2</v>
      </c>
      <c r="D34" s="18">
        <f t="shared" ca="1" si="5"/>
        <v>3</v>
      </c>
      <c r="E34" s="18">
        <f t="shared" ca="1" si="5"/>
        <v>25</v>
      </c>
      <c r="F34" s="18">
        <f t="shared" ca="1" si="5"/>
        <v>41</v>
      </c>
      <c r="G34" s="18">
        <f t="shared" ca="1" si="5"/>
        <v>1.2</v>
      </c>
      <c r="H34" s="18">
        <f t="shared" ca="1" si="5"/>
        <v>1.1000000000000001</v>
      </c>
      <c r="I34" s="18">
        <f t="shared" ca="1" si="5"/>
        <v>0</v>
      </c>
      <c r="J34" s="18">
        <f t="shared" ca="1" si="5"/>
        <v>0</v>
      </c>
      <c r="K34" s="18">
        <f t="shared" ca="1" si="5"/>
        <v>0</v>
      </c>
      <c r="L34" s="18">
        <f t="shared" ca="1" si="5"/>
        <v>100</v>
      </c>
      <c r="M34" s="18">
        <f t="shared" ca="1" si="5"/>
        <v>0</v>
      </c>
      <c r="N34" s="18">
        <f t="shared" ca="1" si="5"/>
        <v>3</v>
      </c>
      <c r="O34" s="18">
        <f t="shared" ca="1" si="5"/>
        <v>25</v>
      </c>
      <c r="P34" s="18">
        <f t="shared" ca="1" si="5"/>
        <v>5</v>
      </c>
      <c r="Q34" s="18">
        <f t="shared" ca="1" si="5"/>
        <v>1</v>
      </c>
      <c r="R34" s="18">
        <f t="shared" ca="1" si="4"/>
        <v>10</v>
      </c>
      <c r="S34" s="18">
        <f t="shared" ca="1" si="4"/>
        <v>0</v>
      </c>
      <c r="T34" s="18">
        <f t="shared" ca="1" si="4"/>
        <v>0</v>
      </c>
      <c r="U34" s="18">
        <f t="shared" ca="1" si="4"/>
        <v>0</v>
      </c>
      <c r="V34" s="18">
        <f t="shared" ca="1" si="4"/>
        <v>0</v>
      </c>
      <c r="W34" s="18">
        <f t="shared" ca="1" si="4"/>
        <v>1</v>
      </c>
    </row>
    <row r="35" spans="1:23" x14ac:dyDescent="0.15">
      <c r="A35" s="22" t="str">
        <f t="shared" ca="1" si="1"/>
        <v>30005_2-3/31&lt;lv41&gt;s2</v>
      </c>
      <c r="B35" s="18">
        <f t="shared" ca="1" si="5"/>
        <v>30005</v>
      </c>
      <c r="C35" s="18">
        <f t="shared" ca="1" si="5"/>
        <v>2</v>
      </c>
      <c r="D35" s="18">
        <f t="shared" ca="1" si="5"/>
        <v>3</v>
      </c>
      <c r="E35" s="18">
        <f t="shared" ca="1" si="5"/>
        <v>31</v>
      </c>
      <c r="F35" s="18">
        <f t="shared" ca="1" si="5"/>
        <v>41</v>
      </c>
      <c r="G35" s="18">
        <f t="shared" ca="1" si="5"/>
        <v>1.2</v>
      </c>
      <c r="H35" s="18">
        <f t="shared" ca="1" si="5"/>
        <v>1.1000000000000001</v>
      </c>
      <c r="I35" s="18">
        <f t="shared" ca="1" si="5"/>
        <v>0</v>
      </c>
      <c r="J35" s="18">
        <f t="shared" ca="1" si="5"/>
        <v>0</v>
      </c>
      <c r="K35" s="18">
        <f t="shared" ca="1" si="5"/>
        <v>0</v>
      </c>
      <c r="L35" s="18">
        <f t="shared" ca="1" si="5"/>
        <v>100</v>
      </c>
      <c r="M35" s="18">
        <f t="shared" ca="1" si="5"/>
        <v>0</v>
      </c>
      <c r="N35" s="18">
        <f t="shared" ca="1" si="5"/>
        <v>2</v>
      </c>
      <c r="O35" s="18">
        <f t="shared" ca="1" si="5"/>
        <v>31</v>
      </c>
      <c r="P35" s="18">
        <f t="shared" ca="1" si="5"/>
        <v>5</v>
      </c>
      <c r="Q35" s="18">
        <f t="shared" ca="1" si="5"/>
        <v>1</v>
      </c>
      <c r="R35" s="18">
        <f t="shared" ca="1" si="4"/>
        <v>10</v>
      </c>
      <c r="S35" s="18">
        <f t="shared" ca="1" si="4"/>
        <v>0</v>
      </c>
      <c r="T35" s="18">
        <f t="shared" ca="1" si="4"/>
        <v>0</v>
      </c>
      <c r="U35" s="18">
        <f t="shared" ca="1" si="4"/>
        <v>0</v>
      </c>
      <c r="V35" s="18">
        <f t="shared" ca="1" si="4"/>
        <v>0</v>
      </c>
      <c r="W35" s="18">
        <f t="shared" ca="1" si="4"/>
        <v>1</v>
      </c>
    </row>
    <row r="36" spans="1:23" x14ac:dyDescent="0.15">
      <c r="A36" s="22" t="str">
        <f t="shared" ca="1" si="1"/>
        <v>30005_2-4/290&lt;lv43&gt;s2</v>
      </c>
      <c r="B36" s="18">
        <f t="shared" ca="1" si="5"/>
        <v>30005</v>
      </c>
      <c r="C36" s="18">
        <f t="shared" ca="1" si="5"/>
        <v>2</v>
      </c>
      <c r="D36" s="18">
        <f t="shared" ca="1" si="5"/>
        <v>4</v>
      </c>
      <c r="E36" s="18">
        <f t="shared" ca="1" si="5"/>
        <v>290</v>
      </c>
      <c r="F36" s="18">
        <f t="shared" ca="1" si="5"/>
        <v>43</v>
      </c>
      <c r="G36" s="18">
        <f t="shared" ca="1" si="5"/>
        <v>4.5999999999999996</v>
      </c>
      <c r="H36" s="18">
        <f t="shared" ca="1" si="5"/>
        <v>1.5</v>
      </c>
      <c r="I36" s="18">
        <f t="shared" ca="1" si="5"/>
        <v>0</v>
      </c>
      <c r="J36" s="18">
        <f t="shared" ca="1" si="5"/>
        <v>29002</v>
      </c>
      <c r="K36" s="18">
        <f t="shared" ca="1" si="5"/>
        <v>1</v>
      </c>
      <c r="L36" s="18">
        <f t="shared" ca="1" si="5"/>
        <v>100</v>
      </c>
      <c r="M36" s="18">
        <f t="shared" ca="1" si="5"/>
        <v>1</v>
      </c>
      <c r="N36" s="18">
        <f t="shared" ca="1" si="5"/>
        <v>2</v>
      </c>
      <c r="O36" s="18">
        <f t="shared" ca="1" si="5"/>
        <v>290</v>
      </c>
      <c r="P36" s="18">
        <f t="shared" ca="1" si="5"/>
        <v>1</v>
      </c>
      <c r="Q36" s="18">
        <f t="shared" ca="1" si="5"/>
        <v>4</v>
      </c>
      <c r="R36" s="18">
        <f ca="1">VLOOKUP($A36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36" s="18">
        <f t="shared" ca="1" si="4"/>
        <v>0</v>
      </c>
      <c r="T36" s="18">
        <f t="shared" ca="1" si="4"/>
        <v>0</v>
      </c>
      <c r="U36" s="18">
        <f t="shared" ca="1" si="4"/>
        <v>0</v>
      </c>
      <c r="V36" s="18">
        <f t="shared" ca="1" si="4"/>
        <v>0</v>
      </c>
      <c r="W36" s="18">
        <f t="shared" ca="1" si="4"/>
        <v>1</v>
      </c>
    </row>
    <row r="37" spans="1:23" x14ac:dyDescent="0.15">
      <c r="A37" s="22" t="str">
        <f t="shared" ca="1" si="1"/>
        <v>30005_3-1/22&lt;lv46&gt;s2</v>
      </c>
      <c r="B37" s="18">
        <f t="shared" ca="1" si="5"/>
        <v>30005</v>
      </c>
      <c r="C37" s="18">
        <f t="shared" ca="1" si="5"/>
        <v>3</v>
      </c>
      <c r="D37" s="18">
        <f t="shared" ca="1" si="5"/>
        <v>1</v>
      </c>
      <c r="E37" s="18">
        <f t="shared" ca="1" si="5"/>
        <v>22</v>
      </c>
      <c r="F37" s="18">
        <f t="shared" ca="1" si="5"/>
        <v>46</v>
      </c>
      <c r="G37" s="18">
        <f t="shared" ca="1" si="5"/>
        <v>1.2</v>
      </c>
      <c r="H37" s="18">
        <f t="shared" ca="1" si="5"/>
        <v>1.1000000000000001</v>
      </c>
      <c r="I37" s="18">
        <f t="shared" ca="1" si="5"/>
        <v>0</v>
      </c>
      <c r="J37" s="18">
        <f t="shared" ca="1" si="5"/>
        <v>0</v>
      </c>
      <c r="K37" s="18">
        <f t="shared" ca="1" si="5"/>
        <v>0</v>
      </c>
      <c r="L37" s="18">
        <f t="shared" ca="1" si="5"/>
        <v>100</v>
      </c>
      <c r="M37" s="18">
        <f t="shared" ca="1" si="5"/>
        <v>0</v>
      </c>
      <c r="N37" s="18">
        <f t="shared" ca="1" si="5"/>
        <v>2</v>
      </c>
      <c r="O37" s="18">
        <f t="shared" ca="1" si="5"/>
        <v>22</v>
      </c>
      <c r="P37" s="18">
        <f t="shared" ca="1" si="5"/>
        <v>5</v>
      </c>
      <c r="Q37" s="18">
        <f t="shared" ca="1" si="5"/>
        <v>2</v>
      </c>
      <c r="R37" s="18">
        <f t="shared" ca="1" si="4"/>
        <v>15</v>
      </c>
      <c r="S37" s="18">
        <f t="shared" ca="1" si="4"/>
        <v>0</v>
      </c>
      <c r="T37" s="18">
        <f t="shared" ca="1" si="4"/>
        <v>0</v>
      </c>
      <c r="U37" s="18">
        <f t="shared" ca="1" si="4"/>
        <v>0</v>
      </c>
      <c r="V37" s="18">
        <f t="shared" ca="1" si="4"/>
        <v>0</v>
      </c>
      <c r="W37" s="18">
        <f t="shared" ca="1" si="4"/>
        <v>1</v>
      </c>
    </row>
    <row r="38" spans="1:23" x14ac:dyDescent="0.15">
      <c r="A38" s="22" t="str">
        <f t="shared" ca="1" si="1"/>
        <v>30005_3-1/41&lt;lv46&gt;s1</v>
      </c>
      <c r="B38" s="18">
        <f t="shared" ca="1" si="5"/>
        <v>30005</v>
      </c>
      <c r="C38" s="18">
        <f t="shared" ca="1" si="5"/>
        <v>3</v>
      </c>
      <c r="D38" s="18">
        <f t="shared" ca="1" si="5"/>
        <v>1</v>
      </c>
      <c r="E38" s="18">
        <f t="shared" ca="1" si="5"/>
        <v>41</v>
      </c>
      <c r="F38" s="18">
        <f t="shared" ca="1" si="5"/>
        <v>46</v>
      </c>
      <c r="G38" s="18">
        <f t="shared" ca="1" si="5"/>
        <v>1.2</v>
      </c>
      <c r="H38" s="18">
        <f t="shared" ca="1" si="5"/>
        <v>1.1000000000000001</v>
      </c>
      <c r="I38" s="18">
        <f t="shared" ca="1" si="5"/>
        <v>0</v>
      </c>
      <c r="J38" s="18">
        <f t="shared" ca="1" si="5"/>
        <v>0</v>
      </c>
      <c r="K38" s="18">
        <f t="shared" ca="1" si="5"/>
        <v>0</v>
      </c>
      <c r="L38" s="18">
        <f t="shared" ca="1" si="5"/>
        <v>100</v>
      </c>
      <c r="M38" s="18">
        <f t="shared" ca="1" si="5"/>
        <v>0</v>
      </c>
      <c r="N38" s="18">
        <f t="shared" ca="1" si="5"/>
        <v>1</v>
      </c>
      <c r="O38" s="18">
        <f t="shared" ca="1" si="5"/>
        <v>41</v>
      </c>
      <c r="P38" s="18">
        <f t="shared" ca="1" si="5"/>
        <v>5</v>
      </c>
      <c r="Q38" s="18">
        <f t="shared" ca="1" si="5"/>
        <v>2</v>
      </c>
      <c r="R38" s="18">
        <f t="shared" ca="1" si="4"/>
        <v>15</v>
      </c>
      <c r="S38" s="18">
        <f t="shared" ca="1" si="4"/>
        <v>0</v>
      </c>
      <c r="T38" s="18">
        <f t="shared" ca="1" si="4"/>
        <v>0</v>
      </c>
      <c r="U38" s="18">
        <f t="shared" ca="1" si="4"/>
        <v>0</v>
      </c>
      <c r="V38" s="18">
        <f t="shared" ca="1" si="4"/>
        <v>0</v>
      </c>
      <c r="W38" s="18">
        <f t="shared" ca="1" si="4"/>
        <v>1</v>
      </c>
    </row>
    <row r="39" spans="1:23" x14ac:dyDescent="0.15">
      <c r="A39" s="22" t="str">
        <f t="shared" ca="1" si="1"/>
        <v>30005_3-1/43&lt;lv46&gt;s2</v>
      </c>
      <c r="B39" s="18">
        <f t="shared" ca="1" si="5"/>
        <v>30005</v>
      </c>
      <c r="C39" s="18">
        <f t="shared" ca="1" si="5"/>
        <v>3</v>
      </c>
      <c r="D39" s="18">
        <f t="shared" ca="1" si="5"/>
        <v>1</v>
      </c>
      <c r="E39" s="18">
        <f t="shared" ca="1" si="5"/>
        <v>43</v>
      </c>
      <c r="F39" s="18">
        <f t="shared" ca="1" si="5"/>
        <v>46</v>
      </c>
      <c r="G39" s="18">
        <f t="shared" ca="1" si="5"/>
        <v>1.2</v>
      </c>
      <c r="H39" s="18">
        <f t="shared" ca="1" si="5"/>
        <v>1.1000000000000001</v>
      </c>
      <c r="I39" s="18">
        <f t="shared" ca="1" si="5"/>
        <v>0</v>
      </c>
      <c r="J39" s="18">
        <f t="shared" ca="1" si="5"/>
        <v>0</v>
      </c>
      <c r="K39" s="18">
        <f t="shared" ca="1" si="5"/>
        <v>0</v>
      </c>
      <c r="L39" s="18">
        <f t="shared" ca="1" si="5"/>
        <v>100</v>
      </c>
      <c r="M39" s="18">
        <f t="shared" ca="1" si="5"/>
        <v>0</v>
      </c>
      <c r="N39" s="18">
        <f t="shared" ca="1" si="5"/>
        <v>2</v>
      </c>
      <c r="O39" s="18">
        <f t="shared" ca="1" si="5"/>
        <v>43</v>
      </c>
      <c r="P39" s="18">
        <f t="shared" ca="1" si="5"/>
        <v>5</v>
      </c>
      <c r="Q39" s="18">
        <f t="shared" ca="1" si="5"/>
        <v>2</v>
      </c>
      <c r="R39" s="18">
        <f t="shared" ca="1" si="4"/>
        <v>15</v>
      </c>
      <c r="S39" s="18">
        <f t="shared" ca="1" si="4"/>
        <v>0</v>
      </c>
      <c r="T39" s="18">
        <f t="shared" ca="1" si="4"/>
        <v>0</v>
      </c>
      <c r="U39" s="18">
        <f t="shared" ca="1" si="4"/>
        <v>0</v>
      </c>
      <c r="V39" s="18">
        <f t="shared" ca="1" si="4"/>
        <v>0</v>
      </c>
      <c r="W39" s="18">
        <f t="shared" ca="1" si="4"/>
        <v>1</v>
      </c>
    </row>
    <row r="40" spans="1:23" x14ac:dyDescent="0.15">
      <c r="A40" s="22" t="str">
        <f t="shared" ca="1" si="1"/>
        <v>30005_3-1/45&lt;lv46&gt;s3</v>
      </c>
      <c r="B40" s="18">
        <f t="shared" ca="1" si="5"/>
        <v>30005</v>
      </c>
      <c r="C40" s="18">
        <f t="shared" ca="1" si="5"/>
        <v>3</v>
      </c>
      <c r="D40" s="18">
        <f t="shared" ca="1" si="5"/>
        <v>1</v>
      </c>
      <c r="E40" s="18">
        <f t="shared" ca="1" si="5"/>
        <v>45</v>
      </c>
      <c r="F40" s="18">
        <f t="shared" ca="1" si="5"/>
        <v>46</v>
      </c>
      <c r="G40" s="18">
        <f t="shared" ca="1" si="5"/>
        <v>1.2</v>
      </c>
      <c r="H40" s="18">
        <f t="shared" ca="1" si="5"/>
        <v>1.1000000000000001</v>
      </c>
      <c r="I40" s="18">
        <f t="shared" ca="1" si="5"/>
        <v>0</v>
      </c>
      <c r="J40" s="18">
        <f t="shared" ca="1" si="5"/>
        <v>0</v>
      </c>
      <c r="K40" s="18">
        <f t="shared" ca="1" si="5"/>
        <v>0</v>
      </c>
      <c r="L40" s="18">
        <f t="shared" ca="1" si="5"/>
        <v>100</v>
      </c>
      <c r="M40" s="18">
        <f t="shared" ca="1" si="5"/>
        <v>0</v>
      </c>
      <c r="N40" s="18">
        <f t="shared" ca="1" si="5"/>
        <v>3</v>
      </c>
      <c r="O40" s="18">
        <f t="shared" ca="1" si="5"/>
        <v>45</v>
      </c>
      <c r="P40" s="18">
        <f t="shared" ca="1" si="5"/>
        <v>5</v>
      </c>
      <c r="Q40" s="18">
        <f t="shared" ca="1" si="5"/>
        <v>2</v>
      </c>
      <c r="R40" s="18">
        <f t="shared" ca="1" si="4"/>
        <v>15</v>
      </c>
      <c r="S40" s="18">
        <f t="shared" ca="1" si="4"/>
        <v>0</v>
      </c>
      <c r="T40" s="18">
        <f t="shared" ca="1" si="4"/>
        <v>0</v>
      </c>
      <c r="U40" s="18">
        <f t="shared" ca="1" si="4"/>
        <v>0</v>
      </c>
      <c r="V40" s="18">
        <f t="shared" ca="1" si="4"/>
        <v>0</v>
      </c>
      <c r="W40" s="18">
        <f t="shared" ca="1" si="4"/>
        <v>1</v>
      </c>
    </row>
    <row r="41" spans="1:23" x14ac:dyDescent="0.15">
      <c r="A41" s="22" t="str">
        <f t="shared" ca="1" si="1"/>
        <v>30005_3-2/22&lt;lv46&gt;s2</v>
      </c>
      <c r="B41" s="18">
        <f t="shared" ca="1" si="5"/>
        <v>30005</v>
      </c>
      <c r="C41" s="18">
        <f t="shared" ca="1" si="5"/>
        <v>3</v>
      </c>
      <c r="D41" s="18">
        <f t="shared" ca="1" si="5"/>
        <v>2</v>
      </c>
      <c r="E41" s="18">
        <f t="shared" ca="1" si="5"/>
        <v>22</v>
      </c>
      <c r="F41" s="18">
        <f t="shared" ca="1" si="5"/>
        <v>46</v>
      </c>
      <c r="G41" s="18">
        <f t="shared" ca="1" si="5"/>
        <v>1.2</v>
      </c>
      <c r="H41" s="18">
        <f t="shared" ca="1" si="5"/>
        <v>1.1000000000000001</v>
      </c>
      <c r="I41" s="18">
        <f t="shared" ca="1" si="5"/>
        <v>0</v>
      </c>
      <c r="J41" s="18">
        <f t="shared" ca="1" si="5"/>
        <v>0</v>
      </c>
      <c r="K41" s="18">
        <f t="shared" ca="1" si="5"/>
        <v>0</v>
      </c>
      <c r="L41" s="18">
        <f t="shared" ca="1" si="5"/>
        <v>100</v>
      </c>
      <c r="M41" s="18">
        <f t="shared" ca="1" si="5"/>
        <v>0</v>
      </c>
      <c r="N41" s="18">
        <f t="shared" ca="1" si="5"/>
        <v>2</v>
      </c>
      <c r="O41" s="18">
        <f t="shared" ca="1" si="5"/>
        <v>22</v>
      </c>
      <c r="P41" s="18">
        <f t="shared" ca="1" si="5"/>
        <v>5</v>
      </c>
      <c r="Q41" s="18">
        <f t="shared" ca="1" si="5"/>
        <v>2</v>
      </c>
      <c r="R41" s="18">
        <f t="shared" ca="1" si="4"/>
        <v>0</v>
      </c>
      <c r="S41" s="18">
        <f t="shared" ca="1" si="4"/>
        <v>0</v>
      </c>
      <c r="T41" s="18">
        <f t="shared" ca="1" si="4"/>
        <v>0</v>
      </c>
      <c r="U41" s="18">
        <f t="shared" ca="1" si="4"/>
        <v>0</v>
      </c>
      <c r="V41" s="18">
        <f t="shared" ca="1" si="4"/>
        <v>0</v>
      </c>
      <c r="W41" s="18">
        <f t="shared" ca="1" si="4"/>
        <v>1</v>
      </c>
    </row>
    <row r="42" spans="1:23" x14ac:dyDescent="0.15">
      <c r="A42" s="22" t="str">
        <f t="shared" ca="1" si="1"/>
        <v>30005_3-2/41&lt;lv46&gt;s1</v>
      </c>
      <c r="B42" s="18">
        <f t="shared" ca="1" si="5"/>
        <v>30005</v>
      </c>
      <c r="C42" s="18">
        <f t="shared" ca="1" si="5"/>
        <v>3</v>
      </c>
      <c r="D42" s="18">
        <f t="shared" ca="1" si="5"/>
        <v>2</v>
      </c>
      <c r="E42" s="18">
        <f t="shared" ca="1" si="5"/>
        <v>41</v>
      </c>
      <c r="F42" s="18">
        <f t="shared" ca="1" si="5"/>
        <v>46</v>
      </c>
      <c r="G42" s="18">
        <f t="shared" ca="1" si="5"/>
        <v>1.2</v>
      </c>
      <c r="H42" s="18">
        <f t="shared" ca="1" si="5"/>
        <v>1.1000000000000001</v>
      </c>
      <c r="I42" s="18">
        <f t="shared" ca="1" si="5"/>
        <v>0</v>
      </c>
      <c r="J42" s="18">
        <f t="shared" ca="1" si="5"/>
        <v>0</v>
      </c>
      <c r="K42" s="18">
        <f t="shared" ca="1" si="5"/>
        <v>0</v>
      </c>
      <c r="L42" s="18">
        <f t="shared" ca="1" si="5"/>
        <v>100</v>
      </c>
      <c r="M42" s="18">
        <f t="shared" ca="1" si="5"/>
        <v>0</v>
      </c>
      <c r="N42" s="18">
        <f t="shared" ca="1" si="5"/>
        <v>1</v>
      </c>
      <c r="O42" s="18">
        <f t="shared" ca="1" si="5"/>
        <v>41</v>
      </c>
      <c r="P42" s="18">
        <f t="shared" ca="1" si="5"/>
        <v>5</v>
      </c>
      <c r="Q42" s="18">
        <f t="shared" ca="1" si="5"/>
        <v>2</v>
      </c>
      <c r="R42" s="18">
        <f t="shared" ca="1" si="4"/>
        <v>0</v>
      </c>
      <c r="S42" s="18">
        <f t="shared" ca="1" si="4"/>
        <v>0</v>
      </c>
      <c r="T42" s="18">
        <f t="shared" ca="1" si="4"/>
        <v>0</v>
      </c>
      <c r="U42" s="18">
        <f t="shared" ca="1" si="4"/>
        <v>0</v>
      </c>
      <c r="V42" s="18">
        <f t="shared" ca="1" si="4"/>
        <v>0</v>
      </c>
      <c r="W42" s="18">
        <f t="shared" ca="1" si="4"/>
        <v>1</v>
      </c>
    </row>
    <row r="43" spans="1:23" x14ac:dyDescent="0.15">
      <c r="A43" s="22" t="str">
        <f t="shared" ca="1" si="1"/>
        <v>30005_3-2/43&lt;lv46&gt;s2</v>
      </c>
      <c r="B43" s="18">
        <f t="shared" ca="1" si="5"/>
        <v>30005</v>
      </c>
      <c r="C43" s="18">
        <f t="shared" ca="1" si="5"/>
        <v>3</v>
      </c>
      <c r="D43" s="18">
        <f t="shared" ca="1" si="5"/>
        <v>2</v>
      </c>
      <c r="E43" s="18">
        <f t="shared" ca="1" si="5"/>
        <v>43</v>
      </c>
      <c r="F43" s="18">
        <f t="shared" ca="1" si="5"/>
        <v>46</v>
      </c>
      <c r="G43" s="18">
        <f t="shared" ca="1" si="5"/>
        <v>1.2</v>
      </c>
      <c r="H43" s="18">
        <f t="shared" ca="1" si="5"/>
        <v>1.1000000000000001</v>
      </c>
      <c r="I43" s="18">
        <f t="shared" ca="1" si="5"/>
        <v>0</v>
      </c>
      <c r="J43" s="18">
        <f t="shared" ca="1" si="5"/>
        <v>0</v>
      </c>
      <c r="K43" s="18">
        <f t="shared" ca="1" si="5"/>
        <v>0</v>
      </c>
      <c r="L43" s="18">
        <f t="shared" ca="1" si="5"/>
        <v>100</v>
      </c>
      <c r="M43" s="18">
        <f t="shared" ca="1" si="5"/>
        <v>0</v>
      </c>
      <c r="N43" s="18">
        <f t="shared" ca="1" si="5"/>
        <v>2</v>
      </c>
      <c r="O43" s="18">
        <f t="shared" ca="1" si="5"/>
        <v>43</v>
      </c>
      <c r="P43" s="18">
        <f t="shared" ca="1" si="5"/>
        <v>5</v>
      </c>
      <c r="Q43" s="18">
        <f t="shared" ca="1" si="5"/>
        <v>2</v>
      </c>
      <c r="R43" s="18">
        <f t="shared" ca="1" si="4"/>
        <v>0</v>
      </c>
      <c r="S43" s="18">
        <f t="shared" ca="1" si="4"/>
        <v>0</v>
      </c>
      <c r="T43" s="18">
        <f t="shared" ca="1" si="4"/>
        <v>0</v>
      </c>
      <c r="U43" s="18">
        <f t="shared" ca="1" si="4"/>
        <v>0</v>
      </c>
      <c r="V43" s="18">
        <f t="shared" ca="1" si="4"/>
        <v>0</v>
      </c>
      <c r="W43" s="18">
        <f t="shared" ca="1" si="4"/>
        <v>1</v>
      </c>
    </row>
    <row r="44" spans="1:23" x14ac:dyDescent="0.15">
      <c r="A44" s="22" t="str">
        <f t="shared" ca="1" si="1"/>
        <v>30005_3-2/45&lt;lv46&gt;s3</v>
      </c>
      <c r="B44" s="18">
        <f t="shared" ca="1" si="5"/>
        <v>30005</v>
      </c>
      <c r="C44" s="18">
        <f t="shared" ca="1" si="5"/>
        <v>3</v>
      </c>
      <c r="D44" s="18">
        <f t="shared" ca="1" si="5"/>
        <v>2</v>
      </c>
      <c r="E44" s="18">
        <f t="shared" ca="1" si="5"/>
        <v>45</v>
      </c>
      <c r="F44" s="18">
        <f t="shared" ca="1" si="5"/>
        <v>46</v>
      </c>
      <c r="G44" s="18">
        <f t="shared" ca="1" si="5"/>
        <v>1.2</v>
      </c>
      <c r="H44" s="18">
        <f t="shared" ca="1" si="5"/>
        <v>1.1000000000000001</v>
      </c>
      <c r="I44" s="18">
        <f t="shared" ca="1" si="5"/>
        <v>0</v>
      </c>
      <c r="J44" s="18">
        <f t="shared" ca="1" si="5"/>
        <v>0</v>
      </c>
      <c r="K44" s="18">
        <f t="shared" ca="1" si="5"/>
        <v>0</v>
      </c>
      <c r="L44" s="18">
        <f t="shared" ca="1" si="5"/>
        <v>100</v>
      </c>
      <c r="M44" s="18">
        <f t="shared" ca="1" si="5"/>
        <v>0</v>
      </c>
      <c r="N44" s="18">
        <f t="shared" ca="1" si="5"/>
        <v>3</v>
      </c>
      <c r="O44" s="18">
        <f t="shared" ca="1" si="5"/>
        <v>45</v>
      </c>
      <c r="P44" s="18">
        <f t="shared" ca="1" si="5"/>
        <v>5</v>
      </c>
      <c r="Q44" s="18">
        <f t="shared" ca="1" si="5"/>
        <v>2</v>
      </c>
      <c r="R44" s="18">
        <f t="shared" ca="1" si="4"/>
        <v>0</v>
      </c>
      <c r="S44" s="18">
        <f t="shared" ca="1" si="4"/>
        <v>0</v>
      </c>
      <c r="T44" s="18">
        <f t="shared" ca="1" si="4"/>
        <v>0</v>
      </c>
      <c r="U44" s="18">
        <f t="shared" ca="1" si="4"/>
        <v>0</v>
      </c>
      <c r="V44" s="18">
        <f t="shared" ca="1" si="4"/>
        <v>0</v>
      </c>
      <c r="W44" s="18">
        <f t="shared" ca="1" si="4"/>
        <v>1</v>
      </c>
    </row>
    <row r="45" spans="1:23" x14ac:dyDescent="0.15">
      <c r="A45" s="22" t="str">
        <f t="shared" ca="1" si="1"/>
        <v>30005_3-2/47&lt;lv46&gt;s1</v>
      </c>
      <c r="B45" s="18">
        <f t="shared" ca="1" si="5"/>
        <v>30005</v>
      </c>
      <c r="C45" s="18">
        <f t="shared" ca="1" si="5"/>
        <v>3</v>
      </c>
      <c r="D45" s="18">
        <f t="shared" ca="1" si="5"/>
        <v>2</v>
      </c>
      <c r="E45" s="18">
        <f t="shared" ca="1" si="5"/>
        <v>47</v>
      </c>
      <c r="F45" s="18">
        <f t="shared" ca="1" si="5"/>
        <v>46</v>
      </c>
      <c r="G45" s="18">
        <f t="shared" ca="1" si="5"/>
        <v>1</v>
      </c>
      <c r="H45" s="18">
        <f t="shared" ca="1" si="5"/>
        <v>0.9</v>
      </c>
      <c r="I45" s="18">
        <f t="shared" ca="1" si="5"/>
        <v>0</v>
      </c>
      <c r="J45" s="18">
        <f t="shared" ca="1" si="5"/>
        <v>0</v>
      </c>
      <c r="K45" s="18">
        <f t="shared" ca="1" si="5"/>
        <v>0</v>
      </c>
      <c r="L45" s="18">
        <f t="shared" ca="1" si="5"/>
        <v>100</v>
      </c>
      <c r="M45" s="18">
        <f t="shared" ca="1" si="5"/>
        <v>0</v>
      </c>
      <c r="N45" s="18">
        <f t="shared" ca="1" si="5"/>
        <v>1</v>
      </c>
      <c r="O45" s="18">
        <f t="shared" ca="1" si="5"/>
        <v>47</v>
      </c>
      <c r="P45" s="18">
        <f t="shared" ca="1" si="5"/>
        <v>5</v>
      </c>
      <c r="Q45" s="18">
        <f t="shared" ca="1" si="5"/>
        <v>2</v>
      </c>
      <c r="R45" s="18">
        <f t="shared" ca="1" si="4"/>
        <v>0</v>
      </c>
      <c r="S45" s="18">
        <f t="shared" ca="1" si="4"/>
        <v>0</v>
      </c>
      <c r="T45" s="18">
        <f t="shared" ca="1" si="4"/>
        <v>0</v>
      </c>
      <c r="U45" s="18">
        <f t="shared" ca="1" si="4"/>
        <v>0</v>
      </c>
      <c r="V45" s="18">
        <f t="shared" ca="1" si="4"/>
        <v>0</v>
      </c>
      <c r="W45" s="18">
        <f t="shared" ca="1" si="4"/>
        <v>1</v>
      </c>
    </row>
    <row r="46" spans="1:23" x14ac:dyDescent="0.15">
      <c r="A46" s="22" t="str">
        <f t="shared" ca="1" si="1"/>
        <v>30005_3-2/121&lt;lv46&gt;s3</v>
      </c>
      <c r="B46" s="18">
        <f t="shared" ca="1" si="5"/>
        <v>30005</v>
      </c>
      <c r="C46" s="18">
        <f t="shared" ca="1" si="5"/>
        <v>3</v>
      </c>
      <c r="D46" s="18">
        <f t="shared" ca="1" si="5"/>
        <v>2</v>
      </c>
      <c r="E46" s="18">
        <f t="shared" ca="1" si="5"/>
        <v>121</v>
      </c>
      <c r="F46" s="18">
        <f t="shared" ca="1" si="5"/>
        <v>46</v>
      </c>
      <c r="G46" s="18">
        <f t="shared" ca="1" si="5"/>
        <v>1.2</v>
      </c>
      <c r="H46" s="18">
        <f t="shared" ca="1" si="5"/>
        <v>1.1000000000000001</v>
      </c>
      <c r="I46" s="18">
        <f t="shared" ca="1" si="5"/>
        <v>0</v>
      </c>
      <c r="J46" s="18">
        <f t="shared" ca="1" si="5"/>
        <v>1211</v>
      </c>
      <c r="K46" s="18">
        <f t="shared" ca="1" si="5"/>
        <v>1</v>
      </c>
      <c r="L46" s="18">
        <f t="shared" ca="1" si="5"/>
        <v>100</v>
      </c>
      <c r="M46" s="18">
        <f t="shared" ca="1" si="5"/>
        <v>1</v>
      </c>
      <c r="N46" s="18">
        <f t="shared" ca="1" si="5"/>
        <v>3</v>
      </c>
      <c r="O46" s="18">
        <f t="shared" ca="1" si="5"/>
        <v>121</v>
      </c>
      <c r="P46" s="18">
        <f t="shared" ca="1" si="5"/>
        <v>1</v>
      </c>
      <c r="Q46" s="18">
        <f t="shared" ref="Q46:W50" ca="1" si="6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46" s="18">
        <f t="shared" ca="1" si="6"/>
        <v>20</v>
      </c>
      <c r="S46" s="18">
        <f t="shared" ca="1" si="6"/>
        <v>0</v>
      </c>
      <c r="T46" s="18">
        <f t="shared" ca="1" si="6"/>
        <v>0</v>
      </c>
      <c r="U46" s="18">
        <f t="shared" ca="1" si="6"/>
        <v>0</v>
      </c>
      <c r="V46" s="18">
        <f t="shared" ca="1" si="6"/>
        <v>0</v>
      </c>
      <c r="W46" s="18">
        <f t="shared" ca="1" si="6"/>
        <v>1</v>
      </c>
    </row>
    <row r="47" spans="1:23" x14ac:dyDescent="0.15">
      <c r="A47" s="22" t="str">
        <f t="shared" ca="1" si="1"/>
        <v>30005_3-3/22&lt;lv47&gt;s2</v>
      </c>
      <c r="B47" s="18">
        <f t="shared" ref="B47:Q50" ca="1" si="7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30005</v>
      </c>
      <c r="C47" s="18">
        <f t="shared" ca="1" si="7"/>
        <v>3</v>
      </c>
      <c r="D47" s="18">
        <f t="shared" ca="1" si="7"/>
        <v>3</v>
      </c>
      <c r="E47" s="18">
        <f t="shared" ca="1" si="7"/>
        <v>22</v>
      </c>
      <c r="F47" s="18">
        <f t="shared" ca="1" si="7"/>
        <v>47</v>
      </c>
      <c r="G47" s="18">
        <f t="shared" ca="1" si="7"/>
        <v>1.2</v>
      </c>
      <c r="H47" s="18">
        <f t="shared" ca="1" si="7"/>
        <v>1.1000000000000001</v>
      </c>
      <c r="I47" s="18">
        <f t="shared" ca="1" si="7"/>
        <v>0</v>
      </c>
      <c r="J47" s="18">
        <f t="shared" ca="1" si="7"/>
        <v>0</v>
      </c>
      <c r="K47" s="18">
        <f t="shared" ca="1" si="7"/>
        <v>0</v>
      </c>
      <c r="L47" s="18">
        <f t="shared" ca="1" si="7"/>
        <v>100</v>
      </c>
      <c r="M47" s="18">
        <f t="shared" ca="1" si="7"/>
        <v>0</v>
      </c>
      <c r="N47" s="18">
        <f t="shared" ca="1" si="7"/>
        <v>2</v>
      </c>
      <c r="O47" s="18">
        <f t="shared" ca="1" si="7"/>
        <v>22</v>
      </c>
      <c r="P47" s="18">
        <f t="shared" ca="1" si="7"/>
        <v>5</v>
      </c>
      <c r="Q47" s="18">
        <f t="shared" ca="1" si="7"/>
        <v>2</v>
      </c>
      <c r="R47" s="18">
        <f t="shared" ca="1" si="6"/>
        <v>15</v>
      </c>
      <c r="S47" s="18">
        <f t="shared" ca="1" si="6"/>
        <v>0</v>
      </c>
      <c r="T47" s="18">
        <f t="shared" ca="1" si="6"/>
        <v>0</v>
      </c>
      <c r="U47" s="18">
        <f t="shared" ca="1" si="6"/>
        <v>0</v>
      </c>
      <c r="V47" s="18">
        <f t="shared" ca="1" si="6"/>
        <v>0</v>
      </c>
      <c r="W47" s="18">
        <f t="shared" ca="1" si="6"/>
        <v>1</v>
      </c>
    </row>
    <row r="48" spans="1:23" x14ac:dyDescent="0.15">
      <c r="A48" s="22" t="str">
        <f t="shared" ca="1" si="1"/>
        <v>30005_3-3/41&lt;lv47&gt;s1</v>
      </c>
      <c r="B48" s="18">
        <f t="shared" ca="1" si="7"/>
        <v>30005</v>
      </c>
      <c r="C48" s="18">
        <f t="shared" ca="1" si="7"/>
        <v>3</v>
      </c>
      <c r="D48" s="18">
        <f t="shared" ca="1" si="7"/>
        <v>3</v>
      </c>
      <c r="E48" s="18">
        <f t="shared" ca="1" si="7"/>
        <v>41</v>
      </c>
      <c r="F48" s="18">
        <f t="shared" ca="1" si="7"/>
        <v>47</v>
      </c>
      <c r="G48" s="18">
        <f t="shared" ca="1" si="7"/>
        <v>1.2</v>
      </c>
      <c r="H48" s="18">
        <f t="shared" ca="1" si="7"/>
        <v>1.1000000000000001</v>
      </c>
      <c r="I48" s="18">
        <f t="shared" ca="1" si="7"/>
        <v>0</v>
      </c>
      <c r="J48" s="18">
        <f t="shared" ca="1" si="7"/>
        <v>0</v>
      </c>
      <c r="K48" s="18">
        <f t="shared" ca="1" si="7"/>
        <v>0</v>
      </c>
      <c r="L48" s="18">
        <f t="shared" ca="1" si="7"/>
        <v>100</v>
      </c>
      <c r="M48" s="18">
        <f t="shared" ca="1" si="7"/>
        <v>0</v>
      </c>
      <c r="N48" s="18">
        <f t="shared" ca="1" si="7"/>
        <v>1</v>
      </c>
      <c r="O48" s="18">
        <f t="shared" ca="1" si="7"/>
        <v>41</v>
      </c>
      <c r="P48" s="18">
        <f t="shared" ca="1" si="7"/>
        <v>5</v>
      </c>
      <c r="Q48" s="18">
        <f t="shared" ca="1" si="7"/>
        <v>2</v>
      </c>
      <c r="R48" s="18">
        <f t="shared" ca="1" si="6"/>
        <v>15</v>
      </c>
      <c r="S48" s="18">
        <f t="shared" ca="1" si="6"/>
        <v>0</v>
      </c>
      <c r="T48" s="18">
        <f t="shared" ca="1" si="6"/>
        <v>0</v>
      </c>
      <c r="U48" s="18">
        <f t="shared" ca="1" si="6"/>
        <v>0</v>
      </c>
      <c r="V48" s="18">
        <f t="shared" ca="1" si="6"/>
        <v>0</v>
      </c>
      <c r="W48" s="18">
        <f t="shared" ca="1" si="6"/>
        <v>1</v>
      </c>
    </row>
    <row r="49" spans="1:23" x14ac:dyDescent="0.15">
      <c r="A49" s="22" t="str">
        <f t="shared" ca="1" si="1"/>
        <v>30005_3-3/47&lt;lv47&gt;s1</v>
      </c>
      <c r="B49" s="18">
        <f t="shared" ca="1" si="7"/>
        <v>30005</v>
      </c>
      <c r="C49" s="18">
        <f t="shared" ca="1" si="7"/>
        <v>3</v>
      </c>
      <c r="D49" s="18">
        <f t="shared" ca="1" si="7"/>
        <v>3</v>
      </c>
      <c r="E49" s="18">
        <f t="shared" ca="1" si="7"/>
        <v>47</v>
      </c>
      <c r="F49" s="18">
        <f t="shared" ca="1" si="7"/>
        <v>47</v>
      </c>
      <c r="G49" s="18">
        <f t="shared" ca="1" si="7"/>
        <v>1</v>
      </c>
      <c r="H49" s="18">
        <f t="shared" ca="1" si="7"/>
        <v>1</v>
      </c>
      <c r="I49" s="18">
        <f t="shared" ca="1" si="7"/>
        <v>0</v>
      </c>
      <c r="J49" s="18">
        <f t="shared" ca="1" si="7"/>
        <v>0</v>
      </c>
      <c r="K49" s="18">
        <f t="shared" ca="1" si="7"/>
        <v>0</v>
      </c>
      <c r="L49" s="18">
        <f t="shared" ca="1" si="7"/>
        <v>100</v>
      </c>
      <c r="M49" s="18">
        <f t="shared" ca="1" si="7"/>
        <v>0</v>
      </c>
      <c r="N49" s="18">
        <f t="shared" ca="1" si="7"/>
        <v>1</v>
      </c>
      <c r="O49" s="18">
        <f t="shared" ca="1" si="7"/>
        <v>47</v>
      </c>
      <c r="P49" s="18">
        <f t="shared" ca="1" si="7"/>
        <v>5</v>
      </c>
      <c r="Q49" s="18">
        <f t="shared" ca="1" si="7"/>
        <v>2</v>
      </c>
      <c r="R49" s="18">
        <f t="shared" ca="1" si="6"/>
        <v>15</v>
      </c>
      <c r="S49" s="18">
        <f t="shared" ca="1" si="6"/>
        <v>0</v>
      </c>
      <c r="T49" s="18">
        <f t="shared" ca="1" si="6"/>
        <v>0</v>
      </c>
      <c r="U49" s="18">
        <f t="shared" ca="1" si="6"/>
        <v>0</v>
      </c>
      <c r="V49" s="18">
        <f t="shared" ca="1" si="6"/>
        <v>0</v>
      </c>
      <c r="W49" s="18">
        <f t="shared" ca="1" si="6"/>
        <v>1</v>
      </c>
    </row>
    <row r="50" spans="1:23" x14ac:dyDescent="0.15">
      <c r="A50" s="22" t="str">
        <f t="shared" ca="1" si="1"/>
        <v>30005_3-4/291&lt;lv50&gt;s2</v>
      </c>
      <c r="B50" s="18">
        <f t="shared" ca="1" si="7"/>
        <v>30005</v>
      </c>
      <c r="C50" s="18">
        <f t="shared" ca="1" si="7"/>
        <v>3</v>
      </c>
      <c r="D50" s="18">
        <f t="shared" ca="1" si="7"/>
        <v>4</v>
      </c>
      <c r="E50" s="18">
        <f t="shared" ca="1" si="7"/>
        <v>291</v>
      </c>
      <c r="F50" s="18">
        <f t="shared" ca="1" si="7"/>
        <v>50</v>
      </c>
      <c r="G50" s="18">
        <f t="shared" ca="1" si="7"/>
        <v>4.5</v>
      </c>
      <c r="H50" s="18">
        <f t="shared" ca="1" si="7"/>
        <v>1.5</v>
      </c>
      <c r="I50" s="18">
        <f t="shared" ca="1" si="7"/>
        <v>0</v>
      </c>
      <c r="J50" s="18">
        <f t="shared" ca="1" si="7"/>
        <v>29002</v>
      </c>
      <c r="K50" s="18">
        <f t="shared" ca="1" si="7"/>
        <v>1</v>
      </c>
      <c r="L50" s="18">
        <f t="shared" ca="1" si="7"/>
        <v>100</v>
      </c>
      <c r="M50" s="18">
        <f t="shared" ca="1" si="7"/>
        <v>1</v>
      </c>
      <c r="N50" s="18">
        <f t="shared" ca="1" si="7"/>
        <v>2</v>
      </c>
      <c r="O50" s="18">
        <f t="shared" ca="1" si="7"/>
        <v>290</v>
      </c>
      <c r="P50" s="18">
        <f t="shared" ca="1" si="7"/>
        <v>1</v>
      </c>
      <c r="Q50" s="18">
        <f t="shared" ca="1" si="7"/>
        <v>4</v>
      </c>
      <c r="R50" s="18">
        <f ca="1">VLOOKUP($A50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50" s="18">
        <f t="shared" ca="1" si="6"/>
        <v>0</v>
      </c>
      <c r="T50" s="18">
        <f t="shared" ca="1" si="6"/>
        <v>0</v>
      </c>
      <c r="U50" s="18">
        <f t="shared" ca="1" si="6"/>
        <v>0</v>
      </c>
      <c r="V50" s="18">
        <f t="shared" ca="1" si="6"/>
        <v>0</v>
      </c>
      <c r="W50" s="18">
        <f t="shared" ca="1" si="6"/>
        <v>1</v>
      </c>
    </row>
    <row r="51" spans="1:23" x14ac:dyDescent="0.15">
      <c r="A51"/>
    </row>
    <row r="52" spans="1:23" x14ac:dyDescent="0.15">
      <c r="A52"/>
    </row>
    <row r="53" spans="1:23" x14ac:dyDescent="0.15">
      <c r="A53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floors_multi_2_1</vt:lpstr>
      <vt:lpstr>enemy_habitats_multi_2_1</vt:lpstr>
      <vt:lpstr>floors_multi_2_1.tmp</vt:lpstr>
      <vt:lpstr>enemy_habitats_multi_2_1.tmp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2017-03-08T03:09:55Z</dcterms:modified>
</cp:coreProperties>
</file>