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tabRatio="643" activeTab="3"/>
  </bookViews>
  <sheets>
    <sheet name="floors_multi_1_4" sheetId="2" r:id="rId1"/>
    <sheet name="enemy_habitats_multi_1_4" sheetId="1" r:id="rId2"/>
    <sheet name="floors_multi_1_4.tmp" sheetId="5" r:id="rId3"/>
    <sheet name="enemy_habitats_multi_1_4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enemy_habitats_multi_1_4!$B$1:$AE$7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4" i="6" l="1"/>
  <c r="R63" i="6"/>
  <c r="Z3" i="1"/>
  <c r="AA3" i="1"/>
  <c r="AB3" i="1"/>
  <c r="Z4" i="1"/>
  <c r="AA4" i="1"/>
  <c r="AB4" i="1"/>
  <c r="Z5" i="1"/>
  <c r="AA5" i="1"/>
  <c r="AB5" i="1"/>
  <c r="Z6" i="1"/>
  <c r="AA6" i="1"/>
  <c r="AB6" i="1"/>
  <c r="Z7" i="1"/>
  <c r="AA7" i="1"/>
  <c r="AB7" i="1"/>
  <c r="Z8" i="1"/>
  <c r="AA8" i="1"/>
  <c r="AB8" i="1"/>
  <c r="Z9" i="1"/>
  <c r="AA9" i="1"/>
  <c r="AB9" i="1"/>
  <c r="Z10" i="1"/>
  <c r="AA10" i="1"/>
  <c r="AB10" i="1"/>
  <c r="Z11" i="1"/>
  <c r="AA11" i="1"/>
  <c r="AB11" i="1"/>
  <c r="Z12" i="1"/>
  <c r="AA12" i="1"/>
  <c r="AB12" i="1"/>
  <c r="Z13" i="1"/>
  <c r="AA13" i="1"/>
  <c r="AB13" i="1"/>
  <c r="Z14" i="1"/>
  <c r="AA14" i="1"/>
  <c r="AB14" i="1"/>
  <c r="Z15" i="1"/>
  <c r="AA15" i="1"/>
  <c r="AB15" i="1"/>
  <c r="Z16" i="1"/>
  <c r="AA16" i="1"/>
  <c r="AB16" i="1"/>
  <c r="Z17" i="1"/>
  <c r="AA17" i="1"/>
  <c r="AB17" i="1"/>
  <c r="Z18" i="1"/>
  <c r="AA18" i="1"/>
  <c r="AB18" i="1"/>
  <c r="Z19" i="1"/>
  <c r="AA19" i="1"/>
  <c r="AB19" i="1"/>
  <c r="Z20" i="1"/>
  <c r="AA20" i="1"/>
  <c r="AB20" i="1"/>
  <c r="Z21" i="1"/>
  <c r="AA21" i="1"/>
  <c r="AB21" i="1"/>
  <c r="Z22" i="1"/>
  <c r="AA22" i="1"/>
  <c r="AB22" i="1"/>
  <c r="Z23" i="1"/>
  <c r="AA23" i="1"/>
  <c r="AB23" i="1"/>
  <c r="Z24" i="1"/>
  <c r="AA24" i="1"/>
  <c r="AB24" i="1"/>
  <c r="Z25" i="1"/>
  <c r="AA25" i="1"/>
  <c r="AB25" i="1"/>
  <c r="Z26" i="1"/>
  <c r="AA26" i="1"/>
  <c r="AB26" i="1"/>
  <c r="Z27" i="1"/>
  <c r="AA27" i="1"/>
  <c r="AB27" i="1"/>
  <c r="Z28" i="1"/>
  <c r="AA28" i="1"/>
  <c r="AB28" i="1"/>
  <c r="Z29" i="1"/>
  <c r="AA29" i="1"/>
  <c r="AB29" i="1"/>
  <c r="Z30" i="1"/>
  <c r="AA30" i="1"/>
  <c r="AB30" i="1"/>
  <c r="Z31" i="1"/>
  <c r="AA31" i="1"/>
  <c r="AB31" i="1"/>
  <c r="Z32" i="1"/>
  <c r="AA32" i="1"/>
  <c r="AB32" i="1"/>
  <c r="Z33" i="1"/>
  <c r="AA33" i="1"/>
  <c r="AB33" i="1"/>
  <c r="Z34" i="1"/>
  <c r="AA34" i="1"/>
  <c r="AB34" i="1"/>
  <c r="Z35" i="1"/>
  <c r="AA35" i="1"/>
  <c r="AB35" i="1"/>
  <c r="Z36" i="1"/>
  <c r="AA36" i="1"/>
  <c r="AB36" i="1"/>
  <c r="Z37" i="1"/>
  <c r="AA37" i="1"/>
  <c r="AB37" i="1"/>
  <c r="Z38" i="1"/>
  <c r="AA38" i="1"/>
  <c r="AB38" i="1"/>
  <c r="Z39" i="1"/>
  <c r="AA39" i="1"/>
  <c r="AB39" i="1"/>
  <c r="Z40" i="1"/>
  <c r="AA40" i="1"/>
  <c r="AB40" i="1"/>
  <c r="Z41" i="1"/>
  <c r="AA41" i="1"/>
  <c r="AB41" i="1"/>
  <c r="Z42" i="1"/>
  <c r="AA42" i="1"/>
  <c r="AB42" i="1"/>
  <c r="Z43" i="1"/>
  <c r="AA43" i="1"/>
  <c r="AB43" i="1"/>
  <c r="Z44" i="1"/>
  <c r="AA44" i="1"/>
  <c r="AB44" i="1"/>
  <c r="Z45" i="1"/>
  <c r="AA45" i="1"/>
  <c r="AB45" i="1"/>
  <c r="Z46" i="1"/>
  <c r="AA46" i="1"/>
  <c r="AB46" i="1"/>
  <c r="Z47" i="1"/>
  <c r="AA47" i="1"/>
  <c r="AB47" i="1"/>
  <c r="Z48" i="1"/>
  <c r="AA48" i="1"/>
  <c r="AB48" i="1"/>
  <c r="Z49" i="1"/>
  <c r="AA49" i="1"/>
  <c r="AB49" i="1"/>
  <c r="Z50" i="1"/>
  <c r="AA50" i="1"/>
  <c r="AB50" i="1"/>
  <c r="Z51" i="1"/>
  <c r="AA51" i="1"/>
  <c r="AB51" i="1"/>
  <c r="Z52" i="1"/>
  <c r="AA52" i="1"/>
  <c r="AB52" i="1"/>
  <c r="Z53" i="1"/>
  <c r="AA53" i="1"/>
  <c r="AB53" i="1"/>
  <c r="Z54" i="1"/>
  <c r="AA54" i="1"/>
  <c r="AB54" i="1"/>
  <c r="Z55" i="1"/>
  <c r="AA55" i="1"/>
  <c r="AB55" i="1"/>
  <c r="Z56" i="1"/>
  <c r="AA56" i="1"/>
  <c r="AB56" i="1"/>
  <c r="Z57" i="1"/>
  <c r="AA57" i="1"/>
  <c r="AB57" i="1"/>
  <c r="Z58" i="1"/>
  <c r="AA58" i="1"/>
  <c r="AB58" i="1"/>
  <c r="Z59" i="1"/>
  <c r="AA59" i="1"/>
  <c r="AB59" i="1"/>
  <c r="Z60" i="1"/>
  <c r="AA60" i="1"/>
  <c r="AB60" i="1"/>
  <c r="Z61" i="1"/>
  <c r="AA61" i="1"/>
  <c r="AB61" i="1"/>
  <c r="Z62" i="1"/>
  <c r="AA62" i="1"/>
  <c r="AB62" i="1"/>
  <c r="AB2" i="1"/>
  <c r="AA2" i="1"/>
  <c r="Z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2" i="1"/>
  <c r="T57" i="1"/>
  <c r="S57" i="1"/>
  <c r="T58" i="1"/>
  <c r="S58" i="1"/>
  <c r="T59" i="1"/>
  <c r="S59" i="1"/>
  <c r="T60" i="1"/>
  <c r="S60" i="1"/>
  <c r="T61" i="1"/>
  <c r="S61" i="1"/>
  <c r="T62" i="1"/>
  <c r="S62" i="1"/>
  <c r="T56" i="1"/>
  <c r="S56" i="1"/>
  <c r="T23" i="1"/>
  <c r="S23" i="1"/>
  <c r="T24" i="1"/>
  <c r="S24" i="1"/>
  <c r="T25" i="1"/>
  <c r="S25" i="1"/>
  <c r="T26" i="1"/>
  <c r="S26" i="1"/>
  <c r="T27" i="1"/>
  <c r="S27" i="1"/>
  <c r="T28" i="1"/>
  <c r="S28" i="1"/>
  <c r="T29" i="1"/>
  <c r="S29" i="1"/>
  <c r="T30" i="1"/>
  <c r="S30" i="1"/>
  <c r="T31" i="1"/>
  <c r="S31" i="1"/>
  <c r="T32" i="1"/>
  <c r="S32" i="1"/>
  <c r="T33" i="1"/>
  <c r="S33" i="1"/>
  <c r="T34" i="1"/>
  <c r="S34" i="1"/>
  <c r="T35" i="1"/>
  <c r="S35" i="1"/>
  <c r="T36" i="1"/>
  <c r="S36" i="1"/>
  <c r="T37" i="1"/>
  <c r="S37" i="1"/>
  <c r="T38" i="1"/>
  <c r="S38" i="1"/>
  <c r="T39" i="1"/>
  <c r="S39" i="1"/>
  <c r="T40" i="1"/>
  <c r="S40" i="1"/>
  <c r="T41" i="1"/>
  <c r="S41" i="1"/>
  <c r="T42" i="1"/>
  <c r="S42" i="1"/>
  <c r="T43" i="1"/>
  <c r="S43" i="1"/>
  <c r="T44" i="1"/>
  <c r="S44" i="1"/>
  <c r="T45" i="1"/>
  <c r="S45" i="1"/>
  <c r="T46" i="1"/>
  <c r="S46" i="1"/>
  <c r="T47" i="1"/>
  <c r="S47" i="1"/>
  <c r="T48" i="1"/>
  <c r="S48" i="1"/>
  <c r="T49" i="1"/>
  <c r="S49" i="1"/>
  <c r="T50" i="1"/>
  <c r="S50" i="1"/>
  <c r="T51" i="1"/>
  <c r="S51" i="1"/>
  <c r="T52" i="1"/>
  <c r="S52" i="1"/>
  <c r="T53" i="1"/>
  <c r="S53" i="1"/>
  <c r="T13" i="1"/>
  <c r="S13" i="1"/>
  <c r="T14" i="1"/>
  <c r="S14" i="1"/>
  <c r="T15" i="1"/>
  <c r="S15" i="1"/>
  <c r="T16" i="1"/>
  <c r="S16" i="1"/>
  <c r="T17" i="1"/>
  <c r="S17" i="1"/>
  <c r="T18" i="1"/>
  <c r="S18" i="1"/>
  <c r="T19" i="1"/>
  <c r="S19" i="1"/>
  <c r="T20" i="1"/>
  <c r="S20" i="1"/>
  <c r="T21" i="1"/>
  <c r="S21" i="1"/>
  <c r="T22" i="1"/>
  <c r="S22" i="1"/>
  <c r="T12" i="1"/>
  <c r="S12" i="1"/>
  <c r="T3" i="1"/>
  <c r="S3" i="1"/>
  <c r="T4" i="1"/>
  <c r="S4" i="1"/>
  <c r="T5" i="1"/>
  <c r="S5" i="1"/>
  <c r="T6" i="1"/>
  <c r="S6" i="1"/>
  <c r="T7" i="1"/>
  <c r="S7" i="1"/>
  <c r="T8" i="1"/>
  <c r="S8" i="1"/>
  <c r="T9" i="1"/>
  <c r="S9" i="1"/>
  <c r="T10" i="1"/>
  <c r="S10" i="1"/>
  <c r="T11" i="1"/>
  <c r="S11" i="1"/>
  <c r="T2" i="1"/>
  <c r="S2" i="1"/>
  <c r="J3" i="1"/>
  <c r="K3" i="1"/>
  <c r="L3" i="1"/>
  <c r="M3" i="1"/>
  <c r="N3" i="1"/>
  <c r="J4" i="1"/>
  <c r="K4" i="1"/>
  <c r="L4" i="1"/>
  <c r="M4" i="1"/>
  <c r="N4" i="1"/>
  <c r="J5" i="1"/>
  <c r="K5" i="1"/>
  <c r="L5" i="1"/>
  <c r="M5" i="1"/>
  <c r="N5" i="1"/>
  <c r="J6" i="1"/>
  <c r="K6" i="1"/>
  <c r="L6" i="1"/>
  <c r="M6" i="1"/>
  <c r="N6" i="1"/>
  <c r="J7" i="1"/>
  <c r="K7" i="1"/>
  <c r="L7" i="1"/>
  <c r="M7" i="1"/>
  <c r="N7" i="1"/>
  <c r="J8" i="1"/>
  <c r="K8" i="1"/>
  <c r="L8" i="1"/>
  <c r="M8" i="1"/>
  <c r="N8" i="1"/>
  <c r="J9" i="1"/>
  <c r="K9" i="1"/>
  <c r="L9" i="1"/>
  <c r="M9" i="1"/>
  <c r="N9" i="1"/>
  <c r="J10" i="1"/>
  <c r="K10" i="1"/>
  <c r="L10" i="1"/>
  <c r="M10" i="1"/>
  <c r="N10" i="1"/>
  <c r="J11" i="1"/>
  <c r="K11" i="1"/>
  <c r="L11" i="1"/>
  <c r="M11" i="1"/>
  <c r="N11" i="1"/>
  <c r="J12" i="1"/>
  <c r="K12" i="1"/>
  <c r="L12" i="1"/>
  <c r="M12" i="1"/>
  <c r="N12" i="1"/>
  <c r="J13" i="1"/>
  <c r="K13" i="1"/>
  <c r="L13" i="1"/>
  <c r="M13" i="1"/>
  <c r="N13" i="1"/>
  <c r="J14" i="1"/>
  <c r="K14" i="1"/>
  <c r="L14" i="1"/>
  <c r="M14" i="1"/>
  <c r="N14" i="1"/>
  <c r="J15" i="1"/>
  <c r="K15" i="1"/>
  <c r="L15" i="1"/>
  <c r="M15" i="1"/>
  <c r="N15" i="1"/>
  <c r="J16" i="1"/>
  <c r="K16" i="1"/>
  <c r="L16" i="1"/>
  <c r="M16" i="1"/>
  <c r="N16" i="1"/>
  <c r="J17" i="1"/>
  <c r="K17" i="1"/>
  <c r="L17" i="1"/>
  <c r="M17" i="1"/>
  <c r="N17" i="1"/>
  <c r="J18" i="1"/>
  <c r="K18" i="1"/>
  <c r="L18" i="1"/>
  <c r="M18" i="1"/>
  <c r="N18" i="1"/>
  <c r="J19" i="1"/>
  <c r="K19" i="1"/>
  <c r="L19" i="1"/>
  <c r="M19" i="1"/>
  <c r="N19" i="1"/>
  <c r="J20" i="1"/>
  <c r="K20" i="1"/>
  <c r="L20" i="1"/>
  <c r="M20" i="1"/>
  <c r="N20" i="1"/>
  <c r="J21" i="1"/>
  <c r="K21" i="1"/>
  <c r="L21" i="1"/>
  <c r="M21" i="1"/>
  <c r="N21" i="1"/>
  <c r="J22" i="1"/>
  <c r="K22" i="1"/>
  <c r="L22" i="1"/>
  <c r="M22" i="1"/>
  <c r="N22" i="1"/>
  <c r="J23" i="1"/>
  <c r="K23" i="1"/>
  <c r="L23" i="1"/>
  <c r="M23" i="1"/>
  <c r="N23" i="1"/>
  <c r="J24" i="1"/>
  <c r="K24" i="1"/>
  <c r="L24" i="1"/>
  <c r="M24" i="1"/>
  <c r="N24" i="1"/>
  <c r="J25" i="1"/>
  <c r="K25" i="1"/>
  <c r="L25" i="1"/>
  <c r="M25" i="1"/>
  <c r="N25" i="1"/>
  <c r="J26" i="1"/>
  <c r="K26" i="1"/>
  <c r="L26" i="1"/>
  <c r="M26" i="1"/>
  <c r="N26" i="1"/>
  <c r="J27" i="1"/>
  <c r="K27" i="1"/>
  <c r="L27" i="1"/>
  <c r="M27" i="1"/>
  <c r="N27" i="1"/>
  <c r="J28" i="1"/>
  <c r="K28" i="1"/>
  <c r="L28" i="1"/>
  <c r="M28" i="1"/>
  <c r="N28" i="1"/>
  <c r="J29" i="1"/>
  <c r="K29" i="1"/>
  <c r="L29" i="1"/>
  <c r="M29" i="1"/>
  <c r="N29" i="1"/>
  <c r="J30" i="1"/>
  <c r="K30" i="1"/>
  <c r="L30" i="1"/>
  <c r="M30" i="1"/>
  <c r="N30" i="1"/>
  <c r="J31" i="1"/>
  <c r="K31" i="1"/>
  <c r="L31" i="1"/>
  <c r="M31" i="1"/>
  <c r="N31" i="1"/>
  <c r="J32" i="1"/>
  <c r="K32" i="1"/>
  <c r="L32" i="1"/>
  <c r="M32" i="1"/>
  <c r="N32" i="1"/>
  <c r="J33" i="1"/>
  <c r="K33" i="1"/>
  <c r="L33" i="1"/>
  <c r="M33" i="1"/>
  <c r="N33" i="1"/>
  <c r="J34" i="1"/>
  <c r="K34" i="1"/>
  <c r="L34" i="1"/>
  <c r="M34" i="1"/>
  <c r="N34" i="1"/>
  <c r="J35" i="1"/>
  <c r="K35" i="1"/>
  <c r="L35" i="1"/>
  <c r="M35" i="1"/>
  <c r="N35" i="1"/>
  <c r="J36" i="1"/>
  <c r="K36" i="1"/>
  <c r="L36" i="1"/>
  <c r="M36" i="1"/>
  <c r="N36" i="1"/>
  <c r="J37" i="1"/>
  <c r="K37" i="1"/>
  <c r="L37" i="1"/>
  <c r="M37" i="1"/>
  <c r="N37" i="1"/>
  <c r="J38" i="1"/>
  <c r="K38" i="1"/>
  <c r="L38" i="1"/>
  <c r="M38" i="1"/>
  <c r="N38" i="1"/>
  <c r="J39" i="1"/>
  <c r="K39" i="1"/>
  <c r="L39" i="1"/>
  <c r="M39" i="1"/>
  <c r="N39" i="1"/>
  <c r="J40" i="1"/>
  <c r="K40" i="1"/>
  <c r="L40" i="1"/>
  <c r="M40" i="1"/>
  <c r="N40" i="1"/>
  <c r="J41" i="1"/>
  <c r="K41" i="1"/>
  <c r="L41" i="1"/>
  <c r="M41" i="1"/>
  <c r="N41" i="1"/>
  <c r="J42" i="1"/>
  <c r="K42" i="1"/>
  <c r="L42" i="1"/>
  <c r="M42" i="1"/>
  <c r="N42" i="1"/>
  <c r="J43" i="1"/>
  <c r="K43" i="1"/>
  <c r="L43" i="1"/>
  <c r="M43" i="1"/>
  <c r="N43" i="1"/>
  <c r="J44" i="1"/>
  <c r="K44" i="1"/>
  <c r="L44" i="1"/>
  <c r="M44" i="1"/>
  <c r="N44" i="1"/>
  <c r="J45" i="1"/>
  <c r="K45" i="1"/>
  <c r="L45" i="1"/>
  <c r="M45" i="1"/>
  <c r="N45" i="1"/>
  <c r="J46" i="1"/>
  <c r="K46" i="1"/>
  <c r="L46" i="1"/>
  <c r="M46" i="1"/>
  <c r="N46" i="1"/>
  <c r="J47" i="1"/>
  <c r="K47" i="1"/>
  <c r="L47" i="1"/>
  <c r="M47" i="1"/>
  <c r="N47" i="1"/>
  <c r="J48" i="1"/>
  <c r="K48" i="1"/>
  <c r="L48" i="1"/>
  <c r="M48" i="1"/>
  <c r="N48" i="1"/>
  <c r="J49" i="1"/>
  <c r="K49" i="1"/>
  <c r="L49" i="1"/>
  <c r="M49" i="1"/>
  <c r="N49" i="1"/>
  <c r="J50" i="1"/>
  <c r="K50" i="1"/>
  <c r="L50" i="1"/>
  <c r="M50" i="1"/>
  <c r="N50" i="1"/>
  <c r="J51" i="1"/>
  <c r="K51" i="1"/>
  <c r="L51" i="1"/>
  <c r="M51" i="1"/>
  <c r="N51" i="1"/>
  <c r="J52" i="1"/>
  <c r="K52" i="1"/>
  <c r="L52" i="1"/>
  <c r="M52" i="1"/>
  <c r="N52" i="1"/>
  <c r="J53" i="1"/>
  <c r="K53" i="1"/>
  <c r="L53" i="1"/>
  <c r="M53" i="1"/>
  <c r="N53" i="1"/>
  <c r="J54" i="1"/>
  <c r="K54" i="1"/>
  <c r="L54" i="1"/>
  <c r="M54" i="1"/>
  <c r="N54" i="1"/>
  <c r="J55" i="1"/>
  <c r="K55" i="1"/>
  <c r="L55" i="1"/>
  <c r="M55" i="1"/>
  <c r="N55" i="1"/>
  <c r="J56" i="1"/>
  <c r="K56" i="1"/>
  <c r="L56" i="1"/>
  <c r="M56" i="1"/>
  <c r="N56" i="1"/>
  <c r="J57" i="1"/>
  <c r="K57" i="1"/>
  <c r="L57" i="1"/>
  <c r="M57" i="1"/>
  <c r="N57" i="1"/>
  <c r="J58" i="1"/>
  <c r="K58" i="1"/>
  <c r="L58" i="1"/>
  <c r="M58" i="1"/>
  <c r="N58" i="1"/>
  <c r="J59" i="1"/>
  <c r="K59" i="1"/>
  <c r="L59" i="1"/>
  <c r="M59" i="1"/>
  <c r="N59" i="1"/>
  <c r="J60" i="1"/>
  <c r="K60" i="1"/>
  <c r="L60" i="1"/>
  <c r="M60" i="1"/>
  <c r="N60" i="1"/>
  <c r="J61" i="1"/>
  <c r="K61" i="1"/>
  <c r="L61" i="1"/>
  <c r="M61" i="1"/>
  <c r="N61" i="1"/>
  <c r="J62" i="1"/>
  <c r="K62" i="1"/>
  <c r="L62" i="1"/>
  <c r="M62" i="1"/>
  <c r="N62" i="1"/>
  <c r="N2" i="1"/>
  <c r="M2" i="1"/>
  <c r="L2" i="1"/>
  <c r="K2" i="1"/>
  <c r="J2" i="1"/>
  <c r="C1" i="6"/>
  <c r="A1" i="6"/>
  <c r="A62" i="1"/>
  <c r="A63" i="6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B1" i="6"/>
  <c r="W63" i="6"/>
  <c r="V63" i="6"/>
  <c r="U63" i="6"/>
  <c r="T63" i="6"/>
  <c r="S63" i="6"/>
  <c r="AD62" i="1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A62" i="6"/>
  <c r="W62" i="6"/>
  <c r="V62" i="6"/>
  <c r="U62" i="6"/>
  <c r="T62" i="6"/>
  <c r="S62" i="6"/>
  <c r="R62" i="6"/>
  <c r="AD61" i="1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61" i="6"/>
  <c r="W61" i="6"/>
  <c r="V61" i="6"/>
  <c r="U61" i="6"/>
  <c r="T61" i="6"/>
  <c r="S61" i="6"/>
  <c r="R61" i="6"/>
  <c r="AD60" i="1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60" i="6"/>
  <c r="W60" i="6"/>
  <c r="V60" i="6"/>
  <c r="U60" i="6"/>
  <c r="T60" i="6"/>
  <c r="S60" i="6"/>
  <c r="R60" i="6"/>
  <c r="AD59" i="1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A59" i="6"/>
  <c r="W59" i="6"/>
  <c r="V59" i="6"/>
  <c r="U59" i="6"/>
  <c r="T59" i="6"/>
  <c r="S59" i="6"/>
  <c r="R59" i="6"/>
  <c r="AD58" i="1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A58" i="6"/>
  <c r="W58" i="6"/>
  <c r="V58" i="6"/>
  <c r="U58" i="6"/>
  <c r="T58" i="6"/>
  <c r="S58" i="6"/>
  <c r="R58" i="6"/>
  <c r="AD57" i="1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A57" i="6"/>
  <c r="W57" i="6"/>
  <c r="V57" i="6"/>
  <c r="U57" i="6"/>
  <c r="T57" i="6"/>
  <c r="S57" i="6"/>
  <c r="R57" i="6"/>
  <c r="AD56" i="1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A56" i="6"/>
  <c r="W56" i="6"/>
  <c r="V56" i="6"/>
  <c r="U56" i="6"/>
  <c r="T56" i="6"/>
  <c r="S56" i="6"/>
  <c r="R56" i="6"/>
  <c r="AD55" i="1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A55" i="6"/>
  <c r="W55" i="6"/>
  <c r="V55" i="6"/>
  <c r="U55" i="6"/>
  <c r="T55" i="6"/>
  <c r="S55" i="6"/>
  <c r="R55" i="6"/>
  <c r="AD54" i="1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A54" i="6"/>
  <c r="W54" i="6"/>
  <c r="V54" i="6"/>
  <c r="U54" i="6"/>
  <c r="T54" i="6"/>
  <c r="S54" i="6"/>
  <c r="R54" i="6"/>
  <c r="AD53" i="1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53" i="6"/>
  <c r="W53" i="6"/>
  <c r="V53" i="6"/>
  <c r="U53" i="6"/>
  <c r="T53" i="6"/>
  <c r="S53" i="6"/>
  <c r="R53" i="6"/>
  <c r="AD52" i="1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52" i="6"/>
  <c r="W52" i="6"/>
  <c r="V52" i="6"/>
  <c r="U52" i="6"/>
  <c r="T52" i="6"/>
  <c r="S52" i="6"/>
  <c r="R52" i="6"/>
  <c r="AD51" i="1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51" i="6"/>
  <c r="W51" i="6"/>
  <c r="V51" i="6"/>
  <c r="U51" i="6"/>
  <c r="T51" i="6"/>
  <c r="S51" i="6"/>
  <c r="R51" i="6"/>
  <c r="AD50" i="1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A50" i="6"/>
  <c r="W50" i="6"/>
  <c r="V50" i="6"/>
  <c r="U50" i="6"/>
  <c r="T50" i="6"/>
  <c r="S50" i="6"/>
  <c r="R50" i="6"/>
  <c r="AD49" i="1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49" i="6"/>
  <c r="W49" i="6"/>
  <c r="V49" i="6"/>
  <c r="U49" i="6"/>
  <c r="T49" i="6"/>
  <c r="S49" i="6"/>
  <c r="R49" i="6"/>
  <c r="AD48" i="1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A48" i="6"/>
  <c r="W48" i="6"/>
  <c r="V48" i="6"/>
  <c r="U48" i="6"/>
  <c r="T48" i="6"/>
  <c r="S48" i="6"/>
  <c r="R48" i="6"/>
  <c r="AD47" i="1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47" i="6"/>
  <c r="W47" i="6"/>
  <c r="V47" i="6"/>
  <c r="U47" i="6"/>
  <c r="T47" i="6"/>
  <c r="S47" i="6"/>
  <c r="R47" i="6"/>
  <c r="AD46" i="1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46" i="6"/>
  <c r="W46" i="6"/>
  <c r="V46" i="6"/>
  <c r="U46" i="6"/>
  <c r="T46" i="6"/>
  <c r="S46" i="6"/>
  <c r="R46" i="6"/>
  <c r="AD45" i="1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45" i="6"/>
  <c r="W45" i="6"/>
  <c r="V45" i="6"/>
  <c r="U45" i="6"/>
  <c r="T45" i="6"/>
  <c r="S45" i="6"/>
  <c r="R45" i="6"/>
  <c r="AD44" i="1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44" i="6"/>
  <c r="W44" i="6"/>
  <c r="V44" i="6"/>
  <c r="U44" i="6"/>
  <c r="T44" i="6"/>
  <c r="S44" i="6"/>
  <c r="AD43" i="1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43" i="6"/>
  <c r="W43" i="6"/>
  <c r="V43" i="6"/>
  <c r="U43" i="6"/>
  <c r="T43" i="6"/>
  <c r="S43" i="6"/>
  <c r="R43" i="6"/>
  <c r="AD42" i="1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42" i="6"/>
  <c r="W42" i="6"/>
  <c r="V42" i="6"/>
  <c r="U42" i="6"/>
  <c r="T42" i="6"/>
  <c r="S42" i="6"/>
  <c r="R42" i="6"/>
  <c r="AD41" i="1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41" i="6"/>
  <c r="W41" i="6"/>
  <c r="V41" i="6"/>
  <c r="U41" i="6"/>
  <c r="T41" i="6"/>
  <c r="S41" i="6"/>
  <c r="R41" i="6"/>
  <c r="AD40" i="1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40" i="6"/>
  <c r="W40" i="6"/>
  <c r="V40" i="6"/>
  <c r="U40" i="6"/>
  <c r="T40" i="6"/>
  <c r="S40" i="6"/>
  <c r="R40" i="6"/>
  <c r="AD39" i="1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39" i="6"/>
  <c r="W39" i="6"/>
  <c r="V39" i="6"/>
  <c r="U39" i="6"/>
  <c r="T39" i="6"/>
  <c r="S39" i="6"/>
  <c r="R39" i="6"/>
  <c r="AD38" i="1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38" i="6"/>
  <c r="W38" i="6"/>
  <c r="V38" i="6"/>
  <c r="U38" i="6"/>
  <c r="T38" i="6"/>
  <c r="S38" i="6"/>
  <c r="R38" i="6"/>
  <c r="AD37" i="1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37" i="6"/>
  <c r="W37" i="6"/>
  <c r="V37" i="6"/>
  <c r="U37" i="6"/>
  <c r="T37" i="6"/>
  <c r="S37" i="6"/>
  <c r="R37" i="6"/>
  <c r="AD36" i="1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36" i="6"/>
  <c r="W36" i="6"/>
  <c r="V36" i="6"/>
  <c r="U36" i="6"/>
  <c r="T36" i="6"/>
  <c r="S36" i="6"/>
  <c r="R36" i="6"/>
  <c r="AD35" i="1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35" i="6"/>
  <c r="W35" i="6"/>
  <c r="V35" i="6"/>
  <c r="U35" i="6"/>
  <c r="T35" i="6"/>
  <c r="S35" i="6"/>
  <c r="R35" i="6"/>
  <c r="AD34" i="1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34" i="6"/>
  <c r="W34" i="6"/>
  <c r="V34" i="6"/>
  <c r="U34" i="6"/>
  <c r="T34" i="6"/>
  <c r="S34" i="6"/>
  <c r="R34" i="6"/>
  <c r="AD33" i="1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33" i="6"/>
  <c r="W33" i="6"/>
  <c r="V33" i="6"/>
  <c r="U33" i="6"/>
  <c r="T33" i="6"/>
  <c r="S33" i="6"/>
  <c r="R33" i="6"/>
  <c r="AD32" i="1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32" i="6"/>
  <c r="W32" i="6"/>
  <c r="V32" i="6"/>
  <c r="U32" i="6"/>
  <c r="T32" i="6"/>
  <c r="S32" i="6"/>
  <c r="R32" i="6"/>
  <c r="AD31" i="1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31" i="6"/>
  <c r="W31" i="6"/>
  <c r="V31" i="6"/>
  <c r="U31" i="6"/>
  <c r="T31" i="6"/>
  <c r="S31" i="6"/>
  <c r="R31" i="6"/>
  <c r="AD30" i="1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30" i="6"/>
  <c r="W30" i="6"/>
  <c r="V30" i="6"/>
  <c r="U30" i="6"/>
  <c r="T30" i="6"/>
  <c r="S30" i="6"/>
  <c r="R30" i="6"/>
  <c r="AD29" i="1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29" i="6"/>
  <c r="W29" i="6"/>
  <c r="V29" i="6"/>
  <c r="U29" i="6"/>
  <c r="T29" i="6"/>
  <c r="S29" i="6"/>
  <c r="R29" i="6"/>
  <c r="AD28" i="1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28" i="6"/>
  <c r="W28" i="6"/>
  <c r="V28" i="6"/>
  <c r="U28" i="6"/>
  <c r="T28" i="6"/>
  <c r="S28" i="6"/>
  <c r="R28" i="6"/>
  <c r="AD27" i="1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27" i="6"/>
  <c r="W27" i="6"/>
  <c r="V27" i="6"/>
  <c r="U27" i="6"/>
  <c r="T27" i="6"/>
  <c r="S27" i="6"/>
  <c r="R27" i="6"/>
  <c r="AD26" i="1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26" i="6"/>
  <c r="W26" i="6"/>
  <c r="V26" i="6"/>
  <c r="U26" i="6"/>
  <c r="T26" i="6"/>
  <c r="S26" i="6"/>
  <c r="R26" i="6"/>
  <c r="AD25" i="1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25" i="6"/>
  <c r="W25" i="6"/>
  <c r="V25" i="6"/>
  <c r="U25" i="6"/>
  <c r="T25" i="6"/>
  <c r="S25" i="6"/>
  <c r="R25" i="6"/>
  <c r="AD24" i="1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24" i="6"/>
  <c r="W24" i="6"/>
  <c r="V24" i="6"/>
  <c r="U24" i="6"/>
  <c r="T24" i="6"/>
  <c r="S24" i="6"/>
  <c r="R24" i="6"/>
  <c r="AD23" i="1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23" i="6"/>
  <c r="W23" i="6"/>
  <c r="V23" i="6"/>
  <c r="U23" i="6"/>
  <c r="T23" i="6"/>
  <c r="S23" i="6"/>
  <c r="R23" i="6"/>
  <c r="AD22" i="1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22" i="6"/>
  <c r="W22" i="6"/>
  <c r="V22" i="6"/>
  <c r="U22" i="6"/>
  <c r="T22" i="6"/>
  <c r="S22" i="6"/>
  <c r="R22" i="6"/>
  <c r="AD21" i="1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21" i="6"/>
  <c r="W21" i="6"/>
  <c r="V21" i="6"/>
  <c r="U21" i="6"/>
  <c r="T21" i="6"/>
  <c r="S21" i="6"/>
  <c r="R21" i="6"/>
  <c r="AD20" i="1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0" i="6"/>
  <c r="W20" i="6"/>
  <c r="V20" i="6"/>
  <c r="U20" i="6"/>
  <c r="T20" i="6"/>
  <c r="S20" i="6"/>
  <c r="R20" i="6"/>
  <c r="AD19" i="1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19" i="6"/>
  <c r="W19" i="6"/>
  <c r="V19" i="6"/>
  <c r="U19" i="6"/>
  <c r="T19" i="6"/>
  <c r="S19" i="6"/>
  <c r="R19" i="6"/>
  <c r="AD18" i="1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18" i="6"/>
  <c r="W18" i="6"/>
  <c r="V18" i="6"/>
  <c r="U18" i="6"/>
  <c r="T18" i="6"/>
  <c r="S18" i="6"/>
  <c r="R18" i="6"/>
  <c r="AD17" i="1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17" i="6"/>
  <c r="W17" i="6"/>
  <c r="V17" i="6"/>
  <c r="U17" i="6"/>
  <c r="T17" i="6"/>
  <c r="S17" i="6"/>
  <c r="R17" i="6"/>
  <c r="AD16" i="1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16" i="6"/>
  <c r="W16" i="6"/>
  <c r="V16" i="6"/>
  <c r="U16" i="6"/>
  <c r="T16" i="6"/>
  <c r="S16" i="6"/>
  <c r="R16" i="6"/>
  <c r="AD15" i="1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15" i="6"/>
  <c r="W15" i="6"/>
  <c r="V15" i="6"/>
  <c r="U15" i="6"/>
  <c r="T15" i="6"/>
  <c r="S15" i="6"/>
  <c r="R15" i="6"/>
  <c r="AD14" i="1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14" i="6"/>
  <c r="W14" i="6"/>
  <c r="V14" i="6"/>
  <c r="U14" i="6"/>
  <c r="T14" i="6"/>
  <c r="S14" i="6"/>
  <c r="R14" i="6"/>
  <c r="AD13" i="1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13" i="6"/>
  <c r="W13" i="6"/>
  <c r="V13" i="6"/>
  <c r="U13" i="6"/>
  <c r="T13" i="6"/>
  <c r="S13" i="6"/>
  <c r="R13" i="6"/>
  <c r="AD12" i="1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12" i="6"/>
  <c r="W12" i="6"/>
  <c r="V12" i="6"/>
  <c r="U12" i="6"/>
  <c r="T12" i="6"/>
  <c r="S12" i="6"/>
  <c r="R12" i="6"/>
  <c r="AD11" i="1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11" i="6"/>
  <c r="W11" i="6"/>
  <c r="V11" i="6"/>
  <c r="U11" i="6"/>
  <c r="T11" i="6"/>
  <c r="S11" i="6"/>
  <c r="R11" i="6"/>
  <c r="AD10" i="1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10" i="6"/>
  <c r="W10" i="6"/>
  <c r="V10" i="6"/>
  <c r="U10" i="6"/>
  <c r="T10" i="6"/>
  <c r="S10" i="6"/>
  <c r="R10" i="6"/>
  <c r="AD9" i="1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9" i="6"/>
  <c r="W9" i="6"/>
  <c r="V9" i="6"/>
  <c r="U9" i="6"/>
  <c r="T9" i="6"/>
  <c r="S9" i="6"/>
  <c r="R9" i="6"/>
  <c r="AD8" i="1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8" i="6"/>
  <c r="W8" i="6"/>
  <c r="V8" i="6"/>
  <c r="U8" i="6"/>
  <c r="T8" i="6"/>
  <c r="S8" i="6"/>
  <c r="R8" i="6"/>
  <c r="AD7" i="1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7" i="6"/>
  <c r="W7" i="6"/>
  <c r="V7" i="6"/>
  <c r="U7" i="6"/>
  <c r="T7" i="6"/>
  <c r="S7" i="6"/>
  <c r="R7" i="6"/>
  <c r="AD6" i="1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6" i="6"/>
  <c r="W6" i="6"/>
  <c r="V6" i="6"/>
  <c r="U6" i="6"/>
  <c r="T6" i="6"/>
  <c r="S6" i="6"/>
  <c r="R6" i="6"/>
  <c r="AD5" i="1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5" i="6"/>
  <c r="W5" i="6"/>
  <c r="V5" i="6"/>
  <c r="U5" i="6"/>
  <c r="T5" i="6"/>
  <c r="S5" i="6"/>
  <c r="R5" i="6"/>
  <c r="AD4" i="1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4" i="6"/>
  <c r="W4" i="6"/>
  <c r="V4" i="6"/>
  <c r="U4" i="6"/>
  <c r="T4" i="6"/>
  <c r="S4" i="6"/>
  <c r="R4" i="6"/>
  <c r="AD3" i="1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E2" i="1"/>
  <c r="D2" i="1"/>
  <c r="F2" i="1"/>
  <c r="AD2" i="1"/>
  <c r="E3" i="1"/>
  <c r="D3" i="1"/>
  <c r="F3" i="1"/>
  <c r="E4" i="1"/>
  <c r="D4" i="1"/>
  <c r="F4" i="1"/>
  <c r="E5" i="1"/>
  <c r="D5" i="1"/>
  <c r="F5" i="1"/>
  <c r="E6" i="1"/>
  <c r="D6" i="1"/>
  <c r="F6" i="1"/>
  <c r="E7" i="1"/>
  <c r="D7" i="1"/>
  <c r="F7" i="1"/>
  <c r="E8" i="1"/>
  <c r="D8" i="1"/>
  <c r="F8" i="1"/>
  <c r="E9" i="1"/>
  <c r="D9" i="1"/>
  <c r="F9" i="1"/>
  <c r="E10" i="1"/>
  <c r="D10" i="1"/>
  <c r="F10" i="1"/>
  <c r="E11" i="1"/>
  <c r="D11" i="1"/>
  <c r="F11" i="1"/>
  <c r="E12" i="1"/>
  <c r="D12" i="1"/>
  <c r="F12" i="1"/>
  <c r="E13" i="1"/>
  <c r="D13" i="1"/>
  <c r="F13" i="1"/>
  <c r="E14" i="1"/>
  <c r="D14" i="1"/>
  <c r="F14" i="1"/>
  <c r="E15" i="1"/>
  <c r="D15" i="1"/>
  <c r="F15" i="1"/>
  <c r="E16" i="1"/>
  <c r="D16" i="1"/>
  <c r="F16" i="1"/>
  <c r="E17" i="1"/>
  <c r="D17" i="1"/>
  <c r="F17" i="1"/>
  <c r="E18" i="1"/>
  <c r="D18" i="1"/>
  <c r="F18" i="1"/>
  <c r="E19" i="1"/>
  <c r="D19" i="1"/>
  <c r="F19" i="1"/>
  <c r="E20" i="1"/>
  <c r="D20" i="1"/>
  <c r="F20" i="1"/>
  <c r="E21" i="1"/>
  <c r="D21" i="1"/>
  <c r="F21" i="1"/>
  <c r="E22" i="1"/>
  <c r="D22" i="1"/>
  <c r="F22" i="1"/>
  <c r="E23" i="1"/>
  <c r="D23" i="1"/>
  <c r="F23" i="1"/>
  <c r="E24" i="1"/>
  <c r="D24" i="1"/>
  <c r="F24" i="1"/>
  <c r="E25" i="1"/>
  <c r="D25" i="1"/>
  <c r="F25" i="1"/>
  <c r="E26" i="1"/>
  <c r="D26" i="1"/>
  <c r="F26" i="1"/>
  <c r="E27" i="1"/>
  <c r="D27" i="1"/>
  <c r="F27" i="1"/>
  <c r="E28" i="1"/>
  <c r="D28" i="1"/>
  <c r="F28" i="1"/>
  <c r="E29" i="1"/>
  <c r="D29" i="1"/>
  <c r="F29" i="1"/>
  <c r="E30" i="1"/>
  <c r="D30" i="1"/>
  <c r="F30" i="1"/>
  <c r="E31" i="1"/>
  <c r="D31" i="1"/>
  <c r="F31" i="1"/>
  <c r="E32" i="1"/>
  <c r="D32" i="1"/>
  <c r="F32" i="1"/>
  <c r="E33" i="1"/>
  <c r="D33" i="1"/>
  <c r="F33" i="1"/>
  <c r="E34" i="1"/>
  <c r="D34" i="1"/>
  <c r="F34" i="1"/>
  <c r="E35" i="1"/>
  <c r="D35" i="1"/>
  <c r="F35" i="1"/>
  <c r="E36" i="1"/>
  <c r="D36" i="1"/>
  <c r="F36" i="1"/>
  <c r="E37" i="1"/>
  <c r="D37" i="1"/>
  <c r="F37" i="1"/>
  <c r="E38" i="1"/>
  <c r="D38" i="1"/>
  <c r="F38" i="1"/>
  <c r="E39" i="1"/>
  <c r="D39" i="1"/>
  <c r="F39" i="1"/>
  <c r="E40" i="1"/>
  <c r="D40" i="1"/>
  <c r="F40" i="1"/>
  <c r="E41" i="1"/>
  <c r="D41" i="1"/>
  <c r="F41" i="1"/>
  <c r="E42" i="1"/>
  <c r="D42" i="1"/>
  <c r="F42" i="1"/>
  <c r="E43" i="1"/>
  <c r="D43" i="1"/>
  <c r="F43" i="1"/>
  <c r="E44" i="1"/>
  <c r="D44" i="1"/>
  <c r="F44" i="1"/>
  <c r="E45" i="1"/>
  <c r="D45" i="1"/>
  <c r="F45" i="1"/>
  <c r="E46" i="1"/>
  <c r="D46" i="1"/>
  <c r="F46" i="1"/>
  <c r="E47" i="1"/>
  <c r="D47" i="1"/>
  <c r="F47" i="1"/>
  <c r="E48" i="1"/>
  <c r="D48" i="1"/>
  <c r="F48" i="1"/>
  <c r="E49" i="1"/>
  <c r="D49" i="1"/>
  <c r="F49" i="1"/>
  <c r="E50" i="1"/>
  <c r="D50" i="1"/>
  <c r="F50" i="1"/>
  <c r="E51" i="1"/>
  <c r="D51" i="1"/>
  <c r="F51" i="1"/>
  <c r="E52" i="1"/>
  <c r="D52" i="1"/>
  <c r="F52" i="1"/>
  <c r="E53" i="1"/>
  <c r="D53" i="1"/>
  <c r="F53" i="1"/>
  <c r="E54" i="1"/>
  <c r="D54" i="1"/>
  <c r="F54" i="1"/>
  <c r="S54" i="1"/>
  <c r="E55" i="1"/>
  <c r="D55" i="1"/>
  <c r="F55" i="1"/>
  <c r="S55" i="1"/>
  <c r="E56" i="1"/>
  <c r="D56" i="1"/>
  <c r="F56" i="1"/>
  <c r="E57" i="1"/>
  <c r="D57" i="1"/>
  <c r="F57" i="1"/>
  <c r="E58" i="1"/>
  <c r="D58" i="1"/>
  <c r="F58" i="1"/>
  <c r="E59" i="1"/>
  <c r="D59" i="1"/>
  <c r="F59" i="1"/>
  <c r="E60" i="1"/>
  <c r="D60" i="1"/>
  <c r="F60" i="1"/>
  <c r="E61" i="1"/>
  <c r="D61" i="1"/>
  <c r="F61" i="1"/>
  <c r="E62" i="1"/>
  <c r="D62" i="1"/>
  <c r="F62" i="1"/>
  <c r="G3" i="2"/>
  <c r="A3" i="2"/>
  <c r="H2" i="1"/>
  <c r="B3" i="2"/>
  <c r="G4" i="2"/>
  <c r="A4" i="2"/>
  <c r="B4" i="2"/>
  <c r="G5" i="2"/>
  <c r="A5" i="2"/>
  <c r="B5" i="2"/>
  <c r="G6" i="2"/>
  <c r="A6" i="2"/>
  <c r="B6" i="2"/>
  <c r="G7" i="2"/>
  <c r="A7" i="2"/>
  <c r="B7" i="2"/>
  <c r="G8" i="2"/>
  <c r="A8" i="2"/>
  <c r="B8" i="2"/>
  <c r="G9" i="2"/>
  <c r="A9" i="2"/>
  <c r="B9" i="2"/>
  <c r="G10" i="2"/>
  <c r="A10" i="2"/>
  <c r="B10" i="2"/>
  <c r="G11" i="2"/>
  <c r="A11" i="2"/>
  <c r="B11" i="2"/>
  <c r="G12" i="2"/>
  <c r="A12" i="2"/>
  <c r="B12" i="2"/>
  <c r="G13" i="2"/>
  <c r="A13" i="2"/>
  <c r="B13" i="2"/>
  <c r="G14" i="2"/>
  <c r="A14" i="2"/>
  <c r="B14" i="2"/>
  <c r="G15" i="2"/>
  <c r="A15" i="2"/>
  <c r="B15" i="2"/>
  <c r="G16" i="2"/>
  <c r="A16" i="2"/>
  <c r="B16" i="2"/>
  <c r="A3" i="6"/>
  <c r="I3" i="6"/>
  <c r="H3" i="6"/>
  <c r="G3" i="6"/>
  <c r="C1" i="5"/>
  <c r="A1" i="5"/>
  <c r="B1" i="5"/>
  <c r="A17" i="5"/>
  <c r="G2" i="2"/>
  <c r="A2" i="2"/>
  <c r="F17" i="5"/>
  <c r="E17" i="5"/>
  <c r="D17" i="5"/>
  <c r="C17" i="5"/>
  <c r="B17" i="5"/>
  <c r="A16" i="5"/>
  <c r="F16" i="5"/>
  <c r="E16" i="5"/>
  <c r="D16" i="5"/>
  <c r="C16" i="5"/>
  <c r="B16" i="5"/>
  <c r="A15" i="5"/>
  <c r="F15" i="5"/>
  <c r="E15" i="5"/>
  <c r="D15" i="5"/>
  <c r="C15" i="5"/>
  <c r="B15" i="5"/>
  <c r="A14" i="5"/>
  <c r="F14" i="5"/>
  <c r="E14" i="5"/>
  <c r="D14" i="5"/>
  <c r="C14" i="5"/>
  <c r="B14" i="5"/>
  <c r="A13" i="5"/>
  <c r="F13" i="5"/>
  <c r="E13" i="5"/>
  <c r="D13" i="5"/>
  <c r="C13" i="5"/>
  <c r="B13" i="5"/>
  <c r="A12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H16" i="2"/>
  <c r="E16" i="2"/>
  <c r="D16" i="2"/>
  <c r="H15" i="2"/>
  <c r="E15" i="2"/>
  <c r="D15" i="2"/>
  <c r="H14" i="2"/>
  <c r="E14" i="2"/>
  <c r="D14" i="2"/>
  <c r="H13" i="2"/>
  <c r="E13" i="2"/>
  <c r="D13" i="2"/>
  <c r="H12" i="2"/>
  <c r="E12" i="2"/>
  <c r="D12" i="2"/>
  <c r="H11" i="2"/>
  <c r="E11" i="2"/>
  <c r="D11" i="2"/>
  <c r="H10" i="2"/>
  <c r="E10" i="2"/>
  <c r="D10" i="2"/>
  <c r="H9" i="2"/>
  <c r="E9" i="2"/>
  <c r="D9" i="2"/>
  <c r="H8" i="2"/>
  <c r="E8" i="2"/>
  <c r="D8" i="2"/>
  <c r="H7" i="2"/>
  <c r="E7" i="2"/>
  <c r="D7" i="2"/>
  <c r="H6" i="2"/>
  <c r="E6" i="2"/>
  <c r="D6" i="2"/>
  <c r="H5" i="2"/>
  <c r="E5" i="2"/>
  <c r="D5" i="2"/>
  <c r="H4" i="2"/>
  <c r="E4" i="2"/>
  <c r="D4" i="2"/>
  <c r="H3" i="2"/>
  <c r="E3" i="2"/>
  <c r="D3" i="2"/>
  <c r="A3" i="5"/>
  <c r="B3" i="5"/>
  <c r="H2" i="2"/>
  <c r="W3" i="6"/>
  <c r="V3" i="6"/>
  <c r="U3" i="6"/>
  <c r="T3" i="6"/>
  <c r="S3" i="6"/>
  <c r="B2" i="2"/>
  <c r="E2" i="2"/>
  <c r="D2" i="2"/>
  <c r="F3" i="5"/>
  <c r="E3" i="5"/>
  <c r="D3" i="5"/>
  <c r="C3" i="5"/>
  <c r="B3" i="6"/>
  <c r="C3" i="6"/>
  <c r="D3" i="6"/>
  <c r="E3" i="6"/>
  <c r="F3" i="6"/>
  <c r="J3" i="6"/>
  <c r="K3" i="6"/>
  <c r="L3" i="6"/>
  <c r="M3" i="6"/>
  <c r="N3" i="6"/>
  <c r="O3" i="6"/>
  <c r="P3" i="6"/>
  <c r="Q3" i="6"/>
  <c r="R3" i="6"/>
</calcChain>
</file>

<file path=xl/sharedStrings.xml><?xml version="1.0" encoding="utf-8"?>
<sst xmlns="http://schemas.openxmlformats.org/spreadsheetml/2006/main" count="136" uniqueCount="71">
  <si>
    <t>quest_id</t>
  </si>
  <si>
    <t>stage_id</t>
  </si>
  <si>
    <t>character_id</t>
  </si>
  <si>
    <t>level</t>
  </si>
  <si>
    <t>skill_set_id</t>
    <phoneticPr fontId="4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</si>
  <si>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</si>
  <si>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</si>
  <si>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</si>
  <si>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</si>
  <si>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</si>
  <si>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</si>
  <si>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</si>
  <si>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</si>
  <si>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</si>
  <si>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</si>
  <si>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</si>
  <si>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4"/>
  </si>
  <si>
    <t>rare</t>
    <phoneticPr fontId="4"/>
  </si>
  <si>
    <t>name</t>
    <phoneticPr fontId="4"/>
  </si>
  <si>
    <t>floor_id</t>
    <phoneticPr fontId="4"/>
  </si>
  <si>
    <t>name</t>
    <phoneticPr fontId="4"/>
  </si>
  <si>
    <t>name</t>
    <phoneticPr fontId="4"/>
  </si>
  <si>
    <t>skill_set_id</t>
  </si>
  <si>
    <t>drop_label</t>
    <phoneticPr fontId="4"/>
  </si>
  <si>
    <t>color</t>
    <phoneticPr fontId="4"/>
  </si>
  <si>
    <t>size</t>
    <phoneticPr fontId="4"/>
  </si>
  <si>
    <t>character_main_tribe_id</t>
    <phoneticPr fontId="4"/>
  </si>
  <si>
    <t>drop_label</t>
    <phoneticPr fontId="6"/>
  </si>
  <si>
    <t>temp_stage</t>
    <phoneticPr fontId="4"/>
  </si>
  <si>
    <t>temp_habitats</t>
    <phoneticPr fontId="4"/>
  </si>
  <si>
    <t>temp_habitats</t>
    <phoneticPr fontId="4"/>
  </si>
  <si>
    <t>temp_floor</t>
    <phoneticPr fontId="4"/>
  </si>
  <si>
    <t>temp_floor</t>
    <phoneticPr fontId="4"/>
  </si>
  <si>
    <t>スキル</t>
    <phoneticPr fontId="4"/>
  </si>
  <si>
    <t>temp_stage</t>
    <phoneticPr fontId="4"/>
  </si>
  <si>
    <t>位置付け</t>
    <rPh sb="0" eb="3">
      <t>イチヅ</t>
    </rPh>
    <phoneticPr fontId="4"/>
  </si>
  <si>
    <t>name</t>
    <phoneticPr fontId="4"/>
  </si>
  <si>
    <t>temp_floor</t>
    <phoneticPr fontId="4"/>
  </si>
  <si>
    <t>status</t>
    <phoneticPr fontId="4"/>
  </si>
  <si>
    <t>hp_plus</t>
  </si>
  <si>
    <t>hp_plus</t>
    <phoneticPr fontId="4"/>
  </si>
  <si>
    <t>attack_plus</t>
  </si>
  <si>
    <t>attack_plus</t>
    <phoneticPr fontId="4"/>
  </si>
  <si>
    <t>defense_plus</t>
  </si>
  <si>
    <t>defense_plus</t>
    <phoneticPr fontId="4"/>
  </si>
  <si>
    <t>heal_plus</t>
  </si>
  <si>
    <t>heal_plus</t>
    <phoneticPr fontId="4"/>
  </si>
  <si>
    <t>bug</t>
  </si>
  <si>
    <t>bug</t>
    <phoneticPr fontId="4"/>
  </si>
  <si>
    <t>30001_1-1</t>
  </si>
  <si>
    <t>30001_1-2</t>
  </si>
  <si>
    <t>30001_1-3</t>
  </si>
  <si>
    <t>30001_1-4</t>
  </si>
  <si>
    <t>30001_1-5</t>
  </si>
  <si>
    <t>30001_2-1</t>
  </si>
  <si>
    <t>30001_2-2</t>
  </si>
  <si>
    <t>30001_2-3</t>
  </si>
  <si>
    <t>30001_2-4</t>
  </si>
  <si>
    <t>30001_2-5</t>
  </si>
  <si>
    <t>30001_3-1</t>
  </si>
  <si>
    <t>30001_3-2</t>
  </si>
  <si>
    <t>30001_3-3</t>
  </si>
  <si>
    <t>30001_3-4</t>
  </si>
  <si>
    <t>30001_3-5</t>
  </si>
  <si>
    <t>hp_coefficient</t>
    <phoneticPr fontId="4"/>
  </si>
  <si>
    <t>attack_coefficient</t>
    <phoneticPr fontId="4"/>
  </si>
  <si>
    <t>defense_correction</t>
    <phoneticPr fontId="4"/>
  </si>
  <si>
    <t>hp_coefficient</t>
  </si>
  <si>
    <t>attack_coefficient</t>
  </si>
  <si>
    <t>defense_correction</t>
  </si>
  <si>
    <t>stage_id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</si>
</sst>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$&quot;#&quot;:$&quot;#"/>
    <numFmt numFmtId="177" formatCode="0.0"/>
  </numFmts>
  <fonts count="1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sz val="10"/>
      <color rgb="FFFFFFFF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indexed="2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</borders>
  <cellStyleXfs count="686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2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51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5" fillId="5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2" fillId="6" borderId="0" xfId="11" applyFont="1" applyFill="1"/>
    <xf numFmtId="176" fontId="2" fillId="6" borderId="0" xfId="11" applyNumberFormat="1" applyFont="1" applyFill="1"/>
    <xf numFmtId="0" fontId="0" fillId="7" borderId="0" xfId="0" applyFill="1"/>
    <xf numFmtId="0" fontId="9" fillId="0" borderId="0" xfId="11" applyFont="1" applyFill="1" applyBorder="1"/>
    <xf numFmtId="0" fontId="3" fillId="3" borderId="3" xfId="0" applyFont="1" applyFill="1" applyBorder="1" applyAlignment="1">
      <alignment horizontal="center" vertical="center"/>
    </xf>
    <xf numFmtId="0" fontId="10" fillId="8" borderId="0" xfId="0" applyFont="1" applyFill="1" applyAlignment="1">
      <alignment vertical="center"/>
    </xf>
    <xf numFmtId="0" fontId="5" fillId="4" borderId="3" xfId="0" applyFont="1" applyFill="1" applyBorder="1" applyAlignment="1">
      <alignment horizontal="center" vertical="center"/>
    </xf>
    <xf numFmtId="0" fontId="11" fillId="8" borderId="0" xfId="0" applyFont="1" applyFill="1"/>
    <xf numFmtId="0" fontId="12" fillId="8" borderId="0" xfId="11" applyFont="1" applyFill="1" applyBorder="1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0" fontId="9" fillId="0" borderId="8" xfId="0" applyFont="1" applyBorder="1" applyAlignment="1">
      <alignment vertical="center"/>
    </xf>
    <xf numFmtId="0" fontId="9" fillId="0" borderId="9" xfId="0" applyFont="1" applyBorder="1" applyAlignment="1">
      <alignment horizontal="center" vertical="center"/>
    </xf>
    <xf numFmtId="0" fontId="9" fillId="9" borderId="9" xfId="0" applyFont="1" applyFill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10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0" fontId="9" fillId="0" borderId="9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9" fillId="9" borderId="0" xfId="0" applyFont="1" applyFill="1" applyAlignment="1">
      <alignment vertical="center"/>
    </xf>
    <xf numFmtId="0" fontId="9" fillId="0" borderId="0" xfId="0" applyFont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3" fillId="2" borderId="3" xfId="0" applyFont="1" applyFill="1" applyBorder="1" applyAlignment="1">
      <alignment horizontal="left" vertical="center"/>
    </xf>
    <xf numFmtId="177" fontId="14" fillId="0" borderId="11" xfId="0" applyNumberFormat="1" applyFont="1" applyBorder="1" applyAlignment="1">
      <alignment vertical="center"/>
    </xf>
    <xf numFmtId="0" fontId="14" fillId="0" borderId="11" xfId="0" applyFont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1" fillId="6" borderId="0" xfId="11" applyFont="1" applyFill="1"/>
    <xf numFmtId="0" fontId="5" fillId="5" borderId="13" xfId="0" applyFont="1" applyFill="1" applyBorder="1" applyAlignment="1">
      <alignment vertical="center"/>
    </xf>
    <xf numFmtId="0" fontId="3" fillId="3" borderId="3" xfId="0" applyFont="1" applyFill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5" fillId="10" borderId="12" xfId="0" applyFont="1" applyFill="1" applyBorder="1" applyAlignment="1">
      <alignment vertical="center"/>
    </xf>
    <xf numFmtId="0" fontId="3" fillId="11" borderId="14" xfId="0" applyFont="1" applyFill="1" applyBorder="1" applyAlignment="1">
      <alignment vertical="center"/>
    </xf>
  </cellXfs>
  <cellStyles count="686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標準" xfId="0" builtinId="0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</row>
      </sheetData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6"/>
  <sheetViews>
    <sheetView showGridLines="0" workbookViewId="0">
      <pane ySplit="1" topLeftCell="A2" activePane="bottomLeft" state="frozen"/>
      <selection activeCell="V2" sqref="V2:X34"/>
      <selection pane="bottomLeft" activeCell="J22" sqref="J22"/>
    </sheetView>
  </sheetViews>
  <sheetFormatPr baseColWidth="12" defaultColWidth="13" defaultRowHeight="21" customHeight="1" outlineLevelCol="1" x14ac:dyDescent="0.15"/>
  <cols>
    <col min="1" max="1" width="8.83203125" style="24" bestFit="1" customWidth="1"/>
    <col min="2" max="2" width="5" style="24" bestFit="1" customWidth="1"/>
    <col min="3" max="3" width="7.1640625" style="4" bestFit="1" customWidth="1"/>
    <col min="4" max="5" width="10.33203125" style="4" customWidth="1" outlineLevel="1"/>
    <col min="6" max="6" width="7" style="4" bestFit="1" customWidth="1"/>
    <col min="7" max="7" width="8.83203125" style="24" customWidth="1" outlineLevel="1"/>
    <col min="8" max="8" width="16.1640625" style="4" customWidth="1" outlineLevel="1"/>
    <col min="9" max="9" width="6.5" style="4" bestFit="1" customWidth="1"/>
    <col min="10" max="10" width="11" style="4" bestFit="1" customWidth="1"/>
    <col min="11" max="11" width="11.33203125" style="4" bestFit="1" customWidth="1"/>
    <col min="12" max="16384" width="13" style="4"/>
  </cols>
  <sheetData>
    <row r="1" spans="1:11" ht="21" customHeight="1" x14ac:dyDescent="0.15">
      <c r="A1" s="17" t="s">
        <v>31</v>
      </c>
      <c r="B1" s="17" t="s">
        <v>38</v>
      </c>
      <c r="C1" s="1" t="s">
        <v>0</v>
      </c>
      <c r="D1" s="2" t="s">
        <v>18</v>
      </c>
      <c r="E1" s="16" t="s">
        <v>35</v>
      </c>
      <c r="F1" s="1" t="s">
        <v>1</v>
      </c>
      <c r="G1" s="26" t="s">
        <v>34</v>
      </c>
      <c r="H1" s="16" t="s">
        <v>36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7" t="str">
        <f t="shared" ref="A2" ca="1" si="0">G2&amp;"-"&amp;I2</f>
        <v>30004_1-1</v>
      </c>
      <c r="B2" s="17" t="str">
        <f ca="1">IF(COUNTIF(enemy_habitats_multi_1_4!$H:$H,A2),"OK","NG")</f>
        <v>OK</v>
      </c>
      <c r="C2" s="5">
        <v>30004</v>
      </c>
      <c r="D2" s="8" t="str">
        <f ca="1">VLOOKUP($C2,OFFSET([1]quests!$A$1,0,0,COUNTA([1]quests!$A:$A),MATCH(D$1,[1]quests!$1:$1,0)-MATCH($C$1,[1]quests!$1:$1,0)+1),MATCH(D$1,[1]quests!$1:$1,0)-MATCH($C$1,[1]quests!$1:$1,0)+1,FALSE)</f>
        <v>危険な仲裁者</v>
      </c>
      <c r="E2" s="23" t="str">
        <f ca="1">VLOOKUP($C2,OFFSET([1]quests!$A$1,0,0,COUNTA([1]quests!$A:$A),MATCH(E$1,[1]quests!$1:$1,0)-MATCH($C$1,[1]quests!$1:$1,0)+1),MATCH(E$1,[1]quests!$1:$1,0)-MATCH($C$1,[1]quests!$1:$1,0)+1,FALSE)</f>
        <v>ドロップイベント1-4（マルチ専用）</v>
      </c>
      <c r="F2" s="25">
        <v>1</v>
      </c>
      <c r="G2" s="26" t="str">
        <f t="shared" ref="G2:G16" ca="1" si="1">C2&amp;"_"&amp;F2</f>
        <v>30004_1</v>
      </c>
      <c r="H2" s="16" t="str">
        <f ca="1">VLOOKUP($G2,OFFSET([1]stages!$A$1,0,0,COUNTA([1]stages!$A:$A),MATCH(H$1,[1]stages!$2:$2,0)-MATCH($G$1,[1]stages!$2:$2,0)+1),MATCH(H$1,[1]stages!$2:$2,0)-MATCH($G$1,[1]stages!$2:$2,0)+1,FALSE)</f>
        <v xml:space="preserve">【中級】危険な仲裁者 </v>
      </c>
      <c r="I2" s="25">
        <v>1</v>
      </c>
      <c r="J2" s="9">
        <v>30</v>
      </c>
      <c r="K2" s="9">
        <v>30</v>
      </c>
    </row>
    <row r="3" spans="1:11" ht="21" customHeight="1" x14ac:dyDescent="0.15">
      <c r="A3" s="17" t="str">
        <f t="shared" ref="A3:A16" ca="1" si="2">G3&amp;"-"&amp;I3</f>
        <v>30004_1-2</v>
      </c>
      <c r="B3" s="17" t="str">
        <f ca="1">IF(COUNTIF(enemy_habitats_multi_1_4!$H:$H,A3),"OK","NG")</f>
        <v>NG</v>
      </c>
      <c r="C3" s="5">
        <v>30004</v>
      </c>
      <c r="D3" s="8" t="str">
        <f ca="1">VLOOKUP($C3,OFFSET([1]quests!$A$1,0,0,COUNTA([1]quests!$A:$A),MATCH(D$1,[1]quests!$1:$1,0)-MATCH($C$1,[1]quests!$1:$1,0)+1),MATCH(D$1,[1]quests!$1:$1,0)-MATCH($C$1,[1]quests!$1:$1,0)+1,FALSE)</f>
        <v>危険な仲裁者</v>
      </c>
      <c r="E3" s="23" t="str">
        <f ca="1">VLOOKUP($C3,OFFSET([1]quests!$A$1,0,0,COUNTA([1]quests!$A:$A),MATCH(E$1,[1]quests!$1:$1,0)-MATCH($C$1,[1]quests!$1:$1,0)+1),MATCH(E$1,[1]quests!$1:$1,0)-MATCH($C$1,[1]quests!$1:$1,0)+1,FALSE)</f>
        <v>ドロップイベント1-4（マルチ専用）</v>
      </c>
      <c r="F3" s="25">
        <v>1</v>
      </c>
      <c r="G3" s="26" t="str">
        <f t="shared" ca="1" si="1"/>
        <v>30004_1</v>
      </c>
      <c r="H3" s="16" t="str">
        <f ca="1">VLOOKUP($G3,OFFSET([1]stages!$A$1,0,0,COUNTA([1]stages!$A:$A),MATCH(H$1,[1]stages!$2:$2,0)-MATCH($G$1,[1]stages!$2:$2,0)+1),MATCH(H$1,[1]stages!$2:$2,0)-MATCH($G$1,[1]stages!$2:$2,0)+1,FALSE)</f>
        <v xml:space="preserve">【中級】危険な仲裁者 </v>
      </c>
      <c r="I3" s="25">
        <v>2</v>
      </c>
      <c r="J3" s="9">
        <v>30</v>
      </c>
      <c r="K3" s="9">
        <v>45</v>
      </c>
    </row>
    <row r="4" spans="1:11" ht="21" customHeight="1" x14ac:dyDescent="0.15">
      <c r="A4" s="17" t="str">
        <f t="shared" ca="1" si="2"/>
        <v>30004_1-3</v>
      </c>
      <c r="B4" s="17" t="str">
        <f ca="1">IF(COUNTIF(enemy_habitats_multi_1_4!$H:$H,A4),"OK","NG")</f>
        <v>NG</v>
      </c>
      <c r="C4" s="5">
        <v>30004</v>
      </c>
      <c r="D4" s="8" t="str">
        <f ca="1">VLOOKUP($C4,OFFSET([1]quests!$A$1,0,0,COUNTA([1]quests!$A:$A),MATCH(D$1,[1]quests!$1:$1,0)-MATCH($C$1,[1]quests!$1:$1,0)+1),MATCH(D$1,[1]quests!$1:$1,0)-MATCH($C$1,[1]quests!$1:$1,0)+1,FALSE)</f>
        <v>危険な仲裁者</v>
      </c>
      <c r="E4" s="23" t="str">
        <f ca="1">VLOOKUP($C4,OFFSET([1]quests!$A$1,0,0,COUNTA([1]quests!$A:$A),MATCH(E$1,[1]quests!$1:$1,0)-MATCH($C$1,[1]quests!$1:$1,0)+1),MATCH(E$1,[1]quests!$1:$1,0)-MATCH($C$1,[1]quests!$1:$1,0)+1,FALSE)</f>
        <v>ドロップイベント1-4（マルチ専用）</v>
      </c>
      <c r="F4" s="25">
        <v>1</v>
      </c>
      <c r="G4" s="26" t="str">
        <f t="shared" ca="1" si="1"/>
        <v>30004_1</v>
      </c>
      <c r="H4" s="16" t="str">
        <f ca="1">VLOOKUP($G4,OFFSET([1]stages!$A$1,0,0,COUNTA([1]stages!$A:$A),MATCH(H$1,[1]stages!$2:$2,0)-MATCH($G$1,[1]stages!$2:$2,0)+1),MATCH(H$1,[1]stages!$2:$2,0)-MATCH($G$1,[1]stages!$2:$2,0)+1,FALSE)</f>
        <v xml:space="preserve">【中級】危険な仲裁者 </v>
      </c>
      <c r="I4" s="25">
        <v>3</v>
      </c>
      <c r="J4" s="9">
        <v>45</v>
      </c>
      <c r="K4" s="9">
        <v>45</v>
      </c>
    </row>
    <row r="5" spans="1:11" ht="21" customHeight="1" x14ac:dyDescent="0.15">
      <c r="A5" s="17" t="str">
        <f t="shared" ca="1" si="2"/>
        <v>30004_1-4</v>
      </c>
      <c r="B5" s="17" t="str">
        <f ca="1">IF(COUNTIF(enemy_habitats_multi_1_4!$H:$H,A5),"OK","NG")</f>
        <v>NG</v>
      </c>
      <c r="C5" s="5">
        <v>30004</v>
      </c>
      <c r="D5" s="8" t="str">
        <f ca="1">VLOOKUP($C5,OFFSET([1]quests!$A$1,0,0,COUNTA([1]quests!$A:$A),MATCH(D$1,[1]quests!$1:$1,0)-MATCH($C$1,[1]quests!$1:$1,0)+1),MATCH(D$1,[1]quests!$1:$1,0)-MATCH($C$1,[1]quests!$1:$1,0)+1,FALSE)</f>
        <v>危険な仲裁者</v>
      </c>
      <c r="E5" s="23" t="str">
        <f ca="1">VLOOKUP($C5,OFFSET([1]quests!$A$1,0,0,COUNTA([1]quests!$A:$A),MATCH(E$1,[1]quests!$1:$1,0)-MATCH($C$1,[1]quests!$1:$1,0)+1),MATCH(E$1,[1]quests!$1:$1,0)-MATCH($C$1,[1]quests!$1:$1,0)+1,FALSE)</f>
        <v>ドロップイベント1-4（マルチ専用）</v>
      </c>
      <c r="F5" s="25">
        <v>1</v>
      </c>
      <c r="G5" s="26" t="str">
        <f t="shared" ca="1" si="1"/>
        <v>30004_1</v>
      </c>
      <c r="H5" s="16" t="str">
        <f ca="1">VLOOKUP($G5,OFFSET([1]stages!$A$1,0,0,COUNTA([1]stages!$A:$A),MATCH(H$1,[1]stages!$2:$2,0)-MATCH($G$1,[1]stages!$2:$2,0)+1),MATCH(H$1,[1]stages!$2:$2,0)-MATCH($G$1,[1]stages!$2:$2,0)+1,FALSE)</f>
        <v xml:space="preserve">【中級】危険な仲裁者 </v>
      </c>
      <c r="I5" s="25">
        <v>4</v>
      </c>
      <c r="J5" s="9">
        <v>30</v>
      </c>
      <c r="K5" s="9">
        <v>45</v>
      </c>
    </row>
    <row r="6" spans="1:11" ht="21" customHeight="1" x14ac:dyDescent="0.15">
      <c r="A6" s="17" t="str">
        <f t="shared" ca="1" si="2"/>
        <v>30004_1-5</v>
      </c>
      <c r="B6" s="17" t="str">
        <f ca="1">IF(COUNTIF(enemy_habitats_multi_1_4!$H:$H,A6),"OK","NG")</f>
        <v>NG</v>
      </c>
      <c r="C6" s="5">
        <v>30004</v>
      </c>
      <c r="D6" s="8" t="str">
        <f ca="1">VLOOKUP($C6,OFFSET([1]quests!$A$1,0,0,COUNTA([1]quests!$A:$A),MATCH(D$1,[1]quests!$1:$1,0)-MATCH($C$1,[1]quests!$1:$1,0)+1),MATCH(D$1,[1]quests!$1:$1,0)-MATCH($C$1,[1]quests!$1:$1,0)+1,FALSE)</f>
        <v>危険な仲裁者</v>
      </c>
      <c r="E6" s="23" t="str">
        <f ca="1">VLOOKUP($C6,OFFSET([1]quests!$A$1,0,0,COUNTA([1]quests!$A:$A),MATCH(E$1,[1]quests!$1:$1,0)-MATCH($C$1,[1]quests!$1:$1,0)+1),MATCH(E$1,[1]quests!$1:$1,0)-MATCH($C$1,[1]quests!$1:$1,0)+1,FALSE)</f>
        <v>ドロップイベント1-4（マルチ専用）</v>
      </c>
      <c r="F6" s="25">
        <v>1</v>
      </c>
      <c r="G6" s="26" t="str">
        <f t="shared" ca="1" si="1"/>
        <v>30004_1</v>
      </c>
      <c r="H6" s="16" t="str">
        <f ca="1">VLOOKUP($G6,OFFSET([1]stages!$A$1,0,0,COUNTA([1]stages!$A:$A),MATCH(H$1,[1]stages!$2:$2,0)-MATCH($G$1,[1]stages!$2:$2,0)+1),MATCH(H$1,[1]stages!$2:$2,0)-MATCH($G$1,[1]stages!$2:$2,0)+1,FALSE)</f>
        <v xml:space="preserve">【中級】危険な仲裁者 </v>
      </c>
      <c r="I6" s="25">
        <v>5</v>
      </c>
      <c r="J6" s="9">
        <v>25</v>
      </c>
      <c r="K6" s="9">
        <v>25</v>
      </c>
    </row>
    <row r="7" spans="1:11" ht="21" customHeight="1" x14ac:dyDescent="0.15">
      <c r="A7" s="17" t="str">
        <f t="shared" ca="1" si="2"/>
        <v>30004_2-1</v>
      </c>
      <c r="B7" s="17" t="str">
        <f ca="1">IF(COUNTIF(enemy_habitats_multi_1_4!$H:$H,A7),"OK","NG")</f>
        <v>NG</v>
      </c>
      <c r="C7" s="5">
        <v>30004</v>
      </c>
      <c r="D7" s="8" t="str">
        <f ca="1">VLOOKUP($C7,OFFSET([1]quests!$A$1,0,0,COUNTA([1]quests!$A:$A),MATCH(D$1,[1]quests!$1:$1,0)-MATCH($C$1,[1]quests!$1:$1,0)+1),MATCH(D$1,[1]quests!$1:$1,0)-MATCH($C$1,[1]quests!$1:$1,0)+1,FALSE)</f>
        <v>危険な仲裁者</v>
      </c>
      <c r="E7" s="23" t="str">
        <f ca="1">VLOOKUP($C7,OFFSET([1]quests!$A$1,0,0,COUNTA([1]quests!$A:$A),MATCH(E$1,[1]quests!$1:$1,0)-MATCH($C$1,[1]quests!$1:$1,0)+1),MATCH(E$1,[1]quests!$1:$1,0)-MATCH($C$1,[1]quests!$1:$1,0)+1,FALSE)</f>
        <v>ドロップイベント1-4（マルチ専用）</v>
      </c>
      <c r="F7" s="25">
        <v>2</v>
      </c>
      <c r="G7" s="26" t="str">
        <f t="shared" ca="1" si="1"/>
        <v>30004_2</v>
      </c>
      <c r="H7" s="16" t="str">
        <f ca="1">VLOOKUP($G7,OFFSET([1]stages!$A$1,0,0,COUNTA([1]stages!$A:$A),MATCH(H$1,[1]stages!$2:$2,0)-MATCH($G$1,[1]stages!$2:$2,0)+1),MATCH(H$1,[1]stages!$2:$2,0)-MATCH($G$1,[1]stages!$2:$2,0)+1,FALSE)</f>
        <v xml:space="preserve">【上級】危険な仲裁者 </v>
      </c>
      <c r="I7" s="25">
        <v>1</v>
      </c>
      <c r="J7" s="9">
        <v>30</v>
      </c>
      <c r="K7" s="9">
        <v>30</v>
      </c>
    </row>
    <row r="8" spans="1:11" ht="21" customHeight="1" x14ac:dyDescent="0.15">
      <c r="A8" s="17" t="str">
        <f t="shared" ca="1" si="2"/>
        <v>30004_2-2</v>
      </c>
      <c r="B8" s="17" t="str">
        <f ca="1">IF(COUNTIF(enemy_habitats_multi_1_4!$H:$H,A8),"OK","NG")</f>
        <v>NG</v>
      </c>
      <c r="C8" s="5">
        <v>30004</v>
      </c>
      <c r="D8" s="8" t="str">
        <f ca="1">VLOOKUP($C8,OFFSET([1]quests!$A$1,0,0,COUNTA([1]quests!$A:$A),MATCH(D$1,[1]quests!$1:$1,0)-MATCH($C$1,[1]quests!$1:$1,0)+1),MATCH(D$1,[1]quests!$1:$1,0)-MATCH($C$1,[1]quests!$1:$1,0)+1,FALSE)</f>
        <v>危険な仲裁者</v>
      </c>
      <c r="E8" s="23" t="str">
        <f ca="1">VLOOKUP($C8,OFFSET([1]quests!$A$1,0,0,COUNTA([1]quests!$A:$A),MATCH(E$1,[1]quests!$1:$1,0)-MATCH($C$1,[1]quests!$1:$1,0)+1),MATCH(E$1,[1]quests!$1:$1,0)-MATCH($C$1,[1]quests!$1:$1,0)+1,FALSE)</f>
        <v>ドロップイベント1-4（マルチ専用）</v>
      </c>
      <c r="F8" s="25">
        <v>2</v>
      </c>
      <c r="G8" s="26" t="str">
        <f t="shared" ca="1" si="1"/>
        <v>30004_2</v>
      </c>
      <c r="H8" s="16" t="str">
        <f ca="1">VLOOKUP($G8,OFFSET([1]stages!$A$1,0,0,COUNTA([1]stages!$A:$A),MATCH(H$1,[1]stages!$2:$2,0)-MATCH($G$1,[1]stages!$2:$2,0)+1),MATCH(H$1,[1]stages!$2:$2,0)-MATCH($G$1,[1]stages!$2:$2,0)+1,FALSE)</f>
        <v xml:space="preserve">【上級】危険な仲裁者 </v>
      </c>
      <c r="I8" s="25">
        <v>2</v>
      </c>
      <c r="J8" s="9">
        <v>30</v>
      </c>
      <c r="K8" s="9">
        <v>45</v>
      </c>
    </row>
    <row r="9" spans="1:11" ht="21" customHeight="1" x14ac:dyDescent="0.15">
      <c r="A9" s="17" t="str">
        <f t="shared" ca="1" si="2"/>
        <v>30004_2-3</v>
      </c>
      <c r="B9" s="17" t="str">
        <f ca="1">IF(COUNTIF(enemy_habitats_multi_1_4!$H:$H,A9),"OK","NG")</f>
        <v>NG</v>
      </c>
      <c r="C9" s="5">
        <v>30004</v>
      </c>
      <c r="D9" s="8" t="str">
        <f ca="1">VLOOKUP($C9,OFFSET([1]quests!$A$1,0,0,COUNTA([1]quests!$A:$A),MATCH(D$1,[1]quests!$1:$1,0)-MATCH($C$1,[1]quests!$1:$1,0)+1),MATCH(D$1,[1]quests!$1:$1,0)-MATCH($C$1,[1]quests!$1:$1,0)+1,FALSE)</f>
        <v>危険な仲裁者</v>
      </c>
      <c r="E9" s="23" t="str">
        <f ca="1">VLOOKUP($C9,OFFSET([1]quests!$A$1,0,0,COUNTA([1]quests!$A:$A),MATCH(E$1,[1]quests!$1:$1,0)-MATCH($C$1,[1]quests!$1:$1,0)+1),MATCH(E$1,[1]quests!$1:$1,0)-MATCH($C$1,[1]quests!$1:$1,0)+1,FALSE)</f>
        <v>ドロップイベント1-4（マルチ専用）</v>
      </c>
      <c r="F9" s="25">
        <v>2</v>
      </c>
      <c r="G9" s="26" t="str">
        <f t="shared" ca="1" si="1"/>
        <v>30004_2</v>
      </c>
      <c r="H9" s="16" t="str">
        <f ca="1">VLOOKUP($G9,OFFSET([1]stages!$A$1,0,0,COUNTA([1]stages!$A:$A),MATCH(H$1,[1]stages!$2:$2,0)-MATCH($G$1,[1]stages!$2:$2,0)+1),MATCH(H$1,[1]stages!$2:$2,0)-MATCH($G$1,[1]stages!$2:$2,0)+1,FALSE)</f>
        <v xml:space="preserve">【上級】危険な仲裁者 </v>
      </c>
      <c r="I9" s="25">
        <v>3</v>
      </c>
      <c r="J9" s="9">
        <v>25</v>
      </c>
      <c r="K9" s="9">
        <v>25</v>
      </c>
    </row>
    <row r="10" spans="1:11" ht="21" customHeight="1" x14ac:dyDescent="0.15">
      <c r="A10" s="17" t="str">
        <f t="shared" ca="1" si="2"/>
        <v>30004_2-4</v>
      </c>
      <c r="B10" s="17" t="str">
        <f ca="1">IF(COUNTIF(enemy_habitats_multi_1_4!$H:$H,A10),"OK","NG")</f>
        <v>NG</v>
      </c>
      <c r="C10" s="5">
        <v>30004</v>
      </c>
      <c r="D10" s="8" t="str">
        <f ca="1">VLOOKUP($C10,OFFSET([1]quests!$A$1,0,0,COUNTA([1]quests!$A:$A),MATCH(D$1,[1]quests!$1:$1,0)-MATCH($C$1,[1]quests!$1:$1,0)+1),MATCH(D$1,[1]quests!$1:$1,0)-MATCH($C$1,[1]quests!$1:$1,0)+1,FALSE)</f>
        <v>危険な仲裁者</v>
      </c>
      <c r="E10" s="23" t="str">
        <f ca="1">VLOOKUP($C10,OFFSET([1]quests!$A$1,0,0,COUNTA([1]quests!$A:$A),MATCH(E$1,[1]quests!$1:$1,0)-MATCH($C$1,[1]quests!$1:$1,0)+1),MATCH(E$1,[1]quests!$1:$1,0)-MATCH($C$1,[1]quests!$1:$1,0)+1,FALSE)</f>
        <v>ドロップイベント1-4（マルチ専用）</v>
      </c>
      <c r="F10" s="25">
        <v>2</v>
      </c>
      <c r="G10" s="26" t="str">
        <f t="shared" ca="1" si="1"/>
        <v>30004_2</v>
      </c>
      <c r="H10" s="16" t="str">
        <f ca="1">VLOOKUP($G10,OFFSET([1]stages!$A$1,0,0,COUNTA([1]stages!$A:$A),MATCH(H$1,[1]stages!$2:$2,0)-MATCH($G$1,[1]stages!$2:$2,0)+1),MATCH(H$1,[1]stages!$2:$2,0)-MATCH($G$1,[1]stages!$2:$2,0)+1,FALSE)</f>
        <v xml:space="preserve">【上級】危険な仲裁者 </v>
      </c>
      <c r="I10" s="25">
        <v>4</v>
      </c>
      <c r="J10" s="9">
        <v>45</v>
      </c>
      <c r="K10" s="9">
        <v>45</v>
      </c>
    </row>
    <row r="11" spans="1:11" ht="21" customHeight="1" x14ac:dyDescent="0.15">
      <c r="A11" s="17" t="str">
        <f t="shared" ca="1" si="2"/>
        <v>30004_2-5</v>
      </c>
      <c r="B11" s="17" t="str">
        <f ca="1">IF(COUNTIF(enemy_habitats_multi_1_4!$H:$H,A11),"OK","NG")</f>
        <v>NG</v>
      </c>
      <c r="C11" s="5">
        <v>30004</v>
      </c>
      <c r="D11" s="8" t="str">
        <f ca="1">VLOOKUP($C11,OFFSET([1]quests!$A$1,0,0,COUNTA([1]quests!$A:$A),MATCH(D$1,[1]quests!$1:$1,0)-MATCH($C$1,[1]quests!$1:$1,0)+1),MATCH(D$1,[1]quests!$1:$1,0)-MATCH($C$1,[1]quests!$1:$1,0)+1,FALSE)</f>
        <v>危険な仲裁者</v>
      </c>
      <c r="E11" s="23" t="str">
        <f ca="1">VLOOKUP($C11,OFFSET([1]quests!$A$1,0,0,COUNTA([1]quests!$A:$A),MATCH(E$1,[1]quests!$1:$1,0)-MATCH($C$1,[1]quests!$1:$1,0)+1),MATCH(E$1,[1]quests!$1:$1,0)-MATCH($C$1,[1]quests!$1:$1,0)+1,FALSE)</f>
        <v>ドロップイベント1-4（マルチ専用）</v>
      </c>
      <c r="F11" s="25">
        <v>2</v>
      </c>
      <c r="G11" s="26" t="str">
        <f t="shared" ca="1" si="1"/>
        <v>30004_2</v>
      </c>
      <c r="H11" s="16" t="str">
        <f ca="1">VLOOKUP($G11,OFFSET([1]stages!$A$1,0,0,COUNTA([1]stages!$A:$A),MATCH(H$1,[1]stages!$2:$2,0)-MATCH($G$1,[1]stages!$2:$2,0)+1),MATCH(H$1,[1]stages!$2:$2,0)-MATCH($G$1,[1]stages!$2:$2,0)+1,FALSE)</f>
        <v xml:space="preserve">【上級】危険な仲裁者 </v>
      </c>
      <c r="I11" s="25">
        <v>5</v>
      </c>
      <c r="J11" s="9">
        <v>25</v>
      </c>
      <c r="K11" s="9">
        <v>45</v>
      </c>
    </row>
    <row r="12" spans="1:11" ht="21" customHeight="1" x14ac:dyDescent="0.15">
      <c r="A12" s="17" t="str">
        <f t="shared" ca="1" si="2"/>
        <v>30004_3-1</v>
      </c>
      <c r="B12" s="17" t="str">
        <f ca="1">IF(COUNTIF(enemy_habitats_multi_1_4!$H:$H,A12),"OK","NG")</f>
        <v>NG</v>
      </c>
      <c r="C12" s="5">
        <v>30004</v>
      </c>
      <c r="D12" s="8" t="str">
        <f ca="1">VLOOKUP($C12,OFFSET([1]quests!$A$1,0,0,COUNTA([1]quests!$A:$A),MATCH(D$1,[1]quests!$1:$1,0)-MATCH($C$1,[1]quests!$1:$1,0)+1),MATCH(D$1,[1]quests!$1:$1,0)-MATCH($C$1,[1]quests!$1:$1,0)+1,FALSE)</f>
        <v>危険な仲裁者</v>
      </c>
      <c r="E12" s="23" t="str">
        <f ca="1">VLOOKUP($C12,OFFSET([1]quests!$A$1,0,0,COUNTA([1]quests!$A:$A),MATCH(E$1,[1]quests!$1:$1,0)-MATCH($C$1,[1]quests!$1:$1,0)+1),MATCH(E$1,[1]quests!$1:$1,0)-MATCH($C$1,[1]quests!$1:$1,0)+1,FALSE)</f>
        <v>ドロップイベント1-4（マルチ専用）</v>
      </c>
      <c r="F12" s="25">
        <v>3</v>
      </c>
      <c r="G12" s="26" t="str">
        <f t="shared" ca="1" si="1"/>
        <v>30004_3</v>
      </c>
      <c r="H12" s="16" t="str">
        <f ca="1">VLOOKUP($G12,OFFSET([1]stages!$A$1,0,0,COUNTA([1]stages!$A:$A),MATCH(H$1,[1]stages!$2:$2,0)-MATCH($G$1,[1]stages!$2:$2,0)+1),MATCH(H$1,[1]stages!$2:$2,0)-MATCH($G$1,[1]stages!$2:$2,0)+1,FALSE)</f>
        <v xml:space="preserve">【超級】危険な仲裁者 </v>
      </c>
      <c r="I12" s="25">
        <v>1</v>
      </c>
      <c r="J12" s="9">
        <v>30</v>
      </c>
      <c r="K12" s="9">
        <v>30</v>
      </c>
    </row>
    <row r="13" spans="1:11" ht="21" customHeight="1" x14ac:dyDescent="0.15">
      <c r="A13" s="17" t="str">
        <f t="shared" ca="1" si="2"/>
        <v>30004_3-2</v>
      </c>
      <c r="B13" s="17" t="str">
        <f ca="1">IF(COUNTIF(enemy_habitats_multi_1_4!$H:$H,A13),"OK","NG")</f>
        <v>NG</v>
      </c>
      <c r="C13" s="5">
        <v>30004</v>
      </c>
      <c r="D13" s="8" t="str">
        <f ca="1">VLOOKUP($C13,OFFSET([1]quests!$A$1,0,0,COUNTA([1]quests!$A:$A),MATCH(D$1,[1]quests!$1:$1,0)-MATCH($C$1,[1]quests!$1:$1,0)+1),MATCH(D$1,[1]quests!$1:$1,0)-MATCH($C$1,[1]quests!$1:$1,0)+1,FALSE)</f>
        <v>危険な仲裁者</v>
      </c>
      <c r="E13" s="23" t="str">
        <f ca="1">VLOOKUP($C13,OFFSET([1]quests!$A$1,0,0,COUNTA([1]quests!$A:$A),MATCH(E$1,[1]quests!$1:$1,0)-MATCH($C$1,[1]quests!$1:$1,0)+1),MATCH(E$1,[1]quests!$1:$1,0)-MATCH($C$1,[1]quests!$1:$1,0)+1,FALSE)</f>
        <v>ドロップイベント1-4（マルチ専用）</v>
      </c>
      <c r="F13" s="25">
        <v>3</v>
      </c>
      <c r="G13" s="26" t="str">
        <f t="shared" ca="1" si="1"/>
        <v>30004_3</v>
      </c>
      <c r="H13" s="16" t="str">
        <f ca="1">VLOOKUP($G13,OFFSET([1]stages!$A$1,0,0,COUNTA([1]stages!$A:$A),MATCH(H$1,[1]stages!$2:$2,0)-MATCH($G$1,[1]stages!$2:$2,0)+1),MATCH(H$1,[1]stages!$2:$2,0)-MATCH($G$1,[1]stages!$2:$2,0)+1,FALSE)</f>
        <v xml:space="preserve">【超級】危険な仲裁者 </v>
      </c>
      <c r="I13" s="25">
        <v>2</v>
      </c>
      <c r="J13" s="9">
        <v>45</v>
      </c>
      <c r="K13" s="9">
        <v>45</v>
      </c>
    </row>
    <row r="14" spans="1:11" ht="21" customHeight="1" x14ac:dyDescent="0.15">
      <c r="A14" s="17" t="str">
        <f t="shared" ca="1" si="2"/>
        <v>30004_3-3</v>
      </c>
      <c r="B14" s="17" t="str">
        <f ca="1">IF(COUNTIF(enemy_habitats_multi_1_4!$H:$H,A14),"OK","NG")</f>
        <v>NG</v>
      </c>
      <c r="C14" s="5">
        <v>30004</v>
      </c>
      <c r="D14" s="8" t="str">
        <f ca="1">VLOOKUP($C14,OFFSET([1]quests!$A$1,0,0,COUNTA([1]quests!$A:$A),MATCH(D$1,[1]quests!$1:$1,0)-MATCH($C$1,[1]quests!$1:$1,0)+1),MATCH(D$1,[1]quests!$1:$1,0)-MATCH($C$1,[1]quests!$1:$1,0)+1,FALSE)</f>
        <v>危険な仲裁者</v>
      </c>
      <c r="E14" s="23" t="str">
        <f ca="1">VLOOKUP($C14,OFFSET([1]quests!$A$1,0,0,COUNTA([1]quests!$A:$A),MATCH(E$1,[1]quests!$1:$1,0)-MATCH($C$1,[1]quests!$1:$1,0)+1),MATCH(E$1,[1]quests!$1:$1,0)-MATCH($C$1,[1]quests!$1:$1,0)+1,FALSE)</f>
        <v>ドロップイベント1-4（マルチ専用）</v>
      </c>
      <c r="F14" s="25">
        <v>3</v>
      </c>
      <c r="G14" s="26" t="str">
        <f t="shared" ca="1" si="1"/>
        <v>30004_3</v>
      </c>
      <c r="H14" s="16" t="str">
        <f ca="1">VLOOKUP($G14,OFFSET([1]stages!$A$1,0,0,COUNTA([1]stages!$A:$A),MATCH(H$1,[1]stages!$2:$2,0)-MATCH($G$1,[1]stages!$2:$2,0)+1),MATCH(H$1,[1]stages!$2:$2,0)-MATCH($G$1,[1]stages!$2:$2,0)+1,FALSE)</f>
        <v xml:space="preserve">【超級】危険な仲裁者 </v>
      </c>
      <c r="I14" s="25">
        <v>3</v>
      </c>
      <c r="J14" s="9">
        <v>30</v>
      </c>
      <c r="K14" s="9">
        <v>30</v>
      </c>
    </row>
    <row r="15" spans="1:11" ht="21" customHeight="1" x14ac:dyDescent="0.15">
      <c r="A15" s="17" t="str">
        <f t="shared" ca="1" si="2"/>
        <v>30004_3-4</v>
      </c>
      <c r="B15" s="17" t="str">
        <f ca="1">IF(COUNTIF(enemy_habitats_multi_1_4!$H:$H,A15),"OK","NG")</f>
        <v>NG</v>
      </c>
      <c r="C15" s="5">
        <v>30004</v>
      </c>
      <c r="D15" s="8" t="str">
        <f ca="1">VLOOKUP($C15,OFFSET([1]quests!$A$1,0,0,COUNTA([1]quests!$A:$A),MATCH(D$1,[1]quests!$1:$1,0)-MATCH($C$1,[1]quests!$1:$1,0)+1),MATCH(D$1,[1]quests!$1:$1,0)-MATCH($C$1,[1]quests!$1:$1,0)+1,FALSE)</f>
        <v>危険な仲裁者</v>
      </c>
      <c r="E15" s="23" t="str">
        <f ca="1">VLOOKUP($C15,OFFSET([1]quests!$A$1,0,0,COUNTA([1]quests!$A:$A),MATCH(E$1,[1]quests!$1:$1,0)-MATCH($C$1,[1]quests!$1:$1,0)+1),MATCH(E$1,[1]quests!$1:$1,0)-MATCH($C$1,[1]quests!$1:$1,0)+1,FALSE)</f>
        <v>ドロップイベント1-4（マルチ専用）</v>
      </c>
      <c r="F15" s="25">
        <v>3</v>
      </c>
      <c r="G15" s="26" t="str">
        <f t="shared" ca="1" si="1"/>
        <v>30004_3</v>
      </c>
      <c r="H15" s="16" t="str">
        <f ca="1">VLOOKUP($G15,OFFSET([1]stages!$A$1,0,0,COUNTA([1]stages!$A:$A),MATCH(H$1,[1]stages!$2:$2,0)-MATCH($G$1,[1]stages!$2:$2,0)+1),MATCH(H$1,[1]stages!$2:$2,0)-MATCH($G$1,[1]stages!$2:$2,0)+1,FALSE)</f>
        <v xml:space="preserve">【超級】危険な仲裁者 </v>
      </c>
      <c r="I15" s="25">
        <v>4</v>
      </c>
      <c r="J15" s="9">
        <v>45</v>
      </c>
      <c r="K15" s="9">
        <v>45</v>
      </c>
    </row>
    <row r="16" spans="1:11" ht="21" customHeight="1" x14ac:dyDescent="0.15">
      <c r="A16" s="17" t="str">
        <f t="shared" ca="1" si="2"/>
        <v>30004_3-5</v>
      </c>
      <c r="B16" s="17" t="str">
        <f ca="1">IF(COUNTIF(enemy_habitats_multi_1_4!$H:$H,A16),"OK","NG")</f>
        <v>NG</v>
      </c>
      <c r="C16" s="5">
        <v>30004</v>
      </c>
      <c r="D16" s="8" t="str">
        <f ca="1">VLOOKUP($C16,OFFSET([1]quests!$A$1,0,0,COUNTA([1]quests!$A:$A),MATCH(D$1,[1]quests!$1:$1,0)-MATCH($C$1,[1]quests!$1:$1,0)+1),MATCH(D$1,[1]quests!$1:$1,0)-MATCH($C$1,[1]quests!$1:$1,0)+1,FALSE)</f>
        <v>危険な仲裁者</v>
      </c>
      <c r="E16" s="23" t="str">
        <f ca="1">VLOOKUP($C16,OFFSET([1]quests!$A$1,0,0,COUNTA([1]quests!$A:$A),MATCH(E$1,[1]quests!$1:$1,0)-MATCH($C$1,[1]quests!$1:$1,0)+1),MATCH(E$1,[1]quests!$1:$1,0)-MATCH($C$1,[1]quests!$1:$1,0)+1,FALSE)</f>
        <v>ドロップイベント1-4（マルチ専用）</v>
      </c>
      <c r="F16" s="25">
        <v>3</v>
      </c>
      <c r="G16" s="26" t="str">
        <f t="shared" ca="1" si="1"/>
        <v>30004_3</v>
      </c>
      <c r="H16" s="16" t="str">
        <f ca="1">VLOOKUP($G16,OFFSET([1]stages!$A$1,0,0,COUNTA([1]stages!$A:$A),MATCH(H$1,[1]stages!$2:$2,0)-MATCH($G$1,[1]stages!$2:$2,0)+1),MATCH(H$1,[1]stages!$2:$2,0)-MATCH($G$1,[1]stages!$2:$2,0)+1,FALSE)</f>
        <v xml:space="preserve">【超級】危険な仲裁者 </v>
      </c>
      <c r="I16" s="25">
        <v>5</v>
      </c>
      <c r="J16" s="9">
        <v>25</v>
      </c>
      <c r="K16" s="9">
        <v>25</v>
      </c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J87"/>
  <sheetViews>
    <sheetView showGridLines="0" zoomScale="75" zoomScaleNormal="75" zoomScalePageLayoutView="75" workbookViewId="0">
      <pane xSplit="14" ySplit="1" topLeftCell="Y33" activePane="bottomRight" state="frozen"/>
      <selection pane="topRight" activeCell="N1" sqref="N1"/>
      <selection pane="bottomLeft" activeCell="A2" sqref="A2"/>
      <selection pane="bottomRight" activeCell="AE44" sqref="AE44"/>
    </sheetView>
  </sheetViews>
  <sheetFormatPr baseColWidth="12" defaultColWidth="13" defaultRowHeight="21" customHeight="1" outlineLevelCol="1" x14ac:dyDescent="0.15"/>
  <cols>
    <col min="1" max="1" width="12.5" style="24" bestFit="1" customWidth="1"/>
    <col min="2" max="2" width="12.5" style="4" bestFit="1" customWidth="1"/>
    <col min="3" max="3" width="12.33203125" style="4" bestFit="1" customWidth="1" collapsed="1"/>
    <col min="4" max="4" width="14.6640625" style="11" hidden="1" customWidth="1" outlineLevel="1"/>
    <col min="5" max="6" width="15.6640625" style="4" hidden="1" customWidth="1" outlineLevel="1"/>
    <col min="7" max="7" width="11.83203125" style="4" bestFit="1" customWidth="1"/>
    <col min="8" max="8" width="11.83203125" style="4" customWidth="1" outlineLevel="1"/>
    <col min="9" max="9" width="15.33203125" style="6" bestFit="1" customWidth="1"/>
    <col min="10" max="10" width="17.6640625" style="4" customWidth="1" outlineLevel="1"/>
    <col min="11" max="11" width="10.33203125" style="4" customWidth="1" outlineLevel="1"/>
    <col min="12" max="12" width="13.6640625" style="4" customWidth="1" outlineLevel="1"/>
    <col min="13" max="13" width="22.83203125" style="4" customWidth="1" outlineLevel="1"/>
    <col min="14" max="14" width="11.6640625" style="4" customWidth="1" outlineLevel="1"/>
    <col min="15" max="15" width="10.1640625" style="4" bestFit="1" customWidth="1"/>
    <col min="16" max="16" width="14.83203125" style="4" bestFit="1" customWidth="1"/>
    <col min="17" max="17" width="17.5" style="4" bestFit="1" customWidth="1"/>
    <col min="18" max="18" width="18.33203125" style="4" bestFit="1" customWidth="1"/>
    <col min="19" max="19" width="14" style="4" customWidth="1"/>
    <col min="20" max="20" width="14" style="4" customWidth="1" outlineLevel="1"/>
    <col min="21" max="21" width="13" style="4" bestFit="1" customWidth="1"/>
    <col min="22" max="22" width="13.5" style="4" bestFit="1" customWidth="1"/>
    <col min="23" max="23" width="12.33203125" style="4" bestFit="1" customWidth="1"/>
    <col min="24" max="24" width="12.83203125" style="4" bestFit="1" customWidth="1"/>
    <col min="25" max="25" width="14.83203125" style="4" bestFit="1" customWidth="1"/>
    <col min="26" max="26" width="17.6640625" style="10" customWidth="1" outlineLevel="1"/>
    <col min="27" max="28" width="13.6640625" style="11" customWidth="1" outlineLevel="1"/>
    <col min="29" max="29" width="16.83203125" style="7" bestFit="1" customWidth="1" collapsed="1"/>
    <col min="30" max="31" width="16.5" style="4" bestFit="1" customWidth="1"/>
    <col min="32" max="32" width="15.33203125" style="4" customWidth="1"/>
    <col min="33" max="16384" width="13" style="4"/>
  </cols>
  <sheetData>
    <row r="1" spans="1:36" ht="21" customHeight="1" x14ac:dyDescent="0.15">
      <c r="A1" s="17" t="s">
        <v>29</v>
      </c>
      <c r="B1" s="1" t="s">
        <v>0</v>
      </c>
      <c r="C1" s="1" t="s">
        <v>70</v>
      </c>
      <c r="D1" s="16" t="s">
        <v>28</v>
      </c>
      <c r="E1" s="2" t="s">
        <v>20</v>
      </c>
      <c r="F1" s="2" t="s">
        <v>20</v>
      </c>
      <c r="G1" s="1" t="s">
        <v>19</v>
      </c>
      <c r="H1" s="16" t="s">
        <v>37</v>
      </c>
      <c r="I1" s="1" t="s">
        <v>2</v>
      </c>
      <c r="J1" s="21" t="s">
        <v>21</v>
      </c>
      <c r="K1" s="16" t="s">
        <v>24</v>
      </c>
      <c r="L1" s="16" t="s">
        <v>23</v>
      </c>
      <c r="M1" s="22" t="s">
        <v>26</v>
      </c>
      <c r="N1" s="2" t="s">
        <v>25</v>
      </c>
      <c r="O1" s="1" t="s">
        <v>3</v>
      </c>
      <c r="P1" s="41" t="s">
        <v>64</v>
      </c>
      <c r="Q1" s="41" t="s">
        <v>65</v>
      </c>
      <c r="R1" s="41" t="s">
        <v>66</v>
      </c>
      <c r="S1" s="16" t="s">
        <v>33</v>
      </c>
      <c r="T1" s="1" t="s">
        <v>4</v>
      </c>
      <c r="U1" s="1" t="s">
        <v>5</v>
      </c>
      <c r="V1" s="1" t="s">
        <v>6</v>
      </c>
      <c r="W1" s="1" t="s">
        <v>7</v>
      </c>
      <c r="X1" s="1" t="s">
        <v>8</v>
      </c>
      <c r="Y1" s="3" t="s">
        <v>9</v>
      </c>
      <c r="Z1" s="18" t="s">
        <v>16</v>
      </c>
      <c r="AA1" s="18" t="s">
        <v>17</v>
      </c>
      <c r="AB1" s="18" t="s">
        <v>27</v>
      </c>
      <c r="AC1" s="3" t="s">
        <v>10</v>
      </c>
      <c r="AD1" s="1" t="s">
        <v>11</v>
      </c>
      <c r="AE1" s="1" t="s">
        <v>12</v>
      </c>
      <c r="AF1" s="1" t="s">
        <v>40</v>
      </c>
      <c r="AG1" s="1" t="s">
        <v>42</v>
      </c>
      <c r="AH1" s="1" t="s">
        <v>44</v>
      </c>
      <c r="AI1" s="1" t="s">
        <v>46</v>
      </c>
      <c r="AJ1" s="1" t="s">
        <v>48</v>
      </c>
    </row>
    <row r="2" spans="1:36" ht="21" customHeight="1" x14ac:dyDescent="0.15">
      <c r="A2" s="17" t="str">
        <f t="shared" ref="A2:A53" ca="1" si="0">B2&amp;"_"&amp;C2&amp;"-"&amp;G2&amp;"/"&amp;I2&amp;"&lt;lv"&amp;O2&amp;"&gt;s"&amp;X2</f>
        <v>30004_1-1/9&lt;lv20&gt;s2</v>
      </c>
      <c r="B2" s="28">
        <v>30004</v>
      </c>
      <c r="C2" s="30">
        <v>1</v>
      </c>
      <c r="D2" s="16" t="str">
        <f t="shared" ref="D2" si="1">B2&amp;"_"&amp;C2</f>
        <v>30004_1</v>
      </c>
      <c r="E2" s="44" t="str">
        <f ca="1">VLOOKUP($B2,OFFSET([1]quests!$A$1,0,0,COUNTA([1]quests!$A:$A),MATCH(E$1,[1]quests!$1:$1,0)-MATCH($B$1,[1]quests!$1:$1,0)+1),MATCH(E$1,[1]quests!$1:$1,0)-MATCH($B$1,[1]quests!$1:$1,0)+1,FALSE)</f>
        <v>危険な仲裁者</v>
      </c>
      <c r="F2" s="44" t="str">
        <f ca="1">VLOOKUP($D2,OFFSET([1]stages!$A$1,0,0,COUNTA([1]stages!$A:$A),MATCH(F$1,[1]stages!$2:$2,0)-MATCH($D$1,[1]stages!$2:$2,0)+1),MATCH(F$1,[1]stages!$2:$2,0)-MATCH($D$1,[1]stages!$2:$2,0)+1,FALSE)</f>
        <v xml:space="preserve">【中級】危険な仲裁者 </v>
      </c>
      <c r="G2" s="32">
        <v>1</v>
      </c>
      <c r="H2" s="16" t="str">
        <f t="shared" ref="H2" ca="1" si="2">B2&amp;"_"&amp;C2&amp;"-"&amp;G2</f>
        <v>30004_1-1</v>
      </c>
      <c r="I2" s="30">
        <v>9</v>
      </c>
      <c r="J2" s="46" t="str">
        <f ca="1">VLOOKUP($I2,OFFSET([2]enemies!$A$1,0,0,COUNTA([2]enemies!$A:$A),MATCH(J$1,[2]enemies!$1:$1,0)-MATCH($I$1,[2]enemies!$1:$1,0)+1),MATCH(J$1,[2]enemies!$1:$1,0)-MATCH($I$1,[2]enemies!$1:$1,0)+1,FALSE)</f>
        <v>ブレット</v>
      </c>
      <c r="K2" s="46" t="str">
        <f ca="1">VLOOKUP($I2,OFFSET([2]enemies!$A$1,0,0,COUNTA([2]enemies!$A:$A),MATCH(K$1,[2]enemies!$1:$1,0)-MATCH($I$1,[2]enemies!$1:$1,0)+1),MATCH(K$1,[2]enemies!$1:$1,0)-MATCH($I$1,[2]enemies!$1:$1,0)+1,FALSE)</f>
        <v>red</v>
      </c>
      <c r="L2" s="23" t="str">
        <f ca="1">VLOOKUP(I2,[3]characters!$A:$J,10,FALSE)</f>
        <v>Drop1W</v>
      </c>
      <c r="M2" s="46" t="str">
        <f ca="1">VLOOKUP($I2,OFFSET([2]enemies!$A$1,0,0,COUNTA([2]enemies!$A:$A),MATCH(M$1,[2]enemies!$1:$1,0)-MATCH($I$1,[2]enemies!$1:$1,0)+1),MATCH(M$1,[2]enemies!$1:$1,0)-MATCH($I$1,[2]enemies!$1:$1,0)+1,FALSE)</f>
        <v>animal</v>
      </c>
      <c r="N2" s="46">
        <f ca="1">VLOOKUP($I2,OFFSET([2]enemies!$A$1,0,0,COUNTA([2]enemies!$A:$A),MATCH(N$1,[2]enemies!$1:$1,0)-MATCH($I$1,[2]enemies!$1:$1,0)+1),MATCH(N$1,[2]enemies!$1:$1,0)-MATCH($I$1,[2]enemies!$1:$1,0)+1,FALSE)</f>
        <v>15</v>
      </c>
      <c r="O2" s="29">
        <v>20</v>
      </c>
      <c r="P2" s="42">
        <v>1.8</v>
      </c>
      <c r="Q2" s="42">
        <v>0.9</v>
      </c>
      <c r="R2" s="43">
        <v>0</v>
      </c>
      <c r="S2" s="44" t="str">
        <f ca="1">VLOOKUP($T2,OFFSET([4]enemy_skill_sets!$B$1,0,0,COUNTA([4]enemy_skill_sets!$B:$B),MATCH(J$1,[4]enemy_skill_sets!$1:$1,0)-MATCH($T$1,[4]enemy_skill_sets!$1:$1,0)+2),MATCH(J$1,[4]enemy_skill_sets!$1:$1,0)-MATCH($T$1,[4]enemy_skill_sets!$1:$1,0)+2,FALSE)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" s="46">
        <f ca="1">VLOOKUP($I2,OFFSET([2]enemies!$A$1,0,0,COUNTA([2]enemies!$A:$A),MATCH(T$1,[2]enemies!$1:$1,0)-MATCH($I$1,[2]enemies!$1:$1,0)+1),MATCH(T$1,[2]enemies!$1:$1,0)-MATCH($I$1,[2]enemies!$1:$1,0)+1,FALSE)</f>
        <v>0</v>
      </c>
      <c r="U2" s="34">
        <v>0</v>
      </c>
      <c r="V2" s="34">
        <v>100</v>
      </c>
      <c r="W2" s="34">
        <v>0</v>
      </c>
      <c r="X2" s="46">
        <f ca="1">VLOOKUP($I2,OFFSET([2]enemies!$A$1,0,0,COUNTA([2]enemies!$A:$A),MATCH(X$1,[2]enemies!$1:$1,0)-MATCH($I$1,[2]enemies!$1:$1,0)+1),MATCH(X$1,[2]enemies!$1:$1,0)-MATCH($I$1,[2]enemies!$1:$1,0)+1,FALSE)</f>
        <v>2</v>
      </c>
      <c r="Y2" s="28">
        <v>9</v>
      </c>
      <c r="Z2" s="44" t="str">
        <f ca="1">IFERROR(VLOOKUP($Y2,OFFSET([3]characters!$A$1,0,0,COUNTA([3]characters!$A:$A),MATCH(Z$1,[3]characters!$1:$1,0)-MATCH("character_id",[3]characters!$1:$1,0)+1),MATCH(Z$1,[3]characters!$1:$1,0)-MATCH("character_id",[3]characters!$1:$1,0)+1,FALSE),"")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2" s="44">
        <f ca="1">IFERROR(VLOOKUP($Y2,OFFSET([3]characters!$A$1,0,0,COUNTA([3]characters!$A:$A),MATCH(AA$1,[3]characters!$1:$1,0)-MATCH("character_id",[3]characters!$1:$1,0)+1),MATCH(AA$1,[3]characters!$1:$1,0)-MATCH("character_id",[3]characters!$1:$1,0)+1,FALSE),"")</f>
        <v>1</v>
      </c>
      <c r="AB2" s="44" t="str">
        <f ca="1">IFERROR(VLOOKUP($Y2,OFFSET([3]characters!$A$1,0,0,COUNTA([3]characters!$A:$A),MATCH(AB$1,[3]characters!$1:$1,0)-MATCH("character_id",[3]characters!$1:$1,0)+1),MATCH(AB$1,[3]characters!$1:$1,0)-MATCH("character_id",[3]characters!$1:$1,0)+1,FALSE),"")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" s="28">
        <v>4</v>
      </c>
      <c r="AD2" s="47">
        <f t="shared" ref="AD2:AD53" ca="1" si="3">AA2</f>
        <v>1</v>
      </c>
      <c r="AE2" s="48">
        <v>15</v>
      </c>
      <c r="AF2" s="28">
        <v>0</v>
      </c>
      <c r="AG2" s="35">
        <v>0</v>
      </c>
      <c r="AH2" s="35">
        <v>0</v>
      </c>
      <c r="AI2" s="35">
        <v>0</v>
      </c>
      <c r="AJ2" s="35">
        <v>1</v>
      </c>
    </row>
    <row r="3" spans="1:36" ht="21" customHeight="1" x14ac:dyDescent="0.15">
      <c r="A3" s="17" t="str">
        <f t="shared" ca="1" si="0"/>
        <v>30004_1-1/11&lt;lv20&gt;s3</v>
      </c>
      <c r="B3" s="27">
        <v>30004</v>
      </c>
      <c r="C3" s="30">
        <v>1</v>
      </c>
      <c r="D3" s="16" t="str">
        <f t="shared" ref="D3:D53" ca="1" si="4">B3&amp;"_"&amp;C3</f>
        <v>30004_1</v>
      </c>
      <c r="E3" s="44" t="str">
        <f ca="1">VLOOKUP($B3,OFFSET([1]quests!$A$1,0,0,COUNTA([1]quests!$A:$A),MATCH(E$1,[1]quests!$1:$1,0)-MATCH($B$1,[1]quests!$1:$1,0)+1),MATCH(E$1,[1]quests!$1:$1,0)-MATCH($B$1,[1]quests!$1:$1,0)+1,FALSE)</f>
        <v>危険な仲裁者</v>
      </c>
      <c r="F3" s="44" t="str">
        <f ca="1">VLOOKUP($D3,OFFSET([1]stages!$A$1,0,0,COUNTA([1]stages!$A:$A),MATCH(F$1,[1]stages!$2:$2,0)-MATCH($D$1,[1]stages!$2:$2,0)+1),MATCH(F$1,[1]stages!$2:$2,0)-MATCH($D$1,[1]stages!$2:$2,0)+1,FALSE)</f>
        <v xml:space="preserve">【中級】危険な仲裁者 </v>
      </c>
      <c r="G3" s="32">
        <v>1</v>
      </c>
      <c r="H3" s="31" t="s">
        <v>49</v>
      </c>
      <c r="I3" s="30">
        <v>11</v>
      </c>
      <c r="J3" s="46" t="str">
        <f ca="1">VLOOKUP($I3,OFFSET([2]enemies!$A$1,0,0,COUNTA([2]enemies!$A:$A),MATCH(J$1,[2]enemies!$1:$1,0)-MATCH($I$1,[2]enemies!$1:$1,0)+1),MATCH(J$1,[2]enemies!$1:$1,0)-MATCH($I$1,[2]enemies!$1:$1,0)+1,FALSE)</f>
        <v>マグリット</v>
      </c>
      <c r="K3" s="46" t="str">
        <f ca="1">VLOOKUP($I3,OFFSET([2]enemies!$A$1,0,0,COUNTA([2]enemies!$A:$A),MATCH(K$1,[2]enemies!$1:$1,0)-MATCH($I$1,[2]enemies!$1:$1,0)+1),MATCH(K$1,[2]enemies!$1:$1,0)-MATCH($I$1,[2]enemies!$1:$1,0)+1,FALSE)</f>
        <v>green</v>
      </c>
      <c r="L3" s="23" t="str">
        <f ca="1">VLOOKUP(I3,[3]characters!$A:$J,10,FALSE)</f>
        <v>Drop1W</v>
      </c>
      <c r="M3" s="46" t="str">
        <f ca="1">VLOOKUP($I3,OFFSET([2]enemies!$A$1,0,0,COUNTA([2]enemies!$A:$A),MATCH(M$1,[2]enemies!$1:$1,0)-MATCH($I$1,[2]enemies!$1:$1,0)+1),MATCH(M$1,[2]enemies!$1:$1,0)-MATCH($I$1,[2]enemies!$1:$1,0)+1,FALSE)</f>
        <v>animal</v>
      </c>
      <c r="N3" s="46">
        <f ca="1">VLOOKUP($I3,OFFSET([2]enemies!$A$1,0,0,COUNTA([2]enemies!$A:$A),MATCH(N$1,[2]enemies!$1:$1,0)-MATCH($I$1,[2]enemies!$1:$1,0)+1),MATCH(N$1,[2]enemies!$1:$1,0)-MATCH($I$1,[2]enemies!$1:$1,0)+1,FALSE)</f>
        <v>15</v>
      </c>
      <c r="O3" s="29">
        <v>20</v>
      </c>
      <c r="P3" s="42">
        <v>1.8</v>
      </c>
      <c r="Q3" s="42">
        <v>0.9</v>
      </c>
      <c r="R3" s="43">
        <v>0</v>
      </c>
      <c r="S3" s="44" t="str">
        <f ca="1">VLOOKUP($T3,OFFSET([4]enemy_skill_sets!$B$1,0,0,COUNTA([4]enemy_skill_sets!$B:$B),MATCH(J$1,[4]enemy_skill_sets!$1:$1,0)-MATCH($T$1,[4]enemy_skill_sets!$1:$1,0)+2),MATCH(J$1,[4]enemy_skill_sets!$1:$1,0)-MATCH($T$1,[4]enemy_skill_sets!$1:$1,0)+2,FALSE)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" s="46">
        <f ca="1">VLOOKUP($I3,OFFSET([2]enemies!$A$1,0,0,COUNTA([2]enemies!$A:$A),MATCH(T$1,[2]enemies!$1:$1,0)-MATCH($I$1,[2]enemies!$1:$1,0)+1),MATCH(T$1,[2]enemies!$1:$1,0)-MATCH($I$1,[2]enemies!$1:$1,0)+1,FALSE)</f>
        <v>0</v>
      </c>
      <c r="U3" s="34">
        <v>0</v>
      </c>
      <c r="V3" s="34">
        <v>100</v>
      </c>
      <c r="W3" s="34">
        <v>0</v>
      </c>
      <c r="X3" s="46">
        <f ca="1">VLOOKUP($I3,OFFSET([2]enemies!$A$1,0,0,COUNTA([2]enemies!$A:$A),MATCH(X$1,[2]enemies!$1:$1,0)-MATCH($I$1,[2]enemies!$1:$1,0)+1),MATCH(X$1,[2]enemies!$1:$1,0)-MATCH($I$1,[2]enemies!$1:$1,0)+1,FALSE)</f>
        <v>3</v>
      </c>
      <c r="Y3" s="28">
        <v>11</v>
      </c>
      <c r="Z3" s="44" t="str">
        <f ca="1">IFERROR(VLOOKUP($Y3,OFFSET([3]characters!$A$1,0,0,COUNTA([3]characters!$A:$A),MATCH(Z$1,[3]characters!$1:$1,0)-MATCH("character_id",[3]characters!$1:$1,0)+1),MATCH(Z$1,[3]characters!$1:$1,0)-MATCH("character_id",[3]characters!$1:$1,0)+1,FALSE),"")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3" s="44">
        <f ca="1">IFERROR(VLOOKUP($Y3,OFFSET([3]characters!$A$1,0,0,COUNTA([3]characters!$A:$A),MATCH(AA$1,[3]characters!$1:$1,0)-MATCH("character_id",[3]characters!$1:$1,0)+1),MATCH(AA$1,[3]characters!$1:$1,0)-MATCH("character_id",[3]characters!$1:$1,0)+1,FALSE),"")</f>
        <v>1</v>
      </c>
      <c r="AB3" s="44" t="str">
        <f ca="1">IFERROR(VLOOKUP($Y3,OFFSET([3]characters!$A$1,0,0,COUNTA([3]characters!$A:$A),MATCH(AB$1,[3]characters!$1:$1,0)-MATCH("character_id",[3]characters!$1:$1,0)+1),MATCH(AB$1,[3]characters!$1:$1,0)-MATCH("character_id",[3]characters!$1:$1,0)+1,FALSE),"")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" s="28">
        <v>4</v>
      </c>
      <c r="AD3" s="47">
        <f t="shared" ca="1" si="3"/>
        <v>1</v>
      </c>
      <c r="AE3" s="48">
        <v>15</v>
      </c>
      <c r="AF3" s="28">
        <v>0</v>
      </c>
      <c r="AG3" s="35">
        <v>0</v>
      </c>
      <c r="AH3" s="35">
        <v>0</v>
      </c>
      <c r="AI3" s="35">
        <v>0</v>
      </c>
      <c r="AJ3" s="35">
        <v>1</v>
      </c>
    </row>
    <row r="4" spans="1:36" ht="21" customHeight="1" x14ac:dyDescent="0.15">
      <c r="A4" s="17" t="str">
        <f t="shared" ca="1" si="0"/>
        <v>30004_1-1/13&lt;lv20&gt;s2</v>
      </c>
      <c r="B4" s="27">
        <v>30004</v>
      </c>
      <c r="C4" s="30">
        <v>1</v>
      </c>
      <c r="D4" s="16" t="str">
        <f t="shared" ca="1" si="4"/>
        <v>30004_1</v>
      </c>
      <c r="E4" s="44" t="str">
        <f ca="1">VLOOKUP($B4,OFFSET([1]quests!$A$1,0,0,COUNTA([1]quests!$A:$A),MATCH(E$1,[1]quests!$1:$1,0)-MATCH($B$1,[1]quests!$1:$1,0)+1),MATCH(E$1,[1]quests!$1:$1,0)-MATCH($B$1,[1]quests!$1:$1,0)+1,FALSE)</f>
        <v>危険な仲裁者</v>
      </c>
      <c r="F4" s="44" t="str">
        <f ca="1">VLOOKUP($D4,OFFSET([1]stages!$A$1,0,0,COUNTA([1]stages!$A:$A),MATCH(F$1,[1]stages!$2:$2,0)-MATCH($D$1,[1]stages!$2:$2,0)+1),MATCH(F$1,[1]stages!$2:$2,0)-MATCH($D$1,[1]stages!$2:$2,0)+1,FALSE)</f>
        <v xml:space="preserve">【中級】危険な仲裁者 </v>
      </c>
      <c r="G4" s="32">
        <v>1</v>
      </c>
      <c r="H4" s="31" t="s">
        <v>49</v>
      </c>
      <c r="I4" s="30">
        <v>13</v>
      </c>
      <c r="J4" s="46" t="str">
        <f ca="1">VLOOKUP($I4,OFFSET([2]enemies!$A$1,0,0,COUNTA([2]enemies!$A:$A),MATCH(J$1,[2]enemies!$1:$1,0)-MATCH($I$1,[2]enemies!$1:$1,0)+1),MATCH(J$1,[2]enemies!$1:$1,0)-MATCH($I$1,[2]enemies!$1:$1,0)+1,FALSE)</f>
        <v>ミミ</v>
      </c>
      <c r="K4" s="46" t="str">
        <f ca="1">VLOOKUP($I4,OFFSET([2]enemies!$A$1,0,0,COUNTA([2]enemies!$A:$A),MATCH(K$1,[2]enemies!$1:$1,0)-MATCH($I$1,[2]enemies!$1:$1,0)+1),MATCH(K$1,[2]enemies!$1:$1,0)-MATCH($I$1,[2]enemies!$1:$1,0)+1,FALSE)</f>
        <v>yellow</v>
      </c>
      <c r="L4" s="23" t="str">
        <f ca="1">VLOOKUP(I4,[3]characters!$A:$J,10,FALSE)</f>
        <v>Drop1W</v>
      </c>
      <c r="M4" s="46" t="str">
        <f ca="1">VLOOKUP($I4,OFFSET([2]enemies!$A$1,0,0,COUNTA([2]enemies!$A:$A),MATCH(M$1,[2]enemies!$1:$1,0)-MATCH($I$1,[2]enemies!$1:$1,0)+1),MATCH(M$1,[2]enemies!$1:$1,0)-MATCH($I$1,[2]enemies!$1:$1,0)+1,FALSE)</f>
        <v>animal</v>
      </c>
      <c r="N4" s="46">
        <f ca="1">VLOOKUP($I4,OFFSET([2]enemies!$A$1,0,0,COUNTA([2]enemies!$A:$A),MATCH(N$1,[2]enemies!$1:$1,0)-MATCH($I$1,[2]enemies!$1:$1,0)+1),MATCH(N$1,[2]enemies!$1:$1,0)-MATCH($I$1,[2]enemies!$1:$1,0)+1,FALSE)</f>
        <v>15</v>
      </c>
      <c r="O4" s="29">
        <v>20</v>
      </c>
      <c r="P4" s="42">
        <v>1.8</v>
      </c>
      <c r="Q4" s="42">
        <v>0.9</v>
      </c>
      <c r="R4" s="43">
        <v>0</v>
      </c>
      <c r="S4" s="44" t="str">
        <f ca="1">VLOOKUP($T4,OFFSET([4]enemy_skill_sets!$B$1,0,0,COUNTA([4]enemy_skill_sets!$B:$B),MATCH(J$1,[4]enemy_skill_sets!$1:$1,0)-MATCH($T$1,[4]enemy_skill_sets!$1:$1,0)+2),MATCH(J$1,[4]enemy_skill_sets!$1:$1,0)-MATCH($T$1,[4]enemy_skill_sets!$1:$1,0)+2,FALSE)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" s="46">
        <f ca="1">VLOOKUP($I4,OFFSET([2]enemies!$A$1,0,0,COUNTA([2]enemies!$A:$A),MATCH(T$1,[2]enemies!$1:$1,0)-MATCH($I$1,[2]enemies!$1:$1,0)+1),MATCH(T$1,[2]enemies!$1:$1,0)-MATCH($I$1,[2]enemies!$1:$1,0)+1,FALSE)</f>
        <v>0</v>
      </c>
      <c r="U4" s="34">
        <v>0</v>
      </c>
      <c r="V4" s="34">
        <v>100</v>
      </c>
      <c r="W4" s="34">
        <v>0</v>
      </c>
      <c r="X4" s="46">
        <f ca="1">VLOOKUP($I4,OFFSET([2]enemies!$A$1,0,0,COUNTA([2]enemies!$A:$A),MATCH(X$1,[2]enemies!$1:$1,0)-MATCH($I$1,[2]enemies!$1:$1,0)+1),MATCH(X$1,[2]enemies!$1:$1,0)-MATCH($I$1,[2]enemies!$1:$1,0)+1,FALSE)</f>
        <v>2</v>
      </c>
      <c r="Y4" s="28">
        <v>13</v>
      </c>
      <c r="Z4" s="44" t="str">
        <f ca="1">IFERROR(VLOOKUP($Y4,OFFSET([3]characters!$A$1,0,0,COUNTA([3]characters!$A:$A),MATCH(Z$1,[3]characters!$1:$1,0)-MATCH("character_id",[3]characters!$1:$1,0)+1),MATCH(Z$1,[3]characters!$1:$1,0)-MATCH("character_id",[3]characters!$1:$1,0)+1,FALSE),"")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4" s="44">
        <f ca="1">IFERROR(VLOOKUP($Y4,OFFSET([3]characters!$A$1,0,0,COUNTA([3]characters!$A:$A),MATCH(AA$1,[3]characters!$1:$1,0)-MATCH("character_id",[3]characters!$1:$1,0)+1),MATCH(AA$1,[3]characters!$1:$1,0)-MATCH("character_id",[3]characters!$1:$1,0)+1,FALSE),"")</f>
        <v>1</v>
      </c>
      <c r="AB4" s="44" t="str">
        <f ca="1">IFERROR(VLOOKUP($Y4,OFFSET([3]characters!$A$1,0,0,COUNTA([3]characters!$A:$A),MATCH(AB$1,[3]characters!$1:$1,0)-MATCH("character_id",[3]characters!$1:$1,0)+1),MATCH(AB$1,[3]characters!$1:$1,0)-MATCH("character_id",[3]characters!$1:$1,0)+1,FALSE),"")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4" s="28">
        <v>4</v>
      </c>
      <c r="AD4" s="47">
        <f t="shared" ca="1" si="3"/>
        <v>1</v>
      </c>
      <c r="AE4" s="48">
        <v>15</v>
      </c>
      <c r="AF4" s="28">
        <v>0</v>
      </c>
      <c r="AG4" s="35">
        <v>0</v>
      </c>
      <c r="AH4" s="35">
        <v>0</v>
      </c>
      <c r="AI4" s="35">
        <v>0</v>
      </c>
      <c r="AJ4" s="35">
        <v>1</v>
      </c>
    </row>
    <row r="5" spans="1:36" ht="21" customHeight="1" x14ac:dyDescent="0.15">
      <c r="A5" s="17" t="str">
        <f t="shared" ca="1" si="0"/>
        <v>30004_1-1/16&lt;lv20&gt;s3</v>
      </c>
      <c r="B5" s="27">
        <v>30004</v>
      </c>
      <c r="C5" s="30">
        <v>1</v>
      </c>
      <c r="D5" s="16" t="str">
        <f t="shared" ca="1" si="4"/>
        <v>30004_1</v>
      </c>
      <c r="E5" s="44" t="str">
        <f ca="1">VLOOKUP($B5,OFFSET([1]quests!$A$1,0,0,COUNTA([1]quests!$A:$A),MATCH(E$1,[1]quests!$1:$1,0)-MATCH($B$1,[1]quests!$1:$1,0)+1),MATCH(E$1,[1]quests!$1:$1,0)-MATCH($B$1,[1]quests!$1:$1,0)+1,FALSE)</f>
        <v>危険な仲裁者</v>
      </c>
      <c r="F5" s="44" t="str">
        <f ca="1">VLOOKUP($D5,OFFSET([1]stages!$A$1,0,0,COUNTA([1]stages!$A:$A),MATCH(F$1,[1]stages!$2:$2,0)-MATCH($D$1,[1]stages!$2:$2,0)+1),MATCH(F$1,[1]stages!$2:$2,0)-MATCH($D$1,[1]stages!$2:$2,0)+1,FALSE)</f>
        <v xml:space="preserve">【中級】危険な仲裁者 </v>
      </c>
      <c r="G5" s="32">
        <v>1</v>
      </c>
      <c r="H5" s="31" t="s">
        <v>49</v>
      </c>
      <c r="I5" s="30">
        <v>16</v>
      </c>
      <c r="J5" s="46" t="str">
        <f ca="1">VLOOKUP($I5,OFFSET([2]enemies!$A$1,0,0,COUNTA([2]enemies!$A:$A),MATCH(J$1,[2]enemies!$1:$1,0)-MATCH($I$1,[2]enemies!$1:$1,0)+1),MATCH(J$1,[2]enemies!$1:$1,0)-MATCH($I$1,[2]enemies!$1:$1,0)+1,FALSE)</f>
        <v>炎戦少女 アカネ</v>
      </c>
      <c r="K5" s="46" t="str">
        <f ca="1">VLOOKUP($I5,OFFSET([2]enemies!$A$1,0,0,COUNTA([2]enemies!$A:$A),MATCH(K$1,[2]enemies!$1:$1,0)-MATCH($I$1,[2]enemies!$1:$1,0)+1),MATCH(K$1,[2]enemies!$1:$1,0)-MATCH($I$1,[2]enemies!$1:$1,0)+1,FALSE)</f>
        <v>red</v>
      </c>
      <c r="L5" s="23" t="str">
        <f ca="1">VLOOKUP(I5,[3]characters!$A:$J,10,FALSE)</f>
        <v>Drop1W</v>
      </c>
      <c r="M5" s="46" t="str">
        <f ca="1">VLOOKUP($I5,OFFSET([2]enemies!$A$1,0,0,COUNTA([2]enemies!$A:$A),MATCH(M$1,[2]enemies!$1:$1,0)-MATCH($I$1,[2]enemies!$1:$1,0)+1),MATCH(M$1,[2]enemies!$1:$1,0)-MATCH($I$1,[2]enemies!$1:$1,0)+1,FALSE)</f>
        <v>human</v>
      </c>
      <c r="N5" s="46">
        <f ca="1">VLOOKUP($I5,OFFSET([2]enemies!$A$1,0,0,COUNTA([2]enemies!$A:$A),MATCH(N$1,[2]enemies!$1:$1,0)-MATCH($I$1,[2]enemies!$1:$1,0)+1),MATCH(N$1,[2]enemies!$1:$1,0)-MATCH($I$1,[2]enemies!$1:$1,0)+1,FALSE)</f>
        <v>15</v>
      </c>
      <c r="O5" s="29">
        <v>20</v>
      </c>
      <c r="P5" s="42">
        <v>1.8</v>
      </c>
      <c r="Q5" s="42">
        <v>0.9</v>
      </c>
      <c r="R5" s="43">
        <v>0</v>
      </c>
      <c r="S5" s="44" t="str">
        <f ca="1">VLOOKUP($T5,OFFSET([4]enemy_skill_sets!$B$1,0,0,COUNTA([4]enemy_skill_sets!$B:$B),MATCH(J$1,[4]enemy_skill_sets!$1:$1,0)-MATCH($T$1,[4]enemy_skill_sets!$1:$1,0)+2),MATCH(J$1,[4]enemy_skill_sets!$1:$1,0)-MATCH($T$1,[4]enemy_skill_sets!$1:$1,0)+2,FALSE)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" s="46">
        <f ca="1">VLOOKUP($I5,OFFSET([2]enemies!$A$1,0,0,COUNTA([2]enemies!$A:$A),MATCH(T$1,[2]enemies!$1:$1,0)-MATCH($I$1,[2]enemies!$1:$1,0)+1),MATCH(T$1,[2]enemies!$1:$1,0)-MATCH($I$1,[2]enemies!$1:$1,0)+1,FALSE)</f>
        <v>0</v>
      </c>
      <c r="U5" s="34">
        <v>0</v>
      </c>
      <c r="V5" s="34">
        <v>100</v>
      </c>
      <c r="W5" s="34">
        <v>0</v>
      </c>
      <c r="X5" s="46">
        <f ca="1">VLOOKUP($I5,OFFSET([2]enemies!$A$1,0,0,COUNTA([2]enemies!$A:$A),MATCH(X$1,[2]enemies!$1:$1,0)-MATCH($I$1,[2]enemies!$1:$1,0)+1),MATCH(X$1,[2]enemies!$1:$1,0)-MATCH($I$1,[2]enemies!$1:$1,0)+1,FALSE)</f>
        <v>3</v>
      </c>
      <c r="Y5" s="28">
        <v>16</v>
      </c>
      <c r="Z5" s="44" t="str">
        <f ca="1">IFERROR(VLOOKUP($Y5,OFFSET([3]characters!$A$1,0,0,COUNTA([3]characters!$A:$A),MATCH(Z$1,[3]characters!$1:$1,0)-MATCH("character_id",[3]characters!$1:$1,0)+1),MATCH(Z$1,[3]characters!$1:$1,0)-MATCH("character_id",[3]characters!$1:$1,0)+1,FALSE),"")</f>
        <v>炎戦少女 アカネ</v>
      </c>
      <c r="AA5" s="44">
        <f ca="1">IFERROR(VLOOKUP($Y5,OFFSET([3]characters!$A$1,0,0,COUNTA([3]characters!$A:$A),MATCH(AA$1,[3]characters!$1:$1,0)-MATCH("character_id",[3]characters!$1:$1,0)+1),MATCH(AA$1,[3]characters!$1:$1,0)-MATCH("character_id",[3]characters!$1:$1,0)+1,FALSE),"")</f>
        <v>2</v>
      </c>
      <c r="AB5" s="44" t="str">
        <f ca="1">IFERROR(VLOOKUP($Y5,OFFSET([3]characters!$A$1,0,0,COUNTA([3]characters!$A:$A),MATCH(AB$1,[3]characters!$1:$1,0)-MATCH("character_id",[3]characters!$1:$1,0)+1),MATCH(AB$1,[3]characters!$1:$1,0)-MATCH("character_id",[3]characters!$1:$1,0)+1,FALSE),"")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5" s="28">
        <v>4</v>
      </c>
      <c r="AD5" s="47">
        <f t="shared" ca="1" si="3"/>
        <v>2</v>
      </c>
      <c r="AE5" s="48">
        <v>15</v>
      </c>
      <c r="AF5" s="28">
        <v>0</v>
      </c>
      <c r="AG5" s="35">
        <v>0</v>
      </c>
      <c r="AH5" s="35">
        <v>0</v>
      </c>
      <c r="AI5" s="35">
        <v>0</v>
      </c>
      <c r="AJ5" s="35">
        <v>1</v>
      </c>
    </row>
    <row r="6" spans="1:36" ht="21" customHeight="1" x14ac:dyDescent="0.15">
      <c r="A6" s="17" t="str">
        <f t="shared" ca="1" si="0"/>
        <v>30004_1-1/17&lt;lv20&gt;s2</v>
      </c>
      <c r="B6" s="27">
        <v>30004</v>
      </c>
      <c r="C6" s="30">
        <v>1</v>
      </c>
      <c r="D6" s="16" t="str">
        <f t="shared" ca="1" si="4"/>
        <v>30004_1</v>
      </c>
      <c r="E6" s="44" t="str">
        <f ca="1">VLOOKUP($B6,OFFSET([1]quests!$A$1,0,0,COUNTA([1]quests!$A:$A),MATCH(E$1,[1]quests!$1:$1,0)-MATCH($B$1,[1]quests!$1:$1,0)+1),MATCH(E$1,[1]quests!$1:$1,0)-MATCH($B$1,[1]quests!$1:$1,0)+1,FALSE)</f>
        <v>危険な仲裁者</v>
      </c>
      <c r="F6" s="44" t="str">
        <f ca="1">VLOOKUP($D6,OFFSET([1]stages!$A$1,0,0,COUNTA([1]stages!$A:$A),MATCH(F$1,[1]stages!$2:$2,0)-MATCH($D$1,[1]stages!$2:$2,0)+1),MATCH(F$1,[1]stages!$2:$2,0)-MATCH($D$1,[1]stages!$2:$2,0)+1,FALSE)</f>
        <v xml:space="preserve">【中級】危険な仲裁者 </v>
      </c>
      <c r="G6" s="32">
        <v>1</v>
      </c>
      <c r="H6" s="31" t="s">
        <v>49</v>
      </c>
      <c r="I6" s="30">
        <v>17</v>
      </c>
      <c r="J6" s="46" t="str">
        <f ca="1">VLOOKUP($I6,OFFSET([2]enemies!$A$1,0,0,COUNTA([2]enemies!$A:$A),MATCH(J$1,[2]enemies!$1:$1,0)-MATCH($I$1,[2]enemies!$1:$1,0)+1),MATCH(J$1,[2]enemies!$1:$1,0)-MATCH($I$1,[2]enemies!$1:$1,0)+1,FALSE)</f>
        <v>リム</v>
      </c>
      <c r="K6" s="46" t="str">
        <f ca="1">VLOOKUP($I6,OFFSET([2]enemies!$A$1,0,0,COUNTA([2]enemies!$A:$A),MATCH(K$1,[2]enemies!$1:$1,0)-MATCH($I$1,[2]enemies!$1:$1,0)+1),MATCH(K$1,[2]enemies!$1:$1,0)-MATCH($I$1,[2]enemies!$1:$1,0)+1,FALSE)</f>
        <v>blue</v>
      </c>
      <c r="L6" s="23" t="str">
        <f ca="1">VLOOKUP(I6,[3]characters!$A:$J,10,FALSE)</f>
        <v>Drop1W</v>
      </c>
      <c r="M6" s="46" t="str">
        <f ca="1">VLOOKUP($I6,OFFSET([2]enemies!$A$1,0,0,COUNTA([2]enemies!$A:$A),MATCH(M$1,[2]enemies!$1:$1,0)-MATCH($I$1,[2]enemies!$1:$1,0)+1),MATCH(M$1,[2]enemies!$1:$1,0)-MATCH($I$1,[2]enemies!$1:$1,0)+1,FALSE)</f>
        <v>human</v>
      </c>
      <c r="N6" s="46">
        <f ca="1">VLOOKUP($I6,OFFSET([2]enemies!$A$1,0,0,COUNTA([2]enemies!$A:$A),MATCH(N$1,[2]enemies!$1:$1,0)-MATCH($I$1,[2]enemies!$1:$1,0)+1),MATCH(N$1,[2]enemies!$1:$1,0)-MATCH($I$1,[2]enemies!$1:$1,0)+1,FALSE)</f>
        <v>15</v>
      </c>
      <c r="O6" s="29">
        <v>20</v>
      </c>
      <c r="P6" s="42">
        <v>1.8</v>
      </c>
      <c r="Q6" s="42">
        <v>0.9</v>
      </c>
      <c r="R6" s="43">
        <v>0</v>
      </c>
      <c r="S6" s="44" t="str">
        <f ca="1">VLOOKUP($T6,OFFSET([4]enemy_skill_sets!$B$1,0,0,COUNTA([4]enemy_skill_sets!$B:$B),MATCH(J$1,[4]enemy_skill_sets!$1:$1,0)-MATCH($T$1,[4]enemy_skill_sets!$1:$1,0)+2),MATCH(J$1,[4]enemy_skill_sets!$1:$1,0)-MATCH($T$1,[4]enemy_skill_sets!$1:$1,0)+2,FALSE)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" s="46">
        <f ca="1">VLOOKUP($I6,OFFSET([2]enemies!$A$1,0,0,COUNTA([2]enemies!$A:$A),MATCH(T$1,[2]enemies!$1:$1,0)-MATCH($I$1,[2]enemies!$1:$1,0)+1),MATCH(T$1,[2]enemies!$1:$1,0)-MATCH($I$1,[2]enemies!$1:$1,0)+1,FALSE)</f>
        <v>0</v>
      </c>
      <c r="U6" s="34">
        <v>0</v>
      </c>
      <c r="V6" s="34">
        <v>100</v>
      </c>
      <c r="W6" s="34">
        <v>0</v>
      </c>
      <c r="X6" s="46">
        <f ca="1">VLOOKUP($I6,OFFSET([2]enemies!$A$1,0,0,COUNTA([2]enemies!$A:$A),MATCH(X$1,[2]enemies!$1:$1,0)-MATCH($I$1,[2]enemies!$1:$1,0)+1),MATCH(X$1,[2]enemies!$1:$1,0)-MATCH($I$1,[2]enemies!$1:$1,0)+1,FALSE)</f>
        <v>2</v>
      </c>
      <c r="Y6" s="28">
        <v>17</v>
      </c>
      <c r="Z6" s="44" t="str">
        <f ca="1">IFERROR(VLOOKUP($Y6,OFFSET([3]characters!$A$1,0,0,COUNTA([3]characters!$A:$A),MATCH(Z$1,[3]characters!$1:$1,0)-MATCH("character_id",[3]characters!$1:$1,0)+1),MATCH(Z$1,[3]characters!$1:$1,0)-MATCH("character_id",[3]characters!$1:$1,0)+1,FALSE),"")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6" s="44">
        <f ca="1">IFERROR(VLOOKUP($Y6,OFFSET([3]characters!$A$1,0,0,COUNTA([3]characters!$A:$A),MATCH(AA$1,[3]characters!$1:$1,0)-MATCH("character_id",[3]characters!$1:$1,0)+1),MATCH(AA$1,[3]characters!$1:$1,0)-MATCH("character_id",[3]characters!$1:$1,0)+1,FALSE),"")</f>
        <v>1</v>
      </c>
      <c r="AB6" s="44" t="str">
        <f ca="1">IFERROR(VLOOKUP($Y6,OFFSET([3]characters!$A$1,0,0,COUNTA([3]characters!$A:$A),MATCH(AB$1,[3]characters!$1:$1,0)-MATCH("character_id",[3]characters!$1:$1,0)+1),MATCH(AB$1,[3]characters!$1:$1,0)-MATCH("character_id",[3]characters!$1:$1,0)+1,FALSE),"")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6" s="28">
        <v>4</v>
      </c>
      <c r="AD6" s="47">
        <f t="shared" ca="1" si="3"/>
        <v>1</v>
      </c>
      <c r="AE6" s="48">
        <v>15</v>
      </c>
      <c r="AF6" s="28">
        <v>0</v>
      </c>
      <c r="AG6" s="35">
        <v>0</v>
      </c>
      <c r="AH6" s="35">
        <v>0</v>
      </c>
      <c r="AI6" s="35">
        <v>0</v>
      </c>
      <c r="AJ6" s="35">
        <v>1</v>
      </c>
    </row>
    <row r="7" spans="1:36" ht="21" customHeight="1" x14ac:dyDescent="0.15">
      <c r="A7" s="17" t="str">
        <f t="shared" ca="1" si="0"/>
        <v>30004_1-2/9&lt;lv21&gt;s2</v>
      </c>
      <c r="B7" s="27">
        <v>30004</v>
      </c>
      <c r="C7" s="30">
        <v>1</v>
      </c>
      <c r="D7" s="16" t="str">
        <f t="shared" ca="1" si="4"/>
        <v>30004_1</v>
      </c>
      <c r="E7" s="44" t="str">
        <f ca="1">VLOOKUP($B7,OFFSET([1]quests!$A$1,0,0,COUNTA([1]quests!$A:$A),MATCH(E$1,[1]quests!$1:$1,0)-MATCH($B$1,[1]quests!$1:$1,0)+1),MATCH(E$1,[1]quests!$1:$1,0)-MATCH($B$1,[1]quests!$1:$1,0)+1,FALSE)</f>
        <v>危険な仲裁者</v>
      </c>
      <c r="F7" s="44" t="str">
        <f ca="1">VLOOKUP($D7,OFFSET([1]stages!$A$1,0,0,COUNTA([1]stages!$A:$A),MATCH(F$1,[1]stages!$2:$2,0)-MATCH($D$1,[1]stages!$2:$2,0)+1),MATCH(F$1,[1]stages!$2:$2,0)-MATCH($D$1,[1]stages!$2:$2,0)+1,FALSE)</f>
        <v xml:space="preserve">【中級】危険な仲裁者 </v>
      </c>
      <c r="G7" s="32">
        <v>2</v>
      </c>
      <c r="H7" s="31" t="s">
        <v>50</v>
      </c>
      <c r="I7" s="30">
        <v>9</v>
      </c>
      <c r="J7" s="46" t="str">
        <f ca="1">VLOOKUP($I7,OFFSET([2]enemies!$A$1,0,0,COUNTA([2]enemies!$A:$A),MATCH(J$1,[2]enemies!$1:$1,0)-MATCH($I$1,[2]enemies!$1:$1,0)+1),MATCH(J$1,[2]enemies!$1:$1,0)-MATCH($I$1,[2]enemies!$1:$1,0)+1,FALSE)</f>
        <v>ブレット</v>
      </c>
      <c r="K7" s="46" t="str">
        <f ca="1">VLOOKUP($I7,OFFSET([2]enemies!$A$1,0,0,COUNTA([2]enemies!$A:$A),MATCH(K$1,[2]enemies!$1:$1,0)-MATCH($I$1,[2]enemies!$1:$1,0)+1),MATCH(K$1,[2]enemies!$1:$1,0)-MATCH($I$1,[2]enemies!$1:$1,0)+1,FALSE)</f>
        <v>red</v>
      </c>
      <c r="L7" s="23" t="str">
        <f ca="1">VLOOKUP(I7,[3]characters!$A:$J,10,FALSE)</f>
        <v>Drop1W</v>
      </c>
      <c r="M7" s="46" t="str">
        <f ca="1">VLOOKUP($I7,OFFSET([2]enemies!$A$1,0,0,COUNTA([2]enemies!$A:$A),MATCH(M$1,[2]enemies!$1:$1,0)-MATCH($I$1,[2]enemies!$1:$1,0)+1),MATCH(M$1,[2]enemies!$1:$1,0)-MATCH($I$1,[2]enemies!$1:$1,0)+1,FALSE)</f>
        <v>animal</v>
      </c>
      <c r="N7" s="46">
        <f ca="1">VLOOKUP($I7,OFFSET([2]enemies!$A$1,0,0,COUNTA([2]enemies!$A:$A),MATCH(N$1,[2]enemies!$1:$1,0)-MATCH($I$1,[2]enemies!$1:$1,0)+1),MATCH(N$1,[2]enemies!$1:$1,0)-MATCH($I$1,[2]enemies!$1:$1,0)+1,FALSE)</f>
        <v>15</v>
      </c>
      <c r="O7" s="29">
        <v>21</v>
      </c>
      <c r="P7" s="42">
        <v>1.8</v>
      </c>
      <c r="Q7" s="42">
        <v>0.9</v>
      </c>
      <c r="R7" s="43">
        <v>0</v>
      </c>
      <c r="S7" s="44" t="str">
        <f ca="1">VLOOKUP($T7,OFFSET([4]enemy_skill_sets!$B$1,0,0,COUNTA([4]enemy_skill_sets!$B:$B),MATCH(J$1,[4]enemy_skill_sets!$1:$1,0)-MATCH($T$1,[4]enemy_skill_sets!$1:$1,0)+2),MATCH(J$1,[4]enemy_skill_sets!$1:$1,0)-MATCH($T$1,[4]enemy_skill_sets!$1:$1,0)+2,FALSE)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" s="46">
        <f ca="1">VLOOKUP($I7,OFFSET([2]enemies!$A$1,0,0,COUNTA([2]enemies!$A:$A),MATCH(T$1,[2]enemies!$1:$1,0)-MATCH($I$1,[2]enemies!$1:$1,0)+1),MATCH(T$1,[2]enemies!$1:$1,0)-MATCH($I$1,[2]enemies!$1:$1,0)+1,FALSE)</f>
        <v>0</v>
      </c>
      <c r="U7" s="34">
        <v>0</v>
      </c>
      <c r="V7" s="34">
        <v>100</v>
      </c>
      <c r="W7" s="34">
        <v>0</v>
      </c>
      <c r="X7" s="46">
        <f ca="1">VLOOKUP($I7,OFFSET([2]enemies!$A$1,0,0,COUNTA([2]enemies!$A:$A),MATCH(X$1,[2]enemies!$1:$1,0)-MATCH($I$1,[2]enemies!$1:$1,0)+1),MATCH(X$1,[2]enemies!$1:$1,0)-MATCH($I$1,[2]enemies!$1:$1,0)+1,FALSE)</f>
        <v>2</v>
      </c>
      <c r="Y7" s="28">
        <v>9</v>
      </c>
      <c r="Z7" s="44" t="str">
        <f ca="1">IFERROR(VLOOKUP($Y7,OFFSET([3]characters!$A$1,0,0,COUNTA([3]characters!$A:$A),MATCH(Z$1,[3]characters!$1:$1,0)-MATCH("character_id",[3]characters!$1:$1,0)+1),MATCH(Z$1,[3]characters!$1:$1,0)-MATCH("character_id",[3]characters!$1:$1,0)+1,FALSE),"")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7" s="44">
        <f ca="1">IFERROR(VLOOKUP($Y7,OFFSET([3]characters!$A$1,0,0,COUNTA([3]characters!$A:$A),MATCH(AA$1,[3]characters!$1:$1,0)-MATCH("character_id",[3]characters!$1:$1,0)+1),MATCH(AA$1,[3]characters!$1:$1,0)-MATCH("character_id",[3]characters!$1:$1,0)+1,FALSE),"")</f>
        <v>1</v>
      </c>
      <c r="AB7" s="44" t="str">
        <f ca="1">IFERROR(VLOOKUP($Y7,OFFSET([3]characters!$A$1,0,0,COUNTA([3]characters!$A:$A),MATCH(AB$1,[3]characters!$1:$1,0)-MATCH("character_id",[3]characters!$1:$1,0)+1),MATCH(AB$1,[3]characters!$1:$1,0)-MATCH("character_id",[3]characters!$1:$1,0)+1,FALSE),"")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7" s="28">
        <v>4</v>
      </c>
      <c r="AD7" s="47">
        <f t="shared" ca="1" si="3"/>
        <v>1</v>
      </c>
      <c r="AE7" s="48">
        <v>15</v>
      </c>
      <c r="AF7" s="28">
        <v>0</v>
      </c>
      <c r="AG7" s="35">
        <v>0</v>
      </c>
      <c r="AH7" s="35">
        <v>0</v>
      </c>
      <c r="AI7" s="35">
        <v>0</v>
      </c>
      <c r="AJ7" s="35">
        <v>1</v>
      </c>
    </row>
    <row r="8" spans="1:36" ht="21" customHeight="1" x14ac:dyDescent="0.15">
      <c r="A8" s="17" t="str">
        <f t="shared" ca="1" si="0"/>
        <v>30004_1-2/11&lt;lv21&gt;s3</v>
      </c>
      <c r="B8" s="27">
        <v>30004</v>
      </c>
      <c r="C8" s="30">
        <v>1</v>
      </c>
      <c r="D8" s="16" t="str">
        <f t="shared" ca="1" si="4"/>
        <v>30004_1</v>
      </c>
      <c r="E8" s="44" t="str">
        <f ca="1">VLOOKUP($B8,OFFSET([1]quests!$A$1,0,0,COUNTA([1]quests!$A:$A),MATCH(E$1,[1]quests!$1:$1,0)-MATCH($B$1,[1]quests!$1:$1,0)+1),MATCH(E$1,[1]quests!$1:$1,0)-MATCH($B$1,[1]quests!$1:$1,0)+1,FALSE)</f>
        <v>危険な仲裁者</v>
      </c>
      <c r="F8" s="44" t="str">
        <f ca="1">VLOOKUP($D8,OFFSET([1]stages!$A$1,0,0,COUNTA([1]stages!$A:$A),MATCH(F$1,[1]stages!$2:$2,0)-MATCH($D$1,[1]stages!$2:$2,0)+1),MATCH(F$1,[1]stages!$2:$2,0)-MATCH($D$1,[1]stages!$2:$2,0)+1,FALSE)</f>
        <v xml:space="preserve">【中級】危険な仲裁者 </v>
      </c>
      <c r="G8" s="32">
        <v>2</v>
      </c>
      <c r="H8" s="31" t="s">
        <v>50</v>
      </c>
      <c r="I8" s="30">
        <v>11</v>
      </c>
      <c r="J8" s="46" t="str">
        <f ca="1">VLOOKUP($I8,OFFSET([2]enemies!$A$1,0,0,COUNTA([2]enemies!$A:$A),MATCH(J$1,[2]enemies!$1:$1,0)-MATCH($I$1,[2]enemies!$1:$1,0)+1),MATCH(J$1,[2]enemies!$1:$1,0)-MATCH($I$1,[2]enemies!$1:$1,0)+1,FALSE)</f>
        <v>マグリット</v>
      </c>
      <c r="K8" s="46" t="str">
        <f ca="1">VLOOKUP($I8,OFFSET([2]enemies!$A$1,0,0,COUNTA([2]enemies!$A:$A),MATCH(K$1,[2]enemies!$1:$1,0)-MATCH($I$1,[2]enemies!$1:$1,0)+1),MATCH(K$1,[2]enemies!$1:$1,0)-MATCH($I$1,[2]enemies!$1:$1,0)+1,FALSE)</f>
        <v>green</v>
      </c>
      <c r="L8" s="23" t="str">
        <f ca="1">VLOOKUP(I8,[3]characters!$A:$J,10,FALSE)</f>
        <v>Drop1W</v>
      </c>
      <c r="M8" s="46" t="str">
        <f ca="1">VLOOKUP($I8,OFFSET([2]enemies!$A$1,0,0,COUNTA([2]enemies!$A:$A),MATCH(M$1,[2]enemies!$1:$1,0)-MATCH($I$1,[2]enemies!$1:$1,0)+1),MATCH(M$1,[2]enemies!$1:$1,0)-MATCH($I$1,[2]enemies!$1:$1,0)+1,FALSE)</f>
        <v>animal</v>
      </c>
      <c r="N8" s="46">
        <f ca="1">VLOOKUP($I8,OFFSET([2]enemies!$A$1,0,0,COUNTA([2]enemies!$A:$A),MATCH(N$1,[2]enemies!$1:$1,0)-MATCH($I$1,[2]enemies!$1:$1,0)+1),MATCH(N$1,[2]enemies!$1:$1,0)-MATCH($I$1,[2]enemies!$1:$1,0)+1,FALSE)</f>
        <v>15</v>
      </c>
      <c r="O8" s="29">
        <v>21</v>
      </c>
      <c r="P8" s="42">
        <v>1.8</v>
      </c>
      <c r="Q8" s="42">
        <v>0.9</v>
      </c>
      <c r="R8" s="43">
        <v>0</v>
      </c>
      <c r="S8" s="44" t="str">
        <f ca="1">VLOOKUP($T8,OFFSET([4]enemy_skill_sets!$B$1,0,0,COUNTA([4]enemy_skill_sets!$B:$B),MATCH(J$1,[4]enemy_skill_sets!$1:$1,0)-MATCH($T$1,[4]enemy_skill_sets!$1:$1,0)+2),MATCH(J$1,[4]enemy_skill_sets!$1:$1,0)-MATCH($T$1,[4]enemy_skill_sets!$1:$1,0)+2,FALSE)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" s="46">
        <f ca="1">VLOOKUP($I8,OFFSET([2]enemies!$A$1,0,0,COUNTA([2]enemies!$A:$A),MATCH(T$1,[2]enemies!$1:$1,0)-MATCH($I$1,[2]enemies!$1:$1,0)+1),MATCH(T$1,[2]enemies!$1:$1,0)-MATCH($I$1,[2]enemies!$1:$1,0)+1,FALSE)</f>
        <v>0</v>
      </c>
      <c r="U8" s="34">
        <v>0</v>
      </c>
      <c r="V8" s="34">
        <v>100</v>
      </c>
      <c r="W8" s="34">
        <v>0</v>
      </c>
      <c r="X8" s="46">
        <f ca="1">VLOOKUP($I8,OFFSET([2]enemies!$A$1,0,0,COUNTA([2]enemies!$A:$A),MATCH(X$1,[2]enemies!$1:$1,0)-MATCH($I$1,[2]enemies!$1:$1,0)+1),MATCH(X$1,[2]enemies!$1:$1,0)-MATCH($I$1,[2]enemies!$1:$1,0)+1,FALSE)</f>
        <v>3</v>
      </c>
      <c r="Y8" s="28">
        <v>11</v>
      </c>
      <c r="Z8" s="44" t="str">
        <f ca="1">IFERROR(VLOOKUP($Y8,OFFSET([3]characters!$A$1,0,0,COUNTA([3]characters!$A:$A),MATCH(Z$1,[3]characters!$1:$1,0)-MATCH("character_id",[3]characters!$1:$1,0)+1),MATCH(Z$1,[3]characters!$1:$1,0)-MATCH("character_id",[3]characters!$1:$1,0)+1,FALSE),"")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8" s="44">
        <f ca="1">IFERROR(VLOOKUP($Y8,OFFSET([3]characters!$A$1,0,0,COUNTA([3]characters!$A:$A),MATCH(AA$1,[3]characters!$1:$1,0)-MATCH("character_id",[3]characters!$1:$1,0)+1),MATCH(AA$1,[3]characters!$1:$1,0)-MATCH("character_id",[3]characters!$1:$1,0)+1,FALSE),"")</f>
        <v>1</v>
      </c>
      <c r="AB8" s="44" t="str">
        <f ca="1">IFERROR(VLOOKUP($Y8,OFFSET([3]characters!$A$1,0,0,COUNTA([3]characters!$A:$A),MATCH(AB$1,[3]characters!$1:$1,0)-MATCH("character_id",[3]characters!$1:$1,0)+1),MATCH(AB$1,[3]characters!$1:$1,0)-MATCH("character_id",[3]characters!$1:$1,0)+1,FALSE),"")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8" s="28">
        <v>4</v>
      </c>
      <c r="AD8" s="47">
        <f t="shared" ca="1" si="3"/>
        <v>1</v>
      </c>
      <c r="AE8" s="48">
        <v>15</v>
      </c>
      <c r="AF8" s="28">
        <v>0</v>
      </c>
      <c r="AG8" s="35">
        <v>0</v>
      </c>
      <c r="AH8" s="35">
        <v>0</v>
      </c>
      <c r="AI8" s="35">
        <v>0</v>
      </c>
      <c r="AJ8" s="35">
        <v>1</v>
      </c>
    </row>
    <row r="9" spans="1:36" ht="21" customHeight="1" x14ac:dyDescent="0.15">
      <c r="A9" s="17" t="str">
        <f t="shared" ca="1" si="0"/>
        <v>30004_1-2/13&lt;lv21&gt;s2</v>
      </c>
      <c r="B9" s="27">
        <v>30004</v>
      </c>
      <c r="C9" s="30">
        <v>1</v>
      </c>
      <c r="D9" s="16" t="str">
        <f t="shared" ca="1" si="4"/>
        <v>30004_1</v>
      </c>
      <c r="E9" s="44" t="str">
        <f ca="1">VLOOKUP($B9,OFFSET([1]quests!$A$1,0,0,COUNTA([1]quests!$A:$A),MATCH(E$1,[1]quests!$1:$1,0)-MATCH($B$1,[1]quests!$1:$1,0)+1),MATCH(E$1,[1]quests!$1:$1,0)-MATCH($B$1,[1]quests!$1:$1,0)+1,FALSE)</f>
        <v>危険な仲裁者</v>
      </c>
      <c r="F9" s="44" t="str">
        <f ca="1">VLOOKUP($D9,OFFSET([1]stages!$A$1,0,0,COUNTA([1]stages!$A:$A),MATCH(F$1,[1]stages!$2:$2,0)-MATCH($D$1,[1]stages!$2:$2,0)+1),MATCH(F$1,[1]stages!$2:$2,0)-MATCH($D$1,[1]stages!$2:$2,0)+1,FALSE)</f>
        <v xml:space="preserve">【中級】危険な仲裁者 </v>
      </c>
      <c r="G9" s="32">
        <v>2</v>
      </c>
      <c r="H9" s="31" t="s">
        <v>50</v>
      </c>
      <c r="I9" s="30">
        <v>13</v>
      </c>
      <c r="J9" s="46" t="str">
        <f ca="1">VLOOKUP($I9,OFFSET([2]enemies!$A$1,0,0,COUNTA([2]enemies!$A:$A),MATCH(J$1,[2]enemies!$1:$1,0)-MATCH($I$1,[2]enemies!$1:$1,0)+1),MATCH(J$1,[2]enemies!$1:$1,0)-MATCH($I$1,[2]enemies!$1:$1,0)+1,FALSE)</f>
        <v>ミミ</v>
      </c>
      <c r="K9" s="46" t="str">
        <f ca="1">VLOOKUP($I9,OFFSET([2]enemies!$A$1,0,0,COUNTA([2]enemies!$A:$A),MATCH(K$1,[2]enemies!$1:$1,0)-MATCH($I$1,[2]enemies!$1:$1,0)+1),MATCH(K$1,[2]enemies!$1:$1,0)-MATCH($I$1,[2]enemies!$1:$1,0)+1,FALSE)</f>
        <v>yellow</v>
      </c>
      <c r="L9" s="23" t="str">
        <f ca="1">VLOOKUP(I9,[3]characters!$A:$J,10,FALSE)</f>
        <v>Drop1W</v>
      </c>
      <c r="M9" s="46" t="str">
        <f ca="1">VLOOKUP($I9,OFFSET([2]enemies!$A$1,0,0,COUNTA([2]enemies!$A:$A),MATCH(M$1,[2]enemies!$1:$1,0)-MATCH($I$1,[2]enemies!$1:$1,0)+1),MATCH(M$1,[2]enemies!$1:$1,0)-MATCH($I$1,[2]enemies!$1:$1,0)+1,FALSE)</f>
        <v>animal</v>
      </c>
      <c r="N9" s="46">
        <f ca="1">VLOOKUP($I9,OFFSET([2]enemies!$A$1,0,0,COUNTA([2]enemies!$A:$A),MATCH(N$1,[2]enemies!$1:$1,0)-MATCH($I$1,[2]enemies!$1:$1,0)+1),MATCH(N$1,[2]enemies!$1:$1,0)-MATCH($I$1,[2]enemies!$1:$1,0)+1,FALSE)</f>
        <v>15</v>
      </c>
      <c r="O9" s="29">
        <v>21</v>
      </c>
      <c r="P9" s="42">
        <v>1.8</v>
      </c>
      <c r="Q9" s="42">
        <v>0.9</v>
      </c>
      <c r="R9" s="43">
        <v>0</v>
      </c>
      <c r="S9" s="44" t="str">
        <f ca="1">VLOOKUP($T9,OFFSET([4]enemy_skill_sets!$B$1,0,0,COUNTA([4]enemy_skill_sets!$B:$B),MATCH(J$1,[4]enemy_skill_sets!$1:$1,0)-MATCH($T$1,[4]enemy_skill_sets!$1:$1,0)+2),MATCH(J$1,[4]enemy_skill_sets!$1:$1,0)-MATCH($T$1,[4]enemy_skill_sets!$1:$1,0)+2,FALSE)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" s="46">
        <f ca="1">VLOOKUP($I9,OFFSET([2]enemies!$A$1,0,0,COUNTA([2]enemies!$A:$A),MATCH(T$1,[2]enemies!$1:$1,0)-MATCH($I$1,[2]enemies!$1:$1,0)+1),MATCH(T$1,[2]enemies!$1:$1,0)-MATCH($I$1,[2]enemies!$1:$1,0)+1,FALSE)</f>
        <v>0</v>
      </c>
      <c r="U9" s="34">
        <v>0</v>
      </c>
      <c r="V9" s="34">
        <v>100</v>
      </c>
      <c r="W9" s="34">
        <v>0</v>
      </c>
      <c r="X9" s="46">
        <f ca="1">VLOOKUP($I9,OFFSET([2]enemies!$A$1,0,0,COUNTA([2]enemies!$A:$A),MATCH(X$1,[2]enemies!$1:$1,0)-MATCH($I$1,[2]enemies!$1:$1,0)+1),MATCH(X$1,[2]enemies!$1:$1,0)-MATCH($I$1,[2]enemies!$1:$1,0)+1,FALSE)</f>
        <v>2</v>
      </c>
      <c r="Y9" s="28">
        <v>13</v>
      </c>
      <c r="Z9" s="44" t="str">
        <f ca="1">IFERROR(VLOOKUP($Y9,OFFSET([3]characters!$A$1,0,0,COUNTA([3]characters!$A:$A),MATCH(Z$1,[3]characters!$1:$1,0)-MATCH("character_id",[3]characters!$1:$1,0)+1),MATCH(Z$1,[3]characters!$1:$1,0)-MATCH("character_id",[3]characters!$1:$1,0)+1,FALSE),"")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9" s="44">
        <f ca="1">IFERROR(VLOOKUP($Y9,OFFSET([3]characters!$A$1,0,0,COUNTA([3]characters!$A:$A),MATCH(AA$1,[3]characters!$1:$1,0)-MATCH("character_id",[3]characters!$1:$1,0)+1),MATCH(AA$1,[3]characters!$1:$1,0)-MATCH("character_id",[3]characters!$1:$1,0)+1,FALSE),"")</f>
        <v>1</v>
      </c>
      <c r="AB9" s="44" t="str">
        <f ca="1">IFERROR(VLOOKUP($Y9,OFFSET([3]characters!$A$1,0,0,COUNTA([3]characters!$A:$A),MATCH(AB$1,[3]characters!$1:$1,0)-MATCH("character_id",[3]characters!$1:$1,0)+1),MATCH(AB$1,[3]characters!$1:$1,0)-MATCH("character_id",[3]characters!$1:$1,0)+1,FALSE),"")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9" s="28">
        <v>4</v>
      </c>
      <c r="AD9" s="47">
        <f t="shared" ca="1" si="3"/>
        <v>1</v>
      </c>
      <c r="AE9" s="48">
        <v>15</v>
      </c>
      <c r="AF9" s="28">
        <v>0</v>
      </c>
      <c r="AG9" s="35">
        <v>0</v>
      </c>
      <c r="AH9" s="35">
        <v>0</v>
      </c>
      <c r="AI9" s="35">
        <v>0</v>
      </c>
      <c r="AJ9" s="35">
        <v>1</v>
      </c>
    </row>
    <row r="10" spans="1:36" ht="21" customHeight="1" x14ac:dyDescent="0.15">
      <c r="A10" s="17" t="str">
        <f t="shared" ca="1" si="0"/>
        <v>30004_1-2/16&lt;lv21&gt;s3</v>
      </c>
      <c r="B10" s="27">
        <v>30004</v>
      </c>
      <c r="C10" s="30">
        <v>1</v>
      </c>
      <c r="D10" s="16" t="str">
        <f t="shared" ca="1" si="4"/>
        <v>30004_1</v>
      </c>
      <c r="E10" s="44" t="str">
        <f ca="1">VLOOKUP($B10,OFFSET([1]quests!$A$1,0,0,COUNTA([1]quests!$A:$A),MATCH(E$1,[1]quests!$1:$1,0)-MATCH($B$1,[1]quests!$1:$1,0)+1),MATCH(E$1,[1]quests!$1:$1,0)-MATCH($B$1,[1]quests!$1:$1,0)+1,FALSE)</f>
        <v>危険な仲裁者</v>
      </c>
      <c r="F10" s="44" t="str">
        <f ca="1">VLOOKUP($D10,OFFSET([1]stages!$A$1,0,0,COUNTA([1]stages!$A:$A),MATCH(F$1,[1]stages!$2:$2,0)-MATCH($D$1,[1]stages!$2:$2,0)+1),MATCH(F$1,[1]stages!$2:$2,0)-MATCH($D$1,[1]stages!$2:$2,0)+1,FALSE)</f>
        <v xml:space="preserve">【中級】危険な仲裁者 </v>
      </c>
      <c r="G10" s="32">
        <v>2</v>
      </c>
      <c r="H10" s="31" t="s">
        <v>50</v>
      </c>
      <c r="I10" s="30">
        <v>16</v>
      </c>
      <c r="J10" s="46" t="str">
        <f ca="1">VLOOKUP($I10,OFFSET([2]enemies!$A$1,0,0,COUNTA([2]enemies!$A:$A),MATCH(J$1,[2]enemies!$1:$1,0)-MATCH($I$1,[2]enemies!$1:$1,0)+1),MATCH(J$1,[2]enemies!$1:$1,0)-MATCH($I$1,[2]enemies!$1:$1,0)+1,FALSE)</f>
        <v>炎戦少女 アカネ</v>
      </c>
      <c r="K10" s="46" t="str">
        <f ca="1">VLOOKUP($I10,OFFSET([2]enemies!$A$1,0,0,COUNTA([2]enemies!$A:$A),MATCH(K$1,[2]enemies!$1:$1,0)-MATCH($I$1,[2]enemies!$1:$1,0)+1),MATCH(K$1,[2]enemies!$1:$1,0)-MATCH($I$1,[2]enemies!$1:$1,0)+1,FALSE)</f>
        <v>red</v>
      </c>
      <c r="L10" s="23" t="str">
        <f ca="1">VLOOKUP(I10,[3]characters!$A:$J,10,FALSE)</f>
        <v>Drop1W</v>
      </c>
      <c r="M10" s="46" t="str">
        <f ca="1">VLOOKUP($I10,OFFSET([2]enemies!$A$1,0,0,COUNTA([2]enemies!$A:$A),MATCH(M$1,[2]enemies!$1:$1,0)-MATCH($I$1,[2]enemies!$1:$1,0)+1),MATCH(M$1,[2]enemies!$1:$1,0)-MATCH($I$1,[2]enemies!$1:$1,0)+1,FALSE)</f>
        <v>human</v>
      </c>
      <c r="N10" s="46">
        <f ca="1">VLOOKUP($I10,OFFSET([2]enemies!$A$1,0,0,COUNTA([2]enemies!$A:$A),MATCH(N$1,[2]enemies!$1:$1,0)-MATCH($I$1,[2]enemies!$1:$1,0)+1),MATCH(N$1,[2]enemies!$1:$1,0)-MATCH($I$1,[2]enemies!$1:$1,0)+1,FALSE)</f>
        <v>15</v>
      </c>
      <c r="O10" s="29">
        <v>21</v>
      </c>
      <c r="P10" s="42">
        <v>1.8</v>
      </c>
      <c r="Q10" s="42">
        <v>0.9</v>
      </c>
      <c r="R10" s="43">
        <v>0</v>
      </c>
      <c r="S10" s="44" t="str">
        <f ca="1">VLOOKUP($T10,OFFSET([4]enemy_skill_sets!$B$1,0,0,COUNTA([4]enemy_skill_sets!$B:$B),MATCH(J$1,[4]enemy_skill_sets!$1:$1,0)-MATCH($T$1,[4]enemy_skill_sets!$1:$1,0)+2),MATCH(J$1,[4]enemy_skill_sets!$1:$1,0)-MATCH($T$1,[4]enemy_skill_sets!$1:$1,0)+2,FALSE)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" s="46">
        <f ca="1">VLOOKUP($I10,OFFSET([2]enemies!$A$1,0,0,COUNTA([2]enemies!$A:$A),MATCH(T$1,[2]enemies!$1:$1,0)-MATCH($I$1,[2]enemies!$1:$1,0)+1),MATCH(T$1,[2]enemies!$1:$1,0)-MATCH($I$1,[2]enemies!$1:$1,0)+1,FALSE)</f>
        <v>0</v>
      </c>
      <c r="U10" s="34">
        <v>0</v>
      </c>
      <c r="V10" s="34">
        <v>100</v>
      </c>
      <c r="W10" s="34">
        <v>0</v>
      </c>
      <c r="X10" s="46">
        <f ca="1">VLOOKUP($I10,OFFSET([2]enemies!$A$1,0,0,COUNTA([2]enemies!$A:$A),MATCH(X$1,[2]enemies!$1:$1,0)-MATCH($I$1,[2]enemies!$1:$1,0)+1),MATCH(X$1,[2]enemies!$1:$1,0)-MATCH($I$1,[2]enemies!$1:$1,0)+1,FALSE)</f>
        <v>3</v>
      </c>
      <c r="Y10" s="28">
        <v>16</v>
      </c>
      <c r="Z10" s="44" t="str">
        <f ca="1">IFERROR(VLOOKUP($Y10,OFFSET([3]characters!$A$1,0,0,COUNTA([3]characters!$A:$A),MATCH(Z$1,[3]characters!$1:$1,0)-MATCH("character_id",[3]characters!$1:$1,0)+1),MATCH(Z$1,[3]characters!$1:$1,0)-MATCH("character_id",[3]characters!$1:$1,0)+1,FALSE),"")</f>
        <v>炎戦少女 アカネ</v>
      </c>
      <c r="AA10" s="44">
        <f ca="1">IFERROR(VLOOKUP($Y10,OFFSET([3]characters!$A$1,0,0,COUNTA([3]characters!$A:$A),MATCH(AA$1,[3]characters!$1:$1,0)-MATCH("character_id",[3]characters!$1:$1,0)+1),MATCH(AA$1,[3]characters!$1:$1,0)-MATCH("character_id",[3]characters!$1:$1,0)+1,FALSE),"")</f>
        <v>2</v>
      </c>
      <c r="AB10" s="44" t="str">
        <f ca="1">IFERROR(VLOOKUP($Y10,OFFSET([3]characters!$A$1,0,0,COUNTA([3]characters!$A:$A),MATCH(AB$1,[3]characters!$1:$1,0)-MATCH("character_id",[3]characters!$1:$1,0)+1),MATCH(AB$1,[3]characters!$1:$1,0)-MATCH("character_id",[3]characters!$1:$1,0)+1,FALSE),"")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0" s="28">
        <v>4</v>
      </c>
      <c r="AD10" s="47">
        <f t="shared" ca="1" si="3"/>
        <v>2</v>
      </c>
      <c r="AE10" s="48">
        <v>15</v>
      </c>
      <c r="AF10" s="28">
        <v>0</v>
      </c>
      <c r="AG10" s="35">
        <v>0</v>
      </c>
      <c r="AH10" s="35">
        <v>0</v>
      </c>
      <c r="AI10" s="35">
        <v>0</v>
      </c>
      <c r="AJ10" s="35">
        <v>1</v>
      </c>
    </row>
    <row r="11" spans="1:36" ht="21" customHeight="1" x14ac:dyDescent="0.15">
      <c r="A11" s="17" t="str">
        <f t="shared" ca="1" si="0"/>
        <v>30004_1-2/17&lt;lv21&gt;s2</v>
      </c>
      <c r="B11" s="27">
        <v>30004</v>
      </c>
      <c r="C11" s="30">
        <v>1</v>
      </c>
      <c r="D11" s="16" t="str">
        <f t="shared" ca="1" si="4"/>
        <v>30004_1</v>
      </c>
      <c r="E11" s="44" t="str">
        <f ca="1">VLOOKUP($B11,OFFSET([1]quests!$A$1,0,0,COUNTA([1]quests!$A:$A),MATCH(E$1,[1]quests!$1:$1,0)-MATCH($B$1,[1]quests!$1:$1,0)+1),MATCH(E$1,[1]quests!$1:$1,0)-MATCH($B$1,[1]quests!$1:$1,0)+1,FALSE)</f>
        <v>危険な仲裁者</v>
      </c>
      <c r="F11" s="44" t="str">
        <f ca="1">VLOOKUP($D11,OFFSET([1]stages!$A$1,0,0,COUNTA([1]stages!$A:$A),MATCH(F$1,[1]stages!$2:$2,0)-MATCH($D$1,[1]stages!$2:$2,0)+1),MATCH(F$1,[1]stages!$2:$2,0)-MATCH($D$1,[1]stages!$2:$2,0)+1,FALSE)</f>
        <v xml:space="preserve">【中級】危険な仲裁者 </v>
      </c>
      <c r="G11" s="32">
        <v>2</v>
      </c>
      <c r="H11" s="31" t="s">
        <v>50</v>
      </c>
      <c r="I11" s="30">
        <v>17</v>
      </c>
      <c r="J11" s="46" t="str">
        <f ca="1">VLOOKUP($I11,OFFSET([2]enemies!$A$1,0,0,COUNTA([2]enemies!$A:$A),MATCH(J$1,[2]enemies!$1:$1,0)-MATCH($I$1,[2]enemies!$1:$1,0)+1),MATCH(J$1,[2]enemies!$1:$1,0)-MATCH($I$1,[2]enemies!$1:$1,0)+1,FALSE)</f>
        <v>リム</v>
      </c>
      <c r="K11" s="46" t="str">
        <f ca="1">VLOOKUP($I11,OFFSET([2]enemies!$A$1,0,0,COUNTA([2]enemies!$A:$A),MATCH(K$1,[2]enemies!$1:$1,0)-MATCH($I$1,[2]enemies!$1:$1,0)+1),MATCH(K$1,[2]enemies!$1:$1,0)-MATCH($I$1,[2]enemies!$1:$1,0)+1,FALSE)</f>
        <v>blue</v>
      </c>
      <c r="L11" s="23" t="str">
        <f ca="1">VLOOKUP(I11,[3]characters!$A:$J,10,FALSE)</f>
        <v>Drop1W</v>
      </c>
      <c r="M11" s="46" t="str">
        <f ca="1">VLOOKUP($I11,OFFSET([2]enemies!$A$1,0,0,COUNTA([2]enemies!$A:$A),MATCH(M$1,[2]enemies!$1:$1,0)-MATCH($I$1,[2]enemies!$1:$1,0)+1),MATCH(M$1,[2]enemies!$1:$1,0)-MATCH($I$1,[2]enemies!$1:$1,0)+1,FALSE)</f>
        <v>human</v>
      </c>
      <c r="N11" s="46">
        <f ca="1">VLOOKUP($I11,OFFSET([2]enemies!$A$1,0,0,COUNTA([2]enemies!$A:$A),MATCH(N$1,[2]enemies!$1:$1,0)-MATCH($I$1,[2]enemies!$1:$1,0)+1),MATCH(N$1,[2]enemies!$1:$1,0)-MATCH($I$1,[2]enemies!$1:$1,0)+1,FALSE)</f>
        <v>15</v>
      </c>
      <c r="O11" s="29">
        <v>21</v>
      </c>
      <c r="P11" s="42">
        <v>1.8</v>
      </c>
      <c r="Q11" s="42">
        <v>0.9</v>
      </c>
      <c r="R11" s="43">
        <v>0</v>
      </c>
      <c r="S11" s="44" t="str">
        <f ca="1">VLOOKUP($T11,OFFSET([4]enemy_skill_sets!$B$1,0,0,COUNTA([4]enemy_skill_sets!$B:$B),MATCH(J$1,[4]enemy_skill_sets!$1:$1,0)-MATCH($T$1,[4]enemy_skill_sets!$1:$1,0)+2),MATCH(J$1,[4]enemy_skill_sets!$1:$1,0)-MATCH($T$1,[4]enemy_skill_sets!$1:$1,0)+2,FALSE)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" s="46">
        <f ca="1">VLOOKUP($I11,OFFSET([2]enemies!$A$1,0,0,COUNTA([2]enemies!$A:$A),MATCH(T$1,[2]enemies!$1:$1,0)-MATCH($I$1,[2]enemies!$1:$1,0)+1),MATCH(T$1,[2]enemies!$1:$1,0)-MATCH($I$1,[2]enemies!$1:$1,0)+1,FALSE)</f>
        <v>0</v>
      </c>
      <c r="U11" s="34">
        <v>0</v>
      </c>
      <c r="V11" s="34">
        <v>100</v>
      </c>
      <c r="W11" s="34">
        <v>0</v>
      </c>
      <c r="X11" s="46">
        <f ca="1">VLOOKUP($I11,OFFSET([2]enemies!$A$1,0,0,COUNTA([2]enemies!$A:$A),MATCH(X$1,[2]enemies!$1:$1,0)-MATCH($I$1,[2]enemies!$1:$1,0)+1),MATCH(X$1,[2]enemies!$1:$1,0)-MATCH($I$1,[2]enemies!$1:$1,0)+1,FALSE)</f>
        <v>2</v>
      </c>
      <c r="Y11" s="28">
        <v>17</v>
      </c>
      <c r="Z11" s="44" t="str">
        <f ca="1">IFERROR(VLOOKUP($Y11,OFFSET([3]characters!$A$1,0,0,COUNTA([3]characters!$A:$A),MATCH(Z$1,[3]characters!$1:$1,0)-MATCH("character_id",[3]characters!$1:$1,0)+1),MATCH(Z$1,[3]characters!$1:$1,0)-MATCH("character_id",[3]characters!$1:$1,0)+1,FALSE),"")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11" s="44">
        <f ca="1">IFERROR(VLOOKUP($Y11,OFFSET([3]characters!$A$1,0,0,COUNTA([3]characters!$A:$A),MATCH(AA$1,[3]characters!$1:$1,0)-MATCH("character_id",[3]characters!$1:$1,0)+1),MATCH(AA$1,[3]characters!$1:$1,0)-MATCH("character_id",[3]characters!$1:$1,0)+1,FALSE),"")</f>
        <v>1</v>
      </c>
      <c r="AB11" s="44" t="str">
        <f ca="1">IFERROR(VLOOKUP($Y11,OFFSET([3]characters!$A$1,0,0,COUNTA([3]characters!$A:$A),MATCH(AB$1,[3]characters!$1:$1,0)-MATCH("character_id",[3]characters!$1:$1,0)+1),MATCH(AB$1,[3]characters!$1:$1,0)-MATCH("character_id",[3]characters!$1:$1,0)+1,FALSE),"")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1" s="28">
        <v>4</v>
      </c>
      <c r="AD11" s="47">
        <f t="shared" ca="1" si="3"/>
        <v>1</v>
      </c>
      <c r="AE11" s="48">
        <v>15</v>
      </c>
      <c r="AF11" s="28">
        <v>0</v>
      </c>
      <c r="AG11" s="35">
        <v>0</v>
      </c>
      <c r="AH11" s="35">
        <v>0</v>
      </c>
      <c r="AI11" s="35">
        <v>0</v>
      </c>
      <c r="AJ11" s="35">
        <v>1</v>
      </c>
    </row>
    <row r="12" spans="1:36" ht="21" customHeight="1" x14ac:dyDescent="0.15">
      <c r="A12" s="17" t="str">
        <f t="shared" ca="1" si="0"/>
        <v>30004_1-3/9&lt;lv21&gt;s2</v>
      </c>
      <c r="B12" s="27">
        <v>30004</v>
      </c>
      <c r="C12" s="30">
        <v>1</v>
      </c>
      <c r="D12" s="16" t="str">
        <f t="shared" ca="1" si="4"/>
        <v>30004_1</v>
      </c>
      <c r="E12" s="44" t="str">
        <f ca="1">VLOOKUP($B12,OFFSET([1]quests!$A$1,0,0,COUNTA([1]quests!$A:$A),MATCH(E$1,[1]quests!$1:$1,0)-MATCH($B$1,[1]quests!$1:$1,0)+1),MATCH(E$1,[1]quests!$1:$1,0)-MATCH($B$1,[1]quests!$1:$1,0)+1,FALSE)</f>
        <v>危険な仲裁者</v>
      </c>
      <c r="F12" s="44" t="str">
        <f ca="1">VLOOKUP($D12,OFFSET([1]stages!$A$1,0,0,COUNTA([1]stages!$A:$A),MATCH(F$1,[1]stages!$2:$2,0)-MATCH($D$1,[1]stages!$2:$2,0)+1),MATCH(F$1,[1]stages!$2:$2,0)-MATCH($D$1,[1]stages!$2:$2,0)+1,FALSE)</f>
        <v xml:space="preserve">【中級】危険な仲裁者 </v>
      </c>
      <c r="G12" s="32">
        <v>3</v>
      </c>
      <c r="H12" s="31" t="s">
        <v>51</v>
      </c>
      <c r="I12" s="30">
        <v>9</v>
      </c>
      <c r="J12" s="46" t="str">
        <f ca="1">VLOOKUP($I12,OFFSET([2]enemies!$A$1,0,0,COUNTA([2]enemies!$A:$A),MATCH(J$1,[2]enemies!$1:$1,0)-MATCH($I$1,[2]enemies!$1:$1,0)+1),MATCH(J$1,[2]enemies!$1:$1,0)-MATCH($I$1,[2]enemies!$1:$1,0)+1,FALSE)</f>
        <v>ブレット</v>
      </c>
      <c r="K12" s="46" t="str">
        <f ca="1">VLOOKUP($I12,OFFSET([2]enemies!$A$1,0,0,COUNTA([2]enemies!$A:$A),MATCH(K$1,[2]enemies!$1:$1,0)-MATCH($I$1,[2]enemies!$1:$1,0)+1),MATCH(K$1,[2]enemies!$1:$1,0)-MATCH($I$1,[2]enemies!$1:$1,0)+1,FALSE)</f>
        <v>red</v>
      </c>
      <c r="L12" s="23" t="str">
        <f ca="1">VLOOKUP(I12,[3]characters!$A:$J,10,FALSE)</f>
        <v>Drop1W</v>
      </c>
      <c r="M12" s="46" t="str">
        <f ca="1">VLOOKUP($I12,OFFSET([2]enemies!$A$1,0,0,COUNTA([2]enemies!$A:$A),MATCH(M$1,[2]enemies!$1:$1,0)-MATCH($I$1,[2]enemies!$1:$1,0)+1),MATCH(M$1,[2]enemies!$1:$1,0)-MATCH($I$1,[2]enemies!$1:$1,0)+1,FALSE)</f>
        <v>animal</v>
      </c>
      <c r="N12" s="46">
        <f ca="1">VLOOKUP($I12,OFFSET([2]enemies!$A$1,0,0,COUNTA([2]enemies!$A:$A),MATCH(N$1,[2]enemies!$1:$1,0)-MATCH($I$1,[2]enemies!$1:$1,0)+1),MATCH(N$1,[2]enemies!$1:$1,0)-MATCH($I$1,[2]enemies!$1:$1,0)+1,FALSE)</f>
        <v>15</v>
      </c>
      <c r="O12" s="29">
        <v>21</v>
      </c>
      <c r="P12" s="42">
        <v>1.8</v>
      </c>
      <c r="Q12" s="42">
        <v>0.9</v>
      </c>
      <c r="R12" s="43">
        <v>0</v>
      </c>
      <c r="S12" s="44" t="str">
        <f ca="1">VLOOKUP($T12,OFFSET([4]enemy_skill_sets!$B$1,0,0,COUNTA([4]enemy_skill_sets!$B:$B),MATCH(J$1,[4]enemy_skill_sets!$1:$1,0)-MATCH($T$1,[4]enemy_skill_sets!$1:$1,0)+2),MATCH(J$1,[4]enemy_skill_sets!$1:$1,0)-MATCH($T$1,[4]enemy_skill_sets!$1:$1,0)+2,FALSE)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" s="46">
        <f ca="1">VLOOKUP($I12,OFFSET([2]enemies!$A$1,0,0,COUNTA([2]enemies!$A:$A),MATCH(T$1,[2]enemies!$1:$1,0)-MATCH($I$1,[2]enemies!$1:$1,0)+1),MATCH(T$1,[2]enemies!$1:$1,0)-MATCH($I$1,[2]enemies!$1:$1,0)+1,FALSE)</f>
        <v>0</v>
      </c>
      <c r="U12" s="34">
        <v>0</v>
      </c>
      <c r="V12" s="34">
        <v>100</v>
      </c>
      <c r="W12" s="34">
        <v>0</v>
      </c>
      <c r="X12" s="46">
        <f ca="1">VLOOKUP($I12,OFFSET([2]enemies!$A$1,0,0,COUNTA([2]enemies!$A:$A),MATCH(X$1,[2]enemies!$1:$1,0)-MATCH($I$1,[2]enemies!$1:$1,0)+1),MATCH(X$1,[2]enemies!$1:$1,0)-MATCH($I$1,[2]enemies!$1:$1,0)+1,FALSE)</f>
        <v>2</v>
      </c>
      <c r="Y12" s="28">
        <v>9</v>
      </c>
      <c r="Z12" s="44" t="str">
        <f ca="1">IFERROR(VLOOKUP($Y12,OFFSET([3]characters!$A$1,0,0,COUNTA([3]characters!$A:$A),MATCH(Z$1,[3]characters!$1:$1,0)-MATCH("character_id",[3]characters!$1:$1,0)+1),MATCH(Z$1,[3]characters!$1:$1,0)-MATCH("character_id",[3]characters!$1:$1,0)+1,FALSE),"")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12" s="44">
        <f ca="1">IFERROR(VLOOKUP($Y12,OFFSET([3]characters!$A$1,0,0,COUNTA([3]characters!$A:$A),MATCH(AA$1,[3]characters!$1:$1,0)-MATCH("character_id",[3]characters!$1:$1,0)+1),MATCH(AA$1,[3]characters!$1:$1,0)-MATCH("character_id",[3]characters!$1:$1,0)+1,FALSE),"")</f>
        <v>1</v>
      </c>
      <c r="AB12" s="44" t="str">
        <f ca="1">IFERROR(VLOOKUP($Y12,OFFSET([3]characters!$A$1,0,0,COUNTA([3]characters!$A:$A),MATCH(AB$1,[3]characters!$1:$1,0)-MATCH("character_id",[3]characters!$1:$1,0)+1),MATCH(AB$1,[3]characters!$1:$1,0)-MATCH("character_id",[3]characters!$1:$1,0)+1,FALSE),"")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2" s="28">
        <v>4</v>
      </c>
      <c r="AD12" s="47">
        <f t="shared" ca="1" si="3"/>
        <v>1</v>
      </c>
      <c r="AE12" s="48">
        <v>15</v>
      </c>
      <c r="AF12" s="28">
        <v>0</v>
      </c>
      <c r="AG12" s="35">
        <v>0</v>
      </c>
      <c r="AH12" s="35">
        <v>0</v>
      </c>
      <c r="AI12" s="35">
        <v>0</v>
      </c>
      <c r="AJ12" s="35">
        <v>1</v>
      </c>
    </row>
    <row r="13" spans="1:36" ht="21" customHeight="1" x14ac:dyDescent="0.15">
      <c r="A13" s="17" t="str">
        <f t="shared" ca="1" si="0"/>
        <v>30004_1-3/11&lt;lv21&gt;s3</v>
      </c>
      <c r="B13" s="27">
        <v>30004</v>
      </c>
      <c r="C13" s="30">
        <v>1</v>
      </c>
      <c r="D13" s="16" t="str">
        <f t="shared" ca="1" si="4"/>
        <v>30004_1</v>
      </c>
      <c r="E13" s="44" t="str">
        <f ca="1">VLOOKUP($B13,OFFSET([1]quests!$A$1,0,0,COUNTA([1]quests!$A:$A),MATCH(E$1,[1]quests!$1:$1,0)-MATCH($B$1,[1]quests!$1:$1,0)+1),MATCH(E$1,[1]quests!$1:$1,0)-MATCH($B$1,[1]quests!$1:$1,0)+1,FALSE)</f>
        <v>危険な仲裁者</v>
      </c>
      <c r="F13" s="44" t="str">
        <f ca="1">VLOOKUP($D13,OFFSET([1]stages!$A$1,0,0,COUNTA([1]stages!$A:$A),MATCH(F$1,[1]stages!$2:$2,0)-MATCH($D$1,[1]stages!$2:$2,0)+1),MATCH(F$1,[1]stages!$2:$2,0)-MATCH($D$1,[1]stages!$2:$2,0)+1,FALSE)</f>
        <v xml:space="preserve">【中級】危険な仲裁者 </v>
      </c>
      <c r="G13" s="32">
        <v>3</v>
      </c>
      <c r="H13" s="31" t="s">
        <v>51</v>
      </c>
      <c r="I13" s="30">
        <v>11</v>
      </c>
      <c r="J13" s="46" t="str">
        <f ca="1">VLOOKUP($I13,OFFSET([2]enemies!$A$1,0,0,COUNTA([2]enemies!$A:$A),MATCH(J$1,[2]enemies!$1:$1,0)-MATCH($I$1,[2]enemies!$1:$1,0)+1),MATCH(J$1,[2]enemies!$1:$1,0)-MATCH($I$1,[2]enemies!$1:$1,0)+1,FALSE)</f>
        <v>マグリット</v>
      </c>
      <c r="K13" s="46" t="str">
        <f ca="1">VLOOKUP($I13,OFFSET([2]enemies!$A$1,0,0,COUNTA([2]enemies!$A:$A),MATCH(K$1,[2]enemies!$1:$1,0)-MATCH($I$1,[2]enemies!$1:$1,0)+1),MATCH(K$1,[2]enemies!$1:$1,0)-MATCH($I$1,[2]enemies!$1:$1,0)+1,FALSE)</f>
        <v>green</v>
      </c>
      <c r="L13" s="23" t="str">
        <f ca="1">VLOOKUP(I13,[3]characters!$A:$J,10,FALSE)</f>
        <v>Drop1W</v>
      </c>
      <c r="M13" s="46" t="str">
        <f ca="1">VLOOKUP($I13,OFFSET([2]enemies!$A$1,0,0,COUNTA([2]enemies!$A:$A),MATCH(M$1,[2]enemies!$1:$1,0)-MATCH($I$1,[2]enemies!$1:$1,0)+1),MATCH(M$1,[2]enemies!$1:$1,0)-MATCH($I$1,[2]enemies!$1:$1,0)+1,FALSE)</f>
        <v>animal</v>
      </c>
      <c r="N13" s="46">
        <f ca="1">VLOOKUP($I13,OFFSET([2]enemies!$A$1,0,0,COUNTA([2]enemies!$A:$A),MATCH(N$1,[2]enemies!$1:$1,0)-MATCH($I$1,[2]enemies!$1:$1,0)+1),MATCH(N$1,[2]enemies!$1:$1,0)-MATCH($I$1,[2]enemies!$1:$1,0)+1,FALSE)</f>
        <v>15</v>
      </c>
      <c r="O13" s="29">
        <v>21</v>
      </c>
      <c r="P13" s="42">
        <v>1.8</v>
      </c>
      <c r="Q13" s="42">
        <v>0.9</v>
      </c>
      <c r="R13" s="43">
        <v>0</v>
      </c>
      <c r="S13" s="44" t="str">
        <f ca="1">VLOOKUP($T13,OFFSET([4]enemy_skill_sets!$B$1,0,0,COUNTA([4]enemy_skill_sets!$B:$B),MATCH(J$1,[4]enemy_skill_sets!$1:$1,0)-MATCH($T$1,[4]enemy_skill_sets!$1:$1,0)+2),MATCH(J$1,[4]enemy_skill_sets!$1:$1,0)-MATCH($T$1,[4]enemy_skill_sets!$1:$1,0)+2,FALSE)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" s="46">
        <f ca="1">VLOOKUP($I13,OFFSET([2]enemies!$A$1,0,0,COUNTA([2]enemies!$A:$A),MATCH(T$1,[2]enemies!$1:$1,0)-MATCH($I$1,[2]enemies!$1:$1,0)+1),MATCH(T$1,[2]enemies!$1:$1,0)-MATCH($I$1,[2]enemies!$1:$1,0)+1,FALSE)</f>
        <v>0</v>
      </c>
      <c r="U13" s="34">
        <v>0</v>
      </c>
      <c r="V13" s="34">
        <v>100</v>
      </c>
      <c r="W13" s="34">
        <v>0</v>
      </c>
      <c r="X13" s="46">
        <f ca="1">VLOOKUP($I13,OFFSET([2]enemies!$A$1,0,0,COUNTA([2]enemies!$A:$A),MATCH(X$1,[2]enemies!$1:$1,0)-MATCH($I$1,[2]enemies!$1:$1,0)+1),MATCH(X$1,[2]enemies!$1:$1,0)-MATCH($I$1,[2]enemies!$1:$1,0)+1,FALSE)</f>
        <v>3</v>
      </c>
      <c r="Y13" s="28">
        <v>11</v>
      </c>
      <c r="Z13" s="44" t="str">
        <f ca="1">IFERROR(VLOOKUP($Y13,OFFSET([3]characters!$A$1,0,0,COUNTA([3]characters!$A:$A),MATCH(Z$1,[3]characters!$1:$1,0)-MATCH("character_id",[3]characters!$1:$1,0)+1),MATCH(Z$1,[3]characters!$1:$1,0)-MATCH("character_id",[3]characters!$1:$1,0)+1,FALSE),"")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13" s="44">
        <f ca="1">IFERROR(VLOOKUP($Y13,OFFSET([3]characters!$A$1,0,0,COUNTA([3]characters!$A:$A),MATCH(AA$1,[3]characters!$1:$1,0)-MATCH("character_id",[3]characters!$1:$1,0)+1),MATCH(AA$1,[3]characters!$1:$1,0)-MATCH("character_id",[3]characters!$1:$1,0)+1,FALSE),"")</f>
        <v>1</v>
      </c>
      <c r="AB13" s="44" t="str">
        <f ca="1">IFERROR(VLOOKUP($Y13,OFFSET([3]characters!$A$1,0,0,COUNTA([3]characters!$A:$A),MATCH(AB$1,[3]characters!$1:$1,0)-MATCH("character_id",[3]characters!$1:$1,0)+1),MATCH(AB$1,[3]characters!$1:$1,0)-MATCH("character_id",[3]characters!$1:$1,0)+1,FALSE),"")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3" s="28">
        <v>4</v>
      </c>
      <c r="AD13" s="47">
        <f t="shared" ca="1" si="3"/>
        <v>1</v>
      </c>
      <c r="AE13" s="48">
        <v>15</v>
      </c>
      <c r="AF13" s="28">
        <v>0</v>
      </c>
      <c r="AG13" s="35">
        <v>0</v>
      </c>
      <c r="AH13" s="35">
        <v>0</v>
      </c>
      <c r="AI13" s="35">
        <v>0</v>
      </c>
      <c r="AJ13" s="35">
        <v>1</v>
      </c>
    </row>
    <row r="14" spans="1:36" ht="21" customHeight="1" x14ac:dyDescent="0.15">
      <c r="A14" s="17" t="str">
        <f t="shared" ca="1" si="0"/>
        <v>30004_1-3/13&lt;lv21&gt;s2</v>
      </c>
      <c r="B14" s="27">
        <v>30004</v>
      </c>
      <c r="C14" s="30">
        <v>1</v>
      </c>
      <c r="D14" s="16" t="str">
        <f t="shared" ca="1" si="4"/>
        <v>30004_1</v>
      </c>
      <c r="E14" s="44" t="str">
        <f ca="1">VLOOKUP($B14,OFFSET([1]quests!$A$1,0,0,COUNTA([1]quests!$A:$A),MATCH(E$1,[1]quests!$1:$1,0)-MATCH($B$1,[1]quests!$1:$1,0)+1),MATCH(E$1,[1]quests!$1:$1,0)-MATCH($B$1,[1]quests!$1:$1,0)+1,FALSE)</f>
        <v>危険な仲裁者</v>
      </c>
      <c r="F14" s="44" t="str">
        <f ca="1">VLOOKUP($D14,OFFSET([1]stages!$A$1,0,0,COUNTA([1]stages!$A:$A),MATCH(F$1,[1]stages!$2:$2,0)-MATCH($D$1,[1]stages!$2:$2,0)+1),MATCH(F$1,[1]stages!$2:$2,0)-MATCH($D$1,[1]stages!$2:$2,0)+1,FALSE)</f>
        <v xml:space="preserve">【中級】危険な仲裁者 </v>
      </c>
      <c r="G14" s="32">
        <v>3</v>
      </c>
      <c r="H14" s="31" t="s">
        <v>51</v>
      </c>
      <c r="I14" s="30">
        <v>13</v>
      </c>
      <c r="J14" s="46" t="str">
        <f ca="1">VLOOKUP($I14,OFFSET([2]enemies!$A$1,0,0,COUNTA([2]enemies!$A:$A),MATCH(J$1,[2]enemies!$1:$1,0)-MATCH($I$1,[2]enemies!$1:$1,0)+1),MATCH(J$1,[2]enemies!$1:$1,0)-MATCH($I$1,[2]enemies!$1:$1,0)+1,FALSE)</f>
        <v>ミミ</v>
      </c>
      <c r="K14" s="46" t="str">
        <f ca="1">VLOOKUP($I14,OFFSET([2]enemies!$A$1,0,0,COUNTA([2]enemies!$A:$A),MATCH(K$1,[2]enemies!$1:$1,0)-MATCH($I$1,[2]enemies!$1:$1,0)+1),MATCH(K$1,[2]enemies!$1:$1,0)-MATCH($I$1,[2]enemies!$1:$1,0)+1,FALSE)</f>
        <v>yellow</v>
      </c>
      <c r="L14" s="23" t="str">
        <f ca="1">VLOOKUP(I14,[3]characters!$A:$J,10,FALSE)</f>
        <v>Drop1W</v>
      </c>
      <c r="M14" s="46" t="str">
        <f ca="1">VLOOKUP($I14,OFFSET([2]enemies!$A$1,0,0,COUNTA([2]enemies!$A:$A),MATCH(M$1,[2]enemies!$1:$1,0)-MATCH($I$1,[2]enemies!$1:$1,0)+1),MATCH(M$1,[2]enemies!$1:$1,0)-MATCH($I$1,[2]enemies!$1:$1,0)+1,FALSE)</f>
        <v>animal</v>
      </c>
      <c r="N14" s="46">
        <f ca="1">VLOOKUP($I14,OFFSET([2]enemies!$A$1,0,0,COUNTA([2]enemies!$A:$A),MATCH(N$1,[2]enemies!$1:$1,0)-MATCH($I$1,[2]enemies!$1:$1,0)+1),MATCH(N$1,[2]enemies!$1:$1,0)-MATCH($I$1,[2]enemies!$1:$1,0)+1,FALSE)</f>
        <v>15</v>
      </c>
      <c r="O14" s="29">
        <v>21</v>
      </c>
      <c r="P14" s="42">
        <v>1.8</v>
      </c>
      <c r="Q14" s="42">
        <v>0.9</v>
      </c>
      <c r="R14" s="43">
        <v>0</v>
      </c>
      <c r="S14" s="44" t="str">
        <f ca="1">VLOOKUP($T14,OFFSET([4]enemy_skill_sets!$B$1,0,0,COUNTA([4]enemy_skill_sets!$B:$B),MATCH(J$1,[4]enemy_skill_sets!$1:$1,0)-MATCH($T$1,[4]enemy_skill_sets!$1:$1,0)+2),MATCH(J$1,[4]enemy_skill_sets!$1:$1,0)-MATCH($T$1,[4]enemy_skill_sets!$1:$1,0)+2,FALSE)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" s="46">
        <f ca="1">VLOOKUP($I14,OFFSET([2]enemies!$A$1,0,0,COUNTA([2]enemies!$A:$A),MATCH(T$1,[2]enemies!$1:$1,0)-MATCH($I$1,[2]enemies!$1:$1,0)+1),MATCH(T$1,[2]enemies!$1:$1,0)-MATCH($I$1,[2]enemies!$1:$1,0)+1,FALSE)</f>
        <v>0</v>
      </c>
      <c r="U14" s="34">
        <v>0</v>
      </c>
      <c r="V14" s="34">
        <v>100</v>
      </c>
      <c r="W14" s="34">
        <v>0</v>
      </c>
      <c r="X14" s="46">
        <f ca="1">VLOOKUP($I14,OFFSET([2]enemies!$A$1,0,0,COUNTA([2]enemies!$A:$A),MATCH(X$1,[2]enemies!$1:$1,0)-MATCH($I$1,[2]enemies!$1:$1,0)+1),MATCH(X$1,[2]enemies!$1:$1,0)-MATCH($I$1,[2]enemies!$1:$1,0)+1,FALSE)</f>
        <v>2</v>
      </c>
      <c r="Y14" s="28">
        <v>13</v>
      </c>
      <c r="Z14" s="44" t="str">
        <f ca="1">IFERROR(VLOOKUP($Y14,OFFSET([3]characters!$A$1,0,0,COUNTA([3]characters!$A:$A),MATCH(Z$1,[3]characters!$1:$1,0)-MATCH("character_id",[3]characters!$1:$1,0)+1),MATCH(Z$1,[3]characters!$1:$1,0)-MATCH("character_id",[3]characters!$1:$1,0)+1,FALSE),"")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14" s="44">
        <f ca="1">IFERROR(VLOOKUP($Y14,OFFSET([3]characters!$A$1,0,0,COUNTA([3]characters!$A:$A),MATCH(AA$1,[3]characters!$1:$1,0)-MATCH("character_id",[3]characters!$1:$1,0)+1),MATCH(AA$1,[3]characters!$1:$1,0)-MATCH("character_id",[3]characters!$1:$1,0)+1,FALSE),"")</f>
        <v>1</v>
      </c>
      <c r="AB14" s="44" t="str">
        <f ca="1">IFERROR(VLOOKUP($Y14,OFFSET([3]characters!$A$1,0,0,COUNTA([3]characters!$A:$A),MATCH(AB$1,[3]characters!$1:$1,0)-MATCH("character_id",[3]characters!$1:$1,0)+1),MATCH(AB$1,[3]characters!$1:$1,0)-MATCH("character_id",[3]characters!$1:$1,0)+1,FALSE),"")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4" s="28">
        <v>4</v>
      </c>
      <c r="AD14" s="47">
        <f t="shared" ca="1" si="3"/>
        <v>1</v>
      </c>
      <c r="AE14" s="48">
        <v>15</v>
      </c>
      <c r="AF14" s="28">
        <v>0</v>
      </c>
      <c r="AG14" s="35">
        <v>0</v>
      </c>
      <c r="AH14" s="35">
        <v>0</v>
      </c>
      <c r="AI14" s="35">
        <v>0</v>
      </c>
      <c r="AJ14" s="35">
        <v>1</v>
      </c>
    </row>
    <row r="15" spans="1:36" ht="21" customHeight="1" x14ac:dyDescent="0.15">
      <c r="A15" s="17" t="str">
        <f t="shared" ca="1" si="0"/>
        <v>30004_1-3/16&lt;lv21&gt;s3</v>
      </c>
      <c r="B15" s="27">
        <v>30004</v>
      </c>
      <c r="C15" s="30">
        <v>1</v>
      </c>
      <c r="D15" s="16" t="str">
        <f t="shared" ca="1" si="4"/>
        <v>30004_1</v>
      </c>
      <c r="E15" s="44" t="str">
        <f ca="1">VLOOKUP($B15,OFFSET([1]quests!$A$1,0,0,COUNTA([1]quests!$A:$A),MATCH(E$1,[1]quests!$1:$1,0)-MATCH($B$1,[1]quests!$1:$1,0)+1),MATCH(E$1,[1]quests!$1:$1,0)-MATCH($B$1,[1]quests!$1:$1,0)+1,FALSE)</f>
        <v>危険な仲裁者</v>
      </c>
      <c r="F15" s="44" t="str">
        <f ca="1">VLOOKUP($D15,OFFSET([1]stages!$A$1,0,0,COUNTA([1]stages!$A:$A),MATCH(F$1,[1]stages!$2:$2,0)-MATCH($D$1,[1]stages!$2:$2,0)+1),MATCH(F$1,[1]stages!$2:$2,0)-MATCH($D$1,[1]stages!$2:$2,0)+1,FALSE)</f>
        <v xml:space="preserve">【中級】危険な仲裁者 </v>
      </c>
      <c r="G15" s="32">
        <v>3</v>
      </c>
      <c r="H15" s="31" t="s">
        <v>51</v>
      </c>
      <c r="I15" s="30">
        <v>16</v>
      </c>
      <c r="J15" s="46" t="str">
        <f ca="1">VLOOKUP($I15,OFFSET([2]enemies!$A$1,0,0,COUNTA([2]enemies!$A:$A),MATCH(J$1,[2]enemies!$1:$1,0)-MATCH($I$1,[2]enemies!$1:$1,0)+1),MATCH(J$1,[2]enemies!$1:$1,0)-MATCH($I$1,[2]enemies!$1:$1,0)+1,FALSE)</f>
        <v>炎戦少女 アカネ</v>
      </c>
      <c r="K15" s="46" t="str">
        <f ca="1">VLOOKUP($I15,OFFSET([2]enemies!$A$1,0,0,COUNTA([2]enemies!$A:$A),MATCH(K$1,[2]enemies!$1:$1,0)-MATCH($I$1,[2]enemies!$1:$1,0)+1),MATCH(K$1,[2]enemies!$1:$1,0)-MATCH($I$1,[2]enemies!$1:$1,0)+1,FALSE)</f>
        <v>red</v>
      </c>
      <c r="L15" s="23" t="str">
        <f ca="1">VLOOKUP(I15,[3]characters!$A:$J,10,FALSE)</f>
        <v>Drop1W</v>
      </c>
      <c r="M15" s="46" t="str">
        <f ca="1">VLOOKUP($I15,OFFSET([2]enemies!$A$1,0,0,COUNTA([2]enemies!$A:$A),MATCH(M$1,[2]enemies!$1:$1,0)-MATCH($I$1,[2]enemies!$1:$1,0)+1),MATCH(M$1,[2]enemies!$1:$1,0)-MATCH($I$1,[2]enemies!$1:$1,0)+1,FALSE)</f>
        <v>human</v>
      </c>
      <c r="N15" s="46">
        <f ca="1">VLOOKUP($I15,OFFSET([2]enemies!$A$1,0,0,COUNTA([2]enemies!$A:$A),MATCH(N$1,[2]enemies!$1:$1,0)-MATCH($I$1,[2]enemies!$1:$1,0)+1),MATCH(N$1,[2]enemies!$1:$1,0)-MATCH($I$1,[2]enemies!$1:$1,0)+1,FALSE)</f>
        <v>15</v>
      </c>
      <c r="O15" s="29">
        <v>21</v>
      </c>
      <c r="P15" s="42">
        <v>1.8</v>
      </c>
      <c r="Q15" s="42">
        <v>0.9</v>
      </c>
      <c r="R15" s="43">
        <v>0</v>
      </c>
      <c r="S15" s="44" t="str">
        <f ca="1">VLOOKUP($T15,OFFSET([4]enemy_skill_sets!$B$1,0,0,COUNTA([4]enemy_skill_sets!$B:$B),MATCH(J$1,[4]enemy_skill_sets!$1:$1,0)-MATCH($T$1,[4]enemy_skill_sets!$1:$1,0)+2),MATCH(J$1,[4]enemy_skill_sets!$1:$1,0)-MATCH($T$1,[4]enemy_skill_sets!$1:$1,0)+2,FALSE)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" s="46">
        <f ca="1">VLOOKUP($I15,OFFSET([2]enemies!$A$1,0,0,COUNTA([2]enemies!$A:$A),MATCH(T$1,[2]enemies!$1:$1,0)-MATCH($I$1,[2]enemies!$1:$1,0)+1),MATCH(T$1,[2]enemies!$1:$1,0)-MATCH($I$1,[2]enemies!$1:$1,0)+1,FALSE)</f>
        <v>0</v>
      </c>
      <c r="U15" s="34">
        <v>0</v>
      </c>
      <c r="V15" s="34">
        <v>100</v>
      </c>
      <c r="W15" s="34">
        <v>0</v>
      </c>
      <c r="X15" s="46">
        <f ca="1">VLOOKUP($I15,OFFSET([2]enemies!$A$1,0,0,COUNTA([2]enemies!$A:$A),MATCH(X$1,[2]enemies!$1:$1,0)-MATCH($I$1,[2]enemies!$1:$1,0)+1),MATCH(X$1,[2]enemies!$1:$1,0)-MATCH($I$1,[2]enemies!$1:$1,0)+1,FALSE)</f>
        <v>3</v>
      </c>
      <c r="Y15" s="28">
        <v>16</v>
      </c>
      <c r="Z15" s="44" t="str">
        <f ca="1">IFERROR(VLOOKUP($Y15,OFFSET([3]characters!$A$1,0,0,COUNTA([3]characters!$A:$A),MATCH(Z$1,[3]characters!$1:$1,0)-MATCH("character_id",[3]characters!$1:$1,0)+1),MATCH(Z$1,[3]characters!$1:$1,0)-MATCH("character_id",[3]characters!$1:$1,0)+1,FALSE),"")</f>
        <v>炎戦少女 アカネ</v>
      </c>
      <c r="AA15" s="44">
        <f ca="1">IFERROR(VLOOKUP($Y15,OFFSET([3]characters!$A$1,0,0,COUNTA([3]characters!$A:$A),MATCH(AA$1,[3]characters!$1:$1,0)-MATCH("character_id",[3]characters!$1:$1,0)+1),MATCH(AA$1,[3]characters!$1:$1,0)-MATCH("character_id",[3]characters!$1:$1,0)+1,FALSE),"")</f>
        <v>2</v>
      </c>
      <c r="AB15" s="44" t="str">
        <f ca="1">IFERROR(VLOOKUP($Y15,OFFSET([3]characters!$A$1,0,0,COUNTA([3]characters!$A:$A),MATCH(AB$1,[3]characters!$1:$1,0)-MATCH("character_id",[3]characters!$1:$1,0)+1),MATCH(AB$1,[3]characters!$1:$1,0)-MATCH("character_id",[3]characters!$1:$1,0)+1,FALSE),"")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5" s="28">
        <v>4</v>
      </c>
      <c r="AD15" s="47">
        <f t="shared" ca="1" si="3"/>
        <v>2</v>
      </c>
      <c r="AE15" s="48">
        <v>15</v>
      </c>
      <c r="AF15" s="28">
        <v>0</v>
      </c>
      <c r="AG15" s="35">
        <v>0</v>
      </c>
      <c r="AH15" s="35">
        <v>0</v>
      </c>
      <c r="AI15" s="35">
        <v>0</v>
      </c>
      <c r="AJ15" s="35">
        <v>1</v>
      </c>
    </row>
    <row r="16" spans="1:36" ht="21" customHeight="1" x14ac:dyDescent="0.15">
      <c r="A16" s="17" t="str">
        <f t="shared" ca="1" si="0"/>
        <v>30004_1-3/17&lt;lv21&gt;s2</v>
      </c>
      <c r="B16" s="27">
        <v>30004</v>
      </c>
      <c r="C16" s="30">
        <v>1</v>
      </c>
      <c r="D16" s="16" t="str">
        <f t="shared" ca="1" si="4"/>
        <v>30004_1</v>
      </c>
      <c r="E16" s="44" t="str">
        <f ca="1">VLOOKUP($B16,OFFSET([1]quests!$A$1,0,0,COUNTA([1]quests!$A:$A),MATCH(E$1,[1]quests!$1:$1,0)-MATCH($B$1,[1]quests!$1:$1,0)+1),MATCH(E$1,[1]quests!$1:$1,0)-MATCH($B$1,[1]quests!$1:$1,0)+1,FALSE)</f>
        <v>危険な仲裁者</v>
      </c>
      <c r="F16" s="44" t="str">
        <f ca="1">VLOOKUP($D16,OFFSET([1]stages!$A$1,0,0,COUNTA([1]stages!$A:$A),MATCH(F$1,[1]stages!$2:$2,0)-MATCH($D$1,[1]stages!$2:$2,0)+1),MATCH(F$1,[1]stages!$2:$2,0)-MATCH($D$1,[1]stages!$2:$2,0)+1,FALSE)</f>
        <v xml:space="preserve">【中級】危険な仲裁者 </v>
      </c>
      <c r="G16" s="32">
        <v>3</v>
      </c>
      <c r="H16" s="31" t="s">
        <v>51</v>
      </c>
      <c r="I16" s="30">
        <v>17</v>
      </c>
      <c r="J16" s="46" t="str">
        <f ca="1">VLOOKUP($I16,OFFSET([2]enemies!$A$1,0,0,COUNTA([2]enemies!$A:$A),MATCH(J$1,[2]enemies!$1:$1,0)-MATCH($I$1,[2]enemies!$1:$1,0)+1),MATCH(J$1,[2]enemies!$1:$1,0)-MATCH($I$1,[2]enemies!$1:$1,0)+1,FALSE)</f>
        <v>リム</v>
      </c>
      <c r="K16" s="46" t="str">
        <f ca="1">VLOOKUP($I16,OFFSET([2]enemies!$A$1,0,0,COUNTA([2]enemies!$A:$A),MATCH(K$1,[2]enemies!$1:$1,0)-MATCH($I$1,[2]enemies!$1:$1,0)+1),MATCH(K$1,[2]enemies!$1:$1,0)-MATCH($I$1,[2]enemies!$1:$1,0)+1,FALSE)</f>
        <v>blue</v>
      </c>
      <c r="L16" s="23" t="str">
        <f ca="1">VLOOKUP(I16,[3]characters!$A:$J,10,FALSE)</f>
        <v>Drop1W</v>
      </c>
      <c r="M16" s="46" t="str">
        <f ca="1">VLOOKUP($I16,OFFSET([2]enemies!$A$1,0,0,COUNTA([2]enemies!$A:$A),MATCH(M$1,[2]enemies!$1:$1,0)-MATCH($I$1,[2]enemies!$1:$1,0)+1),MATCH(M$1,[2]enemies!$1:$1,0)-MATCH($I$1,[2]enemies!$1:$1,0)+1,FALSE)</f>
        <v>human</v>
      </c>
      <c r="N16" s="46">
        <f ca="1">VLOOKUP($I16,OFFSET([2]enemies!$A$1,0,0,COUNTA([2]enemies!$A:$A),MATCH(N$1,[2]enemies!$1:$1,0)-MATCH($I$1,[2]enemies!$1:$1,0)+1),MATCH(N$1,[2]enemies!$1:$1,0)-MATCH($I$1,[2]enemies!$1:$1,0)+1,FALSE)</f>
        <v>15</v>
      </c>
      <c r="O16" s="29">
        <v>21</v>
      </c>
      <c r="P16" s="42">
        <v>1.8</v>
      </c>
      <c r="Q16" s="42">
        <v>0.9</v>
      </c>
      <c r="R16" s="43">
        <v>0</v>
      </c>
      <c r="S16" s="44" t="str">
        <f ca="1">VLOOKUP($T16,OFFSET([4]enemy_skill_sets!$B$1,0,0,COUNTA([4]enemy_skill_sets!$B:$B),MATCH(J$1,[4]enemy_skill_sets!$1:$1,0)-MATCH($T$1,[4]enemy_skill_sets!$1:$1,0)+2),MATCH(J$1,[4]enemy_skill_sets!$1:$1,0)-MATCH($T$1,[4]enemy_skill_sets!$1:$1,0)+2,FALSE)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" s="46">
        <f ca="1">VLOOKUP($I16,OFFSET([2]enemies!$A$1,0,0,COUNTA([2]enemies!$A:$A),MATCH(T$1,[2]enemies!$1:$1,0)-MATCH($I$1,[2]enemies!$1:$1,0)+1),MATCH(T$1,[2]enemies!$1:$1,0)-MATCH($I$1,[2]enemies!$1:$1,0)+1,FALSE)</f>
        <v>0</v>
      </c>
      <c r="U16" s="34">
        <v>0</v>
      </c>
      <c r="V16" s="34">
        <v>100</v>
      </c>
      <c r="W16" s="34">
        <v>0</v>
      </c>
      <c r="X16" s="46">
        <f ca="1">VLOOKUP($I16,OFFSET([2]enemies!$A$1,0,0,COUNTA([2]enemies!$A:$A),MATCH(X$1,[2]enemies!$1:$1,0)-MATCH($I$1,[2]enemies!$1:$1,0)+1),MATCH(X$1,[2]enemies!$1:$1,0)-MATCH($I$1,[2]enemies!$1:$1,0)+1,FALSE)</f>
        <v>2</v>
      </c>
      <c r="Y16" s="28">
        <v>17</v>
      </c>
      <c r="Z16" s="44" t="str">
        <f ca="1">IFERROR(VLOOKUP($Y16,OFFSET([3]characters!$A$1,0,0,COUNTA([3]characters!$A:$A),MATCH(Z$1,[3]characters!$1:$1,0)-MATCH("character_id",[3]characters!$1:$1,0)+1),MATCH(Z$1,[3]characters!$1:$1,0)-MATCH("character_id",[3]characters!$1:$1,0)+1,FALSE),"")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16" s="44">
        <f ca="1">IFERROR(VLOOKUP($Y16,OFFSET([3]characters!$A$1,0,0,COUNTA([3]characters!$A:$A),MATCH(AA$1,[3]characters!$1:$1,0)-MATCH("character_id",[3]characters!$1:$1,0)+1),MATCH(AA$1,[3]characters!$1:$1,0)-MATCH("character_id",[3]characters!$1:$1,0)+1,FALSE),"")</f>
        <v>1</v>
      </c>
      <c r="AB16" s="44" t="str">
        <f ca="1">IFERROR(VLOOKUP($Y16,OFFSET([3]characters!$A$1,0,0,COUNTA([3]characters!$A:$A),MATCH(AB$1,[3]characters!$1:$1,0)-MATCH("character_id",[3]characters!$1:$1,0)+1),MATCH(AB$1,[3]characters!$1:$1,0)-MATCH("character_id",[3]characters!$1:$1,0)+1,FALSE),"")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6" s="28">
        <v>4</v>
      </c>
      <c r="AD16" s="47">
        <f t="shared" ca="1" si="3"/>
        <v>1</v>
      </c>
      <c r="AE16" s="48">
        <v>15</v>
      </c>
      <c r="AF16" s="28">
        <v>0</v>
      </c>
      <c r="AG16" s="35">
        <v>0</v>
      </c>
      <c r="AH16" s="35">
        <v>0</v>
      </c>
      <c r="AI16" s="35">
        <v>0</v>
      </c>
      <c r="AJ16" s="35">
        <v>1</v>
      </c>
    </row>
    <row r="17" spans="1:36" ht="21" customHeight="1" x14ac:dyDescent="0.15">
      <c r="A17" s="17" t="str">
        <f t="shared" ca="1" si="0"/>
        <v>30004_1-4/9&lt;lv21&gt;s2</v>
      </c>
      <c r="B17" s="27">
        <v>30004</v>
      </c>
      <c r="C17" s="30">
        <v>1</v>
      </c>
      <c r="D17" s="16" t="str">
        <f t="shared" ca="1" si="4"/>
        <v>30004_1</v>
      </c>
      <c r="E17" s="44" t="str">
        <f ca="1">VLOOKUP($B17,OFFSET([1]quests!$A$1,0,0,COUNTA([1]quests!$A:$A),MATCH(E$1,[1]quests!$1:$1,0)-MATCH($B$1,[1]quests!$1:$1,0)+1),MATCH(E$1,[1]quests!$1:$1,0)-MATCH($B$1,[1]quests!$1:$1,0)+1,FALSE)</f>
        <v>危険な仲裁者</v>
      </c>
      <c r="F17" s="44" t="str">
        <f ca="1">VLOOKUP($D17,OFFSET([1]stages!$A$1,0,0,COUNTA([1]stages!$A:$A),MATCH(F$1,[1]stages!$2:$2,0)-MATCH($D$1,[1]stages!$2:$2,0)+1),MATCH(F$1,[1]stages!$2:$2,0)-MATCH($D$1,[1]stages!$2:$2,0)+1,FALSE)</f>
        <v xml:space="preserve">【中級】危険な仲裁者 </v>
      </c>
      <c r="G17" s="32">
        <v>4</v>
      </c>
      <c r="H17" s="31" t="s">
        <v>52</v>
      </c>
      <c r="I17" s="30">
        <v>9</v>
      </c>
      <c r="J17" s="46" t="str">
        <f ca="1">VLOOKUP($I17,OFFSET([2]enemies!$A$1,0,0,COUNTA([2]enemies!$A:$A),MATCH(J$1,[2]enemies!$1:$1,0)-MATCH($I$1,[2]enemies!$1:$1,0)+1),MATCH(J$1,[2]enemies!$1:$1,0)-MATCH($I$1,[2]enemies!$1:$1,0)+1,FALSE)</f>
        <v>ブレット</v>
      </c>
      <c r="K17" s="46" t="str">
        <f ca="1">VLOOKUP($I17,OFFSET([2]enemies!$A$1,0,0,COUNTA([2]enemies!$A:$A),MATCH(K$1,[2]enemies!$1:$1,0)-MATCH($I$1,[2]enemies!$1:$1,0)+1),MATCH(K$1,[2]enemies!$1:$1,0)-MATCH($I$1,[2]enemies!$1:$1,0)+1,FALSE)</f>
        <v>red</v>
      </c>
      <c r="L17" s="23" t="str">
        <f ca="1">VLOOKUP(I17,[3]characters!$A:$J,10,FALSE)</f>
        <v>Drop1W</v>
      </c>
      <c r="M17" s="46" t="str">
        <f ca="1">VLOOKUP($I17,OFFSET([2]enemies!$A$1,0,0,COUNTA([2]enemies!$A:$A),MATCH(M$1,[2]enemies!$1:$1,0)-MATCH($I$1,[2]enemies!$1:$1,0)+1),MATCH(M$1,[2]enemies!$1:$1,0)-MATCH($I$1,[2]enemies!$1:$1,0)+1,FALSE)</f>
        <v>animal</v>
      </c>
      <c r="N17" s="46">
        <f ca="1">VLOOKUP($I17,OFFSET([2]enemies!$A$1,0,0,COUNTA([2]enemies!$A:$A),MATCH(N$1,[2]enemies!$1:$1,0)-MATCH($I$1,[2]enemies!$1:$1,0)+1),MATCH(N$1,[2]enemies!$1:$1,0)-MATCH($I$1,[2]enemies!$1:$1,0)+1,FALSE)</f>
        <v>15</v>
      </c>
      <c r="O17" s="29">
        <v>21</v>
      </c>
      <c r="P17" s="42">
        <v>1.8</v>
      </c>
      <c r="Q17" s="42">
        <v>0.9</v>
      </c>
      <c r="R17" s="43">
        <v>0</v>
      </c>
      <c r="S17" s="44" t="str">
        <f ca="1">VLOOKUP($T17,OFFSET([4]enemy_skill_sets!$B$1,0,0,COUNTA([4]enemy_skill_sets!$B:$B),MATCH(J$1,[4]enemy_skill_sets!$1:$1,0)-MATCH($T$1,[4]enemy_skill_sets!$1:$1,0)+2),MATCH(J$1,[4]enemy_skill_sets!$1:$1,0)-MATCH($T$1,[4]enemy_skill_sets!$1:$1,0)+2,FALSE)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" s="46">
        <f ca="1">VLOOKUP($I17,OFFSET([2]enemies!$A$1,0,0,COUNTA([2]enemies!$A:$A),MATCH(T$1,[2]enemies!$1:$1,0)-MATCH($I$1,[2]enemies!$1:$1,0)+1),MATCH(T$1,[2]enemies!$1:$1,0)-MATCH($I$1,[2]enemies!$1:$1,0)+1,FALSE)</f>
        <v>0</v>
      </c>
      <c r="U17" s="34">
        <v>0</v>
      </c>
      <c r="V17" s="34">
        <v>100</v>
      </c>
      <c r="W17" s="34">
        <v>0</v>
      </c>
      <c r="X17" s="46">
        <f ca="1">VLOOKUP($I17,OFFSET([2]enemies!$A$1,0,0,COUNTA([2]enemies!$A:$A),MATCH(X$1,[2]enemies!$1:$1,0)-MATCH($I$1,[2]enemies!$1:$1,0)+1),MATCH(X$1,[2]enemies!$1:$1,0)-MATCH($I$1,[2]enemies!$1:$1,0)+1,FALSE)</f>
        <v>2</v>
      </c>
      <c r="Y17" s="28">
        <v>9</v>
      </c>
      <c r="Z17" s="44" t="str">
        <f ca="1">IFERROR(VLOOKUP($Y17,OFFSET([3]characters!$A$1,0,0,COUNTA([3]characters!$A:$A),MATCH(Z$1,[3]characters!$1:$1,0)-MATCH("character_id",[3]characters!$1:$1,0)+1),MATCH(Z$1,[3]characters!$1:$1,0)-MATCH("character_id",[3]characters!$1:$1,0)+1,FALSE),"")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17" s="44">
        <f ca="1">IFERROR(VLOOKUP($Y17,OFFSET([3]characters!$A$1,0,0,COUNTA([3]characters!$A:$A),MATCH(AA$1,[3]characters!$1:$1,0)-MATCH("character_id",[3]characters!$1:$1,0)+1),MATCH(AA$1,[3]characters!$1:$1,0)-MATCH("character_id",[3]characters!$1:$1,0)+1,FALSE),"")</f>
        <v>1</v>
      </c>
      <c r="AB17" s="44" t="str">
        <f ca="1">IFERROR(VLOOKUP($Y17,OFFSET([3]characters!$A$1,0,0,COUNTA([3]characters!$A:$A),MATCH(AB$1,[3]characters!$1:$1,0)-MATCH("character_id",[3]characters!$1:$1,0)+1),MATCH(AB$1,[3]characters!$1:$1,0)-MATCH("character_id",[3]characters!$1:$1,0)+1,FALSE),"")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7" s="28">
        <v>4</v>
      </c>
      <c r="AD17" s="47">
        <f t="shared" ca="1" si="3"/>
        <v>1</v>
      </c>
      <c r="AE17" s="48">
        <v>15</v>
      </c>
      <c r="AF17" s="28">
        <v>0</v>
      </c>
      <c r="AG17" s="35">
        <v>0</v>
      </c>
      <c r="AH17" s="35">
        <v>0</v>
      </c>
      <c r="AI17" s="35">
        <v>0</v>
      </c>
      <c r="AJ17" s="35">
        <v>1</v>
      </c>
    </row>
    <row r="18" spans="1:36" ht="21" customHeight="1" x14ac:dyDescent="0.15">
      <c r="A18" s="17" t="str">
        <f t="shared" ca="1" si="0"/>
        <v>30004_1-4/11&lt;lv21&gt;s3</v>
      </c>
      <c r="B18" s="27">
        <v>30004</v>
      </c>
      <c r="C18" s="30">
        <v>1</v>
      </c>
      <c r="D18" s="16" t="str">
        <f t="shared" ca="1" si="4"/>
        <v>30004_1</v>
      </c>
      <c r="E18" s="44" t="str">
        <f ca="1">VLOOKUP($B18,OFFSET([1]quests!$A$1,0,0,COUNTA([1]quests!$A:$A),MATCH(E$1,[1]quests!$1:$1,0)-MATCH($B$1,[1]quests!$1:$1,0)+1),MATCH(E$1,[1]quests!$1:$1,0)-MATCH($B$1,[1]quests!$1:$1,0)+1,FALSE)</f>
        <v>危険な仲裁者</v>
      </c>
      <c r="F18" s="44" t="str">
        <f ca="1">VLOOKUP($D18,OFFSET([1]stages!$A$1,0,0,COUNTA([1]stages!$A:$A),MATCH(F$1,[1]stages!$2:$2,0)-MATCH($D$1,[1]stages!$2:$2,0)+1),MATCH(F$1,[1]stages!$2:$2,0)-MATCH($D$1,[1]stages!$2:$2,0)+1,FALSE)</f>
        <v xml:space="preserve">【中級】危険な仲裁者 </v>
      </c>
      <c r="G18" s="32">
        <v>4</v>
      </c>
      <c r="H18" s="31" t="s">
        <v>52</v>
      </c>
      <c r="I18" s="30">
        <v>11</v>
      </c>
      <c r="J18" s="46" t="str">
        <f ca="1">VLOOKUP($I18,OFFSET([2]enemies!$A$1,0,0,COUNTA([2]enemies!$A:$A),MATCH(J$1,[2]enemies!$1:$1,0)-MATCH($I$1,[2]enemies!$1:$1,0)+1),MATCH(J$1,[2]enemies!$1:$1,0)-MATCH($I$1,[2]enemies!$1:$1,0)+1,FALSE)</f>
        <v>マグリット</v>
      </c>
      <c r="K18" s="46" t="str">
        <f ca="1">VLOOKUP($I18,OFFSET([2]enemies!$A$1,0,0,COUNTA([2]enemies!$A:$A),MATCH(K$1,[2]enemies!$1:$1,0)-MATCH($I$1,[2]enemies!$1:$1,0)+1),MATCH(K$1,[2]enemies!$1:$1,0)-MATCH($I$1,[2]enemies!$1:$1,0)+1,FALSE)</f>
        <v>green</v>
      </c>
      <c r="L18" s="23" t="str">
        <f ca="1">VLOOKUP(I18,[3]characters!$A:$J,10,FALSE)</f>
        <v>Drop1W</v>
      </c>
      <c r="M18" s="46" t="str">
        <f ca="1">VLOOKUP($I18,OFFSET([2]enemies!$A$1,0,0,COUNTA([2]enemies!$A:$A),MATCH(M$1,[2]enemies!$1:$1,0)-MATCH($I$1,[2]enemies!$1:$1,0)+1),MATCH(M$1,[2]enemies!$1:$1,0)-MATCH($I$1,[2]enemies!$1:$1,0)+1,FALSE)</f>
        <v>animal</v>
      </c>
      <c r="N18" s="46">
        <f ca="1">VLOOKUP($I18,OFFSET([2]enemies!$A$1,0,0,COUNTA([2]enemies!$A:$A),MATCH(N$1,[2]enemies!$1:$1,0)-MATCH($I$1,[2]enemies!$1:$1,0)+1),MATCH(N$1,[2]enemies!$1:$1,0)-MATCH($I$1,[2]enemies!$1:$1,0)+1,FALSE)</f>
        <v>15</v>
      </c>
      <c r="O18" s="29">
        <v>21</v>
      </c>
      <c r="P18" s="42">
        <v>1.8</v>
      </c>
      <c r="Q18" s="42">
        <v>0.9</v>
      </c>
      <c r="R18" s="43">
        <v>0</v>
      </c>
      <c r="S18" s="44" t="str">
        <f ca="1">VLOOKUP($T18,OFFSET([4]enemy_skill_sets!$B$1,0,0,COUNTA([4]enemy_skill_sets!$B:$B),MATCH(J$1,[4]enemy_skill_sets!$1:$1,0)-MATCH($T$1,[4]enemy_skill_sets!$1:$1,0)+2),MATCH(J$1,[4]enemy_skill_sets!$1:$1,0)-MATCH($T$1,[4]enemy_skill_sets!$1:$1,0)+2,FALSE)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" s="46">
        <f ca="1">VLOOKUP($I18,OFFSET([2]enemies!$A$1,0,0,COUNTA([2]enemies!$A:$A),MATCH(T$1,[2]enemies!$1:$1,0)-MATCH($I$1,[2]enemies!$1:$1,0)+1),MATCH(T$1,[2]enemies!$1:$1,0)-MATCH($I$1,[2]enemies!$1:$1,0)+1,FALSE)</f>
        <v>0</v>
      </c>
      <c r="U18" s="34">
        <v>0</v>
      </c>
      <c r="V18" s="34">
        <v>100</v>
      </c>
      <c r="W18" s="34">
        <v>0</v>
      </c>
      <c r="X18" s="46">
        <f ca="1">VLOOKUP($I18,OFFSET([2]enemies!$A$1,0,0,COUNTA([2]enemies!$A:$A),MATCH(X$1,[2]enemies!$1:$1,0)-MATCH($I$1,[2]enemies!$1:$1,0)+1),MATCH(X$1,[2]enemies!$1:$1,0)-MATCH($I$1,[2]enemies!$1:$1,0)+1,FALSE)</f>
        <v>3</v>
      </c>
      <c r="Y18" s="28">
        <v>11</v>
      </c>
      <c r="Z18" s="44" t="str">
        <f ca="1">IFERROR(VLOOKUP($Y18,OFFSET([3]characters!$A$1,0,0,COUNTA([3]characters!$A:$A),MATCH(Z$1,[3]characters!$1:$1,0)-MATCH("character_id",[3]characters!$1:$1,0)+1),MATCH(Z$1,[3]characters!$1:$1,0)-MATCH("character_id",[3]characters!$1:$1,0)+1,FALSE),"")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18" s="44">
        <f ca="1">IFERROR(VLOOKUP($Y18,OFFSET([3]characters!$A$1,0,0,COUNTA([3]characters!$A:$A),MATCH(AA$1,[3]characters!$1:$1,0)-MATCH("character_id",[3]characters!$1:$1,0)+1),MATCH(AA$1,[3]characters!$1:$1,0)-MATCH("character_id",[3]characters!$1:$1,0)+1,FALSE),"")</f>
        <v>1</v>
      </c>
      <c r="AB18" s="44" t="str">
        <f ca="1">IFERROR(VLOOKUP($Y18,OFFSET([3]characters!$A$1,0,0,COUNTA([3]characters!$A:$A),MATCH(AB$1,[3]characters!$1:$1,0)-MATCH("character_id",[3]characters!$1:$1,0)+1),MATCH(AB$1,[3]characters!$1:$1,0)-MATCH("character_id",[3]characters!$1:$1,0)+1,FALSE),"")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8" s="28">
        <v>4</v>
      </c>
      <c r="AD18" s="47">
        <f t="shared" ca="1" si="3"/>
        <v>1</v>
      </c>
      <c r="AE18" s="48">
        <v>15</v>
      </c>
      <c r="AF18" s="28">
        <v>0</v>
      </c>
      <c r="AG18" s="35">
        <v>0</v>
      </c>
      <c r="AH18" s="35">
        <v>0</v>
      </c>
      <c r="AI18" s="35">
        <v>0</v>
      </c>
      <c r="AJ18" s="35">
        <v>1</v>
      </c>
    </row>
    <row r="19" spans="1:36" ht="21" customHeight="1" x14ac:dyDescent="0.15">
      <c r="A19" s="17" t="str">
        <f t="shared" ca="1" si="0"/>
        <v>30004_1-4/13&lt;lv21&gt;s2</v>
      </c>
      <c r="B19" s="27">
        <v>30004</v>
      </c>
      <c r="C19" s="30">
        <v>1</v>
      </c>
      <c r="D19" s="16" t="str">
        <f t="shared" ca="1" si="4"/>
        <v>30004_1</v>
      </c>
      <c r="E19" s="44" t="str">
        <f ca="1">VLOOKUP($B19,OFFSET([1]quests!$A$1,0,0,COUNTA([1]quests!$A:$A),MATCH(E$1,[1]quests!$1:$1,0)-MATCH($B$1,[1]quests!$1:$1,0)+1),MATCH(E$1,[1]quests!$1:$1,0)-MATCH($B$1,[1]quests!$1:$1,0)+1,FALSE)</f>
        <v>危険な仲裁者</v>
      </c>
      <c r="F19" s="44" t="str">
        <f ca="1">VLOOKUP($D19,OFFSET([1]stages!$A$1,0,0,COUNTA([1]stages!$A:$A),MATCH(F$1,[1]stages!$2:$2,0)-MATCH($D$1,[1]stages!$2:$2,0)+1),MATCH(F$1,[1]stages!$2:$2,0)-MATCH($D$1,[1]stages!$2:$2,0)+1,FALSE)</f>
        <v xml:space="preserve">【中級】危険な仲裁者 </v>
      </c>
      <c r="G19" s="32">
        <v>4</v>
      </c>
      <c r="H19" s="31" t="s">
        <v>52</v>
      </c>
      <c r="I19" s="30">
        <v>13</v>
      </c>
      <c r="J19" s="46" t="str">
        <f ca="1">VLOOKUP($I19,OFFSET([2]enemies!$A$1,0,0,COUNTA([2]enemies!$A:$A),MATCH(J$1,[2]enemies!$1:$1,0)-MATCH($I$1,[2]enemies!$1:$1,0)+1),MATCH(J$1,[2]enemies!$1:$1,0)-MATCH($I$1,[2]enemies!$1:$1,0)+1,FALSE)</f>
        <v>ミミ</v>
      </c>
      <c r="K19" s="46" t="str">
        <f ca="1">VLOOKUP($I19,OFFSET([2]enemies!$A$1,0,0,COUNTA([2]enemies!$A:$A),MATCH(K$1,[2]enemies!$1:$1,0)-MATCH($I$1,[2]enemies!$1:$1,0)+1),MATCH(K$1,[2]enemies!$1:$1,0)-MATCH($I$1,[2]enemies!$1:$1,0)+1,FALSE)</f>
        <v>yellow</v>
      </c>
      <c r="L19" s="23" t="str">
        <f ca="1">VLOOKUP(I19,[3]characters!$A:$J,10,FALSE)</f>
        <v>Drop1W</v>
      </c>
      <c r="M19" s="46" t="str">
        <f ca="1">VLOOKUP($I19,OFFSET([2]enemies!$A$1,0,0,COUNTA([2]enemies!$A:$A),MATCH(M$1,[2]enemies!$1:$1,0)-MATCH($I$1,[2]enemies!$1:$1,0)+1),MATCH(M$1,[2]enemies!$1:$1,0)-MATCH($I$1,[2]enemies!$1:$1,0)+1,FALSE)</f>
        <v>animal</v>
      </c>
      <c r="N19" s="46">
        <f ca="1">VLOOKUP($I19,OFFSET([2]enemies!$A$1,0,0,COUNTA([2]enemies!$A:$A),MATCH(N$1,[2]enemies!$1:$1,0)-MATCH($I$1,[2]enemies!$1:$1,0)+1),MATCH(N$1,[2]enemies!$1:$1,0)-MATCH($I$1,[2]enemies!$1:$1,0)+1,FALSE)</f>
        <v>15</v>
      </c>
      <c r="O19" s="29">
        <v>21</v>
      </c>
      <c r="P19" s="42">
        <v>1.8</v>
      </c>
      <c r="Q19" s="42">
        <v>0.9</v>
      </c>
      <c r="R19" s="43">
        <v>0</v>
      </c>
      <c r="S19" s="44" t="str">
        <f ca="1">VLOOKUP($T19,OFFSET([4]enemy_skill_sets!$B$1,0,0,COUNTA([4]enemy_skill_sets!$B:$B),MATCH(J$1,[4]enemy_skill_sets!$1:$1,0)-MATCH($T$1,[4]enemy_skill_sets!$1:$1,0)+2),MATCH(J$1,[4]enemy_skill_sets!$1:$1,0)-MATCH($T$1,[4]enemy_skill_sets!$1:$1,0)+2,FALSE)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" s="46">
        <f ca="1">VLOOKUP($I19,OFFSET([2]enemies!$A$1,0,0,COUNTA([2]enemies!$A:$A),MATCH(T$1,[2]enemies!$1:$1,0)-MATCH($I$1,[2]enemies!$1:$1,0)+1),MATCH(T$1,[2]enemies!$1:$1,0)-MATCH($I$1,[2]enemies!$1:$1,0)+1,FALSE)</f>
        <v>0</v>
      </c>
      <c r="U19" s="34">
        <v>0</v>
      </c>
      <c r="V19" s="34">
        <v>100</v>
      </c>
      <c r="W19" s="34">
        <v>0</v>
      </c>
      <c r="X19" s="46">
        <f ca="1">VLOOKUP($I19,OFFSET([2]enemies!$A$1,0,0,COUNTA([2]enemies!$A:$A),MATCH(X$1,[2]enemies!$1:$1,0)-MATCH($I$1,[2]enemies!$1:$1,0)+1),MATCH(X$1,[2]enemies!$1:$1,0)-MATCH($I$1,[2]enemies!$1:$1,0)+1,FALSE)</f>
        <v>2</v>
      </c>
      <c r="Y19" s="28">
        <v>13</v>
      </c>
      <c r="Z19" s="44" t="str">
        <f ca="1">IFERROR(VLOOKUP($Y19,OFFSET([3]characters!$A$1,0,0,COUNTA([3]characters!$A:$A),MATCH(Z$1,[3]characters!$1:$1,0)-MATCH("character_id",[3]characters!$1:$1,0)+1),MATCH(Z$1,[3]characters!$1:$1,0)-MATCH("character_id",[3]characters!$1:$1,0)+1,FALSE),"")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19" s="44">
        <f ca="1">IFERROR(VLOOKUP($Y19,OFFSET([3]characters!$A$1,0,0,COUNTA([3]characters!$A:$A),MATCH(AA$1,[3]characters!$1:$1,0)-MATCH("character_id",[3]characters!$1:$1,0)+1),MATCH(AA$1,[3]characters!$1:$1,0)-MATCH("character_id",[3]characters!$1:$1,0)+1,FALSE),"")</f>
        <v>1</v>
      </c>
      <c r="AB19" s="44" t="str">
        <f ca="1">IFERROR(VLOOKUP($Y19,OFFSET([3]characters!$A$1,0,0,COUNTA([3]characters!$A:$A),MATCH(AB$1,[3]characters!$1:$1,0)-MATCH("character_id",[3]characters!$1:$1,0)+1),MATCH(AB$1,[3]characters!$1:$1,0)-MATCH("character_id",[3]characters!$1:$1,0)+1,FALSE),"")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9" s="28">
        <v>4</v>
      </c>
      <c r="AD19" s="47">
        <f t="shared" ca="1" si="3"/>
        <v>1</v>
      </c>
      <c r="AE19" s="48">
        <v>15</v>
      </c>
      <c r="AF19" s="28">
        <v>0</v>
      </c>
      <c r="AG19" s="35">
        <v>0</v>
      </c>
      <c r="AH19" s="35">
        <v>0</v>
      </c>
      <c r="AI19" s="35">
        <v>0</v>
      </c>
      <c r="AJ19" s="35">
        <v>1</v>
      </c>
    </row>
    <row r="20" spans="1:36" ht="21" customHeight="1" x14ac:dyDescent="0.15">
      <c r="A20" s="17" t="str">
        <f t="shared" ca="1" si="0"/>
        <v>30004_1-4/16&lt;lv21&gt;s3</v>
      </c>
      <c r="B20" s="27">
        <v>30004</v>
      </c>
      <c r="C20" s="30">
        <v>1</v>
      </c>
      <c r="D20" s="16" t="str">
        <f t="shared" ca="1" si="4"/>
        <v>30004_1</v>
      </c>
      <c r="E20" s="44" t="str">
        <f ca="1">VLOOKUP($B20,OFFSET([1]quests!$A$1,0,0,COUNTA([1]quests!$A:$A),MATCH(E$1,[1]quests!$1:$1,0)-MATCH($B$1,[1]quests!$1:$1,0)+1),MATCH(E$1,[1]quests!$1:$1,0)-MATCH($B$1,[1]quests!$1:$1,0)+1,FALSE)</f>
        <v>危険な仲裁者</v>
      </c>
      <c r="F20" s="44" t="str">
        <f ca="1">VLOOKUP($D20,OFFSET([1]stages!$A$1,0,0,COUNTA([1]stages!$A:$A),MATCH(F$1,[1]stages!$2:$2,0)-MATCH($D$1,[1]stages!$2:$2,0)+1),MATCH(F$1,[1]stages!$2:$2,0)-MATCH($D$1,[1]stages!$2:$2,0)+1,FALSE)</f>
        <v xml:space="preserve">【中級】危険な仲裁者 </v>
      </c>
      <c r="G20" s="32">
        <v>4</v>
      </c>
      <c r="H20" s="31" t="s">
        <v>52</v>
      </c>
      <c r="I20" s="30">
        <v>16</v>
      </c>
      <c r="J20" s="46" t="str">
        <f ca="1">VLOOKUP($I20,OFFSET([2]enemies!$A$1,0,0,COUNTA([2]enemies!$A:$A),MATCH(J$1,[2]enemies!$1:$1,0)-MATCH($I$1,[2]enemies!$1:$1,0)+1),MATCH(J$1,[2]enemies!$1:$1,0)-MATCH($I$1,[2]enemies!$1:$1,0)+1,FALSE)</f>
        <v>炎戦少女 アカネ</v>
      </c>
      <c r="K20" s="46" t="str">
        <f ca="1">VLOOKUP($I20,OFFSET([2]enemies!$A$1,0,0,COUNTA([2]enemies!$A:$A),MATCH(K$1,[2]enemies!$1:$1,0)-MATCH($I$1,[2]enemies!$1:$1,0)+1),MATCH(K$1,[2]enemies!$1:$1,0)-MATCH($I$1,[2]enemies!$1:$1,0)+1,FALSE)</f>
        <v>red</v>
      </c>
      <c r="L20" s="23" t="str">
        <f ca="1">VLOOKUP(I20,[3]characters!$A:$J,10,FALSE)</f>
        <v>Drop1W</v>
      </c>
      <c r="M20" s="46" t="str">
        <f ca="1">VLOOKUP($I20,OFFSET([2]enemies!$A$1,0,0,COUNTA([2]enemies!$A:$A),MATCH(M$1,[2]enemies!$1:$1,0)-MATCH($I$1,[2]enemies!$1:$1,0)+1),MATCH(M$1,[2]enemies!$1:$1,0)-MATCH($I$1,[2]enemies!$1:$1,0)+1,FALSE)</f>
        <v>human</v>
      </c>
      <c r="N20" s="46">
        <f ca="1">VLOOKUP($I20,OFFSET([2]enemies!$A$1,0,0,COUNTA([2]enemies!$A:$A),MATCH(N$1,[2]enemies!$1:$1,0)-MATCH($I$1,[2]enemies!$1:$1,0)+1),MATCH(N$1,[2]enemies!$1:$1,0)-MATCH($I$1,[2]enemies!$1:$1,0)+1,FALSE)</f>
        <v>15</v>
      </c>
      <c r="O20" s="29">
        <v>21</v>
      </c>
      <c r="P20" s="42">
        <v>1.8</v>
      </c>
      <c r="Q20" s="42">
        <v>0.9</v>
      </c>
      <c r="R20" s="43">
        <v>0</v>
      </c>
      <c r="S20" s="44" t="str">
        <f ca="1">VLOOKUP($T20,OFFSET([4]enemy_skill_sets!$B$1,0,0,COUNTA([4]enemy_skill_sets!$B:$B),MATCH(J$1,[4]enemy_skill_sets!$1:$1,0)-MATCH($T$1,[4]enemy_skill_sets!$1:$1,0)+2),MATCH(J$1,[4]enemy_skill_sets!$1:$1,0)-MATCH($T$1,[4]enemy_skill_sets!$1:$1,0)+2,FALSE)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" s="46">
        <f ca="1">VLOOKUP($I20,OFFSET([2]enemies!$A$1,0,0,COUNTA([2]enemies!$A:$A),MATCH(T$1,[2]enemies!$1:$1,0)-MATCH($I$1,[2]enemies!$1:$1,0)+1),MATCH(T$1,[2]enemies!$1:$1,0)-MATCH($I$1,[2]enemies!$1:$1,0)+1,FALSE)</f>
        <v>0</v>
      </c>
      <c r="U20" s="34">
        <v>0</v>
      </c>
      <c r="V20" s="34">
        <v>100</v>
      </c>
      <c r="W20" s="34">
        <v>0</v>
      </c>
      <c r="X20" s="46">
        <f ca="1">VLOOKUP($I20,OFFSET([2]enemies!$A$1,0,0,COUNTA([2]enemies!$A:$A),MATCH(X$1,[2]enemies!$1:$1,0)-MATCH($I$1,[2]enemies!$1:$1,0)+1),MATCH(X$1,[2]enemies!$1:$1,0)-MATCH($I$1,[2]enemies!$1:$1,0)+1,FALSE)</f>
        <v>3</v>
      </c>
      <c r="Y20" s="28">
        <v>16</v>
      </c>
      <c r="Z20" s="44" t="str">
        <f ca="1">IFERROR(VLOOKUP($Y20,OFFSET([3]characters!$A$1,0,0,COUNTA([3]characters!$A:$A),MATCH(Z$1,[3]characters!$1:$1,0)-MATCH("character_id",[3]characters!$1:$1,0)+1),MATCH(Z$1,[3]characters!$1:$1,0)-MATCH("character_id",[3]characters!$1:$1,0)+1,FALSE),"")</f>
        <v>炎戦少女 アカネ</v>
      </c>
      <c r="AA20" s="44">
        <f ca="1">IFERROR(VLOOKUP($Y20,OFFSET([3]characters!$A$1,0,0,COUNTA([3]characters!$A:$A),MATCH(AA$1,[3]characters!$1:$1,0)-MATCH("character_id",[3]characters!$1:$1,0)+1),MATCH(AA$1,[3]characters!$1:$1,0)-MATCH("character_id",[3]characters!$1:$1,0)+1,FALSE),"")</f>
        <v>2</v>
      </c>
      <c r="AB20" s="44" t="str">
        <f ca="1">IFERROR(VLOOKUP($Y20,OFFSET([3]characters!$A$1,0,0,COUNTA([3]characters!$A:$A),MATCH(AB$1,[3]characters!$1:$1,0)-MATCH("character_id",[3]characters!$1:$1,0)+1),MATCH(AB$1,[3]characters!$1:$1,0)-MATCH("character_id",[3]characters!$1:$1,0)+1,FALSE),"")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0" s="28">
        <v>4</v>
      </c>
      <c r="AD20" s="47">
        <f t="shared" ca="1" si="3"/>
        <v>2</v>
      </c>
      <c r="AE20" s="48">
        <v>15</v>
      </c>
      <c r="AF20" s="28">
        <v>0</v>
      </c>
      <c r="AG20" s="35">
        <v>0</v>
      </c>
      <c r="AH20" s="35">
        <v>0</v>
      </c>
      <c r="AI20" s="35">
        <v>0</v>
      </c>
      <c r="AJ20" s="35">
        <v>1</v>
      </c>
    </row>
    <row r="21" spans="1:36" ht="21" customHeight="1" x14ac:dyDescent="0.15">
      <c r="A21" s="17" t="str">
        <f t="shared" ca="1" si="0"/>
        <v>30004_1-4/17&lt;lv21&gt;s2</v>
      </c>
      <c r="B21" s="27">
        <v>30004</v>
      </c>
      <c r="C21" s="30">
        <v>1</v>
      </c>
      <c r="D21" s="16" t="str">
        <f t="shared" ca="1" si="4"/>
        <v>30004_1</v>
      </c>
      <c r="E21" s="44" t="str">
        <f ca="1">VLOOKUP($B21,OFFSET([1]quests!$A$1,0,0,COUNTA([1]quests!$A:$A),MATCH(E$1,[1]quests!$1:$1,0)-MATCH($B$1,[1]quests!$1:$1,0)+1),MATCH(E$1,[1]quests!$1:$1,0)-MATCH($B$1,[1]quests!$1:$1,0)+1,FALSE)</f>
        <v>危険な仲裁者</v>
      </c>
      <c r="F21" s="44" t="str">
        <f ca="1">VLOOKUP($D21,OFFSET([1]stages!$A$1,0,0,COUNTA([1]stages!$A:$A),MATCH(F$1,[1]stages!$2:$2,0)-MATCH($D$1,[1]stages!$2:$2,0)+1),MATCH(F$1,[1]stages!$2:$2,0)-MATCH($D$1,[1]stages!$2:$2,0)+1,FALSE)</f>
        <v xml:space="preserve">【中級】危険な仲裁者 </v>
      </c>
      <c r="G21" s="32">
        <v>4</v>
      </c>
      <c r="H21" s="31" t="s">
        <v>52</v>
      </c>
      <c r="I21" s="30">
        <v>17</v>
      </c>
      <c r="J21" s="46" t="str">
        <f ca="1">VLOOKUP($I21,OFFSET([2]enemies!$A$1,0,0,COUNTA([2]enemies!$A:$A),MATCH(J$1,[2]enemies!$1:$1,0)-MATCH($I$1,[2]enemies!$1:$1,0)+1),MATCH(J$1,[2]enemies!$1:$1,0)-MATCH($I$1,[2]enemies!$1:$1,0)+1,FALSE)</f>
        <v>リム</v>
      </c>
      <c r="K21" s="46" t="str">
        <f ca="1">VLOOKUP($I21,OFFSET([2]enemies!$A$1,0,0,COUNTA([2]enemies!$A:$A),MATCH(K$1,[2]enemies!$1:$1,0)-MATCH($I$1,[2]enemies!$1:$1,0)+1),MATCH(K$1,[2]enemies!$1:$1,0)-MATCH($I$1,[2]enemies!$1:$1,0)+1,FALSE)</f>
        <v>blue</v>
      </c>
      <c r="L21" s="23" t="str">
        <f ca="1">VLOOKUP(I21,[3]characters!$A:$J,10,FALSE)</f>
        <v>Drop1W</v>
      </c>
      <c r="M21" s="46" t="str">
        <f ca="1">VLOOKUP($I21,OFFSET([2]enemies!$A$1,0,0,COUNTA([2]enemies!$A:$A),MATCH(M$1,[2]enemies!$1:$1,0)-MATCH($I$1,[2]enemies!$1:$1,0)+1),MATCH(M$1,[2]enemies!$1:$1,0)-MATCH($I$1,[2]enemies!$1:$1,0)+1,FALSE)</f>
        <v>human</v>
      </c>
      <c r="N21" s="46">
        <f ca="1">VLOOKUP($I21,OFFSET([2]enemies!$A$1,0,0,COUNTA([2]enemies!$A:$A),MATCH(N$1,[2]enemies!$1:$1,0)-MATCH($I$1,[2]enemies!$1:$1,0)+1),MATCH(N$1,[2]enemies!$1:$1,0)-MATCH($I$1,[2]enemies!$1:$1,0)+1,FALSE)</f>
        <v>15</v>
      </c>
      <c r="O21" s="29">
        <v>21</v>
      </c>
      <c r="P21" s="42">
        <v>1.8</v>
      </c>
      <c r="Q21" s="42">
        <v>0.9</v>
      </c>
      <c r="R21" s="43">
        <v>0</v>
      </c>
      <c r="S21" s="44" t="str">
        <f ca="1">VLOOKUP($T21,OFFSET([4]enemy_skill_sets!$B$1,0,0,COUNTA([4]enemy_skill_sets!$B:$B),MATCH(J$1,[4]enemy_skill_sets!$1:$1,0)-MATCH($T$1,[4]enemy_skill_sets!$1:$1,0)+2),MATCH(J$1,[4]enemy_skill_sets!$1:$1,0)-MATCH($T$1,[4]enemy_skill_sets!$1:$1,0)+2,FALSE)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" s="46">
        <f ca="1">VLOOKUP($I21,OFFSET([2]enemies!$A$1,0,0,COUNTA([2]enemies!$A:$A),MATCH(T$1,[2]enemies!$1:$1,0)-MATCH($I$1,[2]enemies!$1:$1,0)+1),MATCH(T$1,[2]enemies!$1:$1,0)-MATCH($I$1,[2]enemies!$1:$1,0)+1,FALSE)</f>
        <v>0</v>
      </c>
      <c r="U21" s="34">
        <v>0</v>
      </c>
      <c r="V21" s="34">
        <v>100</v>
      </c>
      <c r="W21" s="34">
        <v>0</v>
      </c>
      <c r="X21" s="46">
        <f ca="1">VLOOKUP($I21,OFFSET([2]enemies!$A$1,0,0,COUNTA([2]enemies!$A:$A),MATCH(X$1,[2]enemies!$1:$1,0)-MATCH($I$1,[2]enemies!$1:$1,0)+1),MATCH(X$1,[2]enemies!$1:$1,0)-MATCH($I$1,[2]enemies!$1:$1,0)+1,FALSE)</f>
        <v>2</v>
      </c>
      <c r="Y21" s="28">
        <v>17</v>
      </c>
      <c r="Z21" s="44" t="str">
        <f ca="1">IFERROR(VLOOKUP($Y21,OFFSET([3]characters!$A$1,0,0,COUNTA([3]characters!$A:$A),MATCH(Z$1,[3]characters!$1:$1,0)-MATCH("character_id",[3]characters!$1:$1,0)+1),MATCH(Z$1,[3]characters!$1:$1,0)-MATCH("character_id",[3]characters!$1:$1,0)+1,FALSE),"")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21" s="44">
        <f ca="1">IFERROR(VLOOKUP($Y21,OFFSET([3]characters!$A$1,0,0,COUNTA([3]characters!$A:$A),MATCH(AA$1,[3]characters!$1:$1,0)-MATCH("character_id",[3]characters!$1:$1,0)+1),MATCH(AA$1,[3]characters!$1:$1,0)-MATCH("character_id",[3]characters!$1:$1,0)+1,FALSE),"")</f>
        <v>1</v>
      </c>
      <c r="AB21" s="44" t="str">
        <f ca="1">IFERROR(VLOOKUP($Y21,OFFSET([3]characters!$A$1,0,0,COUNTA([3]characters!$A:$A),MATCH(AB$1,[3]characters!$1:$1,0)-MATCH("character_id",[3]characters!$1:$1,0)+1),MATCH(AB$1,[3]characters!$1:$1,0)-MATCH("character_id",[3]characters!$1:$1,0)+1,FALSE),"")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1" s="28">
        <v>4</v>
      </c>
      <c r="AD21" s="47">
        <f t="shared" ca="1" si="3"/>
        <v>1</v>
      </c>
      <c r="AE21" s="48">
        <v>15</v>
      </c>
      <c r="AF21" s="28">
        <v>0</v>
      </c>
      <c r="AG21" s="35">
        <v>0</v>
      </c>
      <c r="AH21" s="35">
        <v>0</v>
      </c>
      <c r="AI21" s="35">
        <v>0</v>
      </c>
      <c r="AJ21" s="35">
        <v>1</v>
      </c>
    </row>
    <row r="22" spans="1:36" ht="21" customHeight="1" x14ac:dyDescent="0.15">
      <c r="A22" s="17" t="str">
        <f t="shared" ca="1" si="0"/>
        <v>30004_1-5/276&lt;lv24&gt;s2</v>
      </c>
      <c r="B22" s="27">
        <v>30004</v>
      </c>
      <c r="C22" s="30">
        <v>1</v>
      </c>
      <c r="D22" s="16" t="str">
        <f t="shared" ca="1" si="4"/>
        <v>30004_1</v>
      </c>
      <c r="E22" s="44" t="str">
        <f ca="1">VLOOKUP($B22,OFFSET([1]quests!$A$1,0,0,COUNTA([1]quests!$A:$A),MATCH(E$1,[1]quests!$1:$1,0)-MATCH($B$1,[1]quests!$1:$1,0)+1),MATCH(E$1,[1]quests!$1:$1,0)-MATCH($B$1,[1]quests!$1:$1,0)+1,FALSE)</f>
        <v>危険な仲裁者</v>
      </c>
      <c r="F22" s="44" t="str">
        <f ca="1">VLOOKUP($D22,OFFSET([1]stages!$A$1,0,0,COUNTA([1]stages!$A:$A),MATCH(F$1,[1]stages!$2:$2,0)-MATCH($D$1,[1]stages!$2:$2,0)+1),MATCH(F$1,[1]stages!$2:$2,0)-MATCH($D$1,[1]stages!$2:$2,0)+1,FALSE)</f>
        <v xml:space="preserve">【中級】危険な仲裁者 </v>
      </c>
      <c r="G22" s="32">
        <v>5</v>
      </c>
      <c r="H22" s="31" t="s">
        <v>53</v>
      </c>
      <c r="I22" s="30">
        <v>276</v>
      </c>
      <c r="J22" s="46" t="str">
        <f ca="1">VLOOKUP($I22,OFFSET([2]enemies!$A$1,0,0,COUNTA([2]enemies!$A:$A),MATCH(J$1,[2]enemies!$1:$1,0)-MATCH($I$1,[2]enemies!$1:$1,0)+1),MATCH(J$1,[2]enemies!$1:$1,0)-MATCH($I$1,[2]enemies!$1:$1,0)+1,FALSE)</f>
        <v>機拳のイリア</v>
      </c>
      <c r="K22" s="46" t="str">
        <f ca="1">VLOOKUP($I22,OFFSET([2]enemies!$A$1,0,0,COUNTA([2]enemies!$A:$A),MATCH(K$1,[2]enemies!$1:$1,0)-MATCH($I$1,[2]enemies!$1:$1,0)+1),MATCH(K$1,[2]enemies!$1:$1,0)-MATCH($I$1,[2]enemies!$1:$1,0)+1,FALSE)</f>
        <v>red</v>
      </c>
      <c r="L22" s="23" t="str">
        <f ca="1">VLOOKUP(I22,[3]characters!$A:$J,10,FALSE)</f>
        <v>Drop2N</v>
      </c>
      <c r="M22" s="46" t="str">
        <f ca="1">VLOOKUP($I22,OFFSET([2]enemies!$A$1,0,0,COUNTA([2]enemies!$A:$A),MATCH(M$1,[2]enemies!$1:$1,0)-MATCH($I$1,[2]enemies!$1:$1,0)+1),MATCH(M$1,[2]enemies!$1:$1,0)-MATCH($I$1,[2]enemies!$1:$1,0)+1,FALSE)</f>
        <v>human</v>
      </c>
      <c r="N22" s="46">
        <f ca="1">VLOOKUP($I22,OFFSET([2]enemies!$A$1,0,0,COUNTA([2]enemies!$A:$A),MATCH(N$1,[2]enemies!$1:$1,0)-MATCH($I$1,[2]enemies!$1:$1,0)+1),MATCH(N$1,[2]enemies!$1:$1,0)-MATCH($I$1,[2]enemies!$1:$1,0)+1,FALSE)</f>
        <v>30</v>
      </c>
      <c r="O22" s="33">
        <v>24</v>
      </c>
      <c r="P22" s="42">
        <v>3</v>
      </c>
      <c r="Q22" s="42">
        <v>1.1000000000000001</v>
      </c>
      <c r="R22" s="43">
        <v>0</v>
      </c>
      <c r="S22" s="44" t="str">
        <f ca="1">VLOOKUP($T22,OFFSET([4]enemy_skill_sets!$B$1,0,0,COUNTA([4]enemy_skill_sets!$B:$B),MATCH(J$1,[4]enemy_skill_sets!$1:$1,0)-MATCH($T$1,[4]enemy_skill_sets!$1:$1,0)+2),MATCH(J$1,[4]enemy_skill_sets!$1:$1,0)-MATCH($T$1,[4]enemy_skill_sets!$1:$1,0)+2,FALSE)</f>
        <v>どうしたらよいのか分からないようだ</v>
      </c>
      <c r="T22" s="46">
        <f ca="1">VLOOKUP($I22,OFFSET([2]enemies!$A$1,0,0,COUNTA([2]enemies!$A:$A),MATCH(T$1,[2]enemies!$1:$1,0)-MATCH($I$1,[2]enemies!$1:$1,0)+1),MATCH(T$1,[2]enemies!$1:$1,0)-MATCH($I$1,[2]enemies!$1:$1,0)+1,FALSE)</f>
        <v>276</v>
      </c>
      <c r="U22" s="34">
        <v>1</v>
      </c>
      <c r="V22" s="34">
        <v>100</v>
      </c>
      <c r="W22" s="34">
        <v>1</v>
      </c>
      <c r="X22" s="46">
        <f ca="1">VLOOKUP($I22,OFFSET([2]enemies!$A$1,0,0,COUNTA([2]enemies!$A:$A),MATCH(X$1,[2]enemies!$1:$1,0)-MATCH($I$1,[2]enemies!$1:$1,0)+1),MATCH(X$1,[2]enemies!$1:$1,0)-MATCH($I$1,[2]enemies!$1:$1,0)+1,FALSE)</f>
        <v>2</v>
      </c>
      <c r="Y22" s="28">
        <v>276</v>
      </c>
      <c r="Z22" s="44" t="str">
        <f ca="1">IFERROR(VLOOKUP($Y22,OFFSET([3]characters!$A$1,0,0,COUNTA([3]characters!$A:$A),MATCH(Z$1,[3]characters!$1:$1,0)-MATCH("character_id",[3]characters!$1:$1,0)+1),MATCH(Z$1,[3]characters!$1:$1,0)-MATCH("character_id",[3]characters!$1:$1,0)+1,FALSE),"")</f>
        <v>機拳のイリア</v>
      </c>
      <c r="AA22" s="44">
        <f ca="1">IFERROR(VLOOKUP($Y22,OFFSET([3]characters!$A$1,0,0,COUNTA([3]characters!$A:$A),MATCH(AA$1,[3]characters!$1:$1,0)-MATCH("character_id",[3]characters!$1:$1,0)+1),MATCH(AA$1,[3]characters!$1:$1,0)-MATCH("character_id",[3]characters!$1:$1,0)+1,FALSE),"")</f>
        <v>4</v>
      </c>
      <c r="AB22" s="44" t="str">
        <f ca="1">IFERROR(VLOOKUP($Y22,OFFSET([3]characters!$A$1,0,0,COUNTA([3]characters!$A:$A),MATCH(AB$1,[3]characters!$1:$1,0)-MATCH("character_id",[3]characters!$1:$1,0)+1),MATCH(AB$1,[3]characters!$1:$1,0)-MATCH("character_id",[3]characters!$1:$1,0)+1,FALSE),"")</f>
        <v>Drop2N</v>
      </c>
      <c r="AC22" s="28">
        <v>1</v>
      </c>
      <c r="AD22" s="47">
        <f t="shared" ca="1" si="3"/>
        <v>4</v>
      </c>
      <c r="AE22" s="50">
        <v>20</v>
      </c>
      <c r="AF22" s="28">
        <v>0</v>
      </c>
      <c r="AG22" s="35">
        <v>0</v>
      </c>
      <c r="AH22" s="35">
        <v>0</v>
      </c>
      <c r="AI22" s="35">
        <v>0</v>
      </c>
      <c r="AJ22" s="35">
        <v>1</v>
      </c>
    </row>
    <row r="23" spans="1:36" ht="21" customHeight="1" x14ac:dyDescent="0.15">
      <c r="A23" s="17" t="str">
        <f t="shared" ca="1" si="0"/>
        <v>30004_2-1/10&lt;lv32&gt;s2</v>
      </c>
      <c r="B23" s="27">
        <v>30004</v>
      </c>
      <c r="C23" s="30">
        <v>2</v>
      </c>
      <c r="D23" s="16" t="str">
        <f t="shared" ca="1" si="4"/>
        <v>30004_2</v>
      </c>
      <c r="E23" s="44" t="str">
        <f ca="1">VLOOKUP($B23,OFFSET([1]quests!$A$1,0,0,COUNTA([1]quests!$A:$A),MATCH(E$1,[1]quests!$1:$1,0)-MATCH($B$1,[1]quests!$1:$1,0)+1),MATCH(E$1,[1]quests!$1:$1,0)-MATCH($B$1,[1]quests!$1:$1,0)+1,FALSE)</f>
        <v>危険な仲裁者</v>
      </c>
      <c r="F23" s="44" t="str">
        <f ca="1">VLOOKUP($D23,OFFSET([1]stages!$A$1,0,0,COUNTA([1]stages!$A:$A),MATCH(F$1,[1]stages!$2:$2,0)-MATCH($D$1,[1]stages!$2:$2,0)+1),MATCH(F$1,[1]stages!$2:$2,0)-MATCH($D$1,[1]stages!$2:$2,0)+1,FALSE)</f>
        <v xml:space="preserve">【上級】危険な仲裁者 </v>
      </c>
      <c r="G23" s="32">
        <v>1</v>
      </c>
      <c r="H23" s="31" t="s">
        <v>54</v>
      </c>
      <c r="I23" s="30">
        <v>10</v>
      </c>
      <c r="J23" s="46" t="str">
        <f ca="1">VLOOKUP($I23,OFFSET([2]enemies!$A$1,0,0,COUNTA([2]enemies!$A:$A),MATCH(J$1,[2]enemies!$1:$1,0)-MATCH($I$1,[2]enemies!$1:$1,0)+1),MATCH(J$1,[2]enemies!$1:$1,0)-MATCH($I$1,[2]enemies!$1:$1,0)+1,FALSE)</f>
        <v>燃える悪戯魂 ブレット</v>
      </c>
      <c r="K23" s="46" t="str">
        <f ca="1">VLOOKUP($I23,OFFSET([2]enemies!$A$1,0,0,COUNTA([2]enemies!$A:$A),MATCH(K$1,[2]enemies!$1:$1,0)-MATCH($I$1,[2]enemies!$1:$1,0)+1),MATCH(K$1,[2]enemies!$1:$1,0)-MATCH($I$1,[2]enemies!$1:$1,0)+1,FALSE)</f>
        <v>red</v>
      </c>
      <c r="L23" s="23" t="str">
        <f ca="1">VLOOKUP(I23,[3]characters!$A:$J,10,FALSE)</f>
        <v>Drop1W</v>
      </c>
      <c r="M23" s="46" t="str">
        <f ca="1">VLOOKUP($I23,OFFSET([2]enemies!$A$1,0,0,COUNTA([2]enemies!$A:$A),MATCH(M$1,[2]enemies!$1:$1,0)-MATCH($I$1,[2]enemies!$1:$1,0)+1),MATCH(M$1,[2]enemies!$1:$1,0)-MATCH($I$1,[2]enemies!$1:$1,0)+1,FALSE)</f>
        <v>animal</v>
      </c>
      <c r="N23" s="46">
        <f ca="1">VLOOKUP($I23,OFFSET([2]enemies!$A$1,0,0,COUNTA([2]enemies!$A:$A),MATCH(N$1,[2]enemies!$1:$1,0)-MATCH($I$1,[2]enemies!$1:$1,0)+1),MATCH(N$1,[2]enemies!$1:$1,0)-MATCH($I$1,[2]enemies!$1:$1,0)+1,FALSE)</f>
        <v>15</v>
      </c>
      <c r="O23" s="33">
        <v>32</v>
      </c>
      <c r="P23" s="42">
        <v>1.1000000000000001</v>
      </c>
      <c r="Q23" s="42">
        <v>1</v>
      </c>
      <c r="R23" s="43">
        <v>0</v>
      </c>
      <c r="S23" s="44" t="str">
        <f ca="1">VLOOKUP($T23,OFFSET([4]enemy_skill_sets!$B$1,0,0,COUNTA([4]enemy_skill_sets!$B:$B),MATCH(J$1,[4]enemy_skill_sets!$1:$1,0)-MATCH($T$1,[4]enemy_skill_sets!$1:$1,0)+2),MATCH(J$1,[4]enemy_skill_sets!$1:$1,0)-MATCH($T$1,[4]enemy_skill_sets!$1:$1,0)+2,FALSE)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" s="46">
        <f ca="1">VLOOKUP($I23,OFFSET([2]enemies!$A$1,0,0,COUNTA([2]enemies!$A:$A),MATCH(T$1,[2]enemies!$1:$1,0)-MATCH($I$1,[2]enemies!$1:$1,0)+1),MATCH(T$1,[2]enemies!$1:$1,0)-MATCH($I$1,[2]enemies!$1:$1,0)+1,FALSE)</f>
        <v>0</v>
      </c>
      <c r="U23" s="34">
        <v>0</v>
      </c>
      <c r="V23" s="34">
        <v>100</v>
      </c>
      <c r="W23" s="34">
        <v>0</v>
      </c>
      <c r="X23" s="46">
        <f ca="1">VLOOKUP($I23,OFFSET([2]enemies!$A$1,0,0,COUNTA([2]enemies!$A:$A),MATCH(X$1,[2]enemies!$1:$1,0)-MATCH($I$1,[2]enemies!$1:$1,0)+1),MATCH(X$1,[2]enemies!$1:$1,0)-MATCH($I$1,[2]enemies!$1:$1,0)+1,FALSE)</f>
        <v>2</v>
      </c>
      <c r="Y23" s="28">
        <v>10</v>
      </c>
      <c r="Z23" s="44" t="str">
        <f ca="1">IFERROR(VLOOKUP($Y23,OFFSET([3]characters!$A$1,0,0,COUNTA([3]characters!$A:$A),MATCH(Z$1,[3]characters!$1:$1,0)-MATCH("character_id",[3]characters!$1:$1,0)+1),MATCH(Z$1,[3]characters!$1:$1,0)-MATCH("character_id",[3]characters!$1:$1,0)+1,FALSE),"")</f>
        <v>燃える悪戯魂 ブレット</v>
      </c>
      <c r="AA23" s="44">
        <f ca="1">IFERROR(VLOOKUP($Y23,OFFSET([3]characters!$A$1,0,0,COUNTA([3]characters!$A:$A),MATCH(AA$1,[3]characters!$1:$1,0)-MATCH("character_id",[3]characters!$1:$1,0)+1),MATCH(AA$1,[3]characters!$1:$1,0)-MATCH("character_id",[3]characters!$1:$1,0)+1,FALSE),"")</f>
        <v>2</v>
      </c>
      <c r="AB23" s="44" t="str">
        <f ca="1">IFERROR(VLOOKUP($Y23,OFFSET([3]characters!$A$1,0,0,COUNTA([3]characters!$A:$A),MATCH(AB$1,[3]characters!$1:$1,0)-MATCH("character_id",[3]characters!$1:$1,0)+1),MATCH(AB$1,[3]characters!$1:$1,0)-MATCH("character_id",[3]characters!$1:$1,0)+1,FALSE),"")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3" s="28">
        <v>5</v>
      </c>
      <c r="AD23" s="47">
        <f t="shared" ca="1" si="3"/>
        <v>2</v>
      </c>
      <c r="AE23" s="48">
        <v>15</v>
      </c>
      <c r="AF23" s="28">
        <v>0</v>
      </c>
      <c r="AG23" s="35">
        <v>0</v>
      </c>
      <c r="AH23" s="35">
        <v>0</v>
      </c>
      <c r="AI23" s="35">
        <v>0</v>
      </c>
      <c r="AJ23" s="35">
        <v>1</v>
      </c>
    </row>
    <row r="24" spans="1:36" ht="21" customHeight="1" x14ac:dyDescent="0.15">
      <c r="A24" s="17" t="str">
        <f t="shared" ca="1" si="0"/>
        <v>30004_2-1/16&lt;lv32&gt;s3</v>
      </c>
      <c r="B24" s="27">
        <v>30004</v>
      </c>
      <c r="C24" s="30">
        <v>2</v>
      </c>
      <c r="D24" s="16" t="str">
        <f t="shared" ca="1" si="4"/>
        <v>30004_2</v>
      </c>
      <c r="E24" s="44" t="str">
        <f ca="1">VLOOKUP($B24,OFFSET([1]quests!$A$1,0,0,COUNTA([1]quests!$A:$A),MATCH(E$1,[1]quests!$1:$1,0)-MATCH($B$1,[1]quests!$1:$1,0)+1),MATCH(E$1,[1]quests!$1:$1,0)-MATCH($B$1,[1]quests!$1:$1,0)+1,FALSE)</f>
        <v>危険な仲裁者</v>
      </c>
      <c r="F24" s="44" t="str">
        <f ca="1">VLOOKUP($D24,OFFSET([1]stages!$A$1,0,0,COUNTA([1]stages!$A:$A),MATCH(F$1,[1]stages!$2:$2,0)-MATCH($D$1,[1]stages!$2:$2,0)+1),MATCH(F$1,[1]stages!$2:$2,0)-MATCH($D$1,[1]stages!$2:$2,0)+1,FALSE)</f>
        <v xml:space="preserve">【上級】危険な仲裁者 </v>
      </c>
      <c r="G24" s="32">
        <v>1</v>
      </c>
      <c r="H24" s="31" t="s">
        <v>54</v>
      </c>
      <c r="I24" s="30">
        <v>16</v>
      </c>
      <c r="J24" s="46" t="str">
        <f ca="1">VLOOKUP($I24,OFFSET([2]enemies!$A$1,0,0,COUNTA([2]enemies!$A:$A),MATCH(J$1,[2]enemies!$1:$1,0)-MATCH($I$1,[2]enemies!$1:$1,0)+1),MATCH(J$1,[2]enemies!$1:$1,0)-MATCH($I$1,[2]enemies!$1:$1,0)+1,FALSE)</f>
        <v>炎戦少女 アカネ</v>
      </c>
      <c r="K24" s="46" t="str">
        <f ca="1">VLOOKUP($I24,OFFSET([2]enemies!$A$1,0,0,COUNTA([2]enemies!$A:$A),MATCH(K$1,[2]enemies!$1:$1,0)-MATCH($I$1,[2]enemies!$1:$1,0)+1),MATCH(K$1,[2]enemies!$1:$1,0)-MATCH($I$1,[2]enemies!$1:$1,0)+1,FALSE)</f>
        <v>red</v>
      </c>
      <c r="L24" s="23" t="str">
        <f ca="1">VLOOKUP(I24,[3]characters!$A:$J,10,FALSE)</f>
        <v>Drop1W</v>
      </c>
      <c r="M24" s="46" t="str">
        <f ca="1">VLOOKUP($I24,OFFSET([2]enemies!$A$1,0,0,COUNTA([2]enemies!$A:$A),MATCH(M$1,[2]enemies!$1:$1,0)-MATCH($I$1,[2]enemies!$1:$1,0)+1),MATCH(M$1,[2]enemies!$1:$1,0)-MATCH($I$1,[2]enemies!$1:$1,0)+1,FALSE)</f>
        <v>human</v>
      </c>
      <c r="N24" s="46">
        <f ca="1">VLOOKUP($I24,OFFSET([2]enemies!$A$1,0,0,COUNTA([2]enemies!$A:$A),MATCH(N$1,[2]enemies!$1:$1,0)-MATCH($I$1,[2]enemies!$1:$1,0)+1),MATCH(N$1,[2]enemies!$1:$1,0)-MATCH($I$1,[2]enemies!$1:$1,0)+1,FALSE)</f>
        <v>15</v>
      </c>
      <c r="O24" s="33">
        <v>32</v>
      </c>
      <c r="P24" s="42">
        <v>1.1000000000000001</v>
      </c>
      <c r="Q24" s="42">
        <v>1</v>
      </c>
      <c r="R24" s="43">
        <v>0</v>
      </c>
      <c r="S24" s="44" t="str">
        <f ca="1">VLOOKUP($T24,OFFSET([4]enemy_skill_sets!$B$1,0,0,COUNTA([4]enemy_skill_sets!$B:$B),MATCH(J$1,[4]enemy_skill_sets!$1:$1,0)-MATCH($T$1,[4]enemy_skill_sets!$1:$1,0)+2),MATCH(J$1,[4]enemy_skill_sets!$1:$1,0)-MATCH($T$1,[4]enemy_skill_sets!$1:$1,0)+2,FALSE)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" s="46">
        <f ca="1">VLOOKUP($I24,OFFSET([2]enemies!$A$1,0,0,COUNTA([2]enemies!$A:$A),MATCH(T$1,[2]enemies!$1:$1,0)-MATCH($I$1,[2]enemies!$1:$1,0)+1),MATCH(T$1,[2]enemies!$1:$1,0)-MATCH($I$1,[2]enemies!$1:$1,0)+1,FALSE)</f>
        <v>0</v>
      </c>
      <c r="U24" s="34">
        <v>1</v>
      </c>
      <c r="V24" s="34">
        <v>100</v>
      </c>
      <c r="W24" s="34">
        <v>0</v>
      </c>
      <c r="X24" s="46">
        <f ca="1">VLOOKUP($I24,OFFSET([2]enemies!$A$1,0,0,COUNTA([2]enemies!$A:$A),MATCH(X$1,[2]enemies!$1:$1,0)-MATCH($I$1,[2]enemies!$1:$1,0)+1),MATCH(X$1,[2]enemies!$1:$1,0)-MATCH($I$1,[2]enemies!$1:$1,0)+1,FALSE)</f>
        <v>3</v>
      </c>
      <c r="Y24" s="28">
        <v>16</v>
      </c>
      <c r="Z24" s="44" t="str">
        <f ca="1">IFERROR(VLOOKUP($Y24,OFFSET([3]characters!$A$1,0,0,COUNTA([3]characters!$A:$A),MATCH(Z$1,[3]characters!$1:$1,0)-MATCH("character_id",[3]characters!$1:$1,0)+1),MATCH(Z$1,[3]characters!$1:$1,0)-MATCH("character_id",[3]characters!$1:$1,0)+1,FALSE),"")</f>
        <v>炎戦少女 アカネ</v>
      </c>
      <c r="AA24" s="44">
        <f ca="1">IFERROR(VLOOKUP($Y24,OFFSET([3]characters!$A$1,0,0,COUNTA([3]characters!$A:$A),MATCH(AA$1,[3]characters!$1:$1,0)-MATCH("character_id",[3]characters!$1:$1,0)+1),MATCH(AA$1,[3]characters!$1:$1,0)-MATCH("character_id",[3]characters!$1:$1,0)+1,FALSE),"")</f>
        <v>2</v>
      </c>
      <c r="AB24" s="44" t="str">
        <f ca="1">IFERROR(VLOOKUP($Y24,OFFSET([3]characters!$A$1,0,0,COUNTA([3]characters!$A:$A),MATCH(AB$1,[3]characters!$1:$1,0)-MATCH("character_id",[3]characters!$1:$1,0)+1),MATCH(AB$1,[3]characters!$1:$1,0)-MATCH("character_id",[3]characters!$1:$1,0)+1,FALSE),"")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4" s="28">
        <v>5</v>
      </c>
      <c r="AD24" s="47">
        <f t="shared" ca="1" si="3"/>
        <v>2</v>
      </c>
      <c r="AE24" s="48">
        <v>15</v>
      </c>
      <c r="AF24" s="28">
        <v>0</v>
      </c>
      <c r="AG24" s="35">
        <v>0</v>
      </c>
      <c r="AH24" s="35">
        <v>0</v>
      </c>
      <c r="AI24" s="35">
        <v>0</v>
      </c>
      <c r="AJ24" s="35">
        <v>1</v>
      </c>
    </row>
    <row r="25" spans="1:36" ht="21" customHeight="1" x14ac:dyDescent="0.15">
      <c r="A25" s="17" t="str">
        <f t="shared" ca="1" si="0"/>
        <v>30004_2-1/21&lt;lv32&gt;s2</v>
      </c>
      <c r="B25" s="27">
        <v>30004</v>
      </c>
      <c r="C25" s="30">
        <v>2</v>
      </c>
      <c r="D25" s="16" t="str">
        <f t="shared" ca="1" si="4"/>
        <v>30004_2</v>
      </c>
      <c r="E25" s="44" t="str">
        <f ca="1">VLOOKUP($B25,OFFSET([1]quests!$A$1,0,0,COUNTA([1]quests!$A:$A),MATCH(E$1,[1]quests!$1:$1,0)-MATCH($B$1,[1]quests!$1:$1,0)+1),MATCH(E$1,[1]quests!$1:$1,0)-MATCH($B$1,[1]quests!$1:$1,0)+1,FALSE)</f>
        <v>危険な仲裁者</v>
      </c>
      <c r="F25" s="44" t="str">
        <f ca="1">VLOOKUP($D25,OFFSET([1]stages!$A$1,0,0,COUNTA([1]stages!$A:$A),MATCH(F$1,[1]stages!$2:$2,0)-MATCH($D$1,[1]stages!$2:$2,0)+1),MATCH(F$1,[1]stages!$2:$2,0)-MATCH($D$1,[1]stages!$2:$2,0)+1,FALSE)</f>
        <v xml:space="preserve">【上級】危険な仲裁者 </v>
      </c>
      <c r="G25" s="32">
        <v>1</v>
      </c>
      <c r="H25" s="31" t="s">
        <v>54</v>
      </c>
      <c r="I25" s="30">
        <v>21</v>
      </c>
      <c r="J25" s="46" t="str">
        <f ca="1">VLOOKUP($I25,OFFSET([2]enemies!$A$1,0,0,COUNTA([2]enemies!$A:$A),MATCH(J$1,[2]enemies!$1:$1,0)-MATCH($I$1,[2]enemies!$1:$1,0)+1),MATCH(J$1,[2]enemies!$1:$1,0)-MATCH($I$1,[2]enemies!$1:$1,0)+1,FALSE)</f>
        <v>ヴェロキー</v>
      </c>
      <c r="K25" s="46" t="str">
        <f ca="1">VLOOKUP($I25,OFFSET([2]enemies!$A$1,0,0,COUNTA([2]enemies!$A:$A),MATCH(K$1,[2]enemies!$1:$1,0)-MATCH($I$1,[2]enemies!$1:$1,0)+1),MATCH(K$1,[2]enemies!$1:$1,0)-MATCH($I$1,[2]enemies!$1:$1,0)+1,FALSE)</f>
        <v>red</v>
      </c>
      <c r="L25" s="23" t="str">
        <f ca="1">VLOOKUP(I25,[3]characters!$A:$J,10,FALSE)</f>
        <v>Drop1N</v>
      </c>
      <c r="M25" s="46" t="str">
        <f ca="1">VLOOKUP($I25,OFFSET([2]enemies!$A$1,0,0,COUNTA([2]enemies!$A:$A),MATCH(M$1,[2]enemies!$1:$1,0)-MATCH($I$1,[2]enemies!$1:$1,0)+1),MATCH(M$1,[2]enemies!$1:$1,0)-MATCH($I$1,[2]enemies!$1:$1,0)+1,FALSE)</f>
        <v>dragon</v>
      </c>
      <c r="N25" s="46">
        <f ca="1">VLOOKUP($I25,OFFSET([2]enemies!$A$1,0,0,COUNTA([2]enemies!$A:$A),MATCH(N$1,[2]enemies!$1:$1,0)-MATCH($I$1,[2]enemies!$1:$1,0)+1),MATCH(N$1,[2]enemies!$1:$1,0)-MATCH($I$1,[2]enemies!$1:$1,0)+1,FALSE)</f>
        <v>15</v>
      </c>
      <c r="O25" s="33">
        <v>32</v>
      </c>
      <c r="P25" s="42">
        <v>1.1000000000000001</v>
      </c>
      <c r="Q25" s="42">
        <v>1</v>
      </c>
      <c r="R25" s="43">
        <v>0</v>
      </c>
      <c r="S25" s="44" t="str">
        <f ca="1">VLOOKUP($T25,OFFSET([4]enemy_skill_sets!$B$1,0,0,COUNTA([4]enemy_skill_sets!$B:$B),MATCH(J$1,[4]enemy_skill_sets!$1:$1,0)-MATCH($T$1,[4]enemy_skill_sets!$1:$1,0)+2),MATCH(J$1,[4]enemy_skill_sets!$1:$1,0)-MATCH($T$1,[4]enemy_skill_sets!$1:$1,0)+2,FALSE)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" s="46">
        <f ca="1">VLOOKUP($I25,OFFSET([2]enemies!$A$1,0,0,COUNTA([2]enemies!$A:$A),MATCH(T$1,[2]enemies!$1:$1,0)-MATCH($I$1,[2]enemies!$1:$1,0)+1),MATCH(T$1,[2]enemies!$1:$1,0)-MATCH($I$1,[2]enemies!$1:$1,0)+1,FALSE)</f>
        <v>0</v>
      </c>
      <c r="U25" s="34">
        <v>0</v>
      </c>
      <c r="V25" s="34">
        <v>100</v>
      </c>
      <c r="W25" s="34">
        <v>0</v>
      </c>
      <c r="X25" s="46">
        <f ca="1">VLOOKUP($I25,OFFSET([2]enemies!$A$1,0,0,COUNTA([2]enemies!$A:$A),MATCH(X$1,[2]enemies!$1:$1,0)-MATCH($I$1,[2]enemies!$1:$1,0)+1),MATCH(X$1,[2]enemies!$1:$1,0)-MATCH($I$1,[2]enemies!$1:$1,0)+1,FALSE)</f>
        <v>2</v>
      </c>
      <c r="Y25" s="28">
        <v>21</v>
      </c>
      <c r="Z25" s="44" t="str">
        <f ca="1">IFERROR(VLOOKUP($Y25,OFFSET([3]characters!$A$1,0,0,COUNTA([3]characters!$A:$A),MATCH(Z$1,[3]characters!$1:$1,0)-MATCH("character_id",[3]characters!$1:$1,0)+1),MATCH(Z$1,[3]characters!$1:$1,0)-MATCH("character_id",[3]characters!$1:$1,0)+1,FALSE),"")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25" s="44">
        <f ca="1">IFERROR(VLOOKUP($Y25,OFFSET([3]characters!$A$1,0,0,COUNTA([3]characters!$A:$A),MATCH(AA$1,[3]characters!$1:$1,0)-MATCH("character_id",[3]characters!$1:$1,0)+1),MATCH(AA$1,[3]characters!$1:$1,0)-MATCH("character_id",[3]characters!$1:$1,0)+1,FALSE),"")</f>
        <v>1</v>
      </c>
      <c r="AB25" s="44" t="str">
        <f ca="1">IFERROR(VLOOKUP($Y25,OFFSET([3]characters!$A$1,0,0,COUNTA([3]characters!$A:$A),MATCH(AB$1,[3]characters!$1:$1,0)-MATCH("character_id",[3]characters!$1:$1,0)+1),MATCH(AB$1,[3]characters!$1:$1,0)-MATCH("character_id",[3]characters!$1:$1,0)+1,FALSE),"")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5" s="28">
        <v>5</v>
      </c>
      <c r="AD25" s="47">
        <f t="shared" ca="1" si="3"/>
        <v>1</v>
      </c>
      <c r="AE25" s="48">
        <v>15</v>
      </c>
      <c r="AF25" s="28">
        <v>0</v>
      </c>
      <c r="AG25" s="35">
        <v>0</v>
      </c>
      <c r="AH25" s="35">
        <v>0</v>
      </c>
      <c r="AI25" s="35">
        <v>0</v>
      </c>
      <c r="AJ25" s="35">
        <v>1</v>
      </c>
    </row>
    <row r="26" spans="1:36" ht="21" customHeight="1" x14ac:dyDescent="0.15">
      <c r="A26" s="17" t="str">
        <f t="shared" ca="1" si="0"/>
        <v>30004_2-1/27&lt;lv32&gt;s1</v>
      </c>
      <c r="B26" s="27">
        <v>30004</v>
      </c>
      <c r="C26" s="30">
        <v>2</v>
      </c>
      <c r="D26" s="16" t="str">
        <f t="shared" ca="1" si="4"/>
        <v>30004_2</v>
      </c>
      <c r="E26" s="44" t="str">
        <f ca="1">VLOOKUP($B26,OFFSET([1]quests!$A$1,0,0,COUNTA([1]quests!$A:$A),MATCH(E$1,[1]quests!$1:$1,0)-MATCH($B$1,[1]quests!$1:$1,0)+1),MATCH(E$1,[1]quests!$1:$1,0)-MATCH($B$1,[1]quests!$1:$1,0)+1,FALSE)</f>
        <v>危険な仲裁者</v>
      </c>
      <c r="F26" s="44" t="str">
        <f ca="1">VLOOKUP($D26,OFFSET([1]stages!$A$1,0,0,COUNTA([1]stages!$A:$A),MATCH(F$1,[1]stages!$2:$2,0)-MATCH($D$1,[1]stages!$2:$2,0)+1),MATCH(F$1,[1]stages!$2:$2,0)-MATCH($D$1,[1]stages!$2:$2,0)+1,FALSE)</f>
        <v xml:space="preserve">【上級】危険な仲裁者 </v>
      </c>
      <c r="G26" s="32">
        <v>1</v>
      </c>
      <c r="H26" s="31" t="s">
        <v>54</v>
      </c>
      <c r="I26" s="30">
        <v>27</v>
      </c>
      <c r="J26" s="46" t="str">
        <f ca="1">VLOOKUP($I26,OFFSET([2]enemies!$A$1,0,0,COUNTA([2]enemies!$A:$A),MATCH(J$1,[2]enemies!$1:$1,0)-MATCH($I$1,[2]enemies!$1:$1,0)+1),MATCH(J$1,[2]enemies!$1:$1,0)-MATCH($I$1,[2]enemies!$1:$1,0)+1,FALSE)</f>
        <v>パトライン</v>
      </c>
      <c r="K26" s="46" t="str">
        <f ca="1">VLOOKUP($I26,OFFSET([2]enemies!$A$1,0,0,COUNTA([2]enemies!$A:$A),MATCH(K$1,[2]enemies!$1:$1,0)-MATCH($I$1,[2]enemies!$1:$1,0)+1),MATCH(K$1,[2]enemies!$1:$1,0)-MATCH($I$1,[2]enemies!$1:$1,0)+1,FALSE)</f>
        <v>green</v>
      </c>
      <c r="L26" s="23" t="str">
        <f ca="1">VLOOKUP(I26,[3]characters!$A:$J,10,FALSE)</f>
        <v>Drop1N</v>
      </c>
      <c r="M26" s="46" t="str">
        <f ca="1">VLOOKUP($I26,OFFSET([2]enemies!$A$1,0,0,COUNTA([2]enemies!$A:$A),MATCH(M$1,[2]enemies!$1:$1,0)-MATCH($I$1,[2]enemies!$1:$1,0)+1),MATCH(M$1,[2]enemies!$1:$1,0)-MATCH($I$1,[2]enemies!$1:$1,0)+1,FALSE)</f>
        <v>machine</v>
      </c>
      <c r="N26" s="46">
        <f ca="1">VLOOKUP($I26,OFFSET([2]enemies!$A$1,0,0,COUNTA([2]enemies!$A:$A),MATCH(N$1,[2]enemies!$1:$1,0)-MATCH($I$1,[2]enemies!$1:$1,0)+1),MATCH(N$1,[2]enemies!$1:$1,0)-MATCH($I$1,[2]enemies!$1:$1,0)+1,FALSE)</f>
        <v>15</v>
      </c>
      <c r="O26" s="33">
        <v>32</v>
      </c>
      <c r="P26" s="42">
        <v>1.1000000000000001</v>
      </c>
      <c r="Q26" s="42">
        <v>1</v>
      </c>
      <c r="R26" s="43">
        <v>0</v>
      </c>
      <c r="S26" s="44" t="str">
        <f ca="1">VLOOKUP($T26,OFFSET([4]enemy_skill_sets!$B$1,0,0,COUNTA([4]enemy_skill_sets!$B:$B),MATCH(J$1,[4]enemy_skill_sets!$1:$1,0)-MATCH($T$1,[4]enemy_skill_sets!$1:$1,0)+2),MATCH(J$1,[4]enemy_skill_sets!$1:$1,0)-MATCH($T$1,[4]enemy_skill_sets!$1:$1,0)+2,FALSE)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" s="46">
        <f ca="1">VLOOKUP($I26,OFFSET([2]enemies!$A$1,0,0,COUNTA([2]enemies!$A:$A),MATCH(T$1,[2]enemies!$1:$1,0)-MATCH($I$1,[2]enemies!$1:$1,0)+1),MATCH(T$1,[2]enemies!$1:$1,0)-MATCH($I$1,[2]enemies!$1:$1,0)+1,FALSE)</f>
        <v>0</v>
      </c>
      <c r="U26" s="34">
        <v>0</v>
      </c>
      <c r="V26" s="34">
        <v>20</v>
      </c>
      <c r="W26" s="34">
        <v>0</v>
      </c>
      <c r="X26" s="46">
        <f ca="1">VLOOKUP($I26,OFFSET([2]enemies!$A$1,0,0,COUNTA([2]enemies!$A:$A),MATCH(X$1,[2]enemies!$1:$1,0)-MATCH($I$1,[2]enemies!$1:$1,0)+1),MATCH(X$1,[2]enemies!$1:$1,0)-MATCH($I$1,[2]enemies!$1:$1,0)+1,FALSE)</f>
        <v>1</v>
      </c>
      <c r="Y26" s="28">
        <v>27</v>
      </c>
      <c r="Z26" s="44" t="str">
        <f ca="1">IFERROR(VLOOKUP($Y26,OFFSET([3]characters!$A$1,0,0,COUNTA([3]characters!$A:$A),MATCH(Z$1,[3]characters!$1:$1,0)-MATCH("character_id",[3]characters!$1:$1,0)+1),MATCH(Z$1,[3]characters!$1:$1,0)-MATCH("character_id",[3]characters!$1:$1,0)+1,FALSE),"")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26" s="44">
        <f ca="1">IFERROR(VLOOKUP($Y26,OFFSET([3]characters!$A$1,0,0,COUNTA([3]characters!$A:$A),MATCH(AA$1,[3]characters!$1:$1,0)-MATCH("character_id",[3]characters!$1:$1,0)+1),MATCH(AA$1,[3]characters!$1:$1,0)-MATCH("character_id",[3]characters!$1:$1,0)+1,FALSE),"")</f>
        <v>1</v>
      </c>
      <c r="AB26" s="44" t="str">
        <f ca="1">IFERROR(VLOOKUP($Y26,OFFSET([3]characters!$A$1,0,0,COUNTA([3]characters!$A:$A),MATCH(AB$1,[3]characters!$1:$1,0)-MATCH("character_id",[3]characters!$1:$1,0)+1),MATCH(AB$1,[3]characters!$1:$1,0)-MATCH("character_id",[3]characters!$1:$1,0)+1,FALSE),"")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6" s="28">
        <v>5</v>
      </c>
      <c r="AD26" s="47">
        <f t="shared" ca="1" si="3"/>
        <v>1</v>
      </c>
      <c r="AE26" s="48">
        <v>15</v>
      </c>
      <c r="AF26" s="28">
        <v>0</v>
      </c>
      <c r="AG26" s="35">
        <v>0</v>
      </c>
      <c r="AH26" s="35">
        <v>0</v>
      </c>
      <c r="AI26" s="35">
        <v>0</v>
      </c>
      <c r="AJ26" s="35">
        <v>1</v>
      </c>
    </row>
    <row r="27" spans="1:36" ht="21" customHeight="1" x14ac:dyDescent="0.15">
      <c r="A27" s="17" t="str">
        <f t="shared" ca="1" si="0"/>
        <v>30004_2-1/29&lt;lv32&gt;s2</v>
      </c>
      <c r="B27" s="27">
        <v>30004</v>
      </c>
      <c r="C27" s="30">
        <v>2</v>
      </c>
      <c r="D27" s="16" t="str">
        <f t="shared" ca="1" si="4"/>
        <v>30004_2</v>
      </c>
      <c r="E27" s="44" t="str">
        <f ca="1">VLOOKUP($B27,OFFSET([1]quests!$A$1,0,0,COUNTA([1]quests!$A:$A),MATCH(E$1,[1]quests!$1:$1,0)-MATCH($B$1,[1]quests!$1:$1,0)+1),MATCH(E$1,[1]quests!$1:$1,0)-MATCH($B$1,[1]quests!$1:$1,0)+1,FALSE)</f>
        <v>危険な仲裁者</v>
      </c>
      <c r="F27" s="44" t="str">
        <f ca="1">VLOOKUP($D27,OFFSET([1]stages!$A$1,0,0,COUNTA([1]stages!$A:$A),MATCH(F$1,[1]stages!$2:$2,0)-MATCH($D$1,[1]stages!$2:$2,0)+1),MATCH(F$1,[1]stages!$2:$2,0)-MATCH($D$1,[1]stages!$2:$2,0)+1,FALSE)</f>
        <v xml:space="preserve">【上級】危険な仲裁者 </v>
      </c>
      <c r="G27" s="32">
        <v>1</v>
      </c>
      <c r="H27" s="31" t="s">
        <v>54</v>
      </c>
      <c r="I27" s="30">
        <v>29</v>
      </c>
      <c r="J27" s="46" t="str">
        <f ca="1">VLOOKUP($I27,OFFSET([2]enemies!$A$1,0,0,COUNTA([2]enemies!$A:$A),MATCH(J$1,[2]enemies!$1:$1,0)-MATCH($I$1,[2]enemies!$1:$1,0)+1),MATCH(J$1,[2]enemies!$1:$1,0)-MATCH($I$1,[2]enemies!$1:$1,0)+1,FALSE)</f>
        <v>スケアクロウ</v>
      </c>
      <c r="K27" s="46" t="str">
        <f ca="1">VLOOKUP($I27,OFFSET([2]enemies!$A$1,0,0,COUNTA([2]enemies!$A:$A),MATCH(K$1,[2]enemies!$1:$1,0)-MATCH($I$1,[2]enemies!$1:$1,0)+1),MATCH(K$1,[2]enemies!$1:$1,0)-MATCH($I$1,[2]enemies!$1:$1,0)+1,FALSE)</f>
        <v>blue</v>
      </c>
      <c r="L27" s="23" t="str">
        <f ca="1">VLOOKUP(I27,[3]characters!$A:$J,10,FALSE)</f>
        <v>Drop1N</v>
      </c>
      <c r="M27" s="46" t="str">
        <f ca="1">VLOOKUP($I27,OFFSET([2]enemies!$A$1,0,0,COUNTA([2]enemies!$A:$A),MATCH(M$1,[2]enemies!$1:$1,0)-MATCH($I$1,[2]enemies!$1:$1,0)+1),MATCH(M$1,[2]enemies!$1:$1,0)-MATCH($I$1,[2]enemies!$1:$1,0)+1,FALSE)</f>
        <v>machine</v>
      </c>
      <c r="N27" s="46">
        <f ca="1">VLOOKUP($I27,OFFSET([2]enemies!$A$1,0,0,COUNTA([2]enemies!$A:$A),MATCH(N$1,[2]enemies!$1:$1,0)-MATCH($I$1,[2]enemies!$1:$1,0)+1),MATCH(N$1,[2]enemies!$1:$1,0)-MATCH($I$1,[2]enemies!$1:$1,0)+1,FALSE)</f>
        <v>15</v>
      </c>
      <c r="O27" s="33">
        <v>32</v>
      </c>
      <c r="P27" s="42">
        <v>1.1000000000000001</v>
      </c>
      <c r="Q27" s="42">
        <v>1</v>
      </c>
      <c r="R27" s="43">
        <v>0</v>
      </c>
      <c r="S27" s="44" t="str">
        <f ca="1">VLOOKUP($T27,OFFSET([4]enemy_skill_sets!$B$1,0,0,COUNTA([4]enemy_skill_sets!$B:$B),MATCH(J$1,[4]enemy_skill_sets!$1:$1,0)-MATCH($T$1,[4]enemy_skill_sets!$1:$1,0)+2),MATCH(J$1,[4]enemy_skill_sets!$1:$1,0)-MATCH($T$1,[4]enemy_skill_sets!$1:$1,0)+2,FALSE)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" s="46">
        <f ca="1">VLOOKUP($I27,OFFSET([2]enemies!$A$1,0,0,COUNTA([2]enemies!$A:$A),MATCH(T$1,[2]enemies!$1:$1,0)-MATCH($I$1,[2]enemies!$1:$1,0)+1),MATCH(T$1,[2]enemies!$1:$1,0)-MATCH($I$1,[2]enemies!$1:$1,0)+1,FALSE)</f>
        <v>0</v>
      </c>
      <c r="U27" s="34">
        <v>0</v>
      </c>
      <c r="V27" s="34">
        <v>100</v>
      </c>
      <c r="W27" s="34">
        <v>0</v>
      </c>
      <c r="X27" s="46">
        <f ca="1">VLOOKUP($I27,OFFSET([2]enemies!$A$1,0,0,COUNTA([2]enemies!$A:$A),MATCH(X$1,[2]enemies!$1:$1,0)-MATCH($I$1,[2]enemies!$1:$1,0)+1),MATCH(X$1,[2]enemies!$1:$1,0)-MATCH($I$1,[2]enemies!$1:$1,0)+1,FALSE)</f>
        <v>2</v>
      </c>
      <c r="Y27" s="28">
        <v>29</v>
      </c>
      <c r="Z27" s="44" t="str">
        <f ca="1">IFERROR(VLOOKUP($Y27,OFFSET([3]characters!$A$1,0,0,COUNTA([3]characters!$A:$A),MATCH(Z$1,[3]characters!$1:$1,0)-MATCH("character_id",[3]characters!$1:$1,0)+1),MATCH(Z$1,[3]characters!$1:$1,0)-MATCH("character_id",[3]characters!$1:$1,0)+1,FALSE),"")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27" s="44">
        <f ca="1">IFERROR(VLOOKUP($Y27,OFFSET([3]characters!$A$1,0,0,COUNTA([3]characters!$A:$A),MATCH(AA$1,[3]characters!$1:$1,0)-MATCH("character_id",[3]characters!$1:$1,0)+1),MATCH(AA$1,[3]characters!$1:$1,0)-MATCH("character_id",[3]characters!$1:$1,0)+1,FALSE),"")</f>
        <v>1</v>
      </c>
      <c r="AB27" s="44" t="str">
        <f ca="1">IFERROR(VLOOKUP($Y27,OFFSET([3]characters!$A$1,0,0,COUNTA([3]characters!$A:$A),MATCH(AB$1,[3]characters!$1:$1,0)-MATCH("character_id",[3]characters!$1:$1,0)+1),MATCH(AB$1,[3]characters!$1:$1,0)-MATCH("character_id",[3]characters!$1:$1,0)+1,FALSE),"")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7" s="28">
        <v>5</v>
      </c>
      <c r="AD27" s="47">
        <f t="shared" ca="1" si="3"/>
        <v>1</v>
      </c>
      <c r="AE27" s="48">
        <v>15</v>
      </c>
      <c r="AF27" s="28">
        <v>0</v>
      </c>
      <c r="AG27" s="35">
        <v>0</v>
      </c>
      <c r="AH27" s="35">
        <v>0</v>
      </c>
      <c r="AI27" s="35">
        <v>0</v>
      </c>
      <c r="AJ27" s="35">
        <v>1</v>
      </c>
    </row>
    <row r="28" spans="1:36" ht="21" customHeight="1" x14ac:dyDescent="0.15">
      <c r="A28" s="17" t="str">
        <f t="shared" ca="1" si="0"/>
        <v>30004_2-1/31&lt;lv32&gt;s2</v>
      </c>
      <c r="B28" s="27">
        <v>30004</v>
      </c>
      <c r="C28" s="30">
        <v>2</v>
      </c>
      <c r="D28" s="16" t="str">
        <f t="shared" ca="1" si="4"/>
        <v>30004_2</v>
      </c>
      <c r="E28" s="44" t="str">
        <f ca="1">VLOOKUP($B28,OFFSET([1]quests!$A$1,0,0,COUNTA([1]quests!$A:$A),MATCH(E$1,[1]quests!$1:$1,0)-MATCH($B$1,[1]quests!$1:$1,0)+1),MATCH(E$1,[1]quests!$1:$1,0)-MATCH($B$1,[1]quests!$1:$1,0)+1,FALSE)</f>
        <v>危険な仲裁者</v>
      </c>
      <c r="F28" s="44" t="str">
        <f ca="1">VLOOKUP($D28,OFFSET([1]stages!$A$1,0,0,COUNTA([1]stages!$A:$A),MATCH(F$1,[1]stages!$2:$2,0)-MATCH($D$1,[1]stages!$2:$2,0)+1),MATCH(F$1,[1]stages!$2:$2,0)-MATCH($D$1,[1]stages!$2:$2,0)+1,FALSE)</f>
        <v xml:space="preserve">【上級】危険な仲裁者 </v>
      </c>
      <c r="G28" s="32">
        <v>1</v>
      </c>
      <c r="H28" s="31" t="s">
        <v>54</v>
      </c>
      <c r="I28" s="30">
        <v>31</v>
      </c>
      <c r="J28" s="46" t="str">
        <f ca="1">VLOOKUP($I28,OFFSET([2]enemies!$A$1,0,0,COUNTA([2]enemies!$A:$A),MATCH(J$1,[2]enemies!$1:$1,0)-MATCH($I$1,[2]enemies!$1:$1,0)+1),MATCH(J$1,[2]enemies!$1:$1,0)-MATCH($I$1,[2]enemies!$1:$1,0)+1,FALSE)</f>
        <v>マービー</v>
      </c>
      <c r="K28" s="46" t="str">
        <f ca="1">VLOOKUP($I28,OFFSET([2]enemies!$A$1,0,0,COUNTA([2]enemies!$A:$A),MATCH(K$1,[2]enemies!$1:$1,0)-MATCH($I$1,[2]enemies!$1:$1,0)+1),MATCH(K$1,[2]enemies!$1:$1,0)-MATCH($I$1,[2]enemies!$1:$1,0)+1,FALSE)</f>
        <v>yellow</v>
      </c>
      <c r="L28" s="23" t="str">
        <f ca="1">VLOOKUP(I28,[3]characters!$A:$J,10,FALSE)</f>
        <v>Drop1N</v>
      </c>
      <c r="M28" s="46" t="str">
        <f ca="1">VLOOKUP($I28,OFFSET([2]enemies!$A$1,0,0,COUNTA([2]enemies!$A:$A),MATCH(M$1,[2]enemies!$1:$1,0)-MATCH($I$1,[2]enemies!$1:$1,0)+1),MATCH(M$1,[2]enemies!$1:$1,0)-MATCH($I$1,[2]enemies!$1:$1,0)+1,FALSE)</f>
        <v>machine</v>
      </c>
      <c r="N28" s="46">
        <f ca="1">VLOOKUP($I28,OFFSET([2]enemies!$A$1,0,0,COUNTA([2]enemies!$A:$A),MATCH(N$1,[2]enemies!$1:$1,0)-MATCH($I$1,[2]enemies!$1:$1,0)+1),MATCH(N$1,[2]enemies!$1:$1,0)-MATCH($I$1,[2]enemies!$1:$1,0)+1,FALSE)</f>
        <v>15</v>
      </c>
      <c r="O28" s="33">
        <v>32</v>
      </c>
      <c r="P28" s="42">
        <v>1.1000000000000001</v>
      </c>
      <c r="Q28" s="42">
        <v>1</v>
      </c>
      <c r="R28" s="43">
        <v>0</v>
      </c>
      <c r="S28" s="44" t="str">
        <f ca="1">VLOOKUP($T28,OFFSET([4]enemy_skill_sets!$B$1,0,0,COUNTA([4]enemy_skill_sets!$B:$B),MATCH(J$1,[4]enemy_skill_sets!$1:$1,0)-MATCH($T$1,[4]enemy_skill_sets!$1:$1,0)+2),MATCH(J$1,[4]enemy_skill_sets!$1:$1,0)-MATCH($T$1,[4]enemy_skill_sets!$1:$1,0)+2,FALSE)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" s="46">
        <f ca="1">VLOOKUP($I28,OFFSET([2]enemies!$A$1,0,0,COUNTA([2]enemies!$A:$A),MATCH(T$1,[2]enemies!$1:$1,0)-MATCH($I$1,[2]enemies!$1:$1,0)+1),MATCH(T$1,[2]enemies!$1:$1,0)-MATCH($I$1,[2]enemies!$1:$1,0)+1,FALSE)</f>
        <v>0</v>
      </c>
      <c r="U28" s="34">
        <v>0</v>
      </c>
      <c r="V28" s="34">
        <v>100</v>
      </c>
      <c r="W28" s="34">
        <v>0</v>
      </c>
      <c r="X28" s="46">
        <f ca="1">VLOOKUP($I28,OFFSET([2]enemies!$A$1,0,0,COUNTA([2]enemies!$A:$A),MATCH(X$1,[2]enemies!$1:$1,0)-MATCH($I$1,[2]enemies!$1:$1,0)+1),MATCH(X$1,[2]enemies!$1:$1,0)-MATCH($I$1,[2]enemies!$1:$1,0)+1,FALSE)</f>
        <v>2</v>
      </c>
      <c r="Y28" s="28">
        <v>31</v>
      </c>
      <c r="Z28" s="44" t="str">
        <f ca="1">IFERROR(VLOOKUP($Y28,OFFSET([3]characters!$A$1,0,0,COUNTA([3]characters!$A:$A),MATCH(Z$1,[3]characters!$1:$1,0)-MATCH("character_id",[3]characters!$1:$1,0)+1),MATCH(Z$1,[3]characters!$1:$1,0)-MATCH("character_id",[3]characters!$1:$1,0)+1,FALSE),"")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28" s="44">
        <f ca="1">IFERROR(VLOOKUP($Y28,OFFSET([3]characters!$A$1,0,0,COUNTA([3]characters!$A:$A),MATCH(AA$1,[3]characters!$1:$1,0)-MATCH("character_id",[3]characters!$1:$1,0)+1),MATCH(AA$1,[3]characters!$1:$1,0)-MATCH("character_id",[3]characters!$1:$1,0)+1,FALSE),"")</f>
        <v>1</v>
      </c>
      <c r="AB28" s="44" t="str">
        <f ca="1">IFERROR(VLOOKUP($Y28,OFFSET([3]characters!$A$1,0,0,COUNTA([3]characters!$A:$A),MATCH(AB$1,[3]characters!$1:$1,0)-MATCH("character_id",[3]characters!$1:$1,0)+1),MATCH(AB$1,[3]characters!$1:$1,0)-MATCH("character_id",[3]characters!$1:$1,0)+1,FALSE),"")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8" s="28">
        <v>5</v>
      </c>
      <c r="AD28" s="47">
        <f t="shared" ca="1" si="3"/>
        <v>1</v>
      </c>
      <c r="AE28" s="48">
        <v>15</v>
      </c>
      <c r="AF28" s="28">
        <v>0</v>
      </c>
      <c r="AG28" s="35">
        <v>0</v>
      </c>
      <c r="AH28" s="35">
        <v>0</v>
      </c>
      <c r="AI28" s="35">
        <v>0</v>
      </c>
      <c r="AJ28" s="35">
        <v>1</v>
      </c>
    </row>
    <row r="29" spans="1:36" ht="21" customHeight="1" x14ac:dyDescent="0.15">
      <c r="A29" s="17" t="str">
        <f t="shared" ca="1" si="0"/>
        <v>30004_2-2/10&lt;lv33&gt;s2</v>
      </c>
      <c r="B29" s="27">
        <v>30004</v>
      </c>
      <c r="C29" s="30">
        <v>2</v>
      </c>
      <c r="D29" s="16" t="str">
        <f t="shared" ca="1" si="4"/>
        <v>30004_2</v>
      </c>
      <c r="E29" s="44" t="str">
        <f ca="1">VLOOKUP($B29,OFFSET([1]quests!$A$1,0,0,COUNTA([1]quests!$A:$A),MATCH(E$1,[1]quests!$1:$1,0)-MATCH($B$1,[1]quests!$1:$1,0)+1),MATCH(E$1,[1]quests!$1:$1,0)-MATCH($B$1,[1]quests!$1:$1,0)+1,FALSE)</f>
        <v>危険な仲裁者</v>
      </c>
      <c r="F29" s="44" t="str">
        <f ca="1">VLOOKUP($D29,OFFSET([1]stages!$A$1,0,0,COUNTA([1]stages!$A:$A),MATCH(F$1,[1]stages!$2:$2,0)-MATCH($D$1,[1]stages!$2:$2,0)+1),MATCH(F$1,[1]stages!$2:$2,0)-MATCH($D$1,[1]stages!$2:$2,0)+1,FALSE)</f>
        <v xml:space="preserve">【上級】危険な仲裁者 </v>
      </c>
      <c r="G29" s="32">
        <v>2</v>
      </c>
      <c r="H29" s="31" t="s">
        <v>55</v>
      </c>
      <c r="I29" s="30">
        <v>10</v>
      </c>
      <c r="J29" s="46" t="str">
        <f ca="1">VLOOKUP($I29,OFFSET([2]enemies!$A$1,0,0,COUNTA([2]enemies!$A:$A),MATCH(J$1,[2]enemies!$1:$1,0)-MATCH($I$1,[2]enemies!$1:$1,0)+1),MATCH(J$1,[2]enemies!$1:$1,0)-MATCH($I$1,[2]enemies!$1:$1,0)+1,FALSE)</f>
        <v>燃える悪戯魂 ブレット</v>
      </c>
      <c r="K29" s="46" t="str">
        <f ca="1">VLOOKUP($I29,OFFSET([2]enemies!$A$1,0,0,COUNTA([2]enemies!$A:$A),MATCH(K$1,[2]enemies!$1:$1,0)-MATCH($I$1,[2]enemies!$1:$1,0)+1),MATCH(K$1,[2]enemies!$1:$1,0)-MATCH($I$1,[2]enemies!$1:$1,0)+1,FALSE)</f>
        <v>red</v>
      </c>
      <c r="L29" s="23" t="str">
        <f ca="1">VLOOKUP(I29,[3]characters!$A:$J,10,FALSE)</f>
        <v>Drop1W</v>
      </c>
      <c r="M29" s="46" t="str">
        <f ca="1">VLOOKUP($I29,OFFSET([2]enemies!$A$1,0,0,COUNTA([2]enemies!$A:$A),MATCH(M$1,[2]enemies!$1:$1,0)-MATCH($I$1,[2]enemies!$1:$1,0)+1),MATCH(M$1,[2]enemies!$1:$1,0)-MATCH($I$1,[2]enemies!$1:$1,0)+1,FALSE)</f>
        <v>animal</v>
      </c>
      <c r="N29" s="46">
        <f ca="1">VLOOKUP($I29,OFFSET([2]enemies!$A$1,0,0,COUNTA([2]enemies!$A:$A),MATCH(N$1,[2]enemies!$1:$1,0)-MATCH($I$1,[2]enemies!$1:$1,0)+1),MATCH(N$1,[2]enemies!$1:$1,0)-MATCH($I$1,[2]enemies!$1:$1,0)+1,FALSE)</f>
        <v>15</v>
      </c>
      <c r="O29" s="33">
        <v>33</v>
      </c>
      <c r="P29" s="42">
        <v>1.1000000000000001</v>
      </c>
      <c r="Q29" s="42">
        <v>1</v>
      </c>
      <c r="R29" s="43">
        <v>0</v>
      </c>
      <c r="S29" s="44" t="str">
        <f ca="1">VLOOKUP($T29,OFFSET([4]enemy_skill_sets!$B$1,0,0,COUNTA([4]enemy_skill_sets!$B:$B),MATCH(J$1,[4]enemy_skill_sets!$1:$1,0)-MATCH($T$1,[4]enemy_skill_sets!$1:$1,0)+2),MATCH(J$1,[4]enemy_skill_sets!$1:$1,0)-MATCH($T$1,[4]enemy_skill_sets!$1:$1,0)+2,FALSE)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" s="46">
        <f ca="1">VLOOKUP($I29,OFFSET([2]enemies!$A$1,0,0,COUNTA([2]enemies!$A:$A),MATCH(T$1,[2]enemies!$1:$1,0)-MATCH($I$1,[2]enemies!$1:$1,0)+1),MATCH(T$1,[2]enemies!$1:$1,0)-MATCH($I$1,[2]enemies!$1:$1,0)+1,FALSE)</f>
        <v>0</v>
      </c>
      <c r="U29" s="34">
        <v>0</v>
      </c>
      <c r="V29" s="34">
        <v>100</v>
      </c>
      <c r="W29" s="34">
        <v>0</v>
      </c>
      <c r="X29" s="46">
        <f ca="1">VLOOKUP($I29,OFFSET([2]enemies!$A$1,0,0,COUNTA([2]enemies!$A:$A),MATCH(X$1,[2]enemies!$1:$1,0)-MATCH($I$1,[2]enemies!$1:$1,0)+1),MATCH(X$1,[2]enemies!$1:$1,0)-MATCH($I$1,[2]enemies!$1:$1,0)+1,FALSE)</f>
        <v>2</v>
      </c>
      <c r="Y29" s="28">
        <v>10</v>
      </c>
      <c r="Z29" s="44" t="str">
        <f ca="1">IFERROR(VLOOKUP($Y29,OFFSET([3]characters!$A$1,0,0,COUNTA([3]characters!$A:$A),MATCH(Z$1,[3]characters!$1:$1,0)-MATCH("character_id",[3]characters!$1:$1,0)+1),MATCH(Z$1,[3]characters!$1:$1,0)-MATCH("character_id",[3]characters!$1:$1,0)+1,FALSE),"")</f>
        <v>燃える悪戯魂 ブレット</v>
      </c>
      <c r="AA29" s="44">
        <f ca="1">IFERROR(VLOOKUP($Y29,OFFSET([3]characters!$A$1,0,0,COUNTA([3]characters!$A:$A),MATCH(AA$1,[3]characters!$1:$1,0)-MATCH("character_id",[3]characters!$1:$1,0)+1),MATCH(AA$1,[3]characters!$1:$1,0)-MATCH("character_id",[3]characters!$1:$1,0)+1,FALSE),"")</f>
        <v>2</v>
      </c>
      <c r="AB29" s="44" t="str">
        <f ca="1">IFERROR(VLOOKUP($Y29,OFFSET([3]characters!$A$1,0,0,COUNTA([3]characters!$A:$A),MATCH(AB$1,[3]characters!$1:$1,0)-MATCH("character_id",[3]characters!$1:$1,0)+1),MATCH(AB$1,[3]characters!$1:$1,0)-MATCH("character_id",[3]characters!$1:$1,0)+1,FALSE),"")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9" s="28">
        <v>5</v>
      </c>
      <c r="AD29" s="47">
        <f t="shared" ca="1" si="3"/>
        <v>2</v>
      </c>
      <c r="AE29" s="48">
        <v>15</v>
      </c>
      <c r="AF29" s="28">
        <v>0</v>
      </c>
      <c r="AG29" s="35">
        <v>0</v>
      </c>
      <c r="AH29" s="35">
        <v>0</v>
      </c>
      <c r="AI29" s="35">
        <v>0</v>
      </c>
      <c r="AJ29" s="35">
        <v>1</v>
      </c>
    </row>
    <row r="30" spans="1:36" ht="21" customHeight="1" x14ac:dyDescent="0.15">
      <c r="A30" s="17" t="str">
        <f t="shared" ca="1" si="0"/>
        <v>30004_2-2/16&lt;lv33&gt;s3</v>
      </c>
      <c r="B30" s="27">
        <v>30004</v>
      </c>
      <c r="C30" s="30">
        <v>2</v>
      </c>
      <c r="D30" s="16" t="str">
        <f t="shared" ca="1" si="4"/>
        <v>30004_2</v>
      </c>
      <c r="E30" s="44" t="str">
        <f ca="1">VLOOKUP($B30,OFFSET([1]quests!$A$1,0,0,COUNTA([1]quests!$A:$A),MATCH(E$1,[1]quests!$1:$1,0)-MATCH($B$1,[1]quests!$1:$1,0)+1),MATCH(E$1,[1]quests!$1:$1,0)-MATCH($B$1,[1]quests!$1:$1,0)+1,FALSE)</f>
        <v>危険な仲裁者</v>
      </c>
      <c r="F30" s="44" t="str">
        <f ca="1">VLOOKUP($D30,OFFSET([1]stages!$A$1,0,0,COUNTA([1]stages!$A:$A),MATCH(F$1,[1]stages!$2:$2,0)-MATCH($D$1,[1]stages!$2:$2,0)+1),MATCH(F$1,[1]stages!$2:$2,0)-MATCH($D$1,[1]stages!$2:$2,0)+1,FALSE)</f>
        <v xml:space="preserve">【上級】危険な仲裁者 </v>
      </c>
      <c r="G30" s="32">
        <v>2</v>
      </c>
      <c r="H30" s="31" t="s">
        <v>55</v>
      </c>
      <c r="I30" s="30">
        <v>16</v>
      </c>
      <c r="J30" s="46" t="str">
        <f ca="1">VLOOKUP($I30,OFFSET([2]enemies!$A$1,0,0,COUNTA([2]enemies!$A:$A),MATCH(J$1,[2]enemies!$1:$1,0)-MATCH($I$1,[2]enemies!$1:$1,0)+1),MATCH(J$1,[2]enemies!$1:$1,0)-MATCH($I$1,[2]enemies!$1:$1,0)+1,FALSE)</f>
        <v>炎戦少女 アカネ</v>
      </c>
      <c r="K30" s="46" t="str">
        <f ca="1">VLOOKUP($I30,OFFSET([2]enemies!$A$1,0,0,COUNTA([2]enemies!$A:$A),MATCH(K$1,[2]enemies!$1:$1,0)-MATCH($I$1,[2]enemies!$1:$1,0)+1),MATCH(K$1,[2]enemies!$1:$1,0)-MATCH($I$1,[2]enemies!$1:$1,0)+1,FALSE)</f>
        <v>red</v>
      </c>
      <c r="L30" s="23" t="str">
        <f ca="1">VLOOKUP(I30,[3]characters!$A:$J,10,FALSE)</f>
        <v>Drop1W</v>
      </c>
      <c r="M30" s="46" t="str">
        <f ca="1">VLOOKUP($I30,OFFSET([2]enemies!$A$1,0,0,COUNTA([2]enemies!$A:$A),MATCH(M$1,[2]enemies!$1:$1,0)-MATCH($I$1,[2]enemies!$1:$1,0)+1),MATCH(M$1,[2]enemies!$1:$1,0)-MATCH($I$1,[2]enemies!$1:$1,0)+1,FALSE)</f>
        <v>human</v>
      </c>
      <c r="N30" s="46">
        <f ca="1">VLOOKUP($I30,OFFSET([2]enemies!$A$1,0,0,COUNTA([2]enemies!$A:$A),MATCH(N$1,[2]enemies!$1:$1,0)-MATCH($I$1,[2]enemies!$1:$1,0)+1),MATCH(N$1,[2]enemies!$1:$1,0)-MATCH($I$1,[2]enemies!$1:$1,0)+1,FALSE)</f>
        <v>15</v>
      </c>
      <c r="O30" s="33">
        <v>33</v>
      </c>
      <c r="P30" s="42">
        <v>1.1000000000000001</v>
      </c>
      <c r="Q30" s="42">
        <v>1</v>
      </c>
      <c r="R30" s="43">
        <v>0</v>
      </c>
      <c r="S30" s="44" t="str">
        <f ca="1">VLOOKUP($T30,OFFSET([4]enemy_skill_sets!$B$1,0,0,COUNTA([4]enemy_skill_sets!$B:$B),MATCH(J$1,[4]enemy_skill_sets!$1:$1,0)-MATCH($T$1,[4]enemy_skill_sets!$1:$1,0)+2),MATCH(J$1,[4]enemy_skill_sets!$1:$1,0)-MATCH($T$1,[4]enemy_skill_sets!$1:$1,0)+2,FALSE)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" s="46">
        <f ca="1">VLOOKUP($I30,OFFSET([2]enemies!$A$1,0,0,COUNTA([2]enemies!$A:$A),MATCH(T$1,[2]enemies!$1:$1,0)-MATCH($I$1,[2]enemies!$1:$1,0)+1),MATCH(T$1,[2]enemies!$1:$1,0)-MATCH($I$1,[2]enemies!$1:$1,0)+1,FALSE)</f>
        <v>0</v>
      </c>
      <c r="U30" s="34">
        <v>0</v>
      </c>
      <c r="V30" s="34">
        <v>100</v>
      </c>
      <c r="W30" s="34">
        <v>0</v>
      </c>
      <c r="X30" s="46">
        <f ca="1">VLOOKUP($I30,OFFSET([2]enemies!$A$1,0,0,COUNTA([2]enemies!$A:$A),MATCH(X$1,[2]enemies!$1:$1,0)-MATCH($I$1,[2]enemies!$1:$1,0)+1),MATCH(X$1,[2]enemies!$1:$1,0)-MATCH($I$1,[2]enemies!$1:$1,0)+1,FALSE)</f>
        <v>3</v>
      </c>
      <c r="Y30" s="28">
        <v>16</v>
      </c>
      <c r="Z30" s="44" t="str">
        <f ca="1">IFERROR(VLOOKUP($Y30,OFFSET([3]characters!$A$1,0,0,COUNTA([3]characters!$A:$A),MATCH(Z$1,[3]characters!$1:$1,0)-MATCH("character_id",[3]characters!$1:$1,0)+1),MATCH(Z$1,[3]characters!$1:$1,0)-MATCH("character_id",[3]characters!$1:$1,0)+1,FALSE),"")</f>
        <v>炎戦少女 アカネ</v>
      </c>
      <c r="AA30" s="44">
        <f ca="1">IFERROR(VLOOKUP($Y30,OFFSET([3]characters!$A$1,0,0,COUNTA([3]characters!$A:$A),MATCH(AA$1,[3]characters!$1:$1,0)-MATCH("character_id",[3]characters!$1:$1,0)+1),MATCH(AA$1,[3]characters!$1:$1,0)-MATCH("character_id",[3]characters!$1:$1,0)+1,FALSE),"")</f>
        <v>2</v>
      </c>
      <c r="AB30" s="44" t="str">
        <f ca="1">IFERROR(VLOOKUP($Y30,OFFSET([3]characters!$A$1,0,0,COUNTA([3]characters!$A:$A),MATCH(AB$1,[3]characters!$1:$1,0)-MATCH("character_id",[3]characters!$1:$1,0)+1),MATCH(AB$1,[3]characters!$1:$1,0)-MATCH("character_id",[3]characters!$1:$1,0)+1,FALSE),"")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0" s="28">
        <v>5</v>
      </c>
      <c r="AD30" s="47">
        <f t="shared" ca="1" si="3"/>
        <v>2</v>
      </c>
      <c r="AE30" s="48">
        <v>15</v>
      </c>
      <c r="AF30" s="28">
        <v>0</v>
      </c>
      <c r="AG30" s="35">
        <v>0</v>
      </c>
      <c r="AH30" s="35">
        <v>0</v>
      </c>
      <c r="AI30" s="35">
        <v>0</v>
      </c>
      <c r="AJ30" s="35">
        <v>1</v>
      </c>
    </row>
    <row r="31" spans="1:36" ht="21" customHeight="1" x14ac:dyDescent="0.15">
      <c r="A31" s="17" t="str">
        <f t="shared" ca="1" si="0"/>
        <v>30004_2-2/21&lt;lv33&gt;s2</v>
      </c>
      <c r="B31" s="27">
        <v>30004</v>
      </c>
      <c r="C31" s="30">
        <v>2</v>
      </c>
      <c r="D31" s="16" t="str">
        <f t="shared" ca="1" si="4"/>
        <v>30004_2</v>
      </c>
      <c r="E31" s="44" t="str">
        <f ca="1">VLOOKUP($B31,OFFSET([1]quests!$A$1,0,0,COUNTA([1]quests!$A:$A),MATCH(E$1,[1]quests!$1:$1,0)-MATCH($B$1,[1]quests!$1:$1,0)+1),MATCH(E$1,[1]quests!$1:$1,0)-MATCH($B$1,[1]quests!$1:$1,0)+1,FALSE)</f>
        <v>危険な仲裁者</v>
      </c>
      <c r="F31" s="44" t="str">
        <f ca="1">VLOOKUP($D31,OFFSET([1]stages!$A$1,0,0,COUNTA([1]stages!$A:$A),MATCH(F$1,[1]stages!$2:$2,0)-MATCH($D$1,[1]stages!$2:$2,0)+1),MATCH(F$1,[1]stages!$2:$2,0)-MATCH($D$1,[1]stages!$2:$2,0)+1,FALSE)</f>
        <v xml:space="preserve">【上級】危険な仲裁者 </v>
      </c>
      <c r="G31" s="32">
        <v>2</v>
      </c>
      <c r="H31" s="31" t="s">
        <v>55</v>
      </c>
      <c r="I31" s="30">
        <v>21</v>
      </c>
      <c r="J31" s="46" t="str">
        <f ca="1">VLOOKUP($I31,OFFSET([2]enemies!$A$1,0,0,COUNTA([2]enemies!$A:$A),MATCH(J$1,[2]enemies!$1:$1,0)-MATCH($I$1,[2]enemies!$1:$1,0)+1),MATCH(J$1,[2]enemies!$1:$1,0)-MATCH($I$1,[2]enemies!$1:$1,0)+1,FALSE)</f>
        <v>ヴェロキー</v>
      </c>
      <c r="K31" s="46" t="str">
        <f ca="1">VLOOKUP($I31,OFFSET([2]enemies!$A$1,0,0,COUNTA([2]enemies!$A:$A),MATCH(K$1,[2]enemies!$1:$1,0)-MATCH($I$1,[2]enemies!$1:$1,0)+1),MATCH(K$1,[2]enemies!$1:$1,0)-MATCH($I$1,[2]enemies!$1:$1,0)+1,FALSE)</f>
        <v>red</v>
      </c>
      <c r="L31" s="23" t="str">
        <f ca="1">VLOOKUP(I31,[3]characters!$A:$J,10,FALSE)</f>
        <v>Drop1N</v>
      </c>
      <c r="M31" s="46" t="str">
        <f ca="1">VLOOKUP($I31,OFFSET([2]enemies!$A$1,0,0,COUNTA([2]enemies!$A:$A),MATCH(M$1,[2]enemies!$1:$1,0)-MATCH($I$1,[2]enemies!$1:$1,0)+1),MATCH(M$1,[2]enemies!$1:$1,0)-MATCH($I$1,[2]enemies!$1:$1,0)+1,FALSE)</f>
        <v>dragon</v>
      </c>
      <c r="N31" s="46">
        <f ca="1">VLOOKUP($I31,OFFSET([2]enemies!$A$1,0,0,COUNTA([2]enemies!$A:$A),MATCH(N$1,[2]enemies!$1:$1,0)-MATCH($I$1,[2]enemies!$1:$1,0)+1),MATCH(N$1,[2]enemies!$1:$1,0)-MATCH($I$1,[2]enemies!$1:$1,0)+1,FALSE)</f>
        <v>15</v>
      </c>
      <c r="O31" s="33">
        <v>33</v>
      </c>
      <c r="P31" s="42">
        <v>1.1000000000000001</v>
      </c>
      <c r="Q31" s="42">
        <v>1</v>
      </c>
      <c r="R31" s="43">
        <v>0</v>
      </c>
      <c r="S31" s="44" t="str">
        <f ca="1">VLOOKUP($T31,OFFSET([4]enemy_skill_sets!$B$1,0,0,COUNTA([4]enemy_skill_sets!$B:$B),MATCH(J$1,[4]enemy_skill_sets!$1:$1,0)-MATCH($T$1,[4]enemy_skill_sets!$1:$1,0)+2),MATCH(J$1,[4]enemy_skill_sets!$1:$1,0)-MATCH($T$1,[4]enemy_skill_sets!$1:$1,0)+2,FALSE)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" s="46">
        <f ca="1">VLOOKUP($I31,OFFSET([2]enemies!$A$1,0,0,COUNTA([2]enemies!$A:$A),MATCH(T$1,[2]enemies!$1:$1,0)-MATCH($I$1,[2]enemies!$1:$1,0)+1),MATCH(T$1,[2]enemies!$1:$1,0)-MATCH($I$1,[2]enemies!$1:$1,0)+1,FALSE)</f>
        <v>0</v>
      </c>
      <c r="U31" s="34">
        <v>1</v>
      </c>
      <c r="V31" s="34">
        <v>100</v>
      </c>
      <c r="W31" s="34">
        <v>0</v>
      </c>
      <c r="X31" s="46">
        <f ca="1">VLOOKUP($I31,OFFSET([2]enemies!$A$1,0,0,COUNTA([2]enemies!$A:$A),MATCH(X$1,[2]enemies!$1:$1,0)-MATCH($I$1,[2]enemies!$1:$1,0)+1),MATCH(X$1,[2]enemies!$1:$1,0)-MATCH($I$1,[2]enemies!$1:$1,0)+1,FALSE)</f>
        <v>2</v>
      </c>
      <c r="Y31" s="28">
        <v>21</v>
      </c>
      <c r="Z31" s="44" t="str">
        <f ca="1">IFERROR(VLOOKUP($Y31,OFFSET([3]characters!$A$1,0,0,COUNTA([3]characters!$A:$A),MATCH(Z$1,[3]characters!$1:$1,0)-MATCH("character_id",[3]characters!$1:$1,0)+1),MATCH(Z$1,[3]characters!$1:$1,0)-MATCH("character_id",[3]characters!$1:$1,0)+1,FALSE),"")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31" s="44">
        <f ca="1">IFERROR(VLOOKUP($Y31,OFFSET([3]characters!$A$1,0,0,COUNTA([3]characters!$A:$A),MATCH(AA$1,[3]characters!$1:$1,0)-MATCH("character_id",[3]characters!$1:$1,0)+1),MATCH(AA$1,[3]characters!$1:$1,0)-MATCH("character_id",[3]characters!$1:$1,0)+1,FALSE),"")</f>
        <v>1</v>
      </c>
      <c r="AB31" s="44" t="str">
        <f ca="1">IFERROR(VLOOKUP($Y31,OFFSET([3]characters!$A$1,0,0,COUNTA([3]characters!$A:$A),MATCH(AB$1,[3]characters!$1:$1,0)-MATCH("character_id",[3]characters!$1:$1,0)+1),MATCH(AB$1,[3]characters!$1:$1,0)-MATCH("character_id",[3]characters!$1:$1,0)+1,FALSE),"")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1" s="28">
        <v>5</v>
      </c>
      <c r="AD31" s="47">
        <f t="shared" ca="1" si="3"/>
        <v>1</v>
      </c>
      <c r="AE31" s="48">
        <v>15</v>
      </c>
      <c r="AF31" s="28">
        <v>0</v>
      </c>
      <c r="AG31" s="35">
        <v>0</v>
      </c>
      <c r="AH31" s="35">
        <v>0</v>
      </c>
      <c r="AI31" s="35">
        <v>0</v>
      </c>
      <c r="AJ31" s="35">
        <v>1</v>
      </c>
    </row>
    <row r="32" spans="1:36" ht="21" customHeight="1" x14ac:dyDescent="0.15">
      <c r="A32" s="17" t="str">
        <f t="shared" ca="1" si="0"/>
        <v>30004_2-2/27&lt;lv33&gt;s1</v>
      </c>
      <c r="B32" s="27">
        <v>30004</v>
      </c>
      <c r="C32" s="30">
        <v>2</v>
      </c>
      <c r="D32" s="16" t="str">
        <f t="shared" ca="1" si="4"/>
        <v>30004_2</v>
      </c>
      <c r="E32" s="44" t="str">
        <f ca="1">VLOOKUP($B32,OFFSET([1]quests!$A$1,0,0,COUNTA([1]quests!$A:$A),MATCH(E$1,[1]quests!$1:$1,0)-MATCH($B$1,[1]quests!$1:$1,0)+1),MATCH(E$1,[1]quests!$1:$1,0)-MATCH($B$1,[1]quests!$1:$1,0)+1,FALSE)</f>
        <v>危険な仲裁者</v>
      </c>
      <c r="F32" s="44" t="str">
        <f ca="1">VLOOKUP($D32,OFFSET([1]stages!$A$1,0,0,COUNTA([1]stages!$A:$A),MATCH(F$1,[1]stages!$2:$2,0)-MATCH($D$1,[1]stages!$2:$2,0)+1),MATCH(F$1,[1]stages!$2:$2,0)-MATCH($D$1,[1]stages!$2:$2,0)+1,FALSE)</f>
        <v xml:space="preserve">【上級】危険な仲裁者 </v>
      </c>
      <c r="G32" s="32">
        <v>2</v>
      </c>
      <c r="H32" s="31" t="s">
        <v>55</v>
      </c>
      <c r="I32" s="30">
        <v>27</v>
      </c>
      <c r="J32" s="46" t="str">
        <f ca="1">VLOOKUP($I32,OFFSET([2]enemies!$A$1,0,0,COUNTA([2]enemies!$A:$A),MATCH(J$1,[2]enemies!$1:$1,0)-MATCH($I$1,[2]enemies!$1:$1,0)+1),MATCH(J$1,[2]enemies!$1:$1,0)-MATCH($I$1,[2]enemies!$1:$1,0)+1,FALSE)</f>
        <v>パトライン</v>
      </c>
      <c r="K32" s="46" t="str">
        <f ca="1">VLOOKUP($I32,OFFSET([2]enemies!$A$1,0,0,COUNTA([2]enemies!$A:$A),MATCH(K$1,[2]enemies!$1:$1,0)-MATCH($I$1,[2]enemies!$1:$1,0)+1),MATCH(K$1,[2]enemies!$1:$1,0)-MATCH($I$1,[2]enemies!$1:$1,0)+1,FALSE)</f>
        <v>green</v>
      </c>
      <c r="L32" s="23" t="str">
        <f ca="1">VLOOKUP(I32,[3]characters!$A:$J,10,FALSE)</f>
        <v>Drop1N</v>
      </c>
      <c r="M32" s="46" t="str">
        <f ca="1">VLOOKUP($I32,OFFSET([2]enemies!$A$1,0,0,COUNTA([2]enemies!$A:$A),MATCH(M$1,[2]enemies!$1:$1,0)-MATCH($I$1,[2]enemies!$1:$1,0)+1),MATCH(M$1,[2]enemies!$1:$1,0)-MATCH($I$1,[2]enemies!$1:$1,0)+1,FALSE)</f>
        <v>machine</v>
      </c>
      <c r="N32" s="46">
        <f ca="1">VLOOKUP($I32,OFFSET([2]enemies!$A$1,0,0,COUNTA([2]enemies!$A:$A),MATCH(N$1,[2]enemies!$1:$1,0)-MATCH($I$1,[2]enemies!$1:$1,0)+1),MATCH(N$1,[2]enemies!$1:$1,0)-MATCH($I$1,[2]enemies!$1:$1,0)+1,FALSE)</f>
        <v>15</v>
      </c>
      <c r="O32" s="33">
        <v>33</v>
      </c>
      <c r="P32" s="42">
        <v>1.1000000000000001</v>
      </c>
      <c r="Q32" s="42">
        <v>1</v>
      </c>
      <c r="R32" s="43">
        <v>0</v>
      </c>
      <c r="S32" s="44" t="str">
        <f ca="1">VLOOKUP($T32,OFFSET([4]enemy_skill_sets!$B$1,0,0,COUNTA([4]enemy_skill_sets!$B:$B),MATCH(J$1,[4]enemy_skill_sets!$1:$1,0)-MATCH($T$1,[4]enemy_skill_sets!$1:$1,0)+2),MATCH(J$1,[4]enemy_skill_sets!$1:$1,0)-MATCH($T$1,[4]enemy_skill_sets!$1:$1,0)+2,FALSE)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" s="46">
        <f ca="1">VLOOKUP($I32,OFFSET([2]enemies!$A$1,0,0,COUNTA([2]enemies!$A:$A),MATCH(T$1,[2]enemies!$1:$1,0)-MATCH($I$1,[2]enemies!$1:$1,0)+1),MATCH(T$1,[2]enemies!$1:$1,0)-MATCH($I$1,[2]enemies!$1:$1,0)+1,FALSE)</f>
        <v>0</v>
      </c>
      <c r="U32" s="34">
        <v>0</v>
      </c>
      <c r="V32" s="34">
        <v>20</v>
      </c>
      <c r="W32" s="34">
        <v>0</v>
      </c>
      <c r="X32" s="46">
        <f ca="1">VLOOKUP($I32,OFFSET([2]enemies!$A$1,0,0,COUNTA([2]enemies!$A:$A),MATCH(X$1,[2]enemies!$1:$1,0)-MATCH($I$1,[2]enemies!$1:$1,0)+1),MATCH(X$1,[2]enemies!$1:$1,0)-MATCH($I$1,[2]enemies!$1:$1,0)+1,FALSE)</f>
        <v>1</v>
      </c>
      <c r="Y32" s="28">
        <v>27</v>
      </c>
      <c r="Z32" s="44" t="str">
        <f ca="1">IFERROR(VLOOKUP($Y32,OFFSET([3]characters!$A$1,0,0,COUNTA([3]characters!$A:$A),MATCH(Z$1,[3]characters!$1:$1,0)-MATCH("character_id",[3]characters!$1:$1,0)+1),MATCH(Z$1,[3]characters!$1:$1,0)-MATCH("character_id",[3]characters!$1:$1,0)+1,FALSE),"")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32" s="44">
        <f ca="1">IFERROR(VLOOKUP($Y32,OFFSET([3]characters!$A$1,0,0,COUNTA([3]characters!$A:$A),MATCH(AA$1,[3]characters!$1:$1,0)-MATCH("character_id",[3]characters!$1:$1,0)+1),MATCH(AA$1,[3]characters!$1:$1,0)-MATCH("character_id",[3]characters!$1:$1,0)+1,FALSE),"")</f>
        <v>1</v>
      </c>
      <c r="AB32" s="44" t="str">
        <f ca="1">IFERROR(VLOOKUP($Y32,OFFSET([3]characters!$A$1,0,0,COUNTA([3]characters!$A:$A),MATCH(AB$1,[3]characters!$1:$1,0)-MATCH("character_id",[3]characters!$1:$1,0)+1),MATCH(AB$1,[3]characters!$1:$1,0)-MATCH("character_id",[3]characters!$1:$1,0)+1,FALSE),"")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2" s="28">
        <v>5</v>
      </c>
      <c r="AD32" s="47">
        <f t="shared" ca="1" si="3"/>
        <v>1</v>
      </c>
      <c r="AE32" s="48">
        <v>15</v>
      </c>
      <c r="AF32" s="28">
        <v>0</v>
      </c>
      <c r="AG32" s="35">
        <v>0</v>
      </c>
      <c r="AH32" s="35">
        <v>0</v>
      </c>
      <c r="AI32" s="35">
        <v>0</v>
      </c>
      <c r="AJ32" s="35">
        <v>1</v>
      </c>
    </row>
    <row r="33" spans="1:36" ht="21" customHeight="1" x14ac:dyDescent="0.15">
      <c r="A33" s="17" t="str">
        <f t="shared" ca="1" si="0"/>
        <v>30004_2-2/29&lt;lv33&gt;s2</v>
      </c>
      <c r="B33" s="27">
        <v>30004</v>
      </c>
      <c r="C33" s="30">
        <v>2</v>
      </c>
      <c r="D33" s="16" t="str">
        <f t="shared" ca="1" si="4"/>
        <v>30004_2</v>
      </c>
      <c r="E33" s="44" t="str">
        <f ca="1">VLOOKUP($B33,OFFSET([1]quests!$A$1,0,0,COUNTA([1]quests!$A:$A),MATCH(E$1,[1]quests!$1:$1,0)-MATCH($B$1,[1]quests!$1:$1,0)+1),MATCH(E$1,[1]quests!$1:$1,0)-MATCH($B$1,[1]quests!$1:$1,0)+1,FALSE)</f>
        <v>危険な仲裁者</v>
      </c>
      <c r="F33" s="44" t="str">
        <f ca="1">VLOOKUP($D33,OFFSET([1]stages!$A$1,0,0,COUNTA([1]stages!$A:$A),MATCH(F$1,[1]stages!$2:$2,0)-MATCH($D$1,[1]stages!$2:$2,0)+1),MATCH(F$1,[1]stages!$2:$2,0)-MATCH($D$1,[1]stages!$2:$2,0)+1,FALSE)</f>
        <v xml:space="preserve">【上級】危険な仲裁者 </v>
      </c>
      <c r="G33" s="32">
        <v>2</v>
      </c>
      <c r="H33" s="31" t="s">
        <v>55</v>
      </c>
      <c r="I33" s="30">
        <v>29</v>
      </c>
      <c r="J33" s="46" t="str">
        <f ca="1">VLOOKUP($I33,OFFSET([2]enemies!$A$1,0,0,COUNTA([2]enemies!$A:$A),MATCH(J$1,[2]enemies!$1:$1,0)-MATCH($I$1,[2]enemies!$1:$1,0)+1),MATCH(J$1,[2]enemies!$1:$1,0)-MATCH($I$1,[2]enemies!$1:$1,0)+1,FALSE)</f>
        <v>スケアクロウ</v>
      </c>
      <c r="K33" s="46" t="str">
        <f ca="1">VLOOKUP($I33,OFFSET([2]enemies!$A$1,0,0,COUNTA([2]enemies!$A:$A),MATCH(K$1,[2]enemies!$1:$1,0)-MATCH($I$1,[2]enemies!$1:$1,0)+1),MATCH(K$1,[2]enemies!$1:$1,0)-MATCH($I$1,[2]enemies!$1:$1,0)+1,FALSE)</f>
        <v>blue</v>
      </c>
      <c r="L33" s="23" t="str">
        <f ca="1">VLOOKUP(I33,[3]characters!$A:$J,10,FALSE)</f>
        <v>Drop1N</v>
      </c>
      <c r="M33" s="46" t="str">
        <f ca="1">VLOOKUP($I33,OFFSET([2]enemies!$A$1,0,0,COUNTA([2]enemies!$A:$A),MATCH(M$1,[2]enemies!$1:$1,0)-MATCH($I$1,[2]enemies!$1:$1,0)+1),MATCH(M$1,[2]enemies!$1:$1,0)-MATCH($I$1,[2]enemies!$1:$1,0)+1,FALSE)</f>
        <v>machine</v>
      </c>
      <c r="N33" s="46">
        <f ca="1">VLOOKUP($I33,OFFSET([2]enemies!$A$1,0,0,COUNTA([2]enemies!$A:$A),MATCH(N$1,[2]enemies!$1:$1,0)-MATCH($I$1,[2]enemies!$1:$1,0)+1),MATCH(N$1,[2]enemies!$1:$1,0)-MATCH($I$1,[2]enemies!$1:$1,0)+1,FALSE)</f>
        <v>15</v>
      </c>
      <c r="O33" s="33">
        <v>33</v>
      </c>
      <c r="P33" s="42">
        <v>1.1000000000000001</v>
      </c>
      <c r="Q33" s="42">
        <v>1</v>
      </c>
      <c r="R33" s="43">
        <v>0</v>
      </c>
      <c r="S33" s="44" t="str">
        <f ca="1">VLOOKUP($T33,OFFSET([4]enemy_skill_sets!$B$1,0,0,COUNTA([4]enemy_skill_sets!$B:$B),MATCH(J$1,[4]enemy_skill_sets!$1:$1,0)-MATCH($T$1,[4]enemy_skill_sets!$1:$1,0)+2),MATCH(J$1,[4]enemy_skill_sets!$1:$1,0)-MATCH($T$1,[4]enemy_skill_sets!$1:$1,0)+2,FALSE)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" s="46">
        <f ca="1">VLOOKUP($I33,OFFSET([2]enemies!$A$1,0,0,COUNTA([2]enemies!$A:$A),MATCH(T$1,[2]enemies!$1:$1,0)-MATCH($I$1,[2]enemies!$1:$1,0)+1),MATCH(T$1,[2]enemies!$1:$1,0)-MATCH($I$1,[2]enemies!$1:$1,0)+1,FALSE)</f>
        <v>0</v>
      </c>
      <c r="U33" s="34">
        <v>0</v>
      </c>
      <c r="V33" s="34">
        <v>100</v>
      </c>
      <c r="W33" s="34">
        <v>0</v>
      </c>
      <c r="X33" s="46">
        <f ca="1">VLOOKUP($I33,OFFSET([2]enemies!$A$1,0,0,COUNTA([2]enemies!$A:$A),MATCH(X$1,[2]enemies!$1:$1,0)-MATCH($I$1,[2]enemies!$1:$1,0)+1),MATCH(X$1,[2]enemies!$1:$1,0)-MATCH($I$1,[2]enemies!$1:$1,0)+1,FALSE)</f>
        <v>2</v>
      </c>
      <c r="Y33" s="28">
        <v>29</v>
      </c>
      <c r="Z33" s="44" t="str">
        <f ca="1">IFERROR(VLOOKUP($Y33,OFFSET([3]characters!$A$1,0,0,COUNTA([3]characters!$A:$A),MATCH(Z$1,[3]characters!$1:$1,0)-MATCH("character_id",[3]characters!$1:$1,0)+1),MATCH(Z$1,[3]characters!$1:$1,0)-MATCH("character_id",[3]characters!$1:$1,0)+1,FALSE),"")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33" s="44">
        <f ca="1">IFERROR(VLOOKUP($Y33,OFFSET([3]characters!$A$1,0,0,COUNTA([3]characters!$A:$A),MATCH(AA$1,[3]characters!$1:$1,0)-MATCH("character_id",[3]characters!$1:$1,0)+1),MATCH(AA$1,[3]characters!$1:$1,0)-MATCH("character_id",[3]characters!$1:$1,0)+1,FALSE),"")</f>
        <v>1</v>
      </c>
      <c r="AB33" s="44" t="str">
        <f ca="1">IFERROR(VLOOKUP($Y33,OFFSET([3]characters!$A$1,0,0,COUNTA([3]characters!$A:$A),MATCH(AB$1,[3]characters!$1:$1,0)-MATCH("character_id",[3]characters!$1:$1,0)+1),MATCH(AB$1,[3]characters!$1:$1,0)-MATCH("character_id",[3]characters!$1:$1,0)+1,FALSE),"")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3" s="28">
        <v>5</v>
      </c>
      <c r="AD33" s="47">
        <f t="shared" ca="1" si="3"/>
        <v>1</v>
      </c>
      <c r="AE33" s="48">
        <v>15</v>
      </c>
      <c r="AF33" s="28">
        <v>0</v>
      </c>
      <c r="AG33" s="35">
        <v>0</v>
      </c>
      <c r="AH33" s="35">
        <v>0</v>
      </c>
      <c r="AI33" s="35">
        <v>0</v>
      </c>
      <c r="AJ33" s="35">
        <v>1</v>
      </c>
    </row>
    <row r="34" spans="1:36" ht="21" customHeight="1" x14ac:dyDescent="0.15">
      <c r="A34" s="17" t="str">
        <f t="shared" ca="1" si="0"/>
        <v>30004_2-2/31&lt;lv33&gt;s2</v>
      </c>
      <c r="B34" s="27">
        <v>30004</v>
      </c>
      <c r="C34" s="30">
        <v>2</v>
      </c>
      <c r="D34" s="16" t="str">
        <f t="shared" ca="1" si="4"/>
        <v>30004_2</v>
      </c>
      <c r="E34" s="44" t="str">
        <f ca="1">VLOOKUP($B34,OFFSET([1]quests!$A$1,0,0,COUNTA([1]quests!$A:$A),MATCH(E$1,[1]quests!$1:$1,0)-MATCH($B$1,[1]quests!$1:$1,0)+1),MATCH(E$1,[1]quests!$1:$1,0)-MATCH($B$1,[1]quests!$1:$1,0)+1,FALSE)</f>
        <v>危険な仲裁者</v>
      </c>
      <c r="F34" s="44" t="str">
        <f ca="1">VLOOKUP($D34,OFFSET([1]stages!$A$1,0,0,COUNTA([1]stages!$A:$A),MATCH(F$1,[1]stages!$2:$2,0)-MATCH($D$1,[1]stages!$2:$2,0)+1),MATCH(F$1,[1]stages!$2:$2,0)-MATCH($D$1,[1]stages!$2:$2,0)+1,FALSE)</f>
        <v xml:space="preserve">【上級】危険な仲裁者 </v>
      </c>
      <c r="G34" s="32">
        <v>2</v>
      </c>
      <c r="H34" s="31" t="s">
        <v>55</v>
      </c>
      <c r="I34" s="30">
        <v>31</v>
      </c>
      <c r="J34" s="46" t="str">
        <f ca="1">VLOOKUP($I34,OFFSET([2]enemies!$A$1,0,0,COUNTA([2]enemies!$A:$A),MATCH(J$1,[2]enemies!$1:$1,0)-MATCH($I$1,[2]enemies!$1:$1,0)+1),MATCH(J$1,[2]enemies!$1:$1,0)-MATCH($I$1,[2]enemies!$1:$1,0)+1,FALSE)</f>
        <v>マービー</v>
      </c>
      <c r="K34" s="46" t="str">
        <f ca="1">VLOOKUP($I34,OFFSET([2]enemies!$A$1,0,0,COUNTA([2]enemies!$A:$A),MATCH(K$1,[2]enemies!$1:$1,0)-MATCH($I$1,[2]enemies!$1:$1,0)+1),MATCH(K$1,[2]enemies!$1:$1,0)-MATCH($I$1,[2]enemies!$1:$1,0)+1,FALSE)</f>
        <v>yellow</v>
      </c>
      <c r="L34" s="23" t="str">
        <f ca="1">VLOOKUP(I34,[3]characters!$A:$J,10,FALSE)</f>
        <v>Drop1N</v>
      </c>
      <c r="M34" s="46" t="str">
        <f ca="1">VLOOKUP($I34,OFFSET([2]enemies!$A$1,0,0,COUNTA([2]enemies!$A:$A),MATCH(M$1,[2]enemies!$1:$1,0)-MATCH($I$1,[2]enemies!$1:$1,0)+1),MATCH(M$1,[2]enemies!$1:$1,0)-MATCH($I$1,[2]enemies!$1:$1,0)+1,FALSE)</f>
        <v>machine</v>
      </c>
      <c r="N34" s="46">
        <f ca="1">VLOOKUP($I34,OFFSET([2]enemies!$A$1,0,0,COUNTA([2]enemies!$A:$A),MATCH(N$1,[2]enemies!$1:$1,0)-MATCH($I$1,[2]enemies!$1:$1,0)+1),MATCH(N$1,[2]enemies!$1:$1,0)-MATCH($I$1,[2]enemies!$1:$1,0)+1,FALSE)</f>
        <v>15</v>
      </c>
      <c r="O34" s="33">
        <v>33</v>
      </c>
      <c r="P34" s="42">
        <v>1.1000000000000001</v>
      </c>
      <c r="Q34" s="42">
        <v>1</v>
      </c>
      <c r="R34" s="43">
        <v>0</v>
      </c>
      <c r="S34" s="44" t="str">
        <f ca="1">VLOOKUP($T34,OFFSET([4]enemy_skill_sets!$B$1,0,0,COUNTA([4]enemy_skill_sets!$B:$B),MATCH(J$1,[4]enemy_skill_sets!$1:$1,0)-MATCH($T$1,[4]enemy_skill_sets!$1:$1,0)+2),MATCH(J$1,[4]enemy_skill_sets!$1:$1,0)-MATCH($T$1,[4]enemy_skill_sets!$1:$1,0)+2,FALSE)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" s="46">
        <f ca="1">VLOOKUP($I34,OFFSET([2]enemies!$A$1,0,0,COUNTA([2]enemies!$A:$A),MATCH(T$1,[2]enemies!$1:$1,0)-MATCH($I$1,[2]enemies!$1:$1,0)+1),MATCH(T$1,[2]enemies!$1:$1,0)-MATCH($I$1,[2]enemies!$1:$1,0)+1,FALSE)</f>
        <v>0</v>
      </c>
      <c r="U34" s="34">
        <v>0</v>
      </c>
      <c r="V34" s="34">
        <v>100</v>
      </c>
      <c r="W34" s="34">
        <v>0</v>
      </c>
      <c r="X34" s="46">
        <f ca="1">VLOOKUP($I34,OFFSET([2]enemies!$A$1,0,0,COUNTA([2]enemies!$A:$A),MATCH(X$1,[2]enemies!$1:$1,0)-MATCH($I$1,[2]enemies!$1:$1,0)+1),MATCH(X$1,[2]enemies!$1:$1,0)-MATCH($I$1,[2]enemies!$1:$1,0)+1,FALSE)</f>
        <v>2</v>
      </c>
      <c r="Y34" s="28">
        <v>31</v>
      </c>
      <c r="Z34" s="44" t="str">
        <f ca="1">IFERROR(VLOOKUP($Y34,OFFSET([3]characters!$A$1,0,0,COUNTA([3]characters!$A:$A),MATCH(Z$1,[3]characters!$1:$1,0)-MATCH("character_id",[3]characters!$1:$1,0)+1),MATCH(Z$1,[3]characters!$1:$1,0)-MATCH("character_id",[3]characters!$1:$1,0)+1,FALSE),"")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34" s="44">
        <f ca="1">IFERROR(VLOOKUP($Y34,OFFSET([3]characters!$A$1,0,0,COUNTA([3]characters!$A:$A),MATCH(AA$1,[3]characters!$1:$1,0)-MATCH("character_id",[3]characters!$1:$1,0)+1),MATCH(AA$1,[3]characters!$1:$1,0)-MATCH("character_id",[3]characters!$1:$1,0)+1,FALSE),"")</f>
        <v>1</v>
      </c>
      <c r="AB34" s="44" t="str">
        <f ca="1">IFERROR(VLOOKUP($Y34,OFFSET([3]characters!$A$1,0,0,COUNTA([3]characters!$A:$A),MATCH(AB$1,[3]characters!$1:$1,0)-MATCH("character_id",[3]characters!$1:$1,0)+1),MATCH(AB$1,[3]characters!$1:$1,0)-MATCH("character_id",[3]characters!$1:$1,0)+1,FALSE),"")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4" s="28">
        <v>5</v>
      </c>
      <c r="AD34" s="47">
        <f t="shared" ca="1" si="3"/>
        <v>1</v>
      </c>
      <c r="AE34" s="48">
        <v>15</v>
      </c>
      <c r="AF34" s="28">
        <v>0</v>
      </c>
      <c r="AG34" s="35">
        <v>0</v>
      </c>
      <c r="AH34" s="35">
        <v>0</v>
      </c>
      <c r="AI34" s="35">
        <v>0</v>
      </c>
      <c r="AJ34" s="35">
        <v>1</v>
      </c>
    </row>
    <row r="35" spans="1:36" ht="21" customHeight="1" x14ac:dyDescent="0.15">
      <c r="A35" s="17" t="str">
        <f t="shared" ca="1" si="0"/>
        <v>30004_2-3/126&lt;lv27&gt;s1</v>
      </c>
      <c r="B35" s="27">
        <v>30004</v>
      </c>
      <c r="C35" s="30">
        <v>2</v>
      </c>
      <c r="D35" s="16" t="str">
        <f t="shared" ref="D35" ca="1" si="5">B35&amp;"_"&amp;C35</f>
        <v>30004_2</v>
      </c>
      <c r="E35" s="44" t="str">
        <f ca="1">VLOOKUP($B35,OFFSET([1]quests!$A$1,0,0,COUNTA([1]quests!$A:$A),MATCH(E$1,[1]quests!$1:$1,0)-MATCH($B$1,[1]quests!$1:$1,0)+1),MATCH(E$1,[1]quests!$1:$1,0)-MATCH($B$1,[1]quests!$1:$1,0)+1,FALSE)</f>
        <v>危険な仲裁者</v>
      </c>
      <c r="F35" s="44" t="str">
        <f ca="1">VLOOKUP($D35,OFFSET([1]stages!$A$1,0,0,COUNTA([1]stages!$A:$A),MATCH(F$1,[1]stages!$2:$2,0)-MATCH($D$1,[1]stages!$2:$2,0)+1),MATCH(F$1,[1]stages!$2:$2,0)-MATCH($D$1,[1]stages!$2:$2,0)+1,FALSE)</f>
        <v xml:space="preserve">【上級】危険な仲裁者 </v>
      </c>
      <c r="G35" s="32">
        <v>3</v>
      </c>
      <c r="H35" s="31" t="s">
        <v>56</v>
      </c>
      <c r="I35" s="30">
        <v>126</v>
      </c>
      <c r="J35" s="46" t="str">
        <f ca="1">VLOOKUP($I35,OFFSET([2]enemies!$A$1,0,0,COUNTA([2]enemies!$A:$A),MATCH(J$1,[2]enemies!$1:$1,0)-MATCH($I$1,[2]enemies!$1:$1,0)+1),MATCH(J$1,[2]enemies!$1:$1,0)-MATCH($I$1,[2]enemies!$1:$1,0)+1,FALSE)</f>
        <v>骨器使い ユノ</v>
      </c>
      <c r="K35" s="46" t="str">
        <f ca="1">VLOOKUP($I35,OFFSET([2]enemies!$A$1,0,0,COUNTA([2]enemies!$A:$A),MATCH(K$1,[2]enemies!$1:$1,0)-MATCH($I$1,[2]enemies!$1:$1,0)+1),MATCH(K$1,[2]enemies!$1:$1,0)-MATCH($I$1,[2]enemies!$1:$1,0)+1,FALSE)</f>
        <v>red</v>
      </c>
      <c r="L35" s="23" t="str">
        <f ca="1">VLOOKUP(I35,[3]characters!$A:$J,10,FALSE)</f>
        <v>PremiumW</v>
      </c>
      <c r="M35" s="46" t="str">
        <f ca="1">VLOOKUP($I35,OFFSET([2]enemies!$A$1,0,0,COUNTA([2]enemies!$A:$A),MATCH(M$1,[2]enemies!$1:$1,0)-MATCH($I$1,[2]enemies!$1:$1,0)+1),MATCH(M$1,[2]enemies!$1:$1,0)-MATCH($I$1,[2]enemies!$1:$1,0)+1,FALSE)</f>
        <v>human</v>
      </c>
      <c r="N35" s="46">
        <f ca="1">VLOOKUP($I35,OFFSET([2]enemies!$A$1,0,0,COUNTA([2]enemies!$A:$A),MATCH(N$1,[2]enemies!$1:$1,0)-MATCH($I$1,[2]enemies!$1:$1,0)+1),MATCH(N$1,[2]enemies!$1:$1,0)-MATCH($I$1,[2]enemies!$1:$1,0)+1,FALSE)</f>
        <v>20</v>
      </c>
      <c r="O35" s="33">
        <v>27</v>
      </c>
      <c r="P35" s="42">
        <v>1</v>
      </c>
      <c r="Q35" s="42">
        <v>0.9</v>
      </c>
      <c r="R35" s="43">
        <v>0</v>
      </c>
      <c r="S35" s="44" t="str">
        <f ca="1">VLOOKUP($T35,OFFSET([4]enemy_skill_sets!$B$1,0,0,COUNTA([4]enemy_skill_sets!$B:$B),MATCH(J$1,[4]enemy_skill_sets!$1:$1,0)-MATCH($T$1,[4]enemy_skill_sets!$1:$1,0)+2),MATCH(J$1,[4]enemy_skill_sets!$1:$1,0)-MATCH($T$1,[4]enemy_skill_sets!$1:$1,0)+2,FALSE)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35" s="46">
        <f ca="1">VLOOKUP($I35,OFFSET([2]enemies!$A$1,0,0,COUNTA([2]enemies!$A:$A),MATCH(T$1,[2]enemies!$1:$1,0)-MATCH($I$1,[2]enemies!$1:$1,0)+1),MATCH(T$1,[2]enemies!$1:$1,0)-MATCH($I$1,[2]enemies!$1:$1,0)+1,FALSE)</f>
        <v>126</v>
      </c>
      <c r="U35" s="34">
        <v>0</v>
      </c>
      <c r="V35" s="34">
        <v>80</v>
      </c>
      <c r="W35" s="34">
        <v>1</v>
      </c>
      <c r="X35" s="46">
        <f ca="1">VLOOKUP($I35,OFFSET([2]enemies!$A$1,0,0,COUNTA([2]enemies!$A:$A),MATCH(X$1,[2]enemies!$1:$1,0)-MATCH($I$1,[2]enemies!$1:$1,0)+1),MATCH(X$1,[2]enemies!$1:$1,0)-MATCH($I$1,[2]enemies!$1:$1,0)+1,FALSE)</f>
        <v>1</v>
      </c>
      <c r="Y35" s="28">
        <v>126</v>
      </c>
      <c r="Z35" s="44" t="str">
        <f ca="1">IFERROR(VLOOKUP($Y35,OFFSET([3]characters!$A$1,0,0,COUNTA([3]characters!$A:$A),MATCH(Z$1,[3]characters!$1:$1,0)-MATCH("character_id",[3]characters!$1:$1,0)+1),MATCH(Z$1,[3]characters!$1:$1,0)-MATCH("character_id",[3]characters!$1:$1,0)+1,FALSE),"")</f>
        <v>骨器使い ユノ</v>
      </c>
      <c r="AA35" s="44">
        <f ca="1">IFERROR(VLOOKUP($Y35,OFFSET([3]characters!$A$1,0,0,COUNTA([3]characters!$A:$A),MATCH(AA$1,[3]characters!$1:$1,0)-MATCH("character_id",[3]characters!$1:$1,0)+1),MATCH(AA$1,[3]characters!$1:$1,0)-MATCH("character_id",[3]characters!$1:$1,0)+1,FALSE),"")</f>
        <v>3</v>
      </c>
      <c r="AB35" s="44" t="str">
        <f ca="1">IFERROR(VLOOKUP($Y35,OFFSET([3]characters!$A$1,0,0,COUNTA([3]characters!$A:$A),MATCH(AB$1,[3]characters!$1:$1,0)-MATCH("character_id",[3]characters!$1:$1,0)+1),MATCH(AB$1,[3]characters!$1:$1,0)-MATCH("character_id",[3]characters!$1:$1,0)+1,FALSE),"")</f>
        <v>PremiumW</v>
      </c>
      <c r="AC35" s="28">
        <v>1</v>
      </c>
      <c r="AD35" s="47">
        <f t="shared" ref="AD35" ca="1" si="6">AA35</f>
        <v>3</v>
      </c>
      <c r="AE35" s="48">
        <v>0</v>
      </c>
      <c r="AF35" s="28">
        <v>0</v>
      </c>
      <c r="AG35" s="35">
        <v>0</v>
      </c>
      <c r="AH35" s="35">
        <v>0</v>
      </c>
      <c r="AI35" s="35">
        <v>0</v>
      </c>
      <c r="AJ35" s="35">
        <v>1</v>
      </c>
    </row>
    <row r="36" spans="1:36" ht="21" customHeight="1" x14ac:dyDescent="0.15">
      <c r="A36" s="17" t="str">
        <f t="shared" ca="1" si="0"/>
        <v>30004_2-3/77&lt;lv25&gt;s1</v>
      </c>
      <c r="B36" s="27">
        <v>30004</v>
      </c>
      <c r="C36" s="30">
        <v>2</v>
      </c>
      <c r="D36" s="16" t="str">
        <f t="shared" ca="1" si="4"/>
        <v>30004_2</v>
      </c>
      <c r="E36" s="44" t="str">
        <f ca="1">VLOOKUP($B36,OFFSET([1]quests!$A$1,0,0,COUNTA([1]quests!$A:$A),MATCH(E$1,[1]quests!$1:$1,0)-MATCH($B$1,[1]quests!$1:$1,0)+1),MATCH(E$1,[1]quests!$1:$1,0)-MATCH($B$1,[1]quests!$1:$1,0)+1,FALSE)</f>
        <v>危険な仲裁者</v>
      </c>
      <c r="F36" s="44" t="str">
        <f ca="1">VLOOKUP($D36,OFFSET([1]stages!$A$1,0,0,COUNTA([1]stages!$A:$A),MATCH(F$1,[1]stages!$2:$2,0)-MATCH($D$1,[1]stages!$2:$2,0)+1),MATCH(F$1,[1]stages!$2:$2,0)-MATCH($D$1,[1]stages!$2:$2,0)+1,FALSE)</f>
        <v xml:space="preserve">【上級】危険な仲裁者 </v>
      </c>
      <c r="G36" s="32">
        <v>3</v>
      </c>
      <c r="H36" s="31" t="s">
        <v>56</v>
      </c>
      <c r="I36" s="30">
        <v>77</v>
      </c>
      <c r="J36" s="46" t="str">
        <f ca="1">VLOOKUP($I36,OFFSET([2]enemies!$A$1,0,0,COUNTA([2]enemies!$A:$A),MATCH(J$1,[2]enemies!$1:$1,0)-MATCH($I$1,[2]enemies!$1:$1,0)+1),MATCH(J$1,[2]enemies!$1:$1,0)-MATCH($I$1,[2]enemies!$1:$1,0)+1,FALSE)</f>
        <v>潜伏型メリッサ</v>
      </c>
      <c r="K36" s="46" t="str">
        <f ca="1">VLOOKUP($I36,OFFSET([2]enemies!$A$1,0,0,COUNTA([2]enemies!$A:$A),MATCH(K$1,[2]enemies!$1:$1,0)-MATCH($I$1,[2]enemies!$1:$1,0)+1),MATCH(K$1,[2]enemies!$1:$1,0)-MATCH($I$1,[2]enemies!$1:$1,0)+1,FALSE)</f>
        <v>red</v>
      </c>
      <c r="L36" s="23" t="str">
        <f ca="1">VLOOKUP(I36,[3]characters!$A:$J,10,FALSE)</f>
        <v>DropWizW</v>
      </c>
      <c r="M36" s="46" t="str">
        <f ca="1">VLOOKUP($I36,OFFSET([2]enemies!$A$1,0,0,COUNTA([2]enemies!$A:$A),MATCH(M$1,[2]enemies!$1:$1,0)-MATCH($I$1,[2]enemies!$1:$1,0)+1),MATCH(M$1,[2]enemies!$1:$1,0)-MATCH($I$1,[2]enemies!$1:$1,0)+1,FALSE)</f>
        <v>unknown</v>
      </c>
      <c r="N36" s="46">
        <f ca="1">VLOOKUP($I36,OFFSET([2]enemies!$A$1,0,0,COUNTA([2]enemies!$A:$A),MATCH(N$1,[2]enemies!$1:$1,0)-MATCH($I$1,[2]enemies!$1:$1,0)+1),MATCH(N$1,[2]enemies!$1:$1,0)-MATCH($I$1,[2]enemies!$1:$1,0)+1,FALSE)</f>
        <v>20</v>
      </c>
      <c r="O36" s="33">
        <v>25</v>
      </c>
      <c r="P36" s="42">
        <v>0.5</v>
      </c>
      <c r="Q36" s="42">
        <v>0.1</v>
      </c>
      <c r="R36" s="43">
        <v>0</v>
      </c>
      <c r="S36" s="44" t="str">
        <f ca="1">VLOOKUP($T36,OFFSET([4]enemy_skill_sets!$B$1,0,0,COUNTA([4]enemy_skill_sets!$B:$B),MATCH(J$1,[4]enemy_skill_sets!$1:$1,0)-MATCH($T$1,[4]enemy_skill_sets!$1:$1,0)+2),MATCH(J$1,[4]enemy_skill_sets!$1:$1,0)-MATCH($T$1,[4]enemy_skill_sets!$1:$1,0)+2,FALSE)</f>
        <v>5ターンの間ダメージを受ける</v>
      </c>
      <c r="T36" s="46">
        <f ca="1">VLOOKUP($I36,OFFSET([2]enemies!$A$1,0,0,COUNTA([2]enemies!$A:$A),MATCH(T$1,[2]enemies!$1:$1,0)-MATCH($I$1,[2]enemies!$1:$1,0)+1),MATCH(T$1,[2]enemies!$1:$1,0)-MATCH($I$1,[2]enemies!$1:$1,0)+1,FALSE)</f>
        <v>77</v>
      </c>
      <c r="U36" s="34">
        <v>0</v>
      </c>
      <c r="V36" s="34">
        <v>20</v>
      </c>
      <c r="W36" s="34">
        <v>1</v>
      </c>
      <c r="X36" s="46">
        <f ca="1">VLOOKUP($I36,OFFSET([2]enemies!$A$1,0,0,COUNTA([2]enemies!$A:$A),MATCH(X$1,[2]enemies!$1:$1,0)-MATCH($I$1,[2]enemies!$1:$1,0)+1),MATCH(X$1,[2]enemies!$1:$1,0)-MATCH($I$1,[2]enemies!$1:$1,0)+1,FALSE)</f>
        <v>1</v>
      </c>
      <c r="Y36" s="28">
        <v>77</v>
      </c>
      <c r="Z36" s="44" t="str">
        <f ca="1">IFERROR(VLOOKUP($Y36,OFFSET([3]characters!$A$1,0,0,COUNTA([3]characters!$A:$A),MATCH(Z$1,[3]characters!$1:$1,0)-MATCH("character_id",[3]characters!$1:$1,0)+1),MATCH(Z$1,[3]characters!$1:$1,0)-MATCH("character_id",[3]characters!$1:$1,0)+1,FALSE),"")</f>
        <v>潜伏型メリッサ</v>
      </c>
      <c r="AA36" s="44">
        <f ca="1">IFERROR(VLOOKUP($Y36,OFFSET([3]characters!$A$1,0,0,COUNTA([3]characters!$A:$A),MATCH(AA$1,[3]characters!$1:$1,0)-MATCH("character_id",[3]characters!$1:$1,0)+1),MATCH(AA$1,[3]characters!$1:$1,0)-MATCH("character_id",[3]characters!$1:$1,0)+1,FALSE),"")</f>
        <v>3</v>
      </c>
      <c r="AB36" s="44" t="str">
        <f ca="1">IFERROR(VLOOKUP($Y36,OFFSET([3]characters!$A$1,0,0,COUNTA([3]characters!$A:$A),MATCH(AB$1,[3]characters!$1:$1,0)-MATCH("character_id",[3]characters!$1:$1,0)+1),MATCH(AB$1,[3]characters!$1:$1,0)-MATCH("character_id",[3]characters!$1:$1,0)+1,FALSE),"")</f>
        <v>DropWizW</v>
      </c>
      <c r="AC36" s="28">
        <v>1</v>
      </c>
      <c r="AD36" s="47">
        <f t="shared" ca="1" si="3"/>
        <v>3</v>
      </c>
      <c r="AE36" s="48">
        <v>15</v>
      </c>
      <c r="AF36" s="28">
        <v>0</v>
      </c>
      <c r="AG36" s="35">
        <v>0</v>
      </c>
      <c r="AH36" s="35">
        <v>0</v>
      </c>
      <c r="AI36" s="35">
        <v>0</v>
      </c>
      <c r="AJ36" s="35">
        <v>1</v>
      </c>
    </row>
    <row r="37" spans="1:36" ht="21" customHeight="1" x14ac:dyDescent="0.15">
      <c r="A37" s="17" t="str">
        <f t="shared" ca="1" si="0"/>
        <v>30004_2-4/10&lt;lv33&gt;s2</v>
      </c>
      <c r="B37" s="27">
        <v>30004</v>
      </c>
      <c r="C37" s="30">
        <v>2</v>
      </c>
      <c r="D37" s="16" t="str">
        <f t="shared" ca="1" si="4"/>
        <v>30004_2</v>
      </c>
      <c r="E37" s="44" t="str">
        <f ca="1">VLOOKUP($B37,OFFSET([1]quests!$A$1,0,0,COUNTA([1]quests!$A:$A),MATCH(E$1,[1]quests!$1:$1,0)-MATCH($B$1,[1]quests!$1:$1,0)+1),MATCH(E$1,[1]quests!$1:$1,0)-MATCH($B$1,[1]quests!$1:$1,0)+1,FALSE)</f>
        <v>危険な仲裁者</v>
      </c>
      <c r="F37" s="44" t="str">
        <f ca="1">VLOOKUP($D37,OFFSET([1]stages!$A$1,0,0,COUNTA([1]stages!$A:$A),MATCH(F$1,[1]stages!$2:$2,0)-MATCH($D$1,[1]stages!$2:$2,0)+1),MATCH(F$1,[1]stages!$2:$2,0)-MATCH($D$1,[1]stages!$2:$2,0)+1,FALSE)</f>
        <v xml:space="preserve">【上級】危険な仲裁者 </v>
      </c>
      <c r="G37" s="32">
        <v>4</v>
      </c>
      <c r="H37" s="31" t="s">
        <v>57</v>
      </c>
      <c r="I37" s="30">
        <v>10</v>
      </c>
      <c r="J37" s="46" t="str">
        <f ca="1">VLOOKUP($I37,OFFSET([2]enemies!$A$1,0,0,COUNTA([2]enemies!$A:$A),MATCH(J$1,[2]enemies!$1:$1,0)-MATCH($I$1,[2]enemies!$1:$1,0)+1),MATCH(J$1,[2]enemies!$1:$1,0)-MATCH($I$1,[2]enemies!$1:$1,0)+1,FALSE)</f>
        <v>燃える悪戯魂 ブレット</v>
      </c>
      <c r="K37" s="46" t="str">
        <f ca="1">VLOOKUP($I37,OFFSET([2]enemies!$A$1,0,0,COUNTA([2]enemies!$A:$A),MATCH(K$1,[2]enemies!$1:$1,0)-MATCH($I$1,[2]enemies!$1:$1,0)+1),MATCH(K$1,[2]enemies!$1:$1,0)-MATCH($I$1,[2]enemies!$1:$1,0)+1,FALSE)</f>
        <v>red</v>
      </c>
      <c r="L37" s="23" t="str">
        <f ca="1">VLOOKUP(I37,[3]characters!$A:$J,10,FALSE)</f>
        <v>Drop1W</v>
      </c>
      <c r="M37" s="46" t="str">
        <f ca="1">VLOOKUP($I37,OFFSET([2]enemies!$A$1,0,0,COUNTA([2]enemies!$A:$A),MATCH(M$1,[2]enemies!$1:$1,0)-MATCH($I$1,[2]enemies!$1:$1,0)+1),MATCH(M$1,[2]enemies!$1:$1,0)-MATCH($I$1,[2]enemies!$1:$1,0)+1,FALSE)</f>
        <v>animal</v>
      </c>
      <c r="N37" s="46">
        <f ca="1">VLOOKUP($I37,OFFSET([2]enemies!$A$1,0,0,COUNTA([2]enemies!$A:$A),MATCH(N$1,[2]enemies!$1:$1,0)-MATCH($I$1,[2]enemies!$1:$1,0)+1),MATCH(N$1,[2]enemies!$1:$1,0)-MATCH($I$1,[2]enemies!$1:$1,0)+1,FALSE)</f>
        <v>15</v>
      </c>
      <c r="O37" s="33">
        <v>33</v>
      </c>
      <c r="P37" s="42">
        <v>1.1000000000000001</v>
      </c>
      <c r="Q37" s="42">
        <v>1</v>
      </c>
      <c r="R37" s="43">
        <v>0</v>
      </c>
      <c r="S37" s="44" t="str">
        <f ca="1">VLOOKUP($T37,OFFSET([4]enemy_skill_sets!$B$1,0,0,COUNTA([4]enemy_skill_sets!$B:$B),MATCH(J$1,[4]enemy_skill_sets!$1:$1,0)-MATCH($T$1,[4]enemy_skill_sets!$1:$1,0)+2),MATCH(J$1,[4]enemy_skill_sets!$1:$1,0)-MATCH($T$1,[4]enemy_skill_sets!$1:$1,0)+2,FALSE)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" s="46">
        <f ca="1">VLOOKUP($I37,OFFSET([2]enemies!$A$1,0,0,COUNTA([2]enemies!$A:$A),MATCH(T$1,[2]enemies!$1:$1,0)-MATCH($I$1,[2]enemies!$1:$1,0)+1),MATCH(T$1,[2]enemies!$1:$1,0)-MATCH($I$1,[2]enemies!$1:$1,0)+1,FALSE)</f>
        <v>0</v>
      </c>
      <c r="U37" s="34">
        <v>0</v>
      </c>
      <c r="V37" s="34">
        <v>100</v>
      </c>
      <c r="W37" s="34">
        <v>0</v>
      </c>
      <c r="X37" s="46">
        <f ca="1">VLOOKUP($I37,OFFSET([2]enemies!$A$1,0,0,COUNTA([2]enemies!$A:$A),MATCH(X$1,[2]enemies!$1:$1,0)-MATCH($I$1,[2]enemies!$1:$1,0)+1),MATCH(X$1,[2]enemies!$1:$1,0)-MATCH($I$1,[2]enemies!$1:$1,0)+1,FALSE)</f>
        <v>2</v>
      </c>
      <c r="Y37" s="28">
        <v>10</v>
      </c>
      <c r="Z37" s="44" t="str">
        <f ca="1">IFERROR(VLOOKUP($Y37,OFFSET([3]characters!$A$1,0,0,COUNTA([3]characters!$A:$A),MATCH(Z$1,[3]characters!$1:$1,0)-MATCH("character_id",[3]characters!$1:$1,0)+1),MATCH(Z$1,[3]characters!$1:$1,0)-MATCH("character_id",[3]characters!$1:$1,0)+1,FALSE),"")</f>
        <v>燃える悪戯魂 ブレット</v>
      </c>
      <c r="AA37" s="44">
        <f ca="1">IFERROR(VLOOKUP($Y37,OFFSET([3]characters!$A$1,0,0,COUNTA([3]characters!$A:$A),MATCH(AA$1,[3]characters!$1:$1,0)-MATCH("character_id",[3]characters!$1:$1,0)+1),MATCH(AA$1,[3]characters!$1:$1,0)-MATCH("character_id",[3]characters!$1:$1,0)+1,FALSE),"")</f>
        <v>2</v>
      </c>
      <c r="AB37" s="44" t="str">
        <f ca="1">IFERROR(VLOOKUP($Y37,OFFSET([3]characters!$A$1,0,0,COUNTA([3]characters!$A:$A),MATCH(AB$1,[3]characters!$1:$1,0)-MATCH("character_id",[3]characters!$1:$1,0)+1),MATCH(AB$1,[3]characters!$1:$1,0)-MATCH("character_id",[3]characters!$1:$1,0)+1,FALSE),"")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7" s="28">
        <v>5</v>
      </c>
      <c r="AD37" s="47">
        <f t="shared" ca="1" si="3"/>
        <v>2</v>
      </c>
      <c r="AE37" s="48">
        <v>15</v>
      </c>
      <c r="AF37" s="28">
        <v>0</v>
      </c>
      <c r="AG37" s="35">
        <v>0</v>
      </c>
      <c r="AH37" s="35">
        <v>0</v>
      </c>
      <c r="AI37" s="35">
        <v>0</v>
      </c>
      <c r="AJ37" s="35">
        <v>1</v>
      </c>
    </row>
    <row r="38" spans="1:36" ht="21" customHeight="1" x14ac:dyDescent="0.15">
      <c r="A38" s="17" t="str">
        <f t="shared" ca="1" si="0"/>
        <v>30004_2-4/16&lt;lv33&gt;s3</v>
      </c>
      <c r="B38" s="27">
        <v>30004</v>
      </c>
      <c r="C38" s="30">
        <v>2</v>
      </c>
      <c r="D38" s="16" t="str">
        <f t="shared" ca="1" si="4"/>
        <v>30004_2</v>
      </c>
      <c r="E38" s="44" t="str">
        <f ca="1">VLOOKUP($B38,OFFSET([1]quests!$A$1,0,0,COUNTA([1]quests!$A:$A),MATCH(E$1,[1]quests!$1:$1,0)-MATCH($B$1,[1]quests!$1:$1,0)+1),MATCH(E$1,[1]quests!$1:$1,0)-MATCH($B$1,[1]quests!$1:$1,0)+1,FALSE)</f>
        <v>危険な仲裁者</v>
      </c>
      <c r="F38" s="44" t="str">
        <f ca="1">VLOOKUP($D38,OFFSET([1]stages!$A$1,0,0,COUNTA([1]stages!$A:$A),MATCH(F$1,[1]stages!$2:$2,0)-MATCH($D$1,[1]stages!$2:$2,0)+1),MATCH(F$1,[1]stages!$2:$2,0)-MATCH($D$1,[1]stages!$2:$2,0)+1,FALSE)</f>
        <v xml:space="preserve">【上級】危険な仲裁者 </v>
      </c>
      <c r="G38" s="32">
        <v>4</v>
      </c>
      <c r="H38" s="31" t="s">
        <v>57</v>
      </c>
      <c r="I38" s="30">
        <v>16</v>
      </c>
      <c r="J38" s="46" t="str">
        <f ca="1">VLOOKUP($I38,OFFSET([2]enemies!$A$1,0,0,COUNTA([2]enemies!$A:$A),MATCH(J$1,[2]enemies!$1:$1,0)-MATCH($I$1,[2]enemies!$1:$1,0)+1),MATCH(J$1,[2]enemies!$1:$1,0)-MATCH($I$1,[2]enemies!$1:$1,0)+1,FALSE)</f>
        <v>炎戦少女 アカネ</v>
      </c>
      <c r="K38" s="46" t="str">
        <f ca="1">VLOOKUP($I38,OFFSET([2]enemies!$A$1,0,0,COUNTA([2]enemies!$A:$A),MATCH(K$1,[2]enemies!$1:$1,0)-MATCH($I$1,[2]enemies!$1:$1,0)+1),MATCH(K$1,[2]enemies!$1:$1,0)-MATCH($I$1,[2]enemies!$1:$1,0)+1,FALSE)</f>
        <v>red</v>
      </c>
      <c r="L38" s="23" t="str">
        <f ca="1">VLOOKUP(I38,[3]characters!$A:$J,10,FALSE)</f>
        <v>Drop1W</v>
      </c>
      <c r="M38" s="46" t="str">
        <f ca="1">VLOOKUP($I38,OFFSET([2]enemies!$A$1,0,0,COUNTA([2]enemies!$A:$A),MATCH(M$1,[2]enemies!$1:$1,0)-MATCH($I$1,[2]enemies!$1:$1,0)+1),MATCH(M$1,[2]enemies!$1:$1,0)-MATCH($I$1,[2]enemies!$1:$1,0)+1,FALSE)</f>
        <v>human</v>
      </c>
      <c r="N38" s="46">
        <f ca="1">VLOOKUP($I38,OFFSET([2]enemies!$A$1,0,0,COUNTA([2]enemies!$A:$A),MATCH(N$1,[2]enemies!$1:$1,0)-MATCH($I$1,[2]enemies!$1:$1,0)+1),MATCH(N$1,[2]enemies!$1:$1,0)-MATCH($I$1,[2]enemies!$1:$1,0)+1,FALSE)</f>
        <v>15</v>
      </c>
      <c r="O38" s="33">
        <v>33</v>
      </c>
      <c r="P38" s="42">
        <v>1.1000000000000001</v>
      </c>
      <c r="Q38" s="42">
        <v>1</v>
      </c>
      <c r="R38" s="43">
        <v>0</v>
      </c>
      <c r="S38" s="44" t="str">
        <f ca="1">VLOOKUP($T38,OFFSET([4]enemy_skill_sets!$B$1,0,0,COUNTA([4]enemy_skill_sets!$B:$B),MATCH(J$1,[4]enemy_skill_sets!$1:$1,0)-MATCH($T$1,[4]enemy_skill_sets!$1:$1,0)+2),MATCH(J$1,[4]enemy_skill_sets!$1:$1,0)-MATCH($T$1,[4]enemy_skill_sets!$1:$1,0)+2,FALSE)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" s="46">
        <f ca="1">VLOOKUP($I38,OFFSET([2]enemies!$A$1,0,0,COUNTA([2]enemies!$A:$A),MATCH(T$1,[2]enemies!$1:$1,0)-MATCH($I$1,[2]enemies!$1:$1,0)+1),MATCH(T$1,[2]enemies!$1:$1,0)-MATCH($I$1,[2]enemies!$1:$1,0)+1,FALSE)</f>
        <v>0</v>
      </c>
      <c r="U38" s="34">
        <v>0</v>
      </c>
      <c r="V38" s="34">
        <v>100</v>
      </c>
      <c r="W38" s="34">
        <v>0</v>
      </c>
      <c r="X38" s="46">
        <f ca="1">VLOOKUP($I38,OFFSET([2]enemies!$A$1,0,0,COUNTA([2]enemies!$A:$A),MATCH(X$1,[2]enemies!$1:$1,0)-MATCH($I$1,[2]enemies!$1:$1,0)+1),MATCH(X$1,[2]enemies!$1:$1,0)-MATCH($I$1,[2]enemies!$1:$1,0)+1,FALSE)</f>
        <v>3</v>
      </c>
      <c r="Y38" s="28">
        <v>16</v>
      </c>
      <c r="Z38" s="44" t="str">
        <f ca="1">IFERROR(VLOOKUP($Y38,OFFSET([3]characters!$A$1,0,0,COUNTA([3]characters!$A:$A),MATCH(Z$1,[3]characters!$1:$1,0)-MATCH("character_id",[3]characters!$1:$1,0)+1),MATCH(Z$1,[3]characters!$1:$1,0)-MATCH("character_id",[3]characters!$1:$1,0)+1,FALSE),"")</f>
        <v>炎戦少女 アカネ</v>
      </c>
      <c r="AA38" s="44">
        <f ca="1">IFERROR(VLOOKUP($Y38,OFFSET([3]characters!$A$1,0,0,COUNTA([3]characters!$A:$A),MATCH(AA$1,[3]characters!$1:$1,0)-MATCH("character_id",[3]characters!$1:$1,0)+1),MATCH(AA$1,[3]characters!$1:$1,0)-MATCH("character_id",[3]characters!$1:$1,0)+1,FALSE),"")</f>
        <v>2</v>
      </c>
      <c r="AB38" s="44" t="str">
        <f ca="1">IFERROR(VLOOKUP($Y38,OFFSET([3]characters!$A$1,0,0,COUNTA([3]characters!$A:$A),MATCH(AB$1,[3]characters!$1:$1,0)-MATCH("character_id",[3]characters!$1:$1,0)+1),MATCH(AB$1,[3]characters!$1:$1,0)-MATCH("character_id",[3]characters!$1:$1,0)+1,FALSE),"")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8" s="28">
        <v>5</v>
      </c>
      <c r="AD38" s="47">
        <f t="shared" ca="1" si="3"/>
        <v>2</v>
      </c>
      <c r="AE38" s="48">
        <v>15</v>
      </c>
      <c r="AF38" s="28">
        <v>0</v>
      </c>
      <c r="AG38" s="35">
        <v>0</v>
      </c>
      <c r="AH38" s="35">
        <v>0</v>
      </c>
      <c r="AI38" s="35">
        <v>0</v>
      </c>
      <c r="AJ38" s="35">
        <v>1</v>
      </c>
    </row>
    <row r="39" spans="1:36" ht="21" customHeight="1" x14ac:dyDescent="0.15">
      <c r="A39" s="17" t="str">
        <f t="shared" ca="1" si="0"/>
        <v>30004_2-4/21&lt;lv33&gt;s2</v>
      </c>
      <c r="B39" s="27">
        <v>30004</v>
      </c>
      <c r="C39" s="30">
        <v>2</v>
      </c>
      <c r="D39" s="16" t="str">
        <f t="shared" ca="1" si="4"/>
        <v>30004_2</v>
      </c>
      <c r="E39" s="44" t="str">
        <f ca="1">VLOOKUP($B39,OFFSET([1]quests!$A$1,0,0,COUNTA([1]quests!$A:$A),MATCH(E$1,[1]quests!$1:$1,0)-MATCH($B$1,[1]quests!$1:$1,0)+1),MATCH(E$1,[1]quests!$1:$1,0)-MATCH($B$1,[1]quests!$1:$1,0)+1,FALSE)</f>
        <v>危険な仲裁者</v>
      </c>
      <c r="F39" s="44" t="str">
        <f ca="1">VLOOKUP($D39,OFFSET([1]stages!$A$1,0,0,COUNTA([1]stages!$A:$A),MATCH(F$1,[1]stages!$2:$2,0)-MATCH($D$1,[1]stages!$2:$2,0)+1),MATCH(F$1,[1]stages!$2:$2,0)-MATCH($D$1,[1]stages!$2:$2,0)+1,FALSE)</f>
        <v xml:space="preserve">【上級】危険な仲裁者 </v>
      </c>
      <c r="G39" s="32">
        <v>4</v>
      </c>
      <c r="H39" s="31" t="s">
        <v>57</v>
      </c>
      <c r="I39" s="30">
        <v>21</v>
      </c>
      <c r="J39" s="46" t="str">
        <f ca="1">VLOOKUP($I39,OFFSET([2]enemies!$A$1,0,0,COUNTA([2]enemies!$A:$A),MATCH(J$1,[2]enemies!$1:$1,0)-MATCH($I$1,[2]enemies!$1:$1,0)+1),MATCH(J$1,[2]enemies!$1:$1,0)-MATCH($I$1,[2]enemies!$1:$1,0)+1,FALSE)</f>
        <v>ヴェロキー</v>
      </c>
      <c r="K39" s="46" t="str">
        <f ca="1">VLOOKUP($I39,OFFSET([2]enemies!$A$1,0,0,COUNTA([2]enemies!$A:$A),MATCH(K$1,[2]enemies!$1:$1,0)-MATCH($I$1,[2]enemies!$1:$1,0)+1),MATCH(K$1,[2]enemies!$1:$1,0)-MATCH($I$1,[2]enemies!$1:$1,0)+1,FALSE)</f>
        <v>red</v>
      </c>
      <c r="L39" s="23" t="str">
        <f ca="1">VLOOKUP(I39,[3]characters!$A:$J,10,FALSE)</f>
        <v>Drop1N</v>
      </c>
      <c r="M39" s="46" t="str">
        <f ca="1">VLOOKUP($I39,OFFSET([2]enemies!$A$1,0,0,COUNTA([2]enemies!$A:$A),MATCH(M$1,[2]enemies!$1:$1,0)-MATCH($I$1,[2]enemies!$1:$1,0)+1),MATCH(M$1,[2]enemies!$1:$1,0)-MATCH($I$1,[2]enemies!$1:$1,0)+1,FALSE)</f>
        <v>dragon</v>
      </c>
      <c r="N39" s="46">
        <f ca="1">VLOOKUP($I39,OFFSET([2]enemies!$A$1,0,0,COUNTA([2]enemies!$A:$A),MATCH(N$1,[2]enemies!$1:$1,0)-MATCH($I$1,[2]enemies!$1:$1,0)+1),MATCH(N$1,[2]enemies!$1:$1,0)-MATCH($I$1,[2]enemies!$1:$1,0)+1,FALSE)</f>
        <v>15</v>
      </c>
      <c r="O39" s="33">
        <v>33</v>
      </c>
      <c r="P39" s="42">
        <v>1.1000000000000001</v>
      </c>
      <c r="Q39" s="42">
        <v>1</v>
      </c>
      <c r="R39" s="43">
        <v>0</v>
      </c>
      <c r="S39" s="44" t="str">
        <f ca="1">VLOOKUP($T39,OFFSET([4]enemy_skill_sets!$B$1,0,0,COUNTA([4]enemy_skill_sets!$B:$B),MATCH(J$1,[4]enemy_skill_sets!$1:$1,0)-MATCH($T$1,[4]enemy_skill_sets!$1:$1,0)+2),MATCH(J$1,[4]enemy_skill_sets!$1:$1,0)-MATCH($T$1,[4]enemy_skill_sets!$1:$1,0)+2,FALSE)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" s="46">
        <f ca="1">VLOOKUP($I39,OFFSET([2]enemies!$A$1,0,0,COUNTA([2]enemies!$A:$A),MATCH(T$1,[2]enemies!$1:$1,0)-MATCH($I$1,[2]enemies!$1:$1,0)+1),MATCH(T$1,[2]enemies!$1:$1,0)-MATCH($I$1,[2]enemies!$1:$1,0)+1,FALSE)</f>
        <v>0</v>
      </c>
      <c r="U39" s="34">
        <v>0</v>
      </c>
      <c r="V39" s="34">
        <v>100</v>
      </c>
      <c r="W39" s="34">
        <v>0</v>
      </c>
      <c r="X39" s="46">
        <f ca="1">VLOOKUP($I39,OFFSET([2]enemies!$A$1,0,0,COUNTA([2]enemies!$A:$A),MATCH(X$1,[2]enemies!$1:$1,0)-MATCH($I$1,[2]enemies!$1:$1,0)+1),MATCH(X$1,[2]enemies!$1:$1,0)-MATCH($I$1,[2]enemies!$1:$1,0)+1,FALSE)</f>
        <v>2</v>
      </c>
      <c r="Y39" s="28">
        <v>21</v>
      </c>
      <c r="Z39" s="44" t="str">
        <f ca="1">IFERROR(VLOOKUP($Y39,OFFSET([3]characters!$A$1,0,0,COUNTA([3]characters!$A:$A),MATCH(Z$1,[3]characters!$1:$1,0)-MATCH("character_id",[3]characters!$1:$1,0)+1),MATCH(Z$1,[3]characters!$1:$1,0)-MATCH("character_id",[3]characters!$1:$1,0)+1,FALSE),"")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39" s="44">
        <f ca="1">IFERROR(VLOOKUP($Y39,OFFSET([3]characters!$A$1,0,0,COUNTA([3]characters!$A:$A),MATCH(AA$1,[3]characters!$1:$1,0)-MATCH("character_id",[3]characters!$1:$1,0)+1),MATCH(AA$1,[3]characters!$1:$1,0)-MATCH("character_id",[3]characters!$1:$1,0)+1,FALSE),"")</f>
        <v>1</v>
      </c>
      <c r="AB39" s="44" t="str">
        <f ca="1">IFERROR(VLOOKUP($Y39,OFFSET([3]characters!$A$1,0,0,COUNTA([3]characters!$A:$A),MATCH(AB$1,[3]characters!$1:$1,0)-MATCH("character_id",[3]characters!$1:$1,0)+1),MATCH(AB$1,[3]characters!$1:$1,0)-MATCH("character_id",[3]characters!$1:$1,0)+1,FALSE),"")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9" s="28">
        <v>5</v>
      </c>
      <c r="AD39" s="47">
        <f t="shared" ca="1" si="3"/>
        <v>1</v>
      </c>
      <c r="AE39" s="48">
        <v>15</v>
      </c>
      <c r="AF39" s="28">
        <v>0</v>
      </c>
      <c r="AG39" s="35">
        <v>0</v>
      </c>
      <c r="AH39" s="35">
        <v>0</v>
      </c>
      <c r="AI39" s="35">
        <v>0</v>
      </c>
      <c r="AJ39" s="35">
        <v>1</v>
      </c>
    </row>
    <row r="40" spans="1:36" ht="21" customHeight="1" x14ac:dyDescent="0.15">
      <c r="A40" s="17" t="str">
        <f t="shared" ca="1" si="0"/>
        <v>30004_2-4/27&lt;lv33&gt;s1</v>
      </c>
      <c r="B40" s="27">
        <v>30004</v>
      </c>
      <c r="C40" s="30">
        <v>2</v>
      </c>
      <c r="D40" s="16" t="str">
        <f t="shared" ca="1" si="4"/>
        <v>30004_2</v>
      </c>
      <c r="E40" s="44" t="str">
        <f ca="1">VLOOKUP($B40,OFFSET([1]quests!$A$1,0,0,COUNTA([1]quests!$A:$A),MATCH(E$1,[1]quests!$1:$1,0)-MATCH($B$1,[1]quests!$1:$1,0)+1),MATCH(E$1,[1]quests!$1:$1,0)-MATCH($B$1,[1]quests!$1:$1,0)+1,FALSE)</f>
        <v>危険な仲裁者</v>
      </c>
      <c r="F40" s="44" t="str">
        <f ca="1">VLOOKUP($D40,OFFSET([1]stages!$A$1,0,0,COUNTA([1]stages!$A:$A),MATCH(F$1,[1]stages!$2:$2,0)-MATCH($D$1,[1]stages!$2:$2,0)+1),MATCH(F$1,[1]stages!$2:$2,0)-MATCH($D$1,[1]stages!$2:$2,0)+1,FALSE)</f>
        <v xml:space="preserve">【上級】危険な仲裁者 </v>
      </c>
      <c r="G40" s="32">
        <v>4</v>
      </c>
      <c r="H40" s="31" t="s">
        <v>57</v>
      </c>
      <c r="I40" s="30">
        <v>27</v>
      </c>
      <c r="J40" s="46" t="str">
        <f ca="1">VLOOKUP($I40,OFFSET([2]enemies!$A$1,0,0,COUNTA([2]enemies!$A:$A),MATCH(J$1,[2]enemies!$1:$1,0)-MATCH($I$1,[2]enemies!$1:$1,0)+1),MATCH(J$1,[2]enemies!$1:$1,0)-MATCH($I$1,[2]enemies!$1:$1,0)+1,FALSE)</f>
        <v>パトライン</v>
      </c>
      <c r="K40" s="46" t="str">
        <f ca="1">VLOOKUP($I40,OFFSET([2]enemies!$A$1,0,0,COUNTA([2]enemies!$A:$A),MATCH(K$1,[2]enemies!$1:$1,0)-MATCH($I$1,[2]enemies!$1:$1,0)+1),MATCH(K$1,[2]enemies!$1:$1,0)-MATCH($I$1,[2]enemies!$1:$1,0)+1,FALSE)</f>
        <v>green</v>
      </c>
      <c r="L40" s="23" t="str">
        <f ca="1">VLOOKUP(I40,[3]characters!$A:$J,10,FALSE)</f>
        <v>Drop1N</v>
      </c>
      <c r="M40" s="46" t="str">
        <f ca="1">VLOOKUP($I40,OFFSET([2]enemies!$A$1,0,0,COUNTA([2]enemies!$A:$A),MATCH(M$1,[2]enemies!$1:$1,0)-MATCH($I$1,[2]enemies!$1:$1,0)+1),MATCH(M$1,[2]enemies!$1:$1,0)-MATCH($I$1,[2]enemies!$1:$1,0)+1,FALSE)</f>
        <v>machine</v>
      </c>
      <c r="N40" s="46">
        <f ca="1">VLOOKUP($I40,OFFSET([2]enemies!$A$1,0,0,COUNTA([2]enemies!$A:$A),MATCH(N$1,[2]enemies!$1:$1,0)-MATCH($I$1,[2]enemies!$1:$1,0)+1),MATCH(N$1,[2]enemies!$1:$1,0)-MATCH($I$1,[2]enemies!$1:$1,0)+1,FALSE)</f>
        <v>15</v>
      </c>
      <c r="O40" s="33">
        <v>33</v>
      </c>
      <c r="P40" s="42">
        <v>1.1000000000000001</v>
      </c>
      <c r="Q40" s="42">
        <v>1</v>
      </c>
      <c r="R40" s="43">
        <v>0</v>
      </c>
      <c r="S40" s="44" t="str">
        <f ca="1">VLOOKUP($T40,OFFSET([4]enemy_skill_sets!$B$1,0,0,COUNTA([4]enemy_skill_sets!$B:$B),MATCH(J$1,[4]enemy_skill_sets!$1:$1,0)-MATCH($T$1,[4]enemy_skill_sets!$1:$1,0)+2),MATCH(J$1,[4]enemy_skill_sets!$1:$1,0)-MATCH($T$1,[4]enemy_skill_sets!$1:$1,0)+2,FALSE)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" s="46">
        <f ca="1">VLOOKUP($I40,OFFSET([2]enemies!$A$1,0,0,COUNTA([2]enemies!$A:$A),MATCH(T$1,[2]enemies!$1:$1,0)-MATCH($I$1,[2]enemies!$1:$1,0)+1),MATCH(T$1,[2]enemies!$1:$1,0)-MATCH($I$1,[2]enemies!$1:$1,0)+1,FALSE)</f>
        <v>0</v>
      </c>
      <c r="U40" s="34">
        <v>1</v>
      </c>
      <c r="V40" s="34">
        <v>0</v>
      </c>
      <c r="W40" s="34">
        <v>0</v>
      </c>
      <c r="X40" s="46">
        <f ca="1">VLOOKUP($I40,OFFSET([2]enemies!$A$1,0,0,COUNTA([2]enemies!$A:$A),MATCH(X$1,[2]enemies!$1:$1,0)-MATCH($I$1,[2]enemies!$1:$1,0)+1),MATCH(X$1,[2]enemies!$1:$1,0)-MATCH($I$1,[2]enemies!$1:$1,0)+1,FALSE)</f>
        <v>1</v>
      </c>
      <c r="Y40" s="28">
        <v>27</v>
      </c>
      <c r="Z40" s="44" t="str">
        <f ca="1">IFERROR(VLOOKUP($Y40,OFFSET([3]characters!$A$1,0,0,COUNTA([3]characters!$A:$A),MATCH(Z$1,[3]characters!$1:$1,0)-MATCH("character_id",[3]characters!$1:$1,0)+1),MATCH(Z$1,[3]characters!$1:$1,0)-MATCH("character_id",[3]characters!$1:$1,0)+1,FALSE),"")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40" s="44">
        <f ca="1">IFERROR(VLOOKUP($Y40,OFFSET([3]characters!$A$1,0,0,COUNTA([3]characters!$A:$A),MATCH(AA$1,[3]characters!$1:$1,0)-MATCH("character_id",[3]characters!$1:$1,0)+1),MATCH(AA$1,[3]characters!$1:$1,0)-MATCH("character_id",[3]characters!$1:$1,0)+1,FALSE),"")</f>
        <v>1</v>
      </c>
      <c r="AB40" s="44" t="str">
        <f ca="1">IFERROR(VLOOKUP($Y40,OFFSET([3]characters!$A$1,0,0,COUNTA([3]characters!$A:$A),MATCH(AB$1,[3]characters!$1:$1,0)-MATCH("character_id",[3]characters!$1:$1,0)+1),MATCH(AB$1,[3]characters!$1:$1,0)-MATCH("character_id",[3]characters!$1:$1,0)+1,FALSE),"")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0" s="28">
        <v>5</v>
      </c>
      <c r="AD40" s="47">
        <f t="shared" ca="1" si="3"/>
        <v>1</v>
      </c>
      <c r="AE40" s="48">
        <v>15</v>
      </c>
      <c r="AF40" s="28">
        <v>0</v>
      </c>
      <c r="AG40" s="35">
        <v>0</v>
      </c>
      <c r="AH40" s="35">
        <v>0</v>
      </c>
      <c r="AI40" s="35">
        <v>0</v>
      </c>
      <c r="AJ40" s="35">
        <v>1</v>
      </c>
    </row>
    <row r="41" spans="1:36" ht="21" customHeight="1" x14ac:dyDescent="0.15">
      <c r="A41" s="17" t="str">
        <f t="shared" ca="1" si="0"/>
        <v>30004_2-4/29&lt;lv33&gt;s2</v>
      </c>
      <c r="B41" s="27">
        <v>30004</v>
      </c>
      <c r="C41" s="30">
        <v>2</v>
      </c>
      <c r="D41" s="16" t="str">
        <f t="shared" ca="1" si="4"/>
        <v>30004_2</v>
      </c>
      <c r="E41" s="44" t="str">
        <f ca="1">VLOOKUP($B41,OFFSET([1]quests!$A$1,0,0,COUNTA([1]quests!$A:$A),MATCH(E$1,[1]quests!$1:$1,0)-MATCH($B$1,[1]quests!$1:$1,0)+1),MATCH(E$1,[1]quests!$1:$1,0)-MATCH($B$1,[1]quests!$1:$1,0)+1,FALSE)</f>
        <v>危険な仲裁者</v>
      </c>
      <c r="F41" s="44" t="str">
        <f ca="1">VLOOKUP($D41,OFFSET([1]stages!$A$1,0,0,COUNTA([1]stages!$A:$A),MATCH(F$1,[1]stages!$2:$2,0)-MATCH($D$1,[1]stages!$2:$2,0)+1),MATCH(F$1,[1]stages!$2:$2,0)-MATCH($D$1,[1]stages!$2:$2,0)+1,FALSE)</f>
        <v xml:space="preserve">【上級】危険な仲裁者 </v>
      </c>
      <c r="G41" s="32">
        <v>4</v>
      </c>
      <c r="H41" s="31" t="s">
        <v>57</v>
      </c>
      <c r="I41" s="30">
        <v>29</v>
      </c>
      <c r="J41" s="46" t="str">
        <f ca="1">VLOOKUP($I41,OFFSET([2]enemies!$A$1,0,0,COUNTA([2]enemies!$A:$A),MATCH(J$1,[2]enemies!$1:$1,0)-MATCH($I$1,[2]enemies!$1:$1,0)+1),MATCH(J$1,[2]enemies!$1:$1,0)-MATCH($I$1,[2]enemies!$1:$1,0)+1,FALSE)</f>
        <v>スケアクロウ</v>
      </c>
      <c r="K41" s="46" t="str">
        <f ca="1">VLOOKUP($I41,OFFSET([2]enemies!$A$1,0,0,COUNTA([2]enemies!$A:$A),MATCH(K$1,[2]enemies!$1:$1,0)-MATCH($I$1,[2]enemies!$1:$1,0)+1),MATCH(K$1,[2]enemies!$1:$1,0)-MATCH($I$1,[2]enemies!$1:$1,0)+1,FALSE)</f>
        <v>blue</v>
      </c>
      <c r="L41" s="23" t="str">
        <f ca="1">VLOOKUP(I41,[3]characters!$A:$J,10,FALSE)</f>
        <v>Drop1N</v>
      </c>
      <c r="M41" s="46" t="str">
        <f ca="1">VLOOKUP($I41,OFFSET([2]enemies!$A$1,0,0,COUNTA([2]enemies!$A:$A),MATCH(M$1,[2]enemies!$1:$1,0)-MATCH($I$1,[2]enemies!$1:$1,0)+1),MATCH(M$1,[2]enemies!$1:$1,0)-MATCH($I$1,[2]enemies!$1:$1,0)+1,FALSE)</f>
        <v>machine</v>
      </c>
      <c r="N41" s="46">
        <f ca="1">VLOOKUP($I41,OFFSET([2]enemies!$A$1,0,0,COUNTA([2]enemies!$A:$A),MATCH(N$1,[2]enemies!$1:$1,0)-MATCH($I$1,[2]enemies!$1:$1,0)+1),MATCH(N$1,[2]enemies!$1:$1,0)-MATCH($I$1,[2]enemies!$1:$1,0)+1,FALSE)</f>
        <v>15</v>
      </c>
      <c r="O41" s="33">
        <v>33</v>
      </c>
      <c r="P41" s="42">
        <v>1.1000000000000001</v>
      </c>
      <c r="Q41" s="42">
        <v>1</v>
      </c>
      <c r="R41" s="43">
        <v>0</v>
      </c>
      <c r="S41" s="44" t="str">
        <f ca="1">VLOOKUP($T41,OFFSET([4]enemy_skill_sets!$B$1,0,0,COUNTA([4]enemy_skill_sets!$B:$B),MATCH(J$1,[4]enemy_skill_sets!$1:$1,0)-MATCH($T$1,[4]enemy_skill_sets!$1:$1,0)+2),MATCH(J$1,[4]enemy_skill_sets!$1:$1,0)-MATCH($T$1,[4]enemy_skill_sets!$1:$1,0)+2,FALSE)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" s="46">
        <f ca="1">VLOOKUP($I41,OFFSET([2]enemies!$A$1,0,0,COUNTA([2]enemies!$A:$A),MATCH(T$1,[2]enemies!$1:$1,0)-MATCH($I$1,[2]enemies!$1:$1,0)+1),MATCH(T$1,[2]enemies!$1:$1,0)-MATCH($I$1,[2]enemies!$1:$1,0)+1,FALSE)</f>
        <v>0</v>
      </c>
      <c r="U41" s="34">
        <v>0</v>
      </c>
      <c r="V41" s="34">
        <v>100</v>
      </c>
      <c r="W41" s="34">
        <v>0</v>
      </c>
      <c r="X41" s="46">
        <f ca="1">VLOOKUP($I41,OFFSET([2]enemies!$A$1,0,0,COUNTA([2]enemies!$A:$A),MATCH(X$1,[2]enemies!$1:$1,0)-MATCH($I$1,[2]enemies!$1:$1,0)+1),MATCH(X$1,[2]enemies!$1:$1,0)-MATCH($I$1,[2]enemies!$1:$1,0)+1,FALSE)</f>
        <v>2</v>
      </c>
      <c r="Y41" s="28">
        <v>29</v>
      </c>
      <c r="Z41" s="44" t="str">
        <f ca="1">IFERROR(VLOOKUP($Y41,OFFSET([3]characters!$A$1,0,0,COUNTA([3]characters!$A:$A),MATCH(Z$1,[3]characters!$1:$1,0)-MATCH("character_id",[3]characters!$1:$1,0)+1),MATCH(Z$1,[3]characters!$1:$1,0)-MATCH("character_id",[3]characters!$1:$1,0)+1,FALSE),"")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41" s="44">
        <f ca="1">IFERROR(VLOOKUP($Y41,OFFSET([3]characters!$A$1,0,0,COUNTA([3]characters!$A:$A),MATCH(AA$1,[3]characters!$1:$1,0)-MATCH("character_id",[3]characters!$1:$1,0)+1),MATCH(AA$1,[3]characters!$1:$1,0)-MATCH("character_id",[3]characters!$1:$1,0)+1,FALSE),"")</f>
        <v>1</v>
      </c>
      <c r="AB41" s="44" t="str">
        <f ca="1">IFERROR(VLOOKUP($Y41,OFFSET([3]characters!$A$1,0,0,COUNTA([3]characters!$A:$A),MATCH(AB$1,[3]characters!$1:$1,0)-MATCH("character_id",[3]characters!$1:$1,0)+1),MATCH(AB$1,[3]characters!$1:$1,0)-MATCH("character_id",[3]characters!$1:$1,0)+1,FALSE),"")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1" s="28">
        <v>5</v>
      </c>
      <c r="AD41" s="47">
        <f t="shared" ca="1" si="3"/>
        <v>1</v>
      </c>
      <c r="AE41" s="48">
        <v>15</v>
      </c>
      <c r="AF41" s="28">
        <v>0</v>
      </c>
      <c r="AG41" s="35">
        <v>0</v>
      </c>
      <c r="AH41" s="35">
        <v>0</v>
      </c>
      <c r="AI41" s="35">
        <v>0</v>
      </c>
      <c r="AJ41" s="35">
        <v>1</v>
      </c>
    </row>
    <row r="42" spans="1:36" ht="21" customHeight="1" x14ac:dyDescent="0.15">
      <c r="A42" s="17" t="str">
        <f t="shared" ca="1" si="0"/>
        <v>30004_2-4/31&lt;lv33&gt;s2</v>
      </c>
      <c r="B42" s="27">
        <v>30004</v>
      </c>
      <c r="C42" s="30">
        <v>2</v>
      </c>
      <c r="D42" s="16" t="str">
        <f t="shared" ca="1" si="4"/>
        <v>30004_2</v>
      </c>
      <c r="E42" s="44" t="str">
        <f ca="1">VLOOKUP($B42,OFFSET([1]quests!$A$1,0,0,COUNTA([1]quests!$A:$A),MATCH(E$1,[1]quests!$1:$1,0)-MATCH($B$1,[1]quests!$1:$1,0)+1),MATCH(E$1,[1]quests!$1:$1,0)-MATCH($B$1,[1]quests!$1:$1,0)+1,FALSE)</f>
        <v>危険な仲裁者</v>
      </c>
      <c r="F42" s="44" t="str">
        <f ca="1">VLOOKUP($D42,OFFSET([1]stages!$A$1,0,0,COUNTA([1]stages!$A:$A),MATCH(F$1,[1]stages!$2:$2,0)-MATCH($D$1,[1]stages!$2:$2,0)+1),MATCH(F$1,[1]stages!$2:$2,0)-MATCH($D$1,[1]stages!$2:$2,0)+1,FALSE)</f>
        <v xml:space="preserve">【上級】危険な仲裁者 </v>
      </c>
      <c r="G42" s="32">
        <v>4</v>
      </c>
      <c r="H42" s="31" t="s">
        <v>57</v>
      </c>
      <c r="I42" s="30">
        <v>31</v>
      </c>
      <c r="J42" s="46" t="str">
        <f ca="1">VLOOKUP($I42,OFFSET([2]enemies!$A$1,0,0,COUNTA([2]enemies!$A:$A),MATCH(J$1,[2]enemies!$1:$1,0)-MATCH($I$1,[2]enemies!$1:$1,0)+1),MATCH(J$1,[2]enemies!$1:$1,0)-MATCH($I$1,[2]enemies!$1:$1,0)+1,FALSE)</f>
        <v>マービー</v>
      </c>
      <c r="K42" s="46" t="str">
        <f ca="1">VLOOKUP($I42,OFFSET([2]enemies!$A$1,0,0,COUNTA([2]enemies!$A:$A),MATCH(K$1,[2]enemies!$1:$1,0)-MATCH($I$1,[2]enemies!$1:$1,0)+1),MATCH(K$1,[2]enemies!$1:$1,0)-MATCH($I$1,[2]enemies!$1:$1,0)+1,FALSE)</f>
        <v>yellow</v>
      </c>
      <c r="L42" s="23" t="str">
        <f ca="1">VLOOKUP(I42,[3]characters!$A:$J,10,FALSE)</f>
        <v>Drop1N</v>
      </c>
      <c r="M42" s="46" t="str">
        <f ca="1">VLOOKUP($I42,OFFSET([2]enemies!$A$1,0,0,COUNTA([2]enemies!$A:$A),MATCH(M$1,[2]enemies!$1:$1,0)-MATCH($I$1,[2]enemies!$1:$1,0)+1),MATCH(M$1,[2]enemies!$1:$1,0)-MATCH($I$1,[2]enemies!$1:$1,0)+1,FALSE)</f>
        <v>machine</v>
      </c>
      <c r="N42" s="46">
        <f ca="1">VLOOKUP($I42,OFFSET([2]enemies!$A$1,0,0,COUNTA([2]enemies!$A:$A),MATCH(N$1,[2]enemies!$1:$1,0)-MATCH($I$1,[2]enemies!$1:$1,0)+1),MATCH(N$1,[2]enemies!$1:$1,0)-MATCH($I$1,[2]enemies!$1:$1,0)+1,FALSE)</f>
        <v>15</v>
      </c>
      <c r="O42" s="33">
        <v>33</v>
      </c>
      <c r="P42" s="42">
        <v>1.1000000000000001</v>
      </c>
      <c r="Q42" s="42">
        <v>1</v>
      </c>
      <c r="R42" s="43">
        <v>0</v>
      </c>
      <c r="S42" s="44" t="str">
        <f ca="1">VLOOKUP($T42,OFFSET([4]enemy_skill_sets!$B$1,0,0,COUNTA([4]enemy_skill_sets!$B:$B),MATCH(J$1,[4]enemy_skill_sets!$1:$1,0)-MATCH($T$1,[4]enemy_skill_sets!$1:$1,0)+2),MATCH(J$1,[4]enemy_skill_sets!$1:$1,0)-MATCH($T$1,[4]enemy_skill_sets!$1:$1,0)+2,FALSE)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" s="46">
        <f ca="1">VLOOKUP($I42,OFFSET([2]enemies!$A$1,0,0,COUNTA([2]enemies!$A:$A),MATCH(T$1,[2]enemies!$1:$1,0)-MATCH($I$1,[2]enemies!$1:$1,0)+1),MATCH(T$1,[2]enemies!$1:$1,0)-MATCH($I$1,[2]enemies!$1:$1,0)+1,FALSE)</f>
        <v>0</v>
      </c>
      <c r="U42" s="34">
        <v>0</v>
      </c>
      <c r="V42" s="34">
        <v>100</v>
      </c>
      <c r="W42" s="34">
        <v>0</v>
      </c>
      <c r="X42" s="46">
        <f ca="1">VLOOKUP($I42,OFFSET([2]enemies!$A$1,0,0,COUNTA([2]enemies!$A:$A),MATCH(X$1,[2]enemies!$1:$1,0)-MATCH($I$1,[2]enemies!$1:$1,0)+1),MATCH(X$1,[2]enemies!$1:$1,0)-MATCH($I$1,[2]enemies!$1:$1,0)+1,FALSE)</f>
        <v>2</v>
      </c>
      <c r="Y42" s="28">
        <v>31</v>
      </c>
      <c r="Z42" s="44" t="str">
        <f ca="1">IFERROR(VLOOKUP($Y42,OFFSET([3]characters!$A$1,0,0,COUNTA([3]characters!$A:$A),MATCH(Z$1,[3]characters!$1:$1,0)-MATCH("character_id",[3]characters!$1:$1,0)+1),MATCH(Z$1,[3]characters!$1:$1,0)-MATCH("character_id",[3]characters!$1:$1,0)+1,FALSE),"")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42" s="44">
        <f ca="1">IFERROR(VLOOKUP($Y42,OFFSET([3]characters!$A$1,0,0,COUNTA([3]characters!$A:$A),MATCH(AA$1,[3]characters!$1:$1,0)-MATCH("character_id",[3]characters!$1:$1,0)+1),MATCH(AA$1,[3]characters!$1:$1,0)-MATCH("character_id",[3]characters!$1:$1,0)+1,FALSE),"")</f>
        <v>1</v>
      </c>
      <c r="AB42" s="44" t="str">
        <f ca="1">IFERROR(VLOOKUP($Y42,OFFSET([3]characters!$A$1,0,0,COUNTA([3]characters!$A:$A),MATCH(AB$1,[3]characters!$1:$1,0)-MATCH("character_id",[3]characters!$1:$1,0)+1),MATCH(AB$1,[3]characters!$1:$1,0)-MATCH("character_id",[3]characters!$1:$1,0)+1,FALSE),"")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2" s="28">
        <v>5</v>
      </c>
      <c r="AD42" s="47">
        <f t="shared" ca="1" si="3"/>
        <v>1</v>
      </c>
      <c r="AE42" s="48">
        <v>15</v>
      </c>
      <c r="AF42" s="28">
        <v>0</v>
      </c>
      <c r="AG42" s="35">
        <v>0</v>
      </c>
      <c r="AH42" s="35">
        <v>0</v>
      </c>
      <c r="AI42" s="35">
        <v>0</v>
      </c>
      <c r="AJ42" s="35">
        <v>1</v>
      </c>
    </row>
    <row r="43" spans="1:36" ht="21" customHeight="1" x14ac:dyDescent="0.15">
      <c r="A43" s="17" t="str">
        <f t="shared" ca="1" si="0"/>
        <v>30004_2-5/276&lt;lv40&gt;s2</v>
      </c>
      <c r="B43" s="27">
        <v>30004</v>
      </c>
      <c r="C43" s="30">
        <v>2</v>
      </c>
      <c r="D43" s="16" t="str">
        <f t="shared" ca="1" si="4"/>
        <v>30004_2</v>
      </c>
      <c r="E43" s="44" t="str">
        <f ca="1">VLOOKUP($B43,OFFSET([1]quests!$A$1,0,0,COUNTA([1]quests!$A:$A),MATCH(E$1,[1]quests!$1:$1,0)-MATCH($B$1,[1]quests!$1:$1,0)+1),MATCH(E$1,[1]quests!$1:$1,0)-MATCH($B$1,[1]quests!$1:$1,0)+1,FALSE)</f>
        <v>危険な仲裁者</v>
      </c>
      <c r="F43" s="44" t="str">
        <f ca="1">VLOOKUP($D43,OFFSET([1]stages!$A$1,0,0,COUNTA([1]stages!$A:$A),MATCH(F$1,[1]stages!$2:$2,0)-MATCH($D$1,[1]stages!$2:$2,0)+1),MATCH(F$1,[1]stages!$2:$2,0)-MATCH($D$1,[1]stages!$2:$2,0)+1,FALSE)</f>
        <v xml:space="preserve">【上級】危険な仲裁者 </v>
      </c>
      <c r="G43" s="32">
        <v>5</v>
      </c>
      <c r="H43" s="31" t="s">
        <v>58</v>
      </c>
      <c r="I43" s="30">
        <v>276</v>
      </c>
      <c r="J43" s="46" t="str">
        <f ca="1">VLOOKUP($I43,OFFSET([2]enemies!$A$1,0,0,COUNTA([2]enemies!$A:$A),MATCH(J$1,[2]enemies!$1:$1,0)-MATCH($I$1,[2]enemies!$1:$1,0)+1),MATCH(J$1,[2]enemies!$1:$1,0)-MATCH($I$1,[2]enemies!$1:$1,0)+1,FALSE)</f>
        <v>機拳のイリア</v>
      </c>
      <c r="K43" s="46" t="str">
        <f ca="1">VLOOKUP($I43,OFFSET([2]enemies!$A$1,0,0,COUNTA([2]enemies!$A:$A),MATCH(K$1,[2]enemies!$1:$1,0)-MATCH($I$1,[2]enemies!$1:$1,0)+1),MATCH(K$1,[2]enemies!$1:$1,0)-MATCH($I$1,[2]enemies!$1:$1,0)+1,FALSE)</f>
        <v>red</v>
      </c>
      <c r="L43" s="23" t="str">
        <f ca="1">VLOOKUP(I43,[3]characters!$A:$J,10,FALSE)</f>
        <v>Drop2N</v>
      </c>
      <c r="M43" s="46" t="str">
        <f ca="1">VLOOKUP($I43,OFFSET([2]enemies!$A$1,0,0,COUNTA([2]enemies!$A:$A),MATCH(M$1,[2]enemies!$1:$1,0)-MATCH($I$1,[2]enemies!$1:$1,0)+1),MATCH(M$1,[2]enemies!$1:$1,0)-MATCH($I$1,[2]enemies!$1:$1,0)+1,FALSE)</f>
        <v>human</v>
      </c>
      <c r="N43" s="46">
        <f ca="1">VLOOKUP($I43,OFFSET([2]enemies!$A$1,0,0,COUNTA([2]enemies!$A:$A),MATCH(N$1,[2]enemies!$1:$1,0)-MATCH($I$1,[2]enemies!$1:$1,0)+1),MATCH(N$1,[2]enemies!$1:$1,0)-MATCH($I$1,[2]enemies!$1:$1,0)+1,FALSE)</f>
        <v>30</v>
      </c>
      <c r="O43" s="33">
        <v>40</v>
      </c>
      <c r="P43" s="42">
        <v>2.8</v>
      </c>
      <c r="Q43" s="42">
        <v>1.6</v>
      </c>
      <c r="R43" s="43">
        <v>0</v>
      </c>
      <c r="S43" s="44" t="str">
        <f ca="1">VLOOKUP($T43,OFFSET([4]enemy_skill_sets!$B$1,0,0,COUNTA([4]enemy_skill_sets!$B:$B),MATCH(J$1,[4]enemy_skill_sets!$1:$1,0)-MATCH($T$1,[4]enemy_skill_sets!$1:$1,0)+2),MATCH(J$1,[4]enemy_skill_sets!$1:$1,0)-MATCH($T$1,[4]enemy_skill_sets!$1:$1,0)+2,FALSE)</f>
        <v>どうしたらよいのか分からないようだ</v>
      </c>
      <c r="T43" s="46">
        <f ca="1">VLOOKUP($I43,OFFSET([2]enemies!$A$1,0,0,COUNTA([2]enemies!$A:$A),MATCH(T$1,[2]enemies!$1:$1,0)-MATCH($I$1,[2]enemies!$1:$1,0)+1),MATCH(T$1,[2]enemies!$1:$1,0)-MATCH($I$1,[2]enemies!$1:$1,0)+1,FALSE)</f>
        <v>276</v>
      </c>
      <c r="U43" s="34">
        <v>1</v>
      </c>
      <c r="V43" s="34">
        <v>20</v>
      </c>
      <c r="W43" s="34">
        <v>1</v>
      </c>
      <c r="X43" s="46">
        <f ca="1">VLOOKUP($I43,OFFSET([2]enemies!$A$1,0,0,COUNTA([2]enemies!$A:$A),MATCH(X$1,[2]enemies!$1:$1,0)-MATCH($I$1,[2]enemies!$1:$1,0)+1),MATCH(X$1,[2]enemies!$1:$1,0)-MATCH($I$1,[2]enemies!$1:$1,0)+1,FALSE)</f>
        <v>2</v>
      </c>
      <c r="Y43" s="28">
        <v>276</v>
      </c>
      <c r="Z43" s="44" t="str">
        <f ca="1">IFERROR(VLOOKUP($Y43,OFFSET([3]characters!$A$1,0,0,COUNTA([3]characters!$A:$A),MATCH(Z$1,[3]characters!$1:$1,0)-MATCH("character_id",[3]characters!$1:$1,0)+1),MATCH(Z$1,[3]characters!$1:$1,0)-MATCH("character_id",[3]characters!$1:$1,0)+1,FALSE),"")</f>
        <v>機拳のイリア</v>
      </c>
      <c r="AA43" s="44">
        <f ca="1">IFERROR(VLOOKUP($Y43,OFFSET([3]characters!$A$1,0,0,COUNTA([3]characters!$A:$A),MATCH(AA$1,[3]characters!$1:$1,0)-MATCH("character_id",[3]characters!$1:$1,0)+1),MATCH(AA$1,[3]characters!$1:$1,0)-MATCH("character_id",[3]characters!$1:$1,0)+1,FALSE),"")</f>
        <v>4</v>
      </c>
      <c r="AB43" s="44" t="str">
        <f ca="1">IFERROR(VLOOKUP($Y43,OFFSET([3]characters!$A$1,0,0,COUNTA([3]characters!$A:$A),MATCH(AB$1,[3]characters!$1:$1,0)-MATCH("character_id",[3]characters!$1:$1,0)+1),MATCH(AB$1,[3]characters!$1:$1,0)-MATCH("character_id",[3]characters!$1:$1,0)+1,FALSE),"")</f>
        <v>Drop2N</v>
      </c>
      <c r="AC43" s="28">
        <v>1</v>
      </c>
      <c r="AD43" s="47">
        <f t="shared" ca="1" si="3"/>
        <v>4</v>
      </c>
      <c r="AE43" s="50">
        <v>50</v>
      </c>
      <c r="AF43" s="28">
        <v>0</v>
      </c>
      <c r="AG43" s="35">
        <v>0</v>
      </c>
      <c r="AH43" s="35">
        <v>0</v>
      </c>
      <c r="AI43" s="35">
        <v>0</v>
      </c>
      <c r="AJ43" s="35">
        <v>1</v>
      </c>
    </row>
    <row r="44" spans="1:36" ht="21" customHeight="1" x14ac:dyDescent="0.15">
      <c r="A44" s="17" t="str">
        <f t="shared" ca="1" si="0"/>
        <v>30004_3-1/10&lt;lv44&gt;s2</v>
      </c>
      <c r="B44" s="27">
        <v>30004</v>
      </c>
      <c r="C44" s="30">
        <v>3</v>
      </c>
      <c r="D44" s="16" t="str">
        <f t="shared" ca="1" si="4"/>
        <v>30004_3</v>
      </c>
      <c r="E44" s="44" t="str">
        <f ca="1">VLOOKUP($B44,OFFSET([1]quests!$A$1,0,0,COUNTA([1]quests!$A:$A),MATCH(E$1,[1]quests!$1:$1,0)-MATCH($B$1,[1]quests!$1:$1,0)+1),MATCH(E$1,[1]quests!$1:$1,0)-MATCH($B$1,[1]quests!$1:$1,0)+1,FALSE)</f>
        <v>危険な仲裁者</v>
      </c>
      <c r="F44" s="44" t="str">
        <f ca="1">VLOOKUP($D44,OFFSET([1]stages!$A$1,0,0,COUNTA([1]stages!$A:$A),MATCH(F$1,[1]stages!$2:$2,0)-MATCH($D$1,[1]stages!$2:$2,0)+1),MATCH(F$1,[1]stages!$2:$2,0)-MATCH($D$1,[1]stages!$2:$2,0)+1,FALSE)</f>
        <v xml:space="preserve">【超級】危険な仲裁者 </v>
      </c>
      <c r="G44" s="32">
        <v>1</v>
      </c>
      <c r="H44" s="31" t="s">
        <v>59</v>
      </c>
      <c r="I44" s="30">
        <v>10</v>
      </c>
      <c r="J44" s="46" t="str">
        <f ca="1">VLOOKUP($I44,OFFSET([2]enemies!$A$1,0,0,COUNTA([2]enemies!$A:$A),MATCH(J$1,[2]enemies!$1:$1,0)-MATCH($I$1,[2]enemies!$1:$1,0)+1),MATCH(J$1,[2]enemies!$1:$1,0)-MATCH($I$1,[2]enemies!$1:$1,0)+1,FALSE)</f>
        <v>燃える悪戯魂 ブレット</v>
      </c>
      <c r="K44" s="46" t="str">
        <f ca="1">VLOOKUP($I44,OFFSET([2]enemies!$A$1,0,0,COUNTA([2]enemies!$A:$A),MATCH(K$1,[2]enemies!$1:$1,0)-MATCH($I$1,[2]enemies!$1:$1,0)+1),MATCH(K$1,[2]enemies!$1:$1,0)-MATCH($I$1,[2]enemies!$1:$1,0)+1,FALSE)</f>
        <v>red</v>
      </c>
      <c r="L44" s="23" t="str">
        <f ca="1">VLOOKUP(I44,[3]characters!$A:$J,10,FALSE)</f>
        <v>Drop1W</v>
      </c>
      <c r="M44" s="46" t="str">
        <f ca="1">VLOOKUP($I44,OFFSET([2]enemies!$A$1,0,0,COUNTA([2]enemies!$A:$A),MATCH(M$1,[2]enemies!$1:$1,0)-MATCH($I$1,[2]enemies!$1:$1,0)+1),MATCH(M$1,[2]enemies!$1:$1,0)-MATCH($I$1,[2]enemies!$1:$1,0)+1,FALSE)</f>
        <v>animal</v>
      </c>
      <c r="N44" s="46">
        <f ca="1">VLOOKUP($I44,OFFSET([2]enemies!$A$1,0,0,COUNTA([2]enemies!$A:$A),MATCH(N$1,[2]enemies!$1:$1,0)-MATCH($I$1,[2]enemies!$1:$1,0)+1),MATCH(N$1,[2]enemies!$1:$1,0)-MATCH($I$1,[2]enemies!$1:$1,0)+1,FALSE)</f>
        <v>15</v>
      </c>
      <c r="O44" s="33">
        <v>44</v>
      </c>
      <c r="P44" s="42">
        <v>1</v>
      </c>
      <c r="Q44" s="42">
        <v>1.3</v>
      </c>
      <c r="R44" s="43">
        <v>0</v>
      </c>
      <c r="S44" s="44" t="str">
        <f ca="1">VLOOKUP($T44,OFFSET([4]enemy_skill_sets!$B$1,0,0,COUNTA([4]enemy_skill_sets!$B:$B),MATCH(J$1,[4]enemy_skill_sets!$1:$1,0)-MATCH($T$1,[4]enemy_skill_sets!$1:$1,0)+2),MATCH(J$1,[4]enemy_skill_sets!$1:$1,0)-MATCH($T$1,[4]enemy_skill_sets!$1:$1,0)+2,FALSE)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" s="46">
        <f ca="1">VLOOKUP($I44,OFFSET([2]enemies!$A$1,0,0,COUNTA([2]enemies!$A:$A),MATCH(T$1,[2]enemies!$1:$1,0)-MATCH($I$1,[2]enemies!$1:$1,0)+1),MATCH(T$1,[2]enemies!$1:$1,0)-MATCH($I$1,[2]enemies!$1:$1,0)+1,FALSE)</f>
        <v>0</v>
      </c>
      <c r="U44" s="34">
        <v>0</v>
      </c>
      <c r="V44" s="34">
        <v>100</v>
      </c>
      <c r="W44" s="34">
        <v>0</v>
      </c>
      <c r="X44" s="46">
        <f ca="1">VLOOKUP($I44,OFFSET([2]enemies!$A$1,0,0,COUNTA([2]enemies!$A:$A),MATCH(X$1,[2]enemies!$1:$1,0)-MATCH($I$1,[2]enemies!$1:$1,0)+1),MATCH(X$1,[2]enemies!$1:$1,0)-MATCH($I$1,[2]enemies!$1:$1,0)+1,FALSE)</f>
        <v>2</v>
      </c>
      <c r="Y44" s="28">
        <v>10</v>
      </c>
      <c r="Z44" s="44" t="str">
        <f ca="1">IFERROR(VLOOKUP($Y44,OFFSET([3]characters!$A$1,0,0,COUNTA([3]characters!$A:$A),MATCH(Z$1,[3]characters!$1:$1,0)-MATCH("character_id",[3]characters!$1:$1,0)+1),MATCH(Z$1,[3]characters!$1:$1,0)-MATCH("character_id",[3]characters!$1:$1,0)+1,FALSE),"")</f>
        <v>燃える悪戯魂 ブレット</v>
      </c>
      <c r="AA44" s="44">
        <f ca="1">IFERROR(VLOOKUP($Y44,OFFSET([3]characters!$A$1,0,0,COUNTA([3]characters!$A:$A),MATCH(AA$1,[3]characters!$1:$1,0)-MATCH("character_id",[3]characters!$1:$1,0)+1),MATCH(AA$1,[3]characters!$1:$1,0)-MATCH("character_id",[3]characters!$1:$1,0)+1,FALSE),"")</f>
        <v>2</v>
      </c>
      <c r="AB44" s="44" t="str">
        <f ca="1">IFERROR(VLOOKUP($Y44,OFFSET([3]characters!$A$1,0,0,COUNTA([3]characters!$A:$A),MATCH(AB$1,[3]characters!$1:$1,0)-MATCH("character_id",[3]characters!$1:$1,0)+1),MATCH(AB$1,[3]characters!$1:$1,0)-MATCH("character_id",[3]characters!$1:$1,0)+1,FALSE),"")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44" s="28">
        <v>5</v>
      </c>
      <c r="AD44" s="47">
        <f t="shared" ca="1" si="3"/>
        <v>2</v>
      </c>
      <c r="AE44" s="48">
        <v>15</v>
      </c>
      <c r="AF44" s="28">
        <v>0</v>
      </c>
      <c r="AG44" s="35">
        <v>0</v>
      </c>
      <c r="AH44" s="35">
        <v>0</v>
      </c>
      <c r="AI44" s="35">
        <v>0</v>
      </c>
      <c r="AJ44" s="35">
        <v>1</v>
      </c>
    </row>
    <row r="45" spans="1:36" ht="21" customHeight="1" x14ac:dyDescent="0.15">
      <c r="A45" s="17" t="str">
        <f t="shared" ca="1" si="0"/>
        <v>30004_3-1/16&lt;lv44&gt;s3</v>
      </c>
      <c r="B45" s="27">
        <v>30004</v>
      </c>
      <c r="C45" s="30">
        <v>3</v>
      </c>
      <c r="D45" s="16" t="str">
        <f t="shared" ca="1" si="4"/>
        <v>30004_3</v>
      </c>
      <c r="E45" s="44" t="str">
        <f ca="1">VLOOKUP($B45,OFFSET([1]quests!$A$1,0,0,COUNTA([1]quests!$A:$A),MATCH(E$1,[1]quests!$1:$1,0)-MATCH($B$1,[1]quests!$1:$1,0)+1),MATCH(E$1,[1]quests!$1:$1,0)-MATCH($B$1,[1]quests!$1:$1,0)+1,FALSE)</f>
        <v>危険な仲裁者</v>
      </c>
      <c r="F45" s="44" t="str">
        <f ca="1">VLOOKUP($D45,OFFSET([1]stages!$A$1,0,0,COUNTA([1]stages!$A:$A),MATCH(F$1,[1]stages!$2:$2,0)-MATCH($D$1,[1]stages!$2:$2,0)+1),MATCH(F$1,[1]stages!$2:$2,0)-MATCH($D$1,[1]stages!$2:$2,0)+1,FALSE)</f>
        <v xml:space="preserve">【超級】危険な仲裁者 </v>
      </c>
      <c r="G45" s="32">
        <v>1</v>
      </c>
      <c r="H45" s="31" t="s">
        <v>59</v>
      </c>
      <c r="I45" s="30">
        <v>16</v>
      </c>
      <c r="J45" s="46" t="str">
        <f ca="1">VLOOKUP($I45,OFFSET([2]enemies!$A$1,0,0,COUNTA([2]enemies!$A:$A),MATCH(J$1,[2]enemies!$1:$1,0)-MATCH($I$1,[2]enemies!$1:$1,0)+1),MATCH(J$1,[2]enemies!$1:$1,0)-MATCH($I$1,[2]enemies!$1:$1,0)+1,FALSE)</f>
        <v>炎戦少女 アカネ</v>
      </c>
      <c r="K45" s="46" t="str">
        <f ca="1">VLOOKUP($I45,OFFSET([2]enemies!$A$1,0,0,COUNTA([2]enemies!$A:$A),MATCH(K$1,[2]enemies!$1:$1,0)-MATCH($I$1,[2]enemies!$1:$1,0)+1),MATCH(K$1,[2]enemies!$1:$1,0)-MATCH($I$1,[2]enemies!$1:$1,0)+1,FALSE)</f>
        <v>red</v>
      </c>
      <c r="L45" s="23" t="str">
        <f ca="1">VLOOKUP(I45,[3]characters!$A:$J,10,FALSE)</f>
        <v>Drop1W</v>
      </c>
      <c r="M45" s="46" t="str">
        <f ca="1">VLOOKUP($I45,OFFSET([2]enemies!$A$1,0,0,COUNTA([2]enemies!$A:$A),MATCH(M$1,[2]enemies!$1:$1,0)-MATCH($I$1,[2]enemies!$1:$1,0)+1),MATCH(M$1,[2]enemies!$1:$1,0)-MATCH($I$1,[2]enemies!$1:$1,0)+1,FALSE)</f>
        <v>human</v>
      </c>
      <c r="N45" s="46">
        <f ca="1">VLOOKUP($I45,OFFSET([2]enemies!$A$1,0,0,COUNTA([2]enemies!$A:$A),MATCH(N$1,[2]enemies!$1:$1,0)-MATCH($I$1,[2]enemies!$1:$1,0)+1),MATCH(N$1,[2]enemies!$1:$1,0)-MATCH($I$1,[2]enemies!$1:$1,0)+1,FALSE)</f>
        <v>15</v>
      </c>
      <c r="O45" s="33">
        <v>44</v>
      </c>
      <c r="P45" s="42">
        <v>1</v>
      </c>
      <c r="Q45" s="42">
        <v>1.3</v>
      </c>
      <c r="R45" s="43">
        <v>0</v>
      </c>
      <c r="S45" s="44" t="str">
        <f ca="1">VLOOKUP($T45,OFFSET([4]enemy_skill_sets!$B$1,0,0,COUNTA([4]enemy_skill_sets!$B:$B),MATCH(J$1,[4]enemy_skill_sets!$1:$1,0)-MATCH($T$1,[4]enemy_skill_sets!$1:$1,0)+2),MATCH(J$1,[4]enemy_skill_sets!$1:$1,0)-MATCH($T$1,[4]enemy_skill_sets!$1:$1,0)+2,FALSE)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" s="46">
        <f ca="1">VLOOKUP($I45,OFFSET([2]enemies!$A$1,0,0,COUNTA([2]enemies!$A:$A),MATCH(T$1,[2]enemies!$1:$1,0)-MATCH($I$1,[2]enemies!$1:$1,0)+1),MATCH(T$1,[2]enemies!$1:$1,0)-MATCH($I$1,[2]enemies!$1:$1,0)+1,FALSE)</f>
        <v>0</v>
      </c>
      <c r="U45" s="34">
        <v>0</v>
      </c>
      <c r="V45" s="34">
        <v>100</v>
      </c>
      <c r="W45" s="34">
        <v>0</v>
      </c>
      <c r="X45" s="46">
        <f ca="1">VLOOKUP($I45,OFFSET([2]enemies!$A$1,0,0,COUNTA([2]enemies!$A:$A),MATCH(X$1,[2]enemies!$1:$1,0)-MATCH($I$1,[2]enemies!$1:$1,0)+1),MATCH(X$1,[2]enemies!$1:$1,0)-MATCH($I$1,[2]enemies!$1:$1,0)+1,FALSE)</f>
        <v>3</v>
      </c>
      <c r="Y45" s="28">
        <v>16</v>
      </c>
      <c r="Z45" s="44" t="str">
        <f ca="1">IFERROR(VLOOKUP($Y45,OFFSET([3]characters!$A$1,0,0,COUNTA([3]characters!$A:$A),MATCH(Z$1,[3]characters!$1:$1,0)-MATCH("character_id",[3]characters!$1:$1,0)+1),MATCH(Z$1,[3]characters!$1:$1,0)-MATCH("character_id",[3]characters!$1:$1,0)+1,FALSE),"")</f>
        <v>炎戦少女 アカネ</v>
      </c>
      <c r="AA45" s="44">
        <f ca="1">IFERROR(VLOOKUP($Y45,OFFSET([3]characters!$A$1,0,0,COUNTA([3]characters!$A:$A),MATCH(AA$1,[3]characters!$1:$1,0)-MATCH("character_id",[3]characters!$1:$1,0)+1),MATCH(AA$1,[3]characters!$1:$1,0)-MATCH("character_id",[3]characters!$1:$1,0)+1,FALSE),"")</f>
        <v>2</v>
      </c>
      <c r="AB45" s="44" t="str">
        <f ca="1">IFERROR(VLOOKUP($Y45,OFFSET([3]characters!$A$1,0,0,COUNTA([3]characters!$A:$A),MATCH(AB$1,[3]characters!$1:$1,0)-MATCH("character_id",[3]characters!$1:$1,0)+1),MATCH(AB$1,[3]characters!$1:$1,0)-MATCH("character_id",[3]characters!$1:$1,0)+1,FALSE),"")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45" s="28">
        <v>5</v>
      </c>
      <c r="AD45" s="47">
        <f t="shared" ca="1" si="3"/>
        <v>2</v>
      </c>
      <c r="AE45" s="48">
        <v>15</v>
      </c>
      <c r="AF45" s="28">
        <v>0</v>
      </c>
      <c r="AG45" s="35">
        <v>0</v>
      </c>
      <c r="AH45" s="35">
        <v>0</v>
      </c>
      <c r="AI45" s="35">
        <v>0</v>
      </c>
      <c r="AJ45" s="35">
        <v>1</v>
      </c>
    </row>
    <row r="46" spans="1:36" ht="21" customHeight="1" x14ac:dyDescent="0.15">
      <c r="A46" s="17" t="str">
        <f t="shared" ca="1" si="0"/>
        <v>30004_3-1/43&lt;lv44&gt;s2</v>
      </c>
      <c r="B46" s="27">
        <v>30004</v>
      </c>
      <c r="C46" s="30">
        <v>3</v>
      </c>
      <c r="D46" s="16" t="str">
        <f t="shared" ca="1" si="4"/>
        <v>30004_3</v>
      </c>
      <c r="E46" s="44" t="str">
        <f ca="1">VLOOKUP($B46,OFFSET([1]quests!$A$1,0,0,COUNTA([1]quests!$A:$A),MATCH(E$1,[1]quests!$1:$1,0)-MATCH($B$1,[1]quests!$1:$1,0)+1),MATCH(E$1,[1]quests!$1:$1,0)-MATCH($B$1,[1]quests!$1:$1,0)+1,FALSE)</f>
        <v>危険な仲裁者</v>
      </c>
      <c r="F46" s="44" t="str">
        <f ca="1">VLOOKUP($D46,OFFSET([1]stages!$A$1,0,0,COUNTA([1]stages!$A:$A),MATCH(F$1,[1]stages!$2:$2,0)-MATCH($D$1,[1]stages!$2:$2,0)+1),MATCH(F$1,[1]stages!$2:$2,0)-MATCH($D$1,[1]stages!$2:$2,0)+1,FALSE)</f>
        <v xml:space="preserve">【超級】危険な仲裁者 </v>
      </c>
      <c r="G46" s="32">
        <v>1</v>
      </c>
      <c r="H46" s="31" t="s">
        <v>59</v>
      </c>
      <c r="I46" s="30">
        <v>43</v>
      </c>
      <c r="J46" s="46" t="str">
        <f ca="1">VLOOKUP($I46,OFFSET([2]enemies!$A$1,0,0,COUNTA([2]enemies!$A:$A),MATCH(J$1,[2]enemies!$1:$1,0)-MATCH($I$1,[2]enemies!$1:$1,0)+1),MATCH(J$1,[2]enemies!$1:$1,0)-MATCH($I$1,[2]enemies!$1:$1,0)+1,FALSE)</f>
        <v>ムゥ</v>
      </c>
      <c r="K46" s="46" t="str">
        <f ca="1">VLOOKUP($I46,OFFSET([2]enemies!$A$1,0,0,COUNTA([2]enemies!$A:$A),MATCH(K$1,[2]enemies!$1:$1,0)-MATCH($I$1,[2]enemies!$1:$1,0)+1),MATCH(K$1,[2]enemies!$1:$1,0)-MATCH($I$1,[2]enemies!$1:$1,0)+1,FALSE)</f>
        <v>green</v>
      </c>
      <c r="L46" s="23" t="str">
        <f ca="1">VLOOKUP(I46,[3]characters!$A:$J,10,FALSE)</f>
        <v>Drop1N</v>
      </c>
      <c r="M46" s="46" t="str">
        <f ca="1">VLOOKUP($I46,OFFSET([2]enemies!$A$1,0,0,COUNTA([2]enemies!$A:$A),MATCH(M$1,[2]enemies!$1:$1,0)-MATCH($I$1,[2]enemies!$1:$1,0)+1),MATCH(M$1,[2]enemies!$1:$1,0)-MATCH($I$1,[2]enemies!$1:$1,0)+1,FALSE)</f>
        <v>dragon</v>
      </c>
      <c r="N46" s="46">
        <f ca="1">VLOOKUP($I46,OFFSET([2]enemies!$A$1,0,0,COUNTA([2]enemies!$A:$A),MATCH(N$1,[2]enemies!$1:$1,0)-MATCH($I$1,[2]enemies!$1:$1,0)+1),MATCH(N$1,[2]enemies!$1:$1,0)-MATCH($I$1,[2]enemies!$1:$1,0)+1,FALSE)</f>
        <v>15</v>
      </c>
      <c r="O46" s="33">
        <v>44</v>
      </c>
      <c r="P46" s="42">
        <v>1</v>
      </c>
      <c r="Q46" s="42">
        <v>1.3</v>
      </c>
      <c r="R46" s="43">
        <v>0</v>
      </c>
      <c r="S46" s="44" t="str">
        <f ca="1">VLOOKUP($T46,OFFSET([4]enemy_skill_sets!$B$1,0,0,COUNTA([4]enemy_skill_sets!$B:$B),MATCH(J$1,[4]enemy_skill_sets!$1:$1,0)-MATCH($T$1,[4]enemy_skill_sets!$1:$1,0)+2),MATCH(J$1,[4]enemy_skill_sets!$1:$1,0)-MATCH($T$1,[4]enemy_skill_sets!$1:$1,0)+2,FALSE)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" s="46">
        <f ca="1">VLOOKUP($I46,OFFSET([2]enemies!$A$1,0,0,COUNTA([2]enemies!$A:$A),MATCH(T$1,[2]enemies!$1:$1,0)-MATCH($I$1,[2]enemies!$1:$1,0)+1),MATCH(T$1,[2]enemies!$1:$1,0)-MATCH($I$1,[2]enemies!$1:$1,0)+1,FALSE)</f>
        <v>0</v>
      </c>
      <c r="U46" s="34">
        <v>0</v>
      </c>
      <c r="V46" s="34">
        <v>100</v>
      </c>
      <c r="W46" s="34">
        <v>0</v>
      </c>
      <c r="X46" s="46">
        <f ca="1">VLOOKUP($I46,OFFSET([2]enemies!$A$1,0,0,COUNTA([2]enemies!$A:$A),MATCH(X$1,[2]enemies!$1:$1,0)-MATCH($I$1,[2]enemies!$1:$1,0)+1),MATCH(X$1,[2]enemies!$1:$1,0)-MATCH($I$1,[2]enemies!$1:$1,0)+1,FALSE)</f>
        <v>2</v>
      </c>
      <c r="Y46" s="28">
        <v>43</v>
      </c>
      <c r="Z46" s="44" t="str">
        <f ca="1">IFERROR(VLOOKUP($Y46,OFFSET([3]characters!$A$1,0,0,COUNTA([3]characters!$A:$A),MATCH(Z$1,[3]characters!$1:$1,0)-MATCH("character_id",[3]characters!$1:$1,0)+1),MATCH(Z$1,[3]characters!$1:$1,0)-MATCH("character_id",[3]characters!$1:$1,0)+1,FALSE),"")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46" s="44">
        <f ca="1">IFERROR(VLOOKUP($Y46,OFFSET([3]characters!$A$1,0,0,COUNTA([3]characters!$A:$A),MATCH(AA$1,[3]characters!$1:$1,0)-MATCH("character_id",[3]characters!$1:$1,0)+1),MATCH(AA$1,[3]characters!$1:$1,0)-MATCH("character_id",[3]characters!$1:$1,0)+1,FALSE),"")</f>
        <v>2</v>
      </c>
      <c r="AB46" s="44" t="str">
        <f ca="1">IFERROR(VLOOKUP($Y46,OFFSET([3]characters!$A$1,0,0,COUNTA([3]characters!$A:$A),MATCH(AB$1,[3]characters!$1:$1,0)-MATCH("character_id",[3]characters!$1:$1,0)+1),MATCH(AB$1,[3]characters!$1:$1,0)-MATCH("character_id",[3]characters!$1:$1,0)+1,FALSE),"")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6" s="28">
        <v>5</v>
      </c>
      <c r="AD46" s="47">
        <f t="shared" ca="1" si="3"/>
        <v>2</v>
      </c>
      <c r="AE46" s="48">
        <v>15</v>
      </c>
      <c r="AF46" s="28">
        <v>0</v>
      </c>
      <c r="AG46" s="35">
        <v>0</v>
      </c>
      <c r="AH46" s="35">
        <v>0</v>
      </c>
      <c r="AI46" s="35">
        <v>0</v>
      </c>
      <c r="AJ46" s="35">
        <v>1</v>
      </c>
    </row>
    <row r="47" spans="1:36" ht="21" customHeight="1" x14ac:dyDescent="0.15">
      <c r="A47" s="17" t="str">
        <f t="shared" ca="1" si="0"/>
        <v>30004_3-1/45&lt;lv44&gt;s3</v>
      </c>
      <c r="B47" s="27">
        <v>30004</v>
      </c>
      <c r="C47" s="30">
        <v>3</v>
      </c>
      <c r="D47" s="16" t="str">
        <f t="shared" ca="1" si="4"/>
        <v>30004_3</v>
      </c>
      <c r="E47" s="44" t="str">
        <f ca="1">VLOOKUP($B47,OFFSET([1]quests!$A$1,0,0,COUNTA([1]quests!$A:$A),MATCH(E$1,[1]quests!$1:$1,0)-MATCH($B$1,[1]quests!$1:$1,0)+1),MATCH(E$1,[1]quests!$1:$1,0)-MATCH($B$1,[1]quests!$1:$1,0)+1,FALSE)</f>
        <v>危険な仲裁者</v>
      </c>
      <c r="F47" s="44" t="str">
        <f ca="1">VLOOKUP($D47,OFFSET([1]stages!$A$1,0,0,COUNTA([1]stages!$A:$A),MATCH(F$1,[1]stages!$2:$2,0)-MATCH($D$1,[1]stages!$2:$2,0)+1),MATCH(F$1,[1]stages!$2:$2,0)-MATCH($D$1,[1]stages!$2:$2,0)+1,FALSE)</f>
        <v xml:space="preserve">【超級】危険な仲裁者 </v>
      </c>
      <c r="G47" s="32">
        <v>1</v>
      </c>
      <c r="H47" s="31" t="s">
        <v>59</v>
      </c>
      <c r="I47" s="30">
        <v>45</v>
      </c>
      <c r="J47" s="46" t="str">
        <f ca="1">VLOOKUP($I47,OFFSET([2]enemies!$A$1,0,0,COUNTA([2]enemies!$A:$A),MATCH(J$1,[2]enemies!$1:$1,0)-MATCH($I$1,[2]enemies!$1:$1,0)+1),MATCH(J$1,[2]enemies!$1:$1,0)-MATCH($I$1,[2]enemies!$1:$1,0)+1,FALSE)</f>
        <v>ショウイン</v>
      </c>
      <c r="K47" s="46" t="str">
        <f ca="1">VLOOKUP($I47,OFFSET([2]enemies!$A$1,0,0,COUNTA([2]enemies!$A:$A),MATCH(K$1,[2]enemies!$1:$1,0)-MATCH($I$1,[2]enemies!$1:$1,0)+1),MATCH(K$1,[2]enemies!$1:$1,0)-MATCH($I$1,[2]enemies!$1:$1,0)+1,FALSE)</f>
        <v>blue</v>
      </c>
      <c r="L47" s="23" t="str">
        <f ca="1">VLOOKUP(I47,[3]characters!$A:$J,10,FALSE)</f>
        <v>Drop1N</v>
      </c>
      <c r="M47" s="46" t="str">
        <f ca="1">VLOOKUP($I47,OFFSET([2]enemies!$A$1,0,0,COUNTA([2]enemies!$A:$A),MATCH(M$1,[2]enemies!$1:$1,0)-MATCH($I$1,[2]enemies!$1:$1,0)+1),MATCH(M$1,[2]enemies!$1:$1,0)-MATCH($I$1,[2]enemies!$1:$1,0)+1,FALSE)</f>
        <v>animal</v>
      </c>
      <c r="N47" s="46">
        <f ca="1">VLOOKUP($I47,OFFSET([2]enemies!$A$1,0,0,COUNTA([2]enemies!$A:$A),MATCH(N$1,[2]enemies!$1:$1,0)-MATCH($I$1,[2]enemies!$1:$1,0)+1),MATCH(N$1,[2]enemies!$1:$1,0)-MATCH($I$1,[2]enemies!$1:$1,0)+1,FALSE)</f>
        <v>15</v>
      </c>
      <c r="O47" s="33">
        <v>44</v>
      </c>
      <c r="P47" s="42">
        <v>1</v>
      </c>
      <c r="Q47" s="42">
        <v>1.3</v>
      </c>
      <c r="R47" s="43">
        <v>0</v>
      </c>
      <c r="S47" s="44" t="str">
        <f ca="1">VLOOKUP($T47,OFFSET([4]enemy_skill_sets!$B$1,0,0,COUNTA([4]enemy_skill_sets!$B:$B),MATCH(J$1,[4]enemy_skill_sets!$1:$1,0)-MATCH($T$1,[4]enemy_skill_sets!$1:$1,0)+2),MATCH(J$1,[4]enemy_skill_sets!$1:$1,0)-MATCH($T$1,[4]enemy_skill_sets!$1:$1,0)+2,FALSE)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" s="46">
        <f ca="1">VLOOKUP($I47,OFFSET([2]enemies!$A$1,0,0,COUNTA([2]enemies!$A:$A),MATCH(T$1,[2]enemies!$1:$1,0)-MATCH($I$1,[2]enemies!$1:$1,0)+1),MATCH(T$1,[2]enemies!$1:$1,0)-MATCH($I$1,[2]enemies!$1:$1,0)+1,FALSE)</f>
        <v>0</v>
      </c>
      <c r="U47" s="34">
        <v>1</v>
      </c>
      <c r="V47" s="34">
        <v>100</v>
      </c>
      <c r="W47" s="34">
        <v>0</v>
      </c>
      <c r="X47" s="46">
        <f ca="1">VLOOKUP($I47,OFFSET([2]enemies!$A$1,0,0,COUNTA([2]enemies!$A:$A),MATCH(X$1,[2]enemies!$1:$1,0)-MATCH($I$1,[2]enemies!$1:$1,0)+1),MATCH(X$1,[2]enemies!$1:$1,0)-MATCH($I$1,[2]enemies!$1:$1,0)+1,FALSE)</f>
        <v>3</v>
      </c>
      <c r="Y47" s="28">
        <v>45</v>
      </c>
      <c r="Z47" s="44" t="str">
        <f ca="1">IFERROR(VLOOKUP($Y47,OFFSET([3]characters!$A$1,0,0,COUNTA([3]characters!$A:$A),MATCH(Z$1,[3]characters!$1:$1,0)-MATCH("character_id",[3]characters!$1:$1,0)+1),MATCH(Z$1,[3]characters!$1:$1,0)-MATCH("character_id",[3]characters!$1:$1,0)+1,FALSE),"")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47" s="44">
        <f ca="1">IFERROR(VLOOKUP($Y47,OFFSET([3]characters!$A$1,0,0,COUNTA([3]characters!$A:$A),MATCH(AA$1,[3]characters!$1:$1,0)-MATCH("character_id",[3]characters!$1:$1,0)+1),MATCH(AA$1,[3]characters!$1:$1,0)-MATCH("character_id",[3]characters!$1:$1,0)+1,FALSE),"")</f>
        <v>2</v>
      </c>
      <c r="AB47" s="44" t="str">
        <f ca="1">IFERROR(VLOOKUP($Y47,OFFSET([3]characters!$A$1,0,0,COUNTA([3]characters!$A:$A),MATCH(AB$1,[3]characters!$1:$1,0)-MATCH("character_id",[3]characters!$1:$1,0)+1),MATCH(AB$1,[3]characters!$1:$1,0)-MATCH("character_id",[3]characters!$1:$1,0)+1,FALSE),"")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7" s="28">
        <v>5</v>
      </c>
      <c r="AD47" s="47">
        <f t="shared" ca="1" si="3"/>
        <v>2</v>
      </c>
      <c r="AE47" s="48">
        <v>15</v>
      </c>
      <c r="AF47" s="28">
        <v>0</v>
      </c>
      <c r="AG47" s="35">
        <v>0</v>
      </c>
      <c r="AH47" s="35">
        <v>0</v>
      </c>
      <c r="AI47" s="35">
        <v>0</v>
      </c>
      <c r="AJ47" s="35">
        <v>1</v>
      </c>
    </row>
    <row r="48" spans="1:36" ht="21" customHeight="1" x14ac:dyDescent="0.15">
      <c r="A48" s="17" t="str">
        <f t="shared" ca="1" si="0"/>
        <v>30004_3-2/10&lt;lv44&gt;s2</v>
      </c>
      <c r="B48" s="27">
        <v>30004</v>
      </c>
      <c r="C48" s="30">
        <v>3</v>
      </c>
      <c r="D48" s="16" t="str">
        <f t="shared" ca="1" si="4"/>
        <v>30004_3</v>
      </c>
      <c r="E48" s="44" t="str">
        <f ca="1">VLOOKUP($B48,OFFSET([1]quests!$A$1,0,0,COUNTA([1]quests!$A:$A),MATCH(E$1,[1]quests!$1:$1,0)-MATCH($B$1,[1]quests!$1:$1,0)+1),MATCH(E$1,[1]quests!$1:$1,0)-MATCH($B$1,[1]quests!$1:$1,0)+1,FALSE)</f>
        <v>危険な仲裁者</v>
      </c>
      <c r="F48" s="44" t="str">
        <f ca="1">VLOOKUP($D48,OFFSET([1]stages!$A$1,0,0,COUNTA([1]stages!$A:$A),MATCH(F$1,[1]stages!$2:$2,0)-MATCH($D$1,[1]stages!$2:$2,0)+1),MATCH(F$1,[1]stages!$2:$2,0)-MATCH($D$1,[1]stages!$2:$2,0)+1,FALSE)</f>
        <v xml:space="preserve">【超級】危険な仲裁者 </v>
      </c>
      <c r="G48" s="32">
        <v>2</v>
      </c>
      <c r="H48" s="31" t="s">
        <v>60</v>
      </c>
      <c r="I48" s="30">
        <v>10</v>
      </c>
      <c r="J48" s="46" t="str">
        <f ca="1">VLOOKUP($I48,OFFSET([2]enemies!$A$1,0,0,COUNTA([2]enemies!$A:$A),MATCH(J$1,[2]enemies!$1:$1,0)-MATCH($I$1,[2]enemies!$1:$1,0)+1),MATCH(J$1,[2]enemies!$1:$1,0)-MATCH($I$1,[2]enemies!$1:$1,0)+1,FALSE)</f>
        <v>燃える悪戯魂 ブレット</v>
      </c>
      <c r="K48" s="46" t="str">
        <f ca="1">VLOOKUP($I48,OFFSET([2]enemies!$A$1,0,0,COUNTA([2]enemies!$A:$A),MATCH(K$1,[2]enemies!$1:$1,0)-MATCH($I$1,[2]enemies!$1:$1,0)+1),MATCH(K$1,[2]enemies!$1:$1,0)-MATCH($I$1,[2]enemies!$1:$1,0)+1,FALSE)</f>
        <v>red</v>
      </c>
      <c r="L48" s="23" t="str">
        <f ca="1">VLOOKUP(I48,[3]characters!$A:$J,10,FALSE)</f>
        <v>Drop1W</v>
      </c>
      <c r="M48" s="46" t="str">
        <f ca="1">VLOOKUP($I48,OFFSET([2]enemies!$A$1,0,0,COUNTA([2]enemies!$A:$A),MATCH(M$1,[2]enemies!$1:$1,0)-MATCH($I$1,[2]enemies!$1:$1,0)+1),MATCH(M$1,[2]enemies!$1:$1,0)-MATCH($I$1,[2]enemies!$1:$1,0)+1,FALSE)</f>
        <v>animal</v>
      </c>
      <c r="N48" s="46">
        <f ca="1">VLOOKUP($I48,OFFSET([2]enemies!$A$1,0,0,COUNTA([2]enemies!$A:$A),MATCH(N$1,[2]enemies!$1:$1,0)-MATCH($I$1,[2]enemies!$1:$1,0)+1),MATCH(N$1,[2]enemies!$1:$1,0)-MATCH($I$1,[2]enemies!$1:$1,0)+1,FALSE)</f>
        <v>15</v>
      </c>
      <c r="O48" s="33">
        <v>44</v>
      </c>
      <c r="P48" s="42">
        <v>1</v>
      </c>
      <c r="Q48" s="42">
        <v>1.3</v>
      </c>
      <c r="R48" s="43">
        <v>0</v>
      </c>
      <c r="S48" s="44" t="str">
        <f ca="1">VLOOKUP($T48,OFFSET([4]enemy_skill_sets!$B$1,0,0,COUNTA([4]enemy_skill_sets!$B:$B),MATCH(J$1,[4]enemy_skill_sets!$1:$1,0)-MATCH($T$1,[4]enemy_skill_sets!$1:$1,0)+2),MATCH(J$1,[4]enemy_skill_sets!$1:$1,0)-MATCH($T$1,[4]enemy_skill_sets!$1:$1,0)+2,FALSE)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" s="46">
        <f ca="1">VLOOKUP($I48,OFFSET([2]enemies!$A$1,0,0,COUNTA([2]enemies!$A:$A),MATCH(T$1,[2]enemies!$1:$1,0)-MATCH($I$1,[2]enemies!$1:$1,0)+1),MATCH(T$1,[2]enemies!$1:$1,0)-MATCH($I$1,[2]enemies!$1:$1,0)+1,FALSE)</f>
        <v>0</v>
      </c>
      <c r="U48" s="34">
        <v>0</v>
      </c>
      <c r="V48" s="34">
        <v>100</v>
      </c>
      <c r="W48" s="34">
        <v>0</v>
      </c>
      <c r="X48" s="46">
        <f ca="1">VLOOKUP($I48,OFFSET([2]enemies!$A$1,0,0,COUNTA([2]enemies!$A:$A),MATCH(X$1,[2]enemies!$1:$1,0)-MATCH($I$1,[2]enemies!$1:$1,0)+1),MATCH(X$1,[2]enemies!$1:$1,0)-MATCH($I$1,[2]enemies!$1:$1,0)+1,FALSE)</f>
        <v>2</v>
      </c>
      <c r="Y48" s="28">
        <v>10</v>
      </c>
      <c r="Z48" s="44" t="str">
        <f ca="1">IFERROR(VLOOKUP($Y48,OFFSET([3]characters!$A$1,0,0,COUNTA([3]characters!$A:$A),MATCH(Z$1,[3]characters!$1:$1,0)-MATCH("character_id",[3]characters!$1:$1,0)+1),MATCH(Z$1,[3]characters!$1:$1,0)-MATCH("character_id",[3]characters!$1:$1,0)+1,FALSE),"")</f>
        <v>燃える悪戯魂 ブレット</v>
      </c>
      <c r="AA48" s="44">
        <f ca="1">IFERROR(VLOOKUP($Y48,OFFSET([3]characters!$A$1,0,0,COUNTA([3]characters!$A:$A),MATCH(AA$1,[3]characters!$1:$1,0)-MATCH("character_id",[3]characters!$1:$1,0)+1),MATCH(AA$1,[3]characters!$1:$1,0)-MATCH("character_id",[3]characters!$1:$1,0)+1,FALSE),"")</f>
        <v>2</v>
      </c>
      <c r="AB48" s="44" t="str">
        <f ca="1">IFERROR(VLOOKUP($Y48,OFFSET([3]characters!$A$1,0,0,COUNTA([3]characters!$A:$A),MATCH(AB$1,[3]characters!$1:$1,0)-MATCH("character_id",[3]characters!$1:$1,0)+1),MATCH(AB$1,[3]characters!$1:$1,0)-MATCH("character_id",[3]characters!$1:$1,0)+1,FALSE),"")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48" s="28">
        <v>5</v>
      </c>
      <c r="AD48" s="47">
        <f t="shared" ca="1" si="3"/>
        <v>2</v>
      </c>
      <c r="AE48" s="48">
        <v>15</v>
      </c>
      <c r="AF48" s="28">
        <v>0</v>
      </c>
      <c r="AG48" s="35">
        <v>0</v>
      </c>
      <c r="AH48" s="35">
        <v>0</v>
      </c>
      <c r="AI48" s="35">
        <v>0</v>
      </c>
      <c r="AJ48" s="35">
        <v>1</v>
      </c>
    </row>
    <row r="49" spans="1:36" ht="21" customHeight="1" x14ac:dyDescent="0.15">
      <c r="A49" s="17" t="str">
        <f t="shared" ca="1" si="0"/>
        <v>30004_3-2/16&lt;lv44&gt;s3</v>
      </c>
      <c r="B49" s="27">
        <v>30004</v>
      </c>
      <c r="C49" s="30">
        <v>3</v>
      </c>
      <c r="D49" s="16" t="str">
        <f t="shared" ca="1" si="4"/>
        <v>30004_3</v>
      </c>
      <c r="E49" s="44" t="str">
        <f ca="1">VLOOKUP($B49,OFFSET([1]quests!$A$1,0,0,COUNTA([1]quests!$A:$A),MATCH(E$1,[1]quests!$1:$1,0)-MATCH($B$1,[1]quests!$1:$1,0)+1),MATCH(E$1,[1]quests!$1:$1,0)-MATCH($B$1,[1]quests!$1:$1,0)+1,FALSE)</f>
        <v>危険な仲裁者</v>
      </c>
      <c r="F49" s="44" t="str">
        <f ca="1">VLOOKUP($D49,OFFSET([1]stages!$A$1,0,0,COUNTA([1]stages!$A:$A),MATCH(F$1,[1]stages!$2:$2,0)-MATCH($D$1,[1]stages!$2:$2,0)+1),MATCH(F$1,[1]stages!$2:$2,0)-MATCH($D$1,[1]stages!$2:$2,0)+1,FALSE)</f>
        <v xml:space="preserve">【超級】危険な仲裁者 </v>
      </c>
      <c r="G49" s="32">
        <v>2</v>
      </c>
      <c r="H49" s="31" t="s">
        <v>60</v>
      </c>
      <c r="I49" s="30">
        <v>16</v>
      </c>
      <c r="J49" s="46" t="str">
        <f ca="1">VLOOKUP($I49,OFFSET([2]enemies!$A$1,0,0,COUNTA([2]enemies!$A:$A),MATCH(J$1,[2]enemies!$1:$1,0)-MATCH($I$1,[2]enemies!$1:$1,0)+1),MATCH(J$1,[2]enemies!$1:$1,0)-MATCH($I$1,[2]enemies!$1:$1,0)+1,FALSE)</f>
        <v>炎戦少女 アカネ</v>
      </c>
      <c r="K49" s="46" t="str">
        <f ca="1">VLOOKUP($I49,OFFSET([2]enemies!$A$1,0,0,COUNTA([2]enemies!$A:$A),MATCH(K$1,[2]enemies!$1:$1,0)-MATCH($I$1,[2]enemies!$1:$1,0)+1),MATCH(K$1,[2]enemies!$1:$1,0)-MATCH($I$1,[2]enemies!$1:$1,0)+1,FALSE)</f>
        <v>red</v>
      </c>
      <c r="L49" s="23" t="str">
        <f ca="1">VLOOKUP(I49,[3]characters!$A:$J,10,FALSE)</f>
        <v>Drop1W</v>
      </c>
      <c r="M49" s="46" t="str">
        <f ca="1">VLOOKUP($I49,OFFSET([2]enemies!$A$1,0,0,COUNTA([2]enemies!$A:$A),MATCH(M$1,[2]enemies!$1:$1,0)-MATCH($I$1,[2]enemies!$1:$1,0)+1),MATCH(M$1,[2]enemies!$1:$1,0)-MATCH($I$1,[2]enemies!$1:$1,0)+1,FALSE)</f>
        <v>human</v>
      </c>
      <c r="N49" s="46">
        <f ca="1">VLOOKUP($I49,OFFSET([2]enemies!$A$1,0,0,COUNTA([2]enemies!$A:$A),MATCH(N$1,[2]enemies!$1:$1,0)-MATCH($I$1,[2]enemies!$1:$1,0)+1),MATCH(N$1,[2]enemies!$1:$1,0)-MATCH($I$1,[2]enemies!$1:$1,0)+1,FALSE)</f>
        <v>15</v>
      </c>
      <c r="O49" s="33">
        <v>44</v>
      </c>
      <c r="P49" s="42">
        <v>1</v>
      </c>
      <c r="Q49" s="42">
        <v>1.3</v>
      </c>
      <c r="R49" s="43">
        <v>0</v>
      </c>
      <c r="S49" s="44" t="str">
        <f ca="1">VLOOKUP($T49,OFFSET([4]enemy_skill_sets!$B$1,0,0,COUNTA([4]enemy_skill_sets!$B:$B),MATCH(J$1,[4]enemy_skill_sets!$1:$1,0)-MATCH($T$1,[4]enemy_skill_sets!$1:$1,0)+2),MATCH(J$1,[4]enemy_skill_sets!$1:$1,0)-MATCH($T$1,[4]enemy_skill_sets!$1:$1,0)+2,FALSE)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" s="46">
        <f ca="1">VLOOKUP($I49,OFFSET([2]enemies!$A$1,0,0,COUNTA([2]enemies!$A:$A),MATCH(T$1,[2]enemies!$1:$1,0)-MATCH($I$1,[2]enemies!$1:$1,0)+1),MATCH(T$1,[2]enemies!$1:$1,0)-MATCH($I$1,[2]enemies!$1:$1,0)+1,FALSE)</f>
        <v>0</v>
      </c>
      <c r="U49" s="34">
        <v>0</v>
      </c>
      <c r="V49" s="34">
        <v>100</v>
      </c>
      <c r="W49" s="34">
        <v>0</v>
      </c>
      <c r="X49" s="46">
        <f ca="1">VLOOKUP($I49,OFFSET([2]enemies!$A$1,0,0,COUNTA([2]enemies!$A:$A),MATCH(X$1,[2]enemies!$1:$1,0)-MATCH($I$1,[2]enemies!$1:$1,0)+1),MATCH(X$1,[2]enemies!$1:$1,0)-MATCH($I$1,[2]enemies!$1:$1,0)+1,FALSE)</f>
        <v>3</v>
      </c>
      <c r="Y49" s="28">
        <v>16</v>
      </c>
      <c r="Z49" s="44" t="str">
        <f ca="1">IFERROR(VLOOKUP($Y49,OFFSET([3]characters!$A$1,0,0,COUNTA([3]characters!$A:$A),MATCH(Z$1,[3]characters!$1:$1,0)-MATCH("character_id",[3]characters!$1:$1,0)+1),MATCH(Z$1,[3]characters!$1:$1,0)-MATCH("character_id",[3]characters!$1:$1,0)+1,FALSE),"")</f>
        <v>炎戦少女 アカネ</v>
      </c>
      <c r="AA49" s="44">
        <f ca="1">IFERROR(VLOOKUP($Y49,OFFSET([3]characters!$A$1,0,0,COUNTA([3]characters!$A:$A),MATCH(AA$1,[3]characters!$1:$1,0)-MATCH("character_id",[3]characters!$1:$1,0)+1),MATCH(AA$1,[3]characters!$1:$1,0)-MATCH("character_id",[3]characters!$1:$1,0)+1,FALSE),"")</f>
        <v>2</v>
      </c>
      <c r="AB49" s="44" t="str">
        <f ca="1">IFERROR(VLOOKUP($Y49,OFFSET([3]characters!$A$1,0,0,COUNTA([3]characters!$A:$A),MATCH(AB$1,[3]characters!$1:$1,0)-MATCH("character_id",[3]characters!$1:$1,0)+1),MATCH(AB$1,[3]characters!$1:$1,0)-MATCH("character_id",[3]characters!$1:$1,0)+1,FALSE),"")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49" s="28">
        <v>5</v>
      </c>
      <c r="AD49" s="47">
        <f t="shared" ca="1" si="3"/>
        <v>2</v>
      </c>
      <c r="AE49" s="48">
        <v>15</v>
      </c>
      <c r="AF49" s="28">
        <v>0</v>
      </c>
      <c r="AG49" s="35">
        <v>0</v>
      </c>
      <c r="AH49" s="35">
        <v>0</v>
      </c>
      <c r="AI49" s="35">
        <v>0</v>
      </c>
      <c r="AJ49" s="35">
        <v>1</v>
      </c>
    </row>
    <row r="50" spans="1:36" ht="21" customHeight="1" x14ac:dyDescent="0.15">
      <c r="A50" s="17" t="str">
        <f t="shared" ca="1" si="0"/>
        <v>30004_3-2/41&lt;lv44&gt;s1</v>
      </c>
      <c r="B50" s="27">
        <v>30004</v>
      </c>
      <c r="C50" s="30">
        <v>3</v>
      </c>
      <c r="D50" s="16" t="str">
        <f t="shared" ca="1" si="4"/>
        <v>30004_3</v>
      </c>
      <c r="E50" s="44" t="str">
        <f ca="1">VLOOKUP($B50,OFFSET([1]quests!$A$1,0,0,COUNTA([1]quests!$A:$A),MATCH(E$1,[1]quests!$1:$1,0)-MATCH($B$1,[1]quests!$1:$1,0)+1),MATCH(E$1,[1]quests!$1:$1,0)-MATCH($B$1,[1]quests!$1:$1,0)+1,FALSE)</f>
        <v>危険な仲裁者</v>
      </c>
      <c r="F50" s="44" t="str">
        <f ca="1">VLOOKUP($D50,OFFSET([1]stages!$A$1,0,0,COUNTA([1]stages!$A:$A),MATCH(F$1,[1]stages!$2:$2,0)-MATCH($D$1,[1]stages!$2:$2,0)+1),MATCH(F$1,[1]stages!$2:$2,0)-MATCH($D$1,[1]stages!$2:$2,0)+1,FALSE)</f>
        <v xml:space="preserve">【超級】危険な仲裁者 </v>
      </c>
      <c r="G50" s="32">
        <v>2</v>
      </c>
      <c r="H50" s="31" t="s">
        <v>60</v>
      </c>
      <c r="I50" s="30">
        <v>41</v>
      </c>
      <c r="J50" s="46" t="str">
        <f ca="1">VLOOKUP($I50,OFFSET([2]enemies!$A$1,0,0,COUNTA([2]enemies!$A:$A),MATCH(J$1,[2]enemies!$1:$1,0)-MATCH($I$1,[2]enemies!$1:$1,0)+1),MATCH(J$1,[2]enemies!$1:$1,0)-MATCH($I$1,[2]enemies!$1:$1,0)+1,FALSE)</f>
        <v>ヒュウガ</v>
      </c>
      <c r="K50" s="46" t="str">
        <f ca="1">VLOOKUP($I50,OFFSET([2]enemies!$A$1,0,0,COUNTA([2]enemies!$A:$A),MATCH(K$1,[2]enemies!$1:$1,0)-MATCH($I$1,[2]enemies!$1:$1,0)+1),MATCH(K$1,[2]enemies!$1:$1,0)-MATCH($I$1,[2]enemies!$1:$1,0)+1,FALSE)</f>
        <v>red</v>
      </c>
      <c r="L50" s="23" t="str">
        <f ca="1">VLOOKUP(I50,[3]characters!$A:$J,10,FALSE)</f>
        <v>Drop1N</v>
      </c>
      <c r="M50" s="46" t="str">
        <f ca="1">VLOOKUP($I50,OFFSET([2]enemies!$A$1,0,0,COUNTA([2]enemies!$A:$A),MATCH(M$1,[2]enemies!$1:$1,0)-MATCH($I$1,[2]enemies!$1:$1,0)+1),MATCH(M$1,[2]enemies!$1:$1,0)-MATCH($I$1,[2]enemies!$1:$1,0)+1,FALSE)</f>
        <v>dragon</v>
      </c>
      <c r="N50" s="46">
        <f ca="1">VLOOKUP($I50,OFFSET([2]enemies!$A$1,0,0,COUNTA([2]enemies!$A:$A),MATCH(N$1,[2]enemies!$1:$1,0)-MATCH($I$1,[2]enemies!$1:$1,0)+1),MATCH(N$1,[2]enemies!$1:$1,0)-MATCH($I$1,[2]enemies!$1:$1,0)+1,FALSE)</f>
        <v>15</v>
      </c>
      <c r="O50" s="33">
        <v>44</v>
      </c>
      <c r="P50" s="42">
        <v>1</v>
      </c>
      <c r="Q50" s="42">
        <v>1.3</v>
      </c>
      <c r="R50" s="43">
        <v>0</v>
      </c>
      <c r="S50" s="44" t="str">
        <f ca="1">VLOOKUP($T50,OFFSET([4]enemy_skill_sets!$B$1,0,0,COUNTA([4]enemy_skill_sets!$B:$B),MATCH(J$1,[4]enemy_skill_sets!$1:$1,0)-MATCH($T$1,[4]enemy_skill_sets!$1:$1,0)+2),MATCH(J$1,[4]enemy_skill_sets!$1:$1,0)-MATCH($T$1,[4]enemy_skill_sets!$1:$1,0)+2,FALSE)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" s="46">
        <f ca="1">VLOOKUP($I50,OFFSET([2]enemies!$A$1,0,0,COUNTA([2]enemies!$A:$A),MATCH(T$1,[2]enemies!$1:$1,0)-MATCH($I$1,[2]enemies!$1:$1,0)+1),MATCH(T$1,[2]enemies!$1:$1,0)-MATCH($I$1,[2]enemies!$1:$1,0)+1,FALSE)</f>
        <v>0</v>
      </c>
      <c r="U50" s="34">
        <v>0</v>
      </c>
      <c r="V50" s="34">
        <v>20</v>
      </c>
      <c r="W50" s="34">
        <v>0</v>
      </c>
      <c r="X50" s="46">
        <f ca="1">VLOOKUP($I50,OFFSET([2]enemies!$A$1,0,0,COUNTA([2]enemies!$A:$A),MATCH(X$1,[2]enemies!$1:$1,0)-MATCH($I$1,[2]enemies!$1:$1,0)+1),MATCH(X$1,[2]enemies!$1:$1,0)-MATCH($I$1,[2]enemies!$1:$1,0)+1,FALSE)</f>
        <v>1</v>
      </c>
      <c r="Y50" s="28">
        <v>41</v>
      </c>
      <c r="Z50" s="44" t="str">
        <f ca="1">IFERROR(VLOOKUP($Y50,OFFSET([3]characters!$A$1,0,0,COUNTA([3]characters!$A:$A),MATCH(Z$1,[3]characters!$1:$1,0)-MATCH("character_id",[3]characters!$1:$1,0)+1),MATCH(Z$1,[3]characters!$1:$1,0)-MATCH("character_id",[3]characters!$1:$1,0)+1,FALSE),"")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50" s="44">
        <f ca="1">IFERROR(VLOOKUP($Y50,OFFSET([3]characters!$A$1,0,0,COUNTA([3]characters!$A:$A),MATCH(AA$1,[3]characters!$1:$1,0)-MATCH("character_id",[3]characters!$1:$1,0)+1),MATCH(AA$1,[3]characters!$1:$1,0)-MATCH("character_id",[3]characters!$1:$1,0)+1,FALSE),"")</f>
        <v>2</v>
      </c>
      <c r="AB50" s="44" t="str">
        <f ca="1">IFERROR(VLOOKUP($Y50,OFFSET([3]characters!$A$1,0,0,COUNTA([3]characters!$A:$A),MATCH(AB$1,[3]characters!$1:$1,0)-MATCH("character_id",[3]characters!$1:$1,0)+1),MATCH(AB$1,[3]characters!$1:$1,0)-MATCH("character_id",[3]characters!$1:$1,0)+1,FALSE),"")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0" s="28">
        <v>5</v>
      </c>
      <c r="AD50" s="47">
        <f t="shared" ca="1" si="3"/>
        <v>2</v>
      </c>
      <c r="AE50" s="48">
        <v>15</v>
      </c>
      <c r="AF50" s="28">
        <v>0</v>
      </c>
      <c r="AG50" s="35">
        <v>0</v>
      </c>
      <c r="AH50" s="35">
        <v>0</v>
      </c>
      <c r="AI50" s="35">
        <v>0</v>
      </c>
      <c r="AJ50" s="35">
        <v>1</v>
      </c>
    </row>
    <row r="51" spans="1:36" ht="21" customHeight="1" x14ac:dyDescent="0.15">
      <c r="A51" s="17" t="str">
        <f t="shared" ca="1" si="0"/>
        <v>30004_3-2/43&lt;lv44&gt;s2</v>
      </c>
      <c r="B51" s="27">
        <v>30004</v>
      </c>
      <c r="C51" s="30">
        <v>3</v>
      </c>
      <c r="D51" s="16" t="str">
        <f t="shared" ca="1" si="4"/>
        <v>30004_3</v>
      </c>
      <c r="E51" s="44" t="str">
        <f ca="1">VLOOKUP($B51,OFFSET([1]quests!$A$1,0,0,COUNTA([1]quests!$A:$A),MATCH(E$1,[1]quests!$1:$1,0)-MATCH($B$1,[1]quests!$1:$1,0)+1),MATCH(E$1,[1]quests!$1:$1,0)-MATCH($B$1,[1]quests!$1:$1,0)+1,FALSE)</f>
        <v>危険な仲裁者</v>
      </c>
      <c r="F51" s="44" t="str">
        <f ca="1">VLOOKUP($D51,OFFSET([1]stages!$A$1,0,0,COUNTA([1]stages!$A:$A),MATCH(F$1,[1]stages!$2:$2,0)-MATCH($D$1,[1]stages!$2:$2,0)+1),MATCH(F$1,[1]stages!$2:$2,0)-MATCH($D$1,[1]stages!$2:$2,0)+1,FALSE)</f>
        <v xml:space="preserve">【超級】危険な仲裁者 </v>
      </c>
      <c r="G51" s="32">
        <v>2</v>
      </c>
      <c r="H51" s="31" t="s">
        <v>60</v>
      </c>
      <c r="I51" s="30">
        <v>43</v>
      </c>
      <c r="J51" s="46" t="str">
        <f ca="1">VLOOKUP($I51,OFFSET([2]enemies!$A$1,0,0,COUNTA([2]enemies!$A:$A),MATCH(J$1,[2]enemies!$1:$1,0)-MATCH($I$1,[2]enemies!$1:$1,0)+1),MATCH(J$1,[2]enemies!$1:$1,0)-MATCH($I$1,[2]enemies!$1:$1,0)+1,FALSE)</f>
        <v>ムゥ</v>
      </c>
      <c r="K51" s="46" t="str">
        <f ca="1">VLOOKUP($I51,OFFSET([2]enemies!$A$1,0,0,COUNTA([2]enemies!$A:$A),MATCH(K$1,[2]enemies!$1:$1,0)-MATCH($I$1,[2]enemies!$1:$1,0)+1),MATCH(K$1,[2]enemies!$1:$1,0)-MATCH($I$1,[2]enemies!$1:$1,0)+1,FALSE)</f>
        <v>green</v>
      </c>
      <c r="L51" s="23" t="str">
        <f ca="1">VLOOKUP(I51,[3]characters!$A:$J,10,FALSE)</f>
        <v>Drop1N</v>
      </c>
      <c r="M51" s="46" t="str">
        <f ca="1">VLOOKUP($I51,OFFSET([2]enemies!$A$1,0,0,COUNTA([2]enemies!$A:$A),MATCH(M$1,[2]enemies!$1:$1,0)-MATCH($I$1,[2]enemies!$1:$1,0)+1),MATCH(M$1,[2]enemies!$1:$1,0)-MATCH($I$1,[2]enemies!$1:$1,0)+1,FALSE)</f>
        <v>dragon</v>
      </c>
      <c r="N51" s="46">
        <f ca="1">VLOOKUP($I51,OFFSET([2]enemies!$A$1,0,0,COUNTA([2]enemies!$A:$A),MATCH(N$1,[2]enemies!$1:$1,0)-MATCH($I$1,[2]enemies!$1:$1,0)+1),MATCH(N$1,[2]enemies!$1:$1,0)-MATCH($I$1,[2]enemies!$1:$1,0)+1,FALSE)</f>
        <v>15</v>
      </c>
      <c r="O51" s="33">
        <v>44</v>
      </c>
      <c r="P51" s="42">
        <v>1</v>
      </c>
      <c r="Q51" s="42">
        <v>1.3</v>
      </c>
      <c r="R51" s="43">
        <v>0</v>
      </c>
      <c r="S51" s="44" t="str">
        <f ca="1">VLOOKUP($T51,OFFSET([4]enemy_skill_sets!$B$1,0,0,COUNTA([4]enemy_skill_sets!$B:$B),MATCH(J$1,[4]enemy_skill_sets!$1:$1,0)-MATCH($T$1,[4]enemy_skill_sets!$1:$1,0)+2),MATCH(J$1,[4]enemy_skill_sets!$1:$1,0)-MATCH($T$1,[4]enemy_skill_sets!$1:$1,0)+2,FALSE)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" s="46">
        <f ca="1">VLOOKUP($I51,OFFSET([2]enemies!$A$1,0,0,COUNTA([2]enemies!$A:$A),MATCH(T$1,[2]enemies!$1:$1,0)-MATCH($I$1,[2]enemies!$1:$1,0)+1),MATCH(T$1,[2]enemies!$1:$1,0)-MATCH($I$1,[2]enemies!$1:$1,0)+1,FALSE)</f>
        <v>0</v>
      </c>
      <c r="U51" s="34">
        <v>0</v>
      </c>
      <c r="V51" s="34">
        <v>100</v>
      </c>
      <c r="W51" s="34">
        <v>0</v>
      </c>
      <c r="X51" s="46">
        <f ca="1">VLOOKUP($I51,OFFSET([2]enemies!$A$1,0,0,COUNTA([2]enemies!$A:$A),MATCH(X$1,[2]enemies!$1:$1,0)-MATCH($I$1,[2]enemies!$1:$1,0)+1),MATCH(X$1,[2]enemies!$1:$1,0)-MATCH($I$1,[2]enemies!$1:$1,0)+1,FALSE)</f>
        <v>2</v>
      </c>
      <c r="Y51" s="28">
        <v>43</v>
      </c>
      <c r="Z51" s="44" t="str">
        <f ca="1">IFERROR(VLOOKUP($Y51,OFFSET([3]characters!$A$1,0,0,COUNTA([3]characters!$A:$A),MATCH(Z$1,[3]characters!$1:$1,0)-MATCH("character_id",[3]characters!$1:$1,0)+1),MATCH(Z$1,[3]characters!$1:$1,0)-MATCH("character_id",[3]characters!$1:$1,0)+1,FALSE),"")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51" s="44">
        <f ca="1">IFERROR(VLOOKUP($Y51,OFFSET([3]characters!$A$1,0,0,COUNTA([3]characters!$A:$A),MATCH(AA$1,[3]characters!$1:$1,0)-MATCH("character_id",[3]characters!$1:$1,0)+1),MATCH(AA$1,[3]characters!$1:$1,0)-MATCH("character_id",[3]characters!$1:$1,0)+1,FALSE),"")</f>
        <v>2</v>
      </c>
      <c r="AB51" s="44" t="str">
        <f ca="1">IFERROR(VLOOKUP($Y51,OFFSET([3]characters!$A$1,0,0,COUNTA([3]characters!$A:$A),MATCH(AB$1,[3]characters!$1:$1,0)-MATCH("character_id",[3]characters!$1:$1,0)+1),MATCH(AB$1,[3]characters!$1:$1,0)-MATCH("character_id",[3]characters!$1:$1,0)+1,FALSE),"")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1" s="28">
        <v>5</v>
      </c>
      <c r="AD51" s="47">
        <f t="shared" ca="1" si="3"/>
        <v>2</v>
      </c>
      <c r="AE51" s="48">
        <v>15</v>
      </c>
      <c r="AF51" s="28">
        <v>0</v>
      </c>
      <c r="AG51" s="35">
        <v>0</v>
      </c>
      <c r="AH51" s="35">
        <v>0</v>
      </c>
      <c r="AI51" s="35">
        <v>0</v>
      </c>
      <c r="AJ51" s="35">
        <v>1</v>
      </c>
    </row>
    <row r="52" spans="1:36" ht="21" customHeight="1" x14ac:dyDescent="0.15">
      <c r="A52" s="17" t="str">
        <f t="shared" ca="1" si="0"/>
        <v>30004_3-2/45&lt;lv44&gt;s3</v>
      </c>
      <c r="B52" s="27">
        <v>30004</v>
      </c>
      <c r="C52" s="30">
        <v>3</v>
      </c>
      <c r="D52" s="16" t="str">
        <f t="shared" ca="1" si="4"/>
        <v>30004_3</v>
      </c>
      <c r="E52" s="44" t="str">
        <f ca="1">VLOOKUP($B52,OFFSET([1]quests!$A$1,0,0,COUNTA([1]quests!$A:$A),MATCH(E$1,[1]quests!$1:$1,0)-MATCH($B$1,[1]quests!$1:$1,0)+1),MATCH(E$1,[1]quests!$1:$1,0)-MATCH($B$1,[1]quests!$1:$1,0)+1,FALSE)</f>
        <v>危険な仲裁者</v>
      </c>
      <c r="F52" s="44" t="str">
        <f ca="1">VLOOKUP($D52,OFFSET([1]stages!$A$1,0,0,COUNTA([1]stages!$A:$A),MATCH(F$1,[1]stages!$2:$2,0)-MATCH($D$1,[1]stages!$2:$2,0)+1),MATCH(F$1,[1]stages!$2:$2,0)-MATCH($D$1,[1]stages!$2:$2,0)+1,FALSE)</f>
        <v xml:space="preserve">【超級】危険な仲裁者 </v>
      </c>
      <c r="G52" s="32">
        <v>2</v>
      </c>
      <c r="H52" s="31" t="s">
        <v>60</v>
      </c>
      <c r="I52" s="30">
        <v>45</v>
      </c>
      <c r="J52" s="46" t="str">
        <f ca="1">VLOOKUP($I52,OFFSET([2]enemies!$A$1,0,0,COUNTA([2]enemies!$A:$A),MATCH(J$1,[2]enemies!$1:$1,0)-MATCH($I$1,[2]enemies!$1:$1,0)+1),MATCH(J$1,[2]enemies!$1:$1,0)-MATCH($I$1,[2]enemies!$1:$1,0)+1,FALSE)</f>
        <v>ショウイン</v>
      </c>
      <c r="K52" s="46" t="str">
        <f ca="1">VLOOKUP($I52,OFFSET([2]enemies!$A$1,0,0,COUNTA([2]enemies!$A:$A),MATCH(K$1,[2]enemies!$1:$1,0)-MATCH($I$1,[2]enemies!$1:$1,0)+1),MATCH(K$1,[2]enemies!$1:$1,0)-MATCH($I$1,[2]enemies!$1:$1,0)+1,FALSE)</f>
        <v>blue</v>
      </c>
      <c r="L52" s="23" t="str">
        <f ca="1">VLOOKUP(I52,[3]characters!$A:$J,10,FALSE)</f>
        <v>Drop1N</v>
      </c>
      <c r="M52" s="46" t="str">
        <f ca="1">VLOOKUP($I52,OFFSET([2]enemies!$A$1,0,0,COUNTA([2]enemies!$A:$A),MATCH(M$1,[2]enemies!$1:$1,0)-MATCH($I$1,[2]enemies!$1:$1,0)+1),MATCH(M$1,[2]enemies!$1:$1,0)-MATCH($I$1,[2]enemies!$1:$1,0)+1,FALSE)</f>
        <v>animal</v>
      </c>
      <c r="N52" s="46">
        <f ca="1">VLOOKUP($I52,OFFSET([2]enemies!$A$1,0,0,COUNTA([2]enemies!$A:$A),MATCH(N$1,[2]enemies!$1:$1,0)-MATCH($I$1,[2]enemies!$1:$1,0)+1),MATCH(N$1,[2]enemies!$1:$1,0)-MATCH($I$1,[2]enemies!$1:$1,0)+1,FALSE)</f>
        <v>15</v>
      </c>
      <c r="O52" s="33">
        <v>44</v>
      </c>
      <c r="P52" s="42">
        <v>1</v>
      </c>
      <c r="Q52" s="42">
        <v>1.3</v>
      </c>
      <c r="R52" s="43">
        <v>0</v>
      </c>
      <c r="S52" s="44" t="str">
        <f ca="1">VLOOKUP($T52,OFFSET([4]enemy_skill_sets!$B$1,0,0,COUNTA([4]enemy_skill_sets!$B:$B),MATCH(J$1,[4]enemy_skill_sets!$1:$1,0)-MATCH($T$1,[4]enemy_skill_sets!$1:$1,0)+2),MATCH(J$1,[4]enemy_skill_sets!$1:$1,0)-MATCH($T$1,[4]enemy_skill_sets!$1:$1,0)+2,FALSE)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" s="46">
        <f ca="1">VLOOKUP($I52,OFFSET([2]enemies!$A$1,0,0,COUNTA([2]enemies!$A:$A),MATCH(T$1,[2]enemies!$1:$1,0)-MATCH($I$1,[2]enemies!$1:$1,0)+1),MATCH(T$1,[2]enemies!$1:$1,0)-MATCH($I$1,[2]enemies!$1:$1,0)+1,FALSE)</f>
        <v>0</v>
      </c>
      <c r="U52" s="34">
        <v>0</v>
      </c>
      <c r="V52" s="34">
        <v>100</v>
      </c>
      <c r="W52" s="34">
        <v>0</v>
      </c>
      <c r="X52" s="46">
        <f ca="1">VLOOKUP($I52,OFFSET([2]enemies!$A$1,0,0,COUNTA([2]enemies!$A:$A),MATCH(X$1,[2]enemies!$1:$1,0)-MATCH($I$1,[2]enemies!$1:$1,0)+1),MATCH(X$1,[2]enemies!$1:$1,0)-MATCH($I$1,[2]enemies!$1:$1,0)+1,FALSE)</f>
        <v>3</v>
      </c>
      <c r="Y52" s="28">
        <v>45</v>
      </c>
      <c r="Z52" s="44" t="str">
        <f ca="1">IFERROR(VLOOKUP($Y52,OFFSET([3]characters!$A$1,0,0,COUNTA([3]characters!$A:$A),MATCH(Z$1,[3]characters!$1:$1,0)-MATCH("character_id",[3]characters!$1:$1,0)+1),MATCH(Z$1,[3]characters!$1:$1,0)-MATCH("character_id",[3]characters!$1:$1,0)+1,FALSE),"")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52" s="44">
        <f ca="1">IFERROR(VLOOKUP($Y52,OFFSET([3]characters!$A$1,0,0,COUNTA([3]characters!$A:$A),MATCH(AA$1,[3]characters!$1:$1,0)-MATCH("character_id",[3]characters!$1:$1,0)+1),MATCH(AA$1,[3]characters!$1:$1,0)-MATCH("character_id",[3]characters!$1:$1,0)+1,FALSE),"")</f>
        <v>2</v>
      </c>
      <c r="AB52" s="44" t="str">
        <f ca="1">IFERROR(VLOOKUP($Y52,OFFSET([3]characters!$A$1,0,0,COUNTA([3]characters!$A:$A),MATCH(AB$1,[3]characters!$1:$1,0)-MATCH("character_id",[3]characters!$1:$1,0)+1),MATCH(AB$1,[3]characters!$1:$1,0)-MATCH("character_id",[3]characters!$1:$1,0)+1,FALSE),"")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2" s="28">
        <v>5</v>
      </c>
      <c r="AD52" s="47">
        <f t="shared" ca="1" si="3"/>
        <v>2</v>
      </c>
      <c r="AE52" s="48">
        <v>15</v>
      </c>
      <c r="AF52" s="28">
        <v>0</v>
      </c>
      <c r="AG52" s="35">
        <v>0</v>
      </c>
      <c r="AH52" s="35">
        <v>0</v>
      </c>
      <c r="AI52" s="35">
        <v>0</v>
      </c>
      <c r="AJ52" s="35">
        <v>1</v>
      </c>
    </row>
    <row r="53" spans="1:36" ht="21" customHeight="1" x14ac:dyDescent="0.15">
      <c r="A53" s="17" t="str">
        <f t="shared" ca="1" si="0"/>
        <v>30004_3-2/47&lt;lv44&gt;s1</v>
      </c>
      <c r="B53" s="27">
        <v>30004</v>
      </c>
      <c r="C53" s="30">
        <v>3</v>
      </c>
      <c r="D53" s="16" t="str">
        <f t="shared" ca="1" si="4"/>
        <v>30004_3</v>
      </c>
      <c r="E53" s="44" t="str">
        <f ca="1">VLOOKUP($B53,OFFSET([1]quests!$A$1,0,0,COUNTA([1]quests!$A:$A),MATCH(E$1,[1]quests!$1:$1,0)-MATCH($B$1,[1]quests!$1:$1,0)+1),MATCH(E$1,[1]quests!$1:$1,0)-MATCH($B$1,[1]quests!$1:$1,0)+1,FALSE)</f>
        <v>危険な仲裁者</v>
      </c>
      <c r="F53" s="44" t="str">
        <f ca="1">VLOOKUP($D53,OFFSET([1]stages!$A$1,0,0,COUNTA([1]stages!$A:$A),MATCH(F$1,[1]stages!$2:$2,0)-MATCH($D$1,[1]stages!$2:$2,0)+1),MATCH(F$1,[1]stages!$2:$2,0)-MATCH($D$1,[1]stages!$2:$2,0)+1,FALSE)</f>
        <v xml:space="preserve">【超級】危険な仲裁者 </v>
      </c>
      <c r="G53" s="32">
        <v>2</v>
      </c>
      <c r="H53" s="31" t="s">
        <v>60</v>
      </c>
      <c r="I53" s="30">
        <v>47</v>
      </c>
      <c r="J53" s="46" t="str">
        <f ca="1">VLOOKUP($I53,OFFSET([2]enemies!$A$1,0,0,COUNTA([2]enemies!$A:$A),MATCH(J$1,[2]enemies!$1:$1,0)-MATCH($I$1,[2]enemies!$1:$1,0)+1),MATCH(J$1,[2]enemies!$1:$1,0)-MATCH($I$1,[2]enemies!$1:$1,0)+1,FALSE)</f>
        <v>ヒロ</v>
      </c>
      <c r="K53" s="46" t="str">
        <f ca="1">VLOOKUP($I53,OFFSET([2]enemies!$A$1,0,0,COUNTA([2]enemies!$A:$A),MATCH(K$1,[2]enemies!$1:$1,0)-MATCH($I$1,[2]enemies!$1:$1,0)+1),MATCH(K$1,[2]enemies!$1:$1,0)-MATCH($I$1,[2]enemies!$1:$1,0)+1,FALSE)</f>
        <v>yellow</v>
      </c>
      <c r="L53" s="23" t="str">
        <f ca="1">VLOOKUP(I53,[3]characters!$A:$J,10,FALSE)</f>
        <v>Drop1N</v>
      </c>
      <c r="M53" s="46" t="str">
        <f ca="1">VLOOKUP($I53,OFFSET([2]enemies!$A$1,0,0,COUNTA([2]enemies!$A:$A),MATCH(M$1,[2]enemies!$1:$1,0)-MATCH($I$1,[2]enemies!$1:$1,0)+1),MATCH(M$1,[2]enemies!$1:$1,0)-MATCH($I$1,[2]enemies!$1:$1,0)+1,FALSE)</f>
        <v>animal</v>
      </c>
      <c r="N53" s="46">
        <f ca="1">VLOOKUP($I53,OFFSET([2]enemies!$A$1,0,0,COUNTA([2]enemies!$A:$A),MATCH(N$1,[2]enemies!$1:$1,0)-MATCH($I$1,[2]enemies!$1:$1,0)+1),MATCH(N$1,[2]enemies!$1:$1,0)-MATCH($I$1,[2]enemies!$1:$1,0)+1,FALSE)</f>
        <v>15</v>
      </c>
      <c r="O53" s="33">
        <v>44</v>
      </c>
      <c r="P53" s="42">
        <v>1</v>
      </c>
      <c r="Q53" s="42">
        <v>1.3</v>
      </c>
      <c r="R53" s="43">
        <v>0</v>
      </c>
      <c r="S53" s="44" t="str">
        <f ca="1">VLOOKUP($T53,OFFSET([4]enemy_skill_sets!$B$1,0,0,COUNTA([4]enemy_skill_sets!$B:$B),MATCH(J$1,[4]enemy_skill_sets!$1:$1,0)-MATCH($T$1,[4]enemy_skill_sets!$1:$1,0)+2),MATCH(J$1,[4]enemy_skill_sets!$1:$1,0)-MATCH($T$1,[4]enemy_skill_sets!$1:$1,0)+2,FALSE)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" s="46">
        <f ca="1">VLOOKUP($I53,OFFSET([2]enemies!$A$1,0,0,COUNTA([2]enemies!$A:$A),MATCH(T$1,[2]enemies!$1:$1,0)-MATCH($I$1,[2]enemies!$1:$1,0)+1),MATCH(T$1,[2]enemies!$1:$1,0)-MATCH($I$1,[2]enemies!$1:$1,0)+1,FALSE)</f>
        <v>0</v>
      </c>
      <c r="U53" s="34">
        <v>1</v>
      </c>
      <c r="V53" s="34">
        <v>20</v>
      </c>
      <c r="W53" s="34">
        <v>0</v>
      </c>
      <c r="X53" s="46">
        <f ca="1">VLOOKUP($I53,OFFSET([2]enemies!$A$1,0,0,COUNTA([2]enemies!$A:$A),MATCH(X$1,[2]enemies!$1:$1,0)-MATCH($I$1,[2]enemies!$1:$1,0)+1),MATCH(X$1,[2]enemies!$1:$1,0)-MATCH($I$1,[2]enemies!$1:$1,0)+1,FALSE)</f>
        <v>1</v>
      </c>
      <c r="Y53" s="28">
        <v>47</v>
      </c>
      <c r="Z53" s="44" t="str">
        <f ca="1">IFERROR(VLOOKUP($Y53,OFFSET([3]characters!$A$1,0,0,COUNTA([3]characters!$A:$A),MATCH(Z$1,[3]characters!$1:$1,0)-MATCH("character_id",[3]characters!$1:$1,0)+1),MATCH(Z$1,[3]characters!$1:$1,0)-MATCH("character_id",[3]characters!$1:$1,0)+1,FALSE),"")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53" s="44">
        <f ca="1">IFERROR(VLOOKUP($Y53,OFFSET([3]characters!$A$1,0,0,COUNTA([3]characters!$A:$A),MATCH(AA$1,[3]characters!$1:$1,0)-MATCH("character_id",[3]characters!$1:$1,0)+1),MATCH(AA$1,[3]characters!$1:$1,0)-MATCH("character_id",[3]characters!$1:$1,0)+1,FALSE),"")</f>
        <v>2</v>
      </c>
      <c r="AB53" s="44" t="str">
        <f ca="1">IFERROR(VLOOKUP($Y53,OFFSET([3]characters!$A$1,0,0,COUNTA([3]characters!$A:$A),MATCH(AB$1,[3]characters!$1:$1,0)-MATCH("character_id",[3]characters!$1:$1,0)+1),MATCH(AB$1,[3]characters!$1:$1,0)-MATCH("character_id",[3]characters!$1:$1,0)+1,FALSE),"")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3" s="28">
        <v>5</v>
      </c>
      <c r="AD53" s="47">
        <f t="shared" ca="1" si="3"/>
        <v>2</v>
      </c>
      <c r="AE53" s="48">
        <v>15</v>
      </c>
      <c r="AF53" s="28">
        <v>0</v>
      </c>
      <c r="AG53" s="35">
        <v>0</v>
      </c>
      <c r="AH53" s="35">
        <v>0</v>
      </c>
      <c r="AI53" s="35">
        <v>0</v>
      </c>
      <c r="AJ53" s="35">
        <v>1</v>
      </c>
    </row>
    <row r="54" spans="1:36" ht="21" customHeight="1" x14ac:dyDescent="0.15">
      <c r="A54" s="17" t="str">
        <f t="shared" ref="A54:A62" ca="1" si="7">B54&amp;"_"&amp;C54&amp;"-"&amp;G54&amp;"/"&amp;I54&amp;"&lt;lv"&amp;O54&amp;"&gt;s"&amp;X54</f>
        <v>30004_3-3/127&lt;lv38&gt;s1</v>
      </c>
      <c r="B54" s="27">
        <v>30004</v>
      </c>
      <c r="C54" s="30">
        <v>3</v>
      </c>
      <c r="D54" s="16" t="str">
        <f t="shared" ref="D54" ca="1" si="8">B54&amp;"_"&amp;C54</f>
        <v>30004_3</v>
      </c>
      <c r="E54" s="44" t="str">
        <f ca="1">VLOOKUP($B54,OFFSET([1]quests!$A$1,0,0,COUNTA([1]quests!$A:$A),MATCH(E$1,[1]quests!$1:$1,0)-MATCH($B$1,[1]quests!$1:$1,0)+1),MATCH(E$1,[1]quests!$1:$1,0)-MATCH($B$1,[1]quests!$1:$1,0)+1,FALSE)</f>
        <v>危険な仲裁者</v>
      </c>
      <c r="F54" s="44" t="str">
        <f ca="1">VLOOKUP($D54,OFFSET([1]stages!$A$1,0,0,COUNTA([1]stages!$A:$A),MATCH(F$1,[1]stages!$2:$2,0)-MATCH($D$1,[1]stages!$2:$2,0)+1),MATCH(F$1,[1]stages!$2:$2,0)-MATCH($D$1,[1]stages!$2:$2,0)+1,FALSE)</f>
        <v xml:space="preserve">【超級】危険な仲裁者 </v>
      </c>
      <c r="G54" s="32">
        <v>3</v>
      </c>
      <c r="H54" s="31" t="s">
        <v>61</v>
      </c>
      <c r="I54" s="30">
        <v>127</v>
      </c>
      <c r="J54" s="46" t="str">
        <f ca="1">VLOOKUP($I54,OFFSET([2]enemies!$A$1,0,0,COUNTA([2]enemies!$A:$A),MATCH(J$1,[2]enemies!$1:$1,0)-MATCH($I$1,[2]enemies!$1:$1,0)+1),MATCH(J$1,[2]enemies!$1:$1,0)-MATCH($I$1,[2]enemies!$1:$1,0)+1,FALSE)</f>
        <v>狂喜の賢者 ユノ</v>
      </c>
      <c r="K54" s="46" t="str">
        <f ca="1">VLOOKUP($I54,OFFSET([2]enemies!$A$1,0,0,COUNTA([2]enemies!$A:$A),MATCH(K$1,[2]enemies!$1:$1,0)-MATCH($I$1,[2]enemies!$1:$1,0)+1),MATCH(K$1,[2]enemies!$1:$1,0)-MATCH($I$1,[2]enemies!$1:$1,0)+1,FALSE)</f>
        <v>red</v>
      </c>
      <c r="L54" s="23" t="str">
        <f ca="1">VLOOKUP(I54,[3]characters!$A:$J,10,FALSE)</f>
        <v>PremiumW</v>
      </c>
      <c r="M54" s="46" t="str">
        <f ca="1">VLOOKUP($I54,OFFSET([2]enemies!$A$1,0,0,COUNTA([2]enemies!$A:$A),MATCH(M$1,[2]enemies!$1:$1,0)-MATCH($I$1,[2]enemies!$1:$1,0)+1),MATCH(M$1,[2]enemies!$1:$1,0)-MATCH($I$1,[2]enemies!$1:$1,0)+1,FALSE)</f>
        <v>human</v>
      </c>
      <c r="N54" s="46">
        <f ca="1">VLOOKUP($I54,OFFSET([2]enemies!$A$1,0,0,COUNTA([2]enemies!$A:$A),MATCH(N$1,[2]enemies!$1:$1,0)-MATCH($I$1,[2]enemies!$1:$1,0)+1),MATCH(N$1,[2]enemies!$1:$1,0)-MATCH($I$1,[2]enemies!$1:$1,0)+1,FALSE)</f>
        <v>30</v>
      </c>
      <c r="O54" s="33">
        <v>38</v>
      </c>
      <c r="P54" s="42">
        <v>1</v>
      </c>
      <c r="Q54" s="42">
        <v>1.3</v>
      </c>
      <c r="R54" s="43">
        <v>0</v>
      </c>
      <c r="S54" s="44" t="str">
        <f ca="1">VLOOKUP($T54,OFFSET([4]enemy_skill_sets!$B$1,0,0,COUNTA([4]enemy_skill_sets!$B:$B),MATCH(J$1,[4]enemy_skill_sets!$1:$1,0)-MATCH($T$1,[4]enemy_skill_sets!$1:$1,0)+2),MATCH(J$1,[4]enemy_skill_sets!$1:$1,0)-MATCH($T$1,[4]enemy_skill_sets!$1:$1,0)+2,FALSE)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54" s="49">
        <v>126</v>
      </c>
      <c r="U54" s="34">
        <v>0</v>
      </c>
      <c r="V54" s="34">
        <v>80</v>
      </c>
      <c r="W54" s="34">
        <v>1</v>
      </c>
      <c r="X54" s="46">
        <f ca="1">VLOOKUP($I54,OFFSET([2]enemies!$A$1,0,0,COUNTA([2]enemies!$A:$A),MATCH(X$1,[2]enemies!$1:$1,0)-MATCH($I$1,[2]enemies!$1:$1,0)+1),MATCH(X$1,[2]enemies!$1:$1,0)-MATCH($I$1,[2]enemies!$1:$1,0)+1,FALSE)</f>
        <v>1</v>
      </c>
      <c r="Y54" s="28">
        <v>127</v>
      </c>
      <c r="Z54" s="44" t="str">
        <f ca="1">IFERROR(VLOOKUP($Y54,OFFSET([3]characters!$A$1,0,0,COUNTA([3]characters!$A:$A),MATCH(Z$1,[3]characters!$1:$1,0)-MATCH("character_id",[3]characters!$1:$1,0)+1),MATCH(Z$1,[3]characters!$1:$1,0)-MATCH("character_id",[3]characters!$1:$1,0)+1,FALSE),"")</f>
        <v>狂喜の賢者 ユノ</v>
      </c>
      <c r="AA54" s="44">
        <f ca="1">IFERROR(VLOOKUP($Y54,OFFSET([3]characters!$A$1,0,0,COUNTA([3]characters!$A:$A),MATCH(AA$1,[3]characters!$1:$1,0)-MATCH("character_id",[3]characters!$1:$1,0)+1),MATCH(AA$1,[3]characters!$1:$1,0)-MATCH("character_id",[3]characters!$1:$1,0)+1,FALSE),"")</f>
        <v>4</v>
      </c>
      <c r="AB54" s="44" t="str">
        <f ca="1">IFERROR(VLOOKUP($Y54,OFFSET([3]characters!$A$1,0,0,COUNTA([3]characters!$A:$A),MATCH(AB$1,[3]characters!$1:$1,0)-MATCH("character_id",[3]characters!$1:$1,0)+1),MATCH(AB$1,[3]characters!$1:$1,0)-MATCH("character_id",[3]characters!$1:$1,0)+1,FALSE),"")</f>
        <v>PremiumW</v>
      </c>
      <c r="AC54" s="28">
        <v>1</v>
      </c>
      <c r="AD54" s="47">
        <f t="shared" ref="AD54" ca="1" si="9">AA54</f>
        <v>4</v>
      </c>
      <c r="AE54" s="48">
        <v>0</v>
      </c>
      <c r="AF54" s="28">
        <v>0</v>
      </c>
      <c r="AG54" s="35">
        <v>0</v>
      </c>
      <c r="AH54" s="35">
        <v>0</v>
      </c>
      <c r="AI54" s="35">
        <v>0</v>
      </c>
      <c r="AJ54" s="35">
        <v>1</v>
      </c>
    </row>
    <row r="55" spans="1:36" ht="21" customHeight="1" x14ac:dyDescent="0.15">
      <c r="A55" s="17" t="str">
        <f t="shared" ca="1" si="7"/>
        <v>30004_3-3/78&lt;lv25&gt;s1</v>
      </c>
      <c r="B55" s="27">
        <v>30004</v>
      </c>
      <c r="C55" s="30">
        <v>3</v>
      </c>
      <c r="D55" s="16" t="str">
        <f t="shared" ref="D55:D62" ca="1" si="10">B55&amp;"_"&amp;C55</f>
        <v>30004_3</v>
      </c>
      <c r="E55" s="44" t="str">
        <f ca="1">VLOOKUP($B55,OFFSET([1]quests!$A$1,0,0,COUNTA([1]quests!$A:$A),MATCH(E$1,[1]quests!$1:$1,0)-MATCH($B$1,[1]quests!$1:$1,0)+1),MATCH(E$1,[1]quests!$1:$1,0)-MATCH($B$1,[1]quests!$1:$1,0)+1,FALSE)</f>
        <v>危険な仲裁者</v>
      </c>
      <c r="F55" s="44" t="str">
        <f ca="1">VLOOKUP($D55,OFFSET([1]stages!$A$1,0,0,COUNTA([1]stages!$A:$A),MATCH(F$1,[1]stages!$2:$2,0)-MATCH($D$1,[1]stages!$2:$2,0)+1),MATCH(F$1,[1]stages!$2:$2,0)-MATCH($D$1,[1]stages!$2:$2,0)+1,FALSE)</f>
        <v xml:space="preserve">【超級】危険な仲裁者 </v>
      </c>
      <c r="G55" s="32">
        <v>3</v>
      </c>
      <c r="H55" s="31" t="s">
        <v>61</v>
      </c>
      <c r="I55" s="30">
        <v>78</v>
      </c>
      <c r="J55" s="46" t="str">
        <f ca="1">VLOOKUP($I55,OFFSET([2]enemies!$A$1,0,0,COUNTA([2]enemies!$A:$A),MATCH(J$1,[2]enemies!$1:$1,0)-MATCH($I$1,[2]enemies!$1:$1,0)+1),MATCH(J$1,[2]enemies!$1:$1,0)-MATCH($I$1,[2]enemies!$1:$1,0)+1,FALSE)</f>
        <v>擬態潜伏型メリッサ2.0</v>
      </c>
      <c r="K55" s="46" t="str">
        <f ca="1">VLOOKUP($I55,OFFSET([2]enemies!$A$1,0,0,COUNTA([2]enemies!$A:$A),MATCH(K$1,[2]enemies!$1:$1,0)-MATCH($I$1,[2]enemies!$1:$1,0)+1),MATCH(K$1,[2]enemies!$1:$1,0)-MATCH($I$1,[2]enemies!$1:$1,0)+1,FALSE)</f>
        <v>red</v>
      </c>
      <c r="L55" s="23" t="str">
        <f ca="1">VLOOKUP(I55,[3]characters!$A:$J,10,FALSE)</f>
        <v>DropWizW</v>
      </c>
      <c r="M55" s="46" t="str">
        <f ca="1">VLOOKUP($I55,OFFSET([2]enemies!$A$1,0,0,COUNTA([2]enemies!$A:$A),MATCH(M$1,[2]enemies!$1:$1,0)-MATCH($I$1,[2]enemies!$1:$1,0)+1),MATCH(M$1,[2]enemies!$1:$1,0)-MATCH($I$1,[2]enemies!$1:$1,0)+1,FALSE)</f>
        <v>unknown</v>
      </c>
      <c r="N55" s="46">
        <f ca="1">VLOOKUP($I55,OFFSET([2]enemies!$A$1,0,0,COUNTA([2]enemies!$A:$A),MATCH(N$1,[2]enemies!$1:$1,0)-MATCH($I$1,[2]enemies!$1:$1,0)+1),MATCH(N$1,[2]enemies!$1:$1,0)-MATCH($I$1,[2]enemies!$1:$1,0)+1,FALSE)</f>
        <v>30</v>
      </c>
      <c r="O55" s="33">
        <v>25</v>
      </c>
      <c r="P55" s="42">
        <v>0.5</v>
      </c>
      <c r="Q55" s="42">
        <v>0.1</v>
      </c>
      <c r="R55" s="43">
        <v>0</v>
      </c>
      <c r="S55" s="44" t="str">
        <f ca="1">VLOOKUP($T55,OFFSET([4]enemy_skill_sets!$B$1,0,0,COUNTA([4]enemy_skill_sets!$B:$B),MATCH(J$1,[4]enemy_skill_sets!$1:$1,0)-MATCH($T$1,[4]enemy_skill_sets!$1:$1,0)+2),MATCH(J$1,[4]enemy_skill_sets!$1:$1,0)-MATCH($T$1,[4]enemy_skill_sets!$1:$1,0)+2,FALSE)</f>
        <v>5ターンの間ダメージを受ける</v>
      </c>
      <c r="T55" s="49">
        <v>77</v>
      </c>
      <c r="U55" s="34">
        <v>0</v>
      </c>
      <c r="V55" s="34">
        <v>20</v>
      </c>
      <c r="W55" s="34">
        <v>1</v>
      </c>
      <c r="X55" s="46">
        <f ca="1">VLOOKUP($I55,OFFSET([2]enemies!$A$1,0,0,COUNTA([2]enemies!$A:$A),MATCH(X$1,[2]enemies!$1:$1,0)-MATCH($I$1,[2]enemies!$1:$1,0)+1),MATCH(X$1,[2]enemies!$1:$1,0)-MATCH($I$1,[2]enemies!$1:$1,0)+1,FALSE)</f>
        <v>1</v>
      </c>
      <c r="Y55" s="28">
        <v>77</v>
      </c>
      <c r="Z55" s="44" t="str">
        <f ca="1">IFERROR(VLOOKUP($Y55,OFFSET([3]characters!$A$1,0,0,COUNTA([3]characters!$A:$A),MATCH(Z$1,[3]characters!$1:$1,0)-MATCH("character_id",[3]characters!$1:$1,0)+1),MATCH(Z$1,[3]characters!$1:$1,0)-MATCH("character_id",[3]characters!$1:$1,0)+1,FALSE),"")</f>
        <v>潜伏型メリッサ</v>
      </c>
      <c r="AA55" s="44">
        <f ca="1">IFERROR(VLOOKUP($Y55,OFFSET([3]characters!$A$1,0,0,COUNTA([3]characters!$A:$A),MATCH(AA$1,[3]characters!$1:$1,0)-MATCH("character_id",[3]characters!$1:$1,0)+1),MATCH(AA$1,[3]characters!$1:$1,0)-MATCH("character_id",[3]characters!$1:$1,0)+1,FALSE),"")</f>
        <v>3</v>
      </c>
      <c r="AB55" s="44" t="str">
        <f ca="1">IFERROR(VLOOKUP($Y55,OFFSET([3]characters!$A$1,0,0,COUNTA([3]characters!$A:$A),MATCH(AB$1,[3]characters!$1:$1,0)-MATCH("character_id",[3]characters!$1:$1,0)+1),MATCH(AB$1,[3]characters!$1:$1,0)-MATCH("character_id",[3]characters!$1:$1,0)+1,FALSE),"")</f>
        <v>DropWizW</v>
      </c>
      <c r="AC55" s="28">
        <v>1</v>
      </c>
      <c r="AD55" s="47">
        <f t="shared" ref="AD55:AD62" ca="1" si="11">AA55</f>
        <v>3</v>
      </c>
      <c r="AE55" s="48">
        <v>15</v>
      </c>
      <c r="AF55" s="28">
        <v>0</v>
      </c>
      <c r="AG55" s="35">
        <v>0</v>
      </c>
      <c r="AH55" s="35">
        <v>0</v>
      </c>
      <c r="AI55" s="35">
        <v>0</v>
      </c>
      <c r="AJ55" s="35">
        <v>1</v>
      </c>
    </row>
    <row r="56" spans="1:36" ht="21" customHeight="1" x14ac:dyDescent="0.15">
      <c r="A56" s="17" t="str">
        <f t="shared" ca="1" si="7"/>
        <v>30004_3-4/10&lt;lv46&gt;s2</v>
      </c>
      <c r="B56" s="27">
        <v>30004</v>
      </c>
      <c r="C56" s="30">
        <v>3</v>
      </c>
      <c r="D56" s="16" t="str">
        <f t="shared" ca="1" si="10"/>
        <v>30004_3</v>
      </c>
      <c r="E56" s="44" t="str">
        <f ca="1">VLOOKUP($B56,OFFSET([1]quests!$A$1,0,0,COUNTA([1]quests!$A:$A),MATCH(E$1,[1]quests!$1:$1,0)-MATCH($B$1,[1]quests!$1:$1,0)+1),MATCH(E$1,[1]quests!$1:$1,0)-MATCH($B$1,[1]quests!$1:$1,0)+1,FALSE)</f>
        <v>危険な仲裁者</v>
      </c>
      <c r="F56" s="44" t="str">
        <f ca="1">VLOOKUP($D56,OFFSET([1]stages!$A$1,0,0,COUNTA([1]stages!$A:$A),MATCH(F$1,[1]stages!$2:$2,0)-MATCH($D$1,[1]stages!$2:$2,0)+1),MATCH(F$1,[1]stages!$2:$2,0)-MATCH($D$1,[1]stages!$2:$2,0)+1,FALSE)</f>
        <v xml:space="preserve">【超級】危険な仲裁者 </v>
      </c>
      <c r="G56" s="32">
        <v>4</v>
      </c>
      <c r="H56" s="31" t="s">
        <v>62</v>
      </c>
      <c r="I56" s="30">
        <v>10</v>
      </c>
      <c r="J56" s="46" t="str">
        <f ca="1">VLOOKUP($I56,OFFSET([2]enemies!$A$1,0,0,COUNTA([2]enemies!$A:$A),MATCH(J$1,[2]enemies!$1:$1,0)-MATCH($I$1,[2]enemies!$1:$1,0)+1),MATCH(J$1,[2]enemies!$1:$1,0)-MATCH($I$1,[2]enemies!$1:$1,0)+1,FALSE)</f>
        <v>燃える悪戯魂 ブレット</v>
      </c>
      <c r="K56" s="46" t="str">
        <f ca="1">VLOOKUP($I56,OFFSET([2]enemies!$A$1,0,0,COUNTA([2]enemies!$A:$A),MATCH(K$1,[2]enemies!$1:$1,0)-MATCH($I$1,[2]enemies!$1:$1,0)+1),MATCH(K$1,[2]enemies!$1:$1,0)-MATCH($I$1,[2]enemies!$1:$1,0)+1,FALSE)</f>
        <v>red</v>
      </c>
      <c r="L56" s="23" t="str">
        <f ca="1">VLOOKUP(I56,[3]characters!$A:$J,10,FALSE)</f>
        <v>Drop1W</v>
      </c>
      <c r="M56" s="46" t="str">
        <f ca="1">VLOOKUP($I56,OFFSET([2]enemies!$A$1,0,0,COUNTA([2]enemies!$A:$A),MATCH(M$1,[2]enemies!$1:$1,0)-MATCH($I$1,[2]enemies!$1:$1,0)+1),MATCH(M$1,[2]enemies!$1:$1,0)-MATCH($I$1,[2]enemies!$1:$1,0)+1,FALSE)</f>
        <v>animal</v>
      </c>
      <c r="N56" s="46">
        <f ca="1">VLOOKUP($I56,OFFSET([2]enemies!$A$1,0,0,COUNTA([2]enemies!$A:$A),MATCH(N$1,[2]enemies!$1:$1,0)-MATCH($I$1,[2]enemies!$1:$1,0)+1),MATCH(N$1,[2]enemies!$1:$1,0)-MATCH($I$1,[2]enemies!$1:$1,0)+1,FALSE)</f>
        <v>15</v>
      </c>
      <c r="O56" s="33">
        <v>46</v>
      </c>
      <c r="P56" s="42">
        <v>1</v>
      </c>
      <c r="Q56" s="42">
        <v>1.3</v>
      </c>
      <c r="R56" s="43">
        <v>0</v>
      </c>
      <c r="S56" s="44" t="str">
        <f ca="1">VLOOKUP($T56,OFFSET([4]enemy_skill_sets!$B$1,0,0,COUNTA([4]enemy_skill_sets!$B:$B),MATCH(J$1,[4]enemy_skill_sets!$1:$1,0)-MATCH($T$1,[4]enemy_skill_sets!$1:$1,0)+2),MATCH(J$1,[4]enemy_skill_sets!$1:$1,0)-MATCH($T$1,[4]enemy_skill_sets!$1:$1,0)+2,FALSE)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" s="46">
        <f ca="1">VLOOKUP($I56,OFFSET([2]enemies!$A$1,0,0,COUNTA([2]enemies!$A:$A),MATCH(T$1,[2]enemies!$1:$1,0)-MATCH($I$1,[2]enemies!$1:$1,0)+1),MATCH(T$1,[2]enemies!$1:$1,0)-MATCH($I$1,[2]enemies!$1:$1,0)+1,FALSE)</f>
        <v>0</v>
      </c>
      <c r="U56" s="34">
        <v>0</v>
      </c>
      <c r="V56" s="34">
        <v>100</v>
      </c>
      <c r="W56" s="34">
        <v>0</v>
      </c>
      <c r="X56" s="46">
        <f ca="1">VLOOKUP($I56,OFFSET([2]enemies!$A$1,0,0,COUNTA([2]enemies!$A:$A),MATCH(X$1,[2]enemies!$1:$1,0)-MATCH($I$1,[2]enemies!$1:$1,0)+1),MATCH(X$1,[2]enemies!$1:$1,0)-MATCH($I$1,[2]enemies!$1:$1,0)+1,FALSE)</f>
        <v>2</v>
      </c>
      <c r="Y56" s="28">
        <v>10</v>
      </c>
      <c r="Z56" s="44" t="str">
        <f ca="1">IFERROR(VLOOKUP($Y56,OFFSET([3]characters!$A$1,0,0,COUNTA([3]characters!$A:$A),MATCH(Z$1,[3]characters!$1:$1,0)-MATCH("character_id",[3]characters!$1:$1,0)+1),MATCH(Z$1,[3]characters!$1:$1,0)-MATCH("character_id",[3]characters!$1:$1,0)+1,FALSE),"")</f>
        <v>燃える悪戯魂 ブレット</v>
      </c>
      <c r="AA56" s="44">
        <f ca="1">IFERROR(VLOOKUP($Y56,OFFSET([3]characters!$A$1,0,0,COUNTA([3]characters!$A:$A),MATCH(AA$1,[3]characters!$1:$1,0)-MATCH("character_id",[3]characters!$1:$1,0)+1),MATCH(AA$1,[3]characters!$1:$1,0)-MATCH("character_id",[3]characters!$1:$1,0)+1,FALSE),"")</f>
        <v>2</v>
      </c>
      <c r="AB56" s="44" t="str">
        <f ca="1">IFERROR(VLOOKUP($Y56,OFFSET([3]characters!$A$1,0,0,COUNTA([3]characters!$A:$A),MATCH(AB$1,[3]characters!$1:$1,0)-MATCH("character_id",[3]characters!$1:$1,0)+1),MATCH(AB$1,[3]characters!$1:$1,0)-MATCH("character_id",[3]characters!$1:$1,0)+1,FALSE),"")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56" s="28">
        <v>5</v>
      </c>
      <c r="AD56" s="47">
        <f t="shared" ca="1" si="11"/>
        <v>2</v>
      </c>
      <c r="AE56" s="48">
        <v>15</v>
      </c>
      <c r="AF56" s="28">
        <v>0</v>
      </c>
      <c r="AG56" s="35">
        <v>0</v>
      </c>
      <c r="AH56" s="35">
        <v>0</v>
      </c>
      <c r="AI56" s="35">
        <v>0</v>
      </c>
      <c r="AJ56" s="35">
        <v>1</v>
      </c>
    </row>
    <row r="57" spans="1:36" ht="21" customHeight="1" x14ac:dyDescent="0.15">
      <c r="A57" s="17" t="str">
        <f t="shared" ca="1" si="7"/>
        <v>30004_3-4/16&lt;lv46&gt;s3</v>
      </c>
      <c r="B57" s="27">
        <v>30004</v>
      </c>
      <c r="C57" s="30">
        <v>3</v>
      </c>
      <c r="D57" s="16" t="str">
        <f t="shared" ca="1" si="10"/>
        <v>30004_3</v>
      </c>
      <c r="E57" s="44" t="str">
        <f ca="1">VLOOKUP($B57,OFFSET([1]quests!$A$1,0,0,COUNTA([1]quests!$A:$A),MATCH(E$1,[1]quests!$1:$1,0)-MATCH($B$1,[1]quests!$1:$1,0)+1),MATCH(E$1,[1]quests!$1:$1,0)-MATCH($B$1,[1]quests!$1:$1,0)+1,FALSE)</f>
        <v>危険な仲裁者</v>
      </c>
      <c r="F57" s="44" t="str">
        <f ca="1">VLOOKUP($D57,OFFSET([1]stages!$A$1,0,0,COUNTA([1]stages!$A:$A),MATCH(F$1,[1]stages!$2:$2,0)-MATCH($D$1,[1]stages!$2:$2,0)+1),MATCH(F$1,[1]stages!$2:$2,0)-MATCH($D$1,[1]stages!$2:$2,0)+1,FALSE)</f>
        <v xml:space="preserve">【超級】危険な仲裁者 </v>
      </c>
      <c r="G57" s="32">
        <v>4</v>
      </c>
      <c r="H57" s="31" t="s">
        <v>62</v>
      </c>
      <c r="I57" s="30">
        <v>16</v>
      </c>
      <c r="J57" s="46" t="str">
        <f ca="1">VLOOKUP($I57,OFFSET([2]enemies!$A$1,0,0,COUNTA([2]enemies!$A:$A),MATCH(J$1,[2]enemies!$1:$1,0)-MATCH($I$1,[2]enemies!$1:$1,0)+1),MATCH(J$1,[2]enemies!$1:$1,0)-MATCH($I$1,[2]enemies!$1:$1,0)+1,FALSE)</f>
        <v>炎戦少女 アカネ</v>
      </c>
      <c r="K57" s="46" t="str">
        <f ca="1">VLOOKUP($I57,OFFSET([2]enemies!$A$1,0,0,COUNTA([2]enemies!$A:$A),MATCH(K$1,[2]enemies!$1:$1,0)-MATCH($I$1,[2]enemies!$1:$1,0)+1),MATCH(K$1,[2]enemies!$1:$1,0)-MATCH($I$1,[2]enemies!$1:$1,0)+1,FALSE)</f>
        <v>red</v>
      </c>
      <c r="L57" s="23" t="str">
        <f ca="1">VLOOKUP(I57,[3]characters!$A:$J,10,FALSE)</f>
        <v>Drop1W</v>
      </c>
      <c r="M57" s="46" t="str">
        <f ca="1">VLOOKUP($I57,OFFSET([2]enemies!$A$1,0,0,COUNTA([2]enemies!$A:$A),MATCH(M$1,[2]enemies!$1:$1,0)-MATCH($I$1,[2]enemies!$1:$1,0)+1),MATCH(M$1,[2]enemies!$1:$1,0)-MATCH($I$1,[2]enemies!$1:$1,0)+1,FALSE)</f>
        <v>human</v>
      </c>
      <c r="N57" s="46">
        <f ca="1">VLOOKUP($I57,OFFSET([2]enemies!$A$1,0,0,COUNTA([2]enemies!$A:$A),MATCH(N$1,[2]enemies!$1:$1,0)-MATCH($I$1,[2]enemies!$1:$1,0)+1),MATCH(N$1,[2]enemies!$1:$1,0)-MATCH($I$1,[2]enemies!$1:$1,0)+1,FALSE)</f>
        <v>15</v>
      </c>
      <c r="O57" s="33">
        <v>46</v>
      </c>
      <c r="P57" s="42">
        <v>1</v>
      </c>
      <c r="Q57" s="42">
        <v>1.3</v>
      </c>
      <c r="R57" s="43">
        <v>0</v>
      </c>
      <c r="S57" s="44" t="str">
        <f ca="1">VLOOKUP($T57,OFFSET([4]enemy_skill_sets!$B$1,0,0,COUNTA([4]enemy_skill_sets!$B:$B),MATCH(J$1,[4]enemy_skill_sets!$1:$1,0)-MATCH($T$1,[4]enemy_skill_sets!$1:$1,0)+2),MATCH(J$1,[4]enemy_skill_sets!$1:$1,0)-MATCH($T$1,[4]enemy_skill_sets!$1:$1,0)+2,FALSE)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" s="46">
        <f ca="1">VLOOKUP($I57,OFFSET([2]enemies!$A$1,0,0,COUNTA([2]enemies!$A:$A),MATCH(T$1,[2]enemies!$1:$1,0)-MATCH($I$1,[2]enemies!$1:$1,0)+1),MATCH(T$1,[2]enemies!$1:$1,0)-MATCH($I$1,[2]enemies!$1:$1,0)+1,FALSE)</f>
        <v>0</v>
      </c>
      <c r="U57" s="34">
        <v>0</v>
      </c>
      <c r="V57" s="34">
        <v>100</v>
      </c>
      <c r="W57" s="34">
        <v>0</v>
      </c>
      <c r="X57" s="46">
        <f ca="1">VLOOKUP($I57,OFFSET([2]enemies!$A$1,0,0,COUNTA([2]enemies!$A:$A),MATCH(X$1,[2]enemies!$1:$1,0)-MATCH($I$1,[2]enemies!$1:$1,0)+1),MATCH(X$1,[2]enemies!$1:$1,0)-MATCH($I$1,[2]enemies!$1:$1,0)+1,FALSE)</f>
        <v>3</v>
      </c>
      <c r="Y57" s="28">
        <v>16</v>
      </c>
      <c r="Z57" s="44" t="str">
        <f ca="1">IFERROR(VLOOKUP($Y57,OFFSET([3]characters!$A$1,0,0,COUNTA([3]characters!$A:$A),MATCH(Z$1,[3]characters!$1:$1,0)-MATCH("character_id",[3]characters!$1:$1,0)+1),MATCH(Z$1,[3]characters!$1:$1,0)-MATCH("character_id",[3]characters!$1:$1,0)+1,FALSE),"")</f>
        <v>炎戦少女 アカネ</v>
      </c>
      <c r="AA57" s="44">
        <f ca="1">IFERROR(VLOOKUP($Y57,OFFSET([3]characters!$A$1,0,0,COUNTA([3]characters!$A:$A),MATCH(AA$1,[3]characters!$1:$1,0)-MATCH("character_id",[3]characters!$1:$1,0)+1),MATCH(AA$1,[3]characters!$1:$1,0)-MATCH("character_id",[3]characters!$1:$1,0)+1,FALSE),"")</f>
        <v>2</v>
      </c>
      <c r="AB57" s="44" t="str">
        <f ca="1">IFERROR(VLOOKUP($Y57,OFFSET([3]characters!$A$1,0,0,COUNTA([3]characters!$A:$A),MATCH(AB$1,[3]characters!$1:$1,0)-MATCH("character_id",[3]characters!$1:$1,0)+1),MATCH(AB$1,[3]characters!$1:$1,0)-MATCH("character_id",[3]characters!$1:$1,0)+1,FALSE),"")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57" s="28">
        <v>5</v>
      </c>
      <c r="AD57" s="47">
        <f t="shared" ca="1" si="11"/>
        <v>2</v>
      </c>
      <c r="AE57" s="48">
        <v>15</v>
      </c>
      <c r="AF57" s="28">
        <v>0</v>
      </c>
      <c r="AG57" s="35">
        <v>0</v>
      </c>
      <c r="AH57" s="35">
        <v>0</v>
      </c>
      <c r="AI57" s="35">
        <v>0</v>
      </c>
      <c r="AJ57" s="35">
        <v>1</v>
      </c>
    </row>
    <row r="58" spans="1:36" ht="21" customHeight="1" x14ac:dyDescent="0.15">
      <c r="A58" s="17" t="str">
        <f t="shared" ca="1" si="7"/>
        <v>30004_3-4/41&lt;lv46&gt;s1</v>
      </c>
      <c r="B58" s="27">
        <v>30004</v>
      </c>
      <c r="C58" s="30">
        <v>3</v>
      </c>
      <c r="D58" s="16" t="str">
        <f t="shared" ca="1" si="10"/>
        <v>30004_3</v>
      </c>
      <c r="E58" s="44" t="str">
        <f ca="1">VLOOKUP($B58,OFFSET([1]quests!$A$1,0,0,COUNTA([1]quests!$A:$A),MATCH(E$1,[1]quests!$1:$1,0)-MATCH($B$1,[1]quests!$1:$1,0)+1),MATCH(E$1,[1]quests!$1:$1,0)-MATCH($B$1,[1]quests!$1:$1,0)+1,FALSE)</f>
        <v>危険な仲裁者</v>
      </c>
      <c r="F58" s="44" t="str">
        <f ca="1">VLOOKUP($D58,OFFSET([1]stages!$A$1,0,0,COUNTA([1]stages!$A:$A),MATCH(F$1,[1]stages!$2:$2,0)-MATCH($D$1,[1]stages!$2:$2,0)+1),MATCH(F$1,[1]stages!$2:$2,0)-MATCH($D$1,[1]stages!$2:$2,0)+1,FALSE)</f>
        <v xml:space="preserve">【超級】危険な仲裁者 </v>
      </c>
      <c r="G58" s="32">
        <v>4</v>
      </c>
      <c r="H58" s="31" t="s">
        <v>62</v>
      </c>
      <c r="I58" s="30">
        <v>41</v>
      </c>
      <c r="J58" s="46" t="str">
        <f ca="1">VLOOKUP($I58,OFFSET([2]enemies!$A$1,0,0,COUNTA([2]enemies!$A:$A),MATCH(J$1,[2]enemies!$1:$1,0)-MATCH($I$1,[2]enemies!$1:$1,0)+1),MATCH(J$1,[2]enemies!$1:$1,0)-MATCH($I$1,[2]enemies!$1:$1,0)+1,FALSE)</f>
        <v>ヒュウガ</v>
      </c>
      <c r="K58" s="46" t="str">
        <f ca="1">VLOOKUP($I58,OFFSET([2]enemies!$A$1,0,0,COUNTA([2]enemies!$A:$A),MATCH(K$1,[2]enemies!$1:$1,0)-MATCH($I$1,[2]enemies!$1:$1,0)+1),MATCH(K$1,[2]enemies!$1:$1,0)-MATCH($I$1,[2]enemies!$1:$1,0)+1,FALSE)</f>
        <v>red</v>
      </c>
      <c r="L58" s="23" t="str">
        <f ca="1">VLOOKUP(I58,[3]characters!$A:$J,10,FALSE)</f>
        <v>Drop1N</v>
      </c>
      <c r="M58" s="46" t="str">
        <f ca="1">VLOOKUP($I58,OFFSET([2]enemies!$A$1,0,0,COUNTA([2]enemies!$A:$A),MATCH(M$1,[2]enemies!$1:$1,0)-MATCH($I$1,[2]enemies!$1:$1,0)+1),MATCH(M$1,[2]enemies!$1:$1,0)-MATCH($I$1,[2]enemies!$1:$1,0)+1,FALSE)</f>
        <v>dragon</v>
      </c>
      <c r="N58" s="46">
        <f ca="1">VLOOKUP($I58,OFFSET([2]enemies!$A$1,0,0,COUNTA([2]enemies!$A:$A),MATCH(N$1,[2]enemies!$1:$1,0)-MATCH($I$1,[2]enemies!$1:$1,0)+1),MATCH(N$1,[2]enemies!$1:$1,0)-MATCH($I$1,[2]enemies!$1:$1,0)+1,FALSE)</f>
        <v>15</v>
      </c>
      <c r="O58" s="33">
        <v>46</v>
      </c>
      <c r="P58" s="42">
        <v>1</v>
      </c>
      <c r="Q58" s="42">
        <v>1.3</v>
      </c>
      <c r="R58" s="43">
        <v>0</v>
      </c>
      <c r="S58" s="44" t="str">
        <f ca="1">VLOOKUP($T58,OFFSET([4]enemy_skill_sets!$B$1,0,0,COUNTA([4]enemy_skill_sets!$B:$B),MATCH(J$1,[4]enemy_skill_sets!$1:$1,0)-MATCH($T$1,[4]enemy_skill_sets!$1:$1,0)+2),MATCH(J$1,[4]enemy_skill_sets!$1:$1,0)-MATCH($T$1,[4]enemy_skill_sets!$1:$1,0)+2,FALSE)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" s="46">
        <f ca="1">VLOOKUP($I58,OFFSET([2]enemies!$A$1,0,0,COUNTA([2]enemies!$A:$A),MATCH(T$1,[2]enemies!$1:$1,0)-MATCH($I$1,[2]enemies!$1:$1,0)+1),MATCH(T$1,[2]enemies!$1:$1,0)-MATCH($I$1,[2]enemies!$1:$1,0)+1,FALSE)</f>
        <v>0</v>
      </c>
      <c r="U58" s="34">
        <v>0</v>
      </c>
      <c r="V58" s="34">
        <v>20</v>
      </c>
      <c r="W58" s="34">
        <v>0</v>
      </c>
      <c r="X58" s="46">
        <f ca="1">VLOOKUP($I58,OFFSET([2]enemies!$A$1,0,0,COUNTA([2]enemies!$A:$A),MATCH(X$1,[2]enemies!$1:$1,0)-MATCH($I$1,[2]enemies!$1:$1,0)+1),MATCH(X$1,[2]enemies!$1:$1,0)-MATCH($I$1,[2]enemies!$1:$1,0)+1,FALSE)</f>
        <v>1</v>
      </c>
      <c r="Y58" s="28">
        <v>41</v>
      </c>
      <c r="Z58" s="44" t="str">
        <f ca="1">IFERROR(VLOOKUP($Y58,OFFSET([3]characters!$A$1,0,0,COUNTA([3]characters!$A:$A),MATCH(Z$1,[3]characters!$1:$1,0)-MATCH("character_id",[3]characters!$1:$1,0)+1),MATCH(Z$1,[3]characters!$1:$1,0)-MATCH("character_id",[3]characters!$1:$1,0)+1,FALSE),"")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58" s="44">
        <f ca="1">IFERROR(VLOOKUP($Y58,OFFSET([3]characters!$A$1,0,0,COUNTA([3]characters!$A:$A),MATCH(AA$1,[3]characters!$1:$1,0)-MATCH("character_id",[3]characters!$1:$1,0)+1),MATCH(AA$1,[3]characters!$1:$1,0)-MATCH("character_id",[3]characters!$1:$1,0)+1,FALSE),"")</f>
        <v>2</v>
      </c>
      <c r="AB58" s="44" t="str">
        <f ca="1">IFERROR(VLOOKUP($Y58,OFFSET([3]characters!$A$1,0,0,COUNTA([3]characters!$A:$A),MATCH(AB$1,[3]characters!$1:$1,0)-MATCH("character_id",[3]characters!$1:$1,0)+1),MATCH(AB$1,[3]characters!$1:$1,0)-MATCH("character_id",[3]characters!$1:$1,0)+1,FALSE),"")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8" s="28">
        <v>5</v>
      </c>
      <c r="AD58" s="47">
        <f t="shared" ca="1" si="11"/>
        <v>2</v>
      </c>
      <c r="AE58" s="48">
        <v>15</v>
      </c>
      <c r="AF58" s="28">
        <v>0</v>
      </c>
      <c r="AG58" s="35">
        <v>0</v>
      </c>
      <c r="AH58" s="35">
        <v>0</v>
      </c>
      <c r="AI58" s="35">
        <v>0</v>
      </c>
      <c r="AJ58" s="35">
        <v>1</v>
      </c>
    </row>
    <row r="59" spans="1:36" ht="21" customHeight="1" x14ac:dyDescent="0.15">
      <c r="A59" s="17" t="str">
        <f t="shared" ca="1" si="7"/>
        <v>30004_3-4/43&lt;lv46&gt;s2</v>
      </c>
      <c r="B59" s="27">
        <v>30004</v>
      </c>
      <c r="C59" s="30">
        <v>3</v>
      </c>
      <c r="D59" s="16" t="str">
        <f t="shared" ca="1" si="10"/>
        <v>30004_3</v>
      </c>
      <c r="E59" s="44" t="str">
        <f ca="1">VLOOKUP($B59,OFFSET([1]quests!$A$1,0,0,COUNTA([1]quests!$A:$A),MATCH(E$1,[1]quests!$1:$1,0)-MATCH($B$1,[1]quests!$1:$1,0)+1),MATCH(E$1,[1]quests!$1:$1,0)-MATCH($B$1,[1]quests!$1:$1,0)+1,FALSE)</f>
        <v>危険な仲裁者</v>
      </c>
      <c r="F59" s="44" t="str">
        <f ca="1">VLOOKUP($D59,OFFSET([1]stages!$A$1,0,0,COUNTA([1]stages!$A:$A),MATCH(F$1,[1]stages!$2:$2,0)-MATCH($D$1,[1]stages!$2:$2,0)+1),MATCH(F$1,[1]stages!$2:$2,0)-MATCH($D$1,[1]stages!$2:$2,0)+1,FALSE)</f>
        <v xml:space="preserve">【超級】危険な仲裁者 </v>
      </c>
      <c r="G59" s="32">
        <v>4</v>
      </c>
      <c r="H59" s="31" t="s">
        <v>62</v>
      </c>
      <c r="I59" s="30">
        <v>43</v>
      </c>
      <c r="J59" s="46" t="str">
        <f ca="1">VLOOKUP($I59,OFFSET([2]enemies!$A$1,0,0,COUNTA([2]enemies!$A:$A),MATCH(J$1,[2]enemies!$1:$1,0)-MATCH($I$1,[2]enemies!$1:$1,0)+1),MATCH(J$1,[2]enemies!$1:$1,0)-MATCH($I$1,[2]enemies!$1:$1,0)+1,FALSE)</f>
        <v>ムゥ</v>
      </c>
      <c r="K59" s="46" t="str">
        <f ca="1">VLOOKUP($I59,OFFSET([2]enemies!$A$1,0,0,COUNTA([2]enemies!$A:$A),MATCH(K$1,[2]enemies!$1:$1,0)-MATCH($I$1,[2]enemies!$1:$1,0)+1),MATCH(K$1,[2]enemies!$1:$1,0)-MATCH($I$1,[2]enemies!$1:$1,0)+1,FALSE)</f>
        <v>green</v>
      </c>
      <c r="L59" s="23" t="str">
        <f ca="1">VLOOKUP(I59,[3]characters!$A:$J,10,FALSE)</f>
        <v>Drop1N</v>
      </c>
      <c r="M59" s="46" t="str">
        <f ca="1">VLOOKUP($I59,OFFSET([2]enemies!$A$1,0,0,COUNTA([2]enemies!$A:$A),MATCH(M$1,[2]enemies!$1:$1,0)-MATCH($I$1,[2]enemies!$1:$1,0)+1),MATCH(M$1,[2]enemies!$1:$1,0)-MATCH($I$1,[2]enemies!$1:$1,0)+1,FALSE)</f>
        <v>dragon</v>
      </c>
      <c r="N59" s="46">
        <f ca="1">VLOOKUP($I59,OFFSET([2]enemies!$A$1,0,0,COUNTA([2]enemies!$A:$A),MATCH(N$1,[2]enemies!$1:$1,0)-MATCH($I$1,[2]enemies!$1:$1,0)+1),MATCH(N$1,[2]enemies!$1:$1,0)-MATCH($I$1,[2]enemies!$1:$1,0)+1,FALSE)</f>
        <v>15</v>
      </c>
      <c r="O59" s="33">
        <v>46</v>
      </c>
      <c r="P59" s="42">
        <v>1</v>
      </c>
      <c r="Q59" s="42">
        <v>1.3</v>
      </c>
      <c r="R59" s="43">
        <v>0</v>
      </c>
      <c r="S59" s="44" t="str">
        <f ca="1">VLOOKUP($T59,OFFSET([4]enemy_skill_sets!$B$1,0,0,COUNTA([4]enemy_skill_sets!$B:$B),MATCH(J$1,[4]enemy_skill_sets!$1:$1,0)-MATCH($T$1,[4]enemy_skill_sets!$1:$1,0)+2),MATCH(J$1,[4]enemy_skill_sets!$1:$1,0)-MATCH($T$1,[4]enemy_skill_sets!$1:$1,0)+2,FALSE)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" s="46">
        <f ca="1">VLOOKUP($I59,OFFSET([2]enemies!$A$1,0,0,COUNTA([2]enemies!$A:$A),MATCH(T$1,[2]enemies!$1:$1,0)-MATCH($I$1,[2]enemies!$1:$1,0)+1),MATCH(T$1,[2]enemies!$1:$1,0)-MATCH($I$1,[2]enemies!$1:$1,0)+1,FALSE)</f>
        <v>0</v>
      </c>
      <c r="U59" s="34">
        <v>0</v>
      </c>
      <c r="V59" s="34">
        <v>100</v>
      </c>
      <c r="W59" s="34">
        <v>0</v>
      </c>
      <c r="X59" s="46">
        <f ca="1">VLOOKUP($I59,OFFSET([2]enemies!$A$1,0,0,COUNTA([2]enemies!$A:$A),MATCH(X$1,[2]enemies!$1:$1,0)-MATCH($I$1,[2]enemies!$1:$1,0)+1),MATCH(X$1,[2]enemies!$1:$1,0)-MATCH($I$1,[2]enemies!$1:$1,0)+1,FALSE)</f>
        <v>2</v>
      </c>
      <c r="Y59" s="28">
        <v>43</v>
      </c>
      <c r="Z59" s="44" t="str">
        <f ca="1">IFERROR(VLOOKUP($Y59,OFFSET([3]characters!$A$1,0,0,COUNTA([3]characters!$A:$A),MATCH(Z$1,[3]characters!$1:$1,0)-MATCH("character_id",[3]characters!$1:$1,0)+1),MATCH(Z$1,[3]characters!$1:$1,0)-MATCH("character_id",[3]characters!$1:$1,0)+1,FALSE),"")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59" s="44">
        <f ca="1">IFERROR(VLOOKUP($Y59,OFFSET([3]characters!$A$1,0,0,COUNTA([3]characters!$A:$A),MATCH(AA$1,[3]characters!$1:$1,0)-MATCH("character_id",[3]characters!$1:$1,0)+1),MATCH(AA$1,[3]characters!$1:$1,0)-MATCH("character_id",[3]characters!$1:$1,0)+1,FALSE),"")</f>
        <v>2</v>
      </c>
      <c r="AB59" s="44" t="str">
        <f ca="1">IFERROR(VLOOKUP($Y59,OFFSET([3]characters!$A$1,0,0,COUNTA([3]characters!$A:$A),MATCH(AB$1,[3]characters!$1:$1,0)-MATCH("character_id",[3]characters!$1:$1,0)+1),MATCH(AB$1,[3]characters!$1:$1,0)-MATCH("character_id",[3]characters!$1:$1,0)+1,FALSE),"")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9" s="28">
        <v>5</v>
      </c>
      <c r="AD59" s="47">
        <f t="shared" ca="1" si="11"/>
        <v>2</v>
      </c>
      <c r="AE59" s="48">
        <v>15</v>
      </c>
      <c r="AF59" s="28">
        <v>0</v>
      </c>
      <c r="AG59" s="35">
        <v>0</v>
      </c>
      <c r="AH59" s="35">
        <v>0</v>
      </c>
      <c r="AI59" s="35">
        <v>0</v>
      </c>
      <c r="AJ59" s="35">
        <v>1</v>
      </c>
    </row>
    <row r="60" spans="1:36" ht="21" customHeight="1" x14ac:dyDescent="0.15">
      <c r="A60" s="17" t="str">
        <f t="shared" ca="1" si="7"/>
        <v>30004_3-4/45&lt;lv46&gt;s3</v>
      </c>
      <c r="B60" s="27">
        <v>30004</v>
      </c>
      <c r="C60" s="30">
        <v>3</v>
      </c>
      <c r="D60" s="16" t="str">
        <f t="shared" ca="1" si="10"/>
        <v>30004_3</v>
      </c>
      <c r="E60" s="44" t="str">
        <f ca="1">VLOOKUP($B60,OFFSET([1]quests!$A$1,0,0,COUNTA([1]quests!$A:$A),MATCH(E$1,[1]quests!$1:$1,0)-MATCH($B$1,[1]quests!$1:$1,0)+1),MATCH(E$1,[1]quests!$1:$1,0)-MATCH($B$1,[1]quests!$1:$1,0)+1,FALSE)</f>
        <v>危険な仲裁者</v>
      </c>
      <c r="F60" s="44" t="str">
        <f ca="1">VLOOKUP($D60,OFFSET([1]stages!$A$1,0,0,COUNTA([1]stages!$A:$A),MATCH(F$1,[1]stages!$2:$2,0)-MATCH($D$1,[1]stages!$2:$2,0)+1),MATCH(F$1,[1]stages!$2:$2,0)-MATCH($D$1,[1]stages!$2:$2,0)+1,FALSE)</f>
        <v xml:space="preserve">【超級】危険な仲裁者 </v>
      </c>
      <c r="G60" s="32">
        <v>4</v>
      </c>
      <c r="H60" s="31" t="s">
        <v>62</v>
      </c>
      <c r="I60" s="30">
        <v>45</v>
      </c>
      <c r="J60" s="46" t="str">
        <f ca="1">VLOOKUP($I60,OFFSET([2]enemies!$A$1,0,0,COUNTA([2]enemies!$A:$A),MATCH(J$1,[2]enemies!$1:$1,0)-MATCH($I$1,[2]enemies!$1:$1,0)+1),MATCH(J$1,[2]enemies!$1:$1,0)-MATCH($I$1,[2]enemies!$1:$1,0)+1,FALSE)</f>
        <v>ショウイン</v>
      </c>
      <c r="K60" s="46" t="str">
        <f ca="1">VLOOKUP($I60,OFFSET([2]enemies!$A$1,0,0,COUNTA([2]enemies!$A:$A),MATCH(K$1,[2]enemies!$1:$1,0)-MATCH($I$1,[2]enemies!$1:$1,0)+1),MATCH(K$1,[2]enemies!$1:$1,0)-MATCH($I$1,[2]enemies!$1:$1,0)+1,FALSE)</f>
        <v>blue</v>
      </c>
      <c r="L60" s="23" t="str">
        <f ca="1">VLOOKUP(I60,[3]characters!$A:$J,10,FALSE)</f>
        <v>Drop1N</v>
      </c>
      <c r="M60" s="46" t="str">
        <f ca="1">VLOOKUP($I60,OFFSET([2]enemies!$A$1,0,0,COUNTA([2]enemies!$A:$A),MATCH(M$1,[2]enemies!$1:$1,0)-MATCH($I$1,[2]enemies!$1:$1,0)+1),MATCH(M$1,[2]enemies!$1:$1,0)-MATCH($I$1,[2]enemies!$1:$1,0)+1,FALSE)</f>
        <v>animal</v>
      </c>
      <c r="N60" s="46">
        <f ca="1">VLOOKUP($I60,OFFSET([2]enemies!$A$1,0,0,COUNTA([2]enemies!$A:$A),MATCH(N$1,[2]enemies!$1:$1,0)-MATCH($I$1,[2]enemies!$1:$1,0)+1),MATCH(N$1,[2]enemies!$1:$1,0)-MATCH($I$1,[2]enemies!$1:$1,0)+1,FALSE)</f>
        <v>15</v>
      </c>
      <c r="O60" s="33">
        <v>46</v>
      </c>
      <c r="P60" s="42">
        <v>1</v>
      </c>
      <c r="Q60" s="42">
        <v>1.3</v>
      </c>
      <c r="R60" s="43">
        <v>0</v>
      </c>
      <c r="S60" s="44" t="str">
        <f ca="1">VLOOKUP($T60,OFFSET([4]enemy_skill_sets!$B$1,0,0,COUNTA([4]enemy_skill_sets!$B:$B),MATCH(J$1,[4]enemy_skill_sets!$1:$1,0)-MATCH($T$1,[4]enemy_skill_sets!$1:$1,0)+2),MATCH(J$1,[4]enemy_skill_sets!$1:$1,0)-MATCH($T$1,[4]enemy_skill_sets!$1:$1,0)+2,FALSE)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" s="46">
        <f ca="1">VLOOKUP($I60,OFFSET([2]enemies!$A$1,0,0,COUNTA([2]enemies!$A:$A),MATCH(T$1,[2]enemies!$1:$1,0)-MATCH($I$1,[2]enemies!$1:$1,0)+1),MATCH(T$1,[2]enemies!$1:$1,0)-MATCH($I$1,[2]enemies!$1:$1,0)+1,FALSE)</f>
        <v>0</v>
      </c>
      <c r="U60" s="34">
        <v>1</v>
      </c>
      <c r="V60" s="34">
        <v>100</v>
      </c>
      <c r="W60" s="34">
        <v>0</v>
      </c>
      <c r="X60" s="46">
        <f ca="1">VLOOKUP($I60,OFFSET([2]enemies!$A$1,0,0,COUNTA([2]enemies!$A:$A),MATCH(X$1,[2]enemies!$1:$1,0)-MATCH($I$1,[2]enemies!$1:$1,0)+1),MATCH(X$1,[2]enemies!$1:$1,0)-MATCH($I$1,[2]enemies!$1:$1,0)+1,FALSE)</f>
        <v>3</v>
      </c>
      <c r="Y60" s="28">
        <v>45</v>
      </c>
      <c r="Z60" s="44" t="str">
        <f ca="1">IFERROR(VLOOKUP($Y60,OFFSET([3]characters!$A$1,0,0,COUNTA([3]characters!$A:$A),MATCH(Z$1,[3]characters!$1:$1,0)-MATCH("character_id",[3]characters!$1:$1,0)+1),MATCH(Z$1,[3]characters!$1:$1,0)-MATCH("character_id",[3]characters!$1:$1,0)+1,FALSE),"")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60" s="44">
        <f ca="1">IFERROR(VLOOKUP($Y60,OFFSET([3]characters!$A$1,0,0,COUNTA([3]characters!$A:$A),MATCH(AA$1,[3]characters!$1:$1,0)-MATCH("character_id",[3]characters!$1:$1,0)+1),MATCH(AA$1,[3]characters!$1:$1,0)-MATCH("character_id",[3]characters!$1:$1,0)+1,FALSE),"")</f>
        <v>2</v>
      </c>
      <c r="AB60" s="44" t="str">
        <f ca="1">IFERROR(VLOOKUP($Y60,OFFSET([3]characters!$A$1,0,0,COUNTA([3]characters!$A:$A),MATCH(AB$1,[3]characters!$1:$1,0)-MATCH("character_id",[3]characters!$1:$1,0)+1),MATCH(AB$1,[3]characters!$1:$1,0)-MATCH("character_id",[3]characters!$1:$1,0)+1,FALSE),"")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0" s="28">
        <v>5</v>
      </c>
      <c r="AD60" s="47">
        <f t="shared" ca="1" si="11"/>
        <v>2</v>
      </c>
      <c r="AE60" s="48">
        <v>15</v>
      </c>
      <c r="AF60" s="28">
        <v>0</v>
      </c>
      <c r="AG60" s="35">
        <v>0</v>
      </c>
      <c r="AH60" s="35">
        <v>0</v>
      </c>
      <c r="AI60" s="35">
        <v>0</v>
      </c>
      <c r="AJ60" s="35">
        <v>1</v>
      </c>
    </row>
    <row r="61" spans="1:36" ht="21" customHeight="1" x14ac:dyDescent="0.15">
      <c r="A61" s="17" t="str">
        <f t="shared" ca="1" si="7"/>
        <v>30004_3-4/47&lt;lv46&gt;s1</v>
      </c>
      <c r="B61" s="27">
        <v>30004</v>
      </c>
      <c r="C61" s="30">
        <v>3</v>
      </c>
      <c r="D61" s="16" t="str">
        <f t="shared" ca="1" si="10"/>
        <v>30004_3</v>
      </c>
      <c r="E61" s="44" t="str">
        <f ca="1">VLOOKUP($B61,OFFSET([1]quests!$A$1,0,0,COUNTA([1]quests!$A:$A),MATCH(E$1,[1]quests!$1:$1,0)-MATCH($B$1,[1]quests!$1:$1,0)+1),MATCH(E$1,[1]quests!$1:$1,0)-MATCH($B$1,[1]quests!$1:$1,0)+1,FALSE)</f>
        <v>危険な仲裁者</v>
      </c>
      <c r="F61" s="44" t="str">
        <f ca="1">VLOOKUP($D61,OFFSET([1]stages!$A$1,0,0,COUNTA([1]stages!$A:$A),MATCH(F$1,[1]stages!$2:$2,0)-MATCH($D$1,[1]stages!$2:$2,0)+1),MATCH(F$1,[1]stages!$2:$2,0)-MATCH($D$1,[1]stages!$2:$2,0)+1,FALSE)</f>
        <v xml:space="preserve">【超級】危険な仲裁者 </v>
      </c>
      <c r="G61" s="32">
        <v>4</v>
      </c>
      <c r="H61" s="31" t="s">
        <v>62</v>
      </c>
      <c r="I61" s="30">
        <v>47</v>
      </c>
      <c r="J61" s="46" t="str">
        <f ca="1">VLOOKUP($I61,OFFSET([2]enemies!$A$1,0,0,COUNTA([2]enemies!$A:$A),MATCH(J$1,[2]enemies!$1:$1,0)-MATCH($I$1,[2]enemies!$1:$1,0)+1),MATCH(J$1,[2]enemies!$1:$1,0)-MATCH($I$1,[2]enemies!$1:$1,0)+1,FALSE)</f>
        <v>ヒロ</v>
      </c>
      <c r="K61" s="46" t="str">
        <f ca="1">VLOOKUP($I61,OFFSET([2]enemies!$A$1,0,0,COUNTA([2]enemies!$A:$A),MATCH(K$1,[2]enemies!$1:$1,0)-MATCH($I$1,[2]enemies!$1:$1,0)+1),MATCH(K$1,[2]enemies!$1:$1,0)-MATCH($I$1,[2]enemies!$1:$1,0)+1,FALSE)</f>
        <v>yellow</v>
      </c>
      <c r="L61" s="23" t="str">
        <f ca="1">VLOOKUP(I61,[3]characters!$A:$J,10,FALSE)</f>
        <v>Drop1N</v>
      </c>
      <c r="M61" s="46" t="str">
        <f ca="1">VLOOKUP($I61,OFFSET([2]enemies!$A$1,0,0,COUNTA([2]enemies!$A:$A),MATCH(M$1,[2]enemies!$1:$1,0)-MATCH($I$1,[2]enemies!$1:$1,0)+1),MATCH(M$1,[2]enemies!$1:$1,0)-MATCH($I$1,[2]enemies!$1:$1,0)+1,FALSE)</f>
        <v>animal</v>
      </c>
      <c r="N61" s="46">
        <f ca="1">VLOOKUP($I61,OFFSET([2]enemies!$A$1,0,0,COUNTA([2]enemies!$A:$A),MATCH(N$1,[2]enemies!$1:$1,0)-MATCH($I$1,[2]enemies!$1:$1,0)+1),MATCH(N$1,[2]enemies!$1:$1,0)-MATCH($I$1,[2]enemies!$1:$1,0)+1,FALSE)</f>
        <v>15</v>
      </c>
      <c r="O61" s="33">
        <v>46</v>
      </c>
      <c r="P61" s="42">
        <v>1</v>
      </c>
      <c r="Q61" s="42">
        <v>1.3</v>
      </c>
      <c r="R61" s="43">
        <v>0</v>
      </c>
      <c r="S61" s="44" t="str">
        <f ca="1">VLOOKUP($T61,OFFSET([4]enemy_skill_sets!$B$1,0,0,COUNTA([4]enemy_skill_sets!$B:$B),MATCH(J$1,[4]enemy_skill_sets!$1:$1,0)-MATCH($T$1,[4]enemy_skill_sets!$1:$1,0)+2),MATCH(J$1,[4]enemy_skill_sets!$1:$1,0)-MATCH($T$1,[4]enemy_skill_sets!$1:$1,0)+2,FALSE)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" s="46">
        <f ca="1">VLOOKUP($I61,OFFSET([2]enemies!$A$1,0,0,COUNTA([2]enemies!$A:$A),MATCH(T$1,[2]enemies!$1:$1,0)-MATCH($I$1,[2]enemies!$1:$1,0)+1),MATCH(T$1,[2]enemies!$1:$1,0)-MATCH($I$1,[2]enemies!$1:$1,0)+1,FALSE)</f>
        <v>0</v>
      </c>
      <c r="U61" s="34">
        <v>0</v>
      </c>
      <c r="V61" s="34">
        <v>20</v>
      </c>
      <c r="W61" s="34">
        <v>0</v>
      </c>
      <c r="X61" s="46">
        <f ca="1">VLOOKUP($I61,OFFSET([2]enemies!$A$1,0,0,COUNTA([2]enemies!$A:$A),MATCH(X$1,[2]enemies!$1:$1,0)-MATCH($I$1,[2]enemies!$1:$1,0)+1),MATCH(X$1,[2]enemies!$1:$1,0)-MATCH($I$1,[2]enemies!$1:$1,0)+1,FALSE)</f>
        <v>1</v>
      </c>
      <c r="Y61" s="28">
        <v>47</v>
      </c>
      <c r="Z61" s="44" t="str">
        <f ca="1">IFERROR(VLOOKUP($Y61,OFFSET([3]characters!$A$1,0,0,COUNTA([3]characters!$A:$A),MATCH(Z$1,[3]characters!$1:$1,0)-MATCH("character_id",[3]characters!$1:$1,0)+1),MATCH(Z$1,[3]characters!$1:$1,0)-MATCH("character_id",[3]characters!$1:$1,0)+1,FALSE),"")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61" s="44">
        <f ca="1">IFERROR(VLOOKUP($Y61,OFFSET([3]characters!$A$1,0,0,COUNTA([3]characters!$A:$A),MATCH(AA$1,[3]characters!$1:$1,0)-MATCH("character_id",[3]characters!$1:$1,0)+1),MATCH(AA$1,[3]characters!$1:$1,0)-MATCH("character_id",[3]characters!$1:$1,0)+1,FALSE),"")</f>
        <v>2</v>
      </c>
      <c r="AB61" s="44" t="str">
        <f ca="1">IFERROR(VLOOKUP($Y61,OFFSET([3]characters!$A$1,0,0,COUNTA([3]characters!$A:$A),MATCH(AB$1,[3]characters!$1:$1,0)-MATCH("character_id",[3]characters!$1:$1,0)+1),MATCH(AB$1,[3]characters!$1:$1,0)-MATCH("character_id",[3]characters!$1:$1,0)+1,FALSE),"")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1" s="28">
        <v>5</v>
      </c>
      <c r="AD61" s="47">
        <f t="shared" ca="1" si="11"/>
        <v>2</v>
      </c>
      <c r="AE61" s="48">
        <v>15</v>
      </c>
      <c r="AF61" s="28">
        <v>0</v>
      </c>
      <c r="AG61" s="35">
        <v>0</v>
      </c>
      <c r="AH61" s="35">
        <v>0</v>
      </c>
      <c r="AI61" s="35">
        <v>0</v>
      </c>
      <c r="AJ61" s="35">
        <v>1</v>
      </c>
    </row>
    <row r="62" spans="1:36" ht="21" customHeight="1" x14ac:dyDescent="0.15">
      <c r="A62" s="17" t="str">
        <f t="shared" ca="1" si="7"/>
        <v>30004_3-5/277&lt;lv53&gt;s2</v>
      </c>
      <c r="B62" s="27">
        <v>30004</v>
      </c>
      <c r="C62" s="30">
        <v>3</v>
      </c>
      <c r="D62" s="16" t="str">
        <f t="shared" ca="1" si="10"/>
        <v>30004_3</v>
      </c>
      <c r="E62" s="44" t="str">
        <f ca="1">VLOOKUP($B62,OFFSET([1]quests!$A$1,0,0,COUNTA([1]quests!$A:$A),MATCH(E$1,[1]quests!$1:$1,0)-MATCH($B$1,[1]quests!$1:$1,0)+1),MATCH(E$1,[1]quests!$1:$1,0)-MATCH($B$1,[1]quests!$1:$1,0)+1,FALSE)</f>
        <v>危険な仲裁者</v>
      </c>
      <c r="F62" s="44" t="str">
        <f ca="1">VLOOKUP($D62,OFFSET([1]stages!$A$1,0,0,COUNTA([1]stages!$A:$A),MATCH(F$1,[1]stages!$2:$2,0)-MATCH($D$1,[1]stages!$2:$2,0)+1),MATCH(F$1,[1]stages!$2:$2,0)-MATCH($D$1,[1]stages!$2:$2,0)+1,FALSE)</f>
        <v xml:space="preserve">【超級】危険な仲裁者 </v>
      </c>
      <c r="G62" s="32">
        <v>5</v>
      </c>
      <c r="H62" s="31" t="s">
        <v>63</v>
      </c>
      <c r="I62" s="30">
        <v>277</v>
      </c>
      <c r="J62" s="46" t="str">
        <f ca="1">VLOOKUP($I62,OFFSET([2]enemies!$A$1,0,0,COUNTA([2]enemies!$A:$A),MATCH(J$1,[2]enemies!$1:$1,0)-MATCH($I$1,[2]enemies!$1:$1,0)+1),MATCH(J$1,[2]enemies!$1:$1,0)-MATCH($I$1,[2]enemies!$1:$1,0)+1,FALSE)</f>
        <v>機拳恐慌 イリア</v>
      </c>
      <c r="K62" s="46" t="str">
        <f ca="1">VLOOKUP($I62,OFFSET([2]enemies!$A$1,0,0,COUNTA([2]enemies!$A:$A),MATCH(K$1,[2]enemies!$1:$1,0)-MATCH($I$1,[2]enemies!$1:$1,0)+1),MATCH(K$1,[2]enemies!$1:$1,0)-MATCH($I$1,[2]enemies!$1:$1,0)+1,FALSE)</f>
        <v>red</v>
      </c>
      <c r="L62" s="23" t="str">
        <f ca="1">VLOOKUP(I62,[3]characters!$A:$J,10,FALSE)</f>
        <v>Drop2N</v>
      </c>
      <c r="M62" s="46" t="str">
        <f ca="1">VLOOKUP($I62,OFFSET([2]enemies!$A$1,0,0,COUNTA([2]enemies!$A:$A),MATCH(M$1,[2]enemies!$1:$1,0)-MATCH($I$1,[2]enemies!$1:$1,0)+1),MATCH(M$1,[2]enemies!$1:$1,0)-MATCH($I$1,[2]enemies!$1:$1,0)+1,FALSE)</f>
        <v>human</v>
      </c>
      <c r="N62" s="46">
        <f ca="1">VLOOKUP($I62,OFFSET([2]enemies!$A$1,0,0,COUNTA([2]enemies!$A:$A),MATCH(N$1,[2]enemies!$1:$1,0)-MATCH($I$1,[2]enemies!$1:$1,0)+1),MATCH(N$1,[2]enemies!$1:$1,0)-MATCH($I$1,[2]enemies!$1:$1,0)+1,FALSE)</f>
        <v>60</v>
      </c>
      <c r="O62" s="33">
        <v>53</v>
      </c>
      <c r="P62" s="42">
        <v>3.5</v>
      </c>
      <c r="Q62" s="42">
        <v>1.1499999999999999</v>
      </c>
      <c r="R62" s="43">
        <v>0</v>
      </c>
      <c r="S62" s="44" t="str">
        <f ca="1">VLOOKUP($T62,OFFSET([4]enemy_skill_sets!$B$1,0,0,COUNTA([4]enemy_skill_sets!$B:$B),MATCH(J$1,[4]enemy_skill_sets!$1:$1,0)-MATCH($T$1,[4]enemy_skill_sets!$1:$1,0)+2),MATCH(J$1,[4]enemy_skill_sets!$1:$1,0)-MATCH($T$1,[4]enemy_skill_sets!$1:$1,0)+2,FALSE)</f>
        <v>攻撃頻度が1ターンにUP</v>
      </c>
      <c r="T62" s="46">
        <f ca="1">VLOOKUP($I62,OFFSET([2]enemies!$A$1,0,0,COUNTA([2]enemies!$A:$A),MATCH(T$1,[2]enemies!$1:$1,0)-MATCH($I$1,[2]enemies!$1:$1,0)+1),MATCH(T$1,[2]enemies!$1:$1,0)-MATCH($I$1,[2]enemies!$1:$1,0)+1,FALSE)</f>
        <v>277</v>
      </c>
      <c r="U62" s="34">
        <v>1</v>
      </c>
      <c r="V62" s="34">
        <v>100</v>
      </c>
      <c r="W62" s="34">
        <v>1</v>
      </c>
      <c r="X62" s="46">
        <f ca="1">VLOOKUP($I62,OFFSET([2]enemies!$A$1,0,0,COUNTA([2]enemies!$A:$A),MATCH(X$1,[2]enemies!$1:$1,0)-MATCH($I$1,[2]enemies!$1:$1,0)+1),MATCH(X$1,[2]enemies!$1:$1,0)-MATCH($I$1,[2]enemies!$1:$1,0)+1,FALSE)</f>
        <v>2</v>
      </c>
      <c r="Y62" s="28">
        <v>276</v>
      </c>
      <c r="Z62" s="44" t="str">
        <f ca="1">IFERROR(VLOOKUP($Y62,OFFSET([3]characters!$A$1,0,0,COUNTA([3]characters!$A:$A),MATCH(Z$1,[3]characters!$1:$1,0)-MATCH("character_id",[3]characters!$1:$1,0)+1),MATCH(Z$1,[3]characters!$1:$1,0)-MATCH("character_id",[3]characters!$1:$1,0)+1,FALSE),"")</f>
        <v>機拳のイリア</v>
      </c>
      <c r="AA62" s="44">
        <f ca="1">IFERROR(VLOOKUP($Y62,OFFSET([3]characters!$A$1,0,0,COUNTA([3]characters!$A:$A),MATCH(AA$1,[3]characters!$1:$1,0)-MATCH("character_id",[3]characters!$1:$1,0)+1),MATCH(AA$1,[3]characters!$1:$1,0)-MATCH("character_id",[3]characters!$1:$1,0)+1,FALSE),"")</f>
        <v>4</v>
      </c>
      <c r="AB62" s="44" t="str">
        <f ca="1">IFERROR(VLOOKUP($Y62,OFFSET([3]characters!$A$1,0,0,COUNTA([3]characters!$A:$A),MATCH(AB$1,[3]characters!$1:$1,0)-MATCH("character_id",[3]characters!$1:$1,0)+1),MATCH(AB$1,[3]characters!$1:$1,0)-MATCH("character_id",[3]characters!$1:$1,0)+1,FALSE),"")</f>
        <v>Drop2N</v>
      </c>
      <c r="AC62" s="28">
        <v>1</v>
      </c>
      <c r="AD62" s="47">
        <f t="shared" ca="1" si="11"/>
        <v>4</v>
      </c>
      <c r="AE62" s="50">
        <v>100</v>
      </c>
      <c r="AF62" s="28">
        <v>0</v>
      </c>
      <c r="AG62" s="35">
        <v>0</v>
      </c>
      <c r="AH62" s="35">
        <v>0</v>
      </c>
      <c r="AI62" s="35">
        <v>0</v>
      </c>
      <c r="AJ62" s="35">
        <v>1</v>
      </c>
    </row>
    <row r="63" spans="1:36" ht="21" customHeight="1" x14ac:dyDescent="0.15">
      <c r="A63" s="36"/>
      <c r="B63" s="37"/>
      <c r="C63" s="37"/>
      <c r="D63" s="38"/>
      <c r="E63" s="37"/>
      <c r="F63" s="37"/>
      <c r="G63" s="37"/>
      <c r="H63" s="37"/>
      <c r="I63" s="39"/>
      <c r="J63" s="37"/>
      <c r="K63" s="37"/>
      <c r="L63" s="37"/>
      <c r="M63" s="37"/>
      <c r="N63" s="37"/>
      <c r="O63" s="37"/>
      <c r="S63" s="37"/>
      <c r="T63" s="37"/>
      <c r="U63" s="37"/>
      <c r="V63" s="37"/>
      <c r="W63" s="37"/>
      <c r="X63" s="37"/>
      <c r="Y63" s="37"/>
      <c r="Z63" s="40"/>
      <c r="AA63" s="38"/>
      <c r="AB63" s="38"/>
      <c r="AC63" s="37"/>
      <c r="AD63" s="37"/>
      <c r="AE63" s="37"/>
      <c r="AF63" s="37"/>
      <c r="AG63" s="37"/>
      <c r="AH63" s="37"/>
      <c r="AI63" s="37"/>
      <c r="AJ63" s="37"/>
    </row>
    <row r="64" spans="1:36" ht="21" customHeight="1" x14ac:dyDescent="0.15">
      <c r="A64" s="36"/>
      <c r="B64" s="37"/>
      <c r="C64" s="37"/>
      <c r="D64" s="38"/>
      <c r="E64" s="37"/>
      <c r="F64" s="37"/>
      <c r="G64" s="37"/>
      <c r="H64" s="37"/>
      <c r="I64" s="39"/>
      <c r="J64" s="37"/>
      <c r="K64" s="37"/>
      <c r="L64" s="37"/>
      <c r="M64" s="37"/>
      <c r="N64" s="37"/>
      <c r="O64" s="37"/>
      <c r="S64" s="37"/>
      <c r="T64" s="37"/>
      <c r="U64" s="37"/>
      <c r="V64" s="37"/>
      <c r="W64" s="37"/>
      <c r="X64" s="37"/>
      <c r="Y64" s="37"/>
      <c r="Z64" s="40"/>
      <c r="AA64" s="38"/>
      <c r="AB64" s="38"/>
      <c r="AC64" s="37"/>
      <c r="AD64" s="37"/>
      <c r="AE64" s="37"/>
      <c r="AF64" s="37"/>
      <c r="AG64" s="37"/>
      <c r="AH64" s="37"/>
      <c r="AI64" s="37"/>
      <c r="AJ64" s="37"/>
    </row>
    <row r="65" spans="1:36" ht="21" customHeight="1" x14ac:dyDescent="0.15">
      <c r="A65" s="36"/>
      <c r="B65" s="37"/>
      <c r="C65" s="37"/>
      <c r="D65" s="38"/>
      <c r="E65" s="37"/>
      <c r="F65" s="37"/>
      <c r="G65" s="37"/>
      <c r="H65" s="37"/>
      <c r="I65" s="39"/>
      <c r="J65" s="37"/>
      <c r="K65" s="37"/>
      <c r="L65" s="37"/>
      <c r="M65" s="37"/>
      <c r="N65" s="37"/>
      <c r="O65" s="37"/>
      <c r="S65" s="37"/>
      <c r="T65" s="37"/>
      <c r="U65" s="37"/>
      <c r="V65" s="37"/>
      <c r="W65" s="37"/>
      <c r="X65" s="37"/>
      <c r="Y65" s="37"/>
      <c r="Z65" s="40"/>
      <c r="AA65" s="38"/>
      <c r="AB65" s="38"/>
      <c r="AC65" s="37"/>
      <c r="AD65" s="37"/>
      <c r="AE65" s="37"/>
      <c r="AF65" s="37"/>
      <c r="AG65" s="37"/>
      <c r="AH65" s="37"/>
      <c r="AI65" s="37"/>
      <c r="AJ65" s="37"/>
    </row>
    <row r="66" spans="1:36" ht="21" customHeight="1" x14ac:dyDescent="0.15">
      <c r="A66" s="36"/>
      <c r="B66" s="37"/>
      <c r="C66" s="37"/>
      <c r="D66" s="38"/>
      <c r="E66" s="37"/>
      <c r="F66" s="37"/>
      <c r="G66" s="37"/>
      <c r="H66" s="37"/>
      <c r="I66" s="39"/>
      <c r="J66" s="37"/>
      <c r="K66" s="37"/>
      <c r="L66" s="37"/>
      <c r="M66" s="37"/>
      <c r="N66" s="37"/>
      <c r="O66" s="37"/>
      <c r="S66" s="37"/>
      <c r="T66" s="37"/>
      <c r="U66" s="37"/>
      <c r="V66" s="37"/>
      <c r="W66" s="37"/>
      <c r="X66" s="37"/>
      <c r="Y66" s="37"/>
      <c r="Z66" s="40"/>
      <c r="AA66" s="38"/>
      <c r="AB66" s="38"/>
      <c r="AC66" s="37"/>
      <c r="AD66" s="37"/>
      <c r="AE66" s="37"/>
      <c r="AF66" s="37"/>
      <c r="AG66" s="37"/>
      <c r="AH66" s="37"/>
      <c r="AI66" s="37"/>
      <c r="AJ66" s="37"/>
    </row>
    <row r="67" spans="1:36" ht="21" customHeight="1" x14ac:dyDescent="0.15">
      <c r="A67" s="36"/>
      <c r="B67" s="37"/>
      <c r="C67" s="37"/>
      <c r="D67" s="38"/>
      <c r="E67" s="37"/>
      <c r="F67" s="37"/>
      <c r="G67" s="37"/>
      <c r="H67" s="37"/>
      <c r="I67" s="39"/>
      <c r="J67" s="37"/>
      <c r="K67" s="37"/>
      <c r="L67" s="37"/>
      <c r="M67" s="37"/>
      <c r="N67" s="37"/>
      <c r="O67" s="37"/>
      <c r="S67" s="37"/>
      <c r="T67" s="37"/>
      <c r="U67" s="37"/>
      <c r="V67" s="37"/>
      <c r="W67" s="37"/>
      <c r="X67" s="37"/>
      <c r="Y67" s="37"/>
      <c r="Z67" s="40"/>
      <c r="AA67" s="38"/>
      <c r="AB67" s="38"/>
      <c r="AC67" s="37"/>
      <c r="AD67" s="37"/>
      <c r="AE67" s="37"/>
      <c r="AF67" s="37"/>
      <c r="AG67" s="37"/>
      <c r="AH67" s="37"/>
      <c r="AI67" s="37"/>
      <c r="AJ67" s="37"/>
    </row>
    <row r="68" spans="1:36" ht="21" customHeight="1" x14ac:dyDescent="0.15">
      <c r="A68" s="36"/>
      <c r="B68" s="37"/>
      <c r="C68" s="37"/>
      <c r="D68" s="38"/>
      <c r="E68" s="37"/>
      <c r="F68" s="37"/>
      <c r="G68" s="37"/>
      <c r="H68" s="37"/>
      <c r="I68" s="39"/>
      <c r="J68" s="37"/>
      <c r="K68" s="37"/>
      <c r="L68" s="37"/>
      <c r="M68" s="37"/>
      <c r="N68" s="37"/>
      <c r="O68" s="37"/>
      <c r="S68" s="37"/>
      <c r="T68" s="37"/>
      <c r="U68" s="37"/>
      <c r="V68" s="37"/>
      <c r="W68" s="37"/>
      <c r="X68" s="37"/>
      <c r="Y68" s="37"/>
      <c r="Z68" s="40"/>
      <c r="AA68" s="38"/>
      <c r="AB68" s="38"/>
      <c r="AC68" s="37"/>
      <c r="AD68" s="37"/>
      <c r="AE68" s="37"/>
      <c r="AF68" s="37"/>
      <c r="AG68" s="37"/>
      <c r="AH68" s="37"/>
      <c r="AI68" s="37"/>
      <c r="AJ68" s="37"/>
    </row>
    <row r="69" spans="1:36" ht="21" customHeight="1" x14ac:dyDescent="0.15">
      <c r="A69" s="36"/>
      <c r="B69" s="37"/>
      <c r="C69" s="37"/>
      <c r="D69" s="38"/>
      <c r="E69" s="37"/>
      <c r="F69" s="37"/>
      <c r="G69" s="37"/>
      <c r="H69" s="37"/>
      <c r="I69" s="39"/>
      <c r="J69" s="37"/>
      <c r="K69" s="37"/>
      <c r="L69" s="37"/>
      <c r="M69" s="37"/>
      <c r="N69" s="37"/>
      <c r="O69" s="37"/>
      <c r="S69" s="37"/>
      <c r="T69" s="37"/>
      <c r="U69" s="37"/>
      <c r="V69" s="37"/>
      <c r="W69" s="37"/>
      <c r="X69" s="37"/>
      <c r="Y69" s="37"/>
      <c r="Z69" s="40"/>
      <c r="AA69" s="38"/>
      <c r="AB69" s="38"/>
      <c r="AC69" s="37"/>
      <c r="AD69" s="37"/>
      <c r="AE69" s="37"/>
      <c r="AF69" s="37"/>
      <c r="AG69" s="37"/>
      <c r="AH69" s="37"/>
      <c r="AI69" s="37"/>
      <c r="AJ69" s="37"/>
    </row>
    <row r="70" spans="1:36" ht="21" customHeight="1" x14ac:dyDescent="0.15">
      <c r="A70" s="36"/>
      <c r="B70" s="37"/>
      <c r="C70" s="37"/>
      <c r="D70" s="38"/>
      <c r="E70" s="37"/>
      <c r="F70" s="37"/>
      <c r="G70" s="37"/>
      <c r="H70" s="37"/>
      <c r="I70" s="39"/>
      <c r="J70" s="37"/>
      <c r="K70" s="37"/>
      <c r="L70" s="37"/>
      <c r="M70" s="37"/>
      <c r="N70" s="37"/>
      <c r="O70" s="37"/>
      <c r="S70" s="37"/>
      <c r="T70" s="37"/>
      <c r="U70" s="37"/>
      <c r="V70" s="37"/>
      <c r="W70" s="37"/>
      <c r="X70" s="37"/>
      <c r="Y70" s="37"/>
      <c r="Z70" s="40"/>
      <c r="AA70" s="38"/>
      <c r="AB70" s="38"/>
      <c r="AC70" s="37"/>
      <c r="AD70" s="37"/>
      <c r="AE70" s="37"/>
      <c r="AF70" s="37"/>
      <c r="AG70" s="37"/>
      <c r="AH70" s="37"/>
      <c r="AI70" s="37"/>
      <c r="AJ70" s="37"/>
    </row>
    <row r="71" spans="1:36" ht="21" customHeight="1" x14ac:dyDescent="0.15">
      <c r="A71" s="36"/>
      <c r="B71" s="37"/>
      <c r="C71" s="37"/>
      <c r="D71" s="38"/>
      <c r="E71" s="37"/>
      <c r="F71" s="37"/>
      <c r="G71" s="37"/>
      <c r="H71" s="37"/>
      <c r="I71" s="39"/>
      <c r="J71" s="37"/>
      <c r="K71" s="37"/>
      <c r="L71" s="37"/>
      <c r="M71" s="37"/>
      <c r="N71" s="37"/>
      <c r="O71" s="37"/>
      <c r="S71" s="37"/>
      <c r="T71" s="37"/>
      <c r="U71" s="37"/>
      <c r="V71" s="37"/>
      <c r="W71" s="37"/>
      <c r="X71" s="37"/>
      <c r="Y71" s="37"/>
      <c r="Z71" s="40"/>
      <c r="AA71" s="38"/>
      <c r="AB71" s="38"/>
      <c r="AC71" s="37"/>
      <c r="AD71" s="37"/>
      <c r="AE71" s="37"/>
      <c r="AF71" s="37"/>
      <c r="AG71" s="37"/>
      <c r="AH71" s="37"/>
      <c r="AI71" s="37"/>
      <c r="AJ71" s="37"/>
    </row>
    <row r="72" spans="1:36" ht="21" customHeight="1" x14ac:dyDescent="0.15">
      <c r="A72" s="36"/>
      <c r="B72" s="37"/>
      <c r="C72" s="37"/>
      <c r="D72" s="38"/>
      <c r="E72" s="37"/>
      <c r="F72" s="37"/>
      <c r="G72" s="37"/>
      <c r="H72" s="37"/>
      <c r="I72" s="39"/>
      <c r="J72" s="37"/>
      <c r="K72" s="37"/>
      <c r="L72" s="37"/>
      <c r="M72" s="37"/>
      <c r="N72" s="37"/>
      <c r="O72" s="37"/>
      <c r="S72" s="37"/>
      <c r="T72" s="37"/>
      <c r="U72" s="37"/>
      <c r="V72" s="37"/>
      <c r="W72" s="37"/>
      <c r="X72" s="37"/>
      <c r="Y72" s="37"/>
      <c r="Z72" s="40"/>
      <c r="AA72" s="38"/>
      <c r="AB72" s="38"/>
      <c r="AC72" s="37"/>
      <c r="AD72" s="37"/>
      <c r="AE72" s="37"/>
      <c r="AF72" s="37"/>
      <c r="AG72" s="37"/>
      <c r="AH72" s="37"/>
      <c r="AI72" s="37"/>
      <c r="AJ72" s="37"/>
    </row>
    <row r="73" spans="1:36" ht="21" customHeight="1" x14ac:dyDescent="0.15">
      <c r="A73" s="36"/>
      <c r="B73" s="37"/>
      <c r="C73" s="37"/>
      <c r="D73" s="38"/>
      <c r="E73" s="37"/>
      <c r="F73" s="37"/>
      <c r="G73" s="37"/>
      <c r="H73" s="37"/>
      <c r="I73" s="39"/>
      <c r="J73" s="37"/>
      <c r="K73" s="37"/>
      <c r="L73" s="37"/>
      <c r="M73" s="37"/>
      <c r="N73" s="37"/>
      <c r="O73" s="37"/>
      <c r="S73" s="37"/>
      <c r="T73" s="37"/>
      <c r="U73" s="37"/>
      <c r="V73" s="37"/>
      <c r="W73" s="37"/>
      <c r="X73" s="37"/>
      <c r="Y73" s="37"/>
      <c r="Z73" s="40"/>
      <c r="AA73" s="38"/>
      <c r="AB73" s="38"/>
      <c r="AC73" s="37"/>
      <c r="AD73" s="37"/>
      <c r="AE73" s="37"/>
      <c r="AF73" s="37"/>
      <c r="AG73" s="37"/>
      <c r="AH73" s="37"/>
      <c r="AI73" s="37"/>
      <c r="AJ73" s="37"/>
    </row>
    <row r="74" spans="1:36" ht="21" customHeight="1" x14ac:dyDescent="0.15">
      <c r="A74" s="36"/>
      <c r="B74" s="37"/>
      <c r="C74" s="37"/>
      <c r="D74" s="38"/>
      <c r="E74" s="37"/>
      <c r="F74" s="37"/>
      <c r="G74" s="37"/>
      <c r="H74" s="37"/>
      <c r="I74" s="39"/>
      <c r="J74" s="37"/>
      <c r="K74" s="37"/>
      <c r="L74" s="37"/>
      <c r="M74" s="37"/>
      <c r="N74" s="37"/>
      <c r="O74" s="37"/>
      <c r="S74" s="37"/>
      <c r="T74" s="37"/>
      <c r="U74" s="37"/>
      <c r="V74" s="37"/>
      <c r="W74" s="37"/>
      <c r="X74" s="37"/>
      <c r="Y74" s="37"/>
      <c r="Z74" s="40"/>
      <c r="AA74" s="38"/>
      <c r="AB74" s="38"/>
      <c r="AC74" s="37"/>
      <c r="AD74" s="37"/>
      <c r="AE74" s="37"/>
      <c r="AF74" s="37"/>
      <c r="AG74" s="37"/>
      <c r="AH74" s="37"/>
      <c r="AI74" s="37"/>
      <c r="AJ74" s="37"/>
    </row>
    <row r="75" spans="1:36" ht="21" customHeight="1" x14ac:dyDescent="0.15">
      <c r="A75" s="36"/>
      <c r="B75" s="37"/>
      <c r="C75" s="37"/>
      <c r="D75" s="38"/>
      <c r="E75" s="37"/>
      <c r="F75" s="37"/>
      <c r="G75" s="37"/>
      <c r="H75" s="37"/>
      <c r="I75" s="39"/>
      <c r="J75" s="37"/>
      <c r="K75" s="37"/>
      <c r="L75" s="37"/>
      <c r="M75" s="37"/>
      <c r="N75" s="37"/>
      <c r="O75" s="37"/>
      <c r="S75" s="37"/>
      <c r="T75" s="37"/>
      <c r="U75" s="37"/>
      <c r="V75" s="37"/>
      <c r="W75" s="37"/>
      <c r="X75" s="37"/>
      <c r="Y75" s="37"/>
      <c r="Z75" s="40"/>
      <c r="AA75" s="38"/>
      <c r="AB75" s="38"/>
      <c r="AC75" s="37"/>
      <c r="AD75" s="37"/>
      <c r="AE75" s="37"/>
      <c r="AF75" s="37"/>
      <c r="AG75" s="37"/>
      <c r="AH75" s="37"/>
      <c r="AI75" s="37"/>
      <c r="AJ75" s="37"/>
    </row>
    <row r="76" spans="1:36" ht="21" customHeight="1" x14ac:dyDescent="0.15">
      <c r="A76" s="36"/>
      <c r="B76" s="37"/>
      <c r="C76" s="37"/>
      <c r="D76" s="38"/>
      <c r="E76" s="37"/>
      <c r="F76" s="37"/>
      <c r="G76" s="37"/>
      <c r="H76" s="37"/>
      <c r="I76" s="39"/>
      <c r="J76" s="37"/>
      <c r="K76" s="37"/>
      <c r="L76" s="37"/>
      <c r="M76" s="37"/>
      <c r="N76" s="37"/>
      <c r="O76" s="37"/>
      <c r="S76" s="37"/>
      <c r="T76" s="37"/>
      <c r="U76" s="37"/>
      <c r="V76" s="37"/>
      <c r="W76" s="37"/>
      <c r="X76" s="37"/>
      <c r="Y76" s="37"/>
      <c r="Z76" s="40"/>
      <c r="AA76" s="38"/>
      <c r="AB76" s="38"/>
      <c r="AC76" s="37"/>
      <c r="AD76" s="37"/>
      <c r="AE76" s="37"/>
      <c r="AF76" s="37"/>
      <c r="AG76" s="37"/>
      <c r="AH76" s="37"/>
      <c r="AI76" s="37"/>
      <c r="AJ76" s="37"/>
    </row>
    <row r="77" spans="1:36" ht="21" customHeight="1" x14ac:dyDescent="0.15">
      <c r="A77" s="36"/>
      <c r="B77" s="37"/>
      <c r="C77" s="37"/>
      <c r="D77" s="38"/>
      <c r="E77" s="37"/>
      <c r="F77" s="37"/>
      <c r="G77" s="37"/>
      <c r="H77" s="37"/>
      <c r="I77" s="39"/>
      <c r="J77" s="37"/>
      <c r="K77" s="37"/>
      <c r="L77" s="37"/>
      <c r="M77" s="37"/>
      <c r="N77" s="37"/>
      <c r="O77" s="37"/>
      <c r="S77" s="37"/>
      <c r="T77" s="37"/>
      <c r="U77" s="37"/>
      <c r="V77" s="37"/>
      <c r="W77" s="37"/>
      <c r="X77" s="37"/>
      <c r="Y77" s="37"/>
      <c r="Z77" s="40"/>
      <c r="AA77" s="38"/>
      <c r="AB77" s="38"/>
      <c r="AC77" s="37"/>
      <c r="AD77" s="37"/>
      <c r="AE77" s="37"/>
      <c r="AF77" s="37"/>
      <c r="AG77" s="37"/>
      <c r="AH77" s="37"/>
      <c r="AI77" s="37"/>
      <c r="AJ77" s="37"/>
    </row>
    <row r="78" spans="1:36" ht="21" customHeight="1" x14ac:dyDescent="0.15">
      <c r="A78" s="36"/>
      <c r="B78" s="37"/>
      <c r="C78" s="37"/>
      <c r="D78" s="38"/>
      <c r="E78" s="37"/>
      <c r="F78" s="37"/>
      <c r="G78" s="37"/>
      <c r="H78" s="37"/>
      <c r="I78" s="39"/>
      <c r="J78" s="37"/>
      <c r="K78" s="37"/>
      <c r="L78" s="37"/>
      <c r="M78" s="37"/>
      <c r="N78" s="37"/>
      <c r="O78" s="37"/>
      <c r="S78" s="37"/>
      <c r="T78" s="37"/>
      <c r="U78" s="37"/>
      <c r="V78" s="37"/>
      <c r="W78" s="37"/>
      <c r="X78" s="37"/>
      <c r="Y78" s="37"/>
      <c r="Z78" s="40"/>
      <c r="AA78" s="38"/>
      <c r="AB78" s="38"/>
      <c r="AC78" s="37"/>
      <c r="AD78" s="37"/>
      <c r="AE78" s="37"/>
      <c r="AF78" s="37"/>
      <c r="AG78" s="37"/>
      <c r="AH78" s="37"/>
      <c r="AI78" s="37"/>
      <c r="AJ78" s="37"/>
    </row>
    <row r="79" spans="1:36" ht="21" customHeight="1" x14ac:dyDescent="0.15">
      <c r="A79" s="36"/>
      <c r="B79" s="37"/>
      <c r="C79" s="37"/>
      <c r="D79" s="38"/>
      <c r="E79" s="37"/>
      <c r="F79" s="37"/>
      <c r="G79" s="37"/>
      <c r="H79" s="37"/>
      <c r="I79" s="39"/>
      <c r="J79" s="37"/>
      <c r="K79" s="37"/>
      <c r="L79" s="37"/>
      <c r="M79" s="37"/>
      <c r="N79" s="37"/>
      <c r="O79" s="37"/>
      <c r="S79" s="37"/>
      <c r="T79" s="37"/>
      <c r="U79" s="37"/>
      <c r="V79" s="37"/>
      <c r="W79" s="37"/>
      <c r="X79" s="37"/>
      <c r="Y79" s="37"/>
      <c r="Z79" s="40"/>
      <c r="AA79" s="38"/>
      <c r="AB79" s="38"/>
      <c r="AC79" s="37"/>
      <c r="AD79" s="37"/>
      <c r="AE79" s="37"/>
      <c r="AF79" s="37"/>
      <c r="AG79" s="37"/>
      <c r="AH79" s="37"/>
      <c r="AI79" s="37"/>
      <c r="AJ79" s="37"/>
    </row>
    <row r="80" spans="1:36" ht="21" customHeight="1" x14ac:dyDescent="0.15">
      <c r="A80" s="36"/>
      <c r="B80" s="37"/>
      <c r="C80" s="37"/>
      <c r="D80" s="38"/>
      <c r="E80" s="37"/>
      <c r="F80" s="37"/>
      <c r="G80" s="37"/>
      <c r="H80" s="37"/>
      <c r="I80" s="39"/>
      <c r="J80" s="37"/>
      <c r="K80" s="37"/>
      <c r="L80" s="37"/>
      <c r="M80" s="37"/>
      <c r="N80" s="37"/>
      <c r="O80" s="37"/>
      <c r="S80" s="37"/>
      <c r="T80" s="37"/>
      <c r="U80" s="37"/>
      <c r="V80" s="37"/>
      <c r="W80" s="37"/>
      <c r="X80" s="37"/>
      <c r="Y80" s="37"/>
      <c r="Z80" s="40"/>
      <c r="AA80" s="38"/>
      <c r="AB80" s="38"/>
      <c r="AC80" s="37"/>
      <c r="AD80" s="37"/>
      <c r="AE80" s="37"/>
      <c r="AF80" s="37"/>
      <c r="AG80" s="37"/>
      <c r="AH80" s="37"/>
      <c r="AI80" s="37"/>
      <c r="AJ80" s="37"/>
    </row>
    <row r="81" spans="1:36" ht="21" customHeight="1" x14ac:dyDescent="0.15">
      <c r="A81" s="36"/>
      <c r="B81" s="37"/>
      <c r="C81" s="37"/>
      <c r="D81" s="38"/>
      <c r="E81" s="37"/>
      <c r="F81" s="37"/>
      <c r="G81" s="37"/>
      <c r="H81" s="37"/>
      <c r="I81" s="39"/>
      <c r="J81" s="37"/>
      <c r="K81" s="37"/>
      <c r="L81" s="37"/>
      <c r="M81" s="37"/>
      <c r="N81" s="37"/>
      <c r="O81" s="37"/>
      <c r="S81" s="37"/>
      <c r="T81" s="37"/>
      <c r="U81" s="37"/>
      <c r="V81" s="37"/>
      <c r="W81" s="37"/>
      <c r="X81" s="37"/>
      <c r="Y81" s="37"/>
      <c r="Z81" s="40"/>
      <c r="AA81" s="38"/>
      <c r="AB81" s="38"/>
      <c r="AC81" s="37"/>
      <c r="AD81" s="37"/>
      <c r="AE81" s="37"/>
      <c r="AF81" s="37"/>
      <c r="AG81" s="37"/>
      <c r="AH81" s="37"/>
      <c r="AI81" s="37"/>
      <c r="AJ81" s="37"/>
    </row>
    <row r="82" spans="1:36" ht="21" customHeight="1" x14ac:dyDescent="0.15">
      <c r="A82" s="36"/>
      <c r="B82" s="37"/>
      <c r="C82" s="37"/>
      <c r="D82" s="38"/>
      <c r="E82" s="37"/>
      <c r="F82" s="37"/>
      <c r="G82" s="37"/>
      <c r="H82" s="37"/>
      <c r="I82" s="39"/>
      <c r="J82" s="37"/>
      <c r="K82" s="37"/>
      <c r="L82" s="37"/>
      <c r="M82" s="37"/>
      <c r="N82" s="37"/>
      <c r="O82" s="37"/>
      <c r="S82" s="37"/>
      <c r="T82" s="37"/>
      <c r="U82" s="37"/>
      <c r="V82" s="37"/>
      <c r="W82" s="37"/>
      <c r="X82" s="37"/>
      <c r="Y82" s="37"/>
      <c r="Z82" s="40"/>
      <c r="AA82" s="38"/>
      <c r="AB82" s="38"/>
      <c r="AC82" s="37"/>
      <c r="AD82" s="37"/>
      <c r="AE82" s="37"/>
      <c r="AF82" s="37"/>
      <c r="AG82" s="37"/>
      <c r="AH82" s="37"/>
      <c r="AI82" s="37"/>
      <c r="AJ82" s="37"/>
    </row>
    <row r="83" spans="1:36" ht="21" customHeight="1" x14ac:dyDescent="0.15">
      <c r="A83" s="36"/>
      <c r="B83" s="37"/>
      <c r="C83" s="37"/>
      <c r="D83" s="38"/>
      <c r="E83" s="37"/>
      <c r="F83" s="37"/>
      <c r="G83" s="37"/>
      <c r="H83" s="37"/>
      <c r="I83" s="39"/>
      <c r="J83" s="37"/>
      <c r="K83" s="37"/>
      <c r="L83" s="37"/>
      <c r="M83" s="37"/>
      <c r="N83" s="37"/>
      <c r="O83" s="37"/>
      <c r="S83" s="37"/>
      <c r="T83" s="37"/>
      <c r="U83" s="37"/>
      <c r="V83" s="37"/>
      <c r="W83" s="37"/>
      <c r="X83" s="37"/>
      <c r="Y83" s="37"/>
      <c r="Z83" s="40"/>
      <c r="AA83" s="38"/>
      <c r="AB83" s="38"/>
      <c r="AC83" s="37"/>
      <c r="AD83" s="37"/>
      <c r="AE83" s="37"/>
      <c r="AF83" s="37"/>
      <c r="AG83" s="37"/>
      <c r="AH83" s="37"/>
      <c r="AI83" s="37"/>
      <c r="AJ83" s="37"/>
    </row>
    <row r="84" spans="1:36" ht="21" customHeight="1" x14ac:dyDescent="0.15">
      <c r="A84" s="36"/>
      <c r="B84" s="37"/>
      <c r="C84" s="37"/>
      <c r="D84" s="38"/>
      <c r="E84" s="37"/>
      <c r="F84" s="37"/>
      <c r="G84" s="37"/>
      <c r="H84" s="37"/>
      <c r="I84" s="39"/>
      <c r="J84" s="37"/>
      <c r="K84" s="37"/>
      <c r="L84" s="37"/>
      <c r="M84" s="37"/>
      <c r="N84" s="37"/>
      <c r="O84" s="37"/>
      <c r="S84" s="37"/>
      <c r="T84" s="37"/>
      <c r="U84" s="37"/>
      <c r="V84" s="37"/>
      <c r="W84" s="37"/>
      <c r="X84" s="37"/>
      <c r="Y84" s="37"/>
      <c r="Z84" s="40"/>
      <c r="AA84" s="38"/>
      <c r="AB84" s="38"/>
      <c r="AC84" s="37"/>
      <c r="AD84" s="37"/>
      <c r="AE84" s="37"/>
      <c r="AF84" s="37"/>
      <c r="AG84" s="37"/>
      <c r="AH84" s="37"/>
      <c r="AI84" s="37"/>
      <c r="AJ84" s="37"/>
    </row>
    <row r="85" spans="1:36" ht="21" customHeight="1" x14ac:dyDescent="0.15">
      <c r="A85" s="36"/>
      <c r="B85" s="37"/>
      <c r="C85" s="37"/>
      <c r="D85" s="38"/>
      <c r="E85" s="37"/>
      <c r="F85" s="37"/>
      <c r="G85" s="37"/>
      <c r="H85" s="37"/>
      <c r="I85" s="39"/>
      <c r="J85" s="37"/>
      <c r="K85" s="37"/>
      <c r="L85" s="37"/>
      <c r="M85" s="37"/>
      <c r="N85" s="37"/>
      <c r="O85" s="37"/>
      <c r="S85" s="37"/>
      <c r="T85" s="37"/>
      <c r="U85" s="37"/>
      <c r="V85" s="37"/>
      <c r="W85" s="37"/>
      <c r="X85" s="37"/>
      <c r="Y85" s="37"/>
      <c r="Z85" s="40"/>
      <c r="AA85" s="38"/>
      <c r="AB85" s="38"/>
      <c r="AC85" s="37"/>
      <c r="AD85" s="37"/>
      <c r="AE85" s="37"/>
      <c r="AF85" s="37"/>
      <c r="AG85" s="37"/>
      <c r="AH85" s="37"/>
      <c r="AI85" s="37"/>
      <c r="AJ85" s="37"/>
    </row>
    <row r="86" spans="1:36" ht="21" customHeight="1" x14ac:dyDescent="0.15">
      <c r="A86" s="36"/>
      <c r="B86" s="37"/>
      <c r="C86" s="37"/>
      <c r="D86" s="38"/>
      <c r="E86" s="37"/>
      <c r="F86" s="37"/>
      <c r="G86" s="37"/>
      <c r="H86" s="37"/>
      <c r="I86" s="39"/>
      <c r="J86" s="37"/>
      <c r="K86" s="37"/>
      <c r="L86" s="37"/>
      <c r="M86" s="37"/>
      <c r="N86" s="37"/>
      <c r="O86" s="37"/>
      <c r="S86" s="37"/>
      <c r="T86" s="37"/>
      <c r="U86" s="37"/>
      <c r="V86" s="37"/>
      <c r="W86" s="37"/>
      <c r="X86" s="37"/>
      <c r="Y86" s="37"/>
      <c r="Z86" s="40"/>
      <c r="AA86" s="38"/>
      <c r="AB86" s="38"/>
      <c r="AC86" s="37"/>
      <c r="AD86" s="37"/>
      <c r="AE86" s="37"/>
      <c r="AF86" s="37"/>
      <c r="AG86" s="37"/>
      <c r="AH86" s="37"/>
      <c r="AI86" s="37"/>
      <c r="AJ86" s="37"/>
    </row>
    <row r="87" spans="1:36" ht="21" customHeight="1" x14ac:dyDescent="0.15">
      <c r="A87" s="36"/>
      <c r="B87" s="37"/>
      <c r="C87" s="37"/>
      <c r="D87" s="38"/>
      <c r="E87" s="37"/>
      <c r="F87" s="37"/>
      <c r="G87" s="37"/>
      <c r="H87" s="37"/>
      <c r="I87" s="39"/>
      <c r="J87" s="37"/>
      <c r="K87" s="37"/>
      <c r="L87" s="37"/>
      <c r="M87" s="37"/>
      <c r="N87" s="37"/>
      <c r="O87" s="37"/>
      <c r="S87" s="37"/>
      <c r="T87" s="37"/>
      <c r="U87" s="37"/>
      <c r="V87" s="37"/>
      <c r="W87" s="37"/>
      <c r="X87" s="37"/>
      <c r="Y87" s="37"/>
      <c r="Z87" s="40"/>
      <c r="AA87" s="38"/>
      <c r="AB87" s="38"/>
      <c r="AC87" s="37"/>
      <c r="AD87" s="37"/>
      <c r="AE87" s="37"/>
      <c r="AF87" s="37"/>
      <c r="AG87" s="37"/>
      <c r="AH87" s="37"/>
      <c r="AI87" s="37"/>
      <c r="AJ87" s="37"/>
    </row>
  </sheetData>
  <sheetProtection selectLockedCells="1" selectUnlockedCells="1"/>
  <autoFilter ref="B1:AE7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baseColWidth="12" defaultRowHeight="15" x14ac:dyDescent="0.15"/>
  <cols>
    <col min="1" max="1" width="10.1640625" style="19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2" customFormat="1" x14ac:dyDescent="0.15">
      <c r="A1" s="12">
        <f>MATCH(A2,INDIRECT(C1&amp;"!A:A"),0)-2</f>
        <v>-1</v>
      </c>
      <c r="B1" s="13" t="str">
        <f>"$"&amp;2+$A$1&amp;":$"&amp;2+$A$1</f>
        <v>$1:$1</v>
      </c>
      <c r="C1" s="12" t="str">
        <f>SUBSTITUTE(RIGHT(CELL("filename",$C$1),LEN(CELL("filename",$C$1))-FIND("]",CELL("filename",$C$1))),".tmp","")</f>
        <v>floors_multi_1_4</v>
      </c>
    </row>
    <row r="2" spans="1:6" s="14" customFormat="1" x14ac:dyDescent="0.15">
      <c r="A2" s="19" t="s">
        <v>32</v>
      </c>
      <c r="B2" s="14" t="s">
        <v>0</v>
      </c>
      <c r="C2" s="14" t="s">
        <v>1</v>
      </c>
      <c r="D2" s="14" t="s">
        <v>13</v>
      </c>
      <c r="E2" s="14" t="s">
        <v>14</v>
      </c>
      <c r="F2" s="14" t="s">
        <v>15</v>
      </c>
    </row>
    <row r="3" spans="1:6" x14ac:dyDescent="0.15">
      <c r="A3" s="20" t="str">
        <f t="shared" ref="A3:A17" si="0">INDIRECT(ADDRESS(ROW()+$A$1,COLUMN(),1,TRUE,$C$1))</f>
        <v>30004_1-1</v>
      </c>
      <c r="B3" s="15">
        <f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30004</v>
      </c>
      <c r="C3" s="15">
        <f t="shared" ref="C3:F17" si="1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</v>
      </c>
      <c r="D3" s="15">
        <f t="shared" si="1"/>
        <v>1</v>
      </c>
      <c r="E3" s="15">
        <f t="shared" si="1"/>
        <v>30</v>
      </c>
      <c r="F3" s="15">
        <f t="shared" si="1"/>
        <v>30</v>
      </c>
    </row>
    <row r="4" spans="1:6" x14ac:dyDescent="0.15">
      <c r="A4" s="20" t="str">
        <f t="shared" si="0"/>
        <v>30004_1-2</v>
      </c>
      <c r="B4" s="15">
        <f t="shared" ref="B4:B17" si="2">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30004</v>
      </c>
      <c r="C4" s="15">
        <f t="shared" si="1"/>
        <v>1</v>
      </c>
      <c r="D4" s="15">
        <f t="shared" si="1"/>
        <v>2</v>
      </c>
      <c r="E4" s="15">
        <f t="shared" si="1"/>
        <v>30</v>
      </c>
      <c r="F4" s="15">
        <f t="shared" si="1"/>
        <v>45</v>
      </c>
    </row>
    <row r="5" spans="1:6" x14ac:dyDescent="0.15">
      <c r="A5" s="20" t="str">
        <f t="shared" si="0"/>
        <v>30004_1-3</v>
      </c>
      <c r="B5" s="15">
        <f t="shared" si="2"/>
        <v>30004</v>
      </c>
      <c r="C5" s="15">
        <f t="shared" si="1"/>
        <v>1</v>
      </c>
      <c r="D5" s="15">
        <f t="shared" si="1"/>
        <v>3</v>
      </c>
      <c r="E5" s="15">
        <f t="shared" si="1"/>
        <v>45</v>
      </c>
      <c r="F5" s="15">
        <f t="shared" si="1"/>
        <v>45</v>
      </c>
    </row>
    <row r="6" spans="1:6" x14ac:dyDescent="0.15">
      <c r="A6" s="20" t="str">
        <f t="shared" si="0"/>
        <v>30004_1-4</v>
      </c>
      <c r="B6" s="15">
        <f t="shared" si="2"/>
        <v>30004</v>
      </c>
      <c r="C6" s="15">
        <f t="shared" si="1"/>
        <v>1</v>
      </c>
      <c r="D6" s="15">
        <f t="shared" si="1"/>
        <v>4</v>
      </c>
      <c r="E6" s="15">
        <f t="shared" si="1"/>
        <v>30</v>
      </c>
      <c r="F6" s="15">
        <f t="shared" si="1"/>
        <v>45</v>
      </c>
    </row>
    <row r="7" spans="1:6" x14ac:dyDescent="0.15">
      <c r="A7" s="20" t="str">
        <f t="shared" si="0"/>
        <v>30004_1-5</v>
      </c>
      <c r="B7" s="15">
        <f t="shared" si="2"/>
        <v>30004</v>
      </c>
      <c r="C7" s="15">
        <f t="shared" si="1"/>
        <v>1</v>
      </c>
      <c r="D7" s="15">
        <f t="shared" si="1"/>
        <v>5</v>
      </c>
      <c r="E7" s="15">
        <f t="shared" si="1"/>
        <v>25</v>
      </c>
      <c r="F7" s="15">
        <f t="shared" si="1"/>
        <v>25</v>
      </c>
    </row>
    <row r="8" spans="1:6" x14ac:dyDescent="0.15">
      <c r="A8" s="20" t="str">
        <f t="shared" si="0"/>
        <v>30004_2-1</v>
      </c>
      <c r="B8" s="15">
        <f t="shared" si="2"/>
        <v>30004</v>
      </c>
      <c r="C8" s="15">
        <f t="shared" si="1"/>
        <v>2</v>
      </c>
      <c r="D8" s="15">
        <f t="shared" si="1"/>
        <v>1</v>
      </c>
      <c r="E8" s="15">
        <f t="shared" si="1"/>
        <v>30</v>
      </c>
      <c r="F8" s="15">
        <f t="shared" si="1"/>
        <v>30</v>
      </c>
    </row>
    <row r="9" spans="1:6" x14ac:dyDescent="0.15">
      <c r="A9" s="20" t="str">
        <f t="shared" si="0"/>
        <v>30004_2-2</v>
      </c>
      <c r="B9" s="15">
        <f t="shared" si="2"/>
        <v>30004</v>
      </c>
      <c r="C9" s="15">
        <f t="shared" si="1"/>
        <v>2</v>
      </c>
      <c r="D9" s="15">
        <f t="shared" si="1"/>
        <v>2</v>
      </c>
      <c r="E9" s="15">
        <f t="shared" si="1"/>
        <v>30</v>
      </c>
      <c r="F9" s="15">
        <f t="shared" si="1"/>
        <v>45</v>
      </c>
    </row>
    <row r="10" spans="1:6" x14ac:dyDescent="0.15">
      <c r="A10" s="20" t="str">
        <f t="shared" si="0"/>
        <v>30004_2-3</v>
      </c>
      <c r="B10" s="15">
        <f t="shared" si="2"/>
        <v>30004</v>
      </c>
      <c r="C10" s="15">
        <f t="shared" si="1"/>
        <v>2</v>
      </c>
      <c r="D10" s="15">
        <f t="shared" si="1"/>
        <v>3</v>
      </c>
      <c r="E10" s="15">
        <f t="shared" si="1"/>
        <v>25</v>
      </c>
      <c r="F10" s="15">
        <f t="shared" si="1"/>
        <v>25</v>
      </c>
    </row>
    <row r="11" spans="1:6" x14ac:dyDescent="0.15">
      <c r="A11" s="20" t="str">
        <f t="shared" si="0"/>
        <v>30004_2-4</v>
      </c>
      <c r="B11" s="15">
        <f t="shared" si="2"/>
        <v>30004</v>
      </c>
      <c r="C11" s="15">
        <f t="shared" si="1"/>
        <v>2</v>
      </c>
      <c r="D11" s="15">
        <f t="shared" si="1"/>
        <v>4</v>
      </c>
      <c r="E11" s="15">
        <f t="shared" si="1"/>
        <v>45</v>
      </c>
      <c r="F11" s="15">
        <f t="shared" si="1"/>
        <v>45</v>
      </c>
    </row>
    <row r="12" spans="1:6" x14ac:dyDescent="0.15">
      <c r="A12" s="20" t="str">
        <f t="shared" si="0"/>
        <v>30004_2-5</v>
      </c>
      <c r="B12" s="15">
        <f t="shared" si="2"/>
        <v>30004</v>
      </c>
      <c r="C12" s="15">
        <f t="shared" si="1"/>
        <v>2</v>
      </c>
      <c r="D12" s="15">
        <f t="shared" si="1"/>
        <v>5</v>
      </c>
      <c r="E12" s="15">
        <f t="shared" si="1"/>
        <v>25</v>
      </c>
      <c r="F12" s="15">
        <f t="shared" si="1"/>
        <v>45</v>
      </c>
    </row>
    <row r="13" spans="1:6" x14ac:dyDescent="0.15">
      <c r="A13" s="20" t="str">
        <f t="shared" si="0"/>
        <v>30004_3-1</v>
      </c>
      <c r="B13" s="15">
        <f t="shared" si="2"/>
        <v>30004</v>
      </c>
      <c r="C13" s="15">
        <f t="shared" si="1"/>
        <v>3</v>
      </c>
      <c r="D13" s="15">
        <f t="shared" si="1"/>
        <v>1</v>
      </c>
      <c r="E13" s="15">
        <f t="shared" si="1"/>
        <v>30</v>
      </c>
      <c r="F13" s="15">
        <f t="shared" si="1"/>
        <v>30</v>
      </c>
    </row>
    <row r="14" spans="1:6" x14ac:dyDescent="0.15">
      <c r="A14" s="20" t="str">
        <f t="shared" si="0"/>
        <v>30004_3-2</v>
      </c>
      <c r="B14" s="15">
        <f t="shared" si="2"/>
        <v>30004</v>
      </c>
      <c r="C14" s="15">
        <f t="shared" si="1"/>
        <v>3</v>
      </c>
      <c r="D14" s="15">
        <f t="shared" si="1"/>
        <v>2</v>
      </c>
      <c r="E14" s="15">
        <f t="shared" si="1"/>
        <v>45</v>
      </c>
      <c r="F14" s="15">
        <f t="shared" si="1"/>
        <v>45</v>
      </c>
    </row>
    <row r="15" spans="1:6" x14ac:dyDescent="0.15">
      <c r="A15" s="20" t="str">
        <f t="shared" si="0"/>
        <v>30004_3-3</v>
      </c>
      <c r="B15" s="15">
        <f t="shared" si="2"/>
        <v>30004</v>
      </c>
      <c r="C15" s="15">
        <f t="shared" si="1"/>
        <v>3</v>
      </c>
      <c r="D15" s="15">
        <f t="shared" si="1"/>
        <v>3</v>
      </c>
      <c r="E15" s="15">
        <f t="shared" si="1"/>
        <v>30</v>
      </c>
      <c r="F15" s="15">
        <f t="shared" si="1"/>
        <v>30</v>
      </c>
    </row>
    <row r="16" spans="1:6" x14ac:dyDescent="0.15">
      <c r="A16" s="20" t="str">
        <f t="shared" si="0"/>
        <v>30004_3-4</v>
      </c>
      <c r="B16" s="15">
        <f t="shared" si="2"/>
        <v>30004</v>
      </c>
      <c r="C16" s="15">
        <f t="shared" si="1"/>
        <v>3</v>
      </c>
      <c r="D16" s="15">
        <f t="shared" si="1"/>
        <v>4</v>
      </c>
      <c r="E16" s="15">
        <f t="shared" si="1"/>
        <v>45</v>
      </c>
      <c r="F16" s="15">
        <f t="shared" si="1"/>
        <v>45</v>
      </c>
    </row>
    <row r="17" spans="1:6" x14ac:dyDescent="0.15">
      <c r="A17" s="20" t="str">
        <f t="shared" si="0"/>
        <v>30004_3-5</v>
      </c>
      <c r="B17" s="15">
        <f t="shared" si="2"/>
        <v>30004</v>
      </c>
      <c r="C17" s="15">
        <f t="shared" si="1"/>
        <v>3</v>
      </c>
      <c r="D17" s="15">
        <f t="shared" si="1"/>
        <v>5</v>
      </c>
      <c r="E17" s="15">
        <f t="shared" si="1"/>
        <v>25</v>
      </c>
      <c r="F17" s="15">
        <f t="shared" si="1"/>
        <v>25</v>
      </c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69"/>
  <sheetViews>
    <sheetView tabSelected="1" zoomScale="75" zoomScaleNormal="75" zoomScalePageLayoutView="75" workbookViewId="0">
      <pane xSplit="1" ySplit="2" topLeftCell="B29" activePane="bottomRight" state="frozen"/>
      <selection pane="topRight" activeCell="B1" sqref="B1"/>
      <selection pane="bottomLeft" activeCell="A3" sqref="A3"/>
      <selection pane="bottomRight" activeCell="E54" sqref="E54"/>
    </sheetView>
  </sheetViews>
  <sheetFormatPr baseColWidth="12" defaultRowHeight="15" x14ac:dyDescent="0.15"/>
  <cols>
    <col min="1" max="1" width="13" style="19" bestFit="1" customWidth="1"/>
    <col min="2" max="2" width="8.1640625" bestFit="1" customWidth="1"/>
    <col min="3" max="3" width="18.33203125" bestFit="1" customWidth="1"/>
    <col min="4" max="4" width="7.33203125" bestFit="1" customWidth="1"/>
    <col min="5" max="5" width="11.6640625" bestFit="1" customWidth="1"/>
    <col min="6" max="6" width="5.33203125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" bestFit="1" customWidth="1"/>
    <col min="11" max="11" width="8.83203125" bestFit="1" customWidth="1"/>
    <col min="12" max="12" width="9.5" bestFit="1" customWidth="1"/>
    <col min="13" max="13" width="8" bestFit="1" customWidth="1"/>
    <col min="14" max="14" width="6.5" bestFit="1" customWidth="1"/>
    <col min="15" max="15" width="11" bestFit="1" customWidth="1"/>
    <col min="16" max="16" width="13.5" bestFit="1" customWidth="1"/>
    <col min="17" max="18" width="13" bestFit="1" customWidth="1"/>
  </cols>
  <sheetData>
    <row r="1" spans="1:23" s="12" customFormat="1" x14ac:dyDescent="0.15">
      <c r="A1" s="12">
        <f ca="1">MATCH(A2,INDIRECT(C1&amp;"!A:A"),0)-2</f>
        <v>-1</v>
      </c>
      <c r="B1" s="13" t="str">
        <f ca="1">"$"&amp;2+$A$1&amp;":$"&amp;2+$A$1</f>
        <v>$1:$1</v>
      </c>
      <c r="C1" s="12" t="str">
        <f ca="1">SUBSTITUTE(RIGHT(CELL("filename",$C$1),LEN(CELL("filename",$C$1))-FIND("]",CELL("filename",$C$1))),".tmp","")</f>
        <v>enemy_habitats_multi_1_4</v>
      </c>
      <c r="G1" s="45"/>
      <c r="H1" s="45"/>
      <c r="I1" s="45"/>
    </row>
    <row r="2" spans="1:23" s="14" customFormat="1" x14ac:dyDescent="0.15">
      <c r="A2" s="19" t="s">
        <v>30</v>
      </c>
      <c r="B2" s="14" t="s">
        <v>0</v>
      </c>
      <c r="C2" s="14" t="s">
        <v>1</v>
      </c>
      <c r="D2" s="14" t="s">
        <v>13</v>
      </c>
      <c r="E2" s="14" t="s">
        <v>2</v>
      </c>
      <c r="F2" s="14" t="s">
        <v>3</v>
      </c>
      <c r="G2" s="14" t="s">
        <v>67</v>
      </c>
      <c r="H2" s="14" t="s">
        <v>68</v>
      </c>
      <c r="I2" s="14" t="s">
        <v>69</v>
      </c>
      <c r="J2" s="14" t="s">
        <v>22</v>
      </c>
      <c r="K2" s="14" t="s">
        <v>5</v>
      </c>
      <c r="L2" s="14" t="s">
        <v>6</v>
      </c>
      <c r="M2" s="14" t="s">
        <v>7</v>
      </c>
      <c r="N2" s="14" t="s">
        <v>8</v>
      </c>
      <c r="O2" s="14" t="s">
        <v>9</v>
      </c>
      <c r="P2" s="14" t="s">
        <v>10</v>
      </c>
      <c r="Q2" s="14" t="s">
        <v>11</v>
      </c>
      <c r="R2" s="14" t="s">
        <v>12</v>
      </c>
      <c r="S2" s="14" t="s">
        <v>39</v>
      </c>
      <c r="T2" s="14" t="s">
        <v>41</v>
      </c>
      <c r="U2" s="14" t="s">
        <v>43</v>
      </c>
      <c r="V2" s="14" t="s">
        <v>45</v>
      </c>
      <c r="W2" s="14" t="s">
        <v>47</v>
      </c>
    </row>
    <row r="3" spans="1:23" x14ac:dyDescent="0.15">
      <c r="A3" s="20" t="str">
        <f ca="1">INDIRECT(ADDRESS(ROW()+$A$1,COLUMN(),1,TRUE,$C$1))</f>
        <v>30004_1-1/9&lt;lv20&gt;s2</v>
      </c>
      <c r="B3" s="15">
        <f t="shared" ref="B3:W16" ca="1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30004</v>
      </c>
      <c r="C3" s="15">
        <f t="shared" ca="1" si="0"/>
        <v>1</v>
      </c>
      <c r="D3" s="15">
        <f t="shared" ca="1" si="0"/>
        <v>1</v>
      </c>
      <c r="E3" s="15">
        <f t="shared" ca="1" si="0"/>
        <v>9</v>
      </c>
      <c r="F3" s="15">
        <f t="shared" ca="1" si="0"/>
        <v>20</v>
      </c>
      <c r="G3" s="15">
        <f t="shared" ref="G3:I18" ca="1" si="1">VLOOKUP($A3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1.8</v>
      </c>
      <c r="H3" s="15">
        <f t="shared" ca="1" si="1"/>
        <v>0.9</v>
      </c>
      <c r="I3" s="15">
        <f t="shared" ca="1" si="1"/>
        <v>0</v>
      </c>
      <c r="J3" s="15">
        <f t="shared" ca="1" si="0"/>
        <v>0</v>
      </c>
      <c r="K3" s="15">
        <f t="shared" ca="1" si="0"/>
        <v>0</v>
      </c>
      <c r="L3" s="15">
        <f t="shared" ca="1" si="0"/>
        <v>100</v>
      </c>
      <c r="M3" s="15">
        <f t="shared" ca="1" si="0"/>
        <v>0</v>
      </c>
      <c r="N3" s="15">
        <f t="shared" ca="1" si="0"/>
        <v>2</v>
      </c>
      <c r="O3" s="15">
        <f t="shared" ca="1" si="0"/>
        <v>9</v>
      </c>
      <c r="P3" s="15">
        <f t="shared" ca="1" si="0"/>
        <v>4</v>
      </c>
      <c r="Q3" s="15">
        <f t="shared" ca="1" si="0"/>
        <v>1</v>
      </c>
      <c r="R3" s="15">
        <f t="shared" ca="1" si="0"/>
        <v>15</v>
      </c>
      <c r="S3" s="15">
        <f t="shared" ca="1" si="0"/>
        <v>0</v>
      </c>
      <c r="T3" s="15">
        <f t="shared" ca="1" si="0"/>
        <v>0</v>
      </c>
      <c r="U3" s="15">
        <f t="shared" ca="1" si="0"/>
        <v>0</v>
      </c>
      <c r="V3" s="15">
        <f t="shared" ca="1" si="0"/>
        <v>0</v>
      </c>
      <c r="W3" s="15">
        <f t="shared" ca="1" si="0"/>
        <v>1</v>
      </c>
    </row>
    <row r="4" spans="1:23" x14ac:dyDescent="0.15">
      <c r="A4" s="20" t="str">
        <f t="shared" ref="A4:A63" ca="1" si="2">INDIRECT(ADDRESS(ROW()+$A$1,COLUMN(),1,TRUE,$C$1))</f>
        <v>30004_1-1/11&lt;lv20&gt;s3</v>
      </c>
      <c r="B4" s="15">
        <f t="shared" ca="1" si="0"/>
        <v>30004</v>
      </c>
      <c r="C4" s="15">
        <f t="shared" ca="1" si="0"/>
        <v>1</v>
      </c>
      <c r="D4" s="15">
        <f t="shared" ca="1" si="0"/>
        <v>1</v>
      </c>
      <c r="E4" s="15">
        <f t="shared" ca="1" si="0"/>
        <v>11</v>
      </c>
      <c r="F4" s="15">
        <f t="shared" ca="1" si="0"/>
        <v>20</v>
      </c>
      <c r="G4" s="15">
        <f t="shared" ca="1" si="1"/>
        <v>1.8</v>
      </c>
      <c r="H4" s="15">
        <f t="shared" ca="1" si="1"/>
        <v>0.9</v>
      </c>
      <c r="I4" s="15">
        <f t="shared" ca="1" si="1"/>
        <v>0</v>
      </c>
      <c r="J4" s="15">
        <f t="shared" ca="1" si="0"/>
        <v>0</v>
      </c>
      <c r="K4" s="15">
        <f t="shared" ca="1" si="0"/>
        <v>0</v>
      </c>
      <c r="L4" s="15">
        <f t="shared" ca="1" si="0"/>
        <v>100</v>
      </c>
      <c r="M4" s="15">
        <f t="shared" ca="1" si="0"/>
        <v>0</v>
      </c>
      <c r="N4" s="15">
        <f t="shared" ca="1" si="0"/>
        <v>3</v>
      </c>
      <c r="O4" s="15">
        <f t="shared" ca="1" si="0"/>
        <v>11</v>
      </c>
      <c r="P4" s="15">
        <f t="shared" ca="1" si="0"/>
        <v>4</v>
      </c>
      <c r="Q4" s="15">
        <f t="shared" ca="1" si="0"/>
        <v>1</v>
      </c>
      <c r="R4" s="15">
        <f t="shared" ca="1" si="0"/>
        <v>15</v>
      </c>
      <c r="S4" s="15">
        <f t="shared" ca="1" si="0"/>
        <v>0</v>
      </c>
      <c r="T4" s="15">
        <f t="shared" ca="1" si="0"/>
        <v>0</v>
      </c>
      <c r="U4" s="15">
        <f t="shared" ca="1" si="0"/>
        <v>0</v>
      </c>
      <c r="V4" s="15">
        <f t="shared" ca="1" si="0"/>
        <v>0</v>
      </c>
      <c r="W4" s="15">
        <f t="shared" ca="1" si="0"/>
        <v>1</v>
      </c>
    </row>
    <row r="5" spans="1:23" x14ac:dyDescent="0.15">
      <c r="A5" s="20" t="str">
        <f t="shared" ca="1" si="2"/>
        <v>30004_1-1/13&lt;lv20&gt;s2</v>
      </c>
      <c r="B5" s="15">
        <f t="shared" ca="1" si="0"/>
        <v>30004</v>
      </c>
      <c r="C5" s="15">
        <f t="shared" ca="1" si="0"/>
        <v>1</v>
      </c>
      <c r="D5" s="15">
        <f t="shared" ca="1" si="0"/>
        <v>1</v>
      </c>
      <c r="E5" s="15">
        <f t="shared" ca="1" si="0"/>
        <v>13</v>
      </c>
      <c r="F5" s="15">
        <f t="shared" ca="1" si="0"/>
        <v>20</v>
      </c>
      <c r="G5" s="15">
        <f t="shared" ca="1" si="1"/>
        <v>1.8</v>
      </c>
      <c r="H5" s="15">
        <f t="shared" ca="1" si="1"/>
        <v>0.9</v>
      </c>
      <c r="I5" s="15">
        <f t="shared" ca="1" si="1"/>
        <v>0</v>
      </c>
      <c r="J5" s="15">
        <f t="shared" ca="1" si="0"/>
        <v>0</v>
      </c>
      <c r="K5" s="15">
        <f t="shared" ca="1" si="0"/>
        <v>0</v>
      </c>
      <c r="L5" s="15">
        <f t="shared" ca="1" si="0"/>
        <v>100</v>
      </c>
      <c r="M5" s="15">
        <f t="shared" ca="1" si="0"/>
        <v>0</v>
      </c>
      <c r="N5" s="15">
        <f t="shared" ca="1" si="0"/>
        <v>2</v>
      </c>
      <c r="O5" s="15">
        <f t="shared" ca="1" si="0"/>
        <v>13</v>
      </c>
      <c r="P5" s="15">
        <f t="shared" ca="1" si="0"/>
        <v>4</v>
      </c>
      <c r="Q5" s="15">
        <f t="shared" ca="1" si="0"/>
        <v>1</v>
      </c>
      <c r="R5" s="15">
        <f t="shared" ca="1" si="0"/>
        <v>15</v>
      </c>
      <c r="S5" s="15">
        <f t="shared" ca="1" si="0"/>
        <v>0</v>
      </c>
      <c r="T5" s="15">
        <f t="shared" ca="1" si="0"/>
        <v>0</v>
      </c>
      <c r="U5" s="15">
        <f t="shared" ca="1" si="0"/>
        <v>0</v>
      </c>
      <c r="V5" s="15">
        <f t="shared" ca="1" si="0"/>
        <v>0</v>
      </c>
      <c r="W5" s="15">
        <f t="shared" ca="1" si="0"/>
        <v>1</v>
      </c>
    </row>
    <row r="6" spans="1:23" x14ac:dyDescent="0.15">
      <c r="A6" s="20" t="str">
        <f t="shared" ca="1" si="2"/>
        <v>30004_1-1/16&lt;lv20&gt;s3</v>
      </c>
      <c r="B6" s="15">
        <f t="shared" ca="1" si="0"/>
        <v>30004</v>
      </c>
      <c r="C6" s="15">
        <f t="shared" ca="1" si="0"/>
        <v>1</v>
      </c>
      <c r="D6" s="15">
        <f t="shared" ca="1" si="0"/>
        <v>1</v>
      </c>
      <c r="E6" s="15">
        <f t="shared" ca="1" si="0"/>
        <v>16</v>
      </c>
      <c r="F6" s="15">
        <f t="shared" ca="1" si="0"/>
        <v>20</v>
      </c>
      <c r="G6" s="15">
        <f t="shared" ca="1" si="1"/>
        <v>1.8</v>
      </c>
      <c r="H6" s="15">
        <f t="shared" ca="1" si="1"/>
        <v>0.9</v>
      </c>
      <c r="I6" s="15">
        <f t="shared" ca="1" si="1"/>
        <v>0</v>
      </c>
      <c r="J6" s="15">
        <f t="shared" ca="1" si="0"/>
        <v>0</v>
      </c>
      <c r="K6" s="15">
        <f t="shared" ca="1" si="0"/>
        <v>0</v>
      </c>
      <c r="L6" s="15">
        <f t="shared" ca="1" si="0"/>
        <v>100</v>
      </c>
      <c r="M6" s="15">
        <f t="shared" ca="1" si="0"/>
        <v>0</v>
      </c>
      <c r="N6" s="15">
        <f t="shared" ca="1" si="0"/>
        <v>3</v>
      </c>
      <c r="O6" s="15">
        <f t="shared" ca="1" si="0"/>
        <v>16</v>
      </c>
      <c r="P6" s="15">
        <f t="shared" ca="1" si="0"/>
        <v>4</v>
      </c>
      <c r="Q6" s="15">
        <f t="shared" ca="1" si="0"/>
        <v>2</v>
      </c>
      <c r="R6" s="15">
        <f t="shared" ca="1" si="0"/>
        <v>15</v>
      </c>
      <c r="S6" s="15">
        <f t="shared" ca="1" si="0"/>
        <v>0</v>
      </c>
      <c r="T6" s="15">
        <f t="shared" ca="1" si="0"/>
        <v>0</v>
      </c>
      <c r="U6" s="15">
        <f t="shared" ca="1" si="0"/>
        <v>0</v>
      </c>
      <c r="V6" s="15">
        <f t="shared" ca="1" si="0"/>
        <v>0</v>
      </c>
      <c r="W6" s="15">
        <f t="shared" ca="1" si="0"/>
        <v>1</v>
      </c>
    </row>
    <row r="7" spans="1:23" x14ac:dyDescent="0.15">
      <c r="A7" s="20" t="str">
        <f t="shared" ca="1" si="2"/>
        <v>30004_1-1/17&lt;lv20&gt;s2</v>
      </c>
      <c r="B7" s="15">
        <f t="shared" ca="1" si="0"/>
        <v>30004</v>
      </c>
      <c r="C7" s="15">
        <f t="shared" ca="1" si="0"/>
        <v>1</v>
      </c>
      <c r="D7" s="15">
        <f t="shared" ca="1" si="0"/>
        <v>1</v>
      </c>
      <c r="E7" s="15">
        <f t="shared" ca="1" si="0"/>
        <v>17</v>
      </c>
      <c r="F7" s="15">
        <f t="shared" ca="1" si="0"/>
        <v>20</v>
      </c>
      <c r="G7" s="15">
        <f t="shared" ca="1" si="1"/>
        <v>1.8</v>
      </c>
      <c r="H7" s="15">
        <f t="shared" ca="1" si="1"/>
        <v>0.9</v>
      </c>
      <c r="I7" s="15">
        <f t="shared" ca="1" si="1"/>
        <v>0</v>
      </c>
      <c r="J7" s="15">
        <f t="shared" ca="1" si="0"/>
        <v>0</v>
      </c>
      <c r="K7" s="15">
        <f t="shared" ca="1" si="0"/>
        <v>0</v>
      </c>
      <c r="L7" s="15">
        <f t="shared" ca="1" si="0"/>
        <v>100</v>
      </c>
      <c r="M7" s="15">
        <f t="shared" ca="1" si="0"/>
        <v>0</v>
      </c>
      <c r="N7" s="15">
        <f t="shared" ca="1" si="0"/>
        <v>2</v>
      </c>
      <c r="O7" s="15">
        <f t="shared" ca="1" si="0"/>
        <v>17</v>
      </c>
      <c r="P7" s="15">
        <f t="shared" ca="1" si="0"/>
        <v>4</v>
      </c>
      <c r="Q7" s="15">
        <f t="shared" ca="1" si="0"/>
        <v>1</v>
      </c>
      <c r="R7" s="15">
        <f t="shared" ca="1" si="0"/>
        <v>15</v>
      </c>
      <c r="S7" s="15">
        <f t="shared" ca="1" si="0"/>
        <v>0</v>
      </c>
      <c r="T7" s="15">
        <f t="shared" ca="1" si="0"/>
        <v>0</v>
      </c>
      <c r="U7" s="15">
        <f t="shared" ca="1" si="0"/>
        <v>0</v>
      </c>
      <c r="V7" s="15">
        <f t="shared" ca="1" si="0"/>
        <v>0</v>
      </c>
      <c r="W7" s="15">
        <f t="shared" ca="1" si="0"/>
        <v>1</v>
      </c>
    </row>
    <row r="8" spans="1:23" x14ac:dyDescent="0.15">
      <c r="A8" s="20" t="str">
        <f t="shared" ca="1" si="2"/>
        <v>30004_1-2/9&lt;lv21&gt;s2</v>
      </c>
      <c r="B8" s="15">
        <f t="shared" ca="1" si="0"/>
        <v>30004</v>
      </c>
      <c r="C8" s="15">
        <f t="shared" ca="1" si="0"/>
        <v>1</v>
      </c>
      <c r="D8" s="15">
        <f t="shared" ca="1" si="0"/>
        <v>2</v>
      </c>
      <c r="E8" s="15">
        <f t="shared" ca="1" si="0"/>
        <v>9</v>
      </c>
      <c r="F8" s="15">
        <f t="shared" ca="1" si="0"/>
        <v>21</v>
      </c>
      <c r="G8" s="15">
        <f t="shared" ca="1" si="1"/>
        <v>1.8</v>
      </c>
      <c r="H8" s="15">
        <f t="shared" ca="1" si="1"/>
        <v>0.9</v>
      </c>
      <c r="I8" s="15">
        <f t="shared" ca="1" si="1"/>
        <v>0</v>
      </c>
      <c r="J8" s="15">
        <f t="shared" ca="1" si="0"/>
        <v>0</v>
      </c>
      <c r="K8" s="15">
        <f t="shared" ca="1" si="0"/>
        <v>0</v>
      </c>
      <c r="L8" s="15">
        <f t="shared" ca="1" si="0"/>
        <v>100</v>
      </c>
      <c r="M8" s="15">
        <f t="shared" ca="1" si="0"/>
        <v>0</v>
      </c>
      <c r="N8" s="15">
        <f t="shared" ca="1" si="0"/>
        <v>2</v>
      </c>
      <c r="O8" s="15">
        <f t="shared" ca="1" si="0"/>
        <v>9</v>
      </c>
      <c r="P8" s="15">
        <f t="shared" ca="1" si="0"/>
        <v>4</v>
      </c>
      <c r="Q8" s="15">
        <f t="shared" ca="1" si="0"/>
        <v>1</v>
      </c>
      <c r="R8" s="15">
        <f t="shared" ca="1" si="0"/>
        <v>15</v>
      </c>
      <c r="S8" s="15">
        <f t="shared" ca="1" si="0"/>
        <v>0</v>
      </c>
      <c r="T8" s="15">
        <f t="shared" ca="1" si="0"/>
        <v>0</v>
      </c>
      <c r="U8" s="15">
        <f t="shared" ca="1" si="0"/>
        <v>0</v>
      </c>
      <c r="V8" s="15">
        <f t="shared" ca="1" si="0"/>
        <v>0</v>
      </c>
      <c r="W8" s="15">
        <f t="shared" ca="1" si="0"/>
        <v>1</v>
      </c>
    </row>
    <row r="9" spans="1:23" x14ac:dyDescent="0.15">
      <c r="A9" s="20" t="str">
        <f t="shared" ca="1" si="2"/>
        <v>30004_1-2/11&lt;lv21&gt;s3</v>
      </c>
      <c r="B9" s="15">
        <f t="shared" ca="1" si="0"/>
        <v>30004</v>
      </c>
      <c r="C9" s="15">
        <f t="shared" ca="1" si="0"/>
        <v>1</v>
      </c>
      <c r="D9" s="15">
        <f t="shared" ca="1" si="0"/>
        <v>2</v>
      </c>
      <c r="E9" s="15">
        <f t="shared" ca="1" si="0"/>
        <v>11</v>
      </c>
      <c r="F9" s="15">
        <f t="shared" ca="1" si="0"/>
        <v>21</v>
      </c>
      <c r="G9" s="15">
        <f t="shared" ca="1" si="1"/>
        <v>1.8</v>
      </c>
      <c r="H9" s="15">
        <f t="shared" ca="1" si="1"/>
        <v>0.9</v>
      </c>
      <c r="I9" s="15">
        <f t="shared" ca="1" si="1"/>
        <v>0</v>
      </c>
      <c r="J9" s="15">
        <f t="shared" ca="1" si="0"/>
        <v>0</v>
      </c>
      <c r="K9" s="15">
        <f t="shared" ca="1" si="0"/>
        <v>0</v>
      </c>
      <c r="L9" s="15">
        <f t="shared" ca="1" si="0"/>
        <v>100</v>
      </c>
      <c r="M9" s="15">
        <f t="shared" ca="1" si="0"/>
        <v>0</v>
      </c>
      <c r="N9" s="15">
        <f t="shared" ca="1" si="0"/>
        <v>3</v>
      </c>
      <c r="O9" s="15">
        <f t="shared" ca="1" si="0"/>
        <v>11</v>
      </c>
      <c r="P9" s="15">
        <f t="shared" ca="1" si="0"/>
        <v>4</v>
      </c>
      <c r="Q9" s="15">
        <f t="shared" ca="1" si="0"/>
        <v>1</v>
      </c>
      <c r="R9" s="15">
        <f t="shared" ca="1" si="0"/>
        <v>15</v>
      </c>
      <c r="S9" s="15">
        <f t="shared" ca="1" si="0"/>
        <v>0</v>
      </c>
      <c r="T9" s="15">
        <f t="shared" ca="1" si="0"/>
        <v>0</v>
      </c>
      <c r="U9" s="15">
        <f t="shared" ca="1" si="0"/>
        <v>0</v>
      </c>
      <c r="V9" s="15">
        <f t="shared" ca="1" si="0"/>
        <v>0</v>
      </c>
      <c r="W9" s="15">
        <f t="shared" ca="1" si="0"/>
        <v>1</v>
      </c>
    </row>
    <row r="10" spans="1:23" x14ac:dyDescent="0.15">
      <c r="A10" s="20" t="str">
        <f t="shared" ca="1" si="2"/>
        <v>30004_1-2/13&lt;lv21&gt;s2</v>
      </c>
      <c r="B10" s="15">
        <f t="shared" ca="1" si="0"/>
        <v>30004</v>
      </c>
      <c r="C10" s="15">
        <f t="shared" ca="1" si="0"/>
        <v>1</v>
      </c>
      <c r="D10" s="15">
        <f t="shared" ca="1" si="0"/>
        <v>2</v>
      </c>
      <c r="E10" s="15">
        <f t="shared" ca="1" si="0"/>
        <v>13</v>
      </c>
      <c r="F10" s="15">
        <f t="shared" ca="1" si="0"/>
        <v>21</v>
      </c>
      <c r="G10" s="15">
        <f t="shared" ca="1" si="1"/>
        <v>1.8</v>
      </c>
      <c r="H10" s="15">
        <f t="shared" ca="1" si="1"/>
        <v>0.9</v>
      </c>
      <c r="I10" s="15">
        <f t="shared" ca="1" si="1"/>
        <v>0</v>
      </c>
      <c r="J10" s="15">
        <f t="shared" ca="1" si="0"/>
        <v>0</v>
      </c>
      <c r="K10" s="15">
        <f t="shared" ca="1" si="0"/>
        <v>0</v>
      </c>
      <c r="L10" s="15">
        <f t="shared" ca="1" si="0"/>
        <v>100</v>
      </c>
      <c r="M10" s="15">
        <f t="shared" ca="1" si="0"/>
        <v>0</v>
      </c>
      <c r="N10" s="15">
        <f t="shared" ca="1" si="0"/>
        <v>2</v>
      </c>
      <c r="O10" s="15">
        <f t="shared" ca="1" si="0"/>
        <v>13</v>
      </c>
      <c r="P10" s="15">
        <f t="shared" ca="1" si="0"/>
        <v>4</v>
      </c>
      <c r="Q10" s="15">
        <f t="shared" ca="1" si="0"/>
        <v>1</v>
      </c>
      <c r="R10" s="15">
        <f t="shared" ca="1" si="0"/>
        <v>15</v>
      </c>
      <c r="S10" s="15">
        <f t="shared" ca="1" si="0"/>
        <v>0</v>
      </c>
      <c r="T10" s="15">
        <f t="shared" ca="1" si="0"/>
        <v>0</v>
      </c>
      <c r="U10" s="15">
        <f t="shared" ca="1" si="0"/>
        <v>0</v>
      </c>
      <c r="V10" s="15">
        <f t="shared" ca="1" si="0"/>
        <v>0</v>
      </c>
      <c r="W10" s="15">
        <f t="shared" ca="1" si="0"/>
        <v>1</v>
      </c>
    </row>
    <row r="11" spans="1:23" x14ac:dyDescent="0.15">
      <c r="A11" s="20" t="str">
        <f t="shared" ca="1" si="2"/>
        <v>30004_1-2/16&lt;lv21&gt;s3</v>
      </c>
      <c r="B11" s="15">
        <f t="shared" ca="1" si="0"/>
        <v>30004</v>
      </c>
      <c r="C11" s="15">
        <f t="shared" ca="1" si="0"/>
        <v>1</v>
      </c>
      <c r="D11" s="15">
        <f t="shared" ca="1" si="0"/>
        <v>2</v>
      </c>
      <c r="E11" s="15">
        <f t="shared" ca="1" si="0"/>
        <v>16</v>
      </c>
      <c r="F11" s="15">
        <f t="shared" ca="1" si="0"/>
        <v>21</v>
      </c>
      <c r="G11" s="15">
        <f t="shared" ca="1" si="1"/>
        <v>1.8</v>
      </c>
      <c r="H11" s="15">
        <f t="shared" ca="1" si="1"/>
        <v>0.9</v>
      </c>
      <c r="I11" s="15">
        <f t="shared" ca="1" si="1"/>
        <v>0</v>
      </c>
      <c r="J11" s="15">
        <f t="shared" ca="1" si="0"/>
        <v>0</v>
      </c>
      <c r="K11" s="15">
        <f t="shared" ca="1" si="0"/>
        <v>0</v>
      </c>
      <c r="L11" s="15">
        <f t="shared" ca="1" si="0"/>
        <v>100</v>
      </c>
      <c r="M11" s="15">
        <f t="shared" ca="1" si="0"/>
        <v>0</v>
      </c>
      <c r="N11" s="15">
        <f t="shared" ca="1" si="0"/>
        <v>3</v>
      </c>
      <c r="O11" s="15">
        <f t="shared" ca="1" si="0"/>
        <v>16</v>
      </c>
      <c r="P11" s="15">
        <f t="shared" ca="1" si="0"/>
        <v>4</v>
      </c>
      <c r="Q11" s="15">
        <f t="shared" ca="1" si="0"/>
        <v>2</v>
      </c>
      <c r="R11" s="15">
        <f t="shared" ca="1" si="0"/>
        <v>15</v>
      </c>
      <c r="S11" s="15">
        <f t="shared" ca="1" si="0"/>
        <v>0</v>
      </c>
      <c r="T11" s="15">
        <f t="shared" ca="1" si="0"/>
        <v>0</v>
      </c>
      <c r="U11" s="15">
        <f t="shared" ca="1" si="0"/>
        <v>0</v>
      </c>
      <c r="V11" s="15">
        <f t="shared" ca="1" si="0"/>
        <v>0</v>
      </c>
      <c r="W11" s="15">
        <f t="shared" ca="1" si="0"/>
        <v>1</v>
      </c>
    </row>
    <row r="12" spans="1:23" x14ac:dyDescent="0.15">
      <c r="A12" s="20" t="str">
        <f t="shared" ca="1" si="2"/>
        <v>30004_1-2/17&lt;lv21&gt;s2</v>
      </c>
      <c r="B12" s="15">
        <f t="shared" ca="1" si="0"/>
        <v>30004</v>
      </c>
      <c r="C12" s="15">
        <f t="shared" ca="1" si="0"/>
        <v>1</v>
      </c>
      <c r="D12" s="15">
        <f t="shared" ca="1" si="0"/>
        <v>2</v>
      </c>
      <c r="E12" s="15">
        <f t="shared" ca="1" si="0"/>
        <v>17</v>
      </c>
      <c r="F12" s="15">
        <f t="shared" ca="1" si="0"/>
        <v>21</v>
      </c>
      <c r="G12" s="15">
        <f t="shared" ca="1" si="1"/>
        <v>1.8</v>
      </c>
      <c r="H12" s="15">
        <f t="shared" ca="1" si="1"/>
        <v>0.9</v>
      </c>
      <c r="I12" s="15">
        <f t="shared" ca="1" si="1"/>
        <v>0</v>
      </c>
      <c r="J12" s="15">
        <f t="shared" ca="1" si="0"/>
        <v>0</v>
      </c>
      <c r="K12" s="15">
        <f t="shared" ca="1" si="0"/>
        <v>0</v>
      </c>
      <c r="L12" s="15">
        <f t="shared" ca="1" si="0"/>
        <v>100</v>
      </c>
      <c r="M12" s="15">
        <f t="shared" ca="1" si="0"/>
        <v>0</v>
      </c>
      <c r="N12" s="15">
        <f t="shared" ca="1" si="0"/>
        <v>2</v>
      </c>
      <c r="O12" s="15">
        <f t="shared" ca="1" si="0"/>
        <v>17</v>
      </c>
      <c r="P12" s="15">
        <f t="shared" ca="1" si="0"/>
        <v>4</v>
      </c>
      <c r="Q12" s="15">
        <f t="shared" ca="1" si="0"/>
        <v>1</v>
      </c>
      <c r="R12" s="15">
        <f t="shared" ca="1" si="0"/>
        <v>15</v>
      </c>
      <c r="S12" s="15">
        <f t="shared" ca="1" si="0"/>
        <v>0</v>
      </c>
      <c r="T12" s="15">
        <f t="shared" ca="1" si="0"/>
        <v>0</v>
      </c>
      <c r="U12" s="15">
        <f t="shared" ca="1" si="0"/>
        <v>0</v>
      </c>
      <c r="V12" s="15">
        <f t="shared" ca="1" si="0"/>
        <v>0</v>
      </c>
      <c r="W12" s="15">
        <f t="shared" ca="1" si="0"/>
        <v>1</v>
      </c>
    </row>
    <row r="13" spans="1:23" x14ac:dyDescent="0.15">
      <c r="A13" s="20" t="str">
        <f t="shared" ca="1" si="2"/>
        <v>30004_1-3/9&lt;lv21&gt;s2</v>
      </c>
      <c r="B13" s="15">
        <f t="shared" ca="1" si="0"/>
        <v>30004</v>
      </c>
      <c r="C13" s="15">
        <f t="shared" ca="1" si="0"/>
        <v>1</v>
      </c>
      <c r="D13" s="15">
        <f t="shared" ca="1" si="0"/>
        <v>3</v>
      </c>
      <c r="E13" s="15">
        <f t="shared" ca="1" si="0"/>
        <v>9</v>
      </c>
      <c r="F13" s="15">
        <f t="shared" ca="1" si="0"/>
        <v>21</v>
      </c>
      <c r="G13" s="15">
        <f t="shared" ca="1" si="1"/>
        <v>1.8</v>
      </c>
      <c r="H13" s="15">
        <f t="shared" ca="1" si="1"/>
        <v>0.9</v>
      </c>
      <c r="I13" s="15">
        <f t="shared" ca="1" si="1"/>
        <v>0</v>
      </c>
      <c r="J13" s="15">
        <f t="shared" ca="1" si="0"/>
        <v>0</v>
      </c>
      <c r="K13" s="15">
        <f t="shared" ca="1" si="0"/>
        <v>0</v>
      </c>
      <c r="L13" s="15">
        <f t="shared" ca="1" si="0"/>
        <v>100</v>
      </c>
      <c r="M13" s="15">
        <f t="shared" ca="1" si="0"/>
        <v>0</v>
      </c>
      <c r="N13" s="15">
        <f t="shared" ca="1" si="0"/>
        <v>2</v>
      </c>
      <c r="O13" s="15">
        <f t="shared" ca="1" si="0"/>
        <v>9</v>
      </c>
      <c r="P13" s="15">
        <f t="shared" ca="1" si="0"/>
        <v>4</v>
      </c>
      <c r="Q13" s="15">
        <f t="shared" ca="1" si="0"/>
        <v>1</v>
      </c>
      <c r="R13" s="15">
        <f t="shared" ca="1" si="0"/>
        <v>15</v>
      </c>
      <c r="S13" s="15">
        <f t="shared" ca="1" si="0"/>
        <v>0</v>
      </c>
      <c r="T13" s="15">
        <f t="shared" ca="1" si="0"/>
        <v>0</v>
      </c>
      <c r="U13" s="15">
        <f t="shared" ca="1" si="0"/>
        <v>0</v>
      </c>
      <c r="V13" s="15">
        <f t="shared" ca="1" si="0"/>
        <v>0</v>
      </c>
      <c r="W13" s="15">
        <f t="shared" ca="1" si="0"/>
        <v>1</v>
      </c>
    </row>
    <row r="14" spans="1:23" x14ac:dyDescent="0.15">
      <c r="A14" s="20" t="str">
        <f t="shared" ca="1" si="2"/>
        <v>30004_1-3/11&lt;lv21&gt;s3</v>
      </c>
      <c r="B14" s="15">
        <f t="shared" ca="1" si="0"/>
        <v>30004</v>
      </c>
      <c r="C14" s="15">
        <f t="shared" ca="1" si="0"/>
        <v>1</v>
      </c>
      <c r="D14" s="15">
        <f t="shared" ca="1" si="0"/>
        <v>3</v>
      </c>
      <c r="E14" s="15">
        <f t="shared" ca="1" si="0"/>
        <v>11</v>
      </c>
      <c r="F14" s="15">
        <f t="shared" ca="1" si="0"/>
        <v>21</v>
      </c>
      <c r="G14" s="15">
        <f t="shared" ca="1" si="1"/>
        <v>1.8</v>
      </c>
      <c r="H14" s="15">
        <f t="shared" ca="1" si="1"/>
        <v>0.9</v>
      </c>
      <c r="I14" s="15">
        <f t="shared" ca="1" si="1"/>
        <v>0</v>
      </c>
      <c r="J14" s="15">
        <f t="shared" ca="1" si="0"/>
        <v>0</v>
      </c>
      <c r="K14" s="15">
        <f t="shared" ca="1" si="0"/>
        <v>0</v>
      </c>
      <c r="L14" s="15">
        <f t="shared" ca="1" si="0"/>
        <v>100</v>
      </c>
      <c r="M14" s="15">
        <f t="shared" ca="1" si="0"/>
        <v>0</v>
      </c>
      <c r="N14" s="15">
        <f t="shared" ca="1" si="0"/>
        <v>3</v>
      </c>
      <c r="O14" s="15">
        <f t="shared" ca="1" si="0"/>
        <v>11</v>
      </c>
      <c r="P14" s="15">
        <f t="shared" ca="1" si="0"/>
        <v>4</v>
      </c>
      <c r="Q14" s="15">
        <f t="shared" ca="1" si="0"/>
        <v>1</v>
      </c>
      <c r="R14" s="15">
        <f t="shared" ca="1" si="0"/>
        <v>15</v>
      </c>
      <c r="S14" s="15">
        <f t="shared" ca="1" si="0"/>
        <v>0</v>
      </c>
      <c r="T14" s="15">
        <f t="shared" ca="1" si="0"/>
        <v>0</v>
      </c>
      <c r="U14" s="15">
        <f t="shared" ca="1" si="0"/>
        <v>0</v>
      </c>
      <c r="V14" s="15">
        <f t="shared" ca="1" si="0"/>
        <v>0</v>
      </c>
      <c r="W14" s="15">
        <f t="shared" ca="1" si="0"/>
        <v>1</v>
      </c>
    </row>
    <row r="15" spans="1:23" x14ac:dyDescent="0.15">
      <c r="A15" s="20" t="str">
        <f t="shared" ca="1" si="2"/>
        <v>30004_1-3/13&lt;lv21&gt;s2</v>
      </c>
      <c r="B15" s="15">
        <f t="shared" ca="1" si="0"/>
        <v>30004</v>
      </c>
      <c r="C15" s="15">
        <f t="shared" ca="1" si="0"/>
        <v>1</v>
      </c>
      <c r="D15" s="15">
        <f t="shared" ca="1" si="0"/>
        <v>3</v>
      </c>
      <c r="E15" s="15">
        <f t="shared" ca="1" si="0"/>
        <v>13</v>
      </c>
      <c r="F15" s="15">
        <f t="shared" ca="1" si="0"/>
        <v>21</v>
      </c>
      <c r="G15" s="15">
        <f t="shared" ca="1" si="1"/>
        <v>1.8</v>
      </c>
      <c r="H15" s="15">
        <f t="shared" ca="1" si="1"/>
        <v>0.9</v>
      </c>
      <c r="I15" s="15">
        <f t="shared" ca="1" si="1"/>
        <v>0</v>
      </c>
      <c r="J15" s="15">
        <f t="shared" ca="1" si="0"/>
        <v>0</v>
      </c>
      <c r="K15" s="15">
        <f t="shared" ca="1" si="0"/>
        <v>0</v>
      </c>
      <c r="L15" s="15">
        <f t="shared" ca="1" si="0"/>
        <v>100</v>
      </c>
      <c r="M15" s="15">
        <f t="shared" ca="1" si="0"/>
        <v>0</v>
      </c>
      <c r="N15" s="15">
        <f t="shared" ca="1" si="0"/>
        <v>2</v>
      </c>
      <c r="O15" s="15">
        <f t="shared" ca="1" si="0"/>
        <v>13</v>
      </c>
      <c r="P15" s="15">
        <f t="shared" ca="1" si="0"/>
        <v>4</v>
      </c>
      <c r="Q15" s="15">
        <f t="shared" ca="1" si="0"/>
        <v>1</v>
      </c>
      <c r="R15" s="15">
        <f t="shared" ca="1" si="0"/>
        <v>15</v>
      </c>
      <c r="S15" s="15">
        <f t="shared" ca="1" si="0"/>
        <v>0</v>
      </c>
      <c r="T15" s="15">
        <f t="shared" ca="1" si="0"/>
        <v>0</v>
      </c>
      <c r="U15" s="15">
        <f t="shared" ca="1" si="0"/>
        <v>0</v>
      </c>
      <c r="V15" s="15">
        <f t="shared" ca="1" si="0"/>
        <v>0</v>
      </c>
      <c r="W15" s="15">
        <f t="shared" ca="1" si="0"/>
        <v>1</v>
      </c>
    </row>
    <row r="16" spans="1:23" x14ac:dyDescent="0.15">
      <c r="A16" s="20" t="str">
        <f t="shared" ca="1" si="2"/>
        <v>30004_1-3/16&lt;lv21&gt;s3</v>
      </c>
      <c r="B16" s="15">
        <f t="shared" ca="1" si="0"/>
        <v>30004</v>
      </c>
      <c r="C16" s="15">
        <f t="shared" ca="1" si="0"/>
        <v>1</v>
      </c>
      <c r="D16" s="15">
        <f t="shared" ca="1" si="0"/>
        <v>3</v>
      </c>
      <c r="E16" s="15">
        <f t="shared" ca="1" si="0"/>
        <v>16</v>
      </c>
      <c r="F16" s="15">
        <f t="shared" ca="1" si="0"/>
        <v>21</v>
      </c>
      <c r="G16" s="15">
        <f t="shared" ca="1" si="1"/>
        <v>1.8</v>
      </c>
      <c r="H16" s="15">
        <f t="shared" ca="1" si="1"/>
        <v>0.9</v>
      </c>
      <c r="I16" s="15">
        <f t="shared" ca="1" si="1"/>
        <v>0</v>
      </c>
      <c r="J16" s="15">
        <f t="shared" ca="1" si="0"/>
        <v>0</v>
      </c>
      <c r="K16" s="15">
        <f t="shared" ca="1" si="0"/>
        <v>0</v>
      </c>
      <c r="L16" s="15">
        <f t="shared" ca="1" si="0"/>
        <v>100</v>
      </c>
      <c r="M16" s="15">
        <f t="shared" ref="M16:W52" ca="1" si="3">VLOOKUP($A16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0</v>
      </c>
      <c r="N16" s="15">
        <f t="shared" ca="1" si="3"/>
        <v>3</v>
      </c>
      <c r="O16" s="15">
        <f t="shared" ca="1" si="3"/>
        <v>16</v>
      </c>
      <c r="P16" s="15">
        <f t="shared" ca="1" si="3"/>
        <v>4</v>
      </c>
      <c r="Q16" s="15">
        <f t="shared" ca="1" si="3"/>
        <v>2</v>
      </c>
      <c r="R16" s="15">
        <f t="shared" ca="1" si="3"/>
        <v>15</v>
      </c>
      <c r="S16" s="15">
        <f t="shared" ca="1" si="3"/>
        <v>0</v>
      </c>
      <c r="T16" s="15">
        <f t="shared" ca="1" si="3"/>
        <v>0</v>
      </c>
      <c r="U16" s="15">
        <f t="shared" ca="1" si="3"/>
        <v>0</v>
      </c>
      <c r="V16" s="15">
        <f t="shared" ca="1" si="3"/>
        <v>0</v>
      </c>
      <c r="W16" s="15">
        <f t="shared" ca="1" si="3"/>
        <v>1</v>
      </c>
    </row>
    <row r="17" spans="1:23" x14ac:dyDescent="0.15">
      <c r="A17" s="20" t="str">
        <f t="shared" ca="1" si="2"/>
        <v>30004_1-3/17&lt;lv21&gt;s2</v>
      </c>
      <c r="B17" s="15">
        <f t="shared" ref="B17:Q33" ca="1" si="4">VLOOKUP($A17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30004</v>
      </c>
      <c r="C17" s="15">
        <f t="shared" ca="1" si="4"/>
        <v>1</v>
      </c>
      <c r="D17" s="15">
        <f t="shared" ca="1" si="4"/>
        <v>3</v>
      </c>
      <c r="E17" s="15">
        <f t="shared" ca="1" si="4"/>
        <v>17</v>
      </c>
      <c r="F17" s="15">
        <f t="shared" ca="1" si="4"/>
        <v>21</v>
      </c>
      <c r="G17" s="15">
        <f t="shared" ca="1" si="1"/>
        <v>1.8</v>
      </c>
      <c r="H17" s="15">
        <f t="shared" ca="1" si="1"/>
        <v>0.9</v>
      </c>
      <c r="I17" s="15">
        <f t="shared" ca="1" si="1"/>
        <v>0</v>
      </c>
      <c r="J17" s="15">
        <f t="shared" ca="1" si="4"/>
        <v>0</v>
      </c>
      <c r="K17" s="15">
        <f t="shared" ca="1" si="4"/>
        <v>0</v>
      </c>
      <c r="L17" s="15">
        <f t="shared" ca="1" si="4"/>
        <v>100</v>
      </c>
      <c r="M17" s="15">
        <f t="shared" ca="1" si="4"/>
        <v>0</v>
      </c>
      <c r="N17" s="15">
        <f t="shared" ca="1" si="4"/>
        <v>2</v>
      </c>
      <c r="O17" s="15">
        <f t="shared" ca="1" si="4"/>
        <v>17</v>
      </c>
      <c r="P17" s="15">
        <f t="shared" ca="1" si="4"/>
        <v>4</v>
      </c>
      <c r="Q17" s="15">
        <f t="shared" ca="1" si="4"/>
        <v>1</v>
      </c>
      <c r="R17" s="15">
        <f t="shared" ca="1" si="3"/>
        <v>15</v>
      </c>
      <c r="S17" s="15">
        <f t="shared" ca="1" si="3"/>
        <v>0</v>
      </c>
      <c r="T17" s="15">
        <f t="shared" ca="1" si="3"/>
        <v>0</v>
      </c>
      <c r="U17" s="15">
        <f t="shared" ca="1" si="3"/>
        <v>0</v>
      </c>
      <c r="V17" s="15">
        <f t="shared" ca="1" si="3"/>
        <v>0</v>
      </c>
      <c r="W17" s="15">
        <f t="shared" ca="1" si="3"/>
        <v>1</v>
      </c>
    </row>
    <row r="18" spans="1:23" x14ac:dyDescent="0.15">
      <c r="A18" s="20" t="str">
        <f t="shared" ca="1" si="2"/>
        <v>30004_1-4/9&lt;lv21&gt;s2</v>
      </c>
      <c r="B18" s="15">
        <f t="shared" ca="1" si="4"/>
        <v>30004</v>
      </c>
      <c r="C18" s="15">
        <f t="shared" ca="1" si="4"/>
        <v>1</v>
      </c>
      <c r="D18" s="15">
        <f t="shared" ca="1" si="4"/>
        <v>4</v>
      </c>
      <c r="E18" s="15">
        <f t="shared" ca="1" si="4"/>
        <v>9</v>
      </c>
      <c r="F18" s="15">
        <f t="shared" ca="1" si="4"/>
        <v>21</v>
      </c>
      <c r="G18" s="15">
        <f t="shared" ca="1" si="1"/>
        <v>1.8</v>
      </c>
      <c r="H18" s="15">
        <f t="shared" ca="1" si="1"/>
        <v>0.9</v>
      </c>
      <c r="I18" s="15">
        <f t="shared" ca="1" si="1"/>
        <v>0</v>
      </c>
      <c r="J18" s="15">
        <f t="shared" ca="1" si="4"/>
        <v>0</v>
      </c>
      <c r="K18" s="15">
        <f t="shared" ca="1" si="4"/>
        <v>0</v>
      </c>
      <c r="L18" s="15">
        <f t="shared" ca="1" si="4"/>
        <v>100</v>
      </c>
      <c r="M18" s="15">
        <f t="shared" ca="1" si="4"/>
        <v>0</v>
      </c>
      <c r="N18" s="15">
        <f t="shared" ca="1" si="4"/>
        <v>2</v>
      </c>
      <c r="O18" s="15">
        <f t="shared" ca="1" si="4"/>
        <v>9</v>
      </c>
      <c r="P18" s="15">
        <f t="shared" ca="1" si="4"/>
        <v>4</v>
      </c>
      <c r="Q18" s="15">
        <f t="shared" ca="1" si="4"/>
        <v>1</v>
      </c>
      <c r="R18" s="15">
        <f t="shared" ca="1" si="3"/>
        <v>15</v>
      </c>
      <c r="S18" s="15">
        <f t="shared" ca="1" si="3"/>
        <v>0</v>
      </c>
      <c r="T18" s="15">
        <f t="shared" ca="1" si="3"/>
        <v>0</v>
      </c>
      <c r="U18" s="15">
        <f t="shared" ca="1" si="3"/>
        <v>0</v>
      </c>
      <c r="V18" s="15">
        <f t="shared" ca="1" si="3"/>
        <v>0</v>
      </c>
      <c r="W18" s="15">
        <f t="shared" ca="1" si="3"/>
        <v>1</v>
      </c>
    </row>
    <row r="19" spans="1:23" x14ac:dyDescent="0.15">
      <c r="A19" s="20" t="str">
        <f t="shared" ca="1" si="2"/>
        <v>30004_1-4/11&lt;lv21&gt;s3</v>
      </c>
      <c r="B19" s="15">
        <f t="shared" ca="1" si="4"/>
        <v>30004</v>
      </c>
      <c r="C19" s="15">
        <f t="shared" ca="1" si="4"/>
        <v>1</v>
      </c>
      <c r="D19" s="15">
        <f t="shared" ca="1" si="4"/>
        <v>4</v>
      </c>
      <c r="E19" s="15">
        <f t="shared" ca="1" si="4"/>
        <v>11</v>
      </c>
      <c r="F19" s="15">
        <f t="shared" ca="1" si="4"/>
        <v>21</v>
      </c>
      <c r="G19" s="15">
        <f t="shared" ca="1" si="4"/>
        <v>1.8</v>
      </c>
      <c r="H19" s="15">
        <f t="shared" ca="1" si="4"/>
        <v>0.9</v>
      </c>
      <c r="I19" s="15">
        <f t="shared" ca="1" si="4"/>
        <v>0</v>
      </c>
      <c r="J19" s="15">
        <f t="shared" ca="1" si="4"/>
        <v>0</v>
      </c>
      <c r="K19" s="15">
        <f t="shared" ca="1" si="4"/>
        <v>0</v>
      </c>
      <c r="L19" s="15">
        <f t="shared" ca="1" si="4"/>
        <v>100</v>
      </c>
      <c r="M19" s="15">
        <f t="shared" ca="1" si="4"/>
        <v>0</v>
      </c>
      <c r="N19" s="15">
        <f t="shared" ca="1" si="4"/>
        <v>3</v>
      </c>
      <c r="O19" s="15">
        <f t="shared" ca="1" si="4"/>
        <v>11</v>
      </c>
      <c r="P19" s="15">
        <f t="shared" ca="1" si="4"/>
        <v>4</v>
      </c>
      <c r="Q19" s="15">
        <f t="shared" ca="1" si="4"/>
        <v>1</v>
      </c>
      <c r="R19" s="15">
        <f t="shared" ca="1" si="3"/>
        <v>15</v>
      </c>
      <c r="S19" s="15">
        <f t="shared" ca="1" si="3"/>
        <v>0</v>
      </c>
      <c r="T19" s="15">
        <f t="shared" ca="1" si="3"/>
        <v>0</v>
      </c>
      <c r="U19" s="15">
        <f t="shared" ca="1" si="3"/>
        <v>0</v>
      </c>
      <c r="V19" s="15">
        <f t="shared" ca="1" si="3"/>
        <v>0</v>
      </c>
      <c r="W19" s="15">
        <f t="shared" ca="1" si="3"/>
        <v>1</v>
      </c>
    </row>
    <row r="20" spans="1:23" x14ac:dyDescent="0.15">
      <c r="A20" s="20" t="str">
        <f t="shared" ca="1" si="2"/>
        <v>30004_1-4/13&lt;lv21&gt;s2</v>
      </c>
      <c r="B20" s="15">
        <f t="shared" ca="1" si="4"/>
        <v>30004</v>
      </c>
      <c r="C20" s="15">
        <f t="shared" ca="1" si="4"/>
        <v>1</v>
      </c>
      <c r="D20" s="15">
        <f t="shared" ca="1" si="4"/>
        <v>4</v>
      </c>
      <c r="E20" s="15">
        <f t="shared" ca="1" si="4"/>
        <v>13</v>
      </c>
      <c r="F20" s="15">
        <f t="shared" ca="1" si="4"/>
        <v>21</v>
      </c>
      <c r="G20" s="15">
        <f t="shared" ca="1" si="4"/>
        <v>1.8</v>
      </c>
      <c r="H20" s="15">
        <f t="shared" ca="1" si="4"/>
        <v>0.9</v>
      </c>
      <c r="I20" s="15">
        <f t="shared" ca="1" si="4"/>
        <v>0</v>
      </c>
      <c r="J20" s="15">
        <f t="shared" ca="1" si="4"/>
        <v>0</v>
      </c>
      <c r="K20" s="15">
        <f t="shared" ca="1" si="4"/>
        <v>0</v>
      </c>
      <c r="L20" s="15">
        <f t="shared" ca="1" si="4"/>
        <v>100</v>
      </c>
      <c r="M20" s="15">
        <f t="shared" ca="1" si="4"/>
        <v>0</v>
      </c>
      <c r="N20" s="15">
        <f t="shared" ca="1" si="4"/>
        <v>2</v>
      </c>
      <c r="O20" s="15">
        <f t="shared" ca="1" si="4"/>
        <v>13</v>
      </c>
      <c r="P20" s="15">
        <f t="shared" ca="1" si="4"/>
        <v>4</v>
      </c>
      <c r="Q20" s="15">
        <f t="shared" ca="1" si="4"/>
        <v>1</v>
      </c>
      <c r="R20" s="15">
        <f t="shared" ca="1" si="3"/>
        <v>15</v>
      </c>
      <c r="S20" s="15">
        <f t="shared" ca="1" si="3"/>
        <v>0</v>
      </c>
      <c r="T20" s="15">
        <f t="shared" ca="1" si="3"/>
        <v>0</v>
      </c>
      <c r="U20" s="15">
        <f t="shared" ca="1" si="3"/>
        <v>0</v>
      </c>
      <c r="V20" s="15">
        <f t="shared" ca="1" si="3"/>
        <v>0</v>
      </c>
      <c r="W20" s="15">
        <f t="shared" ca="1" si="3"/>
        <v>1</v>
      </c>
    </row>
    <row r="21" spans="1:23" x14ac:dyDescent="0.15">
      <c r="A21" s="20" t="str">
        <f t="shared" ca="1" si="2"/>
        <v>30004_1-4/16&lt;lv21&gt;s3</v>
      </c>
      <c r="B21" s="15">
        <f t="shared" ca="1" si="4"/>
        <v>30004</v>
      </c>
      <c r="C21" s="15">
        <f t="shared" ca="1" si="4"/>
        <v>1</v>
      </c>
      <c r="D21" s="15">
        <f t="shared" ca="1" si="4"/>
        <v>4</v>
      </c>
      <c r="E21" s="15">
        <f t="shared" ca="1" si="4"/>
        <v>16</v>
      </c>
      <c r="F21" s="15">
        <f t="shared" ca="1" si="4"/>
        <v>21</v>
      </c>
      <c r="G21" s="15">
        <f t="shared" ca="1" si="4"/>
        <v>1.8</v>
      </c>
      <c r="H21" s="15">
        <f t="shared" ca="1" si="4"/>
        <v>0.9</v>
      </c>
      <c r="I21" s="15">
        <f t="shared" ca="1" si="4"/>
        <v>0</v>
      </c>
      <c r="J21" s="15">
        <f t="shared" ca="1" si="4"/>
        <v>0</v>
      </c>
      <c r="K21" s="15">
        <f t="shared" ca="1" si="4"/>
        <v>0</v>
      </c>
      <c r="L21" s="15">
        <f t="shared" ca="1" si="4"/>
        <v>100</v>
      </c>
      <c r="M21" s="15">
        <f t="shared" ca="1" si="4"/>
        <v>0</v>
      </c>
      <c r="N21" s="15">
        <f t="shared" ca="1" si="4"/>
        <v>3</v>
      </c>
      <c r="O21" s="15">
        <f t="shared" ca="1" si="4"/>
        <v>16</v>
      </c>
      <c r="P21" s="15">
        <f t="shared" ca="1" si="4"/>
        <v>4</v>
      </c>
      <c r="Q21" s="15">
        <f t="shared" ca="1" si="4"/>
        <v>2</v>
      </c>
      <c r="R21" s="15">
        <f t="shared" ca="1" si="3"/>
        <v>15</v>
      </c>
      <c r="S21" s="15">
        <f t="shared" ca="1" si="3"/>
        <v>0</v>
      </c>
      <c r="T21" s="15">
        <f t="shared" ca="1" si="3"/>
        <v>0</v>
      </c>
      <c r="U21" s="15">
        <f t="shared" ca="1" si="3"/>
        <v>0</v>
      </c>
      <c r="V21" s="15">
        <f t="shared" ca="1" si="3"/>
        <v>0</v>
      </c>
      <c r="W21" s="15">
        <f t="shared" ca="1" si="3"/>
        <v>1</v>
      </c>
    </row>
    <row r="22" spans="1:23" x14ac:dyDescent="0.15">
      <c r="A22" s="20" t="str">
        <f t="shared" ca="1" si="2"/>
        <v>30004_1-4/17&lt;lv21&gt;s2</v>
      </c>
      <c r="B22" s="15">
        <f t="shared" ca="1" si="4"/>
        <v>30004</v>
      </c>
      <c r="C22" s="15">
        <f t="shared" ca="1" si="4"/>
        <v>1</v>
      </c>
      <c r="D22" s="15">
        <f t="shared" ca="1" si="4"/>
        <v>4</v>
      </c>
      <c r="E22" s="15">
        <f t="shared" ca="1" si="4"/>
        <v>17</v>
      </c>
      <c r="F22" s="15">
        <f t="shared" ca="1" si="4"/>
        <v>21</v>
      </c>
      <c r="G22" s="15">
        <f t="shared" ca="1" si="4"/>
        <v>1.8</v>
      </c>
      <c r="H22" s="15">
        <f t="shared" ca="1" si="4"/>
        <v>0.9</v>
      </c>
      <c r="I22" s="15">
        <f t="shared" ca="1" si="4"/>
        <v>0</v>
      </c>
      <c r="J22" s="15">
        <f t="shared" ca="1" si="4"/>
        <v>0</v>
      </c>
      <c r="K22" s="15">
        <f t="shared" ca="1" si="4"/>
        <v>0</v>
      </c>
      <c r="L22" s="15">
        <f t="shared" ca="1" si="4"/>
        <v>100</v>
      </c>
      <c r="M22" s="15">
        <f t="shared" ca="1" si="4"/>
        <v>0</v>
      </c>
      <c r="N22" s="15">
        <f t="shared" ca="1" si="4"/>
        <v>2</v>
      </c>
      <c r="O22" s="15">
        <f t="shared" ca="1" si="4"/>
        <v>17</v>
      </c>
      <c r="P22" s="15">
        <f t="shared" ca="1" si="4"/>
        <v>4</v>
      </c>
      <c r="Q22" s="15">
        <f t="shared" ca="1" si="4"/>
        <v>1</v>
      </c>
      <c r="R22" s="15">
        <f t="shared" ca="1" si="3"/>
        <v>15</v>
      </c>
      <c r="S22" s="15">
        <f t="shared" ca="1" si="3"/>
        <v>0</v>
      </c>
      <c r="T22" s="15">
        <f t="shared" ca="1" si="3"/>
        <v>0</v>
      </c>
      <c r="U22" s="15">
        <f t="shared" ca="1" si="3"/>
        <v>0</v>
      </c>
      <c r="V22" s="15">
        <f t="shared" ca="1" si="3"/>
        <v>0</v>
      </c>
      <c r="W22" s="15">
        <f t="shared" ca="1" si="3"/>
        <v>1</v>
      </c>
    </row>
    <row r="23" spans="1:23" x14ac:dyDescent="0.15">
      <c r="A23" s="20" t="str">
        <f t="shared" ca="1" si="2"/>
        <v>30004_1-5/276&lt;lv24&gt;s2</v>
      </c>
      <c r="B23" s="15">
        <f t="shared" ca="1" si="4"/>
        <v>30004</v>
      </c>
      <c r="C23" s="15">
        <f t="shared" ca="1" si="4"/>
        <v>1</v>
      </c>
      <c r="D23" s="15">
        <f t="shared" ca="1" si="4"/>
        <v>5</v>
      </c>
      <c r="E23" s="15">
        <f t="shared" ca="1" si="4"/>
        <v>276</v>
      </c>
      <c r="F23" s="15">
        <f t="shared" ca="1" si="4"/>
        <v>24</v>
      </c>
      <c r="G23" s="15">
        <f t="shared" ca="1" si="4"/>
        <v>3</v>
      </c>
      <c r="H23" s="15">
        <f t="shared" ca="1" si="4"/>
        <v>1.1000000000000001</v>
      </c>
      <c r="I23" s="15">
        <f t="shared" ca="1" si="4"/>
        <v>0</v>
      </c>
      <c r="J23" s="15">
        <f t="shared" ca="1" si="4"/>
        <v>276</v>
      </c>
      <c r="K23" s="15">
        <f t="shared" ca="1" si="4"/>
        <v>1</v>
      </c>
      <c r="L23" s="15">
        <f t="shared" ca="1" si="4"/>
        <v>100</v>
      </c>
      <c r="M23" s="15">
        <f t="shared" ca="1" si="4"/>
        <v>1</v>
      </c>
      <c r="N23" s="15">
        <f t="shared" ca="1" si="4"/>
        <v>2</v>
      </c>
      <c r="O23" s="15">
        <f t="shared" ca="1" si="4"/>
        <v>276</v>
      </c>
      <c r="P23" s="15">
        <f t="shared" ca="1" si="4"/>
        <v>1</v>
      </c>
      <c r="Q23" s="15">
        <f t="shared" ca="1" si="4"/>
        <v>4</v>
      </c>
      <c r="R23" s="15">
        <f t="shared" ca="1" si="3"/>
        <v>20</v>
      </c>
      <c r="S23" s="15">
        <f t="shared" ca="1" si="3"/>
        <v>0</v>
      </c>
      <c r="T23" s="15">
        <f t="shared" ca="1" si="3"/>
        <v>0</v>
      </c>
      <c r="U23" s="15">
        <f t="shared" ca="1" si="3"/>
        <v>0</v>
      </c>
      <c r="V23" s="15">
        <f t="shared" ca="1" si="3"/>
        <v>0</v>
      </c>
      <c r="W23" s="15">
        <f t="shared" ca="1" si="3"/>
        <v>1</v>
      </c>
    </row>
    <row r="24" spans="1:23" x14ac:dyDescent="0.15">
      <c r="A24" s="20" t="str">
        <f t="shared" ca="1" si="2"/>
        <v>30004_2-1/10&lt;lv32&gt;s2</v>
      </c>
      <c r="B24" s="15">
        <f t="shared" ca="1" si="4"/>
        <v>30004</v>
      </c>
      <c r="C24" s="15">
        <f t="shared" ca="1" si="4"/>
        <v>2</v>
      </c>
      <c r="D24" s="15">
        <f t="shared" ca="1" si="4"/>
        <v>1</v>
      </c>
      <c r="E24" s="15">
        <f t="shared" ca="1" si="4"/>
        <v>10</v>
      </c>
      <c r="F24" s="15">
        <f t="shared" ca="1" si="4"/>
        <v>32</v>
      </c>
      <c r="G24" s="15">
        <f t="shared" ca="1" si="4"/>
        <v>1.1000000000000001</v>
      </c>
      <c r="H24" s="15">
        <f t="shared" ca="1" si="4"/>
        <v>1</v>
      </c>
      <c r="I24" s="15">
        <f t="shared" ca="1" si="4"/>
        <v>0</v>
      </c>
      <c r="J24" s="15">
        <f t="shared" ca="1" si="4"/>
        <v>0</v>
      </c>
      <c r="K24" s="15">
        <f t="shared" ca="1" si="4"/>
        <v>0</v>
      </c>
      <c r="L24" s="15">
        <f t="shared" ca="1" si="4"/>
        <v>100</v>
      </c>
      <c r="M24" s="15">
        <f t="shared" ca="1" si="4"/>
        <v>0</v>
      </c>
      <c r="N24" s="15">
        <f t="shared" ca="1" si="4"/>
        <v>2</v>
      </c>
      <c r="O24" s="15">
        <f t="shared" ca="1" si="4"/>
        <v>10</v>
      </c>
      <c r="P24" s="15">
        <f t="shared" ca="1" si="4"/>
        <v>5</v>
      </c>
      <c r="Q24" s="15">
        <f t="shared" ca="1" si="4"/>
        <v>2</v>
      </c>
      <c r="R24" s="15">
        <f t="shared" ca="1" si="3"/>
        <v>15</v>
      </c>
      <c r="S24" s="15">
        <f t="shared" ca="1" si="3"/>
        <v>0</v>
      </c>
      <c r="T24" s="15">
        <f t="shared" ca="1" si="3"/>
        <v>0</v>
      </c>
      <c r="U24" s="15">
        <f t="shared" ca="1" si="3"/>
        <v>0</v>
      </c>
      <c r="V24" s="15">
        <f t="shared" ca="1" si="3"/>
        <v>0</v>
      </c>
      <c r="W24" s="15">
        <f t="shared" ca="1" si="3"/>
        <v>1</v>
      </c>
    </row>
    <row r="25" spans="1:23" x14ac:dyDescent="0.15">
      <c r="A25" s="20" t="str">
        <f t="shared" ca="1" si="2"/>
        <v>30004_2-1/16&lt;lv32&gt;s3</v>
      </c>
      <c r="B25" s="15">
        <f t="shared" ca="1" si="4"/>
        <v>30004</v>
      </c>
      <c r="C25" s="15">
        <f t="shared" ca="1" si="4"/>
        <v>2</v>
      </c>
      <c r="D25" s="15">
        <f t="shared" ca="1" si="4"/>
        <v>1</v>
      </c>
      <c r="E25" s="15">
        <f t="shared" ca="1" si="4"/>
        <v>16</v>
      </c>
      <c r="F25" s="15">
        <f t="shared" ca="1" si="4"/>
        <v>32</v>
      </c>
      <c r="G25" s="15">
        <f t="shared" ca="1" si="4"/>
        <v>1.1000000000000001</v>
      </c>
      <c r="H25" s="15">
        <f t="shared" ca="1" si="4"/>
        <v>1</v>
      </c>
      <c r="I25" s="15">
        <f t="shared" ca="1" si="4"/>
        <v>0</v>
      </c>
      <c r="J25" s="15">
        <f t="shared" ca="1" si="4"/>
        <v>0</v>
      </c>
      <c r="K25" s="15">
        <f t="shared" ca="1" si="4"/>
        <v>1</v>
      </c>
      <c r="L25" s="15">
        <f t="shared" ca="1" si="4"/>
        <v>100</v>
      </c>
      <c r="M25" s="15">
        <f t="shared" ca="1" si="4"/>
        <v>0</v>
      </c>
      <c r="N25" s="15">
        <f t="shared" ca="1" si="4"/>
        <v>3</v>
      </c>
      <c r="O25" s="15">
        <f t="shared" ca="1" si="4"/>
        <v>16</v>
      </c>
      <c r="P25" s="15">
        <f t="shared" ca="1" si="4"/>
        <v>5</v>
      </c>
      <c r="Q25" s="15">
        <f t="shared" ca="1" si="4"/>
        <v>2</v>
      </c>
      <c r="R25" s="15">
        <f t="shared" ca="1" si="3"/>
        <v>15</v>
      </c>
      <c r="S25" s="15">
        <f t="shared" ca="1" si="3"/>
        <v>0</v>
      </c>
      <c r="T25" s="15">
        <f t="shared" ca="1" si="3"/>
        <v>0</v>
      </c>
      <c r="U25" s="15">
        <f t="shared" ca="1" si="3"/>
        <v>0</v>
      </c>
      <c r="V25" s="15">
        <f t="shared" ca="1" si="3"/>
        <v>0</v>
      </c>
      <c r="W25" s="15">
        <f t="shared" ca="1" si="3"/>
        <v>1</v>
      </c>
    </row>
    <row r="26" spans="1:23" x14ac:dyDescent="0.15">
      <c r="A26" s="20" t="str">
        <f t="shared" ca="1" si="2"/>
        <v>30004_2-1/21&lt;lv32&gt;s2</v>
      </c>
      <c r="B26" s="15">
        <f t="shared" ca="1" si="4"/>
        <v>30004</v>
      </c>
      <c r="C26" s="15">
        <f t="shared" ca="1" si="4"/>
        <v>2</v>
      </c>
      <c r="D26" s="15">
        <f t="shared" ca="1" si="4"/>
        <v>1</v>
      </c>
      <c r="E26" s="15">
        <f t="shared" ca="1" si="4"/>
        <v>21</v>
      </c>
      <c r="F26" s="15">
        <f t="shared" ca="1" si="4"/>
        <v>32</v>
      </c>
      <c r="G26" s="15">
        <f t="shared" ca="1" si="4"/>
        <v>1.1000000000000001</v>
      </c>
      <c r="H26" s="15">
        <f t="shared" ca="1" si="4"/>
        <v>1</v>
      </c>
      <c r="I26" s="15">
        <f t="shared" ca="1" si="4"/>
        <v>0</v>
      </c>
      <c r="J26" s="15">
        <f t="shared" ca="1" si="4"/>
        <v>0</v>
      </c>
      <c r="K26" s="15">
        <f t="shared" ca="1" si="4"/>
        <v>0</v>
      </c>
      <c r="L26" s="15">
        <f t="shared" ca="1" si="4"/>
        <v>100</v>
      </c>
      <c r="M26" s="15">
        <f t="shared" ca="1" si="4"/>
        <v>0</v>
      </c>
      <c r="N26" s="15">
        <f t="shared" ca="1" si="4"/>
        <v>2</v>
      </c>
      <c r="O26" s="15">
        <f t="shared" ca="1" si="4"/>
        <v>21</v>
      </c>
      <c r="P26" s="15">
        <f t="shared" ca="1" si="4"/>
        <v>5</v>
      </c>
      <c r="Q26" s="15">
        <f t="shared" ca="1" si="4"/>
        <v>1</v>
      </c>
      <c r="R26" s="15">
        <f t="shared" ca="1" si="3"/>
        <v>15</v>
      </c>
      <c r="S26" s="15">
        <f t="shared" ca="1" si="3"/>
        <v>0</v>
      </c>
      <c r="T26" s="15">
        <f t="shared" ca="1" si="3"/>
        <v>0</v>
      </c>
      <c r="U26" s="15">
        <f t="shared" ca="1" si="3"/>
        <v>0</v>
      </c>
      <c r="V26" s="15">
        <f t="shared" ca="1" si="3"/>
        <v>0</v>
      </c>
      <c r="W26" s="15">
        <f t="shared" ca="1" si="3"/>
        <v>1</v>
      </c>
    </row>
    <row r="27" spans="1:23" x14ac:dyDescent="0.15">
      <c r="A27" s="20" t="str">
        <f t="shared" ca="1" si="2"/>
        <v>30004_2-1/27&lt;lv32&gt;s1</v>
      </c>
      <c r="B27" s="15">
        <f t="shared" ca="1" si="4"/>
        <v>30004</v>
      </c>
      <c r="C27" s="15">
        <f t="shared" ca="1" si="4"/>
        <v>2</v>
      </c>
      <c r="D27" s="15">
        <f t="shared" ca="1" si="4"/>
        <v>1</v>
      </c>
      <c r="E27" s="15">
        <f t="shared" ca="1" si="4"/>
        <v>27</v>
      </c>
      <c r="F27" s="15">
        <f t="shared" ca="1" si="4"/>
        <v>32</v>
      </c>
      <c r="G27" s="15">
        <f t="shared" ca="1" si="4"/>
        <v>1.1000000000000001</v>
      </c>
      <c r="H27" s="15">
        <f t="shared" ca="1" si="4"/>
        <v>1</v>
      </c>
      <c r="I27" s="15">
        <f t="shared" ca="1" si="4"/>
        <v>0</v>
      </c>
      <c r="J27" s="15">
        <f t="shared" ca="1" si="4"/>
        <v>0</v>
      </c>
      <c r="K27" s="15">
        <f t="shared" ca="1" si="4"/>
        <v>0</v>
      </c>
      <c r="L27" s="15">
        <f t="shared" ca="1" si="4"/>
        <v>20</v>
      </c>
      <c r="M27" s="15">
        <f t="shared" ca="1" si="4"/>
        <v>0</v>
      </c>
      <c r="N27" s="15">
        <f t="shared" ca="1" si="4"/>
        <v>1</v>
      </c>
      <c r="O27" s="15">
        <f t="shared" ca="1" si="4"/>
        <v>27</v>
      </c>
      <c r="P27" s="15">
        <f t="shared" ca="1" si="4"/>
        <v>5</v>
      </c>
      <c r="Q27" s="15">
        <f t="shared" ca="1" si="4"/>
        <v>1</v>
      </c>
      <c r="R27" s="15">
        <f t="shared" ca="1" si="3"/>
        <v>15</v>
      </c>
      <c r="S27" s="15">
        <f t="shared" ca="1" si="3"/>
        <v>0</v>
      </c>
      <c r="T27" s="15">
        <f t="shared" ca="1" si="3"/>
        <v>0</v>
      </c>
      <c r="U27" s="15">
        <f t="shared" ca="1" si="3"/>
        <v>0</v>
      </c>
      <c r="V27" s="15">
        <f t="shared" ca="1" si="3"/>
        <v>0</v>
      </c>
      <c r="W27" s="15">
        <f t="shared" ca="1" si="3"/>
        <v>1</v>
      </c>
    </row>
    <row r="28" spans="1:23" x14ac:dyDescent="0.15">
      <c r="A28" s="20" t="str">
        <f t="shared" ca="1" si="2"/>
        <v>30004_2-1/29&lt;lv32&gt;s2</v>
      </c>
      <c r="B28" s="15">
        <f t="shared" ca="1" si="4"/>
        <v>30004</v>
      </c>
      <c r="C28" s="15">
        <f t="shared" ca="1" si="4"/>
        <v>2</v>
      </c>
      <c r="D28" s="15">
        <f t="shared" ca="1" si="4"/>
        <v>1</v>
      </c>
      <c r="E28" s="15">
        <f t="shared" ca="1" si="4"/>
        <v>29</v>
      </c>
      <c r="F28" s="15">
        <f t="shared" ca="1" si="4"/>
        <v>32</v>
      </c>
      <c r="G28" s="15">
        <f t="shared" ca="1" si="4"/>
        <v>1.1000000000000001</v>
      </c>
      <c r="H28" s="15">
        <f t="shared" ca="1" si="4"/>
        <v>1</v>
      </c>
      <c r="I28" s="15">
        <f t="shared" ca="1" si="4"/>
        <v>0</v>
      </c>
      <c r="J28" s="15">
        <f t="shared" ca="1" si="4"/>
        <v>0</v>
      </c>
      <c r="K28" s="15">
        <f t="shared" ca="1" si="4"/>
        <v>0</v>
      </c>
      <c r="L28" s="15">
        <f t="shared" ca="1" si="4"/>
        <v>100</v>
      </c>
      <c r="M28" s="15">
        <f t="shared" ca="1" si="4"/>
        <v>0</v>
      </c>
      <c r="N28" s="15">
        <f t="shared" ca="1" si="4"/>
        <v>2</v>
      </c>
      <c r="O28" s="15">
        <f t="shared" ca="1" si="4"/>
        <v>29</v>
      </c>
      <c r="P28" s="15">
        <f t="shared" ca="1" si="4"/>
        <v>5</v>
      </c>
      <c r="Q28" s="15">
        <f t="shared" ca="1" si="4"/>
        <v>1</v>
      </c>
      <c r="R28" s="15">
        <f t="shared" ca="1" si="3"/>
        <v>15</v>
      </c>
      <c r="S28" s="15">
        <f t="shared" ca="1" si="3"/>
        <v>0</v>
      </c>
      <c r="T28" s="15">
        <f t="shared" ca="1" si="3"/>
        <v>0</v>
      </c>
      <c r="U28" s="15">
        <f t="shared" ca="1" si="3"/>
        <v>0</v>
      </c>
      <c r="V28" s="15">
        <f t="shared" ca="1" si="3"/>
        <v>0</v>
      </c>
      <c r="W28" s="15">
        <f t="shared" ca="1" si="3"/>
        <v>1</v>
      </c>
    </row>
    <row r="29" spans="1:23" x14ac:dyDescent="0.15">
      <c r="A29" s="20" t="str">
        <f t="shared" ca="1" si="2"/>
        <v>30004_2-1/31&lt;lv32&gt;s2</v>
      </c>
      <c r="B29" s="15">
        <f t="shared" ca="1" si="4"/>
        <v>30004</v>
      </c>
      <c r="C29" s="15">
        <f t="shared" ca="1" si="4"/>
        <v>2</v>
      </c>
      <c r="D29" s="15">
        <f t="shared" ca="1" si="4"/>
        <v>1</v>
      </c>
      <c r="E29" s="15">
        <f t="shared" ca="1" si="4"/>
        <v>31</v>
      </c>
      <c r="F29" s="15">
        <f t="shared" ca="1" si="4"/>
        <v>32</v>
      </c>
      <c r="G29" s="15">
        <f t="shared" ca="1" si="4"/>
        <v>1.1000000000000001</v>
      </c>
      <c r="H29" s="15">
        <f t="shared" ca="1" si="4"/>
        <v>1</v>
      </c>
      <c r="I29" s="15">
        <f t="shared" ca="1" si="4"/>
        <v>0</v>
      </c>
      <c r="J29" s="15">
        <f t="shared" ca="1" si="4"/>
        <v>0</v>
      </c>
      <c r="K29" s="15">
        <f t="shared" ca="1" si="4"/>
        <v>0</v>
      </c>
      <c r="L29" s="15">
        <f t="shared" ca="1" si="4"/>
        <v>100</v>
      </c>
      <c r="M29" s="15">
        <f t="shared" ca="1" si="4"/>
        <v>0</v>
      </c>
      <c r="N29" s="15">
        <f t="shared" ca="1" si="4"/>
        <v>2</v>
      </c>
      <c r="O29" s="15">
        <f t="shared" ca="1" si="4"/>
        <v>31</v>
      </c>
      <c r="P29" s="15">
        <f t="shared" ca="1" si="4"/>
        <v>5</v>
      </c>
      <c r="Q29" s="15">
        <f t="shared" ca="1" si="4"/>
        <v>1</v>
      </c>
      <c r="R29" s="15">
        <f t="shared" ca="1" si="3"/>
        <v>15</v>
      </c>
      <c r="S29" s="15">
        <f t="shared" ca="1" si="3"/>
        <v>0</v>
      </c>
      <c r="T29" s="15">
        <f t="shared" ca="1" si="3"/>
        <v>0</v>
      </c>
      <c r="U29" s="15">
        <f t="shared" ca="1" si="3"/>
        <v>0</v>
      </c>
      <c r="V29" s="15">
        <f t="shared" ca="1" si="3"/>
        <v>0</v>
      </c>
      <c r="W29" s="15">
        <f t="shared" ca="1" si="3"/>
        <v>1</v>
      </c>
    </row>
    <row r="30" spans="1:23" x14ac:dyDescent="0.15">
      <c r="A30" s="20" t="str">
        <f t="shared" ca="1" si="2"/>
        <v>30004_2-2/10&lt;lv33&gt;s2</v>
      </c>
      <c r="B30" s="15">
        <f t="shared" ca="1" si="4"/>
        <v>30004</v>
      </c>
      <c r="C30" s="15">
        <f t="shared" ca="1" si="4"/>
        <v>2</v>
      </c>
      <c r="D30" s="15">
        <f t="shared" ca="1" si="4"/>
        <v>2</v>
      </c>
      <c r="E30" s="15">
        <f t="shared" ca="1" si="4"/>
        <v>10</v>
      </c>
      <c r="F30" s="15">
        <f t="shared" ca="1" si="4"/>
        <v>33</v>
      </c>
      <c r="G30" s="15">
        <f t="shared" ca="1" si="4"/>
        <v>1.1000000000000001</v>
      </c>
      <c r="H30" s="15">
        <f t="shared" ca="1" si="4"/>
        <v>1</v>
      </c>
      <c r="I30" s="15">
        <f t="shared" ca="1" si="4"/>
        <v>0</v>
      </c>
      <c r="J30" s="15">
        <f t="shared" ca="1" si="4"/>
        <v>0</v>
      </c>
      <c r="K30" s="15">
        <f t="shared" ca="1" si="4"/>
        <v>0</v>
      </c>
      <c r="L30" s="15">
        <f t="shared" ca="1" si="4"/>
        <v>100</v>
      </c>
      <c r="M30" s="15">
        <f t="shared" ca="1" si="4"/>
        <v>0</v>
      </c>
      <c r="N30" s="15">
        <f t="shared" ca="1" si="4"/>
        <v>2</v>
      </c>
      <c r="O30" s="15">
        <f t="shared" ca="1" si="4"/>
        <v>10</v>
      </c>
      <c r="P30" s="15">
        <f t="shared" ca="1" si="4"/>
        <v>5</v>
      </c>
      <c r="Q30" s="15">
        <f t="shared" ca="1" si="4"/>
        <v>2</v>
      </c>
      <c r="R30" s="15">
        <f t="shared" ca="1" si="3"/>
        <v>15</v>
      </c>
      <c r="S30" s="15">
        <f t="shared" ca="1" si="3"/>
        <v>0</v>
      </c>
      <c r="T30" s="15">
        <f t="shared" ca="1" si="3"/>
        <v>0</v>
      </c>
      <c r="U30" s="15">
        <f t="shared" ca="1" si="3"/>
        <v>0</v>
      </c>
      <c r="V30" s="15">
        <f t="shared" ca="1" si="3"/>
        <v>0</v>
      </c>
      <c r="W30" s="15">
        <f t="shared" ca="1" si="3"/>
        <v>1</v>
      </c>
    </row>
    <row r="31" spans="1:23" x14ac:dyDescent="0.15">
      <c r="A31" s="20" t="str">
        <f t="shared" ca="1" si="2"/>
        <v>30004_2-2/16&lt;lv33&gt;s3</v>
      </c>
      <c r="B31" s="15">
        <f t="shared" ca="1" si="4"/>
        <v>30004</v>
      </c>
      <c r="C31" s="15">
        <f t="shared" ca="1" si="4"/>
        <v>2</v>
      </c>
      <c r="D31" s="15">
        <f t="shared" ca="1" si="4"/>
        <v>2</v>
      </c>
      <c r="E31" s="15">
        <f t="shared" ca="1" si="4"/>
        <v>16</v>
      </c>
      <c r="F31" s="15">
        <f t="shared" ca="1" si="4"/>
        <v>33</v>
      </c>
      <c r="G31" s="15">
        <f t="shared" ca="1" si="4"/>
        <v>1.1000000000000001</v>
      </c>
      <c r="H31" s="15">
        <f t="shared" ca="1" si="4"/>
        <v>1</v>
      </c>
      <c r="I31" s="15">
        <f t="shared" ca="1" si="4"/>
        <v>0</v>
      </c>
      <c r="J31" s="15">
        <f t="shared" ca="1" si="4"/>
        <v>0</v>
      </c>
      <c r="K31" s="15">
        <f t="shared" ca="1" si="4"/>
        <v>0</v>
      </c>
      <c r="L31" s="15">
        <f t="shared" ca="1" si="4"/>
        <v>100</v>
      </c>
      <c r="M31" s="15">
        <f t="shared" ca="1" si="4"/>
        <v>0</v>
      </c>
      <c r="N31" s="15">
        <f t="shared" ca="1" si="4"/>
        <v>3</v>
      </c>
      <c r="O31" s="15">
        <f t="shared" ca="1" si="4"/>
        <v>16</v>
      </c>
      <c r="P31" s="15">
        <f t="shared" ca="1" si="4"/>
        <v>5</v>
      </c>
      <c r="Q31" s="15">
        <f t="shared" ca="1" si="4"/>
        <v>2</v>
      </c>
      <c r="R31" s="15">
        <f t="shared" ca="1" si="3"/>
        <v>15</v>
      </c>
      <c r="S31" s="15">
        <f t="shared" ca="1" si="3"/>
        <v>0</v>
      </c>
      <c r="T31" s="15">
        <f t="shared" ca="1" si="3"/>
        <v>0</v>
      </c>
      <c r="U31" s="15">
        <f t="shared" ca="1" si="3"/>
        <v>0</v>
      </c>
      <c r="V31" s="15">
        <f t="shared" ca="1" si="3"/>
        <v>0</v>
      </c>
      <c r="W31" s="15">
        <f t="shared" ca="1" si="3"/>
        <v>1</v>
      </c>
    </row>
    <row r="32" spans="1:23" x14ac:dyDescent="0.15">
      <c r="A32" s="20" t="str">
        <f t="shared" ca="1" si="2"/>
        <v>30004_2-2/21&lt;lv33&gt;s2</v>
      </c>
      <c r="B32" s="15">
        <f t="shared" ca="1" si="4"/>
        <v>30004</v>
      </c>
      <c r="C32" s="15">
        <f t="shared" ca="1" si="4"/>
        <v>2</v>
      </c>
      <c r="D32" s="15">
        <f t="shared" ca="1" si="4"/>
        <v>2</v>
      </c>
      <c r="E32" s="15">
        <f t="shared" ca="1" si="4"/>
        <v>21</v>
      </c>
      <c r="F32" s="15">
        <f t="shared" ca="1" si="4"/>
        <v>33</v>
      </c>
      <c r="G32" s="15">
        <f t="shared" ca="1" si="4"/>
        <v>1.1000000000000001</v>
      </c>
      <c r="H32" s="15">
        <f t="shared" ca="1" si="4"/>
        <v>1</v>
      </c>
      <c r="I32" s="15">
        <f t="shared" ca="1" si="4"/>
        <v>0</v>
      </c>
      <c r="J32" s="15">
        <f t="shared" ca="1" si="4"/>
        <v>0</v>
      </c>
      <c r="K32" s="15">
        <f t="shared" ca="1" si="4"/>
        <v>1</v>
      </c>
      <c r="L32" s="15">
        <f t="shared" ca="1" si="4"/>
        <v>100</v>
      </c>
      <c r="M32" s="15">
        <f t="shared" ca="1" si="4"/>
        <v>0</v>
      </c>
      <c r="N32" s="15">
        <f t="shared" ca="1" si="4"/>
        <v>2</v>
      </c>
      <c r="O32" s="15">
        <f t="shared" ca="1" si="4"/>
        <v>21</v>
      </c>
      <c r="P32" s="15">
        <f t="shared" ca="1" si="4"/>
        <v>5</v>
      </c>
      <c r="Q32" s="15">
        <f t="shared" ca="1" si="4"/>
        <v>1</v>
      </c>
      <c r="R32" s="15">
        <f t="shared" ca="1" si="3"/>
        <v>15</v>
      </c>
      <c r="S32" s="15">
        <f t="shared" ca="1" si="3"/>
        <v>0</v>
      </c>
      <c r="T32" s="15">
        <f t="shared" ca="1" si="3"/>
        <v>0</v>
      </c>
      <c r="U32" s="15">
        <f t="shared" ca="1" si="3"/>
        <v>0</v>
      </c>
      <c r="V32" s="15">
        <f t="shared" ca="1" si="3"/>
        <v>0</v>
      </c>
      <c r="W32" s="15">
        <f t="shared" ca="1" si="3"/>
        <v>1</v>
      </c>
    </row>
    <row r="33" spans="1:23" x14ac:dyDescent="0.15">
      <c r="A33" s="20" t="str">
        <f t="shared" ca="1" si="2"/>
        <v>30004_2-2/27&lt;lv33&gt;s1</v>
      </c>
      <c r="B33" s="15">
        <f t="shared" ca="1" si="4"/>
        <v>30004</v>
      </c>
      <c r="C33" s="15">
        <f t="shared" ca="1" si="4"/>
        <v>2</v>
      </c>
      <c r="D33" s="15">
        <f t="shared" ca="1" si="4"/>
        <v>2</v>
      </c>
      <c r="E33" s="15">
        <f t="shared" ca="1" si="4"/>
        <v>27</v>
      </c>
      <c r="F33" s="15">
        <f t="shared" ca="1" si="4"/>
        <v>33</v>
      </c>
      <c r="G33" s="15">
        <f t="shared" ref="G33:V63" ca="1" si="5">VLOOKUP($A33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1.1000000000000001</v>
      </c>
      <c r="H33" s="15">
        <f t="shared" ca="1" si="5"/>
        <v>1</v>
      </c>
      <c r="I33" s="15">
        <f t="shared" ca="1" si="5"/>
        <v>0</v>
      </c>
      <c r="J33" s="15">
        <f t="shared" ca="1" si="5"/>
        <v>0</v>
      </c>
      <c r="K33" s="15">
        <f t="shared" ca="1" si="5"/>
        <v>0</v>
      </c>
      <c r="L33" s="15">
        <f t="shared" ca="1" si="5"/>
        <v>20</v>
      </c>
      <c r="M33" s="15">
        <f t="shared" ca="1" si="5"/>
        <v>0</v>
      </c>
      <c r="N33" s="15">
        <f t="shared" ca="1" si="5"/>
        <v>1</v>
      </c>
      <c r="O33" s="15">
        <f t="shared" ca="1" si="5"/>
        <v>27</v>
      </c>
      <c r="P33" s="15">
        <f t="shared" ca="1" si="5"/>
        <v>5</v>
      </c>
      <c r="Q33" s="15">
        <f t="shared" ca="1" si="5"/>
        <v>1</v>
      </c>
      <c r="R33" s="15">
        <f t="shared" ca="1" si="5"/>
        <v>15</v>
      </c>
      <c r="S33" s="15">
        <f t="shared" ca="1" si="5"/>
        <v>0</v>
      </c>
      <c r="T33" s="15">
        <f t="shared" ca="1" si="5"/>
        <v>0</v>
      </c>
      <c r="U33" s="15">
        <f t="shared" ca="1" si="5"/>
        <v>0</v>
      </c>
      <c r="V33" s="15">
        <f t="shared" ca="1" si="5"/>
        <v>0</v>
      </c>
      <c r="W33" s="15">
        <f t="shared" ca="1" si="3"/>
        <v>1</v>
      </c>
    </row>
    <row r="34" spans="1:23" x14ac:dyDescent="0.15">
      <c r="A34" s="20" t="str">
        <f t="shared" ca="1" si="2"/>
        <v>30004_2-2/29&lt;lv33&gt;s2</v>
      </c>
      <c r="B34" s="15">
        <f t="shared" ref="B34:Q53" ca="1" si="6">VLOOKUP($A34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30004</v>
      </c>
      <c r="C34" s="15">
        <f t="shared" ca="1" si="6"/>
        <v>2</v>
      </c>
      <c r="D34" s="15">
        <f t="shared" ca="1" si="6"/>
        <v>2</v>
      </c>
      <c r="E34" s="15">
        <f t="shared" ca="1" si="6"/>
        <v>29</v>
      </c>
      <c r="F34" s="15">
        <f t="shared" ca="1" si="6"/>
        <v>33</v>
      </c>
      <c r="G34" s="15">
        <f t="shared" ca="1" si="5"/>
        <v>1.1000000000000001</v>
      </c>
      <c r="H34" s="15">
        <f t="shared" ca="1" si="5"/>
        <v>1</v>
      </c>
      <c r="I34" s="15">
        <f t="shared" ca="1" si="5"/>
        <v>0</v>
      </c>
      <c r="J34" s="15">
        <f t="shared" ca="1" si="6"/>
        <v>0</v>
      </c>
      <c r="K34" s="15">
        <f t="shared" ca="1" si="6"/>
        <v>0</v>
      </c>
      <c r="L34" s="15">
        <f t="shared" ca="1" si="6"/>
        <v>100</v>
      </c>
      <c r="M34" s="15">
        <f t="shared" ca="1" si="6"/>
        <v>0</v>
      </c>
      <c r="N34" s="15">
        <f t="shared" ca="1" si="6"/>
        <v>2</v>
      </c>
      <c r="O34" s="15">
        <f t="shared" ca="1" si="6"/>
        <v>29</v>
      </c>
      <c r="P34" s="15">
        <f t="shared" ca="1" si="6"/>
        <v>5</v>
      </c>
      <c r="Q34" s="15">
        <f t="shared" ca="1" si="6"/>
        <v>1</v>
      </c>
      <c r="R34" s="15">
        <f t="shared" ca="1" si="5"/>
        <v>15</v>
      </c>
      <c r="S34" s="15">
        <f t="shared" ca="1" si="5"/>
        <v>0</v>
      </c>
      <c r="T34" s="15">
        <f t="shared" ca="1" si="5"/>
        <v>0</v>
      </c>
      <c r="U34" s="15">
        <f t="shared" ca="1" si="5"/>
        <v>0</v>
      </c>
      <c r="V34" s="15">
        <f t="shared" ca="1" si="5"/>
        <v>0</v>
      </c>
      <c r="W34" s="15">
        <f t="shared" ca="1" si="3"/>
        <v>1</v>
      </c>
    </row>
    <row r="35" spans="1:23" x14ac:dyDescent="0.15">
      <c r="A35" s="20" t="str">
        <f t="shared" ca="1" si="2"/>
        <v>30004_2-2/31&lt;lv33&gt;s2</v>
      </c>
      <c r="B35" s="15">
        <f t="shared" ca="1" si="6"/>
        <v>30004</v>
      </c>
      <c r="C35" s="15">
        <f t="shared" ca="1" si="6"/>
        <v>2</v>
      </c>
      <c r="D35" s="15">
        <f t="shared" ca="1" si="6"/>
        <v>2</v>
      </c>
      <c r="E35" s="15">
        <f t="shared" ca="1" si="6"/>
        <v>31</v>
      </c>
      <c r="F35" s="15">
        <f t="shared" ca="1" si="6"/>
        <v>33</v>
      </c>
      <c r="G35" s="15">
        <f t="shared" ca="1" si="5"/>
        <v>1.1000000000000001</v>
      </c>
      <c r="H35" s="15">
        <f t="shared" ca="1" si="5"/>
        <v>1</v>
      </c>
      <c r="I35" s="15">
        <f t="shared" ca="1" si="5"/>
        <v>0</v>
      </c>
      <c r="J35" s="15">
        <f t="shared" ca="1" si="6"/>
        <v>0</v>
      </c>
      <c r="K35" s="15">
        <f t="shared" ca="1" si="6"/>
        <v>0</v>
      </c>
      <c r="L35" s="15">
        <f t="shared" ca="1" si="6"/>
        <v>100</v>
      </c>
      <c r="M35" s="15">
        <f t="shared" ca="1" si="6"/>
        <v>0</v>
      </c>
      <c r="N35" s="15">
        <f t="shared" ca="1" si="6"/>
        <v>2</v>
      </c>
      <c r="O35" s="15">
        <f t="shared" ca="1" si="6"/>
        <v>31</v>
      </c>
      <c r="P35" s="15">
        <f t="shared" ca="1" si="6"/>
        <v>5</v>
      </c>
      <c r="Q35" s="15">
        <f t="shared" ca="1" si="6"/>
        <v>1</v>
      </c>
      <c r="R35" s="15">
        <f t="shared" ca="1" si="5"/>
        <v>15</v>
      </c>
      <c r="S35" s="15">
        <f t="shared" ca="1" si="5"/>
        <v>0</v>
      </c>
      <c r="T35" s="15">
        <f t="shared" ca="1" si="5"/>
        <v>0</v>
      </c>
      <c r="U35" s="15">
        <f t="shared" ca="1" si="5"/>
        <v>0</v>
      </c>
      <c r="V35" s="15">
        <f t="shared" ca="1" si="5"/>
        <v>0</v>
      </c>
      <c r="W35" s="15">
        <f t="shared" ca="1" si="3"/>
        <v>1</v>
      </c>
    </row>
    <row r="36" spans="1:23" x14ac:dyDescent="0.15">
      <c r="A36" s="20" t="str">
        <f t="shared" ca="1" si="2"/>
        <v>30004_2-3/126&lt;lv27&gt;s1</v>
      </c>
      <c r="B36" s="15">
        <f t="shared" ca="1" si="6"/>
        <v>30004</v>
      </c>
      <c r="C36" s="15">
        <f t="shared" ca="1" si="6"/>
        <v>2</v>
      </c>
      <c r="D36" s="15">
        <f t="shared" ca="1" si="6"/>
        <v>3</v>
      </c>
      <c r="E36" s="15">
        <f t="shared" ca="1" si="6"/>
        <v>126</v>
      </c>
      <c r="F36" s="15">
        <f t="shared" ca="1" si="6"/>
        <v>27</v>
      </c>
      <c r="G36" s="15">
        <f t="shared" ca="1" si="5"/>
        <v>1</v>
      </c>
      <c r="H36" s="15">
        <f t="shared" ca="1" si="5"/>
        <v>0.9</v>
      </c>
      <c r="I36" s="15">
        <f t="shared" ca="1" si="5"/>
        <v>0</v>
      </c>
      <c r="J36" s="15">
        <f t="shared" ca="1" si="6"/>
        <v>126</v>
      </c>
      <c r="K36" s="15">
        <f t="shared" ca="1" si="6"/>
        <v>0</v>
      </c>
      <c r="L36" s="15">
        <f t="shared" ca="1" si="6"/>
        <v>80</v>
      </c>
      <c r="M36" s="15">
        <f t="shared" ca="1" si="6"/>
        <v>1</v>
      </c>
      <c r="N36" s="15">
        <f t="shared" ca="1" si="6"/>
        <v>1</v>
      </c>
      <c r="O36" s="15">
        <f t="shared" ca="1" si="6"/>
        <v>126</v>
      </c>
      <c r="P36" s="15">
        <f t="shared" ca="1" si="6"/>
        <v>1</v>
      </c>
      <c r="Q36" s="15">
        <f t="shared" ca="1" si="6"/>
        <v>3</v>
      </c>
      <c r="R36" s="15">
        <f t="shared" ca="1" si="5"/>
        <v>0</v>
      </c>
      <c r="S36" s="15">
        <f t="shared" ca="1" si="5"/>
        <v>0</v>
      </c>
      <c r="T36" s="15">
        <f t="shared" ca="1" si="5"/>
        <v>0</v>
      </c>
      <c r="U36" s="15">
        <f t="shared" ca="1" si="5"/>
        <v>0</v>
      </c>
      <c r="V36" s="15">
        <f t="shared" ca="1" si="5"/>
        <v>0</v>
      </c>
      <c r="W36" s="15">
        <f t="shared" ca="1" si="3"/>
        <v>1</v>
      </c>
    </row>
    <row r="37" spans="1:23" x14ac:dyDescent="0.15">
      <c r="A37" s="20" t="str">
        <f t="shared" ca="1" si="2"/>
        <v>30004_2-3/77&lt;lv25&gt;s1</v>
      </c>
      <c r="B37" s="15">
        <f t="shared" ca="1" si="6"/>
        <v>30004</v>
      </c>
      <c r="C37" s="15">
        <f t="shared" ca="1" si="6"/>
        <v>2</v>
      </c>
      <c r="D37" s="15">
        <f t="shared" ca="1" si="6"/>
        <v>3</v>
      </c>
      <c r="E37" s="15">
        <f t="shared" ca="1" si="6"/>
        <v>77</v>
      </c>
      <c r="F37" s="15">
        <f t="shared" ca="1" si="6"/>
        <v>25</v>
      </c>
      <c r="G37" s="15">
        <f t="shared" ca="1" si="5"/>
        <v>0.5</v>
      </c>
      <c r="H37" s="15">
        <f t="shared" ca="1" si="5"/>
        <v>0.1</v>
      </c>
      <c r="I37" s="15">
        <f t="shared" ca="1" si="5"/>
        <v>0</v>
      </c>
      <c r="J37" s="15">
        <f t="shared" ca="1" si="6"/>
        <v>77</v>
      </c>
      <c r="K37" s="15">
        <f t="shared" ca="1" si="6"/>
        <v>0</v>
      </c>
      <c r="L37" s="15">
        <f t="shared" ca="1" si="6"/>
        <v>20</v>
      </c>
      <c r="M37" s="15">
        <f t="shared" ca="1" si="6"/>
        <v>1</v>
      </c>
      <c r="N37" s="15">
        <f t="shared" ca="1" si="6"/>
        <v>1</v>
      </c>
      <c r="O37" s="15">
        <f t="shared" ca="1" si="6"/>
        <v>77</v>
      </c>
      <c r="P37" s="15">
        <f t="shared" ca="1" si="6"/>
        <v>1</v>
      </c>
      <c r="Q37" s="15">
        <f t="shared" ca="1" si="6"/>
        <v>3</v>
      </c>
      <c r="R37" s="15">
        <f t="shared" ca="1" si="5"/>
        <v>15</v>
      </c>
      <c r="S37" s="15">
        <f t="shared" ca="1" si="5"/>
        <v>0</v>
      </c>
      <c r="T37" s="15">
        <f t="shared" ca="1" si="5"/>
        <v>0</v>
      </c>
      <c r="U37" s="15">
        <f t="shared" ca="1" si="5"/>
        <v>0</v>
      </c>
      <c r="V37" s="15">
        <f t="shared" ca="1" si="5"/>
        <v>0</v>
      </c>
      <c r="W37" s="15">
        <f t="shared" ca="1" si="3"/>
        <v>1</v>
      </c>
    </row>
    <row r="38" spans="1:23" x14ac:dyDescent="0.15">
      <c r="A38" s="20" t="str">
        <f t="shared" ca="1" si="2"/>
        <v>30004_2-4/10&lt;lv33&gt;s2</v>
      </c>
      <c r="B38" s="15">
        <f t="shared" ca="1" si="6"/>
        <v>30004</v>
      </c>
      <c r="C38" s="15">
        <f t="shared" ca="1" si="6"/>
        <v>2</v>
      </c>
      <c r="D38" s="15">
        <f t="shared" ca="1" si="6"/>
        <v>4</v>
      </c>
      <c r="E38" s="15">
        <f t="shared" ca="1" si="6"/>
        <v>10</v>
      </c>
      <c r="F38" s="15">
        <f t="shared" ca="1" si="6"/>
        <v>33</v>
      </c>
      <c r="G38" s="15">
        <f t="shared" ca="1" si="5"/>
        <v>1.1000000000000001</v>
      </c>
      <c r="H38" s="15">
        <f t="shared" ca="1" si="5"/>
        <v>1</v>
      </c>
      <c r="I38" s="15">
        <f t="shared" ca="1" si="5"/>
        <v>0</v>
      </c>
      <c r="J38" s="15">
        <f t="shared" ca="1" si="6"/>
        <v>0</v>
      </c>
      <c r="K38" s="15">
        <f t="shared" ca="1" si="6"/>
        <v>0</v>
      </c>
      <c r="L38" s="15">
        <f t="shared" ca="1" si="6"/>
        <v>100</v>
      </c>
      <c r="M38" s="15">
        <f t="shared" ca="1" si="6"/>
        <v>0</v>
      </c>
      <c r="N38" s="15">
        <f t="shared" ca="1" si="6"/>
        <v>2</v>
      </c>
      <c r="O38" s="15">
        <f t="shared" ca="1" si="6"/>
        <v>10</v>
      </c>
      <c r="P38" s="15">
        <f t="shared" ca="1" si="6"/>
        <v>5</v>
      </c>
      <c r="Q38" s="15">
        <f t="shared" ca="1" si="6"/>
        <v>2</v>
      </c>
      <c r="R38" s="15">
        <f t="shared" ca="1" si="5"/>
        <v>15</v>
      </c>
      <c r="S38" s="15">
        <f t="shared" ca="1" si="5"/>
        <v>0</v>
      </c>
      <c r="T38" s="15">
        <f t="shared" ca="1" si="5"/>
        <v>0</v>
      </c>
      <c r="U38" s="15">
        <f t="shared" ca="1" si="5"/>
        <v>0</v>
      </c>
      <c r="V38" s="15">
        <f t="shared" ca="1" si="5"/>
        <v>0</v>
      </c>
      <c r="W38" s="15">
        <f t="shared" ca="1" si="3"/>
        <v>1</v>
      </c>
    </row>
    <row r="39" spans="1:23" x14ac:dyDescent="0.15">
      <c r="A39" s="20" t="str">
        <f t="shared" ca="1" si="2"/>
        <v>30004_2-4/16&lt;lv33&gt;s3</v>
      </c>
      <c r="B39" s="15">
        <f t="shared" ca="1" si="6"/>
        <v>30004</v>
      </c>
      <c r="C39" s="15">
        <f t="shared" ca="1" si="6"/>
        <v>2</v>
      </c>
      <c r="D39" s="15">
        <f t="shared" ca="1" si="6"/>
        <v>4</v>
      </c>
      <c r="E39" s="15">
        <f t="shared" ca="1" si="6"/>
        <v>16</v>
      </c>
      <c r="F39" s="15">
        <f t="shared" ca="1" si="6"/>
        <v>33</v>
      </c>
      <c r="G39" s="15">
        <f t="shared" ca="1" si="5"/>
        <v>1.1000000000000001</v>
      </c>
      <c r="H39" s="15">
        <f t="shared" ca="1" si="5"/>
        <v>1</v>
      </c>
      <c r="I39" s="15">
        <f t="shared" ca="1" si="5"/>
        <v>0</v>
      </c>
      <c r="J39" s="15">
        <f t="shared" ca="1" si="6"/>
        <v>0</v>
      </c>
      <c r="K39" s="15">
        <f t="shared" ca="1" si="6"/>
        <v>0</v>
      </c>
      <c r="L39" s="15">
        <f t="shared" ca="1" si="6"/>
        <v>100</v>
      </c>
      <c r="M39" s="15">
        <f t="shared" ca="1" si="6"/>
        <v>0</v>
      </c>
      <c r="N39" s="15">
        <f t="shared" ca="1" si="6"/>
        <v>3</v>
      </c>
      <c r="O39" s="15">
        <f t="shared" ca="1" si="6"/>
        <v>16</v>
      </c>
      <c r="P39" s="15">
        <f t="shared" ca="1" si="6"/>
        <v>5</v>
      </c>
      <c r="Q39" s="15">
        <f t="shared" ca="1" si="6"/>
        <v>2</v>
      </c>
      <c r="R39" s="15">
        <f t="shared" ca="1" si="5"/>
        <v>15</v>
      </c>
      <c r="S39" s="15">
        <f t="shared" ca="1" si="5"/>
        <v>0</v>
      </c>
      <c r="T39" s="15">
        <f t="shared" ca="1" si="5"/>
        <v>0</v>
      </c>
      <c r="U39" s="15">
        <f t="shared" ca="1" si="5"/>
        <v>0</v>
      </c>
      <c r="V39" s="15">
        <f t="shared" ca="1" si="5"/>
        <v>0</v>
      </c>
      <c r="W39" s="15">
        <f t="shared" ca="1" si="3"/>
        <v>1</v>
      </c>
    </row>
    <row r="40" spans="1:23" x14ac:dyDescent="0.15">
      <c r="A40" s="20" t="str">
        <f t="shared" ca="1" si="2"/>
        <v>30004_2-4/21&lt;lv33&gt;s2</v>
      </c>
      <c r="B40" s="15">
        <f t="shared" ca="1" si="6"/>
        <v>30004</v>
      </c>
      <c r="C40" s="15">
        <f t="shared" ca="1" si="6"/>
        <v>2</v>
      </c>
      <c r="D40" s="15">
        <f t="shared" ca="1" si="6"/>
        <v>4</v>
      </c>
      <c r="E40" s="15">
        <f t="shared" ca="1" si="6"/>
        <v>21</v>
      </c>
      <c r="F40" s="15">
        <f t="shared" ca="1" si="6"/>
        <v>33</v>
      </c>
      <c r="G40" s="15">
        <f t="shared" ca="1" si="5"/>
        <v>1.1000000000000001</v>
      </c>
      <c r="H40" s="15">
        <f t="shared" ca="1" si="5"/>
        <v>1</v>
      </c>
      <c r="I40" s="15">
        <f t="shared" ca="1" si="5"/>
        <v>0</v>
      </c>
      <c r="J40" s="15">
        <f t="shared" ca="1" si="6"/>
        <v>0</v>
      </c>
      <c r="K40" s="15">
        <f t="shared" ca="1" si="6"/>
        <v>0</v>
      </c>
      <c r="L40" s="15">
        <f t="shared" ca="1" si="6"/>
        <v>100</v>
      </c>
      <c r="M40" s="15">
        <f t="shared" ca="1" si="6"/>
        <v>0</v>
      </c>
      <c r="N40" s="15">
        <f t="shared" ca="1" si="6"/>
        <v>2</v>
      </c>
      <c r="O40" s="15">
        <f t="shared" ca="1" si="6"/>
        <v>21</v>
      </c>
      <c r="P40" s="15">
        <f t="shared" ca="1" si="6"/>
        <v>5</v>
      </c>
      <c r="Q40" s="15">
        <f t="shared" ca="1" si="6"/>
        <v>1</v>
      </c>
      <c r="R40" s="15">
        <f t="shared" ca="1" si="5"/>
        <v>15</v>
      </c>
      <c r="S40" s="15">
        <f t="shared" ca="1" si="5"/>
        <v>0</v>
      </c>
      <c r="T40" s="15">
        <f t="shared" ca="1" si="5"/>
        <v>0</v>
      </c>
      <c r="U40" s="15">
        <f t="shared" ca="1" si="5"/>
        <v>0</v>
      </c>
      <c r="V40" s="15">
        <f t="shared" ca="1" si="5"/>
        <v>0</v>
      </c>
      <c r="W40" s="15">
        <f t="shared" ca="1" si="3"/>
        <v>1</v>
      </c>
    </row>
    <row r="41" spans="1:23" x14ac:dyDescent="0.15">
      <c r="A41" s="20" t="str">
        <f t="shared" ca="1" si="2"/>
        <v>30004_2-4/27&lt;lv33&gt;s1</v>
      </c>
      <c r="B41" s="15">
        <f t="shared" ca="1" si="6"/>
        <v>30004</v>
      </c>
      <c r="C41" s="15">
        <f t="shared" ca="1" si="6"/>
        <v>2</v>
      </c>
      <c r="D41" s="15">
        <f t="shared" ca="1" si="6"/>
        <v>4</v>
      </c>
      <c r="E41" s="15">
        <f t="shared" ca="1" si="6"/>
        <v>27</v>
      </c>
      <c r="F41" s="15">
        <f t="shared" ca="1" si="6"/>
        <v>33</v>
      </c>
      <c r="G41" s="15">
        <f t="shared" ca="1" si="5"/>
        <v>1.1000000000000001</v>
      </c>
      <c r="H41" s="15">
        <f t="shared" ca="1" si="5"/>
        <v>1</v>
      </c>
      <c r="I41" s="15">
        <f t="shared" ca="1" si="5"/>
        <v>0</v>
      </c>
      <c r="J41" s="15">
        <f t="shared" ca="1" si="6"/>
        <v>0</v>
      </c>
      <c r="K41" s="15">
        <f t="shared" ca="1" si="6"/>
        <v>1</v>
      </c>
      <c r="L41" s="15">
        <f t="shared" ca="1" si="6"/>
        <v>0</v>
      </c>
      <c r="M41" s="15">
        <f t="shared" ca="1" si="6"/>
        <v>0</v>
      </c>
      <c r="N41" s="15">
        <f t="shared" ca="1" si="6"/>
        <v>1</v>
      </c>
      <c r="O41" s="15">
        <f t="shared" ca="1" si="6"/>
        <v>27</v>
      </c>
      <c r="P41" s="15">
        <f t="shared" ca="1" si="6"/>
        <v>5</v>
      </c>
      <c r="Q41" s="15">
        <f t="shared" ca="1" si="6"/>
        <v>1</v>
      </c>
      <c r="R41" s="15">
        <f t="shared" ca="1" si="5"/>
        <v>15</v>
      </c>
      <c r="S41" s="15">
        <f t="shared" ca="1" si="5"/>
        <v>0</v>
      </c>
      <c r="T41" s="15">
        <f t="shared" ca="1" si="5"/>
        <v>0</v>
      </c>
      <c r="U41" s="15">
        <f t="shared" ca="1" si="5"/>
        <v>0</v>
      </c>
      <c r="V41" s="15">
        <f t="shared" ca="1" si="5"/>
        <v>0</v>
      </c>
      <c r="W41" s="15">
        <f t="shared" ca="1" si="3"/>
        <v>1</v>
      </c>
    </row>
    <row r="42" spans="1:23" x14ac:dyDescent="0.15">
      <c r="A42" s="20" t="str">
        <f t="shared" ca="1" si="2"/>
        <v>30004_2-4/29&lt;lv33&gt;s2</v>
      </c>
      <c r="B42" s="15">
        <f t="shared" ca="1" si="6"/>
        <v>30004</v>
      </c>
      <c r="C42" s="15">
        <f t="shared" ca="1" si="6"/>
        <v>2</v>
      </c>
      <c r="D42" s="15">
        <f t="shared" ca="1" si="6"/>
        <v>4</v>
      </c>
      <c r="E42" s="15">
        <f t="shared" ca="1" si="6"/>
        <v>29</v>
      </c>
      <c r="F42" s="15">
        <f t="shared" ca="1" si="6"/>
        <v>33</v>
      </c>
      <c r="G42" s="15">
        <f t="shared" ca="1" si="5"/>
        <v>1.1000000000000001</v>
      </c>
      <c r="H42" s="15">
        <f t="shared" ca="1" si="5"/>
        <v>1</v>
      </c>
      <c r="I42" s="15">
        <f t="shared" ca="1" si="5"/>
        <v>0</v>
      </c>
      <c r="J42" s="15">
        <f t="shared" ca="1" si="6"/>
        <v>0</v>
      </c>
      <c r="K42" s="15">
        <f t="shared" ca="1" si="6"/>
        <v>0</v>
      </c>
      <c r="L42" s="15">
        <f t="shared" ca="1" si="6"/>
        <v>100</v>
      </c>
      <c r="M42" s="15">
        <f t="shared" ca="1" si="6"/>
        <v>0</v>
      </c>
      <c r="N42" s="15">
        <f t="shared" ca="1" si="6"/>
        <v>2</v>
      </c>
      <c r="O42" s="15">
        <f t="shared" ca="1" si="6"/>
        <v>29</v>
      </c>
      <c r="P42" s="15">
        <f t="shared" ca="1" si="6"/>
        <v>5</v>
      </c>
      <c r="Q42" s="15">
        <f t="shared" ca="1" si="6"/>
        <v>1</v>
      </c>
      <c r="R42" s="15">
        <f t="shared" ca="1" si="5"/>
        <v>15</v>
      </c>
      <c r="S42" s="15">
        <f t="shared" ca="1" si="5"/>
        <v>0</v>
      </c>
      <c r="T42" s="15">
        <f t="shared" ca="1" si="5"/>
        <v>0</v>
      </c>
      <c r="U42" s="15">
        <f t="shared" ca="1" si="5"/>
        <v>0</v>
      </c>
      <c r="V42" s="15">
        <f t="shared" ca="1" si="5"/>
        <v>0</v>
      </c>
      <c r="W42" s="15">
        <f t="shared" ca="1" si="3"/>
        <v>1</v>
      </c>
    </row>
    <row r="43" spans="1:23" x14ac:dyDescent="0.15">
      <c r="A43" s="20" t="str">
        <f t="shared" ca="1" si="2"/>
        <v>30004_2-4/31&lt;lv33&gt;s2</v>
      </c>
      <c r="B43" s="15">
        <f t="shared" ca="1" si="6"/>
        <v>30004</v>
      </c>
      <c r="C43" s="15">
        <f t="shared" ca="1" si="6"/>
        <v>2</v>
      </c>
      <c r="D43" s="15">
        <f t="shared" ca="1" si="6"/>
        <v>4</v>
      </c>
      <c r="E43" s="15">
        <f t="shared" ca="1" si="6"/>
        <v>31</v>
      </c>
      <c r="F43" s="15">
        <f t="shared" ca="1" si="6"/>
        <v>33</v>
      </c>
      <c r="G43" s="15">
        <f t="shared" ca="1" si="5"/>
        <v>1.1000000000000001</v>
      </c>
      <c r="H43" s="15">
        <f t="shared" ca="1" si="5"/>
        <v>1</v>
      </c>
      <c r="I43" s="15">
        <f t="shared" ca="1" si="5"/>
        <v>0</v>
      </c>
      <c r="J43" s="15">
        <f t="shared" ca="1" si="6"/>
        <v>0</v>
      </c>
      <c r="K43" s="15">
        <f t="shared" ca="1" si="6"/>
        <v>0</v>
      </c>
      <c r="L43" s="15">
        <f t="shared" ca="1" si="6"/>
        <v>100</v>
      </c>
      <c r="M43" s="15">
        <f t="shared" ca="1" si="6"/>
        <v>0</v>
      </c>
      <c r="N43" s="15">
        <f t="shared" ca="1" si="6"/>
        <v>2</v>
      </c>
      <c r="O43" s="15">
        <f t="shared" ca="1" si="6"/>
        <v>31</v>
      </c>
      <c r="P43" s="15">
        <f t="shared" ca="1" si="6"/>
        <v>5</v>
      </c>
      <c r="Q43" s="15">
        <f t="shared" ca="1" si="6"/>
        <v>1</v>
      </c>
      <c r="R43" s="15">
        <f t="shared" ca="1" si="5"/>
        <v>15</v>
      </c>
      <c r="S43" s="15">
        <f t="shared" ca="1" si="5"/>
        <v>0</v>
      </c>
      <c r="T43" s="15">
        <f t="shared" ca="1" si="5"/>
        <v>0</v>
      </c>
      <c r="U43" s="15">
        <f t="shared" ca="1" si="5"/>
        <v>0</v>
      </c>
      <c r="V43" s="15">
        <f t="shared" ca="1" si="5"/>
        <v>0</v>
      </c>
      <c r="W43" s="15">
        <f t="shared" ca="1" si="3"/>
        <v>1</v>
      </c>
    </row>
    <row r="44" spans="1:23" x14ac:dyDescent="0.15">
      <c r="A44" s="20" t="str">
        <f t="shared" ca="1" si="2"/>
        <v>30004_2-5/276&lt;lv40&gt;s2</v>
      </c>
      <c r="B44" s="15">
        <f t="shared" ca="1" si="6"/>
        <v>30004</v>
      </c>
      <c r="C44" s="15">
        <f t="shared" ca="1" si="6"/>
        <v>2</v>
      </c>
      <c r="D44" s="15">
        <f t="shared" ca="1" si="6"/>
        <v>5</v>
      </c>
      <c r="E44" s="15">
        <f t="shared" ca="1" si="6"/>
        <v>276</v>
      </c>
      <c r="F44" s="15">
        <f t="shared" ca="1" si="6"/>
        <v>40</v>
      </c>
      <c r="G44" s="15">
        <f t="shared" ca="1" si="5"/>
        <v>2.8</v>
      </c>
      <c r="H44" s="15">
        <f t="shared" ca="1" si="5"/>
        <v>1.6</v>
      </c>
      <c r="I44" s="15">
        <f t="shared" ca="1" si="5"/>
        <v>0</v>
      </c>
      <c r="J44" s="15">
        <f t="shared" ca="1" si="6"/>
        <v>276</v>
      </c>
      <c r="K44" s="15">
        <f t="shared" ca="1" si="6"/>
        <v>1</v>
      </c>
      <c r="L44" s="15">
        <f t="shared" ca="1" si="6"/>
        <v>20</v>
      </c>
      <c r="M44" s="15">
        <f t="shared" ca="1" si="6"/>
        <v>1</v>
      </c>
      <c r="N44" s="15">
        <f t="shared" ca="1" si="6"/>
        <v>2</v>
      </c>
      <c r="O44" s="15">
        <f t="shared" ca="1" si="6"/>
        <v>276</v>
      </c>
      <c r="P44" s="15">
        <f t="shared" ca="1" si="6"/>
        <v>1</v>
      </c>
      <c r="Q44" s="15">
        <f t="shared" ca="1" si="6"/>
        <v>4</v>
      </c>
      <c r="R44" s="15">
        <f ca="1">VLOOKUP($A44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50</v>
      </c>
      <c r="S44" s="15">
        <f t="shared" ca="1" si="5"/>
        <v>0</v>
      </c>
      <c r="T44" s="15">
        <f t="shared" ca="1" si="5"/>
        <v>0</v>
      </c>
      <c r="U44" s="15">
        <f t="shared" ca="1" si="5"/>
        <v>0</v>
      </c>
      <c r="V44" s="15">
        <f t="shared" ca="1" si="5"/>
        <v>0</v>
      </c>
      <c r="W44" s="15">
        <f t="shared" ca="1" si="3"/>
        <v>1</v>
      </c>
    </row>
    <row r="45" spans="1:23" x14ac:dyDescent="0.15">
      <c r="A45" s="20" t="str">
        <f t="shared" ca="1" si="2"/>
        <v>30004_3-1/10&lt;lv44&gt;s2</v>
      </c>
      <c r="B45" s="15">
        <f t="shared" ca="1" si="6"/>
        <v>30004</v>
      </c>
      <c r="C45" s="15">
        <f t="shared" ca="1" si="6"/>
        <v>3</v>
      </c>
      <c r="D45" s="15">
        <f t="shared" ca="1" si="6"/>
        <v>1</v>
      </c>
      <c r="E45" s="15">
        <f t="shared" ca="1" si="6"/>
        <v>10</v>
      </c>
      <c r="F45" s="15">
        <f t="shared" ca="1" si="6"/>
        <v>44</v>
      </c>
      <c r="G45" s="15">
        <f t="shared" ca="1" si="5"/>
        <v>1</v>
      </c>
      <c r="H45" s="15">
        <f t="shared" ca="1" si="5"/>
        <v>1.3</v>
      </c>
      <c r="I45" s="15">
        <f t="shared" ca="1" si="5"/>
        <v>0</v>
      </c>
      <c r="J45" s="15">
        <f t="shared" ca="1" si="6"/>
        <v>0</v>
      </c>
      <c r="K45" s="15">
        <f t="shared" ca="1" si="6"/>
        <v>0</v>
      </c>
      <c r="L45" s="15">
        <f t="shared" ca="1" si="6"/>
        <v>100</v>
      </c>
      <c r="M45" s="15">
        <f t="shared" ca="1" si="6"/>
        <v>0</v>
      </c>
      <c r="N45" s="15">
        <f t="shared" ca="1" si="6"/>
        <v>2</v>
      </c>
      <c r="O45" s="15">
        <f t="shared" ca="1" si="6"/>
        <v>10</v>
      </c>
      <c r="P45" s="15">
        <f t="shared" ca="1" si="6"/>
        <v>5</v>
      </c>
      <c r="Q45" s="15">
        <f t="shared" ca="1" si="6"/>
        <v>2</v>
      </c>
      <c r="R45" s="15">
        <f t="shared" ca="1" si="5"/>
        <v>15</v>
      </c>
      <c r="S45" s="15">
        <f t="shared" ca="1" si="5"/>
        <v>0</v>
      </c>
      <c r="T45" s="15">
        <f t="shared" ca="1" si="5"/>
        <v>0</v>
      </c>
      <c r="U45" s="15">
        <f t="shared" ca="1" si="5"/>
        <v>0</v>
      </c>
      <c r="V45" s="15">
        <f t="shared" ca="1" si="5"/>
        <v>0</v>
      </c>
      <c r="W45" s="15">
        <f t="shared" ca="1" si="3"/>
        <v>1</v>
      </c>
    </row>
    <row r="46" spans="1:23" x14ac:dyDescent="0.15">
      <c r="A46" s="20" t="str">
        <f t="shared" ca="1" si="2"/>
        <v>30004_3-1/16&lt;lv44&gt;s3</v>
      </c>
      <c r="B46" s="15">
        <f t="shared" ca="1" si="6"/>
        <v>30004</v>
      </c>
      <c r="C46" s="15">
        <f t="shared" ca="1" si="6"/>
        <v>3</v>
      </c>
      <c r="D46" s="15">
        <f t="shared" ca="1" si="6"/>
        <v>1</v>
      </c>
      <c r="E46" s="15">
        <f t="shared" ca="1" si="6"/>
        <v>16</v>
      </c>
      <c r="F46" s="15">
        <f t="shared" ca="1" si="6"/>
        <v>44</v>
      </c>
      <c r="G46" s="15">
        <f t="shared" ca="1" si="5"/>
        <v>1</v>
      </c>
      <c r="H46" s="15">
        <f t="shared" ca="1" si="5"/>
        <v>1.3</v>
      </c>
      <c r="I46" s="15">
        <f t="shared" ca="1" si="5"/>
        <v>0</v>
      </c>
      <c r="J46" s="15">
        <f t="shared" ca="1" si="6"/>
        <v>0</v>
      </c>
      <c r="K46" s="15">
        <f t="shared" ca="1" si="6"/>
        <v>0</v>
      </c>
      <c r="L46" s="15">
        <f t="shared" ca="1" si="6"/>
        <v>100</v>
      </c>
      <c r="M46" s="15">
        <f t="shared" ca="1" si="6"/>
        <v>0</v>
      </c>
      <c r="N46" s="15">
        <f t="shared" ca="1" si="6"/>
        <v>3</v>
      </c>
      <c r="O46" s="15">
        <f t="shared" ca="1" si="6"/>
        <v>16</v>
      </c>
      <c r="P46" s="15">
        <f t="shared" ca="1" si="6"/>
        <v>5</v>
      </c>
      <c r="Q46" s="15">
        <f t="shared" ca="1" si="6"/>
        <v>2</v>
      </c>
      <c r="R46" s="15">
        <f t="shared" ca="1" si="5"/>
        <v>15</v>
      </c>
      <c r="S46" s="15">
        <f t="shared" ca="1" si="5"/>
        <v>0</v>
      </c>
      <c r="T46" s="15">
        <f t="shared" ca="1" si="5"/>
        <v>0</v>
      </c>
      <c r="U46" s="15">
        <f t="shared" ca="1" si="5"/>
        <v>0</v>
      </c>
      <c r="V46" s="15">
        <f t="shared" ca="1" si="5"/>
        <v>0</v>
      </c>
      <c r="W46" s="15">
        <f t="shared" ca="1" si="3"/>
        <v>1</v>
      </c>
    </row>
    <row r="47" spans="1:23" x14ac:dyDescent="0.15">
      <c r="A47" s="20" t="str">
        <f t="shared" ca="1" si="2"/>
        <v>30004_3-1/43&lt;lv44&gt;s2</v>
      </c>
      <c r="B47" s="15">
        <f t="shared" ca="1" si="6"/>
        <v>30004</v>
      </c>
      <c r="C47" s="15">
        <f t="shared" ca="1" si="6"/>
        <v>3</v>
      </c>
      <c r="D47" s="15">
        <f t="shared" ca="1" si="6"/>
        <v>1</v>
      </c>
      <c r="E47" s="15">
        <f t="shared" ca="1" si="6"/>
        <v>43</v>
      </c>
      <c r="F47" s="15">
        <f t="shared" ca="1" si="6"/>
        <v>44</v>
      </c>
      <c r="G47" s="15">
        <f t="shared" ca="1" si="5"/>
        <v>1</v>
      </c>
      <c r="H47" s="15">
        <f t="shared" ca="1" si="5"/>
        <v>1.3</v>
      </c>
      <c r="I47" s="15">
        <f t="shared" ca="1" si="5"/>
        <v>0</v>
      </c>
      <c r="J47" s="15">
        <f t="shared" ca="1" si="6"/>
        <v>0</v>
      </c>
      <c r="K47" s="15">
        <f t="shared" ca="1" si="6"/>
        <v>0</v>
      </c>
      <c r="L47" s="15">
        <f t="shared" ca="1" si="6"/>
        <v>100</v>
      </c>
      <c r="M47" s="15">
        <f t="shared" ca="1" si="6"/>
        <v>0</v>
      </c>
      <c r="N47" s="15">
        <f t="shared" ca="1" si="6"/>
        <v>2</v>
      </c>
      <c r="O47" s="15">
        <f t="shared" ca="1" si="6"/>
        <v>43</v>
      </c>
      <c r="P47" s="15">
        <f t="shared" ca="1" si="6"/>
        <v>5</v>
      </c>
      <c r="Q47" s="15">
        <f t="shared" ca="1" si="6"/>
        <v>2</v>
      </c>
      <c r="R47" s="15">
        <f t="shared" ca="1" si="5"/>
        <v>15</v>
      </c>
      <c r="S47" s="15">
        <f t="shared" ca="1" si="5"/>
        <v>0</v>
      </c>
      <c r="T47" s="15">
        <f t="shared" ca="1" si="5"/>
        <v>0</v>
      </c>
      <c r="U47" s="15">
        <f t="shared" ca="1" si="5"/>
        <v>0</v>
      </c>
      <c r="V47" s="15">
        <f t="shared" ca="1" si="5"/>
        <v>0</v>
      </c>
      <c r="W47" s="15">
        <f t="shared" ca="1" si="3"/>
        <v>1</v>
      </c>
    </row>
    <row r="48" spans="1:23" x14ac:dyDescent="0.15">
      <c r="A48" s="20" t="str">
        <f t="shared" ca="1" si="2"/>
        <v>30004_3-1/45&lt;lv44&gt;s3</v>
      </c>
      <c r="B48" s="15">
        <f t="shared" ca="1" si="6"/>
        <v>30004</v>
      </c>
      <c r="C48" s="15">
        <f t="shared" ca="1" si="6"/>
        <v>3</v>
      </c>
      <c r="D48" s="15">
        <f t="shared" ca="1" si="6"/>
        <v>1</v>
      </c>
      <c r="E48" s="15">
        <f t="shared" ca="1" si="6"/>
        <v>45</v>
      </c>
      <c r="F48" s="15">
        <f t="shared" ca="1" si="6"/>
        <v>44</v>
      </c>
      <c r="G48" s="15">
        <f t="shared" ca="1" si="5"/>
        <v>1</v>
      </c>
      <c r="H48" s="15">
        <f t="shared" ca="1" si="5"/>
        <v>1.3</v>
      </c>
      <c r="I48" s="15">
        <f t="shared" ca="1" si="5"/>
        <v>0</v>
      </c>
      <c r="J48" s="15">
        <f t="shared" ca="1" si="6"/>
        <v>0</v>
      </c>
      <c r="K48" s="15">
        <f t="shared" ca="1" si="6"/>
        <v>1</v>
      </c>
      <c r="L48" s="15">
        <f t="shared" ca="1" si="6"/>
        <v>100</v>
      </c>
      <c r="M48" s="15">
        <f t="shared" ca="1" si="6"/>
        <v>0</v>
      </c>
      <c r="N48" s="15">
        <f t="shared" ca="1" si="6"/>
        <v>3</v>
      </c>
      <c r="O48" s="15">
        <f t="shared" ca="1" si="6"/>
        <v>45</v>
      </c>
      <c r="P48" s="15">
        <f t="shared" ca="1" si="6"/>
        <v>5</v>
      </c>
      <c r="Q48" s="15">
        <f t="shared" ca="1" si="6"/>
        <v>2</v>
      </c>
      <c r="R48" s="15">
        <f t="shared" ca="1" si="5"/>
        <v>15</v>
      </c>
      <c r="S48" s="15">
        <f t="shared" ca="1" si="5"/>
        <v>0</v>
      </c>
      <c r="T48" s="15">
        <f t="shared" ca="1" si="5"/>
        <v>0</v>
      </c>
      <c r="U48" s="15">
        <f t="shared" ca="1" si="5"/>
        <v>0</v>
      </c>
      <c r="V48" s="15">
        <f t="shared" ca="1" si="5"/>
        <v>0</v>
      </c>
      <c r="W48" s="15">
        <f t="shared" ca="1" si="3"/>
        <v>1</v>
      </c>
    </row>
    <row r="49" spans="1:23" x14ac:dyDescent="0.15">
      <c r="A49" s="20" t="str">
        <f t="shared" ca="1" si="2"/>
        <v>30004_3-2/10&lt;lv44&gt;s2</v>
      </c>
      <c r="B49" s="15">
        <f t="shared" ca="1" si="6"/>
        <v>30004</v>
      </c>
      <c r="C49" s="15">
        <f t="shared" ca="1" si="6"/>
        <v>3</v>
      </c>
      <c r="D49" s="15">
        <f t="shared" ca="1" si="6"/>
        <v>2</v>
      </c>
      <c r="E49" s="15">
        <f t="shared" ca="1" si="6"/>
        <v>10</v>
      </c>
      <c r="F49" s="15">
        <f t="shared" ca="1" si="6"/>
        <v>44</v>
      </c>
      <c r="G49" s="15">
        <f t="shared" ca="1" si="5"/>
        <v>1</v>
      </c>
      <c r="H49" s="15">
        <f t="shared" ca="1" si="5"/>
        <v>1.3</v>
      </c>
      <c r="I49" s="15">
        <f t="shared" ca="1" si="5"/>
        <v>0</v>
      </c>
      <c r="J49" s="15">
        <f t="shared" ca="1" si="6"/>
        <v>0</v>
      </c>
      <c r="K49" s="15">
        <f t="shared" ca="1" si="6"/>
        <v>0</v>
      </c>
      <c r="L49" s="15">
        <f t="shared" ca="1" si="6"/>
        <v>100</v>
      </c>
      <c r="M49" s="15">
        <f t="shared" ca="1" si="6"/>
        <v>0</v>
      </c>
      <c r="N49" s="15">
        <f t="shared" ca="1" si="6"/>
        <v>2</v>
      </c>
      <c r="O49" s="15">
        <f t="shared" ca="1" si="6"/>
        <v>10</v>
      </c>
      <c r="P49" s="15">
        <f t="shared" ca="1" si="6"/>
        <v>5</v>
      </c>
      <c r="Q49" s="15">
        <f t="shared" ca="1" si="6"/>
        <v>2</v>
      </c>
      <c r="R49" s="15">
        <f t="shared" ca="1" si="5"/>
        <v>15</v>
      </c>
      <c r="S49" s="15">
        <f t="shared" ca="1" si="5"/>
        <v>0</v>
      </c>
      <c r="T49" s="15">
        <f t="shared" ca="1" si="5"/>
        <v>0</v>
      </c>
      <c r="U49" s="15">
        <f t="shared" ca="1" si="5"/>
        <v>0</v>
      </c>
      <c r="V49" s="15">
        <f t="shared" ca="1" si="5"/>
        <v>0</v>
      </c>
      <c r="W49" s="15">
        <f t="shared" ca="1" si="3"/>
        <v>1</v>
      </c>
    </row>
    <row r="50" spans="1:23" x14ac:dyDescent="0.15">
      <c r="A50" s="20" t="str">
        <f t="shared" ca="1" si="2"/>
        <v>30004_3-2/16&lt;lv44&gt;s3</v>
      </c>
      <c r="B50" s="15">
        <f t="shared" ca="1" si="6"/>
        <v>30004</v>
      </c>
      <c r="C50" s="15">
        <f t="shared" ca="1" si="6"/>
        <v>3</v>
      </c>
      <c r="D50" s="15">
        <f t="shared" ca="1" si="6"/>
        <v>2</v>
      </c>
      <c r="E50" s="15">
        <f t="shared" ca="1" si="6"/>
        <v>16</v>
      </c>
      <c r="F50" s="15">
        <f t="shared" ca="1" si="6"/>
        <v>44</v>
      </c>
      <c r="G50" s="15">
        <f t="shared" ca="1" si="5"/>
        <v>1</v>
      </c>
      <c r="H50" s="15">
        <f t="shared" ca="1" si="5"/>
        <v>1.3</v>
      </c>
      <c r="I50" s="15">
        <f t="shared" ca="1" si="5"/>
        <v>0</v>
      </c>
      <c r="J50" s="15">
        <f t="shared" ca="1" si="6"/>
        <v>0</v>
      </c>
      <c r="K50" s="15">
        <f t="shared" ca="1" si="6"/>
        <v>0</v>
      </c>
      <c r="L50" s="15">
        <f t="shared" ca="1" si="6"/>
        <v>100</v>
      </c>
      <c r="M50" s="15">
        <f t="shared" ca="1" si="6"/>
        <v>0</v>
      </c>
      <c r="N50" s="15">
        <f t="shared" ca="1" si="6"/>
        <v>3</v>
      </c>
      <c r="O50" s="15">
        <f t="shared" ca="1" si="6"/>
        <v>16</v>
      </c>
      <c r="P50" s="15">
        <f t="shared" ca="1" si="6"/>
        <v>5</v>
      </c>
      <c r="Q50" s="15">
        <f t="shared" ca="1" si="6"/>
        <v>2</v>
      </c>
      <c r="R50" s="15">
        <f t="shared" ca="1" si="5"/>
        <v>15</v>
      </c>
      <c r="S50" s="15">
        <f t="shared" ca="1" si="5"/>
        <v>0</v>
      </c>
      <c r="T50" s="15">
        <f t="shared" ca="1" si="5"/>
        <v>0</v>
      </c>
      <c r="U50" s="15">
        <f t="shared" ca="1" si="5"/>
        <v>0</v>
      </c>
      <c r="V50" s="15">
        <f t="shared" ca="1" si="5"/>
        <v>0</v>
      </c>
      <c r="W50" s="15">
        <f t="shared" ca="1" si="3"/>
        <v>1</v>
      </c>
    </row>
    <row r="51" spans="1:23" x14ac:dyDescent="0.15">
      <c r="A51" s="20" t="str">
        <f t="shared" ca="1" si="2"/>
        <v>30004_3-2/41&lt;lv44&gt;s1</v>
      </c>
      <c r="B51" s="15">
        <f t="shared" ca="1" si="6"/>
        <v>30004</v>
      </c>
      <c r="C51" s="15">
        <f t="shared" ca="1" si="6"/>
        <v>3</v>
      </c>
      <c r="D51" s="15">
        <f t="shared" ca="1" si="6"/>
        <v>2</v>
      </c>
      <c r="E51" s="15">
        <f t="shared" ca="1" si="6"/>
        <v>41</v>
      </c>
      <c r="F51" s="15">
        <f t="shared" ca="1" si="6"/>
        <v>44</v>
      </c>
      <c r="G51" s="15">
        <f t="shared" ca="1" si="5"/>
        <v>1</v>
      </c>
      <c r="H51" s="15">
        <f t="shared" ca="1" si="5"/>
        <v>1.3</v>
      </c>
      <c r="I51" s="15">
        <f t="shared" ca="1" si="5"/>
        <v>0</v>
      </c>
      <c r="J51" s="15">
        <f t="shared" ca="1" si="6"/>
        <v>0</v>
      </c>
      <c r="K51" s="15">
        <f t="shared" ca="1" si="6"/>
        <v>0</v>
      </c>
      <c r="L51" s="15">
        <f t="shared" ca="1" si="6"/>
        <v>20</v>
      </c>
      <c r="M51" s="15">
        <f t="shared" ca="1" si="6"/>
        <v>0</v>
      </c>
      <c r="N51" s="15">
        <f t="shared" ca="1" si="6"/>
        <v>1</v>
      </c>
      <c r="O51" s="15">
        <f t="shared" ca="1" si="6"/>
        <v>41</v>
      </c>
      <c r="P51" s="15">
        <f t="shared" ca="1" si="6"/>
        <v>5</v>
      </c>
      <c r="Q51" s="15">
        <f t="shared" ca="1" si="6"/>
        <v>2</v>
      </c>
      <c r="R51" s="15">
        <f t="shared" ca="1" si="5"/>
        <v>15</v>
      </c>
      <c r="S51" s="15">
        <f t="shared" ca="1" si="5"/>
        <v>0</v>
      </c>
      <c r="T51" s="15">
        <f t="shared" ca="1" si="5"/>
        <v>0</v>
      </c>
      <c r="U51" s="15">
        <f t="shared" ca="1" si="5"/>
        <v>0</v>
      </c>
      <c r="V51" s="15">
        <f t="shared" ca="1" si="5"/>
        <v>0</v>
      </c>
      <c r="W51" s="15">
        <f t="shared" ca="1" si="3"/>
        <v>1</v>
      </c>
    </row>
    <row r="52" spans="1:23" x14ac:dyDescent="0.15">
      <c r="A52" s="20" t="str">
        <f t="shared" ca="1" si="2"/>
        <v>30004_3-2/43&lt;lv44&gt;s2</v>
      </c>
      <c r="B52" s="15">
        <f t="shared" ca="1" si="6"/>
        <v>30004</v>
      </c>
      <c r="C52" s="15">
        <f t="shared" ca="1" si="6"/>
        <v>3</v>
      </c>
      <c r="D52" s="15">
        <f t="shared" ca="1" si="6"/>
        <v>2</v>
      </c>
      <c r="E52" s="15">
        <f t="shared" ca="1" si="6"/>
        <v>43</v>
      </c>
      <c r="F52" s="15">
        <f t="shared" ca="1" si="6"/>
        <v>44</v>
      </c>
      <c r="G52" s="15">
        <f t="shared" ca="1" si="5"/>
        <v>1</v>
      </c>
      <c r="H52" s="15">
        <f t="shared" ca="1" si="5"/>
        <v>1.3</v>
      </c>
      <c r="I52" s="15">
        <f t="shared" ca="1" si="5"/>
        <v>0</v>
      </c>
      <c r="J52" s="15">
        <f t="shared" ca="1" si="6"/>
        <v>0</v>
      </c>
      <c r="K52" s="15">
        <f t="shared" ca="1" si="6"/>
        <v>0</v>
      </c>
      <c r="L52" s="15">
        <f t="shared" ca="1" si="6"/>
        <v>100</v>
      </c>
      <c r="M52" s="15">
        <f t="shared" ca="1" si="6"/>
        <v>0</v>
      </c>
      <c r="N52" s="15">
        <f t="shared" ca="1" si="6"/>
        <v>2</v>
      </c>
      <c r="O52" s="15">
        <f t="shared" ca="1" si="6"/>
        <v>43</v>
      </c>
      <c r="P52" s="15">
        <f t="shared" ca="1" si="6"/>
        <v>5</v>
      </c>
      <c r="Q52" s="15">
        <f t="shared" ca="1" si="6"/>
        <v>2</v>
      </c>
      <c r="R52" s="15">
        <f t="shared" ca="1" si="5"/>
        <v>15</v>
      </c>
      <c r="S52" s="15">
        <f t="shared" ca="1" si="5"/>
        <v>0</v>
      </c>
      <c r="T52" s="15">
        <f t="shared" ca="1" si="5"/>
        <v>0</v>
      </c>
      <c r="U52" s="15">
        <f t="shared" ca="1" si="5"/>
        <v>0</v>
      </c>
      <c r="V52" s="15">
        <f t="shared" ca="1" si="5"/>
        <v>0</v>
      </c>
      <c r="W52" s="15">
        <f t="shared" ca="1" si="3"/>
        <v>1</v>
      </c>
    </row>
    <row r="53" spans="1:23" x14ac:dyDescent="0.15">
      <c r="A53" s="20" t="str">
        <f t="shared" ca="1" si="2"/>
        <v>30004_3-2/45&lt;lv44&gt;s3</v>
      </c>
      <c r="B53" s="15">
        <f t="shared" ca="1" si="6"/>
        <v>30004</v>
      </c>
      <c r="C53" s="15">
        <f t="shared" ca="1" si="6"/>
        <v>3</v>
      </c>
      <c r="D53" s="15">
        <f t="shared" ca="1" si="6"/>
        <v>2</v>
      </c>
      <c r="E53" s="15">
        <f t="shared" ca="1" si="6"/>
        <v>45</v>
      </c>
      <c r="F53" s="15">
        <f t="shared" ca="1" si="6"/>
        <v>44</v>
      </c>
      <c r="G53" s="15">
        <f t="shared" ca="1" si="5"/>
        <v>1</v>
      </c>
      <c r="H53" s="15">
        <f t="shared" ca="1" si="5"/>
        <v>1.3</v>
      </c>
      <c r="I53" s="15">
        <f t="shared" ca="1" si="5"/>
        <v>0</v>
      </c>
      <c r="J53" s="15">
        <f t="shared" ca="1" si="6"/>
        <v>0</v>
      </c>
      <c r="K53" s="15">
        <f t="shared" ca="1" si="6"/>
        <v>0</v>
      </c>
      <c r="L53" s="15">
        <f t="shared" ca="1" si="6"/>
        <v>100</v>
      </c>
      <c r="M53" s="15">
        <f t="shared" ref="M53:W63" ca="1" si="7">VLOOKUP($A53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0</v>
      </c>
      <c r="N53" s="15">
        <f t="shared" ca="1" si="7"/>
        <v>3</v>
      </c>
      <c r="O53" s="15">
        <f t="shared" ca="1" si="7"/>
        <v>45</v>
      </c>
      <c r="P53" s="15">
        <f t="shared" ca="1" si="7"/>
        <v>5</v>
      </c>
      <c r="Q53" s="15">
        <f t="shared" ca="1" si="7"/>
        <v>2</v>
      </c>
      <c r="R53" s="15">
        <f t="shared" ca="1" si="7"/>
        <v>15</v>
      </c>
      <c r="S53" s="15">
        <f t="shared" ca="1" si="7"/>
        <v>0</v>
      </c>
      <c r="T53" s="15">
        <f t="shared" ca="1" si="7"/>
        <v>0</v>
      </c>
      <c r="U53" s="15">
        <f t="shared" ca="1" si="7"/>
        <v>0</v>
      </c>
      <c r="V53" s="15">
        <f t="shared" ca="1" si="7"/>
        <v>0</v>
      </c>
      <c r="W53" s="15">
        <f t="shared" ca="1" si="7"/>
        <v>1</v>
      </c>
    </row>
    <row r="54" spans="1:23" x14ac:dyDescent="0.15">
      <c r="A54" s="20" t="str">
        <f t="shared" ca="1" si="2"/>
        <v>30004_3-2/47&lt;lv44&gt;s1</v>
      </c>
      <c r="B54" s="15">
        <f t="shared" ref="B54:Q63" ca="1" si="8">VLOOKUP($A54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30004</v>
      </c>
      <c r="C54" s="15">
        <f t="shared" ca="1" si="8"/>
        <v>3</v>
      </c>
      <c r="D54" s="15">
        <f t="shared" ca="1" si="8"/>
        <v>2</v>
      </c>
      <c r="E54" s="15">
        <f t="shared" ca="1" si="8"/>
        <v>47</v>
      </c>
      <c r="F54" s="15">
        <f t="shared" ca="1" si="8"/>
        <v>44</v>
      </c>
      <c r="G54" s="15">
        <f t="shared" ca="1" si="5"/>
        <v>1</v>
      </c>
      <c r="H54" s="15">
        <f t="shared" ca="1" si="5"/>
        <v>1.3</v>
      </c>
      <c r="I54" s="15">
        <f t="shared" ca="1" si="5"/>
        <v>0</v>
      </c>
      <c r="J54" s="15">
        <f t="shared" ca="1" si="8"/>
        <v>0</v>
      </c>
      <c r="K54" s="15">
        <f t="shared" ca="1" si="8"/>
        <v>1</v>
      </c>
      <c r="L54" s="15">
        <f t="shared" ca="1" si="8"/>
        <v>20</v>
      </c>
      <c r="M54" s="15">
        <f t="shared" ca="1" si="8"/>
        <v>0</v>
      </c>
      <c r="N54" s="15">
        <f t="shared" ca="1" si="8"/>
        <v>1</v>
      </c>
      <c r="O54" s="15">
        <f t="shared" ca="1" si="8"/>
        <v>47</v>
      </c>
      <c r="P54" s="15">
        <f t="shared" ca="1" si="8"/>
        <v>5</v>
      </c>
      <c r="Q54" s="15">
        <f t="shared" ca="1" si="8"/>
        <v>2</v>
      </c>
      <c r="R54" s="15">
        <f t="shared" ca="1" si="7"/>
        <v>15</v>
      </c>
      <c r="S54" s="15">
        <f t="shared" ca="1" si="7"/>
        <v>0</v>
      </c>
      <c r="T54" s="15">
        <f t="shared" ca="1" si="7"/>
        <v>0</v>
      </c>
      <c r="U54" s="15">
        <f t="shared" ca="1" si="7"/>
        <v>0</v>
      </c>
      <c r="V54" s="15">
        <f t="shared" ca="1" si="7"/>
        <v>0</v>
      </c>
      <c r="W54" s="15">
        <f t="shared" ca="1" si="7"/>
        <v>1</v>
      </c>
    </row>
    <row r="55" spans="1:23" x14ac:dyDescent="0.15">
      <c r="A55" s="20" t="str">
        <f t="shared" ca="1" si="2"/>
        <v>30004_3-3/127&lt;lv38&gt;s1</v>
      </c>
      <c r="B55" s="15">
        <f t="shared" ca="1" si="8"/>
        <v>30004</v>
      </c>
      <c r="C55" s="15">
        <f t="shared" ca="1" si="8"/>
        <v>3</v>
      </c>
      <c r="D55" s="15">
        <f t="shared" ca="1" si="8"/>
        <v>3</v>
      </c>
      <c r="E55" s="15">
        <f t="shared" ca="1" si="8"/>
        <v>127</v>
      </c>
      <c r="F55" s="15">
        <f t="shared" ca="1" si="8"/>
        <v>38</v>
      </c>
      <c r="G55" s="15">
        <f t="shared" ca="1" si="5"/>
        <v>1</v>
      </c>
      <c r="H55" s="15">
        <f t="shared" ca="1" si="5"/>
        <v>1.3</v>
      </c>
      <c r="I55" s="15">
        <f t="shared" ca="1" si="5"/>
        <v>0</v>
      </c>
      <c r="J55" s="15">
        <f t="shared" ca="1" si="8"/>
        <v>126</v>
      </c>
      <c r="K55" s="15">
        <f t="shared" ca="1" si="8"/>
        <v>0</v>
      </c>
      <c r="L55" s="15">
        <f t="shared" ca="1" si="8"/>
        <v>80</v>
      </c>
      <c r="M55" s="15">
        <f t="shared" ca="1" si="8"/>
        <v>1</v>
      </c>
      <c r="N55" s="15">
        <f t="shared" ca="1" si="8"/>
        <v>1</v>
      </c>
      <c r="O55" s="15">
        <f t="shared" ca="1" si="8"/>
        <v>127</v>
      </c>
      <c r="P55" s="15">
        <f t="shared" ca="1" si="8"/>
        <v>1</v>
      </c>
      <c r="Q55" s="15">
        <f t="shared" ca="1" si="8"/>
        <v>4</v>
      </c>
      <c r="R55" s="15">
        <f t="shared" ca="1" si="7"/>
        <v>0</v>
      </c>
      <c r="S55" s="15">
        <f t="shared" ca="1" si="7"/>
        <v>0</v>
      </c>
      <c r="T55" s="15">
        <f t="shared" ca="1" si="7"/>
        <v>0</v>
      </c>
      <c r="U55" s="15">
        <f t="shared" ca="1" si="7"/>
        <v>0</v>
      </c>
      <c r="V55" s="15">
        <f t="shared" ca="1" si="7"/>
        <v>0</v>
      </c>
      <c r="W55" s="15">
        <f t="shared" ca="1" si="7"/>
        <v>1</v>
      </c>
    </row>
    <row r="56" spans="1:23" x14ac:dyDescent="0.15">
      <c r="A56" s="20" t="str">
        <f t="shared" ca="1" si="2"/>
        <v>30004_3-3/78&lt;lv25&gt;s1</v>
      </c>
      <c r="B56" s="15">
        <f t="shared" ca="1" si="8"/>
        <v>30004</v>
      </c>
      <c r="C56" s="15">
        <f t="shared" ca="1" si="8"/>
        <v>3</v>
      </c>
      <c r="D56" s="15">
        <f t="shared" ca="1" si="8"/>
        <v>3</v>
      </c>
      <c r="E56" s="15">
        <f t="shared" ca="1" si="8"/>
        <v>78</v>
      </c>
      <c r="F56" s="15">
        <f t="shared" ca="1" si="8"/>
        <v>25</v>
      </c>
      <c r="G56" s="15">
        <f t="shared" ca="1" si="5"/>
        <v>0.5</v>
      </c>
      <c r="H56" s="15">
        <f t="shared" ca="1" si="5"/>
        <v>0.1</v>
      </c>
      <c r="I56" s="15">
        <f t="shared" ca="1" si="5"/>
        <v>0</v>
      </c>
      <c r="J56" s="15">
        <f t="shared" ca="1" si="8"/>
        <v>77</v>
      </c>
      <c r="K56" s="15">
        <f t="shared" ca="1" si="8"/>
        <v>0</v>
      </c>
      <c r="L56" s="15">
        <f t="shared" ca="1" si="8"/>
        <v>20</v>
      </c>
      <c r="M56" s="15">
        <f t="shared" ca="1" si="8"/>
        <v>1</v>
      </c>
      <c r="N56" s="15">
        <f t="shared" ca="1" si="8"/>
        <v>1</v>
      </c>
      <c r="O56" s="15">
        <f t="shared" ca="1" si="8"/>
        <v>77</v>
      </c>
      <c r="P56" s="15">
        <f t="shared" ca="1" si="8"/>
        <v>1</v>
      </c>
      <c r="Q56" s="15">
        <f t="shared" ca="1" si="8"/>
        <v>3</v>
      </c>
      <c r="R56" s="15">
        <f t="shared" ca="1" si="7"/>
        <v>15</v>
      </c>
      <c r="S56" s="15">
        <f t="shared" ca="1" si="7"/>
        <v>0</v>
      </c>
      <c r="T56" s="15">
        <f t="shared" ca="1" si="7"/>
        <v>0</v>
      </c>
      <c r="U56" s="15">
        <f t="shared" ca="1" si="7"/>
        <v>0</v>
      </c>
      <c r="V56" s="15">
        <f t="shared" ca="1" si="7"/>
        <v>0</v>
      </c>
      <c r="W56" s="15">
        <f t="shared" ca="1" si="7"/>
        <v>1</v>
      </c>
    </row>
    <row r="57" spans="1:23" x14ac:dyDescent="0.15">
      <c r="A57" s="20" t="str">
        <f t="shared" ca="1" si="2"/>
        <v>30004_3-4/10&lt;lv46&gt;s2</v>
      </c>
      <c r="B57" s="15">
        <f t="shared" ca="1" si="8"/>
        <v>30004</v>
      </c>
      <c r="C57" s="15">
        <f t="shared" ca="1" si="8"/>
        <v>3</v>
      </c>
      <c r="D57" s="15">
        <f t="shared" ca="1" si="8"/>
        <v>4</v>
      </c>
      <c r="E57" s="15">
        <f t="shared" ca="1" si="8"/>
        <v>10</v>
      </c>
      <c r="F57" s="15">
        <f t="shared" ca="1" si="8"/>
        <v>46</v>
      </c>
      <c r="G57" s="15">
        <f t="shared" ca="1" si="5"/>
        <v>1</v>
      </c>
      <c r="H57" s="15">
        <f t="shared" ca="1" si="5"/>
        <v>1.3</v>
      </c>
      <c r="I57" s="15">
        <f t="shared" ca="1" si="5"/>
        <v>0</v>
      </c>
      <c r="J57" s="15">
        <f t="shared" ca="1" si="8"/>
        <v>0</v>
      </c>
      <c r="K57" s="15">
        <f t="shared" ca="1" si="8"/>
        <v>0</v>
      </c>
      <c r="L57" s="15">
        <f t="shared" ca="1" si="8"/>
        <v>100</v>
      </c>
      <c r="M57" s="15">
        <f t="shared" ca="1" si="8"/>
        <v>0</v>
      </c>
      <c r="N57" s="15">
        <f t="shared" ca="1" si="8"/>
        <v>2</v>
      </c>
      <c r="O57" s="15">
        <f t="shared" ca="1" si="8"/>
        <v>10</v>
      </c>
      <c r="P57" s="15">
        <f t="shared" ca="1" si="8"/>
        <v>5</v>
      </c>
      <c r="Q57" s="15">
        <f t="shared" ca="1" si="8"/>
        <v>2</v>
      </c>
      <c r="R57" s="15">
        <f t="shared" ca="1" si="7"/>
        <v>15</v>
      </c>
      <c r="S57" s="15">
        <f t="shared" ca="1" si="7"/>
        <v>0</v>
      </c>
      <c r="T57" s="15">
        <f t="shared" ca="1" si="7"/>
        <v>0</v>
      </c>
      <c r="U57" s="15">
        <f t="shared" ca="1" si="7"/>
        <v>0</v>
      </c>
      <c r="V57" s="15">
        <f t="shared" ca="1" si="7"/>
        <v>0</v>
      </c>
      <c r="W57" s="15">
        <f t="shared" ca="1" si="7"/>
        <v>1</v>
      </c>
    </row>
    <row r="58" spans="1:23" x14ac:dyDescent="0.15">
      <c r="A58" s="20" t="str">
        <f t="shared" ca="1" si="2"/>
        <v>30004_3-4/16&lt;lv46&gt;s3</v>
      </c>
      <c r="B58" s="15">
        <f t="shared" ca="1" si="8"/>
        <v>30004</v>
      </c>
      <c r="C58" s="15">
        <f t="shared" ca="1" si="8"/>
        <v>3</v>
      </c>
      <c r="D58" s="15">
        <f t="shared" ca="1" si="8"/>
        <v>4</v>
      </c>
      <c r="E58" s="15">
        <f t="shared" ca="1" si="8"/>
        <v>16</v>
      </c>
      <c r="F58" s="15">
        <f t="shared" ca="1" si="8"/>
        <v>46</v>
      </c>
      <c r="G58" s="15">
        <f t="shared" ca="1" si="5"/>
        <v>1</v>
      </c>
      <c r="H58" s="15">
        <f t="shared" ca="1" si="5"/>
        <v>1.3</v>
      </c>
      <c r="I58" s="15">
        <f t="shared" ca="1" si="5"/>
        <v>0</v>
      </c>
      <c r="J58" s="15">
        <f t="shared" ca="1" si="8"/>
        <v>0</v>
      </c>
      <c r="K58" s="15">
        <f t="shared" ca="1" si="8"/>
        <v>0</v>
      </c>
      <c r="L58" s="15">
        <f t="shared" ca="1" si="8"/>
        <v>100</v>
      </c>
      <c r="M58" s="15">
        <f t="shared" ca="1" si="8"/>
        <v>0</v>
      </c>
      <c r="N58" s="15">
        <f t="shared" ca="1" si="8"/>
        <v>3</v>
      </c>
      <c r="O58" s="15">
        <f t="shared" ca="1" si="8"/>
        <v>16</v>
      </c>
      <c r="P58" s="15">
        <f t="shared" ca="1" si="8"/>
        <v>5</v>
      </c>
      <c r="Q58" s="15">
        <f t="shared" ca="1" si="8"/>
        <v>2</v>
      </c>
      <c r="R58" s="15">
        <f t="shared" ca="1" si="7"/>
        <v>15</v>
      </c>
      <c r="S58" s="15">
        <f t="shared" ca="1" si="7"/>
        <v>0</v>
      </c>
      <c r="T58" s="15">
        <f t="shared" ca="1" si="7"/>
        <v>0</v>
      </c>
      <c r="U58" s="15">
        <f t="shared" ca="1" si="7"/>
        <v>0</v>
      </c>
      <c r="V58" s="15">
        <f t="shared" ca="1" si="7"/>
        <v>0</v>
      </c>
      <c r="W58" s="15">
        <f t="shared" ca="1" si="7"/>
        <v>1</v>
      </c>
    </row>
    <row r="59" spans="1:23" x14ac:dyDescent="0.15">
      <c r="A59" s="20" t="str">
        <f t="shared" ca="1" si="2"/>
        <v>30004_3-4/41&lt;lv46&gt;s1</v>
      </c>
      <c r="B59" s="15">
        <f t="shared" ca="1" si="8"/>
        <v>30004</v>
      </c>
      <c r="C59" s="15">
        <f t="shared" ca="1" si="8"/>
        <v>3</v>
      </c>
      <c r="D59" s="15">
        <f t="shared" ca="1" si="8"/>
        <v>4</v>
      </c>
      <c r="E59" s="15">
        <f t="shared" ca="1" si="8"/>
        <v>41</v>
      </c>
      <c r="F59" s="15">
        <f t="shared" ca="1" si="8"/>
        <v>46</v>
      </c>
      <c r="G59" s="15">
        <f t="shared" ca="1" si="5"/>
        <v>1</v>
      </c>
      <c r="H59" s="15">
        <f t="shared" ca="1" si="5"/>
        <v>1.3</v>
      </c>
      <c r="I59" s="15">
        <f t="shared" ca="1" si="5"/>
        <v>0</v>
      </c>
      <c r="J59" s="15">
        <f t="shared" ca="1" si="8"/>
        <v>0</v>
      </c>
      <c r="K59" s="15">
        <f t="shared" ca="1" si="8"/>
        <v>0</v>
      </c>
      <c r="L59" s="15">
        <f t="shared" ca="1" si="8"/>
        <v>20</v>
      </c>
      <c r="M59" s="15">
        <f t="shared" ca="1" si="8"/>
        <v>0</v>
      </c>
      <c r="N59" s="15">
        <f t="shared" ca="1" si="8"/>
        <v>1</v>
      </c>
      <c r="O59" s="15">
        <f t="shared" ca="1" si="8"/>
        <v>41</v>
      </c>
      <c r="P59" s="15">
        <f t="shared" ca="1" si="8"/>
        <v>5</v>
      </c>
      <c r="Q59" s="15">
        <f t="shared" ca="1" si="8"/>
        <v>2</v>
      </c>
      <c r="R59" s="15">
        <f t="shared" ca="1" si="7"/>
        <v>15</v>
      </c>
      <c r="S59" s="15">
        <f t="shared" ca="1" si="7"/>
        <v>0</v>
      </c>
      <c r="T59" s="15">
        <f t="shared" ca="1" si="7"/>
        <v>0</v>
      </c>
      <c r="U59" s="15">
        <f t="shared" ca="1" si="7"/>
        <v>0</v>
      </c>
      <c r="V59" s="15">
        <f t="shared" ca="1" si="7"/>
        <v>0</v>
      </c>
      <c r="W59" s="15">
        <f t="shared" ca="1" si="7"/>
        <v>1</v>
      </c>
    </row>
    <row r="60" spans="1:23" x14ac:dyDescent="0.15">
      <c r="A60" s="20" t="str">
        <f t="shared" ca="1" si="2"/>
        <v>30004_3-4/43&lt;lv46&gt;s2</v>
      </c>
      <c r="B60" s="15">
        <f t="shared" ca="1" si="8"/>
        <v>30004</v>
      </c>
      <c r="C60" s="15">
        <f t="shared" ca="1" si="8"/>
        <v>3</v>
      </c>
      <c r="D60" s="15">
        <f t="shared" ca="1" si="8"/>
        <v>4</v>
      </c>
      <c r="E60" s="15">
        <f t="shared" ca="1" si="8"/>
        <v>43</v>
      </c>
      <c r="F60" s="15">
        <f t="shared" ca="1" si="8"/>
        <v>46</v>
      </c>
      <c r="G60" s="15">
        <f t="shared" ca="1" si="5"/>
        <v>1</v>
      </c>
      <c r="H60" s="15">
        <f t="shared" ca="1" si="5"/>
        <v>1.3</v>
      </c>
      <c r="I60" s="15">
        <f t="shared" ca="1" si="5"/>
        <v>0</v>
      </c>
      <c r="J60" s="15">
        <f t="shared" ca="1" si="8"/>
        <v>0</v>
      </c>
      <c r="K60" s="15">
        <f t="shared" ca="1" si="8"/>
        <v>0</v>
      </c>
      <c r="L60" s="15">
        <f t="shared" ca="1" si="8"/>
        <v>100</v>
      </c>
      <c r="M60" s="15">
        <f t="shared" ca="1" si="8"/>
        <v>0</v>
      </c>
      <c r="N60" s="15">
        <f t="shared" ca="1" si="8"/>
        <v>2</v>
      </c>
      <c r="O60" s="15">
        <f t="shared" ca="1" si="8"/>
        <v>43</v>
      </c>
      <c r="P60" s="15">
        <f t="shared" ca="1" si="8"/>
        <v>5</v>
      </c>
      <c r="Q60" s="15">
        <f t="shared" ca="1" si="8"/>
        <v>2</v>
      </c>
      <c r="R60" s="15">
        <f t="shared" ca="1" si="7"/>
        <v>15</v>
      </c>
      <c r="S60" s="15">
        <f t="shared" ca="1" si="7"/>
        <v>0</v>
      </c>
      <c r="T60" s="15">
        <f t="shared" ca="1" si="7"/>
        <v>0</v>
      </c>
      <c r="U60" s="15">
        <f t="shared" ca="1" si="7"/>
        <v>0</v>
      </c>
      <c r="V60" s="15">
        <f t="shared" ca="1" si="7"/>
        <v>0</v>
      </c>
      <c r="W60" s="15">
        <f t="shared" ca="1" si="7"/>
        <v>1</v>
      </c>
    </row>
    <row r="61" spans="1:23" x14ac:dyDescent="0.15">
      <c r="A61" s="20" t="str">
        <f t="shared" ca="1" si="2"/>
        <v>30004_3-4/45&lt;lv46&gt;s3</v>
      </c>
      <c r="B61" s="15">
        <f t="shared" ca="1" si="8"/>
        <v>30004</v>
      </c>
      <c r="C61" s="15">
        <f t="shared" ca="1" si="8"/>
        <v>3</v>
      </c>
      <c r="D61" s="15">
        <f t="shared" ca="1" si="8"/>
        <v>4</v>
      </c>
      <c r="E61" s="15">
        <f t="shared" ca="1" si="8"/>
        <v>45</v>
      </c>
      <c r="F61" s="15">
        <f t="shared" ca="1" si="8"/>
        <v>46</v>
      </c>
      <c r="G61" s="15">
        <f t="shared" ca="1" si="5"/>
        <v>1</v>
      </c>
      <c r="H61" s="15">
        <f t="shared" ca="1" si="5"/>
        <v>1.3</v>
      </c>
      <c r="I61" s="15">
        <f t="shared" ca="1" si="5"/>
        <v>0</v>
      </c>
      <c r="J61" s="15">
        <f t="shared" ca="1" si="8"/>
        <v>0</v>
      </c>
      <c r="K61" s="15">
        <f t="shared" ca="1" si="8"/>
        <v>1</v>
      </c>
      <c r="L61" s="15">
        <f t="shared" ca="1" si="8"/>
        <v>100</v>
      </c>
      <c r="M61" s="15">
        <f t="shared" ca="1" si="8"/>
        <v>0</v>
      </c>
      <c r="N61" s="15">
        <f t="shared" ca="1" si="8"/>
        <v>3</v>
      </c>
      <c r="O61" s="15">
        <f t="shared" ca="1" si="8"/>
        <v>45</v>
      </c>
      <c r="P61" s="15">
        <f t="shared" ca="1" si="8"/>
        <v>5</v>
      </c>
      <c r="Q61" s="15">
        <f t="shared" ca="1" si="8"/>
        <v>2</v>
      </c>
      <c r="R61" s="15">
        <f t="shared" ca="1" si="7"/>
        <v>15</v>
      </c>
      <c r="S61" s="15">
        <f t="shared" ca="1" si="7"/>
        <v>0</v>
      </c>
      <c r="T61" s="15">
        <f t="shared" ca="1" si="7"/>
        <v>0</v>
      </c>
      <c r="U61" s="15">
        <f t="shared" ca="1" si="7"/>
        <v>0</v>
      </c>
      <c r="V61" s="15">
        <f t="shared" ca="1" si="7"/>
        <v>0</v>
      </c>
      <c r="W61" s="15">
        <f t="shared" ca="1" si="7"/>
        <v>1</v>
      </c>
    </row>
    <row r="62" spans="1:23" x14ac:dyDescent="0.15">
      <c r="A62" s="20" t="str">
        <f t="shared" ca="1" si="2"/>
        <v>30004_3-4/47&lt;lv46&gt;s1</v>
      </c>
      <c r="B62" s="15">
        <f t="shared" ca="1" si="8"/>
        <v>30004</v>
      </c>
      <c r="C62" s="15">
        <f t="shared" ca="1" si="8"/>
        <v>3</v>
      </c>
      <c r="D62" s="15">
        <f t="shared" ca="1" si="8"/>
        <v>4</v>
      </c>
      <c r="E62" s="15">
        <f t="shared" ca="1" si="8"/>
        <v>47</v>
      </c>
      <c r="F62" s="15">
        <f t="shared" ca="1" si="8"/>
        <v>46</v>
      </c>
      <c r="G62" s="15">
        <f t="shared" ca="1" si="5"/>
        <v>1</v>
      </c>
      <c r="H62" s="15">
        <f t="shared" ca="1" si="5"/>
        <v>1.3</v>
      </c>
      <c r="I62" s="15">
        <f t="shared" ca="1" si="5"/>
        <v>0</v>
      </c>
      <c r="J62" s="15">
        <f t="shared" ca="1" si="8"/>
        <v>0</v>
      </c>
      <c r="K62" s="15">
        <f t="shared" ca="1" si="8"/>
        <v>0</v>
      </c>
      <c r="L62" s="15">
        <f t="shared" ca="1" si="8"/>
        <v>20</v>
      </c>
      <c r="M62" s="15">
        <f t="shared" ca="1" si="8"/>
        <v>0</v>
      </c>
      <c r="N62" s="15">
        <f t="shared" ca="1" si="8"/>
        <v>1</v>
      </c>
      <c r="O62" s="15">
        <f t="shared" ca="1" si="8"/>
        <v>47</v>
      </c>
      <c r="P62" s="15">
        <f t="shared" ca="1" si="8"/>
        <v>5</v>
      </c>
      <c r="Q62" s="15">
        <f t="shared" ca="1" si="8"/>
        <v>2</v>
      </c>
      <c r="R62" s="15">
        <f t="shared" ca="1" si="7"/>
        <v>15</v>
      </c>
      <c r="S62" s="15">
        <f t="shared" ca="1" si="7"/>
        <v>0</v>
      </c>
      <c r="T62" s="15">
        <f t="shared" ca="1" si="7"/>
        <v>0</v>
      </c>
      <c r="U62" s="15">
        <f t="shared" ca="1" si="7"/>
        <v>0</v>
      </c>
      <c r="V62" s="15">
        <f t="shared" ca="1" si="7"/>
        <v>0</v>
      </c>
      <c r="W62" s="15">
        <f t="shared" ca="1" si="7"/>
        <v>1</v>
      </c>
    </row>
    <row r="63" spans="1:23" x14ac:dyDescent="0.15">
      <c r="A63" s="20" t="str">
        <f t="shared" ca="1" si="2"/>
        <v>30004_3-5/277&lt;lv53&gt;s2</v>
      </c>
      <c r="B63" s="15">
        <f t="shared" ca="1" si="8"/>
        <v>30004</v>
      </c>
      <c r="C63" s="15">
        <f t="shared" ca="1" si="8"/>
        <v>3</v>
      </c>
      <c r="D63" s="15">
        <f t="shared" ca="1" si="8"/>
        <v>5</v>
      </c>
      <c r="E63" s="15">
        <f t="shared" ca="1" si="8"/>
        <v>277</v>
      </c>
      <c r="F63" s="15">
        <f t="shared" ca="1" si="8"/>
        <v>53</v>
      </c>
      <c r="G63" s="15">
        <f t="shared" ca="1" si="5"/>
        <v>3.5</v>
      </c>
      <c r="H63" s="15">
        <f t="shared" ca="1" si="5"/>
        <v>1.1499999999999999</v>
      </c>
      <c r="I63" s="15">
        <f t="shared" ca="1" si="5"/>
        <v>0</v>
      </c>
      <c r="J63" s="15">
        <f t="shared" ca="1" si="8"/>
        <v>277</v>
      </c>
      <c r="K63" s="15">
        <f t="shared" ca="1" si="8"/>
        <v>1</v>
      </c>
      <c r="L63" s="15">
        <f t="shared" ca="1" si="8"/>
        <v>100</v>
      </c>
      <c r="M63" s="15">
        <f t="shared" ca="1" si="8"/>
        <v>1</v>
      </c>
      <c r="N63" s="15">
        <f t="shared" ca="1" si="8"/>
        <v>2</v>
      </c>
      <c r="O63" s="15">
        <f t="shared" ca="1" si="8"/>
        <v>276</v>
      </c>
      <c r="P63" s="15">
        <f t="shared" ca="1" si="8"/>
        <v>1</v>
      </c>
      <c r="Q63" s="15">
        <f t="shared" ca="1" si="8"/>
        <v>4</v>
      </c>
      <c r="R63" s="15">
        <f ca="1">VLOOKUP($A63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100</v>
      </c>
      <c r="S63" s="15">
        <f t="shared" ca="1" si="7"/>
        <v>0</v>
      </c>
      <c r="T63" s="15">
        <f t="shared" ca="1" si="7"/>
        <v>0</v>
      </c>
      <c r="U63" s="15">
        <f t="shared" ca="1" si="7"/>
        <v>0</v>
      </c>
      <c r="V63" s="15">
        <f t="shared" ca="1" si="7"/>
        <v>0</v>
      </c>
      <c r="W63" s="15">
        <f t="shared" ca="1" si="7"/>
        <v>1</v>
      </c>
    </row>
    <row r="64" spans="1:23" x14ac:dyDescent="0.15">
      <c r="A64"/>
    </row>
    <row r="65" spans="1:1" x14ac:dyDescent="0.15">
      <c r="A65"/>
    </row>
    <row r="66" spans="1:1" x14ac:dyDescent="0.15">
      <c r="A66"/>
    </row>
    <row r="67" spans="1:1" x14ac:dyDescent="0.15">
      <c r="A67"/>
    </row>
    <row r="68" spans="1:1" x14ac:dyDescent="0.15">
      <c r="A68"/>
    </row>
    <row r="69" spans="1:1" x14ac:dyDescent="0.15">
      <c r="A69"/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floors_multi_1_4</vt:lpstr>
      <vt:lpstr>enemy_habitats_multi_1_4</vt:lpstr>
      <vt:lpstr>floors_multi_1_4.tmp</vt:lpstr>
      <vt:lpstr>enemy_habitats_multi_1_4.tmp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2017-03-08T03:07:26Z</dcterms:modified>
</cp:coreProperties>
</file>