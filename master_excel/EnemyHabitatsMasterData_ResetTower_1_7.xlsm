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620" yWindow="480" windowWidth="25400" windowHeight="16300" tabRatio="74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0" i="16"/>
  <c r="C11" i="16"/>
  <c r="C9" i="16"/>
  <c r="C8" i="16"/>
  <c r="C7" i="16"/>
  <c r="C6" i="16"/>
  <c r="C5" i="16"/>
  <c r="C4" i="16"/>
  <c r="C3" i="16"/>
  <c r="G4" i="21"/>
  <c r="F4" i="21"/>
  <c r="D4" i="21"/>
  <c r="C4" i="21"/>
  <c r="J3" i="11"/>
  <c r="O3" i="9"/>
  <c r="N3" i="9"/>
  <c r="M3" i="9"/>
  <c r="L3" i="9"/>
  <c r="K3" i="9"/>
  <c r="J3" i="9"/>
  <c r="I3" i="9"/>
  <c r="H3" i="9"/>
  <c r="G3" i="9"/>
  <c r="E3" i="9"/>
  <c r="D3" i="9"/>
  <c r="A3" i="9"/>
  <c r="M3" i="10"/>
  <c r="T3" i="10"/>
  <c r="W3" i="10"/>
  <c r="V3" i="10"/>
  <c r="X3" i="10"/>
  <c r="U3" i="10"/>
  <c r="Y3" i="10"/>
  <c r="M12" i="10"/>
  <c r="N12" i="10"/>
  <c r="Q12" i="10"/>
  <c r="P12" i="10"/>
  <c r="R12" i="10"/>
  <c r="O12" i="10"/>
  <c r="S12" i="10"/>
  <c r="N3" i="10"/>
  <c r="Q3" i="10"/>
  <c r="P3" i="10"/>
  <c r="R3" i="10"/>
  <c r="O3" i="10"/>
  <c r="S3" i="10"/>
  <c r="G3" i="10"/>
  <c r="J3" i="10"/>
  <c r="I3" i="10"/>
  <c r="K3" i="10"/>
  <c r="H3" i="10"/>
  <c r="L3" i="10"/>
  <c r="C6" i="18"/>
  <c r="D6" i="18"/>
  <c r="G6" i="21"/>
  <c r="F6" i="21"/>
  <c r="D6" i="21"/>
  <c r="C6" i="21"/>
  <c r="G3" i="21"/>
  <c r="F3" i="21"/>
  <c r="D3" i="21"/>
  <c r="C3" i="21"/>
  <c r="G5" i="21"/>
  <c r="F5" i="21"/>
  <c r="D5" i="21"/>
  <c r="C5" i="21"/>
  <c r="G2" i="21"/>
  <c r="F2" i="21"/>
  <c r="D2" i="21"/>
  <c r="C2" i="21"/>
  <c r="C8" i="18"/>
  <c r="D8" i="18"/>
  <c r="C7" i="18"/>
  <c r="D7" i="18"/>
  <c r="C5" i="18"/>
  <c r="D5" i="18"/>
  <c r="C4" i="18"/>
  <c r="D4" i="18"/>
  <c r="C3" i="18"/>
  <c r="D3" i="18"/>
  <c r="C2" i="18"/>
  <c r="D2" i="18"/>
  <c r="N3" i="22"/>
  <c r="N2" i="22"/>
  <c r="A2" i="22"/>
  <c r="F3" i="22"/>
  <c r="G3" i="22"/>
  <c r="D3" i="22"/>
  <c r="C3" i="22"/>
  <c r="A3" i="22"/>
  <c r="P5" i="1"/>
  <c r="A15" i="9"/>
  <c r="J15" i="11"/>
  <c r="O15" i="9"/>
  <c r="N15" i="9"/>
  <c r="M15" i="9"/>
  <c r="L15" i="9"/>
  <c r="K15" i="9"/>
  <c r="J15" i="9"/>
  <c r="I15" i="9"/>
  <c r="H15" i="9"/>
  <c r="G15" i="9"/>
  <c r="E15" i="9"/>
  <c r="D15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G3" i="2"/>
  <c r="H3" i="2"/>
  <c r="E3" i="2"/>
  <c r="D3" i="2"/>
  <c r="A3" i="2"/>
  <c r="H2" i="1"/>
  <c r="H3" i="1"/>
  <c r="H4" i="1"/>
  <c r="H5" i="1"/>
  <c r="B3" i="2"/>
  <c r="E10" i="9"/>
  <c r="X4" i="1"/>
  <c r="E13" i="9"/>
  <c r="X5" i="1"/>
  <c r="E4" i="9"/>
  <c r="X2" i="1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2" i="11"/>
  <c r="O2" i="9"/>
  <c r="N2" i="9"/>
  <c r="M2" i="9"/>
  <c r="L2" i="9"/>
  <c r="K2" i="9"/>
  <c r="J2" i="9"/>
  <c r="I2" i="9"/>
  <c r="H2" i="9"/>
  <c r="G2" i="9"/>
  <c r="E2" i="9"/>
  <c r="D2" i="9"/>
  <c r="A2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G5" i="10"/>
  <c r="H5" i="10"/>
  <c r="I5" i="10"/>
  <c r="K5" i="10"/>
  <c r="J5" i="10"/>
  <c r="L5" i="10"/>
  <c r="G7" i="10"/>
  <c r="J7" i="10"/>
  <c r="I7" i="10"/>
  <c r="K7" i="10"/>
  <c r="H7" i="10"/>
  <c r="L7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4" i="10"/>
  <c r="J4" i="10"/>
  <c r="I4" i="10"/>
  <c r="K4" i="10"/>
  <c r="H4" i="10"/>
  <c r="L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M2" i="1"/>
  <c r="AD5" i="1"/>
  <c r="AF5" i="1"/>
  <c r="AI5" i="1"/>
  <c r="AG5" i="1"/>
  <c r="AE5" i="1"/>
  <c r="V5" i="1"/>
  <c r="T5" i="1"/>
  <c r="Q5" i="1"/>
  <c r="O5" i="1"/>
  <c r="N5" i="1"/>
  <c r="M5" i="1"/>
  <c r="G2" i="2"/>
  <c r="A2" i="2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J4" i="1"/>
  <c r="I4" i="1"/>
  <c r="D4" i="1"/>
  <c r="F4" i="1"/>
  <c r="E4" i="1"/>
  <c r="A4" i="1"/>
  <c r="V3" i="1"/>
  <c r="V2" i="1"/>
  <c r="T3" i="1"/>
  <c r="T2" i="1"/>
  <c r="E13" i="16"/>
  <c r="G2" i="22"/>
  <c r="F2" i="22"/>
  <c r="D2" i="22"/>
  <c r="C2" i="22"/>
  <c r="E12" i="16"/>
  <c r="E11" i="16"/>
  <c r="E10" i="16"/>
  <c r="E9" i="16"/>
  <c r="AD3" i="1"/>
  <c r="AG3" i="1"/>
  <c r="AF3" i="1"/>
  <c r="AE3" i="1"/>
  <c r="AD2" i="1"/>
  <c r="AG2" i="1"/>
  <c r="AF2" i="1"/>
  <c r="AE2" i="1"/>
  <c r="AC3" i="1"/>
  <c r="AC2" i="1"/>
  <c r="X3" i="1"/>
  <c r="Q3" i="1"/>
  <c r="P3" i="1"/>
  <c r="O3" i="1"/>
  <c r="N3" i="1"/>
  <c r="M3" i="1"/>
  <c r="Q2" i="1"/>
  <c r="P2" i="1"/>
  <c r="O2" i="1"/>
  <c r="N2" i="1"/>
  <c r="AI2" i="1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<sst xmlns="http://schemas.openxmlformats.org/spreadsheetml/2006/main" count="581" uniqueCount="322">
  <si>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</si>
  <si>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</si>
  <si>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</si>
  <si>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</si>
  <si>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</si>
  <si>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</si>
  <si>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</si>
  <si>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</si>
  <si>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</si>
  <si>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</si>
  <si>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</si>
  <si>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</si>
  <si>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</si>
  <si>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</si>
  <si>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</si>
  <si>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</si>
  <si>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</si>
  <si>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</si>
  <si>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</si>
  <si>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</si>
  <si>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</si>
  <si>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</si>
  <si>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</si>
  <si>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</si>
  <si>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</si>
  <si>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</si>
  <si>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</si>
  <si>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</si>
  <si>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</si>
  <si>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</si>
  <si>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</si>
  <si>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</si>
  <si>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</si>
  <si>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</si>
  <si>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</si>
  <si>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</si>
  <si>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</si>
  <si>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</si>
  <si>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</si>
  <si>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</si>
  <si>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</si>
  <si>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</si>
  <si>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</si>
  <si>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</si>
  <si>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</si>
  <si>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</si>
  <si>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</si>
  <si>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</si>
  <si>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</si>
  <si>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</si>
  <si>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</si>
  <si>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</si>
  <si>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</si>
  <si>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</si>
  <si>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</si>
  <si>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</si>
  <si>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</si>
  <si>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</si>
  <si>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</si>
  <si>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</si>
  <si>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</si>
  <si>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</si>
  <si>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</si>
  <si>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</si>
  <si>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</si>
  <si>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</si>
  <si>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</si>
  <si>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</si>
  <si>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</si>
  <si>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</si>
  <si>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</si>
  <si>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</si>
  <si>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</si>
  <si>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</si>
  <si>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</si>
  <si>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</si>
  <si>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</si>
  <si>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</si>
  <si>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</si>
  <si>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</si>
  <si>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</si>
  <si>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</si>
  <si>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</si>
  <si>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</si>
  <si>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</si>
  <si>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</si>
  <si>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</si>
  <si>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</si>
  <si>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</si>
  <si>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</si>
  <si>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</si>
  <si>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</si>
  <si>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</si>
  <si>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</si>
  <si>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</si>
  <si>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</si>
  <si>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</si>
  <si>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</si>
  <si>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</si>
  <si>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</si>
  <si>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</si>
  <si>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</si>
  <si>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</si>
  <si>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</si>
  <si>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</si>
  <si>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</si>
  <si>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</si>
  <si>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</si>
  <si>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</si>
  <si>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</si>
  <si>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</si>
  <si>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</si>
  <si>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</si>
  <si>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</si>
  <si>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</si>
  <si>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</si>
  <si>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</si>
  <si>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</si>
  <si>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</si>
  <si>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</si>
  <si>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</si>
  <si>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</si>
  <si>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</si>
  <si>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</si>
  <si>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</si>
  <si>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</si>
  <si>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</si>
  <si>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</si>
  <si>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</si>
  <si>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</si>
  <si>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</si>
  <si>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</si>
  <si>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</si>
  <si>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</si>
  <si>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</si>
  <si>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</si>
  <si>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</si>
  <si>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</si>
  <si>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</si>
  <si>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</si>
  <si>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</si>
  <si>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</si>
  <si>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</si>
  <si>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</si>
  <si>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</si>
  <si>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</si>
  <si>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</si>
  <si>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</si>
  <si>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</si>
  <si>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</si>
  <si>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</si>
  <si>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</si>
  <si>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</si>
  <si>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</si>
  <si>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</si>
  <si>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</si>
  <si>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</si>
  <si>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</si>
  <si>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</si>
  <si>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</si>
  <si>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</si>
  <si>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</si>
  <si>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</si>
  <si>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</si>
  <si>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</si>
  <si>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</si>
  <si>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</si>
  <si>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</si>
  <si>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</si>
  <si>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</si>
  <si>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</si>
  <si>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</si>
  <si>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</si>
  <si>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</si>
  <si>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</si>
  <si>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</si>
  <si>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</si>
  <si>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</si>
  <si>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</si>
  <si>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</si>
  <si>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</si>
  <si>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</si>
  <si>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</si>
  <si>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</si>
  <si>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</si>
  <si>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</si>
  <si>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</si>
  <si>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</si>
  <si>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</si>
  <si>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</si>
  <si>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</si>
  <si>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</si>
  <si>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</si>
  <si>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</si>
  <si>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</si>
  <si>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</si>
  <si>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</si>
  <si>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</si>
  <si>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</si>
  <si>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</si>
  <si>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</si>
  <si>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</si>
  <si>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</si>
  <si>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</si>
  <si>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</si>
  <si>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</si>
  <si>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</si>
  <si>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</si>
  <si>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</si>
  <si>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</si>
  <si>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</si>
  <si>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</si>
  <si>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</si>
  <si>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</si>
  <si>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</si>
  <si>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</si>
  <si>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</si>
  <si>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</si>
  <si>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</si>
  <si>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</si>
  <si>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</si>
  <si>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</si>
  <si>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</si>
  <si>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</si>
  <si>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</si>
  <si>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</si>
  <si>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</si>
  <si>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</si>
  <si>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</si>
  <si>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</si>
  <si>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</si>
  <si>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</si>
  <si>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</si>
  <si>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</si>
  <si>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</si>
  <si>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</si>
  <si>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</si>
  <si>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</si>
  <si>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</si>
  <si>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</si>
  <si>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</si>
  <si>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</si>
  <si>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</si>
  <si>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</si>
  <si>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</si>
  <si>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</si>
  <si>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</si>
  <si>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</si>
  <si>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</si>
  <si>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ja</t>
    <phoneticPr fontId="5"/>
  </si>
  <si>
    <t>ja</t>
    <phoneticPr fontId="5"/>
  </si>
  <si>
    <t>急いで止めなきゃ！</t>
    <phoneticPr fontId="5"/>
  </si>
  <si>
    <t>ダブルファイヤー</t>
    <phoneticPr fontId="5"/>
  </si>
  <si>
    <t>修復はさせない</t>
    <phoneticPr fontId="5"/>
  </si>
  <si>
    <t>しゅがふる、ふるふる</t>
    <phoneticPr fontId="5"/>
  </si>
  <si>
    <t>黄パネル吸収攻撃</t>
    <phoneticPr fontId="5"/>
  </si>
  <si>
    <t>これあげるぅ！</t>
    <phoneticPr fontId="5"/>
  </si>
  <si>
    <t>邪道時限落とし</t>
    <phoneticPr fontId="5"/>
  </si>
  <si>
    <t>行くわよ！邪刹回転脚！</t>
    <phoneticPr fontId="5"/>
  </si>
  <si>
    <t>絡みつく重り 「精神」</t>
    <phoneticPr fontId="5"/>
  </si>
  <si>
    <t>null</t>
    <phoneticPr fontId="5"/>
  </si>
  <si>
    <t>old</t>
  </si>
  <si>
    <t>くるくる〜</t>
    <phoneticPr fontId="5"/>
  </si>
  <si>
    <t>bit</t>
    <phoneticPr fontId="5"/>
  </si>
  <si>
    <t>singleonly</t>
    <phoneticPr fontId="5"/>
  </si>
  <si>
    <t>clear</t>
    <phoneticPr fontId="5"/>
  </si>
  <si>
    <t>bit</t>
    <phoneticPr fontId="5"/>
  </si>
  <si>
    <t>singleonly</t>
    <phoneticPr fontId="5"/>
  </si>
  <si>
    <t>null</t>
    <phoneticPr fontId="5"/>
  </si>
  <si>
    <t>緑属性に効果大の2回連続攻撃</t>
    <phoneticPr fontId="5"/>
  </si>
  <si>
    <t>赤属性に大ダメージ</t>
    <phoneticPr fontId="5"/>
  </si>
  <si>
    <t>2ターンの間スキルバインド+全体攻撃</t>
    <phoneticPr fontId="5"/>
  </si>
  <si>
    <t>ハートパネルを赤パネルに変換 +単体攻撃</t>
    <phoneticPr fontId="5"/>
  </si>
  <si>
    <t>赤パネルを緑の時限式ダメージパネルに変換</t>
    <phoneticPr fontId="5"/>
  </si>
  <si>
    <t>お邪魔パネルを1個生成+全体攻撃</t>
    <phoneticPr fontId="5"/>
  </si>
  <si>
    <t>ボナンザの声が聞こえる…</t>
    <phoneticPr fontId="5"/>
  </si>
  <si>
    <t>黄パネルプロテクト</t>
    <phoneticPr fontId="5"/>
  </si>
  <si>
    <t>絡みつく重り 「物体」</t>
    <phoneticPr fontId="5"/>
  </si>
  <si>
    <t>近づかないで！</t>
    <phoneticPr fontId="5"/>
  </si>
  <si>
    <t>緑パネルを赤の時限式ダメージパネルに変換
(最大3個)+全体攻撃</t>
    <phoneticPr fontId="5"/>
  </si>
  <si>
    <t>NULL</t>
    <phoneticPr fontId="5"/>
  </si>
  <si>
    <t>時限式ダメージパネルは
しっかりと消しながら
戦いましょう</t>
    <phoneticPr fontId="5"/>
  </si>
  <si>
    <t>シュガフルは黄パネル吸収の
攻撃を行ってきます
黄パネルは早めに
処理しておきましょう</t>
    <phoneticPr fontId="5"/>
  </si>
  <si>
    <t>状態異常耐性+20ターンハートパネル出現率UP</t>
    <phoneticPr fontId="5"/>
  </si>
  <si>
    <t>4ターン全ユニットの回復力50%DOWN
+単体攻撃</t>
    <phoneticPr fontId="5"/>
  </si>
  <si>
    <t>4ターン全ユニットの回復力50％DOWN
+自身の攻撃力UP</t>
    <phoneticPr fontId="5"/>
  </si>
  <si>
    <t>3ターンの間攻撃頻度がUP</t>
    <phoneticPr fontId="5"/>
  </si>
  <si>
    <t>青パネルプロテクト</t>
    <phoneticPr fontId="5"/>
  </si>
  <si>
    <t>[effect:freq_turn, target:myself, turn:3, val:1, animation:enemy_freq_turn],[effect:enemy_message, val1:1.4, val2:1.6]</t>
    <phoneticPr fontId="5"/>
  </si>
  <si>
    <t>ギガファイヤー</t>
    <phoneticPr fontId="5"/>
  </si>
  <si>
    <t>緑属性に大ダメージの全体攻撃</t>
    <phoneticPr fontId="5"/>
  </si>
  <si>
    <t>黄属性に大ダメージの全体攻撃</t>
    <phoneticPr fontId="5"/>
  </si>
  <si>
    <t>リサは黄属性に大ダメージの
全体攻撃を行います
黄1色の編成は避けましょう</t>
    <phoneticPr fontId="5"/>
  </si>
  <si>
    <t>イリアは緑属性に大ダメージの
全体攻撃を行います
緑1色の編成は避けましょう</t>
    <phoneticPr fontId="5"/>
  </si>
  <si>
    <t>緑パネルを赤の時限式ダメージパネルに変換
(最大3個)+全体攻撃</t>
    <phoneticPr fontId="5"/>
  </si>
  <si>
    <t>2ターンスキルバインド+全体攻撃</t>
    <phoneticPr fontId="5"/>
  </si>
  <si>
    <t>[effect:damage_anti_color, target:unit_all, color:yellow, val1:0.59, val2:0.22],[effect:enemy_message, val1:1.4, val2:1.6]</t>
    <phoneticPr fontId="5"/>
  </si>
  <si>
    <t>[effect:damage_anti_color, target:unit_all, color:green, val1:0.42, val2:0.22],[effect:enemy_message, val1:1.4, val2:1.6]</t>
    <phoneticPr fontId="5"/>
  </si>
  <si>
    <t>これあげるぅ！</t>
    <phoneticPr fontId="5"/>
  </si>
  <si>
    <t>女王の名の下に…</t>
    <phoneticPr fontId="5"/>
  </si>
  <si>
    <t>表示しない</t>
    <phoneticPr fontId="5"/>
  </si>
  <si>
    <t>4ターン全ユニットの回復力80%DOWN+
単体攻撃</t>
    <phoneticPr fontId="5"/>
  </si>
  <si>
    <t>ハートパネルを赤パネルに変換+単体攻撃</t>
    <phoneticPr fontId="5"/>
  </si>
  <si>
    <t>[effect:spread, val:0.4],[effect:hungup, target:unit_all, turn:2, rate:1, animation:hungup01],[effect:enemy_message, val1:1.4, val2:2]</t>
    <phoneticPr fontId="5"/>
  </si>
  <si>
    <t>[effect:degrade_unit, target:unit_all, turn:4, status:heal, val:0.8, calc:mul, animation:degrade_unit_all_heal],[effect:enhance_enemy, target:myself, turn:4, status:attack, val:0.45, calc:mul, animation:enemy_enhance_attack],[effect:enemy_message, val1:1.4, val2:2.4]</t>
    <phoneticPr fontId="5"/>
  </si>
  <si>
    <t>[effect:spread, val:0.25],[effect:force_change_block, new_block:time_bomb, target:block_green, color:block_red, count:3, val:0.28, min_time_count:2, max_time_count:4, animation:change_block],[effect:enemy_message, val1:1.4, val2:2.4]</t>
    <phoneticPr fontId="5"/>
  </si>
  <si>
    <t>黄パネルプロテクト+
黄パネルはプロテクト状態でドロップする</t>
    <phoneticPr fontId="5"/>
  </si>
  <si>
    <t>青パネルプロテクト+
青パネルはプロテクト状態でドロップする</t>
    <phoneticPr fontId="5"/>
  </si>
  <si>
    <t>[effect:panel_freeze, target:block_blue, count:-1],[effect:drop_freeze, turn:-1, block_type:normal, block_color:block_blue, frozen_count:1, rate:1, animation:drop_protect],[effect:enemy_message, val1:0, val2:2.5]</t>
    <phoneticPr fontId="5"/>
  </si>
  <si>
    <t>[effect:panel_freeze, target:block_yellow, count:-1],[effect:drop_freeze, turn:-1, block_type:normal, block_color:block_yellow, frozen_count:1, rate:1, animation:drop_protect],[effect:enemy_message, val1:1.4, val2:2.5]</t>
    <phoneticPr fontId="5"/>
  </si>
  <si>
    <t>イリヤとリサは一度だけ
回復力をDOWNしてきます
回復力UPを持つ
ユニットが有効です</t>
    <phoneticPr fontId="5"/>
  </si>
  <si>
    <t>赤パネルを緑の時限式ダメージパネルに変換
(最大3個)+ランダムでお邪魔パネルを1個生成</t>
    <phoneticPr fontId="5"/>
  </si>
  <si>
    <t>ランダムでお邪魔パネルを2個生成+全体攻撃</t>
    <phoneticPr fontId="5"/>
  </si>
  <si>
    <t>[effect:spread, val:0.4],[effect:force_change_block, new_block:jammer, target:block_all, ignore01:color_break, ignore02:crash, ignore03:crack_bomb, ignore04:time_bomb, count:2, val:0, animation:change_block],[effect:enemy_message, val1:1.4, val2:2]</t>
    <phoneticPr fontId="5"/>
  </si>
  <si>
    <t>3ターン全ユニットの回復力70％DOWN+
黄パネル吸収攻撃</t>
    <phoneticPr fontId="5"/>
  </si>
  <si>
    <t>4ターン全ユニットの回復力80％DOWN+
自身の攻撃力UP</t>
    <phoneticPr fontId="5"/>
  </si>
  <si>
    <t>[effect:force_change_block, new_block:block_red, target:block_heart, count:0, val:0, animation:change_block],[effect:rush, count:1, val:0.65],[effect:enemy_message, val1:1.4, val2:2]</t>
    <phoneticPr fontId="5"/>
  </si>
  <si>
    <t>[effect:tolerance, target:enemy_all, turn:-1, count:-1, tolerance_effect:all, animation:enemy_tolerance],[effect:change_panel_ratio, turn:20, block_type:heal, val:0.4, animation:block_incidence04],[effect:enemy_message, val1:1.4, val2:2.7]</t>
    <phoneticPr fontId="5"/>
  </si>
  <si>
    <t>13301_7</t>
    <phoneticPr fontId="5"/>
  </si>
  <si>
    <t>[effect:rush, count:1, val:0.8],[effect:degrade_unit, target:unit_all, turn:4, status:heal, val:0.8, calc:mul, animation:degrade_unit_all_heal],[effect:enemy_message, val1:1.4, val2:2.4]</t>
    <phoneticPr fontId="5"/>
  </si>
  <si>
    <t>[effect:degrade_unit, target:unit_all, turn:3, status:heal, val:0.7, calc:mul, animation:degrade_unit_all_heal],[effect:break_attack_fix, target:unit_one, val:600, lowest_val:500, count:-1, color:blue, block01:block_yellow],[effect:enemy_message, val1:1.4, val2:2.4]</t>
    <phoneticPr fontId="5"/>
  </si>
  <si>
    <t>[effect:force_change_block, new_block:time_bomb, target:block_red, color:block_green, count:3, val:0.28, min_time_count:2, max_time_count:4, animation:change_block],[effect:force_change_block, new_block:jammer, target:block_all, ignore01:time_bomb, ignore02:jammer, count:1, val:0, animation:change_block],[effect:enemy_message, val1:1.4, val2:2.9]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</si>
</sst>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zoomScale="110" zoomScaleNormal="110" zoomScalePageLayoutView="110" workbookViewId="0">
      <selection activeCell="G21" sqref="G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128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261</v>
      </c>
      <c r="B2" s="57" t="s">
        <v>105</v>
      </c>
      <c r="C2" s="62" t="s">
        <v>318</v>
      </c>
      <c r="D2" s="57" t="s">
        <v>106</v>
      </c>
      <c r="E2" s="56" t="str">
        <f>B2&amp;C2&amp;D2</f>
        <v>floors_13301_7.tmp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261</v>
      </c>
      <c r="B3" s="57" t="s">
        <v>108</v>
      </c>
      <c r="C3" s="62" t="str">
        <f t="shared" ref="C3:C13" si="0">C$2</f>
        <v>13301_7</v>
      </c>
      <c r="D3" s="57" t="s">
        <v>106</v>
      </c>
      <c r="E3" s="56" t="str">
        <f>B3&amp;C3&amp;D3</f>
        <v>enemy_habitats_13301_7.tmp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175</v>
      </c>
    </row>
    <row r="4" spans="1:30" x14ac:dyDescent="0.15">
      <c r="A4" s="61" t="s">
        <v>261</v>
      </c>
      <c r="B4" s="57" t="s">
        <v>110</v>
      </c>
      <c r="C4" s="62" t="str">
        <f t="shared" si="0"/>
        <v>13301_7</v>
      </c>
      <c r="D4" s="57" t="s">
        <v>106</v>
      </c>
      <c r="E4" s="56" t="str">
        <f>B4&amp;C4&amp;D4</f>
        <v>enemy_habitat_S_13301_7.tmp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261</v>
      </c>
      <c r="B5" s="57" t="s">
        <v>112</v>
      </c>
      <c r="C5" s="62" t="str">
        <f t="shared" si="0"/>
        <v>13301_7</v>
      </c>
      <c r="D5" s="57" t="s">
        <v>106</v>
      </c>
      <c r="E5" s="56" t="str">
        <f>B5&amp;C5&amp;D5</f>
        <v>enemy_skill_sets_13301_7.tmp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261</v>
      </c>
      <c r="B6" s="57" t="s">
        <v>114</v>
      </c>
      <c r="C6" s="62" t="str">
        <f t="shared" si="0"/>
        <v>13301_7</v>
      </c>
      <c r="D6" s="57" t="s">
        <v>115</v>
      </c>
      <c r="E6" s="56" t="str">
        <f t="shared" ref="E6:E10" si="1">B6&amp;C6&amp;D6</f>
        <v>enemy_skills_tmp_13301_7.tmp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261</v>
      </c>
      <c r="B7" s="57" t="s">
        <v>116</v>
      </c>
      <c r="C7" s="62" t="str">
        <f t="shared" si="0"/>
        <v>13301_7</v>
      </c>
      <c r="D7" s="57" t="s">
        <v>106</v>
      </c>
      <c r="E7" s="56" t="str">
        <f>B7&amp;C7&amp;D7</f>
        <v>enemy_skills_i18n_13301_7.tmp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261</v>
      </c>
      <c r="B8" s="57" t="s">
        <v>118</v>
      </c>
      <c r="C8" s="62" t="str">
        <f t="shared" si="0"/>
        <v>13301_7</v>
      </c>
      <c r="D8" s="57" t="s">
        <v>119</v>
      </c>
      <c r="E8" s="56" t="str">
        <f t="shared" si="1"/>
        <v>enemy_skill_triggers_13301_7.tmp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261</v>
      </c>
      <c r="B9" s="67" t="s">
        <v>174</v>
      </c>
      <c r="C9" s="62" t="str">
        <f t="shared" si="0"/>
        <v>13301_7</v>
      </c>
      <c r="D9" s="67" t="s">
        <v>168</v>
      </c>
      <c r="E9" s="68" t="str">
        <f t="shared" si="1"/>
        <v>stage_bug_bonuses_13301_7.tmp</v>
      </c>
      <c r="F9" s="67" t="s">
        <v>169</v>
      </c>
      <c r="G9" s="64" t="s">
        <v>148</v>
      </c>
      <c r="H9" s="64" t="s">
        <v>170</v>
      </c>
      <c r="I9" s="64" t="s">
        <v>171</v>
      </c>
      <c r="J9" s="66" t="s">
        <v>172</v>
      </c>
      <c r="K9" s="64" t="s">
        <v>173</v>
      </c>
      <c r="L9" s="64" t="s">
        <v>154</v>
      </c>
      <c r="M9" s="64" t="s">
        <v>155</v>
      </c>
      <c r="N9" s="64" t="s">
        <v>156</v>
      </c>
      <c r="O9" s="64" t="s">
        <v>157</v>
      </c>
      <c r="P9" s="64" t="s">
        <v>158</v>
      </c>
      <c r="Q9" s="64" t="s">
        <v>159</v>
      </c>
      <c r="R9" s="64" t="s">
        <v>160</v>
      </c>
      <c r="S9" s="64" t="s">
        <v>161</v>
      </c>
      <c r="T9" s="64" t="s">
        <v>162</v>
      </c>
      <c r="U9" s="64" t="s">
        <v>163</v>
      </c>
      <c r="V9" s="64" t="s">
        <v>164</v>
      </c>
      <c r="W9" s="64" t="s">
        <v>165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184</v>
      </c>
      <c r="B10" s="67" t="s">
        <v>197</v>
      </c>
      <c r="C10" s="62" t="str">
        <f t="shared" si="0"/>
        <v>13301_7</v>
      </c>
      <c r="D10" s="67" t="s">
        <v>177</v>
      </c>
      <c r="E10" s="68" t="str">
        <f t="shared" si="1"/>
        <v>stage_hints_data_c_13301_7.tmp</v>
      </c>
      <c r="F10" s="67" t="s">
        <v>205</v>
      </c>
      <c r="G10" s="72" t="s">
        <v>178</v>
      </c>
      <c r="H10" s="72" t="s">
        <v>170</v>
      </c>
      <c r="I10" s="73" t="s">
        <v>179</v>
      </c>
      <c r="J10" s="66" t="s">
        <v>180</v>
      </c>
      <c r="K10" s="66" t="s">
        <v>181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1" t="s">
        <v>261</v>
      </c>
      <c r="B11" s="67" t="s">
        <v>198</v>
      </c>
      <c r="C11" s="62" t="str">
        <f t="shared" si="0"/>
        <v>13301_7</v>
      </c>
      <c r="D11" s="67" t="s">
        <v>168</v>
      </c>
      <c r="E11" s="68" t="str">
        <f t="shared" ref="E11:E13" si="2">B11&amp;C11&amp;D11</f>
        <v>stage_hints_data_f_13301_7.tmp</v>
      </c>
      <c r="F11" s="67" t="s">
        <v>206</v>
      </c>
      <c r="G11" s="72" t="s">
        <v>178</v>
      </c>
      <c r="H11" s="72" t="s">
        <v>170</v>
      </c>
      <c r="I11" s="73" t="s">
        <v>179</v>
      </c>
      <c r="J11" s="66" t="s">
        <v>180</v>
      </c>
      <c r="K11" s="66" t="s">
        <v>181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61" t="s">
        <v>261</v>
      </c>
      <c r="B12" s="67" t="s">
        <v>199</v>
      </c>
      <c r="C12" s="62" t="str">
        <f t="shared" si="0"/>
        <v>13301_7</v>
      </c>
      <c r="D12" s="67" t="s">
        <v>168</v>
      </c>
      <c r="E12" s="68" t="str">
        <f t="shared" si="2"/>
        <v>stage_hints_i18n_13301_7.tmp</v>
      </c>
      <c r="F12" s="67" t="s">
        <v>207</v>
      </c>
      <c r="G12" s="73" t="s">
        <v>200</v>
      </c>
      <c r="H12" s="91" t="s">
        <v>201</v>
      </c>
      <c r="I12" s="72" t="s">
        <v>202</v>
      </c>
      <c r="J12" s="99" t="s">
        <v>203</v>
      </c>
      <c r="K12" s="66" t="s">
        <v>204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61" t="s">
        <v>261</v>
      </c>
      <c r="B13" s="67" t="s">
        <v>246</v>
      </c>
      <c r="C13" s="62" t="str">
        <f t="shared" si="0"/>
        <v>13301_7</v>
      </c>
      <c r="D13" s="67" t="s">
        <v>227</v>
      </c>
      <c r="E13" s="68" t="str">
        <f t="shared" si="2"/>
        <v>stage_bonuses_13301_7.tmp</v>
      </c>
      <c r="F13" s="67" t="s">
        <v>226</v>
      </c>
      <c r="G13" s="72" t="s">
        <v>228</v>
      </c>
      <c r="H13" s="72" t="s">
        <v>229</v>
      </c>
      <c r="I13" s="72" t="s">
        <v>230</v>
      </c>
      <c r="J13" s="72" t="s">
        <v>231</v>
      </c>
      <c r="K13" s="72" t="s">
        <v>232</v>
      </c>
      <c r="L13" s="72" t="s">
        <v>233</v>
      </c>
      <c r="M13" s="72" t="s">
        <v>234</v>
      </c>
      <c r="N13" s="72" t="s">
        <v>235</v>
      </c>
      <c r="O13" s="72" t="s">
        <v>236</v>
      </c>
      <c r="P13" s="72" t="s">
        <v>237</v>
      </c>
      <c r="Q13" s="72" t="s">
        <v>238</v>
      </c>
      <c r="R13" s="72" t="s">
        <v>239</v>
      </c>
      <c r="S13" s="72" t="s">
        <v>240</v>
      </c>
      <c r="T13" s="72" t="s">
        <v>241</v>
      </c>
      <c r="U13" s="72" t="s">
        <v>242</v>
      </c>
      <c r="V13" s="72" t="s">
        <v>243</v>
      </c>
      <c r="W13" s="72" t="s">
        <v>244</v>
      </c>
      <c r="X13" s="72" t="s">
        <v>245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E7" sqref="E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13301_7-1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7</v>
      </c>
      <c r="G2" s="23" t="str">
        <f>C2&amp;"_"&amp;F2</f>
        <v>13301_7</v>
      </c>
      <c r="H2" s="15" t="str">
        <f ca="1">VLOOKUP($G2,OFFSET([2]stages!$A$1,0,0,COUNTA([2]stages!$A:$A),MATCH(H$1,[2]stages!$2:$2,0)-MATCH($G$1,[2]stages!$2:$2,0)+1),MATCH(H$1,[2]stages!$2:$2,0)-MATCH($G$1,[2]stages!$2:$2,0)+1,FALSE)</f>
        <v>7階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13301_7-2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7</v>
      </c>
      <c r="G3" s="23" t="str">
        <f>C3&amp;"_"&amp;F3</f>
        <v>13301_7</v>
      </c>
      <c r="H3" s="15" t="str">
        <f ca="1">VLOOKUP($G3,OFFSET([2]stages!$A$1,0,0,COUNTA([2]stages!$A:$A),MATCH(H$1,[2]stages!$2:$2,0)-MATCH($G$1,[2]stages!$2:$2,0)+1),MATCH(H$1,[2]stages!$2:$2,0)-MATCH($G$1,[2]stages!$2:$2,0)+1,FALSE)</f>
        <v>7階 コスト制限なし</v>
      </c>
      <c r="I3" s="21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tabSelected="1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K9" sqref="K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3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247</v>
      </c>
      <c r="U1" s="26" t="s">
        <v>50</v>
      </c>
      <c r="V1" s="100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176</v>
      </c>
    </row>
    <row r="2" spans="1:42" ht="21" customHeight="1" x14ac:dyDescent="0.15">
      <c r="A2" s="16" t="str">
        <f ca="1">B2&amp;"_"&amp;C2&amp;"-"&amp;G2&amp;"/"&amp;L2&amp;"&lt;lv"&amp;R2&amp;"&gt;s"&amp;AC2</f>
        <v>13301_7-1/303&lt;lv10&gt;s2</v>
      </c>
      <c r="B2" s="22">
        <v>13301</v>
      </c>
      <c r="C2" s="21">
        <v>7</v>
      </c>
      <c r="D2" s="2" t="str">
        <f>B2&amp;"_"&amp;C2</f>
        <v>13301_7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7階 コスト制限なし</v>
      </c>
      <c r="G2" s="21">
        <v>1</v>
      </c>
      <c r="H2" s="15" t="str">
        <f>B2&amp;"_"&amp;C2&amp;"-"&amp;G2</f>
        <v>13301_7-1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303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哄笑の禁縛 リサ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10</v>
      </c>
      <c r="S2" s="25">
        <v>21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236082</v>
      </c>
      <c r="U2" s="25">
        <v>6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5292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青パネルプロテクト+_x000D_青パネルはプロテクト状態でドロップする</v>
      </c>
      <c r="Y2" s="47">
        <v>13301305</v>
      </c>
      <c r="Z2" s="6">
        <v>1</v>
      </c>
      <c r="AA2" s="6">
        <v>100</v>
      </c>
      <c r="AB2" s="6">
        <v>1</v>
      </c>
      <c r="AC2" s="17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>L2</f>
        <v>303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哄笑の禁縛 リサ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Drop2W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ca="1">B3&amp;"_"&amp;C3&amp;"-"&amp;G3&amp;"/"&amp;L3&amp;"&lt;lv"&amp;R3&amp;"&gt;s"&amp;AC3</f>
        <v>13301_7-1/276&lt;lv10&gt;s2</v>
      </c>
      <c r="B3" s="22">
        <v>13301</v>
      </c>
      <c r="C3" s="21">
        <v>7</v>
      </c>
      <c r="D3" s="2" t="str">
        <f>B3&amp;"_"&amp;C3</f>
        <v>13301_7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7階 コスト制限なし</v>
      </c>
      <c r="G3" s="21">
        <v>1</v>
      </c>
      <c r="H3" s="15" t="str">
        <f>B3&amp;"_"&amp;C3&amp;"-"&amp;G3</f>
        <v>13301_7-1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276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機拳のイリア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10</v>
      </c>
      <c r="S3" s="25">
        <v>20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281060</v>
      </c>
      <c r="U3" s="25">
        <v>4.5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5301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状態異常耐性+20ターンハートパネル出現率UP</v>
      </c>
      <c r="Y3" s="47">
        <v>13301306</v>
      </c>
      <c r="Z3" s="6">
        <v>1</v>
      </c>
      <c r="AA3" s="6">
        <v>100</v>
      </c>
      <c r="AB3" s="6">
        <v>2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>L3</f>
        <v>276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機拳のイリア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13301_7-2/422&lt;lv10&gt;s1</v>
      </c>
      <c r="B4" s="22">
        <v>13301</v>
      </c>
      <c r="C4" s="21">
        <v>7</v>
      </c>
      <c r="D4" s="2" t="str">
        <f>B4&amp;"_"&amp;C4</f>
        <v>13301_7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7階 コスト制限なし</v>
      </c>
      <c r="G4" s="21">
        <v>2</v>
      </c>
      <c r="H4" s="15" t="str">
        <f>B4&amp;"_"&amp;C4&amp;"-"&amp;G4</f>
        <v>13301_7-2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422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シュガフル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10</v>
      </c>
      <c r="S4" s="25">
        <v>18.5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339974.5</v>
      </c>
      <c r="U4" s="25">
        <v>5.3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6455.4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黄パネルプロテクト+_x000D_黄パネルはプロテクト状態でドロップする</v>
      </c>
      <c r="Y4" s="47">
        <v>13301307</v>
      </c>
      <c r="Z4" s="6">
        <v>1</v>
      </c>
      <c r="AA4" s="6">
        <v>100</v>
      </c>
      <c r="AB4" s="6">
        <v>2</v>
      </c>
      <c r="AC4" s="17">
        <v>1</v>
      </c>
      <c r="AD4" s="24">
        <f>L4</f>
        <v>422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シュガフル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>B5&amp;"_"&amp;C5&amp;"-"&amp;G5&amp;"/"&amp;L5&amp;"&lt;lv"&amp;R5&amp;"&gt;s"&amp;AC5</f>
        <v>13301_7-2/292&lt;lv10&gt;s2</v>
      </c>
      <c r="B5" s="22">
        <v>13301</v>
      </c>
      <c r="C5" s="21">
        <v>7</v>
      </c>
      <c r="D5" s="2" t="str">
        <f>B5&amp;"_"&amp;C5</f>
        <v>13301_7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7階 コスト制限なし</v>
      </c>
      <c r="G5" s="21">
        <v>2</v>
      </c>
      <c r="H5" s="15" t="str">
        <f>B5&amp;"_"&amp;C5&amp;"-"&amp;G5</f>
        <v>13301_7-2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292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アナスタシア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10</v>
      </c>
      <c r="S5" s="25">
        <v>24.5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344298.5</v>
      </c>
      <c r="U5" s="25">
        <v>4.9000000000000004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5541.9000000000005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緑パネルを赤の時限式ダメージパネルに変換_x000D_(最大3個)+全体攻撃</v>
      </c>
      <c r="Y5" s="47">
        <v>13301308</v>
      </c>
      <c r="Z5" s="6">
        <v>1</v>
      </c>
      <c r="AA5" s="6">
        <v>100</v>
      </c>
      <c r="AB5" s="6">
        <v>1</v>
      </c>
      <c r="AC5" s="17">
        <v>2</v>
      </c>
      <c r="AD5" s="24">
        <f>L5</f>
        <v>292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アナスタシア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ca="1">AF5</f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W12" sqref="W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247</v>
      </c>
      <c r="V1" s="26" t="s">
        <v>50</v>
      </c>
      <c r="W1" s="100" t="s">
        <v>248</v>
      </c>
      <c r="X1" s="26" t="s">
        <v>52</v>
      </c>
      <c r="Y1" s="28" t="s">
        <v>127</v>
      </c>
      <c r="Z1" s="29" t="s">
        <v>126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5"/>
  <sheetViews>
    <sheetView showGridLines="0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I17" sqref="I1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8.1640625" style="49" customWidth="1" outlineLevel="1"/>
    <col min="5" max="5" width="5.5" style="49" customWidth="1" outlineLevel="1"/>
    <col min="6" max="6" width="9.33203125" style="49" customWidth="1"/>
    <col min="7" max="7" width="8.33203125" style="49" bestFit="1" customWidth="1" outlineLevel="1"/>
    <col min="8" max="8" width="12.83203125" style="49" outlineLevel="1"/>
    <col min="9" max="9" width="46.33203125" style="49" customWidth="1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4" si="0">B2&amp;"_"&amp;C2</f>
        <v>13301306_13301361</v>
      </c>
      <c r="B2" s="47">
        <v>13301306</v>
      </c>
      <c r="C2" s="47">
        <v>13301361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ボナンザの声が聞こえる…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状態異常耐性+20ターンハートパネル出現率UP</v>
      </c>
      <c r="F2" s="47">
        <v>13301361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13301305_13301362</v>
      </c>
      <c r="B3" s="47">
        <v>13301305</v>
      </c>
      <c r="C3" s="47">
        <v>13301362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青パネルプロテクト+_x000D_青パネルはプロテクト状態でドロップする</v>
      </c>
      <c r="F3" s="47">
        <v>13301362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13301305_13301363</v>
      </c>
      <c r="B4" s="47">
        <v>13301305</v>
      </c>
      <c r="C4" s="47">
        <v>13301363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絡みつく重り 「物体」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4ターン全ユニットの回復力80%DOWN+_x000D_単体攻撃</v>
      </c>
      <c r="F4" s="47">
        <v>13301363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4" s="47"/>
      <c r="Q4" s="47"/>
      <c r="R4" s="47"/>
    </row>
    <row r="5" spans="1:18" ht="21" customHeight="1" x14ac:dyDescent="0.15">
      <c r="A5" s="39" t="str">
        <f t="shared" ref="A5:A10" si="2">B5&amp;"_"&amp;C5</f>
        <v>13301305_13301364</v>
      </c>
      <c r="B5" s="47">
        <v>13301305</v>
      </c>
      <c r="C5" s="47">
        <v>13301364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近づかないで！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黄属性に大ダメージの全体攻撃</v>
      </c>
      <c r="F5" s="47">
        <v>13301364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5" s="47"/>
      <c r="Q5" s="47"/>
      <c r="R5" s="47"/>
    </row>
    <row r="6" spans="1:18" ht="21" customHeight="1" x14ac:dyDescent="0.15">
      <c r="A6" s="39" t="str">
        <f t="shared" si="2"/>
        <v>13301305_13301365</v>
      </c>
      <c r="B6" s="47">
        <v>13301305</v>
      </c>
      <c r="C6" s="47">
        <v>13301365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絡みつく重り 「精神」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2ターンスキルバインド+全体攻撃</v>
      </c>
      <c r="F6" s="47">
        <v>13301365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24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24</v>
      </c>
      <c r="P6" s="47"/>
      <c r="Q6" s="47"/>
      <c r="R6" s="47"/>
    </row>
    <row r="7" spans="1:18" ht="21" customHeight="1" x14ac:dyDescent="0.15">
      <c r="A7" s="39" t="str">
        <f t="shared" si="2"/>
        <v>13301306_13301366</v>
      </c>
      <c r="B7" s="47">
        <v>13301306</v>
      </c>
      <c r="C7" s="47">
        <v>13301366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修復はさせない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4ターン全ユニットの回復力80％DOWN+_x000D_自身の攻撃力UP</v>
      </c>
      <c r="F7" s="47">
        <v>13301366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" s="47"/>
      <c r="Q7" s="47"/>
      <c r="R7" s="47"/>
    </row>
    <row r="8" spans="1:18" ht="21" customHeight="1" x14ac:dyDescent="0.15">
      <c r="A8" s="39" t="str">
        <f t="shared" si="2"/>
        <v>13301306_13301367</v>
      </c>
      <c r="B8" s="47">
        <v>13301306</v>
      </c>
      <c r="C8" s="47">
        <v>13301367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ギガファイヤー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緑属性に大ダメージの全体攻撃</v>
      </c>
      <c r="F8" s="47">
        <v>13301367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2"/>
        <v>13301306_13301368</v>
      </c>
      <c r="B9" s="47">
        <v>13301306</v>
      </c>
      <c r="C9" s="47">
        <v>13301368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急いで止めなきゃ！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3ターンの間攻撃頻度がUP</v>
      </c>
      <c r="F9" s="47">
        <v>13301368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" s="47"/>
      <c r="Q9" s="47"/>
      <c r="R9" s="47"/>
    </row>
    <row r="10" spans="1:18" ht="21" customHeight="1" x14ac:dyDescent="0.15">
      <c r="A10" s="39" t="str">
        <f t="shared" si="2"/>
        <v>13301307_13301369</v>
      </c>
      <c r="B10" s="47">
        <v>13301307</v>
      </c>
      <c r="C10" s="47">
        <v>13301369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女王の名の下に…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黄パネルプロテクト+_x000D_黄パネルはプロテクト状態でドロップする</v>
      </c>
      <c r="F10" s="47">
        <v>13301369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:A14" si="3">B11&amp;"_"&amp;C11</f>
        <v>13301307_13301370</v>
      </c>
      <c r="B11" s="47">
        <v>13301307</v>
      </c>
      <c r="C11" s="47">
        <v>13301370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これあげるぅ！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赤パネルを緑の時限式ダメージパネルに変換_x000D_(最大3個)+ランダムでお邪魔パネルを1個生成</v>
      </c>
      <c r="F11" s="47">
        <v>13301370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37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37</v>
      </c>
      <c r="P11" s="47"/>
      <c r="Q11" s="47"/>
      <c r="R11" s="47"/>
    </row>
    <row r="12" spans="1:18" ht="21" customHeight="1" x14ac:dyDescent="0.15">
      <c r="A12" s="39" t="str">
        <f t="shared" si="3"/>
        <v>13301307_13301371</v>
      </c>
      <c r="B12" s="47">
        <v>13301307</v>
      </c>
      <c r="C12" s="47">
        <v>13301371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しゅがふる、ふるふる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3ターン全ユニットの回復力70％DOWN+_x000D_黄パネル吸収攻撃</v>
      </c>
      <c r="F12" s="47">
        <v>13301371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51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51</v>
      </c>
      <c r="P12" s="47"/>
      <c r="Q12" s="47"/>
      <c r="R12" s="47"/>
    </row>
    <row r="13" spans="1:18" ht="21" customHeight="1" x14ac:dyDescent="0.15">
      <c r="A13" s="39" t="str">
        <f t="shared" si="3"/>
        <v>13301308_13301372</v>
      </c>
      <c r="B13" s="47">
        <v>13301308</v>
      </c>
      <c r="C13" s="47">
        <v>13301372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邪道時限落とし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緑パネルを赤の時限式ダメージパネルに変換_x000D_(最大3個)+全体攻撃</v>
      </c>
      <c r="F13" s="47">
        <v>13301372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x14ac:dyDescent="0.15">
      <c r="A14" s="39" t="str">
        <f t="shared" si="3"/>
        <v>13301308_13301373</v>
      </c>
      <c r="B14" s="47">
        <v>13301308</v>
      </c>
      <c r="C14" s="47">
        <v>13301373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行くわよ！邪刹回転脚！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ランダムでお邪魔パネルを2個生成+全体攻撃</v>
      </c>
      <c r="F14" s="47">
        <v>13301373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ref="A15" si="4">B15&amp;"_"&amp;C15</f>
        <v>13301307_13301374</v>
      </c>
      <c r="B15" s="47">
        <v>13301307</v>
      </c>
      <c r="C15" s="47">
        <v>13301374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くるくる〜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ハートパネルを赤パネルに変換+単体攻撃</v>
      </c>
      <c r="F15" s="47">
        <v>13301374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12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12</v>
      </c>
      <c r="P15" s="47"/>
      <c r="Q15" s="47"/>
      <c r="R1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5"/>
  <sheetViews>
    <sheetView showGridLines="0" zoomScale="120" zoomScaleNormal="120" zoomScalePageLayoutView="120" workbookViewId="0">
      <pane ySplit="1" topLeftCell="A4" activePane="bottomLeft" state="frozenSplit"/>
      <selection pane="bottomLeft" activeCell="B9" sqref="B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57.6640625" style="49" customWidth="1"/>
    <col min="3" max="3" width="4.6640625" style="49" customWidth="1"/>
    <col min="4" max="4" width="4.83203125" style="49" customWidth="1"/>
    <col min="5" max="5" width="23.6640625" style="49" bestFit="1" customWidth="1"/>
    <col min="6" max="6" width="57.3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9.33203125" style="49" bestFit="1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13301361</v>
      </c>
      <c r="B2" s="47" t="s">
        <v>317</v>
      </c>
      <c r="C2" s="50">
        <v>3</v>
      </c>
      <c r="D2" s="50" t="s">
        <v>250</v>
      </c>
      <c r="E2" s="51" t="s">
        <v>275</v>
      </c>
      <c r="F2" s="51" t="s">
        <v>283</v>
      </c>
      <c r="G2" s="63" t="str">
        <f>IFERROR(LEFT(B2,FIND("],",B2)),B2)</f>
        <v>[effect:tolerance, target:enemy_all, turn:-1, count:-1, tolerance_effect:all, animation:enemy_tolerance]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36</v>
      </c>
      <c r="L2" s="63" t="str">
        <f>IFERROR(VLOOKUP(MID(G2,J2,K2-J2),[5]skilldef!$C:$D,2,FALSE),"-") &amp; " / " &amp; IFERROR(VLOOKUP(MID(G2,H2,I2-H2),[5]skilldef!$A:$B,2,FALSE),"-")</f>
        <v>敵全体に / 状態異常耐性</v>
      </c>
      <c r="M2" s="63" t="str">
        <f>IFERROR(RIGHT(B2,LEN(B2)-FIND("],",B2)-1),"none")</f>
        <v>[effect:change_panel_ratio, turn:20, block_type:heal, val:0.4, animation:block_incidence04],[effect:enemy_message, val1:1.4, val2:2.7]</v>
      </c>
      <c r="N2" s="48" t="str">
        <f>IFERROR(LEFT(M2,FIND("],",M2)+#REF!),M2)</f>
        <v>[effect:change_panel_ratio, turn:20, block_type:heal, val:0.4, animation:block_incidence04],[effect:enemy_message, val1:1.4, val2:2.7]</v>
      </c>
      <c r="O2" s="63">
        <f>FIND("effect:",N2)+7</f>
        <v>9</v>
      </c>
      <c r="P2" s="63">
        <f>IFERROR(FIND(",",N2),LEN(N2))</f>
        <v>27</v>
      </c>
      <c r="Q2" s="63" t="e">
        <f>FIND("target:",N2)+7</f>
        <v>#VALUE!</v>
      </c>
      <c r="R2" s="63">
        <f>FIND(",",N2,P2+1)</f>
        <v>36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[effect:enemy_message, val1:1.4, val2:2.7]</v>
      </c>
      <c r="U2" s="63">
        <f>FIND("effect:",T2)+7</f>
        <v>9</v>
      </c>
      <c r="V2" s="63">
        <f>IFERROR(FIND(",",T2),LEN(T2))</f>
        <v>22</v>
      </c>
      <c r="W2" s="63" t="e">
        <f>FIND("target:",T2)+7</f>
        <v>#VALUE!</v>
      </c>
      <c r="X2" s="63">
        <f>FIND(",",T2,V2+1)</f>
        <v>32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40" customHeight="1" x14ac:dyDescent="0.15">
      <c r="A3" s="47">
        <v>13301362</v>
      </c>
      <c r="B3" s="47" t="s">
        <v>308</v>
      </c>
      <c r="C3" s="50">
        <v>3</v>
      </c>
      <c r="D3" s="50" t="s">
        <v>195</v>
      </c>
      <c r="E3" s="51" t="s">
        <v>300</v>
      </c>
      <c r="F3" s="51" t="s">
        <v>307</v>
      </c>
      <c r="G3" s="63" t="str">
        <f t="shared" ref="G3" si="0">IFERROR(LEFT(B3,FIND("],",B3)),B3)</f>
        <v>[effect:panel_freeze, target:block_blue, count:-1]</v>
      </c>
      <c r="H3" s="63">
        <f t="shared" ref="H3" si="1">FIND("effect:",G3)+7</f>
        <v>9</v>
      </c>
      <c r="I3" s="63">
        <f t="shared" ref="I3" si="2">IFERROR(FIND(",",G3),LEN(G3))</f>
        <v>21</v>
      </c>
      <c r="J3" s="63">
        <f t="shared" ref="J3" si="3">FIND("target:",G3)+7</f>
        <v>30</v>
      </c>
      <c r="K3" s="63">
        <f t="shared" ref="K3" si="4">FIND(",",G3,I3+1)</f>
        <v>40</v>
      </c>
      <c r="L3" s="63" t="str">
        <f>IFERROR(VLOOKUP(MID(G3,J3,K3-J3),[5]skilldef!$C:$D,2,FALSE),"-") &amp; " / " &amp; IFERROR(VLOOKUP(MID(G3,H3,I3-H3),[5]skilldef!$A:$B,2,FALSE),"-")</f>
        <v>青パネルを / -</v>
      </c>
      <c r="M3" s="63" t="str">
        <f t="shared" ref="M3" si="5">IFERROR(RIGHT(B3,LEN(B3)-FIND("],",B3)-1),"none")</f>
        <v>[effect:drop_freeze, turn:-1, block_type:normal, block_color:block_blue, frozen_count:1, rate:1, animation:drop_protect],[effect:enemy_message, val1:0, val2:2.5]</v>
      </c>
      <c r="N3" s="48" t="str">
        <f>IFERROR(LEFT(M3,FIND("],",M3)+S12),M3)</f>
        <v>[effect:drop_freeze, turn:-1, block_type:normal, block_color:block_blue, frozen_count:1, rate:1, animation:drop_protect],[effect:enemy_message, val1:0, val2:2.5]</v>
      </c>
      <c r="O3" s="63">
        <f t="shared" ref="O3" si="6">FIND("effect:",N3)+7</f>
        <v>9</v>
      </c>
      <c r="P3" s="63">
        <f t="shared" ref="P3" si="7">IFERROR(FIND(",",N3),LEN(N3))</f>
        <v>20</v>
      </c>
      <c r="Q3" s="63" t="e">
        <f t="shared" ref="Q3" si="8">FIND("target:",N3)+7</f>
        <v>#VALUE!</v>
      </c>
      <c r="R3" s="63">
        <f t="shared" ref="R3" si="9">FIND(",",N3,P3+1)</f>
        <v>29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" si="10">IFERROR(RIGHT(M3,LEN(M3)-FIND("],",M3)-1),"none")</f>
        <v>[effect:enemy_message, val1:0, val2:2.5]</v>
      </c>
      <c r="U3" s="63">
        <f t="shared" ref="U3" si="11">FIND("effect:",T3)+7</f>
        <v>9</v>
      </c>
      <c r="V3" s="63">
        <f t="shared" ref="V3" si="12">IFERROR(FIND(",",T3),LEN(T3))</f>
        <v>22</v>
      </c>
      <c r="W3" s="63" t="e">
        <f t="shared" ref="W3" si="13">FIND("target:",T3)+7</f>
        <v>#VALUE!</v>
      </c>
      <c r="X3" s="63">
        <f t="shared" ref="X3" si="14">FIND(",",T3,V3+1)</f>
        <v>30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41" customHeight="1" x14ac:dyDescent="0.15">
      <c r="A4" s="47">
        <v>13301363</v>
      </c>
      <c r="B4" s="47" t="s">
        <v>319</v>
      </c>
      <c r="C4" s="50">
        <v>3</v>
      </c>
      <c r="D4" s="50" t="s">
        <v>250</v>
      </c>
      <c r="E4" s="51" t="s">
        <v>277</v>
      </c>
      <c r="F4" s="51" t="s">
        <v>301</v>
      </c>
      <c r="G4" s="63" t="str">
        <f>IFERROR(LEFT(B4,FIND("],",B4)),B4)</f>
        <v>[effect:rush, count:1, val:0.8]</v>
      </c>
      <c r="H4" s="63">
        <f>FIND("effect:",G4)+7</f>
        <v>9</v>
      </c>
      <c r="I4" s="63">
        <f>IFERROR(FIND(",",G4),LEN(G4))</f>
        <v>13</v>
      </c>
      <c r="J4" s="63" t="e">
        <f>FIND("target:",G4)+7</f>
        <v>#VALUE!</v>
      </c>
      <c r="K4" s="63">
        <f>FIND(",",G4,I4+1)</f>
        <v>22</v>
      </c>
      <c r="L4" s="63" t="str">
        <f>IFERROR(VLOOKUP(MID(G4,J4,K4-J4),[5]skilldef!$C:$D,2,FALSE),"-") &amp; " / " &amp; IFERROR(VLOOKUP(MID(G4,H4,I4-H4),[5]skilldef!$A:$B,2,FALSE),"-")</f>
        <v>- / 連続攻撃</v>
      </c>
      <c r="M4" s="63" t="str">
        <f>IFERROR(RIGHT(#REF!,LEN(#REF!)-FIND("],",#REF!)-1),"none")</f>
        <v>none</v>
      </c>
      <c r="N4" s="48" t="str">
        <f>IFERROR(LEFT(M4,FIND("],",M4)+S14),M4)</f>
        <v>none</v>
      </c>
      <c r="O4" s="63" t="e">
        <f t="shared" ref="O4" si="15">FIND("effect:",N4)+7</f>
        <v>#VALUE!</v>
      </c>
      <c r="P4" s="63">
        <f t="shared" ref="P4" si="16">IFERROR(FIND(",",N4),LEN(N4))</f>
        <v>4</v>
      </c>
      <c r="Q4" s="63" t="e">
        <f t="shared" ref="Q4" si="17">FIND("target:",N4)+7</f>
        <v>#VALUE!</v>
      </c>
      <c r="R4" s="63" t="e">
        <f t="shared" ref="R4" si="18">FIND(",",N4,P4+1)</f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ref="T4" si="19">IFERROR(RIGHT(M4,LEN(M4)-FIND("],",M4)-1),"none")</f>
        <v>none</v>
      </c>
      <c r="U4" s="63" t="e">
        <f t="shared" ref="U4" si="20">FIND("effect:",T4)+7</f>
        <v>#VALUE!</v>
      </c>
      <c r="V4" s="63">
        <f t="shared" ref="V4" si="21">IFERROR(FIND(",",T4),LEN(T4))</f>
        <v>4</v>
      </c>
      <c r="W4" s="63" t="e">
        <f t="shared" ref="W4" si="22">FIND("target:",T4)+7</f>
        <v>#VALUE!</v>
      </c>
      <c r="X4" s="63" t="e">
        <f t="shared" ref="X4" si="23">FIND(",",T4,V4+1)</f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13301364</v>
      </c>
      <c r="B5" s="47" t="s">
        <v>296</v>
      </c>
      <c r="C5" s="50">
        <v>3</v>
      </c>
      <c r="D5" s="50" t="s">
        <v>250</v>
      </c>
      <c r="E5" s="51" t="s">
        <v>278</v>
      </c>
      <c r="F5" s="51" t="s">
        <v>291</v>
      </c>
      <c r="G5" s="49" t="str">
        <f>IFERROR(LEFT(B5,FIND("],",B5)),B5)</f>
        <v>[effect:damage_anti_color, target:unit_all, color:yellow, val1:0.59, val2:0.22]</v>
      </c>
      <c r="H5" s="49">
        <f>FIND("effect:",G5)+7</f>
        <v>9</v>
      </c>
      <c r="I5" s="49">
        <f>IFERROR(FIND(",",G5),LEN(G5))</f>
        <v>26</v>
      </c>
      <c r="J5" s="49">
        <f>FIND("target:",G5)+7</f>
        <v>35</v>
      </c>
      <c r="K5" s="49">
        <f>FIND(",",G5,I5+1)</f>
        <v>43</v>
      </c>
      <c r="L5" s="63" t="str">
        <f>IFERROR(VLOOKUP(MID(G5,J5,K5-J5),[5]skilldef!$C:$D,2,FALSE),"-") &amp; " / " &amp; IFERROR(VLOOKUP(MID(G5,H5,I5-H5),[5]skilldef!$A:$B,2,FALSE),"-")</f>
        <v>味方全体に / 属性キラー</v>
      </c>
      <c r="M5" s="63" t="str">
        <f>IFERROR(RIGHT(B4,LEN(B4)-FIND("],",B4)-1),"none")</f>
        <v>[effect:degrade_unit, target:unit_all, turn:4, status:heal, val:0.8, calc:mul, animation:degrade_unit_all_heal],[effect:enemy_message, val1:1.4, val2:2.4]</v>
      </c>
      <c r="N5" s="48" t="str">
        <f>IFERROR(LEFT(M5,FIND("],",M5)+#REF!),M5)</f>
        <v>[effect:degrade_unit, target:unit_all, turn:4, status:heal, val:0.8, calc:mul, animation:degrade_unit_all_heal],[effect:enemy_message, val1:1.4, val2:2.4]</v>
      </c>
      <c r="O5" s="63">
        <f t="shared" ref="O5:O8" si="24">FIND("effect:",N5)+7</f>
        <v>9</v>
      </c>
      <c r="P5" s="63">
        <f t="shared" ref="P5:P8" si="25">IFERROR(FIND(",",N5),LEN(N5))</f>
        <v>21</v>
      </c>
      <c r="Q5" s="63">
        <f t="shared" ref="Q5:Q8" si="26">FIND("target:",N5)+7</f>
        <v>30</v>
      </c>
      <c r="R5" s="63">
        <f t="shared" ref="R5:R8" si="27">FIND(",",N5,P5+1)</f>
        <v>38</v>
      </c>
      <c r="S5" s="63" t="str">
        <f>IFERROR(VLOOKUP(MID(N5,Q5,R5-Q5),[5]skilldef!$C:$D,2,FALSE),"-") &amp; " / " &amp; IFERROR(VLOOKUP(MID(N5,O5,P5-O5),[5]skilldef!$A:$B,2,FALSE),"-")</f>
        <v>味方全体に / ステータスDOWN</v>
      </c>
      <c r="T5" s="48" t="str">
        <f t="shared" ref="T5:T8" si="28">IFERROR(RIGHT(M5,LEN(M5)-FIND("],",M5)-1),"none")</f>
        <v>[effect:enemy_message, val1:1.4, val2:2.4]</v>
      </c>
      <c r="U5" s="63">
        <f t="shared" ref="U5:U8" si="29">FIND("effect:",T5)+7</f>
        <v>9</v>
      </c>
      <c r="V5" s="63">
        <f t="shared" ref="V5:V8" si="30">IFERROR(FIND(",",T5),LEN(T5))</f>
        <v>22</v>
      </c>
      <c r="W5" s="63" t="e">
        <f t="shared" ref="W5:W8" si="31">FIND("target:",T5)+7</f>
        <v>#VALUE!</v>
      </c>
      <c r="X5" s="63">
        <f t="shared" ref="X5:X8" si="32">FIND(",",T5,V5+1)</f>
        <v>32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13301365</v>
      </c>
      <c r="B6" s="47" t="s">
        <v>303</v>
      </c>
      <c r="C6" s="50">
        <v>3</v>
      </c>
      <c r="D6" s="50" t="s">
        <v>249</v>
      </c>
      <c r="E6" s="51" t="s">
        <v>259</v>
      </c>
      <c r="F6" s="51" t="s">
        <v>295</v>
      </c>
      <c r="G6" s="49" t="str">
        <f>IFERROR(LEFT(B6,FIND("],",B6)),B6)</f>
        <v>[effect:spread, val:0.4]</v>
      </c>
      <c r="H6" s="49">
        <f>FIND("effect:",G6)+7</f>
        <v>9</v>
      </c>
      <c r="I6" s="49">
        <f>IFERROR(FIND(",",G6),LEN(G6))</f>
        <v>15</v>
      </c>
      <c r="J6" s="49" t="e">
        <f>FIND("target:",G6)+7</f>
        <v>#VALUE!</v>
      </c>
      <c r="K6" s="49" t="e">
        <f>FIND(",",G6,I6+1)</f>
        <v>#VALUE!</v>
      </c>
      <c r="L6" s="63" t="str">
        <f>IFERROR(VLOOKUP(MID(G6,J6,K6-J6),[5]skilldef!$C:$D,2,FALSE),"-") &amp; " / " &amp; IFERROR(VLOOKUP(MID(G6,H6,I6-H6),[5]skilldef!$A:$B,2,FALSE),"-")</f>
        <v>- / 全体攻撃</v>
      </c>
      <c r="M6" s="63" t="str">
        <f>IFERROR(RIGHT(B5,LEN(B5)-FIND("],",B5)-1),"none")</f>
        <v>[effect:enemy_message, val1:1.4, val2:1.6]</v>
      </c>
      <c r="N6" s="48" t="str">
        <f>IFERROR(LEFT(M6,FIND("],",M6)+#REF!),M6)</f>
        <v>[effect:enemy_message, val1:1.4, val2:1.6]</v>
      </c>
      <c r="O6" s="63">
        <f t="shared" ref="O6" si="33">FIND("effect:",N6)+7</f>
        <v>9</v>
      </c>
      <c r="P6" s="63">
        <f t="shared" ref="P6" si="34">IFERROR(FIND(",",N6),LEN(N6))</f>
        <v>22</v>
      </c>
      <c r="Q6" s="63" t="e">
        <f t="shared" ref="Q6" si="35">FIND("target:",N6)+7</f>
        <v>#VALUE!</v>
      </c>
      <c r="R6" s="63">
        <f t="shared" ref="R6" si="36">FIND(",",N6,P6+1)</f>
        <v>32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ref="T6" si="37">IFERROR(RIGHT(M6,LEN(M6)-FIND("],",M6)-1),"none")</f>
        <v>none</v>
      </c>
      <c r="U6" s="63" t="e">
        <f t="shared" ref="U6" si="38">FIND("effect:",T6)+7</f>
        <v>#VALUE!</v>
      </c>
      <c r="V6" s="63">
        <f t="shared" ref="V6" si="39">IFERROR(FIND(",",T6),LEN(T6))</f>
        <v>4</v>
      </c>
      <c r="W6" s="63" t="e">
        <f t="shared" ref="W6" si="40">FIND("target:",T6)+7</f>
        <v>#VALUE!</v>
      </c>
      <c r="X6" s="63" t="e">
        <f t="shared" ref="X6" si="41">FIND(",",T6,V6+1)</f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38" customHeight="1" x14ac:dyDescent="0.15">
      <c r="A7" s="47">
        <v>13301366</v>
      </c>
      <c r="B7" s="47" t="s">
        <v>304</v>
      </c>
      <c r="C7" s="50">
        <v>3</v>
      </c>
      <c r="D7" s="50" t="s">
        <v>250</v>
      </c>
      <c r="E7" s="51" t="s">
        <v>253</v>
      </c>
      <c r="F7" s="51" t="s">
        <v>315</v>
      </c>
      <c r="G7" s="63" t="str">
        <f>IFERROR(LEFT(B7,FIND("],",B7)),B7)</f>
        <v>[effect:degrade_unit, target:unit_all, turn:4, status:heal, val:0.8, calc:mul, animation:degrade_unit_all_heal]</v>
      </c>
      <c r="H7" s="63">
        <f>FIND("effect:",G7)+7</f>
        <v>9</v>
      </c>
      <c r="I7" s="63">
        <f>IFERROR(FIND(",",G7),LEN(G7))</f>
        <v>21</v>
      </c>
      <c r="J7" s="63">
        <f>FIND("target:",G7)+7</f>
        <v>30</v>
      </c>
      <c r="K7" s="63">
        <f>FIND(",",G7,I7+1)</f>
        <v>38</v>
      </c>
      <c r="L7" s="63" t="str">
        <f>IFERROR(VLOOKUP(MID(G7,J7,K7-J7),[5]skilldef!$C:$D,2,FALSE),"-") &amp; " / " &amp; IFERROR(VLOOKUP(MID(G7,H7,I7-H7),[5]skilldef!$A:$B,2,FALSE),"-")</f>
        <v>味方全体に / ステータスDOWN</v>
      </c>
      <c r="M7" s="63" t="str">
        <f t="shared" ref="M7:M8" si="42">IFERROR(RIGHT(B7,LEN(B7)-FIND("],",B7)-1),"none")</f>
        <v>[effect:enhance_enemy, target:myself, turn:4, status:attack, val:0.45, calc:mul, animation:enemy_enhance_attack],[effect:enemy_message, val1:1.4, val2:2.4]</v>
      </c>
      <c r="N7" s="48" t="str">
        <f>IFERROR(LEFT(M7,FIND("],",M7)+S16),M7)</f>
        <v>[effect:enhance_enemy, target:myself, turn:4, status:attack, val:0.45, calc:mul, animation:enemy_enhance_attack]</v>
      </c>
      <c r="O7" s="63">
        <f t="shared" si="24"/>
        <v>9</v>
      </c>
      <c r="P7" s="63">
        <f t="shared" si="25"/>
        <v>22</v>
      </c>
      <c r="Q7" s="63">
        <f t="shared" si="26"/>
        <v>31</v>
      </c>
      <c r="R7" s="63">
        <f t="shared" si="27"/>
        <v>37</v>
      </c>
      <c r="S7" s="63" t="str">
        <f>IFERROR(VLOOKUP(MID(N7,Q7,R7-Q7),[5]skilldef!$C:$D,2,FALSE),"-") &amp; " / " &amp; IFERROR(VLOOKUP(MID(N7,O7,P7-O7),[5]skilldef!$A:$B,2,FALSE),"-")</f>
        <v>自分自身に / ステータス強化</v>
      </c>
      <c r="T7" s="48" t="str">
        <f t="shared" si="28"/>
        <v>[effect:enemy_message, val1:1.4, val2:2.4]</v>
      </c>
      <c r="U7" s="63">
        <f t="shared" si="29"/>
        <v>9</v>
      </c>
      <c r="V7" s="63">
        <f t="shared" si="30"/>
        <v>22</v>
      </c>
      <c r="W7" s="63" t="e">
        <f t="shared" si="31"/>
        <v>#VALUE!</v>
      </c>
      <c r="X7" s="63">
        <f t="shared" si="32"/>
        <v>32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13301367</v>
      </c>
      <c r="B8" s="47" t="s">
        <v>297</v>
      </c>
      <c r="C8" s="50">
        <v>3</v>
      </c>
      <c r="D8" s="50" t="s">
        <v>250</v>
      </c>
      <c r="E8" s="51" t="s">
        <v>289</v>
      </c>
      <c r="F8" s="51" t="s">
        <v>290</v>
      </c>
      <c r="G8" s="63" t="str">
        <f t="shared" ref="G8" si="43">IFERROR(LEFT(B8,FIND("],",B8)),B8)</f>
        <v>[effect:damage_anti_color, target:unit_all, color:green, val1:0.42, val2:0.22]</v>
      </c>
      <c r="H8" s="63">
        <f t="shared" ref="H8" si="44">FIND("effect:",G8)+7</f>
        <v>9</v>
      </c>
      <c r="I8" s="63">
        <f t="shared" ref="I8" si="45">IFERROR(FIND(",",G8),LEN(G8))</f>
        <v>26</v>
      </c>
      <c r="J8" s="63">
        <f t="shared" ref="J8" si="46">FIND("target:",G8)+7</f>
        <v>35</v>
      </c>
      <c r="K8" s="63">
        <f t="shared" ref="K8" si="47">FIND(",",G8,I8+1)</f>
        <v>43</v>
      </c>
      <c r="L8" s="63" t="str">
        <f>IFERROR(VLOOKUP(MID(G8,J8,K8-J8),[5]skilldef!$C:$D,2,FALSE),"-") &amp; " / " &amp; IFERROR(VLOOKUP(MID(G8,H8,I8-H8),[5]skilldef!$A:$B,2,FALSE),"-")</f>
        <v>味方全体に / 属性キラー</v>
      </c>
      <c r="M8" s="63" t="str">
        <f t="shared" si="42"/>
        <v>[effect:enemy_message, val1:1.4, val2:1.6]</v>
      </c>
      <c r="N8" s="48" t="str">
        <f>IFERROR(LEFT(M8,FIND("],",M8)+S17),M8)</f>
        <v>[effect:enemy_message, val1:1.4, val2:1.6]</v>
      </c>
      <c r="O8" s="63">
        <f t="shared" si="24"/>
        <v>9</v>
      </c>
      <c r="P8" s="63">
        <f t="shared" si="25"/>
        <v>22</v>
      </c>
      <c r="Q8" s="63" t="e">
        <f t="shared" si="26"/>
        <v>#VALUE!</v>
      </c>
      <c r="R8" s="63">
        <f t="shared" si="27"/>
        <v>32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28"/>
        <v>none</v>
      </c>
      <c r="U8" s="63" t="e">
        <f t="shared" si="29"/>
        <v>#VALUE!</v>
      </c>
      <c r="V8" s="63">
        <f t="shared" si="30"/>
        <v>4</v>
      </c>
      <c r="W8" s="63" t="e">
        <f t="shared" si="31"/>
        <v>#VALUE!</v>
      </c>
      <c r="X8" s="63" t="e">
        <f t="shared" si="32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13301368</v>
      </c>
      <c r="B9" s="47" t="s">
        <v>288</v>
      </c>
      <c r="C9" s="50">
        <v>3</v>
      </c>
      <c r="D9" s="50" t="s">
        <v>250</v>
      </c>
      <c r="E9" s="51" t="s">
        <v>251</v>
      </c>
      <c r="F9" s="51" t="s">
        <v>286</v>
      </c>
      <c r="G9" s="63" t="str">
        <f t="shared" ref="G9:G14" si="48">IFERROR(LEFT(B9,FIND("],",B9)),B9)</f>
        <v>[effect:freq_turn, target:myself, turn:3, val:1, animation:enemy_freq_turn]</v>
      </c>
      <c r="H9" s="63">
        <f t="shared" ref="H9:H14" si="49">FIND("effect:",G9)+7</f>
        <v>9</v>
      </c>
      <c r="I9" s="63">
        <f t="shared" ref="I9:I14" si="50">IFERROR(FIND(",",G9),LEN(G9))</f>
        <v>18</v>
      </c>
      <c r="J9" s="63">
        <f t="shared" ref="J9:J14" si="51">FIND("target:",G9)+7</f>
        <v>27</v>
      </c>
      <c r="K9" s="63">
        <f t="shared" ref="K9:K14" si="52">FIND(",",G9,I9+1)</f>
        <v>33</v>
      </c>
      <c r="L9" s="63" t="str">
        <f>IFERROR(VLOOKUP(MID(G9,J9,K9-J9),[5]skilldef!$C:$D,2,FALSE),"-") &amp; " / " &amp; IFERROR(VLOOKUP(MID(G9,H9,I9-H9),[5]skilldef!$A:$B,2,FALSE),"-")</f>
        <v>自分自身に / 攻撃頻度がUP</v>
      </c>
      <c r="M9" s="63" t="str">
        <f t="shared" ref="M9:M14" si="53">IFERROR(RIGHT(B9,LEN(B9)-FIND("],",B9)-1),"none")</f>
        <v>[effect:enemy_message, val1:1.4, val2:1.6]</v>
      </c>
      <c r="N9" s="48" t="str">
        <f>IFERROR(LEFT(M9,FIND("],",M9)+S18),M9)</f>
        <v>[effect:enemy_message, val1:1.4, val2:1.6]</v>
      </c>
      <c r="O9" s="63">
        <f t="shared" ref="O9:O14" si="54">FIND("effect:",N9)+7</f>
        <v>9</v>
      </c>
      <c r="P9" s="63">
        <f t="shared" ref="P9:P14" si="55">IFERROR(FIND(",",N9),LEN(N9))</f>
        <v>22</v>
      </c>
      <c r="Q9" s="63" t="e">
        <f t="shared" ref="Q9:Q14" si="56">FIND("target:",N9)+7</f>
        <v>#VALUE!</v>
      </c>
      <c r="R9" s="63">
        <f t="shared" ref="R9:R14" si="57">FIND(",",N9,P9+1)</f>
        <v>32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ref="T9:T14" si="58">IFERROR(RIGHT(M9,LEN(M9)-FIND("],",M9)-1),"none")</f>
        <v>none</v>
      </c>
      <c r="U9" s="63" t="e">
        <f t="shared" ref="U9:U14" si="59">FIND("effect:",T9)+7</f>
        <v>#VALUE!</v>
      </c>
      <c r="V9" s="63">
        <f t="shared" ref="V9:V14" si="60">IFERROR(FIND(",",T9),LEN(T9))</f>
        <v>4</v>
      </c>
      <c r="W9" s="63" t="e">
        <f t="shared" ref="W9:W14" si="61">FIND("target:",T9)+7</f>
        <v>#VALUE!</v>
      </c>
      <c r="X9" s="63" t="e">
        <f t="shared" ref="X9:X14" si="62">FIND(",",T9,V9+1)</f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35" customHeight="1" x14ac:dyDescent="0.15">
      <c r="A10" s="47">
        <v>13301369</v>
      </c>
      <c r="B10" s="47" t="s">
        <v>309</v>
      </c>
      <c r="C10" s="50">
        <v>3</v>
      </c>
      <c r="D10" s="50" t="s">
        <v>250</v>
      </c>
      <c r="E10" s="51" t="s">
        <v>299</v>
      </c>
      <c r="F10" s="51" t="s">
        <v>306</v>
      </c>
      <c r="G10" s="63" t="str">
        <f t="shared" si="48"/>
        <v>[effect:panel_freeze, target:block_yellow, count:-1]</v>
      </c>
      <c r="H10" s="63">
        <f t="shared" si="49"/>
        <v>9</v>
      </c>
      <c r="I10" s="63">
        <f t="shared" si="50"/>
        <v>21</v>
      </c>
      <c r="J10" s="63">
        <f t="shared" si="51"/>
        <v>30</v>
      </c>
      <c r="K10" s="63">
        <f t="shared" si="52"/>
        <v>42</v>
      </c>
      <c r="L10" s="63" t="str">
        <f>IFERROR(VLOOKUP(MID(G10,J10,K10-J10),[5]skilldef!$C:$D,2,FALSE),"-") &amp; " / " &amp; IFERROR(VLOOKUP(MID(G10,H10,I10-H10),[5]skilldef!$A:$B,2,FALSE),"-")</f>
        <v>黄色パネルを / -</v>
      </c>
      <c r="M10" s="63" t="str">
        <f t="shared" si="53"/>
        <v>[effect:drop_freeze, turn:-1, block_type:normal, block_color:block_yellow, frozen_count:1, rate:1, animation:drop_protect],[effect:enemy_message, val1:1.4, val2:2.5]</v>
      </c>
      <c r="N10" s="48" t="str">
        <f>IFERROR(LEFT(M10,FIND("],",M10)+S19),M10)</f>
        <v>[effect:drop_freeze, turn:-1, block_type:normal, block_color:block_yellow, frozen_count:1, rate:1, animation:drop_protect]</v>
      </c>
      <c r="O10" s="63">
        <f t="shared" si="54"/>
        <v>9</v>
      </c>
      <c r="P10" s="63">
        <f t="shared" si="55"/>
        <v>20</v>
      </c>
      <c r="Q10" s="63" t="e">
        <f t="shared" si="56"/>
        <v>#VALUE!</v>
      </c>
      <c r="R10" s="63">
        <f t="shared" si="57"/>
        <v>29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58"/>
        <v>[effect:enemy_message, val1:1.4, val2:2.5]</v>
      </c>
      <c r="U10" s="63">
        <f t="shared" si="59"/>
        <v>9</v>
      </c>
      <c r="V10" s="63">
        <f t="shared" si="60"/>
        <v>22</v>
      </c>
      <c r="W10" s="63" t="e">
        <f t="shared" si="61"/>
        <v>#VALUE!</v>
      </c>
      <c r="X10" s="63">
        <f t="shared" si="62"/>
        <v>32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98" x14ac:dyDescent="0.15">
      <c r="A11" s="47">
        <v>13301370</v>
      </c>
      <c r="B11" s="47" t="s">
        <v>321</v>
      </c>
      <c r="C11" s="50">
        <v>3</v>
      </c>
      <c r="D11" s="50" t="s">
        <v>250</v>
      </c>
      <c r="E11" s="51" t="s">
        <v>298</v>
      </c>
      <c r="F11" s="51" t="s">
        <v>311</v>
      </c>
      <c r="G11" s="63" t="str">
        <f>IFERROR(LEFT(B11,FIND("],",B11)),B11)</f>
        <v>[effect:force_change_block, new_block:time_bomb, target:block_red, color:block_green, count:3, val:0.28, min_time_count:2, max_time_count:4, animation:change_block]</v>
      </c>
      <c r="H11" s="63">
        <f>FIND("effect:",G11)+7</f>
        <v>9</v>
      </c>
      <c r="I11" s="63">
        <f>IFERROR(FIND(",",G11),LEN(G11))</f>
        <v>27</v>
      </c>
      <c r="J11" s="63">
        <f>FIND("target:",G11)+7</f>
        <v>57</v>
      </c>
      <c r="K11" s="63">
        <f>FIND(",",G11,I11+1)</f>
        <v>48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>IFERROR(RIGHT(B11,LEN(B11)-FIND("],",B11)-1),"none")</f>
        <v>[effect:force_change_block, new_block:jammer, target:block_all, ignore01:time_bomb, ignore02:jammer, count:1, val:0, animation:change_block],[effect:enemy_message, val1:1.4, val2:2.9]</v>
      </c>
      <c r="N11" s="48" t="str">
        <f>IFERROR(LEFT(M11,FIND("],",M11)+S22),M11)</f>
        <v>[effect:force_change_block, new_block:jammer, target:block_all, ignore01:time_bomb, ignore02:jammer, count:1, val:0, animation:change_block]</v>
      </c>
      <c r="O11" s="63">
        <f>FIND("effect:",N11)+7</f>
        <v>9</v>
      </c>
      <c r="P11" s="63">
        <f>IFERROR(FIND(",",N11),LEN(N11))</f>
        <v>27</v>
      </c>
      <c r="Q11" s="63">
        <f>FIND("target:",N11)+7</f>
        <v>54</v>
      </c>
      <c r="R11" s="63">
        <f>FIND(",",N11,P11+1)</f>
        <v>45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>IFERROR(RIGHT(M11,LEN(M11)-FIND("],",M11)-1),"none")</f>
        <v>[effect:enemy_message, val1:1.4, val2:2.9]</v>
      </c>
      <c r="U11" s="63">
        <f>FIND("effect:",T11)+7</f>
        <v>9</v>
      </c>
      <c r="V11" s="63">
        <f>IFERROR(FIND(",",T11),LEN(T11))</f>
        <v>22</v>
      </c>
      <c r="W11" s="63" t="e">
        <f>FIND("target:",T11)+7</f>
        <v>#VALUE!</v>
      </c>
      <c r="X11" s="63">
        <f>FIND(",",T11,V11+1)</f>
        <v>32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48" customHeight="1" x14ac:dyDescent="0.15">
      <c r="A12" s="47">
        <v>13301371</v>
      </c>
      <c r="B12" s="47" t="s">
        <v>320</v>
      </c>
      <c r="C12" s="50">
        <v>3</v>
      </c>
      <c r="D12" s="50" t="s">
        <v>250</v>
      </c>
      <c r="E12" s="51" t="s">
        <v>254</v>
      </c>
      <c r="F12" s="51" t="s">
        <v>314</v>
      </c>
      <c r="G12" s="63" t="str">
        <f t="shared" si="48"/>
        <v>[effect:degrade_unit, target:unit_all, turn:3, status:heal, val:0.7, calc:mul, animation:degrade_unit_all_heal]</v>
      </c>
      <c r="H12" s="63">
        <f t="shared" si="49"/>
        <v>9</v>
      </c>
      <c r="I12" s="63">
        <f t="shared" si="50"/>
        <v>21</v>
      </c>
      <c r="J12" s="63">
        <f t="shared" si="51"/>
        <v>30</v>
      </c>
      <c r="K12" s="63">
        <f t="shared" si="52"/>
        <v>38</v>
      </c>
      <c r="L12" s="63" t="str">
        <f>IFERROR(VLOOKUP(MID(G12,J12,K12-J12),[5]skilldef!$C:$D,2,FALSE),"-") &amp; " / " &amp; IFERROR(VLOOKUP(MID(G12,H12,I12-H12),[5]skilldef!$A:$B,2,FALSE),"-")</f>
        <v>味方全体に / ステータスDOWN</v>
      </c>
      <c r="M12" s="63" t="str">
        <f t="shared" si="53"/>
        <v>[effect:break_attack_fix, target:unit_one, val:600, lowest_val:500, count:-1, color:blue, block01:block_yellow],[effect:enemy_message, val1:1.4, val2:2.4]</v>
      </c>
      <c r="N12" s="48" t="str">
        <f>IFERROR(LEFT(M12,FIND("],",M12)+S21),M12)</f>
        <v>[effect:break_attack_fix, target:unit_one, val:600, lowest_val:500, count:-1, color:blue, block01:block_yellow]</v>
      </c>
      <c r="O12" s="63">
        <f t="shared" si="54"/>
        <v>9</v>
      </c>
      <c r="P12" s="63">
        <f t="shared" si="55"/>
        <v>25</v>
      </c>
      <c r="Q12" s="63">
        <f t="shared" si="56"/>
        <v>34</v>
      </c>
      <c r="R12" s="63">
        <f t="shared" si="57"/>
        <v>42</v>
      </c>
      <c r="S12" s="63" t="str">
        <f>IFERROR(VLOOKUP(MID(N12,Q12,R12-Q12),[5]skilldef!$C:$D,2,FALSE),"-") &amp; " / " &amp; IFERROR(VLOOKUP(MID(N12,O12,P12-O12),[5]skilldef!$A:$B,2,FALSE),"-")</f>
        <v>味方単体に / -</v>
      </c>
      <c r="T12" s="48" t="str">
        <f t="shared" si="58"/>
        <v>[effect:enemy_message, val1:1.4, val2:2.4]</v>
      </c>
      <c r="U12" s="63">
        <f t="shared" si="59"/>
        <v>9</v>
      </c>
      <c r="V12" s="63">
        <f t="shared" si="60"/>
        <v>22</v>
      </c>
      <c r="W12" s="63" t="e">
        <f t="shared" si="61"/>
        <v>#VALUE!</v>
      </c>
      <c r="X12" s="63">
        <f t="shared" si="62"/>
        <v>32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44" customHeight="1" x14ac:dyDescent="0.15">
      <c r="A13" s="47">
        <v>13301372</v>
      </c>
      <c r="B13" s="47" t="s">
        <v>305</v>
      </c>
      <c r="C13" s="50">
        <v>3</v>
      </c>
      <c r="D13" s="50" t="s">
        <v>250</v>
      </c>
      <c r="E13" s="51" t="s">
        <v>257</v>
      </c>
      <c r="F13" s="51" t="s">
        <v>294</v>
      </c>
      <c r="G13" s="63" t="e">
        <f>IFERROR(LEFT(#REF!,FIND("],",#REF!)),#REF!)</f>
        <v>#REF!</v>
      </c>
      <c r="H13" s="63" t="e">
        <f t="shared" si="49"/>
        <v>#REF!</v>
      </c>
      <c r="I13" s="63" t="e">
        <f t="shared" si="50"/>
        <v>#REF!</v>
      </c>
      <c r="J13" s="63" t="e">
        <f t="shared" si="51"/>
        <v>#REF!</v>
      </c>
      <c r="K13" s="63" t="e">
        <f t="shared" si="52"/>
        <v>#REF!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>IFERROR(RIGHT(#REF!,LEN(#REF!)-FIND("],",#REF!)-1),"none")</f>
        <v>none</v>
      </c>
      <c r="N13" s="48" t="str">
        <f>IFERROR(LEFT(M13,FIND("],",M13)+S23),M13)</f>
        <v>none</v>
      </c>
      <c r="O13" s="63" t="e">
        <f t="shared" si="54"/>
        <v>#VALUE!</v>
      </c>
      <c r="P13" s="63">
        <f t="shared" si="55"/>
        <v>4</v>
      </c>
      <c r="Q13" s="63" t="e">
        <f t="shared" si="56"/>
        <v>#VALUE!</v>
      </c>
      <c r="R13" s="63" t="e">
        <f t="shared" si="57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58"/>
        <v>none</v>
      </c>
      <c r="U13" s="63" t="e">
        <f t="shared" si="59"/>
        <v>#VALUE!</v>
      </c>
      <c r="V13" s="63">
        <f t="shared" si="60"/>
        <v>4</v>
      </c>
      <c r="W13" s="63" t="e">
        <f t="shared" si="61"/>
        <v>#VALUE!</v>
      </c>
      <c r="X13" s="63" t="e">
        <f t="shared" si="62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13301373</v>
      </c>
      <c r="B14" s="47" t="s">
        <v>313</v>
      </c>
      <c r="C14" s="50">
        <v>3</v>
      </c>
      <c r="D14" s="50" t="s">
        <v>250</v>
      </c>
      <c r="E14" s="51" t="s">
        <v>258</v>
      </c>
      <c r="F14" s="51" t="s">
        <v>312</v>
      </c>
      <c r="G14" s="63" t="str">
        <f t="shared" si="48"/>
        <v>[effect:spread, val:0.4]</v>
      </c>
      <c r="H14" s="63">
        <f t="shared" si="49"/>
        <v>9</v>
      </c>
      <c r="I14" s="63">
        <f t="shared" si="50"/>
        <v>15</v>
      </c>
      <c r="J14" s="63" t="e">
        <f t="shared" si="51"/>
        <v>#VALUE!</v>
      </c>
      <c r="K14" s="63" t="e">
        <f t="shared" si="52"/>
        <v>#VALUE!</v>
      </c>
      <c r="L14" s="63" t="str">
        <f>IFERROR(VLOOKUP(MID(G14,J14,K14-J14),[5]skilldef!$C:$D,2,FALSE),"-") &amp; " / " &amp; IFERROR(VLOOKUP(MID(G14,H14,I14-H14),[5]skilldef!$A:$B,2,FALSE),"-")</f>
        <v>- / 全体攻撃</v>
      </c>
      <c r="M14" s="63" t="str">
        <f t="shared" si="53"/>
        <v>[effect:force_change_block, new_block:jammer, target:block_all, ignore01:color_break, ignore02:crash, ignore03:crack_bomb, ignore04:time_bomb, count:2, val:0, animation:change_block],[effect:enemy_message, val1:1.4, val2:2]</v>
      </c>
      <c r="N14" s="48" t="str">
        <f>IFERROR(LEFT(M14,FIND("],",M14)+S25),M14)</f>
        <v>[effect:force_change_block, new_block:jammer, target:block_all, ignore01:color_break, ignore02:crash, ignore03:crack_bomb, ignore04:time_bomb, count:2, val:0, animation:change_block]</v>
      </c>
      <c r="O14" s="63">
        <f t="shared" si="54"/>
        <v>9</v>
      </c>
      <c r="P14" s="63">
        <f t="shared" si="55"/>
        <v>27</v>
      </c>
      <c r="Q14" s="63">
        <f t="shared" si="56"/>
        <v>54</v>
      </c>
      <c r="R14" s="63">
        <f t="shared" si="57"/>
        <v>45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58"/>
        <v>[effect:enemy_message, val1:1.4, val2:2]</v>
      </c>
      <c r="U14" s="63">
        <f t="shared" si="59"/>
        <v>9</v>
      </c>
      <c r="V14" s="63">
        <f t="shared" si="60"/>
        <v>22</v>
      </c>
      <c r="W14" s="63" t="e">
        <f t="shared" si="61"/>
        <v>#VALUE!</v>
      </c>
      <c r="X14" s="63">
        <f t="shared" si="62"/>
        <v>32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13301374</v>
      </c>
      <c r="B15" s="47" t="s">
        <v>316</v>
      </c>
      <c r="C15" s="50">
        <v>3</v>
      </c>
      <c r="D15" s="50" t="s">
        <v>249</v>
      </c>
      <c r="E15" s="51" t="s">
        <v>262</v>
      </c>
      <c r="F15" s="51" t="s">
        <v>302</v>
      </c>
      <c r="G15" s="63" t="str">
        <f t="shared" ref="G15" si="63">IFERROR(LEFT(B15,FIND("],",B15)),B15)</f>
        <v>[effect:force_change_block, new_block:block_red, target:block_heart, count:0, val:0, animation:change_block]</v>
      </c>
      <c r="H15" s="63">
        <f t="shared" ref="H15" si="64">FIND("effect:",G15)+7</f>
        <v>9</v>
      </c>
      <c r="I15" s="63">
        <f t="shared" ref="I15" si="65">IFERROR(FIND(",",G15),LEN(G15))</f>
        <v>27</v>
      </c>
      <c r="J15" s="63">
        <f t="shared" ref="J15" si="66">FIND("target:",G15)+7</f>
        <v>57</v>
      </c>
      <c r="K15" s="63">
        <f t="shared" ref="K15" si="67">FIND(",",G15,I15+1)</f>
        <v>48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ref="M15" si="68">IFERROR(RIGHT(B15,LEN(B15)-FIND("],",B15)-1),"none")</f>
        <v>[effect:rush, count:1, val:0.65],[effect:enemy_message, val1:1.4, val2:2]</v>
      </c>
      <c r="N15" s="48" t="str">
        <f>IFERROR(LEFT(M15,FIND("],",M15)+S26),M15)</f>
        <v>[effect:rush, count:1, val:0.65]</v>
      </c>
      <c r="O15" s="63">
        <f t="shared" ref="O15" si="69">FIND("effect:",N15)+7</f>
        <v>9</v>
      </c>
      <c r="P15" s="63">
        <f t="shared" ref="P15" si="70">IFERROR(FIND(",",N15),LEN(N15))</f>
        <v>13</v>
      </c>
      <c r="Q15" s="63" t="e">
        <f t="shared" ref="Q15" si="71">FIND("target:",N15)+7</f>
        <v>#VALUE!</v>
      </c>
      <c r="R15" s="63">
        <f t="shared" ref="R15" si="72">FIND(",",N15,P15+1)</f>
        <v>22</v>
      </c>
      <c r="S15" s="63" t="str">
        <f>IFERROR(VLOOKUP(MID(N15,Q15,R15-Q15),[5]skilldef!$C:$D,2,FALSE),"-") &amp; " / " &amp; IFERROR(VLOOKUP(MID(N15,O15,P15-O15),[5]skilldef!$A:$B,2,FALSE),"-")</f>
        <v>- / 連続攻撃</v>
      </c>
      <c r="T15" s="48" t="str">
        <f t="shared" ref="T15" si="73">IFERROR(RIGHT(M15,LEN(M15)-FIND("],",M15)-1),"none")</f>
        <v>[effect:enemy_message, val1:1.4, val2:2]</v>
      </c>
      <c r="U15" s="63">
        <f t="shared" ref="U15" si="74">FIND("effect:",T15)+7</f>
        <v>9</v>
      </c>
      <c r="V15" s="63">
        <f t="shared" ref="V15" si="75">IFERROR(FIND(",",T15),LEN(T15))</f>
        <v>22</v>
      </c>
      <c r="W15" s="63" t="e">
        <f t="shared" ref="W15" si="76">FIND("target:",T15)+7</f>
        <v>#VALUE!</v>
      </c>
      <c r="X15" s="63">
        <f t="shared" ref="X15" si="77">FIND(",",T15,V15+1)</f>
        <v>32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5"/>
  <sheetViews>
    <sheetView showGridLines="0" zoomScale="120" zoomScaleNormal="120" zoomScalePageLayoutView="120" workbookViewId="0">
      <pane ySplit="1" topLeftCell="A2" activePane="bottomLeft" state="frozenSplit"/>
      <selection pane="bottomLeft" activeCell="D18" sqref="D1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7.5" style="49" customWidth="1"/>
    <col min="5" max="5" width="7.6640625" style="49" customWidth="1"/>
    <col min="6" max="6" width="6.1640625" style="49" customWidth="1"/>
    <col min="7" max="7" width="5.6640625" style="49" customWidth="1"/>
    <col min="8" max="8" width="5.83203125" style="49" customWidth="1"/>
    <col min="9" max="9" width="8.1640625" style="49" customWidth="1"/>
    <col min="10" max="10" width="5.83203125" style="49" customWidth="1"/>
    <col min="11" max="11" width="10.83203125" style="39" customWidth="1"/>
    <col min="12" max="12" width="18.83203125" style="45" bestFit="1" customWidth="1"/>
    <col min="13" max="13" width="41.1640625" style="45" bestFit="1" customWidth="1"/>
    <col min="14" max="14" width="49.33203125" style="45" bestFit="1" customWidth="1"/>
    <col min="15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13301361</v>
      </c>
      <c r="B2" s="47">
        <v>1</v>
      </c>
      <c r="C2" s="47" t="s">
        <v>88</v>
      </c>
      <c r="D2" s="47">
        <v>100</v>
      </c>
      <c r="E2" s="47" t="s">
        <v>88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14" si="0">D2</f>
        <v>100</v>
      </c>
      <c r="L2" s="51" t="s">
        <v>275</v>
      </c>
      <c r="M2" s="51" t="s">
        <v>283</v>
      </c>
    </row>
    <row r="3" spans="1:13" ht="21" customHeight="1" x14ac:dyDescent="0.15">
      <c r="A3" s="47">
        <v>13301362</v>
      </c>
      <c r="B3" s="47">
        <v>1</v>
      </c>
      <c r="C3" s="47" t="s">
        <v>88</v>
      </c>
      <c r="D3" s="47">
        <v>100</v>
      </c>
      <c r="E3" s="47" t="s">
        <v>88</v>
      </c>
      <c r="F3" s="47" t="s">
        <v>88</v>
      </c>
      <c r="G3" s="47">
        <v>1</v>
      </c>
      <c r="H3" s="47" t="s">
        <v>88</v>
      </c>
      <c r="I3" s="47" t="s">
        <v>88</v>
      </c>
      <c r="J3" s="48">
        <f t="shared" ref="J3" si="1">D3</f>
        <v>100</v>
      </c>
      <c r="L3" s="51" t="s">
        <v>275</v>
      </c>
      <c r="M3" s="51" t="s">
        <v>287</v>
      </c>
    </row>
    <row r="4" spans="1:13" ht="21" customHeight="1" x14ac:dyDescent="0.15">
      <c r="A4" s="47">
        <v>13301363</v>
      </c>
      <c r="B4" s="47">
        <v>0</v>
      </c>
      <c r="C4" s="47">
        <v>3</v>
      </c>
      <c r="D4" s="47">
        <v>38</v>
      </c>
      <c r="E4" s="47" t="s">
        <v>88</v>
      </c>
      <c r="F4" s="47" t="s">
        <v>88</v>
      </c>
      <c r="G4" s="47">
        <v>1</v>
      </c>
      <c r="H4" s="47" t="s">
        <v>88</v>
      </c>
      <c r="I4" s="47" t="s">
        <v>88</v>
      </c>
      <c r="J4" s="48">
        <f t="shared" si="0"/>
        <v>38</v>
      </c>
      <c r="L4" s="51" t="s">
        <v>277</v>
      </c>
      <c r="M4" s="51" t="s">
        <v>284</v>
      </c>
    </row>
    <row r="5" spans="1:13" ht="21" customHeight="1" x14ac:dyDescent="0.15">
      <c r="A5" s="47">
        <v>13301364</v>
      </c>
      <c r="B5" s="47">
        <v>0</v>
      </c>
      <c r="C5" s="47">
        <v>3</v>
      </c>
      <c r="D5" s="47">
        <v>38</v>
      </c>
      <c r="E5" s="47" t="s">
        <v>88</v>
      </c>
      <c r="F5" s="47" t="s">
        <v>88</v>
      </c>
      <c r="G5" s="47" t="s">
        <v>88</v>
      </c>
      <c r="H5" s="47" t="s">
        <v>88</v>
      </c>
      <c r="I5" s="47" t="s">
        <v>88</v>
      </c>
      <c r="J5" s="48">
        <f t="shared" si="0"/>
        <v>38</v>
      </c>
      <c r="L5" s="51" t="s">
        <v>278</v>
      </c>
      <c r="M5" s="51" t="s">
        <v>270</v>
      </c>
    </row>
    <row r="6" spans="1:13" ht="21" customHeight="1" x14ac:dyDescent="0.15">
      <c r="A6" s="47">
        <v>13301365</v>
      </c>
      <c r="B6" s="47">
        <v>0</v>
      </c>
      <c r="C6" s="47">
        <v>3</v>
      </c>
      <c r="D6" s="47">
        <v>24</v>
      </c>
      <c r="E6" s="47" t="s">
        <v>88</v>
      </c>
      <c r="F6" s="47" t="s">
        <v>88</v>
      </c>
      <c r="G6" s="47">
        <v>2</v>
      </c>
      <c r="H6" s="47" t="s">
        <v>88</v>
      </c>
      <c r="I6" s="47" t="s">
        <v>88</v>
      </c>
      <c r="J6" s="48">
        <f t="shared" si="0"/>
        <v>24</v>
      </c>
      <c r="L6" s="51" t="s">
        <v>259</v>
      </c>
      <c r="M6" s="51" t="s">
        <v>271</v>
      </c>
    </row>
    <row r="7" spans="1:13" ht="21" customHeight="1" x14ac:dyDescent="0.15">
      <c r="A7" s="47">
        <v>13301366</v>
      </c>
      <c r="B7" s="47">
        <v>0</v>
      </c>
      <c r="C7" s="47">
        <v>3</v>
      </c>
      <c r="D7" s="47">
        <v>25</v>
      </c>
      <c r="E7" s="47" t="s">
        <v>88</v>
      </c>
      <c r="F7" s="47" t="s">
        <v>88</v>
      </c>
      <c r="G7" s="47">
        <v>1</v>
      </c>
      <c r="H7" s="47" t="s">
        <v>88</v>
      </c>
      <c r="I7" s="47" t="s">
        <v>88</v>
      </c>
      <c r="J7" s="48">
        <f t="shared" si="0"/>
        <v>25</v>
      </c>
      <c r="L7" s="51" t="s">
        <v>253</v>
      </c>
      <c r="M7" s="51" t="s">
        <v>285</v>
      </c>
    </row>
    <row r="8" spans="1:13" ht="21" customHeight="1" x14ac:dyDescent="0.15">
      <c r="A8" s="47">
        <v>13301367</v>
      </c>
      <c r="B8" s="47">
        <v>0</v>
      </c>
      <c r="C8" s="47">
        <v>3</v>
      </c>
      <c r="D8" s="47">
        <v>50</v>
      </c>
      <c r="E8" s="47" t="s">
        <v>88</v>
      </c>
      <c r="F8" s="47" t="s">
        <v>88</v>
      </c>
      <c r="G8" s="47" t="s">
        <v>88</v>
      </c>
      <c r="H8" s="47" t="s">
        <v>88</v>
      </c>
      <c r="I8" s="47" t="s">
        <v>88</v>
      </c>
      <c r="J8" s="48">
        <f t="shared" si="0"/>
        <v>50</v>
      </c>
      <c r="L8" s="51" t="s">
        <v>252</v>
      </c>
      <c r="M8" s="51" t="s">
        <v>269</v>
      </c>
    </row>
    <row r="9" spans="1:13" ht="21" customHeight="1" x14ac:dyDescent="0.15">
      <c r="A9" s="47">
        <v>13301368</v>
      </c>
      <c r="B9" s="47">
        <v>0</v>
      </c>
      <c r="C9" s="47">
        <v>3</v>
      </c>
      <c r="D9" s="47">
        <v>25</v>
      </c>
      <c r="E9" s="47" t="s">
        <v>88</v>
      </c>
      <c r="F9" s="47" t="s">
        <v>88</v>
      </c>
      <c r="G9" s="47">
        <v>1</v>
      </c>
      <c r="H9" s="47" t="s">
        <v>88</v>
      </c>
      <c r="I9" s="47" t="s">
        <v>88</v>
      </c>
      <c r="J9" s="48">
        <f t="shared" si="0"/>
        <v>25</v>
      </c>
      <c r="L9" s="51" t="s">
        <v>251</v>
      </c>
      <c r="M9" s="51" t="s">
        <v>286</v>
      </c>
    </row>
    <row r="10" spans="1:13" ht="21" customHeight="1" x14ac:dyDescent="0.15">
      <c r="A10" s="47">
        <v>13301369</v>
      </c>
      <c r="B10" s="47">
        <v>1</v>
      </c>
      <c r="C10" s="47" t="s">
        <v>88</v>
      </c>
      <c r="D10" s="47">
        <v>100</v>
      </c>
      <c r="E10" s="47" t="s">
        <v>88</v>
      </c>
      <c r="F10" s="47" t="s">
        <v>88</v>
      </c>
      <c r="G10" s="47">
        <v>1</v>
      </c>
      <c r="H10" s="47" t="s">
        <v>88</v>
      </c>
      <c r="I10" s="47" t="s">
        <v>88</v>
      </c>
      <c r="J10" s="48">
        <f t="shared" si="0"/>
        <v>100</v>
      </c>
      <c r="L10" s="51" t="s">
        <v>275</v>
      </c>
      <c r="M10" s="51" t="s">
        <v>276</v>
      </c>
    </row>
    <row r="11" spans="1:13" ht="21" customHeight="1" x14ac:dyDescent="0.15">
      <c r="A11" s="47">
        <v>13301370</v>
      </c>
      <c r="B11" s="47">
        <v>0</v>
      </c>
      <c r="C11" s="47">
        <v>3</v>
      </c>
      <c r="D11" s="47">
        <v>37</v>
      </c>
      <c r="E11" s="47" t="s">
        <v>260</v>
      </c>
      <c r="F11" s="47" t="s">
        <v>260</v>
      </c>
      <c r="G11" s="47" t="s">
        <v>88</v>
      </c>
      <c r="H11" s="47" t="s">
        <v>260</v>
      </c>
      <c r="I11" s="47" t="s">
        <v>260</v>
      </c>
      <c r="J11" s="48">
        <f t="shared" si="0"/>
        <v>37</v>
      </c>
      <c r="L11" s="51" t="s">
        <v>256</v>
      </c>
      <c r="M11" s="51" t="s">
        <v>273</v>
      </c>
    </row>
    <row r="12" spans="1:13" ht="21" customHeight="1" x14ac:dyDescent="0.15">
      <c r="A12" s="47">
        <v>13301371</v>
      </c>
      <c r="B12" s="47">
        <v>0</v>
      </c>
      <c r="C12" s="47">
        <v>3</v>
      </c>
      <c r="D12" s="47">
        <v>51</v>
      </c>
      <c r="E12" s="47" t="s">
        <v>88</v>
      </c>
      <c r="F12" s="47" t="s">
        <v>88</v>
      </c>
      <c r="G12" s="47" t="s">
        <v>88</v>
      </c>
      <c r="H12" s="47" t="s">
        <v>88</v>
      </c>
      <c r="I12" s="47" t="s">
        <v>88</v>
      </c>
      <c r="J12" s="48">
        <f t="shared" si="0"/>
        <v>51</v>
      </c>
      <c r="L12" s="51" t="s">
        <v>254</v>
      </c>
      <c r="M12" s="51" t="s">
        <v>255</v>
      </c>
    </row>
    <row r="13" spans="1:13" ht="29" customHeight="1" x14ac:dyDescent="0.15">
      <c r="A13" s="47">
        <v>13301372</v>
      </c>
      <c r="B13" s="47">
        <v>0</v>
      </c>
      <c r="C13" s="47">
        <v>3</v>
      </c>
      <c r="D13" s="47">
        <v>50</v>
      </c>
      <c r="E13" s="47" t="s">
        <v>88</v>
      </c>
      <c r="F13" s="47" t="s">
        <v>88</v>
      </c>
      <c r="G13" s="47" t="s">
        <v>88</v>
      </c>
      <c r="H13" s="47" t="s">
        <v>88</v>
      </c>
      <c r="I13" s="47" t="s">
        <v>88</v>
      </c>
      <c r="J13" s="48">
        <f t="shared" si="0"/>
        <v>50</v>
      </c>
      <c r="L13" s="51" t="s">
        <v>257</v>
      </c>
      <c r="M13" s="51" t="s">
        <v>279</v>
      </c>
    </row>
    <row r="14" spans="1:13" ht="21" customHeight="1" x14ac:dyDescent="0.15">
      <c r="A14" s="47">
        <v>13301373</v>
      </c>
      <c r="B14" s="47">
        <v>0</v>
      </c>
      <c r="C14" s="47">
        <v>3</v>
      </c>
      <c r="D14" s="47">
        <v>50</v>
      </c>
      <c r="E14" s="47" t="s">
        <v>88</v>
      </c>
      <c r="F14" s="47" t="s">
        <v>88</v>
      </c>
      <c r="G14" s="47" t="s">
        <v>88</v>
      </c>
      <c r="H14" s="47" t="s">
        <v>88</v>
      </c>
      <c r="I14" s="47" t="s">
        <v>88</v>
      </c>
      <c r="J14" s="48">
        <f t="shared" si="0"/>
        <v>50</v>
      </c>
      <c r="L14" s="51" t="s">
        <v>258</v>
      </c>
      <c r="M14" s="51" t="s">
        <v>274</v>
      </c>
    </row>
    <row r="15" spans="1:13" ht="21" customHeight="1" x14ac:dyDescent="0.15">
      <c r="A15" s="47">
        <v>13301374</v>
      </c>
      <c r="B15" s="47">
        <v>0</v>
      </c>
      <c r="C15" s="47">
        <v>3</v>
      </c>
      <c r="D15" s="47">
        <v>12</v>
      </c>
      <c r="E15" s="47" t="s">
        <v>88</v>
      </c>
      <c r="F15" s="47" t="s">
        <v>88</v>
      </c>
      <c r="G15" s="47" t="s">
        <v>88</v>
      </c>
      <c r="H15" s="47" t="s">
        <v>88</v>
      </c>
      <c r="I15" s="47" t="s">
        <v>88</v>
      </c>
      <c r="J15" s="48">
        <f t="shared" ref="J15" si="2">D15</f>
        <v>12</v>
      </c>
      <c r="L15" s="51" t="s">
        <v>262</v>
      </c>
      <c r="M15" s="51" t="s">
        <v>272</v>
      </c>
    </row>
  </sheetData>
  <autoFilter ref="A1:G1"/>
  <phoneticPr fontId="5"/>
  <conditionalFormatting sqref="K16:K1048576 K1:K2 K4:K14">
    <cfRule type="duplicateValues" dxfId="2" priority="3"/>
  </conditionalFormatting>
  <conditionalFormatting sqref="K15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D13" sqref="D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148</v>
      </c>
      <c r="B1" s="64" t="s">
        <v>149</v>
      </c>
      <c r="C1" s="65" t="s">
        <v>150</v>
      </c>
      <c r="D1" s="71" t="s">
        <v>151</v>
      </c>
      <c r="E1" s="66" t="s">
        <v>152</v>
      </c>
      <c r="F1" s="64" t="s">
        <v>153</v>
      </c>
      <c r="G1" s="64" t="s">
        <v>154</v>
      </c>
      <c r="H1" s="64" t="s">
        <v>155</v>
      </c>
      <c r="I1" s="64" t="s">
        <v>156</v>
      </c>
      <c r="J1" s="64" t="s">
        <v>157</v>
      </c>
      <c r="K1" s="64" t="s">
        <v>158</v>
      </c>
      <c r="L1" s="64" t="s">
        <v>159</v>
      </c>
      <c r="M1" s="64" t="s">
        <v>160</v>
      </c>
      <c r="N1" s="64" t="s">
        <v>161</v>
      </c>
      <c r="O1" s="64" t="s">
        <v>162</v>
      </c>
      <c r="P1" s="64" t="s">
        <v>163</v>
      </c>
      <c r="Q1" s="64" t="s">
        <v>164</v>
      </c>
      <c r="R1" s="64" t="s">
        <v>165</v>
      </c>
    </row>
    <row r="2" spans="1:18" x14ac:dyDescent="0.15">
      <c r="A2" s="57">
        <v>13301</v>
      </c>
      <c r="B2" s="57">
        <v>7</v>
      </c>
      <c r="C2" s="70" t="str">
        <f>A2&amp; "_"&amp;B2</f>
        <v>13301_7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223</v>
      </c>
      <c r="G2" s="57">
        <v>122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40</v>
      </c>
      <c r="Q2" s="57" t="s">
        <v>166</v>
      </c>
      <c r="R2" s="57" t="s">
        <v>167</v>
      </c>
    </row>
    <row r="3" spans="1:18" x14ac:dyDescent="0.15">
      <c r="A3" s="57">
        <v>13301</v>
      </c>
      <c r="B3" s="57">
        <v>7</v>
      </c>
      <c r="C3" s="70" t="str">
        <f t="shared" ref="C3:C8" si="0">A3&amp; "_"&amp;B3</f>
        <v>13301_7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223</v>
      </c>
      <c r="G3" s="57">
        <v>608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210</v>
      </c>
      <c r="Q3" s="57" t="s">
        <v>166</v>
      </c>
      <c r="R3" s="57" t="s">
        <v>167</v>
      </c>
    </row>
    <row r="4" spans="1:18" x14ac:dyDescent="0.15">
      <c r="A4" s="57">
        <v>13301</v>
      </c>
      <c r="B4" s="57">
        <v>7</v>
      </c>
      <c r="C4" s="70" t="str">
        <f t="shared" si="0"/>
        <v>13301_7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223</v>
      </c>
      <c r="G4" s="57">
        <v>612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</v>
      </c>
      <c r="Q4" s="57" t="s">
        <v>166</v>
      </c>
      <c r="R4" s="57" t="s">
        <v>167</v>
      </c>
    </row>
    <row r="5" spans="1:18" x14ac:dyDescent="0.15">
      <c r="A5" s="57">
        <v>13301</v>
      </c>
      <c r="B5" s="57">
        <v>7</v>
      </c>
      <c r="C5" s="70" t="str">
        <f t="shared" si="0"/>
        <v>13301_7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223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40</v>
      </c>
      <c r="Q5" s="57" t="s">
        <v>166</v>
      </c>
      <c r="R5" s="57" t="s">
        <v>167</v>
      </c>
    </row>
    <row r="6" spans="1:18" x14ac:dyDescent="0.15">
      <c r="A6" s="57">
        <v>13301</v>
      </c>
      <c r="B6" s="57">
        <v>7</v>
      </c>
      <c r="C6" s="70" t="str">
        <f t="shared" ref="C6" si="1">A6&amp; "_"&amp;B6</f>
        <v>13301_7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223</v>
      </c>
      <c r="G6" s="57">
        <v>610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</v>
      </c>
      <c r="Q6" s="57" t="s">
        <v>166</v>
      </c>
      <c r="R6" s="57" t="s">
        <v>167</v>
      </c>
    </row>
    <row r="7" spans="1:18" x14ac:dyDescent="0.15">
      <c r="A7" s="57">
        <v>13301</v>
      </c>
      <c r="B7" s="57">
        <v>7</v>
      </c>
      <c r="C7" s="70" t="str">
        <f t="shared" si="0"/>
        <v>13301_7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6</v>
      </c>
      <c r="F7" s="57" t="s">
        <v>223</v>
      </c>
      <c r="G7" s="57">
        <v>342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280</v>
      </c>
      <c r="Q7" s="57" t="s">
        <v>166</v>
      </c>
      <c r="R7" s="57" t="s">
        <v>167</v>
      </c>
    </row>
    <row r="8" spans="1:18" x14ac:dyDescent="0.15">
      <c r="A8" s="57">
        <v>13301</v>
      </c>
      <c r="B8" s="57">
        <v>7</v>
      </c>
      <c r="C8" s="70" t="str">
        <f t="shared" si="0"/>
        <v>13301_7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7</v>
      </c>
      <c r="F8" s="57" t="s">
        <v>223</v>
      </c>
      <c r="G8" s="57">
        <v>343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410</v>
      </c>
      <c r="Q8" s="57" t="s">
        <v>166</v>
      </c>
      <c r="R8" s="57" t="s">
        <v>167</v>
      </c>
    </row>
  </sheetData>
  <phoneticPr fontId="5"/>
  <dataValidations disablePrompts="1"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6" sqref="L1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185</v>
      </c>
      <c r="B1" s="72" t="s">
        <v>186</v>
      </c>
      <c r="C1" s="76" t="s">
        <v>187</v>
      </c>
      <c r="D1" s="76" t="s">
        <v>33</v>
      </c>
      <c r="E1" s="72" t="s">
        <v>188</v>
      </c>
      <c r="F1" s="76" t="s">
        <v>189</v>
      </c>
      <c r="G1" s="76" t="s">
        <v>33</v>
      </c>
      <c r="H1" s="72" t="s">
        <v>190</v>
      </c>
      <c r="I1" s="89" t="s">
        <v>192</v>
      </c>
      <c r="J1" s="78" t="s">
        <v>125</v>
      </c>
      <c r="K1" s="77" t="s">
        <v>183</v>
      </c>
      <c r="L1" s="90" t="s">
        <v>182</v>
      </c>
      <c r="M1" s="79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K11" sqref="K11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185</v>
      </c>
      <c r="B1" s="72" t="s">
        <v>148</v>
      </c>
      <c r="C1" s="76" t="s">
        <v>187</v>
      </c>
      <c r="D1" s="76" t="s">
        <v>33</v>
      </c>
      <c r="E1" s="72" t="s">
        <v>188</v>
      </c>
      <c r="F1" s="76" t="s">
        <v>18</v>
      </c>
      <c r="G1" s="76" t="s">
        <v>33</v>
      </c>
      <c r="H1" s="72" t="s">
        <v>190</v>
      </c>
      <c r="I1" s="87" t="s">
        <v>191</v>
      </c>
      <c r="J1" s="89" t="s">
        <v>192</v>
      </c>
      <c r="K1" s="78" t="s">
        <v>125</v>
      </c>
      <c r="L1" s="77" t="s">
        <v>183</v>
      </c>
      <c r="M1" s="90" t="s">
        <v>182</v>
      </c>
      <c r="N1" s="79" t="s">
        <v>193</v>
      </c>
    </row>
    <row r="2" spans="1:14" ht="70" x14ac:dyDescent="0.15">
      <c r="A2" s="80" t="s">
        <v>194</v>
      </c>
      <c r="B2" s="81">
        <v>13301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7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7階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>
        <v>1</v>
      </c>
      <c r="I2" s="88">
        <v>1</v>
      </c>
      <c r="J2" s="103">
        <v>13301391</v>
      </c>
      <c r="K2" s="83" t="s">
        <v>195</v>
      </c>
      <c r="L2" s="85" t="s">
        <v>196</v>
      </c>
      <c r="M2" s="104" t="s">
        <v>310</v>
      </c>
      <c r="N2" s="57" t="s">
        <v>280</v>
      </c>
    </row>
    <row r="3" spans="1:14" ht="56" x14ac:dyDescent="0.15">
      <c r="A3" s="80" t="s">
        <v>194</v>
      </c>
      <c r="B3" s="81">
        <v>13301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7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7階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>
        <v>1</v>
      </c>
      <c r="I3" s="88">
        <v>2</v>
      </c>
      <c r="J3" s="103">
        <v>13301392</v>
      </c>
      <c r="K3" s="83" t="s">
        <v>195</v>
      </c>
      <c r="L3" s="85" t="s">
        <v>196</v>
      </c>
      <c r="M3" s="104" t="s">
        <v>292</v>
      </c>
      <c r="N3" s="57" t="s">
        <v>280</v>
      </c>
    </row>
    <row r="4" spans="1:14" ht="56" x14ac:dyDescent="0.15">
      <c r="A4" s="80" t="s">
        <v>194</v>
      </c>
      <c r="B4" s="81">
        <v>13301</v>
      </c>
      <c r="C4" s="82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2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3">
        <v>7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7階 コスト制限なし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4">
        <v>1</v>
      </c>
      <c r="I4" s="88">
        <v>3</v>
      </c>
      <c r="J4" s="103">
        <v>13301395</v>
      </c>
      <c r="K4" s="83" t="s">
        <v>195</v>
      </c>
      <c r="L4" s="85" t="s">
        <v>196</v>
      </c>
      <c r="M4" s="104" t="s">
        <v>293</v>
      </c>
      <c r="N4" s="57" t="s">
        <v>280</v>
      </c>
    </row>
    <row r="5" spans="1:14" ht="42" x14ac:dyDescent="0.15">
      <c r="A5" s="80" t="s">
        <v>194</v>
      </c>
      <c r="B5" s="81">
        <v>13301</v>
      </c>
      <c r="C5" s="82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2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3">
        <v>7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7階 コスト制限なし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4">
        <v>2</v>
      </c>
      <c r="I5" s="88">
        <v>4</v>
      </c>
      <c r="J5" s="103">
        <v>13301393</v>
      </c>
      <c r="K5" s="83" t="s">
        <v>195</v>
      </c>
      <c r="L5" s="85" t="s">
        <v>196</v>
      </c>
      <c r="M5" s="104" t="s">
        <v>281</v>
      </c>
      <c r="N5" s="57" t="s">
        <v>280</v>
      </c>
    </row>
    <row r="6" spans="1:14" ht="70" x14ac:dyDescent="0.15">
      <c r="A6" s="80" t="s">
        <v>194</v>
      </c>
      <c r="B6" s="81">
        <v>13301</v>
      </c>
      <c r="C6" s="82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2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3">
        <v>7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7階 コスト制限なし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4">
        <v>2</v>
      </c>
      <c r="I6" s="88">
        <v>5</v>
      </c>
      <c r="J6" s="103">
        <v>13301394</v>
      </c>
      <c r="K6" s="83" t="s">
        <v>195</v>
      </c>
      <c r="L6" s="85" t="s">
        <v>196</v>
      </c>
      <c r="M6" s="104" t="s">
        <v>282</v>
      </c>
      <c r="N6" s="57" t="s">
        <v>280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zoomScale="110" zoomScaleNormal="110" zoomScalePageLayoutView="110" workbookViewId="0">
      <pane ySplit="1" topLeftCell="A2" activePane="bottomLeft" state="frozen"/>
      <selection pane="bottomLeft" activeCell="M26" sqref="M2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208</v>
      </c>
      <c r="B1" s="93" t="s">
        <v>209</v>
      </c>
      <c r="C1" s="76" t="s">
        <v>210</v>
      </c>
      <c r="D1" s="76" t="s">
        <v>33</v>
      </c>
      <c r="E1" s="93" t="s">
        <v>211</v>
      </c>
      <c r="F1" s="76" t="s">
        <v>212</v>
      </c>
      <c r="G1" s="76" t="s">
        <v>33</v>
      </c>
      <c r="H1" s="93" t="s">
        <v>213</v>
      </c>
      <c r="I1" s="93" t="s">
        <v>214</v>
      </c>
      <c r="J1" s="93" t="s">
        <v>215</v>
      </c>
      <c r="K1" s="72" t="s">
        <v>216</v>
      </c>
      <c r="L1" s="72" t="s">
        <v>217</v>
      </c>
      <c r="M1" s="72" t="s">
        <v>154</v>
      </c>
      <c r="N1" s="76" t="s">
        <v>16</v>
      </c>
      <c r="O1" s="72" t="s">
        <v>218</v>
      </c>
      <c r="P1" s="72" t="s">
        <v>56</v>
      </c>
      <c r="Q1" s="72" t="s">
        <v>219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220</v>
      </c>
      <c r="X1" s="72" t="s">
        <v>221</v>
      </c>
    </row>
    <row r="2" spans="1:24" x14ac:dyDescent="0.15">
      <c r="A2" s="94" t="str">
        <f>B2&amp;"_"&amp;E2&amp;"_"&amp;H2&amp;"_"&amp;I2&amp;"_"&amp;J2</f>
        <v>13301_7_singleonly_clear_1</v>
      </c>
      <c r="B2" s="81">
        <v>13301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7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7階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 t="s">
        <v>264</v>
      </c>
      <c r="I2" s="83" t="s">
        <v>265</v>
      </c>
      <c r="J2" s="83">
        <v>1</v>
      </c>
      <c r="K2" s="83">
        <v>650</v>
      </c>
      <c r="L2" s="83" t="s">
        <v>266</v>
      </c>
      <c r="M2" s="83">
        <v>17000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 t="s">
        <v>88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6" t="s">
        <v>224</v>
      </c>
      <c r="X2" s="97" t="s">
        <v>225</v>
      </c>
    </row>
    <row r="3" spans="1:24" x14ac:dyDescent="0.15">
      <c r="A3" s="94" t="str">
        <f>B3&amp;"_"&amp;E3&amp;"_"&amp;H3&amp;"_"&amp;I3&amp;"_"&amp;J3</f>
        <v>13301_7_singleonly_clear_2</v>
      </c>
      <c r="B3" s="81">
        <v>13301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7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7階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 t="s">
        <v>267</v>
      </c>
      <c r="I3" s="83" t="s">
        <v>222</v>
      </c>
      <c r="J3" s="83">
        <v>2</v>
      </c>
      <c r="K3" s="83">
        <v>350</v>
      </c>
      <c r="L3" s="83" t="s">
        <v>263</v>
      </c>
      <c r="M3" s="83">
        <v>52000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3" t="s">
        <v>268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6" t="s">
        <v>224</v>
      </c>
      <c r="X3" s="97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2016-11-14T01:11:01Z</dcterms:modified>
</cp:coreProperties>
</file>